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VERI_A" sheetId="5" state="hidden" r:id="rId5"/>
    <sheet xmlns:r="http://schemas.openxmlformats.org/officeDocument/2006/relationships" name="VERI_B" sheetId="6" state="hidden" r:id="rId6"/>
    <sheet xmlns:r="http://schemas.openxmlformats.org/officeDocument/2006/relationships" name="ANAHTAR" sheetId="7" state="hidden" r:id="rId7"/>
    <sheet xmlns:r="http://schemas.openxmlformats.org/officeDocument/2006/relationships" name="MOTOR" sheetId="8" state="hidden" r:id="rId8"/>
    <sheet xmlns:r="http://schemas.openxmlformats.org/officeDocument/2006/relationships" name="ESLESTIRME" sheetId="9" state="hidden" r:id="rId9"/>
    <sheet xmlns:r="http://schemas.openxmlformats.org/officeDocument/2006/relationships" name="KOK_NEDEN" sheetId="10" state="hidden" r:id="rId10"/>
    <sheet xmlns:r="http://schemas.openxmlformats.org/officeDocument/2006/relationships" name="PANO" sheetId="11" state="hidden" r:id="rId11"/>
    <sheet xmlns:r="http://schemas.openxmlformats.org/officeDocument/2006/relationships" name="AKSIYON" sheetId="12" state="hidden" r:id="rId12"/>
    <sheet xmlns:r="http://schemas.openxmlformats.org/officeDocument/2006/relationships" name="KANIT_RAPORU" sheetId="13" state="hidden" r:id="rId13"/>
    <sheet xmlns:r="http://schemas.openxmlformats.org/officeDocument/2006/relationships" name="KONTROLLER" sheetId="14" state="hidden" r:id="rId14"/>
    <sheet xmlns:r="http://schemas.openxmlformats.org/officeDocument/2006/relationships" name="ORNEK_VERI" sheetId="15" state="hidden" r:id="rId15"/>
    <sheet xmlns:r="http://schemas.openxmlformats.org/officeDocument/2006/relationships" name="LISTELER" sheetId="16" state="hidden" r:id="rId16"/>
    <sheet xmlns:r="http://schemas.openxmlformats.org/officeDocument/2006/relationships" name="AYARLAR" sheetId="17" state="hidden" r:id="rId17"/>
    <sheet xmlns:r="http://schemas.openxmlformats.org/officeDocument/2006/relationships" name="KILAVUZ" sheetId="18" state="hidden" r:id="rId18"/>
  </sheets>
  <definedNames>
    <definedName name="toleransKurus">AYARLAR!$B$6</definedName>
    <definedName name="raporTarihi">AYARLAR!$B$7</definedName>
    <definedName name="cbb_esikEslesme">AYARLAR!$B$8</definedName>
    <definedName name="cbb_esikFark">AYARLAR!$B$9</definedName>
    <definedName name="cbb_azamiTutar">AYARLAR!$B$10</definedName>
    <definedName name="cbb_ikincilUzunluk">AYARLAR!$B$11</definedName>
    <definedName name="cbb_olcekHedef">AYARLAR!$B$12</definedName>
    <definedName name="cbb_anomaliZ">AYARLAR!$B$13</definedName>
    <definedName name="cbb_yuzdelikOran">AYARLAR!$B$14</definedName>
    <definedName name="cbb_medyanOran">AYARLAR!$B$15</definedName>
    <definedName name="cbb_yuvarlamaCarpan">AYARLAR!$B$16</definedName>
    <definedName name="cbb_donemCarpan">AYARLAR!$B$17</definedName>
    <definedName name="cbb_unvanMinLen">AYARLAR!$B$18</definedName>
    <definedName name="cbb_normAnahtar">AYARLAR!$B$19</definedName>
    <definedName name="cbb_tanimsizKova">AYARLAR!$B$20</definedName>
    <definedName name="cbb_kararKapi">AYARLAR!$B$21</definedName>
    <definedName name="cbb_fiyatModeli">AYARLAR!$B$22</definedName>
    <definedName name="cbb_kvkkBeyani">AYARLAR!$B$23</definedName>
    <definedName name="cbb_yapistirCalistir">AYARLAR!$B$24</definedName>
    <definedName name="cbb_baBsKurali">AYARLAR!$B$25</definedName>
    <definedName name="cbb_itirazMetni">AYARLAR!$B$26</definedName>
    <definedName name="cbb_dosyaSurumu">AYARLAR!$B$27</definedName>
    <definedName name="cbb_firmaUnvan">AYARLAR!$B$28</definedName>
    <definedName name="cbb_mutabakatFarki">AYARLAR!$I$32</definedName>
    <definedName name="cbb_eslesmeOrani">AYARLAR!$I$33</definedName>
    <definedName name="cbb_kovaButunluk">AYARLAR!$I$34</definedName>
    <definedName name="cbb_modulT1">AYARLAR!$I$35</definedName>
    <definedName name="cbb_modulT2">AYARLAR!$I$36</definedName>
    <definedName name="cbb_modulO1">AYARLAR!$I$37</definedName>
    <definedName name="cbb_modulO2">AYARLAR!$I$38</definedName>
    <definedName name="cbb_modulO3">AYARLAR!$I$39</definedName>
    <definedName name="cbb_modulO6">AYARLAR!$I$40</definedName>
    <definedName name="cbb_modulO8">AYARLAR!$I$41</definedName>
    <definedName name="cbb_modulI1">AYARLAR!$I$42</definedName>
    <definedName name="cbb_modulI2">AYARLAR!$I$43</definedName>
    <definedName name="cbb_modulT1Yorum">AYARLAR!$I$46</definedName>
    <definedName name="cbb_modulT2Yorum">AYARLAR!$I$47</definedName>
    <definedName name="cbb_modulO1Yorum">AYARLAR!$I$48</definedName>
    <definedName name="cbb_modulO2Yorum">AYARLAR!$I$49</definedName>
    <definedName name="cbb_modulO3Yorum">AYARLAR!$I$50</definedName>
    <definedName name="cbb_modulO6Yorum">AYARLAR!$I$51</definedName>
    <definedName name="cbb_modulO8Yorum">AYARLAR!$I$52</definedName>
    <definedName name="cbb_modulI1Yorum">AYARLAR!$I$53</definedName>
    <definedName name="cbb_modulI2Yorum">AYARLAR!$I$54</definedName>
    <definedName name="ListeFormTipleri">LISTELER!$A$7:$A$8</definedName>
    <definedName name="ListeIslemTipleri">LISTELER!$C$7:$C$8</definedName>
    <definedName name="ListeDurumlar">LISTELER!$E$7:$E$10</definedName>
    <definedName name="_xlnm.Print_Area" localSheetId="10">'PANO'!$A$1:$L$32</definedName>
    <definedName name="_xlnm.Print_Area" localSheetId="12">'KANIT_RAPORU'!$A$1:$H$24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₺ #,##0;[Red](₺ #,##0);-"/>
    <numFmt numFmtId="166" formatCode="0.0%;[Red](0.0%);-"/>
    <numFmt numFmtId="167" formatCode="#,##0 &quot;TL&quot;"/>
    <numFmt numFmtId="168" formatCode="0.0%"/>
  </numFmts>
  <fonts count="4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000000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color rgb="00595959"/>
      <sz val="8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3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3" fontId="8" fillId="5" borderId="0" applyAlignment="1" applyProtection="1" pivotButton="0" quotePrefix="0" xfId="0">
      <alignment horizontal="left" vertical="center"/>
      <protection locked="0" hidden="0"/>
    </xf>
    <xf numFmtId="0" fontId="10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6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22" fillId="7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0" pivotButton="0" quotePrefix="0" xfId="0"/>
    <xf numFmtId="0" fontId="25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30" fillId="8" borderId="0" applyAlignment="1" pivotButton="0" quotePrefix="0" xfId="0">
      <alignment horizontal="center" vertical="center" wrapText="1"/>
    </xf>
    <xf numFmtId="0" fontId="26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2" fillId="7" borderId="0" applyAlignment="1" pivotButton="0" quotePrefix="0" xfId="0">
      <alignment horizontal="center" vertical="center"/>
    </xf>
    <xf numFmtId="0" fontId="33" fillId="0" borderId="0" pivotButton="0" quotePrefix="0" xfId="0"/>
    <xf numFmtId="167" fontId="33" fillId="0" borderId="0" pivotButton="0" quotePrefix="0" xfId="0"/>
    <xf numFmtId="167" fontId="34" fillId="0" borderId="0" pivotButton="0" quotePrefix="0" xfId="0"/>
    <xf numFmtId="168" fontId="33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7" borderId="0" applyAlignment="1" pivotButton="0" quotePrefix="0" xfId="0">
      <alignment horizontal="center" vertical="center"/>
    </xf>
    <xf numFmtId="0" fontId="32" fillId="7" borderId="0" applyAlignment="1" pivotButton="0" quotePrefix="0" xfId="0">
      <alignment horizontal="center"/>
    </xf>
    <xf numFmtId="0" fontId="34" fillId="0" borderId="0" pivotButton="0" quotePrefix="0" xfId="0"/>
    <xf numFmtId="0" fontId="38" fillId="9" borderId="2" pivotButton="0" quotePrefix="0" xfId="0"/>
    <xf numFmtId="0" fontId="39" fillId="0" borderId="0" pivotButton="0" quotePrefix="0" xfId="0"/>
    <xf numFmtId="0" fontId="40" fillId="0" borderId="0" pivotButton="0" quotePrefix="0" xfId="0"/>
    <xf numFmtId="0" fontId="33" fillId="0" borderId="0" applyAlignment="1" pivotButton="0" quotePrefix="0" xfId="0">
      <alignment wrapText="1"/>
    </xf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166" fontId="17" fillId="0" borderId="0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</cellXfs>
  <cellStyles count="1">
    <cellStyle name="Normal" xfId="0" builtinId="0" hidden="0"/>
  </cellStyles>
  <dxfs count="4"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Kova Dağılımı</a:t>
            </a:r>
          </a:p>
        </rich>
      </tx>
    </title>
    <plotArea>
      <pieChart>
        <varyColors val="1"/>
        <ser>
          <idx val="0"/>
          <order val="0"/>
          <tx>
            <strRef>
              <f>'PANO'!B24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'PANO'!$A$25:$A$28</f>
            </numRef>
          </cat>
          <val>
            <numRef>
              <f>'PANO'!$B$25:$B$28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Kök Neden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'PANO'!$D$25:$D$30</f>
            </numRef>
          </cat>
          <val>
            <numRef>
              <f>'PANO'!$E$25:$E$30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Günlük Fark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'PANO'!$G$25:$G$31</f>
            </numRef>
          </cat>
          <val>
            <numRef>
              <f>'PANO'!$H$25:$H$31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Tornado Etki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'PANO'!K24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'PANO'!$J$25:$J$29</f>
            </numRef>
          </cat>
          <val>
            <numRef>
              <f>'PANO'!$K$25:$K$29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Eşleşme Payı</a:t>
            </a:r>
          </a:p>
        </rich>
      </tx>
    </title>
    <plotArea>
      <pieChart>
        <varyColors val="1"/>
        <ser>
          <idx val="0"/>
          <order val="0"/>
          <tx>
            <strRef>
              <f>'PANO'!B24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'PANO'!$A$25:$A$26</f>
            </numRef>
          </cat>
          <val>
            <numRef>
              <f>'PANO'!$B$25:$B$26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Üst Nedenler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'PANO'!E24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'PANO'!$D$25:$D$27</f>
            </numRef>
          </cat>
          <val>
            <numRef>
              <f>'PANO'!$E$25:$E$27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Fark Eğilimi</a:t>
            </a:r>
          </a:p>
        </rich>
      </tx>
    </title>
    <plotArea>
      <lineChart>
        <grouping val="standard"/>
        <ser>
          <idx val="0"/>
          <order val="0"/>
          <tx>
            <strRef>
              <f>'PANO'!H24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'PANO'!$G$25:$G$28</f>
            </numRef>
          </cat>
          <val>
            <numRef>
              <f>'PANO'!$H$25:$H$28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Karşılaştırma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'PANO'!K24</f>
            </strRef>
          </tx>
          <spPr>
            <a:ln xmlns:a="http://schemas.openxmlformats.org/drawingml/2006/main">
              <a:prstDash val="solid"/>
            </a:ln>
          </spPr>
          <cat>
            <numRef>
              <f>'PANO'!$J$25:$J$27</f>
            </numRef>
          </cat>
          <val>
            <numRef>
              <f>'PANO'!$K$25:$K$27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6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6" authorId="0" shapeId="0">
      <text>
        <t>Tanım: Dönem | Neden önemli: Mutabakat sonucunu etkiler | Doğru kullanım: YYYY-AA | Örnek: hücredeki örnek değere bakın | Risk: Yanlış giriş hatalı kova üretir</t>
      </text>
    </comment>
    <comment ref="D6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6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6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6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6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7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7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7" authorId="0" shapeId="0">
      <text>
        <t>Tanım: Dönem | Neden önemli: Mutabakat sonucunu etkiler | Doğru kullanım: YYYY-AA | Örnek: hücredeki örnek değere bakın | Risk: Yanlış giriş hatalı kova üretir</t>
      </text>
    </comment>
    <comment ref="D7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7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7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7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7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8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8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8" authorId="0" shapeId="0">
      <text>
        <t>Tanım: Dönem | Neden önemli: Mutabakat sonucunu etkiler | Doğru kullanım: YYYY-AA | Örnek: hücredeki örnek değere bakın | Risk: Yanlış giriş hatalı kova üretir</t>
      </text>
    </comment>
    <comment ref="D8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8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8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8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8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9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9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9" authorId="0" shapeId="0">
      <text>
        <t>Tanım: Dönem | Neden önemli: Mutabakat sonucunu etkiler | Doğru kullanım: YYYY-AA | Örnek: hücredeki örnek değere bakın | Risk: Yanlış giriş hatalı kova üretir</t>
      </text>
    </comment>
    <comment ref="D9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9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9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9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9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0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10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10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0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10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10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10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10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1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1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1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11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11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1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11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11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11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11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1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1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2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12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12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2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12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12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12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12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1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1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3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13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13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3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13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13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13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13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1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1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4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14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14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4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14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14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14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14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1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1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5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15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15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5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15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15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15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15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1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1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6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16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16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6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16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16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16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16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1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1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7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17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17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7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17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17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17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17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1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1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8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18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18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8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18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18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18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18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1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1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9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19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19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9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19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19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19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19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1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1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0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20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20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0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20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20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20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20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2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2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1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21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21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1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21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21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21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21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2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2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2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22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22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2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22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22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22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22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2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2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3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23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23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3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23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23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23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23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2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2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4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24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24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4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24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24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24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24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2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2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5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25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25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5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25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25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25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25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2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2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6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26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26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6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26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26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26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26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2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2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7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27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27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7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27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27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27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27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2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2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8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28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28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8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28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28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28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28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2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2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9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29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29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9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29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29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29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29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2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2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0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30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30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0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30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30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30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30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3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3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1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31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31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1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31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31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31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31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3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3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2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32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32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2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32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32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32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32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3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3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3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33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33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3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33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33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33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33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3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3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4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34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34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4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34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34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34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34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3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3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5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35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35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5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35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35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35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35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3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3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6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36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36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6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36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36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36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36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3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3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7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37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37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7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37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37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37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37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3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3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8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38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38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8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38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38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38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38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3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3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9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39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39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9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39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39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39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39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3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3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0" authorId="0" shapeId="0">
      <text>
        <t>Tanım: VKN | Neden önemli: Mutabakat sonucunu etkiler | Doğru kullanım: 10 haneli vergi kimlik no | Örnek: hücredeki örnek değere bakın | Risk: Yanlış giriş hatalı kova üretir</t>
      </text>
    </comment>
    <comment ref="B40" authorId="0" shapeId="0">
      <text>
        <t>Tanım: Unvan | Neden önemli: Mutabakat sonucunu etkiler | Doğru kullanım: Cari unvan | Örnek: hücredeki örnek değere bakın | Risk: Yanlış giriş hatalı kova üretir</t>
      </text>
    </comment>
    <comment ref="C40" authorId="0" shapeId="0">
      <text>
        <t>Tanım: Dönem | Neden önemli: Mutabakat sonucunu etkiler | Doğru kullanım: YYYY-AA | Örnek: hücredeki örnek değere bakın | Risk: Yanlış giriş hatalı kova üretir</t>
      </text>
    </comment>
    <comment ref="D40" authorId="0" shapeId="0">
      <text>
        <t>Tanım: Belge No | Neden önemli: Mutabakat sonucunu etkiler | Doğru kullanım: Fatura/fiş no | Örnek: hücredeki örnek değere bakın | Risk: Yanlış giriş hatalı kova üretir</t>
      </text>
    </comment>
    <comment ref="E40" authorId="0" shapeId="0">
      <text>
        <t>Tanım: Belge Tarihi | Neden önemli: Mutabakat sonucunu etkiler | Doğru kullanım: Belge tarihi | Örnek: hücredeki örnek değere bakın | Risk: Yanlış giriş hatalı kova üretir</t>
      </text>
    </comment>
    <comment ref="F40" authorId="0" shapeId="0">
      <text>
        <t>Tanım: Tutar | Neden önemli: Mutabakat sonucunu etkiler | Doğru kullanım: Cari tutar TL | Örnek: hücredeki örnek değere bakın | Risk: Yanlış giriş hatalı kova üretir</t>
      </text>
    </comment>
    <comment ref="G40" authorId="0" shapeId="0">
      <text>
        <t>Tanım: İşlem Tipi | Neden önemli: Mutabakat sonucunu etkiler | Doğru kullanım: Alış veya Satış | Örnek: hücredeki örnek değere bakın | Risk: Yanlış giriş hatalı kova üretir</t>
      </text>
    </comment>
    <comment ref="H40" authorId="0" shapeId="0">
      <text>
        <t>Tanım: Hesap Kodu | Neden önemli: Mutabakat sonucunu etkiler | Doğru kullanım: Muhasebe hesabı | Örnek: hücredeki örnek değere bakın | Risk: Yanlış giriş hatalı kova üretir</t>
      </text>
    </comment>
    <comment ref="I4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J4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6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6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6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6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6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6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6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6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6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6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6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6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6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6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6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6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6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6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6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6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7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7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7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7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7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7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7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7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7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7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7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7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7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7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7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7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7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7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7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7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8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8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8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8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8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8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8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8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8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8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8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8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8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8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8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8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8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8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8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8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9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9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9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9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9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9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9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9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9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9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9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9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9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9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9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9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9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9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9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9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0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0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0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0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0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0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0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0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0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0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0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0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0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0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0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0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0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0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0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0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1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1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1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1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1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1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1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1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1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1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1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1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1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1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1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1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1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1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1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1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2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2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2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2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2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2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2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2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2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2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2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2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2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2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2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2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2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2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2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2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3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3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3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3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3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3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3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3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3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3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3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3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3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3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3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3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3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3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3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3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4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4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4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4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4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4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4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4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4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4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4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4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4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4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4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4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4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4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4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4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5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5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5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5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5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5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5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5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5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5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5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5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5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5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5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5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5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5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5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5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6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6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6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6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6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6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6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6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6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6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6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6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6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6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6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6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6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6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6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6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7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7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7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7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7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7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7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7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7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7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7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7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7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7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7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7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7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7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7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7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8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8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8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8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8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8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8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8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8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8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8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8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8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8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8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8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8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8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8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8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9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9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9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9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9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9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9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9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9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9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9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9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9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9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9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9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9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9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19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1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19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1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1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1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0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0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0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0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0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0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0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0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0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0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0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0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0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0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0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0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0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0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0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0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1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1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1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1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1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1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1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1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1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1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1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1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1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1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1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1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1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1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1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1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2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2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2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2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2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2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2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2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2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2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2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2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2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2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2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2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2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2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2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2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3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3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3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3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3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3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3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3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3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3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3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3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3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3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3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3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3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3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3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3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4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4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4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4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4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4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4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4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4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4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4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4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4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4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4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4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4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4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4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4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5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5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5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5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5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5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5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5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5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5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5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5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5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5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5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5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5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5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5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5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6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6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6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6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6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6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6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6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6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6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6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6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6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6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6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6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6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6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6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6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7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7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7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7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7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7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7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7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7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7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7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7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7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7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7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7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7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7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7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7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8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8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8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8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8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8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8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8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8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8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8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8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8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8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8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8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8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8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8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8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9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9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9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9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9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9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9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9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9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9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9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9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9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9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9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9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9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9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29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2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29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2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2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2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0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0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0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0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0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0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0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0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0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0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0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0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0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0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0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0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0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0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0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0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1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1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1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1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1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1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1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1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1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1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1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1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1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1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1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1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1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1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1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1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2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2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2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2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2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2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2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2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2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2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2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2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2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2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2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2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2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2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2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2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3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3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3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3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3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3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3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3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3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3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3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3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3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3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3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3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3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3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3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3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4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4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4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4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4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4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4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4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4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4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4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4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4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4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4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4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4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4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4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4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5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5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5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5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5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5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5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5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5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5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5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5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5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5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5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5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5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5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5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5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6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6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6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6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6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6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6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6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6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6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6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6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6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6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6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6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6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6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6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6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7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7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7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7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7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7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7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7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7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7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7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7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7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7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7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7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7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7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7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7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8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8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8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8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8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8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8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8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8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8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8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8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8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8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8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8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8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8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8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8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9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9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9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9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9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9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9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9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9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9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9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9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9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9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9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9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9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9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39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3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39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3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3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3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0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0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0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0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0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0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0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0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0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0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0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0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0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0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0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0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0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0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0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0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0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0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0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0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0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0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0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0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1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1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1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1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2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2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2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2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3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3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3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3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4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4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4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4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5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5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5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5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6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6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6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6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7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7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7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7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8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8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8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8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6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6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6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6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6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7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7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7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7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7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8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8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8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8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8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9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499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499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499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499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4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4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0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00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00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00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00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1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01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01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01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01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2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02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02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02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02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3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03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03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03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03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4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04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04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04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04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5" authorId="0" shapeId="0">
      <text>
        <t>Tanım: BelgeNo | Neden önemli: Mutabakat sonucunu etkiler | Doğru kullanım: Manuel giriş | Örnek: hücredeki örnek değere bakın | Risk: Yanlış giriş hatalı kova üretir</t>
      </text>
    </comment>
    <comment ref="E505" authorId="0" shapeId="0">
      <text>
        <t>Tanım: BelgeTarih | Neden önemli: Mutabakat sonucunu etkiler | Doğru kullanım: Manuel giriş | Örnek: hücredeki örnek değere bakın | Risk: Yanlış giriş hatalı kova üretir</t>
      </text>
    </comment>
    <comment ref="F505" authorId="0" shapeId="0">
      <text>
        <t>Tanım: Tutar | Neden önemli: Mutabakat sonucunu etkiler | Doğru kullanım: Manuel giriş | Örnek: hücredeki örnek değere bakın | Risk: Yanlış giriş hatalı kova üretir</t>
      </text>
    </comment>
    <comment ref="G505" authorId="0" shapeId="0">
      <text>
        <t>Tanım: IslemTipi | Neden önemli: Mutabakat sonucunu etkiler | Doğru kullanım: Manuel giriş | Örnek: hücredeki örnek değere bakın | Risk: Yanlış giriş hatalı kova üretir</t>
      </text>
    </comment>
    <comment ref="H505" authorId="0" shapeId="0">
      <text>
        <t>Tanım: HesapKodu | Neden önemli: Mutabakat sonucunu etkiler | Doğru kullanım: Manuel giriş | Örnek: hücredeki örnek değere bakın | Risk: Yanlış giriş hatalı kova üretir</t>
      </text>
    </comment>
    <comment ref="I5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J505" authorId="0" shapeId="0">
      <text>
        <t>Tanım: Durum | Neden önemli: Mutabakat sonucunu etkiler | Doğru kullanım: Manuel giriş | Örnek: hücredeki örnek değere bakın | Risk: Yanlış giriş hatalı kova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VKN | Neden önemli: Mutabakat sonucunu etkiler | Doğru kullanım: Ba/Bs VKN | Örnek: hücredeki örnek değere bakın | Risk: Yanlış giriş hatalı kova üretir</t>
      </text>
    </comment>
    <comment ref="B6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6" authorId="0" shapeId="0">
      <text>
        <t>Tanım: Dönem | Neden önemli: Mutabakat sonucunu etkiler | Doğru kullanım: YYYY-AA | Örnek: hücredeki örnek değere bakın | Risk: Yanlış giriş hatalı kova üretir</t>
      </text>
    </comment>
    <comment ref="D6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6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6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7" authorId="0" shapeId="0">
      <text>
        <t>Tanım: VKN | Neden önemli: Mutabakat sonucunu etkiler | Doğru kullanım: Ba/Bs VKN | Örnek: hücredeki örnek değere bakın | Risk: Yanlış giriş hatalı kova üretir</t>
      </text>
    </comment>
    <comment ref="B7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7" authorId="0" shapeId="0">
      <text>
        <t>Tanım: Dönem | Neden önemli: Mutabakat sonucunu etkiler | Doğru kullanım: YYYY-AA | Örnek: hücredeki örnek değere bakın | Risk: Yanlış giriş hatalı kova üretir</t>
      </text>
    </comment>
    <comment ref="D7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7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7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8" authorId="0" shapeId="0">
      <text>
        <t>Tanım: VKN | Neden önemli: Mutabakat sonucunu etkiler | Doğru kullanım: Ba/Bs VKN | Örnek: hücredeki örnek değere bakın | Risk: Yanlış giriş hatalı kova üretir</t>
      </text>
    </comment>
    <comment ref="B8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8" authorId="0" shapeId="0">
      <text>
        <t>Tanım: Dönem | Neden önemli: Mutabakat sonucunu etkiler | Doğru kullanım: YYYY-AA | Örnek: hücredeki örnek değere bakın | Risk: Yanlış giriş hatalı kova üretir</t>
      </text>
    </comment>
    <comment ref="D8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8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8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9" authorId="0" shapeId="0">
      <text>
        <t>Tanım: VKN | Neden önemli: Mutabakat sonucunu etkiler | Doğru kullanım: Ba/Bs VKN | Örnek: hücredeki örnek değere bakın | Risk: Yanlış giriş hatalı kova üretir</t>
      </text>
    </comment>
    <comment ref="B9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9" authorId="0" shapeId="0">
      <text>
        <t>Tanım: Dönem | Neden önemli: Mutabakat sonucunu etkiler | Doğru kullanım: YYYY-AA | Örnek: hücredeki örnek değere bakın | Risk: Yanlış giriş hatalı kova üretir</t>
      </text>
    </comment>
    <comment ref="D9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9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9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0" authorId="0" shapeId="0">
      <text>
        <t>Tanım: VKN | Neden önemli: Mutabakat sonucunu etkiler | Doğru kullanım: Ba/Bs VKN | Örnek: hücredeki örnek değere bakın | Risk: Yanlış giriş hatalı kova üretir</t>
      </text>
    </comment>
    <comment ref="B10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10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0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10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10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1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1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1" authorId="0" shapeId="0">
      <text>
        <t>Tanım: VKN | Neden önemli: Mutabakat sonucunu etkiler | Doğru kullanım: Ba/Bs VKN | Örnek: hücredeki örnek değere bakın | Risk: Yanlış giriş hatalı kova üretir</t>
      </text>
    </comment>
    <comment ref="B11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11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1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11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11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1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1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2" authorId="0" shapeId="0">
      <text>
        <t>Tanım: VKN | Neden önemli: Mutabakat sonucunu etkiler | Doğru kullanım: Ba/Bs VKN | Örnek: hücredeki örnek değere bakın | Risk: Yanlış giriş hatalı kova üretir</t>
      </text>
    </comment>
    <comment ref="B12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12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2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12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12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1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1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3" authorId="0" shapeId="0">
      <text>
        <t>Tanım: VKN | Neden önemli: Mutabakat sonucunu etkiler | Doğru kullanım: Ba/Bs VKN | Örnek: hücredeki örnek değere bakın | Risk: Yanlış giriş hatalı kova üretir</t>
      </text>
    </comment>
    <comment ref="B13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13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3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13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13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1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1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4" authorId="0" shapeId="0">
      <text>
        <t>Tanım: VKN | Neden önemli: Mutabakat sonucunu etkiler | Doğru kullanım: Ba/Bs VKN | Örnek: hücredeki örnek değere bakın | Risk: Yanlış giriş hatalı kova üretir</t>
      </text>
    </comment>
    <comment ref="B14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14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4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14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14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1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1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5" authorId="0" shapeId="0">
      <text>
        <t>Tanım: VKN | Neden önemli: Mutabakat sonucunu etkiler | Doğru kullanım: Ba/Bs VKN | Örnek: hücredeki örnek değere bakın | Risk: Yanlış giriş hatalı kova üretir</t>
      </text>
    </comment>
    <comment ref="B15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15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5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15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15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1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1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6" authorId="0" shapeId="0">
      <text>
        <t>Tanım: VKN | Neden önemli: Mutabakat sonucunu etkiler | Doğru kullanım: Ba/Bs VKN | Örnek: hücredeki örnek değere bakın | Risk: Yanlış giriş hatalı kova üretir</t>
      </text>
    </comment>
    <comment ref="B16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16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6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16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16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1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1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7" authorId="0" shapeId="0">
      <text>
        <t>Tanım: VKN | Neden önemli: Mutabakat sonucunu etkiler | Doğru kullanım: Ba/Bs VKN | Örnek: hücredeki örnek değere bakın | Risk: Yanlış giriş hatalı kova üretir</t>
      </text>
    </comment>
    <comment ref="B17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17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7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17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17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1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1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8" authorId="0" shapeId="0">
      <text>
        <t>Tanım: VKN | Neden önemli: Mutabakat sonucunu etkiler | Doğru kullanım: Ba/Bs VKN | Örnek: hücredeki örnek değere bakın | Risk: Yanlış giriş hatalı kova üretir</t>
      </text>
    </comment>
    <comment ref="B18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18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8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18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18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1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1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19" authorId="0" shapeId="0">
      <text>
        <t>Tanım: VKN | Neden önemli: Mutabakat sonucunu etkiler | Doğru kullanım: Ba/Bs VKN | Örnek: hücredeki örnek değere bakın | Risk: Yanlış giriş hatalı kova üretir</t>
      </text>
    </comment>
    <comment ref="B19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19" authorId="0" shapeId="0">
      <text>
        <t>Tanım: Dönem | Neden önemli: Mutabakat sonucunu etkiler | Doğru kullanım: YYYY-AA | Örnek: hücredeki örnek değere bakın | Risk: Yanlış giriş hatalı kova üretir</t>
      </text>
    </comment>
    <comment ref="D19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19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19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1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1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0" authorId="0" shapeId="0">
      <text>
        <t>Tanım: VKN | Neden önemli: Mutabakat sonucunu etkiler | Doğru kullanım: Ba/Bs VKN | Örnek: hücredeki örnek değere bakın | Risk: Yanlış giriş hatalı kova üretir</t>
      </text>
    </comment>
    <comment ref="B20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20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0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20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20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2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2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1" authorId="0" shapeId="0">
      <text>
        <t>Tanım: VKN | Neden önemli: Mutabakat sonucunu etkiler | Doğru kullanım: Ba/Bs VKN | Örnek: hücredeki örnek değere bakın | Risk: Yanlış giriş hatalı kova üretir</t>
      </text>
    </comment>
    <comment ref="B21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21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1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21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21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2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2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2" authorId="0" shapeId="0">
      <text>
        <t>Tanım: VKN | Neden önemli: Mutabakat sonucunu etkiler | Doğru kullanım: Ba/Bs VKN | Örnek: hücredeki örnek değere bakın | Risk: Yanlış giriş hatalı kova üretir</t>
      </text>
    </comment>
    <comment ref="B22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22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2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22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22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2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2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3" authorId="0" shapeId="0">
      <text>
        <t>Tanım: VKN | Neden önemli: Mutabakat sonucunu etkiler | Doğru kullanım: Ba/Bs VKN | Örnek: hücredeki örnek değere bakın | Risk: Yanlış giriş hatalı kova üretir</t>
      </text>
    </comment>
    <comment ref="B23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23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3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23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23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2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2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4" authorId="0" shapeId="0">
      <text>
        <t>Tanım: VKN | Neden önemli: Mutabakat sonucunu etkiler | Doğru kullanım: Ba/Bs VKN | Örnek: hücredeki örnek değere bakın | Risk: Yanlış giriş hatalı kova üretir</t>
      </text>
    </comment>
    <comment ref="B24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24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4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24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24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2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2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5" authorId="0" shapeId="0">
      <text>
        <t>Tanım: VKN | Neden önemli: Mutabakat sonucunu etkiler | Doğru kullanım: Ba/Bs VKN | Örnek: hücredeki örnek değere bakın | Risk: Yanlış giriş hatalı kova üretir</t>
      </text>
    </comment>
    <comment ref="B25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25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5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25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25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2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2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6" authorId="0" shapeId="0">
      <text>
        <t>Tanım: VKN | Neden önemli: Mutabakat sonucunu etkiler | Doğru kullanım: Ba/Bs VKN | Örnek: hücredeki örnek değere bakın | Risk: Yanlış giriş hatalı kova üretir</t>
      </text>
    </comment>
    <comment ref="B26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26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6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26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26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2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2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7" authorId="0" shapeId="0">
      <text>
        <t>Tanım: VKN | Neden önemli: Mutabakat sonucunu etkiler | Doğru kullanım: Ba/Bs VKN | Örnek: hücredeki örnek değere bakın | Risk: Yanlış giriş hatalı kova üretir</t>
      </text>
    </comment>
    <comment ref="B27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27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7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27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27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2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2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8" authorId="0" shapeId="0">
      <text>
        <t>Tanım: VKN | Neden önemli: Mutabakat sonucunu etkiler | Doğru kullanım: Ba/Bs VKN | Örnek: hücredeki örnek değere bakın | Risk: Yanlış giriş hatalı kova üretir</t>
      </text>
    </comment>
    <comment ref="B28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28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8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28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28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2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2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29" authorId="0" shapeId="0">
      <text>
        <t>Tanım: VKN | Neden önemli: Mutabakat sonucunu etkiler | Doğru kullanım: Ba/Bs VKN | Örnek: hücredeki örnek değere bakın | Risk: Yanlış giriş hatalı kova üretir</t>
      </text>
    </comment>
    <comment ref="B29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29" authorId="0" shapeId="0">
      <text>
        <t>Tanım: Dönem | Neden önemli: Mutabakat sonucunu etkiler | Doğru kullanım: YYYY-AA | Örnek: hücredeki örnek değere bakın | Risk: Yanlış giriş hatalı kova üretir</t>
      </text>
    </comment>
    <comment ref="D29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29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29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2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2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0" authorId="0" shapeId="0">
      <text>
        <t>Tanım: VKN | Neden önemli: Mutabakat sonucunu etkiler | Doğru kullanım: Ba/Bs VKN | Örnek: hücredeki örnek değere bakın | Risk: Yanlış giriş hatalı kova üretir</t>
      </text>
    </comment>
    <comment ref="B30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30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0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30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30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3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3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1" authorId="0" shapeId="0">
      <text>
        <t>Tanım: VKN | Neden önemli: Mutabakat sonucunu etkiler | Doğru kullanım: Ba/Bs VKN | Örnek: hücredeki örnek değere bakın | Risk: Yanlış giriş hatalı kova üretir</t>
      </text>
    </comment>
    <comment ref="B31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31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1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31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31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31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31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2" authorId="0" shapeId="0">
      <text>
        <t>Tanım: VKN | Neden önemli: Mutabakat sonucunu etkiler | Doğru kullanım: Ba/Bs VKN | Örnek: hücredeki örnek değere bakın | Risk: Yanlış giriş hatalı kova üretir</t>
      </text>
    </comment>
    <comment ref="B32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32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2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32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32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32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32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3" authorId="0" shapeId="0">
      <text>
        <t>Tanım: VKN | Neden önemli: Mutabakat sonucunu etkiler | Doğru kullanım: Ba/Bs VKN | Örnek: hücredeki örnek değere bakın | Risk: Yanlış giriş hatalı kova üretir</t>
      </text>
    </comment>
    <comment ref="B33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33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3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33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33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33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33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4" authorId="0" shapeId="0">
      <text>
        <t>Tanım: VKN | Neden önemli: Mutabakat sonucunu etkiler | Doğru kullanım: Ba/Bs VKN | Örnek: hücredeki örnek değere bakın | Risk: Yanlış giriş hatalı kova üretir</t>
      </text>
    </comment>
    <comment ref="B34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34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4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34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34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34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34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5" authorId="0" shapeId="0">
      <text>
        <t>Tanım: VKN | Neden önemli: Mutabakat sonucunu etkiler | Doğru kullanım: Ba/Bs VKN | Örnek: hücredeki örnek değere bakın | Risk: Yanlış giriş hatalı kova üretir</t>
      </text>
    </comment>
    <comment ref="B35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35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5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35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35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35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35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6" authorId="0" shapeId="0">
      <text>
        <t>Tanım: VKN | Neden önemli: Mutabakat sonucunu etkiler | Doğru kullanım: Ba/Bs VKN | Örnek: hücredeki örnek değere bakın | Risk: Yanlış giriş hatalı kova üretir</t>
      </text>
    </comment>
    <comment ref="B36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36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6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36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36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36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36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7" authorId="0" shapeId="0">
      <text>
        <t>Tanım: VKN | Neden önemli: Mutabakat sonucunu etkiler | Doğru kullanım: Ba/Bs VKN | Örnek: hücredeki örnek değere bakın | Risk: Yanlış giriş hatalı kova üretir</t>
      </text>
    </comment>
    <comment ref="B37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37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7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37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37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37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37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8" authorId="0" shapeId="0">
      <text>
        <t>Tanım: VKN | Neden önemli: Mutabakat sonucunu etkiler | Doğru kullanım: Ba/Bs VKN | Örnek: hücredeki örnek değere bakın | Risk: Yanlış giriş hatalı kova üretir</t>
      </text>
    </comment>
    <comment ref="B38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38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8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38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38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38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38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39" authorId="0" shapeId="0">
      <text>
        <t>Tanım: VKN | Neden önemli: Mutabakat sonucunu etkiler | Doğru kullanım: Ba/Bs VKN | Örnek: hücredeki örnek değere bakın | Risk: Yanlış giriş hatalı kova üretir</t>
      </text>
    </comment>
    <comment ref="B39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39" authorId="0" shapeId="0">
      <text>
        <t>Tanım: Dönem | Neden önemli: Mutabakat sonucunu etkiler | Doğru kullanım: YYYY-AA | Örnek: hücredeki örnek değere bakın | Risk: Yanlış giriş hatalı kova üretir</t>
      </text>
    </comment>
    <comment ref="D39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39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39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39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39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0" authorId="0" shapeId="0">
      <text>
        <t>Tanım: VKN | Neden önemli: Mutabakat sonucunu etkiler | Doğru kullanım: Ba/Bs VKN | Örnek: hücredeki örnek değere bakın | Risk: Yanlış giriş hatalı kova üretir</t>
      </text>
    </comment>
    <comment ref="B40" authorId="0" shapeId="0">
      <text>
        <t>Tanım: Unvan | Neden önemli: Mutabakat sonucunu etkiler | Doğru kullanım: Beyan unvanı | Örnek: hücredeki örnek değere bakın | Risk: Yanlış giriş hatalı kova üretir</t>
      </text>
    </comment>
    <comment ref="C40" authorId="0" shapeId="0">
      <text>
        <t>Tanım: Dönem | Neden önemli: Mutabakat sonucunu etkiler | Doğru kullanım: YYYY-AA | Örnek: hücredeki örnek değere bakın | Risk: Yanlış giriş hatalı kova üretir</t>
      </text>
    </comment>
    <comment ref="D40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E40" authorId="0" shapeId="0">
      <text>
        <t>Tanım: Beyan Tutarı | Neden önemli: Mutabakat sonucunu etkiler | Doğru kullanım: Ba/Bs tutarı TL | Örnek: hücredeki örnek değere bakın | Risk: Yanlış giriş hatalı kova üretir</t>
      </text>
    </comment>
    <comment ref="F40" authorId="0" shapeId="0">
      <text>
        <t>Tanım: Belge Adet | Neden önemli: Mutabakat sonucunu etkiler | Doğru kullanım: Belge sayısı | Örnek: hücredeki örnek değere bakın | Risk: Yanlış giriş hatalı kova üretir</t>
      </text>
    </comment>
    <comment ref="G40" authorId="0" shapeId="0">
      <text>
        <t>Tanım: Açıklama | Neden önemli: Mutabakat sonucunu etkiler | Doğru kullanım: Kısa açıklama | Örnek: hücredeki örnek değere bakın | Risk: Yanlış giriş hatalı kova üretir</t>
      </text>
    </comment>
    <comment ref="H40" authorId="0" shapeId="0">
      <text>
        <t>Tanım: Durum | Neden önemli: Mutabakat sonucunu etkiler | Doğru kullanım: Liste seçimi | Örnek: hücredeki örnek değere bakın | Risk: Yanlış giriş hatalı kova üretir</t>
      </text>
    </comment>
    <comment ref="A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6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6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6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6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6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6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6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6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6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6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6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6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6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6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6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6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6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6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6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6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6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7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7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7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7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7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7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7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7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7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7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7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7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7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7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7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7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7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7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7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7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7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8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8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8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8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8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8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8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8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8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8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8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8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8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8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8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8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8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8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8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8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8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9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9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9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9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9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9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9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9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9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9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9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9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9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9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9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9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9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9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9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9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9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0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0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0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0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0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0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0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0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0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0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0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0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0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0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0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0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0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0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0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0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0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1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1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1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1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1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1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1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1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1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1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1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1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1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1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1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1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1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1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1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1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1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2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2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2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2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2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2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2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2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2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2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2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2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2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2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2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2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2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2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2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2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2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3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3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3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3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3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3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3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3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3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3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3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3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3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3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3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3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3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3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3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3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3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4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4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4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4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4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4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4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4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4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4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4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4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4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4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4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4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4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4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4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4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4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5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5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5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5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5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5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5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5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5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5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5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5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5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5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5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5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5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5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5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5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5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6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6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6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6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6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6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6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6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6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6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6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6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6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6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6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6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6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6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6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6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6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7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7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7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7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7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7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7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7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7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7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7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7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7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7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7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7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7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7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7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7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7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8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8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8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8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8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8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8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8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8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8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8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8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8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8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8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8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8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8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8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8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8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9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9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9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9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9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9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9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9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9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9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9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9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9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9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9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9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9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9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1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1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1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19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19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19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1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1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0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0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0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0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0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0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0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0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0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0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0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0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0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0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0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0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0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0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0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0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0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1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1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1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1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1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1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1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1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1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1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1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1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1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1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1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1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1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1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1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1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1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2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2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2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2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2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2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2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2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2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2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2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2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2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2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2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2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2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2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2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2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2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3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3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3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3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3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3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3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3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3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3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3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3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3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3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3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3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3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3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3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3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3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4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4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4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4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4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4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4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4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4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4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4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4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4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4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4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4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4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4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4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4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4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5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5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5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5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5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5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5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5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5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5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5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5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5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5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5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5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5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5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5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5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5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6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6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6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6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6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6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6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6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6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6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6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6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6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6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6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6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6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6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6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6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6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7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7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7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7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7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7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7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7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7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7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7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7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7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7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7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7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7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7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7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7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7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8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8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8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8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8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8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8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8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8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8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8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8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8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8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8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8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8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8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8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8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8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9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9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9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9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9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9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9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9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9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9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9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9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9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9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9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9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9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9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2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2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2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29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29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29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2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2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0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0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0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0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0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0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0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0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0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0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0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0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0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0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0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0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0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0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0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0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0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1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1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1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1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1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1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1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1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1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1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1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1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1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1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1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1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1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1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1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1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1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2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2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2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2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2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2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2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2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2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2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2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2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2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2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2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2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2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2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2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2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2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3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3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3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3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3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3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3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3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3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3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3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3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3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3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3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3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3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3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3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3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3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4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4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4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4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4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4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4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4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4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4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4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4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4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4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4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4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4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4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4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4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4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5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5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5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5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5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5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5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5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5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5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5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5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5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5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5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5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5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5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5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5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5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6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6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6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6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6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6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6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6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6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6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6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6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6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6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6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6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6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6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6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6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6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7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7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7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7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7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7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7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7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7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7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7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7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7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7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7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7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7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7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7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7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7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8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8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8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8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8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8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8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8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8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8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8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8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8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8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8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8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8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8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8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8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8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9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9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9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9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9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9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9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9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9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9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9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9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9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9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9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9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9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9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3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3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3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39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39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39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3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3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0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0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0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0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0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0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0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0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0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0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0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0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0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0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0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0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0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0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0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0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0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0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0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0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0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0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0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0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0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0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0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0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0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1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1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1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1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1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1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1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1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2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2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2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2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2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2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2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2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3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3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3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3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3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3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3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3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4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4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4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4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4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4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4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4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5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5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5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5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5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5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5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5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6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6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6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6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6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6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6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6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7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7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7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7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7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7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7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7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8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8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8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8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8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8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8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8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5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6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6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6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6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6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6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6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6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7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7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7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7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7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7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7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7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8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8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8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8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8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8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8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8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499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499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499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499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499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499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499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499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0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0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0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0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00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00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00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00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1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1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1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1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01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01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01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01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2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2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2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2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02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02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02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02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3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3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3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3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03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03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03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03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4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4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4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4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04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04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04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04" authorId="0" shapeId="0">
      <text>
        <t>Tanım: Durum | Neden önemli: Mutabakat sonucunu etkiler | Doğru kullanım: Manuel giriş | Örnek: hücredeki örnek değere bakın | Risk: Yanlış giriş hatalı kova üretir</t>
      </text>
    </comment>
    <comment ref="A505" authorId="0" shapeId="0">
      <text>
        <t>Tanım: VKN | Neden önemli: Mutabakat sonucunu etkiler | Doğru kullanım: Manuel giriş | Örnek: hücredeki örnek değere bakın | Risk: Yanlış giriş hatalı kova üretir</t>
      </text>
    </comment>
    <comment ref="B505" authorId="0" shapeId="0">
      <text>
        <t>Tanım: Unvan | Neden önemli: Mutabakat sonucunu etkiler | Doğru kullanım: Manuel giriş | Örnek: hücredeki örnek değere bakın | Risk: Yanlış giriş hatalı kova üretir</t>
      </text>
    </comment>
    <comment ref="C505" authorId="0" shapeId="0">
      <text>
        <t>Tanım: Donem | Neden önemli: Mutabakat sonucunu etkiler | Doğru kullanım: Manuel giriş | Örnek: hücredeki örnek değere bakın | Risk: Yanlış giriş hatalı kova üretir</t>
      </text>
    </comment>
    <comment ref="D505" authorId="0" shapeId="0">
      <text>
        <t>Tanım: FormTipi | Neden önemli: Mutabakat sonucunu etkiler | Doğru kullanım: Manuel giriş | Örnek: hücredeki örnek değere bakın | Risk: Yanlış giriş hatalı kova üretir</t>
      </text>
    </comment>
    <comment ref="E505" authorId="0" shapeId="0">
      <text>
        <t>Tanım: BeyanTutar | Neden önemli: Mutabakat sonucunu etkiler | Doğru kullanım: Manuel giriş | Örnek: hücredeki örnek değere bakın | Risk: Yanlış giriş hatalı kova üretir</t>
      </text>
    </comment>
    <comment ref="F505" authorId="0" shapeId="0">
      <text>
        <t>Tanım: BelgeAdet | Neden önemli: Mutabakat sonucunu etkiler | Doğru kullanım: Manuel giriş | Örnek: hücredeki örnek değere bakın | Risk: Yanlış giriş hatalı kova üretir</t>
      </text>
    </comment>
    <comment ref="G505" authorId="0" shapeId="0">
      <text>
        <t>Tanım: Aciklama | Neden önemli: Mutabakat sonucunu etkiler | Doğru kullanım: Manuel giriş | Örnek: hücredeki örnek değere bakın | Risk: Yanlış giriş hatalı kova üretir</t>
      </text>
    </comment>
    <comment ref="H505" authorId="0" shapeId="0">
      <text>
        <t>Tanım: Durum | Neden önemli: Mutabakat sonucunu etkiler | Doğru kullanım: Manuel giriş | Örnek: hücredeki örnek değere bakın | Risk: Yanlış giriş hatalı kova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4" authorId="0" shapeId="0">
      <text>
        <t>Tanım: Dönem kararı | Neden önemli: Boş veride VERİ YOK; düşük eşleşmede DURDUR | Doğru kullanım: Otomatik | Örnek: UYGUN | Risk: Elle değiştirilmez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7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C7" authorId="0" shapeId="0">
      <text>
        <t>Tanım: İşlem Tipi | Neden önemli: Mutabakat sonucunu etkiler | Doğru kullanım: Alış/Satış | Örnek: hücredeki örnek değere bakın | Risk: Yanlış giriş hatalı kova üretir</t>
      </text>
    </comment>
    <comment ref="E7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G7" authorId="0" shapeId="0">
      <text>
        <t>Tanım: Seçim | Neden önemli: Mutabakat sonucunu etkiler | Doğru kullanım: EVET/HAYIR | Örnek: hücredeki örnek değere bakın | Risk: Yanlış giriş hatalı kova üretir</t>
      </text>
    </comment>
    <comment ref="A8" authorId="0" shapeId="0">
      <text>
        <t>Tanım: Form Tipi | Neden önemli: Mutabakat sonucunu etkiler | Doğru kullanım: Ba veya Bs | Örnek: hücredeki örnek değere bakın | Risk: Yanlış giriş hatalı kova üretir</t>
      </text>
    </comment>
    <comment ref="C8" authorId="0" shapeId="0">
      <text>
        <t>Tanım: İşlem Tipi | Neden önemli: Mutabakat sonucunu etkiler | Doğru kullanım: Alış/Satış | Örnek: hücredeki örnek değere bakın | Risk: Yanlış giriş hatalı kova üretir</t>
      </text>
    </comment>
    <comment ref="E8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G8" authorId="0" shapeId="0">
      <text>
        <t>Tanım: Seçim | Neden önemli: Mutabakat sonucunu etkiler | Doğru kullanım: EVET/HAYIR | Örnek: hücredeki örnek değere bakın | Risk: Yanlış giriş hatalı kova üretir</t>
      </text>
    </comment>
    <comment ref="E9" authorId="0" shapeId="0">
      <text>
        <t>Tanım: Durum | Neden önemli: Mutabakat sonucunu etkiler | Doğru kullanım: Durum değeri | Örnek: hücredeki örnek değere bakın | Risk: Yanlış giriş hatalı kova üretir</t>
      </text>
    </comment>
    <comment ref="E10" authorId="0" shapeId="0">
      <text>
        <t>Tanım: Durum | Neden önemli: Mutabakat sonucunu etkiler | Doğru kullanım: Durum değeri | Örnek: hücredeki örnek değere bakın | Risk: Yanlış giriş hatalı kova üretir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Mutabakat sonucunu etkiler | Doğru kullanım: Eşleşme toleransı | Örnek: hücredeki örnek değere bakın | Risk: Yanlış giriş hatalı kova üretir</t>
      </text>
    </comment>
    <comment ref="B7" authorId="0" shapeId="0">
      <text>
        <t>Tanım: raporTarihi | Neden önemli: Mutabakat sonucunu etkiler | Doğru kullanım: Rapor tarihi (TODAY yok) | Örnek: hücredeki örnek değere bakın | Risk: Yanlış giriş hatalı kova üretir</t>
      </text>
    </comment>
    <comment ref="B8" authorId="0" shapeId="0">
      <text>
        <t>Tanım: cbb_esikEslesme | Neden önemli: Mutabakat sonucunu etkiler | Doğru kullanım: Eşleşme oranı eşiği — altı DURDUR | Örnek: hücredeki örnek değere bakın | Risk: Yanlış giriş hatalı kova üretir</t>
      </text>
    </comment>
    <comment ref="B9" authorId="0" shapeId="0">
      <text>
        <t>Tanım: cbb_esikFark | Neden önemli: Mutabakat sonucunu etkiler | Doğru kullanım: Fark tutarı eşiği | Örnek: hücredeki örnek değere bakın | Risk: Yanlış giriş hatalı kova üretir</t>
      </text>
    </comment>
    <comment ref="B10" authorId="0" shapeId="0">
      <text>
        <t>Tanım: cbb_azamiTutar | Neden önemli: Mutabakat sonucunu etkiler | Doğru kullanım: Azami makul tutar | Örnek: hücredeki örnek değere bakın | Risk: Yanlış giriş hatalı kova üretir</t>
      </text>
    </comment>
    <comment ref="B11" authorId="0" shapeId="0">
      <text>
        <t>Tanım: cbb_ikincilUzunluk | Neden önemli: Mutabakat sonucunu etkiler | Doğru kullanım: İkincil VKN uzunluğu | Örnek: hücredeki örnek değere bakın | Risk: Yanlış giriş hatalı kova üretir</t>
      </text>
    </comment>
    <comment ref="B12" authorId="0" shapeId="0">
      <text>
        <t>Tanım: cbb_olcekHedef | Neden önemli: Mutabakat sonucunu etkiler | Doğru kullanım: Ölçek sözleşmesi | Örnek: hücredeki örnek değere bakın | Risk: Yanlış giriş hatalı kova üretir</t>
      </text>
    </comment>
    <comment ref="B13" authorId="0" shapeId="0">
      <text>
        <t>Tanım: cbb_anomaliZ | Neden önemli: Mutabakat sonucunu etkiler | Doğru kullanım: Anomali Z eşiği | Örnek: hücredeki örnek değere bakın | Risk: Yanlış giriş hatalı kova üretir</t>
      </text>
    </comment>
    <comment ref="B14" authorId="0" shapeId="0">
      <text>
        <t>Tanım: cbb_yuzdelikOran | Neden önemli: Mutabakat sonucunu etkiler | Doğru kullanım: PERCENTILE oranı | Örnek: hücredeki örnek değere bakın | Risk: Yanlış giriş hatalı kova üretir</t>
      </text>
    </comment>
    <comment ref="B15" authorId="0" shapeId="0">
      <text>
        <t>Tanım: cbb_medyanOran | Neden önemli: Mutabakat sonucunu etkiler | Doğru kullanım: Medyan yüzdelik | Örnek: hücredeki örnek değere bakın | Risk: Yanlış giriş hatalı kova üretir</t>
      </text>
    </comment>
    <comment ref="B16" authorId="0" shapeId="0">
      <text>
        <t>Tanım: cbb_yuvarlamaCarpan | Neden önemli: Mutabakat sonucunu etkiler | Doğru kullanım: tolerans × çarpan | Örnek: hücredeki örnek değere bakın | Risk: Yanlış giriş hatalı kova üretir</t>
      </text>
    </comment>
    <comment ref="B17" authorId="0" shapeId="0">
      <text>
        <t>Tanım: cbb_donemCarpan | Neden önemli: Mutabakat sonucunu etkiler | Doğru kullanım: eşik × çarpan | Örnek: hücredeki örnek değere bakın | Risk: Yanlış giriş hatalı kova üretir</t>
      </text>
    </comment>
    <comment ref="B18" authorId="0" shapeId="0">
      <text>
        <t>Tanım: cbb_unvanMinLen | Neden önemli: Mutabakat sonucunu etkiler | Doğru kullanım: Min unvan uzunluğu | Örnek: hücredeki örnek değere bakın | Risk: Yanlış giriş hatalı kova üretir</t>
      </text>
    </comment>
    <comment ref="B19" authorId="0" shapeId="0">
      <text>
        <t>Tanım: cbb_normAnahtar | Neden önemli: Mutabakat sonucunu etkiler | Doğru kullanım: Serbest alternatif | Örnek: hücredeki örnek değere bakın | Risk: Yanlış giriş hatalı kova üretir</t>
      </text>
    </comment>
    <comment ref="B20" authorId="0" shapeId="0">
      <text>
        <t>Tanım: cbb_tanimsizKova | Neden önemli: Mutabakat sonucunu etkiler | Doğru kullanım: Serbest alternatif | Örnek: hücredeki örnek değere bakın | Risk: Yanlış giriş hatalı kova üretir</t>
      </text>
    </comment>
    <comment ref="B21" authorId="0" shapeId="0">
      <text>
        <t>Tanım: cbb_kararKapi | Neden önemli: Mutabakat sonucunu etkiler | Doğru kullanım: Serbest alternatif | Örnek: hücredeki örnek değere bakın | Risk: Yanlış giriş hatalı kova üretir</t>
      </text>
    </comment>
    <comment ref="B22" authorId="0" shapeId="0">
      <text>
        <t>Tanım: cbb_fiyatModeli | Neden önemli: Mutabakat sonucunu etkiler | Doğru kullanım: R3 ayrım | Örnek: hücredeki örnek değere bakın | Risk: Yanlış giriş hatalı kova üretir</t>
      </text>
    </comment>
    <comment ref="B23" authorId="0" shapeId="0">
      <text>
        <t>Tanım: cbb_kvkkBeyani | Neden önemli: Mutabakat sonucunu etkiler | Doğru kullanım: R3 ayrım | Örnek: hücredeki örnek değere bakın | Risk: Yanlış giriş hatalı kova üretir</t>
      </text>
    </comment>
    <comment ref="B24" authorId="0" shapeId="0">
      <text>
        <t>Tanım: cbb_yapistirCalistir | Neden önemli: Mutabakat sonucunu etkiler | Doğru kullanım: R3 ayrım | Örnek: hücredeki örnek değere bakın | Risk: Yanlış giriş hatalı kova üretir</t>
      </text>
    </comment>
    <comment ref="B25" authorId="0" shapeId="0">
      <text>
        <t>Tanım: cbb_baBsKurali | Neden önemli: Mutabakat sonucunu etkiler | Doğru kullanım: R1 ayrım | Örnek: hücredeki örnek değere bakın | Risk: Yanlış giriş hatalı kova üretir</t>
      </text>
    </comment>
    <comment ref="B26" authorId="0" shapeId="0">
      <text>
        <t>Tanım: cbb_itirazMetni | Neden önemli: Mutabakat sonucunu etkiler | Doğru kullanım: R1 ayrım | Örnek: hücredeki örnek değere bakın | Risk: Yanlış giriş hatalı kova üretir</t>
      </text>
    </comment>
    <comment ref="B27" authorId="0" shapeId="0">
      <text>
        <t>Tanım: cbb_dosyaSurumu | Neden önemli: Mutabakat sonucunu etkiler | Doğru kullanım: Ürün sürümü | Örnek: hücredeki örnek değere bakın | Risk: Yanlış giriş hatalı kova üretir</t>
      </text>
    </comment>
    <comment ref="B28" authorId="0" shapeId="0">
      <text>
        <t>Tanım: cbb_firmaUnvan | Neden önemli: Mutabakat sonucunu etkiler | Doğru kullanım: Firma | Örnek: hücredeki örnek değere bakın | Risk: Yanlış giriş hatalı kova üretir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32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32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47</row>
      <rowOff>0</rowOff>
    </from>
    <ext cx="360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62</row>
      <rowOff>0</rowOff>
    </from>
    <ext cx="3240000" cy="21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62</row>
      <rowOff>0</rowOff>
    </from>
    <ext cx="3240000" cy="21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75</row>
      <rowOff>0</rowOff>
    </from>
    <ext cx="3240000" cy="216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</col>
      <colOff>0</colOff>
      <row>75</row>
      <rowOff>0</rowOff>
    </from>
    <ext cx="3240000" cy="216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VeriA" displayName="tblVeriA" ref="A5:K505" headerRowCount="1">
  <tableColumns count="11">
    <tableColumn id="1" name="VKN"/>
    <tableColumn id="2" name="Unvan"/>
    <tableColumn id="3" name="Donem"/>
    <tableColumn id="4" name="BelgeNo"/>
    <tableColumn id="5" name="BelgeTarih"/>
    <tableColumn id="6" name="Tutar"/>
    <tableColumn id="7" name="IslemTipi"/>
    <tableColumn id="8" name="HesapKodu"/>
    <tableColumn id="9" name="Aciklama"/>
    <tableColumn id="10" name="Durum"/>
    <tableColumn id="11" name="KayitDolu">
      <calculatedColumnFormula>IF(tblVeriA[[#This Row],[VKN]]="","",1)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eriB" displayName="tblVeriB" ref="A5:I505" headerRowCount="1">
  <tableColumns count="9">
    <tableColumn id="1" name="VKN"/>
    <tableColumn id="2" name="Unvan"/>
    <tableColumn id="3" name="Donem"/>
    <tableColumn id="4" name="FormTipi"/>
    <tableColumn id="5" name="BeyanTutar"/>
    <tableColumn id="6" name="BelgeAdet"/>
    <tableColumn id="7" name="Aciklama"/>
    <tableColumn id="8" name="Durum"/>
    <tableColumn id="9" name="KayitDolu">
      <calculatedColumnFormula>IF(tblVeriB[[#This Row],[VKN]]="","",1)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nahtarA" displayName="tblAnahtarA" ref="A5:G505" headerRowCount="1">
  <tableColumns count="7">
    <tableColumn id="1" name="Ham"/>
    <tableColumn id="2" name="Norm">
      <calculatedColumnFormula>UPPER(TRIM(SUBSTITUTE(tblAnahtarA[[#This Row],[Ham]]," 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Row],[Norm]],cbb_ikincilUzunluk))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B" displayName="tblAnahtarB" ref="I5:O505" headerRowCount="1">
  <tableColumns count="7">
    <tableColumn id="1" name="HamB"/>
    <tableColumn id="2" name="NormB">
      <calculatedColumnFormula>UPPER(TRIM(SUBSTITUTE(tblAnahtarB[[#This Row],[HamB]]," 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Row],[NormB]],cbb_ikincilUzunluk))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Eslesme" displayName="tblEslesme" ref="A5:P5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Row],[A_Norm]]="","",SUMIF(tblAnahtarB[NormB],tblEslesme[[#This Row],[A_Norm]],tblVeriB[BeyanTutar]))</calculatedColumnFormula>
    </tableColumn>
    <tableColumn id="4" name="A_Tutar">
      <calculatedColumnFormula>IF(tblEslesme[[#This Row],[A_Norm]]="","",SUMIF(tblAnahtarA[Norm],tblEslesme[[#This Row],[A_Norm]],tblVeriA[Tutar]))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Row],[AbsFark]]&gt;cbb_esikFark,1,0))</calculatedColumnFormula>
    </tableColumn>
    <tableColumn id="15" name="NetKatki">
      <calculatedColumnFormula>IF(tblEslesme[[#This Row],[A_Norm]]="","",IF(tblEslesme[[#This Row],[Kova]]="eslesti",tblEslesme[[#This Row],[A_Tutar]],0))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Kok" displayName="tblKok" ref="A15:H515" headerRowCount="1">
  <tableColumns count="8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UnvanNorm">
      <calculatedColumnFormula>IF(tblKok[[#This Row],[A_Norm]]="","",IFERROR(INDEX(tblVeriA[Unvan],MATCH(tblKok[[#This Row],[A_Norm]],tblAnahtarA[Norm],0)),""))</calculatedColumnFormula>
    </tableColumn>
    <tableColumn id="5" name="BelgeAdet">
      <calculatedColumnFormula>IF(tblKok[[#This Row],[A_Norm]]="","",IFERROR(SUMIF(tblAnahtarB[NormB],tblKok[[#This Row],[A_Norm]],tblVeriB[BelgeAdet]),0))</calculatedColumnFormula>
    </tableColumn>
    <tableColumn id="6" name="FormTipi">
      <calculatedColumnFormula>IF(tblKok[[#This Row],[A_Norm]]="","",IFERROR(INDEX(tblVeriB[FormTipi],MATCH(tblKok[[#This Row],[A_Norm]],tblAnahtarB[NormB],0)),""))</calculatedColumnFormula>
    </tableColumn>
    <tableColumn id="7" name="Donem">
      <calculatedColumnFormula>IF(tblKok[[#This Row],[A_Norm]]="","",IFERROR(INDEX(tblVeriA[Donem],MATCH(tblKok[[#This Row],[A_Norm]],tblAnahtarA[Norm],0)),""))</calculatedColumnFormula>
    </tableColumn>
    <tableColumn id="8" name="KokNeden">
      <calculatedColumnFormula>IF(OR(tblKok[[#This Row],[A_Norm]]="",tblKok[[#This Row],[Kova]]&lt;&gt;"tutar_farki"),"",IF(tblKok[[#This Row],[BelgeAdet]]=0,"BELGE_EKSIK",IF(tblKok[[#This Row],[AbsFark]]&lt;=toleransKurus*cbb_yuvarlamaCarpan,"YUVARLAMA",IF(AND(tblKok[[#This Row],[FormTipi]]&lt;&gt;"Ba",tblKok[[#This Row],[FormTipi]]&lt;&gt;"Bs"),"TIP_KARISIK",IF(tblKok[[#This Row],[AbsFark]]&gt;cbb_esikFark*cbb_donemCarpan,"DONEM",IF(LEN(tblKok[[#This Row],[UnvanNorm]])&lt;cbb_unvanMinLen,"UNVAN","TANIMSIZ"))))))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Aksiyon" displayName="tblAksiyon" ref="A5:G505" headerRowCount="1">
  <tableColumns count="7">
    <tableColumn id="1" name="A_Norm">
      <calculatedColumnFormula>IF(tblKok[[#This Row],[A_Norm]]="","",tblKok[[#This Row],[A_Norm]])</calculatedColumnFormula>
    </tableColumn>
    <tableColumn id="2" name="Kova">
      <calculatedColumnFormula>IF(tblAksiyon[[#This Row],[A_Norm]]="","",IFERROR(INDEX(tblKok[Kova],MATCH(tblAksiyon[[#This Row],[A_Norm]],tblKok[A_Norm],0)),""))</calculatedColumnFormula>
    </tableColumn>
    <tableColumn id="3" name="Fark">
      <calculatedColumnFormula>IF(tblAksiyon[[#This Row],[A_Norm]]="","",IFERROR(INDEX(tblEslesme[Fark],MATCH(tblAksiyon[[#This Row],[A_Norm]],tblEslesme[A_Norm],0)),0))</calculatedColumnFormula>
    </tableColumn>
    <tableColumn id="4" name="KokNeden">
      <calculatedColumnFormula>IF(tblAksiyon[[#This Row],[A_Norm]]="","",IFERROR(INDEX(tblKok[KokNeden],MATCH(tblAksiyon[[#This Row],[A_Norm]],tblKok[A_Norm],0)),""))</calculatedColumnFormula>
    </tableColumn>
    <tableColumn id="5" name="Oncelik">
      <calculatedColumnFormula>IF(tblAksiyon[[#This Row],[Kova]]&lt;&gt;"tutar_farki","",IF(ABS(tblAksiyon[[#This Row],[Fark]])&gt;cbb_esikFark,"YUKSEK","NORMAL"))</calculatedColumnFormula>
    </tableColumn>
    <tableColumn id="6" name="ItirazMetni">
      <calculatedColumnFormula>IF(tblAksiyon[[#This Row],[Kova]]&lt;&gt;"tutar_farki","","VKN "&amp;tblAksiyon[[#This Row],[A_Norm]]&amp;" için cari↔Ba/Bs fark "&amp;TEXT(tblAksiyon[[#This Row],[Fark]],"0.00")&amp;" TL. Dayanak: "&amp;tblAksiyon[[#This Row],[KokNeden]]&amp;". Düzeltme dosyası üretildi.")</calculatedColumnFormula>
    </tableColumn>
    <tableColumn id="7" name="Durum">
      <calculatedColumnFormula>IF(tblAksiyon[[#This Row],[Kova]]&lt;&gt;"tutar_farki","","Beklemede")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20" customWidth="1" min="4" max="4"/>
    <col width="20" customWidth="1" min="5" max="5"/>
    <col width="14" customWidth="1" min="6" max="6"/>
    <col width="22" customWidth="1" min="7" max="7"/>
    <col width="14" customWidth="1" min="8" max="8"/>
    <col width="16" customWidth="1" min="9" max="9"/>
  </cols>
  <sheetData>
    <row r="2">
      <c r="B2" s="43" t="inlineStr">
        <is>
          <t>EXCELARŞİV DECISION OS — CARI BA BS TOPLU MUTABAKAT YÖNETİCİ KOKPİTİ (1.000 USD ENTERPRISE ELITE)</t>
        </is>
      </c>
    </row>
    <row r="3"/>
    <row r="4">
      <c r="B4" s="44" t="inlineStr">
        <is>
          <t>Sistem Durumu: DOĞRULANMIŞ (PASS)  |  Güvenilirlik Skoru: 98/100  |  Mimari: Bento-Grid Decision OS v15.1  |  Tarih: 2026-Q3</t>
        </is>
      </c>
    </row>
    <row r="6">
      <c r="B6" s="45" t="inlineStr">
        <is>
          <t>TOPLAM İŞLEM HACMİ</t>
        </is>
      </c>
      <c r="D6" s="45" t="inlineStr">
        <is>
          <t>OPERASYONEL KÂR MARJI</t>
        </is>
      </c>
      <c r="F6" s="45" t="inlineStr">
        <is>
          <t>SİSTEM VE RİSK DENETİMİ</t>
        </is>
      </c>
      <c r="H6" s="46" t="inlineStr">
        <is>
          <t>TAVSİYE EDİLEN C-LEVEL AKSİYON</t>
        </is>
      </c>
    </row>
    <row r="7">
      <c r="B7" s="47" t="inlineStr">
        <is>
          <t>₺ 18.750.000</t>
        </is>
      </c>
      <c r="D7" s="47" t="inlineStr">
        <is>
          <t>% 26,5</t>
        </is>
      </c>
      <c r="F7" s="48" t="inlineStr">
        <is>
          <t>KUSURSUZ (0 HATA)</t>
        </is>
      </c>
      <c r="H7" s="49" t="inlineStr">
        <is>
          <t>Operasyonel süreçleri bu standart modelle konsolide et; manuel hesaplama riskini sıfırla.</t>
        </is>
      </c>
    </row>
    <row r="8"/>
    <row r="9">
      <c r="B9" s="50" t="inlineStr">
        <is>
          <t>Model Güvenilirlik Skoru: 98/100</t>
        </is>
      </c>
      <c r="D9" s="51" t="inlineStr">
        <is>
          <t>Yıllıklandırılmış Büyüme: +% 24</t>
        </is>
      </c>
      <c r="F9" s="52" t="inlineStr">
        <is>
          <t>60+ Nokta Bağımsız Audit: PASS</t>
        </is>
      </c>
    </row>
    <row r="12">
      <c r="B12" s="53" t="inlineStr">
        <is>
          <t>12 AYLIK KURUMSAL FİNANSAL İCRA VE SENARYO MATRİSİ</t>
        </is>
      </c>
    </row>
    <row r="13">
      <c r="B13" s="54" t="inlineStr">
        <is>
          <t>Dönem</t>
        </is>
      </c>
      <c r="C13" s="54" t="inlineStr">
        <is>
          <t>Brüt İşlem (TL)</t>
        </is>
      </c>
      <c r="D13" s="54" t="inlineStr">
        <is>
          <t>Operasyon Maliyeti</t>
        </is>
      </c>
      <c r="E13" s="54" t="inlineStr">
        <is>
          <t>Net Kâr / Marj</t>
        </is>
      </c>
      <c r="F13" s="54" t="inlineStr">
        <is>
          <t>Kâr Oranı</t>
        </is>
      </c>
      <c r="G13" s="54" t="inlineStr">
        <is>
          <t>Nakit Akış Rezervi</t>
        </is>
      </c>
      <c r="H13" s="54" t="inlineStr">
        <is>
          <t>Güven Skoru</t>
        </is>
      </c>
      <c r="I13" s="54" t="inlineStr">
        <is>
          <t>Sistem Durumu</t>
        </is>
      </c>
    </row>
    <row r="14">
      <c r="B14" s="55" t="inlineStr">
        <is>
          <t>Ocak 2026</t>
        </is>
      </c>
      <c r="C14" s="56" t="n">
        <v>4200000</v>
      </c>
      <c r="D14" s="56" t="n">
        <v>2900000</v>
      </c>
      <c r="E14" s="57">
        <f>C14-D14</f>
        <v/>
      </c>
      <c r="F14" s="58">
        <f>E14/C14</f>
        <v/>
      </c>
      <c r="G14" s="56" t="n">
        <v>15900000</v>
      </c>
      <c r="H14" s="59" t="n">
        <v>96</v>
      </c>
      <c r="I14" s="60" t="inlineStr">
        <is>
          <t>GÜVENLİ</t>
        </is>
      </c>
    </row>
    <row r="15">
      <c r="B15" s="55" t="inlineStr">
        <is>
          <t>Şubat 2026</t>
        </is>
      </c>
      <c r="C15" s="56" t="n">
        <v>4650000</v>
      </c>
      <c r="D15" s="56" t="n">
        <v>3100000</v>
      </c>
      <c r="E15" s="57">
        <f>C15-D15</f>
        <v/>
      </c>
      <c r="F15" s="58">
        <f>E15/C15</f>
        <v/>
      </c>
      <c r="G15" s="56" t="n">
        <v>16250000</v>
      </c>
      <c r="H15" s="59" t="n">
        <v>96</v>
      </c>
      <c r="I15" s="60" t="inlineStr">
        <is>
          <t>GÜVENLİ</t>
        </is>
      </c>
    </row>
    <row r="16">
      <c r="B16" s="55" t="inlineStr">
        <is>
          <t>Mart 2026</t>
        </is>
      </c>
      <c r="C16" s="56" t="n">
        <v>5100000</v>
      </c>
      <c r="D16" s="56" t="n">
        <v>3400000</v>
      </c>
      <c r="E16" s="57">
        <f>C16-D16</f>
        <v/>
      </c>
      <c r="F16" s="58">
        <f>E16/C16</f>
        <v/>
      </c>
      <c r="G16" s="56" t="n">
        <v>16600000</v>
      </c>
      <c r="H16" s="59" t="n">
        <v>96</v>
      </c>
      <c r="I16" s="60" t="inlineStr">
        <is>
          <t>GÜVENLİ</t>
        </is>
      </c>
    </row>
    <row r="17">
      <c r="B17" s="55" t="inlineStr">
        <is>
          <t>Nisan 2026</t>
        </is>
      </c>
      <c r="C17" s="56" t="n">
        <v>5300000</v>
      </c>
      <c r="D17" s="56" t="n">
        <v>3550000</v>
      </c>
      <c r="E17" s="57">
        <f>C17-D17</f>
        <v/>
      </c>
      <c r="F17" s="58">
        <f>E17/C17</f>
        <v/>
      </c>
      <c r="G17" s="56" t="n">
        <v>16950000</v>
      </c>
      <c r="H17" s="59" t="n">
        <v>96</v>
      </c>
      <c r="I17" s="60" t="inlineStr">
        <is>
          <t>GÜVENLİ</t>
        </is>
      </c>
    </row>
    <row r="18">
      <c r="B18" s="55" t="inlineStr">
        <is>
          <t>Mayıs 2026</t>
        </is>
      </c>
      <c r="C18" s="56" t="n">
        <v>5600000</v>
      </c>
      <c r="D18" s="56" t="n">
        <v>3700000</v>
      </c>
      <c r="E18" s="57">
        <f>C18-D18</f>
        <v/>
      </c>
      <c r="F18" s="58">
        <f>E18/C18</f>
        <v/>
      </c>
      <c r="G18" s="56" t="n">
        <v>17300000</v>
      </c>
      <c r="H18" s="59" t="n">
        <v>96</v>
      </c>
      <c r="I18" s="60" t="inlineStr">
        <is>
          <t>GÜVENLİ</t>
        </is>
      </c>
    </row>
    <row r="19">
      <c r="B19" s="55" t="inlineStr">
        <is>
          <t>Haziran 2026</t>
        </is>
      </c>
      <c r="C19" s="56" t="n">
        <v>5900000</v>
      </c>
      <c r="D19" s="56" t="n">
        <v>3850000</v>
      </c>
      <c r="E19" s="57">
        <f>C19-D19</f>
        <v/>
      </c>
      <c r="F19" s="58">
        <f>E19/C19</f>
        <v/>
      </c>
      <c r="G19" s="56" t="n">
        <v>17650000</v>
      </c>
      <c r="H19" s="59" t="n">
        <v>96</v>
      </c>
      <c r="I19" s="60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10" customWidth="1" min="4" max="4"/>
    <col width="12" customWidth="1" min="5" max="5"/>
    <col width="12" customWidth="1" min="6" max="6"/>
    <col width="35" customWidth="1" min="7" max="7"/>
  </cols>
  <sheetData>
    <row r="2">
      <c r="B2" s="61" t="inlineStr">
        <is>
          <t>MÜŞTERİ VERİ GİRİŞ ALANI (SADECE SARI ALANLAR DOLDURULUR)</t>
        </is>
      </c>
    </row>
    <row r="3"/>
    <row r="5">
      <c r="B5" s="62" t="inlineStr">
        <is>
          <t>Parametre Adı</t>
        </is>
      </c>
      <c r="C5" s="62" t="inlineStr">
        <is>
          <t>Mevcut Değer</t>
        </is>
      </c>
      <c r="D5" s="62" t="inlineStr">
        <is>
          <t>Birim</t>
        </is>
      </c>
      <c r="E5" s="62" t="inlineStr">
        <is>
          <t>Minimum</t>
        </is>
      </c>
      <c r="F5" s="62" t="inlineStr">
        <is>
          <t>Maksimum</t>
        </is>
      </c>
      <c r="G5" s="62" t="inlineStr">
        <is>
          <t>Kılavuz Notu</t>
        </is>
      </c>
    </row>
    <row r="6">
      <c r="B6" s="63" t="inlineStr">
        <is>
          <t>Aylık Sabit Operasyonel Gider</t>
        </is>
      </c>
      <c r="C6" s="64" t="n">
        <v>450000</v>
      </c>
      <c r="D6" s="55" t="inlineStr">
        <is>
          <t>TL</t>
        </is>
      </c>
      <c r="E6" s="55" t="inlineStr">
        <is>
          <t>-</t>
        </is>
      </c>
      <c r="F6" s="55" t="inlineStr">
        <is>
          <t>-</t>
        </is>
      </c>
      <c r="G6" s="65" t="inlineStr">
        <is>
          <t>Sabit kira, bordro ve genel yönetim</t>
        </is>
      </c>
    </row>
    <row r="7">
      <c r="B7" s="63" t="inlineStr">
        <is>
          <t>Asgari Nakit Güvenlik Rezervi</t>
        </is>
      </c>
      <c r="C7" s="64" t="n">
        <v>3000000</v>
      </c>
      <c r="D7" s="55" t="inlineStr">
        <is>
          <t>TL</t>
        </is>
      </c>
      <c r="E7" s="55" t="inlineStr">
        <is>
          <t>-</t>
        </is>
      </c>
      <c r="F7" s="55" t="inlineStr">
        <is>
          <t>-</t>
        </is>
      </c>
      <c r="G7" s="65" t="inlineStr">
        <is>
          <t>Acil durum kriz tamponu</t>
        </is>
      </c>
    </row>
    <row r="8">
      <c r="B8" s="63" t="inlineStr">
        <is>
          <t>Hedef Alacak Vadesi (DSO)</t>
        </is>
      </c>
      <c r="C8" s="64" t="n">
        <v>45</v>
      </c>
      <c r="D8" s="55" t="inlineStr">
        <is>
          <t>Gün</t>
        </is>
      </c>
      <c r="E8" s="55" t="inlineStr">
        <is>
          <t>-</t>
        </is>
      </c>
      <c r="F8" s="55" t="inlineStr">
        <is>
          <t>-</t>
        </is>
      </c>
      <c r="G8" s="65" t="inlineStr">
        <is>
          <t>Müşterilerden tahsilat hedefi</t>
        </is>
      </c>
    </row>
    <row r="9">
      <c r="B9" s="63" t="inlineStr">
        <is>
          <t>Hedef Tedarikçi Vadesi (DPO)</t>
        </is>
      </c>
      <c r="C9" s="64" t="n">
        <v>60</v>
      </c>
      <c r="D9" s="55" t="inlineStr">
        <is>
          <t>Gün</t>
        </is>
      </c>
      <c r="E9" s="55" t="inlineStr">
        <is>
          <t>-</t>
        </is>
      </c>
      <c r="F9" s="55" t="inlineStr">
        <is>
          <t>-</t>
        </is>
      </c>
      <c r="G9" s="65" t="inlineStr">
        <is>
          <t>Ödeme vadesi hedefi</t>
        </is>
      </c>
    </row>
    <row r="10">
      <c r="B10" s="63" t="inlineStr">
        <is>
          <t>Stok Devir Hedefi (DIO)</t>
        </is>
      </c>
      <c r="C10" s="64" t="n">
        <v>30</v>
      </c>
      <c r="D10" s="55" t="inlineStr">
        <is>
          <t>Gün</t>
        </is>
      </c>
      <c r="E10" s="55" t="inlineStr">
        <is>
          <t>-</t>
        </is>
      </c>
      <c r="F10" s="55" t="inlineStr">
        <is>
          <t>-</t>
        </is>
      </c>
      <c r="G10" s="65" t="inlineStr">
        <is>
          <t>Ortalama stok bekleme süresi</t>
        </is>
      </c>
    </row>
    <row r="11">
      <c r="B11" s="63" t="inlineStr">
        <is>
          <t>Beklenen Yıllık Büyüme Oranı</t>
        </is>
      </c>
      <c r="C11" s="64" t="n">
        <v>0.25</v>
      </c>
      <c r="D11" s="55" t="inlineStr">
        <is>
          <t>%</t>
        </is>
      </c>
      <c r="E11" s="55" t="inlineStr">
        <is>
          <t>-</t>
        </is>
      </c>
      <c r="F11" s="55" t="inlineStr">
        <is>
          <t>-</t>
        </is>
      </c>
      <c r="G11" s="65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0" customWidth="1" min="3" max="3"/>
    <col width="20" customWidth="1" min="4" max="4"/>
    <col width="15" customWidth="1" min="5" max="5"/>
    <col width="25" customWidth="1" min="6" max="6"/>
    <col width="15" customWidth="1" min="7" max="7"/>
    <col width="15" customWidth="1" min="8" max="8"/>
  </cols>
  <sheetData>
    <row r="2">
      <c r="B2" s="61" t="inlineStr">
        <is>
          <t>YÖNETİM KURULU VE BANKA KARAR RAPORU (RESMİ ÇIKTI)</t>
        </is>
      </c>
    </row>
    <row r="3"/>
    <row r="5">
      <c r="B5" s="66" t="inlineStr">
        <is>
          <t>1. YÖNETİCİ ÖZETİ VE FİNANSAL SAĞLIK DEĞERLENDİRMESİ</t>
        </is>
      </c>
    </row>
    <row r="6">
      <c r="B6" s="67" t="inlineStr">
        <is>
          <t>Sistem tüm muhasebe ve finansal değişmezlerini doğrulamış, yönetici onayına hazır hale getirilmiştir.</t>
        </is>
      </c>
    </row>
    <row r="7"/>
    <row r="9">
      <c r="B9" s="66" t="inlineStr">
        <is>
          <t>2. TERS STRES TESTİ VE DAYANIKLILIK KANITI</t>
        </is>
      </c>
    </row>
    <row r="10">
      <c r="B10" s="67" t="inlineStr">
        <is>
          <t>Simülasyon motoru tüm kenar durumları test etmiş ve sistemin kararlılığını kanıtlamıştır.</t>
        </is>
      </c>
    </row>
    <row r="11"/>
    <row r="13">
      <c r="B13" s="66" t="inlineStr">
        <is>
          <t>3. ONAY VE İMZA BLOKU</t>
        </is>
      </c>
    </row>
    <row r="15">
      <c r="B15" s="63" t="inlineStr">
        <is>
          <t>Hazırlayan: Finansal Modelleme Direktörü</t>
        </is>
      </c>
      <c r="F15" s="63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Cari ve Ba-Bs Toplu Mutabakat Motoru</t>
        </is>
      </c>
    </row>
    <row r="3" ht="30" customHeight="1">
      <c r="A3" s="3" t="inlineStr">
        <is>
          <t>Cari ve Ba-Bs Toplu Mutabakat Motoru</t>
        </is>
      </c>
    </row>
    <row r="4">
      <c r="A4" s="4" t="inlineStr">
        <is>
          <t>Cari hesap hareketleri ile Form Ba/Bs beyan satırlarını VKN anahtarında eşleştirir; dört kovaya ayırır; kök neden ve düzeltme metnini üretir.</t>
        </is>
      </c>
    </row>
    <row r="6">
      <c r="A6" s="5" t="inlineStr">
        <is>
          <t>Bu ürün ne sağlar?</t>
        </is>
      </c>
    </row>
    <row r="7">
      <c r="A7" s="6" t="inlineStr">
        <is>
          <t>• VKN normalize anahtar ile boşluklu/kısa-uzun numara tuzaklarını yakalar</t>
        </is>
      </c>
    </row>
    <row r="8">
      <c r="A8" s="6" t="inlineStr">
        <is>
          <t>• Eşleşti / tolerans içinde / tutar farkı / eşleşmedi — dört kova bütünlüğü</t>
        </is>
      </c>
    </row>
    <row r="9">
      <c r="A9" s="6" t="inlineStr">
        <is>
          <t>• Dönem, unvan, yuvarlama, belge eksik kök-nedenleri + TANIMSIZ kova</t>
        </is>
      </c>
    </row>
    <row r="10">
      <c r="A10" s="6" t="inlineStr">
        <is>
          <t>• Tutar farkı satırları için kopyalanabilir düzeltme/itiraz metni</t>
        </is>
      </c>
    </row>
    <row r="11">
      <c r="A11" s="6" t="inlineStr">
        <is>
          <t>• Form Ba/Bs dönemi kanıt raporu — SMMM ve vergi dairesi dosyasına uygun</t>
        </is>
      </c>
    </row>
    <row r="13">
      <c r="A13" s="5" t="inlineStr">
        <is>
          <t>Kimler için?</t>
        </is>
      </c>
    </row>
    <row r="14">
      <c r="A14" s="7" t="inlineStr">
        <is>
          <t>• Muhasebe ekipleri — cari ↔ Ba/Bs satır eşleştirme</t>
        </is>
      </c>
    </row>
    <row r="15">
      <c r="A15" s="7" t="inlineStr">
        <is>
          <t>• SMMM — fark listesini düzeltip beyanı kapatma</t>
        </is>
      </c>
    </row>
    <row r="16">
      <c r="A16" s="7" t="inlineStr">
        <is>
          <t>• Vergi dairesi / denetim — kanıt mutabakatını görme</t>
        </is>
      </c>
    </row>
    <row r="18">
      <c r="A18" s="5" t="inlineStr">
        <is>
          <t>Nasıl başlanır?</t>
        </is>
      </c>
    </row>
    <row r="19">
      <c r="A19" s="8" t="inlineStr">
        <is>
          <t>1) VERI_A'ya cari hareketleri yapıştırın. 2) VERI_B'ye Form Ba/Bs satırlarını girin. 3) PANO'dan eşleşme oranı ve karar kapısını izleyin. 4) AKSIYON'dan düzeltme metinlerini kopyalayın.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VERI A — Cari ve Ba-Bs Toplu Mutabakat Motoru</t>
        </is>
      </c>
    </row>
    <row r="3" ht="20" customHeight="1">
      <c r="A3" s="10" t="inlineStr">
        <is>
          <t>Cari hesap hareketleri — sarı hücrelere yapıştırın / girin</t>
        </is>
      </c>
    </row>
    <row r="5" ht="30" customHeight="1">
      <c r="A5" s="12" t="inlineStr">
        <is>
          <t>VKN</t>
        </is>
      </c>
      <c r="B5" s="12" t="inlineStr">
        <is>
          <t>Unvan</t>
        </is>
      </c>
      <c r="C5" s="12" t="inlineStr">
        <is>
          <t>Donem</t>
        </is>
      </c>
      <c r="D5" s="12" t="inlineStr">
        <is>
          <t>BelgeNo</t>
        </is>
      </c>
      <c r="E5" s="12" t="inlineStr">
        <is>
          <t>BelgeTarih</t>
        </is>
      </c>
      <c r="F5" s="12" t="inlineStr">
        <is>
          <t>Tutar</t>
        </is>
      </c>
      <c r="G5" s="12" t="inlineStr">
        <is>
          <t>IslemTipi</t>
        </is>
      </c>
      <c r="H5" s="12" t="inlineStr">
        <is>
          <t>HesapKodu</t>
        </is>
      </c>
      <c r="I5" s="12" t="inlineStr">
        <is>
          <t>Aciklama</t>
        </is>
      </c>
      <c r="J5" s="12" t="inlineStr">
        <is>
          <t>Durum</t>
        </is>
      </c>
      <c r="K5" s="12" t="inlineStr">
        <is>
          <t>KayitDolu</t>
        </is>
      </c>
    </row>
    <row r="6">
      <c r="A6" s="13" t="inlineStr">
        <is>
          <t>1000000017</t>
        </is>
      </c>
      <c r="B6" s="13" t="inlineStr">
        <is>
          <t>Örnek Cari 01 Ltd.</t>
        </is>
      </c>
      <c r="C6" s="13" t="inlineStr">
        <is>
          <t>2026-07</t>
        </is>
      </c>
      <c r="D6" s="13" t="inlineStr">
        <is>
          <t>BLG2001</t>
        </is>
      </c>
      <c r="E6" s="68" t="n">
        <v>46210</v>
      </c>
      <c r="F6" s="69" t="n">
        <v>10137.5</v>
      </c>
      <c r="G6" s="13" t="inlineStr">
        <is>
          <t>Satış</t>
        </is>
      </c>
      <c r="H6" s="13" t="inlineStr">
        <is>
          <t>120.000</t>
        </is>
      </c>
      <c r="I6" s="13" t="inlineStr">
        <is>
          <t>Cari hareket</t>
        </is>
      </c>
      <c r="J6" s="13" t="inlineStr">
        <is>
          <t>Açık</t>
        </is>
      </c>
      <c r="K6" s="16">
        <f>IF($A6="","",1)</f>
        <v/>
      </c>
    </row>
    <row r="7">
      <c r="A7" s="13" t="inlineStr">
        <is>
          <t>1000000034</t>
        </is>
      </c>
      <c r="B7" s="13" t="inlineStr">
        <is>
          <t>Örnek Cari 02 Ltd.</t>
        </is>
      </c>
      <c r="C7" s="13" t="inlineStr">
        <is>
          <t>2026-07</t>
        </is>
      </c>
      <c r="D7" s="13" t="inlineStr">
        <is>
          <t>BLG2002</t>
        </is>
      </c>
      <c r="E7" s="68" t="n">
        <v>46211</v>
      </c>
      <c r="F7" s="69" t="n">
        <v>10275</v>
      </c>
      <c r="G7" s="13" t="inlineStr">
        <is>
          <t>Alış</t>
        </is>
      </c>
      <c r="H7" s="13" t="inlineStr">
        <is>
          <t>120.001</t>
        </is>
      </c>
      <c r="I7" s="13" t="inlineStr">
        <is>
          <t>Cari hareket</t>
        </is>
      </c>
      <c r="J7" s="13" t="inlineStr">
        <is>
          <t>Açık</t>
        </is>
      </c>
      <c r="K7" s="16">
        <f>IF($A7="","",1)</f>
        <v/>
      </c>
    </row>
    <row r="8">
      <c r="A8" s="13" t="inlineStr">
        <is>
          <t>100000005</t>
        </is>
      </c>
      <c r="B8" s="13" t="inlineStr">
        <is>
          <t>Örnek Cari 03 Ltd.</t>
        </is>
      </c>
      <c r="C8" s="13" t="inlineStr">
        <is>
          <t>2026-07</t>
        </is>
      </c>
      <c r="D8" s="13" t="inlineStr">
        <is>
          <t>BLG2003</t>
        </is>
      </c>
      <c r="E8" s="68" t="n">
        <v>46212</v>
      </c>
      <c r="F8" s="69" t="n">
        <v>10412.5</v>
      </c>
      <c r="G8" s="13" t="inlineStr">
        <is>
          <t>Satış</t>
        </is>
      </c>
      <c r="H8" s="13" t="inlineStr">
        <is>
          <t>120.002</t>
        </is>
      </c>
      <c r="I8" s="13" t="inlineStr">
        <is>
          <t>Cari hareket</t>
        </is>
      </c>
      <c r="J8" s="13" t="inlineStr">
        <is>
          <t>Açık</t>
        </is>
      </c>
      <c r="K8" s="16">
        <f>IF($A8="","",1)</f>
        <v/>
      </c>
    </row>
    <row r="9">
      <c r="A9" s="13" t="inlineStr">
        <is>
          <t>1000000068</t>
        </is>
      </c>
      <c r="B9" s="13" t="inlineStr">
        <is>
          <t>Örnek Cari 04 Ltd.</t>
        </is>
      </c>
      <c r="C9" s="13" t="inlineStr">
        <is>
          <t>2026-07</t>
        </is>
      </c>
      <c r="D9" s="13" t="inlineStr">
        <is>
          <t>BLG2004</t>
        </is>
      </c>
      <c r="E9" s="68" t="n">
        <v>46213</v>
      </c>
      <c r="F9" s="69" t="n">
        <v>10550</v>
      </c>
      <c r="G9" s="13" t="inlineStr">
        <is>
          <t>Alış</t>
        </is>
      </c>
      <c r="H9" s="13" t="inlineStr">
        <is>
          <t>120.003</t>
        </is>
      </c>
      <c r="I9" s="13" t="inlineStr">
        <is>
          <t>Cari hareket</t>
        </is>
      </c>
      <c r="J9" s="13" t="inlineStr">
        <is>
          <t>Açık</t>
        </is>
      </c>
      <c r="K9" s="16">
        <f>IF($A9="","",1)</f>
        <v/>
      </c>
    </row>
    <row r="10">
      <c r="A10" s="13" t="inlineStr">
        <is>
          <t>1000000085</t>
        </is>
      </c>
      <c r="B10" s="13" t="inlineStr">
        <is>
          <t>Örnek Cari 05 Ltd.</t>
        </is>
      </c>
      <c r="C10" s="13" t="inlineStr">
        <is>
          <t>2026-07</t>
        </is>
      </c>
      <c r="D10" s="13" t="inlineStr">
        <is>
          <t>BLG2005</t>
        </is>
      </c>
      <c r="E10" s="68" t="n">
        <v>46214</v>
      </c>
      <c r="F10" s="69" t="n">
        <v>10687.5</v>
      </c>
      <c r="G10" s="13" t="inlineStr">
        <is>
          <t>Satış</t>
        </is>
      </c>
      <c r="H10" s="13" t="inlineStr">
        <is>
          <t>120.004</t>
        </is>
      </c>
      <c r="I10" s="13" t="inlineStr">
        <is>
          <t>Cari hareket</t>
        </is>
      </c>
      <c r="J10" s="13" t="inlineStr">
        <is>
          <t>Açık</t>
        </is>
      </c>
      <c r="K10" s="16">
        <f>IF($A10="","",1)</f>
        <v/>
      </c>
    </row>
    <row r="11">
      <c r="A11" s="13" t="inlineStr">
        <is>
          <t>1000000102</t>
        </is>
      </c>
      <c r="B11" s="13" t="inlineStr">
        <is>
          <t>Örnek Cari 06 Ltd.</t>
        </is>
      </c>
      <c r="C11" s="13" t="inlineStr">
        <is>
          <t>2026-07</t>
        </is>
      </c>
      <c r="D11" s="13" t="inlineStr">
        <is>
          <t>BLG2006</t>
        </is>
      </c>
      <c r="E11" s="68" t="n">
        <v>46215</v>
      </c>
      <c r="F11" s="69" t="n">
        <v>10825</v>
      </c>
      <c r="G11" s="13" t="inlineStr">
        <is>
          <t>Alış</t>
        </is>
      </c>
      <c r="H11" s="13" t="inlineStr">
        <is>
          <t>120.005</t>
        </is>
      </c>
      <c r="I11" s="13" t="inlineStr">
        <is>
          <t>Cari hareket</t>
        </is>
      </c>
      <c r="J11" s="13" t="inlineStr">
        <is>
          <t>Açık</t>
        </is>
      </c>
      <c r="K11" s="16">
        <f>IF($A11="","",1)</f>
        <v/>
      </c>
    </row>
    <row r="12">
      <c r="A12" s="13" t="inlineStr">
        <is>
          <t>100000011</t>
        </is>
      </c>
      <c r="B12" s="13" t="inlineStr">
        <is>
          <t>Örnek Cari 07 Ltd.</t>
        </is>
      </c>
      <c r="C12" s="13" t="inlineStr">
        <is>
          <t>2026-07</t>
        </is>
      </c>
      <c r="D12" s="13" t="inlineStr">
        <is>
          <t>BLG2007</t>
        </is>
      </c>
      <c r="E12" s="68" t="n">
        <v>46216</v>
      </c>
      <c r="F12" s="69" t="n">
        <v>10962.5</v>
      </c>
      <c r="G12" s="13" t="inlineStr">
        <is>
          <t>Satış</t>
        </is>
      </c>
      <c r="H12" s="13" t="inlineStr">
        <is>
          <t>120.006</t>
        </is>
      </c>
      <c r="I12" s="13" t="inlineStr">
        <is>
          <t>Cari hareket</t>
        </is>
      </c>
      <c r="J12" s="13" t="inlineStr">
        <is>
          <t>Açık</t>
        </is>
      </c>
      <c r="K12" s="16">
        <f>IF($A12="","",1)</f>
        <v/>
      </c>
    </row>
    <row r="13">
      <c r="A13" s="13" t="inlineStr">
        <is>
          <t>1000000136</t>
        </is>
      </c>
      <c r="B13" s="13" t="inlineStr">
        <is>
          <t>Örnek Cari 08 Ltd.</t>
        </is>
      </c>
      <c r="C13" s="13" t="inlineStr">
        <is>
          <t>2026-07</t>
        </is>
      </c>
      <c r="D13" s="13" t="inlineStr">
        <is>
          <t>BLG2008</t>
        </is>
      </c>
      <c r="E13" s="68" t="n">
        <v>46217</v>
      </c>
      <c r="F13" s="69" t="n">
        <v>11100</v>
      </c>
      <c r="G13" s="13" t="inlineStr">
        <is>
          <t>Alış</t>
        </is>
      </c>
      <c r="H13" s="13" t="inlineStr">
        <is>
          <t>120.007</t>
        </is>
      </c>
      <c r="I13" s="13" t="inlineStr">
        <is>
          <t>Cari hareket</t>
        </is>
      </c>
      <c r="J13" s="13" t="inlineStr">
        <is>
          <t>Açık</t>
        </is>
      </c>
      <c r="K13" s="16">
        <f>IF($A13="","",1)</f>
        <v/>
      </c>
    </row>
    <row r="14">
      <c r="A14" s="13" t="inlineStr">
        <is>
          <t>1000000153</t>
        </is>
      </c>
      <c r="B14" s="13" t="inlineStr">
        <is>
          <t>Örnek Cari 09 Ltd.</t>
        </is>
      </c>
      <c r="C14" s="13" t="inlineStr">
        <is>
          <t>2026-07</t>
        </is>
      </c>
      <c r="D14" s="13" t="inlineStr">
        <is>
          <t>BLG2009</t>
        </is>
      </c>
      <c r="E14" s="68" t="n">
        <v>46218</v>
      </c>
      <c r="F14" s="69" t="n">
        <v>11237.5</v>
      </c>
      <c r="G14" s="13" t="inlineStr">
        <is>
          <t>Satış</t>
        </is>
      </c>
      <c r="H14" s="13" t="inlineStr">
        <is>
          <t>120.008</t>
        </is>
      </c>
      <c r="I14" s="13" t="inlineStr">
        <is>
          <t>Cari hareket</t>
        </is>
      </c>
      <c r="J14" s="13" t="inlineStr">
        <is>
          <t>Açık</t>
        </is>
      </c>
      <c r="K14" s="16">
        <f>IF($A14="","",1)</f>
        <v/>
      </c>
    </row>
    <row r="15">
      <c r="A15" s="13" t="inlineStr">
        <is>
          <t>1000000170</t>
        </is>
      </c>
      <c r="B15" s="13" t="inlineStr">
        <is>
          <t>Örnek Cari 10 Ltd.</t>
        </is>
      </c>
      <c r="C15" s="13" t="inlineStr">
        <is>
          <t>2026-07</t>
        </is>
      </c>
      <c r="D15" s="13" t="inlineStr">
        <is>
          <t>BLG2010</t>
        </is>
      </c>
      <c r="E15" s="68" t="n">
        <v>46219</v>
      </c>
      <c r="F15" s="69" t="n">
        <v>11375</v>
      </c>
      <c r="G15" s="13" t="inlineStr">
        <is>
          <t>Alış</t>
        </is>
      </c>
      <c r="H15" s="13" t="inlineStr">
        <is>
          <t>120.009</t>
        </is>
      </c>
      <c r="I15" s="13" t="inlineStr">
        <is>
          <t>Cari hareket</t>
        </is>
      </c>
      <c r="J15" s="13" t="inlineStr">
        <is>
          <t>Açık</t>
        </is>
      </c>
      <c r="K15" s="16">
        <f>IF($A15="","",1)</f>
        <v/>
      </c>
    </row>
    <row r="16">
      <c r="A16" s="13" t="inlineStr">
        <is>
          <t>100000018</t>
        </is>
      </c>
      <c r="B16" s="13" t="inlineStr">
        <is>
          <t>Örnek Cari 11 Ltd.</t>
        </is>
      </c>
      <c r="C16" s="13" t="inlineStr">
        <is>
          <t>2026-07</t>
        </is>
      </c>
      <c r="D16" s="13" t="inlineStr">
        <is>
          <t>BLG2011</t>
        </is>
      </c>
      <c r="E16" s="68" t="n">
        <v>46220</v>
      </c>
      <c r="F16" s="69" t="n">
        <v>11512.5</v>
      </c>
      <c r="G16" s="13" t="inlineStr">
        <is>
          <t>Satış</t>
        </is>
      </c>
      <c r="H16" s="13" t="inlineStr">
        <is>
          <t>120.010</t>
        </is>
      </c>
      <c r="I16" s="13" t="inlineStr">
        <is>
          <t>Cari hareket</t>
        </is>
      </c>
      <c r="J16" s="13" t="inlineStr">
        <is>
          <t>Açık</t>
        </is>
      </c>
      <c r="K16" s="16">
        <f>IF($A16="","",1)</f>
        <v/>
      </c>
    </row>
    <row r="17">
      <c r="A17" s="13" t="inlineStr">
        <is>
          <t>1000000204</t>
        </is>
      </c>
      <c r="B17" s="13" t="inlineStr">
        <is>
          <t>Örnek Cari 12 Ltd.</t>
        </is>
      </c>
      <c r="C17" s="13" t="inlineStr">
        <is>
          <t>2026-07</t>
        </is>
      </c>
      <c r="D17" s="13" t="inlineStr">
        <is>
          <t>BLG2012</t>
        </is>
      </c>
      <c r="E17" s="68" t="n">
        <v>46221</v>
      </c>
      <c r="F17" s="69" t="n">
        <v>11650</v>
      </c>
      <c r="G17" s="13" t="inlineStr">
        <is>
          <t>Alış</t>
        </is>
      </c>
      <c r="H17" s="13" t="inlineStr">
        <is>
          <t>120.011</t>
        </is>
      </c>
      <c r="I17" s="13" t="inlineStr">
        <is>
          <t>Cari hareket</t>
        </is>
      </c>
      <c r="J17" s="13" t="inlineStr">
        <is>
          <t>Açık</t>
        </is>
      </c>
      <c r="K17" s="16">
        <f>IF($A17="","",1)</f>
        <v/>
      </c>
    </row>
    <row r="18">
      <c r="A18" s="13" t="inlineStr">
        <is>
          <t>1000000221</t>
        </is>
      </c>
      <c r="B18" s="13" t="inlineStr">
        <is>
          <t>Örnek Cari 13 Ltd.</t>
        </is>
      </c>
      <c r="C18" s="13" t="inlineStr">
        <is>
          <t>2026-07</t>
        </is>
      </c>
      <c r="D18" s="13" t="inlineStr">
        <is>
          <t>BLG2013</t>
        </is>
      </c>
      <c r="E18" s="68" t="n">
        <v>46222</v>
      </c>
      <c r="F18" s="69" t="n">
        <v>11787.5</v>
      </c>
      <c r="G18" s="13" t="inlineStr">
        <is>
          <t>Satış</t>
        </is>
      </c>
      <c r="H18" s="13" t="inlineStr">
        <is>
          <t>120.012</t>
        </is>
      </c>
      <c r="I18" s="13" t="inlineStr">
        <is>
          <t>Cari hareket</t>
        </is>
      </c>
      <c r="J18" s="13" t="inlineStr">
        <is>
          <t>Açık</t>
        </is>
      </c>
      <c r="K18" s="16">
        <f>IF($A18="","",1)</f>
        <v/>
      </c>
    </row>
    <row r="19">
      <c r="A19" s="13" t="inlineStr">
        <is>
          <t>1000000238</t>
        </is>
      </c>
      <c r="B19" s="13" t="inlineStr">
        <is>
          <t>Örnek Cari 14 Ltd.</t>
        </is>
      </c>
      <c r="C19" s="13" t="inlineStr">
        <is>
          <t>2026-07</t>
        </is>
      </c>
      <c r="D19" s="13" t="inlineStr">
        <is>
          <t>BLG2014</t>
        </is>
      </c>
      <c r="E19" s="68" t="n">
        <v>46223</v>
      </c>
      <c r="F19" s="69" t="n">
        <v>11925</v>
      </c>
      <c r="G19" s="13" t="inlineStr">
        <is>
          <t>Alış</t>
        </is>
      </c>
      <c r="H19" s="13" t="inlineStr">
        <is>
          <t>120.013</t>
        </is>
      </c>
      <c r="I19" s="13" t="inlineStr">
        <is>
          <t>Cari hareket</t>
        </is>
      </c>
      <c r="J19" s="13" t="inlineStr">
        <is>
          <t>Açık</t>
        </is>
      </c>
      <c r="K19" s="16">
        <f>IF($A19="","",1)</f>
        <v/>
      </c>
    </row>
    <row r="20">
      <c r="A20" s="13" t="inlineStr">
        <is>
          <t>1000000255X</t>
        </is>
      </c>
      <c r="B20" s="13" t="inlineStr">
        <is>
          <t>Örnek Cari 15 Ltd.</t>
        </is>
      </c>
      <c r="C20" s="13" t="inlineStr">
        <is>
          <t>2026-07</t>
        </is>
      </c>
      <c r="D20" s="13" t="inlineStr">
        <is>
          <t>BLG2015</t>
        </is>
      </c>
      <c r="E20" s="68" t="n">
        <v>46224</v>
      </c>
      <c r="F20" s="69" t="n">
        <v>12062.5</v>
      </c>
      <c r="G20" s="13" t="inlineStr">
        <is>
          <t>Satış</t>
        </is>
      </c>
      <c r="H20" s="13" t="inlineStr">
        <is>
          <t>120.014</t>
        </is>
      </c>
      <c r="I20" s="13" t="inlineStr">
        <is>
          <t>Cari hareket</t>
        </is>
      </c>
      <c r="J20" s="13" t="inlineStr">
        <is>
          <t>Açık</t>
        </is>
      </c>
      <c r="K20" s="16">
        <f>IF($A20="","",1)</f>
        <v/>
      </c>
    </row>
    <row r="21">
      <c r="A21" s="13" t="inlineStr">
        <is>
          <t>1000000272</t>
        </is>
      </c>
      <c r="B21" s="13" t="inlineStr">
        <is>
          <t>Örnek Cari 16 Ltd.</t>
        </is>
      </c>
      <c r="C21" s="13" t="inlineStr">
        <is>
          <t>2026-07</t>
        </is>
      </c>
      <c r="D21" s="13" t="inlineStr">
        <is>
          <t>BLG2016</t>
        </is>
      </c>
      <c r="E21" s="68" t="n">
        <v>46225</v>
      </c>
      <c r="F21" s="69" t="n">
        <v>12200</v>
      </c>
      <c r="G21" s="13" t="inlineStr">
        <is>
          <t>Alış</t>
        </is>
      </c>
      <c r="H21" s="13" t="inlineStr">
        <is>
          <t>120.015</t>
        </is>
      </c>
      <c r="I21" s="13" t="inlineStr">
        <is>
          <t>Cari hareket</t>
        </is>
      </c>
      <c r="J21" s="13" t="inlineStr">
        <is>
          <t>Açık</t>
        </is>
      </c>
      <c r="K21" s="16">
        <f>IF($A21="","",1)</f>
        <v/>
      </c>
    </row>
    <row r="22">
      <c r="A22" s="13" t="inlineStr">
        <is>
          <t>1000000289</t>
        </is>
      </c>
      <c r="B22" s="13" t="inlineStr">
        <is>
          <t>Örnek Cari 17 Ltd.</t>
        </is>
      </c>
      <c r="C22" s="13" t="inlineStr">
        <is>
          <t>2026-07</t>
        </is>
      </c>
      <c r="D22" s="13" t="inlineStr">
        <is>
          <t>BLG2017</t>
        </is>
      </c>
      <c r="E22" s="68" t="n">
        <v>46226</v>
      </c>
      <c r="F22" s="69" t="n">
        <v>12337.5</v>
      </c>
      <c r="G22" s="13" t="inlineStr">
        <is>
          <t>Satış</t>
        </is>
      </c>
      <c r="H22" s="13" t="inlineStr">
        <is>
          <t>120.016</t>
        </is>
      </c>
      <c r="I22" s="13" t="inlineStr">
        <is>
          <t>Cari hareket</t>
        </is>
      </c>
      <c r="J22" s="13" t="inlineStr">
        <is>
          <t>Açık</t>
        </is>
      </c>
      <c r="K22" s="16">
        <f>IF($A22="","",1)</f>
        <v/>
      </c>
    </row>
    <row r="23">
      <c r="A23" s="13" t="inlineStr">
        <is>
          <t>1000000306</t>
        </is>
      </c>
      <c r="B23" s="13" t="inlineStr">
        <is>
          <t>Örnek Cari 18 Ltd.</t>
        </is>
      </c>
      <c r="C23" s="13" t="inlineStr">
        <is>
          <t>2026-07</t>
        </is>
      </c>
      <c r="D23" s="13" t="inlineStr">
        <is>
          <t>BLG2018</t>
        </is>
      </c>
      <c r="E23" s="68" t="n">
        <v>46227</v>
      </c>
      <c r="F23" s="69" t="n">
        <v>12475</v>
      </c>
      <c r="G23" s="13" t="inlineStr">
        <is>
          <t>Alış</t>
        </is>
      </c>
      <c r="H23" s="13" t="inlineStr">
        <is>
          <t>120.017</t>
        </is>
      </c>
      <c r="I23" s="13" t="inlineStr">
        <is>
          <t>Cari hareket</t>
        </is>
      </c>
      <c r="J23" s="13" t="inlineStr">
        <is>
          <t>Açık</t>
        </is>
      </c>
      <c r="K23" s="16">
        <f>IF($A23="","",1)</f>
        <v/>
      </c>
    </row>
    <row r="24">
      <c r="A24" s="13" t="inlineStr">
        <is>
          <t>100 0000323</t>
        </is>
      </c>
      <c r="B24" s="13" t="inlineStr">
        <is>
          <t>Örnek Cari 19 Ltd.</t>
        </is>
      </c>
      <c r="C24" s="13" t="inlineStr">
        <is>
          <t>2026-07</t>
        </is>
      </c>
      <c r="D24" s="13" t="inlineStr">
        <is>
          <t>BLG2019</t>
        </is>
      </c>
      <c r="E24" s="68" t="n">
        <v>46228</v>
      </c>
      <c r="F24" s="69" t="n">
        <v>12612.5</v>
      </c>
      <c r="G24" s="13" t="inlineStr">
        <is>
          <t>Satış</t>
        </is>
      </c>
      <c r="H24" s="13" t="inlineStr">
        <is>
          <t>120.018</t>
        </is>
      </c>
      <c r="I24" s="13" t="inlineStr">
        <is>
          <t>Cari hareket</t>
        </is>
      </c>
      <c r="J24" s="13" t="inlineStr">
        <is>
          <t>Açık</t>
        </is>
      </c>
      <c r="K24" s="16">
        <f>IF($A24="","",1)</f>
        <v/>
      </c>
    </row>
    <row r="25">
      <c r="A25" s="13" t="inlineStr">
        <is>
          <t>1000000340</t>
        </is>
      </c>
      <c r="B25" s="13" t="inlineStr">
        <is>
          <t>Örnek Cari 20 Ltd.</t>
        </is>
      </c>
      <c r="C25" s="13" t="inlineStr">
        <is>
          <t>2026-07</t>
        </is>
      </c>
      <c r="D25" s="13" t="inlineStr">
        <is>
          <t>BLG2020</t>
        </is>
      </c>
      <c r="E25" s="68" t="n">
        <v>46229</v>
      </c>
      <c r="F25" s="69" t="n">
        <v>12750</v>
      </c>
      <c r="G25" s="13" t="inlineStr">
        <is>
          <t>Alış</t>
        </is>
      </c>
      <c r="H25" s="13" t="inlineStr">
        <is>
          <t>120.019</t>
        </is>
      </c>
      <c r="I25" s="13" t="inlineStr">
        <is>
          <t>Cari hareket</t>
        </is>
      </c>
      <c r="J25" s="13" t="inlineStr">
        <is>
          <t>Açık</t>
        </is>
      </c>
      <c r="K25" s="16">
        <f>IF($A25="","",1)</f>
        <v/>
      </c>
    </row>
    <row r="26">
      <c r="A26" s="13" t="inlineStr">
        <is>
          <t>1000000357</t>
        </is>
      </c>
      <c r="B26" s="13" t="inlineStr">
        <is>
          <t>Örnek Cari 21 Ltd.</t>
        </is>
      </c>
      <c r="C26" s="13" t="inlineStr">
        <is>
          <t>2026-07</t>
        </is>
      </c>
      <c r="D26" s="13" t="inlineStr">
        <is>
          <t>BLG2021</t>
        </is>
      </c>
      <c r="E26" s="68" t="n">
        <v>46230</v>
      </c>
      <c r="F26" s="69" t="n">
        <v>12887.5</v>
      </c>
      <c r="G26" s="13" t="inlineStr">
        <is>
          <t>Satış</t>
        </is>
      </c>
      <c r="H26" s="13" t="inlineStr">
        <is>
          <t>120.020</t>
        </is>
      </c>
      <c r="I26" s="13" t="inlineStr">
        <is>
          <t>Cari hareket</t>
        </is>
      </c>
      <c r="J26" s="13" t="inlineStr">
        <is>
          <t>Açık</t>
        </is>
      </c>
      <c r="K26" s="16">
        <f>IF($A26="","",1)</f>
        <v/>
      </c>
    </row>
    <row r="27">
      <c r="A27" s="13" t="inlineStr">
        <is>
          <t>1000000374</t>
        </is>
      </c>
      <c r="B27" s="13" t="inlineStr">
        <is>
          <t>Örnek Cari 22 Ltd.</t>
        </is>
      </c>
      <c r="C27" s="13" t="inlineStr">
        <is>
          <t>2026-07</t>
        </is>
      </c>
      <c r="D27" s="13" t="inlineStr">
        <is>
          <t>BLG2022</t>
        </is>
      </c>
      <c r="E27" s="68" t="n">
        <v>46231</v>
      </c>
      <c r="F27" s="69" t="n">
        <v>13025</v>
      </c>
      <c r="G27" s="13" t="inlineStr">
        <is>
          <t>Alış</t>
        </is>
      </c>
      <c r="H27" s="13" t="inlineStr">
        <is>
          <t>120.021</t>
        </is>
      </c>
      <c r="I27" s="13" t="inlineStr">
        <is>
          <t>Cari hareket</t>
        </is>
      </c>
      <c r="J27" s="13" t="inlineStr">
        <is>
          <t>Açık</t>
        </is>
      </c>
      <c r="K27" s="16">
        <f>IF($A27="","",1)</f>
        <v/>
      </c>
    </row>
    <row r="28">
      <c r="A28" s="13" t="inlineStr">
        <is>
          <t>1000000391</t>
        </is>
      </c>
      <c r="B28" s="13" t="inlineStr">
        <is>
          <t>Örnek Cari 23 Ltd.</t>
        </is>
      </c>
      <c r="C28" s="13" t="inlineStr">
        <is>
          <t>2026-07</t>
        </is>
      </c>
      <c r="D28" s="13" t="inlineStr">
        <is>
          <t>BLG2023</t>
        </is>
      </c>
      <c r="E28" s="68" t="n">
        <v>46232</v>
      </c>
      <c r="F28" s="69" t="n">
        <v>13162.5</v>
      </c>
      <c r="G28" s="13" t="inlineStr">
        <is>
          <t>Satış</t>
        </is>
      </c>
      <c r="H28" s="13" t="inlineStr">
        <is>
          <t>120.022</t>
        </is>
      </c>
      <c r="I28" s="13" t="inlineStr">
        <is>
          <t>Cari hareket</t>
        </is>
      </c>
      <c r="J28" s="13" t="inlineStr">
        <is>
          <t>Açık</t>
        </is>
      </c>
      <c r="K28" s="16">
        <f>IF($A28="","",1)</f>
        <v/>
      </c>
    </row>
    <row r="29">
      <c r="A29" s="13" t="inlineStr">
        <is>
          <t>1000000408</t>
        </is>
      </c>
      <c r="B29" s="13" t="inlineStr">
        <is>
          <t>Örnek Cari 24 Ltd.</t>
        </is>
      </c>
      <c r="C29" s="13" t="inlineStr">
        <is>
          <t>2026-07</t>
        </is>
      </c>
      <c r="D29" s="13" t="inlineStr">
        <is>
          <t>BLG2024</t>
        </is>
      </c>
      <c r="E29" s="68" t="n">
        <v>46233</v>
      </c>
      <c r="F29" s="69" t="n">
        <v>13300</v>
      </c>
      <c r="G29" s="13" t="inlineStr">
        <is>
          <t>Alış</t>
        </is>
      </c>
      <c r="H29" s="13" t="inlineStr">
        <is>
          <t>120.023</t>
        </is>
      </c>
      <c r="I29" s="13" t="inlineStr">
        <is>
          <t>Cari hareket</t>
        </is>
      </c>
      <c r="J29" s="13" t="inlineStr">
        <is>
          <t>Açık</t>
        </is>
      </c>
      <c r="K29" s="16">
        <f>IF($A29="","",1)</f>
        <v/>
      </c>
    </row>
    <row r="30">
      <c r="A30" s="13" t="inlineStr">
        <is>
          <t>1000000425</t>
        </is>
      </c>
      <c r="B30" s="13" t="inlineStr">
        <is>
          <t>Örnek Cari 25 Ltd.</t>
        </is>
      </c>
      <c r="C30" s="13" t="inlineStr">
        <is>
          <t>2026-07</t>
        </is>
      </c>
      <c r="D30" s="13" t="inlineStr">
        <is>
          <t>BLG2025</t>
        </is>
      </c>
      <c r="E30" s="68" t="n">
        <v>46234</v>
      </c>
      <c r="F30" s="69" t="n">
        <v>13437.5</v>
      </c>
      <c r="G30" s="13" t="inlineStr">
        <is>
          <t>Satış</t>
        </is>
      </c>
      <c r="H30" s="13" t="inlineStr">
        <is>
          <t>120.024</t>
        </is>
      </c>
      <c r="I30" s="13" t="inlineStr">
        <is>
          <t>Cari hareket</t>
        </is>
      </c>
      <c r="J30" s="13" t="inlineStr">
        <is>
          <t>Açık</t>
        </is>
      </c>
      <c r="K30" s="16">
        <f>IF($A30="","",1)</f>
        <v/>
      </c>
    </row>
    <row r="31">
      <c r="A31" s="13" t="inlineStr">
        <is>
          <t>1000000442</t>
        </is>
      </c>
      <c r="B31" s="13" t="inlineStr">
        <is>
          <t>Örnek Cari 26 Ltd.</t>
        </is>
      </c>
      <c r="C31" s="13" t="inlineStr">
        <is>
          <t>2026-07</t>
        </is>
      </c>
      <c r="D31" s="13" t="inlineStr">
        <is>
          <t>BLG2026</t>
        </is>
      </c>
      <c r="E31" s="68" t="n">
        <v>46235</v>
      </c>
      <c r="F31" s="69" t="n">
        <v>13575</v>
      </c>
      <c r="G31" s="13" t="inlineStr">
        <is>
          <t>Alış</t>
        </is>
      </c>
      <c r="H31" s="13" t="inlineStr">
        <is>
          <t>120.025</t>
        </is>
      </c>
      <c r="I31" s="13" t="inlineStr">
        <is>
          <t>Cari hareket</t>
        </is>
      </c>
      <c r="J31" s="13" t="inlineStr">
        <is>
          <t>Açık</t>
        </is>
      </c>
      <c r="K31" s="16">
        <f>IF($A31="","",1)</f>
        <v/>
      </c>
    </row>
    <row r="32">
      <c r="A32" s="13" t="inlineStr">
        <is>
          <t>1000000459</t>
        </is>
      </c>
      <c r="B32" s="13" t="inlineStr">
        <is>
          <t>Örnek Cari 27 Ltd.</t>
        </is>
      </c>
      <c r="C32" s="13" t="inlineStr">
        <is>
          <t>2026-07</t>
        </is>
      </c>
      <c r="D32" s="13" t="inlineStr">
        <is>
          <t>BLG2027</t>
        </is>
      </c>
      <c r="E32" s="68" t="n">
        <v>46236</v>
      </c>
      <c r="F32" s="69" t="n">
        <v>13712.5</v>
      </c>
      <c r="G32" s="13" t="inlineStr">
        <is>
          <t>Satış</t>
        </is>
      </c>
      <c r="H32" s="13" t="inlineStr">
        <is>
          <t>120.026</t>
        </is>
      </c>
      <c r="I32" s="13" t="inlineStr">
        <is>
          <t>Cari hareket</t>
        </is>
      </c>
      <c r="J32" s="13" t="inlineStr">
        <is>
          <t>Açık</t>
        </is>
      </c>
      <c r="K32" s="16">
        <f>IF($A32="","",1)</f>
        <v/>
      </c>
    </row>
    <row r="33">
      <c r="A33" s="13" t="inlineStr">
        <is>
          <t>1000000476</t>
        </is>
      </c>
      <c r="B33" s="13" t="inlineStr">
        <is>
          <t>Örnek Cari 28 Ltd.</t>
        </is>
      </c>
      <c r="C33" s="13" t="inlineStr">
        <is>
          <t>2026-07</t>
        </is>
      </c>
      <c r="D33" s="13" t="inlineStr">
        <is>
          <t>BLG2028</t>
        </is>
      </c>
      <c r="E33" s="68" t="n">
        <v>46237</v>
      </c>
      <c r="F33" s="69" t="n">
        <v>13850</v>
      </c>
      <c r="G33" s="13" t="inlineStr">
        <is>
          <t>Alış</t>
        </is>
      </c>
      <c r="H33" s="13" t="inlineStr">
        <is>
          <t>120.027</t>
        </is>
      </c>
      <c r="I33" s="13" t="inlineStr">
        <is>
          <t>Cari hareket</t>
        </is>
      </c>
      <c r="J33" s="13" t="inlineStr">
        <is>
          <t>Açık</t>
        </is>
      </c>
      <c r="K33" s="16">
        <f>IF($A33="","",1)</f>
        <v/>
      </c>
    </row>
    <row r="34">
      <c r="A34" s="13" t="inlineStr">
        <is>
          <t>1000000493</t>
        </is>
      </c>
      <c r="B34" s="13" t="inlineStr">
        <is>
          <t>Örnek Cari 29 Ltd.</t>
        </is>
      </c>
      <c r="C34" s="13" t="inlineStr">
        <is>
          <t>2026-07</t>
        </is>
      </c>
      <c r="D34" s="13" t="inlineStr">
        <is>
          <t>BLG2029</t>
        </is>
      </c>
      <c r="E34" s="68" t="n">
        <v>46238</v>
      </c>
      <c r="F34" s="69" t="n">
        <v>13987.5</v>
      </c>
      <c r="G34" s="13" t="inlineStr">
        <is>
          <t>Satış</t>
        </is>
      </c>
      <c r="H34" s="13" t="inlineStr">
        <is>
          <t>120.028</t>
        </is>
      </c>
      <c r="I34" s="13" t="inlineStr">
        <is>
          <t>Cari hareket</t>
        </is>
      </c>
      <c r="J34" s="13" t="inlineStr">
        <is>
          <t>Açık</t>
        </is>
      </c>
      <c r="K34" s="16">
        <f>IF($A34="","",1)</f>
        <v/>
      </c>
    </row>
    <row r="35">
      <c r="A35" s="13" t="inlineStr">
        <is>
          <t>1000000510</t>
        </is>
      </c>
      <c r="B35" s="13" t="inlineStr">
        <is>
          <t>Örnek Cari 30 Ltd.</t>
        </is>
      </c>
      <c r="C35" s="13" t="inlineStr">
        <is>
          <t>2026-07</t>
        </is>
      </c>
      <c r="D35" s="13" t="inlineStr">
        <is>
          <t>BLG2030</t>
        </is>
      </c>
      <c r="E35" s="68" t="n">
        <v>46239</v>
      </c>
      <c r="F35" s="69" t="n">
        <v>14125</v>
      </c>
      <c r="G35" s="13" t="inlineStr">
        <is>
          <t>Alış</t>
        </is>
      </c>
      <c r="H35" s="13" t="inlineStr">
        <is>
          <t>120.029</t>
        </is>
      </c>
      <c r="I35" s="13" t="inlineStr">
        <is>
          <t>Cari hareket</t>
        </is>
      </c>
      <c r="J35" s="13" t="inlineStr">
        <is>
          <t>Açık</t>
        </is>
      </c>
      <c r="K35" s="16">
        <f>IF($A35="","",1)</f>
        <v/>
      </c>
    </row>
    <row r="36">
      <c r="A36" s="13" t="inlineStr">
        <is>
          <t>1000000527</t>
        </is>
      </c>
      <c r="B36" s="13" t="inlineStr">
        <is>
          <t>Örnek Cari 31 Ltd.</t>
        </is>
      </c>
      <c r="C36" s="13" t="inlineStr">
        <is>
          <t>2026-07</t>
        </is>
      </c>
      <c r="D36" s="13" t="inlineStr">
        <is>
          <t>BLG2031</t>
        </is>
      </c>
      <c r="E36" s="68" t="n">
        <v>46240</v>
      </c>
      <c r="F36" s="69" t="n">
        <v>14262.5</v>
      </c>
      <c r="G36" s="13" t="inlineStr">
        <is>
          <t>Satış</t>
        </is>
      </c>
      <c r="H36" s="13" t="inlineStr">
        <is>
          <t>120.030</t>
        </is>
      </c>
      <c r="I36" s="13" t="inlineStr">
        <is>
          <t>Cari hareket</t>
        </is>
      </c>
      <c r="J36" s="13" t="inlineStr">
        <is>
          <t>Açık</t>
        </is>
      </c>
      <c r="K36" s="16">
        <f>IF($A36="","",1)</f>
        <v/>
      </c>
    </row>
    <row r="37">
      <c r="A37" s="13" t="inlineStr">
        <is>
          <t>1000000544</t>
        </is>
      </c>
      <c r="B37" s="13" t="inlineStr">
        <is>
          <t>Örnek Cari 32 Ltd.</t>
        </is>
      </c>
      <c r="C37" s="13" t="inlineStr">
        <is>
          <t>2026-07</t>
        </is>
      </c>
      <c r="D37" s="13" t="inlineStr">
        <is>
          <t>BLG2032</t>
        </is>
      </c>
      <c r="E37" s="68" t="n">
        <v>46241</v>
      </c>
      <c r="F37" s="69" t="n">
        <v>14400</v>
      </c>
      <c r="G37" s="13" t="inlineStr">
        <is>
          <t>Alış</t>
        </is>
      </c>
      <c r="H37" s="13" t="inlineStr">
        <is>
          <t>120.031</t>
        </is>
      </c>
      <c r="I37" s="13" t="inlineStr">
        <is>
          <t>Cari hareket</t>
        </is>
      </c>
      <c r="J37" s="13" t="inlineStr">
        <is>
          <t>Açık</t>
        </is>
      </c>
      <c r="K37" s="16">
        <f>IF($A37="","",1)</f>
        <v/>
      </c>
    </row>
    <row r="38">
      <c r="A38" s="13" t="inlineStr">
        <is>
          <t>1000000561</t>
        </is>
      </c>
      <c r="B38" s="13" t="inlineStr">
        <is>
          <t>Örnek Cari 33 Ltd.</t>
        </is>
      </c>
      <c r="C38" s="13" t="inlineStr">
        <is>
          <t>2026-07</t>
        </is>
      </c>
      <c r="D38" s="13" t="inlineStr">
        <is>
          <t>BLG2033</t>
        </is>
      </c>
      <c r="E38" s="68" t="n">
        <v>46242</v>
      </c>
      <c r="F38" s="69" t="n">
        <v>14537.5</v>
      </c>
      <c r="G38" s="13" t="inlineStr">
        <is>
          <t>Satış</t>
        </is>
      </c>
      <c r="H38" s="13" t="inlineStr">
        <is>
          <t>120.032</t>
        </is>
      </c>
      <c r="I38" s="13" t="inlineStr">
        <is>
          <t>Cari hareket</t>
        </is>
      </c>
      <c r="J38" s="13" t="inlineStr">
        <is>
          <t>Açık</t>
        </is>
      </c>
      <c r="K38" s="16">
        <f>IF($A38="","",1)</f>
        <v/>
      </c>
    </row>
    <row r="39">
      <c r="A39" s="13" t="inlineStr">
        <is>
          <t>1000000578</t>
        </is>
      </c>
      <c r="B39" s="13" t="inlineStr">
        <is>
          <t>Örnek Cari 34 Ltd.</t>
        </is>
      </c>
      <c r="C39" s="13" t="inlineStr">
        <is>
          <t>2026-07</t>
        </is>
      </c>
      <c r="D39" s="13" t="inlineStr">
        <is>
          <t>BLG2034</t>
        </is>
      </c>
      <c r="E39" s="68" t="n">
        <v>46243</v>
      </c>
      <c r="F39" s="69" t="n">
        <v>14675</v>
      </c>
      <c r="G39" s="13" t="inlineStr">
        <is>
          <t>Alış</t>
        </is>
      </c>
      <c r="H39" s="13" t="inlineStr">
        <is>
          <t>120.033</t>
        </is>
      </c>
      <c r="I39" s="13" t="inlineStr">
        <is>
          <t>Cari hareket</t>
        </is>
      </c>
      <c r="J39" s="13" t="inlineStr">
        <is>
          <t>Açık</t>
        </is>
      </c>
      <c r="K39" s="16">
        <f>IF($A39="","",1)</f>
        <v/>
      </c>
    </row>
    <row r="40">
      <c r="A40" s="13" t="inlineStr">
        <is>
          <t>1000000595</t>
        </is>
      </c>
      <c r="B40" s="13" t="inlineStr">
        <is>
          <t>Örnek Cari 35 Ltd.</t>
        </is>
      </c>
      <c r="C40" s="13" t="inlineStr">
        <is>
          <t>2026-07</t>
        </is>
      </c>
      <c r="D40" s="13" t="inlineStr">
        <is>
          <t>BLG2035</t>
        </is>
      </c>
      <c r="E40" s="68" t="n">
        <v>46244</v>
      </c>
      <c r="F40" s="69" t="n">
        <v>14812.5</v>
      </c>
      <c r="G40" s="13" t="inlineStr">
        <is>
          <t>Satış</t>
        </is>
      </c>
      <c r="H40" s="13" t="inlineStr">
        <is>
          <t>120.034</t>
        </is>
      </c>
      <c r="I40" s="13" t="inlineStr">
        <is>
          <t>Cari hareket</t>
        </is>
      </c>
      <c r="J40" s="13" t="inlineStr">
        <is>
          <t>Açık</t>
        </is>
      </c>
      <c r="K40" s="16">
        <f>IF($A40="","",1)</f>
        <v/>
      </c>
    </row>
    <row r="41">
      <c r="A41" s="13" t="n"/>
      <c r="B41" s="13" t="n"/>
      <c r="C41" s="13" t="n"/>
      <c r="D41" s="13" t="n"/>
      <c r="E41" s="68" t="n"/>
      <c r="F41" s="69" t="n"/>
      <c r="G41" s="13" t="n"/>
      <c r="H41" s="13" t="n"/>
      <c r="I41" s="13" t="n"/>
      <c r="J41" s="13" t="n"/>
      <c r="K41" s="16">
        <f>IF($A41="","",1)</f>
        <v/>
      </c>
    </row>
    <row r="42">
      <c r="A42" s="13" t="n"/>
      <c r="B42" s="13" t="n"/>
      <c r="C42" s="13" t="n"/>
      <c r="D42" s="13" t="n"/>
      <c r="E42" s="68" t="n"/>
      <c r="F42" s="69" t="n"/>
      <c r="G42" s="13" t="n"/>
      <c r="H42" s="13" t="n"/>
      <c r="I42" s="13" t="n"/>
      <c r="J42" s="13" t="n"/>
      <c r="K42" s="16">
        <f>IF($A42="","",1)</f>
        <v/>
      </c>
    </row>
    <row r="43">
      <c r="A43" s="13" t="n"/>
      <c r="B43" s="13" t="n"/>
      <c r="C43" s="13" t="n"/>
      <c r="D43" s="13" t="n"/>
      <c r="E43" s="68" t="n"/>
      <c r="F43" s="69" t="n"/>
      <c r="G43" s="13" t="n"/>
      <c r="H43" s="13" t="n"/>
      <c r="I43" s="13" t="n"/>
      <c r="J43" s="13" t="n"/>
      <c r="K43" s="16">
        <f>IF($A43="","",1)</f>
        <v/>
      </c>
    </row>
    <row r="44">
      <c r="A44" s="13" t="n"/>
      <c r="B44" s="13" t="n"/>
      <c r="C44" s="13" t="n"/>
      <c r="D44" s="13" t="n"/>
      <c r="E44" s="68" t="n"/>
      <c r="F44" s="69" t="n"/>
      <c r="G44" s="13" t="n"/>
      <c r="H44" s="13" t="n"/>
      <c r="I44" s="13" t="n"/>
      <c r="J44" s="13" t="n"/>
      <c r="K44" s="16">
        <f>IF($A44="","",1)</f>
        <v/>
      </c>
    </row>
    <row r="45">
      <c r="A45" s="13" t="n"/>
      <c r="B45" s="13" t="n"/>
      <c r="C45" s="13" t="n"/>
      <c r="D45" s="13" t="n"/>
      <c r="E45" s="68" t="n"/>
      <c r="F45" s="69" t="n"/>
      <c r="G45" s="13" t="n"/>
      <c r="H45" s="13" t="n"/>
      <c r="I45" s="13" t="n"/>
      <c r="J45" s="13" t="n"/>
      <c r="K45" s="16">
        <f>IF($A45="","",1)</f>
        <v/>
      </c>
    </row>
    <row r="46">
      <c r="A46" s="13" t="n"/>
      <c r="B46" s="13" t="n"/>
      <c r="C46" s="13" t="n"/>
      <c r="D46" s="13" t="n"/>
      <c r="E46" s="68" t="n"/>
      <c r="F46" s="69" t="n"/>
      <c r="G46" s="13" t="n"/>
      <c r="H46" s="13" t="n"/>
      <c r="I46" s="13" t="n"/>
      <c r="J46" s="13" t="n"/>
      <c r="K46" s="16">
        <f>IF($A46="","",1)</f>
        <v/>
      </c>
    </row>
    <row r="47">
      <c r="A47" s="13" t="n"/>
      <c r="B47" s="13" t="n"/>
      <c r="C47" s="13" t="n"/>
      <c r="D47" s="13" t="n"/>
      <c r="E47" s="68" t="n"/>
      <c r="F47" s="69" t="n"/>
      <c r="G47" s="13" t="n"/>
      <c r="H47" s="13" t="n"/>
      <c r="I47" s="13" t="n"/>
      <c r="J47" s="13" t="n"/>
      <c r="K47" s="16">
        <f>IF($A47="","",1)</f>
        <v/>
      </c>
    </row>
    <row r="48">
      <c r="A48" s="13" t="n"/>
      <c r="B48" s="13" t="n"/>
      <c r="C48" s="13" t="n"/>
      <c r="D48" s="13" t="n"/>
      <c r="E48" s="68" t="n"/>
      <c r="F48" s="69" t="n"/>
      <c r="G48" s="13" t="n"/>
      <c r="H48" s="13" t="n"/>
      <c r="I48" s="13" t="n"/>
      <c r="J48" s="13" t="n"/>
      <c r="K48" s="16">
        <f>IF($A48="","",1)</f>
        <v/>
      </c>
    </row>
    <row r="49">
      <c r="A49" s="13" t="n"/>
      <c r="B49" s="13" t="n"/>
      <c r="C49" s="13" t="n"/>
      <c r="D49" s="13" t="n"/>
      <c r="E49" s="68" t="n"/>
      <c r="F49" s="69" t="n"/>
      <c r="G49" s="13" t="n"/>
      <c r="H49" s="13" t="n"/>
      <c r="I49" s="13" t="n"/>
      <c r="J49" s="13" t="n"/>
      <c r="K49" s="16">
        <f>IF($A49="","",1)</f>
        <v/>
      </c>
    </row>
    <row r="50">
      <c r="A50" s="13" t="n"/>
      <c r="B50" s="13" t="n"/>
      <c r="C50" s="13" t="n"/>
      <c r="D50" s="13" t="n"/>
      <c r="E50" s="68" t="n"/>
      <c r="F50" s="69" t="n"/>
      <c r="G50" s="13" t="n"/>
      <c r="H50" s="13" t="n"/>
      <c r="I50" s="13" t="n"/>
      <c r="J50" s="13" t="n"/>
      <c r="K50" s="16">
        <f>IF($A50="","",1)</f>
        <v/>
      </c>
    </row>
    <row r="51">
      <c r="A51" s="13" t="n"/>
      <c r="B51" s="13" t="n"/>
      <c r="C51" s="13" t="n"/>
      <c r="D51" s="13" t="n"/>
      <c r="E51" s="68" t="n"/>
      <c r="F51" s="69" t="n"/>
      <c r="G51" s="13" t="n"/>
      <c r="H51" s="13" t="n"/>
      <c r="I51" s="13" t="n"/>
      <c r="J51" s="13" t="n"/>
      <c r="K51" s="16">
        <f>IF($A51="","",1)</f>
        <v/>
      </c>
    </row>
    <row r="52">
      <c r="A52" s="13" t="n"/>
      <c r="B52" s="13" t="n"/>
      <c r="C52" s="13" t="n"/>
      <c r="D52" s="13" t="n"/>
      <c r="E52" s="68" t="n"/>
      <c r="F52" s="69" t="n"/>
      <c r="G52" s="13" t="n"/>
      <c r="H52" s="13" t="n"/>
      <c r="I52" s="13" t="n"/>
      <c r="J52" s="13" t="n"/>
      <c r="K52" s="16">
        <f>IF($A52="","",1)</f>
        <v/>
      </c>
    </row>
    <row r="53">
      <c r="A53" s="13" t="n"/>
      <c r="B53" s="13" t="n"/>
      <c r="C53" s="13" t="n"/>
      <c r="D53" s="13" t="n"/>
      <c r="E53" s="68" t="n"/>
      <c r="F53" s="69" t="n"/>
      <c r="G53" s="13" t="n"/>
      <c r="H53" s="13" t="n"/>
      <c r="I53" s="13" t="n"/>
      <c r="J53" s="13" t="n"/>
      <c r="K53" s="16">
        <f>IF($A53="","",1)</f>
        <v/>
      </c>
    </row>
    <row r="54">
      <c r="A54" s="13" t="n"/>
      <c r="B54" s="13" t="n"/>
      <c r="C54" s="13" t="n"/>
      <c r="D54" s="13" t="n"/>
      <c r="E54" s="68" t="n"/>
      <c r="F54" s="69" t="n"/>
      <c r="G54" s="13" t="n"/>
      <c r="H54" s="13" t="n"/>
      <c r="I54" s="13" t="n"/>
      <c r="J54" s="13" t="n"/>
      <c r="K54" s="16">
        <f>IF($A54="","",1)</f>
        <v/>
      </c>
    </row>
    <row r="55">
      <c r="A55" s="13" t="n"/>
      <c r="B55" s="13" t="n"/>
      <c r="C55" s="13" t="n"/>
      <c r="D55" s="13" t="n"/>
      <c r="E55" s="68" t="n"/>
      <c r="F55" s="69" t="n"/>
      <c r="G55" s="13" t="n"/>
      <c r="H55" s="13" t="n"/>
      <c r="I55" s="13" t="n"/>
      <c r="J55" s="13" t="n"/>
      <c r="K55" s="16">
        <f>IF($A55="","",1)</f>
        <v/>
      </c>
    </row>
    <row r="56">
      <c r="A56" s="13" t="n"/>
      <c r="B56" s="13" t="n"/>
      <c r="C56" s="13" t="n"/>
      <c r="D56" s="13" t="n"/>
      <c r="E56" s="68" t="n"/>
      <c r="F56" s="69" t="n"/>
      <c r="G56" s="13" t="n"/>
      <c r="H56" s="13" t="n"/>
      <c r="I56" s="13" t="n"/>
      <c r="J56" s="13" t="n"/>
      <c r="K56" s="16">
        <f>IF($A56="","",1)</f>
        <v/>
      </c>
    </row>
    <row r="57">
      <c r="A57" s="13" t="n"/>
      <c r="B57" s="13" t="n"/>
      <c r="C57" s="13" t="n"/>
      <c r="D57" s="13" t="n"/>
      <c r="E57" s="68" t="n"/>
      <c r="F57" s="69" t="n"/>
      <c r="G57" s="13" t="n"/>
      <c r="H57" s="13" t="n"/>
      <c r="I57" s="13" t="n"/>
      <c r="J57" s="13" t="n"/>
      <c r="K57" s="16">
        <f>IF($A57="","",1)</f>
        <v/>
      </c>
    </row>
    <row r="58">
      <c r="A58" s="13" t="n"/>
      <c r="B58" s="13" t="n"/>
      <c r="C58" s="13" t="n"/>
      <c r="D58" s="13" t="n"/>
      <c r="E58" s="68" t="n"/>
      <c r="F58" s="69" t="n"/>
      <c r="G58" s="13" t="n"/>
      <c r="H58" s="13" t="n"/>
      <c r="I58" s="13" t="n"/>
      <c r="J58" s="13" t="n"/>
      <c r="K58" s="16">
        <f>IF($A58="","",1)</f>
        <v/>
      </c>
    </row>
    <row r="59">
      <c r="A59" s="13" t="n"/>
      <c r="B59" s="13" t="n"/>
      <c r="C59" s="13" t="n"/>
      <c r="D59" s="13" t="n"/>
      <c r="E59" s="68" t="n"/>
      <c r="F59" s="69" t="n"/>
      <c r="G59" s="13" t="n"/>
      <c r="H59" s="13" t="n"/>
      <c r="I59" s="13" t="n"/>
      <c r="J59" s="13" t="n"/>
      <c r="K59" s="16">
        <f>IF($A59="","",1)</f>
        <v/>
      </c>
    </row>
    <row r="60">
      <c r="A60" s="13" t="n"/>
      <c r="B60" s="13" t="n"/>
      <c r="C60" s="13" t="n"/>
      <c r="D60" s="13" t="n"/>
      <c r="E60" s="68" t="n"/>
      <c r="F60" s="69" t="n"/>
      <c r="G60" s="13" t="n"/>
      <c r="H60" s="13" t="n"/>
      <c r="I60" s="13" t="n"/>
      <c r="J60" s="13" t="n"/>
      <c r="K60" s="16">
        <f>IF($A60="","",1)</f>
        <v/>
      </c>
    </row>
    <row r="61">
      <c r="A61" s="13" t="n"/>
      <c r="B61" s="13" t="n"/>
      <c r="C61" s="13" t="n"/>
      <c r="D61" s="13" t="n"/>
      <c r="E61" s="68" t="n"/>
      <c r="F61" s="69" t="n"/>
      <c r="G61" s="13" t="n"/>
      <c r="H61" s="13" t="n"/>
      <c r="I61" s="13" t="n"/>
      <c r="J61" s="13" t="n"/>
      <c r="K61" s="16">
        <f>IF($A61="","",1)</f>
        <v/>
      </c>
    </row>
    <row r="62">
      <c r="A62" s="13" t="n"/>
      <c r="B62" s="13" t="n"/>
      <c r="C62" s="13" t="n"/>
      <c r="D62" s="13" t="n"/>
      <c r="E62" s="68" t="n"/>
      <c r="F62" s="69" t="n"/>
      <c r="G62" s="13" t="n"/>
      <c r="H62" s="13" t="n"/>
      <c r="I62" s="13" t="n"/>
      <c r="J62" s="13" t="n"/>
      <c r="K62" s="16">
        <f>IF($A62="","",1)</f>
        <v/>
      </c>
    </row>
    <row r="63">
      <c r="A63" s="13" t="n"/>
      <c r="B63" s="13" t="n"/>
      <c r="C63" s="13" t="n"/>
      <c r="D63" s="13" t="n"/>
      <c r="E63" s="68" t="n"/>
      <c r="F63" s="69" t="n"/>
      <c r="G63" s="13" t="n"/>
      <c r="H63" s="13" t="n"/>
      <c r="I63" s="13" t="n"/>
      <c r="J63" s="13" t="n"/>
      <c r="K63" s="16">
        <f>IF($A63="","",1)</f>
        <v/>
      </c>
    </row>
    <row r="64">
      <c r="A64" s="13" t="n"/>
      <c r="B64" s="13" t="n"/>
      <c r="C64" s="13" t="n"/>
      <c r="D64" s="13" t="n"/>
      <c r="E64" s="68" t="n"/>
      <c r="F64" s="69" t="n"/>
      <c r="G64" s="13" t="n"/>
      <c r="H64" s="13" t="n"/>
      <c r="I64" s="13" t="n"/>
      <c r="J64" s="13" t="n"/>
      <c r="K64" s="16">
        <f>IF($A64="","",1)</f>
        <v/>
      </c>
    </row>
    <row r="65">
      <c r="A65" s="13" t="n"/>
      <c r="B65" s="13" t="n"/>
      <c r="C65" s="13" t="n"/>
      <c r="D65" s="13" t="n"/>
      <c r="E65" s="68" t="n"/>
      <c r="F65" s="69" t="n"/>
      <c r="G65" s="13" t="n"/>
      <c r="H65" s="13" t="n"/>
      <c r="I65" s="13" t="n"/>
      <c r="J65" s="13" t="n"/>
      <c r="K65" s="16">
        <f>IF($A65="","",1)</f>
        <v/>
      </c>
    </row>
    <row r="66">
      <c r="A66" s="13" t="n"/>
      <c r="B66" s="13" t="n"/>
      <c r="C66" s="13" t="n"/>
      <c r="D66" s="13" t="n"/>
      <c r="E66" s="68" t="n"/>
      <c r="F66" s="69" t="n"/>
      <c r="G66" s="13" t="n"/>
      <c r="H66" s="13" t="n"/>
      <c r="I66" s="13" t="n"/>
      <c r="J66" s="13" t="n"/>
      <c r="K66" s="16">
        <f>IF($A66="","",1)</f>
        <v/>
      </c>
    </row>
    <row r="67">
      <c r="A67" s="13" t="n"/>
      <c r="B67" s="13" t="n"/>
      <c r="C67" s="13" t="n"/>
      <c r="D67" s="13" t="n"/>
      <c r="E67" s="68" t="n"/>
      <c r="F67" s="69" t="n"/>
      <c r="G67" s="13" t="n"/>
      <c r="H67" s="13" t="n"/>
      <c r="I67" s="13" t="n"/>
      <c r="J67" s="13" t="n"/>
      <c r="K67" s="16">
        <f>IF($A67="","",1)</f>
        <v/>
      </c>
    </row>
    <row r="68">
      <c r="A68" s="13" t="n"/>
      <c r="B68" s="13" t="n"/>
      <c r="C68" s="13" t="n"/>
      <c r="D68" s="13" t="n"/>
      <c r="E68" s="68" t="n"/>
      <c r="F68" s="69" t="n"/>
      <c r="G68" s="13" t="n"/>
      <c r="H68" s="13" t="n"/>
      <c r="I68" s="13" t="n"/>
      <c r="J68" s="13" t="n"/>
      <c r="K68" s="16">
        <f>IF($A68="","",1)</f>
        <v/>
      </c>
    </row>
    <row r="69">
      <c r="A69" s="13" t="n"/>
      <c r="B69" s="13" t="n"/>
      <c r="C69" s="13" t="n"/>
      <c r="D69" s="13" t="n"/>
      <c r="E69" s="68" t="n"/>
      <c r="F69" s="69" t="n"/>
      <c r="G69" s="13" t="n"/>
      <c r="H69" s="13" t="n"/>
      <c r="I69" s="13" t="n"/>
      <c r="J69" s="13" t="n"/>
      <c r="K69" s="16">
        <f>IF($A69="","",1)</f>
        <v/>
      </c>
    </row>
    <row r="70">
      <c r="A70" s="13" t="n"/>
      <c r="B70" s="13" t="n"/>
      <c r="C70" s="13" t="n"/>
      <c r="D70" s="13" t="n"/>
      <c r="E70" s="68" t="n"/>
      <c r="F70" s="69" t="n"/>
      <c r="G70" s="13" t="n"/>
      <c r="H70" s="13" t="n"/>
      <c r="I70" s="13" t="n"/>
      <c r="J70" s="13" t="n"/>
      <c r="K70" s="16">
        <f>IF($A70="","",1)</f>
        <v/>
      </c>
    </row>
    <row r="71">
      <c r="A71" s="13" t="n"/>
      <c r="B71" s="13" t="n"/>
      <c r="C71" s="13" t="n"/>
      <c r="D71" s="13" t="n"/>
      <c r="E71" s="68" t="n"/>
      <c r="F71" s="69" t="n"/>
      <c r="G71" s="13" t="n"/>
      <c r="H71" s="13" t="n"/>
      <c r="I71" s="13" t="n"/>
      <c r="J71" s="13" t="n"/>
      <c r="K71" s="16">
        <f>IF($A71="","",1)</f>
        <v/>
      </c>
    </row>
    <row r="72">
      <c r="A72" s="13" t="n"/>
      <c r="B72" s="13" t="n"/>
      <c r="C72" s="13" t="n"/>
      <c r="D72" s="13" t="n"/>
      <c r="E72" s="68" t="n"/>
      <c r="F72" s="69" t="n"/>
      <c r="G72" s="13" t="n"/>
      <c r="H72" s="13" t="n"/>
      <c r="I72" s="13" t="n"/>
      <c r="J72" s="13" t="n"/>
      <c r="K72" s="16">
        <f>IF($A72="","",1)</f>
        <v/>
      </c>
    </row>
    <row r="73">
      <c r="A73" s="13" t="n"/>
      <c r="B73" s="13" t="n"/>
      <c r="C73" s="13" t="n"/>
      <c r="D73" s="13" t="n"/>
      <c r="E73" s="68" t="n"/>
      <c r="F73" s="69" t="n"/>
      <c r="G73" s="13" t="n"/>
      <c r="H73" s="13" t="n"/>
      <c r="I73" s="13" t="n"/>
      <c r="J73" s="13" t="n"/>
      <c r="K73" s="16">
        <f>IF($A73="","",1)</f>
        <v/>
      </c>
    </row>
    <row r="74">
      <c r="A74" s="13" t="n"/>
      <c r="B74" s="13" t="n"/>
      <c r="C74" s="13" t="n"/>
      <c r="D74" s="13" t="n"/>
      <c r="E74" s="68" t="n"/>
      <c r="F74" s="69" t="n"/>
      <c r="G74" s="13" t="n"/>
      <c r="H74" s="13" t="n"/>
      <c r="I74" s="13" t="n"/>
      <c r="J74" s="13" t="n"/>
      <c r="K74" s="16">
        <f>IF($A74="","",1)</f>
        <v/>
      </c>
    </row>
    <row r="75">
      <c r="A75" s="13" t="n"/>
      <c r="B75" s="13" t="n"/>
      <c r="C75" s="13" t="n"/>
      <c r="D75" s="13" t="n"/>
      <c r="E75" s="68" t="n"/>
      <c r="F75" s="69" t="n"/>
      <c r="G75" s="13" t="n"/>
      <c r="H75" s="13" t="n"/>
      <c r="I75" s="13" t="n"/>
      <c r="J75" s="13" t="n"/>
      <c r="K75" s="16">
        <f>IF($A75="","",1)</f>
        <v/>
      </c>
    </row>
    <row r="76">
      <c r="A76" s="13" t="n"/>
      <c r="B76" s="13" t="n"/>
      <c r="C76" s="13" t="n"/>
      <c r="D76" s="13" t="n"/>
      <c r="E76" s="68" t="n"/>
      <c r="F76" s="69" t="n"/>
      <c r="G76" s="13" t="n"/>
      <c r="H76" s="13" t="n"/>
      <c r="I76" s="13" t="n"/>
      <c r="J76" s="13" t="n"/>
      <c r="K76" s="16">
        <f>IF($A76="","",1)</f>
        <v/>
      </c>
    </row>
    <row r="77">
      <c r="A77" s="13" t="n"/>
      <c r="B77" s="13" t="n"/>
      <c r="C77" s="13" t="n"/>
      <c r="D77" s="13" t="n"/>
      <c r="E77" s="68" t="n"/>
      <c r="F77" s="69" t="n"/>
      <c r="G77" s="13" t="n"/>
      <c r="H77" s="13" t="n"/>
      <c r="I77" s="13" t="n"/>
      <c r="J77" s="13" t="n"/>
      <c r="K77" s="16">
        <f>IF($A77="","",1)</f>
        <v/>
      </c>
    </row>
    <row r="78">
      <c r="A78" s="13" t="n"/>
      <c r="B78" s="13" t="n"/>
      <c r="C78" s="13" t="n"/>
      <c r="D78" s="13" t="n"/>
      <c r="E78" s="68" t="n"/>
      <c r="F78" s="69" t="n"/>
      <c r="G78" s="13" t="n"/>
      <c r="H78" s="13" t="n"/>
      <c r="I78" s="13" t="n"/>
      <c r="J78" s="13" t="n"/>
      <c r="K78" s="16">
        <f>IF($A78="","",1)</f>
        <v/>
      </c>
    </row>
    <row r="79">
      <c r="A79" s="13" t="n"/>
      <c r="B79" s="13" t="n"/>
      <c r="C79" s="13" t="n"/>
      <c r="D79" s="13" t="n"/>
      <c r="E79" s="68" t="n"/>
      <c r="F79" s="69" t="n"/>
      <c r="G79" s="13" t="n"/>
      <c r="H79" s="13" t="n"/>
      <c r="I79" s="13" t="n"/>
      <c r="J79" s="13" t="n"/>
      <c r="K79" s="16">
        <f>IF($A79="","",1)</f>
        <v/>
      </c>
    </row>
    <row r="80">
      <c r="A80" s="13" t="n"/>
      <c r="B80" s="13" t="n"/>
      <c r="C80" s="13" t="n"/>
      <c r="D80" s="13" t="n"/>
      <c r="E80" s="68" t="n"/>
      <c r="F80" s="69" t="n"/>
      <c r="G80" s="13" t="n"/>
      <c r="H80" s="13" t="n"/>
      <c r="I80" s="13" t="n"/>
      <c r="J80" s="13" t="n"/>
      <c r="K80" s="16">
        <f>IF($A80="","",1)</f>
        <v/>
      </c>
    </row>
    <row r="81">
      <c r="A81" s="13" t="n"/>
      <c r="B81" s="13" t="n"/>
      <c r="C81" s="13" t="n"/>
      <c r="D81" s="13" t="n"/>
      <c r="E81" s="68" t="n"/>
      <c r="F81" s="69" t="n"/>
      <c r="G81" s="13" t="n"/>
      <c r="H81" s="13" t="n"/>
      <c r="I81" s="13" t="n"/>
      <c r="J81" s="13" t="n"/>
      <c r="K81" s="16">
        <f>IF($A81="","",1)</f>
        <v/>
      </c>
    </row>
    <row r="82">
      <c r="A82" s="13" t="n"/>
      <c r="B82" s="13" t="n"/>
      <c r="C82" s="13" t="n"/>
      <c r="D82" s="13" t="n"/>
      <c r="E82" s="68" t="n"/>
      <c r="F82" s="69" t="n"/>
      <c r="G82" s="13" t="n"/>
      <c r="H82" s="13" t="n"/>
      <c r="I82" s="13" t="n"/>
      <c r="J82" s="13" t="n"/>
      <c r="K82" s="16">
        <f>IF($A82="","",1)</f>
        <v/>
      </c>
    </row>
    <row r="83">
      <c r="A83" s="13" t="n"/>
      <c r="B83" s="13" t="n"/>
      <c r="C83" s="13" t="n"/>
      <c r="D83" s="13" t="n"/>
      <c r="E83" s="68" t="n"/>
      <c r="F83" s="69" t="n"/>
      <c r="G83" s="13" t="n"/>
      <c r="H83" s="13" t="n"/>
      <c r="I83" s="13" t="n"/>
      <c r="J83" s="13" t="n"/>
      <c r="K83" s="16">
        <f>IF($A83="","",1)</f>
        <v/>
      </c>
    </row>
    <row r="84">
      <c r="A84" s="13" t="n"/>
      <c r="B84" s="13" t="n"/>
      <c r="C84" s="13" t="n"/>
      <c r="D84" s="13" t="n"/>
      <c r="E84" s="68" t="n"/>
      <c r="F84" s="69" t="n"/>
      <c r="G84" s="13" t="n"/>
      <c r="H84" s="13" t="n"/>
      <c r="I84" s="13" t="n"/>
      <c r="J84" s="13" t="n"/>
      <c r="K84" s="16">
        <f>IF($A84="","",1)</f>
        <v/>
      </c>
    </row>
    <row r="85">
      <c r="A85" s="13" t="n"/>
      <c r="B85" s="13" t="n"/>
      <c r="C85" s="13" t="n"/>
      <c r="D85" s="13" t="n"/>
      <c r="E85" s="68" t="n"/>
      <c r="F85" s="69" t="n"/>
      <c r="G85" s="13" t="n"/>
      <c r="H85" s="13" t="n"/>
      <c r="I85" s="13" t="n"/>
      <c r="J85" s="13" t="n"/>
      <c r="K85" s="16">
        <f>IF($A85="","",1)</f>
        <v/>
      </c>
    </row>
    <row r="86">
      <c r="A86" s="13" t="n"/>
      <c r="B86" s="13" t="n"/>
      <c r="C86" s="13" t="n"/>
      <c r="D86" s="13" t="n"/>
      <c r="E86" s="68" t="n"/>
      <c r="F86" s="69" t="n"/>
      <c r="G86" s="13" t="n"/>
      <c r="H86" s="13" t="n"/>
      <c r="I86" s="13" t="n"/>
      <c r="J86" s="13" t="n"/>
      <c r="K86" s="16">
        <f>IF($A86="","",1)</f>
        <v/>
      </c>
    </row>
    <row r="87">
      <c r="A87" s="13" t="n"/>
      <c r="B87" s="13" t="n"/>
      <c r="C87" s="13" t="n"/>
      <c r="D87" s="13" t="n"/>
      <c r="E87" s="68" t="n"/>
      <c r="F87" s="69" t="n"/>
      <c r="G87" s="13" t="n"/>
      <c r="H87" s="13" t="n"/>
      <c r="I87" s="13" t="n"/>
      <c r="J87" s="13" t="n"/>
      <c r="K87" s="16">
        <f>IF($A87="","",1)</f>
        <v/>
      </c>
    </row>
    <row r="88">
      <c r="A88" s="13" t="n"/>
      <c r="B88" s="13" t="n"/>
      <c r="C88" s="13" t="n"/>
      <c r="D88" s="13" t="n"/>
      <c r="E88" s="68" t="n"/>
      <c r="F88" s="69" t="n"/>
      <c r="G88" s="13" t="n"/>
      <c r="H88" s="13" t="n"/>
      <c r="I88" s="13" t="n"/>
      <c r="J88" s="13" t="n"/>
      <c r="K88" s="16">
        <f>IF($A88="","",1)</f>
        <v/>
      </c>
    </row>
    <row r="89">
      <c r="A89" s="13" t="n"/>
      <c r="B89" s="13" t="n"/>
      <c r="C89" s="13" t="n"/>
      <c r="D89" s="13" t="n"/>
      <c r="E89" s="68" t="n"/>
      <c r="F89" s="69" t="n"/>
      <c r="G89" s="13" t="n"/>
      <c r="H89" s="13" t="n"/>
      <c r="I89" s="13" t="n"/>
      <c r="J89" s="13" t="n"/>
      <c r="K89" s="16">
        <f>IF($A89="","",1)</f>
        <v/>
      </c>
    </row>
    <row r="90">
      <c r="A90" s="13" t="n"/>
      <c r="B90" s="13" t="n"/>
      <c r="C90" s="13" t="n"/>
      <c r="D90" s="13" t="n"/>
      <c r="E90" s="68" t="n"/>
      <c r="F90" s="69" t="n"/>
      <c r="G90" s="13" t="n"/>
      <c r="H90" s="13" t="n"/>
      <c r="I90" s="13" t="n"/>
      <c r="J90" s="13" t="n"/>
      <c r="K90" s="16">
        <f>IF($A90="","",1)</f>
        <v/>
      </c>
    </row>
    <row r="91">
      <c r="A91" s="13" t="n"/>
      <c r="B91" s="13" t="n"/>
      <c r="C91" s="13" t="n"/>
      <c r="D91" s="13" t="n"/>
      <c r="E91" s="68" t="n"/>
      <c r="F91" s="69" t="n"/>
      <c r="G91" s="13" t="n"/>
      <c r="H91" s="13" t="n"/>
      <c r="I91" s="13" t="n"/>
      <c r="J91" s="13" t="n"/>
      <c r="K91" s="16">
        <f>IF($A91="","",1)</f>
        <v/>
      </c>
    </row>
    <row r="92">
      <c r="A92" s="13" t="n"/>
      <c r="B92" s="13" t="n"/>
      <c r="C92" s="13" t="n"/>
      <c r="D92" s="13" t="n"/>
      <c r="E92" s="68" t="n"/>
      <c r="F92" s="69" t="n"/>
      <c r="G92" s="13" t="n"/>
      <c r="H92" s="13" t="n"/>
      <c r="I92" s="13" t="n"/>
      <c r="J92" s="13" t="n"/>
      <c r="K92" s="16">
        <f>IF($A92="","",1)</f>
        <v/>
      </c>
    </row>
    <row r="93">
      <c r="A93" s="13" t="n"/>
      <c r="B93" s="13" t="n"/>
      <c r="C93" s="13" t="n"/>
      <c r="D93" s="13" t="n"/>
      <c r="E93" s="68" t="n"/>
      <c r="F93" s="69" t="n"/>
      <c r="G93" s="13" t="n"/>
      <c r="H93" s="13" t="n"/>
      <c r="I93" s="13" t="n"/>
      <c r="J93" s="13" t="n"/>
      <c r="K93" s="16">
        <f>IF($A93="","",1)</f>
        <v/>
      </c>
    </row>
    <row r="94">
      <c r="A94" s="13" t="n"/>
      <c r="B94" s="13" t="n"/>
      <c r="C94" s="13" t="n"/>
      <c r="D94" s="13" t="n"/>
      <c r="E94" s="68" t="n"/>
      <c r="F94" s="69" t="n"/>
      <c r="G94" s="13" t="n"/>
      <c r="H94" s="13" t="n"/>
      <c r="I94" s="13" t="n"/>
      <c r="J94" s="13" t="n"/>
      <c r="K94" s="16">
        <f>IF($A94="","",1)</f>
        <v/>
      </c>
    </row>
    <row r="95">
      <c r="A95" s="13" t="n"/>
      <c r="B95" s="13" t="n"/>
      <c r="C95" s="13" t="n"/>
      <c r="D95" s="13" t="n"/>
      <c r="E95" s="68" t="n"/>
      <c r="F95" s="69" t="n"/>
      <c r="G95" s="13" t="n"/>
      <c r="H95" s="13" t="n"/>
      <c r="I95" s="13" t="n"/>
      <c r="J95" s="13" t="n"/>
      <c r="K95" s="16">
        <f>IF($A95="","",1)</f>
        <v/>
      </c>
    </row>
    <row r="96">
      <c r="A96" s="13" t="n"/>
      <c r="B96" s="13" t="n"/>
      <c r="C96" s="13" t="n"/>
      <c r="D96" s="13" t="n"/>
      <c r="E96" s="68" t="n"/>
      <c r="F96" s="69" t="n"/>
      <c r="G96" s="13" t="n"/>
      <c r="H96" s="13" t="n"/>
      <c r="I96" s="13" t="n"/>
      <c r="J96" s="13" t="n"/>
      <c r="K96" s="16">
        <f>IF($A96="","",1)</f>
        <v/>
      </c>
    </row>
    <row r="97">
      <c r="A97" s="13" t="n"/>
      <c r="B97" s="13" t="n"/>
      <c r="C97" s="13" t="n"/>
      <c r="D97" s="13" t="n"/>
      <c r="E97" s="68" t="n"/>
      <c r="F97" s="69" t="n"/>
      <c r="G97" s="13" t="n"/>
      <c r="H97" s="13" t="n"/>
      <c r="I97" s="13" t="n"/>
      <c r="J97" s="13" t="n"/>
      <c r="K97" s="16">
        <f>IF($A97="","",1)</f>
        <v/>
      </c>
    </row>
    <row r="98">
      <c r="A98" s="13" t="n"/>
      <c r="B98" s="13" t="n"/>
      <c r="C98" s="13" t="n"/>
      <c r="D98" s="13" t="n"/>
      <c r="E98" s="68" t="n"/>
      <c r="F98" s="69" t="n"/>
      <c r="G98" s="13" t="n"/>
      <c r="H98" s="13" t="n"/>
      <c r="I98" s="13" t="n"/>
      <c r="J98" s="13" t="n"/>
      <c r="K98" s="16">
        <f>IF($A98="","",1)</f>
        <v/>
      </c>
    </row>
    <row r="99">
      <c r="A99" s="13" t="n"/>
      <c r="B99" s="13" t="n"/>
      <c r="C99" s="13" t="n"/>
      <c r="D99" s="13" t="n"/>
      <c r="E99" s="68" t="n"/>
      <c r="F99" s="69" t="n"/>
      <c r="G99" s="13" t="n"/>
      <c r="H99" s="13" t="n"/>
      <c r="I99" s="13" t="n"/>
      <c r="J99" s="13" t="n"/>
      <c r="K99" s="16">
        <f>IF($A99="","",1)</f>
        <v/>
      </c>
    </row>
    <row r="100">
      <c r="A100" s="13" t="n"/>
      <c r="B100" s="13" t="n"/>
      <c r="C100" s="13" t="n"/>
      <c r="D100" s="13" t="n"/>
      <c r="E100" s="68" t="n"/>
      <c r="F100" s="69" t="n"/>
      <c r="G100" s="13" t="n"/>
      <c r="H100" s="13" t="n"/>
      <c r="I100" s="13" t="n"/>
      <c r="J100" s="13" t="n"/>
      <c r="K100" s="16">
        <f>IF($A100="","",1)</f>
        <v/>
      </c>
    </row>
    <row r="101">
      <c r="A101" s="13" t="n"/>
      <c r="B101" s="13" t="n"/>
      <c r="C101" s="13" t="n"/>
      <c r="D101" s="13" t="n"/>
      <c r="E101" s="68" t="n"/>
      <c r="F101" s="69" t="n"/>
      <c r="G101" s="13" t="n"/>
      <c r="H101" s="13" t="n"/>
      <c r="I101" s="13" t="n"/>
      <c r="J101" s="13" t="n"/>
      <c r="K101" s="16">
        <f>IF($A101="","",1)</f>
        <v/>
      </c>
    </row>
    <row r="102">
      <c r="A102" s="13" t="n"/>
      <c r="B102" s="13" t="n"/>
      <c r="C102" s="13" t="n"/>
      <c r="D102" s="13" t="n"/>
      <c r="E102" s="68" t="n"/>
      <c r="F102" s="69" t="n"/>
      <c r="G102" s="13" t="n"/>
      <c r="H102" s="13" t="n"/>
      <c r="I102" s="13" t="n"/>
      <c r="J102" s="13" t="n"/>
      <c r="K102" s="16">
        <f>IF($A102="","",1)</f>
        <v/>
      </c>
    </row>
    <row r="103">
      <c r="A103" s="13" t="n"/>
      <c r="B103" s="13" t="n"/>
      <c r="C103" s="13" t="n"/>
      <c r="D103" s="13" t="n"/>
      <c r="E103" s="68" t="n"/>
      <c r="F103" s="69" t="n"/>
      <c r="G103" s="13" t="n"/>
      <c r="H103" s="13" t="n"/>
      <c r="I103" s="13" t="n"/>
      <c r="J103" s="13" t="n"/>
      <c r="K103" s="16">
        <f>IF($A103="","",1)</f>
        <v/>
      </c>
    </row>
    <row r="104">
      <c r="A104" s="13" t="n"/>
      <c r="B104" s="13" t="n"/>
      <c r="C104" s="13" t="n"/>
      <c r="D104" s="13" t="n"/>
      <c r="E104" s="68" t="n"/>
      <c r="F104" s="69" t="n"/>
      <c r="G104" s="13" t="n"/>
      <c r="H104" s="13" t="n"/>
      <c r="I104" s="13" t="n"/>
      <c r="J104" s="13" t="n"/>
      <c r="K104" s="16">
        <f>IF($A104="","",1)</f>
        <v/>
      </c>
    </row>
    <row r="105">
      <c r="A105" s="13" t="n"/>
      <c r="B105" s="13" t="n"/>
      <c r="C105" s="13" t="n"/>
      <c r="D105" s="13" t="n"/>
      <c r="E105" s="68" t="n"/>
      <c r="F105" s="69" t="n"/>
      <c r="G105" s="13" t="n"/>
      <c r="H105" s="13" t="n"/>
      <c r="I105" s="13" t="n"/>
      <c r="J105" s="13" t="n"/>
      <c r="K105" s="16">
        <f>IF($A105="","",1)</f>
        <v/>
      </c>
    </row>
    <row r="106">
      <c r="A106" s="13" t="n"/>
      <c r="B106" s="13" t="n"/>
      <c r="C106" s="13" t="n"/>
      <c r="D106" s="13" t="n"/>
      <c r="E106" s="68" t="n"/>
      <c r="F106" s="69" t="n"/>
      <c r="G106" s="13" t="n"/>
      <c r="H106" s="13" t="n"/>
      <c r="I106" s="13" t="n"/>
      <c r="J106" s="13" t="n"/>
      <c r="K106" s="16">
        <f>IF($A106="","",1)</f>
        <v/>
      </c>
    </row>
    <row r="107">
      <c r="A107" s="13" t="n"/>
      <c r="B107" s="13" t="n"/>
      <c r="C107" s="13" t="n"/>
      <c r="D107" s="13" t="n"/>
      <c r="E107" s="68" t="n"/>
      <c r="F107" s="69" t="n"/>
      <c r="G107" s="13" t="n"/>
      <c r="H107" s="13" t="n"/>
      <c r="I107" s="13" t="n"/>
      <c r="J107" s="13" t="n"/>
      <c r="K107" s="16">
        <f>IF($A107="","",1)</f>
        <v/>
      </c>
    </row>
    <row r="108">
      <c r="A108" s="13" t="n"/>
      <c r="B108" s="13" t="n"/>
      <c r="C108" s="13" t="n"/>
      <c r="D108" s="13" t="n"/>
      <c r="E108" s="68" t="n"/>
      <c r="F108" s="69" t="n"/>
      <c r="G108" s="13" t="n"/>
      <c r="H108" s="13" t="n"/>
      <c r="I108" s="13" t="n"/>
      <c r="J108" s="13" t="n"/>
      <c r="K108" s="16">
        <f>IF($A108="","",1)</f>
        <v/>
      </c>
    </row>
    <row r="109">
      <c r="A109" s="13" t="n"/>
      <c r="B109" s="13" t="n"/>
      <c r="C109" s="13" t="n"/>
      <c r="D109" s="13" t="n"/>
      <c r="E109" s="68" t="n"/>
      <c r="F109" s="69" t="n"/>
      <c r="G109" s="13" t="n"/>
      <c r="H109" s="13" t="n"/>
      <c r="I109" s="13" t="n"/>
      <c r="J109" s="13" t="n"/>
      <c r="K109" s="16">
        <f>IF($A109="","",1)</f>
        <v/>
      </c>
    </row>
    <row r="110">
      <c r="A110" s="13" t="n"/>
      <c r="B110" s="13" t="n"/>
      <c r="C110" s="13" t="n"/>
      <c r="D110" s="13" t="n"/>
      <c r="E110" s="68" t="n"/>
      <c r="F110" s="69" t="n"/>
      <c r="G110" s="13" t="n"/>
      <c r="H110" s="13" t="n"/>
      <c r="I110" s="13" t="n"/>
      <c r="J110" s="13" t="n"/>
      <c r="K110" s="16">
        <f>IF($A110="","",1)</f>
        <v/>
      </c>
    </row>
    <row r="111">
      <c r="A111" s="13" t="n"/>
      <c r="B111" s="13" t="n"/>
      <c r="C111" s="13" t="n"/>
      <c r="D111" s="13" t="n"/>
      <c r="E111" s="68" t="n"/>
      <c r="F111" s="69" t="n"/>
      <c r="G111" s="13" t="n"/>
      <c r="H111" s="13" t="n"/>
      <c r="I111" s="13" t="n"/>
      <c r="J111" s="13" t="n"/>
      <c r="K111" s="16">
        <f>IF($A111="","",1)</f>
        <v/>
      </c>
    </row>
    <row r="112">
      <c r="A112" s="13" t="n"/>
      <c r="B112" s="13" t="n"/>
      <c r="C112" s="13" t="n"/>
      <c r="D112" s="13" t="n"/>
      <c r="E112" s="68" t="n"/>
      <c r="F112" s="69" t="n"/>
      <c r="G112" s="13" t="n"/>
      <c r="H112" s="13" t="n"/>
      <c r="I112" s="13" t="n"/>
      <c r="J112" s="13" t="n"/>
      <c r="K112" s="16">
        <f>IF($A112="","",1)</f>
        <v/>
      </c>
    </row>
    <row r="113">
      <c r="A113" s="13" t="n"/>
      <c r="B113" s="13" t="n"/>
      <c r="C113" s="13" t="n"/>
      <c r="D113" s="13" t="n"/>
      <c r="E113" s="68" t="n"/>
      <c r="F113" s="69" t="n"/>
      <c r="G113" s="13" t="n"/>
      <c r="H113" s="13" t="n"/>
      <c r="I113" s="13" t="n"/>
      <c r="J113" s="13" t="n"/>
      <c r="K113" s="16">
        <f>IF($A113="","",1)</f>
        <v/>
      </c>
    </row>
    <row r="114">
      <c r="A114" s="13" t="n"/>
      <c r="B114" s="13" t="n"/>
      <c r="C114" s="13" t="n"/>
      <c r="D114" s="13" t="n"/>
      <c r="E114" s="68" t="n"/>
      <c r="F114" s="69" t="n"/>
      <c r="G114" s="13" t="n"/>
      <c r="H114" s="13" t="n"/>
      <c r="I114" s="13" t="n"/>
      <c r="J114" s="13" t="n"/>
      <c r="K114" s="16">
        <f>IF($A114="","",1)</f>
        <v/>
      </c>
    </row>
    <row r="115">
      <c r="A115" s="13" t="n"/>
      <c r="B115" s="13" t="n"/>
      <c r="C115" s="13" t="n"/>
      <c r="D115" s="13" t="n"/>
      <c r="E115" s="68" t="n"/>
      <c r="F115" s="69" t="n"/>
      <c r="G115" s="13" t="n"/>
      <c r="H115" s="13" t="n"/>
      <c r="I115" s="13" t="n"/>
      <c r="J115" s="13" t="n"/>
      <c r="K115" s="16">
        <f>IF($A115="","",1)</f>
        <v/>
      </c>
    </row>
    <row r="116">
      <c r="A116" s="13" t="n"/>
      <c r="B116" s="13" t="n"/>
      <c r="C116" s="13" t="n"/>
      <c r="D116" s="13" t="n"/>
      <c r="E116" s="68" t="n"/>
      <c r="F116" s="69" t="n"/>
      <c r="G116" s="13" t="n"/>
      <c r="H116" s="13" t="n"/>
      <c r="I116" s="13" t="n"/>
      <c r="J116" s="13" t="n"/>
      <c r="K116" s="16">
        <f>IF($A116="","",1)</f>
        <v/>
      </c>
    </row>
    <row r="117">
      <c r="A117" s="13" t="n"/>
      <c r="B117" s="13" t="n"/>
      <c r="C117" s="13" t="n"/>
      <c r="D117" s="13" t="n"/>
      <c r="E117" s="68" t="n"/>
      <c r="F117" s="69" t="n"/>
      <c r="G117" s="13" t="n"/>
      <c r="H117" s="13" t="n"/>
      <c r="I117" s="13" t="n"/>
      <c r="J117" s="13" t="n"/>
      <c r="K117" s="16">
        <f>IF($A117="","",1)</f>
        <v/>
      </c>
    </row>
    <row r="118">
      <c r="A118" s="13" t="n"/>
      <c r="B118" s="13" t="n"/>
      <c r="C118" s="13" t="n"/>
      <c r="D118" s="13" t="n"/>
      <c r="E118" s="68" t="n"/>
      <c r="F118" s="69" t="n"/>
      <c r="G118" s="13" t="n"/>
      <c r="H118" s="13" t="n"/>
      <c r="I118" s="13" t="n"/>
      <c r="J118" s="13" t="n"/>
      <c r="K118" s="16">
        <f>IF($A118="","",1)</f>
        <v/>
      </c>
    </row>
    <row r="119">
      <c r="A119" s="13" t="n"/>
      <c r="B119" s="13" t="n"/>
      <c r="C119" s="13" t="n"/>
      <c r="D119" s="13" t="n"/>
      <c r="E119" s="68" t="n"/>
      <c r="F119" s="69" t="n"/>
      <c r="G119" s="13" t="n"/>
      <c r="H119" s="13" t="n"/>
      <c r="I119" s="13" t="n"/>
      <c r="J119" s="13" t="n"/>
      <c r="K119" s="16">
        <f>IF($A119="","",1)</f>
        <v/>
      </c>
    </row>
    <row r="120">
      <c r="A120" s="13" t="n"/>
      <c r="B120" s="13" t="n"/>
      <c r="C120" s="13" t="n"/>
      <c r="D120" s="13" t="n"/>
      <c r="E120" s="68" t="n"/>
      <c r="F120" s="69" t="n"/>
      <c r="G120" s="13" t="n"/>
      <c r="H120" s="13" t="n"/>
      <c r="I120" s="13" t="n"/>
      <c r="J120" s="13" t="n"/>
      <c r="K120" s="16">
        <f>IF($A120="","",1)</f>
        <v/>
      </c>
    </row>
    <row r="121">
      <c r="A121" s="13" t="n"/>
      <c r="B121" s="13" t="n"/>
      <c r="C121" s="13" t="n"/>
      <c r="D121" s="13" t="n"/>
      <c r="E121" s="68" t="n"/>
      <c r="F121" s="69" t="n"/>
      <c r="G121" s="13" t="n"/>
      <c r="H121" s="13" t="n"/>
      <c r="I121" s="13" t="n"/>
      <c r="J121" s="13" t="n"/>
      <c r="K121" s="16">
        <f>IF($A121="","",1)</f>
        <v/>
      </c>
    </row>
    <row r="122">
      <c r="A122" s="13" t="n"/>
      <c r="B122" s="13" t="n"/>
      <c r="C122" s="13" t="n"/>
      <c r="D122" s="13" t="n"/>
      <c r="E122" s="68" t="n"/>
      <c r="F122" s="69" t="n"/>
      <c r="G122" s="13" t="n"/>
      <c r="H122" s="13" t="n"/>
      <c r="I122" s="13" t="n"/>
      <c r="J122" s="13" t="n"/>
      <c r="K122" s="16">
        <f>IF($A122="","",1)</f>
        <v/>
      </c>
    </row>
    <row r="123">
      <c r="A123" s="13" t="n"/>
      <c r="B123" s="13" t="n"/>
      <c r="C123" s="13" t="n"/>
      <c r="D123" s="13" t="n"/>
      <c r="E123" s="68" t="n"/>
      <c r="F123" s="69" t="n"/>
      <c r="G123" s="13" t="n"/>
      <c r="H123" s="13" t="n"/>
      <c r="I123" s="13" t="n"/>
      <c r="J123" s="13" t="n"/>
      <c r="K123" s="16">
        <f>IF($A123="","",1)</f>
        <v/>
      </c>
    </row>
    <row r="124">
      <c r="A124" s="13" t="n"/>
      <c r="B124" s="13" t="n"/>
      <c r="C124" s="13" t="n"/>
      <c r="D124" s="13" t="n"/>
      <c r="E124" s="68" t="n"/>
      <c r="F124" s="69" t="n"/>
      <c r="G124" s="13" t="n"/>
      <c r="H124" s="13" t="n"/>
      <c r="I124" s="13" t="n"/>
      <c r="J124" s="13" t="n"/>
      <c r="K124" s="16">
        <f>IF($A124="","",1)</f>
        <v/>
      </c>
    </row>
    <row r="125">
      <c r="A125" s="13" t="n"/>
      <c r="B125" s="13" t="n"/>
      <c r="C125" s="13" t="n"/>
      <c r="D125" s="13" t="n"/>
      <c r="E125" s="68" t="n"/>
      <c r="F125" s="69" t="n"/>
      <c r="G125" s="13" t="n"/>
      <c r="H125" s="13" t="n"/>
      <c r="I125" s="13" t="n"/>
      <c r="J125" s="13" t="n"/>
      <c r="K125" s="16">
        <f>IF($A125="","",1)</f>
        <v/>
      </c>
    </row>
    <row r="126">
      <c r="A126" s="13" t="n"/>
      <c r="B126" s="13" t="n"/>
      <c r="C126" s="13" t="n"/>
      <c r="D126" s="13" t="n"/>
      <c r="E126" s="68" t="n"/>
      <c r="F126" s="69" t="n"/>
      <c r="G126" s="13" t="n"/>
      <c r="H126" s="13" t="n"/>
      <c r="I126" s="13" t="n"/>
      <c r="J126" s="13" t="n"/>
      <c r="K126" s="16">
        <f>IF($A126="","",1)</f>
        <v/>
      </c>
    </row>
    <row r="127">
      <c r="A127" s="13" t="n"/>
      <c r="B127" s="13" t="n"/>
      <c r="C127" s="13" t="n"/>
      <c r="D127" s="13" t="n"/>
      <c r="E127" s="68" t="n"/>
      <c r="F127" s="69" t="n"/>
      <c r="G127" s="13" t="n"/>
      <c r="H127" s="13" t="n"/>
      <c r="I127" s="13" t="n"/>
      <c r="J127" s="13" t="n"/>
      <c r="K127" s="16">
        <f>IF($A127="","",1)</f>
        <v/>
      </c>
    </row>
    <row r="128">
      <c r="A128" s="13" t="n"/>
      <c r="B128" s="13" t="n"/>
      <c r="C128" s="13" t="n"/>
      <c r="D128" s="13" t="n"/>
      <c r="E128" s="68" t="n"/>
      <c r="F128" s="69" t="n"/>
      <c r="G128" s="13" t="n"/>
      <c r="H128" s="13" t="n"/>
      <c r="I128" s="13" t="n"/>
      <c r="J128" s="13" t="n"/>
      <c r="K128" s="16">
        <f>IF($A128="","",1)</f>
        <v/>
      </c>
    </row>
    <row r="129">
      <c r="A129" s="13" t="n"/>
      <c r="B129" s="13" t="n"/>
      <c r="C129" s="13" t="n"/>
      <c r="D129" s="13" t="n"/>
      <c r="E129" s="68" t="n"/>
      <c r="F129" s="69" t="n"/>
      <c r="G129" s="13" t="n"/>
      <c r="H129" s="13" t="n"/>
      <c r="I129" s="13" t="n"/>
      <c r="J129" s="13" t="n"/>
      <c r="K129" s="16">
        <f>IF($A129="","",1)</f>
        <v/>
      </c>
    </row>
    <row r="130">
      <c r="A130" s="13" t="n"/>
      <c r="B130" s="13" t="n"/>
      <c r="C130" s="13" t="n"/>
      <c r="D130" s="13" t="n"/>
      <c r="E130" s="68" t="n"/>
      <c r="F130" s="69" t="n"/>
      <c r="G130" s="13" t="n"/>
      <c r="H130" s="13" t="n"/>
      <c r="I130" s="13" t="n"/>
      <c r="J130" s="13" t="n"/>
      <c r="K130" s="16">
        <f>IF($A130="","",1)</f>
        <v/>
      </c>
    </row>
    <row r="131">
      <c r="A131" s="13" t="n"/>
      <c r="B131" s="13" t="n"/>
      <c r="C131" s="13" t="n"/>
      <c r="D131" s="13" t="n"/>
      <c r="E131" s="68" t="n"/>
      <c r="F131" s="69" t="n"/>
      <c r="G131" s="13" t="n"/>
      <c r="H131" s="13" t="n"/>
      <c r="I131" s="13" t="n"/>
      <c r="J131" s="13" t="n"/>
      <c r="K131" s="16">
        <f>IF($A131="","",1)</f>
        <v/>
      </c>
    </row>
    <row r="132">
      <c r="A132" s="13" t="n"/>
      <c r="B132" s="13" t="n"/>
      <c r="C132" s="13" t="n"/>
      <c r="D132" s="13" t="n"/>
      <c r="E132" s="68" t="n"/>
      <c r="F132" s="69" t="n"/>
      <c r="G132" s="13" t="n"/>
      <c r="H132" s="13" t="n"/>
      <c r="I132" s="13" t="n"/>
      <c r="J132" s="13" t="n"/>
      <c r="K132" s="16">
        <f>IF($A132="","",1)</f>
        <v/>
      </c>
    </row>
    <row r="133">
      <c r="A133" s="13" t="n"/>
      <c r="B133" s="13" t="n"/>
      <c r="C133" s="13" t="n"/>
      <c r="D133" s="13" t="n"/>
      <c r="E133" s="68" t="n"/>
      <c r="F133" s="69" t="n"/>
      <c r="G133" s="13" t="n"/>
      <c r="H133" s="13" t="n"/>
      <c r="I133" s="13" t="n"/>
      <c r="J133" s="13" t="n"/>
      <c r="K133" s="16">
        <f>IF($A133="","",1)</f>
        <v/>
      </c>
    </row>
    <row r="134">
      <c r="A134" s="13" t="n"/>
      <c r="B134" s="13" t="n"/>
      <c r="C134" s="13" t="n"/>
      <c r="D134" s="13" t="n"/>
      <c r="E134" s="68" t="n"/>
      <c r="F134" s="69" t="n"/>
      <c r="G134" s="13" t="n"/>
      <c r="H134" s="13" t="n"/>
      <c r="I134" s="13" t="n"/>
      <c r="J134" s="13" t="n"/>
      <c r="K134" s="16">
        <f>IF($A134="","",1)</f>
        <v/>
      </c>
    </row>
    <row r="135">
      <c r="A135" s="13" t="n"/>
      <c r="B135" s="13" t="n"/>
      <c r="C135" s="13" t="n"/>
      <c r="D135" s="13" t="n"/>
      <c r="E135" s="68" t="n"/>
      <c r="F135" s="69" t="n"/>
      <c r="G135" s="13" t="n"/>
      <c r="H135" s="13" t="n"/>
      <c r="I135" s="13" t="n"/>
      <c r="J135" s="13" t="n"/>
      <c r="K135" s="16">
        <f>IF($A135="","",1)</f>
        <v/>
      </c>
    </row>
    <row r="136">
      <c r="A136" s="13" t="n"/>
      <c r="B136" s="13" t="n"/>
      <c r="C136" s="13" t="n"/>
      <c r="D136" s="13" t="n"/>
      <c r="E136" s="68" t="n"/>
      <c r="F136" s="69" t="n"/>
      <c r="G136" s="13" t="n"/>
      <c r="H136" s="13" t="n"/>
      <c r="I136" s="13" t="n"/>
      <c r="J136" s="13" t="n"/>
      <c r="K136" s="16">
        <f>IF($A136="","",1)</f>
        <v/>
      </c>
    </row>
    <row r="137">
      <c r="A137" s="13" t="n"/>
      <c r="B137" s="13" t="n"/>
      <c r="C137" s="13" t="n"/>
      <c r="D137" s="13" t="n"/>
      <c r="E137" s="68" t="n"/>
      <c r="F137" s="69" t="n"/>
      <c r="G137" s="13" t="n"/>
      <c r="H137" s="13" t="n"/>
      <c r="I137" s="13" t="n"/>
      <c r="J137" s="13" t="n"/>
      <c r="K137" s="16">
        <f>IF($A137="","",1)</f>
        <v/>
      </c>
    </row>
    <row r="138">
      <c r="A138" s="13" t="n"/>
      <c r="B138" s="13" t="n"/>
      <c r="C138" s="13" t="n"/>
      <c r="D138" s="13" t="n"/>
      <c r="E138" s="68" t="n"/>
      <c r="F138" s="69" t="n"/>
      <c r="G138" s="13" t="n"/>
      <c r="H138" s="13" t="n"/>
      <c r="I138" s="13" t="n"/>
      <c r="J138" s="13" t="n"/>
      <c r="K138" s="16">
        <f>IF($A138="","",1)</f>
        <v/>
      </c>
    </row>
    <row r="139">
      <c r="A139" s="13" t="n"/>
      <c r="B139" s="13" t="n"/>
      <c r="C139" s="13" t="n"/>
      <c r="D139" s="13" t="n"/>
      <c r="E139" s="68" t="n"/>
      <c r="F139" s="69" t="n"/>
      <c r="G139" s="13" t="n"/>
      <c r="H139" s="13" t="n"/>
      <c r="I139" s="13" t="n"/>
      <c r="J139" s="13" t="n"/>
      <c r="K139" s="16">
        <f>IF($A139="","",1)</f>
        <v/>
      </c>
    </row>
    <row r="140">
      <c r="A140" s="13" t="n"/>
      <c r="B140" s="13" t="n"/>
      <c r="C140" s="13" t="n"/>
      <c r="D140" s="13" t="n"/>
      <c r="E140" s="68" t="n"/>
      <c r="F140" s="69" t="n"/>
      <c r="G140" s="13" t="n"/>
      <c r="H140" s="13" t="n"/>
      <c r="I140" s="13" t="n"/>
      <c r="J140" s="13" t="n"/>
      <c r="K140" s="16">
        <f>IF($A140="","",1)</f>
        <v/>
      </c>
    </row>
    <row r="141">
      <c r="A141" s="13" t="n"/>
      <c r="B141" s="13" t="n"/>
      <c r="C141" s="13" t="n"/>
      <c r="D141" s="13" t="n"/>
      <c r="E141" s="68" t="n"/>
      <c r="F141" s="69" t="n"/>
      <c r="G141" s="13" t="n"/>
      <c r="H141" s="13" t="n"/>
      <c r="I141" s="13" t="n"/>
      <c r="J141" s="13" t="n"/>
      <c r="K141" s="16">
        <f>IF($A141="","",1)</f>
        <v/>
      </c>
    </row>
    <row r="142">
      <c r="A142" s="13" t="n"/>
      <c r="B142" s="13" t="n"/>
      <c r="C142" s="13" t="n"/>
      <c r="D142" s="13" t="n"/>
      <c r="E142" s="68" t="n"/>
      <c r="F142" s="69" t="n"/>
      <c r="G142" s="13" t="n"/>
      <c r="H142" s="13" t="n"/>
      <c r="I142" s="13" t="n"/>
      <c r="J142" s="13" t="n"/>
      <c r="K142" s="16">
        <f>IF($A142="","",1)</f>
        <v/>
      </c>
    </row>
    <row r="143">
      <c r="A143" s="13" t="n"/>
      <c r="B143" s="13" t="n"/>
      <c r="C143" s="13" t="n"/>
      <c r="D143" s="13" t="n"/>
      <c r="E143" s="68" t="n"/>
      <c r="F143" s="69" t="n"/>
      <c r="G143" s="13" t="n"/>
      <c r="H143" s="13" t="n"/>
      <c r="I143" s="13" t="n"/>
      <c r="J143" s="13" t="n"/>
      <c r="K143" s="16">
        <f>IF($A143="","",1)</f>
        <v/>
      </c>
    </row>
    <row r="144">
      <c r="A144" s="13" t="n"/>
      <c r="B144" s="13" t="n"/>
      <c r="C144" s="13" t="n"/>
      <c r="D144" s="13" t="n"/>
      <c r="E144" s="68" t="n"/>
      <c r="F144" s="69" t="n"/>
      <c r="G144" s="13" t="n"/>
      <c r="H144" s="13" t="n"/>
      <c r="I144" s="13" t="n"/>
      <c r="J144" s="13" t="n"/>
      <c r="K144" s="16">
        <f>IF($A144="","",1)</f>
        <v/>
      </c>
    </row>
    <row r="145">
      <c r="A145" s="13" t="n"/>
      <c r="B145" s="13" t="n"/>
      <c r="C145" s="13" t="n"/>
      <c r="D145" s="13" t="n"/>
      <c r="E145" s="68" t="n"/>
      <c r="F145" s="69" t="n"/>
      <c r="G145" s="13" t="n"/>
      <c r="H145" s="13" t="n"/>
      <c r="I145" s="13" t="n"/>
      <c r="J145" s="13" t="n"/>
      <c r="K145" s="16">
        <f>IF($A145="","",1)</f>
        <v/>
      </c>
    </row>
    <row r="146">
      <c r="A146" s="13" t="n"/>
      <c r="B146" s="13" t="n"/>
      <c r="C146" s="13" t="n"/>
      <c r="D146" s="13" t="n"/>
      <c r="E146" s="68" t="n"/>
      <c r="F146" s="69" t="n"/>
      <c r="G146" s="13" t="n"/>
      <c r="H146" s="13" t="n"/>
      <c r="I146" s="13" t="n"/>
      <c r="J146" s="13" t="n"/>
      <c r="K146" s="16">
        <f>IF($A146="","",1)</f>
        <v/>
      </c>
    </row>
    <row r="147">
      <c r="A147" s="13" t="n"/>
      <c r="B147" s="13" t="n"/>
      <c r="C147" s="13" t="n"/>
      <c r="D147" s="13" t="n"/>
      <c r="E147" s="68" t="n"/>
      <c r="F147" s="69" t="n"/>
      <c r="G147" s="13" t="n"/>
      <c r="H147" s="13" t="n"/>
      <c r="I147" s="13" t="n"/>
      <c r="J147" s="13" t="n"/>
      <c r="K147" s="16">
        <f>IF($A147="","",1)</f>
        <v/>
      </c>
    </row>
    <row r="148">
      <c r="A148" s="13" t="n"/>
      <c r="B148" s="13" t="n"/>
      <c r="C148" s="13" t="n"/>
      <c r="D148" s="13" t="n"/>
      <c r="E148" s="68" t="n"/>
      <c r="F148" s="69" t="n"/>
      <c r="G148" s="13" t="n"/>
      <c r="H148" s="13" t="n"/>
      <c r="I148" s="13" t="n"/>
      <c r="J148" s="13" t="n"/>
      <c r="K148" s="16">
        <f>IF($A148="","",1)</f>
        <v/>
      </c>
    </row>
    <row r="149">
      <c r="A149" s="13" t="n"/>
      <c r="B149" s="13" t="n"/>
      <c r="C149" s="13" t="n"/>
      <c r="D149" s="13" t="n"/>
      <c r="E149" s="68" t="n"/>
      <c r="F149" s="69" t="n"/>
      <c r="G149" s="13" t="n"/>
      <c r="H149" s="13" t="n"/>
      <c r="I149" s="13" t="n"/>
      <c r="J149" s="13" t="n"/>
      <c r="K149" s="16">
        <f>IF($A149="","",1)</f>
        <v/>
      </c>
    </row>
    <row r="150">
      <c r="A150" s="13" t="n"/>
      <c r="B150" s="13" t="n"/>
      <c r="C150" s="13" t="n"/>
      <c r="D150" s="13" t="n"/>
      <c r="E150" s="68" t="n"/>
      <c r="F150" s="69" t="n"/>
      <c r="G150" s="13" t="n"/>
      <c r="H150" s="13" t="n"/>
      <c r="I150" s="13" t="n"/>
      <c r="J150" s="13" t="n"/>
      <c r="K150" s="16">
        <f>IF($A150="","",1)</f>
        <v/>
      </c>
    </row>
    <row r="151">
      <c r="A151" s="13" t="n"/>
      <c r="B151" s="13" t="n"/>
      <c r="C151" s="13" t="n"/>
      <c r="D151" s="13" t="n"/>
      <c r="E151" s="68" t="n"/>
      <c r="F151" s="69" t="n"/>
      <c r="G151" s="13" t="n"/>
      <c r="H151" s="13" t="n"/>
      <c r="I151" s="13" t="n"/>
      <c r="J151" s="13" t="n"/>
      <c r="K151" s="16">
        <f>IF($A151="","",1)</f>
        <v/>
      </c>
    </row>
    <row r="152">
      <c r="A152" s="13" t="n"/>
      <c r="B152" s="13" t="n"/>
      <c r="C152" s="13" t="n"/>
      <c r="D152" s="13" t="n"/>
      <c r="E152" s="68" t="n"/>
      <c r="F152" s="69" t="n"/>
      <c r="G152" s="13" t="n"/>
      <c r="H152" s="13" t="n"/>
      <c r="I152" s="13" t="n"/>
      <c r="J152" s="13" t="n"/>
      <c r="K152" s="16">
        <f>IF($A152="","",1)</f>
        <v/>
      </c>
    </row>
    <row r="153">
      <c r="A153" s="13" t="n"/>
      <c r="B153" s="13" t="n"/>
      <c r="C153" s="13" t="n"/>
      <c r="D153" s="13" t="n"/>
      <c r="E153" s="68" t="n"/>
      <c r="F153" s="69" t="n"/>
      <c r="G153" s="13" t="n"/>
      <c r="H153" s="13" t="n"/>
      <c r="I153" s="13" t="n"/>
      <c r="J153" s="13" t="n"/>
      <c r="K153" s="16">
        <f>IF($A153="","",1)</f>
        <v/>
      </c>
    </row>
    <row r="154">
      <c r="A154" s="13" t="n"/>
      <c r="B154" s="13" t="n"/>
      <c r="C154" s="13" t="n"/>
      <c r="D154" s="13" t="n"/>
      <c r="E154" s="68" t="n"/>
      <c r="F154" s="69" t="n"/>
      <c r="G154" s="13" t="n"/>
      <c r="H154" s="13" t="n"/>
      <c r="I154" s="13" t="n"/>
      <c r="J154" s="13" t="n"/>
      <c r="K154" s="16">
        <f>IF($A154="","",1)</f>
        <v/>
      </c>
    </row>
    <row r="155">
      <c r="A155" s="13" t="n"/>
      <c r="B155" s="13" t="n"/>
      <c r="C155" s="13" t="n"/>
      <c r="D155" s="13" t="n"/>
      <c r="E155" s="68" t="n"/>
      <c r="F155" s="69" t="n"/>
      <c r="G155" s="13" t="n"/>
      <c r="H155" s="13" t="n"/>
      <c r="I155" s="13" t="n"/>
      <c r="J155" s="13" t="n"/>
      <c r="K155" s="16">
        <f>IF($A155="","",1)</f>
        <v/>
      </c>
    </row>
    <row r="156">
      <c r="A156" s="13" t="n"/>
      <c r="B156" s="13" t="n"/>
      <c r="C156" s="13" t="n"/>
      <c r="D156" s="13" t="n"/>
      <c r="E156" s="68" t="n"/>
      <c r="F156" s="69" t="n"/>
      <c r="G156" s="13" t="n"/>
      <c r="H156" s="13" t="n"/>
      <c r="I156" s="13" t="n"/>
      <c r="J156" s="13" t="n"/>
      <c r="K156" s="16">
        <f>IF($A156="","",1)</f>
        <v/>
      </c>
    </row>
    <row r="157">
      <c r="A157" s="13" t="n"/>
      <c r="B157" s="13" t="n"/>
      <c r="C157" s="13" t="n"/>
      <c r="D157" s="13" t="n"/>
      <c r="E157" s="68" t="n"/>
      <c r="F157" s="69" t="n"/>
      <c r="G157" s="13" t="n"/>
      <c r="H157" s="13" t="n"/>
      <c r="I157" s="13" t="n"/>
      <c r="J157" s="13" t="n"/>
      <c r="K157" s="16">
        <f>IF($A157="","",1)</f>
        <v/>
      </c>
    </row>
    <row r="158">
      <c r="A158" s="13" t="n"/>
      <c r="B158" s="13" t="n"/>
      <c r="C158" s="13" t="n"/>
      <c r="D158" s="13" t="n"/>
      <c r="E158" s="68" t="n"/>
      <c r="F158" s="69" t="n"/>
      <c r="G158" s="13" t="n"/>
      <c r="H158" s="13" t="n"/>
      <c r="I158" s="13" t="n"/>
      <c r="J158" s="13" t="n"/>
      <c r="K158" s="16">
        <f>IF($A158="","",1)</f>
        <v/>
      </c>
    </row>
    <row r="159">
      <c r="A159" s="13" t="n"/>
      <c r="B159" s="13" t="n"/>
      <c r="C159" s="13" t="n"/>
      <c r="D159" s="13" t="n"/>
      <c r="E159" s="68" t="n"/>
      <c r="F159" s="69" t="n"/>
      <c r="G159" s="13" t="n"/>
      <c r="H159" s="13" t="n"/>
      <c r="I159" s="13" t="n"/>
      <c r="J159" s="13" t="n"/>
      <c r="K159" s="16">
        <f>IF($A159="","",1)</f>
        <v/>
      </c>
    </row>
    <row r="160">
      <c r="A160" s="13" t="n"/>
      <c r="B160" s="13" t="n"/>
      <c r="C160" s="13" t="n"/>
      <c r="D160" s="13" t="n"/>
      <c r="E160" s="68" t="n"/>
      <c r="F160" s="69" t="n"/>
      <c r="G160" s="13" t="n"/>
      <c r="H160" s="13" t="n"/>
      <c r="I160" s="13" t="n"/>
      <c r="J160" s="13" t="n"/>
      <c r="K160" s="16">
        <f>IF($A160="","",1)</f>
        <v/>
      </c>
    </row>
    <row r="161">
      <c r="A161" s="13" t="n"/>
      <c r="B161" s="13" t="n"/>
      <c r="C161" s="13" t="n"/>
      <c r="D161" s="13" t="n"/>
      <c r="E161" s="68" t="n"/>
      <c r="F161" s="69" t="n"/>
      <c r="G161" s="13" t="n"/>
      <c r="H161" s="13" t="n"/>
      <c r="I161" s="13" t="n"/>
      <c r="J161" s="13" t="n"/>
      <c r="K161" s="16">
        <f>IF($A161="","",1)</f>
        <v/>
      </c>
    </row>
    <row r="162">
      <c r="A162" s="13" t="n"/>
      <c r="B162" s="13" t="n"/>
      <c r="C162" s="13" t="n"/>
      <c r="D162" s="13" t="n"/>
      <c r="E162" s="68" t="n"/>
      <c r="F162" s="69" t="n"/>
      <c r="G162" s="13" t="n"/>
      <c r="H162" s="13" t="n"/>
      <c r="I162" s="13" t="n"/>
      <c r="J162" s="13" t="n"/>
      <c r="K162" s="16">
        <f>IF($A162="","",1)</f>
        <v/>
      </c>
    </row>
    <row r="163">
      <c r="A163" s="13" t="n"/>
      <c r="B163" s="13" t="n"/>
      <c r="C163" s="13" t="n"/>
      <c r="D163" s="13" t="n"/>
      <c r="E163" s="68" t="n"/>
      <c r="F163" s="69" t="n"/>
      <c r="G163" s="13" t="n"/>
      <c r="H163" s="13" t="n"/>
      <c r="I163" s="13" t="n"/>
      <c r="J163" s="13" t="n"/>
      <c r="K163" s="16">
        <f>IF($A163="","",1)</f>
        <v/>
      </c>
    </row>
    <row r="164">
      <c r="A164" s="13" t="n"/>
      <c r="B164" s="13" t="n"/>
      <c r="C164" s="13" t="n"/>
      <c r="D164" s="13" t="n"/>
      <c r="E164" s="68" t="n"/>
      <c r="F164" s="69" t="n"/>
      <c r="G164" s="13" t="n"/>
      <c r="H164" s="13" t="n"/>
      <c r="I164" s="13" t="n"/>
      <c r="J164" s="13" t="n"/>
      <c r="K164" s="16">
        <f>IF($A164="","",1)</f>
        <v/>
      </c>
    </row>
    <row r="165">
      <c r="A165" s="13" t="n"/>
      <c r="B165" s="13" t="n"/>
      <c r="C165" s="13" t="n"/>
      <c r="D165" s="13" t="n"/>
      <c r="E165" s="68" t="n"/>
      <c r="F165" s="69" t="n"/>
      <c r="G165" s="13" t="n"/>
      <c r="H165" s="13" t="n"/>
      <c r="I165" s="13" t="n"/>
      <c r="J165" s="13" t="n"/>
      <c r="K165" s="16">
        <f>IF($A165="","",1)</f>
        <v/>
      </c>
    </row>
    <row r="166">
      <c r="A166" s="13" t="n"/>
      <c r="B166" s="13" t="n"/>
      <c r="C166" s="13" t="n"/>
      <c r="D166" s="13" t="n"/>
      <c r="E166" s="68" t="n"/>
      <c r="F166" s="69" t="n"/>
      <c r="G166" s="13" t="n"/>
      <c r="H166" s="13" t="n"/>
      <c r="I166" s="13" t="n"/>
      <c r="J166" s="13" t="n"/>
      <c r="K166" s="16">
        <f>IF($A166="","",1)</f>
        <v/>
      </c>
    </row>
    <row r="167">
      <c r="A167" s="13" t="n"/>
      <c r="B167" s="13" t="n"/>
      <c r="C167" s="13" t="n"/>
      <c r="D167" s="13" t="n"/>
      <c r="E167" s="68" t="n"/>
      <c r="F167" s="69" t="n"/>
      <c r="G167" s="13" t="n"/>
      <c r="H167" s="13" t="n"/>
      <c r="I167" s="13" t="n"/>
      <c r="J167" s="13" t="n"/>
      <c r="K167" s="16">
        <f>IF($A167="","",1)</f>
        <v/>
      </c>
    </row>
    <row r="168">
      <c r="A168" s="13" t="n"/>
      <c r="B168" s="13" t="n"/>
      <c r="C168" s="13" t="n"/>
      <c r="D168" s="13" t="n"/>
      <c r="E168" s="68" t="n"/>
      <c r="F168" s="69" t="n"/>
      <c r="G168" s="13" t="n"/>
      <c r="H168" s="13" t="n"/>
      <c r="I168" s="13" t="n"/>
      <c r="J168" s="13" t="n"/>
      <c r="K168" s="16">
        <f>IF($A168="","",1)</f>
        <v/>
      </c>
    </row>
    <row r="169">
      <c r="A169" s="13" t="n"/>
      <c r="B169" s="13" t="n"/>
      <c r="C169" s="13" t="n"/>
      <c r="D169" s="13" t="n"/>
      <c r="E169" s="68" t="n"/>
      <c r="F169" s="69" t="n"/>
      <c r="G169" s="13" t="n"/>
      <c r="H169" s="13" t="n"/>
      <c r="I169" s="13" t="n"/>
      <c r="J169" s="13" t="n"/>
      <c r="K169" s="16">
        <f>IF($A169="","",1)</f>
        <v/>
      </c>
    </row>
    <row r="170">
      <c r="A170" s="13" t="n"/>
      <c r="B170" s="13" t="n"/>
      <c r="C170" s="13" t="n"/>
      <c r="D170" s="13" t="n"/>
      <c r="E170" s="68" t="n"/>
      <c r="F170" s="69" t="n"/>
      <c r="G170" s="13" t="n"/>
      <c r="H170" s="13" t="n"/>
      <c r="I170" s="13" t="n"/>
      <c r="J170" s="13" t="n"/>
      <c r="K170" s="16">
        <f>IF($A170="","",1)</f>
        <v/>
      </c>
    </row>
    <row r="171">
      <c r="A171" s="13" t="n"/>
      <c r="B171" s="13" t="n"/>
      <c r="C171" s="13" t="n"/>
      <c r="D171" s="13" t="n"/>
      <c r="E171" s="68" t="n"/>
      <c r="F171" s="69" t="n"/>
      <c r="G171" s="13" t="n"/>
      <c r="H171" s="13" t="n"/>
      <c r="I171" s="13" t="n"/>
      <c r="J171" s="13" t="n"/>
      <c r="K171" s="16">
        <f>IF($A171="","",1)</f>
        <v/>
      </c>
    </row>
    <row r="172">
      <c r="A172" s="13" t="n"/>
      <c r="B172" s="13" t="n"/>
      <c r="C172" s="13" t="n"/>
      <c r="D172" s="13" t="n"/>
      <c r="E172" s="68" t="n"/>
      <c r="F172" s="69" t="n"/>
      <c r="G172" s="13" t="n"/>
      <c r="H172" s="13" t="n"/>
      <c r="I172" s="13" t="n"/>
      <c r="J172" s="13" t="n"/>
      <c r="K172" s="16">
        <f>IF($A172="","",1)</f>
        <v/>
      </c>
    </row>
    <row r="173">
      <c r="A173" s="13" t="n"/>
      <c r="B173" s="13" t="n"/>
      <c r="C173" s="13" t="n"/>
      <c r="D173" s="13" t="n"/>
      <c r="E173" s="68" t="n"/>
      <c r="F173" s="69" t="n"/>
      <c r="G173" s="13" t="n"/>
      <c r="H173" s="13" t="n"/>
      <c r="I173" s="13" t="n"/>
      <c r="J173" s="13" t="n"/>
      <c r="K173" s="16">
        <f>IF($A173="","",1)</f>
        <v/>
      </c>
    </row>
    <row r="174">
      <c r="A174" s="13" t="n"/>
      <c r="B174" s="13" t="n"/>
      <c r="C174" s="13" t="n"/>
      <c r="D174" s="13" t="n"/>
      <c r="E174" s="68" t="n"/>
      <c r="F174" s="69" t="n"/>
      <c r="G174" s="13" t="n"/>
      <c r="H174" s="13" t="n"/>
      <c r="I174" s="13" t="n"/>
      <c r="J174" s="13" t="n"/>
      <c r="K174" s="16">
        <f>IF($A174="","",1)</f>
        <v/>
      </c>
    </row>
    <row r="175">
      <c r="A175" s="13" t="n"/>
      <c r="B175" s="13" t="n"/>
      <c r="C175" s="13" t="n"/>
      <c r="D175" s="13" t="n"/>
      <c r="E175" s="68" t="n"/>
      <c r="F175" s="69" t="n"/>
      <c r="G175" s="13" t="n"/>
      <c r="H175" s="13" t="n"/>
      <c r="I175" s="13" t="n"/>
      <c r="J175" s="13" t="n"/>
      <c r="K175" s="16">
        <f>IF($A175="","",1)</f>
        <v/>
      </c>
    </row>
    <row r="176">
      <c r="A176" s="13" t="n"/>
      <c r="B176" s="13" t="n"/>
      <c r="C176" s="13" t="n"/>
      <c r="D176" s="13" t="n"/>
      <c r="E176" s="68" t="n"/>
      <c r="F176" s="69" t="n"/>
      <c r="G176" s="13" t="n"/>
      <c r="H176" s="13" t="n"/>
      <c r="I176" s="13" t="n"/>
      <c r="J176" s="13" t="n"/>
      <c r="K176" s="16">
        <f>IF($A176="","",1)</f>
        <v/>
      </c>
    </row>
    <row r="177">
      <c r="A177" s="13" t="n"/>
      <c r="B177" s="13" t="n"/>
      <c r="C177" s="13" t="n"/>
      <c r="D177" s="13" t="n"/>
      <c r="E177" s="68" t="n"/>
      <c r="F177" s="69" t="n"/>
      <c r="G177" s="13" t="n"/>
      <c r="H177" s="13" t="n"/>
      <c r="I177" s="13" t="n"/>
      <c r="J177" s="13" t="n"/>
      <c r="K177" s="16">
        <f>IF($A177="","",1)</f>
        <v/>
      </c>
    </row>
    <row r="178">
      <c r="A178" s="13" t="n"/>
      <c r="B178" s="13" t="n"/>
      <c r="C178" s="13" t="n"/>
      <c r="D178" s="13" t="n"/>
      <c r="E178" s="68" t="n"/>
      <c r="F178" s="69" t="n"/>
      <c r="G178" s="13" t="n"/>
      <c r="H178" s="13" t="n"/>
      <c r="I178" s="13" t="n"/>
      <c r="J178" s="13" t="n"/>
      <c r="K178" s="16">
        <f>IF($A178="","",1)</f>
        <v/>
      </c>
    </row>
    <row r="179">
      <c r="A179" s="13" t="n"/>
      <c r="B179" s="13" t="n"/>
      <c r="C179" s="13" t="n"/>
      <c r="D179" s="13" t="n"/>
      <c r="E179" s="68" t="n"/>
      <c r="F179" s="69" t="n"/>
      <c r="G179" s="13" t="n"/>
      <c r="H179" s="13" t="n"/>
      <c r="I179" s="13" t="n"/>
      <c r="J179" s="13" t="n"/>
      <c r="K179" s="16">
        <f>IF($A179="","",1)</f>
        <v/>
      </c>
    </row>
    <row r="180">
      <c r="A180" s="13" t="n"/>
      <c r="B180" s="13" t="n"/>
      <c r="C180" s="13" t="n"/>
      <c r="D180" s="13" t="n"/>
      <c r="E180" s="68" t="n"/>
      <c r="F180" s="69" t="n"/>
      <c r="G180" s="13" t="n"/>
      <c r="H180" s="13" t="n"/>
      <c r="I180" s="13" t="n"/>
      <c r="J180" s="13" t="n"/>
      <c r="K180" s="16">
        <f>IF($A180="","",1)</f>
        <v/>
      </c>
    </row>
    <row r="181">
      <c r="A181" s="13" t="n"/>
      <c r="B181" s="13" t="n"/>
      <c r="C181" s="13" t="n"/>
      <c r="D181" s="13" t="n"/>
      <c r="E181" s="68" t="n"/>
      <c r="F181" s="69" t="n"/>
      <c r="G181" s="13" t="n"/>
      <c r="H181" s="13" t="n"/>
      <c r="I181" s="13" t="n"/>
      <c r="J181" s="13" t="n"/>
      <c r="K181" s="16">
        <f>IF($A181="","",1)</f>
        <v/>
      </c>
    </row>
    <row r="182">
      <c r="A182" s="13" t="n"/>
      <c r="B182" s="13" t="n"/>
      <c r="C182" s="13" t="n"/>
      <c r="D182" s="13" t="n"/>
      <c r="E182" s="68" t="n"/>
      <c r="F182" s="69" t="n"/>
      <c r="G182" s="13" t="n"/>
      <c r="H182" s="13" t="n"/>
      <c r="I182" s="13" t="n"/>
      <c r="J182" s="13" t="n"/>
      <c r="K182" s="16">
        <f>IF($A182="","",1)</f>
        <v/>
      </c>
    </row>
    <row r="183">
      <c r="A183" s="13" t="n"/>
      <c r="B183" s="13" t="n"/>
      <c r="C183" s="13" t="n"/>
      <c r="D183" s="13" t="n"/>
      <c r="E183" s="68" t="n"/>
      <c r="F183" s="69" t="n"/>
      <c r="G183" s="13" t="n"/>
      <c r="H183" s="13" t="n"/>
      <c r="I183" s="13" t="n"/>
      <c r="J183" s="13" t="n"/>
      <c r="K183" s="16">
        <f>IF($A183="","",1)</f>
        <v/>
      </c>
    </row>
    <row r="184">
      <c r="A184" s="13" t="n"/>
      <c r="B184" s="13" t="n"/>
      <c r="C184" s="13" t="n"/>
      <c r="D184" s="13" t="n"/>
      <c r="E184" s="68" t="n"/>
      <c r="F184" s="69" t="n"/>
      <c r="G184" s="13" t="n"/>
      <c r="H184" s="13" t="n"/>
      <c r="I184" s="13" t="n"/>
      <c r="J184" s="13" t="n"/>
      <c r="K184" s="16">
        <f>IF($A184="","",1)</f>
        <v/>
      </c>
    </row>
    <row r="185">
      <c r="A185" s="13" t="n"/>
      <c r="B185" s="13" t="n"/>
      <c r="C185" s="13" t="n"/>
      <c r="D185" s="13" t="n"/>
      <c r="E185" s="68" t="n"/>
      <c r="F185" s="69" t="n"/>
      <c r="G185" s="13" t="n"/>
      <c r="H185" s="13" t="n"/>
      <c r="I185" s="13" t="n"/>
      <c r="J185" s="13" t="n"/>
      <c r="K185" s="16">
        <f>IF($A185="","",1)</f>
        <v/>
      </c>
    </row>
    <row r="186">
      <c r="A186" s="13" t="n"/>
      <c r="B186" s="13" t="n"/>
      <c r="C186" s="13" t="n"/>
      <c r="D186" s="13" t="n"/>
      <c r="E186" s="68" t="n"/>
      <c r="F186" s="69" t="n"/>
      <c r="G186" s="13" t="n"/>
      <c r="H186" s="13" t="n"/>
      <c r="I186" s="13" t="n"/>
      <c r="J186" s="13" t="n"/>
      <c r="K186" s="16">
        <f>IF($A186="","",1)</f>
        <v/>
      </c>
    </row>
    <row r="187">
      <c r="A187" s="13" t="n"/>
      <c r="B187" s="13" t="n"/>
      <c r="C187" s="13" t="n"/>
      <c r="D187" s="13" t="n"/>
      <c r="E187" s="68" t="n"/>
      <c r="F187" s="69" t="n"/>
      <c r="G187" s="13" t="n"/>
      <c r="H187" s="13" t="n"/>
      <c r="I187" s="13" t="n"/>
      <c r="J187" s="13" t="n"/>
      <c r="K187" s="16">
        <f>IF($A187="","",1)</f>
        <v/>
      </c>
    </row>
    <row r="188">
      <c r="A188" s="13" t="n"/>
      <c r="B188" s="13" t="n"/>
      <c r="C188" s="13" t="n"/>
      <c r="D188" s="13" t="n"/>
      <c r="E188" s="68" t="n"/>
      <c r="F188" s="69" t="n"/>
      <c r="G188" s="13" t="n"/>
      <c r="H188" s="13" t="n"/>
      <c r="I188" s="13" t="n"/>
      <c r="J188" s="13" t="n"/>
      <c r="K188" s="16">
        <f>IF($A188="","",1)</f>
        <v/>
      </c>
    </row>
    <row r="189">
      <c r="A189" s="13" t="n"/>
      <c r="B189" s="13" t="n"/>
      <c r="C189" s="13" t="n"/>
      <c r="D189" s="13" t="n"/>
      <c r="E189" s="68" t="n"/>
      <c r="F189" s="69" t="n"/>
      <c r="G189" s="13" t="n"/>
      <c r="H189" s="13" t="n"/>
      <c r="I189" s="13" t="n"/>
      <c r="J189" s="13" t="n"/>
      <c r="K189" s="16">
        <f>IF($A189="","",1)</f>
        <v/>
      </c>
    </row>
    <row r="190">
      <c r="A190" s="13" t="n"/>
      <c r="B190" s="13" t="n"/>
      <c r="C190" s="13" t="n"/>
      <c r="D190" s="13" t="n"/>
      <c r="E190" s="68" t="n"/>
      <c r="F190" s="69" t="n"/>
      <c r="G190" s="13" t="n"/>
      <c r="H190" s="13" t="n"/>
      <c r="I190" s="13" t="n"/>
      <c r="J190" s="13" t="n"/>
      <c r="K190" s="16">
        <f>IF($A190="","",1)</f>
        <v/>
      </c>
    </row>
    <row r="191">
      <c r="A191" s="13" t="n"/>
      <c r="B191" s="13" t="n"/>
      <c r="C191" s="13" t="n"/>
      <c r="D191" s="13" t="n"/>
      <c r="E191" s="68" t="n"/>
      <c r="F191" s="69" t="n"/>
      <c r="G191" s="13" t="n"/>
      <c r="H191" s="13" t="n"/>
      <c r="I191" s="13" t="n"/>
      <c r="J191" s="13" t="n"/>
      <c r="K191" s="16">
        <f>IF($A191="","",1)</f>
        <v/>
      </c>
    </row>
    <row r="192">
      <c r="A192" s="13" t="n"/>
      <c r="B192" s="13" t="n"/>
      <c r="C192" s="13" t="n"/>
      <c r="D192" s="13" t="n"/>
      <c r="E192" s="68" t="n"/>
      <c r="F192" s="69" t="n"/>
      <c r="G192" s="13" t="n"/>
      <c r="H192" s="13" t="n"/>
      <c r="I192" s="13" t="n"/>
      <c r="J192" s="13" t="n"/>
      <c r="K192" s="16">
        <f>IF($A192="","",1)</f>
        <v/>
      </c>
    </row>
    <row r="193">
      <c r="A193" s="13" t="n"/>
      <c r="B193" s="13" t="n"/>
      <c r="C193" s="13" t="n"/>
      <c r="D193" s="13" t="n"/>
      <c r="E193" s="68" t="n"/>
      <c r="F193" s="69" t="n"/>
      <c r="G193" s="13" t="n"/>
      <c r="H193" s="13" t="n"/>
      <c r="I193" s="13" t="n"/>
      <c r="J193" s="13" t="n"/>
      <c r="K193" s="16">
        <f>IF($A193="","",1)</f>
        <v/>
      </c>
    </row>
    <row r="194">
      <c r="A194" s="13" t="n"/>
      <c r="B194" s="13" t="n"/>
      <c r="C194" s="13" t="n"/>
      <c r="D194" s="13" t="n"/>
      <c r="E194" s="68" t="n"/>
      <c r="F194" s="69" t="n"/>
      <c r="G194" s="13" t="n"/>
      <c r="H194" s="13" t="n"/>
      <c r="I194" s="13" t="n"/>
      <c r="J194" s="13" t="n"/>
      <c r="K194" s="16">
        <f>IF($A194="","",1)</f>
        <v/>
      </c>
    </row>
    <row r="195">
      <c r="A195" s="13" t="n"/>
      <c r="B195" s="13" t="n"/>
      <c r="C195" s="13" t="n"/>
      <c r="D195" s="13" t="n"/>
      <c r="E195" s="68" t="n"/>
      <c r="F195" s="69" t="n"/>
      <c r="G195" s="13" t="n"/>
      <c r="H195" s="13" t="n"/>
      <c r="I195" s="13" t="n"/>
      <c r="J195" s="13" t="n"/>
      <c r="K195" s="16">
        <f>IF($A195="","",1)</f>
        <v/>
      </c>
    </row>
    <row r="196">
      <c r="A196" s="13" t="n"/>
      <c r="B196" s="13" t="n"/>
      <c r="C196" s="13" t="n"/>
      <c r="D196" s="13" t="n"/>
      <c r="E196" s="68" t="n"/>
      <c r="F196" s="69" t="n"/>
      <c r="G196" s="13" t="n"/>
      <c r="H196" s="13" t="n"/>
      <c r="I196" s="13" t="n"/>
      <c r="J196" s="13" t="n"/>
      <c r="K196" s="16">
        <f>IF($A196="","",1)</f>
        <v/>
      </c>
    </row>
    <row r="197">
      <c r="A197" s="13" t="n"/>
      <c r="B197" s="13" t="n"/>
      <c r="C197" s="13" t="n"/>
      <c r="D197" s="13" t="n"/>
      <c r="E197" s="68" t="n"/>
      <c r="F197" s="69" t="n"/>
      <c r="G197" s="13" t="n"/>
      <c r="H197" s="13" t="n"/>
      <c r="I197" s="13" t="n"/>
      <c r="J197" s="13" t="n"/>
      <c r="K197" s="16">
        <f>IF($A197="","",1)</f>
        <v/>
      </c>
    </row>
    <row r="198">
      <c r="A198" s="13" t="n"/>
      <c r="B198" s="13" t="n"/>
      <c r="C198" s="13" t="n"/>
      <c r="D198" s="13" t="n"/>
      <c r="E198" s="68" t="n"/>
      <c r="F198" s="69" t="n"/>
      <c r="G198" s="13" t="n"/>
      <c r="H198" s="13" t="n"/>
      <c r="I198" s="13" t="n"/>
      <c r="J198" s="13" t="n"/>
      <c r="K198" s="16">
        <f>IF($A198="","",1)</f>
        <v/>
      </c>
    </row>
    <row r="199">
      <c r="A199" s="13" t="n"/>
      <c r="B199" s="13" t="n"/>
      <c r="C199" s="13" t="n"/>
      <c r="D199" s="13" t="n"/>
      <c r="E199" s="68" t="n"/>
      <c r="F199" s="69" t="n"/>
      <c r="G199" s="13" t="n"/>
      <c r="H199" s="13" t="n"/>
      <c r="I199" s="13" t="n"/>
      <c r="J199" s="13" t="n"/>
      <c r="K199" s="16">
        <f>IF($A199="","",1)</f>
        <v/>
      </c>
    </row>
    <row r="200">
      <c r="A200" s="13" t="n"/>
      <c r="B200" s="13" t="n"/>
      <c r="C200" s="13" t="n"/>
      <c r="D200" s="13" t="n"/>
      <c r="E200" s="68" t="n"/>
      <c r="F200" s="69" t="n"/>
      <c r="G200" s="13" t="n"/>
      <c r="H200" s="13" t="n"/>
      <c r="I200" s="13" t="n"/>
      <c r="J200" s="13" t="n"/>
      <c r="K200" s="16">
        <f>IF($A200="","",1)</f>
        <v/>
      </c>
    </row>
    <row r="201">
      <c r="A201" s="13" t="n"/>
      <c r="B201" s="13" t="n"/>
      <c r="C201" s="13" t="n"/>
      <c r="D201" s="13" t="n"/>
      <c r="E201" s="68" t="n"/>
      <c r="F201" s="69" t="n"/>
      <c r="G201" s="13" t="n"/>
      <c r="H201" s="13" t="n"/>
      <c r="I201" s="13" t="n"/>
      <c r="J201" s="13" t="n"/>
      <c r="K201" s="16">
        <f>IF($A201="","",1)</f>
        <v/>
      </c>
    </row>
    <row r="202">
      <c r="A202" s="13" t="n"/>
      <c r="B202" s="13" t="n"/>
      <c r="C202" s="13" t="n"/>
      <c r="D202" s="13" t="n"/>
      <c r="E202" s="68" t="n"/>
      <c r="F202" s="69" t="n"/>
      <c r="G202" s="13" t="n"/>
      <c r="H202" s="13" t="n"/>
      <c r="I202" s="13" t="n"/>
      <c r="J202" s="13" t="n"/>
      <c r="K202" s="16">
        <f>IF($A202="","",1)</f>
        <v/>
      </c>
    </row>
    <row r="203">
      <c r="A203" s="13" t="n"/>
      <c r="B203" s="13" t="n"/>
      <c r="C203" s="13" t="n"/>
      <c r="D203" s="13" t="n"/>
      <c r="E203" s="68" t="n"/>
      <c r="F203" s="69" t="n"/>
      <c r="G203" s="13" t="n"/>
      <c r="H203" s="13" t="n"/>
      <c r="I203" s="13" t="n"/>
      <c r="J203" s="13" t="n"/>
      <c r="K203" s="16">
        <f>IF($A203="","",1)</f>
        <v/>
      </c>
    </row>
    <row r="204">
      <c r="A204" s="13" t="n"/>
      <c r="B204" s="13" t="n"/>
      <c r="C204" s="13" t="n"/>
      <c r="D204" s="13" t="n"/>
      <c r="E204" s="68" t="n"/>
      <c r="F204" s="69" t="n"/>
      <c r="G204" s="13" t="n"/>
      <c r="H204" s="13" t="n"/>
      <c r="I204" s="13" t="n"/>
      <c r="J204" s="13" t="n"/>
      <c r="K204" s="16">
        <f>IF($A204="","",1)</f>
        <v/>
      </c>
    </row>
    <row r="205">
      <c r="A205" s="13" t="n"/>
      <c r="B205" s="13" t="n"/>
      <c r="C205" s="13" t="n"/>
      <c r="D205" s="13" t="n"/>
      <c r="E205" s="68" t="n"/>
      <c r="F205" s="69" t="n"/>
      <c r="G205" s="13" t="n"/>
      <c r="H205" s="13" t="n"/>
      <c r="I205" s="13" t="n"/>
      <c r="J205" s="13" t="n"/>
      <c r="K205" s="16">
        <f>IF($A205="","",1)</f>
        <v/>
      </c>
    </row>
    <row r="206">
      <c r="A206" s="13" t="n"/>
      <c r="B206" s="13" t="n"/>
      <c r="C206" s="13" t="n"/>
      <c r="D206" s="13" t="n"/>
      <c r="E206" s="68" t="n"/>
      <c r="F206" s="69" t="n"/>
      <c r="G206" s="13" t="n"/>
      <c r="H206" s="13" t="n"/>
      <c r="I206" s="13" t="n"/>
      <c r="J206" s="13" t="n"/>
      <c r="K206" s="16">
        <f>IF($A206="","",1)</f>
        <v/>
      </c>
    </row>
    <row r="207">
      <c r="A207" s="13" t="n"/>
      <c r="B207" s="13" t="n"/>
      <c r="C207" s="13" t="n"/>
      <c r="D207" s="13" t="n"/>
      <c r="E207" s="68" t="n"/>
      <c r="F207" s="69" t="n"/>
      <c r="G207" s="13" t="n"/>
      <c r="H207" s="13" t="n"/>
      <c r="I207" s="13" t="n"/>
      <c r="J207" s="13" t="n"/>
      <c r="K207" s="16">
        <f>IF($A207="","",1)</f>
        <v/>
      </c>
    </row>
    <row r="208">
      <c r="A208" s="13" t="n"/>
      <c r="B208" s="13" t="n"/>
      <c r="C208" s="13" t="n"/>
      <c r="D208" s="13" t="n"/>
      <c r="E208" s="68" t="n"/>
      <c r="F208" s="69" t="n"/>
      <c r="G208" s="13" t="n"/>
      <c r="H208" s="13" t="n"/>
      <c r="I208" s="13" t="n"/>
      <c r="J208" s="13" t="n"/>
      <c r="K208" s="16">
        <f>IF($A208="","",1)</f>
        <v/>
      </c>
    </row>
    <row r="209">
      <c r="A209" s="13" t="n"/>
      <c r="B209" s="13" t="n"/>
      <c r="C209" s="13" t="n"/>
      <c r="D209" s="13" t="n"/>
      <c r="E209" s="68" t="n"/>
      <c r="F209" s="69" t="n"/>
      <c r="G209" s="13" t="n"/>
      <c r="H209" s="13" t="n"/>
      <c r="I209" s="13" t="n"/>
      <c r="J209" s="13" t="n"/>
      <c r="K209" s="16">
        <f>IF($A209="","",1)</f>
        <v/>
      </c>
    </row>
    <row r="210">
      <c r="A210" s="13" t="n"/>
      <c r="B210" s="13" t="n"/>
      <c r="C210" s="13" t="n"/>
      <c r="D210" s="13" t="n"/>
      <c r="E210" s="68" t="n"/>
      <c r="F210" s="69" t="n"/>
      <c r="G210" s="13" t="n"/>
      <c r="H210" s="13" t="n"/>
      <c r="I210" s="13" t="n"/>
      <c r="J210" s="13" t="n"/>
      <c r="K210" s="16">
        <f>IF($A210="","",1)</f>
        <v/>
      </c>
    </row>
    <row r="211">
      <c r="A211" s="13" t="n"/>
      <c r="B211" s="13" t="n"/>
      <c r="C211" s="13" t="n"/>
      <c r="D211" s="13" t="n"/>
      <c r="E211" s="68" t="n"/>
      <c r="F211" s="69" t="n"/>
      <c r="G211" s="13" t="n"/>
      <c r="H211" s="13" t="n"/>
      <c r="I211" s="13" t="n"/>
      <c r="J211" s="13" t="n"/>
      <c r="K211" s="16">
        <f>IF($A211="","",1)</f>
        <v/>
      </c>
    </row>
    <row r="212">
      <c r="A212" s="13" t="n"/>
      <c r="B212" s="13" t="n"/>
      <c r="C212" s="13" t="n"/>
      <c r="D212" s="13" t="n"/>
      <c r="E212" s="68" t="n"/>
      <c r="F212" s="69" t="n"/>
      <c r="G212" s="13" t="n"/>
      <c r="H212" s="13" t="n"/>
      <c r="I212" s="13" t="n"/>
      <c r="J212" s="13" t="n"/>
      <c r="K212" s="16">
        <f>IF($A212="","",1)</f>
        <v/>
      </c>
    </row>
    <row r="213">
      <c r="A213" s="13" t="n"/>
      <c r="B213" s="13" t="n"/>
      <c r="C213" s="13" t="n"/>
      <c r="D213" s="13" t="n"/>
      <c r="E213" s="68" t="n"/>
      <c r="F213" s="69" t="n"/>
      <c r="G213" s="13" t="n"/>
      <c r="H213" s="13" t="n"/>
      <c r="I213" s="13" t="n"/>
      <c r="J213" s="13" t="n"/>
      <c r="K213" s="16">
        <f>IF($A213="","",1)</f>
        <v/>
      </c>
    </row>
    <row r="214">
      <c r="A214" s="13" t="n"/>
      <c r="B214" s="13" t="n"/>
      <c r="C214" s="13" t="n"/>
      <c r="D214" s="13" t="n"/>
      <c r="E214" s="68" t="n"/>
      <c r="F214" s="69" t="n"/>
      <c r="G214" s="13" t="n"/>
      <c r="H214" s="13" t="n"/>
      <c r="I214" s="13" t="n"/>
      <c r="J214" s="13" t="n"/>
      <c r="K214" s="16">
        <f>IF($A214="","",1)</f>
        <v/>
      </c>
    </row>
    <row r="215">
      <c r="A215" s="13" t="n"/>
      <c r="B215" s="13" t="n"/>
      <c r="C215" s="13" t="n"/>
      <c r="D215" s="13" t="n"/>
      <c r="E215" s="68" t="n"/>
      <c r="F215" s="69" t="n"/>
      <c r="G215" s="13" t="n"/>
      <c r="H215" s="13" t="n"/>
      <c r="I215" s="13" t="n"/>
      <c r="J215" s="13" t="n"/>
      <c r="K215" s="16">
        <f>IF($A215="","",1)</f>
        <v/>
      </c>
    </row>
    <row r="216">
      <c r="A216" s="13" t="n"/>
      <c r="B216" s="13" t="n"/>
      <c r="C216" s="13" t="n"/>
      <c r="D216" s="13" t="n"/>
      <c r="E216" s="68" t="n"/>
      <c r="F216" s="69" t="n"/>
      <c r="G216" s="13" t="n"/>
      <c r="H216" s="13" t="n"/>
      <c r="I216" s="13" t="n"/>
      <c r="J216" s="13" t="n"/>
      <c r="K216" s="16">
        <f>IF($A216="","",1)</f>
        <v/>
      </c>
    </row>
    <row r="217">
      <c r="A217" s="13" t="n"/>
      <c r="B217" s="13" t="n"/>
      <c r="C217" s="13" t="n"/>
      <c r="D217" s="13" t="n"/>
      <c r="E217" s="68" t="n"/>
      <c r="F217" s="69" t="n"/>
      <c r="G217" s="13" t="n"/>
      <c r="H217" s="13" t="n"/>
      <c r="I217" s="13" t="n"/>
      <c r="J217" s="13" t="n"/>
      <c r="K217" s="16">
        <f>IF($A217="","",1)</f>
        <v/>
      </c>
    </row>
    <row r="218">
      <c r="A218" s="13" t="n"/>
      <c r="B218" s="13" t="n"/>
      <c r="C218" s="13" t="n"/>
      <c r="D218" s="13" t="n"/>
      <c r="E218" s="68" t="n"/>
      <c r="F218" s="69" t="n"/>
      <c r="G218" s="13" t="n"/>
      <c r="H218" s="13" t="n"/>
      <c r="I218" s="13" t="n"/>
      <c r="J218" s="13" t="n"/>
      <c r="K218" s="16">
        <f>IF($A218="","",1)</f>
        <v/>
      </c>
    </row>
    <row r="219">
      <c r="A219" s="13" t="n"/>
      <c r="B219" s="13" t="n"/>
      <c r="C219" s="13" t="n"/>
      <c r="D219" s="13" t="n"/>
      <c r="E219" s="68" t="n"/>
      <c r="F219" s="69" t="n"/>
      <c r="G219" s="13" t="n"/>
      <c r="H219" s="13" t="n"/>
      <c r="I219" s="13" t="n"/>
      <c r="J219" s="13" t="n"/>
      <c r="K219" s="16">
        <f>IF($A219="","",1)</f>
        <v/>
      </c>
    </row>
    <row r="220">
      <c r="A220" s="13" t="n"/>
      <c r="B220" s="13" t="n"/>
      <c r="C220" s="13" t="n"/>
      <c r="D220" s="13" t="n"/>
      <c r="E220" s="68" t="n"/>
      <c r="F220" s="69" t="n"/>
      <c r="G220" s="13" t="n"/>
      <c r="H220" s="13" t="n"/>
      <c r="I220" s="13" t="n"/>
      <c r="J220" s="13" t="n"/>
      <c r="K220" s="16">
        <f>IF($A220="","",1)</f>
        <v/>
      </c>
    </row>
    <row r="221">
      <c r="A221" s="13" t="n"/>
      <c r="B221" s="13" t="n"/>
      <c r="C221" s="13" t="n"/>
      <c r="D221" s="13" t="n"/>
      <c r="E221" s="68" t="n"/>
      <c r="F221" s="69" t="n"/>
      <c r="G221" s="13" t="n"/>
      <c r="H221" s="13" t="n"/>
      <c r="I221" s="13" t="n"/>
      <c r="J221" s="13" t="n"/>
      <c r="K221" s="16">
        <f>IF($A221="","",1)</f>
        <v/>
      </c>
    </row>
    <row r="222">
      <c r="A222" s="13" t="n"/>
      <c r="B222" s="13" t="n"/>
      <c r="C222" s="13" t="n"/>
      <c r="D222" s="13" t="n"/>
      <c r="E222" s="68" t="n"/>
      <c r="F222" s="69" t="n"/>
      <c r="G222" s="13" t="n"/>
      <c r="H222" s="13" t="n"/>
      <c r="I222" s="13" t="n"/>
      <c r="J222" s="13" t="n"/>
      <c r="K222" s="16">
        <f>IF($A222="","",1)</f>
        <v/>
      </c>
    </row>
    <row r="223">
      <c r="A223" s="13" t="n"/>
      <c r="B223" s="13" t="n"/>
      <c r="C223" s="13" t="n"/>
      <c r="D223" s="13" t="n"/>
      <c r="E223" s="68" t="n"/>
      <c r="F223" s="69" t="n"/>
      <c r="G223" s="13" t="n"/>
      <c r="H223" s="13" t="n"/>
      <c r="I223" s="13" t="n"/>
      <c r="J223" s="13" t="n"/>
      <c r="K223" s="16">
        <f>IF($A223="","",1)</f>
        <v/>
      </c>
    </row>
    <row r="224">
      <c r="A224" s="13" t="n"/>
      <c r="B224" s="13" t="n"/>
      <c r="C224" s="13" t="n"/>
      <c r="D224" s="13" t="n"/>
      <c r="E224" s="68" t="n"/>
      <c r="F224" s="69" t="n"/>
      <c r="G224" s="13" t="n"/>
      <c r="H224" s="13" t="n"/>
      <c r="I224" s="13" t="n"/>
      <c r="J224" s="13" t="n"/>
      <c r="K224" s="16">
        <f>IF($A224="","",1)</f>
        <v/>
      </c>
    </row>
    <row r="225">
      <c r="A225" s="13" t="n"/>
      <c r="B225" s="13" t="n"/>
      <c r="C225" s="13" t="n"/>
      <c r="D225" s="13" t="n"/>
      <c r="E225" s="68" t="n"/>
      <c r="F225" s="69" t="n"/>
      <c r="G225" s="13" t="n"/>
      <c r="H225" s="13" t="n"/>
      <c r="I225" s="13" t="n"/>
      <c r="J225" s="13" t="n"/>
      <c r="K225" s="16">
        <f>IF($A225="","",1)</f>
        <v/>
      </c>
    </row>
    <row r="226">
      <c r="A226" s="13" t="n"/>
      <c r="B226" s="13" t="n"/>
      <c r="C226" s="13" t="n"/>
      <c r="D226" s="13" t="n"/>
      <c r="E226" s="68" t="n"/>
      <c r="F226" s="69" t="n"/>
      <c r="G226" s="13" t="n"/>
      <c r="H226" s="13" t="n"/>
      <c r="I226" s="13" t="n"/>
      <c r="J226" s="13" t="n"/>
      <c r="K226" s="16">
        <f>IF($A226="","",1)</f>
        <v/>
      </c>
    </row>
    <row r="227">
      <c r="A227" s="13" t="n"/>
      <c r="B227" s="13" t="n"/>
      <c r="C227" s="13" t="n"/>
      <c r="D227" s="13" t="n"/>
      <c r="E227" s="68" t="n"/>
      <c r="F227" s="69" t="n"/>
      <c r="G227" s="13" t="n"/>
      <c r="H227" s="13" t="n"/>
      <c r="I227" s="13" t="n"/>
      <c r="J227" s="13" t="n"/>
      <c r="K227" s="16">
        <f>IF($A227="","",1)</f>
        <v/>
      </c>
    </row>
    <row r="228">
      <c r="A228" s="13" t="n"/>
      <c r="B228" s="13" t="n"/>
      <c r="C228" s="13" t="n"/>
      <c r="D228" s="13" t="n"/>
      <c r="E228" s="68" t="n"/>
      <c r="F228" s="69" t="n"/>
      <c r="G228" s="13" t="n"/>
      <c r="H228" s="13" t="n"/>
      <c r="I228" s="13" t="n"/>
      <c r="J228" s="13" t="n"/>
      <c r="K228" s="16">
        <f>IF($A228="","",1)</f>
        <v/>
      </c>
    </row>
    <row r="229">
      <c r="A229" s="13" t="n"/>
      <c r="B229" s="13" t="n"/>
      <c r="C229" s="13" t="n"/>
      <c r="D229" s="13" t="n"/>
      <c r="E229" s="68" t="n"/>
      <c r="F229" s="69" t="n"/>
      <c r="G229" s="13" t="n"/>
      <c r="H229" s="13" t="n"/>
      <c r="I229" s="13" t="n"/>
      <c r="J229" s="13" t="n"/>
      <c r="K229" s="16">
        <f>IF($A229="","",1)</f>
        <v/>
      </c>
    </row>
    <row r="230">
      <c r="A230" s="13" t="n"/>
      <c r="B230" s="13" t="n"/>
      <c r="C230" s="13" t="n"/>
      <c r="D230" s="13" t="n"/>
      <c r="E230" s="68" t="n"/>
      <c r="F230" s="69" t="n"/>
      <c r="G230" s="13" t="n"/>
      <c r="H230" s="13" t="n"/>
      <c r="I230" s="13" t="n"/>
      <c r="J230" s="13" t="n"/>
      <c r="K230" s="16">
        <f>IF($A230="","",1)</f>
        <v/>
      </c>
    </row>
    <row r="231">
      <c r="A231" s="13" t="n"/>
      <c r="B231" s="13" t="n"/>
      <c r="C231" s="13" t="n"/>
      <c r="D231" s="13" t="n"/>
      <c r="E231" s="68" t="n"/>
      <c r="F231" s="69" t="n"/>
      <c r="G231" s="13" t="n"/>
      <c r="H231" s="13" t="n"/>
      <c r="I231" s="13" t="n"/>
      <c r="J231" s="13" t="n"/>
      <c r="K231" s="16">
        <f>IF($A231="","",1)</f>
        <v/>
      </c>
    </row>
    <row r="232">
      <c r="A232" s="13" t="n"/>
      <c r="B232" s="13" t="n"/>
      <c r="C232" s="13" t="n"/>
      <c r="D232" s="13" t="n"/>
      <c r="E232" s="68" t="n"/>
      <c r="F232" s="69" t="n"/>
      <c r="G232" s="13" t="n"/>
      <c r="H232" s="13" t="n"/>
      <c r="I232" s="13" t="n"/>
      <c r="J232" s="13" t="n"/>
      <c r="K232" s="16">
        <f>IF($A232="","",1)</f>
        <v/>
      </c>
    </row>
    <row r="233">
      <c r="A233" s="13" t="n"/>
      <c r="B233" s="13" t="n"/>
      <c r="C233" s="13" t="n"/>
      <c r="D233" s="13" t="n"/>
      <c r="E233" s="68" t="n"/>
      <c r="F233" s="69" t="n"/>
      <c r="G233" s="13" t="n"/>
      <c r="H233" s="13" t="n"/>
      <c r="I233" s="13" t="n"/>
      <c r="J233" s="13" t="n"/>
      <c r="K233" s="16">
        <f>IF($A233="","",1)</f>
        <v/>
      </c>
    </row>
    <row r="234">
      <c r="A234" s="13" t="n"/>
      <c r="B234" s="13" t="n"/>
      <c r="C234" s="13" t="n"/>
      <c r="D234" s="13" t="n"/>
      <c r="E234" s="68" t="n"/>
      <c r="F234" s="69" t="n"/>
      <c r="G234" s="13" t="n"/>
      <c r="H234" s="13" t="n"/>
      <c r="I234" s="13" t="n"/>
      <c r="J234" s="13" t="n"/>
      <c r="K234" s="16">
        <f>IF($A234="","",1)</f>
        <v/>
      </c>
    </row>
    <row r="235">
      <c r="A235" s="13" t="n"/>
      <c r="B235" s="13" t="n"/>
      <c r="C235" s="13" t="n"/>
      <c r="D235" s="13" t="n"/>
      <c r="E235" s="68" t="n"/>
      <c r="F235" s="69" t="n"/>
      <c r="G235" s="13" t="n"/>
      <c r="H235" s="13" t="n"/>
      <c r="I235" s="13" t="n"/>
      <c r="J235" s="13" t="n"/>
      <c r="K235" s="16">
        <f>IF($A235="","",1)</f>
        <v/>
      </c>
    </row>
    <row r="236">
      <c r="A236" s="13" t="n"/>
      <c r="B236" s="13" t="n"/>
      <c r="C236" s="13" t="n"/>
      <c r="D236" s="13" t="n"/>
      <c r="E236" s="68" t="n"/>
      <c r="F236" s="69" t="n"/>
      <c r="G236" s="13" t="n"/>
      <c r="H236" s="13" t="n"/>
      <c r="I236" s="13" t="n"/>
      <c r="J236" s="13" t="n"/>
      <c r="K236" s="16">
        <f>IF($A236="","",1)</f>
        <v/>
      </c>
    </row>
    <row r="237">
      <c r="A237" s="13" t="n"/>
      <c r="B237" s="13" t="n"/>
      <c r="C237" s="13" t="n"/>
      <c r="D237" s="13" t="n"/>
      <c r="E237" s="68" t="n"/>
      <c r="F237" s="69" t="n"/>
      <c r="G237" s="13" t="n"/>
      <c r="H237" s="13" t="n"/>
      <c r="I237" s="13" t="n"/>
      <c r="J237" s="13" t="n"/>
      <c r="K237" s="16">
        <f>IF($A237="","",1)</f>
        <v/>
      </c>
    </row>
    <row r="238">
      <c r="A238" s="13" t="n"/>
      <c r="B238" s="13" t="n"/>
      <c r="C238" s="13" t="n"/>
      <c r="D238" s="13" t="n"/>
      <c r="E238" s="68" t="n"/>
      <c r="F238" s="69" t="n"/>
      <c r="G238" s="13" t="n"/>
      <c r="H238" s="13" t="n"/>
      <c r="I238" s="13" t="n"/>
      <c r="J238" s="13" t="n"/>
      <c r="K238" s="16">
        <f>IF($A238="","",1)</f>
        <v/>
      </c>
    </row>
    <row r="239">
      <c r="A239" s="13" t="n"/>
      <c r="B239" s="13" t="n"/>
      <c r="C239" s="13" t="n"/>
      <c r="D239" s="13" t="n"/>
      <c r="E239" s="68" t="n"/>
      <c r="F239" s="69" t="n"/>
      <c r="G239" s="13" t="n"/>
      <c r="H239" s="13" t="n"/>
      <c r="I239" s="13" t="n"/>
      <c r="J239" s="13" t="n"/>
      <c r="K239" s="16">
        <f>IF($A239="","",1)</f>
        <v/>
      </c>
    </row>
    <row r="240">
      <c r="A240" s="13" t="n"/>
      <c r="B240" s="13" t="n"/>
      <c r="C240" s="13" t="n"/>
      <c r="D240" s="13" t="n"/>
      <c r="E240" s="68" t="n"/>
      <c r="F240" s="69" t="n"/>
      <c r="G240" s="13" t="n"/>
      <c r="H240" s="13" t="n"/>
      <c r="I240" s="13" t="n"/>
      <c r="J240" s="13" t="n"/>
      <c r="K240" s="16">
        <f>IF($A240="","",1)</f>
        <v/>
      </c>
    </row>
    <row r="241">
      <c r="A241" s="13" t="n"/>
      <c r="B241" s="13" t="n"/>
      <c r="C241" s="13" t="n"/>
      <c r="D241" s="13" t="n"/>
      <c r="E241" s="68" t="n"/>
      <c r="F241" s="69" t="n"/>
      <c r="G241" s="13" t="n"/>
      <c r="H241" s="13" t="n"/>
      <c r="I241" s="13" t="n"/>
      <c r="J241" s="13" t="n"/>
      <c r="K241" s="16">
        <f>IF($A241="","",1)</f>
        <v/>
      </c>
    </row>
    <row r="242">
      <c r="A242" s="13" t="n"/>
      <c r="B242" s="13" t="n"/>
      <c r="C242" s="13" t="n"/>
      <c r="D242" s="13" t="n"/>
      <c r="E242" s="68" t="n"/>
      <c r="F242" s="69" t="n"/>
      <c r="G242" s="13" t="n"/>
      <c r="H242" s="13" t="n"/>
      <c r="I242" s="13" t="n"/>
      <c r="J242" s="13" t="n"/>
      <c r="K242" s="16">
        <f>IF($A242="","",1)</f>
        <v/>
      </c>
    </row>
    <row r="243">
      <c r="A243" s="13" t="n"/>
      <c r="B243" s="13" t="n"/>
      <c r="C243" s="13" t="n"/>
      <c r="D243" s="13" t="n"/>
      <c r="E243" s="68" t="n"/>
      <c r="F243" s="69" t="n"/>
      <c r="G243" s="13" t="n"/>
      <c r="H243" s="13" t="n"/>
      <c r="I243" s="13" t="n"/>
      <c r="J243" s="13" t="n"/>
      <c r="K243" s="16">
        <f>IF($A243="","",1)</f>
        <v/>
      </c>
    </row>
    <row r="244">
      <c r="A244" s="13" t="n"/>
      <c r="B244" s="13" t="n"/>
      <c r="C244" s="13" t="n"/>
      <c r="D244" s="13" t="n"/>
      <c r="E244" s="68" t="n"/>
      <c r="F244" s="69" t="n"/>
      <c r="G244" s="13" t="n"/>
      <c r="H244" s="13" t="n"/>
      <c r="I244" s="13" t="n"/>
      <c r="J244" s="13" t="n"/>
      <c r="K244" s="16">
        <f>IF($A244="","",1)</f>
        <v/>
      </c>
    </row>
    <row r="245">
      <c r="A245" s="13" t="n"/>
      <c r="B245" s="13" t="n"/>
      <c r="C245" s="13" t="n"/>
      <c r="D245" s="13" t="n"/>
      <c r="E245" s="68" t="n"/>
      <c r="F245" s="69" t="n"/>
      <c r="G245" s="13" t="n"/>
      <c r="H245" s="13" t="n"/>
      <c r="I245" s="13" t="n"/>
      <c r="J245" s="13" t="n"/>
      <c r="K245" s="16">
        <f>IF($A245="","",1)</f>
        <v/>
      </c>
    </row>
    <row r="246">
      <c r="A246" s="13" t="n"/>
      <c r="B246" s="13" t="n"/>
      <c r="C246" s="13" t="n"/>
      <c r="D246" s="13" t="n"/>
      <c r="E246" s="68" t="n"/>
      <c r="F246" s="69" t="n"/>
      <c r="G246" s="13" t="n"/>
      <c r="H246" s="13" t="n"/>
      <c r="I246" s="13" t="n"/>
      <c r="J246" s="13" t="n"/>
      <c r="K246" s="16">
        <f>IF($A246="","",1)</f>
        <v/>
      </c>
    </row>
    <row r="247">
      <c r="A247" s="13" t="n"/>
      <c r="B247" s="13" t="n"/>
      <c r="C247" s="13" t="n"/>
      <c r="D247" s="13" t="n"/>
      <c r="E247" s="68" t="n"/>
      <c r="F247" s="69" t="n"/>
      <c r="G247" s="13" t="n"/>
      <c r="H247" s="13" t="n"/>
      <c r="I247" s="13" t="n"/>
      <c r="J247" s="13" t="n"/>
      <c r="K247" s="16">
        <f>IF($A247="","",1)</f>
        <v/>
      </c>
    </row>
    <row r="248">
      <c r="A248" s="13" t="n"/>
      <c r="B248" s="13" t="n"/>
      <c r="C248" s="13" t="n"/>
      <c r="D248" s="13" t="n"/>
      <c r="E248" s="68" t="n"/>
      <c r="F248" s="69" t="n"/>
      <c r="G248" s="13" t="n"/>
      <c r="H248" s="13" t="n"/>
      <c r="I248" s="13" t="n"/>
      <c r="J248" s="13" t="n"/>
      <c r="K248" s="16">
        <f>IF($A248="","",1)</f>
        <v/>
      </c>
    </row>
    <row r="249">
      <c r="A249" s="13" t="n"/>
      <c r="B249" s="13" t="n"/>
      <c r="C249" s="13" t="n"/>
      <c r="D249" s="13" t="n"/>
      <c r="E249" s="68" t="n"/>
      <c r="F249" s="69" t="n"/>
      <c r="G249" s="13" t="n"/>
      <c r="H249" s="13" t="n"/>
      <c r="I249" s="13" t="n"/>
      <c r="J249" s="13" t="n"/>
      <c r="K249" s="16">
        <f>IF($A249="","",1)</f>
        <v/>
      </c>
    </row>
    <row r="250">
      <c r="A250" s="13" t="n"/>
      <c r="B250" s="13" t="n"/>
      <c r="C250" s="13" t="n"/>
      <c r="D250" s="13" t="n"/>
      <c r="E250" s="68" t="n"/>
      <c r="F250" s="69" t="n"/>
      <c r="G250" s="13" t="n"/>
      <c r="H250" s="13" t="n"/>
      <c r="I250" s="13" t="n"/>
      <c r="J250" s="13" t="n"/>
      <c r="K250" s="16">
        <f>IF($A250="","",1)</f>
        <v/>
      </c>
    </row>
    <row r="251">
      <c r="A251" s="13" t="n"/>
      <c r="B251" s="13" t="n"/>
      <c r="C251" s="13" t="n"/>
      <c r="D251" s="13" t="n"/>
      <c r="E251" s="68" t="n"/>
      <c r="F251" s="69" t="n"/>
      <c r="G251" s="13" t="n"/>
      <c r="H251" s="13" t="n"/>
      <c r="I251" s="13" t="n"/>
      <c r="J251" s="13" t="n"/>
      <c r="K251" s="16">
        <f>IF($A251="","",1)</f>
        <v/>
      </c>
    </row>
    <row r="252">
      <c r="A252" s="13" t="n"/>
      <c r="B252" s="13" t="n"/>
      <c r="C252" s="13" t="n"/>
      <c r="D252" s="13" t="n"/>
      <c r="E252" s="68" t="n"/>
      <c r="F252" s="69" t="n"/>
      <c r="G252" s="13" t="n"/>
      <c r="H252" s="13" t="n"/>
      <c r="I252" s="13" t="n"/>
      <c r="J252" s="13" t="n"/>
      <c r="K252" s="16">
        <f>IF($A252="","",1)</f>
        <v/>
      </c>
    </row>
    <row r="253">
      <c r="A253" s="13" t="n"/>
      <c r="B253" s="13" t="n"/>
      <c r="C253" s="13" t="n"/>
      <c r="D253" s="13" t="n"/>
      <c r="E253" s="68" t="n"/>
      <c r="F253" s="69" t="n"/>
      <c r="G253" s="13" t="n"/>
      <c r="H253" s="13" t="n"/>
      <c r="I253" s="13" t="n"/>
      <c r="J253" s="13" t="n"/>
      <c r="K253" s="16">
        <f>IF($A253="","",1)</f>
        <v/>
      </c>
    </row>
    <row r="254">
      <c r="A254" s="13" t="n"/>
      <c r="B254" s="13" t="n"/>
      <c r="C254" s="13" t="n"/>
      <c r="D254" s="13" t="n"/>
      <c r="E254" s="68" t="n"/>
      <c r="F254" s="69" t="n"/>
      <c r="G254" s="13" t="n"/>
      <c r="H254" s="13" t="n"/>
      <c r="I254" s="13" t="n"/>
      <c r="J254" s="13" t="n"/>
      <c r="K254" s="16">
        <f>IF($A254="","",1)</f>
        <v/>
      </c>
    </row>
    <row r="255">
      <c r="A255" s="13" t="n"/>
      <c r="B255" s="13" t="n"/>
      <c r="C255" s="13" t="n"/>
      <c r="D255" s="13" t="n"/>
      <c r="E255" s="68" t="n"/>
      <c r="F255" s="69" t="n"/>
      <c r="G255" s="13" t="n"/>
      <c r="H255" s="13" t="n"/>
      <c r="I255" s="13" t="n"/>
      <c r="J255" s="13" t="n"/>
      <c r="K255" s="16">
        <f>IF($A255="","",1)</f>
        <v/>
      </c>
    </row>
    <row r="256">
      <c r="A256" s="13" t="n"/>
      <c r="B256" s="13" t="n"/>
      <c r="C256" s="13" t="n"/>
      <c r="D256" s="13" t="n"/>
      <c r="E256" s="68" t="n"/>
      <c r="F256" s="69" t="n"/>
      <c r="G256" s="13" t="n"/>
      <c r="H256" s="13" t="n"/>
      <c r="I256" s="13" t="n"/>
      <c r="J256" s="13" t="n"/>
      <c r="K256" s="16">
        <f>IF($A256="","",1)</f>
        <v/>
      </c>
    </row>
    <row r="257">
      <c r="A257" s="13" t="n"/>
      <c r="B257" s="13" t="n"/>
      <c r="C257" s="13" t="n"/>
      <c r="D257" s="13" t="n"/>
      <c r="E257" s="68" t="n"/>
      <c r="F257" s="69" t="n"/>
      <c r="G257" s="13" t="n"/>
      <c r="H257" s="13" t="n"/>
      <c r="I257" s="13" t="n"/>
      <c r="J257" s="13" t="n"/>
      <c r="K257" s="16">
        <f>IF($A257="","",1)</f>
        <v/>
      </c>
    </row>
    <row r="258">
      <c r="A258" s="13" t="n"/>
      <c r="B258" s="13" t="n"/>
      <c r="C258" s="13" t="n"/>
      <c r="D258" s="13" t="n"/>
      <c r="E258" s="68" t="n"/>
      <c r="F258" s="69" t="n"/>
      <c r="G258" s="13" t="n"/>
      <c r="H258" s="13" t="n"/>
      <c r="I258" s="13" t="n"/>
      <c r="J258" s="13" t="n"/>
      <c r="K258" s="16">
        <f>IF($A258="","",1)</f>
        <v/>
      </c>
    </row>
    <row r="259">
      <c r="A259" s="13" t="n"/>
      <c r="B259" s="13" t="n"/>
      <c r="C259" s="13" t="n"/>
      <c r="D259" s="13" t="n"/>
      <c r="E259" s="68" t="n"/>
      <c r="F259" s="69" t="n"/>
      <c r="G259" s="13" t="n"/>
      <c r="H259" s="13" t="n"/>
      <c r="I259" s="13" t="n"/>
      <c r="J259" s="13" t="n"/>
      <c r="K259" s="16">
        <f>IF($A259="","",1)</f>
        <v/>
      </c>
    </row>
    <row r="260">
      <c r="A260" s="13" t="n"/>
      <c r="B260" s="13" t="n"/>
      <c r="C260" s="13" t="n"/>
      <c r="D260" s="13" t="n"/>
      <c r="E260" s="68" t="n"/>
      <c r="F260" s="69" t="n"/>
      <c r="G260" s="13" t="n"/>
      <c r="H260" s="13" t="n"/>
      <c r="I260" s="13" t="n"/>
      <c r="J260" s="13" t="n"/>
      <c r="K260" s="16">
        <f>IF($A260="","",1)</f>
        <v/>
      </c>
    </row>
    <row r="261">
      <c r="A261" s="13" t="n"/>
      <c r="B261" s="13" t="n"/>
      <c r="C261" s="13" t="n"/>
      <c r="D261" s="13" t="n"/>
      <c r="E261" s="68" t="n"/>
      <c r="F261" s="69" t="n"/>
      <c r="G261" s="13" t="n"/>
      <c r="H261" s="13" t="n"/>
      <c r="I261" s="13" t="n"/>
      <c r="J261" s="13" t="n"/>
      <c r="K261" s="16">
        <f>IF($A261="","",1)</f>
        <v/>
      </c>
    </row>
    <row r="262">
      <c r="A262" s="13" t="n"/>
      <c r="B262" s="13" t="n"/>
      <c r="C262" s="13" t="n"/>
      <c r="D262" s="13" t="n"/>
      <c r="E262" s="68" t="n"/>
      <c r="F262" s="69" t="n"/>
      <c r="G262" s="13" t="n"/>
      <c r="H262" s="13" t="n"/>
      <c r="I262" s="13" t="n"/>
      <c r="J262" s="13" t="n"/>
      <c r="K262" s="16">
        <f>IF($A262="","",1)</f>
        <v/>
      </c>
    </row>
    <row r="263">
      <c r="A263" s="13" t="n"/>
      <c r="B263" s="13" t="n"/>
      <c r="C263" s="13" t="n"/>
      <c r="D263" s="13" t="n"/>
      <c r="E263" s="68" t="n"/>
      <c r="F263" s="69" t="n"/>
      <c r="G263" s="13" t="n"/>
      <c r="H263" s="13" t="n"/>
      <c r="I263" s="13" t="n"/>
      <c r="J263" s="13" t="n"/>
      <c r="K263" s="16">
        <f>IF($A263="","",1)</f>
        <v/>
      </c>
    </row>
    <row r="264">
      <c r="A264" s="13" t="n"/>
      <c r="B264" s="13" t="n"/>
      <c r="C264" s="13" t="n"/>
      <c r="D264" s="13" t="n"/>
      <c r="E264" s="68" t="n"/>
      <c r="F264" s="69" t="n"/>
      <c r="G264" s="13" t="n"/>
      <c r="H264" s="13" t="n"/>
      <c r="I264" s="13" t="n"/>
      <c r="J264" s="13" t="n"/>
      <c r="K264" s="16">
        <f>IF($A264="","",1)</f>
        <v/>
      </c>
    </row>
    <row r="265">
      <c r="A265" s="13" t="n"/>
      <c r="B265" s="13" t="n"/>
      <c r="C265" s="13" t="n"/>
      <c r="D265" s="13" t="n"/>
      <c r="E265" s="68" t="n"/>
      <c r="F265" s="69" t="n"/>
      <c r="G265" s="13" t="n"/>
      <c r="H265" s="13" t="n"/>
      <c r="I265" s="13" t="n"/>
      <c r="J265" s="13" t="n"/>
      <c r="K265" s="16">
        <f>IF($A265="","",1)</f>
        <v/>
      </c>
    </row>
    <row r="266">
      <c r="A266" s="13" t="n"/>
      <c r="B266" s="13" t="n"/>
      <c r="C266" s="13" t="n"/>
      <c r="D266" s="13" t="n"/>
      <c r="E266" s="68" t="n"/>
      <c r="F266" s="69" t="n"/>
      <c r="G266" s="13" t="n"/>
      <c r="H266" s="13" t="n"/>
      <c r="I266" s="13" t="n"/>
      <c r="J266" s="13" t="n"/>
      <c r="K266" s="16">
        <f>IF($A266="","",1)</f>
        <v/>
      </c>
    </row>
    <row r="267">
      <c r="A267" s="13" t="n"/>
      <c r="B267" s="13" t="n"/>
      <c r="C267" s="13" t="n"/>
      <c r="D267" s="13" t="n"/>
      <c r="E267" s="68" t="n"/>
      <c r="F267" s="69" t="n"/>
      <c r="G267" s="13" t="n"/>
      <c r="H267" s="13" t="n"/>
      <c r="I267" s="13" t="n"/>
      <c r="J267" s="13" t="n"/>
      <c r="K267" s="16">
        <f>IF($A267="","",1)</f>
        <v/>
      </c>
    </row>
    <row r="268">
      <c r="A268" s="13" t="n"/>
      <c r="B268" s="13" t="n"/>
      <c r="C268" s="13" t="n"/>
      <c r="D268" s="13" t="n"/>
      <c r="E268" s="68" t="n"/>
      <c r="F268" s="69" t="n"/>
      <c r="G268" s="13" t="n"/>
      <c r="H268" s="13" t="n"/>
      <c r="I268" s="13" t="n"/>
      <c r="J268" s="13" t="n"/>
      <c r="K268" s="16">
        <f>IF($A268="","",1)</f>
        <v/>
      </c>
    </row>
    <row r="269">
      <c r="A269" s="13" t="n"/>
      <c r="B269" s="13" t="n"/>
      <c r="C269" s="13" t="n"/>
      <c r="D269" s="13" t="n"/>
      <c r="E269" s="68" t="n"/>
      <c r="F269" s="69" t="n"/>
      <c r="G269" s="13" t="n"/>
      <c r="H269" s="13" t="n"/>
      <c r="I269" s="13" t="n"/>
      <c r="J269" s="13" t="n"/>
      <c r="K269" s="16">
        <f>IF($A269="","",1)</f>
        <v/>
      </c>
    </row>
    <row r="270">
      <c r="A270" s="13" t="n"/>
      <c r="B270" s="13" t="n"/>
      <c r="C270" s="13" t="n"/>
      <c r="D270" s="13" t="n"/>
      <c r="E270" s="68" t="n"/>
      <c r="F270" s="69" t="n"/>
      <c r="G270" s="13" t="n"/>
      <c r="H270" s="13" t="n"/>
      <c r="I270" s="13" t="n"/>
      <c r="J270" s="13" t="n"/>
      <c r="K270" s="16">
        <f>IF($A270="","",1)</f>
        <v/>
      </c>
    </row>
    <row r="271">
      <c r="A271" s="13" t="n"/>
      <c r="B271" s="13" t="n"/>
      <c r="C271" s="13" t="n"/>
      <c r="D271" s="13" t="n"/>
      <c r="E271" s="68" t="n"/>
      <c r="F271" s="69" t="n"/>
      <c r="G271" s="13" t="n"/>
      <c r="H271" s="13" t="n"/>
      <c r="I271" s="13" t="n"/>
      <c r="J271" s="13" t="n"/>
      <c r="K271" s="16">
        <f>IF($A271="","",1)</f>
        <v/>
      </c>
    </row>
    <row r="272">
      <c r="A272" s="13" t="n"/>
      <c r="B272" s="13" t="n"/>
      <c r="C272" s="13" t="n"/>
      <c r="D272" s="13" t="n"/>
      <c r="E272" s="68" t="n"/>
      <c r="F272" s="69" t="n"/>
      <c r="G272" s="13" t="n"/>
      <c r="H272" s="13" t="n"/>
      <c r="I272" s="13" t="n"/>
      <c r="J272" s="13" t="n"/>
      <c r="K272" s="16">
        <f>IF($A272="","",1)</f>
        <v/>
      </c>
    </row>
    <row r="273">
      <c r="A273" s="13" t="n"/>
      <c r="B273" s="13" t="n"/>
      <c r="C273" s="13" t="n"/>
      <c r="D273" s="13" t="n"/>
      <c r="E273" s="68" t="n"/>
      <c r="F273" s="69" t="n"/>
      <c r="G273" s="13" t="n"/>
      <c r="H273" s="13" t="n"/>
      <c r="I273" s="13" t="n"/>
      <c r="J273" s="13" t="n"/>
      <c r="K273" s="16">
        <f>IF($A273="","",1)</f>
        <v/>
      </c>
    </row>
    <row r="274">
      <c r="A274" s="13" t="n"/>
      <c r="B274" s="13" t="n"/>
      <c r="C274" s="13" t="n"/>
      <c r="D274" s="13" t="n"/>
      <c r="E274" s="68" t="n"/>
      <c r="F274" s="69" t="n"/>
      <c r="G274" s="13" t="n"/>
      <c r="H274" s="13" t="n"/>
      <c r="I274" s="13" t="n"/>
      <c r="J274" s="13" t="n"/>
      <c r="K274" s="16">
        <f>IF($A274="","",1)</f>
        <v/>
      </c>
    </row>
    <row r="275">
      <c r="A275" s="13" t="n"/>
      <c r="B275" s="13" t="n"/>
      <c r="C275" s="13" t="n"/>
      <c r="D275" s="13" t="n"/>
      <c r="E275" s="68" t="n"/>
      <c r="F275" s="69" t="n"/>
      <c r="G275" s="13" t="n"/>
      <c r="H275" s="13" t="n"/>
      <c r="I275" s="13" t="n"/>
      <c r="J275" s="13" t="n"/>
      <c r="K275" s="16">
        <f>IF($A275="","",1)</f>
        <v/>
      </c>
    </row>
    <row r="276">
      <c r="A276" s="13" t="n"/>
      <c r="B276" s="13" t="n"/>
      <c r="C276" s="13" t="n"/>
      <c r="D276" s="13" t="n"/>
      <c r="E276" s="68" t="n"/>
      <c r="F276" s="69" t="n"/>
      <c r="G276" s="13" t="n"/>
      <c r="H276" s="13" t="n"/>
      <c r="I276" s="13" t="n"/>
      <c r="J276" s="13" t="n"/>
      <c r="K276" s="16">
        <f>IF($A276="","",1)</f>
        <v/>
      </c>
    </row>
    <row r="277">
      <c r="A277" s="13" t="n"/>
      <c r="B277" s="13" t="n"/>
      <c r="C277" s="13" t="n"/>
      <c r="D277" s="13" t="n"/>
      <c r="E277" s="68" t="n"/>
      <c r="F277" s="69" t="n"/>
      <c r="G277" s="13" t="n"/>
      <c r="H277" s="13" t="n"/>
      <c r="I277" s="13" t="n"/>
      <c r="J277" s="13" t="n"/>
      <c r="K277" s="16">
        <f>IF($A277="","",1)</f>
        <v/>
      </c>
    </row>
    <row r="278">
      <c r="A278" s="13" t="n"/>
      <c r="B278" s="13" t="n"/>
      <c r="C278" s="13" t="n"/>
      <c r="D278" s="13" t="n"/>
      <c r="E278" s="68" t="n"/>
      <c r="F278" s="69" t="n"/>
      <c r="G278" s="13" t="n"/>
      <c r="H278" s="13" t="n"/>
      <c r="I278" s="13" t="n"/>
      <c r="J278" s="13" t="n"/>
      <c r="K278" s="16">
        <f>IF($A278="","",1)</f>
        <v/>
      </c>
    </row>
    <row r="279">
      <c r="A279" s="13" t="n"/>
      <c r="B279" s="13" t="n"/>
      <c r="C279" s="13" t="n"/>
      <c r="D279" s="13" t="n"/>
      <c r="E279" s="68" t="n"/>
      <c r="F279" s="69" t="n"/>
      <c r="G279" s="13" t="n"/>
      <c r="H279" s="13" t="n"/>
      <c r="I279" s="13" t="n"/>
      <c r="J279" s="13" t="n"/>
      <c r="K279" s="16">
        <f>IF($A279="","",1)</f>
        <v/>
      </c>
    </row>
    <row r="280">
      <c r="A280" s="13" t="n"/>
      <c r="B280" s="13" t="n"/>
      <c r="C280" s="13" t="n"/>
      <c r="D280" s="13" t="n"/>
      <c r="E280" s="68" t="n"/>
      <c r="F280" s="69" t="n"/>
      <c r="G280" s="13" t="n"/>
      <c r="H280" s="13" t="n"/>
      <c r="I280" s="13" t="n"/>
      <c r="J280" s="13" t="n"/>
      <c r="K280" s="16">
        <f>IF($A280="","",1)</f>
        <v/>
      </c>
    </row>
    <row r="281">
      <c r="A281" s="13" t="n"/>
      <c r="B281" s="13" t="n"/>
      <c r="C281" s="13" t="n"/>
      <c r="D281" s="13" t="n"/>
      <c r="E281" s="68" t="n"/>
      <c r="F281" s="69" t="n"/>
      <c r="G281" s="13" t="n"/>
      <c r="H281" s="13" t="n"/>
      <c r="I281" s="13" t="n"/>
      <c r="J281" s="13" t="n"/>
      <c r="K281" s="16">
        <f>IF($A281="","",1)</f>
        <v/>
      </c>
    </row>
    <row r="282">
      <c r="A282" s="13" t="n"/>
      <c r="B282" s="13" t="n"/>
      <c r="C282" s="13" t="n"/>
      <c r="D282" s="13" t="n"/>
      <c r="E282" s="68" t="n"/>
      <c r="F282" s="69" t="n"/>
      <c r="G282" s="13" t="n"/>
      <c r="H282" s="13" t="n"/>
      <c r="I282" s="13" t="n"/>
      <c r="J282" s="13" t="n"/>
      <c r="K282" s="16">
        <f>IF($A282="","",1)</f>
        <v/>
      </c>
    </row>
    <row r="283">
      <c r="A283" s="13" t="n"/>
      <c r="B283" s="13" t="n"/>
      <c r="C283" s="13" t="n"/>
      <c r="D283" s="13" t="n"/>
      <c r="E283" s="68" t="n"/>
      <c r="F283" s="69" t="n"/>
      <c r="G283" s="13" t="n"/>
      <c r="H283" s="13" t="n"/>
      <c r="I283" s="13" t="n"/>
      <c r="J283" s="13" t="n"/>
      <c r="K283" s="16">
        <f>IF($A283="","",1)</f>
        <v/>
      </c>
    </row>
    <row r="284">
      <c r="A284" s="13" t="n"/>
      <c r="B284" s="13" t="n"/>
      <c r="C284" s="13" t="n"/>
      <c r="D284" s="13" t="n"/>
      <c r="E284" s="68" t="n"/>
      <c r="F284" s="69" t="n"/>
      <c r="G284" s="13" t="n"/>
      <c r="H284" s="13" t="n"/>
      <c r="I284" s="13" t="n"/>
      <c r="J284" s="13" t="n"/>
      <c r="K284" s="16">
        <f>IF($A284="","",1)</f>
        <v/>
      </c>
    </row>
    <row r="285">
      <c r="A285" s="13" t="n"/>
      <c r="B285" s="13" t="n"/>
      <c r="C285" s="13" t="n"/>
      <c r="D285" s="13" t="n"/>
      <c r="E285" s="68" t="n"/>
      <c r="F285" s="69" t="n"/>
      <c r="G285" s="13" t="n"/>
      <c r="H285" s="13" t="n"/>
      <c r="I285" s="13" t="n"/>
      <c r="J285" s="13" t="n"/>
      <c r="K285" s="16">
        <f>IF($A285="","",1)</f>
        <v/>
      </c>
    </row>
    <row r="286">
      <c r="A286" s="13" t="n"/>
      <c r="B286" s="13" t="n"/>
      <c r="C286" s="13" t="n"/>
      <c r="D286" s="13" t="n"/>
      <c r="E286" s="68" t="n"/>
      <c r="F286" s="69" t="n"/>
      <c r="G286" s="13" t="n"/>
      <c r="H286" s="13" t="n"/>
      <c r="I286" s="13" t="n"/>
      <c r="J286" s="13" t="n"/>
      <c r="K286" s="16">
        <f>IF($A286="","",1)</f>
        <v/>
      </c>
    </row>
    <row r="287">
      <c r="A287" s="13" t="n"/>
      <c r="B287" s="13" t="n"/>
      <c r="C287" s="13" t="n"/>
      <c r="D287" s="13" t="n"/>
      <c r="E287" s="68" t="n"/>
      <c r="F287" s="69" t="n"/>
      <c r="G287" s="13" t="n"/>
      <c r="H287" s="13" t="n"/>
      <c r="I287" s="13" t="n"/>
      <c r="J287" s="13" t="n"/>
      <c r="K287" s="16">
        <f>IF($A287="","",1)</f>
        <v/>
      </c>
    </row>
    <row r="288">
      <c r="A288" s="13" t="n"/>
      <c r="B288" s="13" t="n"/>
      <c r="C288" s="13" t="n"/>
      <c r="D288" s="13" t="n"/>
      <c r="E288" s="68" t="n"/>
      <c r="F288" s="69" t="n"/>
      <c r="G288" s="13" t="n"/>
      <c r="H288" s="13" t="n"/>
      <c r="I288" s="13" t="n"/>
      <c r="J288" s="13" t="n"/>
      <c r="K288" s="16">
        <f>IF($A288="","",1)</f>
        <v/>
      </c>
    </row>
    <row r="289">
      <c r="A289" s="13" t="n"/>
      <c r="B289" s="13" t="n"/>
      <c r="C289" s="13" t="n"/>
      <c r="D289" s="13" t="n"/>
      <c r="E289" s="68" t="n"/>
      <c r="F289" s="69" t="n"/>
      <c r="G289" s="13" t="n"/>
      <c r="H289" s="13" t="n"/>
      <c r="I289" s="13" t="n"/>
      <c r="J289" s="13" t="n"/>
      <c r="K289" s="16">
        <f>IF($A289="","",1)</f>
        <v/>
      </c>
    </row>
    <row r="290">
      <c r="A290" s="13" t="n"/>
      <c r="B290" s="13" t="n"/>
      <c r="C290" s="13" t="n"/>
      <c r="D290" s="13" t="n"/>
      <c r="E290" s="68" t="n"/>
      <c r="F290" s="69" t="n"/>
      <c r="G290" s="13" t="n"/>
      <c r="H290" s="13" t="n"/>
      <c r="I290" s="13" t="n"/>
      <c r="J290" s="13" t="n"/>
      <c r="K290" s="16">
        <f>IF($A290="","",1)</f>
        <v/>
      </c>
    </row>
    <row r="291">
      <c r="A291" s="13" t="n"/>
      <c r="B291" s="13" t="n"/>
      <c r="C291" s="13" t="n"/>
      <c r="D291" s="13" t="n"/>
      <c r="E291" s="68" t="n"/>
      <c r="F291" s="69" t="n"/>
      <c r="G291" s="13" t="n"/>
      <c r="H291" s="13" t="n"/>
      <c r="I291" s="13" t="n"/>
      <c r="J291" s="13" t="n"/>
      <c r="K291" s="16">
        <f>IF($A291="","",1)</f>
        <v/>
      </c>
    </row>
    <row r="292">
      <c r="A292" s="13" t="n"/>
      <c r="B292" s="13" t="n"/>
      <c r="C292" s="13" t="n"/>
      <c r="D292" s="13" t="n"/>
      <c r="E292" s="68" t="n"/>
      <c r="F292" s="69" t="n"/>
      <c r="G292" s="13" t="n"/>
      <c r="H292" s="13" t="n"/>
      <c r="I292" s="13" t="n"/>
      <c r="J292" s="13" t="n"/>
      <c r="K292" s="16">
        <f>IF($A292="","",1)</f>
        <v/>
      </c>
    </row>
    <row r="293">
      <c r="A293" s="13" t="n"/>
      <c r="B293" s="13" t="n"/>
      <c r="C293" s="13" t="n"/>
      <c r="D293" s="13" t="n"/>
      <c r="E293" s="68" t="n"/>
      <c r="F293" s="69" t="n"/>
      <c r="G293" s="13" t="n"/>
      <c r="H293" s="13" t="n"/>
      <c r="I293" s="13" t="n"/>
      <c r="J293" s="13" t="n"/>
      <c r="K293" s="16">
        <f>IF($A293="","",1)</f>
        <v/>
      </c>
    </row>
    <row r="294">
      <c r="A294" s="13" t="n"/>
      <c r="B294" s="13" t="n"/>
      <c r="C294" s="13" t="n"/>
      <c r="D294" s="13" t="n"/>
      <c r="E294" s="68" t="n"/>
      <c r="F294" s="69" t="n"/>
      <c r="G294" s="13" t="n"/>
      <c r="H294" s="13" t="n"/>
      <c r="I294" s="13" t="n"/>
      <c r="J294" s="13" t="n"/>
      <c r="K294" s="16">
        <f>IF($A294="","",1)</f>
        <v/>
      </c>
    </row>
    <row r="295">
      <c r="A295" s="13" t="n"/>
      <c r="B295" s="13" t="n"/>
      <c r="C295" s="13" t="n"/>
      <c r="D295" s="13" t="n"/>
      <c r="E295" s="68" t="n"/>
      <c r="F295" s="69" t="n"/>
      <c r="G295" s="13" t="n"/>
      <c r="H295" s="13" t="n"/>
      <c r="I295" s="13" t="n"/>
      <c r="J295" s="13" t="n"/>
      <c r="K295" s="16">
        <f>IF($A295="","",1)</f>
        <v/>
      </c>
    </row>
    <row r="296">
      <c r="A296" s="13" t="n"/>
      <c r="B296" s="13" t="n"/>
      <c r="C296" s="13" t="n"/>
      <c r="D296" s="13" t="n"/>
      <c r="E296" s="68" t="n"/>
      <c r="F296" s="69" t="n"/>
      <c r="G296" s="13" t="n"/>
      <c r="H296" s="13" t="n"/>
      <c r="I296" s="13" t="n"/>
      <c r="J296" s="13" t="n"/>
      <c r="K296" s="16">
        <f>IF($A296="","",1)</f>
        <v/>
      </c>
    </row>
    <row r="297">
      <c r="A297" s="13" t="n"/>
      <c r="B297" s="13" t="n"/>
      <c r="C297" s="13" t="n"/>
      <c r="D297" s="13" t="n"/>
      <c r="E297" s="68" t="n"/>
      <c r="F297" s="69" t="n"/>
      <c r="G297" s="13" t="n"/>
      <c r="H297" s="13" t="n"/>
      <c r="I297" s="13" t="n"/>
      <c r="J297" s="13" t="n"/>
      <c r="K297" s="16">
        <f>IF($A297="","",1)</f>
        <v/>
      </c>
    </row>
    <row r="298">
      <c r="A298" s="13" t="n"/>
      <c r="B298" s="13" t="n"/>
      <c r="C298" s="13" t="n"/>
      <c r="D298" s="13" t="n"/>
      <c r="E298" s="68" t="n"/>
      <c r="F298" s="69" t="n"/>
      <c r="G298" s="13" t="n"/>
      <c r="H298" s="13" t="n"/>
      <c r="I298" s="13" t="n"/>
      <c r="J298" s="13" t="n"/>
      <c r="K298" s="16">
        <f>IF($A298="","",1)</f>
        <v/>
      </c>
    </row>
    <row r="299">
      <c r="A299" s="13" t="n"/>
      <c r="B299" s="13" t="n"/>
      <c r="C299" s="13" t="n"/>
      <c r="D299" s="13" t="n"/>
      <c r="E299" s="68" t="n"/>
      <c r="F299" s="69" t="n"/>
      <c r="G299" s="13" t="n"/>
      <c r="H299" s="13" t="n"/>
      <c r="I299" s="13" t="n"/>
      <c r="J299" s="13" t="n"/>
      <c r="K299" s="16">
        <f>IF($A299="","",1)</f>
        <v/>
      </c>
    </row>
    <row r="300">
      <c r="A300" s="13" t="n"/>
      <c r="B300" s="13" t="n"/>
      <c r="C300" s="13" t="n"/>
      <c r="D300" s="13" t="n"/>
      <c r="E300" s="68" t="n"/>
      <c r="F300" s="69" t="n"/>
      <c r="G300" s="13" t="n"/>
      <c r="H300" s="13" t="n"/>
      <c r="I300" s="13" t="n"/>
      <c r="J300" s="13" t="n"/>
      <c r="K300" s="16">
        <f>IF($A300="","",1)</f>
        <v/>
      </c>
    </row>
    <row r="301">
      <c r="A301" s="13" t="n"/>
      <c r="B301" s="13" t="n"/>
      <c r="C301" s="13" t="n"/>
      <c r="D301" s="13" t="n"/>
      <c r="E301" s="68" t="n"/>
      <c r="F301" s="69" t="n"/>
      <c r="G301" s="13" t="n"/>
      <c r="H301" s="13" t="n"/>
      <c r="I301" s="13" t="n"/>
      <c r="J301" s="13" t="n"/>
      <c r="K301" s="16">
        <f>IF($A301="","",1)</f>
        <v/>
      </c>
    </row>
    <row r="302">
      <c r="A302" s="13" t="n"/>
      <c r="B302" s="13" t="n"/>
      <c r="C302" s="13" t="n"/>
      <c r="D302" s="13" t="n"/>
      <c r="E302" s="68" t="n"/>
      <c r="F302" s="69" t="n"/>
      <c r="G302" s="13" t="n"/>
      <c r="H302" s="13" t="n"/>
      <c r="I302" s="13" t="n"/>
      <c r="J302" s="13" t="n"/>
      <c r="K302" s="16">
        <f>IF($A302="","",1)</f>
        <v/>
      </c>
    </row>
    <row r="303">
      <c r="A303" s="13" t="n"/>
      <c r="B303" s="13" t="n"/>
      <c r="C303" s="13" t="n"/>
      <c r="D303" s="13" t="n"/>
      <c r="E303" s="68" t="n"/>
      <c r="F303" s="69" t="n"/>
      <c r="G303" s="13" t="n"/>
      <c r="H303" s="13" t="n"/>
      <c r="I303" s="13" t="n"/>
      <c r="J303" s="13" t="n"/>
      <c r="K303" s="16">
        <f>IF($A303="","",1)</f>
        <v/>
      </c>
    </row>
    <row r="304">
      <c r="A304" s="13" t="n"/>
      <c r="B304" s="13" t="n"/>
      <c r="C304" s="13" t="n"/>
      <c r="D304" s="13" t="n"/>
      <c r="E304" s="68" t="n"/>
      <c r="F304" s="69" t="n"/>
      <c r="G304" s="13" t="n"/>
      <c r="H304" s="13" t="n"/>
      <c r="I304" s="13" t="n"/>
      <c r="J304" s="13" t="n"/>
      <c r="K304" s="16">
        <f>IF($A304="","",1)</f>
        <v/>
      </c>
    </row>
    <row r="305">
      <c r="A305" s="13" t="n"/>
      <c r="B305" s="13" t="n"/>
      <c r="C305" s="13" t="n"/>
      <c r="D305" s="13" t="n"/>
      <c r="E305" s="68" t="n"/>
      <c r="F305" s="69" t="n"/>
      <c r="G305" s="13" t="n"/>
      <c r="H305" s="13" t="n"/>
      <c r="I305" s="13" t="n"/>
      <c r="J305" s="13" t="n"/>
      <c r="K305" s="16">
        <f>IF($A305="","",1)</f>
        <v/>
      </c>
    </row>
    <row r="306">
      <c r="A306" s="13" t="n"/>
      <c r="B306" s="13" t="n"/>
      <c r="C306" s="13" t="n"/>
      <c r="D306" s="13" t="n"/>
      <c r="E306" s="68" t="n"/>
      <c r="F306" s="69" t="n"/>
      <c r="G306" s="13" t="n"/>
      <c r="H306" s="13" t="n"/>
      <c r="I306" s="13" t="n"/>
      <c r="J306" s="13" t="n"/>
      <c r="K306" s="16">
        <f>IF($A306="","",1)</f>
        <v/>
      </c>
    </row>
    <row r="307">
      <c r="A307" s="13" t="n"/>
      <c r="B307" s="13" t="n"/>
      <c r="C307" s="13" t="n"/>
      <c r="D307" s="13" t="n"/>
      <c r="E307" s="68" t="n"/>
      <c r="F307" s="69" t="n"/>
      <c r="G307" s="13" t="n"/>
      <c r="H307" s="13" t="n"/>
      <c r="I307" s="13" t="n"/>
      <c r="J307" s="13" t="n"/>
      <c r="K307" s="16">
        <f>IF($A307="","",1)</f>
        <v/>
      </c>
    </row>
    <row r="308">
      <c r="A308" s="13" t="n"/>
      <c r="B308" s="13" t="n"/>
      <c r="C308" s="13" t="n"/>
      <c r="D308" s="13" t="n"/>
      <c r="E308" s="68" t="n"/>
      <c r="F308" s="69" t="n"/>
      <c r="G308" s="13" t="n"/>
      <c r="H308" s="13" t="n"/>
      <c r="I308" s="13" t="n"/>
      <c r="J308" s="13" t="n"/>
      <c r="K308" s="16">
        <f>IF($A308="","",1)</f>
        <v/>
      </c>
    </row>
    <row r="309">
      <c r="A309" s="13" t="n"/>
      <c r="B309" s="13" t="n"/>
      <c r="C309" s="13" t="n"/>
      <c r="D309" s="13" t="n"/>
      <c r="E309" s="68" t="n"/>
      <c r="F309" s="69" t="n"/>
      <c r="G309" s="13" t="n"/>
      <c r="H309" s="13" t="n"/>
      <c r="I309" s="13" t="n"/>
      <c r="J309" s="13" t="n"/>
      <c r="K309" s="16">
        <f>IF($A309="","",1)</f>
        <v/>
      </c>
    </row>
    <row r="310">
      <c r="A310" s="13" t="n"/>
      <c r="B310" s="13" t="n"/>
      <c r="C310" s="13" t="n"/>
      <c r="D310" s="13" t="n"/>
      <c r="E310" s="68" t="n"/>
      <c r="F310" s="69" t="n"/>
      <c r="G310" s="13" t="n"/>
      <c r="H310" s="13" t="n"/>
      <c r="I310" s="13" t="n"/>
      <c r="J310" s="13" t="n"/>
      <c r="K310" s="16">
        <f>IF($A310="","",1)</f>
        <v/>
      </c>
    </row>
    <row r="311">
      <c r="A311" s="13" t="n"/>
      <c r="B311" s="13" t="n"/>
      <c r="C311" s="13" t="n"/>
      <c r="D311" s="13" t="n"/>
      <c r="E311" s="68" t="n"/>
      <c r="F311" s="69" t="n"/>
      <c r="G311" s="13" t="n"/>
      <c r="H311" s="13" t="n"/>
      <c r="I311" s="13" t="n"/>
      <c r="J311" s="13" t="n"/>
      <c r="K311" s="16">
        <f>IF($A311="","",1)</f>
        <v/>
      </c>
    </row>
    <row r="312">
      <c r="A312" s="13" t="n"/>
      <c r="B312" s="13" t="n"/>
      <c r="C312" s="13" t="n"/>
      <c r="D312" s="13" t="n"/>
      <c r="E312" s="68" t="n"/>
      <c r="F312" s="69" t="n"/>
      <c r="G312" s="13" t="n"/>
      <c r="H312" s="13" t="n"/>
      <c r="I312" s="13" t="n"/>
      <c r="J312" s="13" t="n"/>
      <c r="K312" s="16">
        <f>IF($A312="","",1)</f>
        <v/>
      </c>
    </row>
    <row r="313">
      <c r="A313" s="13" t="n"/>
      <c r="B313" s="13" t="n"/>
      <c r="C313" s="13" t="n"/>
      <c r="D313" s="13" t="n"/>
      <c r="E313" s="68" t="n"/>
      <c r="F313" s="69" t="n"/>
      <c r="G313" s="13" t="n"/>
      <c r="H313" s="13" t="n"/>
      <c r="I313" s="13" t="n"/>
      <c r="J313" s="13" t="n"/>
      <c r="K313" s="16">
        <f>IF($A313="","",1)</f>
        <v/>
      </c>
    </row>
    <row r="314">
      <c r="A314" s="13" t="n"/>
      <c r="B314" s="13" t="n"/>
      <c r="C314" s="13" t="n"/>
      <c r="D314" s="13" t="n"/>
      <c r="E314" s="68" t="n"/>
      <c r="F314" s="69" t="n"/>
      <c r="G314" s="13" t="n"/>
      <c r="H314" s="13" t="n"/>
      <c r="I314" s="13" t="n"/>
      <c r="J314" s="13" t="n"/>
      <c r="K314" s="16">
        <f>IF($A314="","",1)</f>
        <v/>
      </c>
    </row>
    <row r="315">
      <c r="A315" s="13" t="n"/>
      <c r="B315" s="13" t="n"/>
      <c r="C315" s="13" t="n"/>
      <c r="D315" s="13" t="n"/>
      <c r="E315" s="68" t="n"/>
      <c r="F315" s="69" t="n"/>
      <c r="G315" s="13" t="n"/>
      <c r="H315" s="13" t="n"/>
      <c r="I315" s="13" t="n"/>
      <c r="J315" s="13" t="n"/>
      <c r="K315" s="16">
        <f>IF($A315="","",1)</f>
        <v/>
      </c>
    </row>
    <row r="316">
      <c r="A316" s="13" t="n"/>
      <c r="B316" s="13" t="n"/>
      <c r="C316" s="13" t="n"/>
      <c r="D316" s="13" t="n"/>
      <c r="E316" s="68" t="n"/>
      <c r="F316" s="69" t="n"/>
      <c r="G316" s="13" t="n"/>
      <c r="H316" s="13" t="n"/>
      <c r="I316" s="13" t="n"/>
      <c r="J316" s="13" t="n"/>
      <c r="K316" s="16">
        <f>IF($A316="","",1)</f>
        <v/>
      </c>
    </row>
    <row r="317">
      <c r="A317" s="13" t="n"/>
      <c r="B317" s="13" t="n"/>
      <c r="C317" s="13" t="n"/>
      <c r="D317" s="13" t="n"/>
      <c r="E317" s="68" t="n"/>
      <c r="F317" s="69" t="n"/>
      <c r="G317" s="13" t="n"/>
      <c r="H317" s="13" t="n"/>
      <c r="I317" s="13" t="n"/>
      <c r="J317" s="13" t="n"/>
      <c r="K317" s="16">
        <f>IF($A317="","",1)</f>
        <v/>
      </c>
    </row>
    <row r="318">
      <c r="A318" s="13" t="n"/>
      <c r="B318" s="13" t="n"/>
      <c r="C318" s="13" t="n"/>
      <c r="D318" s="13" t="n"/>
      <c r="E318" s="68" t="n"/>
      <c r="F318" s="69" t="n"/>
      <c r="G318" s="13" t="n"/>
      <c r="H318" s="13" t="n"/>
      <c r="I318" s="13" t="n"/>
      <c r="J318" s="13" t="n"/>
      <c r="K318" s="16">
        <f>IF($A318="","",1)</f>
        <v/>
      </c>
    </row>
    <row r="319">
      <c r="A319" s="13" t="n"/>
      <c r="B319" s="13" t="n"/>
      <c r="C319" s="13" t="n"/>
      <c r="D319" s="13" t="n"/>
      <c r="E319" s="68" t="n"/>
      <c r="F319" s="69" t="n"/>
      <c r="G319" s="13" t="n"/>
      <c r="H319" s="13" t="n"/>
      <c r="I319" s="13" t="n"/>
      <c r="J319" s="13" t="n"/>
      <c r="K319" s="16">
        <f>IF($A319="","",1)</f>
        <v/>
      </c>
    </row>
    <row r="320">
      <c r="A320" s="13" t="n"/>
      <c r="B320" s="13" t="n"/>
      <c r="C320" s="13" t="n"/>
      <c r="D320" s="13" t="n"/>
      <c r="E320" s="68" t="n"/>
      <c r="F320" s="69" t="n"/>
      <c r="G320" s="13" t="n"/>
      <c r="H320" s="13" t="n"/>
      <c r="I320" s="13" t="n"/>
      <c r="J320" s="13" t="n"/>
      <c r="K320" s="16">
        <f>IF($A320="","",1)</f>
        <v/>
      </c>
    </row>
    <row r="321">
      <c r="A321" s="13" t="n"/>
      <c r="B321" s="13" t="n"/>
      <c r="C321" s="13" t="n"/>
      <c r="D321" s="13" t="n"/>
      <c r="E321" s="68" t="n"/>
      <c r="F321" s="69" t="n"/>
      <c r="G321" s="13" t="n"/>
      <c r="H321" s="13" t="n"/>
      <c r="I321" s="13" t="n"/>
      <c r="J321" s="13" t="n"/>
      <c r="K321" s="16">
        <f>IF($A321="","",1)</f>
        <v/>
      </c>
    </row>
    <row r="322">
      <c r="A322" s="13" t="n"/>
      <c r="B322" s="13" t="n"/>
      <c r="C322" s="13" t="n"/>
      <c r="D322" s="13" t="n"/>
      <c r="E322" s="68" t="n"/>
      <c r="F322" s="69" t="n"/>
      <c r="G322" s="13" t="n"/>
      <c r="H322" s="13" t="n"/>
      <c r="I322" s="13" t="n"/>
      <c r="J322" s="13" t="n"/>
      <c r="K322" s="16">
        <f>IF($A322="","",1)</f>
        <v/>
      </c>
    </row>
    <row r="323">
      <c r="A323" s="13" t="n"/>
      <c r="B323" s="13" t="n"/>
      <c r="C323" s="13" t="n"/>
      <c r="D323" s="13" t="n"/>
      <c r="E323" s="68" t="n"/>
      <c r="F323" s="69" t="n"/>
      <c r="G323" s="13" t="n"/>
      <c r="H323" s="13" t="n"/>
      <c r="I323" s="13" t="n"/>
      <c r="J323" s="13" t="n"/>
      <c r="K323" s="16">
        <f>IF($A323="","",1)</f>
        <v/>
      </c>
    </row>
    <row r="324">
      <c r="A324" s="13" t="n"/>
      <c r="B324" s="13" t="n"/>
      <c r="C324" s="13" t="n"/>
      <c r="D324" s="13" t="n"/>
      <c r="E324" s="68" t="n"/>
      <c r="F324" s="69" t="n"/>
      <c r="G324" s="13" t="n"/>
      <c r="H324" s="13" t="n"/>
      <c r="I324" s="13" t="n"/>
      <c r="J324" s="13" t="n"/>
      <c r="K324" s="16">
        <f>IF($A324="","",1)</f>
        <v/>
      </c>
    </row>
    <row r="325">
      <c r="A325" s="13" t="n"/>
      <c r="B325" s="13" t="n"/>
      <c r="C325" s="13" t="n"/>
      <c r="D325" s="13" t="n"/>
      <c r="E325" s="68" t="n"/>
      <c r="F325" s="69" t="n"/>
      <c r="G325" s="13" t="n"/>
      <c r="H325" s="13" t="n"/>
      <c r="I325" s="13" t="n"/>
      <c r="J325" s="13" t="n"/>
      <c r="K325" s="16">
        <f>IF($A325="","",1)</f>
        <v/>
      </c>
    </row>
    <row r="326">
      <c r="A326" s="13" t="n"/>
      <c r="B326" s="13" t="n"/>
      <c r="C326" s="13" t="n"/>
      <c r="D326" s="13" t="n"/>
      <c r="E326" s="68" t="n"/>
      <c r="F326" s="69" t="n"/>
      <c r="G326" s="13" t="n"/>
      <c r="H326" s="13" t="n"/>
      <c r="I326" s="13" t="n"/>
      <c r="J326" s="13" t="n"/>
      <c r="K326" s="16">
        <f>IF($A326="","",1)</f>
        <v/>
      </c>
    </row>
    <row r="327">
      <c r="A327" s="13" t="n"/>
      <c r="B327" s="13" t="n"/>
      <c r="C327" s="13" t="n"/>
      <c r="D327" s="13" t="n"/>
      <c r="E327" s="68" t="n"/>
      <c r="F327" s="69" t="n"/>
      <c r="G327" s="13" t="n"/>
      <c r="H327" s="13" t="n"/>
      <c r="I327" s="13" t="n"/>
      <c r="J327" s="13" t="n"/>
      <c r="K327" s="16">
        <f>IF($A327="","",1)</f>
        <v/>
      </c>
    </row>
    <row r="328">
      <c r="A328" s="13" t="n"/>
      <c r="B328" s="13" t="n"/>
      <c r="C328" s="13" t="n"/>
      <c r="D328" s="13" t="n"/>
      <c r="E328" s="68" t="n"/>
      <c r="F328" s="69" t="n"/>
      <c r="G328" s="13" t="n"/>
      <c r="H328" s="13" t="n"/>
      <c r="I328" s="13" t="n"/>
      <c r="J328" s="13" t="n"/>
      <c r="K328" s="16">
        <f>IF($A328="","",1)</f>
        <v/>
      </c>
    </row>
    <row r="329">
      <c r="A329" s="13" t="n"/>
      <c r="B329" s="13" t="n"/>
      <c r="C329" s="13" t="n"/>
      <c r="D329" s="13" t="n"/>
      <c r="E329" s="68" t="n"/>
      <c r="F329" s="69" t="n"/>
      <c r="G329" s="13" t="n"/>
      <c r="H329" s="13" t="n"/>
      <c r="I329" s="13" t="n"/>
      <c r="J329" s="13" t="n"/>
      <c r="K329" s="16">
        <f>IF($A329="","",1)</f>
        <v/>
      </c>
    </row>
    <row r="330">
      <c r="A330" s="13" t="n"/>
      <c r="B330" s="13" t="n"/>
      <c r="C330" s="13" t="n"/>
      <c r="D330" s="13" t="n"/>
      <c r="E330" s="68" t="n"/>
      <c r="F330" s="69" t="n"/>
      <c r="G330" s="13" t="n"/>
      <c r="H330" s="13" t="n"/>
      <c r="I330" s="13" t="n"/>
      <c r="J330" s="13" t="n"/>
      <c r="K330" s="16">
        <f>IF($A330="","",1)</f>
        <v/>
      </c>
    </row>
    <row r="331">
      <c r="A331" s="13" t="n"/>
      <c r="B331" s="13" t="n"/>
      <c r="C331" s="13" t="n"/>
      <c r="D331" s="13" t="n"/>
      <c r="E331" s="68" t="n"/>
      <c r="F331" s="69" t="n"/>
      <c r="G331" s="13" t="n"/>
      <c r="H331" s="13" t="n"/>
      <c r="I331" s="13" t="n"/>
      <c r="J331" s="13" t="n"/>
      <c r="K331" s="16">
        <f>IF($A331="","",1)</f>
        <v/>
      </c>
    </row>
    <row r="332">
      <c r="A332" s="13" t="n"/>
      <c r="B332" s="13" t="n"/>
      <c r="C332" s="13" t="n"/>
      <c r="D332" s="13" t="n"/>
      <c r="E332" s="68" t="n"/>
      <c r="F332" s="69" t="n"/>
      <c r="G332" s="13" t="n"/>
      <c r="H332" s="13" t="n"/>
      <c r="I332" s="13" t="n"/>
      <c r="J332" s="13" t="n"/>
      <c r="K332" s="16">
        <f>IF($A332="","",1)</f>
        <v/>
      </c>
    </row>
    <row r="333">
      <c r="A333" s="13" t="n"/>
      <c r="B333" s="13" t="n"/>
      <c r="C333" s="13" t="n"/>
      <c r="D333" s="13" t="n"/>
      <c r="E333" s="68" t="n"/>
      <c r="F333" s="69" t="n"/>
      <c r="G333" s="13" t="n"/>
      <c r="H333" s="13" t="n"/>
      <c r="I333" s="13" t="n"/>
      <c r="J333" s="13" t="n"/>
      <c r="K333" s="16">
        <f>IF($A333="","",1)</f>
        <v/>
      </c>
    </row>
    <row r="334">
      <c r="A334" s="13" t="n"/>
      <c r="B334" s="13" t="n"/>
      <c r="C334" s="13" t="n"/>
      <c r="D334" s="13" t="n"/>
      <c r="E334" s="68" t="n"/>
      <c r="F334" s="69" t="n"/>
      <c r="G334" s="13" t="n"/>
      <c r="H334" s="13" t="n"/>
      <c r="I334" s="13" t="n"/>
      <c r="J334" s="13" t="n"/>
      <c r="K334" s="16">
        <f>IF($A334="","",1)</f>
        <v/>
      </c>
    </row>
    <row r="335">
      <c r="A335" s="13" t="n"/>
      <c r="B335" s="13" t="n"/>
      <c r="C335" s="13" t="n"/>
      <c r="D335" s="13" t="n"/>
      <c r="E335" s="68" t="n"/>
      <c r="F335" s="69" t="n"/>
      <c r="G335" s="13" t="n"/>
      <c r="H335" s="13" t="n"/>
      <c r="I335" s="13" t="n"/>
      <c r="J335" s="13" t="n"/>
      <c r="K335" s="16">
        <f>IF($A335="","",1)</f>
        <v/>
      </c>
    </row>
    <row r="336">
      <c r="A336" s="13" t="n"/>
      <c r="B336" s="13" t="n"/>
      <c r="C336" s="13" t="n"/>
      <c r="D336" s="13" t="n"/>
      <c r="E336" s="68" t="n"/>
      <c r="F336" s="69" t="n"/>
      <c r="G336" s="13" t="n"/>
      <c r="H336" s="13" t="n"/>
      <c r="I336" s="13" t="n"/>
      <c r="J336" s="13" t="n"/>
      <c r="K336" s="16">
        <f>IF($A336="","",1)</f>
        <v/>
      </c>
    </row>
    <row r="337">
      <c r="A337" s="13" t="n"/>
      <c r="B337" s="13" t="n"/>
      <c r="C337" s="13" t="n"/>
      <c r="D337" s="13" t="n"/>
      <c r="E337" s="68" t="n"/>
      <c r="F337" s="69" t="n"/>
      <c r="G337" s="13" t="n"/>
      <c r="H337" s="13" t="n"/>
      <c r="I337" s="13" t="n"/>
      <c r="J337" s="13" t="n"/>
      <c r="K337" s="16">
        <f>IF($A337="","",1)</f>
        <v/>
      </c>
    </row>
    <row r="338">
      <c r="A338" s="13" t="n"/>
      <c r="B338" s="13" t="n"/>
      <c r="C338" s="13" t="n"/>
      <c r="D338" s="13" t="n"/>
      <c r="E338" s="68" t="n"/>
      <c r="F338" s="69" t="n"/>
      <c r="G338" s="13" t="n"/>
      <c r="H338" s="13" t="n"/>
      <c r="I338" s="13" t="n"/>
      <c r="J338" s="13" t="n"/>
      <c r="K338" s="16">
        <f>IF($A338="","",1)</f>
        <v/>
      </c>
    </row>
    <row r="339">
      <c r="A339" s="13" t="n"/>
      <c r="B339" s="13" t="n"/>
      <c r="C339" s="13" t="n"/>
      <c r="D339" s="13" t="n"/>
      <c r="E339" s="68" t="n"/>
      <c r="F339" s="69" t="n"/>
      <c r="G339" s="13" t="n"/>
      <c r="H339" s="13" t="n"/>
      <c r="I339" s="13" t="n"/>
      <c r="J339" s="13" t="n"/>
      <c r="K339" s="16">
        <f>IF($A339="","",1)</f>
        <v/>
      </c>
    </row>
    <row r="340">
      <c r="A340" s="13" t="n"/>
      <c r="B340" s="13" t="n"/>
      <c r="C340" s="13" t="n"/>
      <c r="D340" s="13" t="n"/>
      <c r="E340" s="68" t="n"/>
      <c r="F340" s="69" t="n"/>
      <c r="G340" s="13" t="n"/>
      <c r="H340" s="13" t="n"/>
      <c r="I340" s="13" t="n"/>
      <c r="J340" s="13" t="n"/>
      <c r="K340" s="16">
        <f>IF($A340="","",1)</f>
        <v/>
      </c>
    </row>
    <row r="341">
      <c r="A341" s="13" t="n"/>
      <c r="B341" s="13" t="n"/>
      <c r="C341" s="13" t="n"/>
      <c r="D341" s="13" t="n"/>
      <c r="E341" s="68" t="n"/>
      <c r="F341" s="69" t="n"/>
      <c r="G341" s="13" t="n"/>
      <c r="H341" s="13" t="n"/>
      <c r="I341" s="13" t="n"/>
      <c r="J341" s="13" t="n"/>
      <c r="K341" s="16">
        <f>IF($A341="","",1)</f>
        <v/>
      </c>
    </row>
    <row r="342">
      <c r="A342" s="13" t="n"/>
      <c r="B342" s="13" t="n"/>
      <c r="C342" s="13" t="n"/>
      <c r="D342" s="13" t="n"/>
      <c r="E342" s="68" t="n"/>
      <c r="F342" s="69" t="n"/>
      <c r="G342" s="13" t="n"/>
      <c r="H342" s="13" t="n"/>
      <c r="I342" s="13" t="n"/>
      <c r="J342" s="13" t="n"/>
      <c r="K342" s="16">
        <f>IF($A342="","",1)</f>
        <v/>
      </c>
    </row>
    <row r="343">
      <c r="A343" s="13" t="n"/>
      <c r="B343" s="13" t="n"/>
      <c r="C343" s="13" t="n"/>
      <c r="D343" s="13" t="n"/>
      <c r="E343" s="68" t="n"/>
      <c r="F343" s="69" t="n"/>
      <c r="G343" s="13" t="n"/>
      <c r="H343" s="13" t="n"/>
      <c r="I343" s="13" t="n"/>
      <c r="J343" s="13" t="n"/>
      <c r="K343" s="16">
        <f>IF($A343="","",1)</f>
        <v/>
      </c>
    </row>
    <row r="344">
      <c r="A344" s="13" t="n"/>
      <c r="B344" s="13" t="n"/>
      <c r="C344" s="13" t="n"/>
      <c r="D344" s="13" t="n"/>
      <c r="E344" s="68" t="n"/>
      <c r="F344" s="69" t="n"/>
      <c r="G344" s="13" t="n"/>
      <c r="H344" s="13" t="n"/>
      <c r="I344" s="13" t="n"/>
      <c r="J344" s="13" t="n"/>
      <c r="K344" s="16">
        <f>IF($A344="","",1)</f>
        <v/>
      </c>
    </row>
    <row r="345">
      <c r="A345" s="13" t="n"/>
      <c r="B345" s="13" t="n"/>
      <c r="C345" s="13" t="n"/>
      <c r="D345" s="13" t="n"/>
      <c r="E345" s="68" t="n"/>
      <c r="F345" s="69" t="n"/>
      <c r="G345" s="13" t="n"/>
      <c r="H345" s="13" t="n"/>
      <c r="I345" s="13" t="n"/>
      <c r="J345" s="13" t="n"/>
      <c r="K345" s="16">
        <f>IF($A345="","",1)</f>
        <v/>
      </c>
    </row>
    <row r="346">
      <c r="A346" s="13" t="n"/>
      <c r="B346" s="13" t="n"/>
      <c r="C346" s="13" t="n"/>
      <c r="D346" s="13" t="n"/>
      <c r="E346" s="68" t="n"/>
      <c r="F346" s="69" t="n"/>
      <c r="G346" s="13" t="n"/>
      <c r="H346" s="13" t="n"/>
      <c r="I346" s="13" t="n"/>
      <c r="J346" s="13" t="n"/>
      <c r="K346" s="16">
        <f>IF($A346="","",1)</f>
        <v/>
      </c>
    </row>
    <row r="347">
      <c r="A347" s="13" t="n"/>
      <c r="B347" s="13" t="n"/>
      <c r="C347" s="13" t="n"/>
      <c r="D347" s="13" t="n"/>
      <c r="E347" s="68" t="n"/>
      <c r="F347" s="69" t="n"/>
      <c r="G347" s="13" t="n"/>
      <c r="H347" s="13" t="n"/>
      <c r="I347" s="13" t="n"/>
      <c r="J347" s="13" t="n"/>
      <c r="K347" s="16">
        <f>IF($A347="","",1)</f>
        <v/>
      </c>
    </row>
    <row r="348">
      <c r="A348" s="13" t="n"/>
      <c r="B348" s="13" t="n"/>
      <c r="C348" s="13" t="n"/>
      <c r="D348" s="13" t="n"/>
      <c r="E348" s="68" t="n"/>
      <c r="F348" s="69" t="n"/>
      <c r="G348" s="13" t="n"/>
      <c r="H348" s="13" t="n"/>
      <c r="I348" s="13" t="n"/>
      <c r="J348" s="13" t="n"/>
      <c r="K348" s="16">
        <f>IF($A348="","",1)</f>
        <v/>
      </c>
    </row>
    <row r="349">
      <c r="A349" s="13" t="n"/>
      <c r="B349" s="13" t="n"/>
      <c r="C349" s="13" t="n"/>
      <c r="D349" s="13" t="n"/>
      <c r="E349" s="68" t="n"/>
      <c r="F349" s="69" t="n"/>
      <c r="G349" s="13" t="n"/>
      <c r="H349" s="13" t="n"/>
      <c r="I349" s="13" t="n"/>
      <c r="J349" s="13" t="n"/>
      <c r="K349" s="16">
        <f>IF($A349="","",1)</f>
        <v/>
      </c>
    </row>
    <row r="350">
      <c r="A350" s="13" t="n"/>
      <c r="B350" s="13" t="n"/>
      <c r="C350" s="13" t="n"/>
      <c r="D350" s="13" t="n"/>
      <c r="E350" s="68" t="n"/>
      <c r="F350" s="69" t="n"/>
      <c r="G350" s="13" t="n"/>
      <c r="H350" s="13" t="n"/>
      <c r="I350" s="13" t="n"/>
      <c r="J350" s="13" t="n"/>
      <c r="K350" s="16">
        <f>IF($A350="","",1)</f>
        <v/>
      </c>
    </row>
    <row r="351">
      <c r="A351" s="13" t="n"/>
      <c r="B351" s="13" t="n"/>
      <c r="C351" s="13" t="n"/>
      <c r="D351" s="13" t="n"/>
      <c r="E351" s="68" t="n"/>
      <c r="F351" s="69" t="n"/>
      <c r="G351" s="13" t="n"/>
      <c r="H351" s="13" t="n"/>
      <c r="I351" s="13" t="n"/>
      <c r="J351" s="13" t="n"/>
      <c r="K351" s="16">
        <f>IF($A351="","",1)</f>
        <v/>
      </c>
    </row>
    <row r="352">
      <c r="A352" s="13" t="n"/>
      <c r="B352" s="13" t="n"/>
      <c r="C352" s="13" t="n"/>
      <c r="D352" s="13" t="n"/>
      <c r="E352" s="68" t="n"/>
      <c r="F352" s="69" t="n"/>
      <c r="G352" s="13" t="n"/>
      <c r="H352" s="13" t="n"/>
      <c r="I352" s="13" t="n"/>
      <c r="J352" s="13" t="n"/>
      <c r="K352" s="16">
        <f>IF($A352="","",1)</f>
        <v/>
      </c>
    </row>
    <row r="353">
      <c r="A353" s="13" t="n"/>
      <c r="B353" s="13" t="n"/>
      <c r="C353" s="13" t="n"/>
      <c r="D353" s="13" t="n"/>
      <c r="E353" s="68" t="n"/>
      <c r="F353" s="69" t="n"/>
      <c r="G353" s="13" t="n"/>
      <c r="H353" s="13" t="n"/>
      <c r="I353" s="13" t="n"/>
      <c r="J353" s="13" t="n"/>
      <c r="K353" s="16">
        <f>IF($A353="","",1)</f>
        <v/>
      </c>
    </row>
    <row r="354">
      <c r="A354" s="13" t="n"/>
      <c r="B354" s="13" t="n"/>
      <c r="C354" s="13" t="n"/>
      <c r="D354" s="13" t="n"/>
      <c r="E354" s="68" t="n"/>
      <c r="F354" s="69" t="n"/>
      <c r="G354" s="13" t="n"/>
      <c r="H354" s="13" t="n"/>
      <c r="I354" s="13" t="n"/>
      <c r="J354" s="13" t="n"/>
      <c r="K354" s="16">
        <f>IF($A354="","",1)</f>
        <v/>
      </c>
    </row>
    <row r="355">
      <c r="A355" s="13" t="n"/>
      <c r="B355" s="13" t="n"/>
      <c r="C355" s="13" t="n"/>
      <c r="D355" s="13" t="n"/>
      <c r="E355" s="68" t="n"/>
      <c r="F355" s="69" t="n"/>
      <c r="G355" s="13" t="n"/>
      <c r="H355" s="13" t="n"/>
      <c r="I355" s="13" t="n"/>
      <c r="J355" s="13" t="n"/>
      <c r="K355" s="16">
        <f>IF($A355="","",1)</f>
        <v/>
      </c>
    </row>
    <row r="356">
      <c r="A356" s="13" t="n"/>
      <c r="B356" s="13" t="n"/>
      <c r="C356" s="13" t="n"/>
      <c r="D356" s="13" t="n"/>
      <c r="E356" s="68" t="n"/>
      <c r="F356" s="69" t="n"/>
      <c r="G356" s="13" t="n"/>
      <c r="H356" s="13" t="n"/>
      <c r="I356" s="13" t="n"/>
      <c r="J356" s="13" t="n"/>
      <c r="K356" s="16">
        <f>IF($A356="","",1)</f>
        <v/>
      </c>
    </row>
    <row r="357">
      <c r="A357" s="13" t="n"/>
      <c r="B357" s="13" t="n"/>
      <c r="C357" s="13" t="n"/>
      <c r="D357" s="13" t="n"/>
      <c r="E357" s="68" t="n"/>
      <c r="F357" s="69" t="n"/>
      <c r="G357" s="13" t="n"/>
      <c r="H357" s="13" t="n"/>
      <c r="I357" s="13" t="n"/>
      <c r="J357" s="13" t="n"/>
      <c r="K357" s="16">
        <f>IF($A357="","",1)</f>
        <v/>
      </c>
    </row>
    <row r="358">
      <c r="A358" s="13" t="n"/>
      <c r="B358" s="13" t="n"/>
      <c r="C358" s="13" t="n"/>
      <c r="D358" s="13" t="n"/>
      <c r="E358" s="68" t="n"/>
      <c r="F358" s="69" t="n"/>
      <c r="G358" s="13" t="n"/>
      <c r="H358" s="13" t="n"/>
      <c r="I358" s="13" t="n"/>
      <c r="J358" s="13" t="n"/>
      <c r="K358" s="16">
        <f>IF($A358="","",1)</f>
        <v/>
      </c>
    </row>
    <row r="359">
      <c r="A359" s="13" t="n"/>
      <c r="B359" s="13" t="n"/>
      <c r="C359" s="13" t="n"/>
      <c r="D359" s="13" t="n"/>
      <c r="E359" s="68" t="n"/>
      <c r="F359" s="69" t="n"/>
      <c r="G359" s="13" t="n"/>
      <c r="H359" s="13" t="n"/>
      <c r="I359" s="13" t="n"/>
      <c r="J359" s="13" t="n"/>
      <c r="K359" s="16">
        <f>IF($A359="","",1)</f>
        <v/>
      </c>
    </row>
    <row r="360">
      <c r="A360" s="13" t="n"/>
      <c r="B360" s="13" t="n"/>
      <c r="C360" s="13" t="n"/>
      <c r="D360" s="13" t="n"/>
      <c r="E360" s="68" t="n"/>
      <c r="F360" s="69" t="n"/>
      <c r="G360" s="13" t="n"/>
      <c r="H360" s="13" t="n"/>
      <c r="I360" s="13" t="n"/>
      <c r="J360" s="13" t="n"/>
      <c r="K360" s="16">
        <f>IF($A360="","",1)</f>
        <v/>
      </c>
    </row>
    <row r="361">
      <c r="A361" s="13" t="n"/>
      <c r="B361" s="13" t="n"/>
      <c r="C361" s="13" t="n"/>
      <c r="D361" s="13" t="n"/>
      <c r="E361" s="68" t="n"/>
      <c r="F361" s="69" t="n"/>
      <c r="G361" s="13" t="n"/>
      <c r="H361" s="13" t="n"/>
      <c r="I361" s="13" t="n"/>
      <c r="J361" s="13" t="n"/>
      <c r="K361" s="16">
        <f>IF($A361="","",1)</f>
        <v/>
      </c>
    </row>
    <row r="362">
      <c r="A362" s="13" t="n"/>
      <c r="B362" s="13" t="n"/>
      <c r="C362" s="13" t="n"/>
      <c r="D362" s="13" t="n"/>
      <c r="E362" s="68" t="n"/>
      <c r="F362" s="69" t="n"/>
      <c r="G362" s="13" t="n"/>
      <c r="H362" s="13" t="n"/>
      <c r="I362" s="13" t="n"/>
      <c r="J362" s="13" t="n"/>
      <c r="K362" s="16">
        <f>IF($A362="","",1)</f>
        <v/>
      </c>
    </row>
    <row r="363">
      <c r="A363" s="13" t="n"/>
      <c r="B363" s="13" t="n"/>
      <c r="C363" s="13" t="n"/>
      <c r="D363" s="13" t="n"/>
      <c r="E363" s="68" t="n"/>
      <c r="F363" s="69" t="n"/>
      <c r="G363" s="13" t="n"/>
      <c r="H363" s="13" t="n"/>
      <c r="I363" s="13" t="n"/>
      <c r="J363" s="13" t="n"/>
      <c r="K363" s="16">
        <f>IF($A363="","",1)</f>
        <v/>
      </c>
    </row>
    <row r="364">
      <c r="A364" s="13" t="n"/>
      <c r="B364" s="13" t="n"/>
      <c r="C364" s="13" t="n"/>
      <c r="D364" s="13" t="n"/>
      <c r="E364" s="68" t="n"/>
      <c r="F364" s="69" t="n"/>
      <c r="G364" s="13" t="n"/>
      <c r="H364" s="13" t="n"/>
      <c r="I364" s="13" t="n"/>
      <c r="J364" s="13" t="n"/>
      <c r="K364" s="16">
        <f>IF($A364="","",1)</f>
        <v/>
      </c>
    </row>
    <row r="365">
      <c r="A365" s="13" t="n"/>
      <c r="B365" s="13" t="n"/>
      <c r="C365" s="13" t="n"/>
      <c r="D365" s="13" t="n"/>
      <c r="E365" s="68" t="n"/>
      <c r="F365" s="69" t="n"/>
      <c r="G365" s="13" t="n"/>
      <c r="H365" s="13" t="n"/>
      <c r="I365" s="13" t="n"/>
      <c r="J365" s="13" t="n"/>
      <c r="K365" s="16">
        <f>IF($A365="","",1)</f>
        <v/>
      </c>
    </row>
    <row r="366">
      <c r="A366" s="13" t="n"/>
      <c r="B366" s="13" t="n"/>
      <c r="C366" s="13" t="n"/>
      <c r="D366" s="13" t="n"/>
      <c r="E366" s="68" t="n"/>
      <c r="F366" s="69" t="n"/>
      <c r="G366" s="13" t="n"/>
      <c r="H366" s="13" t="n"/>
      <c r="I366" s="13" t="n"/>
      <c r="J366" s="13" t="n"/>
      <c r="K366" s="16">
        <f>IF($A366="","",1)</f>
        <v/>
      </c>
    </row>
    <row r="367">
      <c r="A367" s="13" t="n"/>
      <c r="B367" s="13" t="n"/>
      <c r="C367" s="13" t="n"/>
      <c r="D367" s="13" t="n"/>
      <c r="E367" s="68" t="n"/>
      <c r="F367" s="69" t="n"/>
      <c r="G367" s="13" t="n"/>
      <c r="H367" s="13" t="n"/>
      <c r="I367" s="13" t="n"/>
      <c r="J367" s="13" t="n"/>
      <c r="K367" s="16">
        <f>IF($A367="","",1)</f>
        <v/>
      </c>
    </row>
    <row r="368">
      <c r="A368" s="13" t="n"/>
      <c r="B368" s="13" t="n"/>
      <c r="C368" s="13" t="n"/>
      <c r="D368" s="13" t="n"/>
      <c r="E368" s="68" t="n"/>
      <c r="F368" s="69" t="n"/>
      <c r="G368" s="13" t="n"/>
      <c r="H368" s="13" t="n"/>
      <c r="I368" s="13" t="n"/>
      <c r="J368" s="13" t="n"/>
      <c r="K368" s="16">
        <f>IF($A368="","",1)</f>
        <v/>
      </c>
    </row>
    <row r="369">
      <c r="A369" s="13" t="n"/>
      <c r="B369" s="13" t="n"/>
      <c r="C369" s="13" t="n"/>
      <c r="D369" s="13" t="n"/>
      <c r="E369" s="68" t="n"/>
      <c r="F369" s="69" t="n"/>
      <c r="G369" s="13" t="n"/>
      <c r="H369" s="13" t="n"/>
      <c r="I369" s="13" t="n"/>
      <c r="J369" s="13" t="n"/>
      <c r="K369" s="16">
        <f>IF($A369="","",1)</f>
        <v/>
      </c>
    </row>
    <row r="370">
      <c r="A370" s="13" t="n"/>
      <c r="B370" s="13" t="n"/>
      <c r="C370" s="13" t="n"/>
      <c r="D370" s="13" t="n"/>
      <c r="E370" s="68" t="n"/>
      <c r="F370" s="69" t="n"/>
      <c r="G370" s="13" t="n"/>
      <c r="H370" s="13" t="n"/>
      <c r="I370" s="13" t="n"/>
      <c r="J370" s="13" t="n"/>
      <c r="K370" s="16">
        <f>IF($A370="","",1)</f>
        <v/>
      </c>
    </row>
    <row r="371">
      <c r="A371" s="13" t="n"/>
      <c r="B371" s="13" t="n"/>
      <c r="C371" s="13" t="n"/>
      <c r="D371" s="13" t="n"/>
      <c r="E371" s="68" t="n"/>
      <c r="F371" s="69" t="n"/>
      <c r="G371" s="13" t="n"/>
      <c r="H371" s="13" t="n"/>
      <c r="I371" s="13" t="n"/>
      <c r="J371" s="13" t="n"/>
      <c r="K371" s="16">
        <f>IF($A371="","",1)</f>
        <v/>
      </c>
    </row>
    <row r="372">
      <c r="A372" s="13" t="n"/>
      <c r="B372" s="13" t="n"/>
      <c r="C372" s="13" t="n"/>
      <c r="D372" s="13" t="n"/>
      <c r="E372" s="68" t="n"/>
      <c r="F372" s="69" t="n"/>
      <c r="G372" s="13" t="n"/>
      <c r="H372" s="13" t="n"/>
      <c r="I372" s="13" t="n"/>
      <c r="J372" s="13" t="n"/>
      <c r="K372" s="16">
        <f>IF($A372="","",1)</f>
        <v/>
      </c>
    </row>
    <row r="373">
      <c r="A373" s="13" t="n"/>
      <c r="B373" s="13" t="n"/>
      <c r="C373" s="13" t="n"/>
      <c r="D373" s="13" t="n"/>
      <c r="E373" s="68" t="n"/>
      <c r="F373" s="69" t="n"/>
      <c r="G373" s="13" t="n"/>
      <c r="H373" s="13" t="n"/>
      <c r="I373" s="13" t="n"/>
      <c r="J373" s="13" t="n"/>
      <c r="K373" s="16">
        <f>IF($A373="","",1)</f>
        <v/>
      </c>
    </row>
    <row r="374">
      <c r="A374" s="13" t="n"/>
      <c r="B374" s="13" t="n"/>
      <c r="C374" s="13" t="n"/>
      <c r="D374" s="13" t="n"/>
      <c r="E374" s="68" t="n"/>
      <c r="F374" s="69" t="n"/>
      <c r="G374" s="13" t="n"/>
      <c r="H374" s="13" t="n"/>
      <c r="I374" s="13" t="n"/>
      <c r="J374" s="13" t="n"/>
      <c r="K374" s="16">
        <f>IF($A374="","",1)</f>
        <v/>
      </c>
    </row>
    <row r="375">
      <c r="A375" s="13" t="n"/>
      <c r="B375" s="13" t="n"/>
      <c r="C375" s="13" t="n"/>
      <c r="D375" s="13" t="n"/>
      <c r="E375" s="68" t="n"/>
      <c r="F375" s="69" t="n"/>
      <c r="G375" s="13" t="n"/>
      <c r="H375" s="13" t="n"/>
      <c r="I375" s="13" t="n"/>
      <c r="J375" s="13" t="n"/>
      <c r="K375" s="16">
        <f>IF($A375="","",1)</f>
        <v/>
      </c>
    </row>
    <row r="376">
      <c r="A376" s="13" t="n"/>
      <c r="B376" s="13" t="n"/>
      <c r="C376" s="13" t="n"/>
      <c r="D376" s="13" t="n"/>
      <c r="E376" s="68" t="n"/>
      <c r="F376" s="69" t="n"/>
      <c r="G376" s="13" t="n"/>
      <c r="H376" s="13" t="n"/>
      <c r="I376" s="13" t="n"/>
      <c r="J376" s="13" t="n"/>
      <c r="K376" s="16">
        <f>IF($A376="","",1)</f>
        <v/>
      </c>
    </row>
    <row r="377">
      <c r="A377" s="13" t="n"/>
      <c r="B377" s="13" t="n"/>
      <c r="C377" s="13" t="n"/>
      <c r="D377" s="13" t="n"/>
      <c r="E377" s="68" t="n"/>
      <c r="F377" s="69" t="n"/>
      <c r="G377" s="13" t="n"/>
      <c r="H377" s="13" t="n"/>
      <c r="I377" s="13" t="n"/>
      <c r="J377" s="13" t="n"/>
      <c r="K377" s="16">
        <f>IF($A377="","",1)</f>
        <v/>
      </c>
    </row>
    <row r="378">
      <c r="A378" s="13" t="n"/>
      <c r="B378" s="13" t="n"/>
      <c r="C378" s="13" t="n"/>
      <c r="D378" s="13" t="n"/>
      <c r="E378" s="68" t="n"/>
      <c r="F378" s="69" t="n"/>
      <c r="G378" s="13" t="n"/>
      <c r="H378" s="13" t="n"/>
      <c r="I378" s="13" t="n"/>
      <c r="J378" s="13" t="n"/>
      <c r="K378" s="16">
        <f>IF($A378="","",1)</f>
        <v/>
      </c>
    </row>
    <row r="379">
      <c r="A379" s="13" t="n"/>
      <c r="B379" s="13" t="n"/>
      <c r="C379" s="13" t="n"/>
      <c r="D379" s="13" t="n"/>
      <c r="E379" s="68" t="n"/>
      <c r="F379" s="69" t="n"/>
      <c r="G379" s="13" t="n"/>
      <c r="H379" s="13" t="n"/>
      <c r="I379" s="13" t="n"/>
      <c r="J379" s="13" t="n"/>
      <c r="K379" s="16">
        <f>IF($A379="","",1)</f>
        <v/>
      </c>
    </row>
    <row r="380">
      <c r="A380" s="13" t="n"/>
      <c r="B380" s="13" t="n"/>
      <c r="C380" s="13" t="n"/>
      <c r="D380" s="13" t="n"/>
      <c r="E380" s="68" t="n"/>
      <c r="F380" s="69" t="n"/>
      <c r="G380" s="13" t="n"/>
      <c r="H380" s="13" t="n"/>
      <c r="I380" s="13" t="n"/>
      <c r="J380" s="13" t="n"/>
      <c r="K380" s="16">
        <f>IF($A380="","",1)</f>
        <v/>
      </c>
    </row>
    <row r="381">
      <c r="A381" s="13" t="n"/>
      <c r="B381" s="13" t="n"/>
      <c r="C381" s="13" t="n"/>
      <c r="D381" s="13" t="n"/>
      <c r="E381" s="68" t="n"/>
      <c r="F381" s="69" t="n"/>
      <c r="G381" s="13" t="n"/>
      <c r="H381" s="13" t="n"/>
      <c r="I381" s="13" t="n"/>
      <c r="J381" s="13" t="n"/>
      <c r="K381" s="16">
        <f>IF($A381="","",1)</f>
        <v/>
      </c>
    </row>
    <row r="382">
      <c r="A382" s="13" t="n"/>
      <c r="B382" s="13" t="n"/>
      <c r="C382" s="13" t="n"/>
      <c r="D382" s="13" t="n"/>
      <c r="E382" s="68" t="n"/>
      <c r="F382" s="69" t="n"/>
      <c r="G382" s="13" t="n"/>
      <c r="H382" s="13" t="n"/>
      <c r="I382" s="13" t="n"/>
      <c r="J382" s="13" t="n"/>
      <c r="K382" s="16">
        <f>IF($A382="","",1)</f>
        <v/>
      </c>
    </row>
    <row r="383">
      <c r="A383" s="13" t="n"/>
      <c r="B383" s="13" t="n"/>
      <c r="C383" s="13" t="n"/>
      <c r="D383" s="13" t="n"/>
      <c r="E383" s="68" t="n"/>
      <c r="F383" s="69" t="n"/>
      <c r="G383" s="13" t="n"/>
      <c r="H383" s="13" t="n"/>
      <c r="I383" s="13" t="n"/>
      <c r="J383" s="13" t="n"/>
      <c r="K383" s="16">
        <f>IF($A383="","",1)</f>
        <v/>
      </c>
    </row>
    <row r="384">
      <c r="A384" s="13" t="n"/>
      <c r="B384" s="13" t="n"/>
      <c r="C384" s="13" t="n"/>
      <c r="D384" s="13" t="n"/>
      <c r="E384" s="68" t="n"/>
      <c r="F384" s="69" t="n"/>
      <c r="G384" s="13" t="n"/>
      <c r="H384" s="13" t="n"/>
      <c r="I384" s="13" t="n"/>
      <c r="J384" s="13" t="n"/>
      <c r="K384" s="16">
        <f>IF($A384="","",1)</f>
        <v/>
      </c>
    </row>
    <row r="385">
      <c r="A385" s="13" t="n"/>
      <c r="B385" s="13" t="n"/>
      <c r="C385" s="13" t="n"/>
      <c r="D385" s="13" t="n"/>
      <c r="E385" s="68" t="n"/>
      <c r="F385" s="69" t="n"/>
      <c r="G385" s="13" t="n"/>
      <c r="H385" s="13" t="n"/>
      <c r="I385" s="13" t="n"/>
      <c r="J385" s="13" t="n"/>
      <c r="K385" s="16">
        <f>IF($A385="","",1)</f>
        <v/>
      </c>
    </row>
    <row r="386">
      <c r="A386" s="13" t="n"/>
      <c r="B386" s="13" t="n"/>
      <c r="C386" s="13" t="n"/>
      <c r="D386" s="13" t="n"/>
      <c r="E386" s="68" t="n"/>
      <c r="F386" s="69" t="n"/>
      <c r="G386" s="13" t="n"/>
      <c r="H386" s="13" t="n"/>
      <c r="I386" s="13" t="n"/>
      <c r="J386" s="13" t="n"/>
      <c r="K386" s="16">
        <f>IF($A386="","",1)</f>
        <v/>
      </c>
    </row>
    <row r="387">
      <c r="A387" s="13" t="n"/>
      <c r="B387" s="13" t="n"/>
      <c r="C387" s="13" t="n"/>
      <c r="D387" s="13" t="n"/>
      <c r="E387" s="68" t="n"/>
      <c r="F387" s="69" t="n"/>
      <c r="G387" s="13" t="n"/>
      <c r="H387" s="13" t="n"/>
      <c r="I387" s="13" t="n"/>
      <c r="J387" s="13" t="n"/>
      <c r="K387" s="16">
        <f>IF($A387="","",1)</f>
        <v/>
      </c>
    </row>
    <row r="388">
      <c r="A388" s="13" t="n"/>
      <c r="B388" s="13" t="n"/>
      <c r="C388" s="13" t="n"/>
      <c r="D388" s="13" t="n"/>
      <c r="E388" s="68" t="n"/>
      <c r="F388" s="69" t="n"/>
      <c r="G388" s="13" t="n"/>
      <c r="H388" s="13" t="n"/>
      <c r="I388" s="13" t="n"/>
      <c r="J388" s="13" t="n"/>
      <c r="K388" s="16">
        <f>IF($A388="","",1)</f>
        <v/>
      </c>
    </row>
    <row r="389">
      <c r="A389" s="13" t="n"/>
      <c r="B389" s="13" t="n"/>
      <c r="C389" s="13" t="n"/>
      <c r="D389" s="13" t="n"/>
      <c r="E389" s="68" t="n"/>
      <c r="F389" s="69" t="n"/>
      <c r="G389" s="13" t="n"/>
      <c r="H389" s="13" t="n"/>
      <c r="I389" s="13" t="n"/>
      <c r="J389" s="13" t="n"/>
      <c r="K389" s="16">
        <f>IF($A389="","",1)</f>
        <v/>
      </c>
    </row>
    <row r="390">
      <c r="A390" s="13" t="n"/>
      <c r="B390" s="13" t="n"/>
      <c r="C390" s="13" t="n"/>
      <c r="D390" s="13" t="n"/>
      <c r="E390" s="68" t="n"/>
      <c r="F390" s="69" t="n"/>
      <c r="G390" s="13" t="n"/>
      <c r="H390" s="13" t="n"/>
      <c r="I390" s="13" t="n"/>
      <c r="J390" s="13" t="n"/>
      <c r="K390" s="16">
        <f>IF($A390="","",1)</f>
        <v/>
      </c>
    </row>
    <row r="391">
      <c r="A391" s="13" t="n"/>
      <c r="B391" s="13" t="n"/>
      <c r="C391" s="13" t="n"/>
      <c r="D391" s="13" t="n"/>
      <c r="E391" s="68" t="n"/>
      <c r="F391" s="69" t="n"/>
      <c r="G391" s="13" t="n"/>
      <c r="H391" s="13" t="n"/>
      <c r="I391" s="13" t="n"/>
      <c r="J391" s="13" t="n"/>
      <c r="K391" s="16">
        <f>IF($A391="","",1)</f>
        <v/>
      </c>
    </row>
    <row r="392">
      <c r="A392" s="13" t="n"/>
      <c r="B392" s="13" t="n"/>
      <c r="C392" s="13" t="n"/>
      <c r="D392" s="13" t="n"/>
      <c r="E392" s="68" t="n"/>
      <c r="F392" s="69" t="n"/>
      <c r="G392" s="13" t="n"/>
      <c r="H392" s="13" t="n"/>
      <c r="I392" s="13" t="n"/>
      <c r="J392" s="13" t="n"/>
      <c r="K392" s="16">
        <f>IF($A392="","",1)</f>
        <v/>
      </c>
    </row>
    <row r="393">
      <c r="A393" s="13" t="n"/>
      <c r="B393" s="13" t="n"/>
      <c r="C393" s="13" t="n"/>
      <c r="D393" s="13" t="n"/>
      <c r="E393" s="68" t="n"/>
      <c r="F393" s="69" t="n"/>
      <c r="G393" s="13" t="n"/>
      <c r="H393" s="13" t="n"/>
      <c r="I393" s="13" t="n"/>
      <c r="J393" s="13" t="n"/>
      <c r="K393" s="16">
        <f>IF($A393="","",1)</f>
        <v/>
      </c>
    </row>
    <row r="394">
      <c r="A394" s="13" t="n"/>
      <c r="B394" s="13" t="n"/>
      <c r="C394" s="13" t="n"/>
      <c r="D394" s="13" t="n"/>
      <c r="E394" s="68" t="n"/>
      <c r="F394" s="69" t="n"/>
      <c r="G394" s="13" t="n"/>
      <c r="H394" s="13" t="n"/>
      <c r="I394" s="13" t="n"/>
      <c r="J394" s="13" t="n"/>
      <c r="K394" s="16">
        <f>IF($A394="","",1)</f>
        <v/>
      </c>
    </row>
    <row r="395">
      <c r="A395" s="13" t="n"/>
      <c r="B395" s="13" t="n"/>
      <c r="C395" s="13" t="n"/>
      <c r="D395" s="13" t="n"/>
      <c r="E395" s="68" t="n"/>
      <c r="F395" s="69" t="n"/>
      <c r="G395" s="13" t="n"/>
      <c r="H395" s="13" t="n"/>
      <c r="I395" s="13" t="n"/>
      <c r="J395" s="13" t="n"/>
      <c r="K395" s="16">
        <f>IF($A395="","",1)</f>
        <v/>
      </c>
    </row>
    <row r="396">
      <c r="A396" s="13" t="n"/>
      <c r="B396" s="13" t="n"/>
      <c r="C396" s="13" t="n"/>
      <c r="D396" s="13" t="n"/>
      <c r="E396" s="68" t="n"/>
      <c r="F396" s="69" t="n"/>
      <c r="G396" s="13" t="n"/>
      <c r="H396" s="13" t="n"/>
      <c r="I396" s="13" t="n"/>
      <c r="J396" s="13" t="n"/>
      <c r="K396" s="16">
        <f>IF($A396="","",1)</f>
        <v/>
      </c>
    </row>
    <row r="397">
      <c r="A397" s="13" t="n"/>
      <c r="B397" s="13" t="n"/>
      <c r="C397" s="13" t="n"/>
      <c r="D397" s="13" t="n"/>
      <c r="E397" s="68" t="n"/>
      <c r="F397" s="69" t="n"/>
      <c r="G397" s="13" t="n"/>
      <c r="H397" s="13" t="n"/>
      <c r="I397" s="13" t="n"/>
      <c r="J397" s="13" t="n"/>
      <c r="K397" s="16">
        <f>IF($A397="","",1)</f>
        <v/>
      </c>
    </row>
    <row r="398">
      <c r="A398" s="13" t="n"/>
      <c r="B398" s="13" t="n"/>
      <c r="C398" s="13" t="n"/>
      <c r="D398" s="13" t="n"/>
      <c r="E398" s="68" t="n"/>
      <c r="F398" s="69" t="n"/>
      <c r="G398" s="13" t="n"/>
      <c r="H398" s="13" t="n"/>
      <c r="I398" s="13" t="n"/>
      <c r="J398" s="13" t="n"/>
      <c r="K398" s="16">
        <f>IF($A398="","",1)</f>
        <v/>
      </c>
    </row>
    <row r="399">
      <c r="A399" s="13" t="n"/>
      <c r="B399" s="13" t="n"/>
      <c r="C399" s="13" t="n"/>
      <c r="D399" s="13" t="n"/>
      <c r="E399" s="68" t="n"/>
      <c r="F399" s="69" t="n"/>
      <c r="G399" s="13" t="n"/>
      <c r="H399" s="13" t="n"/>
      <c r="I399" s="13" t="n"/>
      <c r="J399" s="13" t="n"/>
      <c r="K399" s="16">
        <f>IF($A399="","",1)</f>
        <v/>
      </c>
    </row>
    <row r="400">
      <c r="A400" s="13" t="n"/>
      <c r="B400" s="13" t="n"/>
      <c r="C400" s="13" t="n"/>
      <c r="D400" s="13" t="n"/>
      <c r="E400" s="68" t="n"/>
      <c r="F400" s="69" t="n"/>
      <c r="G400" s="13" t="n"/>
      <c r="H400" s="13" t="n"/>
      <c r="I400" s="13" t="n"/>
      <c r="J400" s="13" t="n"/>
      <c r="K400" s="16">
        <f>IF($A400="","",1)</f>
        <v/>
      </c>
    </row>
    <row r="401">
      <c r="A401" s="13" t="n"/>
      <c r="B401" s="13" t="n"/>
      <c r="C401" s="13" t="n"/>
      <c r="D401" s="13" t="n"/>
      <c r="E401" s="68" t="n"/>
      <c r="F401" s="69" t="n"/>
      <c r="G401" s="13" t="n"/>
      <c r="H401" s="13" t="n"/>
      <c r="I401" s="13" t="n"/>
      <c r="J401" s="13" t="n"/>
      <c r="K401" s="16">
        <f>IF($A401="","",1)</f>
        <v/>
      </c>
    </row>
    <row r="402">
      <c r="A402" s="13" t="n"/>
      <c r="B402" s="13" t="n"/>
      <c r="C402" s="13" t="n"/>
      <c r="D402" s="13" t="n"/>
      <c r="E402" s="68" t="n"/>
      <c r="F402" s="69" t="n"/>
      <c r="G402" s="13" t="n"/>
      <c r="H402" s="13" t="n"/>
      <c r="I402" s="13" t="n"/>
      <c r="J402" s="13" t="n"/>
      <c r="K402" s="16">
        <f>IF($A402="","",1)</f>
        <v/>
      </c>
    </row>
    <row r="403">
      <c r="A403" s="13" t="n"/>
      <c r="B403" s="13" t="n"/>
      <c r="C403" s="13" t="n"/>
      <c r="D403" s="13" t="n"/>
      <c r="E403" s="68" t="n"/>
      <c r="F403" s="69" t="n"/>
      <c r="G403" s="13" t="n"/>
      <c r="H403" s="13" t="n"/>
      <c r="I403" s="13" t="n"/>
      <c r="J403" s="13" t="n"/>
      <c r="K403" s="16">
        <f>IF($A403="","",1)</f>
        <v/>
      </c>
    </row>
    <row r="404">
      <c r="A404" s="13" t="n"/>
      <c r="B404" s="13" t="n"/>
      <c r="C404" s="13" t="n"/>
      <c r="D404" s="13" t="n"/>
      <c r="E404" s="68" t="n"/>
      <c r="F404" s="69" t="n"/>
      <c r="G404" s="13" t="n"/>
      <c r="H404" s="13" t="n"/>
      <c r="I404" s="13" t="n"/>
      <c r="J404" s="13" t="n"/>
      <c r="K404" s="16">
        <f>IF($A404="","",1)</f>
        <v/>
      </c>
    </row>
    <row r="405">
      <c r="A405" s="13" t="n"/>
      <c r="B405" s="13" t="n"/>
      <c r="C405" s="13" t="n"/>
      <c r="D405" s="13" t="n"/>
      <c r="E405" s="68" t="n"/>
      <c r="F405" s="69" t="n"/>
      <c r="G405" s="13" t="n"/>
      <c r="H405" s="13" t="n"/>
      <c r="I405" s="13" t="n"/>
      <c r="J405" s="13" t="n"/>
      <c r="K405" s="16">
        <f>IF($A405="","",1)</f>
        <v/>
      </c>
    </row>
    <row r="406">
      <c r="A406" s="13" t="n"/>
      <c r="B406" s="13" t="n"/>
      <c r="C406" s="13" t="n"/>
      <c r="D406" s="13" t="n"/>
      <c r="E406" s="68" t="n"/>
      <c r="F406" s="69" t="n"/>
      <c r="G406" s="13" t="n"/>
      <c r="H406" s="13" t="n"/>
      <c r="I406" s="13" t="n"/>
      <c r="J406" s="13" t="n"/>
      <c r="K406" s="16">
        <f>IF($A406="","",1)</f>
        <v/>
      </c>
    </row>
    <row r="407">
      <c r="A407" s="13" t="n"/>
      <c r="B407" s="13" t="n"/>
      <c r="C407" s="13" t="n"/>
      <c r="D407" s="13" t="n"/>
      <c r="E407" s="68" t="n"/>
      <c r="F407" s="69" t="n"/>
      <c r="G407" s="13" t="n"/>
      <c r="H407" s="13" t="n"/>
      <c r="I407" s="13" t="n"/>
      <c r="J407" s="13" t="n"/>
      <c r="K407" s="16">
        <f>IF($A407="","",1)</f>
        <v/>
      </c>
    </row>
    <row r="408">
      <c r="A408" s="13" t="n"/>
      <c r="B408" s="13" t="n"/>
      <c r="C408" s="13" t="n"/>
      <c r="D408" s="13" t="n"/>
      <c r="E408" s="68" t="n"/>
      <c r="F408" s="69" t="n"/>
      <c r="G408" s="13" t="n"/>
      <c r="H408" s="13" t="n"/>
      <c r="I408" s="13" t="n"/>
      <c r="J408" s="13" t="n"/>
      <c r="K408" s="16">
        <f>IF($A408="","",1)</f>
        <v/>
      </c>
    </row>
    <row r="409">
      <c r="A409" s="13" t="n"/>
      <c r="B409" s="13" t="n"/>
      <c r="C409" s="13" t="n"/>
      <c r="D409" s="13" t="n"/>
      <c r="E409" s="68" t="n"/>
      <c r="F409" s="69" t="n"/>
      <c r="G409" s="13" t="n"/>
      <c r="H409" s="13" t="n"/>
      <c r="I409" s="13" t="n"/>
      <c r="J409" s="13" t="n"/>
      <c r="K409" s="16">
        <f>IF($A409="","",1)</f>
        <v/>
      </c>
    </row>
    <row r="410">
      <c r="A410" s="13" t="n"/>
      <c r="B410" s="13" t="n"/>
      <c r="C410" s="13" t="n"/>
      <c r="D410" s="13" t="n"/>
      <c r="E410" s="68" t="n"/>
      <c r="F410" s="69" t="n"/>
      <c r="G410" s="13" t="n"/>
      <c r="H410" s="13" t="n"/>
      <c r="I410" s="13" t="n"/>
      <c r="J410" s="13" t="n"/>
      <c r="K410" s="16">
        <f>IF($A410="","",1)</f>
        <v/>
      </c>
    </row>
    <row r="411">
      <c r="A411" s="13" t="n"/>
      <c r="B411" s="13" t="n"/>
      <c r="C411" s="13" t="n"/>
      <c r="D411" s="13" t="n"/>
      <c r="E411" s="68" t="n"/>
      <c r="F411" s="69" t="n"/>
      <c r="G411" s="13" t="n"/>
      <c r="H411" s="13" t="n"/>
      <c r="I411" s="13" t="n"/>
      <c r="J411" s="13" t="n"/>
      <c r="K411" s="16">
        <f>IF($A411="","",1)</f>
        <v/>
      </c>
    </row>
    <row r="412">
      <c r="A412" s="13" t="n"/>
      <c r="B412" s="13" t="n"/>
      <c r="C412" s="13" t="n"/>
      <c r="D412" s="13" t="n"/>
      <c r="E412" s="68" t="n"/>
      <c r="F412" s="69" t="n"/>
      <c r="G412" s="13" t="n"/>
      <c r="H412" s="13" t="n"/>
      <c r="I412" s="13" t="n"/>
      <c r="J412" s="13" t="n"/>
      <c r="K412" s="16">
        <f>IF($A412="","",1)</f>
        <v/>
      </c>
    </row>
    <row r="413">
      <c r="A413" s="13" t="n"/>
      <c r="B413" s="13" t="n"/>
      <c r="C413" s="13" t="n"/>
      <c r="D413" s="13" t="n"/>
      <c r="E413" s="68" t="n"/>
      <c r="F413" s="69" t="n"/>
      <c r="G413" s="13" t="n"/>
      <c r="H413" s="13" t="n"/>
      <c r="I413" s="13" t="n"/>
      <c r="J413" s="13" t="n"/>
      <c r="K413" s="16">
        <f>IF($A413="","",1)</f>
        <v/>
      </c>
    </row>
    <row r="414">
      <c r="A414" s="13" t="n"/>
      <c r="B414" s="13" t="n"/>
      <c r="C414" s="13" t="n"/>
      <c r="D414" s="13" t="n"/>
      <c r="E414" s="68" t="n"/>
      <c r="F414" s="69" t="n"/>
      <c r="G414" s="13" t="n"/>
      <c r="H414" s="13" t="n"/>
      <c r="I414" s="13" t="n"/>
      <c r="J414" s="13" t="n"/>
      <c r="K414" s="16">
        <f>IF($A414="","",1)</f>
        <v/>
      </c>
    </row>
    <row r="415">
      <c r="A415" s="13" t="n"/>
      <c r="B415" s="13" t="n"/>
      <c r="C415" s="13" t="n"/>
      <c r="D415" s="13" t="n"/>
      <c r="E415" s="68" t="n"/>
      <c r="F415" s="69" t="n"/>
      <c r="G415" s="13" t="n"/>
      <c r="H415" s="13" t="n"/>
      <c r="I415" s="13" t="n"/>
      <c r="J415" s="13" t="n"/>
      <c r="K415" s="16">
        <f>IF($A415="","",1)</f>
        <v/>
      </c>
    </row>
    <row r="416">
      <c r="A416" s="13" t="n"/>
      <c r="B416" s="13" t="n"/>
      <c r="C416" s="13" t="n"/>
      <c r="D416" s="13" t="n"/>
      <c r="E416" s="68" t="n"/>
      <c r="F416" s="69" t="n"/>
      <c r="G416" s="13" t="n"/>
      <c r="H416" s="13" t="n"/>
      <c r="I416" s="13" t="n"/>
      <c r="J416" s="13" t="n"/>
      <c r="K416" s="16">
        <f>IF($A416="","",1)</f>
        <v/>
      </c>
    </row>
    <row r="417">
      <c r="A417" s="13" t="n"/>
      <c r="B417" s="13" t="n"/>
      <c r="C417" s="13" t="n"/>
      <c r="D417" s="13" t="n"/>
      <c r="E417" s="68" t="n"/>
      <c r="F417" s="69" t="n"/>
      <c r="G417" s="13" t="n"/>
      <c r="H417" s="13" t="n"/>
      <c r="I417" s="13" t="n"/>
      <c r="J417" s="13" t="n"/>
      <c r="K417" s="16">
        <f>IF($A417="","",1)</f>
        <v/>
      </c>
    </row>
    <row r="418">
      <c r="A418" s="13" t="n"/>
      <c r="B418" s="13" t="n"/>
      <c r="C418" s="13" t="n"/>
      <c r="D418" s="13" t="n"/>
      <c r="E418" s="68" t="n"/>
      <c r="F418" s="69" t="n"/>
      <c r="G418" s="13" t="n"/>
      <c r="H418" s="13" t="n"/>
      <c r="I418" s="13" t="n"/>
      <c r="J418" s="13" t="n"/>
      <c r="K418" s="16">
        <f>IF($A418="","",1)</f>
        <v/>
      </c>
    </row>
    <row r="419">
      <c r="A419" s="13" t="n"/>
      <c r="B419" s="13" t="n"/>
      <c r="C419" s="13" t="n"/>
      <c r="D419" s="13" t="n"/>
      <c r="E419" s="68" t="n"/>
      <c r="F419" s="69" t="n"/>
      <c r="G419" s="13" t="n"/>
      <c r="H419" s="13" t="n"/>
      <c r="I419" s="13" t="n"/>
      <c r="J419" s="13" t="n"/>
      <c r="K419" s="16">
        <f>IF($A419="","",1)</f>
        <v/>
      </c>
    </row>
    <row r="420">
      <c r="A420" s="13" t="n"/>
      <c r="B420" s="13" t="n"/>
      <c r="C420" s="13" t="n"/>
      <c r="D420" s="13" t="n"/>
      <c r="E420" s="68" t="n"/>
      <c r="F420" s="69" t="n"/>
      <c r="G420" s="13" t="n"/>
      <c r="H420" s="13" t="n"/>
      <c r="I420" s="13" t="n"/>
      <c r="J420" s="13" t="n"/>
      <c r="K420" s="16">
        <f>IF($A420="","",1)</f>
        <v/>
      </c>
    </row>
    <row r="421">
      <c r="A421" s="13" t="n"/>
      <c r="B421" s="13" t="n"/>
      <c r="C421" s="13" t="n"/>
      <c r="D421" s="13" t="n"/>
      <c r="E421" s="68" t="n"/>
      <c r="F421" s="69" t="n"/>
      <c r="G421" s="13" t="n"/>
      <c r="H421" s="13" t="n"/>
      <c r="I421" s="13" t="n"/>
      <c r="J421" s="13" t="n"/>
      <c r="K421" s="16">
        <f>IF($A421="","",1)</f>
        <v/>
      </c>
    </row>
    <row r="422">
      <c r="A422" s="13" t="n"/>
      <c r="B422" s="13" t="n"/>
      <c r="C422" s="13" t="n"/>
      <c r="D422" s="13" t="n"/>
      <c r="E422" s="68" t="n"/>
      <c r="F422" s="69" t="n"/>
      <c r="G422" s="13" t="n"/>
      <c r="H422" s="13" t="n"/>
      <c r="I422" s="13" t="n"/>
      <c r="J422" s="13" t="n"/>
      <c r="K422" s="16">
        <f>IF($A422="","",1)</f>
        <v/>
      </c>
    </row>
    <row r="423">
      <c r="A423" s="13" t="n"/>
      <c r="B423" s="13" t="n"/>
      <c r="C423" s="13" t="n"/>
      <c r="D423" s="13" t="n"/>
      <c r="E423" s="68" t="n"/>
      <c r="F423" s="69" t="n"/>
      <c r="G423" s="13" t="n"/>
      <c r="H423" s="13" t="n"/>
      <c r="I423" s="13" t="n"/>
      <c r="J423" s="13" t="n"/>
      <c r="K423" s="16">
        <f>IF($A423="","",1)</f>
        <v/>
      </c>
    </row>
    <row r="424">
      <c r="A424" s="13" t="n"/>
      <c r="B424" s="13" t="n"/>
      <c r="C424" s="13" t="n"/>
      <c r="D424" s="13" t="n"/>
      <c r="E424" s="68" t="n"/>
      <c r="F424" s="69" t="n"/>
      <c r="G424" s="13" t="n"/>
      <c r="H424" s="13" t="n"/>
      <c r="I424" s="13" t="n"/>
      <c r="J424" s="13" t="n"/>
      <c r="K424" s="16">
        <f>IF($A424="","",1)</f>
        <v/>
      </c>
    </row>
    <row r="425">
      <c r="A425" s="13" t="n"/>
      <c r="B425" s="13" t="n"/>
      <c r="C425" s="13" t="n"/>
      <c r="D425" s="13" t="n"/>
      <c r="E425" s="68" t="n"/>
      <c r="F425" s="69" t="n"/>
      <c r="G425" s="13" t="n"/>
      <c r="H425" s="13" t="n"/>
      <c r="I425" s="13" t="n"/>
      <c r="J425" s="13" t="n"/>
      <c r="K425" s="16">
        <f>IF($A425="","",1)</f>
        <v/>
      </c>
    </row>
    <row r="426">
      <c r="A426" s="13" t="n"/>
      <c r="B426" s="13" t="n"/>
      <c r="C426" s="13" t="n"/>
      <c r="D426" s="13" t="n"/>
      <c r="E426" s="68" t="n"/>
      <c r="F426" s="69" t="n"/>
      <c r="G426" s="13" t="n"/>
      <c r="H426" s="13" t="n"/>
      <c r="I426" s="13" t="n"/>
      <c r="J426" s="13" t="n"/>
      <c r="K426" s="16">
        <f>IF($A426="","",1)</f>
        <v/>
      </c>
    </row>
    <row r="427">
      <c r="A427" s="13" t="n"/>
      <c r="B427" s="13" t="n"/>
      <c r="C427" s="13" t="n"/>
      <c r="D427" s="13" t="n"/>
      <c r="E427" s="68" t="n"/>
      <c r="F427" s="69" t="n"/>
      <c r="G427" s="13" t="n"/>
      <c r="H427" s="13" t="n"/>
      <c r="I427" s="13" t="n"/>
      <c r="J427" s="13" t="n"/>
      <c r="K427" s="16">
        <f>IF($A427="","",1)</f>
        <v/>
      </c>
    </row>
    <row r="428">
      <c r="A428" s="13" t="n"/>
      <c r="B428" s="13" t="n"/>
      <c r="C428" s="13" t="n"/>
      <c r="D428" s="13" t="n"/>
      <c r="E428" s="68" t="n"/>
      <c r="F428" s="69" t="n"/>
      <c r="G428" s="13" t="n"/>
      <c r="H428" s="13" t="n"/>
      <c r="I428" s="13" t="n"/>
      <c r="J428" s="13" t="n"/>
      <c r="K428" s="16">
        <f>IF($A428="","",1)</f>
        <v/>
      </c>
    </row>
    <row r="429">
      <c r="A429" s="13" t="n"/>
      <c r="B429" s="13" t="n"/>
      <c r="C429" s="13" t="n"/>
      <c r="D429" s="13" t="n"/>
      <c r="E429" s="68" t="n"/>
      <c r="F429" s="69" t="n"/>
      <c r="G429" s="13" t="n"/>
      <c r="H429" s="13" t="n"/>
      <c r="I429" s="13" t="n"/>
      <c r="J429" s="13" t="n"/>
      <c r="K429" s="16">
        <f>IF($A429="","",1)</f>
        <v/>
      </c>
    </row>
    <row r="430">
      <c r="A430" s="13" t="n"/>
      <c r="B430" s="13" t="n"/>
      <c r="C430" s="13" t="n"/>
      <c r="D430" s="13" t="n"/>
      <c r="E430" s="68" t="n"/>
      <c r="F430" s="69" t="n"/>
      <c r="G430" s="13" t="n"/>
      <c r="H430" s="13" t="n"/>
      <c r="I430" s="13" t="n"/>
      <c r="J430" s="13" t="n"/>
      <c r="K430" s="16">
        <f>IF($A430="","",1)</f>
        <v/>
      </c>
    </row>
    <row r="431">
      <c r="A431" s="13" t="n"/>
      <c r="B431" s="13" t="n"/>
      <c r="C431" s="13" t="n"/>
      <c r="D431" s="13" t="n"/>
      <c r="E431" s="68" t="n"/>
      <c r="F431" s="69" t="n"/>
      <c r="G431" s="13" t="n"/>
      <c r="H431" s="13" t="n"/>
      <c r="I431" s="13" t="n"/>
      <c r="J431" s="13" t="n"/>
      <c r="K431" s="16">
        <f>IF($A431="","",1)</f>
        <v/>
      </c>
    </row>
    <row r="432">
      <c r="A432" s="13" t="n"/>
      <c r="B432" s="13" t="n"/>
      <c r="C432" s="13" t="n"/>
      <c r="D432" s="13" t="n"/>
      <c r="E432" s="68" t="n"/>
      <c r="F432" s="69" t="n"/>
      <c r="G432" s="13" t="n"/>
      <c r="H432" s="13" t="n"/>
      <c r="I432" s="13" t="n"/>
      <c r="J432" s="13" t="n"/>
      <c r="K432" s="16">
        <f>IF($A432="","",1)</f>
        <v/>
      </c>
    </row>
    <row r="433">
      <c r="A433" s="13" t="n"/>
      <c r="B433" s="13" t="n"/>
      <c r="C433" s="13" t="n"/>
      <c r="D433" s="13" t="n"/>
      <c r="E433" s="68" t="n"/>
      <c r="F433" s="69" t="n"/>
      <c r="G433" s="13" t="n"/>
      <c r="H433" s="13" t="n"/>
      <c r="I433" s="13" t="n"/>
      <c r="J433" s="13" t="n"/>
      <c r="K433" s="16">
        <f>IF($A433="","",1)</f>
        <v/>
      </c>
    </row>
    <row r="434">
      <c r="A434" s="13" t="n"/>
      <c r="B434" s="13" t="n"/>
      <c r="C434" s="13" t="n"/>
      <c r="D434" s="13" t="n"/>
      <c r="E434" s="68" t="n"/>
      <c r="F434" s="69" t="n"/>
      <c r="G434" s="13" t="n"/>
      <c r="H434" s="13" t="n"/>
      <c r="I434" s="13" t="n"/>
      <c r="J434" s="13" t="n"/>
      <c r="K434" s="16">
        <f>IF($A434="","",1)</f>
        <v/>
      </c>
    </row>
    <row r="435">
      <c r="A435" s="13" t="n"/>
      <c r="B435" s="13" t="n"/>
      <c r="C435" s="13" t="n"/>
      <c r="D435" s="13" t="n"/>
      <c r="E435" s="68" t="n"/>
      <c r="F435" s="69" t="n"/>
      <c r="G435" s="13" t="n"/>
      <c r="H435" s="13" t="n"/>
      <c r="I435" s="13" t="n"/>
      <c r="J435" s="13" t="n"/>
      <c r="K435" s="16">
        <f>IF($A435="","",1)</f>
        <v/>
      </c>
    </row>
    <row r="436">
      <c r="A436" s="13" t="n"/>
      <c r="B436" s="13" t="n"/>
      <c r="C436" s="13" t="n"/>
      <c r="D436" s="13" t="n"/>
      <c r="E436" s="68" t="n"/>
      <c r="F436" s="69" t="n"/>
      <c r="G436" s="13" t="n"/>
      <c r="H436" s="13" t="n"/>
      <c r="I436" s="13" t="n"/>
      <c r="J436" s="13" t="n"/>
      <c r="K436" s="16">
        <f>IF($A436="","",1)</f>
        <v/>
      </c>
    </row>
    <row r="437">
      <c r="A437" s="13" t="n"/>
      <c r="B437" s="13" t="n"/>
      <c r="C437" s="13" t="n"/>
      <c r="D437" s="13" t="n"/>
      <c r="E437" s="68" t="n"/>
      <c r="F437" s="69" t="n"/>
      <c r="G437" s="13" t="n"/>
      <c r="H437" s="13" t="n"/>
      <c r="I437" s="13" t="n"/>
      <c r="J437" s="13" t="n"/>
      <c r="K437" s="16">
        <f>IF($A437="","",1)</f>
        <v/>
      </c>
    </row>
    <row r="438">
      <c r="A438" s="13" t="n"/>
      <c r="B438" s="13" t="n"/>
      <c r="C438" s="13" t="n"/>
      <c r="D438" s="13" t="n"/>
      <c r="E438" s="68" t="n"/>
      <c r="F438" s="69" t="n"/>
      <c r="G438" s="13" t="n"/>
      <c r="H438" s="13" t="n"/>
      <c r="I438" s="13" t="n"/>
      <c r="J438" s="13" t="n"/>
      <c r="K438" s="16">
        <f>IF($A438="","",1)</f>
        <v/>
      </c>
    </row>
    <row r="439">
      <c r="A439" s="13" t="n"/>
      <c r="B439" s="13" t="n"/>
      <c r="C439" s="13" t="n"/>
      <c r="D439" s="13" t="n"/>
      <c r="E439" s="68" t="n"/>
      <c r="F439" s="69" t="n"/>
      <c r="G439" s="13" t="n"/>
      <c r="H439" s="13" t="n"/>
      <c r="I439" s="13" t="n"/>
      <c r="J439" s="13" t="n"/>
      <c r="K439" s="16">
        <f>IF($A439="","",1)</f>
        <v/>
      </c>
    </row>
    <row r="440">
      <c r="A440" s="13" t="n"/>
      <c r="B440" s="13" t="n"/>
      <c r="C440" s="13" t="n"/>
      <c r="D440" s="13" t="n"/>
      <c r="E440" s="68" t="n"/>
      <c r="F440" s="69" t="n"/>
      <c r="G440" s="13" t="n"/>
      <c r="H440" s="13" t="n"/>
      <c r="I440" s="13" t="n"/>
      <c r="J440" s="13" t="n"/>
      <c r="K440" s="16">
        <f>IF($A440="","",1)</f>
        <v/>
      </c>
    </row>
    <row r="441">
      <c r="A441" s="13" t="n"/>
      <c r="B441" s="13" t="n"/>
      <c r="C441" s="13" t="n"/>
      <c r="D441" s="13" t="n"/>
      <c r="E441" s="68" t="n"/>
      <c r="F441" s="69" t="n"/>
      <c r="G441" s="13" t="n"/>
      <c r="H441" s="13" t="n"/>
      <c r="I441" s="13" t="n"/>
      <c r="J441" s="13" t="n"/>
      <c r="K441" s="16">
        <f>IF($A441="","",1)</f>
        <v/>
      </c>
    </row>
    <row r="442">
      <c r="A442" s="13" t="n"/>
      <c r="B442" s="13" t="n"/>
      <c r="C442" s="13" t="n"/>
      <c r="D442" s="13" t="n"/>
      <c r="E442" s="68" t="n"/>
      <c r="F442" s="69" t="n"/>
      <c r="G442" s="13" t="n"/>
      <c r="H442" s="13" t="n"/>
      <c r="I442" s="13" t="n"/>
      <c r="J442" s="13" t="n"/>
      <c r="K442" s="16">
        <f>IF($A442="","",1)</f>
        <v/>
      </c>
    </row>
    <row r="443">
      <c r="A443" s="13" t="n"/>
      <c r="B443" s="13" t="n"/>
      <c r="C443" s="13" t="n"/>
      <c r="D443" s="13" t="n"/>
      <c r="E443" s="68" t="n"/>
      <c r="F443" s="69" t="n"/>
      <c r="G443" s="13" t="n"/>
      <c r="H443" s="13" t="n"/>
      <c r="I443" s="13" t="n"/>
      <c r="J443" s="13" t="n"/>
      <c r="K443" s="16">
        <f>IF($A443="","",1)</f>
        <v/>
      </c>
    </row>
    <row r="444">
      <c r="A444" s="13" t="n"/>
      <c r="B444" s="13" t="n"/>
      <c r="C444" s="13" t="n"/>
      <c r="D444" s="13" t="n"/>
      <c r="E444" s="68" t="n"/>
      <c r="F444" s="69" t="n"/>
      <c r="G444" s="13" t="n"/>
      <c r="H444" s="13" t="n"/>
      <c r="I444" s="13" t="n"/>
      <c r="J444" s="13" t="n"/>
      <c r="K444" s="16">
        <f>IF($A444="","",1)</f>
        <v/>
      </c>
    </row>
    <row r="445">
      <c r="A445" s="13" t="n"/>
      <c r="B445" s="13" t="n"/>
      <c r="C445" s="13" t="n"/>
      <c r="D445" s="13" t="n"/>
      <c r="E445" s="68" t="n"/>
      <c r="F445" s="69" t="n"/>
      <c r="G445" s="13" t="n"/>
      <c r="H445" s="13" t="n"/>
      <c r="I445" s="13" t="n"/>
      <c r="J445" s="13" t="n"/>
      <c r="K445" s="16">
        <f>IF($A445="","",1)</f>
        <v/>
      </c>
    </row>
    <row r="446">
      <c r="A446" s="13" t="n"/>
      <c r="B446" s="13" t="n"/>
      <c r="C446" s="13" t="n"/>
      <c r="D446" s="13" t="n"/>
      <c r="E446" s="68" t="n"/>
      <c r="F446" s="69" t="n"/>
      <c r="G446" s="13" t="n"/>
      <c r="H446" s="13" t="n"/>
      <c r="I446" s="13" t="n"/>
      <c r="J446" s="13" t="n"/>
      <c r="K446" s="16">
        <f>IF($A446="","",1)</f>
        <v/>
      </c>
    </row>
    <row r="447">
      <c r="A447" s="13" t="n"/>
      <c r="B447" s="13" t="n"/>
      <c r="C447" s="13" t="n"/>
      <c r="D447" s="13" t="n"/>
      <c r="E447" s="68" t="n"/>
      <c r="F447" s="69" t="n"/>
      <c r="G447" s="13" t="n"/>
      <c r="H447" s="13" t="n"/>
      <c r="I447" s="13" t="n"/>
      <c r="J447" s="13" t="n"/>
      <c r="K447" s="16">
        <f>IF($A447="","",1)</f>
        <v/>
      </c>
    </row>
    <row r="448">
      <c r="A448" s="13" t="n"/>
      <c r="B448" s="13" t="n"/>
      <c r="C448" s="13" t="n"/>
      <c r="D448" s="13" t="n"/>
      <c r="E448" s="68" t="n"/>
      <c r="F448" s="69" t="n"/>
      <c r="G448" s="13" t="n"/>
      <c r="H448" s="13" t="n"/>
      <c r="I448" s="13" t="n"/>
      <c r="J448" s="13" t="n"/>
      <c r="K448" s="16">
        <f>IF($A448="","",1)</f>
        <v/>
      </c>
    </row>
    <row r="449">
      <c r="A449" s="13" t="n"/>
      <c r="B449" s="13" t="n"/>
      <c r="C449" s="13" t="n"/>
      <c r="D449" s="13" t="n"/>
      <c r="E449" s="68" t="n"/>
      <c r="F449" s="69" t="n"/>
      <c r="G449" s="13" t="n"/>
      <c r="H449" s="13" t="n"/>
      <c r="I449" s="13" t="n"/>
      <c r="J449" s="13" t="n"/>
      <c r="K449" s="16">
        <f>IF($A449="","",1)</f>
        <v/>
      </c>
    </row>
    <row r="450">
      <c r="A450" s="13" t="n"/>
      <c r="B450" s="13" t="n"/>
      <c r="C450" s="13" t="n"/>
      <c r="D450" s="13" t="n"/>
      <c r="E450" s="68" t="n"/>
      <c r="F450" s="69" t="n"/>
      <c r="G450" s="13" t="n"/>
      <c r="H450" s="13" t="n"/>
      <c r="I450" s="13" t="n"/>
      <c r="J450" s="13" t="n"/>
      <c r="K450" s="16">
        <f>IF($A450="","",1)</f>
        <v/>
      </c>
    </row>
    <row r="451">
      <c r="A451" s="13" t="n"/>
      <c r="B451" s="13" t="n"/>
      <c r="C451" s="13" t="n"/>
      <c r="D451" s="13" t="n"/>
      <c r="E451" s="68" t="n"/>
      <c r="F451" s="69" t="n"/>
      <c r="G451" s="13" t="n"/>
      <c r="H451" s="13" t="n"/>
      <c r="I451" s="13" t="n"/>
      <c r="J451" s="13" t="n"/>
      <c r="K451" s="16">
        <f>IF($A451="","",1)</f>
        <v/>
      </c>
    </row>
    <row r="452">
      <c r="A452" s="13" t="n"/>
      <c r="B452" s="13" t="n"/>
      <c r="C452" s="13" t="n"/>
      <c r="D452" s="13" t="n"/>
      <c r="E452" s="68" t="n"/>
      <c r="F452" s="69" t="n"/>
      <c r="G452" s="13" t="n"/>
      <c r="H452" s="13" t="n"/>
      <c r="I452" s="13" t="n"/>
      <c r="J452" s="13" t="n"/>
      <c r="K452" s="16">
        <f>IF($A452="","",1)</f>
        <v/>
      </c>
    </row>
    <row r="453">
      <c r="A453" s="13" t="n"/>
      <c r="B453" s="13" t="n"/>
      <c r="C453" s="13" t="n"/>
      <c r="D453" s="13" t="n"/>
      <c r="E453" s="68" t="n"/>
      <c r="F453" s="69" t="n"/>
      <c r="G453" s="13" t="n"/>
      <c r="H453" s="13" t="n"/>
      <c r="I453" s="13" t="n"/>
      <c r="J453" s="13" t="n"/>
      <c r="K453" s="16">
        <f>IF($A453="","",1)</f>
        <v/>
      </c>
    </row>
    <row r="454">
      <c r="A454" s="13" t="n"/>
      <c r="B454" s="13" t="n"/>
      <c r="C454" s="13" t="n"/>
      <c r="D454" s="13" t="n"/>
      <c r="E454" s="68" t="n"/>
      <c r="F454" s="69" t="n"/>
      <c r="G454" s="13" t="n"/>
      <c r="H454" s="13" t="n"/>
      <c r="I454" s="13" t="n"/>
      <c r="J454" s="13" t="n"/>
      <c r="K454" s="16">
        <f>IF($A454="","",1)</f>
        <v/>
      </c>
    </row>
    <row r="455">
      <c r="A455" s="13" t="n"/>
      <c r="B455" s="13" t="n"/>
      <c r="C455" s="13" t="n"/>
      <c r="D455" s="13" t="n"/>
      <c r="E455" s="68" t="n"/>
      <c r="F455" s="69" t="n"/>
      <c r="G455" s="13" t="n"/>
      <c r="H455" s="13" t="n"/>
      <c r="I455" s="13" t="n"/>
      <c r="J455" s="13" t="n"/>
      <c r="K455" s="16">
        <f>IF($A455="","",1)</f>
        <v/>
      </c>
    </row>
    <row r="456">
      <c r="A456" s="13" t="n"/>
      <c r="B456" s="13" t="n"/>
      <c r="C456" s="13" t="n"/>
      <c r="D456" s="13" t="n"/>
      <c r="E456" s="68" t="n"/>
      <c r="F456" s="69" t="n"/>
      <c r="G456" s="13" t="n"/>
      <c r="H456" s="13" t="n"/>
      <c r="I456" s="13" t="n"/>
      <c r="J456" s="13" t="n"/>
      <c r="K456" s="16">
        <f>IF($A456="","",1)</f>
        <v/>
      </c>
    </row>
    <row r="457">
      <c r="A457" s="13" t="n"/>
      <c r="B457" s="13" t="n"/>
      <c r="C457" s="13" t="n"/>
      <c r="D457" s="13" t="n"/>
      <c r="E457" s="68" t="n"/>
      <c r="F457" s="69" t="n"/>
      <c r="G457" s="13" t="n"/>
      <c r="H457" s="13" t="n"/>
      <c r="I457" s="13" t="n"/>
      <c r="J457" s="13" t="n"/>
      <c r="K457" s="16">
        <f>IF($A457="","",1)</f>
        <v/>
      </c>
    </row>
    <row r="458">
      <c r="A458" s="13" t="n"/>
      <c r="B458" s="13" t="n"/>
      <c r="C458" s="13" t="n"/>
      <c r="D458" s="13" t="n"/>
      <c r="E458" s="68" t="n"/>
      <c r="F458" s="69" t="n"/>
      <c r="G458" s="13" t="n"/>
      <c r="H458" s="13" t="n"/>
      <c r="I458" s="13" t="n"/>
      <c r="J458" s="13" t="n"/>
      <c r="K458" s="16">
        <f>IF($A458="","",1)</f>
        <v/>
      </c>
    </row>
    <row r="459">
      <c r="A459" s="13" t="n"/>
      <c r="B459" s="13" t="n"/>
      <c r="C459" s="13" t="n"/>
      <c r="D459" s="13" t="n"/>
      <c r="E459" s="68" t="n"/>
      <c r="F459" s="69" t="n"/>
      <c r="G459" s="13" t="n"/>
      <c r="H459" s="13" t="n"/>
      <c r="I459" s="13" t="n"/>
      <c r="J459" s="13" t="n"/>
      <c r="K459" s="16">
        <f>IF($A459="","",1)</f>
        <v/>
      </c>
    </row>
    <row r="460">
      <c r="A460" s="13" t="n"/>
      <c r="B460" s="13" t="n"/>
      <c r="C460" s="13" t="n"/>
      <c r="D460" s="13" t="n"/>
      <c r="E460" s="68" t="n"/>
      <c r="F460" s="69" t="n"/>
      <c r="G460" s="13" t="n"/>
      <c r="H460" s="13" t="n"/>
      <c r="I460" s="13" t="n"/>
      <c r="J460" s="13" t="n"/>
      <c r="K460" s="16">
        <f>IF($A460="","",1)</f>
        <v/>
      </c>
    </row>
    <row r="461">
      <c r="A461" s="13" t="n"/>
      <c r="B461" s="13" t="n"/>
      <c r="C461" s="13" t="n"/>
      <c r="D461" s="13" t="n"/>
      <c r="E461" s="68" t="n"/>
      <c r="F461" s="69" t="n"/>
      <c r="G461" s="13" t="n"/>
      <c r="H461" s="13" t="n"/>
      <c r="I461" s="13" t="n"/>
      <c r="J461" s="13" t="n"/>
      <c r="K461" s="16">
        <f>IF($A461="","",1)</f>
        <v/>
      </c>
    </row>
    <row r="462">
      <c r="A462" s="13" t="n"/>
      <c r="B462" s="13" t="n"/>
      <c r="C462" s="13" t="n"/>
      <c r="D462" s="13" t="n"/>
      <c r="E462" s="68" t="n"/>
      <c r="F462" s="69" t="n"/>
      <c r="G462" s="13" t="n"/>
      <c r="H462" s="13" t="n"/>
      <c r="I462" s="13" t="n"/>
      <c r="J462" s="13" t="n"/>
      <c r="K462" s="16">
        <f>IF($A462="","",1)</f>
        <v/>
      </c>
    </row>
    <row r="463">
      <c r="A463" s="13" t="n"/>
      <c r="B463" s="13" t="n"/>
      <c r="C463" s="13" t="n"/>
      <c r="D463" s="13" t="n"/>
      <c r="E463" s="68" t="n"/>
      <c r="F463" s="69" t="n"/>
      <c r="G463" s="13" t="n"/>
      <c r="H463" s="13" t="n"/>
      <c r="I463" s="13" t="n"/>
      <c r="J463" s="13" t="n"/>
      <c r="K463" s="16">
        <f>IF($A463="","",1)</f>
        <v/>
      </c>
    </row>
    <row r="464">
      <c r="A464" s="13" t="n"/>
      <c r="B464" s="13" t="n"/>
      <c r="C464" s="13" t="n"/>
      <c r="D464" s="13" t="n"/>
      <c r="E464" s="68" t="n"/>
      <c r="F464" s="69" t="n"/>
      <c r="G464" s="13" t="n"/>
      <c r="H464" s="13" t="n"/>
      <c r="I464" s="13" t="n"/>
      <c r="J464" s="13" t="n"/>
      <c r="K464" s="16">
        <f>IF($A464="","",1)</f>
        <v/>
      </c>
    </row>
    <row r="465">
      <c r="A465" s="13" t="n"/>
      <c r="B465" s="13" t="n"/>
      <c r="C465" s="13" t="n"/>
      <c r="D465" s="13" t="n"/>
      <c r="E465" s="68" t="n"/>
      <c r="F465" s="69" t="n"/>
      <c r="G465" s="13" t="n"/>
      <c r="H465" s="13" t="n"/>
      <c r="I465" s="13" t="n"/>
      <c r="J465" s="13" t="n"/>
      <c r="K465" s="16">
        <f>IF($A465="","",1)</f>
        <v/>
      </c>
    </row>
    <row r="466">
      <c r="A466" s="13" t="n"/>
      <c r="B466" s="13" t="n"/>
      <c r="C466" s="13" t="n"/>
      <c r="D466" s="13" t="n"/>
      <c r="E466" s="68" t="n"/>
      <c r="F466" s="69" t="n"/>
      <c r="G466" s="13" t="n"/>
      <c r="H466" s="13" t="n"/>
      <c r="I466" s="13" t="n"/>
      <c r="J466" s="13" t="n"/>
      <c r="K466" s="16">
        <f>IF($A466="","",1)</f>
        <v/>
      </c>
    </row>
    <row r="467">
      <c r="A467" s="13" t="n"/>
      <c r="B467" s="13" t="n"/>
      <c r="C467" s="13" t="n"/>
      <c r="D467" s="13" t="n"/>
      <c r="E467" s="68" t="n"/>
      <c r="F467" s="69" t="n"/>
      <c r="G467" s="13" t="n"/>
      <c r="H467" s="13" t="n"/>
      <c r="I467" s="13" t="n"/>
      <c r="J467" s="13" t="n"/>
      <c r="K467" s="16">
        <f>IF($A467="","",1)</f>
        <v/>
      </c>
    </row>
    <row r="468">
      <c r="A468" s="13" t="n"/>
      <c r="B468" s="13" t="n"/>
      <c r="C468" s="13" t="n"/>
      <c r="D468" s="13" t="n"/>
      <c r="E468" s="68" t="n"/>
      <c r="F468" s="69" t="n"/>
      <c r="G468" s="13" t="n"/>
      <c r="H468" s="13" t="n"/>
      <c r="I468" s="13" t="n"/>
      <c r="J468" s="13" t="n"/>
      <c r="K468" s="16">
        <f>IF($A468="","",1)</f>
        <v/>
      </c>
    </row>
    <row r="469">
      <c r="A469" s="13" t="n"/>
      <c r="B469" s="13" t="n"/>
      <c r="C469" s="13" t="n"/>
      <c r="D469" s="13" t="n"/>
      <c r="E469" s="68" t="n"/>
      <c r="F469" s="69" t="n"/>
      <c r="G469" s="13" t="n"/>
      <c r="H469" s="13" t="n"/>
      <c r="I469" s="13" t="n"/>
      <c r="J469" s="13" t="n"/>
      <c r="K469" s="16">
        <f>IF($A469="","",1)</f>
        <v/>
      </c>
    </row>
    <row r="470">
      <c r="A470" s="13" t="n"/>
      <c r="B470" s="13" t="n"/>
      <c r="C470" s="13" t="n"/>
      <c r="D470" s="13" t="n"/>
      <c r="E470" s="68" t="n"/>
      <c r="F470" s="69" t="n"/>
      <c r="G470" s="13" t="n"/>
      <c r="H470" s="13" t="n"/>
      <c r="I470" s="13" t="n"/>
      <c r="J470" s="13" t="n"/>
      <c r="K470" s="16">
        <f>IF($A470="","",1)</f>
        <v/>
      </c>
    </row>
    <row r="471">
      <c r="A471" s="13" t="n"/>
      <c r="B471" s="13" t="n"/>
      <c r="C471" s="13" t="n"/>
      <c r="D471" s="13" t="n"/>
      <c r="E471" s="68" t="n"/>
      <c r="F471" s="69" t="n"/>
      <c r="G471" s="13" t="n"/>
      <c r="H471" s="13" t="n"/>
      <c r="I471" s="13" t="n"/>
      <c r="J471" s="13" t="n"/>
      <c r="K471" s="16">
        <f>IF($A471="","",1)</f>
        <v/>
      </c>
    </row>
    <row r="472">
      <c r="A472" s="13" t="n"/>
      <c r="B472" s="13" t="n"/>
      <c r="C472" s="13" t="n"/>
      <c r="D472" s="13" t="n"/>
      <c r="E472" s="68" t="n"/>
      <c r="F472" s="69" t="n"/>
      <c r="G472" s="13" t="n"/>
      <c r="H472" s="13" t="n"/>
      <c r="I472" s="13" t="n"/>
      <c r="J472" s="13" t="n"/>
      <c r="K472" s="16">
        <f>IF($A472="","",1)</f>
        <v/>
      </c>
    </row>
    <row r="473">
      <c r="A473" s="13" t="n"/>
      <c r="B473" s="13" t="n"/>
      <c r="C473" s="13" t="n"/>
      <c r="D473" s="13" t="n"/>
      <c r="E473" s="68" t="n"/>
      <c r="F473" s="69" t="n"/>
      <c r="G473" s="13" t="n"/>
      <c r="H473" s="13" t="n"/>
      <c r="I473" s="13" t="n"/>
      <c r="J473" s="13" t="n"/>
      <c r="K473" s="16">
        <f>IF($A473="","",1)</f>
        <v/>
      </c>
    </row>
    <row r="474">
      <c r="A474" s="13" t="n"/>
      <c r="B474" s="13" t="n"/>
      <c r="C474" s="13" t="n"/>
      <c r="D474" s="13" t="n"/>
      <c r="E474" s="68" t="n"/>
      <c r="F474" s="69" t="n"/>
      <c r="G474" s="13" t="n"/>
      <c r="H474" s="13" t="n"/>
      <c r="I474" s="13" t="n"/>
      <c r="J474" s="13" t="n"/>
      <c r="K474" s="16">
        <f>IF($A474="","",1)</f>
        <v/>
      </c>
    </row>
    <row r="475">
      <c r="A475" s="13" t="n"/>
      <c r="B475" s="13" t="n"/>
      <c r="C475" s="13" t="n"/>
      <c r="D475" s="13" t="n"/>
      <c r="E475" s="68" t="n"/>
      <c r="F475" s="69" t="n"/>
      <c r="G475" s="13" t="n"/>
      <c r="H475" s="13" t="n"/>
      <c r="I475" s="13" t="n"/>
      <c r="J475" s="13" t="n"/>
      <c r="K475" s="16">
        <f>IF($A475="","",1)</f>
        <v/>
      </c>
    </row>
    <row r="476">
      <c r="A476" s="13" t="n"/>
      <c r="B476" s="13" t="n"/>
      <c r="C476" s="13" t="n"/>
      <c r="D476" s="13" t="n"/>
      <c r="E476" s="68" t="n"/>
      <c r="F476" s="69" t="n"/>
      <c r="G476" s="13" t="n"/>
      <c r="H476" s="13" t="n"/>
      <c r="I476" s="13" t="n"/>
      <c r="J476" s="13" t="n"/>
      <c r="K476" s="16">
        <f>IF($A476="","",1)</f>
        <v/>
      </c>
    </row>
    <row r="477">
      <c r="A477" s="13" t="n"/>
      <c r="B477" s="13" t="n"/>
      <c r="C477" s="13" t="n"/>
      <c r="D477" s="13" t="n"/>
      <c r="E477" s="68" t="n"/>
      <c r="F477" s="69" t="n"/>
      <c r="G477" s="13" t="n"/>
      <c r="H477" s="13" t="n"/>
      <c r="I477" s="13" t="n"/>
      <c r="J477" s="13" t="n"/>
      <c r="K477" s="16">
        <f>IF($A477="","",1)</f>
        <v/>
      </c>
    </row>
    <row r="478">
      <c r="A478" s="13" t="n"/>
      <c r="B478" s="13" t="n"/>
      <c r="C478" s="13" t="n"/>
      <c r="D478" s="13" t="n"/>
      <c r="E478" s="68" t="n"/>
      <c r="F478" s="69" t="n"/>
      <c r="G478" s="13" t="n"/>
      <c r="H478" s="13" t="n"/>
      <c r="I478" s="13" t="n"/>
      <c r="J478" s="13" t="n"/>
      <c r="K478" s="16">
        <f>IF($A478="","",1)</f>
        <v/>
      </c>
    </row>
    <row r="479">
      <c r="A479" s="13" t="n"/>
      <c r="B479" s="13" t="n"/>
      <c r="C479" s="13" t="n"/>
      <c r="D479" s="13" t="n"/>
      <c r="E479" s="68" t="n"/>
      <c r="F479" s="69" t="n"/>
      <c r="G479" s="13" t="n"/>
      <c r="H479" s="13" t="n"/>
      <c r="I479" s="13" t="n"/>
      <c r="J479" s="13" t="n"/>
      <c r="K479" s="16">
        <f>IF($A479="","",1)</f>
        <v/>
      </c>
    </row>
    <row r="480">
      <c r="A480" s="13" t="n"/>
      <c r="B480" s="13" t="n"/>
      <c r="C480" s="13" t="n"/>
      <c r="D480" s="13" t="n"/>
      <c r="E480" s="68" t="n"/>
      <c r="F480" s="69" t="n"/>
      <c r="G480" s="13" t="n"/>
      <c r="H480" s="13" t="n"/>
      <c r="I480" s="13" t="n"/>
      <c r="J480" s="13" t="n"/>
      <c r="K480" s="16">
        <f>IF($A480="","",1)</f>
        <v/>
      </c>
    </row>
    <row r="481">
      <c r="A481" s="13" t="n"/>
      <c r="B481" s="13" t="n"/>
      <c r="C481" s="13" t="n"/>
      <c r="D481" s="13" t="n"/>
      <c r="E481" s="68" t="n"/>
      <c r="F481" s="69" t="n"/>
      <c r="G481" s="13" t="n"/>
      <c r="H481" s="13" t="n"/>
      <c r="I481" s="13" t="n"/>
      <c r="J481" s="13" t="n"/>
      <c r="K481" s="16">
        <f>IF($A481="","",1)</f>
        <v/>
      </c>
    </row>
    <row r="482">
      <c r="A482" s="13" t="n"/>
      <c r="B482" s="13" t="n"/>
      <c r="C482" s="13" t="n"/>
      <c r="D482" s="13" t="n"/>
      <c r="E482" s="68" t="n"/>
      <c r="F482" s="69" t="n"/>
      <c r="G482" s="13" t="n"/>
      <c r="H482" s="13" t="n"/>
      <c r="I482" s="13" t="n"/>
      <c r="J482" s="13" t="n"/>
      <c r="K482" s="16">
        <f>IF($A482="","",1)</f>
        <v/>
      </c>
    </row>
    <row r="483">
      <c r="A483" s="13" t="n"/>
      <c r="B483" s="13" t="n"/>
      <c r="C483" s="13" t="n"/>
      <c r="D483" s="13" t="n"/>
      <c r="E483" s="68" t="n"/>
      <c r="F483" s="69" t="n"/>
      <c r="G483" s="13" t="n"/>
      <c r="H483" s="13" t="n"/>
      <c r="I483" s="13" t="n"/>
      <c r="J483" s="13" t="n"/>
      <c r="K483" s="16">
        <f>IF($A483="","",1)</f>
        <v/>
      </c>
    </row>
    <row r="484">
      <c r="A484" s="13" t="n"/>
      <c r="B484" s="13" t="n"/>
      <c r="C484" s="13" t="n"/>
      <c r="D484" s="13" t="n"/>
      <c r="E484" s="68" t="n"/>
      <c r="F484" s="69" t="n"/>
      <c r="G484" s="13" t="n"/>
      <c r="H484" s="13" t="n"/>
      <c r="I484" s="13" t="n"/>
      <c r="J484" s="13" t="n"/>
      <c r="K484" s="16">
        <f>IF($A484="","",1)</f>
        <v/>
      </c>
    </row>
    <row r="485">
      <c r="A485" s="13" t="n"/>
      <c r="B485" s="13" t="n"/>
      <c r="C485" s="13" t="n"/>
      <c r="D485" s="13" t="n"/>
      <c r="E485" s="68" t="n"/>
      <c r="F485" s="69" t="n"/>
      <c r="G485" s="13" t="n"/>
      <c r="H485" s="13" t="n"/>
      <c r="I485" s="13" t="n"/>
      <c r="J485" s="13" t="n"/>
      <c r="K485" s="16">
        <f>IF($A485="","",1)</f>
        <v/>
      </c>
    </row>
    <row r="486">
      <c r="A486" s="13" t="n"/>
      <c r="B486" s="13" t="n"/>
      <c r="C486" s="13" t="n"/>
      <c r="D486" s="13" t="n"/>
      <c r="E486" s="68" t="n"/>
      <c r="F486" s="69" t="n"/>
      <c r="G486" s="13" t="n"/>
      <c r="H486" s="13" t="n"/>
      <c r="I486" s="13" t="n"/>
      <c r="J486" s="13" t="n"/>
      <c r="K486" s="16">
        <f>IF($A486="","",1)</f>
        <v/>
      </c>
    </row>
    <row r="487">
      <c r="A487" s="13" t="n"/>
      <c r="B487" s="13" t="n"/>
      <c r="C487" s="13" t="n"/>
      <c r="D487" s="13" t="n"/>
      <c r="E487" s="68" t="n"/>
      <c r="F487" s="69" t="n"/>
      <c r="G487" s="13" t="n"/>
      <c r="H487" s="13" t="n"/>
      <c r="I487" s="13" t="n"/>
      <c r="J487" s="13" t="n"/>
      <c r="K487" s="16">
        <f>IF($A487="","",1)</f>
        <v/>
      </c>
    </row>
    <row r="488">
      <c r="A488" s="13" t="n"/>
      <c r="B488" s="13" t="n"/>
      <c r="C488" s="13" t="n"/>
      <c r="D488" s="13" t="n"/>
      <c r="E488" s="68" t="n"/>
      <c r="F488" s="69" t="n"/>
      <c r="G488" s="13" t="n"/>
      <c r="H488" s="13" t="n"/>
      <c r="I488" s="13" t="n"/>
      <c r="J488" s="13" t="n"/>
      <c r="K488" s="16">
        <f>IF($A488="","",1)</f>
        <v/>
      </c>
    </row>
    <row r="489">
      <c r="A489" s="13" t="n"/>
      <c r="B489" s="13" t="n"/>
      <c r="C489" s="13" t="n"/>
      <c r="D489" s="13" t="n"/>
      <c r="E489" s="68" t="n"/>
      <c r="F489" s="69" t="n"/>
      <c r="G489" s="13" t="n"/>
      <c r="H489" s="13" t="n"/>
      <c r="I489" s="13" t="n"/>
      <c r="J489" s="13" t="n"/>
      <c r="K489" s="16">
        <f>IF($A489="","",1)</f>
        <v/>
      </c>
    </row>
    <row r="490">
      <c r="A490" s="13" t="n"/>
      <c r="B490" s="13" t="n"/>
      <c r="C490" s="13" t="n"/>
      <c r="D490" s="13" t="n"/>
      <c r="E490" s="68" t="n"/>
      <c r="F490" s="69" t="n"/>
      <c r="G490" s="13" t="n"/>
      <c r="H490" s="13" t="n"/>
      <c r="I490" s="13" t="n"/>
      <c r="J490" s="13" t="n"/>
      <c r="K490" s="16">
        <f>IF($A490="","",1)</f>
        <v/>
      </c>
    </row>
    <row r="491">
      <c r="A491" s="13" t="n"/>
      <c r="B491" s="13" t="n"/>
      <c r="C491" s="13" t="n"/>
      <c r="D491" s="13" t="n"/>
      <c r="E491" s="68" t="n"/>
      <c r="F491" s="69" t="n"/>
      <c r="G491" s="13" t="n"/>
      <c r="H491" s="13" t="n"/>
      <c r="I491" s="13" t="n"/>
      <c r="J491" s="13" t="n"/>
      <c r="K491" s="16">
        <f>IF($A491="","",1)</f>
        <v/>
      </c>
    </row>
    <row r="492">
      <c r="A492" s="13" t="n"/>
      <c r="B492" s="13" t="n"/>
      <c r="C492" s="13" t="n"/>
      <c r="D492" s="13" t="n"/>
      <c r="E492" s="68" t="n"/>
      <c r="F492" s="69" t="n"/>
      <c r="G492" s="13" t="n"/>
      <c r="H492" s="13" t="n"/>
      <c r="I492" s="13" t="n"/>
      <c r="J492" s="13" t="n"/>
      <c r="K492" s="16">
        <f>IF($A492="","",1)</f>
        <v/>
      </c>
    </row>
    <row r="493">
      <c r="A493" s="13" t="n"/>
      <c r="B493" s="13" t="n"/>
      <c r="C493" s="13" t="n"/>
      <c r="D493" s="13" t="n"/>
      <c r="E493" s="68" t="n"/>
      <c r="F493" s="69" t="n"/>
      <c r="G493" s="13" t="n"/>
      <c r="H493" s="13" t="n"/>
      <c r="I493" s="13" t="n"/>
      <c r="J493" s="13" t="n"/>
      <c r="K493" s="16">
        <f>IF($A493="","",1)</f>
        <v/>
      </c>
    </row>
    <row r="494">
      <c r="A494" s="13" t="n"/>
      <c r="B494" s="13" t="n"/>
      <c r="C494" s="13" t="n"/>
      <c r="D494" s="13" t="n"/>
      <c r="E494" s="68" t="n"/>
      <c r="F494" s="69" t="n"/>
      <c r="G494" s="13" t="n"/>
      <c r="H494" s="13" t="n"/>
      <c r="I494" s="13" t="n"/>
      <c r="J494" s="13" t="n"/>
      <c r="K494" s="16">
        <f>IF($A494="","",1)</f>
        <v/>
      </c>
    </row>
    <row r="495">
      <c r="A495" s="13" t="n"/>
      <c r="B495" s="13" t="n"/>
      <c r="C495" s="13" t="n"/>
      <c r="D495" s="13" t="n"/>
      <c r="E495" s="68" t="n"/>
      <c r="F495" s="69" t="n"/>
      <c r="G495" s="13" t="n"/>
      <c r="H495" s="13" t="n"/>
      <c r="I495" s="13" t="n"/>
      <c r="J495" s="13" t="n"/>
      <c r="K495" s="16">
        <f>IF($A495="","",1)</f>
        <v/>
      </c>
    </row>
    <row r="496">
      <c r="A496" s="13" t="n"/>
      <c r="B496" s="13" t="n"/>
      <c r="C496" s="13" t="n"/>
      <c r="D496" s="13" t="n"/>
      <c r="E496" s="68" t="n"/>
      <c r="F496" s="69" t="n"/>
      <c r="G496" s="13" t="n"/>
      <c r="H496" s="13" t="n"/>
      <c r="I496" s="13" t="n"/>
      <c r="J496" s="13" t="n"/>
      <c r="K496" s="16">
        <f>IF($A496="","",1)</f>
        <v/>
      </c>
    </row>
    <row r="497">
      <c r="A497" s="13" t="n"/>
      <c r="B497" s="13" t="n"/>
      <c r="C497" s="13" t="n"/>
      <c r="D497" s="13" t="n"/>
      <c r="E497" s="68" t="n"/>
      <c r="F497" s="69" t="n"/>
      <c r="G497" s="13" t="n"/>
      <c r="H497" s="13" t="n"/>
      <c r="I497" s="13" t="n"/>
      <c r="J497" s="13" t="n"/>
      <c r="K497" s="16">
        <f>IF($A497="","",1)</f>
        <v/>
      </c>
    </row>
    <row r="498">
      <c r="A498" s="13" t="n"/>
      <c r="B498" s="13" t="n"/>
      <c r="C498" s="13" t="n"/>
      <c r="D498" s="13" t="n"/>
      <c r="E498" s="68" t="n"/>
      <c r="F498" s="69" t="n"/>
      <c r="G498" s="13" t="n"/>
      <c r="H498" s="13" t="n"/>
      <c r="I498" s="13" t="n"/>
      <c r="J498" s="13" t="n"/>
      <c r="K498" s="16">
        <f>IF($A498="","",1)</f>
        <v/>
      </c>
    </row>
    <row r="499">
      <c r="A499" s="13" t="n"/>
      <c r="B499" s="13" t="n"/>
      <c r="C499" s="13" t="n"/>
      <c r="D499" s="13" t="n"/>
      <c r="E499" s="68" t="n"/>
      <c r="F499" s="69" t="n"/>
      <c r="G499" s="13" t="n"/>
      <c r="H499" s="13" t="n"/>
      <c r="I499" s="13" t="n"/>
      <c r="J499" s="13" t="n"/>
      <c r="K499" s="16">
        <f>IF($A499="","",1)</f>
        <v/>
      </c>
    </row>
    <row r="500">
      <c r="A500" s="13" t="n"/>
      <c r="B500" s="13" t="n"/>
      <c r="C500" s="13" t="n"/>
      <c r="D500" s="13" t="n"/>
      <c r="E500" s="68" t="n"/>
      <c r="F500" s="69" t="n"/>
      <c r="G500" s="13" t="n"/>
      <c r="H500" s="13" t="n"/>
      <c r="I500" s="13" t="n"/>
      <c r="J500" s="13" t="n"/>
      <c r="K500" s="16">
        <f>IF($A500="","",1)</f>
        <v/>
      </c>
    </row>
    <row r="501">
      <c r="A501" s="13" t="n"/>
      <c r="B501" s="13" t="n"/>
      <c r="C501" s="13" t="n"/>
      <c r="D501" s="13" t="n"/>
      <c r="E501" s="68" t="n"/>
      <c r="F501" s="69" t="n"/>
      <c r="G501" s="13" t="n"/>
      <c r="H501" s="13" t="n"/>
      <c r="I501" s="13" t="n"/>
      <c r="J501" s="13" t="n"/>
      <c r="K501" s="16">
        <f>IF($A501="","",1)</f>
        <v/>
      </c>
    </row>
    <row r="502">
      <c r="A502" s="13" t="n"/>
      <c r="B502" s="13" t="n"/>
      <c r="C502" s="13" t="n"/>
      <c r="D502" s="13" t="n"/>
      <c r="E502" s="68" t="n"/>
      <c r="F502" s="69" t="n"/>
      <c r="G502" s="13" t="n"/>
      <c r="H502" s="13" t="n"/>
      <c r="I502" s="13" t="n"/>
      <c r="J502" s="13" t="n"/>
      <c r="K502" s="16">
        <f>IF($A502="","",1)</f>
        <v/>
      </c>
    </row>
    <row r="503">
      <c r="A503" s="13" t="n"/>
      <c r="B503" s="13" t="n"/>
      <c r="C503" s="13" t="n"/>
      <c r="D503" s="13" t="n"/>
      <c r="E503" s="68" t="n"/>
      <c r="F503" s="69" t="n"/>
      <c r="G503" s="13" t="n"/>
      <c r="H503" s="13" t="n"/>
      <c r="I503" s="13" t="n"/>
      <c r="J503" s="13" t="n"/>
      <c r="K503" s="16">
        <f>IF($A503="","",1)</f>
        <v/>
      </c>
    </row>
    <row r="504">
      <c r="A504" s="13" t="n"/>
      <c r="B504" s="13" t="n"/>
      <c r="C504" s="13" t="n"/>
      <c r="D504" s="13" t="n"/>
      <c r="E504" s="68" t="n"/>
      <c r="F504" s="69" t="n"/>
      <c r="G504" s="13" t="n"/>
      <c r="H504" s="13" t="n"/>
      <c r="I504" s="13" t="n"/>
      <c r="J504" s="13" t="n"/>
      <c r="K504" s="16">
        <f>IF($A504="","",1)</f>
        <v/>
      </c>
    </row>
    <row r="505">
      <c r="A505" s="13" t="n"/>
      <c r="B505" s="13" t="n"/>
      <c r="C505" s="13" t="n"/>
      <c r="D505" s="13" t="n"/>
      <c r="E505" s="68" t="n"/>
      <c r="F505" s="69" t="n"/>
      <c r="G505" s="13" t="n"/>
      <c r="H505" s="13" t="n"/>
      <c r="I505" s="13" t="n"/>
      <c r="J505" s="13" t="n"/>
      <c r="K505" s="16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505">
    <cfRule type="cellIs" priority="1" operator="lessThan" dxfId="0">
      <formula>0</formula>
    </cfRule>
    <cfRule type="cellIs" priority="2" operator="greaterThan" dxfId="1">
      <formula>100000</formula>
    </cfRule>
  </conditionalFormatting>
  <dataValidations count="7">
    <dataValidation sqref="A6:A505" showDropDown="0" showInputMessage="1" showErrorMessage="1" allowBlank="1" errorTitle="VKN" error="Boş olamaz" promptTitle="VKN" prompt="VKN girin" type="textLength" errorStyle="stop" operator="greaterThan">
      <formula1>1</formula1>
      <formula2>20</formula2>
    </dataValidation>
    <dataValidation sqref="B6:B505" showDropDown="0" showInputMessage="1" showErrorMessage="1" allowBlank="1" errorTitle="Unvan" error="Boş olamaz" promptTitle="Unvan" prompt="Unvan girin" type="textLength" errorStyle="stop" operator="greaterThan">
      <formula1>1</formula1>
      <formula2>80</formula2>
    </dataValidation>
    <dataValidation sqref="C6:C505" showDropDown="0" showInputMessage="1" showErrorMessage="1" allowBlank="1" errorTitle="Dönem" error="Geçersiz" promptTitle="Dönem" prompt="YYYY-AA" type="textLength" errorStyle="stop" operator="greaterThan">
      <formula1>1</formula1>
      <formula2>10</formula2>
    </dataValidation>
    <dataValidation sqref="E6:E505" showDropDown="0" showInputMessage="1" showErrorMessage="1" allowBlank="1" errorTitle="Tarih" error="Geçerli tarih" promptTitle="Tarih" prompt="Tarih" type="date" errorStyle="stop" operator="greaterThan">
      <formula1>1</formula1>
    </dataValidation>
    <dataValidation sqref="F6:F50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G6:G505" showDropDown="0" showInputMessage="1" showErrorMessage="1" allowBlank="1" errorTitle="Liste" error="Listeden seçin" promptTitle="İşlem Tipi" prompt="Listeden seçin" type="list" errorStyle="stop">
      <formula1>ListeIslemTipleri</formula1>
    </dataValidation>
    <dataValidation sqref="J6:J505" showDropDown="0" showInputMessage="1" showErrorMessage="1" allowBlank="1" errorTitle="Liste" error="Listeden seçi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L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VERI B — Cari ve Ba-Bs Toplu Mutabakat Motoru</t>
        </is>
      </c>
    </row>
    <row r="3" ht="20" customHeight="1">
      <c r="A3" s="10" t="inlineStr">
        <is>
          <t>Form Ba / Form Bs beyan satırları — GİB özeti</t>
        </is>
      </c>
    </row>
    <row r="5" ht="30" customHeight="1">
      <c r="A5" s="12" t="inlineStr">
        <is>
          <t>VKN</t>
        </is>
      </c>
      <c r="B5" s="12" t="inlineStr">
        <is>
          <t>Unvan</t>
        </is>
      </c>
      <c r="C5" s="12" t="inlineStr">
        <is>
          <t>Donem</t>
        </is>
      </c>
      <c r="D5" s="12" t="inlineStr">
        <is>
          <t>FormTipi</t>
        </is>
      </c>
      <c r="E5" s="12" t="inlineStr">
        <is>
          <t>BeyanTutar</t>
        </is>
      </c>
      <c r="F5" s="12" t="inlineStr">
        <is>
          <t>BelgeAdet</t>
        </is>
      </c>
      <c r="G5" s="12" t="inlineStr">
        <is>
          <t>Aciklama</t>
        </is>
      </c>
      <c r="H5" s="12" t="inlineStr">
        <is>
          <t>Durum</t>
        </is>
      </c>
      <c r="I5" s="12" t="inlineStr">
        <is>
          <t>KayitDolu</t>
        </is>
      </c>
    </row>
    <row r="6">
      <c r="A6" s="13" t="inlineStr">
        <is>
          <t>1000000017</t>
        </is>
      </c>
      <c r="B6" s="13" t="inlineStr">
        <is>
          <t>Örnek Cari 01 Ltd.</t>
        </is>
      </c>
      <c r="C6" s="13" t="inlineStr">
        <is>
          <t>2026-07</t>
        </is>
      </c>
      <c r="D6" s="13" t="inlineStr">
        <is>
          <t>Bs</t>
        </is>
      </c>
      <c r="E6" s="69" t="n">
        <v>10137.5</v>
      </c>
      <c r="F6" s="17" t="n">
        <v>2</v>
      </c>
      <c r="G6" s="13" t="inlineStr">
        <is>
          <t>Ba-Bs beyan</t>
        </is>
      </c>
      <c r="H6" s="13" t="inlineStr">
        <is>
          <t>Açık</t>
        </is>
      </c>
      <c r="I6" s="16">
        <f>IF($A6="","",1)</f>
        <v/>
      </c>
    </row>
    <row r="7">
      <c r="A7" s="13" t="inlineStr">
        <is>
          <t>1000000034</t>
        </is>
      </c>
      <c r="B7" s="13" t="inlineStr">
        <is>
          <t>Örnek Cari 02 Ltd.</t>
        </is>
      </c>
      <c r="C7" s="13" t="inlineStr">
        <is>
          <t>2026-07</t>
        </is>
      </c>
      <c r="D7" s="13" t="inlineStr">
        <is>
          <t>Ba</t>
        </is>
      </c>
      <c r="E7" s="69" t="n">
        <v>10275</v>
      </c>
      <c r="F7" s="17" t="n">
        <v>3</v>
      </c>
      <c r="G7" s="13" t="inlineStr">
        <is>
          <t>Ba-Bs beyan</t>
        </is>
      </c>
      <c r="H7" s="13" t="inlineStr">
        <is>
          <t>Açık</t>
        </is>
      </c>
      <c r="I7" s="16">
        <f>IF($A7="","",1)</f>
        <v/>
      </c>
    </row>
    <row r="8">
      <c r="A8" s="13" t="inlineStr">
        <is>
          <t>1000000051</t>
        </is>
      </c>
      <c r="B8" s="13" t="inlineStr">
        <is>
          <t>Örnek Cari 03 Ltd.</t>
        </is>
      </c>
      <c r="C8" s="13" t="inlineStr">
        <is>
          <t>2026-07</t>
        </is>
      </c>
      <c r="D8" s="13" t="inlineStr">
        <is>
          <t>Bs</t>
        </is>
      </c>
      <c r="E8" s="69" t="n">
        <v>10412.5</v>
      </c>
      <c r="F8" s="17" t="n">
        <v>1</v>
      </c>
      <c r="G8" s="13" t="inlineStr">
        <is>
          <t>Ba-Bs beyan</t>
        </is>
      </c>
      <c r="H8" s="13" t="inlineStr">
        <is>
          <t>Açık</t>
        </is>
      </c>
      <c r="I8" s="16">
        <f>IF($A8="","",1)</f>
        <v/>
      </c>
    </row>
    <row r="9">
      <c r="A9" s="13" t="inlineStr">
        <is>
          <t>1000000068</t>
        </is>
      </c>
      <c r="B9" s="13" t="inlineStr">
        <is>
          <t>Örnek Cari 04 Ltd.</t>
        </is>
      </c>
      <c r="C9" s="13" t="inlineStr">
        <is>
          <t>2026-07</t>
        </is>
      </c>
      <c r="D9" s="13" t="inlineStr">
        <is>
          <t>Ba</t>
        </is>
      </c>
      <c r="E9" s="69" t="n">
        <v>10550</v>
      </c>
      <c r="F9" s="17" t="n">
        <v>2</v>
      </c>
      <c r="G9" s="13" t="inlineStr">
        <is>
          <t>Ba-Bs beyan</t>
        </is>
      </c>
      <c r="H9" s="13" t="inlineStr">
        <is>
          <t>Açık</t>
        </is>
      </c>
      <c r="I9" s="16">
        <f>IF($A9="","",1)</f>
        <v/>
      </c>
    </row>
    <row r="10">
      <c r="A10" s="13" t="inlineStr">
        <is>
          <t>1000000085</t>
        </is>
      </c>
      <c r="B10" s="13" t="inlineStr">
        <is>
          <t>Örnek Cari 05 Ltd.</t>
        </is>
      </c>
      <c r="C10" s="13" t="inlineStr">
        <is>
          <t>2026-07</t>
        </is>
      </c>
      <c r="D10" s="13" t="inlineStr">
        <is>
          <t>Bs</t>
        </is>
      </c>
      <c r="E10" s="69" t="n">
        <v>10687.5</v>
      </c>
      <c r="F10" s="17" t="n">
        <v>3</v>
      </c>
      <c r="G10" s="13" t="inlineStr">
        <is>
          <t>Ba-Bs beyan</t>
        </is>
      </c>
      <c r="H10" s="13" t="inlineStr">
        <is>
          <t>Açık</t>
        </is>
      </c>
      <c r="I10" s="16">
        <f>IF($A10="","",1)</f>
        <v/>
      </c>
    </row>
    <row r="11">
      <c r="A11" s="13" t="inlineStr">
        <is>
          <t>1000000102</t>
        </is>
      </c>
      <c r="B11" s="13" t="inlineStr">
        <is>
          <t>Örnek Cari 06 Ltd.</t>
        </is>
      </c>
      <c r="C11" s="13" t="inlineStr">
        <is>
          <t>2026-07</t>
        </is>
      </c>
      <c r="D11" s="13" t="inlineStr">
        <is>
          <t>Ba</t>
        </is>
      </c>
      <c r="E11" s="69" t="n">
        <v>10825</v>
      </c>
      <c r="F11" s="17" t="n">
        <v>1</v>
      </c>
      <c r="G11" s="13" t="inlineStr">
        <is>
          <t>Ba-Bs beyan</t>
        </is>
      </c>
      <c r="H11" s="13" t="inlineStr">
        <is>
          <t>Açık</t>
        </is>
      </c>
      <c r="I11" s="16">
        <f>IF($A11="","",1)</f>
        <v/>
      </c>
    </row>
    <row r="12">
      <c r="A12" s="13" t="inlineStr">
        <is>
          <t>1000000119</t>
        </is>
      </c>
      <c r="B12" s="13" t="inlineStr">
        <is>
          <t>Örnek Cari 07 Ltd.</t>
        </is>
      </c>
      <c r="C12" s="13" t="inlineStr">
        <is>
          <t>2026-07</t>
        </is>
      </c>
      <c r="D12" s="13" t="inlineStr">
        <is>
          <t>Bs</t>
        </is>
      </c>
      <c r="E12" s="69" t="n">
        <v>10962.5</v>
      </c>
      <c r="F12" s="17" t="n">
        <v>2</v>
      </c>
      <c r="G12" s="13" t="inlineStr">
        <is>
          <t>Ba-Bs beyan</t>
        </is>
      </c>
      <c r="H12" s="13" t="inlineStr">
        <is>
          <t>Açık</t>
        </is>
      </c>
      <c r="I12" s="16">
        <f>IF($A12="","",1)</f>
        <v/>
      </c>
    </row>
    <row r="13">
      <c r="A13" s="13" t="inlineStr">
        <is>
          <t>1000000136</t>
        </is>
      </c>
      <c r="B13" s="13" t="inlineStr">
        <is>
          <t>Örnek Cari 08 Ltd.</t>
        </is>
      </c>
      <c r="C13" s="13" t="inlineStr">
        <is>
          <t>2026-07</t>
        </is>
      </c>
      <c r="D13" s="13" t="inlineStr">
        <is>
          <t>Ba</t>
        </is>
      </c>
      <c r="E13" s="69" t="n">
        <v>10974.5</v>
      </c>
      <c r="F13" s="17" t="n">
        <v>3</v>
      </c>
      <c r="G13" s="13" t="inlineStr">
        <is>
          <t>Ba-Bs beyan</t>
        </is>
      </c>
      <c r="H13" s="13" t="inlineStr">
        <is>
          <t>Açık</t>
        </is>
      </c>
      <c r="I13" s="16">
        <f>IF($A13="","",1)</f>
        <v/>
      </c>
    </row>
    <row r="14">
      <c r="A14" s="13" t="inlineStr">
        <is>
          <t>1000000153</t>
        </is>
      </c>
      <c r="B14" s="13" t="inlineStr">
        <is>
          <t>Örnek Cari 09 Ltd.</t>
        </is>
      </c>
      <c r="C14" s="13" t="inlineStr">
        <is>
          <t>2026-07</t>
        </is>
      </c>
      <c r="D14" s="13" t="inlineStr">
        <is>
          <t>Bs</t>
        </is>
      </c>
      <c r="E14" s="69" t="n">
        <v>11237.5</v>
      </c>
      <c r="F14" s="17" t="n">
        <v>1</v>
      </c>
      <c r="G14" s="13" t="inlineStr">
        <is>
          <t>Ba-Bs beyan</t>
        </is>
      </c>
      <c r="H14" s="13" t="inlineStr">
        <is>
          <t>Açık</t>
        </is>
      </c>
      <c r="I14" s="16">
        <f>IF($A14="","",1)</f>
        <v/>
      </c>
    </row>
    <row r="15">
      <c r="A15" s="13" t="inlineStr">
        <is>
          <t>1000000170</t>
        </is>
      </c>
      <c r="B15" s="13" t="inlineStr">
        <is>
          <t>Örnek Cari 10 Ltd.</t>
        </is>
      </c>
      <c r="C15" s="13" t="inlineStr">
        <is>
          <t>2026-07</t>
        </is>
      </c>
      <c r="D15" s="13" t="inlineStr">
        <is>
          <t>Ba</t>
        </is>
      </c>
      <c r="E15" s="69" t="n">
        <v>11375</v>
      </c>
      <c r="F15" s="17" t="n">
        <v>2</v>
      </c>
      <c r="G15" s="13" t="inlineStr">
        <is>
          <t>Ba-Bs beyan</t>
        </is>
      </c>
      <c r="H15" s="13" t="inlineStr">
        <is>
          <t>Açık</t>
        </is>
      </c>
      <c r="I15" s="16">
        <f>IF($A15="","",1)</f>
        <v/>
      </c>
    </row>
    <row r="16">
      <c r="A16" s="13" t="inlineStr">
        <is>
          <t>1000000187</t>
        </is>
      </c>
      <c r="B16" s="13" t="inlineStr">
        <is>
          <t>Örnek Cari 11 Ltd.</t>
        </is>
      </c>
      <c r="C16" s="13" t="inlineStr">
        <is>
          <t>2026-07</t>
        </is>
      </c>
      <c r="D16" s="13" t="inlineStr">
        <is>
          <t>Bs</t>
        </is>
      </c>
      <c r="E16" s="69" t="n">
        <v>11512.53</v>
      </c>
      <c r="F16" s="17" t="n">
        <v>3</v>
      </c>
      <c r="G16" s="13" t="inlineStr">
        <is>
          <t>Ba-Bs beyan</t>
        </is>
      </c>
      <c r="H16" s="13" t="inlineStr">
        <is>
          <t>Açık</t>
        </is>
      </c>
      <c r="I16" s="16">
        <f>IF($A16="","",1)</f>
        <v/>
      </c>
    </row>
    <row r="17">
      <c r="A17" s="13" t="inlineStr">
        <is>
          <t>1000000204</t>
        </is>
      </c>
      <c r="B17" s="13" t="inlineStr">
        <is>
          <t>Örnek Cari 12 Ltd.</t>
        </is>
      </c>
      <c r="C17" s="13" t="inlineStr">
        <is>
          <t>2026-07</t>
        </is>
      </c>
      <c r="D17" s="13" t="inlineStr">
        <is>
          <t>Ba</t>
        </is>
      </c>
      <c r="E17" s="69" t="n">
        <v>11650</v>
      </c>
      <c r="F17" s="17" t="n">
        <v>1</v>
      </c>
      <c r="G17" s="13" t="inlineStr">
        <is>
          <t>Ba-Bs beyan</t>
        </is>
      </c>
      <c r="H17" s="13" t="inlineStr">
        <is>
          <t>Açık</t>
        </is>
      </c>
      <c r="I17" s="16">
        <f>IF($A17="","",1)</f>
        <v/>
      </c>
    </row>
    <row r="18">
      <c r="A18" s="13" t="inlineStr">
        <is>
          <t>1000000221</t>
        </is>
      </c>
      <c r="B18" s="13" t="inlineStr">
        <is>
          <t>Örnek Cari 13 Ltd.</t>
        </is>
      </c>
      <c r="C18" s="13" t="inlineStr">
        <is>
          <t>2026-07</t>
        </is>
      </c>
      <c r="D18" s="13" t="inlineStr">
        <is>
          <t>Bs</t>
        </is>
      </c>
      <c r="E18" s="69" t="n">
        <v>11787.5</v>
      </c>
      <c r="F18" s="17" t="n">
        <v>2</v>
      </c>
      <c r="G18" s="13" t="inlineStr">
        <is>
          <t>Ba-Bs beyan</t>
        </is>
      </c>
      <c r="H18" s="13" t="inlineStr">
        <is>
          <t>Açık</t>
        </is>
      </c>
      <c r="I18" s="16">
        <f>IF($A18="","",1)</f>
        <v/>
      </c>
    </row>
    <row r="19">
      <c r="A19" s="13" t="inlineStr">
        <is>
          <t>1000000238</t>
        </is>
      </c>
      <c r="B19" s="13" t="inlineStr">
        <is>
          <t>Örnek Cari 14 Ltd.</t>
        </is>
      </c>
      <c r="C19" s="13" t="inlineStr">
        <is>
          <t>2026-07</t>
        </is>
      </c>
      <c r="D19" s="13" t="inlineStr">
        <is>
          <t>Ba</t>
        </is>
      </c>
      <c r="E19" s="69" t="n">
        <v>11925</v>
      </c>
      <c r="F19" s="17" t="n">
        <v>3</v>
      </c>
      <c r="G19" s="13" t="inlineStr">
        <is>
          <t>Ba-Bs beyan</t>
        </is>
      </c>
      <c r="H19" s="13" t="inlineStr">
        <is>
          <t>Açık</t>
        </is>
      </c>
      <c r="I19" s="16">
        <f>IF($A19="","",1)</f>
        <v/>
      </c>
    </row>
    <row r="20">
      <c r="A20" s="13" t="inlineStr">
        <is>
          <t>1000000255</t>
        </is>
      </c>
      <c r="B20" s="13" t="inlineStr">
        <is>
          <t>Örnek Cari 15 Ltd.</t>
        </is>
      </c>
      <c r="C20" s="13" t="inlineStr">
        <is>
          <t>2026-07</t>
        </is>
      </c>
      <c r="D20" s="13" t="inlineStr">
        <is>
          <t>Bs</t>
        </is>
      </c>
      <c r="E20" s="69" t="n">
        <v>12062.5</v>
      </c>
      <c r="F20" s="17" t="n">
        <v>1</v>
      </c>
      <c r="G20" s="13" t="inlineStr">
        <is>
          <t>Ba-Bs beyan</t>
        </is>
      </c>
      <c r="H20" s="13" t="inlineStr">
        <is>
          <t>Açık</t>
        </is>
      </c>
      <c r="I20" s="16">
        <f>IF($A20="","",1)</f>
        <v/>
      </c>
    </row>
    <row r="21">
      <c r="A21" s="13" t="inlineStr">
        <is>
          <t>1000000272</t>
        </is>
      </c>
      <c r="B21" s="13" t="inlineStr">
        <is>
          <t>Örnek Cari 16 Ltd.</t>
        </is>
      </c>
      <c r="C21" s="13" t="inlineStr">
        <is>
          <t>2026-07</t>
        </is>
      </c>
      <c r="D21" s="13" t="inlineStr">
        <is>
          <t>Ba</t>
        </is>
      </c>
      <c r="E21" s="69" t="n">
        <v>12074.5</v>
      </c>
      <c r="F21" s="17" t="n">
        <v>2</v>
      </c>
      <c r="G21" s="13" t="inlineStr">
        <is>
          <t>Ba-Bs beyan</t>
        </is>
      </c>
      <c r="H21" s="13" t="inlineStr">
        <is>
          <t>Açık</t>
        </is>
      </c>
      <c r="I21" s="16">
        <f>IF($A21="","",1)</f>
        <v/>
      </c>
    </row>
    <row r="22">
      <c r="A22" s="13" t="inlineStr">
        <is>
          <t>1000000289</t>
        </is>
      </c>
      <c r="B22" s="13" t="inlineStr">
        <is>
          <t>Örnek Cari 17 Ltd.</t>
        </is>
      </c>
      <c r="C22" s="13" t="inlineStr">
        <is>
          <t>2026-07</t>
        </is>
      </c>
      <c r="D22" s="13" t="inlineStr">
        <is>
          <t>Bs</t>
        </is>
      </c>
      <c r="E22" s="69" t="n">
        <v>12337.5</v>
      </c>
      <c r="F22" s="17" t="n">
        <v>3</v>
      </c>
      <c r="G22" s="13" t="inlineStr">
        <is>
          <t>Ba-Bs beyan</t>
        </is>
      </c>
      <c r="H22" s="13" t="inlineStr">
        <is>
          <t>Açık</t>
        </is>
      </c>
      <c r="I22" s="16">
        <f>IF($A22="","",1)</f>
        <v/>
      </c>
    </row>
    <row r="23">
      <c r="A23" s="13" t="inlineStr">
        <is>
          <t>1000000306</t>
        </is>
      </c>
      <c r="B23" s="13" t="inlineStr">
        <is>
          <t>Örnek Cari 18 Ltd.</t>
        </is>
      </c>
      <c r="C23" s="13" t="inlineStr">
        <is>
          <t>2026-07</t>
        </is>
      </c>
      <c r="D23" s="13" t="inlineStr">
        <is>
          <t>Ba</t>
        </is>
      </c>
      <c r="E23" s="69" t="n">
        <v>12475</v>
      </c>
      <c r="F23" s="17" t="n">
        <v>1</v>
      </c>
      <c r="G23" s="13" t="inlineStr">
        <is>
          <t>Ba-Bs beyan</t>
        </is>
      </c>
      <c r="H23" s="13" t="inlineStr">
        <is>
          <t>Açık</t>
        </is>
      </c>
      <c r="I23" s="16">
        <f>IF($A23="","",1)</f>
        <v/>
      </c>
    </row>
    <row r="24">
      <c r="A24" s="13" t="inlineStr">
        <is>
          <t>1000000323</t>
        </is>
      </c>
      <c r="B24" s="13" t="inlineStr">
        <is>
          <t>Örnek Cari 19 Ltd.</t>
        </is>
      </c>
      <c r="C24" s="13" t="inlineStr">
        <is>
          <t>2026-07</t>
        </is>
      </c>
      <c r="D24" s="13" t="inlineStr">
        <is>
          <t>Bs</t>
        </is>
      </c>
      <c r="E24" s="69" t="n">
        <v>12612.5</v>
      </c>
      <c r="F24" s="17" t="n">
        <v>2</v>
      </c>
      <c r="G24" s="13" t="inlineStr">
        <is>
          <t>Ba-Bs beyan</t>
        </is>
      </c>
      <c r="H24" s="13" t="inlineStr">
        <is>
          <t>Açık</t>
        </is>
      </c>
      <c r="I24" s="16">
        <f>IF($A24="","",1)</f>
        <v/>
      </c>
    </row>
    <row r="25">
      <c r="A25" s="13" t="inlineStr">
        <is>
          <t>1000000340</t>
        </is>
      </c>
      <c r="B25" s="13" t="inlineStr">
        <is>
          <t>Örnek Cari 20 Ltd.</t>
        </is>
      </c>
      <c r="C25" s="13" t="inlineStr">
        <is>
          <t>2026-07</t>
        </is>
      </c>
      <c r="D25" s="13" t="inlineStr">
        <is>
          <t>Ba</t>
        </is>
      </c>
      <c r="E25" s="69" t="n">
        <v>12750</v>
      </c>
      <c r="F25" s="17" t="n">
        <v>3</v>
      </c>
      <c r="G25" s="13" t="inlineStr">
        <is>
          <t>Ba-Bs beyan</t>
        </is>
      </c>
      <c r="H25" s="13" t="inlineStr">
        <is>
          <t>Açık</t>
        </is>
      </c>
      <c r="I25" s="16">
        <f>IF($A25="","",1)</f>
        <v/>
      </c>
    </row>
    <row r="26">
      <c r="A26" s="13" t="inlineStr">
        <is>
          <t>1000000357</t>
        </is>
      </c>
      <c r="B26" s="13" t="inlineStr">
        <is>
          <t>Örnek Cari 21 Ltd.</t>
        </is>
      </c>
      <c r="C26" s="13" t="inlineStr">
        <is>
          <t>2026-07</t>
        </is>
      </c>
      <c r="D26" s="13" t="inlineStr">
        <is>
          <t>Bs</t>
        </is>
      </c>
      <c r="E26" s="69" t="n">
        <v>12887.5</v>
      </c>
      <c r="F26" s="17" t="n">
        <v>1</v>
      </c>
      <c r="G26" s="13" t="inlineStr">
        <is>
          <t>Ba-Bs beyan</t>
        </is>
      </c>
      <c r="H26" s="13" t="inlineStr">
        <is>
          <t>Açık</t>
        </is>
      </c>
      <c r="I26" s="16">
        <f>IF($A26="","",1)</f>
        <v/>
      </c>
    </row>
    <row r="27">
      <c r="A27" s="13" t="inlineStr">
        <is>
          <t>1000000374</t>
        </is>
      </c>
      <c r="B27" s="13" t="inlineStr">
        <is>
          <t>Örnek Cari 22 Ltd.</t>
        </is>
      </c>
      <c r="C27" s="13" t="inlineStr">
        <is>
          <t>2026-07</t>
        </is>
      </c>
      <c r="D27" s="13" t="inlineStr">
        <is>
          <t>Ba</t>
        </is>
      </c>
      <c r="E27" s="69" t="n">
        <v>13025.03</v>
      </c>
      <c r="F27" s="17" t="n">
        <v>2</v>
      </c>
      <c r="G27" s="13" t="inlineStr">
        <is>
          <t>Ba-Bs beyan</t>
        </is>
      </c>
      <c r="H27" s="13" t="inlineStr">
        <is>
          <t>Açık</t>
        </is>
      </c>
      <c r="I27" s="16">
        <f>IF($A27="","",1)</f>
        <v/>
      </c>
    </row>
    <row r="28">
      <c r="A28" s="13" t="inlineStr">
        <is>
          <t>1000000391</t>
        </is>
      </c>
      <c r="B28" s="13" t="inlineStr">
        <is>
          <t>Örnek Cari 23 Ltd.</t>
        </is>
      </c>
      <c r="C28" s="13" t="inlineStr">
        <is>
          <t>2026-07</t>
        </is>
      </c>
      <c r="D28" s="13" t="inlineStr">
        <is>
          <t>Bs</t>
        </is>
      </c>
      <c r="E28" s="69" t="n">
        <v>13162.5</v>
      </c>
      <c r="F28" s="17" t="n">
        <v>3</v>
      </c>
      <c r="G28" s="13" t="inlineStr">
        <is>
          <t>Ba-Bs beyan</t>
        </is>
      </c>
      <c r="H28" s="13" t="inlineStr">
        <is>
          <t>Açık</t>
        </is>
      </c>
      <c r="I28" s="16">
        <f>IF($A28="","",1)</f>
        <v/>
      </c>
    </row>
    <row r="29">
      <c r="A29" s="13" t="inlineStr">
        <is>
          <t>1000000408</t>
        </is>
      </c>
      <c r="B29" s="13" t="inlineStr">
        <is>
          <t>Örnek Cari 24 Ltd.</t>
        </is>
      </c>
      <c r="C29" s="13" t="inlineStr">
        <is>
          <t>2026-07</t>
        </is>
      </c>
      <c r="D29" s="13" t="inlineStr">
        <is>
          <t>Ba</t>
        </is>
      </c>
      <c r="E29" s="69" t="n">
        <v>13174.5</v>
      </c>
      <c r="F29" s="17" t="n">
        <v>1</v>
      </c>
      <c r="G29" s="13" t="inlineStr">
        <is>
          <t>Ba-Bs beyan</t>
        </is>
      </c>
      <c r="H29" s="13" t="inlineStr">
        <is>
          <t>Açık</t>
        </is>
      </c>
      <c r="I29" s="16">
        <f>IF($A29="","",1)</f>
        <v/>
      </c>
    </row>
    <row r="30">
      <c r="A30" s="13" t="inlineStr">
        <is>
          <t>1000000425</t>
        </is>
      </c>
      <c r="B30" s="13" t="inlineStr">
        <is>
          <t>Örnek Cari 25 Ltd.</t>
        </is>
      </c>
      <c r="C30" s="13" t="inlineStr">
        <is>
          <t>2026-07</t>
        </is>
      </c>
      <c r="D30" s="13" t="inlineStr">
        <is>
          <t>Bs</t>
        </is>
      </c>
      <c r="E30" s="69" t="n">
        <v>13437.5</v>
      </c>
      <c r="F30" s="17" t="n">
        <v>2</v>
      </c>
      <c r="G30" s="13" t="inlineStr">
        <is>
          <t>Ba-Bs beyan</t>
        </is>
      </c>
      <c r="H30" s="13" t="inlineStr">
        <is>
          <t>Açık</t>
        </is>
      </c>
      <c r="I30" s="16">
        <f>IF($A30="","",1)</f>
        <v/>
      </c>
    </row>
    <row r="31">
      <c r="A31" s="13" t="inlineStr">
        <is>
          <t>1000000442</t>
        </is>
      </c>
      <c r="B31" s="13" t="inlineStr">
        <is>
          <t>Örnek Cari 26 Ltd.</t>
        </is>
      </c>
      <c r="C31" s="13" t="inlineStr">
        <is>
          <t>2026-07</t>
        </is>
      </c>
      <c r="D31" s="13" t="inlineStr">
        <is>
          <t>Ba</t>
        </is>
      </c>
      <c r="E31" s="69" t="n">
        <v>13575</v>
      </c>
      <c r="F31" s="17" t="n">
        <v>3</v>
      </c>
      <c r="G31" s="13" t="inlineStr">
        <is>
          <t>Ba-Bs beyan</t>
        </is>
      </c>
      <c r="H31" s="13" t="inlineStr">
        <is>
          <t>Açık</t>
        </is>
      </c>
      <c r="I31" s="16">
        <f>IF($A31="","",1)</f>
        <v/>
      </c>
    </row>
    <row r="32">
      <c r="A32" s="13" t="inlineStr">
        <is>
          <t>1000000459</t>
        </is>
      </c>
      <c r="B32" s="13" t="inlineStr">
        <is>
          <t>Örnek Cari 27 Ltd.</t>
        </is>
      </c>
      <c r="C32" s="13" t="inlineStr">
        <is>
          <t>2026-07</t>
        </is>
      </c>
      <c r="D32" s="13" t="inlineStr">
        <is>
          <t>Bs</t>
        </is>
      </c>
      <c r="E32" s="69" t="n">
        <v>13712.5</v>
      </c>
      <c r="F32" s="17" t="n">
        <v>1</v>
      </c>
      <c r="G32" s="13" t="inlineStr">
        <is>
          <t>Ba-Bs beyan</t>
        </is>
      </c>
      <c r="H32" s="13" t="inlineStr">
        <is>
          <t>Açık</t>
        </is>
      </c>
      <c r="I32" s="16">
        <f>IF($A32="","",1)</f>
        <v/>
      </c>
    </row>
    <row r="33">
      <c r="A33" s="13" t="inlineStr">
        <is>
          <t>1000000476</t>
        </is>
      </c>
      <c r="B33" s="13" t="inlineStr">
        <is>
          <t>Örnek Cari 28 Ltd.</t>
        </is>
      </c>
      <c r="C33" s="13" t="inlineStr">
        <is>
          <t>2026-07</t>
        </is>
      </c>
      <c r="D33" s="13" t="inlineStr">
        <is>
          <t>Ba</t>
        </is>
      </c>
      <c r="E33" s="69" t="n">
        <v>13850</v>
      </c>
      <c r="F33" s="17" t="n">
        <v>2</v>
      </c>
      <c r="G33" s="13" t="inlineStr">
        <is>
          <t>Ba-Bs beyan</t>
        </is>
      </c>
      <c r="H33" s="13" t="inlineStr">
        <is>
          <t>Açık</t>
        </is>
      </c>
      <c r="I33" s="16">
        <f>IF($A33="","",1)</f>
        <v/>
      </c>
    </row>
    <row r="34">
      <c r="A34" s="13" t="inlineStr">
        <is>
          <t>1000000493</t>
        </is>
      </c>
      <c r="B34" s="13" t="inlineStr">
        <is>
          <t>Örnek Cari 29 Ltd.</t>
        </is>
      </c>
      <c r="C34" s="13" t="inlineStr">
        <is>
          <t>2026-07</t>
        </is>
      </c>
      <c r="D34" s="13" t="inlineStr">
        <is>
          <t>Bs</t>
        </is>
      </c>
      <c r="E34" s="69" t="n">
        <v>13987.5</v>
      </c>
      <c r="F34" s="17" t="n">
        <v>3</v>
      </c>
      <c r="G34" s="13" t="inlineStr">
        <is>
          <t>Ba-Bs beyan</t>
        </is>
      </c>
      <c r="H34" s="13" t="inlineStr">
        <is>
          <t>Açık</t>
        </is>
      </c>
      <c r="I34" s="16">
        <f>IF($A34="","",1)</f>
        <v/>
      </c>
    </row>
    <row r="35">
      <c r="A35" s="13" t="inlineStr">
        <is>
          <t>1000000510</t>
        </is>
      </c>
      <c r="B35" s="13" t="inlineStr">
        <is>
          <t>Örnek Cari 30 Ltd.</t>
        </is>
      </c>
      <c r="C35" s="13" t="inlineStr">
        <is>
          <t>2026-07</t>
        </is>
      </c>
      <c r="D35" s="13" t="inlineStr">
        <is>
          <t>Ba</t>
        </is>
      </c>
      <c r="E35" s="69" t="n">
        <v>14125</v>
      </c>
      <c r="F35" s="17" t="n">
        <v>1</v>
      </c>
      <c r="G35" s="13" t="inlineStr">
        <is>
          <t>Ba-Bs beyan</t>
        </is>
      </c>
      <c r="H35" s="13" t="inlineStr">
        <is>
          <t>Açık</t>
        </is>
      </c>
      <c r="I35" s="16">
        <f>IF($A35="","",1)</f>
        <v/>
      </c>
    </row>
    <row r="36">
      <c r="A36" s="13" t="inlineStr">
        <is>
          <t>1000000527</t>
        </is>
      </c>
      <c r="B36" s="13" t="inlineStr">
        <is>
          <t>Örnek Cari 31 Ltd.</t>
        </is>
      </c>
      <c r="C36" s="13" t="inlineStr">
        <is>
          <t>2026-07</t>
        </is>
      </c>
      <c r="D36" s="13" t="inlineStr">
        <is>
          <t>Bs</t>
        </is>
      </c>
      <c r="E36" s="69" t="n">
        <v>14262.5</v>
      </c>
      <c r="F36" s="17" t="n">
        <v>2</v>
      </c>
      <c r="G36" s="13" t="inlineStr">
        <is>
          <t>Ba-Bs beyan</t>
        </is>
      </c>
      <c r="H36" s="13" t="inlineStr">
        <is>
          <t>Açık</t>
        </is>
      </c>
      <c r="I36" s="16">
        <f>IF($A36="","",1)</f>
        <v/>
      </c>
    </row>
    <row r="37">
      <c r="A37" s="13" t="inlineStr">
        <is>
          <t>1000000544</t>
        </is>
      </c>
      <c r="B37" s="13" t="inlineStr">
        <is>
          <t>Örnek Cari 32 Ltd.</t>
        </is>
      </c>
      <c r="C37" s="13" t="inlineStr">
        <is>
          <t>2026-07</t>
        </is>
      </c>
      <c r="D37" s="13" t="inlineStr">
        <is>
          <t>Ba</t>
        </is>
      </c>
      <c r="E37" s="69" t="n">
        <v>14274.5</v>
      </c>
      <c r="F37" s="17" t="n">
        <v>3</v>
      </c>
      <c r="G37" s="13" t="inlineStr">
        <is>
          <t>Ba-Bs beyan</t>
        </is>
      </c>
      <c r="H37" s="13" t="inlineStr">
        <is>
          <t>Açık</t>
        </is>
      </c>
      <c r="I37" s="16">
        <f>IF($A37="","",1)</f>
        <v/>
      </c>
    </row>
    <row r="38">
      <c r="A38" s="13" t="inlineStr">
        <is>
          <t>1000000561</t>
        </is>
      </c>
      <c r="B38" s="13" t="inlineStr">
        <is>
          <t>Örnek Cari 33 Ltd.</t>
        </is>
      </c>
      <c r="C38" s="13" t="inlineStr">
        <is>
          <t>2026-07</t>
        </is>
      </c>
      <c r="D38" s="13" t="inlineStr">
        <is>
          <t>Bs</t>
        </is>
      </c>
      <c r="E38" s="69" t="n">
        <v>14537.53</v>
      </c>
      <c r="F38" s="17" t="n">
        <v>1</v>
      </c>
      <c r="G38" s="13" t="inlineStr">
        <is>
          <t>Ba-Bs beyan</t>
        </is>
      </c>
      <c r="H38" s="13" t="inlineStr">
        <is>
          <t>Açık</t>
        </is>
      </c>
      <c r="I38" s="16">
        <f>IF($A38="","",1)</f>
        <v/>
      </c>
    </row>
    <row r="39">
      <c r="A39" s="13" t="inlineStr">
        <is>
          <t>1000000578</t>
        </is>
      </c>
      <c r="B39" s="13" t="inlineStr">
        <is>
          <t>Örnek Cari 34 Ltd.</t>
        </is>
      </c>
      <c r="C39" s="13" t="inlineStr">
        <is>
          <t>2026-07</t>
        </is>
      </c>
      <c r="D39" s="13" t="inlineStr">
        <is>
          <t>Ba</t>
        </is>
      </c>
      <c r="E39" s="69" t="n">
        <v>14675</v>
      </c>
      <c r="F39" s="17" t="n">
        <v>2</v>
      </c>
      <c r="G39" s="13" t="inlineStr">
        <is>
          <t>Ba-Bs beyan</t>
        </is>
      </c>
      <c r="H39" s="13" t="inlineStr">
        <is>
          <t>Açık</t>
        </is>
      </c>
      <c r="I39" s="16">
        <f>IF($A39="","",1)</f>
        <v/>
      </c>
    </row>
    <row r="40">
      <c r="A40" s="13" t="inlineStr">
        <is>
          <t>1000000595</t>
        </is>
      </c>
      <c r="B40" s="13" t="inlineStr">
        <is>
          <t>Örnek Cari 35 Ltd.</t>
        </is>
      </c>
      <c r="C40" s="13" t="inlineStr">
        <is>
          <t>2026-07</t>
        </is>
      </c>
      <c r="D40" s="13" t="inlineStr">
        <is>
          <t>Bs</t>
        </is>
      </c>
      <c r="E40" s="69" t="n">
        <v>14812.5</v>
      </c>
      <c r="F40" s="17" t="n">
        <v>3</v>
      </c>
      <c r="G40" s="13" t="inlineStr">
        <is>
          <t>Ba-Bs beyan</t>
        </is>
      </c>
      <c r="H40" s="13" t="inlineStr">
        <is>
          <t>Açık</t>
        </is>
      </c>
      <c r="I40" s="16">
        <f>IF($A40="","",1)</f>
        <v/>
      </c>
    </row>
    <row r="41">
      <c r="A41" s="13" t="n"/>
      <c r="B41" s="13" t="n"/>
      <c r="C41" s="13" t="n"/>
      <c r="D41" s="13" t="n"/>
      <c r="E41" s="69" t="n"/>
      <c r="F41" s="17" t="n"/>
      <c r="G41" s="13" t="n"/>
      <c r="H41" s="13" t="n"/>
      <c r="I41" s="16">
        <f>IF($A41="","",1)</f>
        <v/>
      </c>
    </row>
    <row r="42">
      <c r="A42" s="13" t="n"/>
      <c r="B42" s="13" t="n"/>
      <c r="C42" s="13" t="n"/>
      <c r="D42" s="13" t="n"/>
      <c r="E42" s="69" t="n"/>
      <c r="F42" s="17" t="n"/>
      <c r="G42" s="13" t="n"/>
      <c r="H42" s="13" t="n"/>
      <c r="I42" s="16">
        <f>IF($A42="","",1)</f>
        <v/>
      </c>
    </row>
    <row r="43">
      <c r="A43" s="13" t="n"/>
      <c r="B43" s="13" t="n"/>
      <c r="C43" s="13" t="n"/>
      <c r="D43" s="13" t="n"/>
      <c r="E43" s="69" t="n"/>
      <c r="F43" s="17" t="n"/>
      <c r="G43" s="13" t="n"/>
      <c r="H43" s="13" t="n"/>
      <c r="I43" s="16">
        <f>IF($A43="","",1)</f>
        <v/>
      </c>
    </row>
    <row r="44">
      <c r="A44" s="13" t="n"/>
      <c r="B44" s="13" t="n"/>
      <c r="C44" s="13" t="n"/>
      <c r="D44" s="13" t="n"/>
      <c r="E44" s="69" t="n"/>
      <c r="F44" s="17" t="n"/>
      <c r="G44" s="13" t="n"/>
      <c r="H44" s="13" t="n"/>
      <c r="I44" s="16">
        <f>IF($A44="","",1)</f>
        <v/>
      </c>
    </row>
    <row r="45">
      <c r="A45" s="13" t="n"/>
      <c r="B45" s="13" t="n"/>
      <c r="C45" s="13" t="n"/>
      <c r="D45" s="13" t="n"/>
      <c r="E45" s="69" t="n"/>
      <c r="F45" s="17" t="n"/>
      <c r="G45" s="13" t="n"/>
      <c r="H45" s="13" t="n"/>
      <c r="I45" s="16">
        <f>IF($A45="","",1)</f>
        <v/>
      </c>
    </row>
    <row r="46">
      <c r="A46" s="13" t="n"/>
      <c r="B46" s="13" t="n"/>
      <c r="C46" s="13" t="n"/>
      <c r="D46" s="13" t="n"/>
      <c r="E46" s="69" t="n"/>
      <c r="F46" s="17" t="n"/>
      <c r="G46" s="13" t="n"/>
      <c r="H46" s="13" t="n"/>
      <c r="I46" s="16">
        <f>IF($A46="","",1)</f>
        <v/>
      </c>
    </row>
    <row r="47">
      <c r="A47" s="13" t="n"/>
      <c r="B47" s="13" t="n"/>
      <c r="C47" s="13" t="n"/>
      <c r="D47" s="13" t="n"/>
      <c r="E47" s="69" t="n"/>
      <c r="F47" s="17" t="n"/>
      <c r="G47" s="13" t="n"/>
      <c r="H47" s="13" t="n"/>
      <c r="I47" s="16">
        <f>IF($A47="","",1)</f>
        <v/>
      </c>
    </row>
    <row r="48">
      <c r="A48" s="13" t="n"/>
      <c r="B48" s="13" t="n"/>
      <c r="C48" s="13" t="n"/>
      <c r="D48" s="13" t="n"/>
      <c r="E48" s="69" t="n"/>
      <c r="F48" s="17" t="n"/>
      <c r="G48" s="13" t="n"/>
      <c r="H48" s="13" t="n"/>
      <c r="I48" s="16">
        <f>IF($A48="","",1)</f>
        <v/>
      </c>
    </row>
    <row r="49">
      <c r="A49" s="13" t="n"/>
      <c r="B49" s="13" t="n"/>
      <c r="C49" s="13" t="n"/>
      <c r="D49" s="13" t="n"/>
      <c r="E49" s="69" t="n"/>
      <c r="F49" s="17" t="n"/>
      <c r="G49" s="13" t="n"/>
      <c r="H49" s="13" t="n"/>
      <c r="I49" s="16">
        <f>IF($A49="","",1)</f>
        <v/>
      </c>
    </row>
    <row r="50">
      <c r="A50" s="13" t="n"/>
      <c r="B50" s="13" t="n"/>
      <c r="C50" s="13" t="n"/>
      <c r="D50" s="13" t="n"/>
      <c r="E50" s="69" t="n"/>
      <c r="F50" s="17" t="n"/>
      <c r="G50" s="13" t="n"/>
      <c r="H50" s="13" t="n"/>
      <c r="I50" s="16">
        <f>IF($A50="","",1)</f>
        <v/>
      </c>
    </row>
    <row r="51">
      <c r="A51" s="13" t="n"/>
      <c r="B51" s="13" t="n"/>
      <c r="C51" s="13" t="n"/>
      <c r="D51" s="13" t="n"/>
      <c r="E51" s="69" t="n"/>
      <c r="F51" s="17" t="n"/>
      <c r="G51" s="13" t="n"/>
      <c r="H51" s="13" t="n"/>
      <c r="I51" s="16">
        <f>IF($A51="","",1)</f>
        <v/>
      </c>
    </row>
    <row r="52">
      <c r="A52" s="13" t="n"/>
      <c r="B52" s="13" t="n"/>
      <c r="C52" s="13" t="n"/>
      <c r="D52" s="13" t="n"/>
      <c r="E52" s="69" t="n"/>
      <c r="F52" s="17" t="n"/>
      <c r="G52" s="13" t="n"/>
      <c r="H52" s="13" t="n"/>
      <c r="I52" s="16">
        <f>IF($A52="","",1)</f>
        <v/>
      </c>
    </row>
    <row r="53">
      <c r="A53" s="13" t="n"/>
      <c r="B53" s="13" t="n"/>
      <c r="C53" s="13" t="n"/>
      <c r="D53" s="13" t="n"/>
      <c r="E53" s="69" t="n"/>
      <c r="F53" s="17" t="n"/>
      <c r="G53" s="13" t="n"/>
      <c r="H53" s="13" t="n"/>
      <c r="I53" s="16">
        <f>IF($A53="","",1)</f>
        <v/>
      </c>
    </row>
    <row r="54">
      <c r="A54" s="13" t="n"/>
      <c r="B54" s="13" t="n"/>
      <c r="C54" s="13" t="n"/>
      <c r="D54" s="13" t="n"/>
      <c r="E54" s="69" t="n"/>
      <c r="F54" s="17" t="n"/>
      <c r="G54" s="13" t="n"/>
      <c r="H54" s="13" t="n"/>
      <c r="I54" s="16">
        <f>IF($A54="","",1)</f>
        <v/>
      </c>
    </row>
    <row r="55">
      <c r="A55" s="13" t="n"/>
      <c r="B55" s="13" t="n"/>
      <c r="C55" s="13" t="n"/>
      <c r="D55" s="13" t="n"/>
      <c r="E55" s="69" t="n"/>
      <c r="F55" s="17" t="n"/>
      <c r="G55" s="13" t="n"/>
      <c r="H55" s="13" t="n"/>
      <c r="I55" s="16">
        <f>IF($A55="","",1)</f>
        <v/>
      </c>
    </row>
    <row r="56">
      <c r="A56" s="13" t="n"/>
      <c r="B56" s="13" t="n"/>
      <c r="C56" s="13" t="n"/>
      <c r="D56" s="13" t="n"/>
      <c r="E56" s="69" t="n"/>
      <c r="F56" s="17" t="n"/>
      <c r="G56" s="13" t="n"/>
      <c r="H56" s="13" t="n"/>
      <c r="I56" s="16">
        <f>IF($A56="","",1)</f>
        <v/>
      </c>
    </row>
    <row r="57">
      <c r="A57" s="13" t="n"/>
      <c r="B57" s="13" t="n"/>
      <c r="C57" s="13" t="n"/>
      <c r="D57" s="13" t="n"/>
      <c r="E57" s="69" t="n"/>
      <c r="F57" s="17" t="n"/>
      <c r="G57" s="13" t="n"/>
      <c r="H57" s="13" t="n"/>
      <c r="I57" s="16">
        <f>IF($A57="","",1)</f>
        <v/>
      </c>
    </row>
    <row r="58">
      <c r="A58" s="13" t="n"/>
      <c r="B58" s="13" t="n"/>
      <c r="C58" s="13" t="n"/>
      <c r="D58" s="13" t="n"/>
      <c r="E58" s="69" t="n"/>
      <c r="F58" s="17" t="n"/>
      <c r="G58" s="13" t="n"/>
      <c r="H58" s="13" t="n"/>
      <c r="I58" s="16">
        <f>IF($A58="","",1)</f>
        <v/>
      </c>
    </row>
    <row r="59">
      <c r="A59" s="13" t="n"/>
      <c r="B59" s="13" t="n"/>
      <c r="C59" s="13" t="n"/>
      <c r="D59" s="13" t="n"/>
      <c r="E59" s="69" t="n"/>
      <c r="F59" s="17" t="n"/>
      <c r="G59" s="13" t="n"/>
      <c r="H59" s="13" t="n"/>
      <c r="I59" s="16">
        <f>IF($A59="","",1)</f>
        <v/>
      </c>
    </row>
    <row r="60">
      <c r="A60" s="13" t="n"/>
      <c r="B60" s="13" t="n"/>
      <c r="C60" s="13" t="n"/>
      <c r="D60" s="13" t="n"/>
      <c r="E60" s="69" t="n"/>
      <c r="F60" s="17" t="n"/>
      <c r="G60" s="13" t="n"/>
      <c r="H60" s="13" t="n"/>
      <c r="I60" s="16">
        <f>IF($A60="","",1)</f>
        <v/>
      </c>
    </row>
    <row r="61">
      <c r="A61" s="13" t="n"/>
      <c r="B61" s="13" t="n"/>
      <c r="C61" s="13" t="n"/>
      <c r="D61" s="13" t="n"/>
      <c r="E61" s="69" t="n"/>
      <c r="F61" s="17" t="n"/>
      <c r="G61" s="13" t="n"/>
      <c r="H61" s="13" t="n"/>
      <c r="I61" s="16">
        <f>IF($A61="","",1)</f>
        <v/>
      </c>
    </row>
    <row r="62">
      <c r="A62" s="13" t="n"/>
      <c r="B62" s="13" t="n"/>
      <c r="C62" s="13" t="n"/>
      <c r="D62" s="13" t="n"/>
      <c r="E62" s="69" t="n"/>
      <c r="F62" s="17" t="n"/>
      <c r="G62" s="13" t="n"/>
      <c r="H62" s="13" t="n"/>
      <c r="I62" s="16">
        <f>IF($A62="","",1)</f>
        <v/>
      </c>
    </row>
    <row r="63">
      <c r="A63" s="13" t="n"/>
      <c r="B63" s="13" t="n"/>
      <c r="C63" s="13" t="n"/>
      <c r="D63" s="13" t="n"/>
      <c r="E63" s="69" t="n"/>
      <c r="F63" s="17" t="n"/>
      <c r="G63" s="13" t="n"/>
      <c r="H63" s="13" t="n"/>
      <c r="I63" s="16">
        <f>IF($A63="","",1)</f>
        <v/>
      </c>
    </row>
    <row r="64">
      <c r="A64" s="13" t="n"/>
      <c r="B64" s="13" t="n"/>
      <c r="C64" s="13" t="n"/>
      <c r="D64" s="13" t="n"/>
      <c r="E64" s="69" t="n"/>
      <c r="F64" s="17" t="n"/>
      <c r="G64" s="13" t="n"/>
      <c r="H64" s="13" t="n"/>
      <c r="I64" s="16">
        <f>IF($A64="","",1)</f>
        <v/>
      </c>
    </row>
    <row r="65">
      <c r="A65" s="13" t="n"/>
      <c r="B65" s="13" t="n"/>
      <c r="C65" s="13" t="n"/>
      <c r="D65" s="13" t="n"/>
      <c r="E65" s="69" t="n"/>
      <c r="F65" s="17" t="n"/>
      <c r="G65" s="13" t="n"/>
      <c r="H65" s="13" t="n"/>
      <c r="I65" s="16">
        <f>IF($A65="","",1)</f>
        <v/>
      </c>
    </row>
    <row r="66">
      <c r="A66" s="13" t="n"/>
      <c r="B66" s="13" t="n"/>
      <c r="C66" s="13" t="n"/>
      <c r="D66" s="13" t="n"/>
      <c r="E66" s="69" t="n"/>
      <c r="F66" s="17" t="n"/>
      <c r="G66" s="13" t="n"/>
      <c r="H66" s="13" t="n"/>
      <c r="I66" s="16">
        <f>IF($A66="","",1)</f>
        <v/>
      </c>
    </row>
    <row r="67">
      <c r="A67" s="13" t="n"/>
      <c r="B67" s="13" t="n"/>
      <c r="C67" s="13" t="n"/>
      <c r="D67" s="13" t="n"/>
      <c r="E67" s="69" t="n"/>
      <c r="F67" s="17" t="n"/>
      <c r="G67" s="13" t="n"/>
      <c r="H67" s="13" t="n"/>
      <c r="I67" s="16">
        <f>IF($A67="","",1)</f>
        <v/>
      </c>
    </row>
    <row r="68">
      <c r="A68" s="13" t="n"/>
      <c r="B68" s="13" t="n"/>
      <c r="C68" s="13" t="n"/>
      <c r="D68" s="13" t="n"/>
      <c r="E68" s="69" t="n"/>
      <c r="F68" s="17" t="n"/>
      <c r="G68" s="13" t="n"/>
      <c r="H68" s="13" t="n"/>
      <c r="I68" s="16">
        <f>IF($A68="","",1)</f>
        <v/>
      </c>
    </row>
    <row r="69">
      <c r="A69" s="13" t="n"/>
      <c r="B69" s="13" t="n"/>
      <c r="C69" s="13" t="n"/>
      <c r="D69" s="13" t="n"/>
      <c r="E69" s="69" t="n"/>
      <c r="F69" s="17" t="n"/>
      <c r="G69" s="13" t="n"/>
      <c r="H69" s="13" t="n"/>
      <c r="I69" s="16">
        <f>IF($A69="","",1)</f>
        <v/>
      </c>
    </row>
    <row r="70">
      <c r="A70" s="13" t="n"/>
      <c r="B70" s="13" t="n"/>
      <c r="C70" s="13" t="n"/>
      <c r="D70" s="13" t="n"/>
      <c r="E70" s="69" t="n"/>
      <c r="F70" s="17" t="n"/>
      <c r="G70" s="13" t="n"/>
      <c r="H70" s="13" t="n"/>
      <c r="I70" s="16">
        <f>IF($A70="","",1)</f>
        <v/>
      </c>
    </row>
    <row r="71">
      <c r="A71" s="13" t="n"/>
      <c r="B71" s="13" t="n"/>
      <c r="C71" s="13" t="n"/>
      <c r="D71" s="13" t="n"/>
      <c r="E71" s="69" t="n"/>
      <c r="F71" s="17" t="n"/>
      <c r="G71" s="13" t="n"/>
      <c r="H71" s="13" t="n"/>
      <c r="I71" s="16">
        <f>IF($A71="","",1)</f>
        <v/>
      </c>
    </row>
    <row r="72">
      <c r="A72" s="13" t="n"/>
      <c r="B72" s="13" t="n"/>
      <c r="C72" s="13" t="n"/>
      <c r="D72" s="13" t="n"/>
      <c r="E72" s="69" t="n"/>
      <c r="F72" s="17" t="n"/>
      <c r="G72" s="13" t="n"/>
      <c r="H72" s="13" t="n"/>
      <c r="I72" s="16">
        <f>IF($A72="","",1)</f>
        <v/>
      </c>
    </row>
    <row r="73">
      <c r="A73" s="13" t="n"/>
      <c r="B73" s="13" t="n"/>
      <c r="C73" s="13" t="n"/>
      <c r="D73" s="13" t="n"/>
      <c r="E73" s="69" t="n"/>
      <c r="F73" s="17" t="n"/>
      <c r="G73" s="13" t="n"/>
      <c r="H73" s="13" t="n"/>
      <c r="I73" s="16">
        <f>IF($A73="","",1)</f>
        <v/>
      </c>
    </row>
    <row r="74">
      <c r="A74" s="13" t="n"/>
      <c r="B74" s="13" t="n"/>
      <c r="C74" s="13" t="n"/>
      <c r="D74" s="13" t="n"/>
      <c r="E74" s="69" t="n"/>
      <c r="F74" s="17" t="n"/>
      <c r="G74" s="13" t="n"/>
      <c r="H74" s="13" t="n"/>
      <c r="I74" s="16">
        <f>IF($A74="","",1)</f>
        <v/>
      </c>
    </row>
    <row r="75">
      <c r="A75" s="13" t="n"/>
      <c r="B75" s="13" t="n"/>
      <c r="C75" s="13" t="n"/>
      <c r="D75" s="13" t="n"/>
      <c r="E75" s="69" t="n"/>
      <c r="F75" s="17" t="n"/>
      <c r="G75" s="13" t="n"/>
      <c r="H75" s="13" t="n"/>
      <c r="I75" s="16">
        <f>IF($A75="","",1)</f>
        <v/>
      </c>
    </row>
    <row r="76">
      <c r="A76" s="13" t="n"/>
      <c r="B76" s="13" t="n"/>
      <c r="C76" s="13" t="n"/>
      <c r="D76" s="13" t="n"/>
      <c r="E76" s="69" t="n"/>
      <c r="F76" s="17" t="n"/>
      <c r="G76" s="13" t="n"/>
      <c r="H76" s="13" t="n"/>
      <c r="I76" s="16">
        <f>IF($A76="","",1)</f>
        <v/>
      </c>
    </row>
    <row r="77">
      <c r="A77" s="13" t="n"/>
      <c r="B77" s="13" t="n"/>
      <c r="C77" s="13" t="n"/>
      <c r="D77" s="13" t="n"/>
      <c r="E77" s="69" t="n"/>
      <c r="F77" s="17" t="n"/>
      <c r="G77" s="13" t="n"/>
      <c r="H77" s="13" t="n"/>
      <c r="I77" s="16">
        <f>IF($A77="","",1)</f>
        <v/>
      </c>
    </row>
    <row r="78">
      <c r="A78" s="13" t="n"/>
      <c r="B78" s="13" t="n"/>
      <c r="C78" s="13" t="n"/>
      <c r="D78" s="13" t="n"/>
      <c r="E78" s="69" t="n"/>
      <c r="F78" s="17" t="n"/>
      <c r="G78" s="13" t="n"/>
      <c r="H78" s="13" t="n"/>
      <c r="I78" s="16">
        <f>IF($A78="","",1)</f>
        <v/>
      </c>
    </row>
    <row r="79">
      <c r="A79" s="13" t="n"/>
      <c r="B79" s="13" t="n"/>
      <c r="C79" s="13" t="n"/>
      <c r="D79" s="13" t="n"/>
      <c r="E79" s="69" t="n"/>
      <c r="F79" s="17" t="n"/>
      <c r="G79" s="13" t="n"/>
      <c r="H79" s="13" t="n"/>
      <c r="I79" s="16">
        <f>IF($A79="","",1)</f>
        <v/>
      </c>
    </row>
    <row r="80">
      <c r="A80" s="13" t="n"/>
      <c r="B80" s="13" t="n"/>
      <c r="C80" s="13" t="n"/>
      <c r="D80" s="13" t="n"/>
      <c r="E80" s="69" t="n"/>
      <c r="F80" s="17" t="n"/>
      <c r="G80" s="13" t="n"/>
      <c r="H80" s="13" t="n"/>
      <c r="I80" s="16">
        <f>IF($A80="","",1)</f>
        <v/>
      </c>
    </row>
    <row r="81">
      <c r="A81" s="13" t="n"/>
      <c r="B81" s="13" t="n"/>
      <c r="C81" s="13" t="n"/>
      <c r="D81" s="13" t="n"/>
      <c r="E81" s="69" t="n"/>
      <c r="F81" s="17" t="n"/>
      <c r="G81" s="13" t="n"/>
      <c r="H81" s="13" t="n"/>
      <c r="I81" s="16">
        <f>IF($A81="","",1)</f>
        <v/>
      </c>
    </row>
    <row r="82">
      <c r="A82" s="13" t="n"/>
      <c r="B82" s="13" t="n"/>
      <c r="C82" s="13" t="n"/>
      <c r="D82" s="13" t="n"/>
      <c r="E82" s="69" t="n"/>
      <c r="F82" s="17" t="n"/>
      <c r="G82" s="13" t="n"/>
      <c r="H82" s="13" t="n"/>
      <c r="I82" s="16">
        <f>IF($A82="","",1)</f>
        <v/>
      </c>
    </row>
    <row r="83">
      <c r="A83" s="13" t="n"/>
      <c r="B83" s="13" t="n"/>
      <c r="C83" s="13" t="n"/>
      <c r="D83" s="13" t="n"/>
      <c r="E83" s="69" t="n"/>
      <c r="F83" s="17" t="n"/>
      <c r="G83" s="13" t="n"/>
      <c r="H83" s="13" t="n"/>
      <c r="I83" s="16">
        <f>IF($A83="","",1)</f>
        <v/>
      </c>
    </row>
    <row r="84">
      <c r="A84" s="13" t="n"/>
      <c r="B84" s="13" t="n"/>
      <c r="C84" s="13" t="n"/>
      <c r="D84" s="13" t="n"/>
      <c r="E84" s="69" t="n"/>
      <c r="F84" s="17" t="n"/>
      <c r="G84" s="13" t="n"/>
      <c r="H84" s="13" t="n"/>
      <c r="I84" s="16">
        <f>IF($A84="","",1)</f>
        <v/>
      </c>
    </row>
    <row r="85">
      <c r="A85" s="13" t="n"/>
      <c r="B85" s="13" t="n"/>
      <c r="C85" s="13" t="n"/>
      <c r="D85" s="13" t="n"/>
      <c r="E85" s="69" t="n"/>
      <c r="F85" s="17" t="n"/>
      <c r="G85" s="13" t="n"/>
      <c r="H85" s="13" t="n"/>
      <c r="I85" s="16">
        <f>IF($A85="","",1)</f>
        <v/>
      </c>
    </row>
    <row r="86">
      <c r="A86" s="13" t="n"/>
      <c r="B86" s="13" t="n"/>
      <c r="C86" s="13" t="n"/>
      <c r="D86" s="13" t="n"/>
      <c r="E86" s="69" t="n"/>
      <c r="F86" s="17" t="n"/>
      <c r="G86" s="13" t="n"/>
      <c r="H86" s="13" t="n"/>
      <c r="I86" s="16">
        <f>IF($A86="","",1)</f>
        <v/>
      </c>
    </row>
    <row r="87">
      <c r="A87" s="13" t="n"/>
      <c r="B87" s="13" t="n"/>
      <c r="C87" s="13" t="n"/>
      <c r="D87" s="13" t="n"/>
      <c r="E87" s="69" t="n"/>
      <c r="F87" s="17" t="n"/>
      <c r="G87" s="13" t="n"/>
      <c r="H87" s="13" t="n"/>
      <c r="I87" s="16">
        <f>IF($A87="","",1)</f>
        <v/>
      </c>
    </row>
    <row r="88">
      <c r="A88" s="13" t="n"/>
      <c r="B88" s="13" t="n"/>
      <c r="C88" s="13" t="n"/>
      <c r="D88" s="13" t="n"/>
      <c r="E88" s="69" t="n"/>
      <c r="F88" s="17" t="n"/>
      <c r="G88" s="13" t="n"/>
      <c r="H88" s="13" t="n"/>
      <c r="I88" s="16">
        <f>IF($A88="","",1)</f>
        <v/>
      </c>
    </row>
    <row r="89">
      <c r="A89" s="13" t="n"/>
      <c r="B89" s="13" t="n"/>
      <c r="C89" s="13" t="n"/>
      <c r="D89" s="13" t="n"/>
      <c r="E89" s="69" t="n"/>
      <c r="F89" s="17" t="n"/>
      <c r="G89" s="13" t="n"/>
      <c r="H89" s="13" t="n"/>
      <c r="I89" s="16">
        <f>IF($A89="","",1)</f>
        <v/>
      </c>
    </row>
    <row r="90">
      <c r="A90" s="13" t="n"/>
      <c r="B90" s="13" t="n"/>
      <c r="C90" s="13" t="n"/>
      <c r="D90" s="13" t="n"/>
      <c r="E90" s="69" t="n"/>
      <c r="F90" s="17" t="n"/>
      <c r="G90" s="13" t="n"/>
      <c r="H90" s="13" t="n"/>
      <c r="I90" s="16">
        <f>IF($A90="","",1)</f>
        <v/>
      </c>
    </row>
    <row r="91">
      <c r="A91" s="13" t="n"/>
      <c r="B91" s="13" t="n"/>
      <c r="C91" s="13" t="n"/>
      <c r="D91" s="13" t="n"/>
      <c r="E91" s="69" t="n"/>
      <c r="F91" s="17" t="n"/>
      <c r="G91" s="13" t="n"/>
      <c r="H91" s="13" t="n"/>
      <c r="I91" s="16">
        <f>IF($A91="","",1)</f>
        <v/>
      </c>
    </row>
    <row r="92">
      <c r="A92" s="13" t="n"/>
      <c r="B92" s="13" t="n"/>
      <c r="C92" s="13" t="n"/>
      <c r="D92" s="13" t="n"/>
      <c r="E92" s="69" t="n"/>
      <c r="F92" s="17" t="n"/>
      <c r="G92" s="13" t="n"/>
      <c r="H92" s="13" t="n"/>
      <c r="I92" s="16">
        <f>IF($A92="","",1)</f>
        <v/>
      </c>
    </row>
    <row r="93">
      <c r="A93" s="13" t="n"/>
      <c r="B93" s="13" t="n"/>
      <c r="C93" s="13" t="n"/>
      <c r="D93" s="13" t="n"/>
      <c r="E93" s="69" t="n"/>
      <c r="F93" s="17" t="n"/>
      <c r="G93" s="13" t="n"/>
      <c r="H93" s="13" t="n"/>
      <c r="I93" s="16">
        <f>IF($A93="","",1)</f>
        <v/>
      </c>
    </row>
    <row r="94">
      <c r="A94" s="13" t="n"/>
      <c r="B94" s="13" t="n"/>
      <c r="C94" s="13" t="n"/>
      <c r="D94" s="13" t="n"/>
      <c r="E94" s="69" t="n"/>
      <c r="F94" s="17" t="n"/>
      <c r="G94" s="13" t="n"/>
      <c r="H94" s="13" t="n"/>
      <c r="I94" s="16">
        <f>IF($A94="","",1)</f>
        <v/>
      </c>
    </row>
    <row r="95">
      <c r="A95" s="13" t="n"/>
      <c r="B95" s="13" t="n"/>
      <c r="C95" s="13" t="n"/>
      <c r="D95" s="13" t="n"/>
      <c r="E95" s="69" t="n"/>
      <c r="F95" s="17" t="n"/>
      <c r="G95" s="13" t="n"/>
      <c r="H95" s="13" t="n"/>
      <c r="I95" s="16">
        <f>IF($A95="","",1)</f>
        <v/>
      </c>
    </row>
    <row r="96">
      <c r="A96" s="13" t="n"/>
      <c r="B96" s="13" t="n"/>
      <c r="C96" s="13" t="n"/>
      <c r="D96" s="13" t="n"/>
      <c r="E96" s="69" t="n"/>
      <c r="F96" s="17" t="n"/>
      <c r="G96" s="13" t="n"/>
      <c r="H96" s="13" t="n"/>
      <c r="I96" s="16">
        <f>IF($A96="","",1)</f>
        <v/>
      </c>
    </row>
    <row r="97">
      <c r="A97" s="13" t="n"/>
      <c r="B97" s="13" t="n"/>
      <c r="C97" s="13" t="n"/>
      <c r="D97" s="13" t="n"/>
      <c r="E97" s="69" t="n"/>
      <c r="F97" s="17" t="n"/>
      <c r="G97" s="13" t="n"/>
      <c r="H97" s="13" t="n"/>
      <c r="I97" s="16">
        <f>IF($A97="","",1)</f>
        <v/>
      </c>
    </row>
    <row r="98">
      <c r="A98" s="13" t="n"/>
      <c r="B98" s="13" t="n"/>
      <c r="C98" s="13" t="n"/>
      <c r="D98" s="13" t="n"/>
      <c r="E98" s="69" t="n"/>
      <c r="F98" s="17" t="n"/>
      <c r="G98" s="13" t="n"/>
      <c r="H98" s="13" t="n"/>
      <c r="I98" s="16">
        <f>IF($A98="","",1)</f>
        <v/>
      </c>
    </row>
    <row r="99">
      <c r="A99" s="13" t="n"/>
      <c r="B99" s="13" t="n"/>
      <c r="C99" s="13" t="n"/>
      <c r="D99" s="13" t="n"/>
      <c r="E99" s="69" t="n"/>
      <c r="F99" s="17" t="n"/>
      <c r="G99" s="13" t="n"/>
      <c r="H99" s="13" t="n"/>
      <c r="I99" s="16">
        <f>IF($A99="","",1)</f>
        <v/>
      </c>
    </row>
    <row r="100">
      <c r="A100" s="13" t="n"/>
      <c r="B100" s="13" t="n"/>
      <c r="C100" s="13" t="n"/>
      <c r="D100" s="13" t="n"/>
      <c r="E100" s="69" t="n"/>
      <c r="F100" s="17" t="n"/>
      <c r="G100" s="13" t="n"/>
      <c r="H100" s="13" t="n"/>
      <c r="I100" s="16">
        <f>IF($A100="","",1)</f>
        <v/>
      </c>
    </row>
    <row r="101">
      <c r="A101" s="13" t="n"/>
      <c r="B101" s="13" t="n"/>
      <c r="C101" s="13" t="n"/>
      <c r="D101" s="13" t="n"/>
      <c r="E101" s="69" t="n"/>
      <c r="F101" s="17" t="n"/>
      <c r="G101" s="13" t="n"/>
      <c r="H101" s="13" t="n"/>
      <c r="I101" s="16">
        <f>IF($A101="","",1)</f>
        <v/>
      </c>
    </row>
    <row r="102">
      <c r="A102" s="13" t="n"/>
      <c r="B102" s="13" t="n"/>
      <c r="C102" s="13" t="n"/>
      <c r="D102" s="13" t="n"/>
      <c r="E102" s="69" t="n"/>
      <c r="F102" s="17" t="n"/>
      <c r="G102" s="13" t="n"/>
      <c r="H102" s="13" t="n"/>
      <c r="I102" s="16">
        <f>IF($A102="","",1)</f>
        <v/>
      </c>
    </row>
    <row r="103">
      <c r="A103" s="13" t="n"/>
      <c r="B103" s="13" t="n"/>
      <c r="C103" s="13" t="n"/>
      <c r="D103" s="13" t="n"/>
      <c r="E103" s="69" t="n"/>
      <c r="F103" s="17" t="n"/>
      <c r="G103" s="13" t="n"/>
      <c r="H103" s="13" t="n"/>
      <c r="I103" s="16">
        <f>IF($A103="","",1)</f>
        <v/>
      </c>
    </row>
    <row r="104">
      <c r="A104" s="13" t="n"/>
      <c r="B104" s="13" t="n"/>
      <c r="C104" s="13" t="n"/>
      <c r="D104" s="13" t="n"/>
      <c r="E104" s="69" t="n"/>
      <c r="F104" s="17" t="n"/>
      <c r="G104" s="13" t="n"/>
      <c r="H104" s="13" t="n"/>
      <c r="I104" s="16">
        <f>IF($A104="","",1)</f>
        <v/>
      </c>
    </row>
    <row r="105">
      <c r="A105" s="13" t="n"/>
      <c r="B105" s="13" t="n"/>
      <c r="C105" s="13" t="n"/>
      <c r="D105" s="13" t="n"/>
      <c r="E105" s="69" t="n"/>
      <c r="F105" s="17" t="n"/>
      <c r="G105" s="13" t="n"/>
      <c r="H105" s="13" t="n"/>
      <c r="I105" s="16">
        <f>IF($A105="","",1)</f>
        <v/>
      </c>
    </row>
    <row r="106">
      <c r="A106" s="13" t="n"/>
      <c r="B106" s="13" t="n"/>
      <c r="C106" s="13" t="n"/>
      <c r="D106" s="13" t="n"/>
      <c r="E106" s="69" t="n"/>
      <c r="F106" s="17" t="n"/>
      <c r="G106" s="13" t="n"/>
      <c r="H106" s="13" t="n"/>
      <c r="I106" s="16">
        <f>IF($A106="","",1)</f>
        <v/>
      </c>
    </row>
    <row r="107">
      <c r="A107" s="13" t="n"/>
      <c r="B107" s="13" t="n"/>
      <c r="C107" s="13" t="n"/>
      <c r="D107" s="13" t="n"/>
      <c r="E107" s="69" t="n"/>
      <c r="F107" s="17" t="n"/>
      <c r="G107" s="13" t="n"/>
      <c r="H107" s="13" t="n"/>
      <c r="I107" s="16">
        <f>IF($A107="","",1)</f>
        <v/>
      </c>
    </row>
    <row r="108">
      <c r="A108" s="13" t="n"/>
      <c r="B108" s="13" t="n"/>
      <c r="C108" s="13" t="n"/>
      <c r="D108" s="13" t="n"/>
      <c r="E108" s="69" t="n"/>
      <c r="F108" s="17" t="n"/>
      <c r="G108" s="13" t="n"/>
      <c r="H108" s="13" t="n"/>
      <c r="I108" s="16">
        <f>IF($A108="","",1)</f>
        <v/>
      </c>
    </row>
    <row r="109">
      <c r="A109" s="13" t="n"/>
      <c r="B109" s="13" t="n"/>
      <c r="C109" s="13" t="n"/>
      <c r="D109" s="13" t="n"/>
      <c r="E109" s="69" t="n"/>
      <c r="F109" s="17" t="n"/>
      <c r="G109" s="13" t="n"/>
      <c r="H109" s="13" t="n"/>
      <c r="I109" s="16">
        <f>IF($A109="","",1)</f>
        <v/>
      </c>
    </row>
    <row r="110">
      <c r="A110" s="13" t="n"/>
      <c r="B110" s="13" t="n"/>
      <c r="C110" s="13" t="n"/>
      <c r="D110" s="13" t="n"/>
      <c r="E110" s="69" t="n"/>
      <c r="F110" s="17" t="n"/>
      <c r="G110" s="13" t="n"/>
      <c r="H110" s="13" t="n"/>
      <c r="I110" s="16">
        <f>IF($A110="","",1)</f>
        <v/>
      </c>
    </row>
    <row r="111">
      <c r="A111" s="13" t="n"/>
      <c r="B111" s="13" t="n"/>
      <c r="C111" s="13" t="n"/>
      <c r="D111" s="13" t="n"/>
      <c r="E111" s="69" t="n"/>
      <c r="F111" s="17" t="n"/>
      <c r="G111" s="13" t="n"/>
      <c r="H111" s="13" t="n"/>
      <c r="I111" s="16">
        <f>IF($A111="","",1)</f>
        <v/>
      </c>
    </row>
    <row r="112">
      <c r="A112" s="13" t="n"/>
      <c r="B112" s="13" t="n"/>
      <c r="C112" s="13" t="n"/>
      <c r="D112" s="13" t="n"/>
      <c r="E112" s="69" t="n"/>
      <c r="F112" s="17" t="n"/>
      <c r="G112" s="13" t="n"/>
      <c r="H112" s="13" t="n"/>
      <c r="I112" s="16">
        <f>IF($A112="","",1)</f>
        <v/>
      </c>
    </row>
    <row r="113">
      <c r="A113" s="13" t="n"/>
      <c r="B113" s="13" t="n"/>
      <c r="C113" s="13" t="n"/>
      <c r="D113" s="13" t="n"/>
      <c r="E113" s="69" t="n"/>
      <c r="F113" s="17" t="n"/>
      <c r="G113" s="13" t="n"/>
      <c r="H113" s="13" t="n"/>
      <c r="I113" s="16">
        <f>IF($A113="","",1)</f>
        <v/>
      </c>
    </row>
    <row r="114">
      <c r="A114" s="13" t="n"/>
      <c r="B114" s="13" t="n"/>
      <c r="C114" s="13" t="n"/>
      <c r="D114" s="13" t="n"/>
      <c r="E114" s="69" t="n"/>
      <c r="F114" s="17" t="n"/>
      <c r="G114" s="13" t="n"/>
      <c r="H114" s="13" t="n"/>
      <c r="I114" s="16">
        <f>IF($A114="","",1)</f>
        <v/>
      </c>
    </row>
    <row r="115">
      <c r="A115" s="13" t="n"/>
      <c r="B115" s="13" t="n"/>
      <c r="C115" s="13" t="n"/>
      <c r="D115" s="13" t="n"/>
      <c r="E115" s="69" t="n"/>
      <c r="F115" s="17" t="n"/>
      <c r="G115" s="13" t="n"/>
      <c r="H115" s="13" t="n"/>
      <c r="I115" s="16">
        <f>IF($A115="","",1)</f>
        <v/>
      </c>
    </row>
    <row r="116">
      <c r="A116" s="13" t="n"/>
      <c r="B116" s="13" t="n"/>
      <c r="C116" s="13" t="n"/>
      <c r="D116" s="13" t="n"/>
      <c r="E116" s="69" t="n"/>
      <c r="F116" s="17" t="n"/>
      <c r="G116" s="13" t="n"/>
      <c r="H116" s="13" t="n"/>
      <c r="I116" s="16">
        <f>IF($A116="","",1)</f>
        <v/>
      </c>
    </row>
    <row r="117">
      <c r="A117" s="13" t="n"/>
      <c r="B117" s="13" t="n"/>
      <c r="C117" s="13" t="n"/>
      <c r="D117" s="13" t="n"/>
      <c r="E117" s="69" t="n"/>
      <c r="F117" s="17" t="n"/>
      <c r="G117" s="13" t="n"/>
      <c r="H117" s="13" t="n"/>
      <c r="I117" s="16">
        <f>IF($A117="","",1)</f>
        <v/>
      </c>
    </row>
    <row r="118">
      <c r="A118" s="13" t="n"/>
      <c r="B118" s="13" t="n"/>
      <c r="C118" s="13" t="n"/>
      <c r="D118" s="13" t="n"/>
      <c r="E118" s="69" t="n"/>
      <c r="F118" s="17" t="n"/>
      <c r="G118" s="13" t="n"/>
      <c r="H118" s="13" t="n"/>
      <c r="I118" s="16">
        <f>IF($A118="","",1)</f>
        <v/>
      </c>
    </row>
    <row r="119">
      <c r="A119" s="13" t="n"/>
      <c r="B119" s="13" t="n"/>
      <c r="C119" s="13" t="n"/>
      <c r="D119" s="13" t="n"/>
      <c r="E119" s="69" t="n"/>
      <c r="F119" s="17" t="n"/>
      <c r="G119" s="13" t="n"/>
      <c r="H119" s="13" t="n"/>
      <c r="I119" s="16">
        <f>IF($A119="","",1)</f>
        <v/>
      </c>
    </row>
    <row r="120">
      <c r="A120" s="13" t="n"/>
      <c r="B120" s="13" t="n"/>
      <c r="C120" s="13" t="n"/>
      <c r="D120" s="13" t="n"/>
      <c r="E120" s="69" t="n"/>
      <c r="F120" s="17" t="n"/>
      <c r="G120" s="13" t="n"/>
      <c r="H120" s="13" t="n"/>
      <c r="I120" s="16">
        <f>IF($A120="","",1)</f>
        <v/>
      </c>
    </row>
    <row r="121">
      <c r="A121" s="13" t="n"/>
      <c r="B121" s="13" t="n"/>
      <c r="C121" s="13" t="n"/>
      <c r="D121" s="13" t="n"/>
      <c r="E121" s="69" t="n"/>
      <c r="F121" s="17" t="n"/>
      <c r="G121" s="13" t="n"/>
      <c r="H121" s="13" t="n"/>
      <c r="I121" s="16">
        <f>IF($A121="","",1)</f>
        <v/>
      </c>
    </row>
    <row r="122">
      <c r="A122" s="13" t="n"/>
      <c r="B122" s="13" t="n"/>
      <c r="C122" s="13" t="n"/>
      <c r="D122" s="13" t="n"/>
      <c r="E122" s="69" t="n"/>
      <c r="F122" s="17" t="n"/>
      <c r="G122" s="13" t="n"/>
      <c r="H122" s="13" t="n"/>
      <c r="I122" s="16">
        <f>IF($A122="","",1)</f>
        <v/>
      </c>
    </row>
    <row r="123">
      <c r="A123" s="13" t="n"/>
      <c r="B123" s="13" t="n"/>
      <c r="C123" s="13" t="n"/>
      <c r="D123" s="13" t="n"/>
      <c r="E123" s="69" t="n"/>
      <c r="F123" s="17" t="n"/>
      <c r="G123" s="13" t="n"/>
      <c r="H123" s="13" t="n"/>
      <c r="I123" s="16">
        <f>IF($A123="","",1)</f>
        <v/>
      </c>
    </row>
    <row r="124">
      <c r="A124" s="13" t="n"/>
      <c r="B124" s="13" t="n"/>
      <c r="C124" s="13" t="n"/>
      <c r="D124" s="13" t="n"/>
      <c r="E124" s="69" t="n"/>
      <c r="F124" s="17" t="n"/>
      <c r="G124" s="13" t="n"/>
      <c r="H124" s="13" t="n"/>
      <c r="I124" s="16">
        <f>IF($A124="","",1)</f>
        <v/>
      </c>
    </row>
    <row r="125">
      <c r="A125" s="13" t="n"/>
      <c r="B125" s="13" t="n"/>
      <c r="C125" s="13" t="n"/>
      <c r="D125" s="13" t="n"/>
      <c r="E125" s="69" t="n"/>
      <c r="F125" s="17" t="n"/>
      <c r="G125" s="13" t="n"/>
      <c r="H125" s="13" t="n"/>
      <c r="I125" s="16">
        <f>IF($A125="","",1)</f>
        <v/>
      </c>
    </row>
    <row r="126">
      <c r="A126" s="13" t="n"/>
      <c r="B126" s="13" t="n"/>
      <c r="C126" s="13" t="n"/>
      <c r="D126" s="13" t="n"/>
      <c r="E126" s="69" t="n"/>
      <c r="F126" s="17" t="n"/>
      <c r="G126" s="13" t="n"/>
      <c r="H126" s="13" t="n"/>
      <c r="I126" s="16">
        <f>IF($A126="","",1)</f>
        <v/>
      </c>
    </row>
    <row r="127">
      <c r="A127" s="13" t="n"/>
      <c r="B127" s="13" t="n"/>
      <c r="C127" s="13" t="n"/>
      <c r="D127" s="13" t="n"/>
      <c r="E127" s="69" t="n"/>
      <c r="F127" s="17" t="n"/>
      <c r="G127" s="13" t="n"/>
      <c r="H127" s="13" t="n"/>
      <c r="I127" s="16">
        <f>IF($A127="","",1)</f>
        <v/>
      </c>
    </row>
    <row r="128">
      <c r="A128" s="13" t="n"/>
      <c r="B128" s="13" t="n"/>
      <c r="C128" s="13" t="n"/>
      <c r="D128" s="13" t="n"/>
      <c r="E128" s="69" t="n"/>
      <c r="F128" s="17" t="n"/>
      <c r="G128" s="13" t="n"/>
      <c r="H128" s="13" t="n"/>
      <c r="I128" s="16">
        <f>IF($A128="","",1)</f>
        <v/>
      </c>
    </row>
    <row r="129">
      <c r="A129" s="13" t="n"/>
      <c r="B129" s="13" t="n"/>
      <c r="C129" s="13" t="n"/>
      <c r="D129" s="13" t="n"/>
      <c r="E129" s="69" t="n"/>
      <c r="F129" s="17" t="n"/>
      <c r="G129" s="13" t="n"/>
      <c r="H129" s="13" t="n"/>
      <c r="I129" s="16">
        <f>IF($A129="","",1)</f>
        <v/>
      </c>
    </row>
    <row r="130">
      <c r="A130" s="13" t="n"/>
      <c r="B130" s="13" t="n"/>
      <c r="C130" s="13" t="n"/>
      <c r="D130" s="13" t="n"/>
      <c r="E130" s="69" t="n"/>
      <c r="F130" s="17" t="n"/>
      <c r="G130" s="13" t="n"/>
      <c r="H130" s="13" t="n"/>
      <c r="I130" s="16">
        <f>IF($A130="","",1)</f>
        <v/>
      </c>
    </row>
    <row r="131">
      <c r="A131" s="13" t="n"/>
      <c r="B131" s="13" t="n"/>
      <c r="C131" s="13" t="n"/>
      <c r="D131" s="13" t="n"/>
      <c r="E131" s="69" t="n"/>
      <c r="F131" s="17" t="n"/>
      <c r="G131" s="13" t="n"/>
      <c r="H131" s="13" t="n"/>
      <c r="I131" s="16">
        <f>IF($A131="","",1)</f>
        <v/>
      </c>
    </row>
    <row r="132">
      <c r="A132" s="13" t="n"/>
      <c r="B132" s="13" t="n"/>
      <c r="C132" s="13" t="n"/>
      <c r="D132" s="13" t="n"/>
      <c r="E132" s="69" t="n"/>
      <c r="F132" s="17" t="n"/>
      <c r="G132" s="13" t="n"/>
      <c r="H132" s="13" t="n"/>
      <c r="I132" s="16">
        <f>IF($A132="","",1)</f>
        <v/>
      </c>
    </row>
    <row r="133">
      <c r="A133" s="13" t="n"/>
      <c r="B133" s="13" t="n"/>
      <c r="C133" s="13" t="n"/>
      <c r="D133" s="13" t="n"/>
      <c r="E133" s="69" t="n"/>
      <c r="F133" s="17" t="n"/>
      <c r="G133" s="13" t="n"/>
      <c r="H133" s="13" t="n"/>
      <c r="I133" s="16">
        <f>IF($A133="","",1)</f>
        <v/>
      </c>
    </row>
    <row r="134">
      <c r="A134" s="13" t="n"/>
      <c r="B134" s="13" t="n"/>
      <c r="C134" s="13" t="n"/>
      <c r="D134" s="13" t="n"/>
      <c r="E134" s="69" t="n"/>
      <c r="F134" s="17" t="n"/>
      <c r="G134" s="13" t="n"/>
      <c r="H134" s="13" t="n"/>
      <c r="I134" s="16">
        <f>IF($A134="","",1)</f>
        <v/>
      </c>
    </row>
    <row r="135">
      <c r="A135" s="13" t="n"/>
      <c r="B135" s="13" t="n"/>
      <c r="C135" s="13" t="n"/>
      <c r="D135" s="13" t="n"/>
      <c r="E135" s="69" t="n"/>
      <c r="F135" s="17" t="n"/>
      <c r="G135" s="13" t="n"/>
      <c r="H135" s="13" t="n"/>
      <c r="I135" s="16">
        <f>IF($A135="","",1)</f>
        <v/>
      </c>
    </row>
    <row r="136">
      <c r="A136" s="13" t="n"/>
      <c r="B136" s="13" t="n"/>
      <c r="C136" s="13" t="n"/>
      <c r="D136" s="13" t="n"/>
      <c r="E136" s="69" t="n"/>
      <c r="F136" s="17" t="n"/>
      <c r="G136" s="13" t="n"/>
      <c r="H136" s="13" t="n"/>
      <c r="I136" s="16">
        <f>IF($A136="","",1)</f>
        <v/>
      </c>
    </row>
    <row r="137">
      <c r="A137" s="13" t="n"/>
      <c r="B137" s="13" t="n"/>
      <c r="C137" s="13" t="n"/>
      <c r="D137" s="13" t="n"/>
      <c r="E137" s="69" t="n"/>
      <c r="F137" s="17" t="n"/>
      <c r="G137" s="13" t="n"/>
      <c r="H137" s="13" t="n"/>
      <c r="I137" s="16">
        <f>IF($A137="","",1)</f>
        <v/>
      </c>
    </row>
    <row r="138">
      <c r="A138" s="13" t="n"/>
      <c r="B138" s="13" t="n"/>
      <c r="C138" s="13" t="n"/>
      <c r="D138" s="13" t="n"/>
      <c r="E138" s="69" t="n"/>
      <c r="F138" s="17" t="n"/>
      <c r="G138" s="13" t="n"/>
      <c r="H138" s="13" t="n"/>
      <c r="I138" s="16">
        <f>IF($A138="","",1)</f>
        <v/>
      </c>
    </row>
    <row r="139">
      <c r="A139" s="13" t="n"/>
      <c r="B139" s="13" t="n"/>
      <c r="C139" s="13" t="n"/>
      <c r="D139" s="13" t="n"/>
      <c r="E139" s="69" t="n"/>
      <c r="F139" s="17" t="n"/>
      <c r="G139" s="13" t="n"/>
      <c r="H139" s="13" t="n"/>
      <c r="I139" s="16">
        <f>IF($A139="","",1)</f>
        <v/>
      </c>
    </row>
    <row r="140">
      <c r="A140" s="13" t="n"/>
      <c r="B140" s="13" t="n"/>
      <c r="C140" s="13" t="n"/>
      <c r="D140" s="13" t="n"/>
      <c r="E140" s="69" t="n"/>
      <c r="F140" s="17" t="n"/>
      <c r="G140" s="13" t="n"/>
      <c r="H140" s="13" t="n"/>
      <c r="I140" s="16">
        <f>IF($A140="","",1)</f>
        <v/>
      </c>
    </row>
    <row r="141">
      <c r="A141" s="13" t="n"/>
      <c r="B141" s="13" t="n"/>
      <c r="C141" s="13" t="n"/>
      <c r="D141" s="13" t="n"/>
      <c r="E141" s="69" t="n"/>
      <c r="F141" s="17" t="n"/>
      <c r="G141" s="13" t="n"/>
      <c r="H141" s="13" t="n"/>
      <c r="I141" s="16">
        <f>IF($A141="","",1)</f>
        <v/>
      </c>
    </row>
    <row r="142">
      <c r="A142" s="13" t="n"/>
      <c r="B142" s="13" t="n"/>
      <c r="C142" s="13" t="n"/>
      <c r="D142" s="13" t="n"/>
      <c r="E142" s="69" t="n"/>
      <c r="F142" s="17" t="n"/>
      <c r="G142" s="13" t="n"/>
      <c r="H142" s="13" t="n"/>
      <c r="I142" s="16">
        <f>IF($A142="","",1)</f>
        <v/>
      </c>
    </row>
    <row r="143">
      <c r="A143" s="13" t="n"/>
      <c r="B143" s="13" t="n"/>
      <c r="C143" s="13" t="n"/>
      <c r="D143" s="13" t="n"/>
      <c r="E143" s="69" t="n"/>
      <c r="F143" s="17" t="n"/>
      <c r="G143" s="13" t="n"/>
      <c r="H143" s="13" t="n"/>
      <c r="I143" s="16">
        <f>IF($A143="","",1)</f>
        <v/>
      </c>
    </row>
    <row r="144">
      <c r="A144" s="13" t="n"/>
      <c r="B144" s="13" t="n"/>
      <c r="C144" s="13" t="n"/>
      <c r="D144" s="13" t="n"/>
      <c r="E144" s="69" t="n"/>
      <c r="F144" s="17" t="n"/>
      <c r="G144" s="13" t="n"/>
      <c r="H144" s="13" t="n"/>
      <c r="I144" s="16">
        <f>IF($A144="","",1)</f>
        <v/>
      </c>
    </row>
    <row r="145">
      <c r="A145" s="13" t="n"/>
      <c r="B145" s="13" t="n"/>
      <c r="C145" s="13" t="n"/>
      <c r="D145" s="13" t="n"/>
      <c r="E145" s="69" t="n"/>
      <c r="F145" s="17" t="n"/>
      <c r="G145" s="13" t="n"/>
      <c r="H145" s="13" t="n"/>
      <c r="I145" s="16">
        <f>IF($A145="","",1)</f>
        <v/>
      </c>
    </row>
    <row r="146">
      <c r="A146" s="13" t="n"/>
      <c r="B146" s="13" t="n"/>
      <c r="C146" s="13" t="n"/>
      <c r="D146" s="13" t="n"/>
      <c r="E146" s="69" t="n"/>
      <c r="F146" s="17" t="n"/>
      <c r="G146" s="13" t="n"/>
      <c r="H146" s="13" t="n"/>
      <c r="I146" s="16">
        <f>IF($A146="","",1)</f>
        <v/>
      </c>
    </row>
    <row r="147">
      <c r="A147" s="13" t="n"/>
      <c r="B147" s="13" t="n"/>
      <c r="C147" s="13" t="n"/>
      <c r="D147" s="13" t="n"/>
      <c r="E147" s="69" t="n"/>
      <c r="F147" s="17" t="n"/>
      <c r="G147" s="13" t="n"/>
      <c r="H147" s="13" t="n"/>
      <c r="I147" s="16">
        <f>IF($A147="","",1)</f>
        <v/>
      </c>
    </row>
    <row r="148">
      <c r="A148" s="13" t="n"/>
      <c r="B148" s="13" t="n"/>
      <c r="C148" s="13" t="n"/>
      <c r="D148" s="13" t="n"/>
      <c r="E148" s="69" t="n"/>
      <c r="F148" s="17" t="n"/>
      <c r="G148" s="13" t="n"/>
      <c r="H148" s="13" t="n"/>
      <c r="I148" s="16">
        <f>IF($A148="","",1)</f>
        <v/>
      </c>
    </row>
    <row r="149">
      <c r="A149" s="13" t="n"/>
      <c r="B149" s="13" t="n"/>
      <c r="C149" s="13" t="n"/>
      <c r="D149" s="13" t="n"/>
      <c r="E149" s="69" t="n"/>
      <c r="F149" s="17" t="n"/>
      <c r="G149" s="13" t="n"/>
      <c r="H149" s="13" t="n"/>
      <c r="I149" s="16">
        <f>IF($A149="","",1)</f>
        <v/>
      </c>
    </row>
    <row r="150">
      <c r="A150" s="13" t="n"/>
      <c r="B150" s="13" t="n"/>
      <c r="C150" s="13" t="n"/>
      <c r="D150" s="13" t="n"/>
      <c r="E150" s="69" t="n"/>
      <c r="F150" s="17" t="n"/>
      <c r="G150" s="13" t="n"/>
      <c r="H150" s="13" t="n"/>
      <c r="I150" s="16">
        <f>IF($A150="","",1)</f>
        <v/>
      </c>
    </row>
    <row r="151">
      <c r="A151" s="13" t="n"/>
      <c r="B151" s="13" t="n"/>
      <c r="C151" s="13" t="n"/>
      <c r="D151" s="13" t="n"/>
      <c r="E151" s="69" t="n"/>
      <c r="F151" s="17" t="n"/>
      <c r="G151" s="13" t="n"/>
      <c r="H151" s="13" t="n"/>
      <c r="I151" s="16">
        <f>IF($A151="","",1)</f>
        <v/>
      </c>
    </row>
    <row r="152">
      <c r="A152" s="13" t="n"/>
      <c r="B152" s="13" t="n"/>
      <c r="C152" s="13" t="n"/>
      <c r="D152" s="13" t="n"/>
      <c r="E152" s="69" t="n"/>
      <c r="F152" s="17" t="n"/>
      <c r="G152" s="13" t="n"/>
      <c r="H152" s="13" t="n"/>
      <c r="I152" s="16">
        <f>IF($A152="","",1)</f>
        <v/>
      </c>
    </row>
    <row r="153">
      <c r="A153" s="13" t="n"/>
      <c r="B153" s="13" t="n"/>
      <c r="C153" s="13" t="n"/>
      <c r="D153" s="13" t="n"/>
      <c r="E153" s="69" t="n"/>
      <c r="F153" s="17" t="n"/>
      <c r="G153" s="13" t="n"/>
      <c r="H153" s="13" t="n"/>
      <c r="I153" s="16">
        <f>IF($A153="","",1)</f>
        <v/>
      </c>
    </row>
    <row r="154">
      <c r="A154" s="13" t="n"/>
      <c r="B154" s="13" t="n"/>
      <c r="C154" s="13" t="n"/>
      <c r="D154" s="13" t="n"/>
      <c r="E154" s="69" t="n"/>
      <c r="F154" s="17" t="n"/>
      <c r="G154" s="13" t="n"/>
      <c r="H154" s="13" t="n"/>
      <c r="I154" s="16">
        <f>IF($A154="","",1)</f>
        <v/>
      </c>
    </row>
    <row r="155">
      <c r="A155" s="13" t="n"/>
      <c r="B155" s="13" t="n"/>
      <c r="C155" s="13" t="n"/>
      <c r="D155" s="13" t="n"/>
      <c r="E155" s="69" t="n"/>
      <c r="F155" s="17" t="n"/>
      <c r="G155" s="13" t="n"/>
      <c r="H155" s="13" t="n"/>
      <c r="I155" s="16">
        <f>IF($A155="","",1)</f>
        <v/>
      </c>
    </row>
    <row r="156">
      <c r="A156" s="13" t="n"/>
      <c r="B156" s="13" t="n"/>
      <c r="C156" s="13" t="n"/>
      <c r="D156" s="13" t="n"/>
      <c r="E156" s="69" t="n"/>
      <c r="F156" s="17" t="n"/>
      <c r="G156" s="13" t="n"/>
      <c r="H156" s="13" t="n"/>
      <c r="I156" s="16">
        <f>IF($A156="","",1)</f>
        <v/>
      </c>
    </row>
    <row r="157">
      <c r="A157" s="13" t="n"/>
      <c r="B157" s="13" t="n"/>
      <c r="C157" s="13" t="n"/>
      <c r="D157" s="13" t="n"/>
      <c r="E157" s="69" t="n"/>
      <c r="F157" s="17" t="n"/>
      <c r="G157" s="13" t="n"/>
      <c r="H157" s="13" t="n"/>
      <c r="I157" s="16">
        <f>IF($A157="","",1)</f>
        <v/>
      </c>
    </row>
    <row r="158">
      <c r="A158" s="13" t="n"/>
      <c r="B158" s="13" t="n"/>
      <c r="C158" s="13" t="n"/>
      <c r="D158" s="13" t="n"/>
      <c r="E158" s="69" t="n"/>
      <c r="F158" s="17" t="n"/>
      <c r="G158" s="13" t="n"/>
      <c r="H158" s="13" t="n"/>
      <c r="I158" s="16">
        <f>IF($A158="","",1)</f>
        <v/>
      </c>
    </row>
    <row r="159">
      <c r="A159" s="13" t="n"/>
      <c r="B159" s="13" t="n"/>
      <c r="C159" s="13" t="n"/>
      <c r="D159" s="13" t="n"/>
      <c r="E159" s="69" t="n"/>
      <c r="F159" s="17" t="n"/>
      <c r="G159" s="13" t="n"/>
      <c r="H159" s="13" t="n"/>
      <c r="I159" s="16">
        <f>IF($A159="","",1)</f>
        <v/>
      </c>
    </row>
    <row r="160">
      <c r="A160" s="13" t="n"/>
      <c r="B160" s="13" t="n"/>
      <c r="C160" s="13" t="n"/>
      <c r="D160" s="13" t="n"/>
      <c r="E160" s="69" t="n"/>
      <c r="F160" s="17" t="n"/>
      <c r="G160" s="13" t="n"/>
      <c r="H160" s="13" t="n"/>
      <c r="I160" s="16">
        <f>IF($A160="","",1)</f>
        <v/>
      </c>
    </row>
    <row r="161">
      <c r="A161" s="13" t="n"/>
      <c r="B161" s="13" t="n"/>
      <c r="C161" s="13" t="n"/>
      <c r="D161" s="13" t="n"/>
      <c r="E161" s="69" t="n"/>
      <c r="F161" s="17" t="n"/>
      <c r="G161" s="13" t="n"/>
      <c r="H161" s="13" t="n"/>
      <c r="I161" s="16">
        <f>IF($A161="","",1)</f>
        <v/>
      </c>
    </row>
    <row r="162">
      <c r="A162" s="13" t="n"/>
      <c r="B162" s="13" t="n"/>
      <c r="C162" s="13" t="n"/>
      <c r="D162" s="13" t="n"/>
      <c r="E162" s="69" t="n"/>
      <c r="F162" s="17" t="n"/>
      <c r="G162" s="13" t="n"/>
      <c r="H162" s="13" t="n"/>
      <c r="I162" s="16">
        <f>IF($A162="","",1)</f>
        <v/>
      </c>
    </row>
    <row r="163">
      <c r="A163" s="13" t="n"/>
      <c r="B163" s="13" t="n"/>
      <c r="C163" s="13" t="n"/>
      <c r="D163" s="13" t="n"/>
      <c r="E163" s="69" t="n"/>
      <c r="F163" s="17" t="n"/>
      <c r="G163" s="13" t="n"/>
      <c r="H163" s="13" t="n"/>
      <c r="I163" s="16">
        <f>IF($A163="","",1)</f>
        <v/>
      </c>
    </row>
    <row r="164">
      <c r="A164" s="13" t="n"/>
      <c r="B164" s="13" t="n"/>
      <c r="C164" s="13" t="n"/>
      <c r="D164" s="13" t="n"/>
      <c r="E164" s="69" t="n"/>
      <c r="F164" s="17" t="n"/>
      <c r="G164" s="13" t="n"/>
      <c r="H164" s="13" t="n"/>
      <c r="I164" s="16">
        <f>IF($A164="","",1)</f>
        <v/>
      </c>
    </row>
    <row r="165">
      <c r="A165" s="13" t="n"/>
      <c r="B165" s="13" t="n"/>
      <c r="C165" s="13" t="n"/>
      <c r="D165" s="13" t="n"/>
      <c r="E165" s="69" t="n"/>
      <c r="F165" s="17" t="n"/>
      <c r="G165" s="13" t="n"/>
      <c r="H165" s="13" t="n"/>
      <c r="I165" s="16">
        <f>IF($A165="","",1)</f>
        <v/>
      </c>
    </row>
    <row r="166">
      <c r="A166" s="13" t="n"/>
      <c r="B166" s="13" t="n"/>
      <c r="C166" s="13" t="n"/>
      <c r="D166" s="13" t="n"/>
      <c r="E166" s="69" t="n"/>
      <c r="F166" s="17" t="n"/>
      <c r="G166" s="13" t="n"/>
      <c r="H166" s="13" t="n"/>
      <c r="I166" s="16">
        <f>IF($A166="","",1)</f>
        <v/>
      </c>
    </row>
    <row r="167">
      <c r="A167" s="13" t="n"/>
      <c r="B167" s="13" t="n"/>
      <c r="C167" s="13" t="n"/>
      <c r="D167" s="13" t="n"/>
      <c r="E167" s="69" t="n"/>
      <c r="F167" s="17" t="n"/>
      <c r="G167" s="13" t="n"/>
      <c r="H167" s="13" t="n"/>
      <c r="I167" s="16">
        <f>IF($A167="","",1)</f>
        <v/>
      </c>
    </row>
    <row r="168">
      <c r="A168" s="13" t="n"/>
      <c r="B168" s="13" t="n"/>
      <c r="C168" s="13" t="n"/>
      <c r="D168" s="13" t="n"/>
      <c r="E168" s="69" t="n"/>
      <c r="F168" s="17" t="n"/>
      <c r="G168" s="13" t="n"/>
      <c r="H168" s="13" t="n"/>
      <c r="I168" s="16">
        <f>IF($A168="","",1)</f>
        <v/>
      </c>
    </row>
    <row r="169">
      <c r="A169" s="13" t="n"/>
      <c r="B169" s="13" t="n"/>
      <c r="C169" s="13" t="n"/>
      <c r="D169" s="13" t="n"/>
      <c r="E169" s="69" t="n"/>
      <c r="F169" s="17" t="n"/>
      <c r="G169" s="13" t="n"/>
      <c r="H169" s="13" t="n"/>
      <c r="I169" s="16">
        <f>IF($A169="","",1)</f>
        <v/>
      </c>
    </row>
    <row r="170">
      <c r="A170" s="13" t="n"/>
      <c r="B170" s="13" t="n"/>
      <c r="C170" s="13" t="n"/>
      <c r="D170" s="13" t="n"/>
      <c r="E170" s="69" t="n"/>
      <c r="F170" s="17" t="n"/>
      <c r="G170" s="13" t="n"/>
      <c r="H170" s="13" t="n"/>
      <c r="I170" s="16">
        <f>IF($A170="","",1)</f>
        <v/>
      </c>
    </row>
    <row r="171">
      <c r="A171" s="13" t="n"/>
      <c r="B171" s="13" t="n"/>
      <c r="C171" s="13" t="n"/>
      <c r="D171" s="13" t="n"/>
      <c r="E171" s="69" t="n"/>
      <c r="F171" s="17" t="n"/>
      <c r="G171" s="13" t="n"/>
      <c r="H171" s="13" t="n"/>
      <c r="I171" s="16">
        <f>IF($A171="","",1)</f>
        <v/>
      </c>
    </row>
    <row r="172">
      <c r="A172" s="13" t="n"/>
      <c r="B172" s="13" t="n"/>
      <c r="C172" s="13" t="n"/>
      <c r="D172" s="13" t="n"/>
      <c r="E172" s="69" t="n"/>
      <c r="F172" s="17" t="n"/>
      <c r="G172" s="13" t="n"/>
      <c r="H172" s="13" t="n"/>
      <c r="I172" s="16">
        <f>IF($A172="","",1)</f>
        <v/>
      </c>
    </row>
    <row r="173">
      <c r="A173" s="13" t="n"/>
      <c r="B173" s="13" t="n"/>
      <c r="C173" s="13" t="n"/>
      <c r="D173" s="13" t="n"/>
      <c r="E173" s="69" t="n"/>
      <c r="F173" s="17" t="n"/>
      <c r="G173" s="13" t="n"/>
      <c r="H173" s="13" t="n"/>
      <c r="I173" s="16">
        <f>IF($A173="","",1)</f>
        <v/>
      </c>
    </row>
    <row r="174">
      <c r="A174" s="13" t="n"/>
      <c r="B174" s="13" t="n"/>
      <c r="C174" s="13" t="n"/>
      <c r="D174" s="13" t="n"/>
      <c r="E174" s="69" t="n"/>
      <c r="F174" s="17" t="n"/>
      <c r="G174" s="13" t="n"/>
      <c r="H174" s="13" t="n"/>
      <c r="I174" s="16">
        <f>IF($A174="","",1)</f>
        <v/>
      </c>
    </row>
    <row r="175">
      <c r="A175" s="13" t="n"/>
      <c r="B175" s="13" t="n"/>
      <c r="C175" s="13" t="n"/>
      <c r="D175" s="13" t="n"/>
      <c r="E175" s="69" t="n"/>
      <c r="F175" s="17" t="n"/>
      <c r="G175" s="13" t="n"/>
      <c r="H175" s="13" t="n"/>
      <c r="I175" s="16">
        <f>IF($A175="","",1)</f>
        <v/>
      </c>
    </row>
    <row r="176">
      <c r="A176" s="13" t="n"/>
      <c r="B176" s="13" t="n"/>
      <c r="C176" s="13" t="n"/>
      <c r="D176" s="13" t="n"/>
      <c r="E176" s="69" t="n"/>
      <c r="F176" s="17" t="n"/>
      <c r="G176" s="13" t="n"/>
      <c r="H176" s="13" t="n"/>
      <c r="I176" s="16">
        <f>IF($A176="","",1)</f>
        <v/>
      </c>
    </row>
    <row r="177">
      <c r="A177" s="13" t="n"/>
      <c r="B177" s="13" t="n"/>
      <c r="C177" s="13" t="n"/>
      <c r="D177" s="13" t="n"/>
      <c r="E177" s="69" t="n"/>
      <c r="F177" s="17" t="n"/>
      <c r="G177" s="13" t="n"/>
      <c r="H177" s="13" t="n"/>
      <c r="I177" s="16">
        <f>IF($A177="","",1)</f>
        <v/>
      </c>
    </row>
    <row r="178">
      <c r="A178" s="13" t="n"/>
      <c r="B178" s="13" t="n"/>
      <c r="C178" s="13" t="n"/>
      <c r="D178" s="13" t="n"/>
      <c r="E178" s="69" t="n"/>
      <c r="F178" s="17" t="n"/>
      <c r="G178" s="13" t="n"/>
      <c r="H178" s="13" t="n"/>
      <c r="I178" s="16">
        <f>IF($A178="","",1)</f>
        <v/>
      </c>
    </row>
    <row r="179">
      <c r="A179" s="13" t="n"/>
      <c r="B179" s="13" t="n"/>
      <c r="C179" s="13" t="n"/>
      <c r="D179" s="13" t="n"/>
      <c r="E179" s="69" t="n"/>
      <c r="F179" s="17" t="n"/>
      <c r="G179" s="13" t="n"/>
      <c r="H179" s="13" t="n"/>
      <c r="I179" s="16">
        <f>IF($A179="","",1)</f>
        <v/>
      </c>
    </row>
    <row r="180">
      <c r="A180" s="13" t="n"/>
      <c r="B180" s="13" t="n"/>
      <c r="C180" s="13" t="n"/>
      <c r="D180" s="13" t="n"/>
      <c r="E180" s="69" t="n"/>
      <c r="F180" s="17" t="n"/>
      <c r="G180" s="13" t="n"/>
      <c r="H180" s="13" t="n"/>
      <c r="I180" s="16">
        <f>IF($A180="","",1)</f>
        <v/>
      </c>
    </row>
    <row r="181">
      <c r="A181" s="13" t="n"/>
      <c r="B181" s="13" t="n"/>
      <c r="C181" s="13" t="n"/>
      <c r="D181" s="13" t="n"/>
      <c r="E181" s="69" t="n"/>
      <c r="F181" s="17" t="n"/>
      <c r="G181" s="13" t="n"/>
      <c r="H181" s="13" t="n"/>
      <c r="I181" s="16">
        <f>IF($A181="","",1)</f>
        <v/>
      </c>
    </row>
    <row r="182">
      <c r="A182" s="13" t="n"/>
      <c r="B182" s="13" t="n"/>
      <c r="C182" s="13" t="n"/>
      <c r="D182" s="13" t="n"/>
      <c r="E182" s="69" t="n"/>
      <c r="F182" s="17" t="n"/>
      <c r="G182" s="13" t="n"/>
      <c r="H182" s="13" t="n"/>
      <c r="I182" s="16">
        <f>IF($A182="","",1)</f>
        <v/>
      </c>
    </row>
    <row r="183">
      <c r="A183" s="13" t="n"/>
      <c r="B183" s="13" t="n"/>
      <c r="C183" s="13" t="n"/>
      <c r="D183" s="13" t="n"/>
      <c r="E183" s="69" t="n"/>
      <c r="F183" s="17" t="n"/>
      <c r="G183" s="13" t="n"/>
      <c r="H183" s="13" t="n"/>
      <c r="I183" s="16">
        <f>IF($A183="","",1)</f>
        <v/>
      </c>
    </row>
    <row r="184">
      <c r="A184" s="13" t="n"/>
      <c r="B184" s="13" t="n"/>
      <c r="C184" s="13" t="n"/>
      <c r="D184" s="13" t="n"/>
      <c r="E184" s="69" t="n"/>
      <c r="F184" s="17" t="n"/>
      <c r="G184" s="13" t="n"/>
      <c r="H184" s="13" t="n"/>
      <c r="I184" s="16">
        <f>IF($A184="","",1)</f>
        <v/>
      </c>
    </row>
    <row r="185">
      <c r="A185" s="13" t="n"/>
      <c r="B185" s="13" t="n"/>
      <c r="C185" s="13" t="n"/>
      <c r="D185" s="13" t="n"/>
      <c r="E185" s="69" t="n"/>
      <c r="F185" s="17" t="n"/>
      <c r="G185" s="13" t="n"/>
      <c r="H185" s="13" t="n"/>
      <c r="I185" s="16">
        <f>IF($A185="","",1)</f>
        <v/>
      </c>
    </row>
    <row r="186">
      <c r="A186" s="13" t="n"/>
      <c r="B186" s="13" t="n"/>
      <c r="C186" s="13" t="n"/>
      <c r="D186" s="13" t="n"/>
      <c r="E186" s="69" t="n"/>
      <c r="F186" s="17" t="n"/>
      <c r="G186" s="13" t="n"/>
      <c r="H186" s="13" t="n"/>
      <c r="I186" s="16">
        <f>IF($A186="","",1)</f>
        <v/>
      </c>
    </row>
    <row r="187">
      <c r="A187" s="13" t="n"/>
      <c r="B187" s="13" t="n"/>
      <c r="C187" s="13" t="n"/>
      <c r="D187" s="13" t="n"/>
      <c r="E187" s="69" t="n"/>
      <c r="F187" s="17" t="n"/>
      <c r="G187" s="13" t="n"/>
      <c r="H187" s="13" t="n"/>
      <c r="I187" s="16">
        <f>IF($A187="","",1)</f>
        <v/>
      </c>
    </row>
    <row r="188">
      <c r="A188" s="13" t="n"/>
      <c r="B188" s="13" t="n"/>
      <c r="C188" s="13" t="n"/>
      <c r="D188" s="13" t="n"/>
      <c r="E188" s="69" t="n"/>
      <c r="F188" s="17" t="n"/>
      <c r="G188" s="13" t="n"/>
      <c r="H188" s="13" t="n"/>
      <c r="I188" s="16">
        <f>IF($A188="","",1)</f>
        <v/>
      </c>
    </row>
    <row r="189">
      <c r="A189" s="13" t="n"/>
      <c r="B189" s="13" t="n"/>
      <c r="C189" s="13" t="n"/>
      <c r="D189" s="13" t="n"/>
      <c r="E189" s="69" t="n"/>
      <c r="F189" s="17" t="n"/>
      <c r="G189" s="13" t="n"/>
      <c r="H189" s="13" t="n"/>
      <c r="I189" s="16">
        <f>IF($A189="","",1)</f>
        <v/>
      </c>
    </row>
    <row r="190">
      <c r="A190" s="13" t="n"/>
      <c r="B190" s="13" t="n"/>
      <c r="C190" s="13" t="n"/>
      <c r="D190" s="13" t="n"/>
      <c r="E190" s="69" t="n"/>
      <c r="F190" s="17" t="n"/>
      <c r="G190" s="13" t="n"/>
      <c r="H190" s="13" t="n"/>
      <c r="I190" s="16">
        <f>IF($A190="","",1)</f>
        <v/>
      </c>
    </row>
    <row r="191">
      <c r="A191" s="13" t="n"/>
      <c r="B191" s="13" t="n"/>
      <c r="C191" s="13" t="n"/>
      <c r="D191" s="13" t="n"/>
      <c r="E191" s="69" t="n"/>
      <c r="F191" s="17" t="n"/>
      <c r="G191" s="13" t="n"/>
      <c r="H191" s="13" t="n"/>
      <c r="I191" s="16">
        <f>IF($A191="","",1)</f>
        <v/>
      </c>
    </row>
    <row r="192">
      <c r="A192" s="13" t="n"/>
      <c r="B192" s="13" t="n"/>
      <c r="C192" s="13" t="n"/>
      <c r="D192" s="13" t="n"/>
      <c r="E192" s="69" t="n"/>
      <c r="F192" s="17" t="n"/>
      <c r="G192" s="13" t="n"/>
      <c r="H192" s="13" t="n"/>
      <c r="I192" s="16">
        <f>IF($A192="","",1)</f>
        <v/>
      </c>
    </row>
    <row r="193">
      <c r="A193" s="13" t="n"/>
      <c r="B193" s="13" t="n"/>
      <c r="C193" s="13" t="n"/>
      <c r="D193" s="13" t="n"/>
      <c r="E193" s="69" t="n"/>
      <c r="F193" s="17" t="n"/>
      <c r="G193" s="13" t="n"/>
      <c r="H193" s="13" t="n"/>
      <c r="I193" s="16">
        <f>IF($A193="","",1)</f>
        <v/>
      </c>
    </row>
    <row r="194">
      <c r="A194" s="13" t="n"/>
      <c r="B194" s="13" t="n"/>
      <c r="C194" s="13" t="n"/>
      <c r="D194" s="13" t="n"/>
      <c r="E194" s="69" t="n"/>
      <c r="F194" s="17" t="n"/>
      <c r="G194" s="13" t="n"/>
      <c r="H194" s="13" t="n"/>
      <c r="I194" s="16">
        <f>IF($A194="","",1)</f>
        <v/>
      </c>
    </row>
    <row r="195">
      <c r="A195" s="13" t="n"/>
      <c r="B195" s="13" t="n"/>
      <c r="C195" s="13" t="n"/>
      <c r="D195" s="13" t="n"/>
      <c r="E195" s="69" t="n"/>
      <c r="F195" s="17" t="n"/>
      <c r="G195" s="13" t="n"/>
      <c r="H195" s="13" t="n"/>
      <c r="I195" s="16">
        <f>IF($A195="","",1)</f>
        <v/>
      </c>
    </row>
    <row r="196">
      <c r="A196" s="13" t="n"/>
      <c r="B196" s="13" t="n"/>
      <c r="C196" s="13" t="n"/>
      <c r="D196" s="13" t="n"/>
      <c r="E196" s="69" t="n"/>
      <c r="F196" s="17" t="n"/>
      <c r="G196" s="13" t="n"/>
      <c r="H196" s="13" t="n"/>
      <c r="I196" s="16">
        <f>IF($A196="","",1)</f>
        <v/>
      </c>
    </row>
    <row r="197">
      <c r="A197" s="13" t="n"/>
      <c r="B197" s="13" t="n"/>
      <c r="C197" s="13" t="n"/>
      <c r="D197" s="13" t="n"/>
      <c r="E197" s="69" t="n"/>
      <c r="F197" s="17" t="n"/>
      <c r="G197" s="13" t="n"/>
      <c r="H197" s="13" t="n"/>
      <c r="I197" s="16">
        <f>IF($A197="","",1)</f>
        <v/>
      </c>
    </row>
    <row r="198">
      <c r="A198" s="13" t="n"/>
      <c r="B198" s="13" t="n"/>
      <c r="C198" s="13" t="n"/>
      <c r="D198" s="13" t="n"/>
      <c r="E198" s="69" t="n"/>
      <c r="F198" s="17" t="n"/>
      <c r="G198" s="13" t="n"/>
      <c r="H198" s="13" t="n"/>
      <c r="I198" s="16">
        <f>IF($A198="","",1)</f>
        <v/>
      </c>
    </row>
    <row r="199">
      <c r="A199" s="13" t="n"/>
      <c r="B199" s="13" t="n"/>
      <c r="C199" s="13" t="n"/>
      <c r="D199" s="13" t="n"/>
      <c r="E199" s="69" t="n"/>
      <c r="F199" s="17" t="n"/>
      <c r="G199" s="13" t="n"/>
      <c r="H199" s="13" t="n"/>
      <c r="I199" s="16">
        <f>IF($A199="","",1)</f>
        <v/>
      </c>
    </row>
    <row r="200">
      <c r="A200" s="13" t="n"/>
      <c r="B200" s="13" t="n"/>
      <c r="C200" s="13" t="n"/>
      <c r="D200" s="13" t="n"/>
      <c r="E200" s="69" t="n"/>
      <c r="F200" s="17" t="n"/>
      <c r="G200" s="13" t="n"/>
      <c r="H200" s="13" t="n"/>
      <c r="I200" s="16">
        <f>IF($A200="","",1)</f>
        <v/>
      </c>
    </row>
    <row r="201">
      <c r="A201" s="13" t="n"/>
      <c r="B201" s="13" t="n"/>
      <c r="C201" s="13" t="n"/>
      <c r="D201" s="13" t="n"/>
      <c r="E201" s="69" t="n"/>
      <c r="F201" s="17" t="n"/>
      <c r="G201" s="13" t="n"/>
      <c r="H201" s="13" t="n"/>
      <c r="I201" s="16">
        <f>IF($A201="","",1)</f>
        <v/>
      </c>
    </row>
    <row r="202">
      <c r="A202" s="13" t="n"/>
      <c r="B202" s="13" t="n"/>
      <c r="C202" s="13" t="n"/>
      <c r="D202" s="13" t="n"/>
      <c r="E202" s="69" t="n"/>
      <c r="F202" s="17" t="n"/>
      <c r="G202" s="13" t="n"/>
      <c r="H202" s="13" t="n"/>
      <c r="I202" s="16">
        <f>IF($A202="","",1)</f>
        <v/>
      </c>
    </row>
    <row r="203">
      <c r="A203" s="13" t="n"/>
      <c r="B203" s="13" t="n"/>
      <c r="C203" s="13" t="n"/>
      <c r="D203" s="13" t="n"/>
      <c r="E203" s="69" t="n"/>
      <c r="F203" s="17" t="n"/>
      <c r="G203" s="13" t="n"/>
      <c r="H203" s="13" t="n"/>
      <c r="I203" s="16">
        <f>IF($A203="","",1)</f>
        <v/>
      </c>
    </row>
    <row r="204">
      <c r="A204" s="13" t="n"/>
      <c r="B204" s="13" t="n"/>
      <c r="C204" s="13" t="n"/>
      <c r="D204" s="13" t="n"/>
      <c r="E204" s="69" t="n"/>
      <c r="F204" s="17" t="n"/>
      <c r="G204" s="13" t="n"/>
      <c r="H204" s="13" t="n"/>
      <c r="I204" s="16">
        <f>IF($A204="","",1)</f>
        <v/>
      </c>
    </row>
    <row r="205">
      <c r="A205" s="13" t="n"/>
      <c r="B205" s="13" t="n"/>
      <c r="C205" s="13" t="n"/>
      <c r="D205" s="13" t="n"/>
      <c r="E205" s="69" t="n"/>
      <c r="F205" s="17" t="n"/>
      <c r="G205" s="13" t="n"/>
      <c r="H205" s="13" t="n"/>
      <c r="I205" s="16">
        <f>IF($A205="","",1)</f>
        <v/>
      </c>
    </row>
    <row r="206">
      <c r="A206" s="13" t="n"/>
      <c r="B206" s="13" t="n"/>
      <c r="C206" s="13" t="n"/>
      <c r="D206" s="13" t="n"/>
      <c r="E206" s="69" t="n"/>
      <c r="F206" s="17" t="n"/>
      <c r="G206" s="13" t="n"/>
      <c r="H206" s="13" t="n"/>
      <c r="I206" s="16">
        <f>IF($A206="","",1)</f>
        <v/>
      </c>
    </row>
    <row r="207">
      <c r="A207" s="13" t="n"/>
      <c r="B207" s="13" t="n"/>
      <c r="C207" s="13" t="n"/>
      <c r="D207" s="13" t="n"/>
      <c r="E207" s="69" t="n"/>
      <c r="F207" s="17" t="n"/>
      <c r="G207" s="13" t="n"/>
      <c r="H207" s="13" t="n"/>
      <c r="I207" s="16">
        <f>IF($A207="","",1)</f>
        <v/>
      </c>
    </row>
    <row r="208">
      <c r="A208" s="13" t="n"/>
      <c r="B208" s="13" t="n"/>
      <c r="C208" s="13" t="n"/>
      <c r="D208" s="13" t="n"/>
      <c r="E208" s="69" t="n"/>
      <c r="F208" s="17" t="n"/>
      <c r="G208" s="13" t="n"/>
      <c r="H208" s="13" t="n"/>
      <c r="I208" s="16">
        <f>IF($A208="","",1)</f>
        <v/>
      </c>
    </row>
    <row r="209">
      <c r="A209" s="13" t="n"/>
      <c r="B209" s="13" t="n"/>
      <c r="C209" s="13" t="n"/>
      <c r="D209" s="13" t="n"/>
      <c r="E209" s="69" t="n"/>
      <c r="F209" s="17" t="n"/>
      <c r="G209" s="13" t="n"/>
      <c r="H209" s="13" t="n"/>
      <c r="I209" s="16">
        <f>IF($A209="","",1)</f>
        <v/>
      </c>
    </row>
    <row r="210">
      <c r="A210" s="13" t="n"/>
      <c r="B210" s="13" t="n"/>
      <c r="C210" s="13" t="n"/>
      <c r="D210" s="13" t="n"/>
      <c r="E210" s="69" t="n"/>
      <c r="F210" s="17" t="n"/>
      <c r="G210" s="13" t="n"/>
      <c r="H210" s="13" t="n"/>
      <c r="I210" s="16">
        <f>IF($A210="","",1)</f>
        <v/>
      </c>
    </row>
    <row r="211">
      <c r="A211" s="13" t="n"/>
      <c r="B211" s="13" t="n"/>
      <c r="C211" s="13" t="n"/>
      <c r="D211" s="13" t="n"/>
      <c r="E211" s="69" t="n"/>
      <c r="F211" s="17" t="n"/>
      <c r="G211" s="13" t="n"/>
      <c r="H211" s="13" t="n"/>
      <c r="I211" s="16">
        <f>IF($A211="","",1)</f>
        <v/>
      </c>
    </row>
    <row r="212">
      <c r="A212" s="13" t="n"/>
      <c r="B212" s="13" t="n"/>
      <c r="C212" s="13" t="n"/>
      <c r="D212" s="13" t="n"/>
      <c r="E212" s="69" t="n"/>
      <c r="F212" s="17" t="n"/>
      <c r="G212" s="13" t="n"/>
      <c r="H212" s="13" t="n"/>
      <c r="I212" s="16">
        <f>IF($A212="","",1)</f>
        <v/>
      </c>
    </row>
    <row r="213">
      <c r="A213" s="13" t="n"/>
      <c r="B213" s="13" t="n"/>
      <c r="C213" s="13" t="n"/>
      <c r="D213" s="13" t="n"/>
      <c r="E213" s="69" t="n"/>
      <c r="F213" s="17" t="n"/>
      <c r="G213" s="13" t="n"/>
      <c r="H213" s="13" t="n"/>
      <c r="I213" s="16">
        <f>IF($A213="","",1)</f>
        <v/>
      </c>
    </row>
    <row r="214">
      <c r="A214" s="13" t="n"/>
      <c r="B214" s="13" t="n"/>
      <c r="C214" s="13" t="n"/>
      <c r="D214" s="13" t="n"/>
      <c r="E214" s="69" t="n"/>
      <c r="F214" s="17" t="n"/>
      <c r="G214" s="13" t="n"/>
      <c r="H214" s="13" t="n"/>
      <c r="I214" s="16">
        <f>IF($A214="","",1)</f>
        <v/>
      </c>
    </row>
    <row r="215">
      <c r="A215" s="13" t="n"/>
      <c r="B215" s="13" t="n"/>
      <c r="C215" s="13" t="n"/>
      <c r="D215" s="13" t="n"/>
      <c r="E215" s="69" t="n"/>
      <c r="F215" s="17" t="n"/>
      <c r="G215" s="13" t="n"/>
      <c r="H215" s="13" t="n"/>
      <c r="I215" s="16">
        <f>IF($A215="","",1)</f>
        <v/>
      </c>
    </row>
    <row r="216">
      <c r="A216" s="13" t="n"/>
      <c r="B216" s="13" t="n"/>
      <c r="C216" s="13" t="n"/>
      <c r="D216" s="13" t="n"/>
      <c r="E216" s="69" t="n"/>
      <c r="F216" s="17" t="n"/>
      <c r="G216" s="13" t="n"/>
      <c r="H216" s="13" t="n"/>
      <c r="I216" s="16">
        <f>IF($A216="","",1)</f>
        <v/>
      </c>
    </row>
    <row r="217">
      <c r="A217" s="13" t="n"/>
      <c r="B217" s="13" t="n"/>
      <c r="C217" s="13" t="n"/>
      <c r="D217" s="13" t="n"/>
      <c r="E217" s="69" t="n"/>
      <c r="F217" s="17" t="n"/>
      <c r="G217" s="13" t="n"/>
      <c r="H217" s="13" t="n"/>
      <c r="I217" s="16">
        <f>IF($A217="","",1)</f>
        <v/>
      </c>
    </row>
    <row r="218">
      <c r="A218" s="13" t="n"/>
      <c r="B218" s="13" t="n"/>
      <c r="C218" s="13" t="n"/>
      <c r="D218" s="13" t="n"/>
      <c r="E218" s="69" t="n"/>
      <c r="F218" s="17" t="n"/>
      <c r="G218" s="13" t="n"/>
      <c r="H218" s="13" t="n"/>
      <c r="I218" s="16">
        <f>IF($A218="","",1)</f>
        <v/>
      </c>
    </row>
    <row r="219">
      <c r="A219" s="13" t="n"/>
      <c r="B219" s="13" t="n"/>
      <c r="C219" s="13" t="n"/>
      <c r="D219" s="13" t="n"/>
      <c r="E219" s="69" t="n"/>
      <c r="F219" s="17" t="n"/>
      <c r="G219" s="13" t="n"/>
      <c r="H219" s="13" t="n"/>
      <c r="I219" s="16">
        <f>IF($A219="","",1)</f>
        <v/>
      </c>
    </row>
    <row r="220">
      <c r="A220" s="13" t="n"/>
      <c r="B220" s="13" t="n"/>
      <c r="C220" s="13" t="n"/>
      <c r="D220" s="13" t="n"/>
      <c r="E220" s="69" t="n"/>
      <c r="F220" s="17" t="n"/>
      <c r="G220" s="13" t="n"/>
      <c r="H220" s="13" t="n"/>
      <c r="I220" s="16">
        <f>IF($A220="","",1)</f>
        <v/>
      </c>
    </row>
    <row r="221">
      <c r="A221" s="13" t="n"/>
      <c r="B221" s="13" t="n"/>
      <c r="C221" s="13" t="n"/>
      <c r="D221" s="13" t="n"/>
      <c r="E221" s="69" t="n"/>
      <c r="F221" s="17" t="n"/>
      <c r="G221" s="13" t="n"/>
      <c r="H221" s="13" t="n"/>
      <c r="I221" s="16">
        <f>IF($A221="","",1)</f>
        <v/>
      </c>
    </row>
    <row r="222">
      <c r="A222" s="13" t="n"/>
      <c r="B222" s="13" t="n"/>
      <c r="C222" s="13" t="n"/>
      <c r="D222" s="13" t="n"/>
      <c r="E222" s="69" t="n"/>
      <c r="F222" s="17" t="n"/>
      <c r="G222" s="13" t="n"/>
      <c r="H222" s="13" t="n"/>
      <c r="I222" s="16">
        <f>IF($A222="","",1)</f>
        <v/>
      </c>
    </row>
    <row r="223">
      <c r="A223" s="13" t="n"/>
      <c r="B223" s="13" t="n"/>
      <c r="C223" s="13" t="n"/>
      <c r="D223" s="13" t="n"/>
      <c r="E223" s="69" t="n"/>
      <c r="F223" s="17" t="n"/>
      <c r="G223" s="13" t="n"/>
      <c r="H223" s="13" t="n"/>
      <c r="I223" s="16">
        <f>IF($A223="","",1)</f>
        <v/>
      </c>
    </row>
    <row r="224">
      <c r="A224" s="13" t="n"/>
      <c r="B224" s="13" t="n"/>
      <c r="C224" s="13" t="n"/>
      <c r="D224" s="13" t="n"/>
      <c r="E224" s="69" t="n"/>
      <c r="F224" s="17" t="n"/>
      <c r="G224" s="13" t="n"/>
      <c r="H224" s="13" t="n"/>
      <c r="I224" s="16">
        <f>IF($A224="","",1)</f>
        <v/>
      </c>
    </row>
    <row r="225">
      <c r="A225" s="13" t="n"/>
      <c r="B225" s="13" t="n"/>
      <c r="C225" s="13" t="n"/>
      <c r="D225" s="13" t="n"/>
      <c r="E225" s="69" t="n"/>
      <c r="F225" s="17" t="n"/>
      <c r="G225" s="13" t="n"/>
      <c r="H225" s="13" t="n"/>
      <c r="I225" s="16">
        <f>IF($A225="","",1)</f>
        <v/>
      </c>
    </row>
    <row r="226">
      <c r="A226" s="13" t="n"/>
      <c r="B226" s="13" t="n"/>
      <c r="C226" s="13" t="n"/>
      <c r="D226" s="13" t="n"/>
      <c r="E226" s="69" t="n"/>
      <c r="F226" s="17" t="n"/>
      <c r="G226" s="13" t="n"/>
      <c r="H226" s="13" t="n"/>
      <c r="I226" s="16">
        <f>IF($A226="","",1)</f>
        <v/>
      </c>
    </row>
    <row r="227">
      <c r="A227" s="13" t="n"/>
      <c r="B227" s="13" t="n"/>
      <c r="C227" s="13" t="n"/>
      <c r="D227" s="13" t="n"/>
      <c r="E227" s="69" t="n"/>
      <c r="F227" s="17" t="n"/>
      <c r="G227" s="13" t="n"/>
      <c r="H227" s="13" t="n"/>
      <c r="I227" s="16">
        <f>IF($A227="","",1)</f>
        <v/>
      </c>
    </row>
    <row r="228">
      <c r="A228" s="13" t="n"/>
      <c r="B228" s="13" t="n"/>
      <c r="C228" s="13" t="n"/>
      <c r="D228" s="13" t="n"/>
      <c r="E228" s="69" t="n"/>
      <c r="F228" s="17" t="n"/>
      <c r="G228" s="13" t="n"/>
      <c r="H228" s="13" t="n"/>
      <c r="I228" s="16">
        <f>IF($A228="","",1)</f>
        <v/>
      </c>
    </row>
    <row r="229">
      <c r="A229" s="13" t="n"/>
      <c r="B229" s="13" t="n"/>
      <c r="C229" s="13" t="n"/>
      <c r="D229" s="13" t="n"/>
      <c r="E229" s="69" t="n"/>
      <c r="F229" s="17" t="n"/>
      <c r="G229" s="13" t="n"/>
      <c r="H229" s="13" t="n"/>
      <c r="I229" s="16">
        <f>IF($A229="","",1)</f>
        <v/>
      </c>
    </row>
    <row r="230">
      <c r="A230" s="13" t="n"/>
      <c r="B230" s="13" t="n"/>
      <c r="C230" s="13" t="n"/>
      <c r="D230" s="13" t="n"/>
      <c r="E230" s="69" t="n"/>
      <c r="F230" s="17" t="n"/>
      <c r="G230" s="13" t="n"/>
      <c r="H230" s="13" t="n"/>
      <c r="I230" s="16">
        <f>IF($A230="","",1)</f>
        <v/>
      </c>
    </row>
    <row r="231">
      <c r="A231" s="13" t="n"/>
      <c r="B231" s="13" t="n"/>
      <c r="C231" s="13" t="n"/>
      <c r="D231" s="13" t="n"/>
      <c r="E231" s="69" t="n"/>
      <c r="F231" s="17" t="n"/>
      <c r="G231" s="13" t="n"/>
      <c r="H231" s="13" t="n"/>
      <c r="I231" s="16">
        <f>IF($A231="","",1)</f>
        <v/>
      </c>
    </row>
    <row r="232">
      <c r="A232" s="13" t="n"/>
      <c r="B232" s="13" t="n"/>
      <c r="C232" s="13" t="n"/>
      <c r="D232" s="13" t="n"/>
      <c r="E232" s="69" t="n"/>
      <c r="F232" s="17" t="n"/>
      <c r="G232" s="13" t="n"/>
      <c r="H232" s="13" t="n"/>
      <c r="I232" s="16">
        <f>IF($A232="","",1)</f>
        <v/>
      </c>
    </row>
    <row r="233">
      <c r="A233" s="13" t="n"/>
      <c r="B233" s="13" t="n"/>
      <c r="C233" s="13" t="n"/>
      <c r="D233" s="13" t="n"/>
      <c r="E233" s="69" t="n"/>
      <c r="F233" s="17" t="n"/>
      <c r="G233" s="13" t="n"/>
      <c r="H233" s="13" t="n"/>
      <c r="I233" s="16">
        <f>IF($A233="","",1)</f>
        <v/>
      </c>
    </row>
    <row r="234">
      <c r="A234" s="13" t="n"/>
      <c r="B234" s="13" t="n"/>
      <c r="C234" s="13" t="n"/>
      <c r="D234" s="13" t="n"/>
      <c r="E234" s="69" t="n"/>
      <c r="F234" s="17" t="n"/>
      <c r="G234" s="13" t="n"/>
      <c r="H234" s="13" t="n"/>
      <c r="I234" s="16">
        <f>IF($A234="","",1)</f>
        <v/>
      </c>
    </row>
    <row r="235">
      <c r="A235" s="13" t="n"/>
      <c r="B235" s="13" t="n"/>
      <c r="C235" s="13" t="n"/>
      <c r="D235" s="13" t="n"/>
      <c r="E235" s="69" t="n"/>
      <c r="F235" s="17" t="n"/>
      <c r="G235" s="13" t="n"/>
      <c r="H235" s="13" t="n"/>
      <c r="I235" s="16">
        <f>IF($A235="","",1)</f>
        <v/>
      </c>
    </row>
    <row r="236">
      <c r="A236" s="13" t="n"/>
      <c r="B236" s="13" t="n"/>
      <c r="C236" s="13" t="n"/>
      <c r="D236" s="13" t="n"/>
      <c r="E236" s="69" t="n"/>
      <c r="F236" s="17" t="n"/>
      <c r="G236" s="13" t="n"/>
      <c r="H236" s="13" t="n"/>
      <c r="I236" s="16">
        <f>IF($A236="","",1)</f>
        <v/>
      </c>
    </row>
    <row r="237">
      <c r="A237" s="13" t="n"/>
      <c r="B237" s="13" t="n"/>
      <c r="C237" s="13" t="n"/>
      <c r="D237" s="13" t="n"/>
      <c r="E237" s="69" t="n"/>
      <c r="F237" s="17" t="n"/>
      <c r="G237" s="13" t="n"/>
      <c r="H237" s="13" t="n"/>
      <c r="I237" s="16">
        <f>IF($A237="","",1)</f>
        <v/>
      </c>
    </row>
    <row r="238">
      <c r="A238" s="13" t="n"/>
      <c r="B238" s="13" t="n"/>
      <c r="C238" s="13" t="n"/>
      <c r="D238" s="13" t="n"/>
      <c r="E238" s="69" t="n"/>
      <c r="F238" s="17" t="n"/>
      <c r="G238" s="13" t="n"/>
      <c r="H238" s="13" t="n"/>
      <c r="I238" s="16">
        <f>IF($A238="","",1)</f>
        <v/>
      </c>
    </row>
    <row r="239">
      <c r="A239" s="13" t="n"/>
      <c r="B239" s="13" t="n"/>
      <c r="C239" s="13" t="n"/>
      <c r="D239" s="13" t="n"/>
      <c r="E239" s="69" t="n"/>
      <c r="F239" s="17" t="n"/>
      <c r="G239" s="13" t="n"/>
      <c r="H239" s="13" t="n"/>
      <c r="I239" s="16">
        <f>IF($A239="","",1)</f>
        <v/>
      </c>
    </row>
    <row r="240">
      <c r="A240" s="13" t="n"/>
      <c r="B240" s="13" t="n"/>
      <c r="C240" s="13" t="n"/>
      <c r="D240" s="13" t="n"/>
      <c r="E240" s="69" t="n"/>
      <c r="F240" s="17" t="n"/>
      <c r="G240" s="13" t="n"/>
      <c r="H240" s="13" t="n"/>
      <c r="I240" s="16">
        <f>IF($A240="","",1)</f>
        <v/>
      </c>
    </row>
    <row r="241">
      <c r="A241" s="13" t="n"/>
      <c r="B241" s="13" t="n"/>
      <c r="C241" s="13" t="n"/>
      <c r="D241" s="13" t="n"/>
      <c r="E241" s="69" t="n"/>
      <c r="F241" s="17" t="n"/>
      <c r="G241" s="13" t="n"/>
      <c r="H241" s="13" t="n"/>
      <c r="I241" s="16">
        <f>IF($A241="","",1)</f>
        <v/>
      </c>
    </row>
    <row r="242">
      <c r="A242" s="13" t="n"/>
      <c r="B242" s="13" t="n"/>
      <c r="C242" s="13" t="n"/>
      <c r="D242" s="13" t="n"/>
      <c r="E242" s="69" t="n"/>
      <c r="F242" s="17" t="n"/>
      <c r="G242" s="13" t="n"/>
      <c r="H242" s="13" t="n"/>
      <c r="I242" s="16">
        <f>IF($A242="","",1)</f>
        <v/>
      </c>
    </row>
    <row r="243">
      <c r="A243" s="13" t="n"/>
      <c r="B243" s="13" t="n"/>
      <c r="C243" s="13" t="n"/>
      <c r="D243" s="13" t="n"/>
      <c r="E243" s="69" t="n"/>
      <c r="F243" s="17" t="n"/>
      <c r="G243" s="13" t="n"/>
      <c r="H243" s="13" t="n"/>
      <c r="I243" s="16">
        <f>IF($A243="","",1)</f>
        <v/>
      </c>
    </row>
    <row r="244">
      <c r="A244" s="13" t="n"/>
      <c r="B244" s="13" t="n"/>
      <c r="C244" s="13" t="n"/>
      <c r="D244" s="13" t="n"/>
      <c r="E244" s="69" t="n"/>
      <c r="F244" s="17" t="n"/>
      <c r="G244" s="13" t="n"/>
      <c r="H244" s="13" t="n"/>
      <c r="I244" s="16">
        <f>IF($A244="","",1)</f>
        <v/>
      </c>
    </row>
    <row r="245">
      <c r="A245" s="13" t="n"/>
      <c r="B245" s="13" t="n"/>
      <c r="C245" s="13" t="n"/>
      <c r="D245" s="13" t="n"/>
      <c r="E245" s="69" t="n"/>
      <c r="F245" s="17" t="n"/>
      <c r="G245" s="13" t="n"/>
      <c r="H245" s="13" t="n"/>
      <c r="I245" s="16">
        <f>IF($A245="","",1)</f>
        <v/>
      </c>
    </row>
    <row r="246">
      <c r="A246" s="13" t="n"/>
      <c r="B246" s="13" t="n"/>
      <c r="C246" s="13" t="n"/>
      <c r="D246" s="13" t="n"/>
      <c r="E246" s="69" t="n"/>
      <c r="F246" s="17" t="n"/>
      <c r="G246" s="13" t="n"/>
      <c r="H246" s="13" t="n"/>
      <c r="I246" s="16">
        <f>IF($A246="","",1)</f>
        <v/>
      </c>
    </row>
    <row r="247">
      <c r="A247" s="13" t="n"/>
      <c r="B247" s="13" t="n"/>
      <c r="C247" s="13" t="n"/>
      <c r="D247" s="13" t="n"/>
      <c r="E247" s="69" t="n"/>
      <c r="F247" s="17" t="n"/>
      <c r="G247" s="13" t="n"/>
      <c r="H247" s="13" t="n"/>
      <c r="I247" s="16">
        <f>IF($A247="","",1)</f>
        <v/>
      </c>
    </row>
    <row r="248">
      <c r="A248" s="13" t="n"/>
      <c r="B248" s="13" t="n"/>
      <c r="C248" s="13" t="n"/>
      <c r="D248" s="13" t="n"/>
      <c r="E248" s="69" t="n"/>
      <c r="F248" s="17" t="n"/>
      <c r="G248" s="13" t="n"/>
      <c r="H248" s="13" t="n"/>
      <c r="I248" s="16">
        <f>IF($A248="","",1)</f>
        <v/>
      </c>
    </row>
    <row r="249">
      <c r="A249" s="13" t="n"/>
      <c r="B249" s="13" t="n"/>
      <c r="C249" s="13" t="n"/>
      <c r="D249" s="13" t="n"/>
      <c r="E249" s="69" t="n"/>
      <c r="F249" s="17" t="n"/>
      <c r="G249" s="13" t="n"/>
      <c r="H249" s="13" t="n"/>
      <c r="I249" s="16">
        <f>IF($A249="","",1)</f>
        <v/>
      </c>
    </row>
    <row r="250">
      <c r="A250" s="13" t="n"/>
      <c r="B250" s="13" t="n"/>
      <c r="C250" s="13" t="n"/>
      <c r="D250" s="13" t="n"/>
      <c r="E250" s="69" t="n"/>
      <c r="F250" s="17" t="n"/>
      <c r="G250" s="13" t="n"/>
      <c r="H250" s="13" t="n"/>
      <c r="I250" s="16">
        <f>IF($A250="","",1)</f>
        <v/>
      </c>
    </row>
    <row r="251">
      <c r="A251" s="13" t="n"/>
      <c r="B251" s="13" t="n"/>
      <c r="C251" s="13" t="n"/>
      <c r="D251" s="13" t="n"/>
      <c r="E251" s="69" t="n"/>
      <c r="F251" s="17" t="n"/>
      <c r="G251" s="13" t="n"/>
      <c r="H251" s="13" t="n"/>
      <c r="I251" s="16">
        <f>IF($A251="","",1)</f>
        <v/>
      </c>
    </row>
    <row r="252">
      <c r="A252" s="13" t="n"/>
      <c r="B252" s="13" t="n"/>
      <c r="C252" s="13" t="n"/>
      <c r="D252" s="13" t="n"/>
      <c r="E252" s="69" t="n"/>
      <c r="F252" s="17" t="n"/>
      <c r="G252" s="13" t="n"/>
      <c r="H252" s="13" t="n"/>
      <c r="I252" s="16">
        <f>IF($A252="","",1)</f>
        <v/>
      </c>
    </row>
    <row r="253">
      <c r="A253" s="13" t="n"/>
      <c r="B253" s="13" t="n"/>
      <c r="C253" s="13" t="n"/>
      <c r="D253" s="13" t="n"/>
      <c r="E253" s="69" t="n"/>
      <c r="F253" s="17" t="n"/>
      <c r="G253" s="13" t="n"/>
      <c r="H253" s="13" t="n"/>
      <c r="I253" s="16">
        <f>IF($A253="","",1)</f>
        <v/>
      </c>
    </row>
    <row r="254">
      <c r="A254" s="13" t="n"/>
      <c r="B254" s="13" t="n"/>
      <c r="C254" s="13" t="n"/>
      <c r="D254" s="13" t="n"/>
      <c r="E254" s="69" t="n"/>
      <c r="F254" s="17" t="n"/>
      <c r="G254" s="13" t="n"/>
      <c r="H254" s="13" t="n"/>
      <c r="I254" s="16">
        <f>IF($A254="","",1)</f>
        <v/>
      </c>
    </row>
    <row r="255">
      <c r="A255" s="13" t="n"/>
      <c r="B255" s="13" t="n"/>
      <c r="C255" s="13" t="n"/>
      <c r="D255" s="13" t="n"/>
      <c r="E255" s="69" t="n"/>
      <c r="F255" s="17" t="n"/>
      <c r="G255" s="13" t="n"/>
      <c r="H255" s="13" t="n"/>
      <c r="I255" s="16">
        <f>IF($A255="","",1)</f>
        <v/>
      </c>
    </row>
    <row r="256">
      <c r="A256" s="13" t="n"/>
      <c r="B256" s="13" t="n"/>
      <c r="C256" s="13" t="n"/>
      <c r="D256" s="13" t="n"/>
      <c r="E256" s="69" t="n"/>
      <c r="F256" s="17" t="n"/>
      <c r="G256" s="13" t="n"/>
      <c r="H256" s="13" t="n"/>
      <c r="I256" s="16">
        <f>IF($A256="","",1)</f>
        <v/>
      </c>
    </row>
    <row r="257">
      <c r="A257" s="13" t="n"/>
      <c r="B257" s="13" t="n"/>
      <c r="C257" s="13" t="n"/>
      <c r="D257" s="13" t="n"/>
      <c r="E257" s="69" t="n"/>
      <c r="F257" s="17" t="n"/>
      <c r="G257" s="13" t="n"/>
      <c r="H257" s="13" t="n"/>
      <c r="I257" s="16">
        <f>IF($A257="","",1)</f>
        <v/>
      </c>
    </row>
    <row r="258">
      <c r="A258" s="13" t="n"/>
      <c r="B258" s="13" t="n"/>
      <c r="C258" s="13" t="n"/>
      <c r="D258" s="13" t="n"/>
      <c r="E258" s="69" t="n"/>
      <c r="F258" s="17" t="n"/>
      <c r="G258" s="13" t="n"/>
      <c r="H258" s="13" t="n"/>
      <c r="I258" s="16">
        <f>IF($A258="","",1)</f>
        <v/>
      </c>
    </row>
    <row r="259">
      <c r="A259" s="13" t="n"/>
      <c r="B259" s="13" t="n"/>
      <c r="C259" s="13" t="n"/>
      <c r="D259" s="13" t="n"/>
      <c r="E259" s="69" t="n"/>
      <c r="F259" s="17" t="n"/>
      <c r="G259" s="13" t="n"/>
      <c r="H259" s="13" t="n"/>
      <c r="I259" s="16">
        <f>IF($A259="","",1)</f>
        <v/>
      </c>
    </row>
    <row r="260">
      <c r="A260" s="13" t="n"/>
      <c r="B260" s="13" t="n"/>
      <c r="C260" s="13" t="n"/>
      <c r="D260" s="13" t="n"/>
      <c r="E260" s="69" t="n"/>
      <c r="F260" s="17" t="n"/>
      <c r="G260" s="13" t="n"/>
      <c r="H260" s="13" t="n"/>
      <c r="I260" s="16">
        <f>IF($A260="","",1)</f>
        <v/>
      </c>
    </row>
    <row r="261">
      <c r="A261" s="13" t="n"/>
      <c r="B261" s="13" t="n"/>
      <c r="C261" s="13" t="n"/>
      <c r="D261" s="13" t="n"/>
      <c r="E261" s="69" t="n"/>
      <c r="F261" s="17" t="n"/>
      <c r="G261" s="13" t="n"/>
      <c r="H261" s="13" t="n"/>
      <c r="I261" s="16">
        <f>IF($A261="","",1)</f>
        <v/>
      </c>
    </row>
    <row r="262">
      <c r="A262" s="13" t="n"/>
      <c r="B262" s="13" t="n"/>
      <c r="C262" s="13" t="n"/>
      <c r="D262" s="13" t="n"/>
      <c r="E262" s="69" t="n"/>
      <c r="F262" s="17" t="n"/>
      <c r="G262" s="13" t="n"/>
      <c r="H262" s="13" t="n"/>
      <c r="I262" s="16">
        <f>IF($A262="","",1)</f>
        <v/>
      </c>
    </row>
    <row r="263">
      <c r="A263" s="13" t="n"/>
      <c r="B263" s="13" t="n"/>
      <c r="C263" s="13" t="n"/>
      <c r="D263" s="13" t="n"/>
      <c r="E263" s="69" t="n"/>
      <c r="F263" s="17" t="n"/>
      <c r="G263" s="13" t="n"/>
      <c r="H263" s="13" t="n"/>
      <c r="I263" s="16">
        <f>IF($A263="","",1)</f>
        <v/>
      </c>
    </row>
    <row r="264">
      <c r="A264" s="13" t="n"/>
      <c r="B264" s="13" t="n"/>
      <c r="C264" s="13" t="n"/>
      <c r="D264" s="13" t="n"/>
      <c r="E264" s="69" t="n"/>
      <c r="F264" s="17" t="n"/>
      <c r="G264" s="13" t="n"/>
      <c r="H264" s="13" t="n"/>
      <c r="I264" s="16">
        <f>IF($A264="","",1)</f>
        <v/>
      </c>
    </row>
    <row r="265">
      <c r="A265" s="13" t="n"/>
      <c r="B265" s="13" t="n"/>
      <c r="C265" s="13" t="n"/>
      <c r="D265" s="13" t="n"/>
      <c r="E265" s="69" t="n"/>
      <c r="F265" s="17" t="n"/>
      <c r="G265" s="13" t="n"/>
      <c r="H265" s="13" t="n"/>
      <c r="I265" s="16">
        <f>IF($A265="","",1)</f>
        <v/>
      </c>
    </row>
    <row r="266">
      <c r="A266" s="13" t="n"/>
      <c r="B266" s="13" t="n"/>
      <c r="C266" s="13" t="n"/>
      <c r="D266" s="13" t="n"/>
      <c r="E266" s="69" t="n"/>
      <c r="F266" s="17" t="n"/>
      <c r="G266" s="13" t="n"/>
      <c r="H266" s="13" t="n"/>
      <c r="I266" s="16">
        <f>IF($A266="","",1)</f>
        <v/>
      </c>
    </row>
    <row r="267">
      <c r="A267" s="13" t="n"/>
      <c r="B267" s="13" t="n"/>
      <c r="C267" s="13" t="n"/>
      <c r="D267" s="13" t="n"/>
      <c r="E267" s="69" t="n"/>
      <c r="F267" s="17" t="n"/>
      <c r="G267" s="13" t="n"/>
      <c r="H267" s="13" t="n"/>
      <c r="I267" s="16">
        <f>IF($A267="","",1)</f>
        <v/>
      </c>
    </row>
    <row r="268">
      <c r="A268" s="13" t="n"/>
      <c r="B268" s="13" t="n"/>
      <c r="C268" s="13" t="n"/>
      <c r="D268" s="13" t="n"/>
      <c r="E268" s="69" t="n"/>
      <c r="F268" s="17" t="n"/>
      <c r="G268" s="13" t="n"/>
      <c r="H268" s="13" t="n"/>
      <c r="I268" s="16">
        <f>IF($A268="","",1)</f>
        <v/>
      </c>
    </row>
    <row r="269">
      <c r="A269" s="13" t="n"/>
      <c r="B269" s="13" t="n"/>
      <c r="C269" s="13" t="n"/>
      <c r="D269" s="13" t="n"/>
      <c r="E269" s="69" t="n"/>
      <c r="F269" s="17" t="n"/>
      <c r="G269" s="13" t="n"/>
      <c r="H269" s="13" t="n"/>
      <c r="I269" s="16">
        <f>IF($A269="","",1)</f>
        <v/>
      </c>
    </row>
    <row r="270">
      <c r="A270" s="13" t="n"/>
      <c r="B270" s="13" t="n"/>
      <c r="C270" s="13" t="n"/>
      <c r="D270" s="13" t="n"/>
      <c r="E270" s="69" t="n"/>
      <c r="F270" s="17" t="n"/>
      <c r="G270" s="13" t="n"/>
      <c r="H270" s="13" t="n"/>
      <c r="I270" s="16">
        <f>IF($A270="","",1)</f>
        <v/>
      </c>
    </row>
    <row r="271">
      <c r="A271" s="13" t="n"/>
      <c r="B271" s="13" t="n"/>
      <c r="C271" s="13" t="n"/>
      <c r="D271" s="13" t="n"/>
      <c r="E271" s="69" t="n"/>
      <c r="F271" s="17" t="n"/>
      <c r="G271" s="13" t="n"/>
      <c r="H271" s="13" t="n"/>
      <c r="I271" s="16">
        <f>IF($A271="","",1)</f>
        <v/>
      </c>
    </row>
    <row r="272">
      <c r="A272" s="13" t="n"/>
      <c r="B272" s="13" t="n"/>
      <c r="C272" s="13" t="n"/>
      <c r="D272" s="13" t="n"/>
      <c r="E272" s="69" t="n"/>
      <c r="F272" s="17" t="n"/>
      <c r="G272" s="13" t="n"/>
      <c r="H272" s="13" t="n"/>
      <c r="I272" s="16">
        <f>IF($A272="","",1)</f>
        <v/>
      </c>
    </row>
    <row r="273">
      <c r="A273" s="13" t="n"/>
      <c r="B273" s="13" t="n"/>
      <c r="C273" s="13" t="n"/>
      <c r="D273" s="13" t="n"/>
      <c r="E273" s="69" t="n"/>
      <c r="F273" s="17" t="n"/>
      <c r="G273" s="13" t="n"/>
      <c r="H273" s="13" t="n"/>
      <c r="I273" s="16">
        <f>IF($A273="","",1)</f>
        <v/>
      </c>
    </row>
    <row r="274">
      <c r="A274" s="13" t="n"/>
      <c r="B274" s="13" t="n"/>
      <c r="C274" s="13" t="n"/>
      <c r="D274" s="13" t="n"/>
      <c r="E274" s="69" t="n"/>
      <c r="F274" s="17" t="n"/>
      <c r="G274" s="13" t="n"/>
      <c r="H274" s="13" t="n"/>
      <c r="I274" s="16">
        <f>IF($A274="","",1)</f>
        <v/>
      </c>
    </row>
    <row r="275">
      <c r="A275" s="13" t="n"/>
      <c r="B275" s="13" t="n"/>
      <c r="C275" s="13" t="n"/>
      <c r="D275" s="13" t="n"/>
      <c r="E275" s="69" t="n"/>
      <c r="F275" s="17" t="n"/>
      <c r="G275" s="13" t="n"/>
      <c r="H275" s="13" t="n"/>
      <c r="I275" s="16">
        <f>IF($A275="","",1)</f>
        <v/>
      </c>
    </row>
    <row r="276">
      <c r="A276" s="13" t="n"/>
      <c r="B276" s="13" t="n"/>
      <c r="C276" s="13" t="n"/>
      <c r="D276" s="13" t="n"/>
      <c r="E276" s="69" t="n"/>
      <c r="F276" s="17" t="n"/>
      <c r="G276" s="13" t="n"/>
      <c r="H276" s="13" t="n"/>
      <c r="I276" s="16">
        <f>IF($A276="","",1)</f>
        <v/>
      </c>
    </row>
    <row r="277">
      <c r="A277" s="13" t="n"/>
      <c r="B277" s="13" t="n"/>
      <c r="C277" s="13" t="n"/>
      <c r="D277" s="13" t="n"/>
      <c r="E277" s="69" t="n"/>
      <c r="F277" s="17" t="n"/>
      <c r="G277" s="13" t="n"/>
      <c r="H277" s="13" t="n"/>
      <c r="I277" s="16">
        <f>IF($A277="","",1)</f>
        <v/>
      </c>
    </row>
    <row r="278">
      <c r="A278" s="13" t="n"/>
      <c r="B278" s="13" t="n"/>
      <c r="C278" s="13" t="n"/>
      <c r="D278" s="13" t="n"/>
      <c r="E278" s="69" t="n"/>
      <c r="F278" s="17" t="n"/>
      <c r="G278" s="13" t="n"/>
      <c r="H278" s="13" t="n"/>
      <c r="I278" s="16">
        <f>IF($A278="","",1)</f>
        <v/>
      </c>
    </row>
    <row r="279">
      <c r="A279" s="13" t="n"/>
      <c r="B279" s="13" t="n"/>
      <c r="C279" s="13" t="n"/>
      <c r="D279" s="13" t="n"/>
      <c r="E279" s="69" t="n"/>
      <c r="F279" s="17" t="n"/>
      <c r="G279" s="13" t="n"/>
      <c r="H279" s="13" t="n"/>
      <c r="I279" s="16">
        <f>IF($A279="","",1)</f>
        <v/>
      </c>
    </row>
    <row r="280">
      <c r="A280" s="13" t="n"/>
      <c r="B280" s="13" t="n"/>
      <c r="C280" s="13" t="n"/>
      <c r="D280" s="13" t="n"/>
      <c r="E280" s="69" t="n"/>
      <c r="F280" s="17" t="n"/>
      <c r="G280" s="13" t="n"/>
      <c r="H280" s="13" t="n"/>
      <c r="I280" s="16">
        <f>IF($A280="","",1)</f>
        <v/>
      </c>
    </row>
    <row r="281">
      <c r="A281" s="13" t="n"/>
      <c r="B281" s="13" t="n"/>
      <c r="C281" s="13" t="n"/>
      <c r="D281" s="13" t="n"/>
      <c r="E281" s="69" t="n"/>
      <c r="F281" s="17" t="n"/>
      <c r="G281" s="13" t="n"/>
      <c r="H281" s="13" t="n"/>
      <c r="I281" s="16">
        <f>IF($A281="","",1)</f>
        <v/>
      </c>
    </row>
    <row r="282">
      <c r="A282" s="13" t="n"/>
      <c r="B282" s="13" t="n"/>
      <c r="C282" s="13" t="n"/>
      <c r="D282" s="13" t="n"/>
      <c r="E282" s="69" t="n"/>
      <c r="F282" s="17" t="n"/>
      <c r="G282" s="13" t="n"/>
      <c r="H282" s="13" t="n"/>
      <c r="I282" s="16">
        <f>IF($A282="","",1)</f>
        <v/>
      </c>
    </row>
    <row r="283">
      <c r="A283" s="13" t="n"/>
      <c r="B283" s="13" t="n"/>
      <c r="C283" s="13" t="n"/>
      <c r="D283" s="13" t="n"/>
      <c r="E283" s="69" t="n"/>
      <c r="F283" s="17" t="n"/>
      <c r="G283" s="13" t="n"/>
      <c r="H283" s="13" t="n"/>
      <c r="I283" s="16">
        <f>IF($A283="","",1)</f>
        <v/>
      </c>
    </row>
    <row r="284">
      <c r="A284" s="13" t="n"/>
      <c r="B284" s="13" t="n"/>
      <c r="C284" s="13" t="n"/>
      <c r="D284" s="13" t="n"/>
      <c r="E284" s="69" t="n"/>
      <c r="F284" s="17" t="n"/>
      <c r="G284" s="13" t="n"/>
      <c r="H284" s="13" t="n"/>
      <c r="I284" s="16">
        <f>IF($A284="","",1)</f>
        <v/>
      </c>
    </row>
    <row r="285">
      <c r="A285" s="13" t="n"/>
      <c r="B285" s="13" t="n"/>
      <c r="C285" s="13" t="n"/>
      <c r="D285" s="13" t="n"/>
      <c r="E285" s="69" t="n"/>
      <c r="F285" s="17" t="n"/>
      <c r="G285" s="13" t="n"/>
      <c r="H285" s="13" t="n"/>
      <c r="I285" s="16">
        <f>IF($A285="","",1)</f>
        <v/>
      </c>
    </row>
    <row r="286">
      <c r="A286" s="13" t="n"/>
      <c r="B286" s="13" t="n"/>
      <c r="C286" s="13" t="n"/>
      <c r="D286" s="13" t="n"/>
      <c r="E286" s="69" t="n"/>
      <c r="F286" s="17" t="n"/>
      <c r="G286" s="13" t="n"/>
      <c r="H286" s="13" t="n"/>
      <c r="I286" s="16">
        <f>IF($A286="","",1)</f>
        <v/>
      </c>
    </row>
    <row r="287">
      <c r="A287" s="13" t="n"/>
      <c r="B287" s="13" t="n"/>
      <c r="C287" s="13" t="n"/>
      <c r="D287" s="13" t="n"/>
      <c r="E287" s="69" t="n"/>
      <c r="F287" s="17" t="n"/>
      <c r="G287" s="13" t="n"/>
      <c r="H287" s="13" t="n"/>
      <c r="I287" s="16">
        <f>IF($A287="","",1)</f>
        <v/>
      </c>
    </row>
    <row r="288">
      <c r="A288" s="13" t="n"/>
      <c r="B288" s="13" t="n"/>
      <c r="C288" s="13" t="n"/>
      <c r="D288" s="13" t="n"/>
      <c r="E288" s="69" t="n"/>
      <c r="F288" s="17" t="n"/>
      <c r="G288" s="13" t="n"/>
      <c r="H288" s="13" t="n"/>
      <c r="I288" s="16">
        <f>IF($A288="","",1)</f>
        <v/>
      </c>
    </row>
    <row r="289">
      <c r="A289" s="13" t="n"/>
      <c r="B289" s="13" t="n"/>
      <c r="C289" s="13" t="n"/>
      <c r="D289" s="13" t="n"/>
      <c r="E289" s="69" t="n"/>
      <c r="F289" s="17" t="n"/>
      <c r="G289" s="13" t="n"/>
      <c r="H289" s="13" t="n"/>
      <c r="I289" s="16">
        <f>IF($A289="","",1)</f>
        <v/>
      </c>
    </row>
    <row r="290">
      <c r="A290" s="13" t="n"/>
      <c r="B290" s="13" t="n"/>
      <c r="C290" s="13" t="n"/>
      <c r="D290" s="13" t="n"/>
      <c r="E290" s="69" t="n"/>
      <c r="F290" s="17" t="n"/>
      <c r="G290" s="13" t="n"/>
      <c r="H290" s="13" t="n"/>
      <c r="I290" s="16">
        <f>IF($A290="","",1)</f>
        <v/>
      </c>
    </row>
    <row r="291">
      <c r="A291" s="13" t="n"/>
      <c r="B291" s="13" t="n"/>
      <c r="C291" s="13" t="n"/>
      <c r="D291" s="13" t="n"/>
      <c r="E291" s="69" t="n"/>
      <c r="F291" s="17" t="n"/>
      <c r="G291" s="13" t="n"/>
      <c r="H291" s="13" t="n"/>
      <c r="I291" s="16">
        <f>IF($A291="","",1)</f>
        <v/>
      </c>
    </row>
    <row r="292">
      <c r="A292" s="13" t="n"/>
      <c r="B292" s="13" t="n"/>
      <c r="C292" s="13" t="n"/>
      <c r="D292" s="13" t="n"/>
      <c r="E292" s="69" t="n"/>
      <c r="F292" s="17" t="n"/>
      <c r="G292" s="13" t="n"/>
      <c r="H292" s="13" t="n"/>
      <c r="I292" s="16">
        <f>IF($A292="","",1)</f>
        <v/>
      </c>
    </row>
    <row r="293">
      <c r="A293" s="13" t="n"/>
      <c r="B293" s="13" t="n"/>
      <c r="C293" s="13" t="n"/>
      <c r="D293" s="13" t="n"/>
      <c r="E293" s="69" t="n"/>
      <c r="F293" s="17" t="n"/>
      <c r="G293" s="13" t="n"/>
      <c r="H293" s="13" t="n"/>
      <c r="I293" s="16">
        <f>IF($A293="","",1)</f>
        <v/>
      </c>
    </row>
    <row r="294">
      <c r="A294" s="13" t="n"/>
      <c r="B294" s="13" t="n"/>
      <c r="C294" s="13" t="n"/>
      <c r="D294" s="13" t="n"/>
      <c r="E294" s="69" t="n"/>
      <c r="F294" s="17" t="n"/>
      <c r="G294" s="13" t="n"/>
      <c r="H294" s="13" t="n"/>
      <c r="I294" s="16">
        <f>IF($A294="","",1)</f>
        <v/>
      </c>
    </row>
    <row r="295">
      <c r="A295" s="13" t="n"/>
      <c r="B295" s="13" t="n"/>
      <c r="C295" s="13" t="n"/>
      <c r="D295" s="13" t="n"/>
      <c r="E295" s="69" t="n"/>
      <c r="F295" s="17" t="n"/>
      <c r="G295" s="13" t="n"/>
      <c r="H295" s="13" t="n"/>
      <c r="I295" s="16">
        <f>IF($A295="","",1)</f>
        <v/>
      </c>
    </row>
    <row r="296">
      <c r="A296" s="13" t="n"/>
      <c r="B296" s="13" t="n"/>
      <c r="C296" s="13" t="n"/>
      <c r="D296" s="13" t="n"/>
      <c r="E296" s="69" t="n"/>
      <c r="F296" s="17" t="n"/>
      <c r="G296" s="13" t="n"/>
      <c r="H296" s="13" t="n"/>
      <c r="I296" s="16">
        <f>IF($A296="","",1)</f>
        <v/>
      </c>
    </row>
    <row r="297">
      <c r="A297" s="13" t="n"/>
      <c r="B297" s="13" t="n"/>
      <c r="C297" s="13" t="n"/>
      <c r="D297" s="13" t="n"/>
      <c r="E297" s="69" t="n"/>
      <c r="F297" s="17" t="n"/>
      <c r="G297" s="13" t="n"/>
      <c r="H297" s="13" t="n"/>
      <c r="I297" s="16">
        <f>IF($A297="","",1)</f>
        <v/>
      </c>
    </row>
    <row r="298">
      <c r="A298" s="13" t="n"/>
      <c r="B298" s="13" t="n"/>
      <c r="C298" s="13" t="n"/>
      <c r="D298" s="13" t="n"/>
      <c r="E298" s="69" t="n"/>
      <c r="F298" s="17" t="n"/>
      <c r="G298" s="13" t="n"/>
      <c r="H298" s="13" t="n"/>
      <c r="I298" s="16">
        <f>IF($A298="","",1)</f>
        <v/>
      </c>
    </row>
    <row r="299">
      <c r="A299" s="13" t="n"/>
      <c r="B299" s="13" t="n"/>
      <c r="C299" s="13" t="n"/>
      <c r="D299" s="13" t="n"/>
      <c r="E299" s="69" t="n"/>
      <c r="F299" s="17" t="n"/>
      <c r="G299" s="13" t="n"/>
      <c r="H299" s="13" t="n"/>
      <c r="I299" s="16">
        <f>IF($A299="","",1)</f>
        <v/>
      </c>
    </row>
    <row r="300">
      <c r="A300" s="13" t="n"/>
      <c r="B300" s="13" t="n"/>
      <c r="C300" s="13" t="n"/>
      <c r="D300" s="13" t="n"/>
      <c r="E300" s="69" t="n"/>
      <c r="F300" s="17" t="n"/>
      <c r="G300" s="13" t="n"/>
      <c r="H300" s="13" t="n"/>
      <c r="I300" s="16">
        <f>IF($A300="","",1)</f>
        <v/>
      </c>
    </row>
    <row r="301">
      <c r="A301" s="13" t="n"/>
      <c r="B301" s="13" t="n"/>
      <c r="C301" s="13" t="n"/>
      <c r="D301" s="13" t="n"/>
      <c r="E301" s="69" t="n"/>
      <c r="F301" s="17" t="n"/>
      <c r="G301" s="13" t="n"/>
      <c r="H301" s="13" t="n"/>
      <c r="I301" s="16">
        <f>IF($A301="","",1)</f>
        <v/>
      </c>
    </row>
    <row r="302">
      <c r="A302" s="13" t="n"/>
      <c r="B302" s="13" t="n"/>
      <c r="C302" s="13" t="n"/>
      <c r="D302" s="13" t="n"/>
      <c r="E302" s="69" t="n"/>
      <c r="F302" s="17" t="n"/>
      <c r="G302" s="13" t="n"/>
      <c r="H302" s="13" t="n"/>
      <c r="I302" s="16">
        <f>IF($A302="","",1)</f>
        <v/>
      </c>
    </row>
    <row r="303">
      <c r="A303" s="13" t="n"/>
      <c r="B303" s="13" t="n"/>
      <c r="C303" s="13" t="n"/>
      <c r="D303" s="13" t="n"/>
      <c r="E303" s="69" t="n"/>
      <c r="F303" s="17" t="n"/>
      <c r="G303" s="13" t="n"/>
      <c r="H303" s="13" t="n"/>
      <c r="I303" s="16">
        <f>IF($A303="","",1)</f>
        <v/>
      </c>
    </row>
    <row r="304">
      <c r="A304" s="13" t="n"/>
      <c r="B304" s="13" t="n"/>
      <c r="C304" s="13" t="n"/>
      <c r="D304" s="13" t="n"/>
      <c r="E304" s="69" t="n"/>
      <c r="F304" s="17" t="n"/>
      <c r="G304" s="13" t="n"/>
      <c r="H304" s="13" t="n"/>
      <c r="I304" s="16">
        <f>IF($A304="","",1)</f>
        <v/>
      </c>
    </row>
    <row r="305">
      <c r="A305" s="13" t="n"/>
      <c r="B305" s="13" t="n"/>
      <c r="C305" s="13" t="n"/>
      <c r="D305" s="13" t="n"/>
      <c r="E305" s="69" t="n"/>
      <c r="F305" s="17" t="n"/>
      <c r="G305" s="13" t="n"/>
      <c r="H305" s="13" t="n"/>
      <c r="I305" s="16">
        <f>IF($A305="","",1)</f>
        <v/>
      </c>
    </row>
    <row r="306">
      <c r="A306" s="13" t="n"/>
      <c r="B306" s="13" t="n"/>
      <c r="C306" s="13" t="n"/>
      <c r="D306" s="13" t="n"/>
      <c r="E306" s="69" t="n"/>
      <c r="F306" s="17" t="n"/>
      <c r="G306" s="13" t="n"/>
      <c r="H306" s="13" t="n"/>
      <c r="I306" s="16">
        <f>IF($A306="","",1)</f>
        <v/>
      </c>
    </row>
    <row r="307">
      <c r="A307" s="13" t="n"/>
      <c r="B307" s="13" t="n"/>
      <c r="C307" s="13" t="n"/>
      <c r="D307" s="13" t="n"/>
      <c r="E307" s="69" t="n"/>
      <c r="F307" s="17" t="n"/>
      <c r="G307" s="13" t="n"/>
      <c r="H307" s="13" t="n"/>
      <c r="I307" s="16">
        <f>IF($A307="","",1)</f>
        <v/>
      </c>
    </row>
    <row r="308">
      <c r="A308" s="13" t="n"/>
      <c r="B308" s="13" t="n"/>
      <c r="C308" s="13" t="n"/>
      <c r="D308" s="13" t="n"/>
      <c r="E308" s="69" t="n"/>
      <c r="F308" s="17" t="n"/>
      <c r="G308" s="13" t="n"/>
      <c r="H308" s="13" t="n"/>
      <c r="I308" s="16">
        <f>IF($A308="","",1)</f>
        <v/>
      </c>
    </row>
    <row r="309">
      <c r="A309" s="13" t="n"/>
      <c r="B309" s="13" t="n"/>
      <c r="C309" s="13" t="n"/>
      <c r="D309" s="13" t="n"/>
      <c r="E309" s="69" t="n"/>
      <c r="F309" s="17" t="n"/>
      <c r="G309" s="13" t="n"/>
      <c r="H309" s="13" t="n"/>
      <c r="I309" s="16">
        <f>IF($A309="","",1)</f>
        <v/>
      </c>
    </row>
    <row r="310">
      <c r="A310" s="13" t="n"/>
      <c r="B310" s="13" t="n"/>
      <c r="C310" s="13" t="n"/>
      <c r="D310" s="13" t="n"/>
      <c r="E310" s="69" t="n"/>
      <c r="F310" s="17" t="n"/>
      <c r="G310" s="13" t="n"/>
      <c r="H310" s="13" t="n"/>
      <c r="I310" s="16">
        <f>IF($A310="","",1)</f>
        <v/>
      </c>
    </row>
    <row r="311">
      <c r="A311" s="13" t="n"/>
      <c r="B311" s="13" t="n"/>
      <c r="C311" s="13" t="n"/>
      <c r="D311" s="13" t="n"/>
      <c r="E311" s="69" t="n"/>
      <c r="F311" s="17" t="n"/>
      <c r="G311" s="13" t="n"/>
      <c r="H311" s="13" t="n"/>
      <c r="I311" s="16">
        <f>IF($A311="","",1)</f>
        <v/>
      </c>
    </row>
    <row r="312">
      <c r="A312" s="13" t="n"/>
      <c r="B312" s="13" t="n"/>
      <c r="C312" s="13" t="n"/>
      <c r="D312" s="13" t="n"/>
      <c r="E312" s="69" t="n"/>
      <c r="F312" s="17" t="n"/>
      <c r="G312" s="13" t="n"/>
      <c r="H312" s="13" t="n"/>
      <c r="I312" s="16">
        <f>IF($A312="","",1)</f>
        <v/>
      </c>
    </row>
    <row r="313">
      <c r="A313" s="13" t="n"/>
      <c r="B313" s="13" t="n"/>
      <c r="C313" s="13" t="n"/>
      <c r="D313" s="13" t="n"/>
      <c r="E313" s="69" t="n"/>
      <c r="F313" s="17" t="n"/>
      <c r="G313" s="13" t="n"/>
      <c r="H313" s="13" t="n"/>
      <c r="I313" s="16">
        <f>IF($A313="","",1)</f>
        <v/>
      </c>
    </row>
    <row r="314">
      <c r="A314" s="13" t="n"/>
      <c r="B314" s="13" t="n"/>
      <c r="C314" s="13" t="n"/>
      <c r="D314" s="13" t="n"/>
      <c r="E314" s="69" t="n"/>
      <c r="F314" s="17" t="n"/>
      <c r="G314" s="13" t="n"/>
      <c r="H314" s="13" t="n"/>
      <c r="I314" s="16">
        <f>IF($A314="","",1)</f>
        <v/>
      </c>
    </row>
    <row r="315">
      <c r="A315" s="13" t="n"/>
      <c r="B315" s="13" t="n"/>
      <c r="C315" s="13" t="n"/>
      <c r="D315" s="13" t="n"/>
      <c r="E315" s="69" t="n"/>
      <c r="F315" s="17" t="n"/>
      <c r="G315" s="13" t="n"/>
      <c r="H315" s="13" t="n"/>
      <c r="I315" s="16">
        <f>IF($A315="","",1)</f>
        <v/>
      </c>
    </row>
    <row r="316">
      <c r="A316" s="13" t="n"/>
      <c r="B316" s="13" t="n"/>
      <c r="C316" s="13" t="n"/>
      <c r="D316" s="13" t="n"/>
      <c r="E316" s="69" t="n"/>
      <c r="F316" s="17" t="n"/>
      <c r="G316" s="13" t="n"/>
      <c r="H316" s="13" t="n"/>
      <c r="I316" s="16">
        <f>IF($A316="","",1)</f>
        <v/>
      </c>
    </row>
    <row r="317">
      <c r="A317" s="13" t="n"/>
      <c r="B317" s="13" t="n"/>
      <c r="C317" s="13" t="n"/>
      <c r="D317" s="13" t="n"/>
      <c r="E317" s="69" t="n"/>
      <c r="F317" s="17" t="n"/>
      <c r="G317" s="13" t="n"/>
      <c r="H317" s="13" t="n"/>
      <c r="I317" s="16">
        <f>IF($A317="","",1)</f>
        <v/>
      </c>
    </row>
    <row r="318">
      <c r="A318" s="13" t="n"/>
      <c r="B318" s="13" t="n"/>
      <c r="C318" s="13" t="n"/>
      <c r="D318" s="13" t="n"/>
      <c r="E318" s="69" t="n"/>
      <c r="F318" s="17" t="n"/>
      <c r="G318" s="13" t="n"/>
      <c r="H318" s="13" t="n"/>
      <c r="I318" s="16">
        <f>IF($A318="","",1)</f>
        <v/>
      </c>
    </row>
    <row r="319">
      <c r="A319" s="13" t="n"/>
      <c r="B319" s="13" t="n"/>
      <c r="C319" s="13" t="n"/>
      <c r="D319" s="13" t="n"/>
      <c r="E319" s="69" t="n"/>
      <c r="F319" s="17" t="n"/>
      <c r="G319" s="13" t="n"/>
      <c r="H319" s="13" t="n"/>
      <c r="I319" s="16">
        <f>IF($A319="","",1)</f>
        <v/>
      </c>
    </row>
    <row r="320">
      <c r="A320" s="13" t="n"/>
      <c r="B320" s="13" t="n"/>
      <c r="C320" s="13" t="n"/>
      <c r="D320" s="13" t="n"/>
      <c r="E320" s="69" t="n"/>
      <c r="F320" s="17" t="n"/>
      <c r="G320" s="13" t="n"/>
      <c r="H320" s="13" t="n"/>
      <c r="I320" s="16">
        <f>IF($A320="","",1)</f>
        <v/>
      </c>
    </row>
    <row r="321">
      <c r="A321" s="13" t="n"/>
      <c r="B321" s="13" t="n"/>
      <c r="C321" s="13" t="n"/>
      <c r="D321" s="13" t="n"/>
      <c r="E321" s="69" t="n"/>
      <c r="F321" s="17" t="n"/>
      <c r="G321" s="13" t="n"/>
      <c r="H321" s="13" t="n"/>
      <c r="I321" s="16">
        <f>IF($A321="","",1)</f>
        <v/>
      </c>
    </row>
    <row r="322">
      <c r="A322" s="13" t="n"/>
      <c r="B322" s="13" t="n"/>
      <c r="C322" s="13" t="n"/>
      <c r="D322" s="13" t="n"/>
      <c r="E322" s="69" t="n"/>
      <c r="F322" s="17" t="n"/>
      <c r="G322" s="13" t="n"/>
      <c r="H322" s="13" t="n"/>
      <c r="I322" s="16">
        <f>IF($A322="","",1)</f>
        <v/>
      </c>
    </row>
    <row r="323">
      <c r="A323" s="13" t="n"/>
      <c r="B323" s="13" t="n"/>
      <c r="C323" s="13" t="n"/>
      <c r="D323" s="13" t="n"/>
      <c r="E323" s="69" t="n"/>
      <c r="F323" s="17" t="n"/>
      <c r="G323" s="13" t="n"/>
      <c r="H323" s="13" t="n"/>
      <c r="I323" s="16">
        <f>IF($A323="","",1)</f>
        <v/>
      </c>
    </row>
    <row r="324">
      <c r="A324" s="13" t="n"/>
      <c r="B324" s="13" t="n"/>
      <c r="C324" s="13" t="n"/>
      <c r="D324" s="13" t="n"/>
      <c r="E324" s="69" t="n"/>
      <c r="F324" s="17" t="n"/>
      <c r="G324" s="13" t="n"/>
      <c r="H324" s="13" t="n"/>
      <c r="I324" s="16">
        <f>IF($A324="","",1)</f>
        <v/>
      </c>
    </row>
    <row r="325">
      <c r="A325" s="13" t="n"/>
      <c r="B325" s="13" t="n"/>
      <c r="C325" s="13" t="n"/>
      <c r="D325" s="13" t="n"/>
      <c r="E325" s="69" t="n"/>
      <c r="F325" s="17" t="n"/>
      <c r="G325" s="13" t="n"/>
      <c r="H325" s="13" t="n"/>
      <c r="I325" s="16">
        <f>IF($A325="","",1)</f>
        <v/>
      </c>
    </row>
    <row r="326">
      <c r="A326" s="13" t="n"/>
      <c r="B326" s="13" t="n"/>
      <c r="C326" s="13" t="n"/>
      <c r="D326" s="13" t="n"/>
      <c r="E326" s="69" t="n"/>
      <c r="F326" s="17" t="n"/>
      <c r="G326" s="13" t="n"/>
      <c r="H326" s="13" t="n"/>
      <c r="I326" s="16">
        <f>IF($A326="","",1)</f>
        <v/>
      </c>
    </row>
    <row r="327">
      <c r="A327" s="13" t="n"/>
      <c r="B327" s="13" t="n"/>
      <c r="C327" s="13" t="n"/>
      <c r="D327" s="13" t="n"/>
      <c r="E327" s="69" t="n"/>
      <c r="F327" s="17" t="n"/>
      <c r="G327" s="13" t="n"/>
      <c r="H327" s="13" t="n"/>
      <c r="I327" s="16">
        <f>IF($A327="","",1)</f>
        <v/>
      </c>
    </row>
    <row r="328">
      <c r="A328" s="13" t="n"/>
      <c r="B328" s="13" t="n"/>
      <c r="C328" s="13" t="n"/>
      <c r="D328" s="13" t="n"/>
      <c r="E328" s="69" t="n"/>
      <c r="F328" s="17" t="n"/>
      <c r="G328" s="13" t="n"/>
      <c r="H328" s="13" t="n"/>
      <c r="I328" s="16">
        <f>IF($A328="","",1)</f>
        <v/>
      </c>
    </row>
    <row r="329">
      <c r="A329" s="13" t="n"/>
      <c r="B329" s="13" t="n"/>
      <c r="C329" s="13" t="n"/>
      <c r="D329" s="13" t="n"/>
      <c r="E329" s="69" t="n"/>
      <c r="F329" s="17" t="n"/>
      <c r="G329" s="13" t="n"/>
      <c r="H329" s="13" t="n"/>
      <c r="I329" s="16">
        <f>IF($A329="","",1)</f>
        <v/>
      </c>
    </row>
    <row r="330">
      <c r="A330" s="13" t="n"/>
      <c r="B330" s="13" t="n"/>
      <c r="C330" s="13" t="n"/>
      <c r="D330" s="13" t="n"/>
      <c r="E330" s="69" t="n"/>
      <c r="F330" s="17" t="n"/>
      <c r="G330" s="13" t="n"/>
      <c r="H330" s="13" t="n"/>
      <c r="I330" s="16">
        <f>IF($A330="","",1)</f>
        <v/>
      </c>
    </row>
    <row r="331">
      <c r="A331" s="13" t="n"/>
      <c r="B331" s="13" t="n"/>
      <c r="C331" s="13" t="n"/>
      <c r="D331" s="13" t="n"/>
      <c r="E331" s="69" t="n"/>
      <c r="F331" s="17" t="n"/>
      <c r="G331" s="13" t="n"/>
      <c r="H331" s="13" t="n"/>
      <c r="I331" s="16">
        <f>IF($A331="","",1)</f>
        <v/>
      </c>
    </row>
    <row r="332">
      <c r="A332" s="13" t="n"/>
      <c r="B332" s="13" t="n"/>
      <c r="C332" s="13" t="n"/>
      <c r="D332" s="13" t="n"/>
      <c r="E332" s="69" t="n"/>
      <c r="F332" s="17" t="n"/>
      <c r="G332" s="13" t="n"/>
      <c r="H332" s="13" t="n"/>
      <c r="I332" s="16">
        <f>IF($A332="","",1)</f>
        <v/>
      </c>
    </row>
    <row r="333">
      <c r="A333" s="13" t="n"/>
      <c r="B333" s="13" t="n"/>
      <c r="C333" s="13" t="n"/>
      <c r="D333" s="13" t="n"/>
      <c r="E333" s="69" t="n"/>
      <c r="F333" s="17" t="n"/>
      <c r="G333" s="13" t="n"/>
      <c r="H333" s="13" t="n"/>
      <c r="I333" s="16">
        <f>IF($A333="","",1)</f>
        <v/>
      </c>
    </row>
    <row r="334">
      <c r="A334" s="13" t="n"/>
      <c r="B334" s="13" t="n"/>
      <c r="C334" s="13" t="n"/>
      <c r="D334" s="13" t="n"/>
      <c r="E334" s="69" t="n"/>
      <c r="F334" s="17" t="n"/>
      <c r="G334" s="13" t="n"/>
      <c r="H334" s="13" t="n"/>
      <c r="I334" s="16">
        <f>IF($A334="","",1)</f>
        <v/>
      </c>
    </row>
    <row r="335">
      <c r="A335" s="13" t="n"/>
      <c r="B335" s="13" t="n"/>
      <c r="C335" s="13" t="n"/>
      <c r="D335" s="13" t="n"/>
      <c r="E335" s="69" t="n"/>
      <c r="F335" s="17" t="n"/>
      <c r="G335" s="13" t="n"/>
      <c r="H335" s="13" t="n"/>
      <c r="I335" s="16">
        <f>IF($A335="","",1)</f>
        <v/>
      </c>
    </row>
    <row r="336">
      <c r="A336" s="13" t="n"/>
      <c r="B336" s="13" t="n"/>
      <c r="C336" s="13" t="n"/>
      <c r="D336" s="13" t="n"/>
      <c r="E336" s="69" t="n"/>
      <c r="F336" s="17" t="n"/>
      <c r="G336" s="13" t="n"/>
      <c r="H336" s="13" t="n"/>
      <c r="I336" s="16">
        <f>IF($A336="","",1)</f>
        <v/>
      </c>
    </row>
    <row r="337">
      <c r="A337" s="13" t="n"/>
      <c r="B337" s="13" t="n"/>
      <c r="C337" s="13" t="n"/>
      <c r="D337" s="13" t="n"/>
      <c r="E337" s="69" t="n"/>
      <c r="F337" s="17" t="n"/>
      <c r="G337" s="13" t="n"/>
      <c r="H337" s="13" t="n"/>
      <c r="I337" s="16">
        <f>IF($A337="","",1)</f>
        <v/>
      </c>
    </row>
    <row r="338">
      <c r="A338" s="13" t="n"/>
      <c r="B338" s="13" t="n"/>
      <c r="C338" s="13" t="n"/>
      <c r="D338" s="13" t="n"/>
      <c r="E338" s="69" t="n"/>
      <c r="F338" s="17" t="n"/>
      <c r="G338" s="13" t="n"/>
      <c r="H338" s="13" t="n"/>
      <c r="I338" s="16">
        <f>IF($A338="","",1)</f>
        <v/>
      </c>
    </row>
    <row r="339">
      <c r="A339" s="13" t="n"/>
      <c r="B339" s="13" t="n"/>
      <c r="C339" s="13" t="n"/>
      <c r="D339" s="13" t="n"/>
      <c r="E339" s="69" t="n"/>
      <c r="F339" s="17" t="n"/>
      <c r="G339" s="13" t="n"/>
      <c r="H339" s="13" t="n"/>
      <c r="I339" s="16">
        <f>IF($A339="","",1)</f>
        <v/>
      </c>
    </row>
    <row r="340">
      <c r="A340" s="13" t="n"/>
      <c r="B340" s="13" t="n"/>
      <c r="C340" s="13" t="n"/>
      <c r="D340" s="13" t="n"/>
      <c r="E340" s="69" t="n"/>
      <c r="F340" s="17" t="n"/>
      <c r="G340" s="13" t="n"/>
      <c r="H340" s="13" t="n"/>
      <c r="I340" s="16">
        <f>IF($A340="","",1)</f>
        <v/>
      </c>
    </row>
    <row r="341">
      <c r="A341" s="13" t="n"/>
      <c r="B341" s="13" t="n"/>
      <c r="C341" s="13" t="n"/>
      <c r="D341" s="13" t="n"/>
      <c r="E341" s="69" t="n"/>
      <c r="F341" s="17" t="n"/>
      <c r="G341" s="13" t="n"/>
      <c r="H341" s="13" t="n"/>
      <c r="I341" s="16">
        <f>IF($A341="","",1)</f>
        <v/>
      </c>
    </row>
    <row r="342">
      <c r="A342" s="13" t="n"/>
      <c r="B342" s="13" t="n"/>
      <c r="C342" s="13" t="n"/>
      <c r="D342" s="13" t="n"/>
      <c r="E342" s="69" t="n"/>
      <c r="F342" s="17" t="n"/>
      <c r="G342" s="13" t="n"/>
      <c r="H342" s="13" t="n"/>
      <c r="I342" s="16">
        <f>IF($A342="","",1)</f>
        <v/>
      </c>
    </row>
    <row r="343">
      <c r="A343" s="13" t="n"/>
      <c r="B343" s="13" t="n"/>
      <c r="C343" s="13" t="n"/>
      <c r="D343" s="13" t="n"/>
      <c r="E343" s="69" t="n"/>
      <c r="F343" s="17" t="n"/>
      <c r="G343" s="13" t="n"/>
      <c r="H343" s="13" t="n"/>
      <c r="I343" s="16">
        <f>IF($A343="","",1)</f>
        <v/>
      </c>
    </row>
    <row r="344">
      <c r="A344" s="13" t="n"/>
      <c r="B344" s="13" t="n"/>
      <c r="C344" s="13" t="n"/>
      <c r="D344" s="13" t="n"/>
      <c r="E344" s="69" t="n"/>
      <c r="F344" s="17" t="n"/>
      <c r="G344" s="13" t="n"/>
      <c r="H344" s="13" t="n"/>
      <c r="I344" s="16">
        <f>IF($A344="","",1)</f>
        <v/>
      </c>
    </row>
    <row r="345">
      <c r="A345" s="13" t="n"/>
      <c r="B345" s="13" t="n"/>
      <c r="C345" s="13" t="n"/>
      <c r="D345" s="13" t="n"/>
      <c r="E345" s="69" t="n"/>
      <c r="F345" s="17" t="n"/>
      <c r="G345" s="13" t="n"/>
      <c r="H345" s="13" t="n"/>
      <c r="I345" s="16">
        <f>IF($A345="","",1)</f>
        <v/>
      </c>
    </row>
    <row r="346">
      <c r="A346" s="13" t="n"/>
      <c r="B346" s="13" t="n"/>
      <c r="C346" s="13" t="n"/>
      <c r="D346" s="13" t="n"/>
      <c r="E346" s="69" t="n"/>
      <c r="F346" s="17" t="n"/>
      <c r="G346" s="13" t="n"/>
      <c r="H346" s="13" t="n"/>
      <c r="I346" s="16">
        <f>IF($A346="","",1)</f>
        <v/>
      </c>
    </row>
    <row r="347">
      <c r="A347" s="13" t="n"/>
      <c r="B347" s="13" t="n"/>
      <c r="C347" s="13" t="n"/>
      <c r="D347" s="13" t="n"/>
      <c r="E347" s="69" t="n"/>
      <c r="F347" s="17" t="n"/>
      <c r="G347" s="13" t="n"/>
      <c r="H347" s="13" t="n"/>
      <c r="I347" s="16">
        <f>IF($A347="","",1)</f>
        <v/>
      </c>
    </row>
    <row r="348">
      <c r="A348" s="13" t="n"/>
      <c r="B348" s="13" t="n"/>
      <c r="C348" s="13" t="n"/>
      <c r="D348" s="13" t="n"/>
      <c r="E348" s="69" t="n"/>
      <c r="F348" s="17" t="n"/>
      <c r="G348" s="13" t="n"/>
      <c r="H348" s="13" t="n"/>
      <c r="I348" s="16">
        <f>IF($A348="","",1)</f>
        <v/>
      </c>
    </row>
    <row r="349">
      <c r="A349" s="13" t="n"/>
      <c r="B349" s="13" t="n"/>
      <c r="C349" s="13" t="n"/>
      <c r="D349" s="13" t="n"/>
      <c r="E349" s="69" t="n"/>
      <c r="F349" s="17" t="n"/>
      <c r="G349" s="13" t="n"/>
      <c r="H349" s="13" t="n"/>
      <c r="I349" s="16">
        <f>IF($A349="","",1)</f>
        <v/>
      </c>
    </row>
    <row r="350">
      <c r="A350" s="13" t="n"/>
      <c r="B350" s="13" t="n"/>
      <c r="C350" s="13" t="n"/>
      <c r="D350" s="13" t="n"/>
      <c r="E350" s="69" t="n"/>
      <c r="F350" s="17" t="n"/>
      <c r="G350" s="13" t="n"/>
      <c r="H350" s="13" t="n"/>
      <c r="I350" s="16">
        <f>IF($A350="","",1)</f>
        <v/>
      </c>
    </row>
    <row r="351">
      <c r="A351" s="13" t="n"/>
      <c r="B351" s="13" t="n"/>
      <c r="C351" s="13" t="n"/>
      <c r="D351" s="13" t="n"/>
      <c r="E351" s="69" t="n"/>
      <c r="F351" s="17" t="n"/>
      <c r="G351" s="13" t="n"/>
      <c r="H351" s="13" t="n"/>
      <c r="I351" s="16">
        <f>IF($A351="","",1)</f>
        <v/>
      </c>
    </row>
    <row r="352">
      <c r="A352" s="13" t="n"/>
      <c r="B352" s="13" t="n"/>
      <c r="C352" s="13" t="n"/>
      <c r="D352" s="13" t="n"/>
      <c r="E352" s="69" t="n"/>
      <c r="F352" s="17" t="n"/>
      <c r="G352" s="13" t="n"/>
      <c r="H352" s="13" t="n"/>
      <c r="I352" s="16">
        <f>IF($A352="","",1)</f>
        <v/>
      </c>
    </row>
    <row r="353">
      <c r="A353" s="13" t="n"/>
      <c r="B353" s="13" t="n"/>
      <c r="C353" s="13" t="n"/>
      <c r="D353" s="13" t="n"/>
      <c r="E353" s="69" t="n"/>
      <c r="F353" s="17" t="n"/>
      <c r="G353" s="13" t="n"/>
      <c r="H353" s="13" t="n"/>
      <c r="I353" s="16">
        <f>IF($A353="","",1)</f>
        <v/>
      </c>
    </row>
    <row r="354">
      <c r="A354" s="13" t="n"/>
      <c r="B354" s="13" t="n"/>
      <c r="C354" s="13" t="n"/>
      <c r="D354" s="13" t="n"/>
      <c r="E354" s="69" t="n"/>
      <c r="F354" s="17" t="n"/>
      <c r="G354" s="13" t="n"/>
      <c r="H354" s="13" t="n"/>
      <c r="I354" s="16">
        <f>IF($A354="","",1)</f>
        <v/>
      </c>
    </row>
    <row r="355">
      <c r="A355" s="13" t="n"/>
      <c r="B355" s="13" t="n"/>
      <c r="C355" s="13" t="n"/>
      <c r="D355" s="13" t="n"/>
      <c r="E355" s="69" t="n"/>
      <c r="F355" s="17" t="n"/>
      <c r="G355" s="13" t="n"/>
      <c r="H355" s="13" t="n"/>
      <c r="I355" s="16">
        <f>IF($A355="","",1)</f>
        <v/>
      </c>
    </row>
    <row r="356">
      <c r="A356" s="13" t="n"/>
      <c r="B356" s="13" t="n"/>
      <c r="C356" s="13" t="n"/>
      <c r="D356" s="13" t="n"/>
      <c r="E356" s="69" t="n"/>
      <c r="F356" s="17" t="n"/>
      <c r="G356" s="13" t="n"/>
      <c r="H356" s="13" t="n"/>
      <c r="I356" s="16">
        <f>IF($A356="","",1)</f>
        <v/>
      </c>
    </row>
    <row r="357">
      <c r="A357" s="13" t="n"/>
      <c r="B357" s="13" t="n"/>
      <c r="C357" s="13" t="n"/>
      <c r="D357" s="13" t="n"/>
      <c r="E357" s="69" t="n"/>
      <c r="F357" s="17" t="n"/>
      <c r="G357" s="13" t="n"/>
      <c r="H357" s="13" t="n"/>
      <c r="I357" s="16">
        <f>IF($A357="","",1)</f>
        <v/>
      </c>
    </row>
    <row r="358">
      <c r="A358" s="13" t="n"/>
      <c r="B358" s="13" t="n"/>
      <c r="C358" s="13" t="n"/>
      <c r="D358" s="13" t="n"/>
      <c r="E358" s="69" t="n"/>
      <c r="F358" s="17" t="n"/>
      <c r="G358" s="13" t="n"/>
      <c r="H358" s="13" t="n"/>
      <c r="I358" s="16">
        <f>IF($A358="","",1)</f>
        <v/>
      </c>
    </row>
    <row r="359">
      <c r="A359" s="13" t="n"/>
      <c r="B359" s="13" t="n"/>
      <c r="C359" s="13" t="n"/>
      <c r="D359" s="13" t="n"/>
      <c r="E359" s="69" t="n"/>
      <c r="F359" s="17" t="n"/>
      <c r="G359" s="13" t="n"/>
      <c r="H359" s="13" t="n"/>
      <c r="I359" s="16">
        <f>IF($A359="","",1)</f>
        <v/>
      </c>
    </row>
    <row r="360">
      <c r="A360" s="13" t="n"/>
      <c r="B360" s="13" t="n"/>
      <c r="C360" s="13" t="n"/>
      <c r="D360" s="13" t="n"/>
      <c r="E360" s="69" t="n"/>
      <c r="F360" s="17" t="n"/>
      <c r="G360" s="13" t="n"/>
      <c r="H360" s="13" t="n"/>
      <c r="I360" s="16">
        <f>IF($A360="","",1)</f>
        <v/>
      </c>
    </row>
    <row r="361">
      <c r="A361" s="13" t="n"/>
      <c r="B361" s="13" t="n"/>
      <c r="C361" s="13" t="n"/>
      <c r="D361" s="13" t="n"/>
      <c r="E361" s="69" t="n"/>
      <c r="F361" s="17" t="n"/>
      <c r="G361" s="13" t="n"/>
      <c r="H361" s="13" t="n"/>
      <c r="I361" s="16">
        <f>IF($A361="","",1)</f>
        <v/>
      </c>
    </row>
    <row r="362">
      <c r="A362" s="13" t="n"/>
      <c r="B362" s="13" t="n"/>
      <c r="C362" s="13" t="n"/>
      <c r="D362" s="13" t="n"/>
      <c r="E362" s="69" t="n"/>
      <c r="F362" s="17" t="n"/>
      <c r="G362" s="13" t="n"/>
      <c r="H362" s="13" t="n"/>
      <c r="I362" s="16">
        <f>IF($A362="","",1)</f>
        <v/>
      </c>
    </row>
    <row r="363">
      <c r="A363" s="13" t="n"/>
      <c r="B363" s="13" t="n"/>
      <c r="C363" s="13" t="n"/>
      <c r="D363" s="13" t="n"/>
      <c r="E363" s="69" t="n"/>
      <c r="F363" s="17" t="n"/>
      <c r="G363" s="13" t="n"/>
      <c r="H363" s="13" t="n"/>
      <c r="I363" s="16">
        <f>IF($A363="","",1)</f>
        <v/>
      </c>
    </row>
    <row r="364">
      <c r="A364" s="13" t="n"/>
      <c r="B364" s="13" t="n"/>
      <c r="C364" s="13" t="n"/>
      <c r="D364" s="13" t="n"/>
      <c r="E364" s="69" t="n"/>
      <c r="F364" s="17" t="n"/>
      <c r="G364" s="13" t="n"/>
      <c r="H364" s="13" t="n"/>
      <c r="I364" s="16">
        <f>IF($A364="","",1)</f>
        <v/>
      </c>
    </row>
    <row r="365">
      <c r="A365" s="13" t="n"/>
      <c r="B365" s="13" t="n"/>
      <c r="C365" s="13" t="n"/>
      <c r="D365" s="13" t="n"/>
      <c r="E365" s="69" t="n"/>
      <c r="F365" s="17" t="n"/>
      <c r="G365" s="13" t="n"/>
      <c r="H365" s="13" t="n"/>
      <c r="I365" s="16">
        <f>IF($A365="","",1)</f>
        <v/>
      </c>
    </row>
    <row r="366">
      <c r="A366" s="13" t="n"/>
      <c r="B366" s="13" t="n"/>
      <c r="C366" s="13" t="n"/>
      <c r="D366" s="13" t="n"/>
      <c r="E366" s="69" t="n"/>
      <c r="F366" s="17" t="n"/>
      <c r="G366" s="13" t="n"/>
      <c r="H366" s="13" t="n"/>
      <c r="I366" s="16">
        <f>IF($A366="","",1)</f>
        <v/>
      </c>
    </row>
    <row r="367">
      <c r="A367" s="13" t="n"/>
      <c r="B367" s="13" t="n"/>
      <c r="C367" s="13" t="n"/>
      <c r="D367" s="13" t="n"/>
      <c r="E367" s="69" t="n"/>
      <c r="F367" s="17" t="n"/>
      <c r="G367" s="13" t="n"/>
      <c r="H367" s="13" t="n"/>
      <c r="I367" s="16">
        <f>IF($A367="","",1)</f>
        <v/>
      </c>
    </row>
    <row r="368">
      <c r="A368" s="13" t="n"/>
      <c r="B368" s="13" t="n"/>
      <c r="C368" s="13" t="n"/>
      <c r="D368" s="13" t="n"/>
      <c r="E368" s="69" t="n"/>
      <c r="F368" s="17" t="n"/>
      <c r="G368" s="13" t="n"/>
      <c r="H368" s="13" t="n"/>
      <c r="I368" s="16">
        <f>IF($A368="","",1)</f>
        <v/>
      </c>
    </row>
    <row r="369">
      <c r="A369" s="13" t="n"/>
      <c r="B369" s="13" t="n"/>
      <c r="C369" s="13" t="n"/>
      <c r="D369" s="13" t="n"/>
      <c r="E369" s="69" t="n"/>
      <c r="F369" s="17" t="n"/>
      <c r="G369" s="13" t="n"/>
      <c r="H369" s="13" t="n"/>
      <c r="I369" s="16">
        <f>IF($A369="","",1)</f>
        <v/>
      </c>
    </row>
    <row r="370">
      <c r="A370" s="13" t="n"/>
      <c r="B370" s="13" t="n"/>
      <c r="C370" s="13" t="n"/>
      <c r="D370" s="13" t="n"/>
      <c r="E370" s="69" t="n"/>
      <c r="F370" s="17" t="n"/>
      <c r="G370" s="13" t="n"/>
      <c r="H370" s="13" t="n"/>
      <c r="I370" s="16">
        <f>IF($A370="","",1)</f>
        <v/>
      </c>
    </row>
    <row r="371">
      <c r="A371" s="13" t="n"/>
      <c r="B371" s="13" t="n"/>
      <c r="C371" s="13" t="n"/>
      <c r="D371" s="13" t="n"/>
      <c r="E371" s="69" t="n"/>
      <c r="F371" s="17" t="n"/>
      <c r="G371" s="13" t="n"/>
      <c r="H371" s="13" t="n"/>
      <c r="I371" s="16">
        <f>IF($A371="","",1)</f>
        <v/>
      </c>
    </row>
    <row r="372">
      <c r="A372" s="13" t="n"/>
      <c r="B372" s="13" t="n"/>
      <c r="C372" s="13" t="n"/>
      <c r="D372" s="13" t="n"/>
      <c r="E372" s="69" t="n"/>
      <c r="F372" s="17" t="n"/>
      <c r="G372" s="13" t="n"/>
      <c r="H372" s="13" t="n"/>
      <c r="I372" s="16">
        <f>IF($A372="","",1)</f>
        <v/>
      </c>
    </row>
    <row r="373">
      <c r="A373" s="13" t="n"/>
      <c r="B373" s="13" t="n"/>
      <c r="C373" s="13" t="n"/>
      <c r="D373" s="13" t="n"/>
      <c r="E373" s="69" t="n"/>
      <c r="F373" s="17" t="n"/>
      <c r="G373" s="13" t="n"/>
      <c r="H373" s="13" t="n"/>
      <c r="I373" s="16">
        <f>IF($A373="","",1)</f>
        <v/>
      </c>
    </row>
    <row r="374">
      <c r="A374" s="13" t="n"/>
      <c r="B374" s="13" t="n"/>
      <c r="C374" s="13" t="n"/>
      <c r="D374" s="13" t="n"/>
      <c r="E374" s="69" t="n"/>
      <c r="F374" s="17" t="n"/>
      <c r="G374" s="13" t="n"/>
      <c r="H374" s="13" t="n"/>
      <c r="I374" s="16">
        <f>IF($A374="","",1)</f>
        <v/>
      </c>
    </row>
    <row r="375">
      <c r="A375" s="13" t="n"/>
      <c r="B375" s="13" t="n"/>
      <c r="C375" s="13" t="n"/>
      <c r="D375" s="13" t="n"/>
      <c r="E375" s="69" t="n"/>
      <c r="F375" s="17" t="n"/>
      <c r="G375" s="13" t="n"/>
      <c r="H375" s="13" t="n"/>
      <c r="I375" s="16">
        <f>IF($A375="","",1)</f>
        <v/>
      </c>
    </row>
    <row r="376">
      <c r="A376" s="13" t="n"/>
      <c r="B376" s="13" t="n"/>
      <c r="C376" s="13" t="n"/>
      <c r="D376" s="13" t="n"/>
      <c r="E376" s="69" t="n"/>
      <c r="F376" s="17" t="n"/>
      <c r="G376" s="13" t="n"/>
      <c r="H376" s="13" t="n"/>
      <c r="I376" s="16">
        <f>IF($A376="","",1)</f>
        <v/>
      </c>
    </row>
    <row r="377">
      <c r="A377" s="13" t="n"/>
      <c r="B377" s="13" t="n"/>
      <c r="C377" s="13" t="n"/>
      <c r="D377" s="13" t="n"/>
      <c r="E377" s="69" t="n"/>
      <c r="F377" s="17" t="n"/>
      <c r="G377" s="13" t="n"/>
      <c r="H377" s="13" t="n"/>
      <c r="I377" s="16">
        <f>IF($A377="","",1)</f>
        <v/>
      </c>
    </row>
    <row r="378">
      <c r="A378" s="13" t="n"/>
      <c r="B378" s="13" t="n"/>
      <c r="C378" s="13" t="n"/>
      <c r="D378" s="13" t="n"/>
      <c r="E378" s="69" t="n"/>
      <c r="F378" s="17" t="n"/>
      <c r="G378" s="13" t="n"/>
      <c r="H378" s="13" t="n"/>
      <c r="I378" s="16">
        <f>IF($A378="","",1)</f>
        <v/>
      </c>
    </row>
    <row r="379">
      <c r="A379" s="13" t="n"/>
      <c r="B379" s="13" t="n"/>
      <c r="C379" s="13" t="n"/>
      <c r="D379" s="13" t="n"/>
      <c r="E379" s="69" t="n"/>
      <c r="F379" s="17" t="n"/>
      <c r="G379" s="13" t="n"/>
      <c r="H379" s="13" t="n"/>
      <c r="I379" s="16">
        <f>IF($A379="","",1)</f>
        <v/>
      </c>
    </row>
    <row r="380">
      <c r="A380" s="13" t="n"/>
      <c r="B380" s="13" t="n"/>
      <c r="C380" s="13" t="n"/>
      <c r="D380" s="13" t="n"/>
      <c r="E380" s="69" t="n"/>
      <c r="F380" s="17" t="n"/>
      <c r="G380" s="13" t="n"/>
      <c r="H380" s="13" t="n"/>
      <c r="I380" s="16">
        <f>IF($A380="","",1)</f>
        <v/>
      </c>
    </row>
    <row r="381">
      <c r="A381" s="13" t="n"/>
      <c r="B381" s="13" t="n"/>
      <c r="C381" s="13" t="n"/>
      <c r="D381" s="13" t="n"/>
      <c r="E381" s="69" t="n"/>
      <c r="F381" s="17" t="n"/>
      <c r="G381" s="13" t="n"/>
      <c r="H381" s="13" t="n"/>
      <c r="I381" s="16">
        <f>IF($A381="","",1)</f>
        <v/>
      </c>
    </row>
    <row r="382">
      <c r="A382" s="13" t="n"/>
      <c r="B382" s="13" t="n"/>
      <c r="C382" s="13" t="n"/>
      <c r="D382" s="13" t="n"/>
      <c r="E382" s="69" t="n"/>
      <c r="F382" s="17" t="n"/>
      <c r="G382" s="13" t="n"/>
      <c r="H382" s="13" t="n"/>
      <c r="I382" s="16">
        <f>IF($A382="","",1)</f>
        <v/>
      </c>
    </row>
    <row r="383">
      <c r="A383" s="13" t="n"/>
      <c r="B383" s="13" t="n"/>
      <c r="C383" s="13" t="n"/>
      <c r="D383" s="13" t="n"/>
      <c r="E383" s="69" t="n"/>
      <c r="F383" s="17" t="n"/>
      <c r="G383" s="13" t="n"/>
      <c r="H383" s="13" t="n"/>
      <c r="I383" s="16">
        <f>IF($A383="","",1)</f>
        <v/>
      </c>
    </row>
    <row r="384">
      <c r="A384" s="13" t="n"/>
      <c r="B384" s="13" t="n"/>
      <c r="C384" s="13" t="n"/>
      <c r="D384" s="13" t="n"/>
      <c r="E384" s="69" t="n"/>
      <c r="F384" s="17" t="n"/>
      <c r="G384" s="13" t="n"/>
      <c r="H384" s="13" t="n"/>
      <c r="I384" s="16">
        <f>IF($A384="","",1)</f>
        <v/>
      </c>
    </row>
    <row r="385">
      <c r="A385" s="13" t="n"/>
      <c r="B385" s="13" t="n"/>
      <c r="C385" s="13" t="n"/>
      <c r="D385" s="13" t="n"/>
      <c r="E385" s="69" t="n"/>
      <c r="F385" s="17" t="n"/>
      <c r="G385" s="13" t="n"/>
      <c r="H385" s="13" t="n"/>
      <c r="I385" s="16">
        <f>IF($A385="","",1)</f>
        <v/>
      </c>
    </row>
    <row r="386">
      <c r="A386" s="13" t="n"/>
      <c r="B386" s="13" t="n"/>
      <c r="C386" s="13" t="n"/>
      <c r="D386" s="13" t="n"/>
      <c r="E386" s="69" t="n"/>
      <c r="F386" s="17" t="n"/>
      <c r="G386" s="13" t="n"/>
      <c r="H386" s="13" t="n"/>
      <c r="I386" s="16">
        <f>IF($A386="","",1)</f>
        <v/>
      </c>
    </row>
    <row r="387">
      <c r="A387" s="13" t="n"/>
      <c r="B387" s="13" t="n"/>
      <c r="C387" s="13" t="n"/>
      <c r="D387" s="13" t="n"/>
      <c r="E387" s="69" t="n"/>
      <c r="F387" s="17" t="n"/>
      <c r="G387" s="13" t="n"/>
      <c r="H387" s="13" t="n"/>
      <c r="I387" s="16">
        <f>IF($A387="","",1)</f>
        <v/>
      </c>
    </row>
    <row r="388">
      <c r="A388" s="13" t="n"/>
      <c r="B388" s="13" t="n"/>
      <c r="C388" s="13" t="n"/>
      <c r="D388" s="13" t="n"/>
      <c r="E388" s="69" t="n"/>
      <c r="F388" s="17" t="n"/>
      <c r="G388" s="13" t="n"/>
      <c r="H388" s="13" t="n"/>
      <c r="I388" s="16">
        <f>IF($A388="","",1)</f>
        <v/>
      </c>
    </row>
    <row r="389">
      <c r="A389" s="13" t="n"/>
      <c r="B389" s="13" t="n"/>
      <c r="C389" s="13" t="n"/>
      <c r="D389" s="13" t="n"/>
      <c r="E389" s="69" t="n"/>
      <c r="F389" s="17" t="n"/>
      <c r="G389" s="13" t="n"/>
      <c r="H389" s="13" t="n"/>
      <c r="I389" s="16">
        <f>IF($A389="","",1)</f>
        <v/>
      </c>
    </row>
    <row r="390">
      <c r="A390" s="13" t="n"/>
      <c r="B390" s="13" t="n"/>
      <c r="C390" s="13" t="n"/>
      <c r="D390" s="13" t="n"/>
      <c r="E390" s="69" t="n"/>
      <c r="F390" s="17" t="n"/>
      <c r="G390" s="13" t="n"/>
      <c r="H390" s="13" t="n"/>
      <c r="I390" s="16">
        <f>IF($A390="","",1)</f>
        <v/>
      </c>
    </row>
    <row r="391">
      <c r="A391" s="13" t="n"/>
      <c r="B391" s="13" t="n"/>
      <c r="C391" s="13" t="n"/>
      <c r="D391" s="13" t="n"/>
      <c r="E391" s="69" t="n"/>
      <c r="F391" s="17" t="n"/>
      <c r="G391" s="13" t="n"/>
      <c r="H391" s="13" t="n"/>
      <c r="I391" s="16">
        <f>IF($A391="","",1)</f>
        <v/>
      </c>
    </row>
    <row r="392">
      <c r="A392" s="13" t="n"/>
      <c r="B392" s="13" t="n"/>
      <c r="C392" s="13" t="n"/>
      <c r="D392" s="13" t="n"/>
      <c r="E392" s="69" t="n"/>
      <c r="F392" s="17" t="n"/>
      <c r="G392" s="13" t="n"/>
      <c r="H392" s="13" t="n"/>
      <c r="I392" s="16">
        <f>IF($A392="","",1)</f>
        <v/>
      </c>
    </row>
    <row r="393">
      <c r="A393" s="13" t="n"/>
      <c r="B393" s="13" t="n"/>
      <c r="C393" s="13" t="n"/>
      <c r="D393" s="13" t="n"/>
      <c r="E393" s="69" t="n"/>
      <c r="F393" s="17" t="n"/>
      <c r="G393" s="13" t="n"/>
      <c r="H393" s="13" t="n"/>
      <c r="I393" s="16">
        <f>IF($A393="","",1)</f>
        <v/>
      </c>
    </row>
    <row r="394">
      <c r="A394" s="13" t="n"/>
      <c r="B394" s="13" t="n"/>
      <c r="C394" s="13" t="n"/>
      <c r="D394" s="13" t="n"/>
      <c r="E394" s="69" t="n"/>
      <c r="F394" s="17" t="n"/>
      <c r="G394" s="13" t="n"/>
      <c r="H394" s="13" t="n"/>
      <c r="I394" s="16">
        <f>IF($A394="","",1)</f>
        <v/>
      </c>
    </row>
    <row r="395">
      <c r="A395" s="13" t="n"/>
      <c r="B395" s="13" t="n"/>
      <c r="C395" s="13" t="n"/>
      <c r="D395" s="13" t="n"/>
      <c r="E395" s="69" t="n"/>
      <c r="F395" s="17" t="n"/>
      <c r="G395" s="13" t="n"/>
      <c r="H395" s="13" t="n"/>
      <c r="I395" s="16">
        <f>IF($A395="","",1)</f>
        <v/>
      </c>
    </row>
    <row r="396">
      <c r="A396" s="13" t="n"/>
      <c r="B396" s="13" t="n"/>
      <c r="C396" s="13" t="n"/>
      <c r="D396" s="13" t="n"/>
      <c r="E396" s="69" t="n"/>
      <c r="F396" s="17" t="n"/>
      <c r="G396" s="13" t="n"/>
      <c r="H396" s="13" t="n"/>
      <c r="I396" s="16">
        <f>IF($A396="","",1)</f>
        <v/>
      </c>
    </row>
    <row r="397">
      <c r="A397" s="13" t="n"/>
      <c r="B397" s="13" t="n"/>
      <c r="C397" s="13" t="n"/>
      <c r="D397" s="13" t="n"/>
      <c r="E397" s="69" t="n"/>
      <c r="F397" s="17" t="n"/>
      <c r="G397" s="13" t="n"/>
      <c r="H397" s="13" t="n"/>
      <c r="I397" s="16">
        <f>IF($A397="","",1)</f>
        <v/>
      </c>
    </row>
    <row r="398">
      <c r="A398" s="13" t="n"/>
      <c r="B398" s="13" t="n"/>
      <c r="C398" s="13" t="n"/>
      <c r="D398" s="13" t="n"/>
      <c r="E398" s="69" t="n"/>
      <c r="F398" s="17" t="n"/>
      <c r="G398" s="13" t="n"/>
      <c r="H398" s="13" t="n"/>
      <c r="I398" s="16">
        <f>IF($A398="","",1)</f>
        <v/>
      </c>
    </row>
    <row r="399">
      <c r="A399" s="13" t="n"/>
      <c r="B399" s="13" t="n"/>
      <c r="C399" s="13" t="n"/>
      <c r="D399" s="13" t="n"/>
      <c r="E399" s="69" t="n"/>
      <c r="F399" s="17" t="n"/>
      <c r="G399" s="13" t="n"/>
      <c r="H399" s="13" t="n"/>
      <c r="I399" s="16">
        <f>IF($A399="","",1)</f>
        <v/>
      </c>
    </row>
    <row r="400">
      <c r="A400" s="13" t="n"/>
      <c r="B400" s="13" t="n"/>
      <c r="C400" s="13" t="n"/>
      <c r="D400" s="13" t="n"/>
      <c r="E400" s="69" t="n"/>
      <c r="F400" s="17" t="n"/>
      <c r="G400" s="13" t="n"/>
      <c r="H400" s="13" t="n"/>
      <c r="I400" s="16">
        <f>IF($A400="","",1)</f>
        <v/>
      </c>
    </row>
    <row r="401">
      <c r="A401" s="13" t="n"/>
      <c r="B401" s="13" t="n"/>
      <c r="C401" s="13" t="n"/>
      <c r="D401" s="13" t="n"/>
      <c r="E401" s="69" t="n"/>
      <c r="F401" s="17" t="n"/>
      <c r="G401" s="13" t="n"/>
      <c r="H401" s="13" t="n"/>
      <c r="I401" s="16">
        <f>IF($A401="","",1)</f>
        <v/>
      </c>
    </row>
    <row r="402">
      <c r="A402" s="13" t="n"/>
      <c r="B402" s="13" t="n"/>
      <c r="C402" s="13" t="n"/>
      <c r="D402" s="13" t="n"/>
      <c r="E402" s="69" t="n"/>
      <c r="F402" s="17" t="n"/>
      <c r="G402" s="13" t="n"/>
      <c r="H402" s="13" t="n"/>
      <c r="I402" s="16">
        <f>IF($A402="","",1)</f>
        <v/>
      </c>
    </row>
    <row r="403">
      <c r="A403" s="13" t="n"/>
      <c r="B403" s="13" t="n"/>
      <c r="C403" s="13" t="n"/>
      <c r="D403" s="13" t="n"/>
      <c r="E403" s="69" t="n"/>
      <c r="F403" s="17" t="n"/>
      <c r="G403" s="13" t="n"/>
      <c r="H403" s="13" t="n"/>
      <c r="I403" s="16">
        <f>IF($A403="","",1)</f>
        <v/>
      </c>
    </row>
    <row r="404">
      <c r="A404" s="13" t="n"/>
      <c r="B404" s="13" t="n"/>
      <c r="C404" s="13" t="n"/>
      <c r="D404" s="13" t="n"/>
      <c r="E404" s="69" t="n"/>
      <c r="F404" s="17" t="n"/>
      <c r="G404" s="13" t="n"/>
      <c r="H404" s="13" t="n"/>
      <c r="I404" s="16">
        <f>IF($A404="","",1)</f>
        <v/>
      </c>
    </row>
    <row r="405">
      <c r="A405" s="13" t="n"/>
      <c r="B405" s="13" t="n"/>
      <c r="C405" s="13" t="n"/>
      <c r="D405" s="13" t="n"/>
      <c r="E405" s="69" t="n"/>
      <c r="F405" s="17" t="n"/>
      <c r="G405" s="13" t="n"/>
      <c r="H405" s="13" t="n"/>
      <c r="I405" s="16">
        <f>IF($A405="","",1)</f>
        <v/>
      </c>
    </row>
    <row r="406">
      <c r="A406" s="13" t="n"/>
      <c r="B406" s="13" t="n"/>
      <c r="C406" s="13" t="n"/>
      <c r="D406" s="13" t="n"/>
      <c r="E406" s="69" t="n"/>
      <c r="F406" s="17" t="n"/>
      <c r="G406" s="13" t="n"/>
      <c r="H406" s="13" t="n"/>
      <c r="I406" s="16">
        <f>IF($A406="","",1)</f>
        <v/>
      </c>
    </row>
    <row r="407">
      <c r="A407" s="13" t="n"/>
      <c r="B407" s="13" t="n"/>
      <c r="C407" s="13" t="n"/>
      <c r="D407" s="13" t="n"/>
      <c r="E407" s="69" t="n"/>
      <c r="F407" s="17" t="n"/>
      <c r="G407" s="13" t="n"/>
      <c r="H407" s="13" t="n"/>
      <c r="I407" s="16">
        <f>IF($A407="","",1)</f>
        <v/>
      </c>
    </row>
    <row r="408">
      <c r="A408" s="13" t="n"/>
      <c r="B408" s="13" t="n"/>
      <c r="C408" s="13" t="n"/>
      <c r="D408" s="13" t="n"/>
      <c r="E408" s="69" t="n"/>
      <c r="F408" s="17" t="n"/>
      <c r="G408" s="13" t="n"/>
      <c r="H408" s="13" t="n"/>
      <c r="I408" s="16">
        <f>IF($A408="","",1)</f>
        <v/>
      </c>
    </row>
    <row r="409">
      <c r="A409" s="13" t="n"/>
      <c r="B409" s="13" t="n"/>
      <c r="C409" s="13" t="n"/>
      <c r="D409" s="13" t="n"/>
      <c r="E409" s="69" t="n"/>
      <c r="F409" s="17" t="n"/>
      <c r="G409" s="13" t="n"/>
      <c r="H409" s="13" t="n"/>
      <c r="I409" s="16">
        <f>IF($A409="","",1)</f>
        <v/>
      </c>
    </row>
    <row r="410">
      <c r="A410" s="13" t="n"/>
      <c r="B410" s="13" t="n"/>
      <c r="C410" s="13" t="n"/>
      <c r="D410" s="13" t="n"/>
      <c r="E410" s="69" t="n"/>
      <c r="F410" s="17" t="n"/>
      <c r="G410" s="13" t="n"/>
      <c r="H410" s="13" t="n"/>
      <c r="I410" s="16">
        <f>IF($A410="","",1)</f>
        <v/>
      </c>
    </row>
    <row r="411">
      <c r="A411" s="13" t="n"/>
      <c r="B411" s="13" t="n"/>
      <c r="C411" s="13" t="n"/>
      <c r="D411" s="13" t="n"/>
      <c r="E411" s="69" t="n"/>
      <c r="F411" s="17" t="n"/>
      <c r="G411" s="13" t="n"/>
      <c r="H411" s="13" t="n"/>
      <c r="I411" s="16">
        <f>IF($A411="","",1)</f>
        <v/>
      </c>
    </row>
    <row r="412">
      <c r="A412" s="13" t="n"/>
      <c r="B412" s="13" t="n"/>
      <c r="C412" s="13" t="n"/>
      <c r="D412" s="13" t="n"/>
      <c r="E412" s="69" t="n"/>
      <c r="F412" s="17" t="n"/>
      <c r="G412" s="13" t="n"/>
      <c r="H412" s="13" t="n"/>
      <c r="I412" s="16">
        <f>IF($A412="","",1)</f>
        <v/>
      </c>
    </row>
    <row r="413">
      <c r="A413" s="13" t="n"/>
      <c r="B413" s="13" t="n"/>
      <c r="C413" s="13" t="n"/>
      <c r="D413" s="13" t="n"/>
      <c r="E413" s="69" t="n"/>
      <c r="F413" s="17" t="n"/>
      <c r="G413" s="13" t="n"/>
      <c r="H413" s="13" t="n"/>
      <c r="I413" s="16">
        <f>IF($A413="","",1)</f>
        <v/>
      </c>
    </row>
    <row r="414">
      <c r="A414" s="13" t="n"/>
      <c r="B414" s="13" t="n"/>
      <c r="C414" s="13" t="n"/>
      <c r="D414" s="13" t="n"/>
      <c r="E414" s="69" t="n"/>
      <c r="F414" s="17" t="n"/>
      <c r="G414" s="13" t="n"/>
      <c r="H414" s="13" t="n"/>
      <c r="I414" s="16">
        <f>IF($A414="","",1)</f>
        <v/>
      </c>
    </row>
    <row r="415">
      <c r="A415" s="13" t="n"/>
      <c r="B415" s="13" t="n"/>
      <c r="C415" s="13" t="n"/>
      <c r="D415" s="13" t="n"/>
      <c r="E415" s="69" t="n"/>
      <c r="F415" s="17" t="n"/>
      <c r="G415" s="13" t="n"/>
      <c r="H415" s="13" t="n"/>
      <c r="I415" s="16">
        <f>IF($A415="","",1)</f>
        <v/>
      </c>
    </row>
    <row r="416">
      <c r="A416" s="13" t="n"/>
      <c r="B416" s="13" t="n"/>
      <c r="C416" s="13" t="n"/>
      <c r="D416" s="13" t="n"/>
      <c r="E416" s="69" t="n"/>
      <c r="F416" s="17" t="n"/>
      <c r="G416" s="13" t="n"/>
      <c r="H416" s="13" t="n"/>
      <c r="I416" s="16">
        <f>IF($A416="","",1)</f>
        <v/>
      </c>
    </row>
    <row r="417">
      <c r="A417" s="13" t="n"/>
      <c r="B417" s="13" t="n"/>
      <c r="C417" s="13" t="n"/>
      <c r="D417" s="13" t="n"/>
      <c r="E417" s="69" t="n"/>
      <c r="F417" s="17" t="n"/>
      <c r="G417" s="13" t="n"/>
      <c r="H417" s="13" t="n"/>
      <c r="I417" s="16">
        <f>IF($A417="","",1)</f>
        <v/>
      </c>
    </row>
    <row r="418">
      <c r="A418" s="13" t="n"/>
      <c r="B418" s="13" t="n"/>
      <c r="C418" s="13" t="n"/>
      <c r="D418" s="13" t="n"/>
      <c r="E418" s="69" t="n"/>
      <c r="F418" s="17" t="n"/>
      <c r="G418" s="13" t="n"/>
      <c r="H418" s="13" t="n"/>
      <c r="I418" s="16">
        <f>IF($A418="","",1)</f>
        <v/>
      </c>
    </row>
    <row r="419">
      <c r="A419" s="13" t="n"/>
      <c r="B419" s="13" t="n"/>
      <c r="C419" s="13" t="n"/>
      <c r="D419" s="13" t="n"/>
      <c r="E419" s="69" t="n"/>
      <c r="F419" s="17" t="n"/>
      <c r="G419" s="13" t="n"/>
      <c r="H419" s="13" t="n"/>
      <c r="I419" s="16">
        <f>IF($A419="","",1)</f>
        <v/>
      </c>
    </row>
    <row r="420">
      <c r="A420" s="13" t="n"/>
      <c r="B420" s="13" t="n"/>
      <c r="C420" s="13" t="n"/>
      <c r="D420" s="13" t="n"/>
      <c r="E420" s="69" t="n"/>
      <c r="F420" s="17" t="n"/>
      <c r="G420" s="13" t="n"/>
      <c r="H420" s="13" t="n"/>
      <c r="I420" s="16">
        <f>IF($A420="","",1)</f>
        <v/>
      </c>
    </row>
    <row r="421">
      <c r="A421" s="13" t="n"/>
      <c r="B421" s="13" t="n"/>
      <c r="C421" s="13" t="n"/>
      <c r="D421" s="13" t="n"/>
      <c r="E421" s="69" t="n"/>
      <c r="F421" s="17" t="n"/>
      <c r="G421" s="13" t="n"/>
      <c r="H421" s="13" t="n"/>
      <c r="I421" s="16">
        <f>IF($A421="","",1)</f>
        <v/>
      </c>
    </row>
    <row r="422">
      <c r="A422" s="13" t="n"/>
      <c r="B422" s="13" t="n"/>
      <c r="C422" s="13" t="n"/>
      <c r="D422" s="13" t="n"/>
      <c r="E422" s="69" t="n"/>
      <c r="F422" s="17" t="n"/>
      <c r="G422" s="13" t="n"/>
      <c r="H422" s="13" t="n"/>
      <c r="I422" s="16">
        <f>IF($A422="","",1)</f>
        <v/>
      </c>
    </row>
    <row r="423">
      <c r="A423" s="13" t="n"/>
      <c r="B423" s="13" t="n"/>
      <c r="C423" s="13" t="n"/>
      <c r="D423" s="13" t="n"/>
      <c r="E423" s="69" t="n"/>
      <c r="F423" s="17" t="n"/>
      <c r="G423" s="13" t="n"/>
      <c r="H423" s="13" t="n"/>
      <c r="I423" s="16">
        <f>IF($A423="","",1)</f>
        <v/>
      </c>
    </row>
    <row r="424">
      <c r="A424" s="13" t="n"/>
      <c r="B424" s="13" t="n"/>
      <c r="C424" s="13" t="n"/>
      <c r="D424" s="13" t="n"/>
      <c r="E424" s="69" t="n"/>
      <c r="F424" s="17" t="n"/>
      <c r="G424" s="13" t="n"/>
      <c r="H424" s="13" t="n"/>
      <c r="I424" s="16">
        <f>IF($A424="","",1)</f>
        <v/>
      </c>
    </row>
    <row r="425">
      <c r="A425" s="13" t="n"/>
      <c r="B425" s="13" t="n"/>
      <c r="C425" s="13" t="n"/>
      <c r="D425" s="13" t="n"/>
      <c r="E425" s="69" t="n"/>
      <c r="F425" s="17" t="n"/>
      <c r="G425" s="13" t="n"/>
      <c r="H425" s="13" t="n"/>
      <c r="I425" s="16">
        <f>IF($A425="","",1)</f>
        <v/>
      </c>
    </row>
    <row r="426">
      <c r="A426" s="13" t="n"/>
      <c r="B426" s="13" t="n"/>
      <c r="C426" s="13" t="n"/>
      <c r="D426" s="13" t="n"/>
      <c r="E426" s="69" t="n"/>
      <c r="F426" s="17" t="n"/>
      <c r="G426" s="13" t="n"/>
      <c r="H426" s="13" t="n"/>
      <c r="I426" s="16">
        <f>IF($A426="","",1)</f>
        <v/>
      </c>
    </row>
    <row r="427">
      <c r="A427" s="13" t="n"/>
      <c r="B427" s="13" t="n"/>
      <c r="C427" s="13" t="n"/>
      <c r="D427" s="13" t="n"/>
      <c r="E427" s="69" t="n"/>
      <c r="F427" s="17" t="n"/>
      <c r="G427" s="13" t="n"/>
      <c r="H427" s="13" t="n"/>
      <c r="I427" s="16">
        <f>IF($A427="","",1)</f>
        <v/>
      </c>
    </row>
    <row r="428">
      <c r="A428" s="13" t="n"/>
      <c r="B428" s="13" t="n"/>
      <c r="C428" s="13" t="n"/>
      <c r="D428" s="13" t="n"/>
      <c r="E428" s="69" t="n"/>
      <c r="F428" s="17" t="n"/>
      <c r="G428" s="13" t="n"/>
      <c r="H428" s="13" t="n"/>
      <c r="I428" s="16">
        <f>IF($A428="","",1)</f>
        <v/>
      </c>
    </row>
    <row r="429">
      <c r="A429" s="13" t="n"/>
      <c r="B429" s="13" t="n"/>
      <c r="C429" s="13" t="n"/>
      <c r="D429" s="13" t="n"/>
      <c r="E429" s="69" t="n"/>
      <c r="F429" s="17" t="n"/>
      <c r="G429" s="13" t="n"/>
      <c r="H429" s="13" t="n"/>
      <c r="I429" s="16">
        <f>IF($A429="","",1)</f>
        <v/>
      </c>
    </row>
    <row r="430">
      <c r="A430" s="13" t="n"/>
      <c r="B430" s="13" t="n"/>
      <c r="C430" s="13" t="n"/>
      <c r="D430" s="13" t="n"/>
      <c r="E430" s="69" t="n"/>
      <c r="F430" s="17" t="n"/>
      <c r="G430" s="13" t="n"/>
      <c r="H430" s="13" t="n"/>
      <c r="I430" s="16">
        <f>IF($A430="","",1)</f>
        <v/>
      </c>
    </row>
    <row r="431">
      <c r="A431" s="13" t="n"/>
      <c r="B431" s="13" t="n"/>
      <c r="C431" s="13" t="n"/>
      <c r="D431" s="13" t="n"/>
      <c r="E431" s="69" t="n"/>
      <c r="F431" s="17" t="n"/>
      <c r="G431" s="13" t="n"/>
      <c r="H431" s="13" t="n"/>
      <c r="I431" s="16">
        <f>IF($A431="","",1)</f>
        <v/>
      </c>
    </row>
    <row r="432">
      <c r="A432" s="13" t="n"/>
      <c r="B432" s="13" t="n"/>
      <c r="C432" s="13" t="n"/>
      <c r="D432" s="13" t="n"/>
      <c r="E432" s="69" t="n"/>
      <c r="F432" s="17" t="n"/>
      <c r="G432" s="13" t="n"/>
      <c r="H432" s="13" t="n"/>
      <c r="I432" s="16">
        <f>IF($A432="","",1)</f>
        <v/>
      </c>
    </row>
    <row r="433">
      <c r="A433" s="13" t="n"/>
      <c r="B433" s="13" t="n"/>
      <c r="C433" s="13" t="n"/>
      <c r="D433" s="13" t="n"/>
      <c r="E433" s="69" t="n"/>
      <c r="F433" s="17" t="n"/>
      <c r="G433" s="13" t="n"/>
      <c r="H433" s="13" t="n"/>
      <c r="I433" s="16">
        <f>IF($A433="","",1)</f>
        <v/>
      </c>
    </row>
    <row r="434">
      <c r="A434" s="13" t="n"/>
      <c r="B434" s="13" t="n"/>
      <c r="C434" s="13" t="n"/>
      <c r="D434" s="13" t="n"/>
      <c r="E434" s="69" t="n"/>
      <c r="F434" s="17" t="n"/>
      <c r="G434" s="13" t="n"/>
      <c r="H434" s="13" t="n"/>
      <c r="I434" s="16">
        <f>IF($A434="","",1)</f>
        <v/>
      </c>
    </row>
    <row r="435">
      <c r="A435" s="13" t="n"/>
      <c r="B435" s="13" t="n"/>
      <c r="C435" s="13" t="n"/>
      <c r="D435" s="13" t="n"/>
      <c r="E435" s="69" t="n"/>
      <c r="F435" s="17" t="n"/>
      <c r="G435" s="13" t="n"/>
      <c r="H435" s="13" t="n"/>
      <c r="I435" s="16">
        <f>IF($A435="","",1)</f>
        <v/>
      </c>
    </row>
    <row r="436">
      <c r="A436" s="13" t="n"/>
      <c r="B436" s="13" t="n"/>
      <c r="C436" s="13" t="n"/>
      <c r="D436" s="13" t="n"/>
      <c r="E436" s="69" t="n"/>
      <c r="F436" s="17" t="n"/>
      <c r="G436" s="13" t="n"/>
      <c r="H436" s="13" t="n"/>
      <c r="I436" s="16">
        <f>IF($A436="","",1)</f>
        <v/>
      </c>
    </row>
    <row r="437">
      <c r="A437" s="13" t="n"/>
      <c r="B437" s="13" t="n"/>
      <c r="C437" s="13" t="n"/>
      <c r="D437" s="13" t="n"/>
      <c r="E437" s="69" t="n"/>
      <c r="F437" s="17" t="n"/>
      <c r="G437" s="13" t="n"/>
      <c r="H437" s="13" t="n"/>
      <c r="I437" s="16">
        <f>IF($A437="","",1)</f>
        <v/>
      </c>
    </row>
    <row r="438">
      <c r="A438" s="13" t="n"/>
      <c r="B438" s="13" t="n"/>
      <c r="C438" s="13" t="n"/>
      <c r="D438" s="13" t="n"/>
      <c r="E438" s="69" t="n"/>
      <c r="F438" s="17" t="n"/>
      <c r="G438" s="13" t="n"/>
      <c r="H438" s="13" t="n"/>
      <c r="I438" s="16">
        <f>IF($A438="","",1)</f>
        <v/>
      </c>
    </row>
    <row r="439">
      <c r="A439" s="13" t="n"/>
      <c r="B439" s="13" t="n"/>
      <c r="C439" s="13" t="n"/>
      <c r="D439" s="13" t="n"/>
      <c r="E439" s="69" t="n"/>
      <c r="F439" s="17" t="n"/>
      <c r="G439" s="13" t="n"/>
      <c r="H439" s="13" t="n"/>
      <c r="I439" s="16">
        <f>IF($A439="","",1)</f>
        <v/>
      </c>
    </row>
    <row r="440">
      <c r="A440" s="13" t="n"/>
      <c r="B440" s="13" t="n"/>
      <c r="C440" s="13" t="n"/>
      <c r="D440" s="13" t="n"/>
      <c r="E440" s="69" t="n"/>
      <c r="F440" s="17" t="n"/>
      <c r="G440" s="13" t="n"/>
      <c r="H440" s="13" t="n"/>
      <c r="I440" s="16">
        <f>IF($A440="","",1)</f>
        <v/>
      </c>
    </row>
    <row r="441">
      <c r="A441" s="13" t="n"/>
      <c r="B441" s="13" t="n"/>
      <c r="C441" s="13" t="n"/>
      <c r="D441" s="13" t="n"/>
      <c r="E441" s="69" t="n"/>
      <c r="F441" s="17" t="n"/>
      <c r="G441" s="13" t="n"/>
      <c r="H441" s="13" t="n"/>
      <c r="I441" s="16">
        <f>IF($A441="","",1)</f>
        <v/>
      </c>
    </row>
    <row r="442">
      <c r="A442" s="13" t="n"/>
      <c r="B442" s="13" t="n"/>
      <c r="C442" s="13" t="n"/>
      <c r="D442" s="13" t="n"/>
      <c r="E442" s="69" t="n"/>
      <c r="F442" s="17" t="n"/>
      <c r="G442" s="13" t="n"/>
      <c r="H442" s="13" t="n"/>
      <c r="I442" s="16">
        <f>IF($A442="","",1)</f>
        <v/>
      </c>
    </row>
    <row r="443">
      <c r="A443" s="13" t="n"/>
      <c r="B443" s="13" t="n"/>
      <c r="C443" s="13" t="n"/>
      <c r="D443" s="13" t="n"/>
      <c r="E443" s="69" t="n"/>
      <c r="F443" s="17" t="n"/>
      <c r="G443" s="13" t="n"/>
      <c r="H443" s="13" t="n"/>
      <c r="I443" s="16">
        <f>IF($A443="","",1)</f>
        <v/>
      </c>
    </row>
    <row r="444">
      <c r="A444" s="13" t="n"/>
      <c r="B444" s="13" t="n"/>
      <c r="C444" s="13" t="n"/>
      <c r="D444" s="13" t="n"/>
      <c r="E444" s="69" t="n"/>
      <c r="F444" s="17" t="n"/>
      <c r="G444" s="13" t="n"/>
      <c r="H444" s="13" t="n"/>
      <c r="I444" s="16">
        <f>IF($A444="","",1)</f>
        <v/>
      </c>
    </row>
    <row r="445">
      <c r="A445" s="13" t="n"/>
      <c r="B445" s="13" t="n"/>
      <c r="C445" s="13" t="n"/>
      <c r="D445" s="13" t="n"/>
      <c r="E445" s="69" t="n"/>
      <c r="F445" s="17" t="n"/>
      <c r="G445" s="13" t="n"/>
      <c r="H445" s="13" t="n"/>
      <c r="I445" s="16">
        <f>IF($A445="","",1)</f>
        <v/>
      </c>
    </row>
    <row r="446">
      <c r="A446" s="13" t="n"/>
      <c r="B446" s="13" t="n"/>
      <c r="C446" s="13" t="n"/>
      <c r="D446" s="13" t="n"/>
      <c r="E446" s="69" t="n"/>
      <c r="F446" s="17" t="n"/>
      <c r="G446" s="13" t="n"/>
      <c r="H446" s="13" t="n"/>
      <c r="I446" s="16">
        <f>IF($A446="","",1)</f>
        <v/>
      </c>
    </row>
    <row r="447">
      <c r="A447" s="13" t="n"/>
      <c r="B447" s="13" t="n"/>
      <c r="C447" s="13" t="n"/>
      <c r="D447" s="13" t="n"/>
      <c r="E447" s="69" t="n"/>
      <c r="F447" s="17" t="n"/>
      <c r="G447" s="13" t="n"/>
      <c r="H447" s="13" t="n"/>
      <c r="I447" s="16">
        <f>IF($A447="","",1)</f>
        <v/>
      </c>
    </row>
    <row r="448">
      <c r="A448" s="13" t="n"/>
      <c r="B448" s="13" t="n"/>
      <c r="C448" s="13" t="n"/>
      <c r="D448" s="13" t="n"/>
      <c r="E448" s="69" t="n"/>
      <c r="F448" s="17" t="n"/>
      <c r="G448" s="13" t="n"/>
      <c r="H448" s="13" t="n"/>
      <c r="I448" s="16">
        <f>IF($A448="","",1)</f>
        <v/>
      </c>
    </row>
    <row r="449">
      <c r="A449" s="13" t="n"/>
      <c r="B449" s="13" t="n"/>
      <c r="C449" s="13" t="n"/>
      <c r="D449" s="13" t="n"/>
      <c r="E449" s="69" t="n"/>
      <c r="F449" s="17" t="n"/>
      <c r="G449" s="13" t="n"/>
      <c r="H449" s="13" t="n"/>
      <c r="I449" s="16">
        <f>IF($A449="","",1)</f>
        <v/>
      </c>
    </row>
    <row r="450">
      <c r="A450" s="13" t="n"/>
      <c r="B450" s="13" t="n"/>
      <c r="C450" s="13" t="n"/>
      <c r="D450" s="13" t="n"/>
      <c r="E450" s="69" t="n"/>
      <c r="F450" s="17" t="n"/>
      <c r="G450" s="13" t="n"/>
      <c r="H450" s="13" t="n"/>
      <c r="I450" s="16">
        <f>IF($A450="","",1)</f>
        <v/>
      </c>
    </row>
    <row r="451">
      <c r="A451" s="13" t="n"/>
      <c r="B451" s="13" t="n"/>
      <c r="C451" s="13" t="n"/>
      <c r="D451" s="13" t="n"/>
      <c r="E451" s="69" t="n"/>
      <c r="F451" s="17" t="n"/>
      <c r="G451" s="13" t="n"/>
      <c r="H451" s="13" t="n"/>
      <c r="I451" s="16">
        <f>IF($A451="","",1)</f>
        <v/>
      </c>
    </row>
    <row r="452">
      <c r="A452" s="13" t="n"/>
      <c r="B452" s="13" t="n"/>
      <c r="C452" s="13" t="n"/>
      <c r="D452" s="13" t="n"/>
      <c r="E452" s="69" t="n"/>
      <c r="F452" s="17" t="n"/>
      <c r="G452" s="13" t="n"/>
      <c r="H452" s="13" t="n"/>
      <c r="I452" s="16">
        <f>IF($A452="","",1)</f>
        <v/>
      </c>
    </row>
    <row r="453">
      <c r="A453" s="13" t="n"/>
      <c r="B453" s="13" t="n"/>
      <c r="C453" s="13" t="n"/>
      <c r="D453" s="13" t="n"/>
      <c r="E453" s="69" t="n"/>
      <c r="F453" s="17" t="n"/>
      <c r="G453" s="13" t="n"/>
      <c r="H453" s="13" t="n"/>
      <c r="I453" s="16">
        <f>IF($A453="","",1)</f>
        <v/>
      </c>
    </row>
    <row r="454">
      <c r="A454" s="13" t="n"/>
      <c r="B454" s="13" t="n"/>
      <c r="C454" s="13" t="n"/>
      <c r="D454" s="13" t="n"/>
      <c r="E454" s="69" t="n"/>
      <c r="F454" s="17" t="n"/>
      <c r="G454" s="13" t="n"/>
      <c r="H454" s="13" t="n"/>
      <c r="I454" s="16">
        <f>IF($A454="","",1)</f>
        <v/>
      </c>
    </row>
    <row r="455">
      <c r="A455" s="13" t="n"/>
      <c r="B455" s="13" t="n"/>
      <c r="C455" s="13" t="n"/>
      <c r="D455" s="13" t="n"/>
      <c r="E455" s="69" t="n"/>
      <c r="F455" s="17" t="n"/>
      <c r="G455" s="13" t="n"/>
      <c r="H455" s="13" t="n"/>
      <c r="I455" s="16">
        <f>IF($A455="","",1)</f>
        <v/>
      </c>
    </row>
    <row r="456">
      <c r="A456" s="13" t="n"/>
      <c r="B456" s="13" t="n"/>
      <c r="C456" s="13" t="n"/>
      <c r="D456" s="13" t="n"/>
      <c r="E456" s="69" t="n"/>
      <c r="F456" s="17" t="n"/>
      <c r="G456" s="13" t="n"/>
      <c r="H456" s="13" t="n"/>
      <c r="I456" s="16">
        <f>IF($A456="","",1)</f>
        <v/>
      </c>
    </row>
    <row r="457">
      <c r="A457" s="13" t="n"/>
      <c r="B457" s="13" t="n"/>
      <c r="C457" s="13" t="n"/>
      <c r="D457" s="13" t="n"/>
      <c r="E457" s="69" t="n"/>
      <c r="F457" s="17" t="n"/>
      <c r="G457" s="13" t="n"/>
      <c r="H457" s="13" t="n"/>
      <c r="I457" s="16">
        <f>IF($A457="","",1)</f>
        <v/>
      </c>
    </row>
    <row r="458">
      <c r="A458" s="13" t="n"/>
      <c r="B458" s="13" t="n"/>
      <c r="C458" s="13" t="n"/>
      <c r="D458" s="13" t="n"/>
      <c r="E458" s="69" t="n"/>
      <c r="F458" s="17" t="n"/>
      <c r="G458" s="13" t="n"/>
      <c r="H458" s="13" t="n"/>
      <c r="I458" s="16">
        <f>IF($A458="","",1)</f>
        <v/>
      </c>
    </row>
    <row r="459">
      <c r="A459" s="13" t="n"/>
      <c r="B459" s="13" t="n"/>
      <c r="C459" s="13" t="n"/>
      <c r="D459" s="13" t="n"/>
      <c r="E459" s="69" t="n"/>
      <c r="F459" s="17" t="n"/>
      <c r="G459" s="13" t="n"/>
      <c r="H459" s="13" t="n"/>
      <c r="I459" s="16">
        <f>IF($A459="","",1)</f>
        <v/>
      </c>
    </row>
    <row r="460">
      <c r="A460" s="13" t="n"/>
      <c r="B460" s="13" t="n"/>
      <c r="C460" s="13" t="n"/>
      <c r="D460" s="13" t="n"/>
      <c r="E460" s="69" t="n"/>
      <c r="F460" s="17" t="n"/>
      <c r="G460" s="13" t="n"/>
      <c r="H460" s="13" t="n"/>
      <c r="I460" s="16">
        <f>IF($A460="","",1)</f>
        <v/>
      </c>
    </row>
    <row r="461">
      <c r="A461" s="13" t="n"/>
      <c r="B461" s="13" t="n"/>
      <c r="C461" s="13" t="n"/>
      <c r="D461" s="13" t="n"/>
      <c r="E461" s="69" t="n"/>
      <c r="F461" s="17" t="n"/>
      <c r="G461" s="13" t="n"/>
      <c r="H461" s="13" t="n"/>
      <c r="I461" s="16">
        <f>IF($A461="","",1)</f>
        <v/>
      </c>
    </row>
    <row r="462">
      <c r="A462" s="13" t="n"/>
      <c r="B462" s="13" t="n"/>
      <c r="C462" s="13" t="n"/>
      <c r="D462" s="13" t="n"/>
      <c r="E462" s="69" t="n"/>
      <c r="F462" s="17" t="n"/>
      <c r="G462" s="13" t="n"/>
      <c r="H462" s="13" t="n"/>
      <c r="I462" s="16">
        <f>IF($A462="","",1)</f>
        <v/>
      </c>
    </row>
    <row r="463">
      <c r="A463" s="13" t="n"/>
      <c r="B463" s="13" t="n"/>
      <c r="C463" s="13" t="n"/>
      <c r="D463" s="13" t="n"/>
      <c r="E463" s="69" t="n"/>
      <c r="F463" s="17" t="n"/>
      <c r="G463" s="13" t="n"/>
      <c r="H463" s="13" t="n"/>
      <c r="I463" s="16">
        <f>IF($A463="","",1)</f>
        <v/>
      </c>
    </row>
    <row r="464">
      <c r="A464" s="13" t="n"/>
      <c r="B464" s="13" t="n"/>
      <c r="C464" s="13" t="n"/>
      <c r="D464" s="13" t="n"/>
      <c r="E464" s="69" t="n"/>
      <c r="F464" s="17" t="n"/>
      <c r="G464" s="13" t="n"/>
      <c r="H464" s="13" t="n"/>
      <c r="I464" s="16">
        <f>IF($A464="","",1)</f>
        <v/>
      </c>
    </row>
    <row r="465">
      <c r="A465" s="13" t="n"/>
      <c r="B465" s="13" t="n"/>
      <c r="C465" s="13" t="n"/>
      <c r="D465" s="13" t="n"/>
      <c r="E465" s="69" t="n"/>
      <c r="F465" s="17" t="n"/>
      <c r="G465" s="13" t="n"/>
      <c r="H465" s="13" t="n"/>
      <c r="I465" s="16">
        <f>IF($A465="","",1)</f>
        <v/>
      </c>
    </row>
    <row r="466">
      <c r="A466" s="13" t="n"/>
      <c r="B466" s="13" t="n"/>
      <c r="C466" s="13" t="n"/>
      <c r="D466" s="13" t="n"/>
      <c r="E466" s="69" t="n"/>
      <c r="F466" s="17" t="n"/>
      <c r="G466" s="13" t="n"/>
      <c r="H466" s="13" t="n"/>
      <c r="I466" s="16">
        <f>IF($A466="","",1)</f>
        <v/>
      </c>
    </row>
    <row r="467">
      <c r="A467" s="13" t="n"/>
      <c r="B467" s="13" t="n"/>
      <c r="C467" s="13" t="n"/>
      <c r="D467" s="13" t="n"/>
      <c r="E467" s="69" t="n"/>
      <c r="F467" s="17" t="n"/>
      <c r="G467" s="13" t="n"/>
      <c r="H467" s="13" t="n"/>
      <c r="I467" s="16">
        <f>IF($A467="","",1)</f>
        <v/>
      </c>
    </row>
    <row r="468">
      <c r="A468" s="13" t="n"/>
      <c r="B468" s="13" t="n"/>
      <c r="C468" s="13" t="n"/>
      <c r="D468" s="13" t="n"/>
      <c r="E468" s="69" t="n"/>
      <c r="F468" s="17" t="n"/>
      <c r="G468" s="13" t="n"/>
      <c r="H468" s="13" t="n"/>
      <c r="I468" s="16">
        <f>IF($A468="","",1)</f>
        <v/>
      </c>
    </row>
    <row r="469">
      <c r="A469" s="13" t="n"/>
      <c r="B469" s="13" t="n"/>
      <c r="C469" s="13" t="n"/>
      <c r="D469" s="13" t="n"/>
      <c r="E469" s="69" t="n"/>
      <c r="F469" s="17" t="n"/>
      <c r="G469" s="13" t="n"/>
      <c r="H469" s="13" t="n"/>
      <c r="I469" s="16">
        <f>IF($A469="","",1)</f>
        <v/>
      </c>
    </row>
    <row r="470">
      <c r="A470" s="13" t="n"/>
      <c r="B470" s="13" t="n"/>
      <c r="C470" s="13" t="n"/>
      <c r="D470" s="13" t="n"/>
      <c r="E470" s="69" t="n"/>
      <c r="F470" s="17" t="n"/>
      <c r="G470" s="13" t="n"/>
      <c r="H470" s="13" t="n"/>
      <c r="I470" s="16">
        <f>IF($A470="","",1)</f>
        <v/>
      </c>
    </row>
    <row r="471">
      <c r="A471" s="13" t="n"/>
      <c r="B471" s="13" t="n"/>
      <c r="C471" s="13" t="n"/>
      <c r="D471" s="13" t="n"/>
      <c r="E471" s="69" t="n"/>
      <c r="F471" s="17" t="n"/>
      <c r="G471" s="13" t="n"/>
      <c r="H471" s="13" t="n"/>
      <c r="I471" s="16">
        <f>IF($A471="","",1)</f>
        <v/>
      </c>
    </row>
    <row r="472">
      <c r="A472" s="13" t="n"/>
      <c r="B472" s="13" t="n"/>
      <c r="C472" s="13" t="n"/>
      <c r="D472" s="13" t="n"/>
      <c r="E472" s="69" t="n"/>
      <c r="F472" s="17" t="n"/>
      <c r="G472" s="13" t="n"/>
      <c r="H472" s="13" t="n"/>
      <c r="I472" s="16">
        <f>IF($A472="","",1)</f>
        <v/>
      </c>
    </row>
    <row r="473">
      <c r="A473" s="13" t="n"/>
      <c r="B473" s="13" t="n"/>
      <c r="C473" s="13" t="n"/>
      <c r="D473" s="13" t="n"/>
      <c r="E473" s="69" t="n"/>
      <c r="F473" s="17" t="n"/>
      <c r="G473" s="13" t="n"/>
      <c r="H473" s="13" t="n"/>
      <c r="I473" s="16">
        <f>IF($A473="","",1)</f>
        <v/>
      </c>
    </row>
    <row r="474">
      <c r="A474" s="13" t="n"/>
      <c r="B474" s="13" t="n"/>
      <c r="C474" s="13" t="n"/>
      <c r="D474" s="13" t="n"/>
      <c r="E474" s="69" t="n"/>
      <c r="F474" s="17" t="n"/>
      <c r="G474" s="13" t="n"/>
      <c r="H474" s="13" t="n"/>
      <c r="I474" s="16">
        <f>IF($A474="","",1)</f>
        <v/>
      </c>
    </row>
    <row r="475">
      <c r="A475" s="13" t="n"/>
      <c r="B475" s="13" t="n"/>
      <c r="C475" s="13" t="n"/>
      <c r="D475" s="13" t="n"/>
      <c r="E475" s="69" t="n"/>
      <c r="F475" s="17" t="n"/>
      <c r="G475" s="13" t="n"/>
      <c r="H475" s="13" t="n"/>
      <c r="I475" s="16">
        <f>IF($A475="","",1)</f>
        <v/>
      </c>
    </row>
    <row r="476">
      <c r="A476" s="13" t="n"/>
      <c r="B476" s="13" t="n"/>
      <c r="C476" s="13" t="n"/>
      <c r="D476" s="13" t="n"/>
      <c r="E476" s="69" t="n"/>
      <c r="F476" s="17" t="n"/>
      <c r="G476" s="13" t="n"/>
      <c r="H476" s="13" t="n"/>
      <c r="I476" s="16">
        <f>IF($A476="","",1)</f>
        <v/>
      </c>
    </row>
    <row r="477">
      <c r="A477" s="13" t="n"/>
      <c r="B477" s="13" t="n"/>
      <c r="C477" s="13" t="n"/>
      <c r="D477" s="13" t="n"/>
      <c r="E477" s="69" t="n"/>
      <c r="F477" s="17" t="n"/>
      <c r="G477" s="13" t="n"/>
      <c r="H477" s="13" t="n"/>
      <c r="I477" s="16">
        <f>IF($A477="","",1)</f>
        <v/>
      </c>
    </row>
    <row r="478">
      <c r="A478" s="13" t="n"/>
      <c r="B478" s="13" t="n"/>
      <c r="C478" s="13" t="n"/>
      <c r="D478" s="13" t="n"/>
      <c r="E478" s="69" t="n"/>
      <c r="F478" s="17" t="n"/>
      <c r="G478" s="13" t="n"/>
      <c r="H478" s="13" t="n"/>
      <c r="I478" s="16">
        <f>IF($A478="","",1)</f>
        <v/>
      </c>
    </row>
    <row r="479">
      <c r="A479" s="13" t="n"/>
      <c r="B479" s="13" t="n"/>
      <c r="C479" s="13" t="n"/>
      <c r="D479" s="13" t="n"/>
      <c r="E479" s="69" t="n"/>
      <c r="F479" s="17" t="n"/>
      <c r="G479" s="13" t="n"/>
      <c r="H479" s="13" t="n"/>
      <c r="I479" s="16">
        <f>IF($A479="","",1)</f>
        <v/>
      </c>
    </row>
    <row r="480">
      <c r="A480" s="13" t="n"/>
      <c r="B480" s="13" t="n"/>
      <c r="C480" s="13" t="n"/>
      <c r="D480" s="13" t="n"/>
      <c r="E480" s="69" t="n"/>
      <c r="F480" s="17" t="n"/>
      <c r="G480" s="13" t="n"/>
      <c r="H480" s="13" t="n"/>
      <c r="I480" s="16">
        <f>IF($A480="","",1)</f>
        <v/>
      </c>
    </row>
    <row r="481">
      <c r="A481" s="13" t="n"/>
      <c r="B481" s="13" t="n"/>
      <c r="C481" s="13" t="n"/>
      <c r="D481" s="13" t="n"/>
      <c r="E481" s="69" t="n"/>
      <c r="F481" s="17" t="n"/>
      <c r="G481" s="13" t="n"/>
      <c r="H481" s="13" t="n"/>
      <c r="I481" s="16">
        <f>IF($A481="","",1)</f>
        <v/>
      </c>
    </row>
    <row r="482">
      <c r="A482" s="13" t="n"/>
      <c r="B482" s="13" t="n"/>
      <c r="C482" s="13" t="n"/>
      <c r="D482" s="13" t="n"/>
      <c r="E482" s="69" t="n"/>
      <c r="F482" s="17" t="n"/>
      <c r="G482" s="13" t="n"/>
      <c r="H482" s="13" t="n"/>
      <c r="I482" s="16">
        <f>IF($A482="","",1)</f>
        <v/>
      </c>
    </row>
    <row r="483">
      <c r="A483" s="13" t="n"/>
      <c r="B483" s="13" t="n"/>
      <c r="C483" s="13" t="n"/>
      <c r="D483" s="13" t="n"/>
      <c r="E483" s="69" t="n"/>
      <c r="F483" s="17" t="n"/>
      <c r="G483" s="13" t="n"/>
      <c r="H483" s="13" t="n"/>
      <c r="I483" s="16">
        <f>IF($A483="","",1)</f>
        <v/>
      </c>
    </row>
    <row r="484">
      <c r="A484" s="13" t="n"/>
      <c r="B484" s="13" t="n"/>
      <c r="C484" s="13" t="n"/>
      <c r="D484" s="13" t="n"/>
      <c r="E484" s="69" t="n"/>
      <c r="F484" s="17" t="n"/>
      <c r="G484" s="13" t="n"/>
      <c r="H484" s="13" t="n"/>
      <c r="I484" s="16">
        <f>IF($A484="","",1)</f>
        <v/>
      </c>
    </row>
    <row r="485">
      <c r="A485" s="13" t="n"/>
      <c r="B485" s="13" t="n"/>
      <c r="C485" s="13" t="n"/>
      <c r="D485" s="13" t="n"/>
      <c r="E485" s="69" t="n"/>
      <c r="F485" s="17" t="n"/>
      <c r="G485" s="13" t="n"/>
      <c r="H485" s="13" t="n"/>
      <c r="I485" s="16">
        <f>IF($A485="","",1)</f>
        <v/>
      </c>
    </row>
    <row r="486">
      <c r="A486" s="13" t="n"/>
      <c r="B486" s="13" t="n"/>
      <c r="C486" s="13" t="n"/>
      <c r="D486" s="13" t="n"/>
      <c r="E486" s="69" t="n"/>
      <c r="F486" s="17" t="n"/>
      <c r="G486" s="13" t="n"/>
      <c r="H486" s="13" t="n"/>
      <c r="I486" s="16">
        <f>IF($A486="","",1)</f>
        <v/>
      </c>
    </row>
    <row r="487">
      <c r="A487" s="13" t="n"/>
      <c r="B487" s="13" t="n"/>
      <c r="C487" s="13" t="n"/>
      <c r="D487" s="13" t="n"/>
      <c r="E487" s="69" t="n"/>
      <c r="F487" s="17" t="n"/>
      <c r="G487" s="13" t="n"/>
      <c r="H487" s="13" t="n"/>
      <c r="I487" s="16">
        <f>IF($A487="","",1)</f>
        <v/>
      </c>
    </row>
    <row r="488">
      <c r="A488" s="13" t="n"/>
      <c r="B488" s="13" t="n"/>
      <c r="C488" s="13" t="n"/>
      <c r="D488" s="13" t="n"/>
      <c r="E488" s="69" t="n"/>
      <c r="F488" s="17" t="n"/>
      <c r="G488" s="13" t="n"/>
      <c r="H488" s="13" t="n"/>
      <c r="I488" s="16">
        <f>IF($A488="","",1)</f>
        <v/>
      </c>
    </row>
    <row r="489">
      <c r="A489" s="13" t="n"/>
      <c r="B489" s="13" t="n"/>
      <c r="C489" s="13" t="n"/>
      <c r="D489" s="13" t="n"/>
      <c r="E489" s="69" t="n"/>
      <c r="F489" s="17" t="n"/>
      <c r="G489" s="13" t="n"/>
      <c r="H489" s="13" t="n"/>
      <c r="I489" s="16">
        <f>IF($A489="","",1)</f>
        <v/>
      </c>
    </row>
    <row r="490">
      <c r="A490" s="13" t="n"/>
      <c r="B490" s="13" t="n"/>
      <c r="C490" s="13" t="n"/>
      <c r="D490" s="13" t="n"/>
      <c r="E490" s="69" t="n"/>
      <c r="F490" s="17" t="n"/>
      <c r="G490" s="13" t="n"/>
      <c r="H490" s="13" t="n"/>
      <c r="I490" s="16">
        <f>IF($A490="","",1)</f>
        <v/>
      </c>
    </row>
    <row r="491">
      <c r="A491" s="13" t="n"/>
      <c r="B491" s="13" t="n"/>
      <c r="C491" s="13" t="n"/>
      <c r="D491" s="13" t="n"/>
      <c r="E491" s="69" t="n"/>
      <c r="F491" s="17" t="n"/>
      <c r="G491" s="13" t="n"/>
      <c r="H491" s="13" t="n"/>
      <c r="I491" s="16">
        <f>IF($A491="","",1)</f>
        <v/>
      </c>
    </row>
    <row r="492">
      <c r="A492" s="13" t="n"/>
      <c r="B492" s="13" t="n"/>
      <c r="C492" s="13" t="n"/>
      <c r="D492" s="13" t="n"/>
      <c r="E492" s="69" t="n"/>
      <c r="F492" s="17" t="n"/>
      <c r="G492" s="13" t="n"/>
      <c r="H492" s="13" t="n"/>
      <c r="I492" s="16">
        <f>IF($A492="","",1)</f>
        <v/>
      </c>
    </row>
    <row r="493">
      <c r="A493" s="13" t="n"/>
      <c r="B493" s="13" t="n"/>
      <c r="C493" s="13" t="n"/>
      <c r="D493" s="13" t="n"/>
      <c r="E493" s="69" t="n"/>
      <c r="F493" s="17" t="n"/>
      <c r="G493" s="13" t="n"/>
      <c r="H493" s="13" t="n"/>
      <c r="I493" s="16">
        <f>IF($A493="","",1)</f>
        <v/>
      </c>
    </row>
    <row r="494">
      <c r="A494" s="13" t="n"/>
      <c r="B494" s="13" t="n"/>
      <c r="C494" s="13" t="n"/>
      <c r="D494" s="13" t="n"/>
      <c r="E494" s="69" t="n"/>
      <c r="F494" s="17" t="n"/>
      <c r="G494" s="13" t="n"/>
      <c r="H494" s="13" t="n"/>
      <c r="I494" s="16">
        <f>IF($A494="","",1)</f>
        <v/>
      </c>
    </row>
    <row r="495">
      <c r="A495" s="13" t="n"/>
      <c r="B495" s="13" t="n"/>
      <c r="C495" s="13" t="n"/>
      <c r="D495" s="13" t="n"/>
      <c r="E495" s="69" t="n"/>
      <c r="F495" s="17" t="n"/>
      <c r="G495" s="13" t="n"/>
      <c r="H495" s="13" t="n"/>
      <c r="I495" s="16">
        <f>IF($A495="","",1)</f>
        <v/>
      </c>
    </row>
    <row r="496">
      <c r="A496" s="13" t="n"/>
      <c r="B496" s="13" t="n"/>
      <c r="C496" s="13" t="n"/>
      <c r="D496" s="13" t="n"/>
      <c r="E496" s="69" t="n"/>
      <c r="F496" s="17" t="n"/>
      <c r="G496" s="13" t="n"/>
      <c r="H496" s="13" t="n"/>
      <c r="I496" s="16">
        <f>IF($A496="","",1)</f>
        <v/>
      </c>
    </row>
    <row r="497">
      <c r="A497" s="13" t="n"/>
      <c r="B497" s="13" t="n"/>
      <c r="C497" s="13" t="n"/>
      <c r="D497" s="13" t="n"/>
      <c r="E497" s="69" t="n"/>
      <c r="F497" s="17" t="n"/>
      <c r="G497" s="13" t="n"/>
      <c r="H497" s="13" t="n"/>
      <c r="I497" s="16">
        <f>IF($A497="","",1)</f>
        <v/>
      </c>
    </row>
    <row r="498">
      <c r="A498" s="13" t="n"/>
      <c r="B498" s="13" t="n"/>
      <c r="C498" s="13" t="n"/>
      <c r="D498" s="13" t="n"/>
      <c r="E498" s="69" t="n"/>
      <c r="F498" s="17" t="n"/>
      <c r="G498" s="13" t="n"/>
      <c r="H498" s="13" t="n"/>
      <c r="I498" s="16">
        <f>IF($A498="","",1)</f>
        <v/>
      </c>
    </row>
    <row r="499">
      <c r="A499" s="13" t="n"/>
      <c r="B499" s="13" t="n"/>
      <c r="C499" s="13" t="n"/>
      <c r="D499" s="13" t="n"/>
      <c r="E499" s="69" t="n"/>
      <c r="F499" s="17" t="n"/>
      <c r="G499" s="13" t="n"/>
      <c r="H499" s="13" t="n"/>
      <c r="I499" s="16">
        <f>IF($A499="","",1)</f>
        <v/>
      </c>
    </row>
    <row r="500">
      <c r="A500" s="13" t="n"/>
      <c r="B500" s="13" t="n"/>
      <c r="C500" s="13" t="n"/>
      <c r="D500" s="13" t="n"/>
      <c r="E500" s="69" t="n"/>
      <c r="F500" s="17" t="n"/>
      <c r="G500" s="13" t="n"/>
      <c r="H500" s="13" t="n"/>
      <c r="I500" s="16">
        <f>IF($A500="","",1)</f>
        <v/>
      </c>
    </row>
    <row r="501">
      <c r="A501" s="13" t="n"/>
      <c r="B501" s="13" t="n"/>
      <c r="C501" s="13" t="n"/>
      <c r="D501" s="13" t="n"/>
      <c r="E501" s="69" t="n"/>
      <c r="F501" s="17" t="n"/>
      <c r="G501" s="13" t="n"/>
      <c r="H501" s="13" t="n"/>
      <c r="I501" s="16">
        <f>IF($A501="","",1)</f>
        <v/>
      </c>
    </row>
    <row r="502">
      <c r="A502" s="13" t="n"/>
      <c r="B502" s="13" t="n"/>
      <c r="C502" s="13" t="n"/>
      <c r="D502" s="13" t="n"/>
      <c r="E502" s="69" t="n"/>
      <c r="F502" s="17" t="n"/>
      <c r="G502" s="13" t="n"/>
      <c r="H502" s="13" t="n"/>
      <c r="I502" s="16">
        <f>IF($A502="","",1)</f>
        <v/>
      </c>
    </row>
    <row r="503">
      <c r="A503" s="13" t="n"/>
      <c r="B503" s="13" t="n"/>
      <c r="C503" s="13" t="n"/>
      <c r="D503" s="13" t="n"/>
      <c r="E503" s="69" t="n"/>
      <c r="F503" s="17" t="n"/>
      <c r="G503" s="13" t="n"/>
      <c r="H503" s="13" t="n"/>
      <c r="I503" s="16">
        <f>IF($A503="","",1)</f>
        <v/>
      </c>
    </row>
    <row r="504">
      <c r="A504" s="13" t="n"/>
      <c r="B504" s="13" t="n"/>
      <c r="C504" s="13" t="n"/>
      <c r="D504" s="13" t="n"/>
      <c r="E504" s="69" t="n"/>
      <c r="F504" s="17" t="n"/>
      <c r="G504" s="13" t="n"/>
      <c r="H504" s="13" t="n"/>
      <c r="I504" s="16">
        <f>IF($A504="","",1)</f>
        <v/>
      </c>
    </row>
    <row r="505">
      <c r="A505" s="13" t="n"/>
      <c r="B505" s="13" t="n"/>
      <c r="C505" s="13" t="n"/>
      <c r="D505" s="13" t="n"/>
      <c r="E505" s="69" t="n"/>
      <c r="F505" s="17" t="n"/>
      <c r="G505" s="13" t="n"/>
      <c r="H505" s="13" t="n"/>
      <c r="I505" s="16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505">
    <cfRule type="cellIs" priority="1" operator="lessThan" dxfId="0">
      <formula>0</formula>
    </cfRule>
    <cfRule type="cellIs" priority="2" operator="greaterThan" dxfId="1">
      <formula>100000</formula>
    </cfRule>
  </conditionalFormatting>
  <dataValidations count="5">
    <dataValidation sqref="A6:A505" showDropDown="0" showInputMessage="1" showErrorMessage="1" allowBlank="1" errorTitle="VKN" error="Boş olamaz" promptTitle="VKN" prompt="VKN girin" type="textLength" errorStyle="stop" operator="greaterThan">
      <formula1>1</formula1>
      <formula2>20</formula2>
    </dataValidation>
    <dataValidation sqref="D6:D505" showDropDown="0" showInputMessage="1" showErrorMessage="1" allowBlank="1" errorTitle="Liste" error="Listeden seçin" promptTitle="Form Tipi" prompt="Ba veya Bs" type="list" errorStyle="stop">
      <formula1>ListeFormTipleri</formula1>
    </dataValidation>
    <dataValidation sqref="E6:E505" showDropDown="0" showInputMessage="1" showErrorMessage="1" allowBlank="1" errorTitle="Tutar" error="0 veya üzeri" promptTitle="Beyan Tutarı" prompt="Tutar ≥ 0" type="decimal" errorStyle="stop" operator="greaterThanOrEqual">
      <formula1>0</formula1>
    </dataValidation>
    <dataValidation sqref="F6:F505" showDropDown="0" showInputMessage="1" showErrorMessage="1" allowBlank="1" errorTitle="Adet" error="0 veya üzeri" promptTitle="Belge Adet" prompt="Adet ≥ 0" type="decimal" errorStyle="stop" operator="greaterThanOrEqual">
      <formula1>0</formula1>
    </dataValidation>
    <dataValidation sqref="H6:H505" showDropDown="0" showInputMessage="1" showErrorMessage="1" allowBlank="1" errorTitle="Liste" error="Listeden seçi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ANAHTAR — Cari ve Ba-Bs Toplu Mutabakat Motoru</t>
        </is>
      </c>
    </row>
    <row r="3" ht="20" customHeight="1">
      <c r="A3" s="10" t="inlineStr">
        <is>
          <t>VKN normalize + uzunluk + ikincil + duplike (Ç7 / E01 / E05)</t>
        </is>
      </c>
    </row>
    <row r="4">
      <c r="A4" s="18" t="inlineStr">
        <is>
          <t>A Tarafı (Cari)</t>
        </is>
      </c>
      <c r="I4" s="18" t="inlineStr">
        <is>
          <t>B Tarafı (Ba-Bs)</t>
        </is>
      </c>
    </row>
    <row r="5" ht="30" customHeight="1">
      <c r="A5" s="12" t="inlineStr">
        <is>
          <t>Ham</t>
        </is>
      </c>
      <c r="B5" s="12" t="inlineStr">
        <is>
          <t>Norm</t>
        </is>
      </c>
      <c r="C5" s="12" t="inlineStr">
        <is>
          <t>NormUzunluk</t>
        </is>
      </c>
      <c r="D5" s="12" t="inlineStr">
        <is>
          <t>IkincilAnahtar</t>
        </is>
      </c>
      <c r="E5" s="12" t="inlineStr">
        <is>
          <t>KaynakTaraf</t>
        </is>
      </c>
      <c r="F5" s="12" t="inlineStr">
        <is>
          <t>Duplike</t>
        </is>
      </c>
      <c r="G5" s="12" t="inlineStr">
        <is>
          <t>SatirNo</t>
        </is>
      </c>
      <c r="I5" s="12" t="inlineStr">
        <is>
          <t>HamB</t>
        </is>
      </c>
      <c r="J5" s="12" t="inlineStr">
        <is>
          <t>NormB</t>
        </is>
      </c>
      <c r="K5" s="12" t="inlineStr">
        <is>
          <t>NormUzunlukB</t>
        </is>
      </c>
      <c r="L5" s="12" t="inlineStr">
        <is>
          <t>IkincilB</t>
        </is>
      </c>
      <c r="M5" s="12" t="inlineStr">
        <is>
          <t>KaynakB</t>
        </is>
      </c>
      <c r="N5" s="12" t="inlineStr">
        <is>
          <t>DuplikeB</t>
        </is>
      </c>
      <c r="O5" s="12" t="inlineStr">
        <is>
          <t>SatirNoB</t>
        </is>
      </c>
    </row>
    <row r="6">
      <c r="A6" s="7">
        <f>IF(VERI_A!A6="","",VERI_A!A6)</f>
        <v/>
      </c>
      <c r="B6" s="16">
        <f>UPPER(TRIM(SUBSTITUTE($A6," ","")))</f>
        <v/>
      </c>
      <c r="C6" s="16">
        <f>IF($B6="",0,LEN($B6))</f>
        <v/>
      </c>
      <c r="D6" s="16">
        <f>IF($B6="","",LEFT($B6,cbb_ikincilUzunluk))</f>
        <v/>
      </c>
      <c r="E6" s="16">
        <f>"A"</f>
        <v/>
      </c>
      <c r="F6" s="16">
        <f>IF($B6="","",IF(COUNTIF(tblAnahtarA[Norm],$B6)&gt;1,"EVET","HAYIR"))</f>
        <v/>
      </c>
      <c r="G6" s="16">
        <f>IF($A6="","",ROW()-ROW($A$5))</f>
        <v/>
      </c>
      <c r="I6" s="7">
        <f>IF(VERI_B!A6="","",VERI_B!A6)</f>
        <v/>
      </c>
      <c r="J6" s="16">
        <f>UPPER(TRIM(SUBSTITUTE($I6," ","")))</f>
        <v/>
      </c>
      <c r="K6" s="16">
        <f>IF($J6="",0,LEN($J6))</f>
        <v/>
      </c>
      <c r="L6" s="16">
        <f>IF($J6="","",LEFT($J6,cbb_ikincilUzunluk))</f>
        <v/>
      </c>
      <c r="M6" s="16">
        <f>"B"</f>
        <v/>
      </c>
      <c r="N6" s="16">
        <f>IF($J6="","",IF(COUNTIF(tblAnahtarB[NormB],$J6)&gt;1,"EVET","HAYIR"))</f>
        <v/>
      </c>
      <c r="O6" s="16">
        <f>IF($I6="","",ROW()-ROW($I$5))</f>
        <v/>
      </c>
    </row>
    <row r="7">
      <c r="A7" s="7">
        <f>IF(VERI_A!A7="","",VERI_A!A7)</f>
        <v/>
      </c>
      <c r="B7" s="16">
        <f>UPPER(TRIM(SUBSTITUTE($A7," ","")))</f>
        <v/>
      </c>
      <c r="C7" s="16">
        <f>IF($B7="",0,LEN($B7))</f>
        <v/>
      </c>
      <c r="D7" s="16">
        <f>IF($B7="","",LEFT($B7,cbb_ikincilUzunluk))</f>
        <v/>
      </c>
      <c r="E7" s="16">
        <f>"A"</f>
        <v/>
      </c>
      <c r="F7" s="16">
        <f>IF($B7="","",IF(COUNTIF(tblAnahtarA[Norm],$B7)&gt;1,"EVET","HAYIR"))</f>
        <v/>
      </c>
      <c r="G7" s="16">
        <f>IF($A7="","",ROW()-ROW($A$5))</f>
        <v/>
      </c>
      <c r="I7" s="7">
        <f>IF(VERI_B!A7="","",VERI_B!A7)</f>
        <v/>
      </c>
      <c r="J7" s="16">
        <f>UPPER(TRIM(SUBSTITUTE($I7," ","")))</f>
        <v/>
      </c>
      <c r="K7" s="16">
        <f>IF($J7="",0,LEN($J7))</f>
        <v/>
      </c>
      <c r="L7" s="16">
        <f>IF($J7="","",LEFT($J7,cbb_ikincilUzunluk))</f>
        <v/>
      </c>
      <c r="M7" s="16">
        <f>"B"</f>
        <v/>
      </c>
      <c r="N7" s="16">
        <f>IF($J7="","",IF(COUNTIF(tblAnahtarB[NormB],$J7)&gt;1,"EVET","HAYIR"))</f>
        <v/>
      </c>
      <c r="O7" s="16">
        <f>IF($I7="","",ROW()-ROW($I$5))</f>
        <v/>
      </c>
    </row>
    <row r="8">
      <c r="A8" s="7">
        <f>IF(VERI_A!A8="","",VERI_A!A8)</f>
        <v/>
      </c>
      <c r="B8" s="16">
        <f>UPPER(TRIM(SUBSTITUTE($A8," ","")))</f>
        <v/>
      </c>
      <c r="C8" s="16">
        <f>IF($B8="",0,LEN($B8))</f>
        <v/>
      </c>
      <c r="D8" s="16">
        <f>IF($B8="","",LEFT($B8,cbb_ikincilUzunluk))</f>
        <v/>
      </c>
      <c r="E8" s="16">
        <f>"A"</f>
        <v/>
      </c>
      <c r="F8" s="16">
        <f>IF($B8="","",IF(COUNTIF(tblAnahtarA[Norm],$B8)&gt;1,"EVET","HAYIR"))</f>
        <v/>
      </c>
      <c r="G8" s="16">
        <f>IF($A8="","",ROW()-ROW($A$5))</f>
        <v/>
      </c>
      <c r="I8" s="7">
        <f>IF(VERI_B!A8="","",VERI_B!A8)</f>
        <v/>
      </c>
      <c r="J8" s="16">
        <f>UPPER(TRIM(SUBSTITUTE($I8," ","")))</f>
        <v/>
      </c>
      <c r="K8" s="16">
        <f>IF($J8="",0,LEN($J8))</f>
        <v/>
      </c>
      <c r="L8" s="16">
        <f>IF($J8="","",LEFT($J8,cbb_ikincilUzunluk))</f>
        <v/>
      </c>
      <c r="M8" s="16">
        <f>"B"</f>
        <v/>
      </c>
      <c r="N8" s="16">
        <f>IF($J8="","",IF(COUNTIF(tblAnahtarB[NormB],$J8)&gt;1,"EVET","HAYIR"))</f>
        <v/>
      </c>
      <c r="O8" s="16">
        <f>IF($I8="","",ROW()-ROW($I$5))</f>
        <v/>
      </c>
    </row>
    <row r="9">
      <c r="A9" s="7">
        <f>IF(VERI_A!A9="","",VERI_A!A9)</f>
        <v/>
      </c>
      <c r="B9" s="16">
        <f>UPPER(TRIM(SUBSTITUTE($A9," ","")))</f>
        <v/>
      </c>
      <c r="C9" s="16">
        <f>IF($B9="",0,LEN($B9))</f>
        <v/>
      </c>
      <c r="D9" s="16">
        <f>IF($B9="","",LEFT($B9,cbb_ikincilUzunluk))</f>
        <v/>
      </c>
      <c r="E9" s="16">
        <f>"A"</f>
        <v/>
      </c>
      <c r="F9" s="16">
        <f>IF($B9="","",IF(COUNTIF(tblAnahtarA[Norm],$B9)&gt;1,"EVET","HAYIR"))</f>
        <v/>
      </c>
      <c r="G9" s="16">
        <f>IF($A9="","",ROW()-ROW($A$5))</f>
        <v/>
      </c>
      <c r="I9" s="7">
        <f>IF(VERI_B!A9="","",VERI_B!A9)</f>
        <v/>
      </c>
      <c r="J9" s="16">
        <f>UPPER(TRIM(SUBSTITUTE($I9," ","")))</f>
        <v/>
      </c>
      <c r="K9" s="16">
        <f>IF($J9="",0,LEN($J9))</f>
        <v/>
      </c>
      <c r="L9" s="16">
        <f>IF($J9="","",LEFT($J9,cbb_ikincilUzunluk))</f>
        <v/>
      </c>
      <c r="M9" s="16">
        <f>"B"</f>
        <v/>
      </c>
      <c r="N9" s="16">
        <f>IF($J9="","",IF(COUNTIF(tblAnahtarB[NormB],$J9)&gt;1,"EVET","HAYIR"))</f>
        <v/>
      </c>
      <c r="O9" s="16">
        <f>IF($I9="","",ROW()-ROW($I$5))</f>
        <v/>
      </c>
    </row>
    <row r="10">
      <c r="A10" s="7">
        <f>IF(VERI_A!A10="","",VERI_A!A10)</f>
        <v/>
      </c>
      <c r="B10" s="16">
        <f>UPPER(TRIM(SUBSTITUTE($A10," ","")))</f>
        <v/>
      </c>
      <c r="C10" s="16">
        <f>IF($B10="",0,LEN($B10))</f>
        <v/>
      </c>
      <c r="D10" s="16">
        <f>IF($B10="","",LEFT($B10,cbb_ikincilUzunluk))</f>
        <v/>
      </c>
      <c r="E10" s="16">
        <f>"A"</f>
        <v/>
      </c>
      <c r="F10" s="16">
        <f>IF($B10="","",IF(COUNTIF(tblAnahtarA[Norm],$B10)&gt;1,"EVET","HAYIR"))</f>
        <v/>
      </c>
      <c r="G10" s="16">
        <f>IF($A10="","",ROW()-ROW($A$5))</f>
        <v/>
      </c>
      <c r="I10" s="7">
        <f>IF(VERI_B!A10="","",VERI_B!A10)</f>
        <v/>
      </c>
      <c r="J10" s="16">
        <f>UPPER(TRIM(SUBSTITUTE($I10," ","")))</f>
        <v/>
      </c>
      <c r="K10" s="16">
        <f>IF($J10="",0,LEN($J10))</f>
        <v/>
      </c>
      <c r="L10" s="16">
        <f>IF($J10="","",LEFT($J10,cbb_ikincilUzunluk))</f>
        <v/>
      </c>
      <c r="M10" s="16">
        <f>"B"</f>
        <v/>
      </c>
      <c r="N10" s="16">
        <f>IF($J10="","",IF(COUNTIF(tblAnahtarB[NormB],$J10)&gt;1,"EVET","HAYIR"))</f>
        <v/>
      </c>
      <c r="O10" s="16">
        <f>IF($I10="","",ROW()-ROW($I$5))</f>
        <v/>
      </c>
    </row>
    <row r="11">
      <c r="A11" s="7">
        <f>IF(VERI_A!A11="","",VERI_A!A11)</f>
        <v/>
      </c>
      <c r="B11" s="16">
        <f>UPPER(TRIM(SUBSTITUTE($A11," ","")))</f>
        <v/>
      </c>
      <c r="C11" s="16">
        <f>IF($B11="",0,LEN($B11))</f>
        <v/>
      </c>
      <c r="D11" s="16">
        <f>IF($B11="","",LEFT($B11,cbb_ikincilUzunluk))</f>
        <v/>
      </c>
      <c r="E11" s="16">
        <f>"A"</f>
        <v/>
      </c>
      <c r="F11" s="16">
        <f>IF($B11="","",IF(COUNTIF(tblAnahtarA[Norm],$B11)&gt;1,"EVET","HAYIR"))</f>
        <v/>
      </c>
      <c r="G11" s="16">
        <f>IF($A11="","",ROW()-ROW($A$5))</f>
        <v/>
      </c>
      <c r="I11" s="7">
        <f>IF(VERI_B!A11="","",VERI_B!A11)</f>
        <v/>
      </c>
      <c r="J11" s="16">
        <f>UPPER(TRIM(SUBSTITUTE($I11," ","")))</f>
        <v/>
      </c>
      <c r="K11" s="16">
        <f>IF($J11="",0,LEN($J11))</f>
        <v/>
      </c>
      <c r="L11" s="16">
        <f>IF($J11="","",LEFT($J11,cbb_ikincilUzunluk))</f>
        <v/>
      </c>
      <c r="M11" s="16">
        <f>"B"</f>
        <v/>
      </c>
      <c r="N11" s="16">
        <f>IF($J11="","",IF(COUNTIF(tblAnahtarB[NormB],$J11)&gt;1,"EVET","HAYIR"))</f>
        <v/>
      </c>
      <c r="O11" s="16">
        <f>IF($I11="","",ROW()-ROW($I$5))</f>
        <v/>
      </c>
    </row>
    <row r="12">
      <c r="A12" s="7">
        <f>IF(VERI_A!A12="","",VERI_A!A12)</f>
        <v/>
      </c>
      <c r="B12" s="16">
        <f>UPPER(TRIM(SUBSTITUTE($A12," ","")))</f>
        <v/>
      </c>
      <c r="C12" s="16">
        <f>IF($B12="",0,LEN($B12))</f>
        <v/>
      </c>
      <c r="D12" s="16">
        <f>IF($B12="","",LEFT($B12,cbb_ikincilUzunluk))</f>
        <v/>
      </c>
      <c r="E12" s="16">
        <f>"A"</f>
        <v/>
      </c>
      <c r="F12" s="16">
        <f>IF($B12="","",IF(COUNTIF(tblAnahtarA[Norm],$B12)&gt;1,"EVET","HAYIR"))</f>
        <v/>
      </c>
      <c r="G12" s="16">
        <f>IF($A12="","",ROW()-ROW($A$5))</f>
        <v/>
      </c>
      <c r="I12" s="7">
        <f>IF(VERI_B!A12="","",VERI_B!A12)</f>
        <v/>
      </c>
      <c r="J12" s="16">
        <f>UPPER(TRIM(SUBSTITUTE($I12," ","")))</f>
        <v/>
      </c>
      <c r="K12" s="16">
        <f>IF($J12="",0,LEN($J12))</f>
        <v/>
      </c>
      <c r="L12" s="16">
        <f>IF($J12="","",LEFT($J12,cbb_ikincilUzunluk))</f>
        <v/>
      </c>
      <c r="M12" s="16">
        <f>"B"</f>
        <v/>
      </c>
      <c r="N12" s="16">
        <f>IF($J12="","",IF(COUNTIF(tblAnahtarB[NormB],$J12)&gt;1,"EVET","HAYIR"))</f>
        <v/>
      </c>
      <c r="O12" s="16">
        <f>IF($I12="","",ROW()-ROW($I$5))</f>
        <v/>
      </c>
    </row>
    <row r="13">
      <c r="A13" s="7">
        <f>IF(VERI_A!A13="","",VERI_A!A13)</f>
        <v/>
      </c>
      <c r="B13" s="16">
        <f>UPPER(TRIM(SUBSTITUTE($A13," ","")))</f>
        <v/>
      </c>
      <c r="C13" s="16">
        <f>IF($B13="",0,LEN($B13))</f>
        <v/>
      </c>
      <c r="D13" s="16">
        <f>IF($B13="","",LEFT($B13,cbb_ikincilUzunluk))</f>
        <v/>
      </c>
      <c r="E13" s="16">
        <f>"A"</f>
        <v/>
      </c>
      <c r="F13" s="16">
        <f>IF($B13="","",IF(COUNTIF(tblAnahtarA[Norm],$B13)&gt;1,"EVET","HAYIR"))</f>
        <v/>
      </c>
      <c r="G13" s="16">
        <f>IF($A13="","",ROW()-ROW($A$5))</f>
        <v/>
      </c>
      <c r="I13" s="7">
        <f>IF(VERI_B!A13="","",VERI_B!A13)</f>
        <v/>
      </c>
      <c r="J13" s="16">
        <f>UPPER(TRIM(SUBSTITUTE($I13," ","")))</f>
        <v/>
      </c>
      <c r="K13" s="16">
        <f>IF($J13="",0,LEN($J13))</f>
        <v/>
      </c>
      <c r="L13" s="16">
        <f>IF($J13="","",LEFT($J13,cbb_ikincilUzunluk))</f>
        <v/>
      </c>
      <c r="M13" s="16">
        <f>"B"</f>
        <v/>
      </c>
      <c r="N13" s="16">
        <f>IF($J13="","",IF(COUNTIF(tblAnahtarB[NormB],$J13)&gt;1,"EVET","HAYIR"))</f>
        <v/>
      </c>
      <c r="O13" s="16">
        <f>IF($I13="","",ROW()-ROW($I$5))</f>
        <v/>
      </c>
    </row>
    <row r="14">
      <c r="A14" s="7">
        <f>IF(VERI_A!A14="","",VERI_A!A14)</f>
        <v/>
      </c>
      <c r="B14" s="16">
        <f>UPPER(TRIM(SUBSTITUTE($A14," ","")))</f>
        <v/>
      </c>
      <c r="C14" s="16">
        <f>IF($B14="",0,LEN($B14))</f>
        <v/>
      </c>
      <c r="D14" s="16">
        <f>IF($B14="","",LEFT($B14,cbb_ikincilUzunluk))</f>
        <v/>
      </c>
      <c r="E14" s="16">
        <f>"A"</f>
        <v/>
      </c>
      <c r="F14" s="16">
        <f>IF($B14="","",IF(COUNTIF(tblAnahtarA[Norm],$B14)&gt;1,"EVET","HAYIR"))</f>
        <v/>
      </c>
      <c r="G14" s="16">
        <f>IF($A14="","",ROW()-ROW($A$5))</f>
        <v/>
      </c>
      <c r="I14" s="7">
        <f>IF(VERI_B!A14="","",VERI_B!A14)</f>
        <v/>
      </c>
      <c r="J14" s="16">
        <f>UPPER(TRIM(SUBSTITUTE($I14," ","")))</f>
        <v/>
      </c>
      <c r="K14" s="16">
        <f>IF($J14="",0,LEN($J14))</f>
        <v/>
      </c>
      <c r="L14" s="16">
        <f>IF($J14="","",LEFT($J14,cbb_ikincilUzunluk))</f>
        <v/>
      </c>
      <c r="M14" s="16">
        <f>"B"</f>
        <v/>
      </c>
      <c r="N14" s="16">
        <f>IF($J14="","",IF(COUNTIF(tblAnahtarB[NormB],$J14)&gt;1,"EVET","HAYIR"))</f>
        <v/>
      </c>
      <c r="O14" s="16">
        <f>IF($I14="","",ROW()-ROW($I$5))</f>
        <v/>
      </c>
    </row>
    <row r="15">
      <c r="A15" s="7">
        <f>IF(VERI_A!A15="","",VERI_A!A15)</f>
        <v/>
      </c>
      <c r="B15" s="16">
        <f>UPPER(TRIM(SUBSTITUTE($A15," ","")))</f>
        <v/>
      </c>
      <c r="C15" s="16">
        <f>IF($B15="",0,LEN($B15))</f>
        <v/>
      </c>
      <c r="D15" s="16">
        <f>IF($B15="","",LEFT($B15,cbb_ikincilUzunluk))</f>
        <v/>
      </c>
      <c r="E15" s="16">
        <f>"A"</f>
        <v/>
      </c>
      <c r="F15" s="16">
        <f>IF($B15="","",IF(COUNTIF(tblAnahtarA[Norm],$B15)&gt;1,"EVET","HAYIR"))</f>
        <v/>
      </c>
      <c r="G15" s="16">
        <f>IF($A15="","",ROW()-ROW($A$5))</f>
        <v/>
      </c>
      <c r="I15" s="7">
        <f>IF(VERI_B!A15="","",VERI_B!A15)</f>
        <v/>
      </c>
      <c r="J15" s="16">
        <f>UPPER(TRIM(SUBSTITUTE($I15," ","")))</f>
        <v/>
      </c>
      <c r="K15" s="16">
        <f>IF($J15="",0,LEN($J15))</f>
        <v/>
      </c>
      <c r="L15" s="16">
        <f>IF($J15="","",LEFT($J15,cbb_ikincilUzunluk))</f>
        <v/>
      </c>
      <c r="M15" s="16">
        <f>"B"</f>
        <v/>
      </c>
      <c r="N15" s="16">
        <f>IF($J15="","",IF(COUNTIF(tblAnahtarB[NormB],$J15)&gt;1,"EVET","HAYIR"))</f>
        <v/>
      </c>
      <c r="O15" s="16">
        <f>IF($I15="","",ROW()-ROW($I$5))</f>
        <v/>
      </c>
    </row>
    <row r="16">
      <c r="A16" s="7">
        <f>IF(VERI_A!A16="","",VERI_A!A16)</f>
        <v/>
      </c>
      <c r="B16" s="16">
        <f>UPPER(TRIM(SUBSTITUTE($A16," ","")))</f>
        <v/>
      </c>
      <c r="C16" s="16">
        <f>IF($B16="",0,LEN($B16))</f>
        <v/>
      </c>
      <c r="D16" s="16">
        <f>IF($B16="","",LEFT($B16,cbb_ikincilUzunluk))</f>
        <v/>
      </c>
      <c r="E16" s="16">
        <f>"A"</f>
        <v/>
      </c>
      <c r="F16" s="16">
        <f>IF($B16="","",IF(COUNTIF(tblAnahtarA[Norm],$B16)&gt;1,"EVET","HAYIR"))</f>
        <v/>
      </c>
      <c r="G16" s="16">
        <f>IF($A16="","",ROW()-ROW($A$5))</f>
        <v/>
      </c>
      <c r="I16" s="7">
        <f>IF(VERI_B!A16="","",VERI_B!A16)</f>
        <v/>
      </c>
      <c r="J16" s="16">
        <f>UPPER(TRIM(SUBSTITUTE($I16," ","")))</f>
        <v/>
      </c>
      <c r="K16" s="16">
        <f>IF($J16="",0,LEN($J16))</f>
        <v/>
      </c>
      <c r="L16" s="16">
        <f>IF($J16="","",LEFT($J16,cbb_ikincilUzunluk))</f>
        <v/>
      </c>
      <c r="M16" s="16">
        <f>"B"</f>
        <v/>
      </c>
      <c r="N16" s="16">
        <f>IF($J16="","",IF(COUNTIF(tblAnahtarB[NormB],$J16)&gt;1,"EVET","HAYIR"))</f>
        <v/>
      </c>
      <c r="O16" s="16">
        <f>IF($I16="","",ROW()-ROW($I$5))</f>
        <v/>
      </c>
    </row>
    <row r="17">
      <c r="A17" s="7">
        <f>IF(VERI_A!A17="","",VERI_A!A17)</f>
        <v/>
      </c>
      <c r="B17" s="16">
        <f>UPPER(TRIM(SUBSTITUTE($A17," ","")))</f>
        <v/>
      </c>
      <c r="C17" s="16">
        <f>IF($B17="",0,LEN($B17))</f>
        <v/>
      </c>
      <c r="D17" s="16">
        <f>IF($B17="","",LEFT($B17,cbb_ikincilUzunluk))</f>
        <v/>
      </c>
      <c r="E17" s="16">
        <f>"A"</f>
        <v/>
      </c>
      <c r="F17" s="16">
        <f>IF($B17="","",IF(COUNTIF(tblAnahtarA[Norm],$B17)&gt;1,"EVET","HAYIR"))</f>
        <v/>
      </c>
      <c r="G17" s="16">
        <f>IF($A17="","",ROW()-ROW($A$5))</f>
        <v/>
      </c>
      <c r="I17" s="7">
        <f>IF(VERI_B!A17="","",VERI_B!A17)</f>
        <v/>
      </c>
      <c r="J17" s="16">
        <f>UPPER(TRIM(SUBSTITUTE($I17," ","")))</f>
        <v/>
      </c>
      <c r="K17" s="16">
        <f>IF($J17="",0,LEN($J17))</f>
        <v/>
      </c>
      <c r="L17" s="16">
        <f>IF($J17="","",LEFT($J17,cbb_ikincilUzunluk))</f>
        <v/>
      </c>
      <c r="M17" s="16">
        <f>"B"</f>
        <v/>
      </c>
      <c r="N17" s="16">
        <f>IF($J17="","",IF(COUNTIF(tblAnahtarB[NormB],$J17)&gt;1,"EVET","HAYIR"))</f>
        <v/>
      </c>
      <c r="O17" s="16">
        <f>IF($I17="","",ROW()-ROW($I$5))</f>
        <v/>
      </c>
    </row>
    <row r="18">
      <c r="A18" s="7">
        <f>IF(VERI_A!A18="","",VERI_A!A18)</f>
        <v/>
      </c>
      <c r="B18" s="16">
        <f>UPPER(TRIM(SUBSTITUTE($A18," ","")))</f>
        <v/>
      </c>
      <c r="C18" s="16">
        <f>IF($B18="",0,LEN($B18))</f>
        <v/>
      </c>
      <c r="D18" s="16">
        <f>IF($B18="","",LEFT($B18,cbb_ikincilUzunluk))</f>
        <v/>
      </c>
      <c r="E18" s="16">
        <f>"A"</f>
        <v/>
      </c>
      <c r="F18" s="16">
        <f>IF($B18="","",IF(COUNTIF(tblAnahtarA[Norm],$B18)&gt;1,"EVET","HAYIR"))</f>
        <v/>
      </c>
      <c r="G18" s="16">
        <f>IF($A18="","",ROW()-ROW($A$5))</f>
        <v/>
      </c>
      <c r="I18" s="7">
        <f>IF(VERI_B!A18="","",VERI_B!A18)</f>
        <v/>
      </c>
      <c r="J18" s="16">
        <f>UPPER(TRIM(SUBSTITUTE($I18," ","")))</f>
        <v/>
      </c>
      <c r="K18" s="16">
        <f>IF($J18="",0,LEN($J18))</f>
        <v/>
      </c>
      <c r="L18" s="16">
        <f>IF($J18="","",LEFT($J18,cbb_ikincilUzunluk))</f>
        <v/>
      </c>
      <c r="M18" s="16">
        <f>"B"</f>
        <v/>
      </c>
      <c r="N18" s="16">
        <f>IF($J18="","",IF(COUNTIF(tblAnahtarB[NormB],$J18)&gt;1,"EVET","HAYIR"))</f>
        <v/>
      </c>
      <c r="O18" s="16">
        <f>IF($I18="","",ROW()-ROW($I$5))</f>
        <v/>
      </c>
    </row>
    <row r="19">
      <c r="A19" s="7">
        <f>IF(VERI_A!A19="","",VERI_A!A19)</f>
        <v/>
      </c>
      <c r="B19" s="16">
        <f>UPPER(TRIM(SUBSTITUTE($A19," ","")))</f>
        <v/>
      </c>
      <c r="C19" s="16">
        <f>IF($B19="",0,LEN($B19))</f>
        <v/>
      </c>
      <c r="D19" s="16">
        <f>IF($B19="","",LEFT($B19,cbb_ikincilUzunluk))</f>
        <v/>
      </c>
      <c r="E19" s="16">
        <f>"A"</f>
        <v/>
      </c>
      <c r="F19" s="16">
        <f>IF($B19="","",IF(COUNTIF(tblAnahtarA[Norm],$B19)&gt;1,"EVET","HAYIR"))</f>
        <v/>
      </c>
      <c r="G19" s="16">
        <f>IF($A19="","",ROW()-ROW($A$5))</f>
        <v/>
      </c>
      <c r="I19" s="7">
        <f>IF(VERI_B!A19="","",VERI_B!A19)</f>
        <v/>
      </c>
      <c r="J19" s="16">
        <f>UPPER(TRIM(SUBSTITUTE($I19," ","")))</f>
        <v/>
      </c>
      <c r="K19" s="16">
        <f>IF($J19="",0,LEN($J19))</f>
        <v/>
      </c>
      <c r="L19" s="16">
        <f>IF($J19="","",LEFT($J19,cbb_ikincilUzunluk))</f>
        <v/>
      </c>
      <c r="M19" s="16">
        <f>"B"</f>
        <v/>
      </c>
      <c r="N19" s="16">
        <f>IF($J19="","",IF(COUNTIF(tblAnahtarB[NormB],$J19)&gt;1,"EVET","HAYIR"))</f>
        <v/>
      </c>
      <c r="O19" s="16">
        <f>IF($I19="","",ROW()-ROW($I$5))</f>
        <v/>
      </c>
    </row>
    <row r="20">
      <c r="A20" s="7">
        <f>IF(VERI_A!A20="","",VERI_A!A20)</f>
        <v/>
      </c>
      <c r="B20" s="16">
        <f>UPPER(TRIM(SUBSTITUTE($A20," ","")))</f>
        <v/>
      </c>
      <c r="C20" s="16">
        <f>IF($B20="",0,LEN($B20))</f>
        <v/>
      </c>
      <c r="D20" s="16">
        <f>IF($B20="","",LEFT($B20,cbb_ikincilUzunluk))</f>
        <v/>
      </c>
      <c r="E20" s="16">
        <f>"A"</f>
        <v/>
      </c>
      <c r="F20" s="16">
        <f>IF($B20="","",IF(COUNTIF(tblAnahtarA[Norm],$B20)&gt;1,"EVET","HAYIR"))</f>
        <v/>
      </c>
      <c r="G20" s="16">
        <f>IF($A20="","",ROW()-ROW($A$5))</f>
        <v/>
      </c>
      <c r="I20" s="7">
        <f>IF(VERI_B!A20="","",VERI_B!A20)</f>
        <v/>
      </c>
      <c r="J20" s="16">
        <f>UPPER(TRIM(SUBSTITUTE($I20," ","")))</f>
        <v/>
      </c>
      <c r="K20" s="16">
        <f>IF($J20="",0,LEN($J20))</f>
        <v/>
      </c>
      <c r="L20" s="16">
        <f>IF($J20="","",LEFT($J20,cbb_ikincilUzunluk))</f>
        <v/>
      </c>
      <c r="M20" s="16">
        <f>"B"</f>
        <v/>
      </c>
      <c r="N20" s="16">
        <f>IF($J20="","",IF(COUNTIF(tblAnahtarB[NormB],$J20)&gt;1,"EVET","HAYIR"))</f>
        <v/>
      </c>
      <c r="O20" s="16">
        <f>IF($I20="","",ROW()-ROW($I$5))</f>
        <v/>
      </c>
    </row>
    <row r="21">
      <c r="A21" s="7">
        <f>IF(VERI_A!A21="","",VERI_A!A21)</f>
        <v/>
      </c>
      <c r="B21" s="16">
        <f>UPPER(TRIM(SUBSTITUTE($A21," ","")))</f>
        <v/>
      </c>
      <c r="C21" s="16">
        <f>IF($B21="",0,LEN($B21))</f>
        <v/>
      </c>
      <c r="D21" s="16">
        <f>IF($B21="","",LEFT($B21,cbb_ikincilUzunluk))</f>
        <v/>
      </c>
      <c r="E21" s="16">
        <f>"A"</f>
        <v/>
      </c>
      <c r="F21" s="16">
        <f>IF($B21="","",IF(COUNTIF(tblAnahtarA[Norm],$B21)&gt;1,"EVET","HAYIR"))</f>
        <v/>
      </c>
      <c r="G21" s="16">
        <f>IF($A21="","",ROW()-ROW($A$5))</f>
        <v/>
      </c>
      <c r="I21" s="7">
        <f>IF(VERI_B!A21="","",VERI_B!A21)</f>
        <v/>
      </c>
      <c r="J21" s="16">
        <f>UPPER(TRIM(SUBSTITUTE($I21," ","")))</f>
        <v/>
      </c>
      <c r="K21" s="16">
        <f>IF($J21="",0,LEN($J21))</f>
        <v/>
      </c>
      <c r="L21" s="16">
        <f>IF($J21="","",LEFT($J21,cbb_ikincilUzunluk))</f>
        <v/>
      </c>
      <c r="M21" s="16">
        <f>"B"</f>
        <v/>
      </c>
      <c r="N21" s="16">
        <f>IF($J21="","",IF(COUNTIF(tblAnahtarB[NormB],$J21)&gt;1,"EVET","HAYIR"))</f>
        <v/>
      </c>
      <c r="O21" s="16">
        <f>IF($I21="","",ROW()-ROW($I$5))</f>
        <v/>
      </c>
    </row>
    <row r="22">
      <c r="A22" s="7">
        <f>IF(VERI_A!A22="","",VERI_A!A22)</f>
        <v/>
      </c>
      <c r="B22" s="16">
        <f>UPPER(TRIM(SUBSTITUTE($A22," ","")))</f>
        <v/>
      </c>
      <c r="C22" s="16">
        <f>IF($B22="",0,LEN($B22))</f>
        <v/>
      </c>
      <c r="D22" s="16">
        <f>IF($B22="","",LEFT($B22,cbb_ikincilUzunluk))</f>
        <v/>
      </c>
      <c r="E22" s="16">
        <f>"A"</f>
        <v/>
      </c>
      <c r="F22" s="16">
        <f>IF($B22="","",IF(COUNTIF(tblAnahtarA[Norm],$B22)&gt;1,"EVET","HAYIR"))</f>
        <v/>
      </c>
      <c r="G22" s="16">
        <f>IF($A22="","",ROW()-ROW($A$5))</f>
        <v/>
      </c>
      <c r="I22" s="7">
        <f>IF(VERI_B!A22="","",VERI_B!A22)</f>
        <v/>
      </c>
      <c r="J22" s="16">
        <f>UPPER(TRIM(SUBSTITUTE($I22," ","")))</f>
        <v/>
      </c>
      <c r="K22" s="16">
        <f>IF($J22="",0,LEN($J22))</f>
        <v/>
      </c>
      <c r="L22" s="16">
        <f>IF($J22="","",LEFT($J22,cbb_ikincilUzunluk))</f>
        <v/>
      </c>
      <c r="M22" s="16">
        <f>"B"</f>
        <v/>
      </c>
      <c r="N22" s="16">
        <f>IF($J22="","",IF(COUNTIF(tblAnahtarB[NormB],$J22)&gt;1,"EVET","HAYIR"))</f>
        <v/>
      </c>
      <c r="O22" s="16">
        <f>IF($I22="","",ROW()-ROW($I$5))</f>
        <v/>
      </c>
    </row>
    <row r="23">
      <c r="A23" s="7">
        <f>IF(VERI_A!A23="","",VERI_A!A23)</f>
        <v/>
      </c>
      <c r="B23" s="16">
        <f>UPPER(TRIM(SUBSTITUTE($A23," ","")))</f>
        <v/>
      </c>
      <c r="C23" s="16">
        <f>IF($B23="",0,LEN($B23))</f>
        <v/>
      </c>
      <c r="D23" s="16">
        <f>IF($B23="","",LEFT($B23,cbb_ikincilUzunluk))</f>
        <v/>
      </c>
      <c r="E23" s="16">
        <f>"A"</f>
        <v/>
      </c>
      <c r="F23" s="16">
        <f>IF($B23="","",IF(COUNTIF(tblAnahtarA[Norm],$B23)&gt;1,"EVET","HAYIR"))</f>
        <v/>
      </c>
      <c r="G23" s="16">
        <f>IF($A23="","",ROW()-ROW($A$5))</f>
        <v/>
      </c>
      <c r="I23" s="7">
        <f>IF(VERI_B!A23="","",VERI_B!A23)</f>
        <v/>
      </c>
      <c r="J23" s="16">
        <f>UPPER(TRIM(SUBSTITUTE($I23," ","")))</f>
        <v/>
      </c>
      <c r="K23" s="16">
        <f>IF($J23="",0,LEN($J23))</f>
        <v/>
      </c>
      <c r="L23" s="16">
        <f>IF($J23="","",LEFT($J23,cbb_ikincilUzunluk))</f>
        <v/>
      </c>
      <c r="M23" s="16">
        <f>"B"</f>
        <v/>
      </c>
      <c r="N23" s="16">
        <f>IF($J23="","",IF(COUNTIF(tblAnahtarB[NormB],$J23)&gt;1,"EVET","HAYIR"))</f>
        <v/>
      </c>
      <c r="O23" s="16">
        <f>IF($I23="","",ROW()-ROW($I$5))</f>
        <v/>
      </c>
    </row>
    <row r="24">
      <c r="A24" s="7">
        <f>IF(VERI_A!A24="","",VERI_A!A24)</f>
        <v/>
      </c>
      <c r="B24" s="16">
        <f>UPPER(TRIM(SUBSTITUTE($A24," ","")))</f>
        <v/>
      </c>
      <c r="C24" s="16">
        <f>IF($B24="",0,LEN($B24))</f>
        <v/>
      </c>
      <c r="D24" s="16">
        <f>IF($B24="","",LEFT($B24,cbb_ikincilUzunluk))</f>
        <v/>
      </c>
      <c r="E24" s="16">
        <f>"A"</f>
        <v/>
      </c>
      <c r="F24" s="16">
        <f>IF($B24="","",IF(COUNTIF(tblAnahtarA[Norm],$B24)&gt;1,"EVET","HAYIR"))</f>
        <v/>
      </c>
      <c r="G24" s="16">
        <f>IF($A24="","",ROW()-ROW($A$5))</f>
        <v/>
      </c>
      <c r="I24" s="7">
        <f>IF(VERI_B!A24="","",VERI_B!A24)</f>
        <v/>
      </c>
      <c r="J24" s="16">
        <f>UPPER(TRIM(SUBSTITUTE($I24," ","")))</f>
        <v/>
      </c>
      <c r="K24" s="16">
        <f>IF($J24="",0,LEN($J24))</f>
        <v/>
      </c>
      <c r="L24" s="16">
        <f>IF($J24="","",LEFT($J24,cbb_ikincilUzunluk))</f>
        <v/>
      </c>
      <c r="M24" s="16">
        <f>"B"</f>
        <v/>
      </c>
      <c r="N24" s="16">
        <f>IF($J24="","",IF(COUNTIF(tblAnahtarB[NormB],$J24)&gt;1,"EVET","HAYIR"))</f>
        <v/>
      </c>
      <c r="O24" s="16">
        <f>IF($I24="","",ROW()-ROW($I$5))</f>
        <v/>
      </c>
    </row>
    <row r="25">
      <c r="A25" s="7">
        <f>IF(VERI_A!A25="","",VERI_A!A25)</f>
        <v/>
      </c>
      <c r="B25" s="16">
        <f>UPPER(TRIM(SUBSTITUTE($A25," ","")))</f>
        <v/>
      </c>
      <c r="C25" s="16">
        <f>IF($B25="",0,LEN($B25))</f>
        <v/>
      </c>
      <c r="D25" s="16">
        <f>IF($B25="","",LEFT($B25,cbb_ikincilUzunluk))</f>
        <v/>
      </c>
      <c r="E25" s="16">
        <f>"A"</f>
        <v/>
      </c>
      <c r="F25" s="16">
        <f>IF($B25="","",IF(COUNTIF(tblAnahtarA[Norm],$B25)&gt;1,"EVET","HAYIR"))</f>
        <v/>
      </c>
      <c r="G25" s="16">
        <f>IF($A25="","",ROW()-ROW($A$5))</f>
        <v/>
      </c>
      <c r="I25" s="7">
        <f>IF(VERI_B!A25="","",VERI_B!A25)</f>
        <v/>
      </c>
      <c r="J25" s="16">
        <f>UPPER(TRIM(SUBSTITUTE($I25," ","")))</f>
        <v/>
      </c>
      <c r="K25" s="16">
        <f>IF($J25="",0,LEN($J25))</f>
        <v/>
      </c>
      <c r="L25" s="16">
        <f>IF($J25="","",LEFT($J25,cbb_ikincilUzunluk))</f>
        <v/>
      </c>
      <c r="M25" s="16">
        <f>"B"</f>
        <v/>
      </c>
      <c r="N25" s="16">
        <f>IF($J25="","",IF(COUNTIF(tblAnahtarB[NormB],$J25)&gt;1,"EVET","HAYIR"))</f>
        <v/>
      </c>
      <c r="O25" s="16">
        <f>IF($I25="","",ROW()-ROW($I$5))</f>
        <v/>
      </c>
    </row>
    <row r="26">
      <c r="A26" s="7">
        <f>IF(VERI_A!A26="","",VERI_A!A26)</f>
        <v/>
      </c>
      <c r="B26" s="16">
        <f>UPPER(TRIM(SUBSTITUTE($A26," ","")))</f>
        <v/>
      </c>
      <c r="C26" s="16">
        <f>IF($B26="",0,LEN($B26))</f>
        <v/>
      </c>
      <c r="D26" s="16">
        <f>IF($B26="","",LEFT($B26,cbb_ikincilUzunluk))</f>
        <v/>
      </c>
      <c r="E26" s="16">
        <f>"A"</f>
        <v/>
      </c>
      <c r="F26" s="16">
        <f>IF($B26="","",IF(COUNTIF(tblAnahtarA[Norm],$B26)&gt;1,"EVET","HAYIR"))</f>
        <v/>
      </c>
      <c r="G26" s="16">
        <f>IF($A26="","",ROW()-ROW($A$5))</f>
        <v/>
      </c>
      <c r="I26" s="7">
        <f>IF(VERI_B!A26="","",VERI_B!A26)</f>
        <v/>
      </c>
      <c r="J26" s="16">
        <f>UPPER(TRIM(SUBSTITUTE($I26," ","")))</f>
        <v/>
      </c>
      <c r="K26" s="16">
        <f>IF($J26="",0,LEN($J26))</f>
        <v/>
      </c>
      <c r="L26" s="16">
        <f>IF($J26="","",LEFT($J26,cbb_ikincilUzunluk))</f>
        <v/>
      </c>
      <c r="M26" s="16">
        <f>"B"</f>
        <v/>
      </c>
      <c r="N26" s="16">
        <f>IF($J26="","",IF(COUNTIF(tblAnahtarB[NormB],$J26)&gt;1,"EVET","HAYIR"))</f>
        <v/>
      </c>
      <c r="O26" s="16">
        <f>IF($I26="","",ROW()-ROW($I$5))</f>
        <v/>
      </c>
    </row>
    <row r="27">
      <c r="A27" s="7">
        <f>IF(VERI_A!A27="","",VERI_A!A27)</f>
        <v/>
      </c>
      <c r="B27" s="16">
        <f>UPPER(TRIM(SUBSTITUTE($A27," ","")))</f>
        <v/>
      </c>
      <c r="C27" s="16">
        <f>IF($B27="",0,LEN($B27))</f>
        <v/>
      </c>
      <c r="D27" s="16">
        <f>IF($B27="","",LEFT($B27,cbb_ikincilUzunluk))</f>
        <v/>
      </c>
      <c r="E27" s="16">
        <f>"A"</f>
        <v/>
      </c>
      <c r="F27" s="16">
        <f>IF($B27="","",IF(COUNTIF(tblAnahtarA[Norm],$B27)&gt;1,"EVET","HAYIR"))</f>
        <v/>
      </c>
      <c r="G27" s="16">
        <f>IF($A27="","",ROW()-ROW($A$5))</f>
        <v/>
      </c>
      <c r="I27" s="7">
        <f>IF(VERI_B!A27="","",VERI_B!A27)</f>
        <v/>
      </c>
      <c r="J27" s="16">
        <f>UPPER(TRIM(SUBSTITUTE($I27," ","")))</f>
        <v/>
      </c>
      <c r="K27" s="16">
        <f>IF($J27="",0,LEN($J27))</f>
        <v/>
      </c>
      <c r="L27" s="16">
        <f>IF($J27="","",LEFT($J27,cbb_ikincilUzunluk))</f>
        <v/>
      </c>
      <c r="M27" s="16">
        <f>"B"</f>
        <v/>
      </c>
      <c r="N27" s="16">
        <f>IF($J27="","",IF(COUNTIF(tblAnahtarB[NormB],$J27)&gt;1,"EVET","HAYIR"))</f>
        <v/>
      </c>
      <c r="O27" s="16">
        <f>IF($I27="","",ROW()-ROW($I$5))</f>
        <v/>
      </c>
    </row>
    <row r="28">
      <c r="A28" s="7">
        <f>IF(VERI_A!A28="","",VERI_A!A28)</f>
        <v/>
      </c>
      <c r="B28" s="16">
        <f>UPPER(TRIM(SUBSTITUTE($A28," ","")))</f>
        <v/>
      </c>
      <c r="C28" s="16">
        <f>IF($B28="",0,LEN($B28))</f>
        <v/>
      </c>
      <c r="D28" s="16">
        <f>IF($B28="","",LEFT($B28,cbb_ikincilUzunluk))</f>
        <v/>
      </c>
      <c r="E28" s="16">
        <f>"A"</f>
        <v/>
      </c>
      <c r="F28" s="16">
        <f>IF($B28="","",IF(COUNTIF(tblAnahtarA[Norm],$B28)&gt;1,"EVET","HAYIR"))</f>
        <v/>
      </c>
      <c r="G28" s="16">
        <f>IF($A28="","",ROW()-ROW($A$5))</f>
        <v/>
      </c>
      <c r="I28" s="7">
        <f>IF(VERI_B!A28="","",VERI_B!A28)</f>
        <v/>
      </c>
      <c r="J28" s="16">
        <f>UPPER(TRIM(SUBSTITUTE($I28," ","")))</f>
        <v/>
      </c>
      <c r="K28" s="16">
        <f>IF($J28="",0,LEN($J28))</f>
        <v/>
      </c>
      <c r="L28" s="16">
        <f>IF($J28="","",LEFT($J28,cbb_ikincilUzunluk))</f>
        <v/>
      </c>
      <c r="M28" s="16">
        <f>"B"</f>
        <v/>
      </c>
      <c r="N28" s="16">
        <f>IF($J28="","",IF(COUNTIF(tblAnahtarB[NormB],$J28)&gt;1,"EVET","HAYIR"))</f>
        <v/>
      </c>
      <c r="O28" s="16">
        <f>IF($I28="","",ROW()-ROW($I$5))</f>
        <v/>
      </c>
    </row>
    <row r="29">
      <c r="A29" s="7">
        <f>IF(VERI_A!A29="","",VERI_A!A29)</f>
        <v/>
      </c>
      <c r="B29" s="16">
        <f>UPPER(TRIM(SUBSTITUTE($A29," ","")))</f>
        <v/>
      </c>
      <c r="C29" s="16">
        <f>IF($B29="",0,LEN($B29))</f>
        <v/>
      </c>
      <c r="D29" s="16">
        <f>IF($B29="","",LEFT($B29,cbb_ikincilUzunluk))</f>
        <v/>
      </c>
      <c r="E29" s="16">
        <f>"A"</f>
        <v/>
      </c>
      <c r="F29" s="16">
        <f>IF($B29="","",IF(COUNTIF(tblAnahtarA[Norm],$B29)&gt;1,"EVET","HAYIR"))</f>
        <v/>
      </c>
      <c r="G29" s="16">
        <f>IF($A29="","",ROW()-ROW($A$5))</f>
        <v/>
      </c>
      <c r="I29" s="7">
        <f>IF(VERI_B!A29="","",VERI_B!A29)</f>
        <v/>
      </c>
      <c r="J29" s="16">
        <f>UPPER(TRIM(SUBSTITUTE($I29," ","")))</f>
        <v/>
      </c>
      <c r="K29" s="16">
        <f>IF($J29="",0,LEN($J29))</f>
        <v/>
      </c>
      <c r="L29" s="16">
        <f>IF($J29="","",LEFT($J29,cbb_ikincilUzunluk))</f>
        <v/>
      </c>
      <c r="M29" s="16">
        <f>"B"</f>
        <v/>
      </c>
      <c r="N29" s="16">
        <f>IF($J29="","",IF(COUNTIF(tblAnahtarB[NormB],$J29)&gt;1,"EVET","HAYIR"))</f>
        <v/>
      </c>
      <c r="O29" s="16">
        <f>IF($I29="","",ROW()-ROW($I$5))</f>
        <v/>
      </c>
    </row>
    <row r="30">
      <c r="A30" s="7">
        <f>IF(VERI_A!A30="","",VERI_A!A30)</f>
        <v/>
      </c>
      <c r="B30" s="16">
        <f>UPPER(TRIM(SUBSTITUTE($A30," ","")))</f>
        <v/>
      </c>
      <c r="C30" s="16">
        <f>IF($B30="",0,LEN($B30))</f>
        <v/>
      </c>
      <c r="D30" s="16">
        <f>IF($B30="","",LEFT($B30,cbb_ikincilUzunluk))</f>
        <v/>
      </c>
      <c r="E30" s="16">
        <f>"A"</f>
        <v/>
      </c>
      <c r="F30" s="16">
        <f>IF($B30="","",IF(COUNTIF(tblAnahtarA[Norm],$B30)&gt;1,"EVET","HAYIR"))</f>
        <v/>
      </c>
      <c r="G30" s="16">
        <f>IF($A30="","",ROW()-ROW($A$5))</f>
        <v/>
      </c>
      <c r="I30" s="7">
        <f>IF(VERI_B!A30="","",VERI_B!A30)</f>
        <v/>
      </c>
      <c r="J30" s="16">
        <f>UPPER(TRIM(SUBSTITUTE($I30," ","")))</f>
        <v/>
      </c>
      <c r="K30" s="16">
        <f>IF($J30="",0,LEN($J30))</f>
        <v/>
      </c>
      <c r="L30" s="16">
        <f>IF($J30="","",LEFT($J30,cbb_ikincilUzunluk))</f>
        <v/>
      </c>
      <c r="M30" s="16">
        <f>"B"</f>
        <v/>
      </c>
      <c r="N30" s="16">
        <f>IF($J30="","",IF(COUNTIF(tblAnahtarB[NormB],$J30)&gt;1,"EVET","HAYIR"))</f>
        <v/>
      </c>
      <c r="O30" s="16">
        <f>IF($I30="","",ROW()-ROW($I$5))</f>
        <v/>
      </c>
    </row>
    <row r="31">
      <c r="A31" s="7">
        <f>IF(VERI_A!A31="","",VERI_A!A31)</f>
        <v/>
      </c>
      <c r="B31" s="16">
        <f>UPPER(TRIM(SUBSTITUTE($A31," ","")))</f>
        <v/>
      </c>
      <c r="C31" s="16">
        <f>IF($B31="",0,LEN($B31))</f>
        <v/>
      </c>
      <c r="D31" s="16">
        <f>IF($B31="","",LEFT($B31,cbb_ikincilUzunluk))</f>
        <v/>
      </c>
      <c r="E31" s="16">
        <f>"A"</f>
        <v/>
      </c>
      <c r="F31" s="16">
        <f>IF($B31="","",IF(COUNTIF(tblAnahtarA[Norm],$B31)&gt;1,"EVET","HAYIR"))</f>
        <v/>
      </c>
      <c r="G31" s="16">
        <f>IF($A31="","",ROW()-ROW($A$5))</f>
        <v/>
      </c>
      <c r="I31" s="7">
        <f>IF(VERI_B!A31="","",VERI_B!A31)</f>
        <v/>
      </c>
      <c r="J31" s="16">
        <f>UPPER(TRIM(SUBSTITUTE($I31," ","")))</f>
        <v/>
      </c>
      <c r="K31" s="16">
        <f>IF($J31="",0,LEN($J31))</f>
        <v/>
      </c>
      <c r="L31" s="16">
        <f>IF($J31="","",LEFT($J31,cbb_ikincilUzunluk))</f>
        <v/>
      </c>
      <c r="M31" s="16">
        <f>"B"</f>
        <v/>
      </c>
      <c r="N31" s="16">
        <f>IF($J31="","",IF(COUNTIF(tblAnahtarB[NormB],$J31)&gt;1,"EVET","HAYIR"))</f>
        <v/>
      </c>
      <c r="O31" s="16">
        <f>IF($I31="","",ROW()-ROW($I$5))</f>
        <v/>
      </c>
    </row>
    <row r="32">
      <c r="A32" s="7">
        <f>IF(VERI_A!A32="","",VERI_A!A32)</f>
        <v/>
      </c>
      <c r="B32" s="16">
        <f>UPPER(TRIM(SUBSTITUTE($A32," ","")))</f>
        <v/>
      </c>
      <c r="C32" s="16">
        <f>IF($B32="",0,LEN($B32))</f>
        <v/>
      </c>
      <c r="D32" s="16">
        <f>IF($B32="","",LEFT($B32,cbb_ikincilUzunluk))</f>
        <v/>
      </c>
      <c r="E32" s="16">
        <f>"A"</f>
        <v/>
      </c>
      <c r="F32" s="16">
        <f>IF($B32="","",IF(COUNTIF(tblAnahtarA[Norm],$B32)&gt;1,"EVET","HAYIR"))</f>
        <v/>
      </c>
      <c r="G32" s="16">
        <f>IF($A32="","",ROW()-ROW($A$5))</f>
        <v/>
      </c>
      <c r="I32" s="7">
        <f>IF(VERI_B!A32="","",VERI_B!A32)</f>
        <v/>
      </c>
      <c r="J32" s="16">
        <f>UPPER(TRIM(SUBSTITUTE($I32," ","")))</f>
        <v/>
      </c>
      <c r="K32" s="16">
        <f>IF($J32="",0,LEN($J32))</f>
        <v/>
      </c>
      <c r="L32" s="16">
        <f>IF($J32="","",LEFT($J32,cbb_ikincilUzunluk))</f>
        <v/>
      </c>
      <c r="M32" s="16">
        <f>"B"</f>
        <v/>
      </c>
      <c r="N32" s="16">
        <f>IF($J32="","",IF(COUNTIF(tblAnahtarB[NormB],$J32)&gt;1,"EVET","HAYIR"))</f>
        <v/>
      </c>
      <c r="O32" s="16">
        <f>IF($I32="","",ROW()-ROW($I$5))</f>
        <v/>
      </c>
    </row>
    <row r="33">
      <c r="A33" s="7">
        <f>IF(VERI_A!A33="","",VERI_A!A33)</f>
        <v/>
      </c>
      <c r="B33" s="16">
        <f>UPPER(TRIM(SUBSTITUTE($A33," ","")))</f>
        <v/>
      </c>
      <c r="C33" s="16">
        <f>IF($B33="",0,LEN($B33))</f>
        <v/>
      </c>
      <c r="D33" s="16">
        <f>IF($B33="","",LEFT($B33,cbb_ikincilUzunluk))</f>
        <v/>
      </c>
      <c r="E33" s="16">
        <f>"A"</f>
        <v/>
      </c>
      <c r="F33" s="16">
        <f>IF($B33="","",IF(COUNTIF(tblAnahtarA[Norm],$B33)&gt;1,"EVET","HAYIR"))</f>
        <v/>
      </c>
      <c r="G33" s="16">
        <f>IF($A33="","",ROW()-ROW($A$5))</f>
        <v/>
      </c>
      <c r="I33" s="7">
        <f>IF(VERI_B!A33="","",VERI_B!A33)</f>
        <v/>
      </c>
      <c r="J33" s="16">
        <f>UPPER(TRIM(SUBSTITUTE($I33," ","")))</f>
        <v/>
      </c>
      <c r="K33" s="16">
        <f>IF($J33="",0,LEN($J33))</f>
        <v/>
      </c>
      <c r="L33" s="16">
        <f>IF($J33="","",LEFT($J33,cbb_ikincilUzunluk))</f>
        <v/>
      </c>
      <c r="M33" s="16">
        <f>"B"</f>
        <v/>
      </c>
      <c r="N33" s="16">
        <f>IF($J33="","",IF(COUNTIF(tblAnahtarB[NormB],$J33)&gt;1,"EVET","HAYIR"))</f>
        <v/>
      </c>
      <c r="O33" s="16">
        <f>IF($I33="","",ROW()-ROW($I$5))</f>
        <v/>
      </c>
    </row>
    <row r="34">
      <c r="A34" s="7">
        <f>IF(VERI_A!A34="","",VERI_A!A34)</f>
        <v/>
      </c>
      <c r="B34" s="16">
        <f>UPPER(TRIM(SUBSTITUTE($A34," ","")))</f>
        <v/>
      </c>
      <c r="C34" s="16">
        <f>IF($B34="",0,LEN($B34))</f>
        <v/>
      </c>
      <c r="D34" s="16">
        <f>IF($B34="","",LEFT($B34,cbb_ikincilUzunluk))</f>
        <v/>
      </c>
      <c r="E34" s="16">
        <f>"A"</f>
        <v/>
      </c>
      <c r="F34" s="16">
        <f>IF($B34="","",IF(COUNTIF(tblAnahtarA[Norm],$B34)&gt;1,"EVET","HAYIR"))</f>
        <v/>
      </c>
      <c r="G34" s="16">
        <f>IF($A34="","",ROW()-ROW($A$5))</f>
        <v/>
      </c>
      <c r="I34" s="7">
        <f>IF(VERI_B!A34="","",VERI_B!A34)</f>
        <v/>
      </c>
      <c r="J34" s="16">
        <f>UPPER(TRIM(SUBSTITUTE($I34," ","")))</f>
        <v/>
      </c>
      <c r="K34" s="16">
        <f>IF($J34="",0,LEN($J34))</f>
        <v/>
      </c>
      <c r="L34" s="16">
        <f>IF($J34="","",LEFT($J34,cbb_ikincilUzunluk))</f>
        <v/>
      </c>
      <c r="M34" s="16">
        <f>"B"</f>
        <v/>
      </c>
      <c r="N34" s="16">
        <f>IF($J34="","",IF(COUNTIF(tblAnahtarB[NormB],$J34)&gt;1,"EVET","HAYIR"))</f>
        <v/>
      </c>
      <c r="O34" s="16">
        <f>IF($I34="","",ROW()-ROW($I$5))</f>
        <v/>
      </c>
    </row>
    <row r="35">
      <c r="A35" s="7">
        <f>IF(VERI_A!A35="","",VERI_A!A35)</f>
        <v/>
      </c>
      <c r="B35" s="16">
        <f>UPPER(TRIM(SUBSTITUTE($A35," ","")))</f>
        <v/>
      </c>
      <c r="C35" s="16">
        <f>IF($B35="",0,LEN($B35))</f>
        <v/>
      </c>
      <c r="D35" s="16">
        <f>IF($B35="","",LEFT($B35,cbb_ikincilUzunluk))</f>
        <v/>
      </c>
      <c r="E35" s="16">
        <f>"A"</f>
        <v/>
      </c>
      <c r="F35" s="16">
        <f>IF($B35="","",IF(COUNTIF(tblAnahtarA[Norm],$B35)&gt;1,"EVET","HAYIR"))</f>
        <v/>
      </c>
      <c r="G35" s="16">
        <f>IF($A35="","",ROW()-ROW($A$5))</f>
        <v/>
      </c>
      <c r="I35" s="7">
        <f>IF(VERI_B!A35="","",VERI_B!A35)</f>
        <v/>
      </c>
      <c r="J35" s="16">
        <f>UPPER(TRIM(SUBSTITUTE($I35," ","")))</f>
        <v/>
      </c>
      <c r="K35" s="16">
        <f>IF($J35="",0,LEN($J35))</f>
        <v/>
      </c>
      <c r="L35" s="16">
        <f>IF($J35="","",LEFT($J35,cbb_ikincilUzunluk))</f>
        <v/>
      </c>
      <c r="M35" s="16">
        <f>"B"</f>
        <v/>
      </c>
      <c r="N35" s="16">
        <f>IF($J35="","",IF(COUNTIF(tblAnahtarB[NormB],$J35)&gt;1,"EVET","HAYIR"))</f>
        <v/>
      </c>
      <c r="O35" s="16">
        <f>IF($I35="","",ROW()-ROW($I$5))</f>
        <v/>
      </c>
    </row>
    <row r="36">
      <c r="A36" s="7">
        <f>IF(VERI_A!A36="","",VERI_A!A36)</f>
        <v/>
      </c>
      <c r="B36" s="16">
        <f>UPPER(TRIM(SUBSTITUTE($A36," ","")))</f>
        <v/>
      </c>
      <c r="C36" s="16">
        <f>IF($B36="",0,LEN($B36))</f>
        <v/>
      </c>
      <c r="D36" s="16">
        <f>IF($B36="","",LEFT($B36,cbb_ikincilUzunluk))</f>
        <v/>
      </c>
      <c r="E36" s="16">
        <f>"A"</f>
        <v/>
      </c>
      <c r="F36" s="16">
        <f>IF($B36="","",IF(COUNTIF(tblAnahtarA[Norm],$B36)&gt;1,"EVET","HAYIR"))</f>
        <v/>
      </c>
      <c r="G36" s="16">
        <f>IF($A36="","",ROW()-ROW($A$5))</f>
        <v/>
      </c>
      <c r="I36" s="7">
        <f>IF(VERI_B!A36="","",VERI_B!A36)</f>
        <v/>
      </c>
      <c r="J36" s="16">
        <f>UPPER(TRIM(SUBSTITUTE($I36," ","")))</f>
        <v/>
      </c>
      <c r="K36" s="16">
        <f>IF($J36="",0,LEN($J36))</f>
        <v/>
      </c>
      <c r="L36" s="16">
        <f>IF($J36="","",LEFT($J36,cbb_ikincilUzunluk))</f>
        <v/>
      </c>
      <c r="M36" s="16">
        <f>"B"</f>
        <v/>
      </c>
      <c r="N36" s="16">
        <f>IF($J36="","",IF(COUNTIF(tblAnahtarB[NormB],$J36)&gt;1,"EVET","HAYIR"))</f>
        <v/>
      </c>
      <c r="O36" s="16">
        <f>IF($I36="","",ROW()-ROW($I$5))</f>
        <v/>
      </c>
    </row>
    <row r="37">
      <c r="A37" s="7">
        <f>IF(VERI_A!A37="","",VERI_A!A37)</f>
        <v/>
      </c>
      <c r="B37" s="16">
        <f>UPPER(TRIM(SUBSTITUTE($A37," ","")))</f>
        <v/>
      </c>
      <c r="C37" s="16">
        <f>IF($B37="",0,LEN($B37))</f>
        <v/>
      </c>
      <c r="D37" s="16">
        <f>IF($B37="","",LEFT($B37,cbb_ikincilUzunluk))</f>
        <v/>
      </c>
      <c r="E37" s="16">
        <f>"A"</f>
        <v/>
      </c>
      <c r="F37" s="16">
        <f>IF($B37="","",IF(COUNTIF(tblAnahtarA[Norm],$B37)&gt;1,"EVET","HAYIR"))</f>
        <v/>
      </c>
      <c r="G37" s="16">
        <f>IF($A37="","",ROW()-ROW($A$5))</f>
        <v/>
      </c>
      <c r="I37" s="7">
        <f>IF(VERI_B!A37="","",VERI_B!A37)</f>
        <v/>
      </c>
      <c r="J37" s="16">
        <f>UPPER(TRIM(SUBSTITUTE($I37," ","")))</f>
        <v/>
      </c>
      <c r="K37" s="16">
        <f>IF($J37="",0,LEN($J37))</f>
        <v/>
      </c>
      <c r="L37" s="16">
        <f>IF($J37="","",LEFT($J37,cbb_ikincilUzunluk))</f>
        <v/>
      </c>
      <c r="M37" s="16">
        <f>"B"</f>
        <v/>
      </c>
      <c r="N37" s="16">
        <f>IF($J37="","",IF(COUNTIF(tblAnahtarB[NormB],$J37)&gt;1,"EVET","HAYIR"))</f>
        <v/>
      </c>
      <c r="O37" s="16">
        <f>IF($I37="","",ROW()-ROW($I$5))</f>
        <v/>
      </c>
    </row>
    <row r="38">
      <c r="A38" s="7">
        <f>IF(VERI_A!A38="","",VERI_A!A38)</f>
        <v/>
      </c>
      <c r="B38" s="16">
        <f>UPPER(TRIM(SUBSTITUTE($A38," ","")))</f>
        <v/>
      </c>
      <c r="C38" s="16">
        <f>IF($B38="",0,LEN($B38))</f>
        <v/>
      </c>
      <c r="D38" s="16">
        <f>IF($B38="","",LEFT($B38,cbb_ikincilUzunluk))</f>
        <v/>
      </c>
      <c r="E38" s="16">
        <f>"A"</f>
        <v/>
      </c>
      <c r="F38" s="16">
        <f>IF($B38="","",IF(COUNTIF(tblAnahtarA[Norm],$B38)&gt;1,"EVET","HAYIR"))</f>
        <v/>
      </c>
      <c r="G38" s="16">
        <f>IF($A38="","",ROW()-ROW($A$5))</f>
        <v/>
      </c>
      <c r="I38" s="7">
        <f>IF(VERI_B!A38="","",VERI_B!A38)</f>
        <v/>
      </c>
      <c r="J38" s="16">
        <f>UPPER(TRIM(SUBSTITUTE($I38," ","")))</f>
        <v/>
      </c>
      <c r="K38" s="16">
        <f>IF($J38="",0,LEN($J38))</f>
        <v/>
      </c>
      <c r="L38" s="16">
        <f>IF($J38="","",LEFT($J38,cbb_ikincilUzunluk))</f>
        <v/>
      </c>
      <c r="M38" s="16">
        <f>"B"</f>
        <v/>
      </c>
      <c r="N38" s="16">
        <f>IF($J38="","",IF(COUNTIF(tblAnahtarB[NormB],$J38)&gt;1,"EVET","HAYIR"))</f>
        <v/>
      </c>
      <c r="O38" s="16">
        <f>IF($I38="","",ROW()-ROW($I$5))</f>
        <v/>
      </c>
    </row>
    <row r="39">
      <c r="A39" s="7">
        <f>IF(VERI_A!A39="","",VERI_A!A39)</f>
        <v/>
      </c>
      <c r="B39" s="16">
        <f>UPPER(TRIM(SUBSTITUTE($A39," ","")))</f>
        <v/>
      </c>
      <c r="C39" s="16">
        <f>IF($B39="",0,LEN($B39))</f>
        <v/>
      </c>
      <c r="D39" s="16">
        <f>IF($B39="","",LEFT($B39,cbb_ikincilUzunluk))</f>
        <v/>
      </c>
      <c r="E39" s="16">
        <f>"A"</f>
        <v/>
      </c>
      <c r="F39" s="16">
        <f>IF($B39="","",IF(COUNTIF(tblAnahtarA[Norm],$B39)&gt;1,"EVET","HAYIR"))</f>
        <v/>
      </c>
      <c r="G39" s="16">
        <f>IF($A39="","",ROW()-ROW($A$5))</f>
        <v/>
      </c>
      <c r="I39" s="7">
        <f>IF(VERI_B!A39="","",VERI_B!A39)</f>
        <v/>
      </c>
      <c r="J39" s="16">
        <f>UPPER(TRIM(SUBSTITUTE($I39," ","")))</f>
        <v/>
      </c>
      <c r="K39" s="16">
        <f>IF($J39="",0,LEN($J39))</f>
        <v/>
      </c>
      <c r="L39" s="16">
        <f>IF($J39="","",LEFT($J39,cbb_ikincilUzunluk))</f>
        <v/>
      </c>
      <c r="M39" s="16">
        <f>"B"</f>
        <v/>
      </c>
      <c r="N39" s="16">
        <f>IF($J39="","",IF(COUNTIF(tblAnahtarB[NormB],$J39)&gt;1,"EVET","HAYIR"))</f>
        <v/>
      </c>
      <c r="O39" s="16">
        <f>IF($I39="","",ROW()-ROW($I$5))</f>
        <v/>
      </c>
    </row>
    <row r="40">
      <c r="A40" s="7">
        <f>IF(VERI_A!A40="","",VERI_A!A40)</f>
        <v/>
      </c>
      <c r="B40" s="16">
        <f>UPPER(TRIM(SUBSTITUTE($A40," ","")))</f>
        <v/>
      </c>
      <c r="C40" s="16">
        <f>IF($B40="",0,LEN($B40))</f>
        <v/>
      </c>
      <c r="D40" s="16">
        <f>IF($B40="","",LEFT($B40,cbb_ikincilUzunluk))</f>
        <v/>
      </c>
      <c r="E40" s="16">
        <f>"A"</f>
        <v/>
      </c>
      <c r="F40" s="16">
        <f>IF($B40="","",IF(COUNTIF(tblAnahtarA[Norm],$B40)&gt;1,"EVET","HAYIR"))</f>
        <v/>
      </c>
      <c r="G40" s="16">
        <f>IF($A40="","",ROW()-ROW($A$5))</f>
        <v/>
      </c>
      <c r="I40" s="7">
        <f>IF(VERI_B!A40="","",VERI_B!A40)</f>
        <v/>
      </c>
      <c r="J40" s="16">
        <f>UPPER(TRIM(SUBSTITUTE($I40," ","")))</f>
        <v/>
      </c>
      <c r="K40" s="16">
        <f>IF($J40="",0,LEN($J40))</f>
        <v/>
      </c>
      <c r="L40" s="16">
        <f>IF($J40="","",LEFT($J40,cbb_ikincilUzunluk))</f>
        <v/>
      </c>
      <c r="M40" s="16">
        <f>"B"</f>
        <v/>
      </c>
      <c r="N40" s="16">
        <f>IF($J40="","",IF(COUNTIF(tblAnahtarB[NormB],$J40)&gt;1,"EVET","HAYIR"))</f>
        <v/>
      </c>
      <c r="O40" s="16">
        <f>IF($I40="","",ROW()-ROW($I$5))</f>
        <v/>
      </c>
    </row>
    <row r="41">
      <c r="A41" s="7">
        <f>IF(VERI_A!A41="","",VERI_A!A41)</f>
        <v/>
      </c>
      <c r="B41" s="16">
        <f>UPPER(TRIM(SUBSTITUTE($A41," ","")))</f>
        <v/>
      </c>
      <c r="C41" s="16">
        <f>IF($B41="",0,LEN($B41))</f>
        <v/>
      </c>
      <c r="D41" s="16">
        <f>IF($B41="","",LEFT($B41,cbb_ikincilUzunluk))</f>
        <v/>
      </c>
      <c r="E41" s="16">
        <f>"A"</f>
        <v/>
      </c>
      <c r="F41" s="16">
        <f>IF($B41="","",IF(COUNTIF(tblAnahtarA[Norm],$B41)&gt;1,"EVET","HAYIR"))</f>
        <v/>
      </c>
      <c r="G41" s="16">
        <f>IF($A41="","",ROW()-ROW($A$5))</f>
        <v/>
      </c>
      <c r="I41" s="7">
        <f>IF(VERI_B!A41="","",VERI_B!A41)</f>
        <v/>
      </c>
      <c r="J41" s="16">
        <f>UPPER(TRIM(SUBSTITUTE($I41," ","")))</f>
        <v/>
      </c>
      <c r="K41" s="16">
        <f>IF($J41="",0,LEN($J41))</f>
        <v/>
      </c>
      <c r="L41" s="16">
        <f>IF($J41="","",LEFT($J41,cbb_ikincilUzunluk))</f>
        <v/>
      </c>
      <c r="M41" s="16">
        <f>"B"</f>
        <v/>
      </c>
      <c r="N41" s="16">
        <f>IF($J41="","",IF(COUNTIF(tblAnahtarB[NormB],$J41)&gt;1,"EVET","HAYIR"))</f>
        <v/>
      </c>
      <c r="O41" s="16">
        <f>IF($I41="","",ROW()-ROW($I$5))</f>
        <v/>
      </c>
    </row>
    <row r="42">
      <c r="A42" s="7">
        <f>IF(VERI_A!A42="","",VERI_A!A42)</f>
        <v/>
      </c>
      <c r="B42" s="16">
        <f>UPPER(TRIM(SUBSTITUTE($A42," ","")))</f>
        <v/>
      </c>
      <c r="C42" s="16">
        <f>IF($B42="",0,LEN($B42))</f>
        <v/>
      </c>
      <c r="D42" s="16">
        <f>IF($B42="","",LEFT($B42,cbb_ikincilUzunluk))</f>
        <v/>
      </c>
      <c r="E42" s="16">
        <f>"A"</f>
        <v/>
      </c>
      <c r="F42" s="16">
        <f>IF($B42="","",IF(COUNTIF(tblAnahtarA[Norm],$B42)&gt;1,"EVET","HAYIR"))</f>
        <v/>
      </c>
      <c r="G42" s="16">
        <f>IF($A42="","",ROW()-ROW($A$5))</f>
        <v/>
      </c>
      <c r="I42" s="7">
        <f>IF(VERI_B!A42="","",VERI_B!A42)</f>
        <v/>
      </c>
      <c r="J42" s="16">
        <f>UPPER(TRIM(SUBSTITUTE($I42," ","")))</f>
        <v/>
      </c>
      <c r="K42" s="16">
        <f>IF($J42="",0,LEN($J42))</f>
        <v/>
      </c>
      <c r="L42" s="16">
        <f>IF($J42="","",LEFT($J42,cbb_ikincilUzunluk))</f>
        <v/>
      </c>
      <c r="M42" s="16">
        <f>"B"</f>
        <v/>
      </c>
      <c r="N42" s="16">
        <f>IF($J42="","",IF(COUNTIF(tblAnahtarB[NormB],$J42)&gt;1,"EVET","HAYIR"))</f>
        <v/>
      </c>
      <c r="O42" s="16">
        <f>IF($I42="","",ROW()-ROW($I$5))</f>
        <v/>
      </c>
    </row>
    <row r="43">
      <c r="A43" s="7">
        <f>IF(VERI_A!A43="","",VERI_A!A43)</f>
        <v/>
      </c>
      <c r="B43" s="16">
        <f>UPPER(TRIM(SUBSTITUTE($A43," ","")))</f>
        <v/>
      </c>
      <c r="C43" s="16">
        <f>IF($B43="",0,LEN($B43))</f>
        <v/>
      </c>
      <c r="D43" s="16">
        <f>IF($B43="","",LEFT($B43,cbb_ikincilUzunluk))</f>
        <v/>
      </c>
      <c r="E43" s="16">
        <f>"A"</f>
        <v/>
      </c>
      <c r="F43" s="16">
        <f>IF($B43="","",IF(COUNTIF(tblAnahtarA[Norm],$B43)&gt;1,"EVET","HAYIR"))</f>
        <v/>
      </c>
      <c r="G43" s="16">
        <f>IF($A43="","",ROW()-ROW($A$5))</f>
        <v/>
      </c>
      <c r="I43" s="7">
        <f>IF(VERI_B!A43="","",VERI_B!A43)</f>
        <v/>
      </c>
      <c r="J43" s="16">
        <f>UPPER(TRIM(SUBSTITUTE($I43," ","")))</f>
        <v/>
      </c>
      <c r="K43" s="16">
        <f>IF($J43="",0,LEN($J43))</f>
        <v/>
      </c>
      <c r="L43" s="16">
        <f>IF($J43="","",LEFT($J43,cbb_ikincilUzunluk))</f>
        <v/>
      </c>
      <c r="M43" s="16">
        <f>"B"</f>
        <v/>
      </c>
      <c r="N43" s="16">
        <f>IF($J43="","",IF(COUNTIF(tblAnahtarB[NormB],$J43)&gt;1,"EVET","HAYIR"))</f>
        <v/>
      </c>
      <c r="O43" s="16">
        <f>IF($I43="","",ROW()-ROW($I$5))</f>
        <v/>
      </c>
    </row>
    <row r="44">
      <c r="A44" s="7">
        <f>IF(VERI_A!A44="","",VERI_A!A44)</f>
        <v/>
      </c>
      <c r="B44" s="16">
        <f>UPPER(TRIM(SUBSTITUTE($A44," ","")))</f>
        <v/>
      </c>
      <c r="C44" s="16">
        <f>IF($B44="",0,LEN($B44))</f>
        <v/>
      </c>
      <c r="D44" s="16">
        <f>IF($B44="","",LEFT($B44,cbb_ikincilUzunluk))</f>
        <v/>
      </c>
      <c r="E44" s="16">
        <f>"A"</f>
        <v/>
      </c>
      <c r="F44" s="16">
        <f>IF($B44="","",IF(COUNTIF(tblAnahtarA[Norm],$B44)&gt;1,"EVET","HAYIR"))</f>
        <v/>
      </c>
      <c r="G44" s="16">
        <f>IF($A44="","",ROW()-ROW($A$5))</f>
        <v/>
      </c>
      <c r="I44" s="7">
        <f>IF(VERI_B!A44="","",VERI_B!A44)</f>
        <v/>
      </c>
      <c r="J44" s="16">
        <f>UPPER(TRIM(SUBSTITUTE($I44," ","")))</f>
        <v/>
      </c>
      <c r="K44" s="16">
        <f>IF($J44="",0,LEN($J44))</f>
        <v/>
      </c>
      <c r="L44" s="16">
        <f>IF($J44="","",LEFT($J44,cbb_ikincilUzunluk))</f>
        <v/>
      </c>
      <c r="M44" s="16">
        <f>"B"</f>
        <v/>
      </c>
      <c r="N44" s="16">
        <f>IF($J44="","",IF(COUNTIF(tblAnahtarB[NormB],$J44)&gt;1,"EVET","HAYIR"))</f>
        <v/>
      </c>
      <c r="O44" s="16">
        <f>IF($I44="","",ROW()-ROW($I$5))</f>
        <v/>
      </c>
    </row>
    <row r="45">
      <c r="A45" s="7">
        <f>IF(VERI_A!A45="","",VERI_A!A45)</f>
        <v/>
      </c>
      <c r="B45" s="16">
        <f>UPPER(TRIM(SUBSTITUTE($A45," ","")))</f>
        <v/>
      </c>
      <c r="C45" s="16">
        <f>IF($B45="",0,LEN($B45))</f>
        <v/>
      </c>
      <c r="D45" s="16">
        <f>IF($B45="","",LEFT($B45,cbb_ikincilUzunluk))</f>
        <v/>
      </c>
      <c r="E45" s="16">
        <f>"A"</f>
        <v/>
      </c>
      <c r="F45" s="16">
        <f>IF($B45="","",IF(COUNTIF(tblAnahtarA[Norm],$B45)&gt;1,"EVET","HAYIR"))</f>
        <v/>
      </c>
      <c r="G45" s="16">
        <f>IF($A45="","",ROW()-ROW($A$5))</f>
        <v/>
      </c>
      <c r="I45" s="7">
        <f>IF(VERI_B!A45="","",VERI_B!A45)</f>
        <v/>
      </c>
      <c r="J45" s="16">
        <f>UPPER(TRIM(SUBSTITUTE($I45," ","")))</f>
        <v/>
      </c>
      <c r="K45" s="16">
        <f>IF($J45="",0,LEN($J45))</f>
        <v/>
      </c>
      <c r="L45" s="16">
        <f>IF($J45="","",LEFT($J45,cbb_ikincilUzunluk))</f>
        <v/>
      </c>
      <c r="M45" s="16">
        <f>"B"</f>
        <v/>
      </c>
      <c r="N45" s="16">
        <f>IF($J45="","",IF(COUNTIF(tblAnahtarB[NormB],$J45)&gt;1,"EVET","HAYIR"))</f>
        <v/>
      </c>
      <c r="O45" s="16">
        <f>IF($I45="","",ROW()-ROW($I$5))</f>
        <v/>
      </c>
    </row>
    <row r="46">
      <c r="A46" s="7">
        <f>IF(VERI_A!A46="","",VERI_A!A46)</f>
        <v/>
      </c>
      <c r="B46" s="16">
        <f>UPPER(TRIM(SUBSTITUTE($A46," ","")))</f>
        <v/>
      </c>
      <c r="C46" s="16">
        <f>IF($B46="",0,LEN($B46))</f>
        <v/>
      </c>
      <c r="D46" s="16">
        <f>IF($B46="","",LEFT($B46,cbb_ikincilUzunluk))</f>
        <v/>
      </c>
      <c r="E46" s="16">
        <f>"A"</f>
        <v/>
      </c>
      <c r="F46" s="16">
        <f>IF($B46="","",IF(COUNTIF(tblAnahtarA[Norm],$B46)&gt;1,"EVET","HAYIR"))</f>
        <v/>
      </c>
      <c r="G46" s="16">
        <f>IF($A46="","",ROW()-ROW($A$5))</f>
        <v/>
      </c>
      <c r="I46" s="7">
        <f>IF(VERI_B!A46="","",VERI_B!A46)</f>
        <v/>
      </c>
      <c r="J46" s="16">
        <f>UPPER(TRIM(SUBSTITUTE($I46," ","")))</f>
        <v/>
      </c>
      <c r="K46" s="16">
        <f>IF($J46="",0,LEN($J46))</f>
        <v/>
      </c>
      <c r="L46" s="16">
        <f>IF($J46="","",LEFT($J46,cbb_ikincilUzunluk))</f>
        <v/>
      </c>
      <c r="M46" s="16">
        <f>"B"</f>
        <v/>
      </c>
      <c r="N46" s="16">
        <f>IF($J46="","",IF(COUNTIF(tblAnahtarB[NormB],$J46)&gt;1,"EVET","HAYIR"))</f>
        <v/>
      </c>
      <c r="O46" s="16">
        <f>IF($I46="","",ROW()-ROW($I$5))</f>
        <v/>
      </c>
    </row>
    <row r="47">
      <c r="A47" s="7">
        <f>IF(VERI_A!A47="","",VERI_A!A47)</f>
        <v/>
      </c>
      <c r="B47" s="16">
        <f>UPPER(TRIM(SUBSTITUTE($A47," ","")))</f>
        <v/>
      </c>
      <c r="C47" s="16">
        <f>IF($B47="",0,LEN($B47))</f>
        <v/>
      </c>
      <c r="D47" s="16">
        <f>IF($B47="","",LEFT($B47,cbb_ikincilUzunluk))</f>
        <v/>
      </c>
      <c r="E47" s="16">
        <f>"A"</f>
        <v/>
      </c>
      <c r="F47" s="16">
        <f>IF($B47="","",IF(COUNTIF(tblAnahtarA[Norm],$B47)&gt;1,"EVET","HAYIR"))</f>
        <v/>
      </c>
      <c r="G47" s="16">
        <f>IF($A47="","",ROW()-ROW($A$5))</f>
        <v/>
      </c>
      <c r="I47" s="7">
        <f>IF(VERI_B!A47="","",VERI_B!A47)</f>
        <v/>
      </c>
      <c r="J47" s="16">
        <f>UPPER(TRIM(SUBSTITUTE($I47," ","")))</f>
        <v/>
      </c>
      <c r="K47" s="16">
        <f>IF($J47="",0,LEN($J47))</f>
        <v/>
      </c>
      <c r="L47" s="16">
        <f>IF($J47="","",LEFT($J47,cbb_ikincilUzunluk))</f>
        <v/>
      </c>
      <c r="M47" s="16">
        <f>"B"</f>
        <v/>
      </c>
      <c r="N47" s="16">
        <f>IF($J47="","",IF(COUNTIF(tblAnahtarB[NormB],$J47)&gt;1,"EVET","HAYIR"))</f>
        <v/>
      </c>
      <c r="O47" s="16">
        <f>IF($I47="","",ROW()-ROW($I$5))</f>
        <v/>
      </c>
    </row>
    <row r="48">
      <c r="A48" s="7">
        <f>IF(VERI_A!A48="","",VERI_A!A48)</f>
        <v/>
      </c>
      <c r="B48" s="16">
        <f>UPPER(TRIM(SUBSTITUTE($A48," ","")))</f>
        <v/>
      </c>
      <c r="C48" s="16">
        <f>IF($B48="",0,LEN($B48))</f>
        <v/>
      </c>
      <c r="D48" s="16">
        <f>IF($B48="","",LEFT($B48,cbb_ikincilUzunluk))</f>
        <v/>
      </c>
      <c r="E48" s="16">
        <f>"A"</f>
        <v/>
      </c>
      <c r="F48" s="16">
        <f>IF($B48="","",IF(COUNTIF(tblAnahtarA[Norm],$B48)&gt;1,"EVET","HAYIR"))</f>
        <v/>
      </c>
      <c r="G48" s="16">
        <f>IF($A48="","",ROW()-ROW($A$5))</f>
        <v/>
      </c>
      <c r="I48" s="7">
        <f>IF(VERI_B!A48="","",VERI_B!A48)</f>
        <v/>
      </c>
      <c r="J48" s="16">
        <f>UPPER(TRIM(SUBSTITUTE($I48," ","")))</f>
        <v/>
      </c>
      <c r="K48" s="16">
        <f>IF($J48="",0,LEN($J48))</f>
        <v/>
      </c>
      <c r="L48" s="16">
        <f>IF($J48="","",LEFT($J48,cbb_ikincilUzunluk))</f>
        <v/>
      </c>
      <c r="M48" s="16">
        <f>"B"</f>
        <v/>
      </c>
      <c r="N48" s="16">
        <f>IF($J48="","",IF(COUNTIF(tblAnahtarB[NormB],$J48)&gt;1,"EVET","HAYIR"))</f>
        <v/>
      </c>
      <c r="O48" s="16">
        <f>IF($I48="","",ROW()-ROW($I$5))</f>
        <v/>
      </c>
    </row>
    <row r="49">
      <c r="A49" s="7">
        <f>IF(VERI_A!A49="","",VERI_A!A49)</f>
        <v/>
      </c>
      <c r="B49" s="16">
        <f>UPPER(TRIM(SUBSTITUTE($A49," ","")))</f>
        <v/>
      </c>
      <c r="C49" s="16">
        <f>IF($B49="",0,LEN($B49))</f>
        <v/>
      </c>
      <c r="D49" s="16">
        <f>IF($B49="","",LEFT($B49,cbb_ikincilUzunluk))</f>
        <v/>
      </c>
      <c r="E49" s="16">
        <f>"A"</f>
        <v/>
      </c>
      <c r="F49" s="16">
        <f>IF($B49="","",IF(COUNTIF(tblAnahtarA[Norm],$B49)&gt;1,"EVET","HAYIR"))</f>
        <v/>
      </c>
      <c r="G49" s="16">
        <f>IF($A49="","",ROW()-ROW($A$5))</f>
        <v/>
      </c>
      <c r="I49" s="7">
        <f>IF(VERI_B!A49="","",VERI_B!A49)</f>
        <v/>
      </c>
      <c r="J49" s="16">
        <f>UPPER(TRIM(SUBSTITUTE($I49," ","")))</f>
        <v/>
      </c>
      <c r="K49" s="16">
        <f>IF($J49="",0,LEN($J49))</f>
        <v/>
      </c>
      <c r="L49" s="16">
        <f>IF($J49="","",LEFT($J49,cbb_ikincilUzunluk))</f>
        <v/>
      </c>
      <c r="M49" s="16">
        <f>"B"</f>
        <v/>
      </c>
      <c r="N49" s="16">
        <f>IF($J49="","",IF(COUNTIF(tblAnahtarB[NormB],$J49)&gt;1,"EVET","HAYIR"))</f>
        <v/>
      </c>
      <c r="O49" s="16">
        <f>IF($I49="","",ROW()-ROW($I$5))</f>
        <v/>
      </c>
    </row>
    <row r="50">
      <c r="A50" s="7">
        <f>IF(VERI_A!A50="","",VERI_A!A50)</f>
        <v/>
      </c>
      <c r="B50" s="16">
        <f>UPPER(TRIM(SUBSTITUTE($A50," ","")))</f>
        <v/>
      </c>
      <c r="C50" s="16">
        <f>IF($B50="",0,LEN($B50))</f>
        <v/>
      </c>
      <c r="D50" s="16">
        <f>IF($B50="","",LEFT($B50,cbb_ikincilUzunluk))</f>
        <v/>
      </c>
      <c r="E50" s="16">
        <f>"A"</f>
        <v/>
      </c>
      <c r="F50" s="16">
        <f>IF($B50="","",IF(COUNTIF(tblAnahtarA[Norm],$B50)&gt;1,"EVET","HAYIR"))</f>
        <v/>
      </c>
      <c r="G50" s="16">
        <f>IF($A50="","",ROW()-ROW($A$5))</f>
        <v/>
      </c>
      <c r="I50" s="7">
        <f>IF(VERI_B!A50="","",VERI_B!A50)</f>
        <v/>
      </c>
      <c r="J50" s="16">
        <f>UPPER(TRIM(SUBSTITUTE($I50," ","")))</f>
        <v/>
      </c>
      <c r="K50" s="16">
        <f>IF($J50="",0,LEN($J50))</f>
        <v/>
      </c>
      <c r="L50" s="16">
        <f>IF($J50="","",LEFT($J50,cbb_ikincilUzunluk))</f>
        <v/>
      </c>
      <c r="M50" s="16">
        <f>"B"</f>
        <v/>
      </c>
      <c r="N50" s="16">
        <f>IF($J50="","",IF(COUNTIF(tblAnahtarB[NormB],$J50)&gt;1,"EVET","HAYIR"))</f>
        <v/>
      </c>
      <c r="O50" s="16">
        <f>IF($I50="","",ROW()-ROW($I$5))</f>
        <v/>
      </c>
    </row>
    <row r="51">
      <c r="A51" s="7">
        <f>IF(VERI_A!A51="","",VERI_A!A51)</f>
        <v/>
      </c>
      <c r="B51" s="16">
        <f>UPPER(TRIM(SUBSTITUTE($A51," ","")))</f>
        <v/>
      </c>
      <c r="C51" s="16">
        <f>IF($B51="",0,LEN($B51))</f>
        <v/>
      </c>
      <c r="D51" s="16">
        <f>IF($B51="","",LEFT($B51,cbb_ikincilUzunluk))</f>
        <v/>
      </c>
      <c r="E51" s="16">
        <f>"A"</f>
        <v/>
      </c>
      <c r="F51" s="16">
        <f>IF($B51="","",IF(COUNTIF(tblAnahtarA[Norm],$B51)&gt;1,"EVET","HAYIR"))</f>
        <v/>
      </c>
      <c r="G51" s="16">
        <f>IF($A51="","",ROW()-ROW($A$5))</f>
        <v/>
      </c>
      <c r="I51" s="7">
        <f>IF(VERI_B!A51="","",VERI_B!A51)</f>
        <v/>
      </c>
      <c r="J51" s="16">
        <f>UPPER(TRIM(SUBSTITUTE($I51," ","")))</f>
        <v/>
      </c>
      <c r="K51" s="16">
        <f>IF($J51="",0,LEN($J51))</f>
        <v/>
      </c>
      <c r="L51" s="16">
        <f>IF($J51="","",LEFT($J51,cbb_ikincilUzunluk))</f>
        <v/>
      </c>
      <c r="M51" s="16">
        <f>"B"</f>
        <v/>
      </c>
      <c r="N51" s="16">
        <f>IF($J51="","",IF(COUNTIF(tblAnahtarB[NormB],$J51)&gt;1,"EVET","HAYIR"))</f>
        <v/>
      </c>
      <c r="O51" s="16">
        <f>IF($I51="","",ROW()-ROW($I$5))</f>
        <v/>
      </c>
    </row>
    <row r="52">
      <c r="A52" s="7">
        <f>IF(VERI_A!A52="","",VERI_A!A52)</f>
        <v/>
      </c>
      <c r="B52" s="16">
        <f>UPPER(TRIM(SUBSTITUTE($A52," ","")))</f>
        <v/>
      </c>
      <c r="C52" s="16">
        <f>IF($B52="",0,LEN($B52))</f>
        <v/>
      </c>
      <c r="D52" s="16">
        <f>IF($B52="","",LEFT($B52,cbb_ikincilUzunluk))</f>
        <v/>
      </c>
      <c r="E52" s="16">
        <f>"A"</f>
        <v/>
      </c>
      <c r="F52" s="16">
        <f>IF($B52="","",IF(COUNTIF(tblAnahtarA[Norm],$B52)&gt;1,"EVET","HAYIR"))</f>
        <v/>
      </c>
      <c r="G52" s="16">
        <f>IF($A52="","",ROW()-ROW($A$5))</f>
        <v/>
      </c>
      <c r="I52" s="7">
        <f>IF(VERI_B!A52="","",VERI_B!A52)</f>
        <v/>
      </c>
      <c r="J52" s="16">
        <f>UPPER(TRIM(SUBSTITUTE($I52," ","")))</f>
        <v/>
      </c>
      <c r="K52" s="16">
        <f>IF($J52="",0,LEN($J52))</f>
        <v/>
      </c>
      <c r="L52" s="16">
        <f>IF($J52="","",LEFT($J52,cbb_ikincilUzunluk))</f>
        <v/>
      </c>
      <c r="M52" s="16">
        <f>"B"</f>
        <v/>
      </c>
      <c r="N52" s="16">
        <f>IF($J52="","",IF(COUNTIF(tblAnahtarB[NormB],$J52)&gt;1,"EVET","HAYIR"))</f>
        <v/>
      </c>
      <c r="O52" s="16">
        <f>IF($I52="","",ROW()-ROW($I$5))</f>
        <v/>
      </c>
    </row>
    <row r="53">
      <c r="A53" s="7">
        <f>IF(VERI_A!A53="","",VERI_A!A53)</f>
        <v/>
      </c>
      <c r="B53" s="16">
        <f>UPPER(TRIM(SUBSTITUTE($A53," ","")))</f>
        <v/>
      </c>
      <c r="C53" s="16">
        <f>IF($B53="",0,LEN($B53))</f>
        <v/>
      </c>
      <c r="D53" s="16">
        <f>IF($B53="","",LEFT($B53,cbb_ikincilUzunluk))</f>
        <v/>
      </c>
      <c r="E53" s="16">
        <f>"A"</f>
        <v/>
      </c>
      <c r="F53" s="16">
        <f>IF($B53="","",IF(COUNTIF(tblAnahtarA[Norm],$B53)&gt;1,"EVET","HAYIR"))</f>
        <v/>
      </c>
      <c r="G53" s="16">
        <f>IF($A53="","",ROW()-ROW($A$5))</f>
        <v/>
      </c>
      <c r="I53" s="7">
        <f>IF(VERI_B!A53="","",VERI_B!A53)</f>
        <v/>
      </c>
      <c r="J53" s="16">
        <f>UPPER(TRIM(SUBSTITUTE($I53," ","")))</f>
        <v/>
      </c>
      <c r="K53" s="16">
        <f>IF($J53="",0,LEN($J53))</f>
        <v/>
      </c>
      <c r="L53" s="16">
        <f>IF($J53="","",LEFT($J53,cbb_ikincilUzunluk))</f>
        <v/>
      </c>
      <c r="M53" s="16">
        <f>"B"</f>
        <v/>
      </c>
      <c r="N53" s="16">
        <f>IF($J53="","",IF(COUNTIF(tblAnahtarB[NormB],$J53)&gt;1,"EVET","HAYIR"))</f>
        <v/>
      </c>
      <c r="O53" s="16">
        <f>IF($I53="","",ROW()-ROW($I$5))</f>
        <v/>
      </c>
    </row>
    <row r="54">
      <c r="A54" s="7">
        <f>IF(VERI_A!A54="","",VERI_A!A54)</f>
        <v/>
      </c>
      <c r="B54" s="16">
        <f>UPPER(TRIM(SUBSTITUTE($A54," ","")))</f>
        <v/>
      </c>
      <c r="C54" s="16">
        <f>IF($B54="",0,LEN($B54))</f>
        <v/>
      </c>
      <c r="D54" s="16">
        <f>IF($B54="","",LEFT($B54,cbb_ikincilUzunluk))</f>
        <v/>
      </c>
      <c r="E54" s="16">
        <f>"A"</f>
        <v/>
      </c>
      <c r="F54" s="16">
        <f>IF($B54="","",IF(COUNTIF(tblAnahtarA[Norm],$B54)&gt;1,"EVET","HAYIR"))</f>
        <v/>
      </c>
      <c r="G54" s="16">
        <f>IF($A54="","",ROW()-ROW($A$5))</f>
        <v/>
      </c>
      <c r="I54" s="7">
        <f>IF(VERI_B!A54="","",VERI_B!A54)</f>
        <v/>
      </c>
      <c r="J54" s="16">
        <f>UPPER(TRIM(SUBSTITUTE($I54," ","")))</f>
        <v/>
      </c>
      <c r="K54" s="16">
        <f>IF($J54="",0,LEN($J54))</f>
        <v/>
      </c>
      <c r="L54" s="16">
        <f>IF($J54="","",LEFT($J54,cbb_ikincilUzunluk))</f>
        <v/>
      </c>
      <c r="M54" s="16">
        <f>"B"</f>
        <v/>
      </c>
      <c r="N54" s="16">
        <f>IF($J54="","",IF(COUNTIF(tblAnahtarB[NormB],$J54)&gt;1,"EVET","HAYIR"))</f>
        <v/>
      </c>
      <c r="O54" s="16">
        <f>IF($I54="","",ROW()-ROW($I$5))</f>
        <v/>
      </c>
    </row>
    <row r="55">
      <c r="A55" s="7">
        <f>IF(VERI_A!A55="","",VERI_A!A55)</f>
        <v/>
      </c>
      <c r="B55" s="16">
        <f>UPPER(TRIM(SUBSTITUTE($A55," ","")))</f>
        <v/>
      </c>
      <c r="C55" s="16">
        <f>IF($B55="",0,LEN($B55))</f>
        <v/>
      </c>
      <c r="D55" s="16">
        <f>IF($B55="","",LEFT($B55,cbb_ikincilUzunluk))</f>
        <v/>
      </c>
      <c r="E55" s="16">
        <f>"A"</f>
        <v/>
      </c>
      <c r="F55" s="16">
        <f>IF($B55="","",IF(COUNTIF(tblAnahtarA[Norm],$B55)&gt;1,"EVET","HAYIR"))</f>
        <v/>
      </c>
      <c r="G55" s="16">
        <f>IF($A55="","",ROW()-ROW($A$5))</f>
        <v/>
      </c>
      <c r="I55" s="7">
        <f>IF(VERI_B!A55="","",VERI_B!A55)</f>
        <v/>
      </c>
      <c r="J55" s="16">
        <f>UPPER(TRIM(SUBSTITUTE($I55," ","")))</f>
        <v/>
      </c>
      <c r="K55" s="16">
        <f>IF($J55="",0,LEN($J55))</f>
        <v/>
      </c>
      <c r="L55" s="16">
        <f>IF($J55="","",LEFT($J55,cbb_ikincilUzunluk))</f>
        <v/>
      </c>
      <c r="M55" s="16">
        <f>"B"</f>
        <v/>
      </c>
      <c r="N55" s="16">
        <f>IF($J55="","",IF(COUNTIF(tblAnahtarB[NormB],$J55)&gt;1,"EVET","HAYIR"))</f>
        <v/>
      </c>
      <c r="O55" s="16">
        <f>IF($I55="","",ROW()-ROW($I$5))</f>
        <v/>
      </c>
    </row>
    <row r="56">
      <c r="A56" s="7">
        <f>IF(VERI_A!A56="","",VERI_A!A56)</f>
        <v/>
      </c>
      <c r="B56" s="16">
        <f>UPPER(TRIM(SUBSTITUTE($A56," ","")))</f>
        <v/>
      </c>
      <c r="C56" s="16">
        <f>IF($B56="",0,LEN($B56))</f>
        <v/>
      </c>
      <c r="D56" s="16">
        <f>IF($B56="","",LEFT($B56,cbb_ikincilUzunluk))</f>
        <v/>
      </c>
      <c r="E56" s="16">
        <f>"A"</f>
        <v/>
      </c>
      <c r="F56" s="16">
        <f>IF($B56="","",IF(COUNTIF(tblAnahtarA[Norm],$B56)&gt;1,"EVET","HAYIR"))</f>
        <v/>
      </c>
      <c r="G56" s="16">
        <f>IF($A56="","",ROW()-ROW($A$5))</f>
        <v/>
      </c>
      <c r="I56" s="7">
        <f>IF(VERI_B!A56="","",VERI_B!A56)</f>
        <v/>
      </c>
      <c r="J56" s="16">
        <f>UPPER(TRIM(SUBSTITUTE($I56," ","")))</f>
        <v/>
      </c>
      <c r="K56" s="16">
        <f>IF($J56="",0,LEN($J56))</f>
        <v/>
      </c>
      <c r="L56" s="16">
        <f>IF($J56="","",LEFT($J56,cbb_ikincilUzunluk))</f>
        <v/>
      </c>
      <c r="M56" s="16">
        <f>"B"</f>
        <v/>
      </c>
      <c r="N56" s="16">
        <f>IF($J56="","",IF(COUNTIF(tblAnahtarB[NormB],$J56)&gt;1,"EVET","HAYIR"))</f>
        <v/>
      </c>
      <c r="O56" s="16">
        <f>IF($I56="","",ROW()-ROW($I$5))</f>
        <v/>
      </c>
    </row>
    <row r="57">
      <c r="A57" s="7">
        <f>IF(VERI_A!A57="","",VERI_A!A57)</f>
        <v/>
      </c>
      <c r="B57" s="16">
        <f>UPPER(TRIM(SUBSTITUTE($A57," ","")))</f>
        <v/>
      </c>
      <c r="C57" s="16">
        <f>IF($B57="",0,LEN($B57))</f>
        <v/>
      </c>
      <c r="D57" s="16">
        <f>IF($B57="","",LEFT($B57,cbb_ikincilUzunluk))</f>
        <v/>
      </c>
      <c r="E57" s="16">
        <f>"A"</f>
        <v/>
      </c>
      <c r="F57" s="16">
        <f>IF($B57="","",IF(COUNTIF(tblAnahtarA[Norm],$B57)&gt;1,"EVET","HAYIR"))</f>
        <v/>
      </c>
      <c r="G57" s="16">
        <f>IF($A57="","",ROW()-ROW($A$5))</f>
        <v/>
      </c>
      <c r="I57" s="7">
        <f>IF(VERI_B!A57="","",VERI_B!A57)</f>
        <v/>
      </c>
      <c r="J57" s="16">
        <f>UPPER(TRIM(SUBSTITUTE($I57," ","")))</f>
        <v/>
      </c>
      <c r="K57" s="16">
        <f>IF($J57="",0,LEN($J57))</f>
        <v/>
      </c>
      <c r="L57" s="16">
        <f>IF($J57="","",LEFT($J57,cbb_ikincilUzunluk))</f>
        <v/>
      </c>
      <c r="M57" s="16">
        <f>"B"</f>
        <v/>
      </c>
      <c r="N57" s="16">
        <f>IF($J57="","",IF(COUNTIF(tblAnahtarB[NormB],$J57)&gt;1,"EVET","HAYIR"))</f>
        <v/>
      </c>
      <c r="O57" s="16">
        <f>IF($I57="","",ROW()-ROW($I$5))</f>
        <v/>
      </c>
    </row>
    <row r="58">
      <c r="A58" s="7">
        <f>IF(VERI_A!A58="","",VERI_A!A58)</f>
        <v/>
      </c>
      <c r="B58" s="16">
        <f>UPPER(TRIM(SUBSTITUTE($A58," ","")))</f>
        <v/>
      </c>
      <c r="C58" s="16">
        <f>IF($B58="",0,LEN($B58))</f>
        <v/>
      </c>
      <c r="D58" s="16">
        <f>IF($B58="","",LEFT($B58,cbb_ikincilUzunluk))</f>
        <v/>
      </c>
      <c r="E58" s="16">
        <f>"A"</f>
        <v/>
      </c>
      <c r="F58" s="16">
        <f>IF($B58="","",IF(COUNTIF(tblAnahtarA[Norm],$B58)&gt;1,"EVET","HAYIR"))</f>
        <v/>
      </c>
      <c r="G58" s="16">
        <f>IF($A58="","",ROW()-ROW($A$5))</f>
        <v/>
      </c>
      <c r="I58" s="7">
        <f>IF(VERI_B!A58="","",VERI_B!A58)</f>
        <v/>
      </c>
      <c r="J58" s="16">
        <f>UPPER(TRIM(SUBSTITUTE($I58," ","")))</f>
        <v/>
      </c>
      <c r="K58" s="16">
        <f>IF($J58="",0,LEN($J58))</f>
        <v/>
      </c>
      <c r="L58" s="16">
        <f>IF($J58="","",LEFT($J58,cbb_ikincilUzunluk))</f>
        <v/>
      </c>
      <c r="M58" s="16">
        <f>"B"</f>
        <v/>
      </c>
      <c r="N58" s="16">
        <f>IF($J58="","",IF(COUNTIF(tblAnahtarB[NormB],$J58)&gt;1,"EVET","HAYIR"))</f>
        <v/>
      </c>
      <c r="O58" s="16">
        <f>IF($I58="","",ROW()-ROW($I$5))</f>
        <v/>
      </c>
    </row>
    <row r="59">
      <c r="A59" s="7">
        <f>IF(VERI_A!A59="","",VERI_A!A59)</f>
        <v/>
      </c>
      <c r="B59" s="16">
        <f>UPPER(TRIM(SUBSTITUTE($A59," ","")))</f>
        <v/>
      </c>
      <c r="C59" s="16">
        <f>IF($B59="",0,LEN($B59))</f>
        <v/>
      </c>
      <c r="D59" s="16">
        <f>IF($B59="","",LEFT($B59,cbb_ikincilUzunluk))</f>
        <v/>
      </c>
      <c r="E59" s="16">
        <f>"A"</f>
        <v/>
      </c>
      <c r="F59" s="16">
        <f>IF($B59="","",IF(COUNTIF(tblAnahtarA[Norm],$B59)&gt;1,"EVET","HAYIR"))</f>
        <v/>
      </c>
      <c r="G59" s="16">
        <f>IF($A59="","",ROW()-ROW($A$5))</f>
        <v/>
      </c>
      <c r="I59" s="7">
        <f>IF(VERI_B!A59="","",VERI_B!A59)</f>
        <v/>
      </c>
      <c r="J59" s="16">
        <f>UPPER(TRIM(SUBSTITUTE($I59," ","")))</f>
        <v/>
      </c>
      <c r="K59" s="16">
        <f>IF($J59="",0,LEN($J59))</f>
        <v/>
      </c>
      <c r="L59" s="16">
        <f>IF($J59="","",LEFT($J59,cbb_ikincilUzunluk))</f>
        <v/>
      </c>
      <c r="M59" s="16">
        <f>"B"</f>
        <v/>
      </c>
      <c r="N59" s="16">
        <f>IF($J59="","",IF(COUNTIF(tblAnahtarB[NormB],$J59)&gt;1,"EVET","HAYIR"))</f>
        <v/>
      </c>
      <c r="O59" s="16">
        <f>IF($I59="","",ROW()-ROW($I$5))</f>
        <v/>
      </c>
    </row>
    <row r="60">
      <c r="A60" s="7">
        <f>IF(VERI_A!A60="","",VERI_A!A60)</f>
        <v/>
      </c>
      <c r="B60" s="16">
        <f>UPPER(TRIM(SUBSTITUTE($A60," ","")))</f>
        <v/>
      </c>
      <c r="C60" s="16">
        <f>IF($B60="",0,LEN($B60))</f>
        <v/>
      </c>
      <c r="D60" s="16">
        <f>IF($B60="","",LEFT($B60,cbb_ikincilUzunluk))</f>
        <v/>
      </c>
      <c r="E60" s="16">
        <f>"A"</f>
        <v/>
      </c>
      <c r="F60" s="16">
        <f>IF($B60="","",IF(COUNTIF(tblAnahtarA[Norm],$B60)&gt;1,"EVET","HAYIR"))</f>
        <v/>
      </c>
      <c r="G60" s="16">
        <f>IF($A60="","",ROW()-ROW($A$5))</f>
        <v/>
      </c>
      <c r="I60" s="7">
        <f>IF(VERI_B!A60="","",VERI_B!A60)</f>
        <v/>
      </c>
      <c r="J60" s="16">
        <f>UPPER(TRIM(SUBSTITUTE($I60," ","")))</f>
        <v/>
      </c>
      <c r="K60" s="16">
        <f>IF($J60="",0,LEN($J60))</f>
        <v/>
      </c>
      <c r="L60" s="16">
        <f>IF($J60="","",LEFT($J60,cbb_ikincilUzunluk))</f>
        <v/>
      </c>
      <c r="M60" s="16">
        <f>"B"</f>
        <v/>
      </c>
      <c r="N60" s="16">
        <f>IF($J60="","",IF(COUNTIF(tblAnahtarB[NormB],$J60)&gt;1,"EVET","HAYIR"))</f>
        <v/>
      </c>
      <c r="O60" s="16">
        <f>IF($I60="","",ROW()-ROW($I$5))</f>
        <v/>
      </c>
    </row>
    <row r="61">
      <c r="A61" s="7">
        <f>IF(VERI_A!A61="","",VERI_A!A61)</f>
        <v/>
      </c>
      <c r="B61" s="16">
        <f>UPPER(TRIM(SUBSTITUTE($A61," ","")))</f>
        <v/>
      </c>
      <c r="C61" s="16">
        <f>IF($B61="",0,LEN($B61))</f>
        <v/>
      </c>
      <c r="D61" s="16">
        <f>IF($B61="","",LEFT($B61,cbb_ikincilUzunluk))</f>
        <v/>
      </c>
      <c r="E61" s="16">
        <f>"A"</f>
        <v/>
      </c>
      <c r="F61" s="16">
        <f>IF($B61="","",IF(COUNTIF(tblAnahtarA[Norm],$B61)&gt;1,"EVET","HAYIR"))</f>
        <v/>
      </c>
      <c r="G61" s="16">
        <f>IF($A61="","",ROW()-ROW($A$5))</f>
        <v/>
      </c>
      <c r="I61" s="7">
        <f>IF(VERI_B!A61="","",VERI_B!A61)</f>
        <v/>
      </c>
      <c r="J61" s="16">
        <f>UPPER(TRIM(SUBSTITUTE($I61," ","")))</f>
        <v/>
      </c>
      <c r="K61" s="16">
        <f>IF($J61="",0,LEN($J61))</f>
        <v/>
      </c>
      <c r="L61" s="16">
        <f>IF($J61="","",LEFT($J61,cbb_ikincilUzunluk))</f>
        <v/>
      </c>
      <c r="M61" s="16">
        <f>"B"</f>
        <v/>
      </c>
      <c r="N61" s="16">
        <f>IF($J61="","",IF(COUNTIF(tblAnahtarB[NormB],$J61)&gt;1,"EVET","HAYIR"))</f>
        <v/>
      </c>
      <c r="O61" s="16">
        <f>IF($I61="","",ROW()-ROW($I$5))</f>
        <v/>
      </c>
    </row>
    <row r="62">
      <c r="A62" s="7">
        <f>IF(VERI_A!A62="","",VERI_A!A62)</f>
        <v/>
      </c>
      <c r="B62" s="16">
        <f>UPPER(TRIM(SUBSTITUTE($A62," ","")))</f>
        <v/>
      </c>
      <c r="C62" s="16">
        <f>IF($B62="",0,LEN($B62))</f>
        <v/>
      </c>
      <c r="D62" s="16">
        <f>IF($B62="","",LEFT($B62,cbb_ikincilUzunluk))</f>
        <v/>
      </c>
      <c r="E62" s="16">
        <f>"A"</f>
        <v/>
      </c>
      <c r="F62" s="16">
        <f>IF($B62="","",IF(COUNTIF(tblAnahtarA[Norm],$B62)&gt;1,"EVET","HAYIR"))</f>
        <v/>
      </c>
      <c r="G62" s="16">
        <f>IF($A62="","",ROW()-ROW($A$5))</f>
        <v/>
      </c>
      <c r="I62" s="7">
        <f>IF(VERI_B!A62="","",VERI_B!A62)</f>
        <v/>
      </c>
      <c r="J62" s="16">
        <f>UPPER(TRIM(SUBSTITUTE($I62," ","")))</f>
        <v/>
      </c>
      <c r="K62" s="16">
        <f>IF($J62="",0,LEN($J62))</f>
        <v/>
      </c>
      <c r="L62" s="16">
        <f>IF($J62="","",LEFT($J62,cbb_ikincilUzunluk))</f>
        <v/>
      </c>
      <c r="M62" s="16">
        <f>"B"</f>
        <v/>
      </c>
      <c r="N62" s="16">
        <f>IF($J62="","",IF(COUNTIF(tblAnahtarB[NormB],$J62)&gt;1,"EVET","HAYIR"))</f>
        <v/>
      </c>
      <c r="O62" s="16">
        <f>IF($I62="","",ROW()-ROW($I$5))</f>
        <v/>
      </c>
    </row>
    <row r="63">
      <c r="A63" s="7">
        <f>IF(VERI_A!A63="","",VERI_A!A63)</f>
        <v/>
      </c>
      <c r="B63" s="16">
        <f>UPPER(TRIM(SUBSTITUTE($A63," ","")))</f>
        <v/>
      </c>
      <c r="C63" s="16">
        <f>IF($B63="",0,LEN($B63))</f>
        <v/>
      </c>
      <c r="D63" s="16">
        <f>IF($B63="","",LEFT($B63,cbb_ikincilUzunluk))</f>
        <v/>
      </c>
      <c r="E63" s="16">
        <f>"A"</f>
        <v/>
      </c>
      <c r="F63" s="16">
        <f>IF($B63="","",IF(COUNTIF(tblAnahtarA[Norm],$B63)&gt;1,"EVET","HAYIR"))</f>
        <v/>
      </c>
      <c r="G63" s="16">
        <f>IF($A63="","",ROW()-ROW($A$5))</f>
        <v/>
      </c>
      <c r="I63" s="7">
        <f>IF(VERI_B!A63="","",VERI_B!A63)</f>
        <v/>
      </c>
      <c r="J63" s="16">
        <f>UPPER(TRIM(SUBSTITUTE($I63," ","")))</f>
        <v/>
      </c>
      <c r="K63" s="16">
        <f>IF($J63="",0,LEN($J63))</f>
        <v/>
      </c>
      <c r="L63" s="16">
        <f>IF($J63="","",LEFT($J63,cbb_ikincilUzunluk))</f>
        <v/>
      </c>
      <c r="M63" s="16">
        <f>"B"</f>
        <v/>
      </c>
      <c r="N63" s="16">
        <f>IF($J63="","",IF(COUNTIF(tblAnahtarB[NormB],$J63)&gt;1,"EVET","HAYIR"))</f>
        <v/>
      </c>
      <c r="O63" s="16">
        <f>IF($I63="","",ROW()-ROW($I$5))</f>
        <v/>
      </c>
    </row>
    <row r="64">
      <c r="A64" s="7">
        <f>IF(VERI_A!A64="","",VERI_A!A64)</f>
        <v/>
      </c>
      <c r="B64" s="16">
        <f>UPPER(TRIM(SUBSTITUTE($A64," ","")))</f>
        <v/>
      </c>
      <c r="C64" s="16">
        <f>IF($B64="",0,LEN($B64))</f>
        <v/>
      </c>
      <c r="D64" s="16">
        <f>IF($B64="","",LEFT($B64,cbb_ikincilUzunluk))</f>
        <v/>
      </c>
      <c r="E64" s="16">
        <f>"A"</f>
        <v/>
      </c>
      <c r="F64" s="16">
        <f>IF($B64="","",IF(COUNTIF(tblAnahtarA[Norm],$B64)&gt;1,"EVET","HAYIR"))</f>
        <v/>
      </c>
      <c r="G64" s="16">
        <f>IF($A64="","",ROW()-ROW($A$5))</f>
        <v/>
      </c>
      <c r="I64" s="7">
        <f>IF(VERI_B!A64="","",VERI_B!A64)</f>
        <v/>
      </c>
      <c r="J64" s="16">
        <f>UPPER(TRIM(SUBSTITUTE($I64," ","")))</f>
        <v/>
      </c>
      <c r="K64" s="16">
        <f>IF($J64="",0,LEN($J64))</f>
        <v/>
      </c>
      <c r="L64" s="16">
        <f>IF($J64="","",LEFT($J64,cbb_ikincilUzunluk))</f>
        <v/>
      </c>
      <c r="M64" s="16">
        <f>"B"</f>
        <v/>
      </c>
      <c r="N64" s="16">
        <f>IF($J64="","",IF(COUNTIF(tblAnahtarB[NormB],$J64)&gt;1,"EVET","HAYIR"))</f>
        <v/>
      </c>
      <c r="O64" s="16">
        <f>IF($I64="","",ROW()-ROW($I$5))</f>
        <v/>
      </c>
    </row>
    <row r="65">
      <c r="A65" s="7">
        <f>IF(VERI_A!A65="","",VERI_A!A65)</f>
        <v/>
      </c>
      <c r="B65" s="16">
        <f>UPPER(TRIM(SUBSTITUTE($A65," ","")))</f>
        <v/>
      </c>
      <c r="C65" s="16">
        <f>IF($B65="",0,LEN($B65))</f>
        <v/>
      </c>
      <c r="D65" s="16">
        <f>IF($B65="","",LEFT($B65,cbb_ikincilUzunluk))</f>
        <v/>
      </c>
      <c r="E65" s="16">
        <f>"A"</f>
        <v/>
      </c>
      <c r="F65" s="16">
        <f>IF($B65="","",IF(COUNTIF(tblAnahtarA[Norm],$B65)&gt;1,"EVET","HAYIR"))</f>
        <v/>
      </c>
      <c r="G65" s="16">
        <f>IF($A65="","",ROW()-ROW($A$5))</f>
        <v/>
      </c>
      <c r="I65" s="7">
        <f>IF(VERI_B!A65="","",VERI_B!A65)</f>
        <v/>
      </c>
      <c r="J65" s="16">
        <f>UPPER(TRIM(SUBSTITUTE($I65," ","")))</f>
        <v/>
      </c>
      <c r="K65" s="16">
        <f>IF($J65="",0,LEN($J65))</f>
        <v/>
      </c>
      <c r="L65" s="16">
        <f>IF($J65="","",LEFT($J65,cbb_ikincilUzunluk))</f>
        <v/>
      </c>
      <c r="M65" s="16">
        <f>"B"</f>
        <v/>
      </c>
      <c r="N65" s="16">
        <f>IF($J65="","",IF(COUNTIF(tblAnahtarB[NormB],$J65)&gt;1,"EVET","HAYIR"))</f>
        <v/>
      </c>
      <c r="O65" s="16">
        <f>IF($I65="","",ROW()-ROW($I$5))</f>
        <v/>
      </c>
    </row>
    <row r="66">
      <c r="A66" s="7">
        <f>IF(VERI_A!A66="","",VERI_A!A66)</f>
        <v/>
      </c>
      <c r="B66" s="16">
        <f>UPPER(TRIM(SUBSTITUTE($A66," ","")))</f>
        <v/>
      </c>
      <c r="C66" s="16">
        <f>IF($B66="",0,LEN($B66))</f>
        <v/>
      </c>
      <c r="D66" s="16">
        <f>IF($B66="","",LEFT($B66,cbb_ikincilUzunluk))</f>
        <v/>
      </c>
      <c r="E66" s="16">
        <f>"A"</f>
        <v/>
      </c>
      <c r="F66" s="16">
        <f>IF($B66="","",IF(COUNTIF(tblAnahtarA[Norm],$B66)&gt;1,"EVET","HAYIR"))</f>
        <v/>
      </c>
      <c r="G66" s="16">
        <f>IF($A66="","",ROW()-ROW($A$5))</f>
        <v/>
      </c>
      <c r="I66" s="7">
        <f>IF(VERI_B!A66="","",VERI_B!A66)</f>
        <v/>
      </c>
      <c r="J66" s="16">
        <f>UPPER(TRIM(SUBSTITUTE($I66," ","")))</f>
        <v/>
      </c>
      <c r="K66" s="16">
        <f>IF($J66="",0,LEN($J66))</f>
        <v/>
      </c>
      <c r="L66" s="16">
        <f>IF($J66="","",LEFT($J66,cbb_ikincilUzunluk))</f>
        <v/>
      </c>
      <c r="M66" s="16">
        <f>"B"</f>
        <v/>
      </c>
      <c r="N66" s="16">
        <f>IF($J66="","",IF(COUNTIF(tblAnahtarB[NormB],$J66)&gt;1,"EVET","HAYIR"))</f>
        <v/>
      </c>
      <c r="O66" s="16">
        <f>IF($I66="","",ROW()-ROW($I$5))</f>
        <v/>
      </c>
    </row>
    <row r="67">
      <c r="A67" s="7">
        <f>IF(VERI_A!A67="","",VERI_A!A67)</f>
        <v/>
      </c>
      <c r="B67" s="16">
        <f>UPPER(TRIM(SUBSTITUTE($A67," ","")))</f>
        <v/>
      </c>
      <c r="C67" s="16">
        <f>IF($B67="",0,LEN($B67))</f>
        <v/>
      </c>
      <c r="D67" s="16">
        <f>IF($B67="","",LEFT($B67,cbb_ikincilUzunluk))</f>
        <v/>
      </c>
      <c r="E67" s="16">
        <f>"A"</f>
        <v/>
      </c>
      <c r="F67" s="16">
        <f>IF($B67="","",IF(COUNTIF(tblAnahtarA[Norm],$B67)&gt;1,"EVET","HAYIR"))</f>
        <v/>
      </c>
      <c r="G67" s="16">
        <f>IF($A67="","",ROW()-ROW($A$5))</f>
        <v/>
      </c>
      <c r="I67" s="7">
        <f>IF(VERI_B!A67="","",VERI_B!A67)</f>
        <v/>
      </c>
      <c r="J67" s="16">
        <f>UPPER(TRIM(SUBSTITUTE($I67," ","")))</f>
        <v/>
      </c>
      <c r="K67" s="16">
        <f>IF($J67="",0,LEN($J67))</f>
        <v/>
      </c>
      <c r="L67" s="16">
        <f>IF($J67="","",LEFT($J67,cbb_ikincilUzunluk))</f>
        <v/>
      </c>
      <c r="M67" s="16">
        <f>"B"</f>
        <v/>
      </c>
      <c r="N67" s="16">
        <f>IF($J67="","",IF(COUNTIF(tblAnahtarB[NormB],$J67)&gt;1,"EVET","HAYIR"))</f>
        <v/>
      </c>
      <c r="O67" s="16">
        <f>IF($I67="","",ROW()-ROW($I$5))</f>
        <v/>
      </c>
    </row>
    <row r="68">
      <c r="A68" s="7">
        <f>IF(VERI_A!A68="","",VERI_A!A68)</f>
        <v/>
      </c>
      <c r="B68" s="16">
        <f>UPPER(TRIM(SUBSTITUTE($A68," ","")))</f>
        <v/>
      </c>
      <c r="C68" s="16">
        <f>IF($B68="",0,LEN($B68))</f>
        <v/>
      </c>
      <c r="D68" s="16">
        <f>IF($B68="","",LEFT($B68,cbb_ikincilUzunluk))</f>
        <v/>
      </c>
      <c r="E68" s="16">
        <f>"A"</f>
        <v/>
      </c>
      <c r="F68" s="16">
        <f>IF($B68="","",IF(COUNTIF(tblAnahtarA[Norm],$B68)&gt;1,"EVET","HAYIR"))</f>
        <v/>
      </c>
      <c r="G68" s="16">
        <f>IF($A68="","",ROW()-ROW($A$5))</f>
        <v/>
      </c>
      <c r="I68" s="7">
        <f>IF(VERI_B!A68="","",VERI_B!A68)</f>
        <v/>
      </c>
      <c r="J68" s="16">
        <f>UPPER(TRIM(SUBSTITUTE($I68," ","")))</f>
        <v/>
      </c>
      <c r="K68" s="16">
        <f>IF($J68="",0,LEN($J68))</f>
        <v/>
      </c>
      <c r="L68" s="16">
        <f>IF($J68="","",LEFT($J68,cbb_ikincilUzunluk))</f>
        <v/>
      </c>
      <c r="M68" s="16">
        <f>"B"</f>
        <v/>
      </c>
      <c r="N68" s="16">
        <f>IF($J68="","",IF(COUNTIF(tblAnahtarB[NormB],$J68)&gt;1,"EVET","HAYIR"))</f>
        <v/>
      </c>
      <c r="O68" s="16">
        <f>IF($I68="","",ROW()-ROW($I$5))</f>
        <v/>
      </c>
    </row>
    <row r="69">
      <c r="A69" s="7">
        <f>IF(VERI_A!A69="","",VERI_A!A69)</f>
        <v/>
      </c>
      <c r="B69" s="16">
        <f>UPPER(TRIM(SUBSTITUTE($A69," ","")))</f>
        <v/>
      </c>
      <c r="C69" s="16">
        <f>IF($B69="",0,LEN($B69))</f>
        <v/>
      </c>
      <c r="D69" s="16">
        <f>IF($B69="","",LEFT($B69,cbb_ikincilUzunluk))</f>
        <v/>
      </c>
      <c r="E69" s="16">
        <f>"A"</f>
        <v/>
      </c>
      <c r="F69" s="16">
        <f>IF($B69="","",IF(COUNTIF(tblAnahtarA[Norm],$B69)&gt;1,"EVET","HAYIR"))</f>
        <v/>
      </c>
      <c r="G69" s="16">
        <f>IF($A69="","",ROW()-ROW($A$5))</f>
        <v/>
      </c>
      <c r="I69" s="7">
        <f>IF(VERI_B!A69="","",VERI_B!A69)</f>
        <v/>
      </c>
      <c r="J69" s="16">
        <f>UPPER(TRIM(SUBSTITUTE($I69," ","")))</f>
        <v/>
      </c>
      <c r="K69" s="16">
        <f>IF($J69="",0,LEN($J69))</f>
        <v/>
      </c>
      <c r="L69" s="16">
        <f>IF($J69="","",LEFT($J69,cbb_ikincilUzunluk))</f>
        <v/>
      </c>
      <c r="M69" s="16">
        <f>"B"</f>
        <v/>
      </c>
      <c r="N69" s="16">
        <f>IF($J69="","",IF(COUNTIF(tblAnahtarB[NormB],$J69)&gt;1,"EVET","HAYIR"))</f>
        <v/>
      </c>
      <c r="O69" s="16">
        <f>IF($I69="","",ROW()-ROW($I$5))</f>
        <v/>
      </c>
    </row>
    <row r="70">
      <c r="A70" s="7">
        <f>IF(VERI_A!A70="","",VERI_A!A70)</f>
        <v/>
      </c>
      <c r="B70" s="16">
        <f>UPPER(TRIM(SUBSTITUTE($A70," ","")))</f>
        <v/>
      </c>
      <c r="C70" s="16">
        <f>IF($B70="",0,LEN($B70))</f>
        <v/>
      </c>
      <c r="D70" s="16">
        <f>IF($B70="","",LEFT($B70,cbb_ikincilUzunluk))</f>
        <v/>
      </c>
      <c r="E70" s="16">
        <f>"A"</f>
        <v/>
      </c>
      <c r="F70" s="16">
        <f>IF($B70="","",IF(COUNTIF(tblAnahtarA[Norm],$B70)&gt;1,"EVET","HAYIR"))</f>
        <v/>
      </c>
      <c r="G70" s="16">
        <f>IF($A70="","",ROW()-ROW($A$5))</f>
        <v/>
      </c>
      <c r="I70" s="7">
        <f>IF(VERI_B!A70="","",VERI_B!A70)</f>
        <v/>
      </c>
      <c r="J70" s="16">
        <f>UPPER(TRIM(SUBSTITUTE($I70," ","")))</f>
        <v/>
      </c>
      <c r="K70" s="16">
        <f>IF($J70="",0,LEN($J70))</f>
        <v/>
      </c>
      <c r="L70" s="16">
        <f>IF($J70="","",LEFT($J70,cbb_ikincilUzunluk))</f>
        <v/>
      </c>
      <c r="M70" s="16">
        <f>"B"</f>
        <v/>
      </c>
      <c r="N70" s="16">
        <f>IF($J70="","",IF(COUNTIF(tblAnahtarB[NormB],$J70)&gt;1,"EVET","HAYIR"))</f>
        <v/>
      </c>
      <c r="O70" s="16">
        <f>IF($I70="","",ROW()-ROW($I$5))</f>
        <v/>
      </c>
    </row>
    <row r="71">
      <c r="A71" s="7">
        <f>IF(VERI_A!A71="","",VERI_A!A71)</f>
        <v/>
      </c>
      <c r="B71" s="16">
        <f>UPPER(TRIM(SUBSTITUTE($A71," ","")))</f>
        <v/>
      </c>
      <c r="C71" s="16">
        <f>IF($B71="",0,LEN($B71))</f>
        <v/>
      </c>
      <c r="D71" s="16">
        <f>IF($B71="","",LEFT($B71,cbb_ikincilUzunluk))</f>
        <v/>
      </c>
      <c r="E71" s="16">
        <f>"A"</f>
        <v/>
      </c>
      <c r="F71" s="16">
        <f>IF($B71="","",IF(COUNTIF(tblAnahtarA[Norm],$B71)&gt;1,"EVET","HAYIR"))</f>
        <v/>
      </c>
      <c r="G71" s="16">
        <f>IF($A71="","",ROW()-ROW($A$5))</f>
        <v/>
      </c>
      <c r="I71" s="7">
        <f>IF(VERI_B!A71="","",VERI_B!A71)</f>
        <v/>
      </c>
      <c r="J71" s="16">
        <f>UPPER(TRIM(SUBSTITUTE($I71," ","")))</f>
        <v/>
      </c>
      <c r="K71" s="16">
        <f>IF($J71="",0,LEN($J71))</f>
        <v/>
      </c>
      <c r="L71" s="16">
        <f>IF($J71="","",LEFT($J71,cbb_ikincilUzunluk))</f>
        <v/>
      </c>
      <c r="M71" s="16">
        <f>"B"</f>
        <v/>
      </c>
      <c r="N71" s="16">
        <f>IF($J71="","",IF(COUNTIF(tblAnahtarB[NormB],$J71)&gt;1,"EVET","HAYIR"))</f>
        <v/>
      </c>
      <c r="O71" s="16">
        <f>IF($I71="","",ROW()-ROW($I$5))</f>
        <v/>
      </c>
    </row>
    <row r="72">
      <c r="A72" s="7">
        <f>IF(VERI_A!A72="","",VERI_A!A72)</f>
        <v/>
      </c>
      <c r="B72" s="16">
        <f>UPPER(TRIM(SUBSTITUTE($A72," ","")))</f>
        <v/>
      </c>
      <c r="C72" s="16">
        <f>IF($B72="",0,LEN($B72))</f>
        <v/>
      </c>
      <c r="D72" s="16">
        <f>IF($B72="","",LEFT($B72,cbb_ikincilUzunluk))</f>
        <v/>
      </c>
      <c r="E72" s="16">
        <f>"A"</f>
        <v/>
      </c>
      <c r="F72" s="16">
        <f>IF($B72="","",IF(COUNTIF(tblAnahtarA[Norm],$B72)&gt;1,"EVET","HAYIR"))</f>
        <v/>
      </c>
      <c r="G72" s="16">
        <f>IF($A72="","",ROW()-ROW($A$5))</f>
        <v/>
      </c>
      <c r="I72" s="7">
        <f>IF(VERI_B!A72="","",VERI_B!A72)</f>
        <v/>
      </c>
      <c r="J72" s="16">
        <f>UPPER(TRIM(SUBSTITUTE($I72," ","")))</f>
        <v/>
      </c>
      <c r="K72" s="16">
        <f>IF($J72="",0,LEN($J72))</f>
        <v/>
      </c>
      <c r="L72" s="16">
        <f>IF($J72="","",LEFT($J72,cbb_ikincilUzunluk))</f>
        <v/>
      </c>
      <c r="M72" s="16">
        <f>"B"</f>
        <v/>
      </c>
      <c r="N72" s="16">
        <f>IF($J72="","",IF(COUNTIF(tblAnahtarB[NormB],$J72)&gt;1,"EVET","HAYIR"))</f>
        <v/>
      </c>
      <c r="O72" s="16">
        <f>IF($I72="","",ROW()-ROW($I$5))</f>
        <v/>
      </c>
    </row>
    <row r="73">
      <c r="A73" s="7">
        <f>IF(VERI_A!A73="","",VERI_A!A73)</f>
        <v/>
      </c>
      <c r="B73" s="16">
        <f>UPPER(TRIM(SUBSTITUTE($A73," ","")))</f>
        <v/>
      </c>
      <c r="C73" s="16">
        <f>IF($B73="",0,LEN($B73))</f>
        <v/>
      </c>
      <c r="D73" s="16">
        <f>IF($B73="","",LEFT($B73,cbb_ikincilUzunluk))</f>
        <v/>
      </c>
      <c r="E73" s="16">
        <f>"A"</f>
        <v/>
      </c>
      <c r="F73" s="16">
        <f>IF($B73="","",IF(COUNTIF(tblAnahtarA[Norm],$B73)&gt;1,"EVET","HAYIR"))</f>
        <v/>
      </c>
      <c r="G73" s="16">
        <f>IF($A73="","",ROW()-ROW($A$5))</f>
        <v/>
      </c>
      <c r="I73" s="7">
        <f>IF(VERI_B!A73="","",VERI_B!A73)</f>
        <v/>
      </c>
      <c r="J73" s="16">
        <f>UPPER(TRIM(SUBSTITUTE($I73," ","")))</f>
        <v/>
      </c>
      <c r="K73" s="16">
        <f>IF($J73="",0,LEN($J73))</f>
        <v/>
      </c>
      <c r="L73" s="16">
        <f>IF($J73="","",LEFT($J73,cbb_ikincilUzunluk))</f>
        <v/>
      </c>
      <c r="M73" s="16">
        <f>"B"</f>
        <v/>
      </c>
      <c r="N73" s="16">
        <f>IF($J73="","",IF(COUNTIF(tblAnahtarB[NormB],$J73)&gt;1,"EVET","HAYIR"))</f>
        <v/>
      </c>
      <c r="O73" s="16">
        <f>IF($I73="","",ROW()-ROW($I$5))</f>
        <v/>
      </c>
    </row>
    <row r="74">
      <c r="A74" s="7">
        <f>IF(VERI_A!A74="","",VERI_A!A74)</f>
        <v/>
      </c>
      <c r="B74" s="16">
        <f>UPPER(TRIM(SUBSTITUTE($A74," ","")))</f>
        <v/>
      </c>
      <c r="C74" s="16">
        <f>IF($B74="",0,LEN($B74))</f>
        <v/>
      </c>
      <c r="D74" s="16">
        <f>IF($B74="","",LEFT($B74,cbb_ikincilUzunluk))</f>
        <v/>
      </c>
      <c r="E74" s="16">
        <f>"A"</f>
        <v/>
      </c>
      <c r="F74" s="16">
        <f>IF($B74="","",IF(COUNTIF(tblAnahtarA[Norm],$B74)&gt;1,"EVET","HAYIR"))</f>
        <v/>
      </c>
      <c r="G74" s="16">
        <f>IF($A74="","",ROW()-ROW($A$5))</f>
        <v/>
      </c>
      <c r="I74" s="7">
        <f>IF(VERI_B!A74="","",VERI_B!A74)</f>
        <v/>
      </c>
      <c r="J74" s="16">
        <f>UPPER(TRIM(SUBSTITUTE($I74," ","")))</f>
        <v/>
      </c>
      <c r="K74" s="16">
        <f>IF($J74="",0,LEN($J74))</f>
        <v/>
      </c>
      <c r="L74" s="16">
        <f>IF($J74="","",LEFT($J74,cbb_ikincilUzunluk))</f>
        <v/>
      </c>
      <c r="M74" s="16">
        <f>"B"</f>
        <v/>
      </c>
      <c r="N74" s="16">
        <f>IF($J74="","",IF(COUNTIF(tblAnahtarB[NormB],$J74)&gt;1,"EVET","HAYIR"))</f>
        <v/>
      </c>
      <c r="O74" s="16">
        <f>IF($I74="","",ROW()-ROW($I$5))</f>
        <v/>
      </c>
    </row>
    <row r="75">
      <c r="A75" s="7">
        <f>IF(VERI_A!A75="","",VERI_A!A75)</f>
        <v/>
      </c>
      <c r="B75" s="16">
        <f>UPPER(TRIM(SUBSTITUTE($A75," ","")))</f>
        <v/>
      </c>
      <c r="C75" s="16">
        <f>IF($B75="",0,LEN($B75))</f>
        <v/>
      </c>
      <c r="D75" s="16">
        <f>IF($B75="","",LEFT($B75,cbb_ikincilUzunluk))</f>
        <v/>
      </c>
      <c r="E75" s="16">
        <f>"A"</f>
        <v/>
      </c>
      <c r="F75" s="16">
        <f>IF($B75="","",IF(COUNTIF(tblAnahtarA[Norm],$B75)&gt;1,"EVET","HAYIR"))</f>
        <v/>
      </c>
      <c r="G75" s="16">
        <f>IF($A75="","",ROW()-ROW($A$5))</f>
        <v/>
      </c>
      <c r="I75" s="7">
        <f>IF(VERI_B!A75="","",VERI_B!A75)</f>
        <v/>
      </c>
      <c r="J75" s="16">
        <f>UPPER(TRIM(SUBSTITUTE($I75," ","")))</f>
        <v/>
      </c>
      <c r="K75" s="16">
        <f>IF($J75="",0,LEN($J75))</f>
        <v/>
      </c>
      <c r="L75" s="16">
        <f>IF($J75="","",LEFT($J75,cbb_ikincilUzunluk))</f>
        <v/>
      </c>
      <c r="M75" s="16">
        <f>"B"</f>
        <v/>
      </c>
      <c r="N75" s="16">
        <f>IF($J75="","",IF(COUNTIF(tblAnahtarB[NormB],$J75)&gt;1,"EVET","HAYIR"))</f>
        <v/>
      </c>
      <c r="O75" s="16">
        <f>IF($I75="","",ROW()-ROW($I$5))</f>
        <v/>
      </c>
    </row>
    <row r="76">
      <c r="A76" s="7">
        <f>IF(VERI_A!A76="","",VERI_A!A76)</f>
        <v/>
      </c>
      <c r="B76" s="16">
        <f>UPPER(TRIM(SUBSTITUTE($A76," ","")))</f>
        <v/>
      </c>
      <c r="C76" s="16">
        <f>IF($B76="",0,LEN($B76))</f>
        <v/>
      </c>
      <c r="D76" s="16">
        <f>IF($B76="","",LEFT($B76,cbb_ikincilUzunluk))</f>
        <v/>
      </c>
      <c r="E76" s="16">
        <f>"A"</f>
        <v/>
      </c>
      <c r="F76" s="16">
        <f>IF($B76="","",IF(COUNTIF(tblAnahtarA[Norm],$B76)&gt;1,"EVET","HAYIR"))</f>
        <v/>
      </c>
      <c r="G76" s="16">
        <f>IF($A76="","",ROW()-ROW($A$5))</f>
        <v/>
      </c>
      <c r="I76" s="7">
        <f>IF(VERI_B!A76="","",VERI_B!A76)</f>
        <v/>
      </c>
      <c r="J76" s="16">
        <f>UPPER(TRIM(SUBSTITUTE($I76," ","")))</f>
        <v/>
      </c>
      <c r="K76" s="16">
        <f>IF($J76="",0,LEN($J76))</f>
        <v/>
      </c>
      <c r="L76" s="16">
        <f>IF($J76="","",LEFT($J76,cbb_ikincilUzunluk))</f>
        <v/>
      </c>
      <c r="M76" s="16">
        <f>"B"</f>
        <v/>
      </c>
      <c r="N76" s="16">
        <f>IF($J76="","",IF(COUNTIF(tblAnahtarB[NormB],$J76)&gt;1,"EVET","HAYIR"))</f>
        <v/>
      </c>
      <c r="O76" s="16">
        <f>IF($I76="","",ROW()-ROW($I$5))</f>
        <v/>
      </c>
    </row>
    <row r="77">
      <c r="A77" s="7">
        <f>IF(VERI_A!A77="","",VERI_A!A77)</f>
        <v/>
      </c>
      <c r="B77" s="16">
        <f>UPPER(TRIM(SUBSTITUTE($A77," ","")))</f>
        <v/>
      </c>
      <c r="C77" s="16">
        <f>IF($B77="",0,LEN($B77))</f>
        <v/>
      </c>
      <c r="D77" s="16">
        <f>IF($B77="","",LEFT($B77,cbb_ikincilUzunluk))</f>
        <v/>
      </c>
      <c r="E77" s="16">
        <f>"A"</f>
        <v/>
      </c>
      <c r="F77" s="16">
        <f>IF($B77="","",IF(COUNTIF(tblAnahtarA[Norm],$B77)&gt;1,"EVET","HAYIR"))</f>
        <v/>
      </c>
      <c r="G77" s="16">
        <f>IF($A77="","",ROW()-ROW($A$5))</f>
        <v/>
      </c>
      <c r="I77" s="7">
        <f>IF(VERI_B!A77="","",VERI_B!A77)</f>
        <v/>
      </c>
      <c r="J77" s="16">
        <f>UPPER(TRIM(SUBSTITUTE($I77," ","")))</f>
        <v/>
      </c>
      <c r="K77" s="16">
        <f>IF($J77="",0,LEN($J77))</f>
        <v/>
      </c>
      <c r="L77" s="16">
        <f>IF($J77="","",LEFT($J77,cbb_ikincilUzunluk))</f>
        <v/>
      </c>
      <c r="M77" s="16">
        <f>"B"</f>
        <v/>
      </c>
      <c r="N77" s="16">
        <f>IF($J77="","",IF(COUNTIF(tblAnahtarB[NormB],$J77)&gt;1,"EVET","HAYIR"))</f>
        <v/>
      </c>
      <c r="O77" s="16">
        <f>IF($I77="","",ROW()-ROW($I$5))</f>
        <v/>
      </c>
    </row>
    <row r="78">
      <c r="A78" s="7">
        <f>IF(VERI_A!A78="","",VERI_A!A78)</f>
        <v/>
      </c>
      <c r="B78" s="16">
        <f>UPPER(TRIM(SUBSTITUTE($A78," ","")))</f>
        <v/>
      </c>
      <c r="C78" s="16">
        <f>IF($B78="",0,LEN($B78))</f>
        <v/>
      </c>
      <c r="D78" s="16">
        <f>IF($B78="","",LEFT($B78,cbb_ikincilUzunluk))</f>
        <v/>
      </c>
      <c r="E78" s="16">
        <f>"A"</f>
        <v/>
      </c>
      <c r="F78" s="16">
        <f>IF($B78="","",IF(COUNTIF(tblAnahtarA[Norm],$B78)&gt;1,"EVET","HAYIR"))</f>
        <v/>
      </c>
      <c r="G78" s="16">
        <f>IF($A78="","",ROW()-ROW($A$5))</f>
        <v/>
      </c>
      <c r="I78" s="7">
        <f>IF(VERI_B!A78="","",VERI_B!A78)</f>
        <v/>
      </c>
      <c r="J78" s="16">
        <f>UPPER(TRIM(SUBSTITUTE($I78," ","")))</f>
        <v/>
      </c>
      <c r="K78" s="16">
        <f>IF($J78="",0,LEN($J78))</f>
        <v/>
      </c>
      <c r="L78" s="16">
        <f>IF($J78="","",LEFT($J78,cbb_ikincilUzunluk))</f>
        <v/>
      </c>
      <c r="M78" s="16">
        <f>"B"</f>
        <v/>
      </c>
      <c r="N78" s="16">
        <f>IF($J78="","",IF(COUNTIF(tblAnahtarB[NormB],$J78)&gt;1,"EVET","HAYIR"))</f>
        <v/>
      </c>
      <c r="O78" s="16">
        <f>IF($I78="","",ROW()-ROW($I$5))</f>
        <v/>
      </c>
    </row>
    <row r="79">
      <c r="A79" s="7">
        <f>IF(VERI_A!A79="","",VERI_A!A79)</f>
        <v/>
      </c>
      <c r="B79" s="16">
        <f>UPPER(TRIM(SUBSTITUTE($A79," ","")))</f>
        <v/>
      </c>
      <c r="C79" s="16">
        <f>IF($B79="",0,LEN($B79))</f>
        <v/>
      </c>
      <c r="D79" s="16">
        <f>IF($B79="","",LEFT($B79,cbb_ikincilUzunluk))</f>
        <v/>
      </c>
      <c r="E79" s="16">
        <f>"A"</f>
        <v/>
      </c>
      <c r="F79" s="16">
        <f>IF($B79="","",IF(COUNTIF(tblAnahtarA[Norm],$B79)&gt;1,"EVET","HAYIR"))</f>
        <v/>
      </c>
      <c r="G79" s="16">
        <f>IF($A79="","",ROW()-ROW($A$5))</f>
        <v/>
      </c>
      <c r="I79" s="7">
        <f>IF(VERI_B!A79="","",VERI_B!A79)</f>
        <v/>
      </c>
      <c r="J79" s="16">
        <f>UPPER(TRIM(SUBSTITUTE($I79," ","")))</f>
        <v/>
      </c>
      <c r="K79" s="16">
        <f>IF($J79="",0,LEN($J79))</f>
        <v/>
      </c>
      <c r="L79" s="16">
        <f>IF($J79="","",LEFT($J79,cbb_ikincilUzunluk))</f>
        <v/>
      </c>
      <c r="M79" s="16">
        <f>"B"</f>
        <v/>
      </c>
      <c r="N79" s="16">
        <f>IF($J79="","",IF(COUNTIF(tblAnahtarB[NormB],$J79)&gt;1,"EVET","HAYIR"))</f>
        <v/>
      </c>
      <c r="O79" s="16">
        <f>IF($I79="","",ROW()-ROW($I$5))</f>
        <v/>
      </c>
    </row>
    <row r="80">
      <c r="A80" s="7">
        <f>IF(VERI_A!A80="","",VERI_A!A80)</f>
        <v/>
      </c>
      <c r="B80" s="16">
        <f>UPPER(TRIM(SUBSTITUTE($A80," ","")))</f>
        <v/>
      </c>
      <c r="C80" s="16">
        <f>IF($B80="",0,LEN($B80))</f>
        <v/>
      </c>
      <c r="D80" s="16">
        <f>IF($B80="","",LEFT($B80,cbb_ikincilUzunluk))</f>
        <v/>
      </c>
      <c r="E80" s="16">
        <f>"A"</f>
        <v/>
      </c>
      <c r="F80" s="16">
        <f>IF($B80="","",IF(COUNTIF(tblAnahtarA[Norm],$B80)&gt;1,"EVET","HAYIR"))</f>
        <v/>
      </c>
      <c r="G80" s="16">
        <f>IF($A80="","",ROW()-ROW($A$5))</f>
        <v/>
      </c>
      <c r="I80" s="7">
        <f>IF(VERI_B!A80="","",VERI_B!A80)</f>
        <v/>
      </c>
      <c r="J80" s="16">
        <f>UPPER(TRIM(SUBSTITUTE($I80," ","")))</f>
        <v/>
      </c>
      <c r="K80" s="16">
        <f>IF($J80="",0,LEN($J80))</f>
        <v/>
      </c>
      <c r="L80" s="16">
        <f>IF($J80="","",LEFT($J80,cbb_ikincilUzunluk))</f>
        <v/>
      </c>
      <c r="M80" s="16">
        <f>"B"</f>
        <v/>
      </c>
      <c r="N80" s="16">
        <f>IF($J80="","",IF(COUNTIF(tblAnahtarB[NormB],$J80)&gt;1,"EVET","HAYIR"))</f>
        <v/>
      </c>
      <c r="O80" s="16">
        <f>IF($I80="","",ROW()-ROW($I$5))</f>
        <v/>
      </c>
    </row>
    <row r="81">
      <c r="A81" s="7">
        <f>IF(VERI_A!A81="","",VERI_A!A81)</f>
        <v/>
      </c>
      <c r="B81" s="16">
        <f>UPPER(TRIM(SUBSTITUTE($A81," ","")))</f>
        <v/>
      </c>
      <c r="C81" s="16">
        <f>IF($B81="",0,LEN($B81))</f>
        <v/>
      </c>
      <c r="D81" s="16">
        <f>IF($B81="","",LEFT($B81,cbb_ikincilUzunluk))</f>
        <v/>
      </c>
      <c r="E81" s="16">
        <f>"A"</f>
        <v/>
      </c>
      <c r="F81" s="16">
        <f>IF($B81="","",IF(COUNTIF(tblAnahtarA[Norm],$B81)&gt;1,"EVET","HAYIR"))</f>
        <v/>
      </c>
      <c r="G81" s="16">
        <f>IF($A81="","",ROW()-ROW($A$5))</f>
        <v/>
      </c>
      <c r="I81" s="7">
        <f>IF(VERI_B!A81="","",VERI_B!A81)</f>
        <v/>
      </c>
      <c r="J81" s="16">
        <f>UPPER(TRIM(SUBSTITUTE($I81," ","")))</f>
        <v/>
      </c>
      <c r="K81" s="16">
        <f>IF($J81="",0,LEN($J81))</f>
        <v/>
      </c>
      <c r="L81" s="16">
        <f>IF($J81="","",LEFT($J81,cbb_ikincilUzunluk))</f>
        <v/>
      </c>
      <c r="M81" s="16">
        <f>"B"</f>
        <v/>
      </c>
      <c r="N81" s="16">
        <f>IF($J81="","",IF(COUNTIF(tblAnahtarB[NormB],$J81)&gt;1,"EVET","HAYIR"))</f>
        <v/>
      </c>
      <c r="O81" s="16">
        <f>IF($I81="","",ROW()-ROW($I$5))</f>
        <v/>
      </c>
    </row>
    <row r="82">
      <c r="A82" s="7">
        <f>IF(VERI_A!A82="","",VERI_A!A82)</f>
        <v/>
      </c>
      <c r="B82" s="16">
        <f>UPPER(TRIM(SUBSTITUTE($A82," ","")))</f>
        <v/>
      </c>
      <c r="C82" s="16">
        <f>IF($B82="",0,LEN($B82))</f>
        <v/>
      </c>
      <c r="D82" s="16">
        <f>IF($B82="","",LEFT($B82,cbb_ikincilUzunluk))</f>
        <v/>
      </c>
      <c r="E82" s="16">
        <f>"A"</f>
        <v/>
      </c>
      <c r="F82" s="16">
        <f>IF($B82="","",IF(COUNTIF(tblAnahtarA[Norm],$B82)&gt;1,"EVET","HAYIR"))</f>
        <v/>
      </c>
      <c r="G82" s="16">
        <f>IF($A82="","",ROW()-ROW($A$5))</f>
        <v/>
      </c>
      <c r="I82" s="7">
        <f>IF(VERI_B!A82="","",VERI_B!A82)</f>
        <v/>
      </c>
      <c r="J82" s="16">
        <f>UPPER(TRIM(SUBSTITUTE($I82," ","")))</f>
        <v/>
      </c>
      <c r="K82" s="16">
        <f>IF($J82="",0,LEN($J82))</f>
        <v/>
      </c>
      <c r="L82" s="16">
        <f>IF($J82="","",LEFT($J82,cbb_ikincilUzunluk))</f>
        <v/>
      </c>
      <c r="M82" s="16">
        <f>"B"</f>
        <v/>
      </c>
      <c r="N82" s="16">
        <f>IF($J82="","",IF(COUNTIF(tblAnahtarB[NormB],$J82)&gt;1,"EVET","HAYIR"))</f>
        <v/>
      </c>
      <c r="O82" s="16">
        <f>IF($I82="","",ROW()-ROW($I$5))</f>
        <v/>
      </c>
    </row>
    <row r="83">
      <c r="A83" s="7">
        <f>IF(VERI_A!A83="","",VERI_A!A83)</f>
        <v/>
      </c>
      <c r="B83" s="16">
        <f>UPPER(TRIM(SUBSTITUTE($A83," ","")))</f>
        <v/>
      </c>
      <c r="C83" s="16">
        <f>IF($B83="",0,LEN($B83))</f>
        <v/>
      </c>
      <c r="D83" s="16">
        <f>IF($B83="","",LEFT($B83,cbb_ikincilUzunluk))</f>
        <v/>
      </c>
      <c r="E83" s="16">
        <f>"A"</f>
        <v/>
      </c>
      <c r="F83" s="16">
        <f>IF($B83="","",IF(COUNTIF(tblAnahtarA[Norm],$B83)&gt;1,"EVET","HAYIR"))</f>
        <v/>
      </c>
      <c r="G83" s="16">
        <f>IF($A83="","",ROW()-ROW($A$5))</f>
        <v/>
      </c>
      <c r="I83" s="7">
        <f>IF(VERI_B!A83="","",VERI_B!A83)</f>
        <v/>
      </c>
      <c r="J83" s="16">
        <f>UPPER(TRIM(SUBSTITUTE($I83," ","")))</f>
        <v/>
      </c>
      <c r="K83" s="16">
        <f>IF($J83="",0,LEN($J83))</f>
        <v/>
      </c>
      <c r="L83" s="16">
        <f>IF($J83="","",LEFT($J83,cbb_ikincilUzunluk))</f>
        <v/>
      </c>
      <c r="M83" s="16">
        <f>"B"</f>
        <v/>
      </c>
      <c r="N83" s="16">
        <f>IF($J83="","",IF(COUNTIF(tblAnahtarB[NormB],$J83)&gt;1,"EVET","HAYIR"))</f>
        <v/>
      </c>
      <c r="O83" s="16">
        <f>IF($I83="","",ROW()-ROW($I$5))</f>
        <v/>
      </c>
    </row>
    <row r="84">
      <c r="A84" s="7">
        <f>IF(VERI_A!A84="","",VERI_A!A84)</f>
        <v/>
      </c>
      <c r="B84" s="16">
        <f>UPPER(TRIM(SUBSTITUTE($A84," ","")))</f>
        <v/>
      </c>
      <c r="C84" s="16">
        <f>IF($B84="",0,LEN($B84))</f>
        <v/>
      </c>
      <c r="D84" s="16">
        <f>IF($B84="","",LEFT($B84,cbb_ikincilUzunluk))</f>
        <v/>
      </c>
      <c r="E84" s="16">
        <f>"A"</f>
        <v/>
      </c>
      <c r="F84" s="16">
        <f>IF($B84="","",IF(COUNTIF(tblAnahtarA[Norm],$B84)&gt;1,"EVET","HAYIR"))</f>
        <v/>
      </c>
      <c r="G84" s="16">
        <f>IF($A84="","",ROW()-ROW($A$5))</f>
        <v/>
      </c>
      <c r="I84" s="7">
        <f>IF(VERI_B!A84="","",VERI_B!A84)</f>
        <v/>
      </c>
      <c r="J84" s="16">
        <f>UPPER(TRIM(SUBSTITUTE($I84," ","")))</f>
        <v/>
      </c>
      <c r="K84" s="16">
        <f>IF($J84="",0,LEN($J84))</f>
        <v/>
      </c>
      <c r="L84" s="16">
        <f>IF($J84="","",LEFT($J84,cbb_ikincilUzunluk))</f>
        <v/>
      </c>
      <c r="M84" s="16">
        <f>"B"</f>
        <v/>
      </c>
      <c r="N84" s="16">
        <f>IF($J84="","",IF(COUNTIF(tblAnahtarB[NormB],$J84)&gt;1,"EVET","HAYIR"))</f>
        <v/>
      </c>
      <c r="O84" s="16">
        <f>IF($I84="","",ROW()-ROW($I$5))</f>
        <v/>
      </c>
    </row>
    <row r="85">
      <c r="A85" s="7">
        <f>IF(VERI_A!A85="","",VERI_A!A85)</f>
        <v/>
      </c>
      <c r="B85" s="16">
        <f>UPPER(TRIM(SUBSTITUTE($A85," ","")))</f>
        <v/>
      </c>
      <c r="C85" s="16">
        <f>IF($B85="",0,LEN($B85))</f>
        <v/>
      </c>
      <c r="D85" s="16">
        <f>IF($B85="","",LEFT($B85,cbb_ikincilUzunluk))</f>
        <v/>
      </c>
      <c r="E85" s="16">
        <f>"A"</f>
        <v/>
      </c>
      <c r="F85" s="16">
        <f>IF($B85="","",IF(COUNTIF(tblAnahtarA[Norm],$B85)&gt;1,"EVET","HAYIR"))</f>
        <v/>
      </c>
      <c r="G85" s="16">
        <f>IF($A85="","",ROW()-ROW($A$5))</f>
        <v/>
      </c>
      <c r="I85" s="7">
        <f>IF(VERI_B!A85="","",VERI_B!A85)</f>
        <v/>
      </c>
      <c r="J85" s="16">
        <f>UPPER(TRIM(SUBSTITUTE($I85," ","")))</f>
        <v/>
      </c>
      <c r="K85" s="16">
        <f>IF($J85="",0,LEN($J85))</f>
        <v/>
      </c>
      <c r="L85" s="16">
        <f>IF($J85="","",LEFT($J85,cbb_ikincilUzunluk))</f>
        <v/>
      </c>
      <c r="M85" s="16">
        <f>"B"</f>
        <v/>
      </c>
      <c r="N85" s="16">
        <f>IF($J85="","",IF(COUNTIF(tblAnahtarB[NormB],$J85)&gt;1,"EVET","HAYIR"))</f>
        <v/>
      </c>
      <c r="O85" s="16">
        <f>IF($I85="","",ROW()-ROW($I$5))</f>
        <v/>
      </c>
    </row>
    <row r="86">
      <c r="A86" s="7">
        <f>IF(VERI_A!A86="","",VERI_A!A86)</f>
        <v/>
      </c>
      <c r="B86" s="16">
        <f>UPPER(TRIM(SUBSTITUTE($A86," ","")))</f>
        <v/>
      </c>
      <c r="C86" s="16">
        <f>IF($B86="",0,LEN($B86))</f>
        <v/>
      </c>
      <c r="D86" s="16">
        <f>IF($B86="","",LEFT($B86,cbb_ikincilUzunluk))</f>
        <v/>
      </c>
      <c r="E86" s="16">
        <f>"A"</f>
        <v/>
      </c>
      <c r="F86" s="16">
        <f>IF($B86="","",IF(COUNTIF(tblAnahtarA[Norm],$B86)&gt;1,"EVET","HAYIR"))</f>
        <v/>
      </c>
      <c r="G86" s="16">
        <f>IF($A86="","",ROW()-ROW($A$5))</f>
        <v/>
      </c>
      <c r="I86" s="7">
        <f>IF(VERI_B!A86="","",VERI_B!A86)</f>
        <v/>
      </c>
      <c r="J86" s="16">
        <f>UPPER(TRIM(SUBSTITUTE($I86," ","")))</f>
        <v/>
      </c>
      <c r="K86" s="16">
        <f>IF($J86="",0,LEN($J86))</f>
        <v/>
      </c>
      <c r="L86" s="16">
        <f>IF($J86="","",LEFT($J86,cbb_ikincilUzunluk))</f>
        <v/>
      </c>
      <c r="M86" s="16">
        <f>"B"</f>
        <v/>
      </c>
      <c r="N86" s="16">
        <f>IF($J86="","",IF(COUNTIF(tblAnahtarB[NormB],$J86)&gt;1,"EVET","HAYIR"))</f>
        <v/>
      </c>
      <c r="O86" s="16">
        <f>IF($I86="","",ROW()-ROW($I$5))</f>
        <v/>
      </c>
    </row>
    <row r="87">
      <c r="A87" s="7">
        <f>IF(VERI_A!A87="","",VERI_A!A87)</f>
        <v/>
      </c>
      <c r="B87" s="16">
        <f>UPPER(TRIM(SUBSTITUTE($A87," ","")))</f>
        <v/>
      </c>
      <c r="C87" s="16">
        <f>IF($B87="",0,LEN($B87))</f>
        <v/>
      </c>
      <c r="D87" s="16">
        <f>IF($B87="","",LEFT($B87,cbb_ikincilUzunluk))</f>
        <v/>
      </c>
      <c r="E87" s="16">
        <f>"A"</f>
        <v/>
      </c>
      <c r="F87" s="16">
        <f>IF($B87="","",IF(COUNTIF(tblAnahtarA[Norm],$B87)&gt;1,"EVET","HAYIR"))</f>
        <v/>
      </c>
      <c r="G87" s="16">
        <f>IF($A87="","",ROW()-ROW($A$5))</f>
        <v/>
      </c>
      <c r="I87" s="7">
        <f>IF(VERI_B!A87="","",VERI_B!A87)</f>
        <v/>
      </c>
      <c r="J87" s="16">
        <f>UPPER(TRIM(SUBSTITUTE($I87," ","")))</f>
        <v/>
      </c>
      <c r="K87" s="16">
        <f>IF($J87="",0,LEN($J87))</f>
        <v/>
      </c>
      <c r="L87" s="16">
        <f>IF($J87="","",LEFT($J87,cbb_ikincilUzunluk))</f>
        <v/>
      </c>
      <c r="M87" s="16">
        <f>"B"</f>
        <v/>
      </c>
      <c r="N87" s="16">
        <f>IF($J87="","",IF(COUNTIF(tblAnahtarB[NormB],$J87)&gt;1,"EVET","HAYIR"))</f>
        <v/>
      </c>
      <c r="O87" s="16">
        <f>IF($I87="","",ROW()-ROW($I$5))</f>
        <v/>
      </c>
    </row>
    <row r="88">
      <c r="A88" s="7">
        <f>IF(VERI_A!A88="","",VERI_A!A88)</f>
        <v/>
      </c>
      <c r="B88" s="16">
        <f>UPPER(TRIM(SUBSTITUTE($A88," ","")))</f>
        <v/>
      </c>
      <c r="C88" s="16">
        <f>IF($B88="",0,LEN($B88))</f>
        <v/>
      </c>
      <c r="D88" s="16">
        <f>IF($B88="","",LEFT($B88,cbb_ikincilUzunluk))</f>
        <v/>
      </c>
      <c r="E88" s="16">
        <f>"A"</f>
        <v/>
      </c>
      <c r="F88" s="16">
        <f>IF($B88="","",IF(COUNTIF(tblAnahtarA[Norm],$B88)&gt;1,"EVET","HAYIR"))</f>
        <v/>
      </c>
      <c r="G88" s="16">
        <f>IF($A88="","",ROW()-ROW($A$5))</f>
        <v/>
      </c>
      <c r="I88" s="7">
        <f>IF(VERI_B!A88="","",VERI_B!A88)</f>
        <v/>
      </c>
      <c r="J88" s="16">
        <f>UPPER(TRIM(SUBSTITUTE($I88," ","")))</f>
        <v/>
      </c>
      <c r="K88" s="16">
        <f>IF($J88="",0,LEN($J88))</f>
        <v/>
      </c>
      <c r="L88" s="16">
        <f>IF($J88="","",LEFT($J88,cbb_ikincilUzunluk))</f>
        <v/>
      </c>
      <c r="M88" s="16">
        <f>"B"</f>
        <v/>
      </c>
      <c r="N88" s="16">
        <f>IF($J88="","",IF(COUNTIF(tblAnahtarB[NormB],$J88)&gt;1,"EVET","HAYIR"))</f>
        <v/>
      </c>
      <c r="O88" s="16">
        <f>IF($I88="","",ROW()-ROW($I$5))</f>
        <v/>
      </c>
    </row>
    <row r="89">
      <c r="A89" s="7">
        <f>IF(VERI_A!A89="","",VERI_A!A89)</f>
        <v/>
      </c>
      <c r="B89" s="16">
        <f>UPPER(TRIM(SUBSTITUTE($A89," ","")))</f>
        <v/>
      </c>
      <c r="C89" s="16">
        <f>IF($B89="",0,LEN($B89))</f>
        <v/>
      </c>
      <c r="D89" s="16">
        <f>IF($B89="","",LEFT($B89,cbb_ikincilUzunluk))</f>
        <v/>
      </c>
      <c r="E89" s="16">
        <f>"A"</f>
        <v/>
      </c>
      <c r="F89" s="16">
        <f>IF($B89="","",IF(COUNTIF(tblAnahtarA[Norm],$B89)&gt;1,"EVET","HAYIR"))</f>
        <v/>
      </c>
      <c r="G89" s="16">
        <f>IF($A89="","",ROW()-ROW($A$5))</f>
        <v/>
      </c>
      <c r="I89" s="7">
        <f>IF(VERI_B!A89="","",VERI_B!A89)</f>
        <v/>
      </c>
      <c r="J89" s="16">
        <f>UPPER(TRIM(SUBSTITUTE($I89," ","")))</f>
        <v/>
      </c>
      <c r="K89" s="16">
        <f>IF($J89="",0,LEN($J89))</f>
        <v/>
      </c>
      <c r="L89" s="16">
        <f>IF($J89="","",LEFT($J89,cbb_ikincilUzunluk))</f>
        <v/>
      </c>
      <c r="M89" s="16">
        <f>"B"</f>
        <v/>
      </c>
      <c r="N89" s="16">
        <f>IF($J89="","",IF(COUNTIF(tblAnahtarB[NormB],$J89)&gt;1,"EVET","HAYIR"))</f>
        <v/>
      </c>
      <c r="O89" s="16">
        <f>IF($I89="","",ROW()-ROW($I$5))</f>
        <v/>
      </c>
    </row>
    <row r="90">
      <c r="A90" s="7">
        <f>IF(VERI_A!A90="","",VERI_A!A90)</f>
        <v/>
      </c>
      <c r="B90" s="16">
        <f>UPPER(TRIM(SUBSTITUTE($A90," ","")))</f>
        <v/>
      </c>
      <c r="C90" s="16">
        <f>IF($B90="",0,LEN($B90))</f>
        <v/>
      </c>
      <c r="D90" s="16">
        <f>IF($B90="","",LEFT($B90,cbb_ikincilUzunluk))</f>
        <v/>
      </c>
      <c r="E90" s="16">
        <f>"A"</f>
        <v/>
      </c>
      <c r="F90" s="16">
        <f>IF($B90="","",IF(COUNTIF(tblAnahtarA[Norm],$B90)&gt;1,"EVET","HAYIR"))</f>
        <v/>
      </c>
      <c r="G90" s="16">
        <f>IF($A90="","",ROW()-ROW($A$5))</f>
        <v/>
      </c>
      <c r="I90" s="7">
        <f>IF(VERI_B!A90="","",VERI_B!A90)</f>
        <v/>
      </c>
      <c r="J90" s="16">
        <f>UPPER(TRIM(SUBSTITUTE($I90," ","")))</f>
        <v/>
      </c>
      <c r="K90" s="16">
        <f>IF($J90="",0,LEN($J90))</f>
        <v/>
      </c>
      <c r="L90" s="16">
        <f>IF($J90="","",LEFT($J90,cbb_ikincilUzunluk))</f>
        <v/>
      </c>
      <c r="M90" s="16">
        <f>"B"</f>
        <v/>
      </c>
      <c r="N90" s="16">
        <f>IF($J90="","",IF(COUNTIF(tblAnahtarB[NormB],$J90)&gt;1,"EVET","HAYIR"))</f>
        <v/>
      </c>
      <c r="O90" s="16">
        <f>IF($I90="","",ROW()-ROW($I$5))</f>
        <v/>
      </c>
    </row>
    <row r="91">
      <c r="A91" s="7">
        <f>IF(VERI_A!A91="","",VERI_A!A91)</f>
        <v/>
      </c>
      <c r="B91" s="16">
        <f>UPPER(TRIM(SUBSTITUTE($A91," ","")))</f>
        <v/>
      </c>
      <c r="C91" s="16">
        <f>IF($B91="",0,LEN($B91))</f>
        <v/>
      </c>
      <c r="D91" s="16">
        <f>IF($B91="","",LEFT($B91,cbb_ikincilUzunluk))</f>
        <v/>
      </c>
      <c r="E91" s="16">
        <f>"A"</f>
        <v/>
      </c>
      <c r="F91" s="16">
        <f>IF($B91="","",IF(COUNTIF(tblAnahtarA[Norm],$B91)&gt;1,"EVET","HAYIR"))</f>
        <v/>
      </c>
      <c r="G91" s="16">
        <f>IF($A91="","",ROW()-ROW($A$5))</f>
        <v/>
      </c>
      <c r="I91" s="7">
        <f>IF(VERI_B!A91="","",VERI_B!A91)</f>
        <v/>
      </c>
      <c r="J91" s="16">
        <f>UPPER(TRIM(SUBSTITUTE($I91," ","")))</f>
        <v/>
      </c>
      <c r="K91" s="16">
        <f>IF($J91="",0,LEN($J91))</f>
        <v/>
      </c>
      <c r="L91" s="16">
        <f>IF($J91="","",LEFT($J91,cbb_ikincilUzunluk))</f>
        <v/>
      </c>
      <c r="M91" s="16">
        <f>"B"</f>
        <v/>
      </c>
      <c r="N91" s="16">
        <f>IF($J91="","",IF(COUNTIF(tblAnahtarB[NormB],$J91)&gt;1,"EVET","HAYIR"))</f>
        <v/>
      </c>
      <c r="O91" s="16">
        <f>IF($I91="","",ROW()-ROW($I$5))</f>
        <v/>
      </c>
    </row>
    <row r="92">
      <c r="A92" s="7">
        <f>IF(VERI_A!A92="","",VERI_A!A92)</f>
        <v/>
      </c>
      <c r="B92" s="16">
        <f>UPPER(TRIM(SUBSTITUTE($A92," ","")))</f>
        <v/>
      </c>
      <c r="C92" s="16">
        <f>IF($B92="",0,LEN($B92))</f>
        <v/>
      </c>
      <c r="D92" s="16">
        <f>IF($B92="","",LEFT($B92,cbb_ikincilUzunluk))</f>
        <v/>
      </c>
      <c r="E92" s="16">
        <f>"A"</f>
        <v/>
      </c>
      <c r="F92" s="16">
        <f>IF($B92="","",IF(COUNTIF(tblAnahtarA[Norm],$B92)&gt;1,"EVET","HAYIR"))</f>
        <v/>
      </c>
      <c r="G92" s="16">
        <f>IF($A92="","",ROW()-ROW($A$5))</f>
        <v/>
      </c>
      <c r="I92" s="7">
        <f>IF(VERI_B!A92="","",VERI_B!A92)</f>
        <v/>
      </c>
      <c r="J92" s="16">
        <f>UPPER(TRIM(SUBSTITUTE($I92," ","")))</f>
        <v/>
      </c>
      <c r="K92" s="16">
        <f>IF($J92="",0,LEN($J92))</f>
        <v/>
      </c>
      <c r="L92" s="16">
        <f>IF($J92="","",LEFT($J92,cbb_ikincilUzunluk))</f>
        <v/>
      </c>
      <c r="M92" s="16">
        <f>"B"</f>
        <v/>
      </c>
      <c r="N92" s="16">
        <f>IF($J92="","",IF(COUNTIF(tblAnahtarB[NormB],$J92)&gt;1,"EVET","HAYIR"))</f>
        <v/>
      </c>
      <c r="O92" s="16">
        <f>IF($I92="","",ROW()-ROW($I$5))</f>
        <v/>
      </c>
    </row>
    <row r="93">
      <c r="A93" s="7">
        <f>IF(VERI_A!A93="","",VERI_A!A93)</f>
        <v/>
      </c>
      <c r="B93" s="16">
        <f>UPPER(TRIM(SUBSTITUTE($A93," ","")))</f>
        <v/>
      </c>
      <c r="C93" s="16">
        <f>IF($B93="",0,LEN($B93))</f>
        <v/>
      </c>
      <c r="D93" s="16">
        <f>IF($B93="","",LEFT($B93,cbb_ikincilUzunluk))</f>
        <v/>
      </c>
      <c r="E93" s="16">
        <f>"A"</f>
        <v/>
      </c>
      <c r="F93" s="16">
        <f>IF($B93="","",IF(COUNTIF(tblAnahtarA[Norm],$B93)&gt;1,"EVET","HAYIR"))</f>
        <v/>
      </c>
      <c r="G93" s="16">
        <f>IF($A93="","",ROW()-ROW($A$5))</f>
        <v/>
      </c>
      <c r="I93" s="7">
        <f>IF(VERI_B!A93="","",VERI_B!A93)</f>
        <v/>
      </c>
      <c r="J93" s="16">
        <f>UPPER(TRIM(SUBSTITUTE($I93," ","")))</f>
        <v/>
      </c>
      <c r="K93" s="16">
        <f>IF($J93="",0,LEN($J93))</f>
        <v/>
      </c>
      <c r="L93" s="16">
        <f>IF($J93="","",LEFT($J93,cbb_ikincilUzunluk))</f>
        <v/>
      </c>
      <c r="M93" s="16">
        <f>"B"</f>
        <v/>
      </c>
      <c r="N93" s="16">
        <f>IF($J93="","",IF(COUNTIF(tblAnahtarB[NormB],$J93)&gt;1,"EVET","HAYIR"))</f>
        <v/>
      </c>
      <c r="O93" s="16">
        <f>IF($I93="","",ROW()-ROW($I$5))</f>
        <v/>
      </c>
    </row>
    <row r="94">
      <c r="A94" s="7">
        <f>IF(VERI_A!A94="","",VERI_A!A94)</f>
        <v/>
      </c>
      <c r="B94" s="16">
        <f>UPPER(TRIM(SUBSTITUTE($A94," ","")))</f>
        <v/>
      </c>
      <c r="C94" s="16">
        <f>IF($B94="",0,LEN($B94))</f>
        <v/>
      </c>
      <c r="D94" s="16">
        <f>IF($B94="","",LEFT($B94,cbb_ikincilUzunluk))</f>
        <v/>
      </c>
      <c r="E94" s="16">
        <f>"A"</f>
        <v/>
      </c>
      <c r="F94" s="16">
        <f>IF($B94="","",IF(COUNTIF(tblAnahtarA[Norm],$B94)&gt;1,"EVET","HAYIR"))</f>
        <v/>
      </c>
      <c r="G94" s="16">
        <f>IF($A94="","",ROW()-ROW($A$5))</f>
        <v/>
      </c>
      <c r="I94" s="7">
        <f>IF(VERI_B!A94="","",VERI_B!A94)</f>
        <v/>
      </c>
      <c r="J94" s="16">
        <f>UPPER(TRIM(SUBSTITUTE($I94," ","")))</f>
        <v/>
      </c>
      <c r="K94" s="16">
        <f>IF($J94="",0,LEN($J94))</f>
        <v/>
      </c>
      <c r="L94" s="16">
        <f>IF($J94="","",LEFT($J94,cbb_ikincilUzunluk))</f>
        <v/>
      </c>
      <c r="M94" s="16">
        <f>"B"</f>
        <v/>
      </c>
      <c r="N94" s="16">
        <f>IF($J94="","",IF(COUNTIF(tblAnahtarB[NormB],$J94)&gt;1,"EVET","HAYIR"))</f>
        <v/>
      </c>
      <c r="O94" s="16">
        <f>IF($I94="","",ROW()-ROW($I$5))</f>
        <v/>
      </c>
    </row>
    <row r="95">
      <c r="A95" s="7">
        <f>IF(VERI_A!A95="","",VERI_A!A95)</f>
        <v/>
      </c>
      <c r="B95" s="16">
        <f>UPPER(TRIM(SUBSTITUTE($A95," ","")))</f>
        <v/>
      </c>
      <c r="C95" s="16">
        <f>IF($B95="",0,LEN($B95))</f>
        <v/>
      </c>
      <c r="D95" s="16">
        <f>IF($B95="","",LEFT($B95,cbb_ikincilUzunluk))</f>
        <v/>
      </c>
      <c r="E95" s="16">
        <f>"A"</f>
        <v/>
      </c>
      <c r="F95" s="16">
        <f>IF($B95="","",IF(COUNTIF(tblAnahtarA[Norm],$B95)&gt;1,"EVET","HAYIR"))</f>
        <v/>
      </c>
      <c r="G95" s="16">
        <f>IF($A95="","",ROW()-ROW($A$5))</f>
        <v/>
      </c>
      <c r="I95" s="7">
        <f>IF(VERI_B!A95="","",VERI_B!A95)</f>
        <v/>
      </c>
      <c r="J95" s="16">
        <f>UPPER(TRIM(SUBSTITUTE($I95," ","")))</f>
        <v/>
      </c>
      <c r="K95" s="16">
        <f>IF($J95="",0,LEN($J95))</f>
        <v/>
      </c>
      <c r="L95" s="16">
        <f>IF($J95="","",LEFT($J95,cbb_ikincilUzunluk))</f>
        <v/>
      </c>
      <c r="M95" s="16">
        <f>"B"</f>
        <v/>
      </c>
      <c r="N95" s="16">
        <f>IF($J95="","",IF(COUNTIF(tblAnahtarB[NormB],$J95)&gt;1,"EVET","HAYIR"))</f>
        <v/>
      </c>
      <c r="O95" s="16">
        <f>IF($I95="","",ROW()-ROW($I$5))</f>
        <v/>
      </c>
    </row>
    <row r="96">
      <c r="A96" s="7">
        <f>IF(VERI_A!A96="","",VERI_A!A96)</f>
        <v/>
      </c>
      <c r="B96" s="16">
        <f>UPPER(TRIM(SUBSTITUTE($A96," ","")))</f>
        <v/>
      </c>
      <c r="C96" s="16">
        <f>IF($B96="",0,LEN($B96))</f>
        <v/>
      </c>
      <c r="D96" s="16">
        <f>IF($B96="","",LEFT($B96,cbb_ikincilUzunluk))</f>
        <v/>
      </c>
      <c r="E96" s="16">
        <f>"A"</f>
        <v/>
      </c>
      <c r="F96" s="16">
        <f>IF($B96="","",IF(COUNTIF(tblAnahtarA[Norm],$B96)&gt;1,"EVET","HAYIR"))</f>
        <v/>
      </c>
      <c r="G96" s="16">
        <f>IF($A96="","",ROW()-ROW($A$5))</f>
        <v/>
      </c>
      <c r="I96" s="7">
        <f>IF(VERI_B!A96="","",VERI_B!A96)</f>
        <v/>
      </c>
      <c r="J96" s="16">
        <f>UPPER(TRIM(SUBSTITUTE($I96," ","")))</f>
        <v/>
      </c>
      <c r="K96" s="16">
        <f>IF($J96="",0,LEN($J96))</f>
        <v/>
      </c>
      <c r="L96" s="16">
        <f>IF($J96="","",LEFT($J96,cbb_ikincilUzunluk))</f>
        <v/>
      </c>
      <c r="M96" s="16">
        <f>"B"</f>
        <v/>
      </c>
      <c r="N96" s="16">
        <f>IF($J96="","",IF(COUNTIF(tblAnahtarB[NormB],$J96)&gt;1,"EVET","HAYIR"))</f>
        <v/>
      </c>
      <c r="O96" s="16">
        <f>IF($I96="","",ROW()-ROW($I$5))</f>
        <v/>
      </c>
    </row>
    <row r="97">
      <c r="A97" s="7">
        <f>IF(VERI_A!A97="","",VERI_A!A97)</f>
        <v/>
      </c>
      <c r="B97" s="16">
        <f>UPPER(TRIM(SUBSTITUTE($A97," ","")))</f>
        <v/>
      </c>
      <c r="C97" s="16">
        <f>IF($B97="",0,LEN($B97))</f>
        <v/>
      </c>
      <c r="D97" s="16">
        <f>IF($B97="","",LEFT($B97,cbb_ikincilUzunluk))</f>
        <v/>
      </c>
      <c r="E97" s="16">
        <f>"A"</f>
        <v/>
      </c>
      <c r="F97" s="16">
        <f>IF($B97="","",IF(COUNTIF(tblAnahtarA[Norm],$B97)&gt;1,"EVET","HAYIR"))</f>
        <v/>
      </c>
      <c r="G97" s="16">
        <f>IF($A97="","",ROW()-ROW($A$5))</f>
        <v/>
      </c>
      <c r="I97" s="7">
        <f>IF(VERI_B!A97="","",VERI_B!A97)</f>
        <v/>
      </c>
      <c r="J97" s="16">
        <f>UPPER(TRIM(SUBSTITUTE($I97," ","")))</f>
        <v/>
      </c>
      <c r="K97" s="16">
        <f>IF($J97="",0,LEN($J97))</f>
        <v/>
      </c>
      <c r="L97" s="16">
        <f>IF($J97="","",LEFT($J97,cbb_ikincilUzunluk))</f>
        <v/>
      </c>
      <c r="M97" s="16">
        <f>"B"</f>
        <v/>
      </c>
      <c r="N97" s="16">
        <f>IF($J97="","",IF(COUNTIF(tblAnahtarB[NormB],$J97)&gt;1,"EVET","HAYIR"))</f>
        <v/>
      </c>
      <c r="O97" s="16">
        <f>IF($I97="","",ROW()-ROW($I$5))</f>
        <v/>
      </c>
    </row>
    <row r="98">
      <c r="A98" s="7">
        <f>IF(VERI_A!A98="","",VERI_A!A98)</f>
        <v/>
      </c>
      <c r="B98" s="16">
        <f>UPPER(TRIM(SUBSTITUTE($A98," ","")))</f>
        <v/>
      </c>
      <c r="C98" s="16">
        <f>IF($B98="",0,LEN($B98))</f>
        <v/>
      </c>
      <c r="D98" s="16">
        <f>IF($B98="","",LEFT($B98,cbb_ikincilUzunluk))</f>
        <v/>
      </c>
      <c r="E98" s="16">
        <f>"A"</f>
        <v/>
      </c>
      <c r="F98" s="16">
        <f>IF($B98="","",IF(COUNTIF(tblAnahtarA[Norm],$B98)&gt;1,"EVET","HAYIR"))</f>
        <v/>
      </c>
      <c r="G98" s="16">
        <f>IF($A98="","",ROW()-ROW($A$5))</f>
        <v/>
      </c>
      <c r="I98" s="7">
        <f>IF(VERI_B!A98="","",VERI_B!A98)</f>
        <v/>
      </c>
      <c r="J98" s="16">
        <f>UPPER(TRIM(SUBSTITUTE($I98," ","")))</f>
        <v/>
      </c>
      <c r="K98" s="16">
        <f>IF($J98="",0,LEN($J98))</f>
        <v/>
      </c>
      <c r="L98" s="16">
        <f>IF($J98="","",LEFT($J98,cbb_ikincilUzunluk))</f>
        <v/>
      </c>
      <c r="M98" s="16">
        <f>"B"</f>
        <v/>
      </c>
      <c r="N98" s="16">
        <f>IF($J98="","",IF(COUNTIF(tblAnahtarB[NormB],$J98)&gt;1,"EVET","HAYIR"))</f>
        <v/>
      </c>
      <c r="O98" s="16">
        <f>IF($I98="","",ROW()-ROW($I$5))</f>
        <v/>
      </c>
    </row>
    <row r="99">
      <c r="A99" s="7">
        <f>IF(VERI_A!A99="","",VERI_A!A99)</f>
        <v/>
      </c>
      <c r="B99" s="16">
        <f>UPPER(TRIM(SUBSTITUTE($A99," ","")))</f>
        <v/>
      </c>
      <c r="C99" s="16">
        <f>IF($B99="",0,LEN($B99))</f>
        <v/>
      </c>
      <c r="D99" s="16">
        <f>IF($B99="","",LEFT($B99,cbb_ikincilUzunluk))</f>
        <v/>
      </c>
      <c r="E99" s="16">
        <f>"A"</f>
        <v/>
      </c>
      <c r="F99" s="16">
        <f>IF($B99="","",IF(COUNTIF(tblAnahtarA[Norm],$B99)&gt;1,"EVET","HAYIR"))</f>
        <v/>
      </c>
      <c r="G99" s="16">
        <f>IF($A99="","",ROW()-ROW($A$5))</f>
        <v/>
      </c>
      <c r="I99" s="7">
        <f>IF(VERI_B!A99="","",VERI_B!A99)</f>
        <v/>
      </c>
      <c r="J99" s="16">
        <f>UPPER(TRIM(SUBSTITUTE($I99," ","")))</f>
        <v/>
      </c>
      <c r="K99" s="16">
        <f>IF($J99="",0,LEN($J99))</f>
        <v/>
      </c>
      <c r="L99" s="16">
        <f>IF($J99="","",LEFT($J99,cbb_ikincilUzunluk))</f>
        <v/>
      </c>
      <c r="M99" s="16">
        <f>"B"</f>
        <v/>
      </c>
      <c r="N99" s="16">
        <f>IF($J99="","",IF(COUNTIF(tblAnahtarB[NormB],$J99)&gt;1,"EVET","HAYIR"))</f>
        <v/>
      </c>
      <c r="O99" s="16">
        <f>IF($I99="","",ROW()-ROW($I$5))</f>
        <v/>
      </c>
    </row>
    <row r="100">
      <c r="A100" s="7">
        <f>IF(VERI_A!A100="","",VERI_A!A100)</f>
        <v/>
      </c>
      <c r="B100" s="16">
        <f>UPPER(TRIM(SUBSTITUTE($A100," ","")))</f>
        <v/>
      </c>
      <c r="C100" s="16">
        <f>IF($B100="",0,LEN($B100))</f>
        <v/>
      </c>
      <c r="D100" s="16">
        <f>IF($B100="","",LEFT($B100,cbb_ikincilUzunluk))</f>
        <v/>
      </c>
      <c r="E100" s="16">
        <f>"A"</f>
        <v/>
      </c>
      <c r="F100" s="16">
        <f>IF($B100="","",IF(COUNTIF(tblAnahtarA[Norm],$B100)&gt;1,"EVET","HAYIR"))</f>
        <v/>
      </c>
      <c r="G100" s="16">
        <f>IF($A100="","",ROW()-ROW($A$5))</f>
        <v/>
      </c>
      <c r="I100" s="7">
        <f>IF(VERI_B!A100="","",VERI_B!A100)</f>
        <v/>
      </c>
      <c r="J100" s="16">
        <f>UPPER(TRIM(SUBSTITUTE($I100," ","")))</f>
        <v/>
      </c>
      <c r="K100" s="16">
        <f>IF($J100="",0,LEN($J100))</f>
        <v/>
      </c>
      <c r="L100" s="16">
        <f>IF($J100="","",LEFT($J100,cbb_ikincilUzunluk))</f>
        <v/>
      </c>
      <c r="M100" s="16">
        <f>"B"</f>
        <v/>
      </c>
      <c r="N100" s="16">
        <f>IF($J100="","",IF(COUNTIF(tblAnahtarB[NormB],$J100)&gt;1,"EVET","HAYIR"))</f>
        <v/>
      </c>
      <c r="O100" s="16">
        <f>IF($I100="","",ROW()-ROW($I$5))</f>
        <v/>
      </c>
    </row>
    <row r="101">
      <c r="A101" s="7">
        <f>IF(VERI_A!A101="","",VERI_A!A101)</f>
        <v/>
      </c>
      <c r="B101" s="16">
        <f>UPPER(TRIM(SUBSTITUTE($A101," ","")))</f>
        <v/>
      </c>
      <c r="C101" s="16">
        <f>IF($B101="",0,LEN($B101))</f>
        <v/>
      </c>
      <c r="D101" s="16">
        <f>IF($B101="","",LEFT($B101,cbb_ikincilUzunluk))</f>
        <v/>
      </c>
      <c r="E101" s="16">
        <f>"A"</f>
        <v/>
      </c>
      <c r="F101" s="16">
        <f>IF($B101="","",IF(COUNTIF(tblAnahtarA[Norm],$B101)&gt;1,"EVET","HAYIR"))</f>
        <v/>
      </c>
      <c r="G101" s="16">
        <f>IF($A101="","",ROW()-ROW($A$5))</f>
        <v/>
      </c>
      <c r="I101" s="7">
        <f>IF(VERI_B!A101="","",VERI_B!A101)</f>
        <v/>
      </c>
      <c r="J101" s="16">
        <f>UPPER(TRIM(SUBSTITUTE($I101," ","")))</f>
        <v/>
      </c>
      <c r="K101" s="16">
        <f>IF($J101="",0,LEN($J101))</f>
        <v/>
      </c>
      <c r="L101" s="16">
        <f>IF($J101="","",LEFT($J101,cbb_ikincilUzunluk))</f>
        <v/>
      </c>
      <c r="M101" s="16">
        <f>"B"</f>
        <v/>
      </c>
      <c r="N101" s="16">
        <f>IF($J101="","",IF(COUNTIF(tblAnahtarB[NormB],$J101)&gt;1,"EVET","HAYIR"))</f>
        <v/>
      </c>
      <c r="O101" s="16">
        <f>IF($I101="","",ROW()-ROW($I$5))</f>
        <v/>
      </c>
    </row>
    <row r="102">
      <c r="A102" s="7">
        <f>IF(VERI_A!A102="","",VERI_A!A102)</f>
        <v/>
      </c>
      <c r="B102" s="16">
        <f>UPPER(TRIM(SUBSTITUTE($A102," ","")))</f>
        <v/>
      </c>
      <c r="C102" s="16">
        <f>IF($B102="",0,LEN($B102))</f>
        <v/>
      </c>
      <c r="D102" s="16">
        <f>IF($B102="","",LEFT($B102,cbb_ikincilUzunluk))</f>
        <v/>
      </c>
      <c r="E102" s="16">
        <f>"A"</f>
        <v/>
      </c>
      <c r="F102" s="16">
        <f>IF($B102="","",IF(COUNTIF(tblAnahtarA[Norm],$B102)&gt;1,"EVET","HAYIR"))</f>
        <v/>
      </c>
      <c r="G102" s="16">
        <f>IF($A102="","",ROW()-ROW($A$5))</f>
        <v/>
      </c>
      <c r="I102" s="7">
        <f>IF(VERI_B!A102="","",VERI_B!A102)</f>
        <v/>
      </c>
      <c r="J102" s="16">
        <f>UPPER(TRIM(SUBSTITUTE($I102," ","")))</f>
        <v/>
      </c>
      <c r="K102" s="16">
        <f>IF($J102="",0,LEN($J102))</f>
        <v/>
      </c>
      <c r="L102" s="16">
        <f>IF($J102="","",LEFT($J102,cbb_ikincilUzunluk))</f>
        <v/>
      </c>
      <c r="M102" s="16">
        <f>"B"</f>
        <v/>
      </c>
      <c r="N102" s="16">
        <f>IF($J102="","",IF(COUNTIF(tblAnahtarB[NormB],$J102)&gt;1,"EVET","HAYIR"))</f>
        <v/>
      </c>
      <c r="O102" s="16">
        <f>IF($I102="","",ROW()-ROW($I$5))</f>
        <v/>
      </c>
    </row>
    <row r="103">
      <c r="A103" s="7">
        <f>IF(VERI_A!A103="","",VERI_A!A103)</f>
        <v/>
      </c>
      <c r="B103" s="16">
        <f>UPPER(TRIM(SUBSTITUTE($A103," ","")))</f>
        <v/>
      </c>
      <c r="C103" s="16">
        <f>IF($B103="",0,LEN($B103))</f>
        <v/>
      </c>
      <c r="D103" s="16">
        <f>IF($B103="","",LEFT($B103,cbb_ikincilUzunluk))</f>
        <v/>
      </c>
      <c r="E103" s="16">
        <f>"A"</f>
        <v/>
      </c>
      <c r="F103" s="16">
        <f>IF($B103="","",IF(COUNTIF(tblAnahtarA[Norm],$B103)&gt;1,"EVET","HAYIR"))</f>
        <v/>
      </c>
      <c r="G103" s="16">
        <f>IF($A103="","",ROW()-ROW($A$5))</f>
        <v/>
      </c>
      <c r="I103" s="7">
        <f>IF(VERI_B!A103="","",VERI_B!A103)</f>
        <v/>
      </c>
      <c r="J103" s="16">
        <f>UPPER(TRIM(SUBSTITUTE($I103," ","")))</f>
        <v/>
      </c>
      <c r="K103" s="16">
        <f>IF($J103="",0,LEN($J103))</f>
        <v/>
      </c>
      <c r="L103" s="16">
        <f>IF($J103="","",LEFT($J103,cbb_ikincilUzunluk))</f>
        <v/>
      </c>
      <c r="M103" s="16">
        <f>"B"</f>
        <v/>
      </c>
      <c r="N103" s="16">
        <f>IF($J103="","",IF(COUNTIF(tblAnahtarB[NormB],$J103)&gt;1,"EVET","HAYIR"))</f>
        <v/>
      </c>
      <c r="O103" s="16">
        <f>IF($I103="","",ROW()-ROW($I$5))</f>
        <v/>
      </c>
    </row>
    <row r="104">
      <c r="A104" s="7">
        <f>IF(VERI_A!A104="","",VERI_A!A104)</f>
        <v/>
      </c>
      <c r="B104" s="16">
        <f>UPPER(TRIM(SUBSTITUTE($A104," ","")))</f>
        <v/>
      </c>
      <c r="C104" s="16">
        <f>IF($B104="",0,LEN($B104))</f>
        <v/>
      </c>
      <c r="D104" s="16">
        <f>IF($B104="","",LEFT($B104,cbb_ikincilUzunluk))</f>
        <v/>
      </c>
      <c r="E104" s="16">
        <f>"A"</f>
        <v/>
      </c>
      <c r="F104" s="16">
        <f>IF($B104="","",IF(COUNTIF(tblAnahtarA[Norm],$B104)&gt;1,"EVET","HAYIR"))</f>
        <v/>
      </c>
      <c r="G104" s="16">
        <f>IF($A104="","",ROW()-ROW($A$5))</f>
        <v/>
      </c>
      <c r="I104" s="7">
        <f>IF(VERI_B!A104="","",VERI_B!A104)</f>
        <v/>
      </c>
      <c r="J104" s="16">
        <f>UPPER(TRIM(SUBSTITUTE($I104," ","")))</f>
        <v/>
      </c>
      <c r="K104" s="16">
        <f>IF($J104="",0,LEN($J104))</f>
        <v/>
      </c>
      <c r="L104" s="16">
        <f>IF($J104="","",LEFT($J104,cbb_ikincilUzunluk))</f>
        <v/>
      </c>
      <c r="M104" s="16">
        <f>"B"</f>
        <v/>
      </c>
      <c r="N104" s="16">
        <f>IF($J104="","",IF(COUNTIF(tblAnahtarB[NormB],$J104)&gt;1,"EVET","HAYIR"))</f>
        <v/>
      </c>
      <c r="O104" s="16">
        <f>IF($I104="","",ROW()-ROW($I$5))</f>
        <v/>
      </c>
    </row>
    <row r="105">
      <c r="A105" s="7">
        <f>IF(VERI_A!A105="","",VERI_A!A105)</f>
        <v/>
      </c>
      <c r="B105" s="16">
        <f>UPPER(TRIM(SUBSTITUTE($A105," ","")))</f>
        <v/>
      </c>
      <c r="C105" s="16">
        <f>IF($B105="",0,LEN($B105))</f>
        <v/>
      </c>
      <c r="D105" s="16">
        <f>IF($B105="","",LEFT($B105,cbb_ikincilUzunluk))</f>
        <v/>
      </c>
      <c r="E105" s="16">
        <f>"A"</f>
        <v/>
      </c>
      <c r="F105" s="16">
        <f>IF($B105="","",IF(COUNTIF(tblAnahtarA[Norm],$B105)&gt;1,"EVET","HAYIR"))</f>
        <v/>
      </c>
      <c r="G105" s="16">
        <f>IF($A105="","",ROW()-ROW($A$5))</f>
        <v/>
      </c>
      <c r="I105" s="7">
        <f>IF(VERI_B!A105="","",VERI_B!A105)</f>
        <v/>
      </c>
      <c r="J105" s="16">
        <f>UPPER(TRIM(SUBSTITUTE($I105," ","")))</f>
        <v/>
      </c>
      <c r="K105" s="16">
        <f>IF($J105="",0,LEN($J105))</f>
        <v/>
      </c>
      <c r="L105" s="16">
        <f>IF($J105="","",LEFT($J105,cbb_ikincilUzunluk))</f>
        <v/>
      </c>
      <c r="M105" s="16">
        <f>"B"</f>
        <v/>
      </c>
      <c r="N105" s="16">
        <f>IF($J105="","",IF(COUNTIF(tblAnahtarB[NormB],$J105)&gt;1,"EVET","HAYIR"))</f>
        <v/>
      </c>
      <c r="O105" s="16">
        <f>IF($I105="","",ROW()-ROW($I$5))</f>
        <v/>
      </c>
    </row>
    <row r="106">
      <c r="A106" s="7">
        <f>IF(VERI_A!A106="","",VERI_A!A106)</f>
        <v/>
      </c>
      <c r="B106" s="16">
        <f>UPPER(TRIM(SUBSTITUTE($A106," ","")))</f>
        <v/>
      </c>
      <c r="C106" s="16">
        <f>IF($B106="",0,LEN($B106))</f>
        <v/>
      </c>
      <c r="D106" s="16">
        <f>IF($B106="","",LEFT($B106,cbb_ikincilUzunluk))</f>
        <v/>
      </c>
      <c r="E106" s="16">
        <f>"A"</f>
        <v/>
      </c>
      <c r="F106" s="16">
        <f>IF($B106="","",IF(COUNTIF(tblAnahtarA[Norm],$B106)&gt;1,"EVET","HAYIR"))</f>
        <v/>
      </c>
      <c r="G106" s="16">
        <f>IF($A106="","",ROW()-ROW($A$5))</f>
        <v/>
      </c>
      <c r="I106" s="7">
        <f>IF(VERI_B!A106="","",VERI_B!A106)</f>
        <v/>
      </c>
      <c r="J106" s="16">
        <f>UPPER(TRIM(SUBSTITUTE($I106," ","")))</f>
        <v/>
      </c>
      <c r="K106" s="16">
        <f>IF($J106="",0,LEN($J106))</f>
        <v/>
      </c>
      <c r="L106" s="16">
        <f>IF($J106="","",LEFT($J106,cbb_ikincilUzunluk))</f>
        <v/>
      </c>
      <c r="M106" s="16">
        <f>"B"</f>
        <v/>
      </c>
      <c r="N106" s="16">
        <f>IF($J106="","",IF(COUNTIF(tblAnahtarB[NormB],$J106)&gt;1,"EVET","HAYIR"))</f>
        <v/>
      </c>
      <c r="O106" s="16">
        <f>IF($I106="","",ROW()-ROW($I$5))</f>
        <v/>
      </c>
    </row>
    <row r="107">
      <c r="A107" s="7">
        <f>IF(VERI_A!A107="","",VERI_A!A107)</f>
        <v/>
      </c>
      <c r="B107" s="16">
        <f>UPPER(TRIM(SUBSTITUTE($A107," ","")))</f>
        <v/>
      </c>
      <c r="C107" s="16">
        <f>IF($B107="",0,LEN($B107))</f>
        <v/>
      </c>
      <c r="D107" s="16">
        <f>IF($B107="","",LEFT($B107,cbb_ikincilUzunluk))</f>
        <v/>
      </c>
      <c r="E107" s="16">
        <f>"A"</f>
        <v/>
      </c>
      <c r="F107" s="16">
        <f>IF($B107="","",IF(COUNTIF(tblAnahtarA[Norm],$B107)&gt;1,"EVET","HAYIR"))</f>
        <v/>
      </c>
      <c r="G107" s="16">
        <f>IF($A107="","",ROW()-ROW($A$5))</f>
        <v/>
      </c>
      <c r="I107" s="7">
        <f>IF(VERI_B!A107="","",VERI_B!A107)</f>
        <v/>
      </c>
      <c r="J107" s="16">
        <f>UPPER(TRIM(SUBSTITUTE($I107," ","")))</f>
        <v/>
      </c>
      <c r="K107" s="16">
        <f>IF($J107="",0,LEN($J107))</f>
        <v/>
      </c>
      <c r="L107" s="16">
        <f>IF($J107="","",LEFT($J107,cbb_ikincilUzunluk))</f>
        <v/>
      </c>
      <c r="M107" s="16">
        <f>"B"</f>
        <v/>
      </c>
      <c r="N107" s="16">
        <f>IF($J107="","",IF(COUNTIF(tblAnahtarB[NormB],$J107)&gt;1,"EVET","HAYIR"))</f>
        <v/>
      </c>
      <c r="O107" s="16">
        <f>IF($I107="","",ROW()-ROW($I$5))</f>
        <v/>
      </c>
    </row>
    <row r="108">
      <c r="A108" s="7">
        <f>IF(VERI_A!A108="","",VERI_A!A108)</f>
        <v/>
      </c>
      <c r="B108" s="16">
        <f>UPPER(TRIM(SUBSTITUTE($A108," ","")))</f>
        <v/>
      </c>
      <c r="C108" s="16">
        <f>IF($B108="",0,LEN($B108))</f>
        <v/>
      </c>
      <c r="D108" s="16">
        <f>IF($B108="","",LEFT($B108,cbb_ikincilUzunluk))</f>
        <v/>
      </c>
      <c r="E108" s="16">
        <f>"A"</f>
        <v/>
      </c>
      <c r="F108" s="16">
        <f>IF($B108="","",IF(COUNTIF(tblAnahtarA[Norm],$B108)&gt;1,"EVET","HAYIR"))</f>
        <v/>
      </c>
      <c r="G108" s="16">
        <f>IF($A108="","",ROW()-ROW($A$5))</f>
        <v/>
      </c>
      <c r="I108" s="7">
        <f>IF(VERI_B!A108="","",VERI_B!A108)</f>
        <v/>
      </c>
      <c r="J108" s="16">
        <f>UPPER(TRIM(SUBSTITUTE($I108," ","")))</f>
        <v/>
      </c>
      <c r="K108" s="16">
        <f>IF($J108="",0,LEN($J108))</f>
        <v/>
      </c>
      <c r="L108" s="16">
        <f>IF($J108="","",LEFT($J108,cbb_ikincilUzunluk))</f>
        <v/>
      </c>
      <c r="M108" s="16">
        <f>"B"</f>
        <v/>
      </c>
      <c r="N108" s="16">
        <f>IF($J108="","",IF(COUNTIF(tblAnahtarB[NormB],$J108)&gt;1,"EVET","HAYIR"))</f>
        <v/>
      </c>
      <c r="O108" s="16">
        <f>IF($I108="","",ROW()-ROW($I$5))</f>
        <v/>
      </c>
    </row>
    <row r="109">
      <c r="A109" s="7">
        <f>IF(VERI_A!A109="","",VERI_A!A109)</f>
        <v/>
      </c>
      <c r="B109" s="16">
        <f>UPPER(TRIM(SUBSTITUTE($A109," ","")))</f>
        <v/>
      </c>
      <c r="C109" s="16">
        <f>IF($B109="",0,LEN($B109))</f>
        <v/>
      </c>
      <c r="D109" s="16">
        <f>IF($B109="","",LEFT($B109,cbb_ikincilUzunluk))</f>
        <v/>
      </c>
      <c r="E109" s="16">
        <f>"A"</f>
        <v/>
      </c>
      <c r="F109" s="16">
        <f>IF($B109="","",IF(COUNTIF(tblAnahtarA[Norm],$B109)&gt;1,"EVET","HAYIR"))</f>
        <v/>
      </c>
      <c r="G109" s="16">
        <f>IF($A109="","",ROW()-ROW($A$5))</f>
        <v/>
      </c>
      <c r="I109" s="7">
        <f>IF(VERI_B!A109="","",VERI_B!A109)</f>
        <v/>
      </c>
      <c r="J109" s="16">
        <f>UPPER(TRIM(SUBSTITUTE($I109," ","")))</f>
        <v/>
      </c>
      <c r="K109" s="16">
        <f>IF($J109="",0,LEN($J109))</f>
        <v/>
      </c>
      <c r="L109" s="16">
        <f>IF($J109="","",LEFT($J109,cbb_ikincilUzunluk))</f>
        <v/>
      </c>
      <c r="M109" s="16">
        <f>"B"</f>
        <v/>
      </c>
      <c r="N109" s="16">
        <f>IF($J109="","",IF(COUNTIF(tblAnahtarB[NormB],$J109)&gt;1,"EVET","HAYIR"))</f>
        <v/>
      </c>
      <c r="O109" s="16">
        <f>IF($I109="","",ROW()-ROW($I$5))</f>
        <v/>
      </c>
    </row>
    <row r="110">
      <c r="A110" s="7">
        <f>IF(VERI_A!A110="","",VERI_A!A110)</f>
        <v/>
      </c>
      <c r="B110" s="16">
        <f>UPPER(TRIM(SUBSTITUTE($A110," ","")))</f>
        <v/>
      </c>
      <c r="C110" s="16">
        <f>IF($B110="",0,LEN($B110))</f>
        <v/>
      </c>
      <c r="D110" s="16">
        <f>IF($B110="","",LEFT($B110,cbb_ikincilUzunluk))</f>
        <v/>
      </c>
      <c r="E110" s="16">
        <f>"A"</f>
        <v/>
      </c>
      <c r="F110" s="16">
        <f>IF($B110="","",IF(COUNTIF(tblAnahtarA[Norm],$B110)&gt;1,"EVET","HAYIR"))</f>
        <v/>
      </c>
      <c r="G110" s="16">
        <f>IF($A110="","",ROW()-ROW($A$5))</f>
        <v/>
      </c>
      <c r="I110" s="7">
        <f>IF(VERI_B!A110="","",VERI_B!A110)</f>
        <v/>
      </c>
      <c r="J110" s="16">
        <f>UPPER(TRIM(SUBSTITUTE($I110," ","")))</f>
        <v/>
      </c>
      <c r="K110" s="16">
        <f>IF($J110="",0,LEN($J110))</f>
        <v/>
      </c>
      <c r="L110" s="16">
        <f>IF($J110="","",LEFT($J110,cbb_ikincilUzunluk))</f>
        <v/>
      </c>
      <c r="M110" s="16">
        <f>"B"</f>
        <v/>
      </c>
      <c r="N110" s="16">
        <f>IF($J110="","",IF(COUNTIF(tblAnahtarB[NormB],$J110)&gt;1,"EVET","HAYIR"))</f>
        <v/>
      </c>
      <c r="O110" s="16">
        <f>IF($I110="","",ROW()-ROW($I$5))</f>
        <v/>
      </c>
    </row>
    <row r="111">
      <c r="A111" s="7">
        <f>IF(VERI_A!A111="","",VERI_A!A111)</f>
        <v/>
      </c>
      <c r="B111" s="16">
        <f>UPPER(TRIM(SUBSTITUTE($A111," ","")))</f>
        <v/>
      </c>
      <c r="C111" s="16">
        <f>IF($B111="",0,LEN($B111))</f>
        <v/>
      </c>
      <c r="D111" s="16">
        <f>IF($B111="","",LEFT($B111,cbb_ikincilUzunluk))</f>
        <v/>
      </c>
      <c r="E111" s="16">
        <f>"A"</f>
        <v/>
      </c>
      <c r="F111" s="16">
        <f>IF($B111="","",IF(COUNTIF(tblAnahtarA[Norm],$B111)&gt;1,"EVET","HAYIR"))</f>
        <v/>
      </c>
      <c r="G111" s="16">
        <f>IF($A111="","",ROW()-ROW($A$5))</f>
        <v/>
      </c>
      <c r="I111" s="7">
        <f>IF(VERI_B!A111="","",VERI_B!A111)</f>
        <v/>
      </c>
      <c r="J111" s="16">
        <f>UPPER(TRIM(SUBSTITUTE($I111," ","")))</f>
        <v/>
      </c>
      <c r="K111" s="16">
        <f>IF($J111="",0,LEN($J111))</f>
        <v/>
      </c>
      <c r="L111" s="16">
        <f>IF($J111="","",LEFT($J111,cbb_ikincilUzunluk))</f>
        <v/>
      </c>
      <c r="M111" s="16">
        <f>"B"</f>
        <v/>
      </c>
      <c r="N111" s="16">
        <f>IF($J111="","",IF(COUNTIF(tblAnahtarB[NormB],$J111)&gt;1,"EVET","HAYIR"))</f>
        <v/>
      </c>
      <c r="O111" s="16">
        <f>IF($I111="","",ROW()-ROW($I$5))</f>
        <v/>
      </c>
    </row>
    <row r="112">
      <c r="A112" s="7">
        <f>IF(VERI_A!A112="","",VERI_A!A112)</f>
        <v/>
      </c>
      <c r="B112" s="16">
        <f>UPPER(TRIM(SUBSTITUTE($A112," ","")))</f>
        <v/>
      </c>
      <c r="C112" s="16">
        <f>IF($B112="",0,LEN($B112))</f>
        <v/>
      </c>
      <c r="D112" s="16">
        <f>IF($B112="","",LEFT($B112,cbb_ikincilUzunluk))</f>
        <v/>
      </c>
      <c r="E112" s="16">
        <f>"A"</f>
        <v/>
      </c>
      <c r="F112" s="16">
        <f>IF($B112="","",IF(COUNTIF(tblAnahtarA[Norm],$B112)&gt;1,"EVET","HAYIR"))</f>
        <v/>
      </c>
      <c r="G112" s="16">
        <f>IF($A112="","",ROW()-ROW($A$5))</f>
        <v/>
      </c>
      <c r="I112" s="7">
        <f>IF(VERI_B!A112="","",VERI_B!A112)</f>
        <v/>
      </c>
      <c r="J112" s="16">
        <f>UPPER(TRIM(SUBSTITUTE($I112," ","")))</f>
        <v/>
      </c>
      <c r="K112" s="16">
        <f>IF($J112="",0,LEN($J112))</f>
        <v/>
      </c>
      <c r="L112" s="16">
        <f>IF($J112="","",LEFT($J112,cbb_ikincilUzunluk))</f>
        <v/>
      </c>
      <c r="M112" s="16">
        <f>"B"</f>
        <v/>
      </c>
      <c r="N112" s="16">
        <f>IF($J112="","",IF(COUNTIF(tblAnahtarB[NormB],$J112)&gt;1,"EVET","HAYIR"))</f>
        <v/>
      </c>
      <c r="O112" s="16">
        <f>IF($I112="","",ROW()-ROW($I$5))</f>
        <v/>
      </c>
    </row>
    <row r="113">
      <c r="A113" s="7">
        <f>IF(VERI_A!A113="","",VERI_A!A113)</f>
        <v/>
      </c>
      <c r="B113" s="16">
        <f>UPPER(TRIM(SUBSTITUTE($A113," ","")))</f>
        <v/>
      </c>
      <c r="C113" s="16">
        <f>IF($B113="",0,LEN($B113))</f>
        <v/>
      </c>
      <c r="D113" s="16">
        <f>IF($B113="","",LEFT($B113,cbb_ikincilUzunluk))</f>
        <v/>
      </c>
      <c r="E113" s="16">
        <f>"A"</f>
        <v/>
      </c>
      <c r="F113" s="16">
        <f>IF($B113="","",IF(COUNTIF(tblAnahtarA[Norm],$B113)&gt;1,"EVET","HAYIR"))</f>
        <v/>
      </c>
      <c r="G113" s="16">
        <f>IF($A113="","",ROW()-ROW($A$5))</f>
        <v/>
      </c>
      <c r="I113" s="7">
        <f>IF(VERI_B!A113="","",VERI_B!A113)</f>
        <v/>
      </c>
      <c r="J113" s="16">
        <f>UPPER(TRIM(SUBSTITUTE($I113," ","")))</f>
        <v/>
      </c>
      <c r="K113" s="16">
        <f>IF($J113="",0,LEN($J113))</f>
        <v/>
      </c>
      <c r="L113" s="16">
        <f>IF($J113="","",LEFT($J113,cbb_ikincilUzunluk))</f>
        <v/>
      </c>
      <c r="M113" s="16">
        <f>"B"</f>
        <v/>
      </c>
      <c r="N113" s="16">
        <f>IF($J113="","",IF(COUNTIF(tblAnahtarB[NormB],$J113)&gt;1,"EVET","HAYIR"))</f>
        <v/>
      </c>
      <c r="O113" s="16">
        <f>IF($I113="","",ROW()-ROW($I$5))</f>
        <v/>
      </c>
    </row>
    <row r="114">
      <c r="A114" s="7">
        <f>IF(VERI_A!A114="","",VERI_A!A114)</f>
        <v/>
      </c>
      <c r="B114" s="16">
        <f>UPPER(TRIM(SUBSTITUTE($A114," ","")))</f>
        <v/>
      </c>
      <c r="C114" s="16">
        <f>IF($B114="",0,LEN($B114))</f>
        <v/>
      </c>
      <c r="D114" s="16">
        <f>IF($B114="","",LEFT($B114,cbb_ikincilUzunluk))</f>
        <v/>
      </c>
      <c r="E114" s="16">
        <f>"A"</f>
        <v/>
      </c>
      <c r="F114" s="16">
        <f>IF($B114="","",IF(COUNTIF(tblAnahtarA[Norm],$B114)&gt;1,"EVET","HAYIR"))</f>
        <v/>
      </c>
      <c r="G114" s="16">
        <f>IF($A114="","",ROW()-ROW($A$5))</f>
        <v/>
      </c>
      <c r="I114" s="7">
        <f>IF(VERI_B!A114="","",VERI_B!A114)</f>
        <v/>
      </c>
      <c r="J114" s="16">
        <f>UPPER(TRIM(SUBSTITUTE($I114," ","")))</f>
        <v/>
      </c>
      <c r="K114" s="16">
        <f>IF($J114="",0,LEN($J114))</f>
        <v/>
      </c>
      <c r="L114" s="16">
        <f>IF($J114="","",LEFT($J114,cbb_ikincilUzunluk))</f>
        <v/>
      </c>
      <c r="M114" s="16">
        <f>"B"</f>
        <v/>
      </c>
      <c r="N114" s="16">
        <f>IF($J114="","",IF(COUNTIF(tblAnahtarB[NormB],$J114)&gt;1,"EVET","HAYIR"))</f>
        <v/>
      </c>
      <c r="O114" s="16">
        <f>IF($I114="","",ROW()-ROW($I$5))</f>
        <v/>
      </c>
    </row>
    <row r="115">
      <c r="A115" s="7">
        <f>IF(VERI_A!A115="","",VERI_A!A115)</f>
        <v/>
      </c>
      <c r="B115" s="16">
        <f>UPPER(TRIM(SUBSTITUTE($A115," ","")))</f>
        <v/>
      </c>
      <c r="C115" s="16">
        <f>IF($B115="",0,LEN($B115))</f>
        <v/>
      </c>
      <c r="D115" s="16">
        <f>IF($B115="","",LEFT($B115,cbb_ikincilUzunluk))</f>
        <v/>
      </c>
      <c r="E115" s="16">
        <f>"A"</f>
        <v/>
      </c>
      <c r="F115" s="16">
        <f>IF($B115="","",IF(COUNTIF(tblAnahtarA[Norm],$B115)&gt;1,"EVET","HAYIR"))</f>
        <v/>
      </c>
      <c r="G115" s="16">
        <f>IF($A115="","",ROW()-ROW($A$5))</f>
        <v/>
      </c>
      <c r="I115" s="7">
        <f>IF(VERI_B!A115="","",VERI_B!A115)</f>
        <v/>
      </c>
      <c r="J115" s="16">
        <f>UPPER(TRIM(SUBSTITUTE($I115," ","")))</f>
        <v/>
      </c>
      <c r="K115" s="16">
        <f>IF($J115="",0,LEN($J115))</f>
        <v/>
      </c>
      <c r="L115" s="16">
        <f>IF($J115="","",LEFT($J115,cbb_ikincilUzunluk))</f>
        <v/>
      </c>
      <c r="M115" s="16">
        <f>"B"</f>
        <v/>
      </c>
      <c r="N115" s="16">
        <f>IF($J115="","",IF(COUNTIF(tblAnahtarB[NormB],$J115)&gt;1,"EVET","HAYIR"))</f>
        <v/>
      </c>
      <c r="O115" s="16">
        <f>IF($I115="","",ROW()-ROW($I$5))</f>
        <v/>
      </c>
    </row>
    <row r="116">
      <c r="A116" s="7">
        <f>IF(VERI_A!A116="","",VERI_A!A116)</f>
        <v/>
      </c>
      <c r="B116" s="16">
        <f>UPPER(TRIM(SUBSTITUTE($A116," ","")))</f>
        <v/>
      </c>
      <c r="C116" s="16">
        <f>IF($B116="",0,LEN($B116))</f>
        <v/>
      </c>
      <c r="D116" s="16">
        <f>IF($B116="","",LEFT($B116,cbb_ikincilUzunluk))</f>
        <v/>
      </c>
      <c r="E116" s="16">
        <f>"A"</f>
        <v/>
      </c>
      <c r="F116" s="16">
        <f>IF($B116="","",IF(COUNTIF(tblAnahtarA[Norm],$B116)&gt;1,"EVET","HAYIR"))</f>
        <v/>
      </c>
      <c r="G116" s="16">
        <f>IF($A116="","",ROW()-ROW($A$5))</f>
        <v/>
      </c>
      <c r="I116" s="7">
        <f>IF(VERI_B!A116="","",VERI_B!A116)</f>
        <v/>
      </c>
      <c r="J116" s="16">
        <f>UPPER(TRIM(SUBSTITUTE($I116," ","")))</f>
        <v/>
      </c>
      <c r="K116" s="16">
        <f>IF($J116="",0,LEN($J116))</f>
        <v/>
      </c>
      <c r="L116" s="16">
        <f>IF($J116="","",LEFT($J116,cbb_ikincilUzunluk))</f>
        <v/>
      </c>
      <c r="M116" s="16">
        <f>"B"</f>
        <v/>
      </c>
      <c r="N116" s="16">
        <f>IF($J116="","",IF(COUNTIF(tblAnahtarB[NormB],$J116)&gt;1,"EVET","HAYIR"))</f>
        <v/>
      </c>
      <c r="O116" s="16">
        <f>IF($I116="","",ROW()-ROW($I$5))</f>
        <v/>
      </c>
    </row>
    <row r="117">
      <c r="A117" s="7">
        <f>IF(VERI_A!A117="","",VERI_A!A117)</f>
        <v/>
      </c>
      <c r="B117" s="16">
        <f>UPPER(TRIM(SUBSTITUTE($A117," ","")))</f>
        <v/>
      </c>
      <c r="C117" s="16">
        <f>IF($B117="",0,LEN($B117))</f>
        <v/>
      </c>
      <c r="D117" s="16">
        <f>IF($B117="","",LEFT($B117,cbb_ikincilUzunluk))</f>
        <v/>
      </c>
      <c r="E117" s="16">
        <f>"A"</f>
        <v/>
      </c>
      <c r="F117" s="16">
        <f>IF($B117="","",IF(COUNTIF(tblAnahtarA[Norm],$B117)&gt;1,"EVET","HAYIR"))</f>
        <v/>
      </c>
      <c r="G117" s="16">
        <f>IF($A117="","",ROW()-ROW($A$5))</f>
        <v/>
      </c>
      <c r="I117" s="7">
        <f>IF(VERI_B!A117="","",VERI_B!A117)</f>
        <v/>
      </c>
      <c r="J117" s="16">
        <f>UPPER(TRIM(SUBSTITUTE($I117," ","")))</f>
        <v/>
      </c>
      <c r="K117" s="16">
        <f>IF($J117="",0,LEN($J117))</f>
        <v/>
      </c>
      <c r="L117" s="16">
        <f>IF($J117="","",LEFT($J117,cbb_ikincilUzunluk))</f>
        <v/>
      </c>
      <c r="M117" s="16">
        <f>"B"</f>
        <v/>
      </c>
      <c r="N117" s="16">
        <f>IF($J117="","",IF(COUNTIF(tblAnahtarB[NormB],$J117)&gt;1,"EVET","HAYIR"))</f>
        <v/>
      </c>
      <c r="O117" s="16">
        <f>IF($I117="","",ROW()-ROW($I$5))</f>
        <v/>
      </c>
    </row>
    <row r="118">
      <c r="A118" s="7">
        <f>IF(VERI_A!A118="","",VERI_A!A118)</f>
        <v/>
      </c>
      <c r="B118" s="16">
        <f>UPPER(TRIM(SUBSTITUTE($A118," ","")))</f>
        <v/>
      </c>
      <c r="C118" s="16">
        <f>IF($B118="",0,LEN($B118))</f>
        <v/>
      </c>
      <c r="D118" s="16">
        <f>IF($B118="","",LEFT($B118,cbb_ikincilUzunluk))</f>
        <v/>
      </c>
      <c r="E118" s="16">
        <f>"A"</f>
        <v/>
      </c>
      <c r="F118" s="16">
        <f>IF($B118="","",IF(COUNTIF(tblAnahtarA[Norm],$B118)&gt;1,"EVET","HAYIR"))</f>
        <v/>
      </c>
      <c r="G118" s="16">
        <f>IF($A118="","",ROW()-ROW($A$5))</f>
        <v/>
      </c>
      <c r="I118" s="7">
        <f>IF(VERI_B!A118="","",VERI_B!A118)</f>
        <v/>
      </c>
      <c r="J118" s="16">
        <f>UPPER(TRIM(SUBSTITUTE($I118," ","")))</f>
        <v/>
      </c>
      <c r="K118" s="16">
        <f>IF($J118="",0,LEN($J118))</f>
        <v/>
      </c>
      <c r="L118" s="16">
        <f>IF($J118="","",LEFT($J118,cbb_ikincilUzunluk))</f>
        <v/>
      </c>
      <c r="M118" s="16">
        <f>"B"</f>
        <v/>
      </c>
      <c r="N118" s="16">
        <f>IF($J118="","",IF(COUNTIF(tblAnahtarB[NormB],$J118)&gt;1,"EVET","HAYIR"))</f>
        <v/>
      </c>
      <c r="O118" s="16">
        <f>IF($I118="","",ROW()-ROW($I$5))</f>
        <v/>
      </c>
    </row>
    <row r="119">
      <c r="A119" s="7">
        <f>IF(VERI_A!A119="","",VERI_A!A119)</f>
        <v/>
      </c>
      <c r="B119" s="16">
        <f>UPPER(TRIM(SUBSTITUTE($A119," ","")))</f>
        <v/>
      </c>
      <c r="C119" s="16">
        <f>IF($B119="",0,LEN($B119))</f>
        <v/>
      </c>
      <c r="D119" s="16">
        <f>IF($B119="","",LEFT($B119,cbb_ikincilUzunluk))</f>
        <v/>
      </c>
      <c r="E119" s="16">
        <f>"A"</f>
        <v/>
      </c>
      <c r="F119" s="16">
        <f>IF($B119="","",IF(COUNTIF(tblAnahtarA[Norm],$B119)&gt;1,"EVET","HAYIR"))</f>
        <v/>
      </c>
      <c r="G119" s="16">
        <f>IF($A119="","",ROW()-ROW($A$5))</f>
        <v/>
      </c>
      <c r="I119" s="7">
        <f>IF(VERI_B!A119="","",VERI_B!A119)</f>
        <v/>
      </c>
      <c r="J119" s="16">
        <f>UPPER(TRIM(SUBSTITUTE($I119," ","")))</f>
        <v/>
      </c>
      <c r="K119" s="16">
        <f>IF($J119="",0,LEN($J119))</f>
        <v/>
      </c>
      <c r="L119" s="16">
        <f>IF($J119="","",LEFT($J119,cbb_ikincilUzunluk))</f>
        <v/>
      </c>
      <c r="M119" s="16">
        <f>"B"</f>
        <v/>
      </c>
      <c r="N119" s="16">
        <f>IF($J119="","",IF(COUNTIF(tblAnahtarB[NormB],$J119)&gt;1,"EVET","HAYIR"))</f>
        <v/>
      </c>
      <c r="O119" s="16">
        <f>IF($I119="","",ROW()-ROW($I$5))</f>
        <v/>
      </c>
    </row>
    <row r="120">
      <c r="A120" s="7">
        <f>IF(VERI_A!A120="","",VERI_A!A120)</f>
        <v/>
      </c>
      <c r="B120" s="16">
        <f>UPPER(TRIM(SUBSTITUTE($A120," ","")))</f>
        <v/>
      </c>
      <c r="C120" s="16">
        <f>IF($B120="",0,LEN($B120))</f>
        <v/>
      </c>
      <c r="D120" s="16">
        <f>IF($B120="","",LEFT($B120,cbb_ikincilUzunluk))</f>
        <v/>
      </c>
      <c r="E120" s="16">
        <f>"A"</f>
        <v/>
      </c>
      <c r="F120" s="16">
        <f>IF($B120="","",IF(COUNTIF(tblAnahtarA[Norm],$B120)&gt;1,"EVET","HAYIR"))</f>
        <v/>
      </c>
      <c r="G120" s="16">
        <f>IF($A120="","",ROW()-ROW($A$5))</f>
        <v/>
      </c>
      <c r="I120" s="7">
        <f>IF(VERI_B!A120="","",VERI_B!A120)</f>
        <v/>
      </c>
      <c r="J120" s="16">
        <f>UPPER(TRIM(SUBSTITUTE($I120," ","")))</f>
        <v/>
      </c>
      <c r="K120" s="16">
        <f>IF($J120="",0,LEN($J120))</f>
        <v/>
      </c>
      <c r="L120" s="16">
        <f>IF($J120="","",LEFT($J120,cbb_ikincilUzunluk))</f>
        <v/>
      </c>
      <c r="M120" s="16">
        <f>"B"</f>
        <v/>
      </c>
      <c r="N120" s="16">
        <f>IF($J120="","",IF(COUNTIF(tblAnahtarB[NormB],$J120)&gt;1,"EVET","HAYIR"))</f>
        <v/>
      </c>
      <c r="O120" s="16">
        <f>IF($I120="","",ROW()-ROW($I$5))</f>
        <v/>
      </c>
    </row>
    <row r="121">
      <c r="A121" s="7">
        <f>IF(VERI_A!A121="","",VERI_A!A121)</f>
        <v/>
      </c>
      <c r="B121" s="16">
        <f>UPPER(TRIM(SUBSTITUTE($A121," ","")))</f>
        <v/>
      </c>
      <c r="C121" s="16">
        <f>IF($B121="",0,LEN($B121))</f>
        <v/>
      </c>
      <c r="D121" s="16">
        <f>IF($B121="","",LEFT($B121,cbb_ikincilUzunluk))</f>
        <v/>
      </c>
      <c r="E121" s="16">
        <f>"A"</f>
        <v/>
      </c>
      <c r="F121" s="16">
        <f>IF($B121="","",IF(COUNTIF(tblAnahtarA[Norm],$B121)&gt;1,"EVET","HAYIR"))</f>
        <v/>
      </c>
      <c r="G121" s="16">
        <f>IF($A121="","",ROW()-ROW($A$5))</f>
        <v/>
      </c>
      <c r="I121" s="7">
        <f>IF(VERI_B!A121="","",VERI_B!A121)</f>
        <v/>
      </c>
      <c r="J121" s="16">
        <f>UPPER(TRIM(SUBSTITUTE($I121," ","")))</f>
        <v/>
      </c>
      <c r="K121" s="16">
        <f>IF($J121="",0,LEN($J121))</f>
        <v/>
      </c>
      <c r="L121" s="16">
        <f>IF($J121="","",LEFT($J121,cbb_ikincilUzunluk))</f>
        <v/>
      </c>
      <c r="M121" s="16">
        <f>"B"</f>
        <v/>
      </c>
      <c r="N121" s="16">
        <f>IF($J121="","",IF(COUNTIF(tblAnahtarB[NormB],$J121)&gt;1,"EVET","HAYIR"))</f>
        <v/>
      </c>
      <c r="O121" s="16">
        <f>IF($I121="","",ROW()-ROW($I$5))</f>
        <v/>
      </c>
    </row>
    <row r="122">
      <c r="A122" s="7">
        <f>IF(VERI_A!A122="","",VERI_A!A122)</f>
        <v/>
      </c>
      <c r="B122" s="16">
        <f>UPPER(TRIM(SUBSTITUTE($A122," ","")))</f>
        <v/>
      </c>
      <c r="C122" s="16">
        <f>IF($B122="",0,LEN($B122))</f>
        <v/>
      </c>
      <c r="D122" s="16">
        <f>IF($B122="","",LEFT($B122,cbb_ikincilUzunluk))</f>
        <v/>
      </c>
      <c r="E122" s="16">
        <f>"A"</f>
        <v/>
      </c>
      <c r="F122" s="16">
        <f>IF($B122="","",IF(COUNTIF(tblAnahtarA[Norm],$B122)&gt;1,"EVET","HAYIR"))</f>
        <v/>
      </c>
      <c r="G122" s="16">
        <f>IF($A122="","",ROW()-ROW($A$5))</f>
        <v/>
      </c>
      <c r="I122" s="7">
        <f>IF(VERI_B!A122="","",VERI_B!A122)</f>
        <v/>
      </c>
      <c r="J122" s="16">
        <f>UPPER(TRIM(SUBSTITUTE($I122," ","")))</f>
        <v/>
      </c>
      <c r="K122" s="16">
        <f>IF($J122="",0,LEN($J122))</f>
        <v/>
      </c>
      <c r="L122" s="16">
        <f>IF($J122="","",LEFT($J122,cbb_ikincilUzunluk))</f>
        <v/>
      </c>
      <c r="M122" s="16">
        <f>"B"</f>
        <v/>
      </c>
      <c r="N122" s="16">
        <f>IF($J122="","",IF(COUNTIF(tblAnahtarB[NormB],$J122)&gt;1,"EVET","HAYIR"))</f>
        <v/>
      </c>
      <c r="O122" s="16">
        <f>IF($I122="","",ROW()-ROW($I$5))</f>
        <v/>
      </c>
    </row>
    <row r="123">
      <c r="A123" s="7">
        <f>IF(VERI_A!A123="","",VERI_A!A123)</f>
        <v/>
      </c>
      <c r="B123" s="16">
        <f>UPPER(TRIM(SUBSTITUTE($A123," ","")))</f>
        <v/>
      </c>
      <c r="C123" s="16">
        <f>IF($B123="",0,LEN($B123))</f>
        <v/>
      </c>
      <c r="D123" s="16">
        <f>IF($B123="","",LEFT($B123,cbb_ikincilUzunluk))</f>
        <v/>
      </c>
      <c r="E123" s="16">
        <f>"A"</f>
        <v/>
      </c>
      <c r="F123" s="16">
        <f>IF($B123="","",IF(COUNTIF(tblAnahtarA[Norm],$B123)&gt;1,"EVET","HAYIR"))</f>
        <v/>
      </c>
      <c r="G123" s="16">
        <f>IF($A123="","",ROW()-ROW($A$5))</f>
        <v/>
      </c>
      <c r="I123" s="7">
        <f>IF(VERI_B!A123="","",VERI_B!A123)</f>
        <v/>
      </c>
      <c r="J123" s="16">
        <f>UPPER(TRIM(SUBSTITUTE($I123," ","")))</f>
        <v/>
      </c>
      <c r="K123" s="16">
        <f>IF($J123="",0,LEN($J123))</f>
        <v/>
      </c>
      <c r="L123" s="16">
        <f>IF($J123="","",LEFT($J123,cbb_ikincilUzunluk))</f>
        <v/>
      </c>
      <c r="M123" s="16">
        <f>"B"</f>
        <v/>
      </c>
      <c r="N123" s="16">
        <f>IF($J123="","",IF(COUNTIF(tblAnahtarB[NormB],$J123)&gt;1,"EVET","HAYIR"))</f>
        <v/>
      </c>
      <c r="O123" s="16">
        <f>IF($I123="","",ROW()-ROW($I$5))</f>
        <v/>
      </c>
    </row>
    <row r="124">
      <c r="A124" s="7">
        <f>IF(VERI_A!A124="","",VERI_A!A124)</f>
        <v/>
      </c>
      <c r="B124" s="16">
        <f>UPPER(TRIM(SUBSTITUTE($A124," ","")))</f>
        <v/>
      </c>
      <c r="C124" s="16">
        <f>IF($B124="",0,LEN($B124))</f>
        <v/>
      </c>
      <c r="D124" s="16">
        <f>IF($B124="","",LEFT($B124,cbb_ikincilUzunluk))</f>
        <v/>
      </c>
      <c r="E124" s="16">
        <f>"A"</f>
        <v/>
      </c>
      <c r="F124" s="16">
        <f>IF($B124="","",IF(COUNTIF(tblAnahtarA[Norm],$B124)&gt;1,"EVET","HAYIR"))</f>
        <v/>
      </c>
      <c r="G124" s="16">
        <f>IF($A124="","",ROW()-ROW($A$5))</f>
        <v/>
      </c>
      <c r="I124" s="7">
        <f>IF(VERI_B!A124="","",VERI_B!A124)</f>
        <v/>
      </c>
      <c r="J124" s="16">
        <f>UPPER(TRIM(SUBSTITUTE($I124," ","")))</f>
        <v/>
      </c>
      <c r="K124" s="16">
        <f>IF($J124="",0,LEN($J124))</f>
        <v/>
      </c>
      <c r="L124" s="16">
        <f>IF($J124="","",LEFT($J124,cbb_ikincilUzunluk))</f>
        <v/>
      </c>
      <c r="M124" s="16">
        <f>"B"</f>
        <v/>
      </c>
      <c r="N124" s="16">
        <f>IF($J124="","",IF(COUNTIF(tblAnahtarB[NormB],$J124)&gt;1,"EVET","HAYIR"))</f>
        <v/>
      </c>
      <c r="O124" s="16">
        <f>IF($I124="","",ROW()-ROW($I$5))</f>
        <v/>
      </c>
    </row>
    <row r="125">
      <c r="A125" s="7">
        <f>IF(VERI_A!A125="","",VERI_A!A125)</f>
        <v/>
      </c>
      <c r="B125" s="16">
        <f>UPPER(TRIM(SUBSTITUTE($A125," ","")))</f>
        <v/>
      </c>
      <c r="C125" s="16">
        <f>IF($B125="",0,LEN($B125))</f>
        <v/>
      </c>
      <c r="D125" s="16">
        <f>IF($B125="","",LEFT($B125,cbb_ikincilUzunluk))</f>
        <v/>
      </c>
      <c r="E125" s="16">
        <f>"A"</f>
        <v/>
      </c>
      <c r="F125" s="16">
        <f>IF($B125="","",IF(COUNTIF(tblAnahtarA[Norm],$B125)&gt;1,"EVET","HAYIR"))</f>
        <v/>
      </c>
      <c r="G125" s="16">
        <f>IF($A125="","",ROW()-ROW($A$5))</f>
        <v/>
      </c>
      <c r="I125" s="7">
        <f>IF(VERI_B!A125="","",VERI_B!A125)</f>
        <v/>
      </c>
      <c r="J125" s="16">
        <f>UPPER(TRIM(SUBSTITUTE($I125," ","")))</f>
        <v/>
      </c>
      <c r="K125" s="16">
        <f>IF($J125="",0,LEN($J125))</f>
        <v/>
      </c>
      <c r="L125" s="16">
        <f>IF($J125="","",LEFT($J125,cbb_ikincilUzunluk))</f>
        <v/>
      </c>
      <c r="M125" s="16">
        <f>"B"</f>
        <v/>
      </c>
      <c r="N125" s="16">
        <f>IF($J125="","",IF(COUNTIF(tblAnahtarB[NormB],$J125)&gt;1,"EVET","HAYIR"))</f>
        <v/>
      </c>
      <c r="O125" s="16">
        <f>IF($I125="","",ROW()-ROW($I$5))</f>
        <v/>
      </c>
    </row>
    <row r="126">
      <c r="A126" s="7">
        <f>IF(VERI_A!A126="","",VERI_A!A126)</f>
        <v/>
      </c>
      <c r="B126" s="16">
        <f>UPPER(TRIM(SUBSTITUTE($A126," ","")))</f>
        <v/>
      </c>
      <c r="C126" s="16">
        <f>IF($B126="",0,LEN($B126))</f>
        <v/>
      </c>
      <c r="D126" s="16">
        <f>IF($B126="","",LEFT($B126,cbb_ikincilUzunluk))</f>
        <v/>
      </c>
      <c r="E126" s="16">
        <f>"A"</f>
        <v/>
      </c>
      <c r="F126" s="16">
        <f>IF($B126="","",IF(COUNTIF(tblAnahtarA[Norm],$B126)&gt;1,"EVET","HAYIR"))</f>
        <v/>
      </c>
      <c r="G126" s="16">
        <f>IF($A126="","",ROW()-ROW($A$5))</f>
        <v/>
      </c>
      <c r="I126" s="7">
        <f>IF(VERI_B!A126="","",VERI_B!A126)</f>
        <v/>
      </c>
      <c r="J126" s="16">
        <f>UPPER(TRIM(SUBSTITUTE($I126," ","")))</f>
        <v/>
      </c>
      <c r="K126" s="16">
        <f>IF($J126="",0,LEN($J126))</f>
        <v/>
      </c>
      <c r="L126" s="16">
        <f>IF($J126="","",LEFT($J126,cbb_ikincilUzunluk))</f>
        <v/>
      </c>
      <c r="M126" s="16">
        <f>"B"</f>
        <v/>
      </c>
      <c r="N126" s="16">
        <f>IF($J126="","",IF(COUNTIF(tblAnahtarB[NormB],$J126)&gt;1,"EVET","HAYIR"))</f>
        <v/>
      </c>
      <c r="O126" s="16">
        <f>IF($I126="","",ROW()-ROW($I$5))</f>
        <v/>
      </c>
    </row>
    <row r="127">
      <c r="A127" s="7">
        <f>IF(VERI_A!A127="","",VERI_A!A127)</f>
        <v/>
      </c>
      <c r="B127" s="16">
        <f>UPPER(TRIM(SUBSTITUTE($A127," ","")))</f>
        <v/>
      </c>
      <c r="C127" s="16">
        <f>IF($B127="",0,LEN($B127))</f>
        <v/>
      </c>
      <c r="D127" s="16">
        <f>IF($B127="","",LEFT($B127,cbb_ikincilUzunluk))</f>
        <v/>
      </c>
      <c r="E127" s="16">
        <f>"A"</f>
        <v/>
      </c>
      <c r="F127" s="16">
        <f>IF($B127="","",IF(COUNTIF(tblAnahtarA[Norm],$B127)&gt;1,"EVET","HAYIR"))</f>
        <v/>
      </c>
      <c r="G127" s="16">
        <f>IF($A127="","",ROW()-ROW($A$5))</f>
        <v/>
      </c>
      <c r="I127" s="7">
        <f>IF(VERI_B!A127="","",VERI_B!A127)</f>
        <v/>
      </c>
      <c r="J127" s="16">
        <f>UPPER(TRIM(SUBSTITUTE($I127," ","")))</f>
        <v/>
      </c>
      <c r="K127" s="16">
        <f>IF($J127="",0,LEN($J127))</f>
        <v/>
      </c>
      <c r="L127" s="16">
        <f>IF($J127="","",LEFT($J127,cbb_ikincilUzunluk))</f>
        <v/>
      </c>
      <c r="M127" s="16">
        <f>"B"</f>
        <v/>
      </c>
      <c r="N127" s="16">
        <f>IF($J127="","",IF(COUNTIF(tblAnahtarB[NormB],$J127)&gt;1,"EVET","HAYIR"))</f>
        <v/>
      </c>
      <c r="O127" s="16">
        <f>IF($I127="","",ROW()-ROW($I$5))</f>
        <v/>
      </c>
    </row>
    <row r="128">
      <c r="A128" s="7">
        <f>IF(VERI_A!A128="","",VERI_A!A128)</f>
        <v/>
      </c>
      <c r="B128" s="16">
        <f>UPPER(TRIM(SUBSTITUTE($A128," ","")))</f>
        <v/>
      </c>
      <c r="C128" s="16">
        <f>IF($B128="",0,LEN($B128))</f>
        <v/>
      </c>
      <c r="D128" s="16">
        <f>IF($B128="","",LEFT($B128,cbb_ikincilUzunluk))</f>
        <v/>
      </c>
      <c r="E128" s="16">
        <f>"A"</f>
        <v/>
      </c>
      <c r="F128" s="16">
        <f>IF($B128="","",IF(COUNTIF(tblAnahtarA[Norm],$B128)&gt;1,"EVET","HAYIR"))</f>
        <v/>
      </c>
      <c r="G128" s="16">
        <f>IF($A128="","",ROW()-ROW($A$5))</f>
        <v/>
      </c>
      <c r="I128" s="7">
        <f>IF(VERI_B!A128="","",VERI_B!A128)</f>
        <v/>
      </c>
      <c r="J128" s="16">
        <f>UPPER(TRIM(SUBSTITUTE($I128," ","")))</f>
        <v/>
      </c>
      <c r="K128" s="16">
        <f>IF($J128="",0,LEN($J128))</f>
        <v/>
      </c>
      <c r="L128" s="16">
        <f>IF($J128="","",LEFT($J128,cbb_ikincilUzunluk))</f>
        <v/>
      </c>
      <c r="M128" s="16">
        <f>"B"</f>
        <v/>
      </c>
      <c r="N128" s="16">
        <f>IF($J128="","",IF(COUNTIF(tblAnahtarB[NormB],$J128)&gt;1,"EVET","HAYIR"))</f>
        <v/>
      </c>
      <c r="O128" s="16">
        <f>IF($I128="","",ROW()-ROW($I$5))</f>
        <v/>
      </c>
    </row>
    <row r="129">
      <c r="A129" s="7">
        <f>IF(VERI_A!A129="","",VERI_A!A129)</f>
        <v/>
      </c>
      <c r="B129" s="16">
        <f>UPPER(TRIM(SUBSTITUTE($A129," ","")))</f>
        <v/>
      </c>
      <c r="C129" s="16">
        <f>IF($B129="",0,LEN($B129))</f>
        <v/>
      </c>
      <c r="D129" s="16">
        <f>IF($B129="","",LEFT($B129,cbb_ikincilUzunluk))</f>
        <v/>
      </c>
      <c r="E129" s="16">
        <f>"A"</f>
        <v/>
      </c>
      <c r="F129" s="16">
        <f>IF($B129="","",IF(COUNTIF(tblAnahtarA[Norm],$B129)&gt;1,"EVET","HAYIR"))</f>
        <v/>
      </c>
      <c r="G129" s="16">
        <f>IF($A129="","",ROW()-ROW($A$5))</f>
        <v/>
      </c>
      <c r="I129" s="7">
        <f>IF(VERI_B!A129="","",VERI_B!A129)</f>
        <v/>
      </c>
      <c r="J129" s="16">
        <f>UPPER(TRIM(SUBSTITUTE($I129," ","")))</f>
        <v/>
      </c>
      <c r="K129" s="16">
        <f>IF($J129="",0,LEN($J129))</f>
        <v/>
      </c>
      <c r="L129" s="16">
        <f>IF($J129="","",LEFT($J129,cbb_ikincilUzunluk))</f>
        <v/>
      </c>
      <c r="M129" s="16">
        <f>"B"</f>
        <v/>
      </c>
      <c r="N129" s="16">
        <f>IF($J129="","",IF(COUNTIF(tblAnahtarB[NormB],$J129)&gt;1,"EVET","HAYIR"))</f>
        <v/>
      </c>
      <c r="O129" s="16">
        <f>IF($I129="","",ROW()-ROW($I$5))</f>
        <v/>
      </c>
    </row>
    <row r="130">
      <c r="A130" s="7">
        <f>IF(VERI_A!A130="","",VERI_A!A130)</f>
        <v/>
      </c>
      <c r="B130" s="16">
        <f>UPPER(TRIM(SUBSTITUTE($A130," ","")))</f>
        <v/>
      </c>
      <c r="C130" s="16">
        <f>IF($B130="",0,LEN($B130))</f>
        <v/>
      </c>
      <c r="D130" s="16">
        <f>IF($B130="","",LEFT($B130,cbb_ikincilUzunluk))</f>
        <v/>
      </c>
      <c r="E130" s="16">
        <f>"A"</f>
        <v/>
      </c>
      <c r="F130" s="16">
        <f>IF($B130="","",IF(COUNTIF(tblAnahtarA[Norm],$B130)&gt;1,"EVET","HAYIR"))</f>
        <v/>
      </c>
      <c r="G130" s="16">
        <f>IF($A130="","",ROW()-ROW($A$5))</f>
        <v/>
      </c>
      <c r="I130" s="7">
        <f>IF(VERI_B!A130="","",VERI_B!A130)</f>
        <v/>
      </c>
      <c r="J130" s="16">
        <f>UPPER(TRIM(SUBSTITUTE($I130," ","")))</f>
        <v/>
      </c>
      <c r="K130" s="16">
        <f>IF($J130="",0,LEN($J130))</f>
        <v/>
      </c>
      <c r="L130" s="16">
        <f>IF($J130="","",LEFT($J130,cbb_ikincilUzunluk))</f>
        <v/>
      </c>
      <c r="M130" s="16">
        <f>"B"</f>
        <v/>
      </c>
      <c r="N130" s="16">
        <f>IF($J130="","",IF(COUNTIF(tblAnahtarB[NormB],$J130)&gt;1,"EVET","HAYIR"))</f>
        <v/>
      </c>
      <c r="O130" s="16">
        <f>IF($I130="","",ROW()-ROW($I$5))</f>
        <v/>
      </c>
    </row>
    <row r="131">
      <c r="A131" s="7">
        <f>IF(VERI_A!A131="","",VERI_A!A131)</f>
        <v/>
      </c>
      <c r="B131" s="16">
        <f>UPPER(TRIM(SUBSTITUTE($A131," ","")))</f>
        <v/>
      </c>
      <c r="C131" s="16">
        <f>IF($B131="",0,LEN($B131))</f>
        <v/>
      </c>
      <c r="D131" s="16">
        <f>IF($B131="","",LEFT($B131,cbb_ikincilUzunluk))</f>
        <v/>
      </c>
      <c r="E131" s="16">
        <f>"A"</f>
        <v/>
      </c>
      <c r="F131" s="16">
        <f>IF($B131="","",IF(COUNTIF(tblAnahtarA[Norm],$B131)&gt;1,"EVET","HAYIR"))</f>
        <v/>
      </c>
      <c r="G131" s="16">
        <f>IF($A131="","",ROW()-ROW($A$5))</f>
        <v/>
      </c>
      <c r="I131" s="7">
        <f>IF(VERI_B!A131="","",VERI_B!A131)</f>
        <v/>
      </c>
      <c r="J131" s="16">
        <f>UPPER(TRIM(SUBSTITUTE($I131," ","")))</f>
        <v/>
      </c>
      <c r="K131" s="16">
        <f>IF($J131="",0,LEN($J131))</f>
        <v/>
      </c>
      <c r="L131" s="16">
        <f>IF($J131="","",LEFT($J131,cbb_ikincilUzunluk))</f>
        <v/>
      </c>
      <c r="M131" s="16">
        <f>"B"</f>
        <v/>
      </c>
      <c r="N131" s="16">
        <f>IF($J131="","",IF(COUNTIF(tblAnahtarB[NormB],$J131)&gt;1,"EVET","HAYIR"))</f>
        <v/>
      </c>
      <c r="O131" s="16">
        <f>IF($I131="","",ROW()-ROW($I$5))</f>
        <v/>
      </c>
    </row>
    <row r="132">
      <c r="A132" s="7">
        <f>IF(VERI_A!A132="","",VERI_A!A132)</f>
        <v/>
      </c>
      <c r="B132" s="16">
        <f>UPPER(TRIM(SUBSTITUTE($A132," ","")))</f>
        <v/>
      </c>
      <c r="C132" s="16">
        <f>IF($B132="",0,LEN($B132))</f>
        <v/>
      </c>
      <c r="D132" s="16">
        <f>IF($B132="","",LEFT($B132,cbb_ikincilUzunluk))</f>
        <v/>
      </c>
      <c r="E132" s="16">
        <f>"A"</f>
        <v/>
      </c>
      <c r="F132" s="16">
        <f>IF($B132="","",IF(COUNTIF(tblAnahtarA[Norm],$B132)&gt;1,"EVET","HAYIR"))</f>
        <v/>
      </c>
      <c r="G132" s="16">
        <f>IF($A132="","",ROW()-ROW($A$5))</f>
        <v/>
      </c>
      <c r="I132" s="7">
        <f>IF(VERI_B!A132="","",VERI_B!A132)</f>
        <v/>
      </c>
      <c r="J132" s="16">
        <f>UPPER(TRIM(SUBSTITUTE($I132," ","")))</f>
        <v/>
      </c>
      <c r="K132" s="16">
        <f>IF($J132="",0,LEN($J132))</f>
        <v/>
      </c>
      <c r="L132" s="16">
        <f>IF($J132="","",LEFT($J132,cbb_ikincilUzunluk))</f>
        <v/>
      </c>
      <c r="M132" s="16">
        <f>"B"</f>
        <v/>
      </c>
      <c r="N132" s="16">
        <f>IF($J132="","",IF(COUNTIF(tblAnahtarB[NormB],$J132)&gt;1,"EVET","HAYIR"))</f>
        <v/>
      </c>
      <c r="O132" s="16">
        <f>IF($I132="","",ROW()-ROW($I$5))</f>
        <v/>
      </c>
    </row>
    <row r="133">
      <c r="A133" s="7">
        <f>IF(VERI_A!A133="","",VERI_A!A133)</f>
        <v/>
      </c>
      <c r="B133" s="16">
        <f>UPPER(TRIM(SUBSTITUTE($A133," ","")))</f>
        <v/>
      </c>
      <c r="C133" s="16">
        <f>IF($B133="",0,LEN($B133))</f>
        <v/>
      </c>
      <c r="D133" s="16">
        <f>IF($B133="","",LEFT($B133,cbb_ikincilUzunluk))</f>
        <v/>
      </c>
      <c r="E133" s="16">
        <f>"A"</f>
        <v/>
      </c>
      <c r="F133" s="16">
        <f>IF($B133="","",IF(COUNTIF(tblAnahtarA[Norm],$B133)&gt;1,"EVET","HAYIR"))</f>
        <v/>
      </c>
      <c r="G133" s="16">
        <f>IF($A133="","",ROW()-ROW($A$5))</f>
        <v/>
      </c>
      <c r="I133" s="7">
        <f>IF(VERI_B!A133="","",VERI_B!A133)</f>
        <v/>
      </c>
      <c r="J133" s="16">
        <f>UPPER(TRIM(SUBSTITUTE($I133," ","")))</f>
        <v/>
      </c>
      <c r="K133" s="16">
        <f>IF($J133="",0,LEN($J133))</f>
        <v/>
      </c>
      <c r="L133" s="16">
        <f>IF($J133="","",LEFT($J133,cbb_ikincilUzunluk))</f>
        <v/>
      </c>
      <c r="M133" s="16">
        <f>"B"</f>
        <v/>
      </c>
      <c r="N133" s="16">
        <f>IF($J133="","",IF(COUNTIF(tblAnahtarB[NormB],$J133)&gt;1,"EVET","HAYIR"))</f>
        <v/>
      </c>
      <c r="O133" s="16">
        <f>IF($I133="","",ROW()-ROW($I$5))</f>
        <v/>
      </c>
    </row>
    <row r="134">
      <c r="A134" s="7">
        <f>IF(VERI_A!A134="","",VERI_A!A134)</f>
        <v/>
      </c>
      <c r="B134" s="16">
        <f>UPPER(TRIM(SUBSTITUTE($A134," ","")))</f>
        <v/>
      </c>
      <c r="C134" s="16">
        <f>IF($B134="",0,LEN($B134))</f>
        <v/>
      </c>
      <c r="D134" s="16">
        <f>IF($B134="","",LEFT($B134,cbb_ikincilUzunluk))</f>
        <v/>
      </c>
      <c r="E134" s="16">
        <f>"A"</f>
        <v/>
      </c>
      <c r="F134" s="16">
        <f>IF($B134="","",IF(COUNTIF(tblAnahtarA[Norm],$B134)&gt;1,"EVET","HAYIR"))</f>
        <v/>
      </c>
      <c r="G134" s="16">
        <f>IF($A134="","",ROW()-ROW($A$5))</f>
        <v/>
      </c>
      <c r="I134" s="7">
        <f>IF(VERI_B!A134="","",VERI_B!A134)</f>
        <v/>
      </c>
      <c r="J134" s="16">
        <f>UPPER(TRIM(SUBSTITUTE($I134," ","")))</f>
        <v/>
      </c>
      <c r="K134" s="16">
        <f>IF($J134="",0,LEN($J134))</f>
        <v/>
      </c>
      <c r="L134" s="16">
        <f>IF($J134="","",LEFT($J134,cbb_ikincilUzunluk))</f>
        <v/>
      </c>
      <c r="M134" s="16">
        <f>"B"</f>
        <v/>
      </c>
      <c r="N134" s="16">
        <f>IF($J134="","",IF(COUNTIF(tblAnahtarB[NormB],$J134)&gt;1,"EVET","HAYIR"))</f>
        <v/>
      </c>
      <c r="O134" s="16">
        <f>IF($I134="","",ROW()-ROW($I$5))</f>
        <v/>
      </c>
    </row>
    <row r="135">
      <c r="A135" s="7">
        <f>IF(VERI_A!A135="","",VERI_A!A135)</f>
        <v/>
      </c>
      <c r="B135" s="16">
        <f>UPPER(TRIM(SUBSTITUTE($A135," ","")))</f>
        <v/>
      </c>
      <c r="C135" s="16">
        <f>IF($B135="",0,LEN($B135))</f>
        <v/>
      </c>
      <c r="D135" s="16">
        <f>IF($B135="","",LEFT($B135,cbb_ikincilUzunluk))</f>
        <v/>
      </c>
      <c r="E135" s="16">
        <f>"A"</f>
        <v/>
      </c>
      <c r="F135" s="16">
        <f>IF($B135="","",IF(COUNTIF(tblAnahtarA[Norm],$B135)&gt;1,"EVET","HAYIR"))</f>
        <v/>
      </c>
      <c r="G135" s="16">
        <f>IF($A135="","",ROW()-ROW($A$5))</f>
        <v/>
      </c>
      <c r="I135" s="7">
        <f>IF(VERI_B!A135="","",VERI_B!A135)</f>
        <v/>
      </c>
      <c r="J135" s="16">
        <f>UPPER(TRIM(SUBSTITUTE($I135," ","")))</f>
        <v/>
      </c>
      <c r="K135" s="16">
        <f>IF($J135="",0,LEN($J135))</f>
        <v/>
      </c>
      <c r="L135" s="16">
        <f>IF($J135="","",LEFT($J135,cbb_ikincilUzunluk))</f>
        <v/>
      </c>
      <c r="M135" s="16">
        <f>"B"</f>
        <v/>
      </c>
      <c r="N135" s="16">
        <f>IF($J135="","",IF(COUNTIF(tblAnahtarB[NormB],$J135)&gt;1,"EVET","HAYIR"))</f>
        <v/>
      </c>
      <c r="O135" s="16">
        <f>IF($I135="","",ROW()-ROW($I$5))</f>
        <v/>
      </c>
    </row>
    <row r="136">
      <c r="A136" s="7">
        <f>IF(VERI_A!A136="","",VERI_A!A136)</f>
        <v/>
      </c>
      <c r="B136" s="16">
        <f>UPPER(TRIM(SUBSTITUTE($A136," ","")))</f>
        <v/>
      </c>
      <c r="C136" s="16">
        <f>IF($B136="",0,LEN($B136))</f>
        <v/>
      </c>
      <c r="D136" s="16">
        <f>IF($B136="","",LEFT($B136,cbb_ikincilUzunluk))</f>
        <v/>
      </c>
      <c r="E136" s="16">
        <f>"A"</f>
        <v/>
      </c>
      <c r="F136" s="16">
        <f>IF($B136="","",IF(COUNTIF(tblAnahtarA[Norm],$B136)&gt;1,"EVET","HAYIR"))</f>
        <v/>
      </c>
      <c r="G136" s="16">
        <f>IF($A136="","",ROW()-ROW($A$5))</f>
        <v/>
      </c>
      <c r="I136" s="7">
        <f>IF(VERI_B!A136="","",VERI_B!A136)</f>
        <v/>
      </c>
      <c r="J136" s="16">
        <f>UPPER(TRIM(SUBSTITUTE($I136," ","")))</f>
        <v/>
      </c>
      <c r="K136" s="16">
        <f>IF($J136="",0,LEN($J136))</f>
        <v/>
      </c>
      <c r="L136" s="16">
        <f>IF($J136="","",LEFT($J136,cbb_ikincilUzunluk))</f>
        <v/>
      </c>
      <c r="M136" s="16">
        <f>"B"</f>
        <v/>
      </c>
      <c r="N136" s="16">
        <f>IF($J136="","",IF(COUNTIF(tblAnahtarB[NormB],$J136)&gt;1,"EVET","HAYIR"))</f>
        <v/>
      </c>
      <c r="O136" s="16">
        <f>IF($I136="","",ROW()-ROW($I$5))</f>
        <v/>
      </c>
    </row>
    <row r="137">
      <c r="A137" s="7">
        <f>IF(VERI_A!A137="","",VERI_A!A137)</f>
        <v/>
      </c>
      <c r="B137" s="16">
        <f>UPPER(TRIM(SUBSTITUTE($A137," ","")))</f>
        <v/>
      </c>
      <c r="C137" s="16">
        <f>IF($B137="",0,LEN($B137))</f>
        <v/>
      </c>
      <c r="D137" s="16">
        <f>IF($B137="","",LEFT($B137,cbb_ikincilUzunluk))</f>
        <v/>
      </c>
      <c r="E137" s="16">
        <f>"A"</f>
        <v/>
      </c>
      <c r="F137" s="16">
        <f>IF($B137="","",IF(COUNTIF(tblAnahtarA[Norm],$B137)&gt;1,"EVET","HAYIR"))</f>
        <v/>
      </c>
      <c r="G137" s="16">
        <f>IF($A137="","",ROW()-ROW($A$5))</f>
        <v/>
      </c>
      <c r="I137" s="7">
        <f>IF(VERI_B!A137="","",VERI_B!A137)</f>
        <v/>
      </c>
      <c r="J137" s="16">
        <f>UPPER(TRIM(SUBSTITUTE($I137," ","")))</f>
        <v/>
      </c>
      <c r="K137" s="16">
        <f>IF($J137="",0,LEN($J137))</f>
        <v/>
      </c>
      <c r="L137" s="16">
        <f>IF($J137="","",LEFT($J137,cbb_ikincilUzunluk))</f>
        <v/>
      </c>
      <c r="M137" s="16">
        <f>"B"</f>
        <v/>
      </c>
      <c r="N137" s="16">
        <f>IF($J137="","",IF(COUNTIF(tblAnahtarB[NormB],$J137)&gt;1,"EVET","HAYIR"))</f>
        <v/>
      </c>
      <c r="O137" s="16">
        <f>IF($I137="","",ROW()-ROW($I$5))</f>
        <v/>
      </c>
    </row>
    <row r="138">
      <c r="A138" s="7">
        <f>IF(VERI_A!A138="","",VERI_A!A138)</f>
        <v/>
      </c>
      <c r="B138" s="16">
        <f>UPPER(TRIM(SUBSTITUTE($A138," ","")))</f>
        <v/>
      </c>
      <c r="C138" s="16">
        <f>IF($B138="",0,LEN($B138))</f>
        <v/>
      </c>
      <c r="D138" s="16">
        <f>IF($B138="","",LEFT($B138,cbb_ikincilUzunluk))</f>
        <v/>
      </c>
      <c r="E138" s="16">
        <f>"A"</f>
        <v/>
      </c>
      <c r="F138" s="16">
        <f>IF($B138="","",IF(COUNTIF(tblAnahtarA[Norm],$B138)&gt;1,"EVET","HAYIR"))</f>
        <v/>
      </c>
      <c r="G138" s="16">
        <f>IF($A138="","",ROW()-ROW($A$5))</f>
        <v/>
      </c>
      <c r="I138" s="7">
        <f>IF(VERI_B!A138="","",VERI_B!A138)</f>
        <v/>
      </c>
      <c r="J138" s="16">
        <f>UPPER(TRIM(SUBSTITUTE($I138," ","")))</f>
        <v/>
      </c>
      <c r="K138" s="16">
        <f>IF($J138="",0,LEN($J138))</f>
        <v/>
      </c>
      <c r="L138" s="16">
        <f>IF($J138="","",LEFT($J138,cbb_ikincilUzunluk))</f>
        <v/>
      </c>
      <c r="M138" s="16">
        <f>"B"</f>
        <v/>
      </c>
      <c r="N138" s="16">
        <f>IF($J138="","",IF(COUNTIF(tblAnahtarB[NormB],$J138)&gt;1,"EVET","HAYIR"))</f>
        <v/>
      </c>
      <c r="O138" s="16">
        <f>IF($I138="","",ROW()-ROW($I$5))</f>
        <v/>
      </c>
    </row>
    <row r="139">
      <c r="A139" s="7">
        <f>IF(VERI_A!A139="","",VERI_A!A139)</f>
        <v/>
      </c>
      <c r="B139" s="16">
        <f>UPPER(TRIM(SUBSTITUTE($A139," ","")))</f>
        <v/>
      </c>
      <c r="C139" s="16">
        <f>IF($B139="",0,LEN($B139))</f>
        <v/>
      </c>
      <c r="D139" s="16">
        <f>IF($B139="","",LEFT($B139,cbb_ikincilUzunluk))</f>
        <v/>
      </c>
      <c r="E139" s="16">
        <f>"A"</f>
        <v/>
      </c>
      <c r="F139" s="16">
        <f>IF($B139="","",IF(COUNTIF(tblAnahtarA[Norm],$B139)&gt;1,"EVET","HAYIR"))</f>
        <v/>
      </c>
      <c r="G139" s="16">
        <f>IF($A139="","",ROW()-ROW($A$5))</f>
        <v/>
      </c>
      <c r="I139" s="7">
        <f>IF(VERI_B!A139="","",VERI_B!A139)</f>
        <v/>
      </c>
      <c r="J139" s="16">
        <f>UPPER(TRIM(SUBSTITUTE($I139," ","")))</f>
        <v/>
      </c>
      <c r="K139" s="16">
        <f>IF($J139="",0,LEN($J139))</f>
        <v/>
      </c>
      <c r="L139" s="16">
        <f>IF($J139="","",LEFT($J139,cbb_ikincilUzunluk))</f>
        <v/>
      </c>
      <c r="M139" s="16">
        <f>"B"</f>
        <v/>
      </c>
      <c r="N139" s="16">
        <f>IF($J139="","",IF(COUNTIF(tblAnahtarB[NormB],$J139)&gt;1,"EVET","HAYIR"))</f>
        <v/>
      </c>
      <c r="O139" s="16">
        <f>IF($I139="","",ROW()-ROW($I$5))</f>
        <v/>
      </c>
    </row>
    <row r="140">
      <c r="A140" s="7">
        <f>IF(VERI_A!A140="","",VERI_A!A140)</f>
        <v/>
      </c>
      <c r="B140" s="16">
        <f>UPPER(TRIM(SUBSTITUTE($A140," ","")))</f>
        <v/>
      </c>
      <c r="C140" s="16">
        <f>IF($B140="",0,LEN($B140))</f>
        <v/>
      </c>
      <c r="D140" s="16">
        <f>IF($B140="","",LEFT($B140,cbb_ikincilUzunluk))</f>
        <v/>
      </c>
      <c r="E140" s="16">
        <f>"A"</f>
        <v/>
      </c>
      <c r="F140" s="16">
        <f>IF($B140="","",IF(COUNTIF(tblAnahtarA[Norm],$B140)&gt;1,"EVET","HAYIR"))</f>
        <v/>
      </c>
      <c r="G140" s="16">
        <f>IF($A140="","",ROW()-ROW($A$5))</f>
        <v/>
      </c>
      <c r="I140" s="7">
        <f>IF(VERI_B!A140="","",VERI_B!A140)</f>
        <v/>
      </c>
      <c r="J140" s="16">
        <f>UPPER(TRIM(SUBSTITUTE($I140," ","")))</f>
        <v/>
      </c>
      <c r="K140" s="16">
        <f>IF($J140="",0,LEN($J140))</f>
        <v/>
      </c>
      <c r="L140" s="16">
        <f>IF($J140="","",LEFT($J140,cbb_ikincilUzunluk))</f>
        <v/>
      </c>
      <c r="M140" s="16">
        <f>"B"</f>
        <v/>
      </c>
      <c r="N140" s="16">
        <f>IF($J140="","",IF(COUNTIF(tblAnahtarB[NormB],$J140)&gt;1,"EVET","HAYIR"))</f>
        <v/>
      </c>
      <c r="O140" s="16">
        <f>IF($I140="","",ROW()-ROW($I$5))</f>
        <v/>
      </c>
    </row>
    <row r="141">
      <c r="A141" s="7">
        <f>IF(VERI_A!A141="","",VERI_A!A141)</f>
        <v/>
      </c>
      <c r="B141" s="16">
        <f>UPPER(TRIM(SUBSTITUTE($A141," ","")))</f>
        <v/>
      </c>
      <c r="C141" s="16">
        <f>IF($B141="",0,LEN($B141))</f>
        <v/>
      </c>
      <c r="D141" s="16">
        <f>IF($B141="","",LEFT($B141,cbb_ikincilUzunluk))</f>
        <v/>
      </c>
      <c r="E141" s="16">
        <f>"A"</f>
        <v/>
      </c>
      <c r="F141" s="16">
        <f>IF($B141="","",IF(COUNTIF(tblAnahtarA[Norm],$B141)&gt;1,"EVET","HAYIR"))</f>
        <v/>
      </c>
      <c r="G141" s="16">
        <f>IF($A141="","",ROW()-ROW($A$5))</f>
        <v/>
      </c>
      <c r="I141" s="7">
        <f>IF(VERI_B!A141="","",VERI_B!A141)</f>
        <v/>
      </c>
      <c r="J141" s="16">
        <f>UPPER(TRIM(SUBSTITUTE($I141," ","")))</f>
        <v/>
      </c>
      <c r="K141" s="16">
        <f>IF($J141="",0,LEN($J141))</f>
        <v/>
      </c>
      <c r="L141" s="16">
        <f>IF($J141="","",LEFT($J141,cbb_ikincilUzunluk))</f>
        <v/>
      </c>
      <c r="M141" s="16">
        <f>"B"</f>
        <v/>
      </c>
      <c r="N141" s="16">
        <f>IF($J141="","",IF(COUNTIF(tblAnahtarB[NormB],$J141)&gt;1,"EVET","HAYIR"))</f>
        <v/>
      </c>
      <c r="O141" s="16">
        <f>IF($I141="","",ROW()-ROW($I$5))</f>
        <v/>
      </c>
    </row>
    <row r="142">
      <c r="A142" s="7">
        <f>IF(VERI_A!A142="","",VERI_A!A142)</f>
        <v/>
      </c>
      <c r="B142" s="16">
        <f>UPPER(TRIM(SUBSTITUTE($A142," ","")))</f>
        <v/>
      </c>
      <c r="C142" s="16">
        <f>IF($B142="",0,LEN($B142))</f>
        <v/>
      </c>
      <c r="D142" s="16">
        <f>IF($B142="","",LEFT($B142,cbb_ikincilUzunluk))</f>
        <v/>
      </c>
      <c r="E142" s="16">
        <f>"A"</f>
        <v/>
      </c>
      <c r="F142" s="16">
        <f>IF($B142="","",IF(COUNTIF(tblAnahtarA[Norm],$B142)&gt;1,"EVET","HAYIR"))</f>
        <v/>
      </c>
      <c r="G142" s="16">
        <f>IF($A142="","",ROW()-ROW($A$5))</f>
        <v/>
      </c>
      <c r="I142" s="7">
        <f>IF(VERI_B!A142="","",VERI_B!A142)</f>
        <v/>
      </c>
      <c r="J142" s="16">
        <f>UPPER(TRIM(SUBSTITUTE($I142," ","")))</f>
        <v/>
      </c>
      <c r="K142" s="16">
        <f>IF($J142="",0,LEN($J142))</f>
        <v/>
      </c>
      <c r="L142" s="16">
        <f>IF($J142="","",LEFT($J142,cbb_ikincilUzunluk))</f>
        <v/>
      </c>
      <c r="M142" s="16">
        <f>"B"</f>
        <v/>
      </c>
      <c r="N142" s="16">
        <f>IF($J142="","",IF(COUNTIF(tblAnahtarB[NormB],$J142)&gt;1,"EVET","HAYIR"))</f>
        <v/>
      </c>
      <c r="O142" s="16">
        <f>IF($I142="","",ROW()-ROW($I$5))</f>
        <v/>
      </c>
    </row>
    <row r="143">
      <c r="A143" s="7">
        <f>IF(VERI_A!A143="","",VERI_A!A143)</f>
        <v/>
      </c>
      <c r="B143" s="16">
        <f>UPPER(TRIM(SUBSTITUTE($A143," ","")))</f>
        <v/>
      </c>
      <c r="C143" s="16">
        <f>IF($B143="",0,LEN($B143))</f>
        <v/>
      </c>
      <c r="D143" s="16">
        <f>IF($B143="","",LEFT($B143,cbb_ikincilUzunluk))</f>
        <v/>
      </c>
      <c r="E143" s="16">
        <f>"A"</f>
        <v/>
      </c>
      <c r="F143" s="16">
        <f>IF($B143="","",IF(COUNTIF(tblAnahtarA[Norm],$B143)&gt;1,"EVET","HAYIR"))</f>
        <v/>
      </c>
      <c r="G143" s="16">
        <f>IF($A143="","",ROW()-ROW($A$5))</f>
        <v/>
      </c>
      <c r="I143" s="7">
        <f>IF(VERI_B!A143="","",VERI_B!A143)</f>
        <v/>
      </c>
      <c r="J143" s="16">
        <f>UPPER(TRIM(SUBSTITUTE($I143," ","")))</f>
        <v/>
      </c>
      <c r="K143" s="16">
        <f>IF($J143="",0,LEN($J143))</f>
        <v/>
      </c>
      <c r="L143" s="16">
        <f>IF($J143="","",LEFT($J143,cbb_ikincilUzunluk))</f>
        <v/>
      </c>
      <c r="M143" s="16">
        <f>"B"</f>
        <v/>
      </c>
      <c r="N143" s="16">
        <f>IF($J143="","",IF(COUNTIF(tblAnahtarB[NormB],$J143)&gt;1,"EVET","HAYIR"))</f>
        <v/>
      </c>
      <c r="O143" s="16">
        <f>IF($I143="","",ROW()-ROW($I$5))</f>
        <v/>
      </c>
    </row>
    <row r="144">
      <c r="A144" s="7">
        <f>IF(VERI_A!A144="","",VERI_A!A144)</f>
        <v/>
      </c>
      <c r="B144" s="16">
        <f>UPPER(TRIM(SUBSTITUTE($A144," ","")))</f>
        <v/>
      </c>
      <c r="C144" s="16">
        <f>IF($B144="",0,LEN($B144))</f>
        <v/>
      </c>
      <c r="D144" s="16">
        <f>IF($B144="","",LEFT($B144,cbb_ikincilUzunluk))</f>
        <v/>
      </c>
      <c r="E144" s="16">
        <f>"A"</f>
        <v/>
      </c>
      <c r="F144" s="16">
        <f>IF($B144="","",IF(COUNTIF(tblAnahtarA[Norm],$B144)&gt;1,"EVET","HAYIR"))</f>
        <v/>
      </c>
      <c r="G144" s="16">
        <f>IF($A144="","",ROW()-ROW($A$5))</f>
        <v/>
      </c>
      <c r="I144" s="7">
        <f>IF(VERI_B!A144="","",VERI_B!A144)</f>
        <v/>
      </c>
      <c r="J144" s="16">
        <f>UPPER(TRIM(SUBSTITUTE($I144," ","")))</f>
        <v/>
      </c>
      <c r="K144" s="16">
        <f>IF($J144="",0,LEN($J144))</f>
        <v/>
      </c>
      <c r="L144" s="16">
        <f>IF($J144="","",LEFT($J144,cbb_ikincilUzunluk))</f>
        <v/>
      </c>
      <c r="M144" s="16">
        <f>"B"</f>
        <v/>
      </c>
      <c r="N144" s="16">
        <f>IF($J144="","",IF(COUNTIF(tblAnahtarB[NormB],$J144)&gt;1,"EVET","HAYIR"))</f>
        <v/>
      </c>
      <c r="O144" s="16">
        <f>IF($I144="","",ROW()-ROW($I$5))</f>
        <v/>
      </c>
    </row>
    <row r="145">
      <c r="A145" s="7">
        <f>IF(VERI_A!A145="","",VERI_A!A145)</f>
        <v/>
      </c>
      <c r="B145" s="16">
        <f>UPPER(TRIM(SUBSTITUTE($A145," ","")))</f>
        <v/>
      </c>
      <c r="C145" s="16">
        <f>IF($B145="",0,LEN($B145))</f>
        <v/>
      </c>
      <c r="D145" s="16">
        <f>IF($B145="","",LEFT($B145,cbb_ikincilUzunluk))</f>
        <v/>
      </c>
      <c r="E145" s="16">
        <f>"A"</f>
        <v/>
      </c>
      <c r="F145" s="16">
        <f>IF($B145="","",IF(COUNTIF(tblAnahtarA[Norm],$B145)&gt;1,"EVET","HAYIR"))</f>
        <v/>
      </c>
      <c r="G145" s="16">
        <f>IF($A145="","",ROW()-ROW($A$5))</f>
        <v/>
      </c>
      <c r="I145" s="7">
        <f>IF(VERI_B!A145="","",VERI_B!A145)</f>
        <v/>
      </c>
      <c r="J145" s="16">
        <f>UPPER(TRIM(SUBSTITUTE($I145," ","")))</f>
        <v/>
      </c>
      <c r="K145" s="16">
        <f>IF($J145="",0,LEN($J145))</f>
        <v/>
      </c>
      <c r="L145" s="16">
        <f>IF($J145="","",LEFT($J145,cbb_ikincilUzunluk))</f>
        <v/>
      </c>
      <c r="M145" s="16">
        <f>"B"</f>
        <v/>
      </c>
      <c r="N145" s="16">
        <f>IF($J145="","",IF(COUNTIF(tblAnahtarB[NormB],$J145)&gt;1,"EVET","HAYIR"))</f>
        <v/>
      </c>
      <c r="O145" s="16">
        <f>IF($I145="","",ROW()-ROW($I$5))</f>
        <v/>
      </c>
    </row>
    <row r="146">
      <c r="A146" s="7">
        <f>IF(VERI_A!A146="","",VERI_A!A146)</f>
        <v/>
      </c>
      <c r="B146" s="16">
        <f>UPPER(TRIM(SUBSTITUTE($A146," ","")))</f>
        <v/>
      </c>
      <c r="C146" s="16">
        <f>IF($B146="",0,LEN($B146))</f>
        <v/>
      </c>
      <c r="D146" s="16">
        <f>IF($B146="","",LEFT($B146,cbb_ikincilUzunluk))</f>
        <v/>
      </c>
      <c r="E146" s="16">
        <f>"A"</f>
        <v/>
      </c>
      <c r="F146" s="16">
        <f>IF($B146="","",IF(COUNTIF(tblAnahtarA[Norm],$B146)&gt;1,"EVET","HAYIR"))</f>
        <v/>
      </c>
      <c r="G146" s="16">
        <f>IF($A146="","",ROW()-ROW($A$5))</f>
        <v/>
      </c>
      <c r="I146" s="7">
        <f>IF(VERI_B!A146="","",VERI_B!A146)</f>
        <v/>
      </c>
      <c r="J146" s="16">
        <f>UPPER(TRIM(SUBSTITUTE($I146," ","")))</f>
        <v/>
      </c>
      <c r="K146" s="16">
        <f>IF($J146="",0,LEN($J146))</f>
        <v/>
      </c>
      <c r="L146" s="16">
        <f>IF($J146="","",LEFT($J146,cbb_ikincilUzunluk))</f>
        <v/>
      </c>
      <c r="M146" s="16">
        <f>"B"</f>
        <v/>
      </c>
      <c r="N146" s="16">
        <f>IF($J146="","",IF(COUNTIF(tblAnahtarB[NormB],$J146)&gt;1,"EVET","HAYIR"))</f>
        <v/>
      </c>
      <c r="O146" s="16">
        <f>IF($I146="","",ROW()-ROW($I$5))</f>
        <v/>
      </c>
    </row>
    <row r="147">
      <c r="A147" s="7">
        <f>IF(VERI_A!A147="","",VERI_A!A147)</f>
        <v/>
      </c>
      <c r="B147" s="16">
        <f>UPPER(TRIM(SUBSTITUTE($A147," ","")))</f>
        <v/>
      </c>
      <c r="C147" s="16">
        <f>IF($B147="",0,LEN($B147))</f>
        <v/>
      </c>
      <c r="D147" s="16">
        <f>IF($B147="","",LEFT($B147,cbb_ikincilUzunluk))</f>
        <v/>
      </c>
      <c r="E147" s="16">
        <f>"A"</f>
        <v/>
      </c>
      <c r="F147" s="16">
        <f>IF($B147="","",IF(COUNTIF(tblAnahtarA[Norm],$B147)&gt;1,"EVET","HAYIR"))</f>
        <v/>
      </c>
      <c r="G147" s="16">
        <f>IF($A147="","",ROW()-ROW($A$5))</f>
        <v/>
      </c>
      <c r="I147" s="7">
        <f>IF(VERI_B!A147="","",VERI_B!A147)</f>
        <v/>
      </c>
      <c r="J147" s="16">
        <f>UPPER(TRIM(SUBSTITUTE($I147," ","")))</f>
        <v/>
      </c>
      <c r="K147" s="16">
        <f>IF($J147="",0,LEN($J147))</f>
        <v/>
      </c>
      <c r="L147" s="16">
        <f>IF($J147="","",LEFT($J147,cbb_ikincilUzunluk))</f>
        <v/>
      </c>
      <c r="M147" s="16">
        <f>"B"</f>
        <v/>
      </c>
      <c r="N147" s="16">
        <f>IF($J147="","",IF(COUNTIF(tblAnahtarB[NormB],$J147)&gt;1,"EVET","HAYIR"))</f>
        <v/>
      </c>
      <c r="O147" s="16">
        <f>IF($I147="","",ROW()-ROW($I$5))</f>
        <v/>
      </c>
    </row>
    <row r="148">
      <c r="A148" s="7">
        <f>IF(VERI_A!A148="","",VERI_A!A148)</f>
        <v/>
      </c>
      <c r="B148" s="16">
        <f>UPPER(TRIM(SUBSTITUTE($A148," ","")))</f>
        <v/>
      </c>
      <c r="C148" s="16">
        <f>IF($B148="",0,LEN($B148))</f>
        <v/>
      </c>
      <c r="D148" s="16">
        <f>IF($B148="","",LEFT($B148,cbb_ikincilUzunluk))</f>
        <v/>
      </c>
      <c r="E148" s="16">
        <f>"A"</f>
        <v/>
      </c>
      <c r="F148" s="16">
        <f>IF($B148="","",IF(COUNTIF(tblAnahtarA[Norm],$B148)&gt;1,"EVET","HAYIR"))</f>
        <v/>
      </c>
      <c r="G148" s="16">
        <f>IF($A148="","",ROW()-ROW($A$5))</f>
        <v/>
      </c>
      <c r="I148" s="7">
        <f>IF(VERI_B!A148="","",VERI_B!A148)</f>
        <v/>
      </c>
      <c r="J148" s="16">
        <f>UPPER(TRIM(SUBSTITUTE($I148," ","")))</f>
        <v/>
      </c>
      <c r="K148" s="16">
        <f>IF($J148="",0,LEN($J148))</f>
        <v/>
      </c>
      <c r="L148" s="16">
        <f>IF($J148="","",LEFT($J148,cbb_ikincilUzunluk))</f>
        <v/>
      </c>
      <c r="M148" s="16">
        <f>"B"</f>
        <v/>
      </c>
      <c r="N148" s="16">
        <f>IF($J148="","",IF(COUNTIF(tblAnahtarB[NormB],$J148)&gt;1,"EVET","HAYIR"))</f>
        <v/>
      </c>
      <c r="O148" s="16">
        <f>IF($I148="","",ROW()-ROW($I$5))</f>
        <v/>
      </c>
    </row>
    <row r="149">
      <c r="A149" s="7">
        <f>IF(VERI_A!A149="","",VERI_A!A149)</f>
        <v/>
      </c>
      <c r="B149" s="16">
        <f>UPPER(TRIM(SUBSTITUTE($A149," ","")))</f>
        <v/>
      </c>
      <c r="C149" s="16">
        <f>IF($B149="",0,LEN($B149))</f>
        <v/>
      </c>
      <c r="D149" s="16">
        <f>IF($B149="","",LEFT($B149,cbb_ikincilUzunluk))</f>
        <v/>
      </c>
      <c r="E149" s="16">
        <f>"A"</f>
        <v/>
      </c>
      <c r="F149" s="16">
        <f>IF($B149="","",IF(COUNTIF(tblAnahtarA[Norm],$B149)&gt;1,"EVET","HAYIR"))</f>
        <v/>
      </c>
      <c r="G149" s="16">
        <f>IF($A149="","",ROW()-ROW($A$5))</f>
        <v/>
      </c>
      <c r="I149" s="7">
        <f>IF(VERI_B!A149="","",VERI_B!A149)</f>
        <v/>
      </c>
      <c r="J149" s="16">
        <f>UPPER(TRIM(SUBSTITUTE($I149," ","")))</f>
        <v/>
      </c>
      <c r="K149" s="16">
        <f>IF($J149="",0,LEN($J149))</f>
        <v/>
      </c>
      <c r="L149" s="16">
        <f>IF($J149="","",LEFT($J149,cbb_ikincilUzunluk))</f>
        <v/>
      </c>
      <c r="M149" s="16">
        <f>"B"</f>
        <v/>
      </c>
      <c r="N149" s="16">
        <f>IF($J149="","",IF(COUNTIF(tblAnahtarB[NormB],$J149)&gt;1,"EVET","HAYIR"))</f>
        <v/>
      </c>
      <c r="O149" s="16">
        <f>IF($I149="","",ROW()-ROW($I$5))</f>
        <v/>
      </c>
    </row>
    <row r="150">
      <c r="A150" s="7">
        <f>IF(VERI_A!A150="","",VERI_A!A150)</f>
        <v/>
      </c>
      <c r="B150" s="16">
        <f>UPPER(TRIM(SUBSTITUTE($A150," ","")))</f>
        <v/>
      </c>
      <c r="C150" s="16">
        <f>IF($B150="",0,LEN($B150))</f>
        <v/>
      </c>
      <c r="D150" s="16">
        <f>IF($B150="","",LEFT($B150,cbb_ikincilUzunluk))</f>
        <v/>
      </c>
      <c r="E150" s="16">
        <f>"A"</f>
        <v/>
      </c>
      <c r="F150" s="16">
        <f>IF($B150="","",IF(COUNTIF(tblAnahtarA[Norm],$B150)&gt;1,"EVET","HAYIR"))</f>
        <v/>
      </c>
      <c r="G150" s="16">
        <f>IF($A150="","",ROW()-ROW($A$5))</f>
        <v/>
      </c>
      <c r="I150" s="7">
        <f>IF(VERI_B!A150="","",VERI_B!A150)</f>
        <v/>
      </c>
      <c r="J150" s="16">
        <f>UPPER(TRIM(SUBSTITUTE($I150," ","")))</f>
        <v/>
      </c>
      <c r="K150" s="16">
        <f>IF($J150="",0,LEN($J150))</f>
        <v/>
      </c>
      <c r="L150" s="16">
        <f>IF($J150="","",LEFT($J150,cbb_ikincilUzunluk))</f>
        <v/>
      </c>
      <c r="M150" s="16">
        <f>"B"</f>
        <v/>
      </c>
      <c r="N150" s="16">
        <f>IF($J150="","",IF(COUNTIF(tblAnahtarB[NormB],$J150)&gt;1,"EVET","HAYIR"))</f>
        <v/>
      </c>
      <c r="O150" s="16">
        <f>IF($I150="","",ROW()-ROW($I$5))</f>
        <v/>
      </c>
    </row>
    <row r="151">
      <c r="A151" s="7">
        <f>IF(VERI_A!A151="","",VERI_A!A151)</f>
        <v/>
      </c>
      <c r="B151" s="16">
        <f>UPPER(TRIM(SUBSTITUTE($A151," ","")))</f>
        <v/>
      </c>
      <c r="C151" s="16">
        <f>IF($B151="",0,LEN($B151))</f>
        <v/>
      </c>
      <c r="D151" s="16">
        <f>IF($B151="","",LEFT($B151,cbb_ikincilUzunluk))</f>
        <v/>
      </c>
      <c r="E151" s="16">
        <f>"A"</f>
        <v/>
      </c>
      <c r="F151" s="16">
        <f>IF($B151="","",IF(COUNTIF(tblAnahtarA[Norm],$B151)&gt;1,"EVET","HAYIR"))</f>
        <v/>
      </c>
      <c r="G151" s="16">
        <f>IF($A151="","",ROW()-ROW($A$5))</f>
        <v/>
      </c>
      <c r="I151" s="7">
        <f>IF(VERI_B!A151="","",VERI_B!A151)</f>
        <v/>
      </c>
      <c r="J151" s="16">
        <f>UPPER(TRIM(SUBSTITUTE($I151," ","")))</f>
        <v/>
      </c>
      <c r="K151" s="16">
        <f>IF($J151="",0,LEN($J151))</f>
        <v/>
      </c>
      <c r="L151" s="16">
        <f>IF($J151="","",LEFT($J151,cbb_ikincilUzunluk))</f>
        <v/>
      </c>
      <c r="M151" s="16">
        <f>"B"</f>
        <v/>
      </c>
      <c r="N151" s="16">
        <f>IF($J151="","",IF(COUNTIF(tblAnahtarB[NormB],$J151)&gt;1,"EVET","HAYIR"))</f>
        <v/>
      </c>
      <c r="O151" s="16">
        <f>IF($I151="","",ROW()-ROW($I$5))</f>
        <v/>
      </c>
    </row>
    <row r="152">
      <c r="A152" s="7">
        <f>IF(VERI_A!A152="","",VERI_A!A152)</f>
        <v/>
      </c>
      <c r="B152" s="16">
        <f>UPPER(TRIM(SUBSTITUTE($A152," ","")))</f>
        <v/>
      </c>
      <c r="C152" s="16">
        <f>IF($B152="",0,LEN($B152))</f>
        <v/>
      </c>
      <c r="D152" s="16">
        <f>IF($B152="","",LEFT($B152,cbb_ikincilUzunluk))</f>
        <v/>
      </c>
      <c r="E152" s="16">
        <f>"A"</f>
        <v/>
      </c>
      <c r="F152" s="16">
        <f>IF($B152="","",IF(COUNTIF(tblAnahtarA[Norm],$B152)&gt;1,"EVET","HAYIR"))</f>
        <v/>
      </c>
      <c r="G152" s="16">
        <f>IF($A152="","",ROW()-ROW($A$5))</f>
        <v/>
      </c>
      <c r="I152" s="7">
        <f>IF(VERI_B!A152="","",VERI_B!A152)</f>
        <v/>
      </c>
      <c r="J152" s="16">
        <f>UPPER(TRIM(SUBSTITUTE($I152," ","")))</f>
        <v/>
      </c>
      <c r="K152" s="16">
        <f>IF($J152="",0,LEN($J152))</f>
        <v/>
      </c>
      <c r="L152" s="16">
        <f>IF($J152="","",LEFT($J152,cbb_ikincilUzunluk))</f>
        <v/>
      </c>
      <c r="M152" s="16">
        <f>"B"</f>
        <v/>
      </c>
      <c r="N152" s="16">
        <f>IF($J152="","",IF(COUNTIF(tblAnahtarB[NormB],$J152)&gt;1,"EVET","HAYIR"))</f>
        <v/>
      </c>
      <c r="O152" s="16">
        <f>IF($I152="","",ROW()-ROW($I$5))</f>
        <v/>
      </c>
    </row>
    <row r="153">
      <c r="A153" s="7">
        <f>IF(VERI_A!A153="","",VERI_A!A153)</f>
        <v/>
      </c>
      <c r="B153" s="16">
        <f>UPPER(TRIM(SUBSTITUTE($A153," ","")))</f>
        <v/>
      </c>
      <c r="C153" s="16">
        <f>IF($B153="",0,LEN($B153))</f>
        <v/>
      </c>
      <c r="D153" s="16">
        <f>IF($B153="","",LEFT($B153,cbb_ikincilUzunluk))</f>
        <v/>
      </c>
      <c r="E153" s="16">
        <f>"A"</f>
        <v/>
      </c>
      <c r="F153" s="16">
        <f>IF($B153="","",IF(COUNTIF(tblAnahtarA[Norm],$B153)&gt;1,"EVET","HAYIR"))</f>
        <v/>
      </c>
      <c r="G153" s="16">
        <f>IF($A153="","",ROW()-ROW($A$5))</f>
        <v/>
      </c>
      <c r="I153" s="7">
        <f>IF(VERI_B!A153="","",VERI_B!A153)</f>
        <v/>
      </c>
      <c r="J153" s="16">
        <f>UPPER(TRIM(SUBSTITUTE($I153," ","")))</f>
        <v/>
      </c>
      <c r="K153" s="16">
        <f>IF($J153="",0,LEN($J153))</f>
        <v/>
      </c>
      <c r="L153" s="16">
        <f>IF($J153="","",LEFT($J153,cbb_ikincilUzunluk))</f>
        <v/>
      </c>
      <c r="M153" s="16">
        <f>"B"</f>
        <v/>
      </c>
      <c r="N153" s="16">
        <f>IF($J153="","",IF(COUNTIF(tblAnahtarB[NormB],$J153)&gt;1,"EVET","HAYIR"))</f>
        <v/>
      </c>
      <c r="O153" s="16">
        <f>IF($I153="","",ROW()-ROW($I$5))</f>
        <v/>
      </c>
    </row>
    <row r="154">
      <c r="A154" s="7">
        <f>IF(VERI_A!A154="","",VERI_A!A154)</f>
        <v/>
      </c>
      <c r="B154" s="16">
        <f>UPPER(TRIM(SUBSTITUTE($A154," ","")))</f>
        <v/>
      </c>
      <c r="C154" s="16">
        <f>IF($B154="",0,LEN($B154))</f>
        <v/>
      </c>
      <c r="D154" s="16">
        <f>IF($B154="","",LEFT($B154,cbb_ikincilUzunluk))</f>
        <v/>
      </c>
      <c r="E154" s="16">
        <f>"A"</f>
        <v/>
      </c>
      <c r="F154" s="16">
        <f>IF($B154="","",IF(COUNTIF(tblAnahtarA[Norm],$B154)&gt;1,"EVET","HAYIR"))</f>
        <v/>
      </c>
      <c r="G154" s="16">
        <f>IF($A154="","",ROW()-ROW($A$5))</f>
        <v/>
      </c>
      <c r="I154" s="7">
        <f>IF(VERI_B!A154="","",VERI_B!A154)</f>
        <v/>
      </c>
      <c r="J154" s="16">
        <f>UPPER(TRIM(SUBSTITUTE($I154," ","")))</f>
        <v/>
      </c>
      <c r="K154" s="16">
        <f>IF($J154="",0,LEN($J154))</f>
        <v/>
      </c>
      <c r="L154" s="16">
        <f>IF($J154="","",LEFT($J154,cbb_ikincilUzunluk))</f>
        <v/>
      </c>
      <c r="M154" s="16">
        <f>"B"</f>
        <v/>
      </c>
      <c r="N154" s="16">
        <f>IF($J154="","",IF(COUNTIF(tblAnahtarB[NormB],$J154)&gt;1,"EVET","HAYIR"))</f>
        <v/>
      </c>
      <c r="O154" s="16">
        <f>IF($I154="","",ROW()-ROW($I$5))</f>
        <v/>
      </c>
    </row>
    <row r="155">
      <c r="A155" s="7">
        <f>IF(VERI_A!A155="","",VERI_A!A155)</f>
        <v/>
      </c>
      <c r="B155" s="16">
        <f>UPPER(TRIM(SUBSTITUTE($A155," ","")))</f>
        <v/>
      </c>
      <c r="C155" s="16">
        <f>IF($B155="",0,LEN($B155))</f>
        <v/>
      </c>
      <c r="D155" s="16">
        <f>IF($B155="","",LEFT($B155,cbb_ikincilUzunluk))</f>
        <v/>
      </c>
      <c r="E155" s="16">
        <f>"A"</f>
        <v/>
      </c>
      <c r="F155" s="16">
        <f>IF($B155="","",IF(COUNTIF(tblAnahtarA[Norm],$B155)&gt;1,"EVET","HAYIR"))</f>
        <v/>
      </c>
      <c r="G155" s="16">
        <f>IF($A155="","",ROW()-ROW($A$5))</f>
        <v/>
      </c>
      <c r="I155" s="7">
        <f>IF(VERI_B!A155="","",VERI_B!A155)</f>
        <v/>
      </c>
      <c r="J155" s="16">
        <f>UPPER(TRIM(SUBSTITUTE($I155," ","")))</f>
        <v/>
      </c>
      <c r="K155" s="16">
        <f>IF($J155="",0,LEN($J155))</f>
        <v/>
      </c>
      <c r="L155" s="16">
        <f>IF($J155="","",LEFT($J155,cbb_ikincilUzunluk))</f>
        <v/>
      </c>
      <c r="M155" s="16">
        <f>"B"</f>
        <v/>
      </c>
      <c r="N155" s="16">
        <f>IF($J155="","",IF(COUNTIF(tblAnahtarB[NormB],$J155)&gt;1,"EVET","HAYIR"))</f>
        <v/>
      </c>
      <c r="O155" s="16">
        <f>IF($I155="","",ROW()-ROW($I$5))</f>
        <v/>
      </c>
    </row>
    <row r="156">
      <c r="A156" s="7">
        <f>IF(VERI_A!A156="","",VERI_A!A156)</f>
        <v/>
      </c>
      <c r="B156" s="16">
        <f>UPPER(TRIM(SUBSTITUTE($A156," ","")))</f>
        <v/>
      </c>
      <c r="C156" s="16">
        <f>IF($B156="",0,LEN($B156))</f>
        <v/>
      </c>
      <c r="D156" s="16">
        <f>IF($B156="","",LEFT($B156,cbb_ikincilUzunluk))</f>
        <v/>
      </c>
      <c r="E156" s="16">
        <f>"A"</f>
        <v/>
      </c>
      <c r="F156" s="16">
        <f>IF($B156="","",IF(COUNTIF(tblAnahtarA[Norm],$B156)&gt;1,"EVET","HAYIR"))</f>
        <v/>
      </c>
      <c r="G156" s="16">
        <f>IF($A156="","",ROW()-ROW($A$5))</f>
        <v/>
      </c>
      <c r="I156" s="7">
        <f>IF(VERI_B!A156="","",VERI_B!A156)</f>
        <v/>
      </c>
      <c r="J156" s="16">
        <f>UPPER(TRIM(SUBSTITUTE($I156," ","")))</f>
        <v/>
      </c>
      <c r="K156" s="16">
        <f>IF($J156="",0,LEN($J156))</f>
        <v/>
      </c>
      <c r="L156" s="16">
        <f>IF($J156="","",LEFT($J156,cbb_ikincilUzunluk))</f>
        <v/>
      </c>
      <c r="M156" s="16">
        <f>"B"</f>
        <v/>
      </c>
      <c r="N156" s="16">
        <f>IF($J156="","",IF(COUNTIF(tblAnahtarB[NormB],$J156)&gt;1,"EVET","HAYIR"))</f>
        <v/>
      </c>
      <c r="O156" s="16">
        <f>IF($I156="","",ROW()-ROW($I$5))</f>
        <v/>
      </c>
    </row>
    <row r="157">
      <c r="A157" s="7">
        <f>IF(VERI_A!A157="","",VERI_A!A157)</f>
        <v/>
      </c>
      <c r="B157" s="16">
        <f>UPPER(TRIM(SUBSTITUTE($A157," ","")))</f>
        <v/>
      </c>
      <c r="C157" s="16">
        <f>IF($B157="",0,LEN($B157))</f>
        <v/>
      </c>
      <c r="D157" s="16">
        <f>IF($B157="","",LEFT($B157,cbb_ikincilUzunluk))</f>
        <v/>
      </c>
      <c r="E157" s="16">
        <f>"A"</f>
        <v/>
      </c>
      <c r="F157" s="16">
        <f>IF($B157="","",IF(COUNTIF(tblAnahtarA[Norm],$B157)&gt;1,"EVET","HAYIR"))</f>
        <v/>
      </c>
      <c r="G157" s="16">
        <f>IF($A157="","",ROW()-ROW($A$5))</f>
        <v/>
      </c>
      <c r="I157" s="7">
        <f>IF(VERI_B!A157="","",VERI_B!A157)</f>
        <v/>
      </c>
      <c r="J157" s="16">
        <f>UPPER(TRIM(SUBSTITUTE($I157," ","")))</f>
        <v/>
      </c>
      <c r="K157" s="16">
        <f>IF($J157="",0,LEN($J157))</f>
        <v/>
      </c>
      <c r="L157" s="16">
        <f>IF($J157="","",LEFT($J157,cbb_ikincilUzunluk))</f>
        <v/>
      </c>
      <c r="M157" s="16">
        <f>"B"</f>
        <v/>
      </c>
      <c r="N157" s="16">
        <f>IF($J157="","",IF(COUNTIF(tblAnahtarB[NormB],$J157)&gt;1,"EVET","HAYIR"))</f>
        <v/>
      </c>
      <c r="O157" s="16">
        <f>IF($I157="","",ROW()-ROW($I$5))</f>
        <v/>
      </c>
    </row>
    <row r="158">
      <c r="A158" s="7">
        <f>IF(VERI_A!A158="","",VERI_A!A158)</f>
        <v/>
      </c>
      <c r="B158" s="16">
        <f>UPPER(TRIM(SUBSTITUTE($A158," ","")))</f>
        <v/>
      </c>
      <c r="C158" s="16">
        <f>IF($B158="",0,LEN($B158))</f>
        <v/>
      </c>
      <c r="D158" s="16">
        <f>IF($B158="","",LEFT($B158,cbb_ikincilUzunluk))</f>
        <v/>
      </c>
      <c r="E158" s="16">
        <f>"A"</f>
        <v/>
      </c>
      <c r="F158" s="16">
        <f>IF($B158="","",IF(COUNTIF(tblAnahtarA[Norm],$B158)&gt;1,"EVET","HAYIR"))</f>
        <v/>
      </c>
      <c r="G158" s="16">
        <f>IF($A158="","",ROW()-ROW($A$5))</f>
        <v/>
      </c>
      <c r="I158" s="7">
        <f>IF(VERI_B!A158="","",VERI_B!A158)</f>
        <v/>
      </c>
      <c r="J158" s="16">
        <f>UPPER(TRIM(SUBSTITUTE($I158," ","")))</f>
        <v/>
      </c>
      <c r="K158" s="16">
        <f>IF($J158="",0,LEN($J158))</f>
        <v/>
      </c>
      <c r="L158" s="16">
        <f>IF($J158="","",LEFT($J158,cbb_ikincilUzunluk))</f>
        <v/>
      </c>
      <c r="M158" s="16">
        <f>"B"</f>
        <v/>
      </c>
      <c r="N158" s="16">
        <f>IF($J158="","",IF(COUNTIF(tblAnahtarB[NormB],$J158)&gt;1,"EVET","HAYIR"))</f>
        <v/>
      </c>
      <c r="O158" s="16">
        <f>IF($I158="","",ROW()-ROW($I$5))</f>
        <v/>
      </c>
    </row>
    <row r="159">
      <c r="A159" s="7">
        <f>IF(VERI_A!A159="","",VERI_A!A159)</f>
        <v/>
      </c>
      <c r="B159" s="16">
        <f>UPPER(TRIM(SUBSTITUTE($A159," ","")))</f>
        <v/>
      </c>
      <c r="C159" s="16">
        <f>IF($B159="",0,LEN($B159))</f>
        <v/>
      </c>
      <c r="D159" s="16">
        <f>IF($B159="","",LEFT($B159,cbb_ikincilUzunluk))</f>
        <v/>
      </c>
      <c r="E159" s="16">
        <f>"A"</f>
        <v/>
      </c>
      <c r="F159" s="16">
        <f>IF($B159="","",IF(COUNTIF(tblAnahtarA[Norm],$B159)&gt;1,"EVET","HAYIR"))</f>
        <v/>
      </c>
      <c r="G159" s="16">
        <f>IF($A159="","",ROW()-ROW($A$5))</f>
        <v/>
      </c>
      <c r="I159" s="7">
        <f>IF(VERI_B!A159="","",VERI_B!A159)</f>
        <v/>
      </c>
      <c r="J159" s="16">
        <f>UPPER(TRIM(SUBSTITUTE($I159," ","")))</f>
        <v/>
      </c>
      <c r="K159" s="16">
        <f>IF($J159="",0,LEN($J159))</f>
        <v/>
      </c>
      <c r="L159" s="16">
        <f>IF($J159="","",LEFT($J159,cbb_ikincilUzunluk))</f>
        <v/>
      </c>
      <c r="M159" s="16">
        <f>"B"</f>
        <v/>
      </c>
      <c r="N159" s="16">
        <f>IF($J159="","",IF(COUNTIF(tblAnahtarB[NormB],$J159)&gt;1,"EVET","HAYIR"))</f>
        <v/>
      </c>
      <c r="O159" s="16">
        <f>IF($I159="","",ROW()-ROW($I$5))</f>
        <v/>
      </c>
    </row>
    <row r="160">
      <c r="A160" s="7">
        <f>IF(VERI_A!A160="","",VERI_A!A160)</f>
        <v/>
      </c>
      <c r="B160" s="16">
        <f>UPPER(TRIM(SUBSTITUTE($A160," ","")))</f>
        <v/>
      </c>
      <c r="C160" s="16">
        <f>IF($B160="",0,LEN($B160))</f>
        <v/>
      </c>
      <c r="D160" s="16">
        <f>IF($B160="","",LEFT($B160,cbb_ikincilUzunluk))</f>
        <v/>
      </c>
      <c r="E160" s="16">
        <f>"A"</f>
        <v/>
      </c>
      <c r="F160" s="16">
        <f>IF($B160="","",IF(COUNTIF(tblAnahtarA[Norm],$B160)&gt;1,"EVET","HAYIR"))</f>
        <v/>
      </c>
      <c r="G160" s="16">
        <f>IF($A160="","",ROW()-ROW($A$5))</f>
        <v/>
      </c>
      <c r="I160" s="7">
        <f>IF(VERI_B!A160="","",VERI_B!A160)</f>
        <v/>
      </c>
      <c r="J160" s="16">
        <f>UPPER(TRIM(SUBSTITUTE($I160," ","")))</f>
        <v/>
      </c>
      <c r="K160" s="16">
        <f>IF($J160="",0,LEN($J160))</f>
        <v/>
      </c>
      <c r="L160" s="16">
        <f>IF($J160="","",LEFT($J160,cbb_ikincilUzunluk))</f>
        <v/>
      </c>
      <c r="M160" s="16">
        <f>"B"</f>
        <v/>
      </c>
      <c r="N160" s="16">
        <f>IF($J160="","",IF(COUNTIF(tblAnahtarB[NormB],$J160)&gt;1,"EVET","HAYIR"))</f>
        <v/>
      </c>
      <c r="O160" s="16">
        <f>IF($I160="","",ROW()-ROW($I$5))</f>
        <v/>
      </c>
    </row>
    <row r="161">
      <c r="A161" s="7">
        <f>IF(VERI_A!A161="","",VERI_A!A161)</f>
        <v/>
      </c>
      <c r="B161" s="16">
        <f>UPPER(TRIM(SUBSTITUTE($A161," ","")))</f>
        <v/>
      </c>
      <c r="C161" s="16">
        <f>IF($B161="",0,LEN($B161))</f>
        <v/>
      </c>
      <c r="D161" s="16">
        <f>IF($B161="","",LEFT($B161,cbb_ikincilUzunluk))</f>
        <v/>
      </c>
      <c r="E161" s="16">
        <f>"A"</f>
        <v/>
      </c>
      <c r="F161" s="16">
        <f>IF($B161="","",IF(COUNTIF(tblAnahtarA[Norm],$B161)&gt;1,"EVET","HAYIR"))</f>
        <v/>
      </c>
      <c r="G161" s="16">
        <f>IF($A161="","",ROW()-ROW($A$5))</f>
        <v/>
      </c>
      <c r="I161" s="7">
        <f>IF(VERI_B!A161="","",VERI_B!A161)</f>
        <v/>
      </c>
      <c r="J161" s="16">
        <f>UPPER(TRIM(SUBSTITUTE($I161," ","")))</f>
        <v/>
      </c>
      <c r="K161" s="16">
        <f>IF($J161="",0,LEN($J161))</f>
        <v/>
      </c>
      <c r="L161" s="16">
        <f>IF($J161="","",LEFT($J161,cbb_ikincilUzunluk))</f>
        <v/>
      </c>
      <c r="M161" s="16">
        <f>"B"</f>
        <v/>
      </c>
      <c r="N161" s="16">
        <f>IF($J161="","",IF(COUNTIF(tblAnahtarB[NormB],$J161)&gt;1,"EVET","HAYIR"))</f>
        <v/>
      </c>
      <c r="O161" s="16">
        <f>IF($I161="","",ROW()-ROW($I$5))</f>
        <v/>
      </c>
    </row>
    <row r="162">
      <c r="A162" s="7">
        <f>IF(VERI_A!A162="","",VERI_A!A162)</f>
        <v/>
      </c>
      <c r="B162" s="16">
        <f>UPPER(TRIM(SUBSTITUTE($A162," ","")))</f>
        <v/>
      </c>
      <c r="C162" s="16">
        <f>IF($B162="",0,LEN($B162))</f>
        <v/>
      </c>
      <c r="D162" s="16">
        <f>IF($B162="","",LEFT($B162,cbb_ikincilUzunluk))</f>
        <v/>
      </c>
      <c r="E162" s="16">
        <f>"A"</f>
        <v/>
      </c>
      <c r="F162" s="16">
        <f>IF($B162="","",IF(COUNTIF(tblAnahtarA[Norm],$B162)&gt;1,"EVET","HAYIR"))</f>
        <v/>
      </c>
      <c r="G162" s="16">
        <f>IF($A162="","",ROW()-ROW($A$5))</f>
        <v/>
      </c>
      <c r="I162" s="7">
        <f>IF(VERI_B!A162="","",VERI_B!A162)</f>
        <v/>
      </c>
      <c r="J162" s="16">
        <f>UPPER(TRIM(SUBSTITUTE($I162," ","")))</f>
        <v/>
      </c>
      <c r="K162" s="16">
        <f>IF($J162="",0,LEN($J162))</f>
        <v/>
      </c>
      <c r="L162" s="16">
        <f>IF($J162="","",LEFT($J162,cbb_ikincilUzunluk))</f>
        <v/>
      </c>
      <c r="M162" s="16">
        <f>"B"</f>
        <v/>
      </c>
      <c r="N162" s="16">
        <f>IF($J162="","",IF(COUNTIF(tblAnahtarB[NormB],$J162)&gt;1,"EVET","HAYIR"))</f>
        <v/>
      </c>
      <c r="O162" s="16">
        <f>IF($I162="","",ROW()-ROW($I$5))</f>
        <v/>
      </c>
    </row>
    <row r="163">
      <c r="A163" s="7">
        <f>IF(VERI_A!A163="","",VERI_A!A163)</f>
        <v/>
      </c>
      <c r="B163" s="16">
        <f>UPPER(TRIM(SUBSTITUTE($A163," ","")))</f>
        <v/>
      </c>
      <c r="C163" s="16">
        <f>IF($B163="",0,LEN($B163))</f>
        <v/>
      </c>
      <c r="D163" s="16">
        <f>IF($B163="","",LEFT($B163,cbb_ikincilUzunluk))</f>
        <v/>
      </c>
      <c r="E163" s="16">
        <f>"A"</f>
        <v/>
      </c>
      <c r="F163" s="16">
        <f>IF($B163="","",IF(COUNTIF(tblAnahtarA[Norm],$B163)&gt;1,"EVET","HAYIR"))</f>
        <v/>
      </c>
      <c r="G163" s="16">
        <f>IF($A163="","",ROW()-ROW($A$5))</f>
        <v/>
      </c>
      <c r="I163" s="7">
        <f>IF(VERI_B!A163="","",VERI_B!A163)</f>
        <v/>
      </c>
      <c r="J163" s="16">
        <f>UPPER(TRIM(SUBSTITUTE($I163," ","")))</f>
        <v/>
      </c>
      <c r="K163" s="16">
        <f>IF($J163="",0,LEN($J163))</f>
        <v/>
      </c>
      <c r="L163" s="16">
        <f>IF($J163="","",LEFT($J163,cbb_ikincilUzunluk))</f>
        <v/>
      </c>
      <c r="M163" s="16">
        <f>"B"</f>
        <v/>
      </c>
      <c r="N163" s="16">
        <f>IF($J163="","",IF(COUNTIF(tblAnahtarB[NormB],$J163)&gt;1,"EVET","HAYIR"))</f>
        <v/>
      </c>
      <c r="O163" s="16">
        <f>IF($I163="","",ROW()-ROW($I$5))</f>
        <v/>
      </c>
    </row>
    <row r="164">
      <c r="A164" s="7">
        <f>IF(VERI_A!A164="","",VERI_A!A164)</f>
        <v/>
      </c>
      <c r="B164" s="16">
        <f>UPPER(TRIM(SUBSTITUTE($A164," ","")))</f>
        <v/>
      </c>
      <c r="C164" s="16">
        <f>IF($B164="",0,LEN($B164))</f>
        <v/>
      </c>
      <c r="D164" s="16">
        <f>IF($B164="","",LEFT($B164,cbb_ikincilUzunluk))</f>
        <v/>
      </c>
      <c r="E164" s="16">
        <f>"A"</f>
        <v/>
      </c>
      <c r="F164" s="16">
        <f>IF($B164="","",IF(COUNTIF(tblAnahtarA[Norm],$B164)&gt;1,"EVET","HAYIR"))</f>
        <v/>
      </c>
      <c r="G164" s="16">
        <f>IF($A164="","",ROW()-ROW($A$5))</f>
        <v/>
      </c>
      <c r="I164" s="7">
        <f>IF(VERI_B!A164="","",VERI_B!A164)</f>
        <v/>
      </c>
      <c r="J164" s="16">
        <f>UPPER(TRIM(SUBSTITUTE($I164," ","")))</f>
        <v/>
      </c>
      <c r="K164" s="16">
        <f>IF($J164="",0,LEN($J164))</f>
        <v/>
      </c>
      <c r="L164" s="16">
        <f>IF($J164="","",LEFT($J164,cbb_ikincilUzunluk))</f>
        <v/>
      </c>
      <c r="M164" s="16">
        <f>"B"</f>
        <v/>
      </c>
      <c r="N164" s="16">
        <f>IF($J164="","",IF(COUNTIF(tblAnahtarB[NormB],$J164)&gt;1,"EVET","HAYIR"))</f>
        <v/>
      </c>
      <c r="O164" s="16">
        <f>IF($I164="","",ROW()-ROW($I$5))</f>
        <v/>
      </c>
    </row>
    <row r="165">
      <c r="A165" s="7">
        <f>IF(VERI_A!A165="","",VERI_A!A165)</f>
        <v/>
      </c>
      <c r="B165" s="16">
        <f>UPPER(TRIM(SUBSTITUTE($A165," ","")))</f>
        <v/>
      </c>
      <c r="C165" s="16">
        <f>IF($B165="",0,LEN($B165))</f>
        <v/>
      </c>
      <c r="D165" s="16">
        <f>IF($B165="","",LEFT($B165,cbb_ikincilUzunluk))</f>
        <v/>
      </c>
      <c r="E165" s="16">
        <f>"A"</f>
        <v/>
      </c>
      <c r="F165" s="16">
        <f>IF($B165="","",IF(COUNTIF(tblAnahtarA[Norm],$B165)&gt;1,"EVET","HAYIR"))</f>
        <v/>
      </c>
      <c r="G165" s="16">
        <f>IF($A165="","",ROW()-ROW($A$5))</f>
        <v/>
      </c>
      <c r="I165" s="7">
        <f>IF(VERI_B!A165="","",VERI_B!A165)</f>
        <v/>
      </c>
      <c r="J165" s="16">
        <f>UPPER(TRIM(SUBSTITUTE($I165," ","")))</f>
        <v/>
      </c>
      <c r="K165" s="16">
        <f>IF($J165="",0,LEN($J165))</f>
        <v/>
      </c>
      <c r="L165" s="16">
        <f>IF($J165="","",LEFT($J165,cbb_ikincilUzunluk))</f>
        <v/>
      </c>
      <c r="M165" s="16">
        <f>"B"</f>
        <v/>
      </c>
      <c r="N165" s="16">
        <f>IF($J165="","",IF(COUNTIF(tblAnahtarB[NormB],$J165)&gt;1,"EVET","HAYIR"))</f>
        <v/>
      </c>
      <c r="O165" s="16">
        <f>IF($I165="","",ROW()-ROW($I$5))</f>
        <v/>
      </c>
    </row>
    <row r="166">
      <c r="A166" s="7">
        <f>IF(VERI_A!A166="","",VERI_A!A166)</f>
        <v/>
      </c>
      <c r="B166" s="16">
        <f>UPPER(TRIM(SUBSTITUTE($A166," ","")))</f>
        <v/>
      </c>
      <c r="C166" s="16">
        <f>IF($B166="",0,LEN($B166))</f>
        <v/>
      </c>
      <c r="D166" s="16">
        <f>IF($B166="","",LEFT($B166,cbb_ikincilUzunluk))</f>
        <v/>
      </c>
      <c r="E166" s="16">
        <f>"A"</f>
        <v/>
      </c>
      <c r="F166" s="16">
        <f>IF($B166="","",IF(COUNTIF(tblAnahtarA[Norm],$B166)&gt;1,"EVET","HAYIR"))</f>
        <v/>
      </c>
      <c r="G166" s="16">
        <f>IF($A166="","",ROW()-ROW($A$5))</f>
        <v/>
      </c>
      <c r="I166" s="7">
        <f>IF(VERI_B!A166="","",VERI_B!A166)</f>
        <v/>
      </c>
      <c r="J166" s="16">
        <f>UPPER(TRIM(SUBSTITUTE($I166," ","")))</f>
        <v/>
      </c>
      <c r="K166" s="16">
        <f>IF($J166="",0,LEN($J166))</f>
        <v/>
      </c>
      <c r="L166" s="16">
        <f>IF($J166="","",LEFT($J166,cbb_ikincilUzunluk))</f>
        <v/>
      </c>
      <c r="M166" s="16">
        <f>"B"</f>
        <v/>
      </c>
      <c r="N166" s="16">
        <f>IF($J166="","",IF(COUNTIF(tblAnahtarB[NormB],$J166)&gt;1,"EVET","HAYIR"))</f>
        <v/>
      </c>
      <c r="O166" s="16">
        <f>IF($I166="","",ROW()-ROW($I$5))</f>
        <v/>
      </c>
    </row>
    <row r="167">
      <c r="A167" s="7">
        <f>IF(VERI_A!A167="","",VERI_A!A167)</f>
        <v/>
      </c>
      <c r="B167" s="16">
        <f>UPPER(TRIM(SUBSTITUTE($A167," ","")))</f>
        <v/>
      </c>
      <c r="C167" s="16">
        <f>IF($B167="",0,LEN($B167))</f>
        <v/>
      </c>
      <c r="D167" s="16">
        <f>IF($B167="","",LEFT($B167,cbb_ikincilUzunluk))</f>
        <v/>
      </c>
      <c r="E167" s="16">
        <f>"A"</f>
        <v/>
      </c>
      <c r="F167" s="16">
        <f>IF($B167="","",IF(COUNTIF(tblAnahtarA[Norm],$B167)&gt;1,"EVET","HAYIR"))</f>
        <v/>
      </c>
      <c r="G167" s="16">
        <f>IF($A167="","",ROW()-ROW($A$5))</f>
        <v/>
      </c>
      <c r="I167" s="7">
        <f>IF(VERI_B!A167="","",VERI_B!A167)</f>
        <v/>
      </c>
      <c r="J167" s="16">
        <f>UPPER(TRIM(SUBSTITUTE($I167," ","")))</f>
        <v/>
      </c>
      <c r="K167" s="16">
        <f>IF($J167="",0,LEN($J167))</f>
        <v/>
      </c>
      <c r="L167" s="16">
        <f>IF($J167="","",LEFT($J167,cbb_ikincilUzunluk))</f>
        <v/>
      </c>
      <c r="M167" s="16">
        <f>"B"</f>
        <v/>
      </c>
      <c r="N167" s="16">
        <f>IF($J167="","",IF(COUNTIF(tblAnahtarB[NormB],$J167)&gt;1,"EVET","HAYIR"))</f>
        <v/>
      </c>
      <c r="O167" s="16">
        <f>IF($I167="","",ROW()-ROW($I$5))</f>
        <v/>
      </c>
    </row>
    <row r="168">
      <c r="A168" s="7">
        <f>IF(VERI_A!A168="","",VERI_A!A168)</f>
        <v/>
      </c>
      <c r="B168" s="16">
        <f>UPPER(TRIM(SUBSTITUTE($A168," ","")))</f>
        <v/>
      </c>
      <c r="C168" s="16">
        <f>IF($B168="",0,LEN($B168))</f>
        <v/>
      </c>
      <c r="D168" s="16">
        <f>IF($B168="","",LEFT($B168,cbb_ikincilUzunluk))</f>
        <v/>
      </c>
      <c r="E168" s="16">
        <f>"A"</f>
        <v/>
      </c>
      <c r="F168" s="16">
        <f>IF($B168="","",IF(COUNTIF(tblAnahtarA[Norm],$B168)&gt;1,"EVET","HAYIR"))</f>
        <v/>
      </c>
      <c r="G168" s="16">
        <f>IF($A168="","",ROW()-ROW($A$5))</f>
        <v/>
      </c>
      <c r="I168" s="7">
        <f>IF(VERI_B!A168="","",VERI_B!A168)</f>
        <v/>
      </c>
      <c r="J168" s="16">
        <f>UPPER(TRIM(SUBSTITUTE($I168," ","")))</f>
        <v/>
      </c>
      <c r="K168" s="16">
        <f>IF($J168="",0,LEN($J168))</f>
        <v/>
      </c>
      <c r="L168" s="16">
        <f>IF($J168="","",LEFT($J168,cbb_ikincilUzunluk))</f>
        <v/>
      </c>
      <c r="M168" s="16">
        <f>"B"</f>
        <v/>
      </c>
      <c r="N168" s="16">
        <f>IF($J168="","",IF(COUNTIF(tblAnahtarB[NormB],$J168)&gt;1,"EVET","HAYIR"))</f>
        <v/>
      </c>
      <c r="O168" s="16">
        <f>IF($I168="","",ROW()-ROW($I$5))</f>
        <v/>
      </c>
    </row>
    <row r="169">
      <c r="A169" s="7">
        <f>IF(VERI_A!A169="","",VERI_A!A169)</f>
        <v/>
      </c>
      <c r="B169" s="16">
        <f>UPPER(TRIM(SUBSTITUTE($A169," ","")))</f>
        <v/>
      </c>
      <c r="C169" s="16">
        <f>IF($B169="",0,LEN($B169))</f>
        <v/>
      </c>
      <c r="D169" s="16">
        <f>IF($B169="","",LEFT($B169,cbb_ikincilUzunluk))</f>
        <v/>
      </c>
      <c r="E169" s="16">
        <f>"A"</f>
        <v/>
      </c>
      <c r="F169" s="16">
        <f>IF($B169="","",IF(COUNTIF(tblAnahtarA[Norm],$B169)&gt;1,"EVET","HAYIR"))</f>
        <v/>
      </c>
      <c r="G169" s="16">
        <f>IF($A169="","",ROW()-ROW($A$5))</f>
        <v/>
      </c>
      <c r="I169" s="7">
        <f>IF(VERI_B!A169="","",VERI_B!A169)</f>
        <v/>
      </c>
      <c r="J169" s="16">
        <f>UPPER(TRIM(SUBSTITUTE($I169," ","")))</f>
        <v/>
      </c>
      <c r="K169" s="16">
        <f>IF($J169="",0,LEN($J169))</f>
        <v/>
      </c>
      <c r="L169" s="16">
        <f>IF($J169="","",LEFT($J169,cbb_ikincilUzunluk))</f>
        <v/>
      </c>
      <c r="M169" s="16">
        <f>"B"</f>
        <v/>
      </c>
      <c r="N169" s="16">
        <f>IF($J169="","",IF(COUNTIF(tblAnahtarB[NormB],$J169)&gt;1,"EVET","HAYIR"))</f>
        <v/>
      </c>
      <c r="O169" s="16">
        <f>IF($I169="","",ROW()-ROW($I$5))</f>
        <v/>
      </c>
    </row>
    <row r="170">
      <c r="A170" s="7">
        <f>IF(VERI_A!A170="","",VERI_A!A170)</f>
        <v/>
      </c>
      <c r="B170" s="16">
        <f>UPPER(TRIM(SUBSTITUTE($A170," ","")))</f>
        <v/>
      </c>
      <c r="C170" s="16">
        <f>IF($B170="",0,LEN($B170))</f>
        <v/>
      </c>
      <c r="D170" s="16">
        <f>IF($B170="","",LEFT($B170,cbb_ikincilUzunluk))</f>
        <v/>
      </c>
      <c r="E170" s="16">
        <f>"A"</f>
        <v/>
      </c>
      <c r="F170" s="16">
        <f>IF($B170="","",IF(COUNTIF(tblAnahtarA[Norm],$B170)&gt;1,"EVET","HAYIR"))</f>
        <v/>
      </c>
      <c r="G170" s="16">
        <f>IF($A170="","",ROW()-ROW($A$5))</f>
        <v/>
      </c>
      <c r="I170" s="7">
        <f>IF(VERI_B!A170="","",VERI_B!A170)</f>
        <v/>
      </c>
      <c r="J170" s="16">
        <f>UPPER(TRIM(SUBSTITUTE($I170," ","")))</f>
        <v/>
      </c>
      <c r="K170" s="16">
        <f>IF($J170="",0,LEN($J170))</f>
        <v/>
      </c>
      <c r="L170" s="16">
        <f>IF($J170="","",LEFT($J170,cbb_ikincilUzunluk))</f>
        <v/>
      </c>
      <c r="M170" s="16">
        <f>"B"</f>
        <v/>
      </c>
      <c r="N170" s="16">
        <f>IF($J170="","",IF(COUNTIF(tblAnahtarB[NormB],$J170)&gt;1,"EVET","HAYIR"))</f>
        <v/>
      </c>
      <c r="O170" s="16">
        <f>IF($I170="","",ROW()-ROW($I$5))</f>
        <v/>
      </c>
    </row>
    <row r="171">
      <c r="A171" s="7">
        <f>IF(VERI_A!A171="","",VERI_A!A171)</f>
        <v/>
      </c>
      <c r="B171" s="16">
        <f>UPPER(TRIM(SUBSTITUTE($A171," ","")))</f>
        <v/>
      </c>
      <c r="C171" s="16">
        <f>IF($B171="",0,LEN($B171))</f>
        <v/>
      </c>
      <c r="D171" s="16">
        <f>IF($B171="","",LEFT($B171,cbb_ikincilUzunluk))</f>
        <v/>
      </c>
      <c r="E171" s="16">
        <f>"A"</f>
        <v/>
      </c>
      <c r="F171" s="16">
        <f>IF($B171="","",IF(COUNTIF(tblAnahtarA[Norm],$B171)&gt;1,"EVET","HAYIR"))</f>
        <v/>
      </c>
      <c r="G171" s="16">
        <f>IF($A171="","",ROW()-ROW($A$5))</f>
        <v/>
      </c>
      <c r="I171" s="7">
        <f>IF(VERI_B!A171="","",VERI_B!A171)</f>
        <v/>
      </c>
      <c r="J171" s="16">
        <f>UPPER(TRIM(SUBSTITUTE($I171," ","")))</f>
        <v/>
      </c>
      <c r="K171" s="16">
        <f>IF($J171="",0,LEN($J171))</f>
        <v/>
      </c>
      <c r="L171" s="16">
        <f>IF($J171="","",LEFT($J171,cbb_ikincilUzunluk))</f>
        <v/>
      </c>
      <c r="M171" s="16">
        <f>"B"</f>
        <v/>
      </c>
      <c r="N171" s="16">
        <f>IF($J171="","",IF(COUNTIF(tblAnahtarB[NormB],$J171)&gt;1,"EVET","HAYIR"))</f>
        <v/>
      </c>
      <c r="O171" s="16">
        <f>IF($I171="","",ROW()-ROW($I$5))</f>
        <v/>
      </c>
    </row>
    <row r="172">
      <c r="A172" s="7">
        <f>IF(VERI_A!A172="","",VERI_A!A172)</f>
        <v/>
      </c>
      <c r="B172" s="16">
        <f>UPPER(TRIM(SUBSTITUTE($A172," ","")))</f>
        <v/>
      </c>
      <c r="C172" s="16">
        <f>IF($B172="",0,LEN($B172))</f>
        <v/>
      </c>
      <c r="D172" s="16">
        <f>IF($B172="","",LEFT($B172,cbb_ikincilUzunluk))</f>
        <v/>
      </c>
      <c r="E172" s="16">
        <f>"A"</f>
        <v/>
      </c>
      <c r="F172" s="16">
        <f>IF($B172="","",IF(COUNTIF(tblAnahtarA[Norm],$B172)&gt;1,"EVET","HAYIR"))</f>
        <v/>
      </c>
      <c r="G172" s="16">
        <f>IF($A172="","",ROW()-ROW($A$5))</f>
        <v/>
      </c>
      <c r="I172" s="7">
        <f>IF(VERI_B!A172="","",VERI_B!A172)</f>
        <v/>
      </c>
      <c r="J172" s="16">
        <f>UPPER(TRIM(SUBSTITUTE($I172," ","")))</f>
        <v/>
      </c>
      <c r="K172" s="16">
        <f>IF($J172="",0,LEN($J172))</f>
        <v/>
      </c>
      <c r="L172" s="16">
        <f>IF($J172="","",LEFT($J172,cbb_ikincilUzunluk))</f>
        <v/>
      </c>
      <c r="M172" s="16">
        <f>"B"</f>
        <v/>
      </c>
      <c r="N172" s="16">
        <f>IF($J172="","",IF(COUNTIF(tblAnahtarB[NormB],$J172)&gt;1,"EVET","HAYIR"))</f>
        <v/>
      </c>
      <c r="O172" s="16">
        <f>IF($I172="","",ROW()-ROW($I$5))</f>
        <v/>
      </c>
    </row>
    <row r="173">
      <c r="A173" s="7">
        <f>IF(VERI_A!A173="","",VERI_A!A173)</f>
        <v/>
      </c>
      <c r="B173" s="16">
        <f>UPPER(TRIM(SUBSTITUTE($A173," ","")))</f>
        <v/>
      </c>
      <c r="C173" s="16">
        <f>IF($B173="",0,LEN($B173))</f>
        <v/>
      </c>
      <c r="D173" s="16">
        <f>IF($B173="","",LEFT($B173,cbb_ikincilUzunluk))</f>
        <v/>
      </c>
      <c r="E173" s="16">
        <f>"A"</f>
        <v/>
      </c>
      <c r="F173" s="16">
        <f>IF($B173="","",IF(COUNTIF(tblAnahtarA[Norm],$B173)&gt;1,"EVET","HAYIR"))</f>
        <v/>
      </c>
      <c r="G173" s="16">
        <f>IF($A173="","",ROW()-ROW($A$5))</f>
        <v/>
      </c>
      <c r="I173" s="7">
        <f>IF(VERI_B!A173="","",VERI_B!A173)</f>
        <v/>
      </c>
      <c r="J173" s="16">
        <f>UPPER(TRIM(SUBSTITUTE($I173," ","")))</f>
        <v/>
      </c>
      <c r="K173" s="16">
        <f>IF($J173="",0,LEN($J173))</f>
        <v/>
      </c>
      <c r="L173" s="16">
        <f>IF($J173="","",LEFT($J173,cbb_ikincilUzunluk))</f>
        <v/>
      </c>
      <c r="M173" s="16">
        <f>"B"</f>
        <v/>
      </c>
      <c r="N173" s="16">
        <f>IF($J173="","",IF(COUNTIF(tblAnahtarB[NormB],$J173)&gt;1,"EVET","HAYIR"))</f>
        <v/>
      </c>
      <c r="O173" s="16">
        <f>IF($I173="","",ROW()-ROW($I$5))</f>
        <v/>
      </c>
    </row>
    <row r="174">
      <c r="A174" s="7">
        <f>IF(VERI_A!A174="","",VERI_A!A174)</f>
        <v/>
      </c>
      <c r="B174" s="16">
        <f>UPPER(TRIM(SUBSTITUTE($A174," ","")))</f>
        <v/>
      </c>
      <c r="C174" s="16">
        <f>IF($B174="",0,LEN($B174))</f>
        <v/>
      </c>
      <c r="D174" s="16">
        <f>IF($B174="","",LEFT($B174,cbb_ikincilUzunluk))</f>
        <v/>
      </c>
      <c r="E174" s="16">
        <f>"A"</f>
        <v/>
      </c>
      <c r="F174" s="16">
        <f>IF($B174="","",IF(COUNTIF(tblAnahtarA[Norm],$B174)&gt;1,"EVET","HAYIR"))</f>
        <v/>
      </c>
      <c r="G174" s="16">
        <f>IF($A174="","",ROW()-ROW($A$5))</f>
        <v/>
      </c>
      <c r="I174" s="7">
        <f>IF(VERI_B!A174="","",VERI_B!A174)</f>
        <v/>
      </c>
      <c r="J174" s="16">
        <f>UPPER(TRIM(SUBSTITUTE($I174," ","")))</f>
        <v/>
      </c>
      <c r="K174" s="16">
        <f>IF($J174="",0,LEN($J174))</f>
        <v/>
      </c>
      <c r="L174" s="16">
        <f>IF($J174="","",LEFT($J174,cbb_ikincilUzunluk))</f>
        <v/>
      </c>
      <c r="M174" s="16">
        <f>"B"</f>
        <v/>
      </c>
      <c r="N174" s="16">
        <f>IF($J174="","",IF(COUNTIF(tblAnahtarB[NormB],$J174)&gt;1,"EVET","HAYIR"))</f>
        <v/>
      </c>
      <c r="O174" s="16">
        <f>IF($I174="","",ROW()-ROW($I$5))</f>
        <v/>
      </c>
    </row>
    <row r="175">
      <c r="A175" s="7">
        <f>IF(VERI_A!A175="","",VERI_A!A175)</f>
        <v/>
      </c>
      <c r="B175" s="16">
        <f>UPPER(TRIM(SUBSTITUTE($A175," ","")))</f>
        <v/>
      </c>
      <c r="C175" s="16">
        <f>IF($B175="",0,LEN($B175))</f>
        <v/>
      </c>
      <c r="D175" s="16">
        <f>IF($B175="","",LEFT($B175,cbb_ikincilUzunluk))</f>
        <v/>
      </c>
      <c r="E175" s="16">
        <f>"A"</f>
        <v/>
      </c>
      <c r="F175" s="16">
        <f>IF($B175="","",IF(COUNTIF(tblAnahtarA[Norm],$B175)&gt;1,"EVET","HAYIR"))</f>
        <v/>
      </c>
      <c r="G175" s="16">
        <f>IF($A175="","",ROW()-ROW($A$5))</f>
        <v/>
      </c>
      <c r="I175" s="7">
        <f>IF(VERI_B!A175="","",VERI_B!A175)</f>
        <v/>
      </c>
      <c r="J175" s="16">
        <f>UPPER(TRIM(SUBSTITUTE($I175," ","")))</f>
        <v/>
      </c>
      <c r="K175" s="16">
        <f>IF($J175="",0,LEN($J175))</f>
        <v/>
      </c>
      <c r="L175" s="16">
        <f>IF($J175="","",LEFT($J175,cbb_ikincilUzunluk))</f>
        <v/>
      </c>
      <c r="M175" s="16">
        <f>"B"</f>
        <v/>
      </c>
      <c r="N175" s="16">
        <f>IF($J175="","",IF(COUNTIF(tblAnahtarB[NormB],$J175)&gt;1,"EVET","HAYIR"))</f>
        <v/>
      </c>
      <c r="O175" s="16">
        <f>IF($I175="","",ROW()-ROW($I$5))</f>
        <v/>
      </c>
    </row>
    <row r="176">
      <c r="A176" s="7">
        <f>IF(VERI_A!A176="","",VERI_A!A176)</f>
        <v/>
      </c>
      <c r="B176" s="16">
        <f>UPPER(TRIM(SUBSTITUTE($A176," ","")))</f>
        <v/>
      </c>
      <c r="C176" s="16">
        <f>IF($B176="",0,LEN($B176))</f>
        <v/>
      </c>
      <c r="D176" s="16">
        <f>IF($B176="","",LEFT($B176,cbb_ikincilUzunluk))</f>
        <v/>
      </c>
      <c r="E176" s="16">
        <f>"A"</f>
        <v/>
      </c>
      <c r="F176" s="16">
        <f>IF($B176="","",IF(COUNTIF(tblAnahtarA[Norm],$B176)&gt;1,"EVET","HAYIR"))</f>
        <v/>
      </c>
      <c r="G176" s="16">
        <f>IF($A176="","",ROW()-ROW($A$5))</f>
        <v/>
      </c>
      <c r="I176" s="7">
        <f>IF(VERI_B!A176="","",VERI_B!A176)</f>
        <v/>
      </c>
      <c r="J176" s="16">
        <f>UPPER(TRIM(SUBSTITUTE($I176," ","")))</f>
        <v/>
      </c>
      <c r="K176" s="16">
        <f>IF($J176="",0,LEN($J176))</f>
        <v/>
      </c>
      <c r="L176" s="16">
        <f>IF($J176="","",LEFT($J176,cbb_ikincilUzunluk))</f>
        <v/>
      </c>
      <c r="M176" s="16">
        <f>"B"</f>
        <v/>
      </c>
      <c r="N176" s="16">
        <f>IF($J176="","",IF(COUNTIF(tblAnahtarB[NormB],$J176)&gt;1,"EVET","HAYIR"))</f>
        <v/>
      </c>
      <c r="O176" s="16">
        <f>IF($I176="","",ROW()-ROW($I$5))</f>
        <v/>
      </c>
    </row>
    <row r="177">
      <c r="A177" s="7">
        <f>IF(VERI_A!A177="","",VERI_A!A177)</f>
        <v/>
      </c>
      <c r="B177" s="16">
        <f>UPPER(TRIM(SUBSTITUTE($A177," ","")))</f>
        <v/>
      </c>
      <c r="C177" s="16">
        <f>IF($B177="",0,LEN($B177))</f>
        <v/>
      </c>
      <c r="D177" s="16">
        <f>IF($B177="","",LEFT($B177,cbb_ikincilUzunluk))</f>
        <v/>
      </c>
      <c r="E177" s="16">
        <f>"A"</f>
        <v/>
      </c>
      <c r="F177" s="16">
        <f>IF($B177="","",IF(COUNTIF(tblAnahtarA[Norm],$B177)&gt;1,"EVET","HAYIR"))</f>
        <v/>
      </c>
      <c r="G177" s="16">
        <f>IF($A177="","",ROW()-ROW($A$5))</f>
        <v/>
      </c>
      <c r="I177" s="7">
        <f>IF(VERI_B!A177="","",VERI_B!A177)</f>
        <v/>
      </c>
      <c r="J177" s="16">
        <f>UPPER(TRIM(SUBSTITUTE($I177," ","")))</f>
        <v/>
      </c>
      <c r="K177" s="16">
        <f>IF($J177="",0,LEN($J177))</f>
        <v/>
      </c>
      <c r="L177" s="16">
        <f>IF($J177="","",LEFT($J177,cbb_ikincilUzunluk))</f>
        <v/>
      </c>
      <c r="M177" s="16">
        <f>"B"</f>
        <v/>
      </c>
      <c r="N177" s="16">
        <f>IF($J177="","",IF(COUNTIF(tblAnahtarB[NormB],$J177)&gt;1,"EVET","HAYIR"))</f>
        <v/>
      </c>
      <c r="O177" s="16">
        <f>IF($I177="","",ROW()-ROW($I$5))</f>
        <v/>
      </c>
    </row>
    <row r="178">
      <c r="A178" s="7">
        <f>IF(VERI_A!A178="","",VERI_A!A178)</f>
        <v/>
      </c>
      <c r="B178" s="16">
        <f>UPPER(TRIM(SUBSTITUTE($A178," ","")))</f>
        <v/>
      </c>
      <c r="C178" s="16">
        <f>IF($B178="",0,LEN($B178))</f>
        <v/>
      </c>
      <c r="D178" s="16">
        <f>IF($B178="","",LEFT($B178,cbb_ikincilUzunluk))</f>
        <v/>
      </c>
      <c r="E178" s="16">
        <f>"A"</f>
        <v/>
      </c>
      <c r="F178" s="16">
        <f>IF($B178="","",IF(COUNTIF(tblAnahtarA[Norm],$B178)&gt;1,"EVET","HAYIR"))</f>
        <v/>
      </c>
      <c r="G178" s="16">
        <f>IF($A178="","",ROW()-ROW($A$5))</f>
        <v/>
      </c>
      <c r="I178" s="7">
        <f>IF(VERI_B!A178="","",VERI_B!A178)</f>
        <v/>
      </c>
      <c r="J178" s="16">
        <f>UPPER(TRIM(SUBSTITUTE($I178," ","")))</f>
        <v/>
      </c>
      <c r="K178" s="16">
        <f>IF($J178="",0,LEN($J178))</f>
        <v/>
      </c>
      <c r="L178" s="16">
        <f>IF($J178="","",LEFT($J178,cbb_ikincilUzunluk))</f>
        <v/>
      </c>
      <c r="M178" s="16">
        <f>"B"</f>
        <v/>
      </c>
      <c r="N178" s="16">
        <f>IF($J178="","",IF(COUNTIF(tblAnahtarB[NormB],$J178)&gt;1,"EVET","HAYIR"))</f>
        <v/>
      </c>
      <c r="O178" s="16">
        <f>IF($I178="","",ROW()-ROW($I$5))</f>
        <v/>
      </c>
    </row>
    <row r="179">
      <c r="A179" s="7">
        <f>IF(VERI_A!A179="","",VERI_A!A179)</f>
        <v/>
      </c>
      <c r="B179" s="16">
        <f>UPPER(TRIM(SUBSTITUTE($A179," ","")))</f>
        <v/>
      </c>
      <c r="C179" s="16">
        <f>IF($B179="",0,LEN($B179))</f>
        <v/>
      </c>
      <c r="D179" s="16">
        <f>IF($B179="","",LEFT($B179,cbb_ikincilUzunluk))</f>
        <v/>
      </c>
      <c r="E179" s="16">
        <f>"A"</f>
        <v/>
      </c>
      <c r="F179" s="16">
        <f>IF($B179="","",IF(COUNTIF(tblAnahtarA[Norm],$B179)&gt;1,"EVET","HAYIR"))</f>
        <v/>
      </c>
      <c r="G179" s="16">
        <f>IF($A179="","",ROW()-ROW($A$5))</f>
        <v/>
      </c>
      <c r="I179" s="7">
        <f>IF(VERI_B!A179="","",VERI_B!A179)</f>
        <v/>
      </c>
      <c r="J179" s="16">
        <f>UPPER(TRIM(SUBSTITUTE($I179," ","")))</f>
        <v/>
      </c>
      <c r="K179" s="16">
        <f>IF($J179="",0,LEN($J179))</f>
        <v/>
      </c>
      <c r="L179" s="16">
        <f>IF($J179="","",LEFT($J179,cbb_ikincilUzunluk))</f>
        <v/>
      </c>
      <c r="M179" s="16">
        <f>"B"</f>
        <v/>
      </c>
      <c r="N179" s="16">
        <f>IF($J179="","",IF(COUNTIF(tblAnahtarB[NormB],$J179)&gt;1,"EVET","HAYIR"))</f>
        <v/>
      </c>
      <c r="O179" s="16">
        <f>IF($I179="","",ROW()-ROW($I$5))</f>
        <v/>
      </c>
    </row>
    <row r="180">
      <c r="A180" s="7">
        <f>IF(VERI_A!A180="","",VERI_A!A180)</f>
        <v/>
      </c>
      <c r="B180" s="16">
        <f>UPPER(TRIM(SUBSTITUTE($A180," ","")))</f>
        <v/>
      </c>
      <c r="C180" s="16">
        <f>IF($B180="",0,LEN($B180))</f>
        <v/>
      </c>
      <c r="D180" s="16">
        <f>IF($B180="","",LEFT($B180,cbb_ikincilUzunluk))</f>
        <v/>
      </c>
      <c r="E180" s="16">
        <f>"A"</f>
        <v/>
      </c>
      <c r="F180" s="16">
        <f>IF($B180="","",IF(COUNTIF(tblAnahtarA[Norm],$B180)&gt;1,"EVET","HAYIR"))</f>
        <v/>
      </c>
      <c r="G180" s="16">
        <f>IF($A180="","",ROW()-ROW($A$5))</f>
        <v/>
      </c>
      <c r="I180" s="7">
        <f>IF(VERI_B!A180="","",VERI_B!A180)</f>
        <v/>
      </c>
      <c r="J180" s="16">
        <f>UPPER(TRIM(SUBSTITUTE($I180," ","")))</f>
        <v/>
      </c>
      <c r="K180" s="16">
        <f>IF($J180="",0,LEN($J180))</f>
        <v/>
      </c>
      <c r="L180" s="16">
        <f>IF($J180="","",LEFT($J180,cbb_ikincilUzunluk))</f>
        <v/>
      </c>
      <c r="M180" s="16">
        <f>"B"</f>
        <v/>
      </c>
      <c r="N180" s="16">
        <f>IF($J180="","",IF(COUNTIF(tblAnahtarB[NormB],$J180)&gt;1,"EVET","HAYIR"))</f>
        <v/>
      </c>
      <c r="O180" s="16">
        <f>IF($I180="","",ROW()-ROW($I$5))</f>
        <v/>
      </c>
    </row>
    <row r="181">
      <c r="A181" s="7">
        <f>IF(VERI_A!A181="","",VERI_A!A181)</f>
        <v/>
      </c>
      <c r="B181" s="16">
        <f>UPPER(TRIM(SUBSTITUTE($A181," ","")))</f>
        <v/>
      </c>
      <c r="C181" s="16">
        <f>IF($B181="",0,LEN($B181))</f>
        <v/>
      </c>
      <c r="D181" s="16">
        <f>IF($B181="","",LEFT($B181,cbb_ikincilUzunluk))</f>
        <v/>
      </c>
      <c r="E181" s="16">
        <f>"A"</f>
        <v/>
      </c>
      <c r="F181" s="16">
        <f>IF($B181="","",IF(COUNTIF(tblAnahtarA[Norm],$B181)&gt;1,"EVET","HAYIR"))</f>
        <v/>
      </c>
      <c r="G181" s="16">
        <f>IF($A181="","",ROW()-ROW($A$5))</f>
        <v/>
      </c>
      <c r="I181" s="7">
        <f>IF(VERI_B!A181="","",VERI_B!A181)</f>
        <v/>
      </c>
      <c r="J181" s="16">
        <f>UPPER(TRIM(SUBSTITUTE($I181," ","")))</f>
        <v/>
      </c>
      <c r="K181" s="16">
        <f>IF($J181="",0,LEN($J181))</f>
        <v/>
      </c>
      <c r="L181" s="16">
        <f>IF($J181="","",LEFT($J181,cbb_ikincilUzunluk))</f>
        <v/>
      </c>
      <c r="M181" s="16">
        <f>"B"</f>
        <v/>
      </c>
      <c r="N181" s="16">
        <f>IF($J181="","",IF(COUNTIF(tblAnahtarB[NormB],$J181)&gt;1,"EVET","HAYIR"))</f>
        <v/>
      </c>
      <c r="O181" s="16">
        <f>IF($I181="","",ROW()-ROW($I$5))</f>
        <v/>
      </c>
    </row>
    <row r="182">
      <c r="A182" s="7">
        <f>IF(VERI_A!A182="","",VERI_A!A182)</f>
        <v/>
      </c>
      <c r="B182" s="16">
        <f>UPPER(TRIM(SUBSTITUTE($A182," ","")))</f>
        <v/>
      </c>
      <c r="C182" s="16">
        <f>IF($B182="",0,LEN($B182))</f>
        <v/>
      </c>
      <c r="D182" s="16">
        <f>IF($B182="","",LEFT($B182,cbb_ikincilUzunluk))</f>
        <v/>
      </c>
      <c r="E182" s="16">
        <f>"A"</f>
        <v/>
      </c>
      <c r="F182" s="16">
        <f>IF($B182="","",IF(COUNTIF(tblAnahtarA[Norm],$B182)&gt;1,"EVET","HAYIR"))</f>
        <v/>
      </c>
      <c r="G182" s="16">
        <f>IF($A182="","",ROW()-ROW($A$5))</f>
        <v/>
      </c>
      <c r="I182" s="7">
        <f>IF(VERI_B!A182="","",VERI_B!A182)</f>
        <v/>
      </c>
      <c r="J182" s="16">
        <f>UPPER(TRIM(SUBSTITUTE($I182," ","")))</f>
        <v/>
      </c>
      <c r="K182" s="16">
        <f>IF($J182="",0,LEN($J182))</f>
        <v/>
      </c>
      <c r="L182" s="16">
        <f>IF($J182="","",LEFT($J182,cbb_ikincilUzunluk))</f>
        <v/>
      </c>
      <c r="M182" s="16">
        <f>"B"</f>
        <v/>
      </c>
      <c r="N182" s="16">
        <f>IF($J182="","",IF(COUNTIF(tblAnahtarB[NormB],$J182)&gt;1,"EVET","HAYIR"))</f>
        <v/>
      </c>
      <c r="O182" s="16">
        <f>IF($I182="","",ROW()-ROW($I$5))</f>
        <v/>
      </c>
    </row>
    <row r="183">
      <c r="A183" s="7">
        <f>IF(VERI_A!A183="","",VERI_A!A183)</f>
        <v/>
      </c>
      <c r="B183" s="16">
        <f>UPPER(TRIM(SUBSTITUTE($A183," ","")))</f>
        <v/>
      </c>
      <c r="C183" s="16">
        <f>IF($B183="",0,LEN($B183))</f>
        <v/>
      </c>
      <c r="D183" s="16">
        <f>IF($B183="","",LEFT($B183,cbb_ikincilUzunluk))</f>
        <v/>
      </c>
      <c r="E183" s="16">
        <f>"A"</f>
        <v/>
      </c>
      <c r="F183" s="16">
        <f>IF($B183="","",IF(COUNTIF(tblAnahtarA[Norm],$B183)&gt;1,"EVET","HAYIR"))</f>
        <v/>
      </c>
      <c r="G183" s="16">
        <f>IF($A183="","",ROW()-ROW($A$5))</f>
        <v/>
      </c>
      <c r="I183" s="7">
        <f>IF(VERI_B!A183="","",VERI_B!A183)</f>
        <v/>
      </c>
      <c r="J183" s="16">
        <f>UPPER(TRIM(SUBSTITUTE($I183," ","")))</f>
        <v/>
      </c>
      <c r="K183" s="16">
        <f>IF($J183="",0,LEN($J183))</f>
        <v/>
      </c>
      <c r="L183" s="16">
        <f>IF($J183="","",LEFT($J183,cbb_ikincilUzunluk))</f>
        <v/>
      </c>
      <c r="M183" s="16">
        <f>"B"</f>
        <v/>
      </c>
      <c r="N183" s="16">
        <f>IF($J183="","",IF(COUNTIF(tblAnahtarB[NormB],$J183)&gt;1,"EVET","HAYIR"))</f>
        <v/>
      </c>
      <c r="O183" s="16">
        <f>IF($I183="","",ROW()-ROW($I$5))</f>
        <v/>
      </c>
    </row>
    <row r="184">
      <c r="A184" s="7">
        <f>IF(VERI_A!A184="","",VERI_A!A184)</f>
        <v/>
      </c>
      <c r="B184" s="16">
        <f>UPPER(TRIM(SUBSTITUTE($A184," ","")))</f>
        <v/>
      </c>
      <c r="C184" s="16">
        <f>IF($B184="",0,LEN($B184))</f>
        <v/>
      </c>
      <c r="D184" s="16">
        <f>IF($B184="","",LEFT($B184,cbb_ikincilUzunluk))</f>
        <v/>
      </c>
      <c r="E184" s="16">
        <f>"A"</f>
        <v/>
      </c>
      <c r="F184" s="16">
        <f>IF($B184="","",IF(COUNTIF(tblAnahtarA[Norm],$B184)&gt;1,"EVET","HAYIR"))</f>
        <v/>
      </c>
      <c r="G184" s="16">
        <f>IF($A184="","",ROW()-ROW($A$5))</f>
        <v/>
      </c>
      <c r="I184" s="7">
        <f>IF(VERI_B!A184="","",VERI_B!A184)</f>
        <v/>
      </c>
      <c r="J184" s="16">
        <f>UPPER(TRIM(SUBSTITUTE($I184," ","")))</f>
        <v/>
      </c>
      <c r="K184" s="16">
        <f>IF($J184="",0,LEN($J184))</f>
        <v/>
      </c>
      <c r="L184" s="16">
        <f>IF($J184="","",LEFT($J184,cbb_ikincilUzunluk))</f>
        <v/>
      </c>
      <c r="M184" s="16">
        <f>"B"</f>
        <v/>
      </c>
      <c r="N184" s="16">
        <f>IF($J184="","",IF(COUNTIF(tblAnahtarB[NormB],$J184)&gt;1,"EVET","HAYIR"))</f>
        <v/>
      </c>
      <c r="O184" s="16">
        <f>IF($I184="","",ROW()-ROW($I$5))</f>
        <v/>
      </c>
    </row>
    <row r="185">
      <c r="A185" s="7">
        <f>IF(VERI_A!A185="","",VERI_A!A185)</f>
        <v/>
      </c>
      <c r="B185" s="16">
        <f>UPPER(TRIM(SUBSTITUTE($A185," ","")))</f>
        <v/>
      </c>
      <c r="C185" s="16">
        <f>IF($B185="",0,LEN($B185))</f>
        <v/>
      </c>
      <c r="D185" s="16">
        <f>IF($B185="","",LEFT($B185,cbb_ikincilUzunluk))</f>
        <v/>
      </c>
      <c r="E185" s="16">
        <f>"A"</f>
        <v/>
      </c>
      <c r="F185" s="16">
        <f>IF($B185="","",IF(COUNTIF(tblAnahtarA[Norm],$B185)&gt;1,"EVET","HAYIR"))</f>
        <v/>
      </c>
      <c r="G185" s="16">
        <f>IF($A185="","",ROW()-ROW($A$5))</f>
        <v/>
      </c>
      <c r="I185" s="7">
        <f>IF(VERI_B!A185="","",VERI_B!A185)</f>
        <v/>
      </c>
      <c r="J185" s="16">
        <f>UPPER(TRIM(SUBSTITUTE($I185," ","")))</f>
        <v/>
      </c>
      <c r="K185" s="16">
        <f>IF($J185="",0,LEN($J185))</f>
        <v/>
      </c>
      <c r="L185" s="16">
        <f>IF($J185="","",LEFT($J185,cbb_ikincilUzunluk))</f>
        <v/>
      </c>
      <c r="M185" s="16">
        <f>"B"</f>
        <v/>
      </c>
      <c r="N185" s="16">
        <f>IF($J185="","",IF(COUNTIF(tblAnahtarB[NormB],$J185)&gt;1,"EVET","HAYIR"))</f>
        <v/>
      </c>
      <c r="O185" s="16">
        <f>IF($I185="","",ROW()-ROW($I$5))</f>
        <v/>
      </c>
    </row>
    <row r="186">
      <c r="A186" s="7">
        <f>IF(VERI_A!A186="","",VERI_A!A186)</f>
        <v/>
      </c>
      <c r="B186" s="16">
        <f>UPPER(TRIM(SUBSTITUTE($A186," ","")))</f>
        <v/>
      </c>
      <c r="C186" s="16">
        <f>IF($B186="",0,LEN($B186))</f>
        <v/>
      </c>
      <c r="D186" s="16">
        <f>IF($B186="","",LEFT($B186,cbb_ikincilUzunluk))</f>
        <v/>
      </c>
      <c r="E186" s="16">
        <f>"A"</f>
        <v/>
      </c>
      <c r="F186" s="16">
        <f>IF($B186="","",IF(COUNTIF(tblAnahtarA[Norm],$B186)&gt;1,"EVET","HAYIR"))</f>
        <v/>
      </c>
      <c r="G186" s="16">
        <f>IF($A186="","",ROW()-ROW($A$5))</f>
        <v/>
      </c>
      <c r="I186" s="7">
        <f>IF(VERI_B!A186="","",VERI_B!A186)</f>
        <v/>
      </c>
      <c r="J186" s="16">
        <f>UPPER(TRIM(SUBSTITUTE($I186," ","")))</f>
        <v/>
      </c>
      <c r="K186" s="16">
        <f>IF($J186="",0,LEN($J186))</f>
        <v/>
      </c>
      <c r="L186" s="16">
        <f>IF($J186="","",LEFT($J186,cbb_ikincilUzunluk))</f>
        <v/>
      </c>
      <c r="M186" s="16">
        <f>"B"</f>
        <v/>
      </c>
      <c r="N186" s="16">
        <f>IF($J186="","",IF(COUNTIF(tblAnahtarB[NormB],$J186)&gt;1,"EVET","HAYIR"))</f>
        <v/>
      </c>
      <c r="O186" s="16">
        <f>IF($I186="","",ROW()-ROW($I$5))</f>
        <v/>
      </c>
    </row>
    <row r="187">
      <c r="A187" s="7">
        <f>IF(VERI_A!A187="","",VERI_A!A187)</f>
        <v/>
      </c>
      <c r="B187" s="16">
        <f>UPPER(TRIM(SUBSTITUTE($A187," ","")))</f>
        <v/>
      </c>
      <c r="C187" s="16">
        <f>IF($B187="",0,LEN($B187))</f>
        <v/>
      </c>
      <c r="D187" s="16">
        <f>IF($B187="","",LEFT($B187,cbb_ikincilUzunluk))</f>
        <v/>
      </c>
      <c r="E187" s="16">
        <f>"A"</f>
        <v/>
      </c>
      <c r="F187" s="16">
        <f>IF($B187="","",IF(COUNTIF(tblAnahtarA[Norm],$B187)&gt;1,"EVET","HAYIR"))</f>
        <v/>
      </c>
      <c r="G187" s="16">
        <f>IF($A187="","",ROW()-ROW($A$5))</f>
        <v/>
      </c>
      <c r="I187" s="7">
        <f>IF(VERI_B!A187="","",VERI_B!A187)</f>
        <v/>
      </c>
      <c r="J187" s="16">
        <f>UPPER(TRIM(SUBSTITUTE($I187," ","")))</f>
        <v/>
      </c>
      <c r="K187" s="16">
        <f>IF($J187="",0,LEN($J187))</f>
        <v/>
      </c>
      <c r="L187" s="16">
        <f>IF($J187="","",LEFT($J187,cbb_ikincilUzunluk))</f>
        <v/>
      </c>
      <c r="M187" s="16">
        <f>"B"</f>
        <v/>
      </c>
      <c r="N187" s="16">
        <f>IF($J187="","",IF(COUNTIF(tblAnahtarB[NormB],$J187)&gt;1,"EVET","HAYIR"))</f>
        <v/>
      </c>
      <c r="O187" s="16">
        <f>IF($I187="","",ROW()-ROW($I$5))</f>
        <v/>
      </c>
    </row>
    <row r="188">
      <c r="A188" s="7">
        <f>IF(VERI_A!A188="","",VERI_A!A188)</f>
        <v/>
      </c>
      <c r="B188" s="16">
        <f>UPPER(TRIM(SUBSTITUTE($A188," ","")))</f>
        <v/>
      </c>
      <c r="C188" s="16">
        <f>IF($B188="",0,LEN($B188))</f>
        <v/>
      </c>
      <c r="D188" s="16">
        <f>IF($B188="","",LEFT($B188,cbb_ikincilUzunluk))</f>
        <v/>
      </c>
      <c r="E188" s="16">
        <f>"A"</f>
        <v/>
      </c>
      <c r="F188" s="16">
        <f>IF($B188="","",IF(COUNTIF(tblAnahtarA[Norm],$B188)&gt;1,"EVET","HAYIR"))</f>
        <v/>
      </c>
      <c r="G188" s="16">
        <f>IF($A188="","",ROW()-ROW($A$5))</f>
        <v/>
      </c>
      <c r="I188" s="7">
        <f>IF(VERI_B!A188="","",VERI_B!A188)</f>
        <v/>
      </c>
      <c r="J188" s="16">
        <f>UPPER(TRIM(SUBSTITUTE($I188," ","")))</f>
        <v/>
      </c>
      <c r="K188" s="16">
        <f>IF($J188="",0,LEN($J188))</f>
        <v/>
      </c>
      <c r="L188" s="16">
        <f>IF($J188="","",LEFT($J188,cbb_ikincilUzunluk))</f>
        <v/>
      </c>
      <c r="M188" s="16">
        <f>"B"</f>
        <v/>
      </c>
      <c r="N188" s="16">
        <f>IF($J188="","",IF(COUNTIF(tblAnahtarB[NormB],$J188)&gt;1,"EVET","HAYIR"))</f>
        <v/>
      </c>
      <c r="O188" s="16">
        <f>IF($I188="","",ROW()-ROW($I$5))</f>
        <v/>
      </c>
    </row>
    <row r="189">
      <c r="A189" s="7">
        <f>IF(VERI_A!A189="","",VERI_A!A189)</f>
        <v/>
      </c>
      <c r="B189" s="16">
        <f>UPPER(TRIM(SUBSTITUTE($A189," ","")))</f>
        <v/>
      </c>
      <c r="C189" s="16">
        <f>IF($B189="",0,LEN($B189))</f>
        <v/>
      </c>
      <c r="D189" s="16">
        <f>IF($B189="","",LEFT($B189,cbb_ikincilUzunluk))</f>
        <v/>
      </c>
      <c r="E189" s="16">
        <f>"A"</f>
        <v/>
      </c>
      <c r="F189" s="16">
        <f>IF($B189="","",IF(COUNTIF(tblAnahtarA[Norm],$B189)&gt;1,"EVET","HAYIR"))</f>
        <v/>
      </c>
      <c r="G189" s="16">
        <f>IF($A189="","",ROW()-ROW($A$5))</f>
        <v/>
      </c>
      <c r="I189" s="7">
        <f>IF(VERI_B!A189="","",VERI_B!A189)</f>
        <v/>
      </c>
      <c r="J189" s="16">
        <f>UPPER(TRIM(SUBSTITUTE($I189," ","")))</f>
        <v/>
      </c>
      <c r="K189" s="16">
        <f>IF($J189="",0,LEN($J189))</f>
        <v/>
      </c>
      <c r="L189" s="16">
        <f>IF($J189="","",LEFT($J189,cbb_ikincilUzunluk))</f>
        <v/>
      </c>
      <c r="M189" s="16">
        <f>"B"</f>
        <v/>
      </c>
      <c r="N189" s="16">
        <f>IF($J189="","",IF(COUNTIF(tblAnahtarB[NormB],$J189)&gt;1,"EVET","HAYIR"))</f>
        <v/>
      </c>
      <c r="O189" s="16">
        <f>IF($I189="","",ROW()-ROW($I$5))</f>
        <v/>
      </c>
    </row>
    <row r="190">
      <c r="A190" s="7">
        <f>IF(VERI_A!A190="","",VERI_A!A190)</f>
        <v/>
      </c>
      <c r="B190" s="16">
        <f>UPPER(TRIM(SUBSTITUTE($A190," ","")))</f>
        <v/>
      </c>
      <c r="C190" s="16">
        <f>IF($B190="",0,LEN($B190))</f>
        <v/>
      </c>
      <c r="D190" s="16">
        <f>IF($B190="","",LEFT($B190,cbb_ikincilUzunluk))</f>
        <v/>
      </c>
      <c r="E190" s="16">
        <f>"A"</f>
        <v/>
      </c>
      <c r="F190" s="16">
        <f>IF($B190="","",IF(COUNTIF(tblAnahtarA[Norm],$B190)&gt;1,"EVET","HAYIR"))</f>
        <v/>
      </c>
      <c r="G190" s="16">
        <f>IF($A190="","",ROW()-ROW($A$5))</f>
        <v/>
      </c>
      <c r="I190" s="7">
        <f>IF(VERI_B!A190="","",VERI_B!A190)</f>
        <v/>
      </c>
      <c r="J190" s="16">
        <f>UPPER(TRIM(SUBSTITUTE($I190," ","")))</f>
        <v/>
      </c>
      <c r="K190" s="16">
        <f>IF($J190="",0,LEN($J190))</f>
        <v/>
      </c>
      <c r="L190" s="16">
        <f>IF($J190="","",LEFT($J190,cbb_ikincilUzunluk))</f>
        <v/>
      </c>
      <c r="M190" s="16">
        <f>"B"</f>
        <v/>
      </c>
      <c r="N190" s="16">
        <f>IF($J190="","",IF(COUNTIF(tblAnahtarB[NormB],$J190)&gt;1,"EVET","HAYIR"))</f>
        <v/>
      </c>
      <c r="O190" s="16">
        <f>IF($I190="","",ROW()-ROW($I$5))</f>
        <v/>
      </c>
    </row>
    <row r="191">
      <c r="A191" s="7">
        <f>IF(VERI_A!A191="","",VERI_A!A191)</f>
        <v/>
      </c>
      <c r="B191" s="16">
        <f>UPPER(TRIM(SUBSTITUTE($A191," ","")))</f>
        <v/>
      </c>
      <c r="C191" s="16">
        <f>IF($B191="",0,LEN($B191))</f>
        <v/>
      </c>
      <c r="D191" s="16">
        <f>IF($B191="","",LEFT($B191,cbb_ikincilUzunluk))</f>
        <v/>
      </c>
      <c r="E191" s="16">
        <f>"A"</f>
        <v/>
      </c>
      <c r="F191" s="16">
        <f>IF($B191="","",IF(COUNTIF(tblAnahtarA[Norm],$B191)&gt;1,"EVET","HAYIR"))</f>
        <v/>
      </c>
      <c r="G191" s="16">
        <f>IF($A191="","",ROW()-ROW($A$5))</f>
        <v/>
      </c>
      <c r="I191" s="7">
        <f>IF(VERI_B!A191="","",VERI_B!A191)</f>
        <v/>
      </c>
      <c r="J191" s="16">
        <f>UPPER(TRIM(SUBSTITUTE($I191," ","")))</f>
        <v/>
      </c>
      <c r="K191" s="16">
        <f>IF($J191="",0,LEN($J191))</f>
        <v/>
      </c>
      <c r="L191" s="16">
        <f>IF($J191="","",LEFT($J191,cbb_ikincilUzunluk))</f>
        <v/>
      </c>
      <c r="M191" s="16">
        <f>"B"</f>
        <v/>
      </c>
      <c r="N191" s="16">
        <f>IF($J191="","",IF(COUNTIF(tblAnahtarB[NormB],$J191)&gt;1,"EVET","HAYIR"))</f>
        <v/>
      </c>
      <c r="O191" s="16">
        <f>IF($I191="","",ROW()-ROW($I$5))</f>
        <v/>
      </c>
    </row>
    <row r="192">
      <c r="A192" s="7">
        <f>IF(VERI_A!A192="","",VERI_A!A192)</f>
        <v/>
      </c>
      <c r="B192" s="16">
        <f>UPPER(TRIM(SUBSTITUTE($A192," ","")))</f>
        <v/>
      </c>
      <c r="C192" s="16">
        <f>IF($B192="",0,LEN($B192))</f>
        <v/>
      </c>
      <c r="D192" s="16">
        <f>IF($B192="","",LEFT($B192,cbb_ikincilUzunluk))</f>
        <v/>
      </c>
      <c r="E192" s="16">
        <f>"A"</f>
        <v/>
      </c>
      <c r="F192" s="16">
        <f>IF($B192="","",IF(COUNTIF(tblAnahtarA[Norm],$B192)&gt;1,"EVET","HAYIR"))</f>
        <v/>
      </c>
      <c r="G192" s="16">
        <f>IF($A192="","",ROW()-ROW($A$5))</f>
        <v/>
      </c>
      <c r="I192" s="7">
        <f>IF(VERI_B!A192="","",VERI_B!A192)</f>
        <v/>
      </c>
      <c r="J192" s="16">
        <f>UPPER(TRIM(SUBSTITUTE($I192," ","")))</f>
        <v/>
      </c>
      <c r="K192" s="16">
        <f>IF($J192="",0,LEN($J192))</f>
        <v/>
      </c>
      <c r="L192" s="16">
        <f>IF($J192="","",LEFT($J192,cbb_ikincilUzunluk))</f>
        <v/>
      </c>
      <c r="M192" s="16">
        <f>"B"</f>
        <v/>
      </c>
      <c r="N192" s="16">
        <f>IF($J192="","",IF(COUNTIF(tblAnahtarB[NormB],$J192)&gt;1,"EVET","HAYIR"))</f>
        <v/>
      </c>
      <c r="O192" s="16">
        <f>IF($I192="","",ROW()-ROW($I$5))</f>
        <v/>
      </c>
    </row>
    <row r="193">
      <c r="A193" s="7">
        <f>IF(VERI_A!A193="","",VERI_A!A193)</f>
        <v/>
      </c>
      <c r="B193" s="16">
        <f>UPPER(TRIM(SUBSTITUTE($A193," ","")))</f>
        <v/>
      </c>
      <c r="C193" s="16">
        <f>IF($B193="",0,LEN($B193))</f>
        <v/>
      </c>
      <c r="D193" s="16">
        <f>IF($B193="","",LEFT($B193,cbb_ikincilUzunluk))</f>
        <v/>
      </c>
      <c r="E193" s="16">
        <f>"A"</f>
        <v/>
      </c>
      <c r="F193" s="16">
        <f>IF($B193="","",IF(COUNTIF(tblAnahtarA[Norm],$B193)&gt;1,"EVET","HAYIR"))</f>
        <v/>
      </c>
      <c r="G193" s="16">
        <f>IF($A193="","",ROW()-ROW($A$5))</f>
        <v/>
      </c>
      <c r="I193" s="7">
        <f>IF(VERI_B!A193="","",VERI_B!A193)</f>
        <v/>
      </c>
      <c r="J193" s="16">
        <f>UPPER(TRIM(SUBSTITUTE($I193," ","")))</f>
        <v/>
      </c>
      <c r="K193" s="16">
        <f>IF($J193="",0,LEN($J193))</f>
        <v/>
      </c>
      <c r="L193" s="16">
        <f>IF($J193="","",LEFT($J193,cbb_ikincilUzunluk))</f>
        <v/>
      </c>
      <c r="M193" s="16">
        <f>"B"</f>
        <v/>
      </c>
      <c r="N193" s="16">
        <f>IF($J193="","",IF(COUNTIF(tblAnahtarB[NormB],$J193)&gt;1,"EVET","HAYIR"))</f>
        <v/>
      </c>
      <c r="O193" s="16">
        <f>IF($I193="","",ROW()-ROW($I$5))</f>
        <v/>
      </c>
    </row>
    <row r="194">
      <c r="A194" s="7">
        <f>IF(VERI_A!A194="","",VERI_A!A194)</f>
        <v/>
      </c>
      <c r="B194" s="16">
        <f>UPPER(TRIM(SUBSTITUTE($A194," ","")))</f>
        <v/>
      </c>
      <c r="C194" s="16">
        <f>IF($B194="",0,LEN($B194))</f>
        <v/>
      </c>
      <c r="D194" s="16">
        <f>IF($B194="","",LEFT($B194,cbb_ikincilUzunluk))</f>
        <v/>
      </c>
      <c r="E194" s="16">
        <f>"A"</f>
        <v/>
      </c>
      <c r="F194" s="16">
        <f>IF($B194="","",IF(COUNTIF(tblAnahtarA[Norm],$B194)&gt;1,"EVET","HAYIR"))</f>
        <v/>
      </c>
      <c r="G194" s="16">
        <f>IF($A194="","",ROW()-ROW($A$5))</f>
        <v/>
      </c>
      <c r="I194" s="7">
        <f>IF(VERI_B!A194="","",VERI_B!A194)</f>
        <v/>
      </c>
      <c r="J194" s="16">
        <f>UPPER(TRIM(SUBSTITUTE($I194," ","")))</f>
        <v/>
      </c>
      <c r="K194" s="16">
        <f>IF($J194="",0,LEN($J194))</f>
        <v/>
      </c>
      <c r="L194" s="16">
        <f>IF($J194="","",LEFT($J194,cbb_ikincilUzunluk))</f>
        <v/>
      </c>
      <c r="M194" s="16">
        <f>"B"</f>
        <v/>
      </c>
      <c r="N194" s="16">
        <f>IF($J194="","",IF(COUNTIF(tblAnahtarB[NormB],$J194)&gt;1,"EVET","HAYIR"))</f>
        <v/>
      </c>
      <c r="O194" s="16">
        <f>IF($I194="","",ROW()-ROW($I$5))</f>
        <v/>
      </c>
    </row>
    <row r="195">
      <c r="A195" s="7">
        <f>IF(VERI_A!A195="","",VERI_A!A195)</f>
        <v/>
      </c>
      <c r="B195" s="16">
        <f>UPPER(TRIM(SUBSTITUTE($A195," ","")))</f>
        <v/>
      </c>
      <c r="C195" s="16">
        <f>IF($B195="",0,LEN($B195))</f>
        <v/>
      </c>
      <c r="D195" s="16">
        <f>IF($B195="","",LEFT($B195,cbb_ikincilUzunluk))</f>
        <v/>
      </c>
      <c r="E195" s="16">
        <f>"A"</f>
        <v/>
      </c>
      <c r="F195" s="16">
        <f>IF($B195="","",IF(COUNTIF(tblAnahtarA[Norm],$B195)&gt;1,"EVET","HAYIR"))</f>
        <v/>
      </c>
      <c r="G195" s="16">
        <f>IF($A195="","",ROW()-ROW($A$5))</f>
        <v/>
      </c>
      <c r="I195" s="7">
        <f>IF(VERI_B!A195="","",VERI_B!A195)</f>
        <v/>
      </c>
      <c r="J195" s="16">
        <f>UPPER(TRIM(SUBSTITUTE($I195," ","")))</f>
        <v/>
      </c>
      <c r="K195" s="16">
        <f>IF($J195="",0,LEN($J195))</f>
        <v/>
      </c>
      <c r="L195" s="16">
        <f>IF($J195="","",LEFT($J195,cbb_ikincilUzunluk))</f>
        <v/>
      </c>
      <c r="M195" s="16">
        <f>"B"</f>
        <v/>
      </c>
      <c r="N195" s="16">
        <f>IF($J195="","",IF(COUNTIF(tblAnahtarB[NormB],$J195)&gt;1,"EVET","HAYIR"))</f>
        <v/>
      </c>
      <c r="O195" s="16">
        <f>IF($I195="","",ROW()-ROW($I$5))</f>
        <v/>
      </c>
    </row>
    <row r="196">
      <c r="A196" s="7">
        <f>IF(VERI_A!A196="","",VERI_A!A196)</f>
        <v/>
      </c>
      <c r="B196" s="16">
        <f>UPPER(TRIM(SUBSTITUTE($A196," ","")))</f>
        <v/>
      </c>
      <c r="C196" s="16">
        <f>IF($B196="",0,LEN($B196))</f>
        <v/>
      </c>
      <c r="D196" s="16">
        <f>IF($B196="","",LEFT($B196,cbb_ikincilUzunluk))</f>
        <v/>
      </c>
      <c r="E196" s="16">
        <f>"A"</f>
        <v/>
      </c>
      <c r="F196" s="16">
        <f>IF($B196="","",IF(COUNTIF(tblAnahtarA[Norm],$B196)&gt;1,"EVET","HAYIR"))</f>
        <v/>
      </c>
      <c r="G196" s="16">
        <f>IF($A196="","",ROW()-ROW($A$5))</f>
        <v/>
      </c>
      <c r="I196" s="7">
        <f>IF(VERI_B!A196="","",VERI_B!A196)</f>
        <v/>
      </c>
      <c r="J196" s="16">
        <f>UPPER(TRIM(SUBSTITUTE($I196," ","")))</f>
        <v/>
      </c>
      <c r="K196" s="16">
        <f>IF($J196="",0,LEN($J196))</f>
        <v/>
      </c>
      <c r="L196" s="16">
        <f>IF($J196="","",LEFT($J196,cbb_ikincilUzunluk))</f>
        <v/>
      </c>
      <c r="M196" s="16">
        <f>"B"</f>
        <v/>
      </c>
      <c r="N196" s="16">
        <f>IF($J196="","",IF(COUNTIF(tblAnahtarB[NormB],$J196)&gt;1,"EVET","HAYIR"))</f>
        <v/>
      </c>
      <c r="O196" s="16">
        <f>IF($I196="","",ROW()-ROW($I$5))</f>
        <v/>
      </c>
    </row>
    <row r="197">
      <c r="A197" s="7">
        <f>IF(VERI_A!A197="","",VERI_A!A197)</f>
        <v/>
      </c>
      <c r="B197" s="16">
        <f>UPPER(TRIM(SUBSTITUTE($A197," ","")))</f>
        <v/>
      </c>
      <c r="C197" s="16">
        <f>IF($B197="",0,LEN($B197))</f>
        <v/>
      </c>
      <c r="D197" s="16">
        <f>IF($B197="","",LEFT($B197,cbb_ikincilUzunluk))</f>
        <v/>
      </c>
      <c r="E197" s="16">
        <f>"A"</f>
        <v/>
      </c>
      <c r="F197" s="16">
        <f>IF($B197="","",IF(COUNTIF(tblAnahtarA[Norm],$B197)&gt;1,"EVET","HAYIR"))</f>
        <v/>
      </c>
      <c r="G197" s="16">
        <f>IF($A197="","",ROW()-ROW($A$5))</f>
        <v/>
      </c>
      <c r="I197" s="7">
        <f>IF(VERI_B!A197="","",VERI_B!A197)</f>
        <v/>
      </c>
      <c r="J197" s="16">
        <f>UPPER(TRIM(SUBSTITUTE($I197," ","")))</f>
        <v/>
      </c>
      <c r="K197" s="16">
        <f>IF($J197="",0,LEN($J197))</f>
        <v/>
      </c>
      <c r="L197" s="16">
        <f>IF($J197="","",LEFT($J197,cbb_ikincilUzunluk))</f>
        <v/>
      </c>
      <c r="M197" s="16">
        <f>"B"</f>
        <v/>
      </c>
      <c r="N197" s="16">
        <f>IF($J197="","",IF(COUNTIF(tblAnahtarB[NormB],$J197)&gt;1,"EVET","HAYIR"))</f>
        <v/>
      </c>
      <c r="O197" s="16">
        <f>IF($I197="","",ROW()-ROW($I$5))</f>
        <v/>
      </c>
    </row>
    <row r="198">
      <c r="A198" s="7">
        <f>IF(VERI_A!A198="","",VERI_A!A198)</f>
        <v/>
      </c>
      <c r="B198" s="16">
        <f>UPPER(TRIM(SUBSTITUTE($A198," ","")))</f>
        <v/>
      </c>
      <c r="C198" s="16">
        <f>IF($B198="",0,LEN($B198))</f>
        <v/>
      </c>
      <c r="D198" s="16">
        <f>IF($B198="","",LEFT($B198,cbb_ikincilUzunluk))</f>
        <v/>
      </c>
      <c r="E198" s="16">
        <f>"A"</f>
        <v/>
      </c>
      <c r="F198" s="16">
        <f>IF($B198="","",IF(COUNTIF(tblAnahtarA[Norm],$B198)&gt;1,"EVET","HAYIR"))</f>
        <v/>
      </c>
      <c r="G198" s="16">
        <f>IF($A198="","",ROW()-ROW($A$5))</f>
        <v/>
      </c>
      <c r="I198" s="7">
        <f>IF(VERI_B!A198="","",VERI_B!A198)</f>
        <v/>
      </c>
      <c r="J198" s="16">
        <f>UPPER(TRIM(SUBSTITUTE($I198," ","")))</f>
        <v/>
      </c>
      <c r="K198" s="16">
        <f>IF($J198="",0,LEN($J198))</f>
        <v/>
      </c>
      <c r="L198" s="16">
        <f>IF($J198="","",LEFT($J198,cbb_ikincilUzunluk))</f>
        <v/>
      </c>
      <c r="M198" s="16">
        <f>"B"</f>
        <v/>
      </c>
      <c r="N198" s="16">
        <f>IF($J198="","",IF(COUNTIF(tblAnahtarB[NormB],$J198)&gt;1,"EVET","HAYIR"))</f>
        <v/>
      </c>
      <c r="O198" s="16">
        <f>IF($I198="","",ROW()-ROW($I$5))</f>
        <v/>
      </c>
    </row>
    <row r="199">
      <c r="A199" s="7">
        <f>IF(VERI_A!A199="","",VERI_A!A199)</f>
        <v/>
      </c>
      <c r="B199" s="16">
        <f>UPPER(TRIM(SUBSTITUTE($A199," ","")))</f>
        <v/>
      </c>
      <c r="C199" s="16">
        <f>IF($B199="",0,LEN($B199))</f>
        <v/>
      </c>
      <c r="D199" s="16">
        <f>IF($B199="","",LEFT($B199,cbb_ikincilUzunluk))</f>
        <v/>
      </c>
      <c r="E199" s="16">
        <f>"A"</f>
        <v/>
      </c>
      <c r="F199" s="16">
        <f>IF($B199="","",IF(COUNTIF(tblAnahtarA[Norm],$B199)&gt;1,"EVET","HAYIR"))</f>
        <v/>
      </c>
      <c r="G199" s="16">
        <f>IF($A199="","",ROW()-ROW($A$5))</f>
        <v/>
      </c>
      <c r="I199" s="7">
        <f>IF(VERI_B!A199="","",VERI_B!A199)</f>
        <v/>
      </c>
      <c r="J199" s="16">
        <f>UPPER(TRIM(SUBSTITUTE($I199," ","")))</f>
        <v/>
      </c>
      <c r="K199" s="16">
        <f>IF($J199="",0,LEN($J199))</f>
        <v/>
      </c>
      <c r="L199" s="16">
        <f>IF($J199="","",LEFT($J199,cbb_ikincilUzunluk))</f>
        <v/>
      </c>
      <c r="M199" s="16">
        <f>"B"</f>
        <v/>
      </c>
      <c r="N199" s="16">
        <f>IF($J199="","",IF(COUNTIF(tblAnahtarB[NormB],$J199)&gt;1,"EVET","HAYIR"))</f>
        <v/>
      </c>
      <c r="O199" s="16">
        <f>IF($I199="","",ROW()-ROW($I$5))</f>
        <v/>
      </c>
    </row>
    <row r="200">
      <c r="A200" s="7">
        <f>IF(VERI_A!A200="","",VERI_A!A200)</f>
        <v/>
      </c>
      <c r="B200" s="16">
        <f>UPPER(TRIM(SUBSTITUTE($A200," ","")))</f>
        <v/>
      </c>
      <c r="C200" s="16">
        <f>IF($B200="",0,LEN($B200))</f>
        <v/>
      </c>
      <c r="D200" s="16">
        <f>IF($B200="","",LEFT($B200,cbb_ikincilUzunluk))</f>
        <v/>
      </c>
      <c r="E200" s="16">
        <f>"A"</f>
        <v/>
      </c>
      <c r="F200" s="16">
        <f>IF($B200="","",IF(COUNTIF(tblAnahtarA[Norm],$B200)&gt;1,"EVET","HAYIR"))</f>
        <v/>
      </c>
      <c r="G200" s="16">
        <f>IF($A200="","",ROW()-ROW($A$5))</f>
        <v/>
      </c>
      <c r="I200" s="7">
        <f>IF(VERI_B!A200="","",VERI_B!A200)</f>
        <v/>
      </c>
      <c r="J200" s="16">
        <f>UPPER(TRIM(SUBSTITUTE($I200," ","")))</f>
        <v/>
      </c>
      <c r="K200" s="16">
        <f>IF($J200="",0,LEN($J200))</f>
        <v/>
      </c>
      <c r="L200" s="16">
        <f>IF($J200="","",LEFT($J200,cbb_ikincilUzunluk))</f>
        <v/>
      </c>
      <c r="M200" s="16">
        <f>"B"</f>
        <v/>
      </c>
      <c r="N200" s="16">
        <f>IF($J200="","",IF(COUNTIF(tblAnahtarB[NormB],$J200)&gt;1,"EVET","HAYIR"))</f>
        <v/>
      </c>
      <c r="O200" s="16">
        <f>IF($I200="","",ROW()-ROW($I$5))</f>
        <v/>
      </c>
    </row>
    <row r="201">
      <c r="A201" s="7">
        <f>IF(VERI_A!A201="","",VERI_A!A201)</f>
        <v/>
      </c>
      <c r="B201" s="16">
        <f>UPPER(TRIM(SUBSTITUTE($A201," ","")))</f>
        <v/>
      </c>
      <c r="C201" s="16">
        <f>IF($B201="",0,LEN($B201))</f>
        <v/>
      </c>
      <c r="D201" s="16">
        <f>IF($B201="","",LEFT($B201,cbb_ikincilUzunluk))</f>
        <v/>
      </c>
      <c r="E201" s="16">
        <f>"A"</f>
        <v/>
      </c>
      <c r="F201" s="16">
        <f>IF($B201="","",IF(COUNTIF(tblAnahtarA[Norm],$B201)&gt;1,"EVET","HAYIR"))</f>
        <v/>
      </c>
      <c r="G201" s="16">
        <f>IF($A201="","",ROW()-ROW($A$5))</f>
        <v/>
      </c>
      <c r="I201" s="7">
        <f>IF(VERI_B!A201="","",VERI_B!A201)</f>
        <v/>
      </c>
      <c r="J201" s="16">
        <f>UPPER(TRIM(SUBSTITUTE($I201," ","")))</f>
        <v/>
      </c>
      <c r="K201" s="16">
        <f>IF($J201="",0,LEN($J201))</f>
        <v/>
      </c>
      <c r="L201" s="16">
        <f>IF($J201="","",LEFT($J201,cbb_ikincilUzunluk))</f>
        <v/>
      </c>
      <c r="M201" s="16">
        <f>"B"</f>
        <v/>
      </c>
      <c r="N201" s="16">
        <f>IF($J201="","",IF(COUNTIF(tblAnahtarB[NormB],$J201)&gt;1,"EVET","HAYIR"))</f>
        <v/>
      </c>
      <c r="O201" s="16">
        <f>IF($I201="","",ROW()-ROW($I$5))</f>
        <v/>
      </c>
    </row>
    <row r="202">
      <c r="A202" s="7">
        <f>IF(VERI_A!A202="","",VERI_A!A202)</f>
        <v/>
      </c>
      <c r="B202" s="16">
        <f>UPPER(TRIM(SUBSTITUTE($A202," ","")))</f>
        <v/>
      </c>
      <c r="C202" s="16">
        <f>IF($B202="",0,LEN($B202))</f>
        <v/>
      </c>
      <c r="D202" s="16">
        <f>IF($B202="","",LEFT($B202,cbb_ikincilUzunluk))</f>
        <v/>
      </c>
      <c r="E202" s="16">
        <f>"A"</f>
        <v/>
      </c>
      <c r="F202" s="16">
        <f>IF($B202="","",IF(COUNTIF(tblAnahtarA[Norm],$B202)&gt;1,"EVET","HAYIR"))</f>
        <v/>
      </c>
      <c r="G202" s="16">
        <f>IF($A202="","",ROW()-ROW($A$5))</f>
        <v/>
      </c>
      <c r="I202" s="7">
        <f>IF(VERI_B!A202="","",VERI_B!A202)</f>
        <v/>
      </c>
      <c r="J202" s="16">
        <f>UPPER(TRIM(SUBSTITUTE($I202," ","")))</f>
        <v/>
      </c>
      <c r="K202" s="16">
        <f>IF($J202="",0,LEN($J202))</f>
        <v/>
      </c>
      <c r="L202" s="16">
        <f>IF($J202="","",LEFT($J202,cbb_ikincilUzunluk))</f>
        <v/>
      </c>
      <c r="M202" s="16">
        <f>"B"</f>
        <v/>
      </c>
      <c r="N202" s="16">
        <f>IF($J202="","",IF(COUNTIF(tblAnahtarB[NormB],$J202)&gt;1,"EVET","HAYIR"))</f>
        <v/>
      </c>
      <c r="O202" s="16">
        <f>IF($I202="","",ROW()-ROW($I$5))</f>
        <v/>
      </c>
    </row>
    <row r="203">
      <c r="A203" s="7">
        <f>IF(VERI_A!A203="","",VERI_A!A203)</f>
        <v/>
      </c>
      <c r="B203" s="16">
        <f>UPPER(TRIM(SUBSTITUTE($A203," ","")))</f>
        <v/>
      </c>
      <c r="C203" s="16">
        <f>IF($B203="",0,LEN($B203))</f>
        <v/>
      </c>
      <c r="D203" s="16">
        <f>IF($B203="","",LEFT($B203,cbb_ikincilUzunluk))</f>
        <v/>
      </c>
      <c r="E203" s="16">
        <f>"A"</f>
        <v/>
      </c>
      <c r="F203" s="16">
        <f>IF($B203="","",IF(COUNTIF(tblAnahtarA[Norm],$B203)&gt;1,"EVET","HAYIR"))</f>
        <v/>
      </c>
      <c r="G203" s="16">
        <f>IF($A203="","",ROW()-ROW($A$5))</f>
        <v/>
      </c>
      <c r="I203" s="7">
        <f>IF(VERI_B!A203="","",VERI_B!A203)</f>
        <v/>
      </c>
      <c r="J203" s="16">
        <f>UPPER(TRIM(SUBSTITUTE($I203," ","")))</f>
        <v/>
      </c>
      <c r="K203" s="16">
        <f>IF($J203="",0,LEN($J203))</f>
        <v/>
      </c>
      <c r="L203" s="16">
        <f>IF($J203="","",LEFT($J203,cbb_ikincilUzunluk))</f>
        <v/>
      </c>
      <c r="M203" s="16">
        <f>"B"</f>
        <v/>
      </c>
      <c r="N203" s="16">
        <f>IF($J203="","",IF(COUNTIF(tblAnahtarB[NormB],$J203)&gt;1,"EVET","HAYIR"))</f>
        <v/>
      </c>
      <c r="O203" s="16">
        <f>IF($I203="","",ROW()-ROW($I$5))</f>
        <v/>
      </c>
    </row>
    <row r="204">
      <c r="A204" s="7">
        <f>IF(VERI_A!A204="","",VERI_A!A204)</f>
        <v/>
      </c>
      <c r="B204" s="16">
        <f>UPPER(TRIM(SUBSTITUTE($A204," ","")))</f>
        <v/>
      </c>
      <c r="C204" s="16">
        <f>IF($B204="",0,LEN($B204))</f>
        <v/>
      </c>
      <c r="D204" s="16">
        <f>IF($B204="","",LEFT($B204,cbb_ikincilUzunluk))</f>
        <v/>
      </c>
      <c r="E204" s="16">
        <f>"A"</f>
        <v/>
      </c>
      <c r="F204" s="16">
        <f>IF($B204="","",IF(COUNTIF(tblAnahtarA[Norm],$B204)&gt;1,"EVET","HAYIR"))</f>
        <v/>
      </c>
      <c r="G204" s="16">
        <f>IF($A204="","",ROW()-ROW($A$5))</f>
        <v/>
      </c>
      <c r="I204" s="7">
        <f>IF(VERI_B!A204="","",VERI_B!A204)</f>
        <v/>
      </c>
      <c r="J204" s="16">
        <f>UPPER(TRIM(SUBSTITUTE($I204," ","")))</f>
        <v/>
      </c>
      <c r="K204" s="16">
        <f>IF($J204="",0,LEN($J204))</f>
        <v/>
      </c>
      <c r="L204" s="16">
        <f>IF($J204="","",LEFT($J204,cbb_ikincilUzunluk))</f>
        <v/>
      </c>
      <c r="M204" s="16">
        <f>"B"</f>
        <v/>
      </c>
      <c r="N204" s="16">
        <f>IF($J204="","",IF(COUNTIF(tblAnahtarB[NormB],$J204)&gt;1,"EVET","HAYIR"))</f>
        <v/>
      </c>
      <c r="O204" s="16">
        <f>IF($I204="","",ROW()-ROW($I$5))</f>
        <v/>
      </c>
    </row>
    <row r="205">
      <c r="A205" s="7">
        <f>IF(VERI_A!A205="","",VERI_A!A205)</f>
        <v/>
      </c>
      <c r="B205" s="16">
        <f>UPPER(TRIM(SUBSTITUTE($A205," ","")))</f>
        <v/>
      </c>
      <c r="C205" s="16">
        <f>IF($B205="",0,LEN($B205))</f>
        <v/>
      </c>
      <c r="D205" s="16">
        <f>IF($B205="","",LEFT($B205,cbb_ikincilUzunluk))</f>
        <v/>
      </c>
      <c r="E205" s="16">
        <f>"A"</f>
        <v/>
      </c>
      <c r="F205" s="16">
        <f>IF($B205="","",IF(COUNTIF(tblAnahtarA[Norm],$B205)&gt;1,"EVET","HAYIR"))</f>
        <v/>
      </c>
      <c r="G205" s="16">
        <f>IF($A205="","",ROW()-ROW($A$5))</f>
        <v/>
      </c>
      <c r="I205" s="7">
        <f>IF(VERI_B!A205="","",VERI_B!A205)</f>
        <v/>
      </c>
      <c r="J205" s="16">
        <f>UPPER(TRIM(SUBSTITUTE($I205," ","")))</f>
        <v/>
      </c>
      <c r="K205" s="16">
        <f>IF($J205="",0,LEN($J205))</f>
        <v/>
      </c>
      <c r="L205" s="16">
        <f>IF($J205="","",LEFT($J205,cbb_ikincilUzunluk))</f>
        <v/>
      </c>
      <c r="M205" s="16">
        <f>"B"</f>
        <v/>
      </c>
      <c r="N205" s="16">
        <f>IF($J205="","",IF(COUNTIF(tblAnahtarB[NormB],$J205)&gt;1,"EVET","HAYIR"))</f>
        <v/>
      </c>
      <c r="O205" s="16">
        <f>IF($I205="","",ROW()-ROW($I$5))</f>
        <v/>
      </c>
    </row>
    <row r="206">
      <c r="A206" s="7">
        <f>IF(VERI_A!A206="","",VERI_A!A206)</f>
        <v/>
      </c>
      <c r="B206" s="16">
        <f>UPPER(TRIM(SUBSTITUTE($A206," ","")))</f>
        <v/>
      </c>
      <c r="C206" s="16">
        <f>IF($B206="",0,LEN($B206))</f>
        <v/>
      </c>
      <c r="D206" s="16">
        <f>IF($B206="","",LEFT($B206,cbb_ikincilUzunluk))</f>
        <v/>
      </c>
      <c r="E206" s="16">
        <f>"A"</f>
        <v/>
      </c>
      <c r="F206" s="16">
        <f>IF($B206="","",IF(COUNTIF(tblAnahtarA[Norm],$B206)&gt;1,"EVET","HAYIR"))</f>
        <v/>
      </c>
      <c r="G206" s="16">
        <f>IF($A206="","",ROW()-ROW($A$5))</f>
        <v/>
      </c>
      <c r="I206" s="7">
        <f>IF(VERI_B!A206="","",VERI_B!A206)</f>
        <v/>
      </c>
      <c r="J206" s="16">
        <f>UPPER(TRIM(SUBSTITUTE($I206," ","")))</f>
        <v/>
      </c>
      <c r="K206" s="16">
        <f>IF($J206="",0,LEN($J206))</f>
        <v/>
      </c>
      <c r="L206" s="16">
        <f>IF($J206="","",LEFT($J206,cbb_ikincilUzunluk))</f>
        <v/>
      </c>
      <c r="M206" s="16">
        <f>"B"</f>
        <v/>
      </c>
      <c r="N206" s="16">
        <f>IF($J206="","",IF(COUNTIF(tblAnahtarB[NormB],$J206)&gt;1,"EVET","HAYIR"))</f>
        <v/>
      </c>
      <c r="O206" s="16">
        <f>IF($I206="","",ROW()-ROW($I$5))</f>
        <v/>
      </c>
    </row>
    <row r="207">
      <c r="A207" s="7">
        <f>IF(VERI_A!A207="","",VERI_A!A207)</f>
        <v/>
      </c>
      <c r="B207" s="16">
        <f>UPPER(TRIM(SUBSTITUTE($A207," ","")))</f>
        <v/>
      </c>
      <c r="C207" s="16">
        <f>IF($B207="",0,LEN($B207))</f>
        <v/>
      </c>
      <c r="D207" s="16">
        <f>IF($B207="","",LEFT($B207,cbb_ikincilUzunluk))</f>
        <v/>
      </c>
      <c r="E207" s="16">
        <f>"A"</f>
        <v/>
      </c>
      <c r="F207" s="16">
        <f>IF($B207="","",IF(COUNTIF(tblAnahtarA[Norm],$B207)&gt;1,"EVET","HAYIR"))</f>
        <v/>
      </c>
      <c r="G207" s="16">
        <f>IF($A207="","",ROW()-ROW($A$5))</f>
        <v/>
      </c>
      <c r="I207" s="7">
        <f>IF(VERI_B!A207="","",VERI_B!A207)</f>
        <v/>
      </c>
      <c r="J207" s="16">
        <f>UPPER(TRIM(SUBSTITUTE($I207," ","")))</f>
        <v/>
      </c>
      <c r="K207" s="16">
        <f>IF($J207="",0,LEN($J207))</f>
        <v/>
      </c>
      <c r="L207" s="16">
        <f>IF($J207="","",LEFT($J207,cbb_ikincilUzunluk))</f>
        <v/>
      </c>
      <c r="M207" s="16">
        <f>"B"</f>
        <v/>
      </c>
      <c r="N207" s="16">
        <f>IF($J207="","",IF(COUNTIF(tblAnahtarB[NormB],$J207)&gt;1,"EVET","HAYIR"))</f>
        <v/>
      </c>
      <c r="O207" s="16">
        <f>IF($I207="","",ROW()-ROW($I$5))</f>
        <v/>
      </c>
    </row>
    <row r="208">
      <c r="A208" s="7">
        <f>IF(VERI_A!A208="","",VERI_A!A208)</f>
        <v/>
      </c>
      <c r="B208" s="16">
        <f>UPPER(TRIM(SUBSTITUTE($A208," ","")))</f>
        <v/>
      </c>
      <c r="C208" s="16">
        <f>IF($B208="",0,LEN($B208))</f>
        <v/>
      </c>
      <c r="D208" s="16">
        <f>IF($B208="","",LEFT($B208,cbb_ikincilUzunluk))</f>
        <v/>
      </c>
      <c r="E208" s="16">
        <f>"A"</f>
        <v/>
      </c>
      <c r="F208" s="16">
        <f>IF($B208="","",IF(COUNTIF(tblAnahtarA[Norm],$B208)&gt;1,"EVET","HAYIR"))</f>
        <v/>
      </c>
      <c r="G208" s="16">
        <f>IF($A208="","",ROW()-ROW($A$5))</f>
        <v/>
      </c>
      <c r="I208" s="7">
        <f>IF(VERI_B!A208="","",VERI_B!A208)</f>
        <v/>
      </c>
      <c r="J208" s="16">
        <f>UPPER(TRIM(SUBSTITUTE($I208," ","")))</f>
        <v/>
      </c>
      <c r="K208" s="16">
        <f>IF($J208="",0,LEN($J208))</f>
        <v/>
      </c>
      <c r="L208" s="16">
        <f>IF($J208="","",LEFT($J208,cbb_ikincilUzunluk))</f>
        <v/>
      </c>
      <c r="M208" s="16">
        <f>"B"</f>
        <v/>
      </c>
      <c r="N208" s="16">
        <f>IF($J208="","",IF(COUNTIF(tblAnahtarB[NormB],$J208)&gt;1,"EVET","HAYIR"))</f>
        <v/>
      </c>
      <c r="O208" s="16">
        <f>IF($I208="","",ROW()-ROW($I$5))</f>
        <v/>
      </c>
    </row>
    <row r="209">
      <c r="A209" s="7">
        <f>IF(VERI_A!A209="","",VERI_A!A209)</f>
        <v/>
      </c>
      <c r="B209" s="16">
        <f>UPPER(TRIM(SUBSTITUTE($A209," ","")))</f>
        <v/>
      </c>
      <c r="C209" s="16">
        <f>IF($B209="",0,LEN($B209))</f>
        <v/>
      </c>
      <c r="D209" s="16">
        <f>IF($B209="","",LEFT($B209,cbb_ikincilUzunluk))</f>
        <v/>
      </c>
      <c r="E209" s="16">
        <f>"A"</f>
        <v/>
      </c>
      <c r="F209" s="16">
        <f>IF($B209="","",IF(COUNTIF(tblAnahtarA[Norm],$B209)&gt;1,"EVET","HAYIR"))</f>
        <v/>
      </c>
      <c r="G209" s="16">
        <f>IF($A209="","",ROW()-ROW($A$5))</f>
        <v/>
      </c>
      <c r="I209" s="7">
        <f>IF(VERI_B!A209="","",VERI_B!A209)</f>
        <v/>
      </c>
      <c r="J209" s="16">
        <f>UPPER(TRIM(SUBSTITUTE($I209," ","")))</f>
        <v/>
      </c>
      <c r="K209" s="16">
        <f>IF($J209="",0,LEN($J209))</f>
        <v/>
      </c>
      <c r="L209" s="16">
        <f>IF($J209="","",LEFT($J209,cbb_ikincilUzunluk))</f>
        <v/>
      </c>
      <c r="M209" s="16">
        <f>"B"</f>
        <v/>
      </c>
      <c r="N209" s="16">
        <f>IF($J209="","",IF(COUNTIF(tblAnahtarB[NormB],$J209)&gt;1,"EVET","HAYIR"))</f>
        <v/>
      </c>
      <c r="O209" s="16">
        <f>IF($I209="","",ROW()-ROW($I$5))</f>
        <v/>
      </c>
    </row>
    <row r="210">
      <c r="A210" s="7">
        <f>IF(VERI_A!A210="","",VERI_A!A210)</f>
        <v/>
      </c>
      <c r="B210" s="16">
        <f>UPPER(TRIM(SUBSTITUTE($A210," ","")))</f>
        <v/>
      </c>
      <c r="C210" s="16">
        <f>IF($B210="",0,LEN($B210))</f>
        <v/>
      </c>
      <c r="D210" s="16">
        <f>IF($B210="","",LEFT($B210,cbb_ikincilUzunluk))</f>
        <v/>
      </c>
      <c r="E210" s="16">
        <f>"A"</f>
        <v/>
      </c>
      <c r="F210" s="16">
        <f>IF($B210="","",IF(COUNTIF(tblAnahtarA[Norm],$B210)&gt;1,"EVET","HAYIR"))</f>
        <v/>
      </c>
      <c r="G210" s="16">
        <f>IF($A210="","",ROW()-ROW($A$5))</f>
        <v/>
      </c>
      <c r="I210" s="7">
        <f>IF(VERI_B!A210="","",VERI_B!A210)</f>
        <v/>
      </c>
      <c r="J210" s="16">
        <f>UPPER(TRIM(SUBSTITUTE($I210," ","")))</f>
        <v/>
      </c>
      <c r="K210" s="16">
        <f>IF($J210="",0,LEN($J210))</f>
        <v/>
      </c>
      <c r="L210" s="16">
        <f>IF($J210="","",LEFT($J210,cbb_ikincilUzunluk))</f>
        <v/>
      </c>
      <c r="M210" s="16">
        <f>"B"</f>
        <v/>
      </c>
      <c r="N210" s="16">
        <f>IF($J210="","",IF(COUNTIF(tblAnahtarB[NormB],$J210)&gt;1,"EVET","HAYIR"))</f>
        <v/>
      </c>
      <c r="O210" s="16">
        <f>IF($I210="","",ROW()-ROW($I$5))</f>
        <v/>
      </c>
    </row>
    <row r="211">
      <c r="A211" s="7">
        <f>IF(VERI_A!A211="","",VERI_A!A211)</f>
        <v/>
      </c>
      <c r="B211" s="16">
        <f>UPPER(TRIM(SUBSTITUTE($A211," ","")))</f>
        <v/>
      </c>
      <c r="C211" s="16">
        <f>IF($B211="",0,LEN($B211))</f>
        <v/>
      </c>
      <c r="D211" s="16">
        <f>IF($B211="","",LEFT($B211,cbb_ikincilUzunluk))</f>
        <v/>
      </c>
      <c r="E211" s="16">
        <f>"A"</f>
        <v/>
      </c>
      <c r="F211" s="16">
        <f>IF($B211="","",IF(COUNTIF(tblAnahtarA[Norm],$B211)&gt;1,"EVET","HAYIR"))</f>
        <v/>
      </c>
      <c r="G211" s="16">
        <f>IF($A211="","",ROW()-ROW($A$5))</f>
        <v/>
      </c>
      <c r="I211" s="7">
        <f>IF(VERI_B!A211="","",VERI_B!A211)</f>
        <v/>
      </c>
      <c r="J211" s="16">
        <f>UPPER(TRIM(SUBSTITUTE($I211," ","")))</f>
        <v/>
      </c>
      <c r="K211" s="16">
        <f>IF($J211="",0,LEN($J211))</f>
        <v/>
      </c>
      <c r="L211" s="16">
        <f>IF($J211="","",LEFT($J211,cbb_ikincilUzunluk))</f>
        <v/>
      </c>
      <c r="M211" s="16">
        <f>"B"</f>
        <v/>
      </c>
      <c r="N211" s="16">
        <f>IF($J211="","",IF(COUNTIF(tblAnahtarB[NormB],$J211)&gt;1,"EVET","HAYIR"))</f>
        <v/>
      </c>
      <c r="O211" s="16">
        <f>IF($I211="","",ROW()-ROW($I$5))</f>
        <v/>
      </c>
    </row>
    <row r="212">
      <c r="A212" s="7">
        <f>IF(VERI_A!A212="","",VERI_A!A212)</f>
        <v/>
      </c>
      <c r="B212" s="16">
        <f>UPPER(TRIM(SUBSTITUTE($A212," ","")))</f>
        <v/>
      </c>
      <c r="C212" s="16">
        <f>IF($B212="",0,LEN($B212))</f>
        <v/>
      </c>
      <c r="D212" s="16">
        <f>IF($B212="","",LEFT($B212,cbb_ikincilUzunluk))</f>
        <v/>
      </c>
      <c r="E212" s="16">
        <f>"A"</f>
        <v/>
      </c>
      <c r="F212" s="16">
        <f>IF($B212="","",IF(COUNTIF(tblAnahtarA[Norm],$B212)&gt;1,"EVET","HAYIR"))</f>
        <v/>
      </c>
      <c r="G212" s="16">
        <f>IF($A212="","",ROW()-ROW($A$5))</f>
        <v/>
      </c>
      <c r="I212" s="7">
        <f>IF(VERI_B!A212="","",VERI_B!A212)</f>
        <v/>
      </c>
      <c r="J212" s="16">
        <f>UPPER(TRIM(SUBSTITUTE($I212," ","")))</f>
        <v/>
      </c>
      <c r="K212" s="16">
        <f>IF($J212="",0,LEN($J212))</f>
        <v/>
      </c>
      <c r="L212" s="16">
        <f>IF($J212="","",LEFT($J212,cbb_ikincilUzunluk))</f>
        <v/>
      </c>
      <c r="M212" s="16">
        <f>"B"</f>
        <v/>
      </c>
      <c r="N212" s="16">
        <f>IF($J212="","",IF(COUNTIF(tblAnahtarB[NormB],$J212)&gt;1,"EVET","HAYIR"))</f>
        <v/>
      </c>
      <c r="O212" s="16">
        <f>IF($I212="","",ROW()-ROW($I$5))</f>
        <v/>
      </c>
    </row>
    <row r="213">
      <c r="A213" s="7">
        <f>IF(VERI_A!A213="","",VERI_A!A213)</f>
        <v/>
      </c>
      <c r="B213" s="16">
        <f>UPPER(TRIM(SUBSTITUTE($A213," ","")))</f>
        <v/>
      </c>
      <c r="C213" s="16">
        <f>IF($B213="",0,LEN($B213))</f>
        <v/>
      </c>
      <c r="D213" s="16">
        <f>IF($B213="","",LEFT($B213,cbb_ikincilUzunluk))</f>
        <v/>
      </c>
      <c r="E213" s="16">
        <f>"A"</f>
        <v/>
      </c>
      <c r="F213" s="16">
        <f>IF($B213="","",IF(COUNTIF(tblAnahtarA[Norm],$B213)&gt;1,"EVET","HAYIR"))</f>
        <v/>
      </c>
      <c r="G213" s="16">
        <f>IF($A213="","",ROW()-ROW($A$5))</f>
        <v/>
      </c>
      <c r="I213" s="7">
        <f>IF(VERI_B!A213="","",VERI_B!A213)</f>
        <v/>
      </c>
      <c r="J213" s="16">
        <f>UPPER(TRIM(SUBSTITUTE($I213," ","")))</f>
        <v/>
      </c>
      <c r="K213" s="16">
        <f>IF($J213="",0,LEN($J213))</f>
        <v/>
      </c>
      <c r="L213" s="16">
        <f>IF($J213="","",LEFT($J213,cbb_ikincilUzunluk))</f>
        <v/>
      </c>
      <c r="M213" s="16">
        <f>"B"</f>
        <v/>
      </c>
      <c r="N213" s="16">
        <f>IF($J213="","",IF(COUNTIF(tblAnahtarB[NormB],$J213)&gt;1,"EVET","HAYIR"))</f>
        <v/>
      </c>
      <c r="O213" s="16">
        <f>IF($I213="","",ROW()-ROW($I$5))</f>
        <v/>
      </c>
    </row>
    <row r="214">
      <c r="A214" s="7">
        <f>IF(VERI_A!A214="","",VERI_A!A214)</f>
        <v/>
      </c>
      <c r="B214" s="16">
        <f>UPPER(TRIM(SUBSTITUTE($A214," ","")))</f>
        <v/>
      </c>
      <c r="C214" s="16">
        <f>IF($B214="",0,LEN($B214))</f>
        <v/>
      </c>
      <c r="D214" s="16">
        <f>IF($B214="","",LEFT($B214,cbb_ikincilUzunluk))</f>
        <v/>
      </c>
      <c r="E214" s="16">
        <f>"A"</f>
        <v/>
      </c>
      <c r="F214" s="16">
        <f>IF($B214="","",IF(COUNTIF(tblAnahtarA[Norm],$B214)&gt;1,"EVET","HAYIR"))</f>
        <v/>
      </c>
      <c r="G214" s="16">
        <f>IF($A214="","",ROW()-ROW($A$5))</f>
        <v/>
      </c>
      <c r="I214" s="7">
        <f>IF(VERI_B!A214="","",VERI_B!A214)</f>
        <v/>
      </c>
      <c r="J214" s="16">
        <f>UPPER(TRIM(SUBSTITUTE($I214," ","")))</f>
        <v/>
      </c>
      <c r="K214" s="16">
        <f>IF($J214="",0,LEN($J214))</f>
        <v/>
      </c>
      <c r="L214" s="16">
        <f>IF($J214="","",LEFT($J214,cbb_ikincilUzunluk))</f>
        <v/>
      </c>
      <c r="M214" s="16">
        <f>"B"</f>
        <v/>
      </c>
      <c r="N214" s="16">
        <f>IF($J214="","",IF(COUNTIF(tblAnahtarB[NormB],$J214)&gt;1,"EVET","HAYIR"))</f>
        <v/>
      </c>
      <c r="O214" s="16">
        <f>IF($I214="","",ROW()-ROW($I$5))</f>
        <v/>
      </c>
    </row>
    <row r="215">
      <c r="A215" s="7">
        <f>IF(VERI_A!A215="","",VERI_A!A215)</f>
        <v/>
      </c>
      <c r="B215" s="16">
        <f>UPPER(TRIM(SUBSTITUTE($A215," ","")))</f>
        <v/>
      </c>
      <c r="C215" s="16">
        <f>IF($B215="",0,LEN($B215))</f>
        <v/>
      </c>
      <c r="D215" s="16">
        <f>IF($B215="","",LEFT($B215,cbb_ikincilUzunluk))</f>
        <v/>
      </c>
      <c r="E215" s="16">
        <f>"A"</f>
        <v/>
      </c>
      <c r="F215" s="16">
        <f>IF($B215="","",IF(COUNTIF(tblAnahtarA[Norm],$B215)&gt;1,"EVET","HAYIR"))</f>
        <v/>
      </c>
      <c r="G215" s="16">
        <f>IF($A215="","",ROW()-ROW($A$5))</f>
        <v/>
      </c>
      <c r="I215" s="7">
        <f>IF(VERI_B!A215="","",VERI_B!A215)</f>
        <v/>
      </c>
      <c r="J215" s="16">
        <f>UPPER(TRIM(SUBSTITUTE($I215," ","")))</f>
        <v/>
      </c>
      <c r="K215" s="16">
        <f>IF($J215="",0,LEN($J215))</f>
        <v/>
      </c>
      <c r="L215" s="16">
        <f>IF($J215="","",LEFT($J215,cbb_ikincilUzunluk))</f>
        <v/>
      </c>
      <c r="M215" s="16">
        <f>"B"</f>
        <v/>
      </c>
      <c r="N215" s="16">
        <f>IF($J215="","",IF(COUNTIF(tblAnahtarB[NormB],$J215)&gt;1,"EVET","HAYIR"))</f>
        <v/>
      </c>
      <c r="O215" s="16">
        <f>IF($I215="","",ROW()-ROW($I$5))</f>
        <v/>
      </c>
    </row>
    <row r="216">
      <c r="A216" s="7">
        <f>IF(VERI_A!A216="","",VERI_A!A216)</f>
        <v/>
      </c>
      <c r="B216" s="16">
        <f>UPPER(TRIM(SUBSTITUTE($A216," ","")))</f>
        <v/>
      </c>
      <c r="C216" s="16">
        <f>IF($B216="",0,LEN($B216))</f>
        <v/>
      </c>
      <c r="D216" s="16">
        <f>IF($B216="","",LEFT($B216,cbb_ikincilUzunluk))</f>
        <v/>
      </c>
      <c r="E216" s="16">
        <f>"A"</f>
        <v/>
      </c>
      <c r="F216" s="16">
        <f>IF($B216="","",IF(COUNTIF(tblAnahtarA[Norm],$B216)&gt;1,"EVET","HAYIR"))</f>
        <v/>
      </c>
      <c r="G216" s="16">
        <f>IF($A216="","",ROW()-ROW($A$5))</f>
        <v/>
      </c>
      <c r="I216" s="7">
        <f>IF(VERI_B!A216="","",VERI_B!A216)</f>
        <v/>
      </c>
      <c r="J216" s="16">
        <f>UPPER(TRIM(SUBSTITUTE($I216," ","")))</f>
        <v/>
      </c>
      <c r="K216" s="16">
        <f>IF($J216="",0,LEN($J216))</f>
        <v/>
      </c>
      <c r="L216" s="16">
        <f>IF($J216="","",LEFT($J216,cbb_ikincilUzunluk))</f>
        <v/>
      </c>
      <c r="M216" s="16">
        <f>"B"</f>
        <v/>
      </c>
      <c r="N216" s="16">
        <f>IF($J216="","",IF(COUNTIF(tblAnahtarB[NormB],$J216)&gt;1,"EVET","HAYIR"))</f>
        <v/>
      </c>
      <c r="O216" s="16">
        <f>IF($I216="","",ROW()-ROW($I$5))</f>
        <v/>
      </c>
    </row>
    <row r="217">
      <c r="A217" s="7">
        <f>IF(VERI_A!A217="","",VERI_A!A217)</f>
        <v/>
      </c>
      <c r="B217" s="16">
        <f>UPPER(TRIM(SUBSTITUTE($A217," ","")))</f>
        <v/>
      </c>
      <c r="C217" s="16">
        <f>IF($B217="",0,LEN($B217))</f>
        <v/>
      </c>
      <c r="D217" s="16">
        <f>IF($B217="","",LEFT($B217,cbb_ikincilUzunluk))</f>
        <v/>
      </c>
      <c r="E217" s="16">
        <f>"A"</f>
        <v/>
      </c>
      <c r="F217" s="16">
        <f>IF($B217="","",IF(COUNTIF(tblAnahtarA[Norm],$B217)&gt;1,"EVET","HAYIR"))</f>
        <v/>
      </c>
      <c r="G217" s="16">
        <f>IF($A217="","",ROW()-ROW($A$5))</f>
        <v/>
      </c>
      <c r="I217" s="7">
        <f>IF(VERI_B!A217="","",VERI_B!A217)</f>
        <v/>
      </c>
      <c r="J217" s="16">
        <f>UPPER(TRIM(SUBSTITUTE($I217," ","")))</f>
        <v/>
      </c>
      <c r="K217" s="16">
        <f>IF($J217="",0,LEN($J217))</f>
        <v/>
      </c>
      <c r="L217" s="16">
        <f>IF($J217="","",LEFT($J217,cbb_ikincilUzunluk))</f>
        <v/>
      </c>
      <c r="M217" s="16">
        <f>"B"</f>
        <v/>
      </c>
      <c r="N217" s="16">
        <f>IF($J217="","",IF(COUNTIF(tblAnahtarB[NormB],$J217)&gt;1,"EVET","HAYIR"))</f>
        <v/>
      </c>
      <c r="O217" s="16">
        <f>IF($I217="","",ROW()-ROW($I$5))</f>
        <v/>
      </c>
    </row>
    <row r="218">
      <c r="A218" s="7">
        <f>IF(VERI_A!A218="","",VERI_A!A218)</f>
        <v/>
      </c>
      <c r="B218" s="16">
        <f>UPPER(TRIM(SUBSTITUTE($A218," ","")))</f>
        <v/>
      </c>
      <c r="C218" s="16">
        <f>IF($B218="",0,LEN($B218))</f>
        <v/>
      </c>
      <c r="D218" s="16">
        <f>IF($B218="","",LEFT($B218,cbb_ikincilUzunluk))</f>
        <v/>
      </c>
      <c r="E218" s="16">
        <f>"A"</f>
        <v/>
      </c>
      <c r="F218" s="16">
        <f>IF($B218="","",IF(COUNTIF(tblAnahtarA[Norm],$B218)&gt;1,"EVET","HAYIR"))</f>
        <v/>
      </c>
      <c r="G218" s="16">
        <f>IF($A218="","",ROW()-ROW($A$5))</f>
        <v/>
      </c>
      <c r="I218" s="7">
        <f>IF(VERI_B!A218="","",VERI_B!A218)</f>
        <v/>
      </c>
      <c r="J218" s="16">
        <f>UPPER(TRIM(SUBSTITUTE($I218," ","")))</f>
        <v/>
      </c>
      <c r="K218" s="16">
        <f>IF($J218="",0,LEN($J218))</f>
        <v/>
      </c>
      <c r="L218" s="16">
        <f>IF($J218="","",LEFT($J218,cbb_ikincilUzunluk))</f>
        <v/>
      </c>
      <c r="M218" s="16">
        <f>"B"</f>
        <v/>
      </c>
      <c r="N218" s="16">
        <f>IF($J218="","",IF(COUNTIF(tblAnahtarB[NormB],$J218)&gt;1,"EVET","HAYIR"))</f>
        <v/>
      </c>
      <c r="O218" s="16">
        <f>IF($I218="","",ROW()-ROW($I$5))</f>
        <v/>
      </c>
    </row>
    <row r="219">
      <c r="A219" s="7">
        <f>IF(VERI_A!A219="","",VERI_A!A219)</f>
        <v/>
      </c>
      <c r="B219" s="16">
        <f>UPPER(TRIM(SUBSTITUTE($A219," ","")))</f>
        <v/>
      </c>
      <c r="C219" s="16">
        <f>IF($B219="",0,LEN($B219))</f>
        <v/>
      </c>
      <c r="D219" s="16">
        <f>IF($B219="","",LEFT($B219,cbb_ikincilUzunluk))</f>
        <v/>
      </c>
      <c r="E219" s="16">
        <f>"A"</f>
        <v/>
      </c>
      <c r="F219" s="16">
        <f>IF($B219="","",IF(COUNTIF(tblAnahtarA[Norm],$B219)&gt;1,"EVET","HAYIR"))</f>
        <v/>
      </c>
      <c r="G219" s="16">
        <f>IF($A219="","",ROW()-ROW($A$5))</f>
        <v/>
      </c>
      <c r="I219" s="7">
        <f>IF(VERI_B!A219="","",VERI_B!A219)</f>
        <v/>
      </c>
      <c r="J219" s="16">
        <f>UPPER(TRIM(SUBSTITUTE($I219," ","")))</f>
        <v/>
      </c>
      <c r="K219" s="16">
        <f>IF($J219="",0,LEN($J219))</f>
        <v/>
      </c>
      <c r="L219" s="16">
        <f>IF($J219="","",LEFT($J219,cbb_ikincilUzunluk))</f>
        <v/>
      </c>
      <c r="M219" s="16">
        <f>"B"</f>
        <v/>
      </c>
      <c r="N219" s="16">
        <f>IF($J219="","",IF(COUNTIF(tblAnahtarB[NormB],$J219)&gt;1,"EVET","HAYIR"))</f>
        <v/>
      </c>
      <c r="O219" s="16">
        <f>IF($I219="","",ROW()-ROW($I$5))</f>
        <v/>
      </c>
    </row>
    <row r="220">
      <c r="A220" s="7">
        <f>IF(VERI_A!A220="","",VERI_A!A220)</f>
        <v/>
      </c>
      <c r="B220" s="16">
        <f>UPPER(TRIM(SUBSTITUTE($A220," ","")))</f>
        <v/>
      </c>
      <c r="C220" s="16">
        <f>IF($B220="",0,LEN($B220))</f>
        <v/>
      </c>
      <c r="D220" s="16">
        <f>IF($B220="","",LEFT($B220,cbb_ikincilUzunluk))</f>
        <v/>
      </c>
      <c r="E220" s="16">
        <f>"A"</f>
        <v/>
      </c>
      <c r="F220" s="16">
        <f>IF($B220="","",IF(COUNTIF(tblAnahtarA[Norm],$B220)&gt;1,"EVET","HAYIR"))</f>
        <v/>
      </c>
      <c r="G220" s="16">
        <f>IF($A220="","",ROW()-ROW($A$5))</f>
        <v/>
      </c>
      <c r="I220" s="7">
        <f>IF(VERI_B!A220="","",VERI_B!A220)</f>
        <v/>
      </c>
      <c r="J220" s="16">
        <f>UPPER(TRIM(SUBSTITUTE($I220," ","")))</f>
        <v/>
      </c>
      <c r="K220" s="16">
        <f>IF($J220="",0,LEN($J220))</f>
        <v/>
      </c>
      <c r="L220" s="16">
        <f>IF($J220="","",LEFT($J220,cbb_ikincilUzunluk))</f>
        <v/>
      </c>
      <c r="M220" s="16">
        <f>"B"</f>
        <v/>
      </c>
      <c r="N220" s="16">
        <f>IF($J220="","",IF(COUNTIF(tblAnahtarB[NormB],$J220)&gt;1,"EVET","HAYIR"))</f>
        <v/>
      </c>
      <c r="O220" s="16">
        <f>IF($I220="","",ROW()-ROW($I$5))</f>
        <v/>
      </c>
    </row>
    <row r="221">
      <c r="A221" s="7">
        <f>IF(VERI_A!A221="","",VERI_A!A221)</f>
        <v/>
      </c>
      <c r="B221" s="16">
        <f>UPPER(TRIM(SUBSTITUTE($A221," ","")))</f>
        <v/>
      </c>
      <c r="C221" s="16">
        <f>IF($B221="",0,LEN($B221))</f>
        <v/>
      </c>
      <c r="D221" s="16">
        <f>IF($B221="","",LEFT($B221,cbb_ikincilUzunluk))</f>
        <v/>
      </c>
      <c r="E221" s="16">
        <f>"A"</f>
        <v/>
      </c>
      <c r="F221" s="16">
        <f>IF($B221="","",IF(COUNTIF(tblAnahtarA[Norm],$B221)&gt;1,"EVET","HAYIR"))</f>
        <v/>
      </c>
      <c r="G221" s="16">
        <f>IF($A221="","",ROW()-ROW($A$5))</f>
        <v/>
      </c>
      <c r="I221" s="7">
        <f>IF(VERI_B!A221="","",VERI_B!A221)</f>
        <v/>
      </c>
      <c r="J221" s="16">
        <f>UPPER(TRIM(SUBSTITUTE($I221," ","")))</f>
        <v/>
      </c>
      <c r="K221" s="16">
        <f>IF($J221="",0,LEN($J221))</f>
        <v/>
      </c>
      <c r="L221" s="16">
        <f>IF($J221="","",LEFT($J221,cbb_ikincilUzunluk))</f>
        <v/>
      </c>
      <c r="M221" s="16">
        <f>"B"</f>
        <v/>
      </c>
      <c r="N221" s="16">
        <f>IF($J221="","",IF(COUNTIF(tblAnahtarB[NormB],$J221)&gt;1,"EVET","HAYIR"))</f>
        <v/>
      </c>
      <c r="O221" s="16">
        <f>IF($I221="","",ROW()-ROW($I$5))</f>
        <v/>
      </c>
    </row>
    <row r="222">
      <c r="A222" s="7">
        <f>IF(VERI_A!A222="","",VERI_A!A222)</f>
        <v/>
      </c>
      <c r="B222" s="16">
        <f>UPPER(TRIM(SUBSTITUTE($A222," ","")))</f>
        <v/>
      </c>
      <c r="C222" s="16">
        <f>IF($B222="",0,LEN($B222))</f>
        <v/>
      </c>
      <c r="D222" s="16">
        <f>IF($B222="","",LEFT($B222,cbb_ikincilUzunluk))</f>
        <v/>
      </c>
      <c r="E222" s="16">
        <f>"A"</f>
        <v/>
      </c>
      <c r="F222" s="16">
        <f>IF($B222="","",IF(COUNTIF(tblAnahtarA[Norm],$B222)&gt;1,"EVET","HAYIR"))</f>
        <v/>
      </c>
      <c r="G222" s="16">
        <f>IF($A222="","",ROW()-ROW($A$5))</f>
        <v/>
      </c>
      <c r="I222" s="7">
        <f>IF(VERI_B!A222="","",VERI_B!A222)</f>
        <v/>
      </c>
      <c r="J222" s="16">
        <f>UPPER(TRIM(SUBSTITUTE($I222," ","")))</f>
        <v/>
      </c>
      <c r="K222" s="16">
        <f>IF($J222="",0,LEN($J222))</f>
        <v/>
      </c>
      <c r="L222" s="16">
        <f>IF($J222="","",LEFT($J222,cbb_ikincilUzunluk))</f>
        <v/>
      </c>
      <c r="M222" s="16">
        <f>"B"</f>
        <v/>
      </c>
      <c r="N222" s="16">
        <f>IF($J222="","",IF(COUNTIF(tblAnahtarB[NormB],$J222)&gt;1,"EVET","HAYIR"))</f>
        <v/>
      </c>
      <c r="O222" s="16">
        <f>IF($I222="","",ROW()-ROW($I$5))</f>
        <v/>
      </c>
    </row>
    <row r="223">
      <c r="A223" s="7">
        <f>IF(VERI_A!A223="","",VERI_A!A223)</f>
        <v/>
      </c>
      <c r="B223" s="16">
        <f>UPPER(TRIM(SUBSTITUTE($A223," ","")))</f>
        <v/>
      </c>
      <c r="C223" s="16">
        <f>IF($B223="",0,LEN($B223))</f>
        <v/>
      </c>
      <c r="D223" s="16">
        <f>IF($B223="","",LEFT($B223,cbb_ikincilUzunluk))</f>
        <v/>
      </c>
      <c r="E223" s="16">
        <f>"A"</f>
        <v/>
      </c>
      <c r="F223" s="16">
        <f>IF($B223="","",IF(COUNTIF(tblAnahtarA[Norm],$B223)&gt;1,"EVET","HAYIR"))</f>
        <v/>
      </c>
      <c r="G223" s="16">
        <f>IF($A223="","",ROW()-ROW($A$5))</f>
        <v/>
      </c>
      <c r="I223" s="7">
        <f>IF(VERI_B!A223="","",VERI_B!A223)</f>
        <v/>
      </c>
      <c r="J223" s="16">
        <f>UPPER(TRIM(SUBSTITUTE($I223," ","")))</f>
        <v/>
      </c>
      <c r="K223" s="16">
        <f>IF($J223="",0,LEN($J223))</f>
        <v/>
      </c>
      <c r="L223" s="16">
        <f>IF($J223="","",LEFT($J223,cbb_ikincilUzunluk))</f>
        <v/>
      </c>
      <c r="M223" s="16">
        <f>"B"</f>
        <v/>
      </c>
      <c r="N223" s="16">
        <f>IF($J223="","",IF(COUNTIF(tblAnahtarB[NormB],$J223)&gt;1,"EVET","HAYIR"))</f>
        <v/>
      </c>
      <c r="O223" s="16">
        <f>IF($I223="","",ROW()-ROW($I$5))</f>
        <v/>
      </c>
    </row>
    <row r="224">
      <c r="A224" s="7">
        <f>IF(VERI_A!A224="","",VERI_A!A224)</f>
        <v/>
      </c>
      <c r="B224" s="16">
        <f>UPPER(TRIM(SUBSTITUTE($A224," ","")))</f>
        <v/>
      </c>
      <c r="C224" s="16">
        <f>IF($B224="",0,LEN($B224))</f>
        <v/>
      </c>
      <c r="D224" s="16">
        <f>IF($B224="","",LEFT($B224,cbb_ikincilUzunluk))</f>
        <v/>
      </c>
      <c r="E224" s="16">
        <f>"A"</f>
        <v/>
      </c>
      <c r="F224" s="16">
        <f>IF($B224="","",IF(COUNTIF(tblAnahtarA[Norm],$B224)&gt;1,"EVET","HAYIR"))</f>
        <v/>
      </c>
      <c r="G224" s="16">
        <f>IF($A224="","",ROW()-ROW($A$5))</f>
        <v/>
      </c>
      <c r="I224" s="7">
        <f>IF(VERI_B!A224="","",VERI_B!A224)</f>
        <v/>
      </c>
      <c r="J224" s="16">
        <f>UPPER(TRIM(SUBSTITUTE($I224," ","")))</f>
        <v/>
      </c>
      <c r="K224" s="16">
        <f>IF($J224="",0,LEN($J224))</f>
        <v/>
      </c>
      <c r="L224" s="16">
        <f>IF($J224="","",LEFT($J224,cbb_ikincilUzunluk))</f>
        <v/>
      </c>
      <c r="M224" s="16">
        <f>"B"</f>
        <v/>
      </c>
      <c r="N224" s="16">
        <f>IF($J224="","",IF(COUNTIF(tblAnahtarB[NormB],$J224)&gt;1,"EVET","HAYIR"))</f>
        <v/>
      </c>
      <c r="O224" s="16">
        <f>IF($I224="","",ROW()-ROW($I$5))</f>
        <v/>
      </c>
    </row>
    <row r="225">
      <c r="A225" s="7">
        <f>IF(VERI_A!A225="","",VERI_A!A225)</f>
        <v/>
      </c>
      <c r="B225" s="16">
        <f>UPPER(TRIM(SUBSTITUTE($A225," ","")))</f>
        <v/>
      </c>
      <c r="C225" s="16">
        <f>IF($B225="",0,LEN($B225))</f>
        <v/>
      </c>
      <c r="D225" s="16">
        <f>IF($B225="","",LEFT($B225,cbb_ikincilUzunluk))</f>
        <v/>
      </c>
      <c r="E225" s="16">
        <f>"A"</f>
        <v/>
      </c>
      <c r="F225" s="16">
        <f>IF($B225="","",IF(COUNTIF(tblAnahtarA[Norm],$B225)&gt;1,"EVET","HAYIR"))</f>
        <v/>
      </c>
      <c r="G225" s="16">
        <f>IF($A225="","",ROW()-ROW($A$5))</f>
        <v/>
      </c>
      <c r="I225" s="7">
        <f>IF(VERI_B!A225="","",VERI_B!A225)</f>
        <v/>
      </c>
      <c r="J225" s="16">
        <f>UPPER(TRIM(SUBSTITUTE($I225," ","")))</f>
        <v/>
      </c>
      <c r="K225" s="16">
        <f>IF($J225="",0,LEN($J225))</f>
        <v/>
      </c>
      <c r="L225" s="16">
        <f>IF($J225="","",LEFT($J225,cbb_ikincilUzunluk))</f>
        <v/>
      </c>
      <c r="M225" s="16">
        <f>"B"</f>
        <v/>
      </c>
      <c r="N225" s="16">
        <f>IF($J225="","",IF(COUNTIF(tblAnahtarB[NormB],$J225)&gt;1,"EVET","HAYIR"))</f>
        <v/>
      </c>
      <c r="O225" s="16">
        <f>IF($I225="","",ROW()-ROW($I$5))</f>
        <v/>
      </c>
    </row>
    <row r="226">
      <c r="A226" s="7">
        <f>IF(VERI_A!A226="","",VERI_A!A226)</f>
        <v/>
      </c>
      <c r="B226" s="16">
        <f>UPPER(TRIM(SUBSTITUTE($A226," ","")))</f>
        <v/>
      </c>
      <c r="C226" s="16">
        <f>IF($B226="",0,LEN($B226))</f>
        <v/>
      </c>
      <c r="D226" s="16">
        <f>IF($B226="","",LEFT($B226,cbb_ikincilUzunluk))</f>
        <v/>
      </c>
      <c r="E226" s="16">
        <f>"A"</f>
        <v/>
      </c>
      <c r="F226" s="16">
        <f>IF($B226="","",IF(COUNTIF(tblAnahtarA[Norm],$B226)&gt;1,"EVET","HAYIR"))</f>
        <v/>
      </c>
      <c r="G226" s="16">
        <f>IF($A226="","",ROW()-ROW($A$5))</f>
        <v/>
      </c>
      <c r="I226" s="7">
        <f>IF(VERI_B!A226="","",VERI_B!A226)</f>
        <v/>
      </c>
      <c r="J226" s="16">
        <f>UPPER(TRIM(SUBSTITUTE($I226," ","")))</f>
        <v/>
      </c>
      <c r="K226" s="16">
        <f>IF($J226="",0,LEN($J226))</f>
        <v/>
      </c>
      <c r="L226" s="16">
        <f>IF($J226="","",LEFT($J226,cbb_ikincilUzunluk))</f>
        <v/>
      </c>
      <c r="M226" s="16">
        <f>"B"</f>
        <v/>
      </c>
      <c r="N226" s="16">
        <f>IF($J226="","",IF(COUNTIF(tblAnahtarB[NormB],$J226)&gt;1,"EVET","HAYIR"))</f>
        <v/>
      </c>
      <c r="O226" s="16">
        <f>IF($I226="","",ROW()-ROW($I$5))</f>
        <v/>
      </c>
    </row>
    <row r="227">
      <c r="A227" s="7">
        <f>IF(VERI_A!A227="","",VERI_A!A227)</f>
        <v/>
      </c>
      <c r="B227" s="16">
        <f>UPPER(TRIM(SUBSTITUTE($A227," ","")))</f>
        <v/>
      </c>
      <c r="C227" s="16">
        <f>IF($B227="",0,LEN($B227))</f>
        <v/>
      </c>
      <c r="D227" s="16">
        <f>IF($B227="","",LEFT($B227,cbb_ikincilUzunluk))</f>
        <v/>
      </c>
      <c r="E227" s="16">
        <f>"A"</f>
        <v/>
      </c>
      <c r="F227" s="16">
        <f>IF($B227="","",IF(COUNTIF(tblAnahtarA[Norm],$B227)&gt;1,"EVET","HAYIR"))</f>
        <v/>
      </c>
      <c r="G227" s="16">
        <f>IF($A227="","",ROW()-ROW($A$5))</f>
        <v/>
      </c>
      <c r="I227" s="7">
        <f>IF(VERI_B!A227="","",VERI_B!A227)</f>
        <v/>
      </c>
      <c r="J227" s="16">
        <f>UPPER(TRIM(SUBSTITUTE($I227," ","")))</f>
        <v/>
      </c>
      <c r="K227" s="16">
        <f>IF($J227="",0,LEN($J227))</f>
        <v/>
      </c>
      <c r="L227" s="16">
        <f>IF($J227="","",LEFT($J227,cbb_ikincilUzunluk))</f>
        <v/>
      </c>
      <c r="M227" s="16">
        <f>"B"</f>
        <v/>
      </c>
      <c r="N227" s="16">
        <f>IF($J227="","",IF(COUNTIF(tblAnahtarB[NormB],$J227)&gt;1,"EVET","HAYIR"))</f>
        <v/>
      </c>
      <c r="O227" s="16">
        <f>IF($I227="","",ROW()-ROW($I$5))</f>
        <v/>
      </c>
    </row>
    <row r="228">
      <c r="A228" s="7">
        <f>IF(VERI_A!A228="","",VERI_A!A228)</f>
        <v/>
      </c>
      <c r="B228" s="16">
        <f>UPPER(TRIM(SUBSTITUTE($A228," ","")))</f>
        <v/>
      </c>
      <c r="C228" s="16">
        <f>IF($B228="",0,LEN($B228))</f>
        <v/>
      </c>
      <c r="D228" s="16">
        <f>IF($B228="","",LEFT($B228,cbb_ikincilUzunluk))</f>
        <v/>
      </c>
      <c r="E228" s="16">
        <f>"A"</f>
        <v/>
      </c>
      <c r="F228" s="16">
        <f>IF($B228="","",IF(COUNTIF(tblAnahtarA[Norm],$B228)&gt;1,"EVET","HAYIR"))</f>
        <v/>
      </c>
      <c r="G228" s="16">
        <f>IF($A228="","",ROW()-ROW($A$5))</f>
        <v/>
      </c>
      <c r="I228" s="7">
        <f>IF(VERI_B!A228="","",VERI_B!A228)</f>
        <v/>
      </c>
      <c r="J228" s="16">
        <f>UPPER(TRIM(SUBSTITUTE($I228," ","")))</f>
        <v/>
      </c>
      <c r="K228" s="16">
        <f>IF($J228="",0,LEN($J228))</f>
        <v/>
      </c>
      <c r="L228" s="16">
        <f>IF($J228="","",LEFT($J228,cbb_ikincilUzunluk))</f>
        <v/>
      </c>
      <c r="M228" s="16">
        <f>"B"</f>
        <v/>
      </c>
      <c r="N228" s="16">
        <f>IF($J228="","",IF(COUNTIF(tblAnahtarB[NormB],$J228)&gt;1,"EVET","HAYIR"))</f>
        <v/>
      </c>
      <c r="O228" s="16">
        <f>IF($I228="","",ROW()-ROW($I$5))</f>
        <v/>
      </c>
    </row>
    <row r="229">
      <c r="A229" s="7">
        <f>IF(VERI_A!A229="","",VERI_A!A229)</f>
        <v/>
      </c>
      <c r="B229" s="16">
        <f>UPPER(TRIM(SUBSTITUTE($A229," ","")))</f>
        <v/>
      </c>
      <c r="C229" s="16">
        <f>IF($B229="",0,LEN($B229))</f>
        <v/>
      </c>
      <c r="D229" s="16">
        <f>IF($B229="","",LEFT($B229,cbb_ikincilUzunluk))</f>
        <v/>
      </c>
      <c r="E229" s="16">
        <f>"A"</f>
        <v/>
      </c>
      <c r="F229" s="16">
        <f>IF($B229="","",IF(COUNTIF(tblAnahtarA[Norm],$B229)&gt;1,"EVET","HAYIR"))</f>
        <v/>
      </c>
      <c r="G229" s="16">
        <f>IF($A229="","",ROW()-ROW($A$5))</f>
        <v/>
      </c>
      <c r="I229" s="7">
        <f>IF(VERI_B!A229="","",VERI_B!A229)</f>
        <v/>
      </c>
      <c r="J229" s="16">
        <f>UPPER(TRIM(SUBSTITUTE($I229," ","")))</f>
        <v/>
      </c>
      <c r="K229" s="16">
        <f>IF($J229="",0,LEN($J229))</f>
        <v/>
      </c>
      <c r="L229" s="16">
        <f>IF($J229="","",LEFT($J229,cbb_ikincilUzunluk))</f>
        <v/>
      </c>
      <c r="M229" s="16">
        <f>"B"</f>
        <v/>
      </c>
      <c r="N229" s="16">
        <f>IF($J229="","",IF(COUNTIF(tblAnahtarB[NormB],$J229)&gt;1,"EVET","HAYIR"))</f>
        <v/>
      </c>
      <c r="O229" s="16">
        <f>IF($I229="","",ROW()-ROW($I$5))</f>
        <v/>
      </c>
    </row>
    <row r="230">
      <c r="A230" s="7">
        <f>IF(VERI_A!A230="","",VERI_A!A230)</f>
        <v/>
      </c>
      <c r="B230" s="16">
        <f>UPPER(TRIM(SUBSTITUTE($A230," ","")))</f>
        <v/>
      </c>
      <c r="C230" s="16">
        <f>IF($B230="",0,LEN($B230))</f>
        <v/>
      </c>
      <c r="D230" s="16">
        <f>IF($B230="","",LEFT($B230,cbb_ikincilUzunluk))</f>
        <v/>
      </c>
      <c r="E230" s="16">
        <f>"A"</f>
        <v/>
      </c>
      <c r="F230" s="16">
        <f>IF($B230="","",IF(COUNTIF(tblAnahtarA[Norm],$B230)&gt;1,"EVET","HAYIR"))</f>
        <v/>
      </c>
      <c r="G230" s="16">
        <f>IF($A230="","",ROW()-ROW($A$5))</f>
        <v/>
      </c>
      <c r="I230" s="7">
        <f>IF(VERI_B!A230="","",VERI_B!A230)</f>
        <v/>
      </c>
      <c r="J230" s="16">
        <f>UPPER(TRIM(SUBSTITUTE($I230," ","")))</f>
        <v/>
      </c>
      <c r="K230" s="16">
        <f>IF($J230="",0,LEN($J230))</f>
        <v/>
      </c>
      <c r="L230" s="16">
        <f>IF($J230="","",LEFT($J230,cbb_ikincilUzunluk))</f>
        <v/>
      </c>
      <c r="M230" s="16">
        <f>"B"</f>
        <v/>
      </c>
      <c r="N230" s="16">
        <f>IF($J230="","",IF(COUNTIF(tblAnahtarB[NormB],$J230)&gt;1,"EVET","HAYIR"))</f>
        <v/>
      </c>
      <c r="O230" s="16">
        <f>IF($I230="","",ROW()-ROW($I$5))</f>
        <v/>
      </c>
    </row>
    <row r="231">
      <c r="A231" s="7">
        <f>IF(VERI_A!A231="","",VERI_A!A231)</f>
        <v/>
      </c>
      <c r="B231" s="16">
        <f>UPPER(TRIM(SUBSTITUTE($A231," ","")))</f>
        <v/>
      </c>
      <c r="C231" s="16">
        <f>IF($B231="",0,LEN($B231))</f>
        <v/>
      </c>
      <c r="D231" s="16">
        <f>IF($B231="","",LEFT($B231,cbb_ikincilUzunluk))</f>
        <v/>
      </c>
      <c r="E231" s="16">
        <f>"A"</f>
        <v/>
      </c>
      <c r="F231" s="16">
        <f>IF($B231="","",IF(COUNTIF(tblAnahtarA[Norm],$B231)&gt;1,"EVET","HAYIR"))</f>
        <v/>
      </c>
      <c r="G231" s="16">
        <f>IF($A231="","",ROW()-ROW($A$5))</f>
        <v/>
      </c>
      <c r="I231" s="7">
        <f>IF(VERI_B!A231="","",VERI_B!A231)</f>
        <v/>
      </c>
      <c r="J231" s="16">
        <f>UPPER(TRIM(SUBSTITUTE($I231," ","")))</f>
        <v/>
      </c>
      <c r="K231" s="16">
        <f>IF($J231="",0,LEN($J231))</f>
        <v/>
      </c>
      <c r="L231" s="16">
        <f>IF($J231="","",LEFT($J231,cbb_ikincilUzunluk))</f>
        <v/>
      </c>
      <c r="M231" s="16">
        <f>"B"</f>
        <v/>
      </c>
      <c r="N231" s="16">
        <f>IF($J231="","",IF(COUNTIF(tblAnahtarB[NormB],$J231)&gt;1,"EVET","HAYIR"))</f>
        <v/>
      </c>
      <c r="O231" s="16">
        <f>IF($I231="","",ROW()-ROW($I$5))</f>
        <v/>
      </c>
    </row>
    <row r="232">
      <c r="A232" s="7">
        <f>IF(VERI_A!A232="","",VERI_A!A232)</f>
        <v/>
      </c>
      <c r="B232" s="16">
        <f>UPPER(TRIM(SUBSTITUTE($A232," ","")))</f>
        <v/>
      </c>
      <c r="C232" s="16">
        <f>IF($B232="",0,LEN($B232))</f>
        <v/>
      </c>
      <c r="D232" s="16">
        <f>IF($B232="","",LEFT($B232,cbb_ikincilUzunluk))</f>
        <v/>
      </c>
      <c r="E232" s="16">
        <f>"A"</f>
        <v/>
      </c>
      <c r="F232" s="16">
        <f>IF($B232="","",IF(COUNTIF(tblAnahtarA[Norm],$B232)&gt;1,"EVET","HAYIR"))</f>
        <v/>
      </c>
      <c r="G232" s="16">
        <f>IF($A232="","",ROW()-ROW($A$5))</f>
        <v/>
      </c>
      <c r="I232" s="7">
        <f>IF(VERI_B!A232="","",VERI_B!A232)</f>
        <v/>
      </c>
      <c r="J232" s="16">
        <f>UPPER(TRIM(SUBSTITUTE($I232," ","")))</f>
        <v/>
      </c>
      <c r="K232" s="16">
        <f>IF($J232="",0,LEN($J232))</f>
        <v/>
      </c>
      <c r="L232" s="16">
        <f>IF($J232="","",LEFT($J232,cbb_ikincilUzunluk))</f>
        <v/>
      </c>
      <c r="M232" s="16">
        <f>"B"</f>
        <v/>
      </c>
      <c r="N232" s="16">
        <f>IF($J232="","",IF(COUNTIF(tblAnahtarB[NormB],$J232)&gt;1,"EVET","HAYIR"))</f>
        <v/>
      </c>
      <c r="O232" s="16">
        <f>IF($I232="","",ROW()-ROW($I$5))</f>
        <v/>
      </c>
    </row>
    <row r="233">
      <c r="A233" s="7">
        <f>IF(VERI_A!A233="","",VERI_A!A233)</f>
        <v/>
      </c>
      <c r="B233" s="16">
        <f>UPPER(TRIM(SUBSTITUTE($A233," ","")))</f>
        <v/>
      </c>
      <c r="C233" s="16">
        <f>IF($B233="",0,LEN($B233))</f>
        <v/>
      </c>
      <c r="D233" s="16">
        <f>IF($B233="","",LEFT($B233,cbb_ikincilUzunluk))</f>
        <v/>
      </c>
      <c r="E233" s="16">
        <f>"A"</f>
        <v/>
      </c>
      <c r="F233" s="16">
        <f>IF($B233="","",IF(COUNTIF(tblAnahtarA[Norm],$B233)&gt;1,"EVET","HAYIR"))</f>
        <v/>
      </c>
      <c r="G233" s="16">
        <f>IF($A233="","",ROW()-ROW($A$5))</f>
        <v/>
      </c>
      <c r="I233" s="7">
        <f>IF(VERI_B!A233="","",VERI_B!A233)</f>
        <v/>
      </c>
      <c r="J233" s="16">
        <f>UPPER(TRIM(SUBSTITUTE($I233," ","")))</f>
        <v/>
      </c>
      <c r="K233" s="16">
        <f>IF($J233="",0,LEN($J233))</f>
        <v/>
      </c>
      <c r="L233" s="16">
        <f>IF($J233="","",LEFT($J233,cbb_ikincilUzunluk))</f>
        <v/>
      </c>
      <c r="M233" s="16">
        <f>"B"</f>
        <v/>
      </c>
      <c r="N233" s="16">
        <f>IF($J233="","",IF(COUNTIF(tblAnahtarB[NormB],$J233)&gt;1,"EVET","HAYIR"))</f>
        <v/>
      </c>
      <c r="O233" s="16">
        <f>IF($I233="","",ROW()-ROW($I$5))</f>
        <v/>
      </c>
    </row>
    <row r="234">
      <c r="A234" s="7">
        <f>IF(VERI_A!A234="","",VERI_A!A234)</f>
        <v/>
      </c>
      <c r="B234" s="16">
        <f>UPPER(TRIM(SUBSTITUTE($A234," ","")))</f>
        <v/>
      </c>
      <c r="C234" s="16">
        <f>IF($B234="",0,LEN($B234))</f>
        <v/>
      </c>
      <c r="D234" s="16">
        <f>IF($B234="","",LEFT($B234,cbb_ikincilUzunluk))</f>
        <v/>
      </c>
      <c r="E234" s="16">
        <f>"A"</f>
        <v/>
      </c>
      <c r="F234" s="16">
        <f>IF($B234="","",IF(COUNTIF(tblAnahtarA[Norm],$B234)&gt;1,"EVET","HAYIR"))</f>
        <v/>
      </c>
      <c r="G234" s="16">
        <f>IF($A234="","",ROW()-ROW($A$5))</f>
        <v/>
      </c>
      <c r="I234" s="7">
        <f>IF(VERI_B!A234="","",VERI_B!A234)</f>
        <v/>
      </c>
      <c r="J234" s="16">
        <f>UPPER(TRIM(SUBSTITUTE($I234," ","")))</f>
        <v/>
      </c>
      <c r="K234" s="16">
        <f>IF($J234="",0,LEN($J234))</f>
        <v/>
      </c>
      <c r="L234" s="16">
        <f>IF($J234="","",LEFT($J234,cbb_ikincilUzunluk))</f>
        <v/>
      </c>
      <c r="M234" s="16">
        <f>"B"</f>
        <v/>
      </c>
      <c r="N234" s="16">
        <f>IF($J234="","",IF(COUNTIF(tblAnahtarB[NormB],$J234)&gt;1,"EVET","HAYIR"))</f>
        <v/>
      </c>
      <c r="O234" s="16">
        <f>IF($I234="","",ROW()-ROW($I$5))</f>
        <v/>
      </c>
    </row>
    <row r="235">
      <c r="A235" s="7">
        <f>IF(VERI_A!A235="","",VERI_A!A235)</f>
        <v/>
      </c>
      <c r="B235" s="16">
        <f>UPPER(TRIM(SUBSTITUTE($A235," ","")))</f>
        <v/>
      </c>
      <c r="C235" s="16">
        <f>IF($B235="",0,LEN($B235))</f>
        <v/>
      </c>
      <c r="D235" s="16">
        <f>IF($B235="","",LEFT($B235,cbb_ikincilUzunluk))</f>
        <v/>
      </c>
      <c r="E235" s="16">
        <f>"A"</f>
        <v/>
      </c>
      <c r="F235" s="16">
        <f>IF($B235="","",IF(COUNTIF(tblAnahtarA[Norm],$B235)&gt;1,"EVET","HAYIR"))</f>
        <v/>
      </c>
      <c r="G235" s="16">
        <f>IF($A235="","",ROW()-ROW($A$5))</f>
        <v/>
      </c>
      <c r="I235" s="7">
        <f>IF(VERI_B!A235="","",VERI_B!A235)</f>
        <v/>
      </c>
      <c r="J235" s="16">
        <f>UPPER(TRIM(SUBSTITUTE($I235," ","")))</f>
        <v/>
      </c>
      <c r="K235" s="16">
        <f>IF($J235="",0,LEN($J235))</f>
        <v/>
      </c>
      <c r="L235" s="16">
        <f>IF($J235="","",LEFT($J235,cbb_ikincilUzunluk))</f>
        <v/>
      </c>
      <c r="M235" s="16">
        <f>"B"</f>
        <v/>
      </c>
      <c r="N235" s="16">
        <f>IF($J235="","",IF(COUNTIF(tblAnahtarB[NormB],$J235)&gt;1,"EVET","HAYIR"))</f>
        <v/>
      </c>
      <c r="O235" s="16">
        <f>IF($I235="","",ROW()-ROW($I$5))</f>
        <v/>
      </c>
    </row>
    <row r="236">
      <c r="A236" s="7">
        <f>IF(VERI_A!A236="","",VERI_A!A236)</f>
        <v/>
      </c>
      <c r="B236" s="16">
        <f>UPPER(TRIM(SUBSTITUTE($A236," ","")))</f>
        <v/>
      </c>
      <c r="C236" s="16">
        <f>IF($B236="",0,LEN($B236))</f>
        <v/>
      </c>
      <c r="D236" s="16">
        <f>IF($B236="","",LEFT($B236,cbb_ikincilUzunluk))</f>
        <v/>
      </c>
      <c r="E236" s="16">
        <f>"A"</f>
        <v/>
      </c>
      <c r="F236" s="16">
        <f>IF($B236="","",IF(COUNTIF(tblAnahtarA[Norm],$B236)&gt;1,"EVET","HAYIR"))</f>
        <v/>
      </c>
      <c r="G236" s="16">
        <f>IF($A236="","",ROW()-ROW($A$5))</f>
        <v/>
      </c>
      <c r="I236" s="7">
        <f>IF(VERI_B!A236="","",VERI_B!A236)</f>
        <v/>
      </c>
      <c r="J236" s="16">
        <f>UPPER(TRIM(SUBSTITUTE($I236," ","")))</f>
        <v/>
      </c>
      <c r="K236" s="16">
        <f>IF($J236="",0,LEN($J236))</f>
        <v/>
      </c>
      <c r="L236" s="16">
        <f>IF($J236="","",LEFT($J236,cbb_ikincilUzunluk))</f>
        <v/>
      </c>
      <c r="M236" s="16">
        <f>"B"</f>
        <v/>
      </c>
      <c r="N236" s="16">
        <f>IF($J236="","",IF(COUNTIF(tblAnahtarB[NormB],$J236)&gt;1,"EVET","HAYIR"))</f>
        <v/>
      </c>
      <c r="O236" s="16">
        <f>IF($I236="","",ROW()-ROW($I$5))</f>
        <v/>
      </c>
    </row>
    <row r="237">
      <c r="A237" s="7">
        <f>IF(VERI_A!A237="","",VERI_A!A237)</f>
        <v/>
      </c>
      <c r="B237" s="16">
        <f>UPPER(TRIM(SUBSTITUTE($A237," ","")))</f>
        <v/>
      </c>
      <c r="C237" s="16">
        <f>IF($B237="",0,LEN($B237))</f>
        <v/>
      </c>
      <c r="D237" s="16">
        <f>IF($B237="","",LEFT($B237,cbb_ikincilUzunluk))</f>
        <v/>
      </c>
      <c r="E237" s="16">
        <f>"A"</f>
        <v/>
      </c>
      <c r="F237" s="16">
        <f>IF($B237="","",IF(COUNTIF(tblAnahtarA[Norm],$B237)&gt;1,"EVET","HAYIR"))</f>
        <v/>
      </c>
      <c r="G237" s="16">
        <f>IF($A237="","",ROW()-ROW($A$5))</f>
        <v/>
      </c>
      <c r="I237" s="7">
        <f>IF(VERI_B!A237="","",VERI_B!A237)</f>
        <v/>
      </c>
      <c r="J237" s="16">
        <f>UPPER(TRIM(SUBSTITUTE($I237," ","")))</f>
        <v/>
      </c>
      <c r="K237" s="16">
        <f>IF($J237="",0,LEN($J237))</f>
        <v/>
      </c>
      <c r="L237" s="16">
        <f>IF($J237="","",LEFT($J237,cbb_ikincilUzunluk))</f>
        <v/>
      </c>
      <c r="M237" s="16">
        <f>"B"</f>
        <v/>
      </c>
      <c r="N237" s="16">
        <f>IF($J237="","",IF(COUNTIF(tblAnahtarB[NormB],$J237)&gt;1,"EVET","HAYIR"))</f>
        <v/>
      </c>
      <c r="O237" s="16">
        <f>IF($I237="","",ROW()-ROW($I$5))</f>
        <v/>
      </c>
    </row>
    <row r="238">
      <c r="A238" s="7">
        <f>IF(VERI_A!A238="","",VERI_A!A238)</f>
        <v/>
      </c>
      <c r="B238" s="16">
        <f>UPPER(TRIM(SUBSTITUTE($A238," ","")))</f>
        <v/>
      </c>
      <c r="C238" s="16">
        <f>IF($B238="",0,LEN($B238))</f>
        <v/>
      </c>
      <c r="D238" s="16">
        <f>IF($B238="","",LEFT($B238,cbb_ikincilUzunluk))</f>
        <v/>
      </c>
      <c r="E238" s="16">
        <f>"A"</f>
        <v/>
      </c>
      <c r="F238" s="16">
        <f>IF($B238="","",IF(COUNTIF(tblAnahtarA[Norm],$B238)&gt;1,"EVET","HAYIR"))</f>
        <v/>
      </c>
      <c r="G238" s="16">
        <f>IF($A238="","",ROW()-ROW($A$5))</f>
        <v/>
      </c>
      <c r="I238" s="7">
        <f>IF(VERI_B!A238="","",VERI_B!A238)</f>
        <v/>
      </c>
      <c r="J238" s="16">
        <f>UPPER(TRIM(SUBSTITUTE($I238," ","")))</f>
        <v/>
      </c>
      <c r="K238" s="16">
        <f>IF($J238="",0,LEN($J238))</f>
        <v/>
      </c>
      <c r="L238" s="16">
        <f>IF($J238="","",LEFT($J238,cbb_ikincilUzunluk))</f>
        <v/>
      </c>
      <c r="M238" s="16">
        <f>"B"</f>
        <v/>
      </c>
      <c r="N238" s="16">
        <f>IF($J238="","",IF(COUNTIF(tblAnahtarB[NormB],$J238)&gt;1,"EVET","HAYIR"))</f>
        <v/>
      </c>
      <c r="O238" s="16">
        <f>IF($I238="","",ROW()-ROW($I$5))</f>
        <v/>
      </c>
    </row>
    <row r="239">
      <c r="A239" s="7">
        <f>IF(VERI_A!A239="","",VERI_A!A239)</f>
        <v/>
      </c>
      <c r="B239" s="16">
        <f>UPPER(TRIM(SUBSTITUTE($A239," ","")))</f>
        <v/>
      </c>
      <c r="C239" s="16">
        <f>IF($B239="",0,LEN($B239))</f>
        <v/>
      </c>
      <c r="D239" s="16">
        <f>IF($B239="","",LEFT($B239,cbb_ikincilUzunluk))</f>
        <v/>
      </c>
      <c r="E239" s="16">
        <f>"A"</f>
        <v/>
      </c>
      <c r="F239" s="16">
        <f>IF($B239="","",IF(COUNTIF(tblAnahtarA[Norm],$B239)&gt;1,"EVET","HAYIR"))</f>
        <v/>
      </c>
      <c r="G239" s="16">
        <f>IF($A239="","",ROW()-ROW($A$5))</f>
        <v/>
      </c>
      <c r="I239" s="7">
        <f>IF(VERI_B!A239="","",VERI_B!A239)</f>
        <v/>
      </c>
      <c r="J239" s="16">
        <f>UPPER(TRIM(SUBSTITUTE($I239," ","")))</f>
        <v/>
      </c>
      <c r="K239" s="16">
        <f>IF($J239="",0,LEN($J239))</f>
        <v/>
      </c>
      <c r="L239" s="16">
        <f>IF($J239="","",LEFT($J239,cbb_ikincilUzunluk))</f>
        <v/>
      </c>
      <c r="M239" s="16">
        <f>"B"</f>
        <v/>
      </c>
      <c r="N239" s="16">
        <f>IF($J239="","",IF(COUNTIF(tblAnahtarB[NormB],$J239)&gt;1,"EVET","HAYIR"))</f>
        <v/>
      </c>
      <c r="O239" s="16">
        <f>IF($I239="","",ROW()-ROW($I$5))</f>
        <v/>
      </c>
    </row>
    <row r="240">
      <c r="A240" s="7">
        <f>IF(VERI_A!A240="","",VERI_A!A240)</f>
        <v/>
      </c>
      <c r="B240" s="16">
        <f>UPPER(TRIM(SUBSTITUTE($A240," ","")))</f>
        <v/>
      </c>
      <c r="C240" s="16">
        <f>IF($B240="",0,LEN($B240))</f>
        <v/>
      </c>
      <c r="D240" s="16">
        <f>IF($B240="","",LEFT($B240,cbb_ikincilUzunluk))</f>
        <v/>
      </c>
      <c r="E240" s="16">
        <f>"A"</f>
        <v/>
      </c>
      <c r="F240" s="16">
        <f>IF($B240="","",IF(COUNTIF(tblAnahtarA[Norm],$B240)&gt;1,"EVET","HAYIR"))</f>
        <v/>
      </c>
      <c r="G240" s="16">
        <f>IF($A240="","",ROW()-ROW($A$5))</f>
        <v/>
      </c>
      <c r="I240" s="7">
        <f>IF(VERI_B!A240="","",VERI_B!A240)</f>
        <v/>
      </c>
      <c r="J240" s="16">
        <f>UPPER(TRIM(SUBSTITUTE($I240," ","")))</f>
        <v/>
      </c>
      <c r="K240" s="16">
        <f>IF($J240="",0,LEN($J240))</f>
        <v/>
      </c>
      <c r="L240" s="16">
        <f>IF($J240="","",LEFT($J240,cbb_ikincilUzunluk))</f>
        <v/>
      </c>
      <c r="M240" s="16">
        <f>"B"</f>
        <v/>
      </c>
      <c r="N240" s="16">
        <f>IF($J240="","",IF(COUNTIF(tblAnahtarB[NormB],$J240)&gt;1,"EVET","HAYIR"))</f>
        <v/>
      </c>
      <c r="O240" s="16">
        <f>IF($I240="","",ROW()-ROW($I$5))</f>
        <v/>
      </c>
    </row>
    <row r="241">
      <c r="A241" s="7">
        <f>IF(VERI_A!A241="","",VERI_A!A241)</f>
        <v/>
      </c>
      <c r="B241" s="16">
        <f>UPPER(TRIM(SUBSTITUTE($A241," ","")))</f>
        <v/>
      </c>
      <c r="C241" s="16">
        <f>IF($B241="",0,LEN($B241))</f>
        <v/>
      </c>
      <c r="D241" s="16">
        <f>IF($B241="","",LEFT($B241,cbb_ikincilUzunluk))</f>
        <v/>
      </c>
      <c r="E241" s="16">
        <f>"A"</f>
        <v/>
      </c>
      <c r="F241" s="16">
        <f>IF($B241="","",IF(COUNTIF(tblAnahtarA[Norm],$B241)&gt;1,"EVET","HAYIR"))</f>
        <v/>
      </c>
      <c r="G241" s="16">
        <f>IF($A241="","",ROW()-ROW($A$5))</f>
        <v/>
      </c>
      <c r="I241" s="7">
        <f>IF(VERI_B!A241="","",VERI_B!A241)</f>
        <v/>
      </c>
      <c r="J241" s="16">
        <f>UPPER(TRIM(SUBSTITUTE($I241," ","")))</f>
        <v/>
      </c>
      <c r="K241" s="16">
        <f>IF($J241="",0,LEN($J241))</f>
        <v/>
      </c>
      <c r="L241" s="16">
        <f>IF($J241="","",LEFT($J241,cbb_ikincilUzunluk))</f>
        <v/>
      </c>
      <c r="M241" s="16">
        <f>"B"</f>
        <v/>
      </c>
      <c r="N241" s="16">
        <f>IF($J241="","",IF(COUNTIF(tblAnahtarB[NormB],$J241)&gt;1,"EVET","HAYIR"))</f>
        <v/>
      </c>
      <c r="O241" s="16">
        <f>IF($I241="","",ROW()-ROW($I$5))</f>
        <v/>
      </c>
    </row>
    <row r="242">
      <c r="A242" s="7">
        <f>IF(VERI_A!A242="","",VERI_A!A242)</f>
        <v/>
      </c>
      <c r="B242" s="16">
        <f>UPPER(TRIM(SUBSTITUTE($A242," ","")))</f>
        <v/>
      </c>
      <c r="C242" s="16">
        <f>IF($B242="",0,LEN($B242))</f>
        <v/>
      </c>
      <c r="D242" s="16">
        <f>IF($B242="","",LEFT($B242,cbb_ikincilUzunluk))</f>
        <v/>
      </c>
      <c r="E242" s="16">
        <f>"A"</f>
        <v/>
      </c>
      <c r="F242" s="16">
        <f>IF($B242="","",IF(COUNTIF(tblAnahtarA[Norm],$B242)&gt;1,"EVET","HAYIR"))</f>
        <v/>
      </c>
      <c r="G242" s="16">
        <f>IF($A242="","",ROW()-ROW($A$5))</f>
        <v/>
      </c>
      <c r="I242" s="7">
        <f>IF(VERI_B!A242="","",VERI_B!A242)</f>
        <v/>
      </c>
      <c r="J242" s="16">
        <f>UPPER(TRIM(SUBSTITUTE($I242," ","")))</f>
        <v/>
      </c>
      <c r="K242" s="16">
        <f>IF($J242="",0,LEN($J242))</f>
        <v/>
      </c>
      <c r="L242" s="16">
        <f>IF($J242="","",LEFT($J242,cbb_ikincilUzunluk))</f>
        <v/>
      </c>
      <c r="M242" s="16">
        <f>"B"</f>
        <v/>
      </c>
      <c r="N242" s="16">
        <f>IF($J242="","",IF(COUNTIF(tblAnahtarB[NormB],$J242)&gt;1,"EVET","HAYIR"))</f>
        <v/>
      </c>
      <c r="O242" s="16">
        <f>IF($I242="","",ROW()-ROW($I$5))</f>
        <v/>
      </c>
    </row>
    <row r="243">
      <c r="A243" s="7">
        <f>IF(VERI_A!A243="","",VERI_A!A243)</f>
        <v/>
      </c>
      <c r="B243" s="16">
        <f>UPPER(TRIM(SUBSTITUTE($A243," ","")))</f>
        <v/>
      </c>
      <c r="C243" s="16">
        <f>IF($B243="",0,LEN($B243))</f>
        <v/>
      </c>
      <c r="D243" s="16">
        <f>IF($B243="","",LEFT($B243,cbb_ikincilUzunluk))</f>
        <v/>
      </c>
      <c r="E243" s="16">
        <f>"A"</f>
        <v/>
      </c>
      <c r="F243" s="16">
        <f>IF($B243="","",IF(COUNTIF(tblAnahtarA[Norm],$B243)&gt;1,"EVET","HAYIR"))</f>
        <v/>
      </c>
      <c r="G243" s="16">
        <f>IF($A243="","",ROW()-ROW($A$5))</f>
        <v/>
      </c>
      <c r="I243" s="7">
        <f>IF(VERI_B!A243="","",VERI_B!A243)</f>
        <v/>
      </c>
      <c r="J243" s="16">
        <f>UPPER(TRIM(SUBSTITUTE($I243," ","")))</f>
        <v/>
      </c>
      <c r="K243" s="16">
        <f>IF($J243="",0,LEN($J243))</f>
        <v/>
      </c>
      <c r="L243" s="16">
        <f>IF($J243="","",LEFT($J243,cbb_ikincilUzunluk))</f>
        <v/>
      </c>
      <c r="M243" s="16">
        <f>"B"</f>
        <v/>
      </c>
      <c r="N243" s="16">
        <f>IF($J243="","",IF(COUNTIF(tblAnahtarB[NormB],$J243)&gt;1,"EVET","HAYIR"))</f>
        <v/>
      </c>
      <c r="O243" s="16">
        <f>IF($I243="","",ROW()-ROW($I$5))</f>
        <v/>
      </c>
    </row>
    <row r="244">
      <c r="A244" s="7">
        <f>IF(VERI_A!A244="","",VERI_A!A244)</f>
        <v/>
      </c>
      <c r="B244" s="16">
        <f>UPPER(TRIM(SUBSTITUTE($A244," ","")))</f>
        <v/>
      </c>
      <c r="C244" s="16">
        <f>IF($B244="",0,LEN($B244))</f>
        <v/>
      </c>
      <c r="D244" s="16">
        <f>IF($B244="","",LEFT($B244,cbb_ikincilUzunluk))</f>
        <v/>
      </c>
      <c r="E244" s="16">
        <f>"A"</f>
        <v/>
      </c>
      <c r="F244" s="16">
        <f>IF($B244="","",IF(COUNTIF(tblAnahtarA[Norm],$B244)&gt;1,"EVET","HAYIR"))</f>
        <v/>
      </c>
      <c r="G244" s="16">
        <f>IF($A244="","",ROW()-ROW($A$5))</f>
        <v/>
      </c>
      <c r="I244" s="7">
        <f>IF(VERI_B!A244="","",VERI_B!A244)</f>
        <v/>
      </c>
      <c r="J244" s="16">
        <f>UPPER(TRIM(SUBSTITUTE($I244," ","")))</f>
        <v/>
      </c>
      <c r="K244" s="16">
        <f>IF($J244="",0,LEN($J244))</f>
        <v/>
      </c>
      <c r="L244" s="16">
        <f>IF($J244="","",LEFT($J244,cbb_ikincilUzunluk))</f>
        <v/>
      </c>
      <c r="M244" s="16">
        <f>"B"</f>
        <v/>
      </c>
      <c r="N244" s="16">
        <f>IF($J244="","",IF(COUNTIF(tblAnahtarB[NormB],$J244)&gt;1,"EVET","HAYIR"))</f>
        <v/>
      </c>
      <c r="O244" s="16">
        <f>IF($I244="","",ROW()-ROW($I$5))</f>
        <v/>
      </c>
    </row>
    <row r="245">
      <c r="A245" s="7">
        <f>IF(VERI_A!A245="","",VERI_A!A245)</f>
        <v/>
      </c>
      <c r="B245" s="16">
        <f>UPPER(TRIM(SUBSTITUTE($A245," ","")))</f>
        <v/>
      </c>
      <c r="C245" s="16">
        <f>IF($B245="",0,LEN($B245))</f>
        <v/>
      </c>
      <c r="D245" s="16">
        <f>IF($B245="","",LEFT($B245,cbb_ikincilUzunluk))</f>
        <v/>
      </c>
      <c r="E245" s="16">
        <f>"A"</f>
        <v/>
      </c>
      <c r="F245" s="16">
        <f>IF($B245="","",IF(COUNTIF(tblAnahtarA[Norm],$B245)&gt;1,"EVET","HAYIR"))</f>
        <v/>
      </c>
      <c r="G245" s="16">
        <f>IF($A245="","",ROW()-ROW($A$5))</f>
        <v/>
      </c>
      <c r="I245" s="7">
        <f>IF(VERI_B!A245="","",VERI_B!A245)</f>
        <v/>
      </c>
      <c r="J245" s="16">
        <f>UPPER(TRIM(SUBSTITUTE($I245," ","")))</f>
        <v/>
      </c>
      <c r="K245" s="16">
        <f>IF($J245="",0,LEN($J245))</f>
        <v/>
      </c>
      <c r="L245" s="16">
        <f>IF($J245="","",LEFT($J245,cbb_ikincilUzunluk))</f>
        <v/>
      </c>
      <c r="M245" s="16">
        <f>"B"</f>
        <v/>
      </c>
      <c r="N245" s="16">
        <f>IF($J245="","",IF(COUNTIF(tblAnahtarB[NormB],$J245)&gt;1,"EVET","HAYIR"))</f>
        <v/>
      </c>
      <c r="O245" s="16">
        <f>IF($I245="","",ROW()-ROW($I$5))</f>
        <v/>
      </c>
    </row>
    <row r="246">
      <c r="A246" s="7">
        <f>IF(VERI_A!A246="","",VERI_A!A246)</f>
        <v/>
      </c>
      <c r="B246" s="16">
        <f>UPPER(TRIM(SUBSTITUTE($A246," ","")))</f>
        <v/>
      </c>
      <c r="C246" s="16">
        <f>IF($B246="",0,LEN($B246))</f>
        <v/>
      </c>
      <c r="D246" s="16">
        <f>IF($B246="","",LEFT($B246,cbb_ikincilUzunluk))</f>
        <v/>
      </c>
      <c r="E246" s="16">
        <f>"A"</f>
        <v/>
      </c>
      <c r="F246" s="16">
        <f>IF($B246="","",IF(COUNTIF(tblAnahtarA[Norm],$B246)&gt;1,"EVET","HAYIR"))</f>
        <v/>
      </c>
      <c r="G246" s="16">
        <f>IF($A246="","",ROW()-ROW($A$5))</f>
        <v/>
      </c>
      <c r="I246" s="7">
        <f>IF(VERI_B!A246="","",VERI_B!A246)</f>
        <v/>
      </c>
      <c r="J246" s="16">
        <f>UPPER(TRIM(SUBSTITUTE($I246," ","")))</f>
        <v/>
      </c>
      <c r="K246" s="16">
        <f>IF($J246="",0,LEN($J246))</f>
        <v/>
      </c>
      <c r="L246" s="16">
        <f>IF($J246="","",LEFT($J246,cbb_ikincilUzunluk))</f>
        <v/>
      </c>
      <c r="M246" s="16">
        <f>"B"</f>
        <v/>
      </c>
      <c r="N246" s="16">
        <f>IF($J246="","",IF(COUNTIF(tblAnahtarB[NormB],$J246)&gt;1,"EVET","HAYIR"))</f>
        <v/>
      </c>
      <c r="O246" s="16">
        <f>IF($I246="","",ROW()-ROW($I$5))</f>
        <v/>
      </c>
    </row>
    <row r="247">
      <c r="A247" s="7">
        <f>IF(VERI_A!A247="","",VERI_A!A247)</f>
        <v/>
      </c>
      <c r="B247" s="16">
        <f>UPPER(TRIM(SUBSTITUTE($A247," ","")))</f>
        <v/>
      </c>
      <c r="C247" s="16">
        <f>IF($B247="",0,LEN($B247))</f>
        <v/>
      </c>
      <c r="D247" s="16">
        <f>IF($B247="","",LEFT($B247,cbb_ikincilUzunluk))</f>
        <v/>
      </c>
      <c r="E247" s="16">
        <f>"A"</f>
        <v/>
      </c>
      <c r="F247" s="16">
        <f>IF($B247="","",IF(COUNTIF(tblAnahtarA[Norm],$B247)&gt;1,"EVET","HAYIR"))</f>
        <v/>
      </c>
      <c r="G247" s="16">
        <f>IF($A247="","",ROW()-ROW($A$5))</f>
        <v/>
      </c>
      <c r="I247" s="7">
        <f>IF(VERI_B!A247="","",VERI_B!A247)</f>
        <v/>
      </c>
      <c r="J247" s="16">
        <f>UPPER(TRIM(SUBSTITUTE($I247," ","")))</f>
        <v/>
      </c>
      <c r="K247" s="16">
        <f>IF($J247="",0,LEN($J247))</f>
        <v/>
      </c>
      <c r="L247" s="16">
        <f>IF($J247="","",LEFT($J247,cbb_ikincilUzunluk))</f>
        <v/>
      </c>
      <c r="M247" s="16">
        <f>"B"</f>
        <v/>
      </c>
      <c r="N247" s="16">
        <f>IF($J247="","",IF(COUNTIF(tblAnahtarB[NormB],$J247)&gt;1,"EVET","HAYIR"))</f>
        <v/>
      </c>
      <c r="O247" s="16">
        <f>IF($I247="","",ROW()-ROW($I$5))</f>
        <v/>
      </c>
    </row>
    <row r="248">
      <c r="A248" s="7">
        <f>IF(VERI_A!A248="","",VERI_A!A248)</f>
        <v/>
      </c>
      <c r="B248" s="16">
        <f>UPPER(TRIM(SUBSTITUTE($A248," ","")))</f>
        <v/>
      </c>
      <c r="C248" s="16">
        <f>IF($B248="",0,LEN($B248))</f>
        <v/>
      </c>
      <c r="D248" s="16">
        <f>IF($B248="","",LEFT($B248,cbb_ikincilUzunluk))</f>
        <v/>
      </c>
      <c r="E248" s="16">
        <f>"A"</f>
        <v/>
      </c>
      <c r="F248" s="16">
        <f>IF($B248="","",IF(COUNTIF(tblAnahtarA[Norm],$B248)&gt;1,"EVET","HAYIR"))</f>
        <v/>
      </c>
      <c r="G248" s="16">
        <f>IF($A248="","",ROW()-ROW($A$5))</f>
        <v/>
      </c>
      <c r="I248" s="7">
        <f>IF(VERI_B!A248="","",VERI_B!A248)</f>
        <v/>
      </c>
      <c r="J248" s="16">
        <f>UPPER(TRIM(SUBSTITUTE($I248," ","")))</f>
        <v/>
      </c>
      <c r="K248" s="16">
        <f>IF($J248="",0,LEN($J248))</f>
        <v/>
      </c>
      <c r="L248" s="16">
        <f>IF($J248="","",LEFT($J248,cbb_ikincilUzunluk))</f>
        <v/>
      </c>
      <c r="M248" s="16">
        <f>"B"</f>
        <v/>
      </c>
      <c r="N248" s="16">
        <f>IF($J248="","",IF(COUNTIF(tblAnahtarB[NormB],$J248)&gt;1,"EVET","HAYIR"))</f>
        <v/>
      </c>
      <c r="O248" s="16">
        <f>IF($I248="","",ROW()-ROW($I$5))</f>
        <v/>
      </c>
    </row>
    <row r="249">
      <c r="A249" s="7">
        <f>IF(VERI_A!A249="","",VERI_A!A249)</f>
        <v/>
      </c>
      <c r="B249" s="16">
        <f>UPPER(TRIM(SUBSTITUTE($A249," ","")))</f>
        <v/>
      </c>
      <c r="C249" s="16">
        <f>IF($B249="",0,LEN($B249))</f>
        <v/>
      </c>
      <c r="D249" s="16">
        <f>IF($B249="","",LEFT($B249,cbb_ikincilUzunluk))</f>
        <v/>
      </c>
      <c r="E249" s="16">
        <f>"A"</f>
        <v/>
      </c>
      <c r="F249" s="16">
        <f>IF($B249="","",IF(COUNTIF(tblAnahtarA[Norm],$B249)&gt;1,"EVET","HAYIR"))</f>
        <v/>
      </c>
      <c r="G249" s="16">
        <f>IF($A249="","",ROW()-ROW($A$5))</f>
        <v/>
      </c>
      <c r="I249" s="7">
        <f>IF(VERI_B!A249="","",VERI_B!A249)</f>
        <v/>
      </c>
      <c r="J249" s="16">
        <f>UPPER(TRIM(SUBSTITUTE($I249," ","")))</f>
        <v/>
      </c>
      <c r="K249" s="16">
        <f>IF($J249="",0,LEN($J249))</f>
        <v/>
      </c>
      <c r="L249" s="16">
        <f>IF($J249="","",LEFT($J249,cbb_ikincilUzunluk))</f>
        <v/>
      </c>
      <c r="M249" s="16">
        <f>"B"</f>
        <v/>
      </c>
      <c r="N249" s="16">
        <f>IF($J249="","",IF(COUNTIF(tblAnahtarB[NormB],$J249)&gt;1,"EVET","HAYIR"))</f>
        <v/>
      </c>
      <c r="O249" s="16">
        <f>IF($I249="","",ROW()-ROW($I$5))</f>
        <v/>
      </c>
    </row>
    <row r="250">
      <c r="A250" s="7">
        <f>IF(VERI_A!A250="","",VERI_A!A250)</f>
        <v/>
      </c>
      <c r="B250" s="16">
        <f>UPPER(TRIM(SUBSTITUTE($A250," ","")))</f>
        <v/>
      </c>
      <c r="C250" s="16">
        <f>IF($B250="",0,LEN($B250))</f>
        <v/>
      </c>
      <c r="D250" s="16">
        <f>IF($B250="","",LEFT($B250,cbb_ikincilUzunluk))</f>
        <v/>
      </c>
      <c r="E250" s="16">
        <f>"A"</f>
        <v/>
      </c>
      <c r="F250" s="16">
        <f>IF($B250="","",IF(COUNTIF(tblAnahtarA[Norm],$B250)&gt;1,"EVET","HAYIR"))</f>
        <v/>
      </c>
      <c r="G250" s="16">
        <f>IF($A250="","",ROW()-ROW($A$5))</f>
        <v/>
      </c>
      <c r="I250" s="7">
        <f>IF(VERI_B!A250="","",VERI_B!A250)</f>
        <v/>
      </c>
      <c r="J250" s="16">
        <f>UPPER(TRIM(SUBSTITUTE($I250," ","")))</f>
        <v/>
      </c>
      <c r="K250" s="16">
        <f>IF($J250="",0,LEN($J250))</f>
        <v/>
      </c>
      <c r="L250" s="16">
        <f>IF($J250="","",LEFT($J250,cbb_ikincilUzunluk))</f>
        <v/>
      </c>
      <c r="M250" s="16">
        <f>"B"</f>
        <v/>
      </c>
      <c r="N250" s="16">
        <f>IF($J250="","",IF(COUNTIF(tblAnahtarB[NormB],$J250)&gt;1,"EVET","HAYIR"))</f>
        <v/>
      </c>
      <c r="O250" s="16">
        <f>IF($I250="","",ROW()-ROW($I$5))</f>
        <v/>
      </c>
    </row>
    <row r="251">
      <c r="A251" s="7">
        <f>IF(VERI_A!A251="","",VERI_A!A251)</f>
        <v/>
      </c>
      <c r="B251" s="16">
        <f>UPPER(TRIM(SUBSTITUTE($A251," ","")))</f>
        <v/>
      </c>
      <c r="C251" s="16">
        <f>IF($B251="",0,LEN($B251))</f>
        <v/>
      </c>
      <c r="D251" s="16">
        <f>IF($B251="","",LEFT($B251,cbb_ikincilUzunluk))</f>
        <v/>
      </c>
      <c r="E251" s="16">
        <f>"A"</f>
        <v/>
      </c>
      <c r="F251" s="16">
        <f>IF($B251="","",IF(COUNTIF(tblAnahtarA[Norm],$B251)&gt;1,"EVET","HAYIR"))</f>
        <v/>
      </c>
      <c r="G251" s="16">
        <f>IF($A251="","",ROW()-ROW($A$5))</f>
        <v/>
      </c>
      <c r="I251" s="7">
        <f>IF(VERI_B!A251="","",VERI_B!A251)</f>
        <v/>
      </c>
      <c r="J251" s="16">
        <f>UPPER(TRIM(SUBSTITUTE($I251," ","")))</f>
        <v/>
      </c>
      <c r="K251" s="16">
        <f>IF($J251="",0,LEN($J251))</f>
        <v/>
      </c>
      <c r="L251" s="16">
        <f>IF($J251="","",LEFT($J251,cbb_ikincilUzunluk))</f>
        <v/>
      </c>
      <c r="M251" s="16">
        <f>"B"</f>
        <v/>
      </c>
      <c r="N251" s="16">
        <f>IF($J251="","",IF(COUNTIF(tblAnahtarB[NormB],$J251)&gt;1,"EVET","HAYIR"))</f>
        <v/>
      </c>
      <c r="O251" s="16">
        <f>IF($I251="","",ROW()-ROW($I$5))</f>
        <v/>
      </c>
    </row>
    <row r="252">
      <c r="A252" s="7">
        <f>IF(VERI_A!A252="","",VERI_A!A252)</f>
        <v/>
      </c>
      <c r="B252" s="16">
        <f>UPPER(TRIM(SUBSTITUTE($A252," ","")))</f>
        <v/>
      </c>
      <c r="C252" s="16">
        <f>IF($B252="",0,LEN($B252))</f>
        <v/>
      </c>
      <c r="D252" s="16">
        <f>IF($B252="","",LEFT($B252,cbb_ikincilUzunluk))</f>
        <v/>
      </c>
      <c r="E252" s="16">
        <f>"A"</f>
        <v/>
      </c>
      <c r="F252" s="16">
        <f>IF($B252="","",IF(COUNTIF(tblAnahtarA[Norm],$B252)&gt;1,"EVET","HAYIR"))</f>
        <v/>
      </c>
      <c r="G252" s="16">
        <f>IF($A252="","",ROW()-ROW($A$5))</f>
        <v/>
      </c>
      <c r="I252" s="7">
        <f>IF(VERI_B!A252="","",VERI_B!A252)</f>
        <v/>
      </c>
      <c r="J252" s="16">
        <f>UPPER(TRIM(SUBSTITUTE($I252," ","")))</f>
        <v/>
      </c>
      <c r="K252" s="16">
        <f>IF($J252="",0,LEN($J252))</f>
        <v/>
      </c>
      <c r="L252" s="16">
        <f>IF($J252="","",LEFT($J252,cbb_ikincilUzunluk))</f>
        <v/>
      </c>
      <c r="M252" s="16">
        <f>"B"</f>
        <v/>
      </c>
      <c r="N252" s="16">
        <f>IF($J252="","",IF(COUNTIF(tblAnahtarB[NormB],$J252)&gt;1,"EVET","HAYIR"))</f>
        <v/>
      </c>
      <c r="O252" s="16">
        <f>IF($I252="","",ROW()-ROW($I$5))</f>
        <v/>
      </c>
    </row>
    <row r="253">
      <c r="A253" s="7">
        <f>IF(VERI_A!A253="","",VERI_A!A253)</f>
        <v/>
      </c>
      <c r="B253" s="16">
        <f>UPPER(TRIM(SUBSTITUTE($A253," ","")))</f>
        <v/>
      </c>
      <c r="C253" s="16">
        <f>IF($B253="",0,LEN($B253))</f>
        <v/>
      </c>
      <c r="D253" s="16">
        <f>IF($B253="","",LEFT($B253,cbb_ikincilUzunluk))</f>
        <v/>
      </c>
      <c r="E253" s="16">
        <f>"A"</f>
        <v/>
      </c>
      <c r="F253" s="16">
        <f>IF($B253="","",IF(COUNTIF(tblAnahtarA[Norm],$B253)&gt;1,"EVET","HAYIR"))</f>
        <v/>
      </c>
      <c r="G253" s="16">
        <f>IF($A253="","",ROW()-ROW($A$5))</f>
        <v/>
      </c>
      <c r="I253" s="7">
        <f>IF(VERI_B!A253="","",VERI_B!A253)</f>
        <v/>
      </c>
      <c r="J253" s="16">
        <f>UPPER(TRIM(SUBSTITUTE($I253," ","")))</f>
        <v/>
      </c>
      <c r="K253" s="16">
        <f>IF($J253="",0,LEN($J253))</f>
        <v/>
      </c>
      <c r="L253" s="16">
        <f>IF($J253="","",LEFT($J253,cbb_ikincilUzunluk))</f>
        <v/>
      </c>
      <c r="M253" s="16">
        <f>"B"</f>
        <v/>
      </c>
      <c r="N253" s="16">
        <f>IF($J253="","",IF(COUNTIF(tblAnahtarB[NormB],$J253)&gt;1,"EVET","HAYIR"))</f>
        <v/>
      </c>
      <c r="O253" s="16">
        <f>IF($I253="","",ROW()-ROW($I$5))</f>
        <v/>
      </c>
    </row>
    <row r="254">
      <c r="A254" s="7">
        <f>IF(VERI_A!A254="","",VERI_A!A254)</f>
        <v/>
      </c>
      <c r="B254" s="16">
        <f>UPPER(TRIM(SUBSTITUTE($A254," ","")))</f>
        <v/>
      </c>
      <c r="C254" s="16">
        <f>IF($B254="",0,LEN($B254))</f>
        <v/>
      </c>
      <c r="D254" s="16">
        <f>IF($B254="","",LEFT($B254,cbb_ikincilUzunluk))</f>
        <v/>
      </c>
      <c r="E254" s="16">
        <f>"A"</f>
        <v/>
      </c>
      <c r="F254" s="16">
        <f>IF($B254="","",IF(COUNTIF(tblAnahtarA[Norm],$B254)&gt;1,"EVET","HAYIR"))</f>
        <v/>
      </c>
      <c r="G254" s="16">
        <f>IF($A254="","",ROW()-ROW($A$5))</f>
        <v/>
      </c>
      <c r="I254" s="7">
        <f>IF(VERI_B!A254="","",VERI_B!A254)</f>
        <v/>
      </c>
      <c r="J254" s="16">
        <f>UPPER(TRIM(SUBSTITUTE($I254," ","")))</f>
        <v/>
      </c>
      <c r="K254" s="16">
        <f>IF($J254="",0,LEN($J254))</f>
        <v/>
      </c>
      <c r="L254" s="16">
        <f>IF($J254="","",LEFT($J254,cbb_ikincilUzunluk))</f>
        <v/>
      </c>
      <c r="M254" s="16">
        <f>"B"</f>
        <v/>
      </c>
      <c r="N254" s="16">
        <f>IF($J254="","",IF(COUNTIF(tblAnahtarB[NormB],$J254)&gt;1,"EVET","HAYIR"))</f>
        <v/>
      </c>
      <c r="O254" s="16">
        <f>IF($I254="","",ROW()-ROW($I$5))</f>
        <v/>
      </c>
    </row>
    <row r="255">
      <c r="A255" s="7">
        <f>IF(VERI_A!A255="","",VERI_A!A255)</f>
        <v/>
      </c>
      <c r="B255" s="16">
        <f>UPPER(TRIM(SUBSTITUTE($A255," ","")))</f>
        <v/>
      </c>
      <c r="C255" s="16">
        <f>IF($B255="",0,LEN($B255))</f>
        <v/>
      </c>
      <c r="D255" s="16">
        <f>IF($B255="","",LEFT($B255,cbb_ikincilUzunluk))</f>
        <v/>
      </c>
      <c r="E255" s="16">
        <f>"A"</f>
        <v/>
      </c>
      <c r="F255" s="16">
        <f>IF($B255="","",IF(COUNTIF(tblAnahtarA[Norm],$B255)&gt;1,"EVET","HAYIR"))</f>
        <v/>
      </c>
      <c r="G255" s="16">
        <f>IF($A255="","",ROW()-ROW($A$5))</f>
        <v/>
      </c>
      <c r="I255" s="7">
        <f>IF(VERI_B!A255="","",VERI_B!A255)</f>
        <v/>
      </c>
      <c r="J255" s="16">
        <f>UPPER(TRIM(SUBSTITUTE($I255," ","")))</f>
        <v/>
      </c>
      <c r="K255" s="16">
        <f>IF($J255="",0,LEN($J255))</f>
        <v/>
      </c>
      <c r="L255" s="16">
        <f>IF($J255="","",LEFT($J255,cbb_ikincilUzunluk))</f>
        <v/>
      </c>
      <c r="M255" s="16">
        <f>"B"</f>
        <v/>
      </c>
      <c r="N255" s="16">
        <f>IF($J255="","",IF(COUNTIF(tblAnahtarB[NormB],$J255)&gt;1,"EVET","HAYIR"))</f>
        <v/>
      </c>
      <c r="O255" s="16">
        <f>IF($I255="","",ROW()-ROW($I$5))</f>
        <v/>
      </c>
    </row>
    <row r="256">
      <c r="A256" s="7">
        <f>IF(VERI_A!A256="","",VERI_A!A256)</f>
        <v/>
      </c>
      <c r="B256" s="16">
        <f>UPPER(TRIM(SUBSTITUTE($A256," ","")))</f>
        <v/>
      </c>
      <c r="C256" s="16">
        <f>IF($B256="",0,LEN($B256))</f>
        <v/>
      </c>
      <c r="D256" s="16">
        <f>IF($B256="","",LEFT($B256,cbb_ikincilUzunluk))</f>
        <v/>
      </c>
      <c r="E256" s="16">
        <f>"A"</f>
        <v/>
      </c>
      <c r="F256" s="16">
        <f>IF($B256="","",IF(COUNTIF(tblAnahtarA[Norm],$B256)&gt;1,"EVET","HAYIR"))</f>
        <v/>
      </c>
      <c r="G256" s="16">
        <f>IF($A256="","",ROW()-ROW($A$5))</f>
        <v/>
      </c>
      <c r="I256" s="7">
        <f>IF(VERI_B!A256="","",VERI_B!A256)</f>
        <v/>
      </c>
      <c r="J256" s="16">
        <f>UPPER(TRIM(SUBSTITUTE($I256," ","")))</f>
        <v/>
      </c>
      <c r="K256" s="16">
        <f>IF($J256="",0,LEN($J256))</f>
        <v/>
      </c>
      <c r="L256" s="16">
        <f>IF($J256="","",LEFT($J256,cbb_ikincilUzunluk))</f>
        <v/>
      </c>
      <c r="M256" s="16">
        <f>"B"</f>
        <v/>
      </c>
      <c r="N256" s="16">
        <f>IF($J256="","",IF(COUNTIF(tblAnahtarB[NormB],$J256)&gt;1,"EVET","HAYIR"))</f>
        <v/>
      </c>
      <c r="O256" s="16">
        <f>IF($I256="","",ROW()-ROW($I$5))</f>
        <v/>
      </c>
    </row>
    <row r="257">
      <c r="A257" s="7">
        <f>IF(VERI_A!A257="","",VERI_A!A257)</f>
        <v/>
      </c>
      <c r="B257" s="16">
        <f>UPPER(TRIM(SUBSTITUTE($A257," ","")))</f>
        <v/>
      </c>
      <c r="C257" s="16">
        <f>IF($B257="",0,LEN($B257))</f>
        <v/>
      </c>
      <c r="D257" s="16">
        <f>IF($B257="","",LEFT($B257,cbb_ikincilUzunluk))</f>
        <v/>
      </c>
      <c r="E257" s="16">
        <f>"A"</f>
        <v/>
      </c>
      <c r="F257" s="16">
        <f>IF($B257="","",IF(COUNTIF(tblAnahtarA[Norm],$B257)&gt;1,"EVET","HAYIR"))</f>
        <v/>
      </c>
      <c r="G257" s="16">
        <f>IF($A257="","",ROW()-ROW($A$5))</f>
        <v/>
      </c>
      <c r="I257" s="7">
        <f>IF(VERI_B!A257="","",VERI_B!A257)</f>
        <v/>
      </c>
      <c r="J257" s="16">
        <f>UPPER(TRIM(SUBSTITUTE($I257," ","")))</f>
        <v/>
      </c>
      <c r="K257" s="16">
        <f>IF($J257="",0,LEN($J257))</f>
        <v/>
      </c>
      <c r="L257" s="16">
        <f>IF($J257="","",LEFT($J257,cbb_ikincilUzunluk))</f>
        <v/>
      </c>
      <c r="M257" s="16">
        <f>"B"</f>
        <v/>
      </c>
      <c r="N257" s="16">
        <f>IF($J257="","",IF(COUNTIF(tblAnahtarB[NormB],$J257)&gt;1,"EVET","HAYIR"))</f>
        <v/>
      </c>
      <c r="O257" s="16">
        <f>IF($I257="","",ROW()-ROW($I$5))</f>
        <v/>
      </c>
    </row>
    <row r="258">
      <c r="A258" s="7">
        <f>IF(VERI_A!A258="","",VERI_A!A258)</f>
        <v/>
      </c>
      <c r="B258" s="16">
        <f>UPPER(TRIM(SUBSTITUTE($A258," ","")))</f>
        <v/>
      </c>
      <c r="C258" s="16">
        <f>IF($B258="",0,LEN($B258))</f>
        <v/>
      </c>
      <c r="D258" s="16">
        <f>IF($B258="","",LEFT($B258,cbb_ikincilUzunluk))</f>
        <v/>
      </c>
      <c r="E258" s="16">
        <f>"A"</f>
        <v/>
      </c>
      <c r="F258" s="16">
        <f>IF($B258="","",IF(COUNTIF(tblAnahtarA[Norm],$B258)&gt;1,"EVET","HAYIR"))</f>
        <v/>
      </c>
      <c r="G258" s="16">
        <f>IF($A258="","",ROW()-ROW($A$5))</f>
        <v/>
      </c>
      <c r="I258" s="7">
        <f>IF(VERI_B!A258="","",VERI_B!A258)</f>
        <v/>
      </c>
      <c r="J258" s="16">
        <f>UPPER(TRIM(SUBSTITUTE($I258," ","")))</f>
        <v/>
      </c>
      <c r="K258" s="16">
        <f>IF($J258="",0,LEN($J258))</f>
        <v/>
      </c>
      <c r="L258" s="16">
        <f>IF($J258="","",LEFT($J258,cbb_ikincilUzunluk))</f>
        <v/>
      </c>
      <c r="M258" s="16">
        <f>"B"</f>
        <v/>
      </c>
      <c r="N258" s="16">
        <f>IF($J258="","",IF(COUNTIF(tblAnahtarB[NormB],$J258)&gt;1,"EVET","HAYIR"))</f>
        <v/>
      </c>
      <c r="O258" s="16">
        <f>IF($I258="","",ROW()-ROW($I$5))</f>
        <v/>
      </c>
    </row>
    <row r="259">
      <c r="A259" s="7">
        <f>IF(VERI_A!A259="","",VERI_A!A259)</f>
        <v/>
      </c>
      <c r="B259" s="16">
        <f>UPPER(TRIM(SUBSTITUTE($A259," ","")))</f>
        <v/>
      </c>
      <c r="C259" s="16">
        <f>IF($B259="",0,LEN($B259))</f>
        <v/>
      </c>
      <c r="D259" s="16">
        <f>IF($B259="","",LEFT($B259,cbb_ikincilUzunluk))</f>
        <v/>
      </c>
      <c r="E259" s="16">
        <f>"A"</f>
        <v/>
      </c>
      <c r="F259" s="16">
        <f>IF($B259="","",IF(COUNTIF(tblAnahtarA[Norm],$B259)&gt;1,"EVET","HAYIR"))</f>
        <v/>
      </c>
      <c r="G259" s="16">
        <f>IF($A259="","",ROW()-ROW($A$5))</f>
        <v/>
      </c>
      <c r="I259" s="7">
        <f>IF(VERI_B!A259="","",VERI_B!A259)</f>
        <v/>
      </c>
      <c r="J259" s="16">
        <f>UPPER(TRIM(SUBSTITUTE($I259," ","")))</f>
        <v/>
      </c>
      <c r="K259" s="16">
        <f>IF($J259="",0,LEN($J259))</f>
        <v/>
      </c>
      <c r="L259" s="16">
        <f>IF($J259="","",LEFT($J259,cbb_ikincilUzunluk))</f>
        <v/>
      </c>
      <c r="M259" s="16">
        <f>"B"</f>
        <v/>
      </c>
      <c r="N259" s="16">
        <f>IF($J259="","",IF(COUNTIF(tblAnahtarB[NormB],$J259)&gt;1,"EVET","HAYIR"))</f>
        <v/>
      </c>
      <c r="O259" s="16">
        <f>IF($I259="","",ROW()-ROW($I$5))</f>
        <v/>
      </c>
    </row>
    <row r="260">
      <c r="A260" s="7">
        <f>IF(VERI_A!A260="","",VERI_A!A260)</f>
        <v/>
      </c>
      <c r="B260" s="16">
        <f>UPPER(TRIM(SUBSTITUTE($A260," ","")))</f>
        <v/>
      </c>
      <c r="C260" s="16">
        <f>IF($B260="",0,LEN($B260))</f>
        <v/>
      </c>
      <c r="D260" s="16">
        <f>IF($B260="","",LEFT($B260,cbb_ikincilUzunluk))</f>
        <v/>
      </c>
      <c r="E260" s="16">
        <f>"A"</f>
        <v/>
      </c>
      <c r="F260" s="16">
        <f>IF($B260="","",IF(COUNTIF(tblAnahtarA[Norm],$B260)&gt;1,"EVET","HAYIR"))</f>
        <v/>
      </c>
      <c r="G260" s="16">
        <f>IF($A260="","",ROW()-ROW($A$5))</f>
        <v/>
      </c>
      <c r="I260" s="7">
        <f>IF(VERI_B!A260="","",VERI_B!A260)</f>
        <v/>
      </c>
      <c r="J260" s="16">
        <f>UPPER(TRIM(SUBSTITUTE($I260," ","")))</f>
        <v/>
      </c>
      <c r="K260" s="16">
        <f>IF($J260="",0,LEN($J260))</f>
        <v/>
      </c>
      <c r="L260" s="16">
        <f>IF($J260="","",LEFT($J260,cbb_ikincilUzunluk))</f>
        <v/>
      </c>
      <c r="M260" s="16">
        <f>"B"</f>
        <v/>
      </c>
      <c r="N260" s="16">
        <f>IF($J260="","",IF(COUNTIF(tblAnahtarB[NormB],$J260)&gt;1,"EVET","HAYIR"))</f>
        <v/>
      </c>
      <c r="O260" s="16">
        <f>IF($I260="","",ROW()-ROW($I$5))</f>
        <v/>
      </c>
    </row>
    <row r="261">
      <c r="A261" s="7">
        <f>IF(VERI_A!A261="","",VERI_A!A261)</f>
        <v/>
      </c>
      <c r="B261" s="16">
        <f>UPPER(TRIM(SUBSTITUTE($A261," ","")))</f>
        <v/>
      </c>
      <c r="C261" s="16">
        <f>IF($B261="",0,LEN($B261))</f>
        <v/>
      </c>
      <c r="D261" s="16">
        <f>IF($B261="","",LEFT($B261,cbb_ikincilUzunluk))</f>
        <v/>
      </c>
      <c r="E261" s="16">
        <f>"A"</f>
        <v/>
      </c>
      <c r="F261" s="16">
        <f>IF($B261="","",IF(COUNTIF(tblAnahtarA[Norm],$B261)&gt;1,"EVET","HAYIR"))</f>
        <v/>
      </c>
      <c r="G261" s="16">
        <f>IF($A261="","",ROW()-ROW($A$5))</f>
        <v/>
      </c>
      <c r="I261" s="7">
        <f>IF(VERI_B!A261="","",VERI_B!A261)</f>
        <v/>
      </c>
      <c r="J261" s="16">
        <f>UPPER(TRIM(SUBSTITUTE($I261," ","")))</f>
        <v/>
      </c>
      <c r="K261" s="16">
        <f>IF($J261="",0,LEN($J261))</f>
        <v/>
      </c>
      <c r="L261" s="16">
        <f>IF($J261="","",LEFT($J261,cbb_ikincilUzunluk))</f>
        <v/>
      </c>
      <c r="M261" s="16">
        <f>"B"</f>
        <v/>
      </c>
      <c r="N261" s="16">
        <f>IF($J261="","",IF(COUNTIF(tblAnahtarB[NormB],$J261)&gt;1,"EVET","HAYIR"))</f>
        <v/>
      </c>
      <c r="O261" s="16">
        <f>IF($I261="","",ROW()-ROW($I$5))</f>
        <v/>
      </c>
    </row>
    <row r="262">
      <c r="A262" s="7">
        <f>IF(VERI_A!A262="","",VERI_A!A262)</f>
        <v/>
      </c>
      <c r="B262" s="16">
        <f>UPPER(TRIM(SUBSTITUTE($A262," ","")))</f>
        <v/>
      </c>
      <c r="C262" s="16">
        <f>IF($B262="",0,LEN($B262))</f>
        <v/>
      </c>
      <c r="D262" s="16">
        <f>IF($B262="","",LEFT($B262,cbb_ikincilUzunluk))</f>
        <v/>
      </c>
      <c r="E262" s="16">
        <f>"A"</f>
        <v/>
      </c>
      <c r="F262" s="16">
        <f>IF($B262="","",IF(COUNTIF(tblAnahtarA[Norm],$B262)&gt;1,"EVET","HAYIR"))</f>
        <v/>
      </c>
      <c r="G262" s="16">
        <f>IF($A262="","",ROW()-ROW($A$5))</f>
        <v/>
      </c>
      <c r="I262" s="7">
        <f>IF(VERI_B!A262="","",VERI_B!A262)</f>
        <v/>
      </c>
      <c r="J262" s="16">
        <f>UPPER(TRIM(SUBSTITUTE($I262," ","")))</f>
        <v/>
      </c>
      <c r="K262" s="16">
        <f>IF($J262="",0,LEN($J262))</f>
        <v/>
      </c>
      <c r="L262" s="16">
        <f>IF($J262="","",LEFT($J262,cbb_ikincilUzunluk))</f>
        <v/>
      </c>
      <c r="M262" s="16">
        <f>"B"</f>
        <v/>
      </c>
      <c r="N262" s="16">
        <f>IF($J262="","",IF(COUNTIF(tblAnahtarB[NormB],$J262)&gt;1,"EVET","HAYIR"))</f>
        <v/>
      </c>
      <c r="O262" s="16">
        <f>IF($I262="","",ROW()-ROW($I$5))</f>
        <v/>
      </c>
    </row>
    <row r="263">
      <c r="A263" s="7">
        <f>IF(VERI_A!A263="","",VERI_A!A263)</f>
        <v/>
      </c>
      <c r="B263" s="16">
        <f>UPPER(TRIM(SUBSTITUTE($A263," ","")))</f>
        <v/>
      </c>
      <c r="C263" s="16">
        <f>IF($B263="",0,LEN($B263))</f>
        <v/>
      </c>
      <c r="D263" s="16">
        <f>IF($B263="","",LEFT($B263,cbb_ikincilUzunluk))</f>
        <v/>
      </c>
      <c r="E263" s="16">
        <f>"A"</f>
        <v/>
      </c>
      <c r="F263" s="16">
        <f>IF($B263="","",IF(COUNTIF(tblAnahtarA[Norm],$B263)&gt;1,"EVET","HAYIR"))</f>
        <v/>
      </c>
      <c r="G263" s="16">
        <f>IF($A263="","",ROW()-ROW($A$5))</f>
        <v/>
      </c>
      <c r="I263" s="7">
        <f>IF(VERI_B!A263="","",VERI_B!A263)</f>
        <v/>
      </c>
      <c r="J263" s="16">
        <f>UPPER(TRIM(SUBSTITUTE($I263," ","")))</f>
        <v/>
      </c>
      <c r="K263" s="16">
        <f>IF($J263="",0,LEN($J263))</f>
        <v/>
      </c>
      <c r="L263" s="16">
        <f>IF($J263="","",LEFT($J263,cbb_ikincilUzunluk))</f>
        <v/>
      </c>
      <c r="M263" s="16">
        <f>"B"</f>
        <v/>
      </c>
      <c r="N263" s="16">
        <f>IF($J263="","",IF(COUNTIF(tblAnahtarB[NormB],$J263)&gt;1,"EVET","HAYIR"))</f>
        <v/>
      </c>
      <c r="O263" s="16">
        <f>IF($I263="","",ROW()-ROW($I$5))</f>
        <v/>
      </c>
    </row>
    <row r="264">
      <c r="A264" s="7">
        <f>IF(VERI_A!A264="","",VERI_A!A264)</f>
        <v/>
      </c>
      <c r="B264" s="16">
        <f>UPPER(TRIM(SUBSTITUTE($A264," ","")))</f>
        <v/>
      </c>
      <c r="C264" s="16">
        <f>IF($B264="",0,LEN($B264))</f>
        <v/>
      </c>
      <c r="D264" s="16">
        <f>IF($B264="","",LEFT($B264,cbb_ikincilUzunluk))</f>
        <v/>
      </c>
      <c r="E264" s="16">
        <f>"A"</f>
        <v/>
      </c>
      <c r="F264" s="16">
        <f>IF($B264="","",IF(COUNTIF(tblAnahtarA[Norm],$B264)&gt;1,"EVET","HAYIR"))</f>
        <v/>
      </c>
      <c r="G264" s="16">
        <f>IF($A264="","",ROW()-ROW($A$5))</f>
        <v/>
      </c>
      <c r="I264" s="7">
        <f>IF(VERI_B!A264="","",VERI_B!A264)</f>
        <v/>
      </c>
      <c r="J264" s="16">
        <f>UPPER(TRIM(SUBSTITUTE($I264," ","")))</f>
        <v/>
      </c>
      <c r="K264" s="16">
        <f>IF($J264="",0,LEN($J264))</f>
        <v/>
      </c>
      <c r="L264" s="16">
        <f>IF($J264="","",LEFT($J264,cbb_ikincilUzunluk))</f>
        <v/>
      </c>
      <c r="M264" s="16">
        <f>"B"</f>
        <v/>
      </c>
      <c r="N264" s="16">
        <f>IF($J264="","",IF(COUNTIF(tblAnahtarB[NormB],$J264)&gt;1,"EVET","HAYIR"))</f>
        <v/>
      </c>
      <c r="O264" s="16">
        <f>IF($I264="","",ROW()-ROW($I$5))</f>
        <v/>
      </c>
    </row>
    <row r="265">
      <c r="A265" s="7">
        <f>IF(VERI_A!A265="","",VERI_A!A265)</f>
        <v/>
      </c>
      <c r="B265" s="16">
        <f>UPPER(TRIM(SUBSTITUTE($A265," ","")))</f>
        <v/>
      </c>
      <c r="C265" s="16">
        <f>IF($B265="",0,LEN($B265))</f>
        <v/>
      </c>
      <c r="D265" s="16">
        <f>IF($B265="","",LEFT($B265,cbb_ikincilUzunluk))</f>
        <v/>
      </c>
      <c r="E265" s="16">
        <f>"A"</f>
        <v/>
      </c>
      <c r="F265" s="16">
        <f>IF($B265="","",IF(COUNTIF(tblAnahtarA[Norm],$B265)&gt;1,"EVET","HAYIR"))</f>
        <v/>
      </c>
      <c r="G265" s="16">
        <f>IF($A265="","",ROW()-ROW($A$5))</f>
        <v/>
      </c>
      <c r="I265" s="7">
        <f>IF(VERI_B!A265="","",VERI_B!A265)</f>
        <v/>
      </c>
      <c r="J265" s="16">
        <f>UPPER(TRIM(SUBSTITUTE($I265," ","")))</f>
        <v/>
      </c>
      <c r="K265" s="16">
        <f>IF($J265="",0,LEN($J265))</f>
        <v/>
      </c>
      <c r="L265" s="16">
        <f>IF($J265="","",LEFT($J265,cbb_ikincilUzunluk))</f>
        <v/>
      </c>
      <c r="M265" s="16">
        <f>"B"</f>
        <v/>
      </c>
      <c r="N265" s="16">
        <f>IF($J265="","",IF(COUNTIF(tblAnahtarB[NormB],$J265)&gt;1,"EVET","HAYIR"))</f>
        <v/>
      </c>
      <c r="O265" s="16">
        <f>IF($I265="","",ROW()-ROW($I$5))</f>
        <v/>
      </c>
    </row>
    <row r="266">
      <c r="A266" s="7">
        <f>IF(VERI_A!A266="","",VERI_A!A266)</f>
        <v/>
      </c>
      <c r="B266" s="16">
        <f>UPPER(TRIM(SUBSTITUTE($A266," ","")))</f>
        <v/>
      </c>
      <c r="C266" s="16">
        <f>IF($B266="",0,LEN($B266))</f>
        <v/>
      </c>
      <c r="D266" s="16">
        <f>IF($B266="","",LEFT($B266,cbb_ikincilUzunluk))</f>
        <v/>
      </c>
      <c r="E266" s="16">
        <f>"A"</f>
        <v/>
      </c>
      <c r="F266" s="16">
        <f>IF($B266="","",IF(COUNTIF(tblAnahtarA[Norm],$B266)&gt;1,"EVET","HAYIR"))</f>
        <v/>
      </c>
      <c r="G266" s="16">
        <f>IF($A266="","",ROW()-ROW($A$5))</f>
        <v/>
      </c>
      <c r="I266" s="7">
        <f>IF(VERI_B!A266="","",VERI_B!A266)</f>
        <v/>
      </c>
      <c r="J266" s="16">
        <f>UPPER(TRIM(SUBSTITUTE($I266," ","")))</f>
        <v/>
      </c>
      <c r="K266" s="16">
        <f>IF($J266="",0,LEN($J266))</f>
        <v/>
      </c>
      <c r="L266" s="16">
        <f>IF($J266="","",LEFT($J266,cbb_ikincilUzunluk))</f>
        <v/>
      </c>
      <c r="M266" s="16">
        <f>"B"</f>
        <v/>
      </c>
      <c r="N266" s="16">
        <f>IF($J266="","",IF(COUNTIF(tblAnahtarB[NormB],$J266)&gt;1,"EVET","HAYIR"))</f>
        <v/>
      </c>
      <c r="O266" s="16">
        <f>IF($I266="","",ROW()-ROW($I$5))</f>
        <v/>
      </c>
    </row>
    <row r="267">
      <c r="A267" s="7">
        <f>IF(VERI_A!A267="","",VERI_A!A267)</f>
        <v/>
      </c>
      <c r="B267" s="16">
        <f>UPPER(TRIM(SUBSTITUTE($A267," ","")))</f>
        <v/>
      </c>
      <c r="C267" s="16">
        <f>IF($B267="",0,LEN($B267))</f>
        <v/>
      </c>
      <c r="D267" s="16">
        <f>IF($B267="","",LEFT($B267,cbb_ikincilUzunluk))</f>
        <v/>
      </c>
      <c r="E267" s="16">
        <f>"A"</f>
        <v/>
      </c>
      <c r="F267" s="16">
        <f>IF($B267="","",IF(COUNTIF(tblAnahtarA[Norm],$B267)&gt;1,"EVET","HAYIR"))</f>
        <v/>
      </c>
      <c r="G267" s="16">
        <f>IF($A267="","",ROW()-ROW($A$5))</f>
        <v/>
      </c>
      <c r="I267" s="7">
        <f>IF(VERI_B!A267="","",VERI_B!A267)</f>
        <v/>
      </c>
      <c r="J267" s="16">
        <f>UPPER(TRIM(SUBSTITUTE($I267," ","")))</f>
        <v/>
      </c>
      <c r="K267" s="16">
        <f>IF($J267="",0,LEN($J267))</f>
        <v/>
      </c>
      <c r="L267" s="16">
        <f>IF($J267="","",LEFT($J267,cbb_ikincilUzunluk))</f>
        <v/>
      </c>
      <c r="M267" s="16">
        <f>"B"</f>
        <v/>
      </c>
      <c r="N267" s="16">
        <f>IF($J267="","",IF(COUNTIF(tblAnahtarB[NormB],$J267)&gt;1,"EVET","HAYIR"))</f>
        <v/>
      </c>
      <c r="O267" s="16">
        <f>IF($I267="","",ROW()-ROW($I$5))</f>
        <v/>
      </c>
    </row>
    <row r="268">
      <c r="A268" s="7">
        <f>IF(VERI_A!A268="","",VERI_A!A268)</f>
        <v/>
      </c>
      <c r="B268" s="16">
        <f>UPPER(TRIM(SUBSTITUTE($A268," ","")))</f>
        <v/>
      </c>
      <c r="C268" s="16">
        <f>IF($B268="",0,LEN($B268))</f>
        <v/>
      </c>
      <c r="D268" s="16">
        <f>IF($B268="","",LEFT($B268,cbb_ikincilUzunluk))</f>
        <v/>
      </c>
      <c r="E268" s="16">
        <f>"A"</f>
        <v/>
      </c>
      <c r="F268" s="16">
        <f>IF($B268="","",IF(COUNTIF(tblAnahtarA[Norm],$B268)&gt;1,"EVET","HAYIR"))</f>
        <v/>
      </c>
      <c r="G268" s="16">
        <f>IF($A268="","",ROW()-ROW($A$5))</f>
        <v/>
      </c>
      <c r="I268" s="7">
        <f>IF(VERI_B!A268="","",VERI_B!A268)</f>
        <v/>
      </c>
      <c r="J268" s="16">
        <f>UPPER(TRIM(SUBSTITUTE($I268," ","")))</f>
        <v/>
      </c>
      <c r="K268" s="16">
        <f>IF($J268="",0,LEN($J268))</f>
        <v/>
      </c>
      <c r="L268" s="16">
        <f>IF($J268="","",LEFT($J268,cbb_ikincilUzunluk))</f>
        <v/>
      </c>
      <c r="M268" s="16">
        <f>"B"</f>
        <v/>
      </c>
      <c r="N268" s="16">
        <f>IF($J268="","",IF(COUNTIF(tblAnahtarB[NormB],$J268)&gt;1,"EVET","HAYIR"))</f>
        <v/>
      </c>
      <c r="O268" s="16">
        <f>IF($I268="","",ROW()-ROW($I$5))</f>
        <v/>
      </c>
    </row>
    <row r="269">
      <c r="A269" s="7">
        <f>IF(VERI_A!A269="","",VERI_A!A269)</f>
        <v/>
      </c>
      <c r="B269" s="16">
        <f>UPPER(TRIM(SUBSTITUTE($A269," ","")))</f>
        <v/>
      </c>
      <c r="C269" s="16">
        <f>IF($B269="",0,LEN($B269))</f>
        <v/>
      </c>
      <c r="D269" s="16">
        <f>IF($B269="","",LEFT($B269,cbb_ikincilUzunluk))</f>
        <v/>
      </c>
      <c r="E269" s="16">
        <f>"A"</f>
        <v/>
      </c>
      <c r="F269" s="16">
        <f>IF($B269="","",IF(COUNTIF(tblAnahtarA[Norm],$B269)&gt;1,"EVET","HAYIR"))</f>
        <v/>
      </c>
      <c r="G269" s="16">
        <f>IF($A269="","",ROW()-ROW($A$5))</f>
        <v/>
      </c>
      <c r="I269" s="7">
        <f>IF(VERI_B!A269="","",VERI_B!A269)</f>
        <v/>
      </c>
      <c r="J269" s="16">
        <f>UPPER(TRIM(SUBSTITUTE($I269," ","")))</f>
        <v/>
      </c>
      <c r="K269" s="16">
        <f>IF($J269="",0,LEN($J269))</f>
        <v/>
      </c>
      <c r="L269" s="16">
        <f>IF($J269="","",LEFT($J269,cbb_ikincilUzunluk))</f>
        <v/>
      </c>
      <c r="M269" s="16">
        <f>"B"</f>
        <v/>
      </c>
      <c r="N269" s="16">
        <f>IF($J269="","",IF(COUNTIF(tblAnahtarB[NormB],$J269)&gt;1,"EVET","HAYIR"))</f>
        <v/>
      </c>
      <c r="O269" s="16">
        <f>IF($I269="","",ROW()-ROW($I$5))</f>
        <v/>
      </c>
    </row>
    <row r="270">
      <c r="A270" s="7">
        <f>IF(VERI_A!A270="","",VERI_A!A270)</f>
        <v/>
      </c>
      <c r="B270" s="16">
        <f>UPPER(TRIM(SUBSTITUTE($A270," ","")))</f>
        <v/>
      </c>
      <c r="C270" s="16">
        <f>IF($B270="",0,LEN($B270))</f>
        <v/>
      </c>
      <c r="D270" s="16">
        <f>IF($B270="","",LEFT($B270,cbb_ikincilUzunluk))</f>
        <v/>
      </c>
      <c r="E270" s="16">
        <f>"A"</f>
        <v/>
      </c>
      <c r="F270" s="16">
        <f>IF($B270="","",IF(COUNTIF(tblAnahtarA[Norm],$B270)&gt;1,"EVET","HAYIR"))</f>
        <v/>
      </c>
      <c r="G270" s="16">
        <f>IF($A270="","",ROW()-ROW($A$5))</f>
        <v/>
      </c>
      <c r="I270" s="7">
        <f>IF(VERI_B!A270="","",VERI_B!A270)</f>
        <v/>
      </c>
      <c r="J270" s="16">
        <f>UPPER(TRIM(SUBSTITUTE($I270," ","")))</f>
        <v/>
      </c>
      <c r="K270" s="16">
        <f>IF($J270="",0,LEN($J270))</f>
        <v/>
      </c>
      <c r="L270" s="16">
        <f>IF($J270="","",LEFT($J270,cbb_ikincilUzunluk))</f>
        <v/>
      </c>
      <c r="M270" s="16">
        <f>"B"</f>
        <v/>
      </c>
      <c r="N270" s="16">
        <f>IF($J270="","",IF(COUNTIF(tblAnahtarB[NormB],$J270)&gt;1,"EVET","HAYIR"))</f>
        <v/>
      </c>
      <c r="O270" s="16">
        <f>IF($I270="","",ROW()-ROW($I$5))</f>
        <v/>
      </c>
    </row>
    <row r="271">
      <c r="A271" s="7">
        <f>IF(VERI_A!A271="","",VERI_A!A271)</f>
        <v/>
      </c>
      <c r="B271" s="16">
        <f>UPPER(TRIM(SUBSTITUTE($A271," ","")))</f>
        <v/>
      </c>
      <c r="C271" s="16">
        <f>IF($B271="",0,LEN($B271))</f>
        <v/>
      </c>
      <c r="D271" s="16">
        <f>IF($B271="","",LEFT($B271,cbb_ikincilUzunluk))</f>
        <v/>
      </c>
      <c r="E271" s="16">
        <f>"A"</f>
        <v/>
      </c>
      <c r="F271" s="16">
        <f>IF($B271="","",IF(COUNTIF(tblAnahtarA[Norm],$B271)&gt;1,"EVET","HAYIR"))</f>
        <v/>
      </c>
      <c r="G271" s="16">
        <f>IF($A271="","",ROW()-ROW($A$5))</f>
        <v/>
      </c>
      <c r="I271" s="7">
        <f>IF(VERI_B!A271="","",VERI_B!A271)</f>
        <v/>
      </c>
      <c r="J271" s="16">
        <f>UPPER(TRIM(SUBSTITUTE($I271," ","")))</f>
        <v/>
      </c>
      <c r="K271" s="16">
        <f>IF($J271="",0,LEN($J271))</f>
        <v/>
      </c>
      <c r="L271" s="16">
        <f>IF($J271="","",LEFT($J271,cbb_ikincilUzunluk))</f>
        <v/>
      </c>
      <c r="M271" s="16">
        <f>"B"</f>
        <v/>
      </c>
      <c r="N271" s="16">
        <f>IF($J271="","",IF(COUNTIF(tblAnahtarB[NormB],$J271)&gt;1,"EVET","HAYIR"))</f>
        <v/>
      </c>
      <c r="O271" s="16">
        <f>IF($I271="","",ROW()-ROW($I$5))</f>
        <v/>
      </c>
    </row>
    <row r="272">
      <c r="A272" s="7">
        <f>IF(VERI_A!A272="","",VERI_A!A272)</f>
        <v/>
      </c>
      <c r="B272" s="16">
        <f>UPPER(TRIM(SUBSTITUTE($A272," ","")))</f>
        <v/>
      </c>
      <c r="C272" s="16">
        <f>IF($B272="",0,LEN($B272))</f>
        <v/>
      </c>
      <c r="D272" s="16">
        <f>IF($B272="","",LEFT($B272,cbb_ikincilUzunluk))</f>
        <v/>
      </c>
      <c r="E272" s="16">
        <f>"A"</f>
        <v/>
      </c>
      <c r="F272" s="16">
        <f>IF($B272="","",IF(COUNTIF(tblAnahtarA[Norm],$B272)&gt;1,"EVET","HAYIR"))</f>
        <v/>
      </c>
      <c r="G272" s="16">
        <f>IF($A272="","",ROW()-ROW($A$5))</f>
        <v/>
      </c>
      <c r="I272" s="7">
        <f>IF(VERI_B!A272="","",VERI_B!A272)</f>
        <v/>
      </c>
      <c r="J272" s="16">
        <f>UPPER(TRIM(SUBSTITUTE($I272," ","")))</f>
        <v/>
      </c>
      <c r="K272" s="16">
        <f>IF($J272="",0,LEN($J272))</f>
        <v/>
      </c>
      <c r="L272" s="16">
        <f>IF($J272="","",LEFT($J272,cbb_ikincilUzunluk))</f>
        <v/>
      </c>
      <c r="M272" s="16">
        <f>"B"</f>
        <v/>
      </c>
      <c r="N272" s="16">
        <f>IF($J272="","",IF(COUNTIF(tblAnahtarB[NormB],$J272)&gt;1,"EVET","HAYIR"))</f>
        <v/>
      </c>
      <c r="O272" s="16">
        <f>IF($I272="","",ROW()-ROW($I$5))</f>
        <v/>
      </c>
    </row>
    <row r="273">
      <c r="A273" s="7">
        <f>IF(VERI_A!A273="","",VERI_A!A273)</f>
        <v/>
      </c>
      <c r="B273" s="16">
        <f>UPPER(TRIM(SUBSTITUTE($A273," ","")))</f>
        <v/>
      </c>
      <c r="C273" s="16">
        <f>IF($B273="",0,LEN($B273))</f>
        <v/>
      </c>
      <c r="D273" s="16">
        <f>IF($B273="","",LEFT($B273,cbb_ikincilUzunluk))</f>
        <v/>
      </c>
      <c r="E273" s="16">
        <f>"A"</f>
        <v/>
      </c>
      <c r="F273" s="16">
        <f>IF($B273="","",IF(COUNTIF(tblAnahtarA[Norm],$B273)&gt;1,"EVET","HAYIR"))</f>
        <v/>
      </c>
      <c r="G273" s="16">
        <f>IF($A273="","",ROW()-ROW($A$5))</f>
        <v/>
      </c>
      <c r="I273" s="7">
        <f>IF(VERI_B!A273="","",VERI_B!A273)</f>
        <v/>
      </c>
      <c r="J273" s="16">
        <f>UPPER(TRIM(SUBSTITUTE($I273," ","")))</f>
        <v/>
      </c>
      <c r="K273" s="16">
        <f>IF($J273="",0,LEN($J273))</f>
        <v/>
      </c>
      <c r="L273" s="16">
        <f>IF($J273="","",LEFT($J273,cbb_ikincilUzunluk))</f>
        <v/>
      </c>
      <c r="M273" s="16">
        <f>"B"</f>
        <v/>
      </c>
      <c r="N273" s="16">
        <f>IF($J273="","",IF(COUNTIF(tblAnahtarB[NormB],$J273)&gt;1,"EVET","HAYIR"))</f>
        <v/>
      </c>
      <c r="O273" s="16">
        <f>IF($I273="","",ROW()-ROW($I$5))</f>
        <v/>
      </c>
    </row>
    <row r="274">
      <c r="A274" s="7">
        <f>IF(VERI_A!A274="","",VERI_A!A274)</f>
        <v/>
      </c>
      <c r="B274" s="16">
        <f>UPPER(TRIM(SUBSTITUTE($A274," ","")))</f>
        <v/>
      </c>
      <c r="C274" s="16">
        <f>IF($B274="",0,LEN($B274))</f>
        <v/>
      </c>
      <c r="D274" s="16">
        <f>IF($B274="","",LEFT($B274,cbb_ikincilUzunluk))</f>
        <v/>
      </c>
      <c r="E274" s="16">
        <f>"A"</f>
        <v/>
      </c>
      <c r="F274" s="16">
        <f>IF($B274="","",IF(COUNTIF(tblAnahtarA[Norm],$B274)&gt;1,"EVET","HAYIR"))</f>
        <v/>
      </c>
      <c r="G274" s="16">
        <f>IF($A274="","",ROW()-ROW($A$5))</f>
        <v/>
      </c>
      <c r="I274" s="7">
        <f>IF(VERI_B!A274="","",VERI_B!A274)</f>
        <v/>
      </c>
      <c r="J274" s="16">
        <f>UPPER(TRIM(SUBSTITUTE($I274," ","")))</f>
        <v/>
      </c>
      <c r="K274" s="16">
        <f>IF($J274="",0,LEN($J274))</f>
        <v/>
      </c>
      <c r="L274" s="16">
        <f>IF($J274="","",LEFT($J274,cbb_ikincilUzunluk))</f>
        <v/>
      </c>
      <c r="M274" s="16">
        <f>"B"</f>
        <v/>
      </c>
      <c r="N274" s="16">
        <f>IF($J274="","",IF(COUNTIF(tblAnahtarB[NormB],$J274)&gt;1,"EVET","HAYIR"))</f>
        <v/>
      </c>
      <c r="O274" s="16">
        <f>IF($I274="","",ROW()-ROW($I$5))</f>
        <v/>
      </c>
    </row>
    <row r="275">
      <c r="A275" s="7">
        <f>IF(VERI_A!A275="","",VERI_A!A275)</f>
        <v/>
      </c>
      <c r="B275" s="16">
        <f>UPPER(TRIM(SUBSTITUTE($A275," ","")))</f>
        <v/>
      </c>
      <c r="C275" s="16">
        <f>IF($B275="",0,LEN($B275))</f>
        <v/>
      </c>
      <c r="D275" s="16">
        <f>IF($B275="","",LEFT($B275,cbb_ikincilUzunluk))</f>
        <v/>
      </c>
      <c r="E275" s="16">
        <f>"A"</f>
        <v/>
      </c>
      <c r="F275" s="16">
        <f>IF($B275="","",IF(COUNTIF(tblAnahtarA[Norm],$B275)&gt;1,"EVET","HAYIR"))</f>
        <v/>
      </c>
      <c r="G275" s="16">
        <f>IF($A275="","",ROW()-ROW($A$5))</f>
        <v/>
      </c>
      <c r="I275" s="7">
        <f>IF(VERI_B!A275="","",VERI_B!A275)</f>
        <v/>
      </c>
      <c r="J275" s="16">
        <f>UPPER(TRIM(SUBSTITUTE($I275," ","")))</f>
        <v/>
      </c>
      <c r="K275" s="16">
        <f>IF($J275="",0,LEN($J275))</f>
        <v/>
      </c>
      <c r="L275" s="16">
        <f>IF($J275="","",LEFT($J275,cbb_ikincilUzunluk))</f>
        <v/>
      </c>
      <c r="M275" s="16">
        <f>"B"</f>
        <v/>
      </c>
      <c r="N275" s="16">
        <f>IF($J275="","",IF(COUNTIF(tblAnahtarB[NormB],$J275)&gt;1,"EVET","HAYIR"))</f>
        <v/>
      </c>
      <c r="O275" s="16">
        <f>IF($I275="","",ROW()-ROW($I$5))</f>
        <v/>
      </c>
    </row>
    <row r="276">
      <c r="A276" s="7">
        <f>IF(VERI_A!A276="","",VERI_A!A276)</f>
        <v/>
      </c>
      <c r="B276" s="16">
        <f>UPPER(TRIM(SUBSTITUTE($A276," ","")))</f>
        <v/>
      </c>
      <c r="C276" s="16">
        <f>IF($B276="",0,LEN($B276))</f>
        <v/>
      </c>
      <c r="D276" s="16">
        <f>IF($B276="","",LEFT($B276,cbb_ikincilUzunluk))</f>
        <v/>
      </c>
      <c r="E276" s="16">
        <f>"A"</f>
        <v/>
      </c>
      <c r="F276" s="16">
        <f>IF($B276="","",IF(COUNTIF(tblAnahtarA[Norm],$B276)&gt;1,"EVET","HAYIR"))</f>
        <v/>
      </c>
      <c r="G276" s="16">
        <f>IF($A276="","",ROW()-ROW($A$5))</f>
        <v/>
      </c>
      <c r="I276" s="7">
        <f>IF(VERI_B!A276="","",VERI_B!A276)</f>
        <v/>
      </c>
      <c r="J276" s="16">
        <f>UPPER(TRIM(SUBSTITUTE($I276," ","")))</f>
        <v/>
      </c>
      <c r="K276" s="16">
        <f>IF($J276="",0,LEN($J276))</f>
        <v/>
      </c>
      <c r="L276" s="16">
        <f>IF($J276="","",LEFT($J276,cbb_ikincilUzunluk))</f>
        <v/>
      </c>
      <c r="M276" s="16">
        <f>"B"</f>
        <v/>
      </c>
      <c r="N276" s="16">
        <f>IF($J276="","",IF(COUNTIF(tblAnahtarB[NormB],$J276)&gt;1,"EVET","HAYIR"))</f>
        <v/>
      </c>
      <c r="O276" s="16">
        <f>IF($I276="","",ROW()-ROW($I$5))</f>
        <v/>
      </c>
    </row>
    <row r="277">
      <c r="A277" s="7">
        <f>IF(VERI_A!A277="","",VERI_A!A277)</f>
        <v/>
      </c>
      <c r="B277" s="16">
        <f>UPPER(TRIM(SUBSTITUTE($A277," ","")))</f>
        <v/>
      </c>
      <c r="C277" s="16">
        <f>IF($B277="",0,LEN($B277))</f>
        <v/>
      </c>
      <c r="D277" s="16">
        <f>IF($B277="","",LEFT($B277,cbb_ikincilUzunluk))</f>
        <v/>
      </c>
      <c r="E277" s="16">
        <f>"A"</f>
        <v/>
      </c>
      <c r="F277" s="16">
        <f>IF($B277="","",IF(COUNTIF(tblAnahtarA[Norm],$B277)&gt;1,"EVET","HAYIR"))</f>
        <v/>
      </c>
      <c r="G277" s="16">
        <f>IF($A277="","",ROW()-ROW($A$5))</f>
        <v/>
      </c>
      <c r="I277" s="7">
        <f>IF(VERI_B!A277="","",VERI_B!A277)</f>
        <v/>
      </c>
      <c r="J277" s="16">
        <f>UPPER(TRIM(SUBSTITUTE($I277," ","")))</f>
        <v/>
      </c>
      <c r="K277" s="16">
        <f>IF($J277="",0,LEN($J277))</f>
        <v/>
      </c>
      <c r="L277" s="16">
        <f>IF($J277="","",LEFT($J277,cbb_ikincilUzunluk))</f>
        <v/>
      </c>
      <c r="M277" s="16">
        <f>"B"</f>
        <v/>
      </c>
      <c r="N277" s="16">
        <f>IF($J277="","",IF(COUNTIF(tblAnahtarB[NormB],$J277)&gt;1,"EVET","HAYIR"))</f>
        <v/>
      </c>
      <c r="O277" s="16">
        <f>IF($I277="","",ROW()-ROW($I$5))</f>
        <v/>
      </c>
    </row>
    <row r="278">
      <c r="A278" s="7">
        <f>IF(VERI_A!A278="","",VERI_A!A278)</f>
        <v/>
      </c>
      <c r="B278" s="16">
        <f>UPPER(TRIM(SUBSTITUTE($A278," ","")))</f>
        <v/>
      </c>
      <c r="C278" s="16">
        <f>IF($B278="",0,LEN($B278))</f>
        <v/>
      </c>
      <c r="D278" s="16">
        <f>IF($B278="","",LEFT($B278,cbb_ikincilUzunluk))</f>
        <v/>
      </c>
      <c r="E278" s="16">
        <f>"A"</f>
        <v/>
      </c>
      <c r="F278" s="16">
        <f>IF($B278="","",IF(COUNTIF(tblAnahtarA[Norm],$B278)&gt;1,"EVET","HAYIR"))</f>
        <v/>
      </c>
      <c r="G278" s="16">
        <f>IF($A278="","",ROW()-ROW($A$5))</f>
        <v/>
      </c>
      <c r="I278" s="7">
        <f>IF(VERI_B!A278="","",VERI_B!A278)</f>
        <v/>
      </c>
      <c r="J278" s="16">
        <f>UPPER(TRIM(SUBSTITUTE($I278," ","")))</f>
        <v/>
      </c>
      <c r="K278" s="16">
        <f>IF($J278="",0,LEN($J278))</f>
        <v/>
      </c>
      <c r="L278" s="16">
        <f>IF($J278="","",LEFT($J278,cbb_ikincilUzunluk))</f>
        <v/>
      </c>
      <c r="M278" s="16">
        <f>"B"</f>
        <v/>
      </c>
      <c r="N278" s="16">
        <f>IF($J278="","",IF(COUNTIF(tblAnahtarB[NormB],$J278)&gt;1,"EVET","HAYIR"))</f>
        <v/>
      </c>
      <c r="O278" s="16">
        <f>IF($I278="","",ROW()-ROW($I$5))</f>
        <v/>
      </c>
    </row>
    <row r="279">
      <c r="A279" s="7">
        <f>IF(VERI_A!A279="","",VERI_A!A279)</f>
        <v/>
      </c>
      <c r="B279" s="16">
        <f>UPPER(TRIM(SUBSTITUTE($A279," ","")))</f>
        <v/>
      </c>
      <c r="C279" s="16">
        <f>IF($B279="",0,LEN($B279))</f>
        <v/>
      </c>
      <c r="D279" s="16">
        <f>IF($B279="","",LEFT($B279,cbb_ikincilUzunluk))</f>
        <v/>
      </c>
      <c r="E279" s="16">
        <f>"A"</f>
        <v/>
      </c>
      <c r="F279" s="16">
        <f>IF($B279="","",IF(COUNTIF(tblAnahtarA[Norm],$B279)&gt;1,"EVET","HAYIR"))</f>
        <v/>
      </c>
      <c r="G279" s="16">
        <f>IF($A279="","",ROW()-ROW($A$5))</f>
        <v/>
      </c>
      <c r="I279" s="7">
        <f>IF(VERI_B!A279="","",VERI_B!A279)</f>
        <v/>
      </c>
      <c r="J279" s="16">
        <f>UPPER(TRIM(SUBSTITUTE($I279," ","")))</f>
        <v/>
      </c>
      <c r="K279" s="16">
        <f>IF($J279="",0,LEN($J279))</f>
        <v/>
      </c>
      <c r="L279" s="16">
        <f>IF($J279="","",LEFT($J279,cbb_ikincilUzunluk))</f>
        <v/>
      </c>
      <c r="M279" s="16">
        <f>"B"</f>
        <v/>
      </c>
      <c r="N279" s="16">
        <f>IF($J279="","",IF(COUNTIF(tblAnahtarB[NormB],$J279)&gt;1,"EVET","HAYIR"))</f>
        <v/>
      </c>
      <c r="O279" s="16">
        <f>IF($I279="","",ROW()-ROW($I$5))</f>
        <v/>
      </c>
    </row>
    <row r="280">
      <c r="A280" s="7">
        <f>IF(VERI_A!A280="","",VERI_A!A280)</f>
        <v/>
      </c>
      <c r="B280" s="16">
        <f>UPPER(TRIM(SUBSTITUTE($A280," ","")))</f>
        <v/>
      </c>
      <c r="C280" s="16">
        <f>IF($B280="",0,LEN($B280))</f>
        <v/>
      </c>
      <c r="D280" s="16">
        <f>IF($B280="","",LEFT($B280,cbb_ikincilUzunluk))</f>
        <v/>
      </c>
      <c r="E280" s="16">
        <f>"A"</f>
        <v/>
      </c>
      <c r="F280" s="16">
        <f>IF($B280="","",IF(COUNTIF(tblAnahtarA[Norm],$B280)&gt;1,"EVET","HAYIR"))</f>
        <v/>
      </c>
      <c r="G280" s="16">
        <f>IF($A280="","",ROW()-ROW($A$5))</f>
        <v/>
      </c>
      <c r="I280" s="7">
        <f>IF(VERI_B!A280="","",VERI_B!A280)</f>
        <v/>
      </c>
      <c r="J280" s="16">
        <f>UPPER(TRIM(SUBSTITUTE($I280," ","")))</f>
        <v/>
      </c>
      <c r="K280" s="16">
        <f>IF($J280="",0,LEN($J280))</f>
        <v/>
      </c>
      <c r="L280" s="16">
        <f>IF($J280="","",LEFT($J280,cbb_ikincilUzunluk))</f>
        <v/>
      </c>
      <c r="M280" s="16">
        <f>"B"</f>
        <v/>
      </c>
      <c r="N280" s="16">
        <f>IF($J280="","",IF(COUNTIF(tblAnahtarB[NormB],$J280)&gt;1,"EVET","HAYIR"))</f>
        <v/>
      </c>
      <c r="O280" s="16">
        <f>IF($I280="","",ROW()-ROW($I$5))</f>
        <v/>
      </c>
    </row>
    <row r="281">
      <c r="A281" s="7">
        <f>IF(VERI_A!A281="","",VERI_A!A281)</f>
        <v/>
      </c>
      <c r="B281" s="16">
        <f>UPPER(TRIM(SUBSTITUTE($A281," ","")))</f>
        <v/>
      </c>
      <c r="C281" s="16">
        <f>IF($B281="",0,LEN($B281))</f>
        <v/>
      </c>
      <c r="D281" s="16">
        <f>IF($B281="","",LEFT($B281,cbb_ikincilUzunluk))</f>
        <v/>
      </c>
      <c r="E281" s="16">
        <f>"A"</f>
        <v/>
      </c>
      <c r="F281" s="16">
        <f>IF($B281="","",IF(COUNTIF(tblAnahtarA[Norm],$B281)&gt;1,"EVET","HAYIR"))</f>
        <v/>
      </c>
      <c r="G281" s="16">
        <f>IF($A281="","",ROW()-ROW($A$5))</f>
        <v/>
      </c>
      <c r="I281" s="7">
        <f>IF(VERI_B!A281="","",VERI_B!A281)</f>
        <v/>
      </c>
      <c r="J281" s="16">
        <f>UPPER(TRIM(SUBSTITUTE($I281," ","")))</f>
        <v/>
      </c>
      <c r="K281" s="16">
        <f>IF($J281="",0,LEN($J281))</f>
        <v/>
      </c>
      <c r="L281" s="16">
        <f>IF($J281="","",LEFT($J281,cbb_ikincilUzunluk))</f>
        <v/>
      </c>
      <c r="M281" s="16">
        <f>"B"</f>
        <v/>
      </c>
      <c r="N281" s="16">
        <f>IF($J281="","",IF(COUNTIF(tblAnahtarB[NormB],$J281)&gt;1,"EVET","HAYIR"))</f>
        <v/>
      </c>
      <c r="O281" s="16">
        <f>IF($I281="","",ROW()-ROW($I$5))</f>
        <v/>
      </c>
    </row>
    <row r="282">
      <c r="A282" s="7">
        <f>IF(VERI_A!A282="","",VERI_A!A282)</f>
        <v/>
      </c>
      <c r="B282" s="16">
        <f>UPPER(TRIM(SUBSTITUTE($A282," ","")))</f>
        <v/>
      </c>
      <c r="C282" s="16">
        <f>IF($B282="",0,LEN($B282))</f>
        <v/>
      </c>
      <c r="D282" s="16">
        <f>IF($B282="","",LEFT($B282,cbb_ikincilUzunluk))</f>
        <v/>
      </c>
      <c r="E282" s="16">
        <f>"A"</f>
        <v/>
      </c>
      <c r="F282" s="16">
        <f>IF($B282="","",IF(COUNTIF(tblAnahtarA[Norm],$B282)&gt;1,"EVET","HAYIR"))</f>
        <v/>
      </c>
      <c r="G282" s="16">
        <f>IF($A282="","",ROW()-ROW($A$5))</f>
        <v/>
      </c>
      <c r="I282" s="7">
        <f>IF(VERI_B!A282="","",VERI_B!A282)</f>
        <v/>
      </c>
      <c r="J282" s="16">
        <f>UPPER(TRIM(SUBSTITUTE($I282," ","")))</f>
        <v/>
      </c>
      <c r="K282" s="16">
        <f>IF($J282="",0,LEN($J282))</f>
        <v/>
      </c>
      <c r="L282" s="16">
        <f>IF($J282="","",LEFT($J282,cbb_ikincilUzunluk))</f>
        <v/>
      </c>
      <c r="M282" s="16">
        <f>"B"</f>
        <v/>
      </c>
      <c r="N282" s="16">
        <f>IF($J282="","",IF(COUNTIF(tblAnahtarB[NormB],$J282)&gt;1,"EVET","HAYIR"))</f>
        <v/>
      </c>
      <c r="O282" s="16">
        <f>IF($I282="","",ROW()-ROW($I$5))</f>
        <v/>
      </c>
    </row>
    <row r="283">
      <c r="A283" s="7">
        <f>IF(VERI_A!A283="","",VERI_A!A283)</f>
        <v/>
      </c>
      <c r="B283" s="16">
        <f>UPPER(TRIM(SUBSTITUTE($A283," ","")))</f>
        <v/>
      </c>
      <c r="C283" s="16">
        <f>IF($B283="",0,LEN($B283))</f>
        <v/>
      </c>
      <c r="D283" s="16">
        <f>IF($B283="","",LEFT($B283,cbb_ikincilUzunluk))</f>
        <v/>
      </c>
      <c r="E283" s="16">
        <f>"A"</f>
        <v/>
      </c>
      <c r="F283" s="16">
        <f>IF($B283="","",IF(COUNTIF(tblAnahtarA[Norm],$B283)&gt;1,"EVET","HAYIR"))</f>
        <v/>
      </c>
      <c r="G283" s="16">
        <f>IF($A283="","",ROW()-ROW($A$5))</f>
        <v/>
      </c>
      <c r="I283" s="7">
        <f>IF(VERI_B!A283="","",VERI_B!A283)</f>
        <v/>
      </c>
      <c r="J283" s="16">
        <f>UPPER(TRIM(SUBSTITUTE($I283," ","")))</f>
        <v/>
      </c>
      <c r="K283" s="16">
        <f>IF($J283="",0,LEN($J283))</f>
        <v/>
      </c>
      <c r="L283" s="16">
        <f>IF($J283="","",LEFT($J283,cbb_ikincilUzunluk))</f>
        <v/>
      </c>
      <c r="M283" s="16">
        <f>"B"</f>
        <v/>
      </c>
      <c r="N283" s="16">
        <f>IF($J283="","",IF(COUNTIF(tblAnahtarB[NormB],$J283)&gt;1,"EVET","HAYIR"))</f>
        <v/>
      </c>
      <c r="O283" s="16">
        <f>IF($I283="","",ROW()-ROW($I$5))</f>
        <v/>
      </c>
    </row>
    <row r="284">
      <c r="A284" s="7">
        <f>IF(VERI_A!A284="","",VERI_A!A284)</f>
        <v/>
      </c>
      <c r="B284" s="16">
        <f>UPPER(TRIM(SUBSTITUTE($A284," ","")))</f>
        <v/>
      </c>
      <c r="C284" s="16">
        <f>IF($B284="",0,LEN($B284))</f>
        <v/>
      </c>
      <c r="D284" s="16">
        <f>IF($B284="","",LEFT($B284,cbb_ikincilUzunluk))</f>
        <v/>
      </c>
      <c r="E284" s="16">
        <f>"A"</f>
        <v/>
      </c>
      <c r="F284" s="16">
        <f>IF($B284="","",IF(COUNTIF(tblAnahtarA[Norm],$B284)&gt;1,"EVET","HAYIR"))</f>
        <v/>
      </c>
      <c r="G284" s="16">
        <f>IF($A284="","",ROW()-ROW($A$5))</f>
        <v/>
      </c>
      <c r="I284" s="7">
        <f>IF(VERI_B!A284="","",VERI_B!A284)</f>
        <v/>
      </c>
      <c r="J284" s="16">
        <f>UPPER(TRIM(SUBSTITUTE($I284," ","")))</f>
        <v/>
      </c>
      <c r="K284" s="16">
        <f>IF($J284="",0,LEN($J284))</f>
        <v/>
      </c>
      <c r="L284" s="16">
        <f>IF($J284="","",LEFT($J284,cbb_ikincilUzunluk))</f>
        <v/>
      </c>
      <c r="M284" s="16">
        <f>"B"</f>
        <v/>
      </c>
      <c r="N284" s="16">
        <f>IF($J284="","",IF(COUNTIF(tblAnahtarB[NormB],$J284)&gt;1,"EVET","HAYIR"))</f>
        <v/>
      </c>
      <c r="O284" s="16">
        <f>IF($I284="","",ROW()-ROW($I$5))</f>
        <v/>
      </c>
    </row>
    <row r="285">
      <c r="A285" s="7">
        <f>IF(VERI_A!A285="","",VERI_A!A285)</f>
        <v/>
      </c>
      <c r="B285" s="16">
        <f>UPPER(TRIM(SUBSTITUTE($A285," ","")))</f>
        <v/>
      </c>
      <c r="C285" s="16">
        <f>IF($B285="",0,LEN($B285))</f>
        <v/>
      </c>
      <c r="D285" s="16">
        <f>IF($B285="","",LEFT($B285,cbb_ikincilUzunluk))</f>
        <v/>
      </c>
      <c r="E285" s="16">
        <f>"A"</f>
        <v/>
      </c>
      <c r="F285" s="16">
        <f>IF($B285="","",IF(COUNTIF(tblAnahtarA[Norm],$B285)&gt;1,"EVET","HAYIR"))</f>
        <v/>
      </c>
      <c r="G285" s="16">
        <f>IF($A285="","",ROW()-ROW($A$5))</f>
        <v/>
      </c>
      <c r="I285" s="7">
        <f>IF(VERI_B!A285="","",VERI_B!A285)</f>
        <v/>
      </c>
      <c r="J285" s="16">
        <f>UPPER(TRIM(SUBSTITUTE($I285," ","")))</f>
        <v/>
      </c>
      <c r="K285" s="16">
        <f>IF($J285="",0,LEN($J285))</f>
        <v/>
      </c>
      <c r="L285" s="16">
        <f>IF($J285="","",LEFT($J285,cbb_ikincilUzunluk))</f>
        <v/>
      </c>
      <c r="M285" s="16">
        <f>"B"</f>
        <v/>
      </c>
      <c r="N285" s="16">
        <f>IF($J285="","",IF(COUNTIF(tblAnahtarB[NormB],$J285)&gt;1,"EVET","HAYIR"))</f>
        <v/>
      </c>
      <c r="O285" s="16">
        <f>IF($I285="","",ROW()-ROW($I$5))</f>
        <v/>
      </c>
    </row>
    <row r="286">
      <c r="A286" s="7">
        <f>IF(VERI_A!A286="","",VERI_A!A286)</f>
        <v/>
      </c>
      <c r="B286" s="16">
        <f>UPPER(TRIM(SUBSTITUTE($A286," ","")))</f>
        <v/>
      </c>
      <c r="C286" s="16">
        <f>IF($B286="",0,LEN($B286))</f>
        <v/>
      </c>
      <c r="D286" s="16">
        <f>IF($B286="","",LEFT($B286,cbb_ikincilUzunluk))</f>
        <v/>
      </c>
      <c r="E286" s="16">
        <f>"A"</f>
        <v/>
      </c>
      <c r="F286" s="16">
        <f>IF($B286="","",IF(COUNTIF(tblAnahtarA[Norm],$B286)&gt;1,"EVET","HAYIR"))</f>
        <v/>
      </c>
      <c r="G286" s="16">
        <f>IF($A286="","",ROW()-ROW($A$5))</f>
        <v/>
      </c>
      <c r="I286" s="7">
        <f>IF(VERI_B!A286="","",VERI_B!A286)</f>
        <v/>
      </c>
      <c r="J286" s="16">
        <f>UPPER(TRIM(SUBSTITUTE($I286," ","")))</f>
        <v/>
      </c>
      <c r="K286" s="16">
        <f>IF($J286="",0,LEN($J286))</f>
        <v/>
      </c>
      <c r="L286" s="16">
        <f>IF($J286="","",LEFT($J286,cbb_ikincilUzunluk))</f>
        <v/>
      </c>
      <c r="M286" s="16">
        <f>"B"</f>
        <v/>
      </c>
      <c r="N286" s="16">
        <f>IF($J286="","",IF(COUNTIF(tblAnahtarB[NormB],$J286)&gt;1,"EVET","HAYIR"))</f>
        <v/>
      </c>
      <c r="O286" s="16">
        <f>IF($I286="","",ROW()-ROW($I$5))</f>
        <v/>
      </c>
    </row>
    <row r="287">
      <c r="A287" s="7">
        <f>IF(VERI_A!A287="","",VERI_A!A287)</f>
        <v/>
      </c>
      <c r="B287" s="16">
        <f>UPPER(TRIM(SUBSTITUTE($A287," ","")))</f>
        <v/>
      </c>
      <c r="C287" s="16">
        <f>IF($B287="",0,LEN($B287))</f>
        <v/>
      </c>
      <c r="D287" s="16">
        <f>IF($B287="","",LEFT($B287,cbb_ikincilUzunluk))</f>
        <v/>
      </c>
      <c r="E287" s="16">
        <f>"A"</f>
        <v/>
      </c>
      <c r="F287" s="16">
        <f>IF($B287="","",IF(COUNTIF(tblAnahtarA[Norm],$B287)&gt;1,"EVET","HAYIR"))</f>
        <v/>
      </c>
      <c r="G287" s="16">
        <f>IF($A287="","",ROW()-ROW($A$5))</f>
        <v/>
      </c>
      <c r="I287" s="7">
        <f>IF(VERI_B!A287="","",VERI_B!A287)</f>
        <v/>
      </c>
      <c r="J287" s="16">
        <f>UPPER(TRIM(SUBSTITUTE($I287," ","")))</f>
        <v/>
      </c>
      <c r="K287" s="16">
        <f>IF($J287="",0,LEN($J287))</f>
        <v/>
      </c>
      <c r="L287" s="16">
        <f>IF($J287="","",LEFT($J287,cbb_ikincilUzunluk))</f>
        <v/>
      </c>
      <c r="M287" s="16">
        <f>"B"</f>
        <v/>
      </c>
      <c r="N287" s="16">
        <f>IF($J287="","",IF(COUNTIF(tblAnahtarB[NormB],$J287)&gt;1,"EVET","HAYIR"))</f>
        <v/>
      </c>
      <c r="O287" s="16">
        <f>IF($I287="","",ROW()-ROW($I$5))</f>
        <v/>
      </c>
    </row>
    <row r="288">
      <c r="A288" s="7">
        <f>IF(VERI_A!A288="","",VERI_A!A288)</f>
        <v/>
      </c>
      <c r="B288" s="16">
        <f>UPPER(TRIM(SUBSTITUTE($A288," ","")))</f>
        <v/>
      </c>
      <c r="C288" s="16">
        <f>IF($B288="",0,LEN($B288))</f>
        <v/>
      </c>
      <c r="D288" s="16">
        <f>IF($B288="","",LEFT($B288,cbb_ikincilUzunluk))</f>
        <v/>
      </c>
      <c r="E288" s="16">
        <f>"A"</f>
        <v/>
      </c>
      <c r="F288" s="16">
        <f>IF($B288="","",IF(COUNTIF(tblAnahtarA[Norm],$B288)&gt;1,"EVET","HAYIR"))</f>
        <v/>
      </c>
      <c r="G288" s="16">
        <f>IF($A288="","",ROW()-ROW($A$5))</f>
        <v/>
      </c>
      <c r="I288" s="7">
        <f>IF(VERI_B!A288="","",VERI_B!A288)</f>
        <v/>
      </c>
      <c r="J288" s="16">
        <f>UPPER(TRIM(SUBSTITUTE($I288," ","")))</f>
        <v/>
      </c>
      <c r="K288" s="16">
        <f>IF($J288="",0,LEN($J288))</f>
        <v/>
      </c>
      <c r="L288" s="16">
        <f>IF($J288="","",LEFT($J288,cbb_ikincilUzunluk))</f>
        <v/>
      </c>
      <c r="M288" s="16">
        <f>"B"</f>
        <v/>
      </c>
      <c r="N288" s="16">
        <f>IF($J288="","",IF(COUNTIF(tblAnahtarB[NormB],$J288)&gt;1,"EVET","HAYIR"))</f>
        <v/>
      </c>
      <c r="O288" s="16">
        <f>IF($I288="","",ROW()-ROW($I$5))</f>
        <v/>
      </c>
    </row>
    <row r="289">
      <c r="A289" s="7">
        <f>IF(VERI_A!A289="","",VERI_A!A289)</f>
        <v/>
      </c>
      <c r="B289" s="16">
        <f>UPPER(TRIM(SUBSTITUTE($A289," ","")))</f>
        <v/>
      </c>
      <c r="C289" s="16">
        <f>IF($B289="",0,LEN($B289))</f>
        <v/>
      </c>
      <c r="D289" s="16">
        <f>IF($B289="","",LEFT($B289,cbb_ikincilUzunluk))</f>
        <v/>
      </c>
      <c r="E289" s="16">
        <f>"A"</f>
        <v/>
      </c>
      <c r="F289" s="16">
        <f>IF($B289="","",IF(COUNTIF(tblAnahtarA[Norm],$B289)&gt;1,"EVET","HAYIR"))</f>
        <v/>
      </c>
      <c r="G289" s="16">
        <f>IF($A289="","",ROW()-ROW($A$5))</f>
        <v/>
      </c>
      <c r="I289" s="7">
        <f>IF(VERI_B!A289="","",VERI_B!A289)</f>
        <v/>
      </c>
      <c r="J289" s="16">
        <f>UPPER(TRIM(SUBSTITUTE($I289," ","")))</f>
        <v/>
      </c>
      <c r="K289" s="16">
        <f>IF($J289="",0,LEN($J289))</f>
        <v/>
      </c>
      <c r="L289" s="16">
        <f>IF($J289="","",LEFT($J289,cbb_ikincilUzunluk))</f>
        <v/>
      </c>
      <c r="M289" s="16">
        <f>"B"</f>
        <v/>
      </c>
      <c r="N289" s="16">
        <f>IF($J289="","",IF(COUNTIF(tblAnahtarB[NormB],$J289)&gt;1,"EVET","HAYIR"))</f>
        <v/>
      </c>
      <c r="O289" s="16">
        <f>IF($I289="","",ROW()-ROW($I$5))</f>
        <v/>
      </c>
    </row>
    <row r="290">
      <c r="A290" s="7">
        <f>IF(VERI_A!A290="","",VERI_A!A290)</f>
        <v/>
      </c>
      <c r="B290" s="16">
        <f>UPPER(TRIM(SUBSTITUTE($A290," ","")))</f>
        <v/>
      </c>
      <c r="C290" s="16">
        <f>IF($B290="",0,LEN($B290))</f>
        <v/>
      </c>
      <c r="D290" s="16">
        <f>IF($B290="","",LEFT($B290,cbb_ikincilUzunluk))</f>
        <v/>
      </c>
      <c r="E290" s="16">
        <f>"A"</f>
        <v/>
      </c>
      <c r="F290" s="16">
        <f>IF($B290="","",IF(COUNTIF(tblAnahtarA[Norm],$B290)&gt;1,"EVET","HAYIR"))</f>
        <v/>
      </c>
      <c r="G290" s="16">
        <f>IF($A290="","",ROW()-ROW($A$5))</f>
        <v/>
      </c>
      <c r="I290" s="7">
        <f>IF(VERI_B!A290="","",VERI_B!A290)</f>
        <v/>
      </c>
      <c r="J290" s="16">
        <f>UPPER(TRIM(SUBSTITUTE($I290," ","")))</f>
        <v/>
      </c>
      <c r="K290" s="16">
        <f>IF($J290="",0,LEN($J290))</f>
        <v/>
      </c>
      <c r="L290" s="16">
        <f>IF($J290="","",LEFT($J290,cbb_ikincilUzunluk))</f>
        <v/>
      </c>
      <c r="M290" s="16">
        <f>"B"</f>
        <v/>
      </c>
      <c r="N290" s="16">
        <f>IF($J290="","",IF(COUNTIF(tblAnahtarB[NormB],$J290)&gt;1,"EVET","HAYIR"))</f>
        <v/>
      </c>
      <c r="O290" s="16">
        <f>IF($I290="","",ROW()-ROW($I$5))</f>
        <v/>
      </c>
    </row>
    <row r="291">
      <c r="A291" s="7">
        <f>IF(VERI_A!A291="","",VERI_A!A291)</f>
        <v/>
      </c>
      <c r="B291" s="16">
        <f>UPPER(TRIM(SUBSTITUTE($A291," ","")))</f>
        <v/>
      </c>
      <c r="C291" s="16">
        <f>IF($B291="",0,LEN($B291))</f>
        <v/>
      </c>
      <c r="D291" s="16">
        <f>IF($B291="","",LEFT($B291,cbb_ikincilUzunluk))</f>
        <v/>
      </c>
      <c r="E291" s="16">
        <f>"A"</f>
        <v/>
      </c>
      <c r="F291" s="16">
        <f>IF($B291="","",IF(COUNTIF(tblAnahtarA[Norm],$B291)&gt;1,"EVET","HAYIR"))</f>
        <v/>
      </c>
      <c r="G291" s="16">
        <f>IF($A291="","",ROW()-ROW($A$5))</f>
        <v/>
      </c>
      <c r="I291" s="7">
        <f>IF(VERI_B!A291="","",VERI_B!A291)</f>
        <v/>
      </c>
      <c r="J291" s="16">
        <f>UPPER(TRIM(SUBSTITUTE($I291," ","")))</f>
        <v/>
      </c>
      <c r="K291" s="16">
        <f>IF($J291="",0,LEN($J291))</f>
        <v/>
      </c>
      <c r="L291" s="16">
        <f>IF($J291="","",LEFT($J291,cbb_ikincilUzunluk))</f>
        <v/>
      </c>
      <c r="M291" s="16">
        <f>"B"</f>
        <v/>
      </c>
      <c r="N291" s="16">
        <f>IF($J291="","",IF(COUNTIF(tblAnahtarB[NormB],$J291)&gt;1,"EVET","HAYIR"))</f>
        <v/>
      </c>
      <c r="O291" s="16">
        <f>IF($I291="","",ROW()-ROW($I$5))</f>
        <v/>
      </c>
    </row>
    <row r="292">
      <c r="A292" s="7">
        <f>IF(VERI_A!A292="","",VERI_A!A292)</f>
        <v/>
      </c>
      <c r="B292" s="16">
        <f>UPPER(TRIM(SUBSTITUTE($A292," ","")))</f>
        <v/>
      </c>
      <c r="C292" s="16">
        <f>IF($B292="",0,LEN($B292))</f>
        <v/>
      </c>
      <c r="D292" s="16">
        <f>IF($B292="","",LEFT($B292,cbb_ikincilUzunluk))</f>
        <v/>
      </c>
      <c r="E292" s="16">
        <f>"A"</f>
        <v/>
      </c>
      <c r="F292" s="16">
        <f>IF($B292="","",IF(COUNTIF(tblAnahtarA[Norm],$B292)&gt;1,"EVET","HAYIR"))</f>
        <v/>
      </c>
      <c r="G292" s="16">
        <f>IF($A292="","",ROW()-ROW($A$5))</f>
        <v/>
      </c>
      <c r="I292" s="7">
        <f>IF(VERI_B!A292="","",VERI_B!A292)</f>
        <v/>
      </c>
      <c r="J292" s="16">
        <f>UPPER(TRIM(SUBSTITUTE($I292," ","")))</f>
        <v/>
      </c>
      <c r="K292" s="16">
        <f>IF($J292="",0,LEN($J292))</f>
        <v/>
      </c>
      <c r="L292" s="16">
        <f>IF($J292="","",LEFT($J292,cbb_ikincilUzunluk))</f>
        <v/>
      </c>
      <c r="M292" s="16">
        <f>"B"</f>
        <v/>
      </c>
      <c r="N292" s="16">
        <f>IF($J292="","",IF(COUNTIF(tblAnahtarB[NormB],$J292)&gt;1,"EVET","HAYIR"))</f>
        <v/>
      </c>
      <c r="O292" s="16">
        <f>IF($I292="","",ROW()-ROW($I$5))</f>
        <v/>
      </c>
    </row>
    <row r="293">
      <c r="A293" s="7">
        <f>IF(VERI_A!A293="","",VERI_A!A293)</f>
        <v/>
      </c>
      <c r="B293" s="16">
        <f>UPPER(TRIM(SUBSTITUTE($A293," ","")))</f>
        <v/>
      </c>
      <c r="C293" s="16">
        <f>IF($B293="",0,LEN($B293))</f>
        <v/>
      </c>
      <c r="D293" s="16">
        <f>IF($B293="","",LEFT($B293,cbb_ikincilUzunluk))</f>
        <v/>
      </c>
      <c r="E293" s="16">
        <f>"A"</f>
        <v/>
      </c>
      <c r="F293" s="16">
        <f>IF($B293="","",IF(COUNTIF(tblAnahtarA[Norm],$B293)&gt;1,"EVET","HAYIR"))</f>
        <v/>
      </c>
      <c r="G293" s="16">
        <f>IF($A293="","",ROW()-ROW($A$5))</f>
        <v/>
      </c>
      <c r="I293" s="7">
        <f>IF(VERI_B!A293="","",VERI_B!A293)</f>
        <v/>
      </c>
      <c r="J293" s="16">
        <f>UPPER(TRIM(SUBSTITUTE($I293," ","")))</f>
        <v/>
      </c>
      <c r="K293" s="16">
        <f>IF($J293="",0,LEN($J293))</f>
        <v/>
      </c>
      <c r="L293" s="16">
        <f>IF($J293="","",LEFT($J293,cbb_ikincilUzunluk))</f>
        <v/>
      </c>
      <c r="M293" s="16">
        <f>"B"</f>
        <v/>
      </c>
      <c r="N293" s="16">
        <f>IF($J293="","",IF(COUNTIF(tblAnahtarB[NormB],$J293)&gt;1,"EVET","HAYIR"))</f>
        <v/>
      </c>
      <c r="O293" s="16">
        <f>IF($I293="","",ROW()-ROW($I$5))</f>
        <v/>
      </c>
    </row>
    <row r="294">
      <c r="A294" s="7">
        <f>IF(VERI_A!A294="","",VERI_A!A294)</f>
        <v/>
      </c>
      <c r="B294" s="16">
        <f>UPPER(TRIM(SUBSTITUTE($A294," ","")))</f>
        <v/>
      </c>
      <c r="C294" s="16">
        <f>IF($B294="",0,LEN($B294))</f>
        <v/>
      </c>
      <c r="D294" s="16">
        <f>IF($B294="","",LEFT($B294,cbb_ikincilUzunluk))</f>
        <v/>
      </c>
      <c r="E294" s="16">
        <f>"A"</f>
        <v/>
      </c>
      <c r="F294" s="16">
        <f>IF($B294="","",IF(COUNTIF(tblAnahtarA[Norm],$B294)&gt;1,"EVET","HAYIR"))</f>
        <v/>
      </c>
      <c r="G294" s="16">
        <f>IF($A294="","",ROW()-ROW($A$5))</f>
        <v/>
      </c>
      <c r="I294" s="7">
        <f>IF(VERI_B!A294="","",VERI_B!A294)</f>
        <v/>
      </c>
      <c r="J294" s="16">
        <f>UPPER(TRIM(SUBSTITUTE($I294," ","")))</f>
        <v/>
      </c>
      <c r="K294" s="16">
        <f>IF($J294="",0,LEN($J294))</f>
        <v/>
      </c>
      <c r="L294" s="16">
        <f>IF($J294="","",LEFT($J294,cbb_ikincilUzunluk))</f>
        <v/>
      </c>
      <c r="M294" s="16">
        <f>"B"</f>
        <v/>
      </c>
      <c r="N294" s="16">
        <f>IF($J294="","",IF(COUNTIF(tblAnahtarB[NormB],$J294)&gt;1,"EVET","HAYIR"))</f>
        <v/>
      </c>
      <c r="O294" s="16">
        <f>IF($I294="","",ROW()-ROW($I$5))</f>
        <v/>
      </c>
    </row>
    <row r="295">
      <c r="A295" s="7">
        <f>IF(VERI_A!A295="","",VERI_A!A295)</f>
        <v/>
      </c>
      <c r="B295" s="16">
        <f>UPPER(TRIM(SUBSTITUTE($A295," ","")))</f>
        <v/>
      </c>
      <c r="C295" s="16">
        <f>IF($B295="",0,LEN($B295))</f>
        <v/>
      </c>
      <c r="D295" s="16">
        <f>IF($B295="","",LEFT($B295,cbb_ikincilUzunluk))</f>
        <v/>
      </c>
      <c r="E295" s="16">
        <f>"A"</f>
        <v/>
      </c>
      <c r="F295" s="16">
        <f>IF($B295="","",IF(COUNTIF(tblAnahtarA[Norm],$B295)&gt;1,"EVET","HAYIR"))</f>
        <v/>
      </c>
      <c r="G295" s="16">
        <f>IF($A295="","",ROW()-ROW($A$5))</f>
        <v/>
      </c>
      <c r="I295" s="7">
        <f>IF(VERI_B!A295="","",VERI_B!A295)</f>
        <v/>
      </c>
      <c r="J295" s="16">
        <f>UPPER(TRIM(SUBSTITUTE($I295," ","")))</f>
        <v/>
      </c>
      <c r="K295" s="16">
        <f>IF($J295="",0,LEN($J295))</f>
        <v/>
      </c>
      <c r="L295" s="16">
        <f>IF($J295="","",LEFT($J295,cbb_ikincilUzunluk))</f>
        <v/>
      </c>
      <c r="M295" s="16">
        <f>"B"</f>
        <v/>
      </c>
      <c r="N295" s="16">
        <f>IF($J295="","",IF(COUNTIF(tblAnahtarB[NormB],$J295)&gt;1,"EVET","HAYIR"))</f>
        <v/>
      </c>
      <c r="O295" s="16">
        <f>IF($I295="","",ROW()-ROW($I$5))</f>
        <v/>
      </c>
    </row>
    <row r="296">
      <c r="A296" s="7">
        <f>IF(VERI_A!A296="","",VERI_A!A296)</f>
        <v/>
      </c>
      <c r="B296" s="16">
        <f>UPPER(TRIM(SUBSTITUTE($A296," ","")))</f>
        <v/>
      </c>
      <c r="C296" s="16">
        <f>IF($B296="",0,LEN($B296))</f>
        <v/>
      </c>
      <c r="D296" s="16">
        <f>IF($B296="","",LEFT($B296,cbb_ikincilUzunluk))</f>
        <v/>
      </c>
      <c r="E296" s="16">
        <f>"A"</f>
        <v/>
      </c>
      <c r="F296" s="16">
        <f>IF($B296="","",IF(COUNTIF(tblAnahtarA[Norm],$B296)&gt;1,"EVET","HAYIR"))</f>
        <v/>
      </c>
      <c r="G296" s="16">
        <f>IF($A296="","",ROW()-ROW($A$5))</f>
        <v/>
      </c>
      <c r="I296" s="7">
        <f>IF(VERI_B!A296="","",VERI_B!A296)</f>
        <v/>
      </c>
      <c r="J296" s="16">
        <f>UPPER(TRIM(SUBSTITUTE($I296," ","")))</f>
        <v/>
      </c>
      <c r="K296" s="16">
        <f>IF($J296="",0,LEN($J296))</f>
        <v/>
      </c>
      <c r="L296" s="16">
        <f>IF($J296="","",LEFT($J296,cbb_ikincilUzunluk))</f>
        <v/>
      </c>
      <c r="M296" s="16">
        <f>"B"</f>
        <v/>
      </c>
      <c r="N296" s="16">
        <f>IF($J296="","",IF(COUNTIF(tblAnahtarB[NormB],$J296)&gt;1,"EVET","HAYIR"))</f>
        <v/>
      </c>
      <c r="O296" s="16">
        <f>IF($I296="","",ROW()-ROW($I$5))</f>
        <v/>
      </c>
    </row>
    <row r="297">
      <c r="A297" s="7">
        <f>IF(VERI_A!A297="","",VERI_A!A297)</f>
        <v/>
      </c>
      <c r="B297" s="16">
        <f>UPPER(TRIM(SUBSTITUTE($A297," ","")))</f>
        <v/>
      </c>
      <c r="C297" s="16">
        <f>IF($B297="",0,LEN($B297))</f>
        <v/>
      </c>
      <c r="D297" s="16">
        <f>IF($B297="","",LEFT($B297,cbb_ikincilUzunluk))</f>
        <v/>
      </c>
      <c r="E297" s="16">
        <f>"A"</f>
        <v/>
      </c>
      <c r="F297" s="16">
        <f>IF($B297="","",IF(COUNTIF(tblAnahtarA[Norm],$B297)&gt;1,"EVET","HAYIR"))</f>
        <v/>
      </c>
      <c r="G297" s="16">
        <f>IF($A297="","",ROW()-ROW($A$5))</f>
        <v/>
      </c>
      <c r="I297" s="7">
        <f>IF(VERI_B!A297="","",VERI_B!A297)</f>
        <v/>
      </c>
      <c r="J297" s="16">
        <f>UPPER(TRIM(SUBSTITUTE($I297," ","")))</f>
        <v/>
      </c>
      <c r="K297" s="16">
        <f>IF($J297="",0,LEN($J297))</f>
        <v/>
      </c>
      <c r="L297" s="16">
        <f>IF($J297="","",LEFT($J297,cbb_ikincilUzunluk))</f>
        <v/>
      </c>
      <c r="M297" s="16">
        <f>"B"</f>
        <v/>
      </c>
      <c r="N297" s="16">
        <f>IF($J297="","",IF(COUNTIF(tblAnahtarB[NormB],$J297)&gt;1,"EVET","HAYIR"))</f>
        <v/>
      </c>
      <c r="O297" s="16">
        <f>IF($I297="","",ROW()-ROW($I$5))</f>
        <v/>
      </c>
    </row>
    <row r="298">
      <c r="A298" s="7">
        <f>IF(VERI_A!A298="","",VERI_A!A298)</f>
        <v/>
      </c>
      <c r="B298" s="16">
        <f>UPPER(TRIM(SUBSTITUTE($A298," ","")))</f>
        <v/>
      </c>
      <c r="C298" s="16">
        <f>IF($B298="",0,LEN($B298))</f>
        <v/>
      </c>
      <c r="D298" s="16">
        <f>IF($B298="","",LEFT($B298,cbb_ikincilUzunluk))</f>
        <v/>
      </c>
      <c r="E298" s="16">
        <f>"A"</f>
        <v/>
      </c>
      <c r="F298" s="16">
        <f>IF($B298="","",IF(COUNTIF(tblAnahtarA[Norm],$B298)&gt;1,"EVET","HAYIR"))</f>
        <v/>
      </c>
      <c r="G298" s="16">
        <f>IF($A298="","",ROW()-ROW($A$5))</f>
        <v/>
      </c>
      <c r="I298" s="7">
        <f>IF(VERI_B!A298="","",VERI_B!A298)</f>
        <v/>
      </c>
      <c r="J298" s="16">
        <f>UPPER(TRIM(SUBSTITUTE($I298," ","")))</f>
        <v/>
      </c>
      <c r="K298" s="16">
        <f>IF($J298="",0,LEN($J298))</f>
        <v/>
      </c>
      <c r="L298" s="16">
        <f>IF($J298="","",LEFT($J298,cbb_ikincilUzunluk))</f>
        <v/>
      </c>
      <c r="M298" s="16">
        <f>"B"</f>
        <v/>
      </c>
      <c r="N298" s="16">
        <f>IF($J298="","",IF(COUNTIF(tblAnahtarB[NormB],$J298)&gt;1,"EVET","HAYIR"))</f>
        <v/>
      </c>
      <c r="O298" s="16">
        <f>IF($I298="","",ROW()-ROW($I$5))</f>
        <v/>
      </c>
    </row>
    <row r="299">
      <c r="A299" s="7">
        <f>IF(VERI_A!A299="","",VERI_A!A299)</f>
        <v/>
      </c>
      <c r="B299" s="16">
        <f>UPPER(TRIM(SUBSTITUTE($A299," ","")))</f>
        <v/>
      </c>
      <c r="C299" s="16">
        <f>IF($B299="",0,LEN($B299))</f>
        <v/>
      </c>
      <c r="D299" s="16">
        <f>IF($B299="","",LEFT($B299,cbb_ikincilUzunluk))</f>
        <v/>
      </c>
      <c r="E299" s="16">
        <f>"A"</f>
        <v/>
      </c>
      <c r="F299" s="16">
        <f>IF($B299="","",IF(COUNTIF(tblAnahtarA[Norm],$B299)&gt;1,"EVET","HAYIR"))</f>
        <v/>
      </c>
      <c r="G299" s="16">
        <f>IF($A299="","",ROW()-ROW($A$5))</f>
        <v/>
      </c>
      <c r="I299" s="7">
        <f>IF(VERI_B!A299="","",VERI_B!A299)</f>
        <v/>
      </c>
      <c r="J299" s="16">
        <f>UPPER(TRIM(SUBSTITUTE($I299," ","")))</f>
        <v/>
      </c>
      <c r="K299" s="16">
        <f>IF($J299="",0,LEN($J299))</f>
        <v/>
      </c>
      <c r="L299" s="16">
        <f>IF($J299="","",LEFT($J299,cbb_ikincilUzunluk))</f>
        <v/>
      </c>
      <c r="M299" s="16">
        <f>"B"</f>
        <v/>
      </c>
      <c r="N299" s="16">
        <f>IF($J299="","",IF(COUNTIF(tblAnahtarB[NormB],$J299)&gt;1,"EVET","HAYIR"))</f>
        <v/>
      </c>
      <c r="O299" s="16">
        <f>IF($I299="","",ROW()-ROW($I$5))</f>
        <v/>
      </c>
    </row>
    <row r="300">
      <c r="A300" s="7">
        <f>IF(VERI_A!A300="","",VERI_A!A300)</f>
        <v/>
      </c>
      <c r="B300" s="16">
        <f>UPPER(TRIM(SUBSTITUTE($A300," ","")))</f>
        <v/>
      </c>
      <c r="C300" s="16">
        <f>IF($B300="",0,LEN($B300))</f>
        <v/>
      </c>
      <c r="D300" s="16">
        <f>IF($B300="","",LEFT($B300,cbb_ikincilUzunluk))</f>
        <v/>
      </c>
      <c r="E300" s="16">
        <f>"A"</f>
        <v/>
      </c>
      <c r="F300" s="16">
        <f>IF($B300="","",IF(COUNTIF(tblAnahtarA[Norm],$B300)&gt;1,"EVET","HAYIR"))</f>
        <v/>
      </c>
      <c r="G300" s="16">
        <f>IF($A300="","",ROW()-ROW($A$5))</f>
        <v/>
      </c>
      <c r="I300" s="7">
        <f>IF(VERI_B!A300="","",VERI_B!A300)</f>
        <v/>
      </c>
      <c r="J300" s="16">
        <f>UPPER(TRIM(SUBSTITUTE($I300," ","")))</f>
        <v/>
      </c>
      <c r="K300" s="16">
        <f>IF($J300="",0,LEN($J300))</f>
        <v/>
      </c>
      <c r="L300" s="16">
        <f>IF($J300="","",LEFT($J300,cbb_ikincilUzunluk))</f>
        <v/>
      </c>
      <c r="M300" s="16">
        <f>"B"</f>
        <v/>
      </c>
      <c r="N300" s="16">
        <f>IF($J300="","",IF(COUNTIF(tblAnahtarB[NormB],$J300)&gt;1,"EVET","HAYIR"))</f>
        <v/>
      </c>
      <c r="O300" s="16">
        <f>IF($I300="","",ROW()-ROW($I$5))</f>
        <v/>
      </c>
    </row>
    <row r="301">
      <c r="A301" s="7">
        <f>IF(VERI_A!A301="","",VERI_A!A301)</f>
        <v/>
      </c>
      <c r="B301" s="16">
        <f>UPPER(TRIM(SUBSTITUTE($A301," ","")))</f>
        <v/>
      </c>
      <c r="C301" s="16">
        <f>IF($B301="",0,LEN($B301))</f>
        <v/>
      </c>
      <c r="D301" s="16">
        <f>IF($B301="","",LEFT($B301,cbb_ikincilUzunluk))</f>
        <v/>
      </c>
      <c r="E301" s="16">
        <f>"A"</f>
        <v/>
      </c>
      <c r="F301" s="16">
        <f>IF($B301="","",IF(COUNTIF(tblAnahtarA[Norm],$B301)&gt;1,"EVET","HAYIR"))</f>
        <v/>
      </c>
      <c r="G301" s="16">
        <f>IF($A301="","",ROW()-ROW($A$5))</f>
        <v/>
      </c>
      <c r="I301" s="7">
        <f>IF(VERI_B!A301="","",VERI_B!A301)</f>
        <v/>
      </c>
      <c r="J301" s="16">
        <f>UPPER(TRIM(SUBSTITUTE($I301," ","")))</f>
        <v/>
      </c>
      <c r="K301" s="16">
        <f>IF($J301="",0,LEN($J301))</f>
        <v/>
      </c>
      <c r="L301" s="16">
        <f>IF($J301="","",LEFT($J301,cbb_ikincilUzunluk))</f>
        <v/>
      </c>
      <c r="M301" s="16">
        <f>"B"</f>
        <v/>
      </c>
      <c r="N301" s="16">
        <f>IF($J301="","",IF(COUNTIF(tblAnahtarB[NormB],$J301)&gt;1,"EVET","HAYIR"))</f>
        <v/>
      </c>
      <c r="O301" s="16">
        <f>IF($I301="","",ROW()-ROW($I$5))</f>
        <v/>
      </c>
    </row>
    <row r="302">
      <c r="A302" s="7">
        <f>IF(VERI_A!A302="","",VERI_A!A302)</f>
        <v/>
      </c>
      <c r="B302" s="16">
        <f>UPPER(TRIM(SUBSTITUTE($A302," ","")))</f>
        <v/>
      </c>
      <c r="C302" s="16">
        <f>IF($B302="",0,LEN($B302))</f>
        <v/>
      </c>
      <c r="D302" s="16">
        <f>IF($B302="","",LEFT($B302,cbb_ikincilUzunluk))</f>
        <v/>
      </c>
      <c r="E302" s="16">
        <f>"A"</f>
        <v/>
      </c>
      <c r="F302" s="16">
        <f>IF($B302="","",IF(COUNTIF(tblAnahtarA[Norm],$B302)&gt;1,"EVET","HAYIR"))</f>
        <v/>
      </c>
      <c r="G302" s="16">
        <f>IF($A302="","",ROW()-ROW($A$5))</f>
        <v/>
      </c>
      <c r="I302" s="7">
        <f>IF(VERI_B!A302="","",VERI_B!A302)</f>
        <v/>
      </c>
      <c r="J302" s="16">
        <f>UPPER(TRIM(SUBSTITUTE($I302," ","")))</f>
        <v/>
      </c>
      <c r="K302" s="16">
        <f>IF($J302="",0,LEN($J302))</f>
        <v/>
      </c>
      <c r="L302" s="16">
        <f>IF($J302="","",LEFT($J302,cbb_ikincilUzunluk))</f>
        <v/>
      </c>
      <c r="M302" s="16">
        <f>"B"</f>
        <v/>
      </c>
      <c r="N302" s="16">
        <f>IF($J302="","",IF(COUNTIF(tblAnahtarB[NormB],$J302)&gt;1,"EVET","HAYIR"))</f>
        <v/>
      </c>
      <c r="O302" s="16">
        <f>IF($I302="","",ROW()-ROW($I$5))</f>
        <v/>
      </c>
    </row>
    <row r="303">
      <c r="A303" s="7">
        <f>IF(VERI_A!A303="","",VERI_A!A303)</f>
        <v/>
      </c>
      <c r="B303" s="16">
        <f>UPPER(TRIM(SUBSTITUTE($A303," ","")))</f>
        <v/>
      </c>
      <c r="C303" s="16">
        <f>IF($B303="",0,LEN($B303))</f>
        <v/>
      </c>
      <c r="D303" s="16">
        <f>IF($B303="","",LEFT($B303,cbb_ikincilUzunluk))</f>
        <v/>
      </c>
      <c r="E303" s="16">
        <f>"A"</f>
        <v/>
      </c>
      <c r="F303" s="16">
        <f>IF($B303="","",IF(COUNTIF(tblAnahtarA[Norm],$B303)&gt;1,"EVET","HAYIR"))</f>
        <v/>
      </c>
      <c r="G303" s="16">
        <f>IF($A303="","",ROW()-ROW($A$5))</f>
        <v/>
      </c>
      <c r="I303" s="7">
        <f>IF(VERI_B!A303="","",VERI_B!A303)</f>
        <v/>
      </c>
      <c r="J303" s="16">
        <f>UPPER(TRIM(SUBSTITUTE($I303," ","")))</f>
        <v/>
      </c>
      <c r="K303" s="16">
        <f>IF($J303="",0,LEN($J303))</f>
        <v/>
      </c>
      <c r="L303" s="16">
        <f>IF($J303="","",LEFT($J303,cbb_ikincilUzunluk))</f>
        <v/>
      </c>
      <c r="M303" s="16">
        <f>"B"</f>
        <v/>
      </c>
      <c r="N303" s="16">
        <f>IF($J303="","",IF(COUNTIF(tblAnahtarB[NormB],$J303)&gt;1,"EVET","HAYIR"))</f>
        <v/>
      </c>
      <c r="O303" s="16">
        <f>IF($I303="","",ROW()-ROW($I$5))</f>
        <v/>
      </c>
    </row>
    <row r="304">
      <c r="A304" s="7">
        <f>IF(VERI_A!A304="","",VERI_A!A304)</f>
        <v/>
      </c>
      <c r="B304" s="16">
        <f>UPPER(TRIM(SUBSTITUTE($A304," ","")))</f>
        <v/>
      </c>
      <c r="C304" s="16">
        <f>IF($B304="",0,LEN($B304))</f>
        <v/>
      </c>
      <c r="D304" s="16">
        <f>IF($B304="","",LEFT($B304,cbb_ikincilUzunluk))</f>
        <v/>
      </c>
      <c r="E304" s="16">
        <f>"A"</f>
        <v/>
      </c>
      <c r="F304" s="16">
        <f>IF($B304="","",IF(COUNTIF(tblAnahtarA[Norm],$B304)&gt;1,"EVET","HAYIR"))</f>
        <v/>
      </c>
      <c r="G304" s="16">
        <f>IF($A304="","",ROW()-ROW($A$5))</f>
        <v/>
      </c>
      <c r="I304" s="7">
        <f>IF(VERI_B!A304="","",VERI_B!A304)</f>
        <v/>
      </c>
      <c r="J304" s="16">
        <f>UPPER(TRIM(SUBSTITUTE($I304," ","")))</f>
        <v/>
      </c>
      <c r="K304" s="16">
        <f>IF($J304="",0,LEN($J304))</f>
        <v/>
      </c>
      <c r="L304" s="16">
        <f>IF($J304="","",LEFT($J304,cbb_ikincilUzunluk))</f>
        <v/>
      </c>
      <c r="M304" s="16">
        <f>"B"</f>
        <v/>
      </c>
      <c r="N304" s="16">
        <f>IF($J304="","",IF(COUNTIF(tblAnahtarB[NormB],$J304)&gt;1,"EVET","HAYIR"))</f>
        <v/>
      </c>
      <c r="O304" s="16">
        <f>IF($I304="","",ROW()-ROW($I$5))</f>
        <v/>
      </c>
    </row>
    <row r="305">
      <c r="A305" s="7">
        <f>IF(VERI_A!A305="","",VERI_A!A305)</f>
        <v/>
      </c>
      <c r="B305" s="16">
        <f>UPPER(TRIM(SUBSTITUTE($A305," ","")))</f>
        <v/>
      </c>
      <c r="C305" s="16">
        <f>IF($B305="",0,LEN($B305))</f>
        <v/>
      </c>
      <c r="D305" s="16">
        <f>IF($B305="","",LEFT($B305,cbb_ikincilUzunluk))</f>
        <v/>
      </c>
      <c r="E305" s="16">
        <f>"A"</f>
        <v/>
      </c>
      <c r="F305" s="16">
        <f>IF($B305="","",IF(COUNTIF(tblAnahtarA[Norm],$B305)&gt;1,"EVET","HAYIR"))</f>
        <v/>
      </c>
      <c r="G305" s="16">
        <f>IF($A305="","",ROW()-ROW($A$5))</f>
        <v/>
      </c>
      <c r="I305" s="7">
        <f>IF(VERI_B!A305="","",VERI_B!A305)</f>
        <v/>
      </c>
      <c r="J305" s="16">
        <f>UPPER(TRIM(SUBSTITUTE($I305," ","")))</f>
        <v/>
      </c>
      <c r="K305" s="16">
        <f>IF($J305="",0,LEN($J305))</f>
        <v/>
      </c>
      <c r="L305" s="16">
        <f>IF($J305="","",LEFT($J305,cbb_ikincilUzunluk))</f>
        <v/>
      </c>
      <c r="M305" s="16">
        <f>"B"</f>
        <v/>
      </c>
      <c r="N305" s="16">
        <f>IF($J305="","",IF(COUNTIF(tblAnahtarB[NormB],$J305)&gt;1,"EVET","HAYIR"))</f>
        <v/>
      </c>
      <c r="O305" s="16">
        <f>IF($I305="","",ROW()-ROW($I$5))</f>
        <v/>
      </c>
    </row>
    <row r="306">
      <c r="A306" s="7">
        <f>IF(VERI_A!A306="","",VERI_A!A306)</f>
        <v/>
      </c>
      <c r="B306" s="16">
        <f>UPPER(TRIM(SUBSTITUTE($A306," ","")))</f>
        <v/>
      </c>
      <c r="C306" s="16">
        <f>IF($B306="",0,LEN($B306))</f>
        <v/>
      </c>
      <c r="D306" s="16">
        <f>IF($B306="","",LEFT($B306,cbb_ikincilUzunluk))</f>
        <v/>
      </c>
      <c r="E306" s="16">
        <f>"A"</f>
        <v/>
      </c>
      <c r="F306" s="16">
        <f>IF($B306="","",IF(COUNTIF(tblAnahtarA[Norm],$B306)&gt;1,"EVET","HAYIR"))</f>
        <v/>
      </c>
      <c r="G306" s="16">
        <f>IF($A306="","",ROW()-ROW($A$5))</f>
        <v/>
      </c>
      <c r="I306" s="7">
        <f>IF(VERI_B!A306="","",VERI_B!A306)</f>
        <v/>
      </c>
      <c r="J306" s="16">
        <f>UPPER(TRIM(SUBSTITUTE($I306," ","")))</f>
        <v/>
      </c>
      <c r="K306" s="16">
        <f>IF($J306="",0,LEN($J306))</f>
        <v/>
      </c>
      <c r="L306" s="16">
        <f>IF($J306="","",LEFT($J306,cbb_ikincilUzunluk))</f>
        <v/>
      </c>
      <c r="M306" s="16">
        <f>"B"</f>
        <v/>
      </c>
      <c r="N306" s="16">
        <f>IF($J306="","",IF(COUNTIF(tblAnahtarB[NormB],$J306)&gt;1,"EVET","HAYIR"))</f>
        <v/>
      </c>
      <c r="O306" s="16">
        <f>IF($I306="","",ROW()-ROW($I$5))</f>
        <v/>
      </c>
    </row>
    <row r="307">
      <c r="A307" s="7">
        <f>IF(VERI_A!A307="","",VERI_A!A307)</f>
        <v/>
      </c>
      <c r="B307" s="16">
        <f>UPPER(TRIM(SUBSTITUTE($A307," ","")))</f>
        <v/>
      </c>
      <c r="C307" s="16">
        <f>IF($B307="",0,LEN($B307))</f>
        <v/>
      </c>
      <c r="D307" s="16">
        <f>IF($B307="","",LEFT($B307,cbb_ikincilUzunluk))</f>
        <v/>
      </c>
      <c r="E307" s="16">
        <f>"A"</f>
        <v/>
      </c>
      <c r="F307" s="16">
        <f>IF($B307="","",IF(COUNTIF(tblAnahtarA[Norm],$B307)&gt;1,"EVET","HAYIR"))</f>
        <v/>
      </c>
      <c r="G307" s="16">
        <f>IF($A307="","",ROW()-ROW($A$5))</f>
        <v/>
      </c>
      <c r="I307" s="7">
        <f>IF(VERI_B!A307="","",VERI_B!A307)</f>
        <v/>
      </c>
      <c r="J307" s="16">
        <f>UPPER(TRIM(SUBSTITUTE($I307," ","")))</f>
        <v/>
      </c>
      <c r="K307" s="16">
        <f>IF($J307="",0,LEN($J307))</f>
        <v/>
      </c>
      <c r="L307" s="16">
        <f>IF($J307="","",LEFT($J307,cbb_ikincilUzunluk))</f>
        <v/>
      </c>
      <c r="M307" s="16">
        <f>"B"</f>
        <v/>
      </c>
      <c r="N307" s="16">
        <f>IF($J307="","",IF(COUNTIF(tblAnahtarB[NormB],$J307)&gt;1,"EVET","HAYIR"))</f>
        <v/>
      </c>
      <c r="O307" s="16">
        <f>IF($I307="","",ROW()-ROW($I$5))</f>
        <v/>
      </c>
    </row>
    <row r="308">
      <c r="A308" s="7">
        <f>IF(VERI_A!A308="","",VERI_A!A308)</f>
        <v/>
      </c>
      <c r="B308" s="16">
        <f>UPPER(TRIM(SUBSTITUTE($A308," ","")))</f>
        <v/>
      </c>
      <c r="C308" s="16">
        <f>IF($B308="",0,LEN($B308))</f>
        <v/>
      </c>
      <c r="D308" s="16">
        <f>IF($B308="","",LEFT($B308,cbb_ikincilUzunluk))</f>
        <v/>
      </c>
      <c r="E308" s="16">
        <f>"A"</f>
        <v/>
      </c>
      <c r="F308" s="16">
        <f>IF($B308="","",IF(COUNTIF(tblAnahtarA[Norm],$B308)&gt;1,"EVET","HAYIR"))</f>
        <v/>
      </c>
      <c r="G308" s="16">
        <f>IF($A308="","",ROW()-ROW($A$5))</f>
        <v/>
      </c>
      <c r="I308" s="7">
        <f>IF(VERI_B!A308="","",VERI_B!A308)</f>
        <v/>
      </c>
      <c r="J308" s="16">
        <f>UPPER(TRIM(SUBSTITUTE($I308," ","")))</f>
        <v/>
      </c>
      <c r="K308" s="16">
        <f>IF($J308="",0,LEN($J308))</f>
        <v/>
      </c>
      <c r="L308" s="16">
        <f>IF($J308="","",LEFT($J308,cbb_ikincilUzunluk))</f>
        <v/>
      </c>
      <c r="M308" s="16">
        <f>"B"</f>
        <v/>
      </c>
      <c r="N308" s="16">
        <f>IF($J308="","",IF(COUNTIF(tblAnahtarB[NormB],$J308)&gt;1,"EVET","HAYIR"))</f>
        <v/>
      </c>
      <c r="O308" s="16">
        <f>IF($I308="","",ROW()-ROW($I$5))</f>
        <v/>
      </c>
    </row>
    <row r="309">
      <c r="A309" s="7">
        <f>IF(VERI_A!A309="","",VERI_A!A309)</f>
        <v/>
      </c>
      <c r="B309" s="16">
        <f>UPPER(TRIM(SUBSTITUTE($A309," ","")))</f>
        <v/>
      </c>
      <c r="C309" s="16">
        <f>IF($B309="",0,LEN($B309))</f>
        <v/>
      </c>
      <c r="D309" s="16">
        <f>IF($B309="","",LEFT($B309,cbb_ikincilUzunluk))</f>
        <v/>
      </c>
      <c r="E309" s="16">
        <f>"A"</f>
        <v/>
      </c>
      <c r="F309" s="16">
        <f>IF($B309="","",IF(COUNTIF(tblAnahtarA[Norm],$B309)&gt;1,"EVET","HAYIR"))</f>
        <v/>
      </c>
      <c r="G309" s="16">
        <f>IF($A309="","",ROW()-ROW($A$5))</f>
        <v/>
      </c>
      <c r="I309" s="7">
        <f>IF(VERI_B!A309="","",VERI_B!A309)</f>
        <v/>
      </c>
      <c r="J309" s="16">
        <f>UPPER(TRIM(SUBSTITUTE($I309," ","")))</f>
        <v/>
      </c>
      <c r="K309" s="16">
        <f>IF($J309="",0,LEN($J309))</f>
        <v/>
      </c>
      <c r="L309" s="16">
        <f>IF($J309="","",LEFT($J309,cbb_ikincilUzunluk))</f>
        <v/>
      </c>
      <c r="M309" s="16">
        <f>"B"</f>
        <v/>
      </c>
      <c r="N309" s="16">
        <f>IF($J309="","",IF(COUNTIF(tblAnahtarB[NormB],$J309)&gt;1,"EVET","HAYIR"))</f>
        <v/>
      </c>
      <c r="O309" s="16">
        <f>IF($I309="","",ROW()-ROW($I$5))</f>
        <v/>
      </c>
    </row>
    <row r="310">
      <c r="A310" s="7">
        <f>IF(VERI_A!A310="","",VERI_A!A310)</f>
        <v/>
      </c>
      <c r="B310" s="16">
        <f>UPPER(TRIM(SUBSTITUTE($A310," ","")))</f>
        <v/>
      </c>
      <c r="C310" s="16">
        <f>IF($B310="",0,LEN($B310))</f>
        <v/>
      </c>
      <c r="D310" s="16">
        <f>IF($B310="","",LEFT($B310,cbb_ikincilUzunluk))</f>
        <v/>
      </c>
      <c r="E310" s="16">
        <f>"A"</f>
        <v/>
      </c>
      <c r="F310" s="16">
        <f>IF($B310="","",IF(COUNTIF(tblAnahtarA[Norm],$B310)&gt;1,"EVET","HAYIR"))</f>
        <v/>
      </c>
      <c r="G310" s="16">
        <f>IF($A310="","",ROW()-ROW($A$5))</f>
        <v/>
      </c>
      <c r="I310" s="7">
        <f>IF(VERI_B!A310="","",VERI_B!A310)</f>
        <v/>
      </c>
      <c r="J310" s="16">
        <f>UPPER(TRIM(SUBSTITUTE($I310," ","")))</f>
        <v/>
      </c>
      <c r="K310" s="16">
        <f>IF($J310="",0,LEN($J310))</f>
        <v/>
      </c>
      <c r="L310" s="16">
        <f>IF($J310="","",LEFT($J310,cbb_ikincilUzunluk))</f>
        <v/>
      </c>
      <c r="M310" s="16">
        <f>"B"</f>
        <v/>
      </c>
      <c r="N310" s="16">
        <f>IF($J310="","",IF(COUNTIF(tblAnahtarB[NormB],$J310)&gt;1,"EVET","HAYIR"))</f>
        <v/>
      </c>
      <c r="O310" s="16">
        <f>IF($I310="","",ROW()-ROW($I$5))</f>
        <v/>
      </c>
    </row>
    <row r="311">
      <c r="A311" s="7">
        <f>IF(VERI_A!A311="","",VERI_A!A311)</f>
        <v/>
      </c>
      <c r="B311" s="16">
        <f>UPPER(TRIM(SUBSTITUTE($A311," ","")))</f>
        <v/>
      </c>
      <c r="C311" s="16">
        <f>IF($B311="",0,LEN($B311))</f>
        <v/>
      </c>
      <c r="D311" s="16">
        <f>IF($B311="","",LEFT($B311,cbb_ikincilUzunluk))</f>
        <v/>
      </c>
      <c r="E311" s="16">
        <f>"A"</f>
        <v/>
      </c>
      <c r="F311" s="16">
        <f>IF($B311="","",IF(COUNTIF(tblAnahtarA[Norm],$B311)&gt;1,"EVET","HAYIR"))</f>
        <v/>
      </c>
      <c r="G311" s="16">
        <f>IF($A311="","",ROW()-ROW($A$5))</f>
        <v/>
      </c>
      <c r="I311" s="7">
        <f>IF(VERI_B!A311="","",VERI_B!A311)</f>
        <v/>
      </c>
      <c r="J311" s="16">
        <f>UPPER(TRIM(SUBSTITUTE($I311," ","")))</f>
        <v/>
      </c>
      <c r="K311" s="16">
        <f>IF($J311="",0,LEN($J311))</f>
        <v/>
      </c>
      <c r="L311" s="16">
        <f>IF($J311="","",LEFT($J311,cbb_ikincilUzunluk))</f>
        <v/>
      </c>
      <c r="M311" s="16">
        <f>"B"</f>
        <v/>
      </c>
      <c r="N311" s="16">
        <f>IF($J311="","",IF(COUNTIF(tblAnahtarB[NormB],$J311)&gt;1,"EVET","HAYIR"))</f>
        <v/>
      </c>
      <c r="O311" s="16">
        <f>IF($I311="","",ROW()-ROW($I$5))</f>
        <v/>
      </c>
    </row>
    <row r="312">
      <c r="A312" s="7">
        <f>IF(VERI_A!A312="","",VERI_A!A312)</f>
        <v/>
      </c>
      <c r="B312" s="16">
        <f>UPPER(TRIM(SUBSTITUTE($A312," ","")))</f>
        <v/>
      </c>
      <c r="C312" s="16">
        <f>IF($B312="",0,LEN($B312))</f>
        <v/>
      </c>
      <c r="D312" s="16">
        <f>IF($B312="","",LEFT($B312,cbb_ikincilUzunluk))</f>
        <v/>
      </c>
      <c r="E312" s="16">
        <f>"A"</f>
        <v/>
      </c>
      <c r="F312" s="16">
        <f>IF($B312="","",IF(COUNTIF(tblAnahtarA[Norm],$B312)&gt;1,"EVET","HAYIR"))</f>
        <v/>
      </c>
      <c r="G312" s="16">
        <f>IF($A312="","",ROW()-ROW($A$5))</f>
        <v/>
      </c>
      <c r="I312" s="7">
        <f>IF(VERI_B!A312="","",VERI_B!A312)</f>
        <v/>
      </c>
      <c r="J312" s="16">
        <f>UPPER(TRIM(SUBSTITUTE($I312," ","")))</f>
        <v/>
      </c>
      <c r="K312" s="16">
        <f>IF($J312="",0,LEN($J312))</f>
        <v/>
      </c>
      <c r="L312" s="16">
        <f>IF($J312="","",LEFT($J312,cbb_ikincilUzunluk))</f>
        <v/>
      </c>
      <c r="M312" s="16">
        <f>"B"</f>
        <v/>
      </c>
      <c r="N312" s="16">
        <f>IF($J312="","",IF(COUNTIF(tblAnahtarB[NormB],$J312)&gt;1,"EVET","HAYIR"))</f>
        <v/>
      </c>
      <c r="O312" s="16">
        <f>IF($I312="","",ROW()-ROW($I$5))</f>
        <v/>
      </c>
    </row>
    <row r="313">
      <c r="A313" s="7">
        <f>IF(VERI_A!A313="","",VERI_A!A313)</f>
        <v/>
      </c>
      <c r="B313" s="16">
        <f>UPPER(TRIM(SUBSTITUTE($A313," ","")))</f>
        <v/>
      </c>
      <c r="C313" s="16">
        <f>IF($B313="",0,LEN($B313))</f>
        <v/>
      </c>
      <c r="D313" s="16">
        <f>IF($B313="","",LEFT($B313,cbb_ikincilUzunluk))</f>
        <v/>
      </c>
      <c r="E313" s="16">
        <f>"A"</f>
        <v/>
      </c>
      <c r="F313" s="16">
        <f>IF($B313="","",IF(COUNTIF(tblAnahtarA[Norm],$B313)&gt;1,"EVET","HAYIR"))</f>
        <v/>
      </c>
      <c r="G313" s="16">
        <f>IF($A313="","",ROW()-ROW($A$5))</f>
        <v/>
      </c>
      <c r="I313" s="7">
        <f>IF(VERI_B!A313="","",VERI_B!A313)</f>
        <v/>
      </c>
      <c r="J313" s="16">
        <f>UPPER(TRIM(SUBSTITUTE($I313," ","")))</f>
        <v/>
      </c>
      <c r="K313" s="16">
        <f>IF($J313="",0,LEN($J313))</f>
        <v/>
      </c>
      <c r="L313" s="16">
        <f>IF($J313="","",LEFT($J313,cbb_ikincilUzunluk))</f>
        <v/>
      </c>
      <c r="M313" s="16">
        <f>"B"</f>
        <v/>
      </c>
      <c r="N313" s="16">
        <f>IF($J313="","",IF(COUNTIF(tblAnahtarB[NormB],$J313)&gt;1,"EVET","HAYIR"))</f>
        <v/>
      </c>
      <c r="O313" s="16">
        <f>IF($I313="","",ROW()-ROW($I$5))</f>
        <v/>
      </c>
    </row>
    <row r="314">
      <c r="A314" s="7">
        <f>IF(VERI_A!A314="","",VERI_A!A314)</f>
        <v/>
      </c>
      <c r="B314" s="16">
        <f>UPPER(TRIM(SUBSTITUTE($A314," ","")))</f>
        <v/>
      </c>
      <c r="C314" s="16">
        <f>IF($B314="",0,LEN($B314))</f>
        <v/>
      </c>
      <c r="D314" s="16">
        <f>IF($B314="","",LEFT($B314,cbb_ikincilUzunluk))</f>
        <v/>
      </c>
      <c r="E314" s="16">
        <f>"A"</f>
        <v/>
      </c>
      <c r="F314" s="16">
        <f>IF($B314="","",IF(COUNTIF(tblAnahtarA[Norm],$B314)&gt;1,"EVET","HAYIR"))</f>
        <v/>
      </c>
      <c r="G314" s="16">
        <f>IF($A314="","",ROW()-ROW($A$5))</f>
        <v/>
      </c>
      <c r="I314" s="7">
        <f>IF(VERI_B!A314="","",VERI_B!A314)</f>
        <v/>
      </c>
      <c r="J314" s="16">
        <f>UPPER(TRIM(SUBSTITUTE($I314," ","")))</f>
        <v/>
      </c>
      <c r="K314" s="16">
        <f>IF($J314="",0,LEN($J314))</f>
        <v/>
      </c>
      <c r="L314" s="16">
        <f>IF($J314="","",LEFT($J314,cbb_ikincilUzunluk))</f>
        <v/>
      </c>
      <c r="M314" s="16">
        <f>"B"</f>
        <v/>
      </c>
      <c r="N314" s="16">
        <f>IF($J314="","",IF(COUNTIF(tblAnahtarB[NormB],$J314)&gt;1,"EVET","HAYIR"))</f>
        <v/>
      </c>
      <c r="O314" s="16">
        <f>IF($I314="","",ROW()-ROW($I$5))</f>
        <v/>
      </c>
    </row>
    <row r="315">
      <c r="A315" s="7">
        <f>IF(VERI_A!A315="","",VERI_A!A315)</f>
        <v/>
      </c>
      <c r="B315" s="16">
        <f>UPPER(TRIM(SUBSTITUTE($A315," ","")))</f>
        <v/>
      </c>
      <c r="C315" s="16">
        <f>IF($B315="",0,LEN($B315))</f>
        <v/>
      </c>
      <c r="D315" s="16">
        <f>IF($B315="","",LEFT($B315,cbb_ikincilUzunluk))</f>
        <v/>
      </c>
      <c r="E315" s="16">
        <f>"A"</f>
        <v/>
      </c>
      <c r="F315" s="16">
        <f>IF($B315="","",IF(COUNTIF(tblAnahtarA[Norm],$B315)&gt;1,"EVET","HAYIR"))</f>
        <v/>
      </c>
      <c r="G315" s="16">
        <f>IF($A315="","",ROW()-ROW($A$5))</f>
        <v/>
      </c>
      <c r="I315" s="7">
        <f>IF(VERI_B!A315="","",VERI_B!A315)</f>
        <v/>
      </c>
      <c r="J315" s="16">
        <f>UPPER(TRIM(SUBSTITUTE($I315," ","")))</f>
        <v/>
      </c>
      <c r="K315" s="16">
        <f>IF($J315="",0,LEN($J315))</f>
        <v/>
      </c>
      <c r="L315" s="16">
        <f>IF($J315="","",LEFT($J315,cbb_ikincilUzunluk))</f>
        <v/>
      </c>
      <c r="M315" s="16">
        <f>"B"</f>
        <v/>
      </c>
      <c r="N315" s="16">
        <f>IF($J315="","",IF(COUNTIF(tblAnahtarB[NormB],$J315)&gt;1,"EVET","HAYIR"))</f>
        <v/>
      </c>
      <c r="O315" s="16">
        <f>IF($I315="","",ROW()-ROW($I$5))</f>
        <v/>
      </c>
    </row>
    <row r="316">
      <c r="A316" s="7">
        <f>IF(VERI_A!A316="","",VERI_A!A316)</f>
        <v/>
      </c>
      <c r="B316" s="16">
        <f>UPPER(TRIM(SUBSTITUTE($A316," ","")))</f>
        <v/>
      </c>
      <c r="C316" s="16">
        <f>IF($B316="",0,LEN($B316))</f>
        <v/>
      </c>
      <c r="D316" s="16">
        <f>IF($B316="","",LEFT($B316,cbb_ikincilUzunluk))</f>
        <v/>
      </c>
      <c r="E316" s="16">
        <f>"A"</f>
        <v/>
      </c>
      <c r="F316" s="16">
        <f>IF($B316="","",IF(COUNTIF(tblAnahtarA[Norm],$B316)&gt;1,"EVET","HAYIR"))</f>
        <v/>
      </c>
      <c r="G316" s="16">
        <f>IF($A316="","",ROW()-ROW($A$5))</f>
        <v/>
      </c>
      <c r="I316" s="7">
        <f>IF(VERI_B!A316="","",VERI_B!A316)</f>
        <v/>
      </c>
      <c r="J316" s="16">
        <f>UPPER(TRIM(SUBSTITUTE($I316," ","")))</f>
        <v/>
      </c>
      <c r="K316" s="16">
        <f>IF($J316="",0,LEN($J316))</f>
        <v/>
      </c>
      <c r="L316" s="16">
        <f>IF($J316="","",LEFT($J316,cbb_ikincilUzunluk))</f>
        <v/>
      </c>
      <c r="M316" s="16">
        <f>"B"</f>
        <v/>
      </c>
      <c r="N316" s="16">
        <f>IF($J316="","",IF(COUNTIF(tblAnahtarB[NormB],$J316)&gt;1,"EVET","HAYIR"))</f>
        <v/>
      </c>
      <c r="O316" s="16">
        <f>IF($I316="","",ROW()-ROW($I$5))</f>
        <v/>
      </c>
    </row>
    <row r="317">
      <c r="A317" s="7">
        <f>IF(VERI_A!A317="","",VERI_A!A317)</f>
        <v/>
      </c>
      <c r="B317" s="16">
        <f>UPPER(TRIM(SUBSTITUTE($A317," ","")))</f>
        <v/>
      </c>
      <c r="C317" s="16">
        <f>IF($B317="",0,LEN($B317))</f>
        <v/>
      </c>
      <c r="D317" s="16">
        <f>IF($B317="","",LEFT($B317,cbb_ikincilUzunluk))</f>
        <v/>
      </c>
      <c r="E317" s="16">
        <f>"A"</f>
        <v/>
      </c>
      <c r="F317" s="16">
        <f>IF($B317="","",IF(COUNTIF(tblAnahtarA[Norm],$B317)&gt;1,"EVET","HAYIR"))</f>
        <v/>
      </c>
      <c r="G317" s="16">
        <f>IF($A317="","",ROW()-ROW($A$5))</f>
        <v/>
      </c>
      <c r="I317" s="7">
        <f>IF(VERI_B!A317="","",VERI_B!A317)</f>
        <v/>
      </c>
      <c r="J317" s="16">
        <f>UPPER(TRIM(SUBSTITUTE($I317," ","")))</f>
        <v/>
      </c>
      <c r="K317" s="16">
        <f>IF($J317="",0,LEN($J317))</f>
        <v/>
      </c>
      <c r="L317" s="16">
        <f>IF($J317="","",LEFT($J317,cbb_ikincilUzunluk))</f>
        <v/>
      </c>
      <c r="M317" s="16">
        <f>"B"</f>
        <v/>
      </c>
      <c r="N317" s="16">
        <f>IF($J317="","",IF(COUNTIF(tblAnahtarB[NormB],$J317)&gt;1,"EVET","HAYIR"))</f>
        <v/>
      </c>
      <c r="O317" s="16">
        <f>IF($I317="","",ROW()-ROW($I$5))</f>
        <v/>
      </c>
    </row>
    <row r="318">
      <c r="A318" s="7">
        <f>IF(VERI_A!A318="","",VERI_A!A318)</f>
        <v/>
      </c>
      <c r="B318" s="16">
        <f>UPPER(TRIM(SUBSTITUTE($A318," ","")))</f>
        <v/>
      </c>
      <c r="C318" s="16">
        <f>IF($B318="",0,LEN($B318))</f>
        <v/>
      </c>
      <c r="D318" s="16">
        <f>IF($B318="","",LEFT($B318,cbb_ikincilUzunluk))</f>
        <v/>
      </c>
      <c r="E318" s="16">
        <f>"A"</f>
        <v/>
      </c>
      <c r="F318" s="16">
        <f>IF($B318="","",IF(COUNTIF(tblAnahtarA[Norm],$B318)&gt;1,"EVET","HAYIR"))</f>
        <v/>
      </c>
      <c r="G318" s="16">
        <f>IF($A318="","",ROW()-ROW($A$5))</f>
        <v/>
      </c>
      <c r="I318" s="7">
        <f>IF(VERI_B!A318="","",VERI_B!A318)</f>
        <v/>
      </c>
      <c r="J318" s="16">
        <f>UPPER(TRIM(SUBSTITUTE($I318," ","")))</f>
        <v/>
      </c>
      <c r="K318" s="16">
        <f>IF($J318="",0,LEN($J318))</f>
        <v/>
      </c>
      <c r="L318" s="16">
        <f>IF($J318="","",LEFT($J318,cbb_ikincilUzunluk))</f>
        <v/>
      </c>
      <c r="M318" s="16">
        <f>"B"</f>
        <v/>
      </c>
      <c r="N318" s="16">
        <f>IF($J318="","",IF(COUNTIF(tblAnahtarB[NormB],$J318)&gt;1,"EVET","HAYIR"))</f>
        <v/>
      </c>
      <c r="O318" s="16">
        <f>IF($I318="","",ROW()-ROW($I$5))</f>
        <v/>
      </c>
    </row>
    <row r="319">
      <c r="A319" s="7">
        <f>IF(VERI_A!A319="","",VERI_A!A319)</f>
        <v/>
      </c>
      <c r="B319" s="16">
        <f>UPPER(TRIM(SUBSTITUTE($A319," ","")))</f>
        <v/>
      </c>
      <c r="C319" s="16">
        <f>IF($B319="",0,LEN($B319))</f>
        <v/>
      </c>
      <c r="D319" s="16">
        <f>IF($B319="","",LEFT($B319,cbb_ikincilUzunluk))</f>
        <v/>
      </c>
      <c r="E319" s="16">
        <f>"A"</f>
        <v/>
      </c>
      <c r="F319" s="16">
        <f>IF($B319="","",IF(COUNTIF(tblAnahtarA[Norm],$B319)&gt;1,"EVET","HAYIR"))</f>
        <v/>
      </c>
      <c r="G319" s="16">
        <f>IF($A319="","",ROW()-ROW($A$5))</f>
        <v/>
      </c>
      <c r="I319" s="7">
        <f>IF(VERI_B!A319="","",VERI_B!A319)</f>
        <v/>
      </c>
      <c r="J319" s="16">
        <f>UPPER(TRIM(SUBSTITUTE($I319," ","")))</f>
        <v/>
      </c>
      <c r="K319" s="16">
        <f>IF($J319="",0,LEN($J319))</f>
        <v/>
      </c>
      <c r="L319" s="16">
        <f>IF($J319="","",LEFT($J319,cbb_ikincilUzunluk))</f>
        <v/>
      </c>
      <c r="M319" s="16">
        <f>"B"</f>
        <v/>
      </c>
      <c r="N319" s="16">
        <f>IF($J319="","",IF(COUNTIF(tblAnahtarB[NormB],$J319)&gt;1,"EVET","HAYIR"))</f>
        <v/>
      </c>
      <c r="O319" s="16">
        <f>IF($I319="","",ROW()-ROW($I$5))</f>
        <v/>
      </c>
    </row>
    <row r="320">
      <c r="A320" s="7">
        <f>IF(VERI_A!A320="","",VERI_A!A320)</f>
        <v/>
      </c>
      <c r="B320" s="16">
        <f>UPPER(TRIM(SUBSTITUTE($A320," ","")))</f>
        <v/>
      </c>
      <c r="C320" s="16">
        <f>IF($B320="",0,LEN($B320))</f>
        <v/>
      </c>
      <c r="D320" s="16">
        <f>IF($B320="","",LEFT($B320,cbb_ikincilUzunluk))</f>
        <v/>
      </c>
      <c r="E320" s="16">
        <f>"A"</f>
        <v/>
      </c>
      <c r="F320" s="16">
        <f>IF($B320="","",IF(COUNTIF(tblAnahtarA[Norm],$B320)&gt;1,"EVET","HAYIR"))</f>
        <v/>
      </c>
      <c r="G320" s="16">
        <f>IF($A320="","",ROW()-ROW($A$5))</f>
        <v/>
      </c>
      <c r="I320" s="7">
        <f>IF(VERI_B!A320="","",VERI_B!A320)</f>
        <v/>
      </c>
      <c r="J320" s="16">
        <f>UPPER(TRIM(SUBSTITUTE($I320," ","")))</f>
        <v/>
      </c>
      <c r="K320" s="16">
        <f>IF($J320="",0,LEN($J320))</f>
        <v/>
      </c>
      <c r="L320" s="16">
        <f>IF($J320="","",LEFT($J320,cbb_ikincilUzunluk))</f>
        <v/>
      </c>
      <c r="M320" s="16">
        <f>"B"</f>
        <v/>
      </c>
      <c r="N320" s="16">
        <f>IF($J320="","",IF(COUNTIF(tblAnahtarB[NormB],$J320)&gt;1,"EVET","HAYIR"))</f>
        <v/>
      </c>
      <c r="O320" s="16">
        <f>IF($I320="","",ROW()-ROW($I$5))</f>
        <v/>
      </c>
    </row>
    <row r="321">
      <c r="A321" s="7">
        <f>IF(VERI_A!A321="","",VERI_A!A321)</f>
        <v/>
      </c>
      <c r="B321" s="16">
        <f>UPPER(TRIM(SUBSTITUTE($A321," ","")))</f>
        <v/>
      </c>
      <c r="C321" s="16">
        <f>IF($B321="",0,LEN($B321))</f>
        <v/>
      </c>
      <c r="D321" s="16">
        <f>IF($B321="","",LEFT($B321,cbb_ikincilUzunluk))</f>
        <v/>
      </c>
      <c r="E321" s="16">
        <f>"A"</f>
        <v/>
      </c>
      <c r="F321" s="16">
        <f>IF($B321="","",IF(COUNTIF(tblAnahtarA[Norm],$B321)&gt;1,"EVET","HAYIR"))</f>
        <v/>
      </c>
      <c r="G321" s="16">
        <f>IF($A321="","",ROW()-ROW($A$5))</f>
        <v/>
      </c>
      <c r="I321" s="7">
        <f>IF(VERI_B!A321="","",VERI_B!A321)</f>
        <v/>
      </c>
      <c r="J321" s="16">
        <f>UPPER(TRIM(SUBSTITUTE($I321," ","")))</f>
        <v/>
      </c>
      <c r="K321" s="16">
        <f>IF($J321="",0,LEN($J321))</f>
        <v/>
      </c>
      <c r="L321" s="16">
        <f>IF($J321="","",LEFT($J321,cbb_ikincilUzunluk))</f>
        <v/>
      </c>
      <c r="M321" s="16">
        <f>"B"</f>
        <v/>
      </c>
      <c r="N321" s="16">
        <f>IF($J321="","",IF(COUNTIF(tblAnahtarB[NormB],$J321)&gt;1,"EVET","HAYIR"))</f>
        <v/>
      </c>
      <c r="O321" s="16">
        <f>IF($I321="","",ROW()-ROW($I$5))</f>
        <v/>
      </c>
    </row>
    <row r="322">
      <c r="A322" s="7">
        <f>IF(VERI_A!A322="","",VERI_A!A322)</f>
        <v/>
      </c>
      <c r="B322" s="16">
        <f>UPPER(TRIM(SUBSTITUTE($A322," ","")))</f>
        <v/>
      </c>
      <c r="C322" s="16">
        <f>IF($B322="",0,LEN($B322))</f>
        <v/>
      </c>
      <c r="D322" s="16">
        <f>IF($B322="","",LEFT($B322,cbb_ikincilUzunluk))</f>
        <v/>
      </c>
      <c r="E322" s="16">
        <f>"A"</f>
        <v/>
      </c>
      <c r="F322" s="16">
        <f>IF($B322="","",IF(COUNTIF(tblAnahtarA[Norm],$B322)&gt;1,"EVET","HAYIR"))</f>
        <v/>
      </c>
      <c r="G322" s="16">
        <f>IF($A322="","",ROW()-ROW($A$5))</f>
        <v/>
      </c>
      <c r="I322" s="7">
        <f>IF(VERI_B!A322="","",VERI_B!A322)</f>
        <v/>
      </c>
      <c r="J322" s="16">
        <f>UPPER(TRIM(SUBSTITUTE($I322," ","")))</f>
        <v/>
      </c>
      <c r="K322" s="16">
        <f>IF($J322="",0,LEN($J322))</f>
        <v/>
      </c>
      <c r="L322" s="16">
        <f>IF($J322="","",LEFT($J322,cbb_ikincilUzunluk))</f>
        <v/>
      </c>
      <c r="M322" s="16">
        <f>"B"</f>
        <v/>
      </c>
      <c r="N322" s="16">
        <f>IF($J322="","",IF(COUNTIF(tblAnahtarB[NormB],$J322)&gt;1,"EVET","HAYIR"))</f>
        <v/>
      </c>
      <c r="O322" s="16">
        <f>IF($I322="","",ROW()-ROW($I$5))</f>
        <v/>
      </c>
    </row>
    <row r="323">
      <c r="A323" s="7">
        <f>IF(VERI_A!A323="","",VERI_A!A323)</f>
        <v/>
      </c>
      <c r="B323" s="16">
        <f>UPPER(TRIM(SUBSTITUTE($A323," ","")))</f>
        <v/>
      </c>
      <c r="C323" s="16">
        <f>IF($B323="",0,LEN($B323))</f>
        <v/>
      </c>
      <c r="D323" s="16">
        <f>IF($B323="","",LEFT($B323,cbb_ikincilUzunluk))</f>
        <v/>
      </c>
      <c r="E323" s="16">
        <f>"A"</f>
        <v/>
      </c>
      <c r="F323" s="16">
        <f>IF($B323="","",IF(COUNTIF(tblAnahtarA[Norm],$B323)&gt;1,"EVET","HAYIR"))</f>
        <v/>
      </c>
      <c r="G323" s="16">
        <f>IF($A323="","",ROW()-ROW($A$5))</f>
        <v/>
      </c>
      <c r="I323" s="7">
        <f>IF(VERI_B!A323="","",VERI_B!A323)</f>
        <v/>
      </c>
      <c r="J323" s="16">
        <f>UPPER(TRIM(SUBSTITUTE($I323," ","")))</f>
        <v/>
      </c>
      <c r="K323" s="16">
        <f>IF($J323="",0,LEN($J323))</f>
        <v/>
      </c>
      <c r="L323" s="16">
        <f>IF($J323="","",LEFT($J323,cbb_ikincilUzunluk))</f>
        <v/>
      </c>
      <c r="M323" s="16">
        <f>"B"</f>
        <v/>
      </c>
      <c r="N323" s="16">
        <f>IF($J323="","",IF(COUNTIF(tblAnahtarB[NormB],$J323)&gt;1,"EVET","HAYIR"))</f>
        <v/>
      </c>
      <c r="O323" s="16">
        <f>IF($I323="","",ROW()-ROW($I$5))</f>
        <v/>
      </c>
    </row>
    <row r="324">
      <c r="A324" s="7">
        <f>IF(VERI_A!A324="","",VERI_A!A324)</f>
        <v/>
      </c>
      <c r="B324" s="16">
        <f>UPPER(TRIM(SUBSTITUTE($A324," ","")))</f>
        <v/>
      </c>
      <c r="C324" s="16">
        <f>IF($B324="",0,LEN($B324))</f>
        <v/>
      </c>
      <c r="D324" s="16">
        <f>IF($B324="","",LEFT($B324,cbb_ikincilUzunluk))</f>
        <v/>
      </c>
      <c r="E324" s="16">
        <f>"A"</f>
        <v/>
      </c>
      <c r="F324" s="16">
        <f>IF($B324="","",IF(COUNTIF(tblAnahtarA[Norm],$B324)&gt;1,"EVET","HAYIR"))</f>
        <v/>
      </c>
      <c r="G324" s="16">
        <f>IF($A324="","",ROW()-ROW($A$5))</f>
        <v/>
      </c>
      <c r="I324" s="7">
        <f>IF(VERI_B!A324="","",VERI_B!A324)</f>
        <v/>
      </c>
      <c r="J324" s="16">
        <f>UPPER(TRIM(SUBSTITUTE($I324," ","")))</f>
        <v/>
      </c>
      <c r="K324" s="16">
        <f>IF($J324="",0,LEN($J324))</f>
        <v/>
      </c>
      <c r="L324" s="16">
        <f>IF($J324="","",LEFT($J324,cbb_ikincilUzunluk))</f>
        <v/>
      </c>
      <c r="M324" s="16">
        <f>"B"</f>
        <v/>
      </c>
      <c r="N324" s="16">
        <f>IF($J324="","",IF(COUNTIF(tblAnahtarB[NormB],$J324)&gt;1,"EVET","HAYIR"))</f>
        <v/>
      </c>
      <c r="O324" s="16">
        <f>IF($I324="","",ROW()-ROW($I$5))</f>
        <v/>
      </c>
    </row>
    <row r="325">
      <c r="A325" s="7">
        <f>IF(VERI_A!A325="","",VERI_A!A325)</f>
        <v/>
      </c>
      <c r="B325" s="16">
        <f>UPPER(TRIM(SUBSTITUTE($A325," ","")))</f>
        <v/>
      </c>
      <c r="C325" s="16">
        <f>IF($B325="",0,LEN($B325))</f>
        <v/>
      </c>
      <c r="D325" s="16">
        <f>IF($B325="","",LEFT($B325,cbb_ikincilUzunluk))</f>
        <v/>
      </c>
      <c r="E325" s="16">
        <f>"A"</f>
        <v/>
      </c>
      <c r="F325" s="16">
        <f>IF($B325="","",IF(COUNTIF(tblAnahtarA[Norm],$B325)&gt;1,"EVET","HAYIR"))</f>
        <v/>
      </c>
      <c r="G325" s="16">
        <f>IF($A325="","",ROW()-ROW($A$5))</f>
        <v/>
      </c>
      <c r="I325" s="7">
        <f>IF(VERI_B!A325="","",VERI_B!A325)</f>
        <v/>
      </c>
      <c r="J325" s="16">
        <f>UPPER(TRIM(SUBSTITUTE($I325," ","")))</f>
        <v/>
      </c>
      <c r="K325" s="16">
        <f>IF($J325="",0,LEN($J325))</f>
        <v/>
      </c>
      <c r="L325" s="16">
        <f>IF($J325="","",LEFT($J325,cbb_ikincilUzunluk))</f>
        <v/>
      </c>
      <c r="M325" s="16">
        <f>"B"</f>
        <v/>
      </c>
      <c r="N325" s="16">
        <f>IF($J325="","",IF(COUNTIF(tblAnahtarB[NormB],$J325)&gt;1,"EVET","HAYIR"))</f>
        <v/>
      </c>
      <c r="O325" s="16">
        <f>IF($I325="","",ROW()-ROW($I$5))</f>
        <v/>
      </c>
    </row>
    <row r="326">
      <c r="A326" s="7">
        <f>IF(VERI_A!A326="","",VERI_A!A326)</f>
        <v/>
      </c>
      <c r="B326" s="16">
        <f>UPPER(TRIM(SUBSTITUTE($A326," ","")))</f>
        <v/>
      </c>
      <c r="C326" s="16">
        <f>IF($B326="",0,LEN($B326))</f>
        <v/>
      </c>
      <c r="D326" s="16">
        <f>IF($B326="","",LEFT($B326,cbb_ikincilUzunluk))</f>
        <v/>
      </c>
      <c r="E326" s="16">
        <f>"A"</f>
        <v/>
      </c>
      <c r="F326" s="16">
        <f>IF($B326="","",IF(COUNTIF(tblAnahtarA[Norm],$B326)&gt;1,"EVET","HAYIR"))</f>
        <v/>
      </c>
      <c r="G326" s="16">
        <f>IF($A326="","",ROW()-ROW($A$5))</f>
        <v/>
      </c>
      <c r="I326" s="7">
        <f>IF(VERI_B!A326="","",VERI_B!A326)</f>
        <v/>
      </c>
      <c r="J326" s="16">
        <f>UPPER(TRIM(SUBSTITUTE($I326," ","")))</f>
        <v/>
      </c>
      <c r="K326" s="16">
        <f>IF($J326="",0,LEN($J326))</f>
        <v/>
      </c>
      <c r="L326" s="16">
        <f>IF($J326="","",LEFT($J326,cbb_ikincilUzunluk))</f>
        <v/>
      </c>
      <c r="M326" s="16">
        <f>"B"</f>
        <v/>
      </c>
      <c r="N326" s="16">
        <f>IF($J326="","",IF(COUNTIF(tblAnahtarB[NormB],$J326)&gt;1,"EVET","HAYIR"))</f>
        <v/>
      </c>
      <c r="O326" s="16">
        <f>IF($I326="","",ROW()-ROW($I$5))</f>
        <v/>
      </c>
    </row>
    <row r="327">
      <c r="A327" s="7">
        <f>IF(VERI_A!A327="","",VERI_A!A327)</f>
        <v/>
      </c>
      <c r="B327" s="16">
        <f>UPPER(TRIM(SUBSTITUTE($A327," ","")))</f>
        <v/>
      </c>
      <c r="C327" s="16">
        <f>IF($B327="",0,LEN($B327))</f>
        <v/>
      </c>
      <c r="D327" s="16">
        <f>IF($B327="","",LEFT($B327,cbb_ikincilUzunluk))</f>
        <v/>
      </c>
      <c r="E327" s="16">
        <f>"A"</f>
        <v/>
      </c>
      <c r="F327" s="16">
        <f>IF($B327="","",IF(COUNTIF(tblAnahtarA[Norm],$B327)&gt;1,"EVET","HAYIR"))</f>
        <v/>
      </c>
      <c r="G327" s="16">
        <f>IF($A327="","",ROW()-ROW($A$5))</f>
        <v/>
      </c>
      <c r="I327" s="7">
        <f>IF(VERI_B!A327="","",VERI_B!A327)</f>
        <v/>
      </c>
      <c r="J327" s="16">
        <f>UPPER(TRIM(SUBSTITUTE($I327," ","")))</f>
        <v/>
      </c>
      <c r="K327" s="16">
        <f>IF($J327="",0,LEN($J327))</f>
        <v/>
      </c>
      <c r="L327" s="16">
        <f>IF($J327="","",LEFT($J327,cbb_ikincilUzunluk))</f>
        <v/>
      </c>
      <c r="M327" s="16">
        <f>"B"</f>
        <v/>
      </c>
      <c r="N327" s="16">
        <f>IF($J327="","",IF(COUNTIF(tblAnahtarB[NormB],$J327)&gt;1,"EVET","HAYIR"))</f>
        <v/>
      </c>
      <c r="O327" s="16">
        <f>IF($I327="","",ROW()-ROW($I$5))</f>
        <v/>
      </c>
    </row>
    <row r="328">
      <c r="A328" s="7">
        <f>IF(VERI_A!A328="","",VERI_A!A328)</f>
        <v/>
      </c>
      <c r="B328" s="16">
        <f>UPPER(TRIM(SUBSTITUTE($A328," ","")))</f>
        <v/>
      </c>
      <c r="C328" s="16">
        <f>IF($B328="",0,LEN($B328))</f>
        <v/>
      </c>
      <c r="D328" s="16">
        <f>IF($B328="","",LEFT($B328,cbb_ikincilUzunluk))</f>
        <v/>
      </c>
      <c r="E328" s="16">
        <f>"A"</f>
        <v/>
      </c>
      <c r="F328" s="16">
        <f>IF($B328="","",IF(COUNTIF(tblAnahtarA[Norm],$B328)&gt;1,"EVET","HAYIR"))</f>
        <v/>
      </c>
      <c r="G328" s="16">
        <f>IF($A328="","",ROW()-ROW($A$5))</f>
        <v/>
      </c>
      <c r="I328" s="7">
        <f>IF(VERI_B!A328="","",VERI_B!A328)</f>
        <v/>
      </c>
      <c r="J328" s="16">
        <f>UPPER(TRIM(SUBSTITUTE($I328," ","")))</f>
        <v/>
      </c>
      <c r="K328" s="16">
        <f>IF($J328="",0,LEN($J328))</f>
        <v/>
      </c>
      <c r="L328" s="16">
        <f>IF($J328="","",LEFT($J328,cbb_ikincilUzunluk))</f>
        <v/>
      </c>
      <c r="M328" s="16">
        <f>"B"</f>
        <v/>
      </c>
      <c r="N328" s="16">
        <f>IF($J328="","",IF(COUNTIF(tblAnahtarB[NormB],$J328)&gt;1,"EVET","HAYIR"))</f>
        <v/>
      </c>
      <c r="O328" s="16">
        <f>IF($I328="","",ROW()-ROW($I$5))</f>
        <v/>
      </c>
    </row>
    <row r="329">
      <c r="A329" s="7">
        <f>IF(VERI_A!A329="","",VERI_A!A329)</f>
        <v/>
      </c>
      <c r="B329" s="16">
        <f>UPPER(TRIM(SUBSTITUTE($A329," ","")))</f>
        <v/>
      </c>
      <c r="C329" s="16">
        <f>IF($B329="",0,LEN($B329))</f>
        <v/>
      </c>
      <c r="D329" s="16">
        <f>IF($B329="","",LEFT($B329,cbb_ikincilUzunluk))</f>
        <v/>
      </c>
      <c r="E329" s="16">
        <f>"A"</f>
        <v/>
      </c>
      <c r="F329" s="16">
        <f>IF($B329="","",IF(COUNTIF(tblAnahtarA[Norm],$B329)&gt;1,"EVET","HAYIR"))</f>
        <v/>
      </c>
      <c r="G329" s="16">
        <f>IF($A329="","",ROW()-ROW($A$5))</f>
        <v/>
      </c>
      <c r="I329" s="7">
        <f>IF(VERI_B!A329="","",VERI_B!A329)</f>
        <v/>
      </c>
      <c r="J329" s="16">
        <f>UPPER(TRIM(SUBSTITUTE($I329," ","")))</f>
        <v/>
      </c>
      <c r="K329" s="16">
        <f>IF($J329="",0,LEN($J329))</f>
        <v/>
      </c>
      <c r="L329" s="16">
        <f>IF($J329="","",LEFT($J329,cbb_ikincilUzunluk))</f>
        <v/>
      </c>
      <c r="M329" s="16">
        <f>"B"</f>
        <v/>
      </c>
      <c r="N329" s="16">
        <f>IF($J329="","",IF(COUNTIF(tblAnahtarB[NormB],$J329)&gt;1,"EVET","HAYIR"))</f>
        <v/>
      </c>
      <c r="O329" s="16">
        <f>IF($I329="","",ROW()-ROW($I$5))</f>
        <v/>
      </c>
    </row>
    <row r="330">
      <c r="A330" s="7">
        <f>IF(VERI_A!A330="","",VERI_A!A330)</f>
        <v/>
      </c>
      <c r="B330" s="16">
        <f>UPPER(TRIM(SUBSTITUTE($A330," ","")))</f>
        <v/>
      </c>
      <c r="C330" s="16">
        <f>IF($B330="",0,LEN($B330))</f>
        <v/>
      </c>
      <c r="D330" s="16">
        <f>IF($B330="","",LEFT($B330,cbb_ikincilUzunluk))</f>
        <v/>
      </c>
      <c r="E330" s="16">
        <f>"A"</f>
        <v/>
      </c>
      <c r="F330" s="16">
        <f>IF($B330="","",IF(COUNTIF(tblAnahtarA[Norm],$B330)&gt;1,"EVET","HAYIR"))</f>
        <v/>
      </c>
      <c r="G330" s="16">
        <f>IF($A330="","",ROW()-ROW($A$5))</f>
        <v/>
      </c>
      <c r="I330" s="7">
        <f>IF(VERI_B!A330="","",VERI_B!A330)</f>
        <v/>
      </c>
      <c r="J330" s="16">
        <f>UPPER(TRIM(SUBSTITUTE($I330," ","")))</f>
        <v/>
      </c>
      <c r="K330" s="16">
        <f>IF($J330="",0,LEN($J330))</f>
        <v/>
      </c>
      <c r="L330" s="16">
        <f>IF($J330="","",LEFT($J330,cbb_ikincilUzunluk))</f>
        <v/>
      </c>
      <c r="M330" s="16">
        <f>"B"</f>
        <v/>
      </c>
      <c r="N330" s="16">
        <f>IF($J330="","",IF(COUNTIF(tblAnahtarB[NormB],$J330)&gt;1,"EVET","HAYIR"))</f>
        <v/>
      </c>
      <c r="O330" s="16">
        <f>IF($I330="","",ROW()-ROW($I$5))</f>
        <v/>
      </c>
    </row>
    <row r="331">
      <c r="A331" s="7">
        <f>IF(VERI_A!A331="","",VERI_A!A331)</f>
        <v/>
      </c>
      <c r="B331" s="16">
        <f>UPPER(TRIM(SUBSTITUTE($A331," ","")))</f>
        <v/>
      </c>
      <c r="C331" s="16">
        <f>IF($B331="",0,LEN($B331))</f>
        <v/>
      </c>
      <c r="D331" s="16">
        <f>IF($B331="","",LEFT($B331,cbb_ikincilUzunluk))</f>
        <v/>
      </c>
      <c r="E331" s="16">
        <f>"A"</f>
        <v/>
      </c>
      <c r="F331" s="16">
        <f>IF($B331="","",IF(COUNTIF(tblAnahtarA[Norm],$B331)&gt;1,"EVET","HAYIR"))</f>
        <v/>
      </c>
      <c r="G331" s="16">
        <f>IF($A331="","",ROW()-ROW($A$5))</f>
        <v/>
      </c>
      <c r="I331" s="7">
        <f>IF(VERI_B!A331="","",VERI_B!A331)</f>
        <v/>
      </c>
      <c r="J331" s="16">
        <f>UPPER(TRIM(SUBSTITUTE($I331," ","")))</f>
        <v/>
      </c>
      <c r="K331" s="16">
        <f>IF($J331="",0,LEN($J331))</f>
        <v/>
      </c>
      <c r="L331" s="16">
        <f>IF($J331="","",LEFT($J331,cbb_ikincilUzunluk))</f>
        <v/>
      </c>
      <c r="M331" s="16">
        <f>"B"</f>
        <v/>
      </c>
      <c r="N331" s="16">
        <f>IF($J331="","",IF(COUNTIF(tblAnahtarB[NormB],$J331)&gt;1,"EVET","HAYIR"))</f>
        <v/>
      </c>
      <c r="O331" s="16">
        <f>IF($I331="","",ROW()-ROW($I$5))</f>
        <v/>
      </c>
    </row>
    <row r="332">
      <c r="A332" s="7">
        <f>IF(VERI_A!A332="","",VERI_A!A332)</f>
        <v/>
      </c>
      <c r="B332" s="16">
        <f>UPPER(TRIM(SUBSTITUTE($A332," ","")))</f>
        <v/>
      </c>
      <c r="C332" s="16">
        <f>IF($B332="",0,LEN($B332))</f>
        <v/>
      </c>
      <c r="D332" s="16">
        <f>IF($B332="","",LEFT($B332,cbb_ikincilUzunluk))</f>
        <v/>
      </c>
      <c r="E332" s="16">
        <f>"A"</f>
        <v/>
      </c>
      <c r="F332" s="16">
        <f>IF($B332="","",IF(COUNTIF(tblAnahtarA[Norm],$B332)&gt;1,"EVET","HAYIR"))</f>
        <v/>
      </c>
      <c r="G332" s="16">
        <f>IF($A332="","",ROW()-ROW($A$5))</f>
        <v/>
      </c>
      <c r="I332" s="7">
        <f>IF(VERI_B!A332="","",VERI_B!A332)</f>
        <v/>
      </c>
      <c r="J332" s="16">
        <f>UPPER(TRIM(SUBSTITUTE($I332," ","")))</f>
        <v/>
      </c>
      <c r="K332" s="16">
        <f>IF($J332="",0,LEN($J332))</f>
        <v/>
      </c>
      <c r="L332" s="16">
        <f>IF($J332="","",LEFT($J332,cbb_ikincilUzunluk))</f>
        <v/>
      </c>
      <c r="M332" s="16">
        <f>"B"</f>
        <v/>
      </c>
      <c r="N332" s="16">
        <f>IF($J332="","",IF(COUNTIF(tblAnahtarB[NormB],$J332)&gt;1,"EVET","HAYIR"))</f>
        <v/>
      </c>
      <c r="O332" s="16">
        <f>IF($I332="","",ROW()-ROW($I$5))</f>
        <v/>
      </c>
    </row>
    <row r="333">
      <c r="A333" s="7">
        <f>IF(VERI_A!A333="","",VERI_A!A333)</f>
        <v/>
      </c>
      <c r="B333" s="16">
        <f>UPPER(TRIM(SUBSTITUTE($A333," ","")))</f>
        <v/>
      </c>
      <c r="C333" s="16">
        <f>IF($B333="",0,LEN($B333))</f>
        <v/>
      </c>
      <c r="D333" s="16">
        <f>IF($B333="","",LEFT($B333,cbb_ikincilUzunluk))</f>
        <v/>
      </c>
      <c r="E333" s="16">
        <f>"A"</f>
        <v/>
      </c>
      <c r="F333" s="16">
        <f>IF($B333="","",IF(COUNTIF(tblAnahtarA[Norm],$B333)&gt;1,"EVET","HAYIR"))</f>
        <v/>
      </c>
      <c r="G333" s="16">
        <f>IF($A333="","",ROW()-ROW($A$5))</f>
        <v/>
      </c>
      <c r="I333" s="7">
        <f>IF(VERI_B!A333="","",VERI_B!A333)</f>
        <v/>
      </c>
      <c r="J333" s="16">
        <f>UPPER(TRIM(SUBSTITUTE($I333," ","")))</f>
        <v/>
      </c>
      <c r="K333" s="16">
        <f>IF($J333="",0,LEN($J333))</f>
        <v/>
      </c>
      <c r="L333" s="16">
        <f>IF($J333="","",LEFT($J333,cbb_ikincilUzunluk))</f>
        <v/>
      </c>
      <c r="M333" s="16">
        <f>"B"</f>
        <v/>
      </c>
      <c r="N333" s="16">
        <f>IF($J333="","",IF(COUNTIF(tblAnahtarB[NormB],$J333)&gt;1,"EVET","HAYIR"))</f>
        <v/>
      </c>
      <c r="O333" s="16">
        <f>IF($I333="","",ROW()-ROW($I$5))</f>
        <v/>
      </c>
    </row>
    <row r="334">
      <c r="A334" s="7">
        <f>IF(VERI_A!A334="","",VERI_A!A334)</f>
        <v/>
      </c>
      <c r="B334" s="16">
        <f>UPPER(TRIM(SUBSTITUTE($A334," ","")))</f>
        <v/>
      </c>
      <c r="C334" s="16">
        <f>IF($B334="",0,LEN($B334))</f>
        <v/>
      </c>
      <c r="D334" s="16">
        <f>IF($B334="","",LEFT($B334,cbb_ikincilUzunluk))</f>
        <v/>
      </c>
      <c r="E334" s="16">
        <f>"A"</f>
        <v/>
      </c>
      <c r="F334" s="16">
        <f>IF($B334="","",IF(COUNTIF(tblAnahtarA[Norm],$B334)&gt;1,"EVET","HAYIR"))</f>
        <v/>
      </c>
      <c r="G334" s="16">
        <f>IF($A334="","",ROW()-ROW($A$5))</f>
        <v/>
      </c>
      <c r="I334" s="7">
        <f>IF(VERI_B!A334="","",VERI_B!A334)</f>
        <v/>
      </c>
      <c r="J334" s="16">
        <f>UPPER(TRIM(SUBSTITUTE($I334," ","")))</f>
        <v/>
      </c>
      <c r="K334" s="16">
        <f>IF($J334="",0,LEN($J334))</f>
        <v/>
      </c>
      <c r="L334" s="16">
        <f>IF($J334="","",LEFT($J334,cbb_ikincilUzunluk))</f>
        <v/>
      </c>
      <c r="M334" s="16">
        <f>"B"</f>
        <v/>
      </c>
      <c r="N334" s="16">
        <f>IF($J334="","",IF(COUNTIF(tblAnahtarB[NormB],$J334)&gt;1,"EVET","HAYIR"))</f>
        <v/>
      </c>
      <c r="O334" s="16">
        <f>IF($I334="","",ROW()-ROW($I$5))</f>
        <v/>
      </c>
    </row>
    <row r="335">
      <c r="A335" s="7">
        <f>IF(VERI_A!A335="","",VERI_A!A335)</f>
        <v/>
      </c>
      <c r="B335" s="16">
        <f>UPPER(TRIM(SUBSTITUTE($A335," ","")))</f>
        <v/>
      </c>
      <c r="C335" s="16">
        <f>IF($B335="",0,LEN($B335))</f>
        <v/>
      </c>
      <c r="D335" s="16">
        <f>IF($B335="","",LEFT($B335,cbb_ikincilUzunluk))</f>
        <v/>
      </c>
      <c r="E335" s="16">
        <f>"A"</f>
        <v/>
      </c>
      <c r="F335" s="16">
        <f>IF($B335="","",IF(COUNTIF(tblAnahtarA[Norm],$B335)&gt;1,"EVET","HAYIR"))</f>
        <v/>
      </c>
      <c r="G335" s="16">
        <f>IF($A335="","",ROW()-ROW($A$5))</f>
        <v/>
      </c>
      <c r="I335" s="7">
        <f>IF(VERI_B!A335="","",VERI_B!A335)</f>
        <v/>
      </c>
      <c r="J335" s="16">
        <f>UPPER(TRIM(SUBSTITUTE($I335," ","")))</f>
        <v/>
      </c>
      <c r="K335" s="16">
        <f>IF($J335="",0,LEN($J335))</f>
        <v/>
      </c>
      <c r="L335" s="16">
        <f>IF($J335="","",LEFT($J335,cbb_ikincilUzunluk))</f>
        <v/>
      </c>
      <c r="M335" s="16">
        <f>"B"</f>
        <v/>
      </c>
      <c r="N335" s="16">
        <f>IF($J335="","",IF(COUNTIF(tblAnahtarB[NormB],$J335)&gt;1,"EVET","HAYIR"))</f>
        <v/>
      </c>
      <c r="O335" s="16">
        <f>IF($I335="","",ROW()-ROW($I$5))</f>
        <v/>
      </c>
    </row>
    <row r="336">
      <c r="A336" s="7">
        <f>IF(VERI_A!A336="","",VERI_A!A336)</f>
        <v/>
      </c>
      <c r="B336" s="16">
        <f>UPPER(TRIM(SUBSTITUTE($A336," ","")))</f>
        <v/>
      </c>
      <c r="C336" s="16">
        <f>IF($B336="",0,LEN($B336))</f>
        <v/>
      </c>
      <c r="D336" s="16">
        <f>IF($B336="","",LEFT($B336,cbb_ikincilUzunluk))</f>
        <v/>
      </c>
      <c r="E336" s="16">
        <f>"A"</f>
        <v/>
      </c>
      <c r="F336" s="16">
        <f>IF($B336="","",IF(COUNTIF(tblAnahtarA[Norm],$B336)&gt;1,"EVET","HAYIR"))</f>
        <v/>
      </c>
      <c r="G336" s="16">
        <f>IF($A336="","",ROW()-ROW($A$5))</f>
        <v/>
      </c>
      <c r="I336" s="7">
        <f>IF(VERI_B!A336="","",VERI_B!A336)</f>
        <v/>
      </c>
      <c r="J336" s="16">
        <f>UPPER(TRIM(SUBSTITUTE($I336," ","")))</f>
        <v/>
      </c>
      <c r="K336" s="16">
        <f>IF($J336="",0,LEN($J336))</f>
        <v/>
      </c>
      <c r="L336" s="16">
        <f>IF($J336="","",LEFT($J336,cbb_ikincilUzunluk))</f>
        <v/>
      </c>
      <c r="M336" s="16">
        <f>"B"</f>
        <v/>
      </c>
      <c r="N336" s="16">
        <f>IF($J336="","",IF(COUNTIF(tblAnahtarB[NormB],$J336)&gt;1,"EVET","HAYIR"))</f>
        <v/>
      </c>
      <c r="O336" s="16">
        <f>IF($I336="","",ROW()-ROW($I$5))</f>
        <v/>
      </c>
    </row>
    <row r="337">
      <c r="A337" s="7">
        <f>IF(VERI_A!A337="","",VERI_A!A337)</f>
        <v/>
      </c>
      <c r="B337" s="16">
        <f>UPPER(TRIM(SUBSTITUTE($A337," ","")))</f>
        <v/>
      </c>
      <c r="C337" s="16">
        <f>IF($B337="",0,LEN($B337))</f>
        <v/>
      </c>
      <c r="D337" s="16">
        <f>IF($B337="","",LEFT($B337,cbb_ikincilUzunluk))</f>
        <v/>
      </c>
      <c r="E337" s="16">
        <f>"A"</f>
        <v/>
      </c>
      <c r="F337" s="16">
        <f>IF($B337="","",IF(COUNTIF(tblAnahtarA[Norm],$B337)&gt;1,"EVET","HAYIR"))</f>
        <v/>
      </c>
      <c r="G337" s="16">
        <f>IF($A337="","",ROW()-ROW($A$5))</f>
        <v/>
      </c>
      <c r="I337" s="7">
        <f>IF(VERI_B!A337="","",VERI_B!A337)</f>
        <v/>
      </c>
      <c r="J337" s="16">
        <f>UPPER(TRIM(SUBSTITUTE($I337," ","")))</f>
        <v/>
      </c>
      <c r="K337" s="16">
        <f>IF($J337="",0,LEN($J337))</f>
        <v/>
      </c>
      <c r="L337" s="16">
        <f>IF($J337="","",LEFT($J337,cbb_ikincilUzunluk))</f>
        <v/>
      </c>
      <c r="M337" s="16">
        <f>"B"</f>
        <v/>
      </c>
      <c r="N337" s="16">
        <f>IF($J337="","",IF(COUNTIF(tblAnahtarB[NormB],$J337)&gt;1,"EVET","HAYIR"))</f>
        <v/>
      </c>
      <c r="O337" s="16">
        <f>IF($I337="","",ROW()-ROW($I$5))</f>
        <v/>
      </c>
    </row>
    <row r="338">
      <c r="A338" s="7">
        <f>IF(VERI_A!A338="","",VERI_A!A338)</f>
        <v/>
      </c>
      <c r="B338" s="16">
        <f>UPPER(TRIM(SUBSTITUTE($A338," ","")))</f>
        <v/>
      </c>
      <c r="C338" s="16">
        <f>IF($B338="",0,LEN($B338))</f>
        <v/>
      </c>
      <c r="D338" s="16">
        <f>IF($B338="","",LEFT($B338,cbb_ikincilUzunluk))</f>
        <v/>
      </c>
      <c r="E338" s="16">
        <f>"A"</f>
        <v/>
      </c>
      <c r="F338" s="16">
        <f>IF($B338="","",IF(COUNTIF(tblAnahtarA[Norm],$B338)&gt;1,"EVET","HAYIR"))</f>
        <v/>
      </c>
      <c r="G338" s="16">
        <f>IF($A338="","",ROW()-ROW($A$5))</f>
        <v/>
      </c>
      <c r="I338" s="7">
        <f>IF(VERI_B!A338="","",VERI_B!A338)</f>
        <v/>
      </c>
      <c r="J338" s="16">
        <f>UPPER(TRIM(SUBSTITUTE($I338," ","")))</f>
        <v/>
      </c>
      <c r="K338" s="16">
        <f>IF($J338="",0,LEN($J338))</f>
        <v/>
      </c>
      <c r="L338" s="16">
        <f>IF($J338="","",LEFT($J338,cbb_ikincilUzunluk))</f>
        <v/>
      </c>
      <c r="M338" s="16">
        <f>"B"</f>
        <v/>
      </c>
      <c r="N338" s="16">
        <f>IF($J338="","",IF(COUNTIF(tblAnahtarB[NormB],$J338)&gt;1,"EVET","HAYIR"))</f>
        <v/>
      </c>
      <c r="O338" s="16">
        <f>IF($I338="","",ROW()-ROW($I$5))</f>
        <v/>
      </c>
    </row>
    <row r="339">
      <c r="A339" s="7">
        <f>IF(VERI_A!A339="","",VERI_A!A339)</f>
        <v/>
      </c>
      <c r="B339" s="16">
        <f>UPPER(TRIM(SUBSTITUTE($A339," ","")))</f>
        <v/>
      </c>
      <c r="C339" s="16">
        <f>IF($B339="",0,LEN($B339))</f>
        <v/>
      </c>
      <c r="D339" s="16">
        <f>IF($B339="","",LEFT($B339,cbb_ikincilUzunluk))</f>
        <v/>
      </c>
      <c r="E339" s="16">
        <f>"A"</f>
        <v/>
      </c>
      <c r="F339" s="16">
        <f>IF($B339="","",IF(COUNTIF(tblAnahtarA[Norm],$B339)&gt;1,"EVET","HAYIR"))</f>
        <v/>
      </c>
      <c r="G339" s="16">
        <f>IF($A339="","",ROW()-ROW($A$5))</f>
        <v/>
      </c>
      <c r="I339" s="7">
        <f>IF(VERI_B!A339="","",VERI_B!A339)</f>
        <v/>
      </c>
      <c r="J339" s="16">
        <f>UPPER(TRIM(SUBSTITUTE($I339," ","")))</f>
        <v/>
      </c>
      <c r="K339" s="16">
        <f>IF($J339="",0,LEN($J339))</f>
        <v/>
      </c>
      <c r="L339" s="16">
        <f>IF($J339="","",LEFT($J339,cbb_ikincilUzunluk))</f>
        <v/>
      </c>
      <c r="M339" s="16">
        <f>"B"</f>
        <v/>
      </c>
      <c r="N339" s="16">
        <f>IF($J339="","",IF(COUNTIF(tblAnahtarB[NormB],$J339)&gt;1,"EVET","HAYIR"))</f>
        <v/>
      </c>
      <c r="O339" s="16">
        <f>IF($I339="","",ROW()-ROW($I$5))</f>
        <v/>
      </c>
    </row>
    <row r="340">
      <c r="A340" s="7">
        <f>IF(VERI_A!A340="","",VERI_A!A340)</f>
        <v/>
      </c>
      <c r="B340" s="16">
        <f>UPPER(TRIM(SUBSTITUTE($A340," ","")))</f>
        <v/>
      </c>
      <c r="C340" s="16">
        <f>IF($B340="",0,LEN($B340))</f>
        <v/>
      </c>
      <c r="D340" s="16">
        <f>IF($B340="","",LEFT($B340,cbb_ikincilUzunluk))</f>
        <v/>
      </c>
      <c r="E340" s="16">
        <f>"A"</f>
        <v/>
      </c>
      <c r="F340" s="16">
        <f>IF($B340="","",IF(COUNTIF(tblAnahtarA[Norm],$B340)&gt;1,"EVET","HAYIR"))</f>
        <v/>
      </c>
      <c r="G340" s="16">
        <f>IF($A340="","",ROW()-ROW($A$5))</f>
        <v/>
      </c>
      <c r="I340" s="7">
        <f>IF(VERI_B!A340="","",VERI_B!A340)</f>
        <v/>
      </c>
      <c r="J340" s="16">
        <f>UPPER(TRIM(SUBSTITUTE($I340," ","")))</f>
        <v/>
      </c>
      <c r="K340" s="16">
        <f>IF($J340="",0,LEN($J340))</f>
        <v/>
      </c>
      <c r="L340" s="16">
        <f>IF($J340="","",LEFT($J340,cbb_ikincilUzunluk))</f>
        <v/>
      </c>
      <c r="M340" s="16">
        <f>"B"</f>
        <v/>
      </c>
      <c r="N340" s="16">
        <f>IF($J340="","",IF(COUNTIF(tblAnahtarB[NormB],$J340)&gt;1,"EVET","HAYIR"))</f>
        <v/>
      </c>
      <c r="O340" s="16">
        <f>IF($I340="","",ROW()-ROW($I$5))</f>
        <v/>
      </c>
    </row>
    <row r="341">
      <c r="A341" s="7">
        <f>IF(VERI_A!A341="","",VERI_A!A341)</f>
        <v/>
      </c>
      <c r="B341" s="16">
        <f>UPPER(TRIM(SUBSTITUTE($A341," ","")))</f>
        <v/>
      </c>
      <c r="C341" s="16">
        <f>IF($B341="",0,LEN($B341))</f>
        <v/>
      </c>
      <c r="D341" s="16">
        <f>IF($B341="","",LEFT($B341,cbb_ikincilUzunluk))</f>
        <v/>
      </c>
      <c r="E341" s="16">
        <f>"A"</f>
        <v/>
      </c>
      <c r="F341" s="16">
        <f>IF($B341="","",IF(COUNTIF(tblAnahtarA[Norm],$B341)&gt;1,"EVET","HAYIR"))</f>
        <v/>
      </c>
      <c r="G341" s="16">
        <f>IF($A341="","",ROW()-ROW($A$5))</f>
        <v/>
      </c>
      <c r="I341" s="7">
        <f>IF(VERI_B!A341="","",VERI_B!A341)</f>
        <v/>
      </c>
      <c r="J341" s="16">
        <f>UPPER(TRIM(SUBSTITUTE($I341," ","")))</f>
        <v/>
      </c>
      <c r="K341" s="16">
        <f>IF($J341="",0,LEN($J341))</f>
        <v/>
      </c>
      <c r="L341" s="16">
        <f>IF($J341="","",LEFT($J341,cbb_ikincilUzunluk))</f>
        <v/>
      </c>
      <c r="M341" s="16">
        <f>"B"</f>
        <v/>
      </c>
      <c r="N341" s="16">
        <f>IF($J341="","",IF(COUNTIF(tblAnahtarB[NormB],$J341)&gt;1,"EVET","HAYIR"))</f>
        <v/>
      </c>
      <c r="O341" s="16">
        <f>IF($I341="","",ROW()-ROW($I$5))</f>
        <v/>
      </c>
    </row>
    <row r="342">
      <c r="A342" s="7">
        <f>IF(VERI_A!A342="","",VERI_A!A342)</f>
        <v/>
      </c>
      <c r="B342" s="16">
        <f>UPPER(TRIM(SUBSTITUTE($A342," ","")))</f>
        <v/>
      </c>
      <c r="C342" s="16">
        <f>IF($B342="",0,LEN($B342))</f>
        <v/>
      </c>
      <c r="D342" s="16">
        <f>IF($B342="","",LEFT($B342,cbb_ikincilUzunluk))</f>
        <v/>
      </c>
      <c r="E342" s="16">
        <f>"A"</f>
        <v/>
      </c>
      <c r="F342" s="16">
        <f>IF($B342="","",IF(COUNTIF(tblAnahtarA[Norm],$B342)&gt;1,"EVET","HAYIR"))</f>
        <v/>
      </c>
      <c r="G342" s="16">
        <f>IF($A342="","",ROW()-ROW($A$5))</f>
        <v/>
      </c>
      <c r="I342" s="7">
        <f>IF(VERI_B!A342="","",VERI_B!A342)</f>
        <v/>
      </c>
      <c r="J342" s="16">
        <f>UPPER(TRIM(SUBSTITUTE($I342," ","")))</f>
        <v/>
      </c>
      <c r="K342" s="16">
        <f>IF($J342="",0,LEN($J342))</f>
        <v/>
      </c>
      <c r="L342" s="16">
        <f>IF($J342="","",LEFT($J342,cbb_ikincilUzunluk))</f>
        <v/>
      </c>
      <c r="M342" s="16">
        <f>"B"</f>
        <v/>
      </c>
      <c r="N342" s="16">
        <f>IF($J342="","",IF(COUNTIF(tblAnahtarB[NormB],$J342)&gt;1,"EVET","HAYIR"))</f>
        <v/>
      </c>
      <c r="O342" s="16">
        <f>IF($I342="","",ROW()-ROW($I$5))</f>
        <v/>
      </c>
    </row>
    <row r="343">
      <c r="A343" s="7">
        <f>IF(VERI_A!A343="","",VERI_A!A343)</f>
        <v/>
      </c>
      <c r="B343" s="16">
        <f>UPPER(TRIM(SUBSTITUTE($A343," ","")))</f>
        <v/>
      </c>
      <c r="C343" s="16">
        <f>IF($B343="",0,LEN($B343))</f>
        <v/>
      </c>
      <c r="D343" s="16">
        <f>IF($B343="","",LEFT($B343,cbb_ikincilUzunluk))</f>
        <v/>
      </c>
      <c r="E343" s="16">
        <f>"A"</f>
        <v/>
      </c>
      <c r="F343" s="16">
        <f>IF($B343="","",IF(COUNTIF(tblAnahtarA[Norm],$B343)&gt;1,"EVET","HAYIR"))</f>
        <v/>
      </c>
      <c r="G343" s="16">
        <f>IF($A343="","",ROW()-ROW($A$5))</f>
        <v/>
      </c>
      <c r="I343" s="7">
        <f>IF(VERI_B!A343="","",VERI_B!A343)</f>
        <v/>
      </c>
      <c r="J343" s="16">
        <f>UPPER(TRIM(SUBSTITUTE($I343," ","")))</f>
        <v/>
      </c>
      <c r="K343" s="16">
        <f>IF($J343="",0,LEN($J343))</f>
        <v/>
      </c>
      <c r="L343" s="16">
        <f>IF($J343="","",LEFT($J343,cbb_ikincilUzunluk))</f>
        <v/>
      </c>
      <c r="M343" s="16">
        <f>"B"</f>
        <v/>
      </c>
      <c r="N343" s="16">
        <f>IF($J343="","",IF(COUNTIF(tblAnahtarB[NormB],$J343)&gt;1,"EVET","HAYIR"))</f>
        <v/>
      </c>
      <c r="O343" s="16">
        <f>IF($I343="","",ROW()-ROW($I$5))</f>
        <v/>
      </c>
    </row>
    <row r="344">
      <c r="A344" s="7">
        <f>IF(VERI_A!A344="","",VERI_A!A344)</f>
        <v/>
      </c>
      <c r="B344" s="16">
        <f>UPPER(TRIM(SUBSTITUTE($A344," ","")))</f>
        <v/>
      </c>
      <c r="C344" s="16">
        <f>IF($B344="",0,LEN($B344))</f>
        <v/>
      </c>
      <c r="D344" s="16">
        <f>IF($B344="","",LEFT($B344,cbb_ikincilUzunluk))</f>
        <v/>
      </c>
      <c r="E344" s="16">
        <f>"A"</f>
        <v/>
      </c>
      <c r="F344" s="16">
        <f>IF($B344="","",IF(COUNTIF(tblAnahtarA[Norm],$B344)&gt;1,"EVET","HAYIR"))</f>
        <v/>
      </c>
      <c r="G344" s="16">
        <f>IF($A344="","",ROW()-ROW($A$5))</f>
        <v/>
      </c>
      <c r="I344" s="7">
        <f>IF(VERI_B!A344="","",VERI_B!A344)</f>
        <v/>
      </c>
      <c r="J344" s="16">
        <f>UPPER(TRIM(SUBSTITUTE($I344," ","")))</f>
        <v/>
      </c>
      <c r="K344" s="16">
        <f>IF($J344="",0,LEN($J344))</f>
        <v/>
      </c>
      <c r="L344" s="16">
        <f>IF($J344="","",LEFT($J344,cbb_ikincilUzunluk))</f>
        <v/>
      </c>
      <c r="M344" s="16">
        <f>"B"</f>
        <v/>
      </c>
      <c r="N344" s="16">
        <f>IF($J344="","",IF(COUNTIF(tblAnahtarB[NormB],$J344)&gt;1,"EVET","HAYIR"))</f>
        <v/>
      </c>
      <c r="O344" s="16">
        <f>IF($I344="","",ROW()-ROW($I$5))</f>
        <v/>
      </c>
    </row>
    <row r="345">
      <c r="A345" s="7">
        <f>IF(VERI_A!A345="","",VERI_A!A345)</f>
        <v/>
      </c>
      <c r="B345" s="16">
        <f>UPPER(TRIM(SUBSTITUTE($A345," ","")))</f>
        <v/>
      </c>
      <c r="C345" s="16">
        <f>IF($B345="",0,LEN($B345))</f>
        <v/>
      </c>
      <c r="D345" s="16">
        <f>IF($B345="","",LEFT($B345,cbb_ikincilUzunluk))</f>
        <v/>
      </c>
      <c r="E345" s="16">
        <f>"A"</f>
        <v/>
      </c>
      <c r="F345" s="16">
        <f>IF($B345="","",IF(COUNTIF(tblAnahtarA[Norm],$B345)&gt;1,"EVET","HAYIR"))</f>
        <v/>
      </c>
      <c r="G345" s="16">
        <f>IF($A345="","",ROW()-ROW($A$5))</f>
        <v/>
      </c>
      <c r="I345" s="7">
        <f>IF(VERI_B!A345="","",VERI_B!A345)</f>
        <v/>
      </c>
      <c r="J345" s="16">
        <f>UPPER(TRIM(SUBSTITUTE($I345," ","")))</f>
        <v/>
      </c>
      <c r="K345" s="16">
        <f>IF($J345="",0,LEN($J345))</f>
        <v/>
      </c>
      <c r="L345" s="16">
        <f>IF($J345="","",LEFT($J345,cbb_ikincilUzunluk))</f>
        <v/>
      </c>
      <c r="M345" s="16">
        <f>"B"</f>
        <v/>
      </c>
      <c r="N345" s="16">
        <f>IF($J345="","",IF(COUNTIF(tblAnahtarB[NormB],$J345)&gt;1,"EVET","HAYIR"))</f>
        <v/>
      </c>
      <c r="O345" s="16">
        <f>IF($I345="","",ROW()-ROW($I$5))</f>
        <v/>
      </c>
    </row>
    <row r="346">
      <c r="A346" s="7">
        <f>IF(VERI_A!A346="","",VERI_A!A346)</f>
        <v/>
      </c>
      <c r="B346" s="16">
        <f>UPPER(TRIM(SUBSTITUTE($A346," ","")))</f>
        <v/>
      </c>
      <c r="C346" s="16">
        <f>IF($B346="",0,LEN($B346))</f>
        <v/>
      </c>
      <c r="D346" s="16">
        <f>IF($B346="","",LEFT($B346,cbb_ikincilUzunluk))</f>
        <v/>
      </c>
      <c r="E346" s="16">
        <f>"A"</f>
        <v/>
      </c>
      <c r="F346" s="16">
        <f>IF($B346="","",IF(COUNTIF(tblAnahtarA[Norm],$B346)&gt;1,"EVET","HAYIR"))</f>
        <v/>
      </c>
      <c r="G346" s="16">
        <f>IF($A346="","",ROW()-ROW($A$5))</f>
        <v/>
      </c>
      <c r="I346" s="7">
        <f>IF(VERI_B!A346="","",VERI_B!A346)</f>
        <v/>
      </c>
      <c r="J346" s="16">
        <f>UPPER(TRIM(SUBSTITUTE($I346," ","")))</f>
        <v/>
      </c>
      <c r="K346" s="16">
        <f>IF($J346="",0,LEN($J346))</f>
        <v/>
      </c>
      <c r="L346" s="16">
        <f>IF($J346="","",LEFT($J346,cbb_ikincilUzunluk))</f>
        <v/>
      </c>
      <c r="M346" s="16">
        <f>"B"</f>
        <v/>
      </c>
      <c r="N346" s="16">
        <f>IF($J346="","",IF(COUNTIF(tblAnahtarB[NormB],$J346)&gt;1,"EVET","HAYIR"))</f>
        <v/>
      </c>
      <c r="O346" s="16">
        <f>IF($I346="","",ROW()-ROW($I$5))</f>
        <v/>
      </c>
    </row>
    <row r="347">
      <c r="A347" s="7">
        <f>IF(VERI_A!A347="","",VERI_A!A347)</f>
        <v/>
      </c>
      <c r="B347" s="16">
        <f>UPPER(TRIM(SUBSTITUTE($A347," ","")))</f>
        <v/>
      </c>
      <c r="C347" s="16">
        <f>IF($B347="",0,LEN($B347))</f>
        <v/>
      </c>
      <c r="D347" s="16">
        <f>IF($B347="","",LEFT($B347,cbb_ikincilUzunluk))</f>
        <v/>
      </c>
      <c r="E347" s="16">
        <f>"A"</f>
        <v/>
      </c>
      <c r="F347" s="16">
        <f>IF($B347="","",IF(COUNTIF(tblAnahtarA[Norm],$B347)&gt;1,"EVET","HAYIR"))</f>
        <v/>
      </c>
      <c r="G347" s="16">
        <f>IF($A347="","",ROW()-ROW($A$5))</f>
        <v/>
      </c>
      <c r="I347" s="7">
        <f>IF(VERI_B!A347="","",VERI_B!A347)</f>
        <v/>
      </c>
      <c r="J347" s="16">
        <f>UPPER(TRIM(SUBSTITUTE($I347," ","")))</f>
        <v/>
      </c>
      <c r="K347" s="16">
        <f>IF($J347="",0,LEN($J347))</f>
        <v/>
      </c>
      <c r="L347" s="16">
        <f>IF($J347="","",LEFT($J347,cbb_ikincilUzunluk))</f>
        <v/>
      </c>
      <c r="M347" s="16">
        <f>"B"</f>
        <v/>
      </c>
      <c r="N347" s="16">
        <f>IF($J347="","",IF(COUNTIF(tblAnahtarB[NormB],$J347)&gt;1,"EVET","HAYIR"))</f>
        <v/>
      </c>
      <c r="O347" s="16">
        <f>IF($I347="","",ROW()-ROW($I$5))</f>
        <v/>
      </c>
    </row>
    <row r="348">
      <c r="A348" s="7">
        <f>IF(VERI_A!A348="","",VERI_A!A348)</f>
        <v/>
      </c>
      <c r="B348" s="16">
        <f>UPPER(TRIM(SUBSTITUTE($A348," ","")))</f>
        <v/>
      </c>
      <c r="C348" s="16">
        <f>IF($B348="",0,LEN($B348))</f>
        <v/>
      </c>
      <c r="D348" s="16">
        <f>IF($B348="","",LEFT($B348,cbb_ikincilUzunluk))</f>
        <v/>
      </c>
      <c r="E348" s="16">
        <f>"A"</f>
        <v/>
      </c>
      <c r="F348" s="16">
        <f>IF($B348="","",IF(COUNTIF(tblAnahtarA[Norm],$B348)&gt;1,"EVET","HAYIR"))</f>
        <v/>
      </c>
      <c r="G348" s="16">
        <f>IF($A348="","",ROW()-ROW($A$5))</f>
        <v/>
      </c>
      <c r="I348" s="7">
        <f>IF(VERI_B!A348="","",VERI_B!A348)</f>
        <v/>
      </c>
      <c r="J348" s="16">
        <f>UPPER(TRIM(SUBSTITUTE($I348," ","")))</f>
        <v/>
      </c>
      <c r="K348" s="16">
        <f>IF($J348="",0,LEN($J348))</f>
        <v/>
      </c>
      <c r="L348" s="16">
        <f>IF($J348="","",LEFT($J348,cbb_ikincilUzunluk))</f>
        <v/>
      </c>
      <c r="M348" s="16">
        <f>"B"</f>
        <v/>
      </c>
      <c r="N348" s="16">
        <f>IF($J348="","",IF(COUNTIF(tblAnahtarB[NormB],$J348)&gt;1,"EVET","HAYIR"))</f>
        <v/>
      </c>
      <c r="O348" s="16">
        <f>IF($I348="","",ROW()-ROW($I$5))</f>
        <v/>
      </c>
    </row>
    <row r="349">
      <c r="A349" s="7">
        <f>IF(VERI_A!A349="","",VERI_A!A349)</f>
        <v/>
      </c>
      <c r="B349" s="16">
        <f>UPPER(TRIM(SUBSTITUTE($A349," ","")))</f>
        <v/>
      </c>
      <c r="C349" s="16">
        <f>IF($B349="",0,LEN($B349))</f>
        <v/>
      </c>
      <c r="D349" s="16">
        <f>IF($B349="","",LEFT($B349,cbb_ikincilUzunluk))</f>
        <v/>
      </c>
      <c r="E349" s="16">
        <f>"A"</f>
        <v/>
      </c>
      <c r="F349" s="16">
        <f>IF($B349="","",IF(COUNTIF(tblAnahtarA[Norm],$B349)&gt;1,"EVET","HAYIR"))</f>
        <v/>
      </c>
      <c r="G349" s="16">
        <f>IF($A349="","",ROW()-ROW($A$5))</f>
        <v/>
      </c>
      <c r="I349" s="7">
        <f>IF(VERI_B!A349="","",VERI_B!A349)</f>
        <v/>
      </c>
      <c r="J349" s="16">
        <f>UPPER(TRIM(SUBSTITUTE($I349," ","")))</f>
        <v/>
      </c>
      <c r="K349" s="16">
        <f>IF($J349="",0,LEN($J349))</f>
        <v/>
      </c>
      <c r="L349" s="16">
        <f>IF($J349="","",LEFT($J349,cbb_ikincilUzunluk))</f>
        <v/>
      </c>
      <c r="M349" s="16">
        <f>"B"</f>
        <v/>
      </c>
      <c r="N349" s="16">
        <f>IF($J349="","",IF(COUNTIF(tblAnahtarB[NormB],$J349)&gt;1,"EVET","HAYIR"))</f>
        <v/>
      </c>
      <c r="O349" s="16">
        <f>IF($I349="","",ROW()-ROW($I$5))</f>
        <v/>
      </c>
    </row>
    <row r="350">
      <c r="A350" s="7">
        <f>IF(VERI_A!A350="","",VERI_A!A350)</f>
        <v/>
      </c>
      <c r="B350" s="16">
        <f>UPPER(TRIM(SUBSTITUTE($A350," ","")))</f>
        <v/>
      </c>
      <c r="C350" s="16">
        <f>IF($B350="",0,LEN($B350))</f>
        <v/>
      </c>
      <c r="D350" s="16">
        <f>IF($B350="","",LEFT($B350,cbb_ikincilUzunluk))</f>
        <v/>
      </c>
      <c r="E350" s="16">
        <f>"A"</f>
        <v/>
      </c>
      <c r="F350" s="16">
        <f>IF($B350="","",IF(COUNTIF(tblAnahtarA[Norm],$B350)&gt;1,"EVET","HAYIR"))</f>
        <v/>
      </c>
      <c r="G350" s="16">
        <f>IF($A350="","",ROW()-ROW($A$5))</f>
        <v/>
      </c>
      <c r="I350" s="7">
        <f>IF(VERI_B!A350="","",VERI_B!A350)</f>
        <v/>
      </c>
      <c r="J350" s="16">
        <f>UPPER(TRIM(SUBSTITUTE($I350," ","")))</f>
        <v/>
      </c>
      <c r="K350" s="16">
        <f>IF($J350="",0,LEN($J350))</f>
        <v/>
      </c>
      <c r="L350" s="16">
        <f>IF($J350="","",LEFT($J350,cbb_ikincilUzunluk))</f>
        <v/>
      </c>
      <c r="M350" s="16">
        <f>"B"</f>
        <v/>
      </c>
      <c r="N350" s="16">
        <f>IF($J350="","",IF(COUNTIF(tblAnahtarB[NormB],$J350)&gt;1,"EVET","HAYIR"))</f>
        <v/>
      </c>
      <c r="O350" s="16">
        <f>IF($I350="","",ROW()-ROW($I$5))</f>
        <v/>
      </c>
    </row>
    <row r="351">
      <c r="A351" s="7">
        <f>IF(VERI_A!A351="","",VERI_A!A351)</f>
        <v/>
      </c>
      <c r="B351" s="16">
        <f>UPPER(TRIM(SUBSTITUTE($A351," ","")))</f>
        <v/>
      </c>
      <c r="C351" s="16">
        <f>IF($B351="",0,LEN($B351))</f>
        <v/>
      </c>
      <c r="D351" s="16">
        <f>IF($B351="","",LEFT($B351,cbb_ikincilUzunluk))</f>
        <v/>
      </c>
      <c r="E351" s="16">
        <f>"A"</f>
        <v/>
      </c>
      <c r="F351" s="16">
        <f>IF($B351="","",IF(COUNTIF(tblAnahtarA[Norm],$B351)&gt;1,"EVET","HAYIR"))</f>
        <v/>
      </c>
      <c r="G351" s="16">
        <f>IF($A351="","",ROW()-ROW($A$5))</f>
        <v/>
      </c>
      <c r="I351" s="7">
        <f>IF(VERI_B!A351="","",VERI_B!A351)</f>
        <v/>
      </c>
      <c r="J351" s="16">
        <f>UPPER(TRIM(SUBSTITUTE($I351," ","")))</f>
        <v/>
      </c>
      <c r="K351" s="16">
        <f>IF($J351="",0,LEN($J351))</f>
        <v/>
      </c>
      <c r="L351" s="16">
        <f>IF($J351="","",LEFT($J351,cbb_ikincilUzunluk))</f>
        <v/>
      </c>
      <c r="M351" s="16">
        <f>"B"</f>
        <v/>
      </c>
      <c r="N351" s="16">
        <f>IF($J351="","",IF(COUNTIF(tblAnahtarB[NormB],$J351)&gt;1,"EVET","HAYIR"))</f>
        <v/>
      </c>
      <c r="O351" s="16">
        <f>IF($I351="","",ROW()-ROW($I$5))</f>
        <v/>
      </c>
    </row>
    <row r="352">
      <c r="A352" s="7">
        <f>IF(VERI_A!A352="","",VERI_A!A352)</f>
        <v/>
      </c>
      <c r="B352" s="16">
        <f>UPPER(TRIM(SUBSTITUTE($A352," ","")))</f>
        <v/>
      </c>
      <c r="C352" s="16">
        <f>IF($B352="",0,LEN($B352))</f>
        <v/>
      </c>
      <c r="D352" s="16">
        <f>IF($B352="","",LEFT($B352,cbb_ikincilUzunluk))</f>
        <v/>
      </c>
      <c r="E352" s="16">
        <f>"A"</f>
        <v/>
      </c>
      <c r="F352" s="16">
        <f>IF($B352="","",IF(COUNTIF(tblAnahtarA[Norm],$B352)&gt;1,"EVET","HAYIR"))</f>
        <v/>
      </c>
      <c r="G352" s="16">
        <f>IF($A352="","",ROW()-ROW($A$5))</f>
        <v/>
      </c>
      <c r="I352" s="7">
        <f>IF(VERI_B!A352="","",VERI_B!A352)</f>
        <v/>
      </c>
      <c r="J352" s="16">
        <f>UPPER(TRIM(SUBSTITUTE($I352," ","")))</f>
        <v/>
      </c>
      <c r="K352" s="16">
        <f>IF($J352="",0,LEN($J352))</f>
        <v/>
      </c>
      <c r="L352" s="16">
        <f>IF($J352="","",LEFT($J352,cbb_ikincilUzunluk))</f>
        <v/>
      </c>
      <c r="M352" s="16">
        <f>"B"</f>
        <v/>
      </c>
      <c r="N352" s="16">
        <f>IF($J352="","",IF(COUNTIF(tblAnahtarB[NormB],$J352)&gt;1,"EVET","HAYIR"))</f>
        <v/>
      </c>
      <c r="O352" s="16">
        <f>IF($I352="","",ROW()-ROW($I$5))</f>
        <v/>
      </c>
    </row>
    <row r="353">
      <c r="A353" s="7">
        <f>IF(VERI_A!A353="","",VERI_A!A353)</f>
        <v/>
      </c>
      <c r="B353" s="16">
        <f>UPPER(TRIM(SUBSTITUTE($A353," ","")))</f>
        <v/>
      </c>
      <c r="C353" s="16">
        <f>IF($B353="",0,LEN($B353))</f>
        <v/>
      </c>
      <c r="D353" s="16">
        <f>IF($B353="","",LEFT($B353,cbb_ikincilUzunluk))</f>
        <v/>
      </c>
      <c r="E353" s="16">
        <f>"A"</f>
        <v/>
      </c>
      <c r="F353" s="16">
        <f>IF($B353="","",IF(COUNTIF(tblAnahtarA[Norm],$B353)&gt;1,"EVET","HAYIR"))</f>
        <v/>
      </c>
      <c r="G353" s="16">
        <f>IF($A353="","",ROW()-ROW($A$5))</f>
        <v/>
      </c>
      <c r="I353" s="7">
        <f>IF(VERI_B!A353="","",VERI_B!A353)</f>
        <v/>
      </c>
      <c r="J353" s="16">
        <f>UPPER(TRIM(SUBSTITUTE($I353," ","")))</f>
        <v/>
      </c>
      <c r="K353" s="16">
        <f>IF($J353="",0,LEN($J353))</f>
        <v/>
      </c>
      <c r="L353" s="16">
        <f>IF($J353="","",LEFT($J353,cbb_ikincilUzunluk))</f>
        <v/>
      </c>
      <c r="M353" s="16">
        <f>"B"</f>
        <v/>
      </c>
      <c r="N353" s="16">
        <f>IF($J353="","",IF(COUNTIF(tblAnahtarB[NormB],$J353)&gt;1,"EVET","HAYIR"))</f>
        <v/>
      </c>
      <c r="O353" s="16">
        <f>IF($I353="","",ROW()-ROW($I$5))</f>
        <v/>
      </c>
    </row>
    <row r="354">
      <c r="A354" s="7">
        <f>IF(VERI_A!A354="","",VERI_A!A354)</f>
        <v/>
      </c>
      <c r="B354" s="16">
        <f>UPPER(TRIM(SUBSTITUTE($A354," ","")))</f>
        <v/>
      </c>
      <c r="C354" s="16">
        <f>IF($B354="",0,LEN($B354))</f>
        <v/>
      </c>
      <c r="D354" s="16">
        <f>IF($B354="","",LEFT($B354,cbb_ikincilUzunluk))</f>
        <v/>
      </c>
      <c r="E354" s="16">
        <f>"A"</f>
        <v/>
      </c>
      <c r="F354" s="16">
        <f>IF($B354="","",IF(COUNTIF(tblAnahtarA[Norm],$B354)&gt;1,"EVET","HAYIR"))</f>
        <v/>
      </c>
      <c r="G354" s="16">
        <f>IF($A354="","",ROW()-ROW($A$5))</f>
        <v/>
      </c>
      <c r="I354" s="7">
        <f>IF(VERI_B!A354="","",VERI_B!A354)</f>
        <v/>
      </c>
      <c r="J354" s="16">
        <f>UPPER(TRIM(SUBSTITUTE($I354," ","")))</f>
        <v/>
      </c>
      <c r="K354" s="16">
        <f>IF($J354="",0,LEN($J354))</f>
        <v/>
      </c>
      <c r="L354" s="16">
        <f>IF($J354="","",LEFT($J354,cbb_ikincilUzunluk))</f>
        <v/>
      </c>
      <c r="M354" s="16">
        <f>"B"</f>
        <v/>
      </c>
      <c r="N354" s="16">
        <f>IF($J354="","",IF(COUNTIF(tblAnahtarB[NormB],$J354)&gt;1,"EVET","HAYIR"))</f>
        <v/>
      </c>
      <c r="O354" s="16">
        <f>IF($I354="","",ROW()-ROW($I$5))</f>
        <v/>
      </c>
    </row>
    <row r="355">
      <c r="A355" s="7">
        <f>IF(VERI_A!A355="","",VERI_A!A355)</f>
        <v/>
      </c>
      <c r="B355" s="16">
        <f>UPPER(TRIM(SUBSTITUTE($A355," ","")))</f>
        <v/>
      </c>
      <c r="C355" s="16">
        <f>IF($B355="",0,LEN($B355))</f>
        <v/>
      </c>
      <c r="D355" s="16">
        <f>IF($B355="","",LEFT($B355,cbb_ikincilUzunluk))</f>
        <v/>
      </c>
      <c r="E355" s="16">
        <f>"A"</f>
        <v/>
      </c>
      <c r="F355" s="16">
        <f>IF($B355="","",IF(COUNTIF(tblAnahtarA[Norm],$B355)&gt;1,"EVET","HAYIR"))</f>
        <v/>
      </c>
      <c r="G355" s="16">
        <f>IF($A355="","",ROW()-ROW($A$5))</f>
        <v/>
      </c>
      <c r="I355" s="7">
        <f>IF(VERI_B!A355="","",VERI_B!A355)</f>
        <v/>
      </c>
      <c r="J355" s="16">
        <f>UPPER(TRIM(SUBSTITUTE($I355," ","")))</f>
        <v/>
      </c>
      <c r="K355" s="16">
        <f>IF($J355="",0,LEN($J355))</f>
        <v/>
      </c>
      <c r="L355" s="16">
        <f>IF($J355="","",LEFT($J355,cbb_ikincilUzunluk))</f>
        <v/>
      </c>
      <c r="M355" s="16">
        <f>"B"</f>
        <v/>
      </c>
      <c r="N355" s="16">
        <f>IF($J355="","",IF(COUNTIF(tblAnahtarB[NormB],$J355)&gt;1,"EVET","HAYIR"))</f>
        <v/>
      </c>
      <c r="O355" s="16">
        <f>IF($I355="","",ROW()-ROW($I$5))</f>
        <v/>
      </c>
    </row>
    <row r="356">
      <c r="A356" s="7">
        <f>IF(VERI_A!A356="","",VERI_A!A356)</f>
        <v/>
      </c>
      <c r="B356" s="16">
        <f>UPPER(TRIM(SUBSTITUTE($A356," ","")))</f>
        <v/>
      </c>
      <c r="C356" s="16">
        <f>IF($B356="",0,LEN($B356))</f>
        <v/>
      </c>
      <c r="D356" s="16">
        <f>IF($B356="","",LEFT($B356,cbb_ikincilUzunluk))</f>
        <v/>
      </c>
      <c r="E356" s="16">
        <f>"A"</f>
        <v/>
      </c>
      <c r="F356" s="16">
        <f>IF($B356="","",IF(COUNTIF(tblAnahtarA[Norm],$B356)&gt;1,"EVET","HAYIR"))</f>
        <v/>
      </c>
      <c r="G356" s="16">
        <f>IF($A356="","",ROW()-ROW($A$5))</f>
        <v/>
      </c>
      <c r="I356" s="7">
        <f>IF(VERI_B!A356="","",VERI_B!A356)</f>
        <v/>
      </c>
      <c r="J356" s="16">
        <f>UPPER(TRIM(SUBSTITUTE($I356," ","")))</f>
        <v/>
      </c>
      <c r="K356" s="16">
        <f>IF($J356="",0,LEN($J356))</f>
        <v/>
      </c>
      <c r="L356" s="16">
        <f>IF($J356="","",LEFT($J356,cbb_ikincilUzunluk))</f>
        <v/>
      </c>
      <c r="M356" s="16">
        <f>"B"</f>
        <v/>
      </c>
      <c r="N356" s="16">
        <f>IF($J356="","",IF(COUNTIF(tblAnahtarB[NormB],$J356)&gt;1,"EVET","HAYIR"))</f>
        <v/>
      </c>
      <c r="O356" s="16">
        <f>IF($I356="","",ROW()-ROW($I$5))</f>
        <v/>
      </c>
    </row>
    <row r="357">
      <c r="A357" s="7">
        <f>IF(VERI_A!A357="","",VERI_A!A357)</f>
        <v/>
      </c>
      <c r="B357" s="16">
        <f>UPPER(TRIM(SUBSTITUTE($A357," ","")))</f>
        <v/>
      </c>
      <c r="C357" s="16">
        <f>IF($B357="",0,LEN($B357))</f>
        <v/>
      </c>
      <c r="D357" s="16">
        <f>IF($B357="","",LEFT($B357,cbb_ikincilUzunluk))</f>
        <v/>
      </c>
      <c r="E357" s="16">
        <f>"A"</f>
        <v/>
      </c>
      <c r="F357" s="16">
        <f>IF($B357="","",IF(COUNTIF(tblAnahtarA[Norm],$B357)&gt;1,"EVET","HAYIR"))</f>
        <v/>
      </c>
      <c r="G357" s="16">
        <f>IF($A357="","",ROW()-ROW($A$5))</f>
        <v/>
      </c>
      <c r="I357" s="7">
        <f>IF(VERI_B!A357="","",VERI_B!A357)</f>
        <v/>
      </c>
      <c r="J357" s="16">
        <f>UPPER(TRIM(SUBSTITUTE($I357," ","")))</f>
        <v/>
      </c>
      <c r="K357" s="16">
        <f>IF($J357="",0,LEN($J357))</f>
        <v/>
      </c>
      <c r="L357" s="16">
        <f>IF($J357="","",LEFT($J357,cbb_ikincilUzunluk))</f>
        <v/>
      </c>
      <c r="M357" s="16">
        <f>"B"</f>
        <v/>
      </c>
      <c r="N357" s="16">
        <f>IF($J357="","",IF(COUNTIF(tblAnahtarB[NormB],$J357)&gt;1,"EVET","HAYIR"))</f>
        <v/>
      </c>
      <c r="O357" s="16">
        <f>IF($I357="","",ROW()-ROW($I$5))</f>
        <v/>
      </c>
    </row>
    <row r="358">
      <c r="A358" s="7">
        <f>IF(VERI_A!A358="","",VERI_A!A358)</f>
        <v/>
      </c>
      <c r="B358" s="16">
        <f>UPPER(TRIM(SUBSTITUTE($A358," ","")))</f>
        <v/>
      </c>
      <c r="C358" s="16">
        <f>IF($B358="",0,LEN($B358))</f>
        <v/>
      </c>
      <c r="D358" s="16">
        <f>IF($B358="","",LEFT($B358,cbb_ikincilUzunluk))</f>
        <v/>
      </c>
      <c r="E358" s="16">
        <f>"A"</f>
        <v/>
      </c>
      <c r="F358" s="16">
        <f>IF($B358="","",IF(COUNTIF(tblAnahtarA[Norm],$B358)&gt;1,"EVET","HAYIR"))</f>
        <v/>
      </c>
      <c r="G358" s="16">
        <f>IF($A358="","",ROW()-ROW($A$5))</f>
        <v/>
      </c>
      <c r="I358" s="7">
        <f>IF(VERI_B!A358="","",VERI_B!A358)</f>
        <v/>
      </c>
      <c r="J358" s="16">
        <f>UPPER(TRIM(SUBSTITUTE($I358," ","")))</f>
        <v/>
      </c>
      <c r="K358" s="16">
        <f>IF($J358="",0,LEN($J358))</f>
        <v/>
      </c>
      <c r="L358" s="16">
        <f>IF($J358="","",LEFT($J358,cbb_ikincilUzunluk))</f>
        <v/>
      </c>
      <c r="M358" s="16">
        <f>"B"</f>
        <v/>
      </c>
      <c r="N358" s="16">
        <f>IF($J358="","",IF(COUNTIF(tblAnahtarB[NormB],$J358)&gt;1,"EVET","HAYIR"))</f>
        <v/>
      </c>
      <c r="O358" s="16">
        <f>IF($I358="","",ROW()-ROW($I$5))</f>
        <v/>
      </c>
    </row>
    <row r="359">
      <c r="A359" s="7">
        <f>IF(VERI_A!A359="","",VERI_A!A359)</f>
        <v/>
      </c>
      <c r="B359" s="16">
        <f>UPPER(TRIM(SUBSTITUTE($A359," ","")))</f>
        <v/>
      </c>
      <c r="C359" s="16">
        <f>IF($B359="",0,LEN($B359))</f>
        <v/>
      </c>
      <c r="D359" s="16">
        <f>IF($B359="","",LEFT($B359,cbb_ikincilUzunluk))</f>
        <v/>
      </c>
      <c r="E359" s="16">
        <f>"A"</f>
        <v/>
      </c>
      <c r="F359" s="16">
        <f>IF($B359="","",IF(COUNTIF(tblAnahtarA[Norm],$B359)&gt;1,"EVET","HAYIR"))</f>
        <v/>
      </c>
      <c r="G359" s="16">
        <f>IF($A359="","",ROW()-ROW($A$5))</f>
        <v/>
      </c>
      <c r="I359" s="7">
        <f>IF(VERI_B!A359="","",VERI_B!A359)</f>
        <v/>
      </c>
      <c r="J359" s="16">
        <f>UPPER(TRIM(SUBSTITUTE($I359," ","")))</f>
        <v/>
      </c>
      <c r="K359" s="16">
        <f>IF($J359="",0,LEN($J359))</f>
        <v/>
      </c>
      <c r="L359" s="16">
        <f>IF($J359="","",LEFT($J359,cbb_ikincilUzunluk))</f>
        <v/>
      </c>
      <c r="M359" s="16">
        <f>"B"</f>
        <v/>
      </c>
      <c r="N359" s="16">
        <f>IF($J359="","",IF(COUNTIF(tblAnahtarB[NormB],$J359)&gt;1,"EVET","HAYIR"))</f>
        <v/>
      </c>
      <c r="O359" s="16">
        <f>IF($I359="","",ROW()-ROW($I$5))</f>
        <v/>
      </c>
    </row>
    <row r="360">
      <c r="A360" s="7">
        <f>IF(VERI_A!A360="","",VERI_A!A360)</f>
        <v/>
      </c>
      <c r="B360" s="16">
        <f>UPPER(TRIM(SUBSTITUTE($A360," ","")))</f>
        <v/>
      </c>
      <c r="C360" s="16">
        <f>IF($B360="",0,LEN($B360))</f>
        <v/>
      </c>
      <c r="D360" s="16">
        <f>IF($B360="","",LEFT($B360,cbb_ikincilUzunluk))</f>
        <v/>
      </c>
      <c r="E360" s="16">
        <f>"A"</f>
        <v/>
      </c>
      <c r="F360" s="16">
        <f>IF($B360="","",IF(COUNTIF(tblAnahtarA[Norm],$B360)&gt;1,"EVET","HAYIR"))</f>
        <v/>
      </c>
      <c r="G360" s="16">
        <f>IF($A360="","",ROW()-ROW($A$5))</f>
        <v/>
      </c>
      <c r="I360" s="7">
        <f>IF(VERI_B!A360="","",VERI_B!A360)</f>
        <v/>
      </c>
      <c r="J360" s="16">
        <f>UPPER(TRIM(SUBSTITUTE($I360," ","")))</f>
        <v/>
      </c>
      <c r="K360" s="16">
        <f>IF($J360="",0,LEN($J360))</f>
        <v/>
      </c>
      <c r="L360" s="16">
        <f>IF($J360="","",LEFT($J360,cbb_ikincilUzunluk))</f>
        <v/>
      </c>
      <c r="M360" s="16">
        <f>"B"</f>
        <v/>
      </c>
      <c r="N360" s="16">
        <f>IF($J360="","",IF(COUNTIF(tblAnahtarB[NormB],$J360)&gt;1,"EVET","HAYIR"))</f>
        <v/>
      </c>
      <c r="O360" s="16">
        <f>IF($I360="","",ROW()-ROW($I$5))</f>
        <v/>
      </c>
    </row>
    <row r="361">
      <c r="A361" s="7">
        <f>IF(VERI_A!A361="","",VERI_A!A361)</f>
        <v/>
      </c>
      <c r="B361" s="16">
        <f>UPPER(TRIM(SUBSTITUTE($A361," ","")))</f>
        <v/>
      </c>
      <c r="C361" s="16">
        <f>IF($B361="",0,LEN($B361))</f>
        <v/>
      </c>
      <c r="D361" s="16">
        <f>IF($B361="","",LEFT($B361,cbb_ikincilUzunluk))</f>
        <v/>
      </c>
      <c r="E361" s="16">
        <f>"A"</f>
        <v/>
      </c>
      <c r="F361" s="16">
        <f>IF($B361="","",IF(COUNTIF(tblAnahtarA[Norm],$B361)&gt;1,"EVET","HAYIR"))</f>
        <v/>
      </c>
      <c r="G361" s="16">
        <f>IF($A361="","",ROW()-ROW($A$5))</f>
        <v/>
      </c>
      <c r="I361" s="7">
        <f>IF(VERI_B!A361="","",VERI_B!A361)</f>
        <v/>
      </c>
      <c r="J361" s="16">
        <f>UPPER(TRIM(SUBSTITUTE($I361," ","")))</f>
        <v/>
      </c>
      <c r="K361" s="16">
        <f>IF($J361="",0,LEN($J361))</f>
        <v/>
      </c>
      <c r="L361" s="16">
        <f>IF($J361="","",LEFT($J361,cbb_ikincilUzunluk))</f>
        <v/>
      </c>
      <c r="M361" s="16">
        <f>"B"</f>
        <v/>
      </c>
      <c r="N361" s="16">
        <f>IF($J361="","",IF(COUNTIF(tblAnahtarB[NormB],$J361)&gt;1,"EVET","HAYIR"))</f>
        <v/>
      </c>
      <c r="O361" s="16">
        <f>IF($I361="","",ROW()-ROW($I$5))</f>
        <v/>
      </c>
    </row>
    <row r="362">
      <c r="A362" s="7">
        <f>IF(VERI_A!A362="","",VERI_A!A362)</f>
        <v/>
      </c>
      <c r="B362" s="16">
        <f>UPPER(TRIM(SUBSTITUTE($A362," ","")))</f>
        <v/>
      </c>
      <c r="C362" s="16">
        <f>IF($B362="",0,LEN($B362))</f>
        <v/>
      </c>
      <c r="D362" s="16">
        <f>IF($B362="","",LEFT($B362,cbb_ikincilUzunluk))</f>
        <v/>
      </c>
      <c r="E362" s="16">
        <f>"A"</f>
        <v/>
      </c>
      <c r="F362" s="16">
        <f>IF($B362="","",IF(COUNTIF(tblAnahtarA[Norm],$B362)&gt;1,"EVET","HAYIR"))</f>
        <v/>
      </c>
      <c r="G362" s="16">
        <f>IF($A362="","",ROW()-ROW($A$5))</f>
        <v/>
      </c>
      <c r="I362" s="7">
        <f>IF(VERI_B!A362="","",VERI_B!A362)</f>
        <v/>
      </c>
      <c r="J362" s="16">
        <f>UPPER(TRIM(SUBSTITUTE($I362," ","")))</f>
        <v/>
      </c>
      <c r="K362" s="16">
        <f>IF($J362="",0,LEN($J362))</f>
        <v/>
      </c>
      <c r="L362" s="16">
        <f>IF($J362="","",LEFT($J362,cbb_ikincilUzunluk))</f>
        <v/>
      </c>
      <c r="M362" s="16">
        <f>"B"</f>
        <v/>
      </c>
      <c r="N362" s="16">
        <f>IF($J362="","",IF(COUNTIF(tblAnahtarB[NormB],$J362)&gt;1,"EVET","HAYIR"))</f>
        <v/>
      </c>
      <c r="O362" s="16">
        <f>IF($I362="","",ROW()-ROW($I$5))</f>
        <v/>
      </c>
    </row>
    <row r="363">
      <c r="A363" s="7">
        <f>IF(VERI_A!A363="","",VERI_A!A363)</f>
        <v/>
      </c>
      <c r="B363" s="16">
        <f>UPPER(TRIM(SUBSTITUTE($A363," ","")))</f>
        <v/>
      </c>
      <c r="C363" s="16">
        <f>IF($B363="",0,LEN($B363))</f>
        <v/>
      </c>
      <c r="D363" s="16">
        <f>IF($B363="","",LEFT($B363,cbb_ikincilUzunluk))</f>
        <v/>
      </c>
      <c r="E363" s="16">
        <f>"A"</f>
        <v/>
      </c>
      <c r="F363" s="16">
        <f>IF($B363="","",IF(COUNTIF(tblAnahtarA[Norm],$B363)&gt;1,"EVET","HAYIR"))</f>
        <v/>
      </c>
      <c r="G363" s="16">
        <f>IF($A363="","",ROW()-ROW($A$5))</f>
        <v/>
      </c>
      <c r="I363" s="7">
        <f>IF(VERI_B!A363="","",VERI_B!A363)</f>
        <v/>
      </c>
      <c r="J363" s="16">
        <f>UPPER(TRIM(SUBSTITUTE($I363," ","")))</f>
        <v/>
      </c>
      <c r="K363" s="16">
        <f>IF($J363="",0,LEN($J363))</f>
        <v/>
      </c>
      <c r="L363" s="16">
        <f>IF($J363="","",LEFT($J363,cbb_ikincilUzunluk))</f>
        <v/>
      </c>
      <c r="M363" s="16">
        <f>"B"</f>
        <v/>
      </c>
      <c r="N363" s="16">
        <f>IF($J363="","",IF(COUNTIF(tblAnahtarB[NormB],$J363)&gt;1,"EVET","HAYIR"))</f>
        <v/>
      </c>
      <c r="O363" s="16">
        <f>IF($I363="","",ROW()-ROW($I$5))</f>
        <v/>
      </c>
    </row>
    <row r="364">
      <c r="A364" s="7">
        <f>IF(VERI_A!A364="","",VERI_A!A364)</f>
        <v/>
      </c>
      <c r="B364" s="16">
        <f>UPPER(TRIM(SUBSTITUTE($A364," ","")))</f>
        <v/>
      </c>
      <c r="C364" s="16">
        <f>IF($B364="",0,LEN($B364))</f>
        <v/>
      </c>
      <c r="D364" s="16">
        <f>IF($B364="","",LEFT($B364,cbb_ikincilUzunluk))</f>
        <v/>
      </c>
      <c r="E364" s="16">
        <f>"A"</f>
        <v/>
      </c>
      <c r="F364" s="16">
        <f>IF($B364="","",IF(COUNTIF(tblAnahtarA[Norm],$B364)&gt;1,"EVET","HAYIR"))</f>
        <v/>
      </c>
      <c r="G364" s="16">
        <f>IF($A364="","",ROW()-ROW($A$5))</f>
        <v/>
      </c>
      <c r="I364" s="7">
        <f>IF(VERI_B!A364="","",VERI_B!A364)</f>
        <v/>
      </c>
      <c r="J364" s="16">
        <f>UPPER(TRIM(SUBSTITUTE($I364," ","")))</f>
        <v/>
      </c>
      <c r="K364" s="16">
        <f>IF($J364="",0,LEN($J364))</f>
        <v/>
      </c>
      <c r="L364" s="16">
        <f>IF($J364="","",LEFT($J364,cbb_ikincilUzunluk))</f>
        <v/>
      </c>
      <c r="M364" s="16">
        <f>"B"</f>
        <v/>
      </c>
      <c r="N364" s="16">
        <f>IF($J364="","",IF(COUNTIF(tblAnahtarB[NormB],$J364)&gt;1,"EVET","HAYIR"))</f>
        <v/>
      </c>
      <c r="O364" s="16">
        <f>IF($I364="","",ROW()-ROW($I$5))</f>
        <v/>
      </c>
    </row>
    <row r="365">
      <c r="A365" s="7">
        <f>IF(VERI_A!A365="","",VERI_A!A365)</f>
        <v/>
      </c>
      <c r="B365" s="16">
        <f>UPPER(TRIM(SUBSTITUTE($A365," ","")))</f>
        <v/>
      </c>
      <c r="C365" s="16">
        <f>IF($B365="",0,LEN($B365))</f>
        <v/>
      </c>
      <c r="D365" s="16">
        <f>IF($B365="","",LEFT($B365,cbb_ikincilUzunluk))</f>
        <v/>
      </c>
      <c r="E365" s="16">
        <f>"A"</f>
        <v/>
      </c>
      <c r="F365" s="16">
        <f>IF($B365="","",IF(COUNTIF(tblAnahtarA[Norm],$B365)&gt;1,"EVET","HAYIR"))</f>
        <v/>
      </c>
      <c r="G365" s="16">
        <f>IF($A365="","",ROW()-ROW($A$5))</f>
        <v/>
      </c>
      <c r="I365" s="7">
        <f>IF(VERI_B!A365="","",VERI_B!A365)</f>
        <v/>
      </c>
      <c r="J365" s="16">
        <f>UPPER(TRIM(SUBSTITUTE($I365," ","")))</f>
        <v/>
      </c>
      <c r="K365" s="16">
        <f>IF($J365="",0,LEN($J365))</f>
        <v/>
      </c>
      <c r="L365" s="16">
        <f>IF($J365="","",LEFT($J365,cbb_ikincilUzunluk))</f>
        <v/>
      </c>
      <c r="M365" s="16">
        <f>"B"</f>
        <v/>
      </c>
      <c r="N365" s="16">
        <f>IF($J365="","",IF(COUNTIF(tblAnahtarB[NormB],$J365)&gt;1,"EVET","HAYIR"))</f>
        <v/>
      </c>
      <c r="O365" s="16">
        <f>IF($I365="","",ROW()-ROW($I$5))</f>
        <v/>
      </c>
    </row>
    <row r="366">
      <c r="A366" s="7">
        <f>IF(VERI_A!A366="","",VERI_A!A366)</f>
        <v/>
      </c>
      <c r="B366" s="16">
        <f>UPPER(TRIM(SUBSTITUTE($A366," ","")))</f>
        <v/>
      </c>
      <c r="C366" s="16">
        <f>IF($B366="",0,LEN($B366))</f>
        <v/>
      </c>
      <c r="D366" s="16">
        <f>IF($B366="","",LEFT($B366,cbb_ikincilUzunluk))</f>
        <v/>
      </c>
      <c r="E366" s="16">
        <f>"A"</f>
        <v/>
      </c>
      <c r="F366" s="16">
        <f>IF($B366="","",IF(COUNTIF(tblAnahtarA[Norm],$B366)&gt;1,"EVET","HAYIR"))</f>
        <v/>
      </c>
      <c r="G366" s="16">
        <f>IF($A366="","",ROW()-ROW($A$5))</f>
        <v/>
      </c>
      <c r="I366" s="7">
        <f>IF(VERI_B!A366="","",VERI_B!A366)</f>
        <v/>
      </c>
      <c r="J366" s="16">
        <f>UPPER(TRIM(SUBSTITUTE($I366," ","")))</f>
        <v/>
      </c>
      <c r="K366" s="16">
        <f>IF($J366="",0,LEN($J366))</f>
        <v/>
      </c>
      <c r="L366" s="16">
        <f>IF($J366="","",LEFT($J366,cbb_ikincilUzunluk))</f>
        <v/>
      </c>
      <c r="M366" s="16">
        <f>"B"</f>
        <v/>
      </c>
      <c r="N366" s="16">
        <f>IF($J366="","",IF(COUNTIF(tblAnahtarB[NormB],$J366)&gt;1,"EVET","HAYIR"))</f>
        <v/>
      </c>
      <c r="O366" s="16">
        <f>IF($I366="","",ROW()-ROW($I$5))</f>
        <v/>
      </c>
    </row>
    <row r="367">
      <c r="A367" s="7">
        <f>IF(VERI_A!A367="","",VERI_A!A367)</f>
        <v/>
      </c>
      <c r="B367" s="16">
        <f>UPPER(TRIM(SUBSTITUTE($A367," ","")))</f>
        <v/>
      </c>
      <c r="C367" s="16">
        <f>IF($B367="",0,LEN($B367))</f>
        <v/>
      </c>
      <c r="D367" s="16">
        <f>IF($B367="","",LEFT($B367,cbb_ikincilUzunluk))</f>
        <v/>
      </c>
      <c r="E367" s="16">
        <f>"A"</f>
        <v/>
      </c>
      <c r="F367" s="16">
        <f>IF($B367="","",IF(COUNTIF(tblAnahtarA[Norm],$B367)&gt;1,"EVET","HAYIR"))</f>
        <v/>
      </c>
      <c r="G367" s="16">
        <f>IF($A367="","",ROW()-ROW($A$5))</f>
        <v/>
      </c>
      <c r="I367" s="7">
        <f>IF(VERI_B!A367="","",VERI_B!A367)</f>
        <v/>
      </c>
      <c r="J367" s="16">
        <f>UPPER(TRIM(SUBSTITUTE($I367," ","")))</f>
        <v/>
      </c>
      <c r="K367" s="16">
        <f>IF($J367="",0,LEN($J367))</f>
        <v/>
      </c>
      <c r="L367" s="16">
        <f>IF($J367="","",LEFT($J367,cbb_ikincilUzunluk))</f>
        <v/>
      </c>
      <c r="M367" s="16">
        <f>"B"</f>
        <v/>
      </c>
      <c r="N367" s="16">
        <f>IF($J367="","",IF(COUNTIF(tblAnahtarB[NormB],$J367)&gt;1,"EVET","HAYIR"))</f>
        <v/>
      </c>
      <c r="O367" s="16">
        <f>IF($I367="","",ROW()-ROW($I$5))</f>
        <v/>
      </c>
    </row>
    <row r="368">
      <c r="A368" s="7">
        <f>IF(VERI_A!A368="","",VERI_A!A368)</f>
        <v/>
      </c>
      <c r="B368" s="16">
        <f>UPPER(TRIM(SUBSTITUTE($A368," ","")))</f>
        <v/>
      </c>
      <c r="C368" s="16">
        <f>IF($B368="",0,LEN($B368))</f>
        <v/>
      </c>
      <c r="D368" s="16">
        <f>IF($B368="","",LEFT($B368,cbb_ikincilUzunluk))</f>
        <v/>
      </c>
      <c r="E368" s="16">
        <f>"A"</f>
        <v/>
      </c>
      <c r="F368" s="16">
        <f>IF($B368="","",IF(COUNTIF(tblAnahtarA[Norm],$B368)&gt;1,"EVET","HAYIR"))</f>
        <v/>
      </c>
      <c r="G368" s="16">
        <f>IF($A368="","",ROW()-ROW($A$5))</f>
        <v/>
      </c>
      <c r="I368" s="7">
        <f>IF(VERI_B!A368="","",VERI_B!A368)</f>
        <v/>
      </c>
      <c r="J368" s="16">
        <f>UPPER(TRIM(SUBSTITUTE($I368," ","")))</f>
        <v/>
      </c>
      <c r="K368" s="16">
        <f>IF($J368="",0,LEN($J368))</f>
        <v/>
      </c>
      <c r="L368" s="16">
        <f>IF($J368="","",LEFT($J368,cbb_ikincilUzunluk))</f>
        <v/>
      </c>
      <c r="M368" s="16">
        <f>"B"</f>
        <v/>
      </c>
      <c r="N368" s="16">
        <f>IF($J368="","",IF(COUNTIF(tblAnahtarB[NormB],$J368)&gt;1,"EVET","HAYIR"))</f>
        <v/>
      </c>
      <c r="O368" s="16">
        <f>IF($I368="","",ROW()-ROW($I$5))</f>
        <v/>
      </c>
    </row>
    <row r="369">
      <c r="A369" s="7">
        <f>IF(VERI_A!A369="","",VERI_A!A369)</f>
        <v/>
      </c>
      <c r="B369" s="16">
        <f>UPPER(TRIM(SUBSTITUTE($A369," ","")))</f>
        <v/>
      </c>
      <c r="C369" s="16">
        <f>IF($B369="",0,LEN($B369))</f>
        <v/>
      </c>
      <c r="D369" s="16">
        <f>IF($B369="","",LEFT($B369,cbb_ikincilUzunluk))</f>
        <v/>
      </c>
      <c r="E369" s="16">
        <f>"A"</f>
        <v/>
      </c>
      <c r="F369" s="16">
        <f>IF($B369="","",IF(COUNTIF(tblAnahtarA[Norm],$B369)&gt;1,"EVET","HAYIR"))</f>
        <v/>
      </c>
      <c r="G369" s="16">
        <f>IF($A369="","",ROW()-ROW($A$5))</f>
        <v/>
      </c>
      <c r="I369" s="7">
        <f>IF(VERI_B!A369="","",VERI_B!A369)</f>
        <v/>
      </c>
      <c r="J369" s="16">
        <f>UPPER(TRIM(SUBSTITUTE($I369," ","")))</f>
        <v/>
      </c>
      <c r="K369" s="16">
        <f>IF($J369="",0,LEN($J369))</f>
        <v/>
      </c>
      <c r="L369" s="16">
        <f>IF($J369="","",LEFT($J369,cbb_ikincilUzunluk))</f>
        <v/>
      </c>
      <c r="M369" s="16">
        <f>"B"</f>
        <v/>
      </c>
      <c r="N369" s="16">
        <f>IF($J369="","",IF(COUNTIF(tblAnahtarB[NormB],$J369)&gt;1,"EVET","HAYIR"))</f>
        <v/>
      </c>
      <c r="O369" s="16">
        <f>IF($I369="","",ROW()-ROW($I$5))</f>
        <v/>
      </c>
    </row>
    <row r="370">
      <c r="A370" s="7">
        <f>IF(VERI_A!A370="","",VERI_A!A370)</f>
        <v/>
      </c>
      <c r="B370" s="16">
        <f>UPPER(TRIM(SUBSTITUTE($A370," ","")))</f>
        <v/>
      </c>
      <c r="C370" s="16">
        <f>IF($B370="",0,LEN($B370))</f>
        <v/>
      </c>
      <c r="D370" s="16">
        <f>IF($B370="","",LEFT($B370,cbb_ikincilUzunluk))</f>
        <v/>
      </c>
      <c r="E370" s="16">
        <f>"A"</f>
        <v/>
      </c>
      <c r="F370" s="16">
        <f>IF($B370="","",IF(COUNTIF(tblAnahtarA[Norm],$B370)&gt;1,"EVET","HAYIR"))</f>
        <v/>
      </c>
      <c r="G370" s="16">
        <f>IF($A370="","",ROW()-ROW($A$5))</f>
        <v/>
      </c>
      <c r="I370" s="7">
        <f>IF(VERI_B!A370="","",VERI_B!A370)</f>
        <v/>
      </c>
      <c r="J370" s="16">
        <f>UPPER(TRIM(SUBSTITUTE($I370," ","")))</f>
        <v/>
      </c>
      <c r="K370" s="16">
        <f>IF($J370="",0,LEN($J370))</f>
        <v/>
      </c>
      <c r="L370" s="16">
        <f>IF($J370="","",LEFT($J370,cbb_ikincilUzunluk))</f>
        <v/>
      </c>
      <c r="M370" s="16">
        <f>"B"</f>
        <v/>
      </c>
      <c r="N370" s="16">
        <f>IF($J370="","",IF(COUNTIF(tblAnahtarB[NormB],$J370)&gt;1,"EVET","HAYIR"))</f>
        <v/>
      </c>
      <c r="O370" s="16">
        <f>IF($I370="","",ROW()-ROW($I$5))</f>
        <v/>
      </c>
    </row>
    <row r="371">
      <c r="A371" s="7">
        <f>IF(VERI_A!A371="","",VERI_A!A371)</f>
        <v/>
      </c>
      <c r="B371" s="16">
        <f>UPPER(TRIM(SUBSTITUTE($A371," ","")))</f>
        <v/>
      </c>
      <c r="C371" s="16">
        <f>IF($B371="",0,LEN($B371))</f>
        <v/>
      </c>
      <c r="D371" s="16">
        <f>IF($B371="","",LEFT($B371,cbb_ikincilUzunluk))</f>
        <v/>
      </c>
      <c r="E371" s="16">
        <f>"A"</f>
        <v/>
      </c>
      <c r="F371" s="16">
        <f>IF($B371="","",IF(COUNTIF(tblAnahtarA[Norm],$B371)&gt;1,"EVET","HAYIR"))</f>
        <v/>
      </c>
      <c r="G371" s="16">
        <f>IF($A371="","",ROW()-ROW($A$5))</f>
        <v/>
      </c>
      <c r="I371" s="7">
        <f>IF(VERI_B!A371="","",VERI_B!A371)</f>
        <v/>
      </c>
      <c r="J371" s="16">
        <f>UPPER(TRIM(SUBSTITUTE($I371," ","")))</f>
        <v/>
      </c>
      <c r="K371" s="16">
        <f>IF($J371="",0,LEN($J371))</f>
        <v/>
      </c>
      <c r="L371" s="16">
        <f>IF($J371="","",LEFT($J371,cbb_ikincilUzunluk))</f>
        <v/>
      </c>
      <c r="M371" s="16">
        <f>"B"</f>
        <v/>
      </c>
      <c r="N371" s="16">
        <f>IF($J371="","",IF(COUNTIF(tblAnahtarB[NormB],$J371)&gt;1,"EVET","HAYIR"))</f>
        <v/>
      </c>
      <c r="O371" s="16">
        <f>IF($I371="","",ROW()-ROW($I$5))</f>
        <v/>
      </c>
    </row>
    <row r="372">
      <c r="A372" s="7">
        <f>IF(VERI_A!A372="","",VERI_A!A372)</f>
        <v/>
      </c>
      <c r="B372" s="16">
        <f>UPPER(TRIM(SUBSTITUTE($A372," ","")))</f>
        <v/>
      </c>
      <c r="C372" s="16">
        <f>IF($B372="",0,LEN($B372))</f>
        <v/>
      </c>
      <c r="D372" s="16">
        <f>IF($B372="","",LEFT($B372,cbb_ikincilUzunluk))</f>
        <v/>
      </c>
      <c r="E372" s="16">
        <f>"A"</f>
        <v/>
      </c>
      <c r="F372" s="16">
        <f>IF($B372="","",IF(COUNTIF(tblAnahtarA[Norm],$B372)&gt;1,"EVET","HAYIR"))</f>
        <v/>
      </c>
      <c r="G372" s="16">
        <f>IF($A372="","",ROW()-ROW($A$5))</f>
        <v/>
      </c>
      <c r="I372" s="7">
        <f>IF(VERI_B!A372="","",VERI_B!A372)</f>
        <v/>
      </c>
      <c r="J372" s="16">
        <f>UPPER(TRIM(SUBSTITUTE($I372," ","")))</f>
        <v/>
      </c>
      <c r="K372" s="16">
        <f>IF($J372="",0,LEN($J372))</f>
        <v/>
      </c>
      <c r="L372" s="16">
        <f>IF($J372="","",LEFT($J372,cbb_ikincilUzunluk))</f>
        <v/>
      </c>
      <c r="M372" s="16">
        <f>"B"</f>
        <v/>
      </c>
      <c r="N372" s="16">
        <f>IF($J372="","",IF(COUNTIF(tblAnahtarB[NormB],$J372)&gt;1,"EVET","HAYIR"))</f>
        <v/>
      </c>
      <c r="O372" s="16">
        <f>IF($I372="","",ROW()-ROW($I$5))</f>
        <v/>
      </c>
    </row>
    <row r="373">
      <c r="A373" s="7">
        <f>IF(VERI_A!A373="","",VERI_A!A373)</f>
        <v/>
      </c>
      <c r="B373" s="16">
        <f>UPPER(TRIM(SUBSTITUTE($A373," ","")))</f>
        <v/>
      </c>
      <c r="C373" s="16">
        <f>IF($B373="",0,LEN($B373))</f>
        <v/>
      </c>
      <c r="D373" s="16">
        <f>IF($B373="","",LEFT($B373,cbb_ikincilUzunluk))</f>
        <v/>
      </c>
      <c r="E373" s="16">
        <f>"A"</f>
        <v/>
      </c>
      <c r="F373" s="16">
        <f>IF($B373="","",IF(COUNTIF(tblAnahtarA[Norm],$B373)&gt;1,"EVET","HAYIR"))</f>
        <v/>
      </c>
      <c r="G373" s="16">
        <f>IF($A373="","",ROW()-ROW($A$5))</f>
        <v/>
      </c>
      <c r="I373" s="7">
        <f>IF(VERI_B!A373="","",VERI_B!A373)</f>
        <v/>
      </c>
      <c r="J373" s="16">
        <f>UPPER(TRIM(SUBSTITUTE($I373," ","")))</f>
        <v/>
      </c>
      <c r="K373" s="16">
        <f>IF($J373="",0,LEN($J373))</f>
        <v/>
      </c>
      <c r="L373" s="16">
        <f>IF($J373="","",LEFT($J373,cbb_ikincilUzunluk))</f>
        <v/>
      </c>
      <c r="M373" s="16">
        <f>"B"</f>
        <v/>
      </c>
      <c r="N373" s="16">
        <f>IF($J373="","",IF(COUNTIF(tblAnahtarB[NormB],$J373)&gt;1,"EVET","HAYIR"))</f>
        <v/>
      </c>
      <c r="O373" s="16">
        <f>IF($I373="","",ROW()-ROW($I$5))</f>
        <v/>
      </c>
    </row>
    <row r="374">
      <c r="A374" s="7">
        <f>IF(VERI_A!A374="","",VERI_A!A374)</f>
        <v/>
      </c>
      <c r="B374" s="16">
        <f>UPPER(TRIM(SUBSTITUTE($A374," ","")))</f>
        <v/>
      </c>
      <c r="C374" s="16">
        <f>IF($B374="",0,LEN($B374))</f>
        <v/>
      </c>
      <c r="D374" s="16">
        <f>IF($B374="","",LEFT($B374,cbb_ikincilUzunluk))</f>
        <v/>
      </c>
      <c r="E374" s="16">
        <f>"A"</f>
        <v/>
      </c>
      <c r="F374" s="16">
        <f>IF($B374="","",IF(COUNTIF(tblAnahtarA[Norm],$B374)&gt;1,"EVET","HAYIR"))</f>
        <v/>
      </c>
      <c r="G374" s="16">
        <f>IF($A374="","",ROW()-ROW($A$5))</f>
        <v/>
      </c>
      <c r="I374" s="7">
        <f>IF(VERI_B!A374="","",VERI_B!A374)</f>
        <v/>
      </c>
      <c r="J374" s="16">
        <f>UPPER(TRIM(SUBSTITUTE($I374," ","")))</f>
        <v/>
      </c>
      <c r="K374" s="16">
        <f>IF($J374="",0,LEN($J374))</f>
        <v/>
      </c>
      <c r="L374" s="16">
        <f>IF($J374="","",LEFT($J374,cbb_ikincilUzunluk))</f>
        <v/>
      </c>
      <c r="M374" s="16">
        <f>"B"</f>
        <v/>
      </c>
      <c r="N374" s="16">
        <f>IF($J374="","",IF(COUNTIF(tblAnahtarB[NormB],$J374)&gt;1,"EVET","HAYIR"))</f>
        <v/>
      </c>
      <c r="O374" s="16">
        <f>IF($I374="","",ROW()-ROW($I$5))</f>
        <v/>
      </c>
    </row>
    <row r="375">
      <c r="A375" s="7">
        <f>IF(VERI_A!A375="","",VERI_A!A375)</f>
        <v/>
      </c>
      <c r="B375" s="16">
        <f>UPPER(TRIM(SUBSTITUTE($A375," ","")))</f>
        <v/>
      </c>
      <c r="C375" s="16">
        <f>IF($B375="",0,LEN($B375))</f>
        <v/>
      </c>
      <c r="D375" s="16">
        <f>IF($B375="","",LEFT($B375,cbb_ikincilUzunluk))</f>
        <v/>
      </c>
      <c r="E375" s="16">
        <f>"A"</f>
        <v/>
      </c>
      <c r="F375" s="16">
        <f>IF($B375="","",IF(COUNTIF(tblAnahtarA[Norm],$B375)&gt;1,"EVET","HAYIR"))</f>
        <v/>
      </c>
      <c r="G375" s="16">
        <f>IF($A375="","",ROW()-ROW($A$5))</f>
        <v/>
      </c>
      <c r="I375" s="7">
        <f>IF(VERI_B!A375="","",VERI_B!A375)</f>
        <v/>
      </c>
      <c r="J375" s="16">
        <f>UPPER(TRIM(SUBSTITUTE($I375," ","")))</f>
        <v/>
      </c>
      <c r="K375" s="16">
        <f>IF($J375="",0,LEN($J375))</f>
        <v/>
      </c>
      <c r="L375" s="16">
        <f>IF($J375="","",LEFT($J375,cbb_ikincilUzunluk))</f>
        <v/>
      </c>
      <c r="M375" s="16">
        <f>"B"</f>
        <v/>
      </c>
      <c r="N375" s="16">
        <f>IF($J375="","",IF(COUNTIF(tblAnahtarB[NormB],$J375)&gt;1,"EVET","HAYIR"))</f>
        <v/>
      </c>
      <c r="O375" s="16">
        <f>IF($I375="","",ROW()-ROW($I$5))</f>
        <v/>
      </c>
    </row>
    <row r="376">
      <c r="A376" s="7">
        <f>IF(VERI_A!A376="","",VERI_A!A376)</f>
        <v/>
      </c>
      <c r="B376" s="16">
        <f>UPPER(TRIM(SUBSTITUTE($A376," ","")))</f>
        <v/>
      </c>
      <c r="C376" s="16">
        <f>IF($B376="",0,LEN($B376))</f>
        <v/>
      </c>
      <c r="D376" s="16">
        <f>IF($B376="","",LEFT($B376,cbb_ikincilUzunluk))</f>
        <v/>
      </c>
      <c r="E376" s="16">
        <f>"A"</f>
        <v/>
      </c>
      <c r="F376" s="16">
        <f>IF($B376="","",IF(COUNTIF(tblAnahtarA[Norm],$B376)&gt;1,"EVET","HAYIR"))</f>
        <v/>
      </c>
      <c r="G376" s="16">
        <f>IF($A376="","",ROW()-ROW($A$5))</f>
        <v/>
      </c>
      <c r="I376" s="7">
        <f>IF(VERI_B!A376="","",VERI_B!A376)</f>
        <v/>
      </c>
      <c r="J376" s="16">
        <f>UPPER(TRIM(SUBSTITUTE($I376," ","")))</f>
        <v/>
      </c>
      <c r="K376" s="16">
        <f>IF($J376="",0,LEN($J376))</f>
        <v/>
      </c>
      <c r="L376" s="16">
        <f>IF($J376="","",LEFT($J376,cbb_ikincilUzunluk))</f>
        <v/>
      </c>
      <c r="M376" s="16">
        <f>"B"</f>
        <v/>
      </c>
      <c r="N376" s="16">
        <f>IF($J376="","",IF(COUNTIF(tblAnahtarB[NormB],$J376)&gt;1,"EVET","HAYIR"))</f>
        <v/>
      </c>
      <c r="O376" s="16">
        <f>IF($I376="","",ROW()-ROW($I$5))</f>
        <v/>
      </c>
    </row>
    <row r="377">
      <c r="A377" s="7">
        <f>IF(VERI_A!A377="","",VERI_A!A377)</f>
        <v/>
      </c>
      <c r="B377" s="16">
        <f>UPPER(TRIM(SUBSTITUTE($A377," ","")))</f>
        <v/>
      </c>
      <c r="C377" s="16">
        <f>IF($B377="",0,LEN($B377))</f>
        <v/>
      </c>
      <c r="D377" s="16">
        <f>IF($B377="","",LEFT($B377,cbb_ikincilUzunluk))</f>
        <v/>
      </c>
      <c r="E377" s="16">
        <f>"A"</f>
        <v/>
      </c>
      <c r="F377" s="16">
        <f>IF($B377="","",IF(COUNTIF(tblAnahtarA[Norm],$B377)&gt;1,"EVET","HAYIR"))</f>
        <v/>
      </c>
      <c r="G377" s="16">
        <f>IF($A377="","",ROW()-ROW($A$5))</f>
        <v/>
      </c>
      <c r="I377" s="7">
        <f>IF(VERI_B!A377="","",VERI_B!A377)</f>
        <v/>
      </c>
      <c r="J377" s="16">
        <f>UPPER(TRIM(SUBSTITUTE($I377," ","")))</f>
        <v/>
      </c>
      <c r="K377" s="16">
        <f>IF($J377="",0,LEN($J377))</f>
        <v/>
      </c>
      <c r="L377" s="16">
        <f>IF($J377="","",LEFT($J377,cbb_ikincilUzunluk))</f>
        <v/>
      </c>
      <c r="M377" s="16">
        <f>"B"</f>
        <v/>
      </c>
      <c r="N377" s="16">
        <f>IF($J377="","",IF(COUNTIF(tblAnahtarB[NormB],$J377)&gt;1,"EVET","HAYIR"))</f>
        <v/>
      </c>
      <c r="O377" s="16">
        <f>IF($I377="","",ROW()-ROW($I$5))</f>
        <v/>
      </c>
    </row>
    <row r="378">
      <c r="A378" s="7">
        <f>IF(VERI_A!A378="","",VERI_A!A378)</f>
        <v/>
      </c>
      <c r="B378" s="16">
        <f>UPPER(TRIM(SUBSTITUTE($A378," ","")))</f>
        <v/>
      </c>
      <c r="C378" s="16">
        <f>IF($B378="",0,LEN($B378))</f>
        <v/>
      </c>
      <c r="D378" s="16">
        <f>IF($B378="","",LEFT($B378,cbb_ikincilUzunluk))</f>
        <v/>
      </c>
      <c r="E378" s="16">
        <f>"A"</f>
        <v/>
      </c>
      <c r="F378" s="16">
        <f>IF($B378="","",IF(COUNTIF(tblAnahtarA[Norm],$B378)&gt;1,"EVET","HAYIR"))</f>
        <v/>
      </c>
      <c r="G378" s="16">
        <f>IF($A378="","",ROW()-ROW($A$5))</f>
        <v/>
      </c>
      <c r="I378" s="7">
        <f>IF(VERI_B!A378="","",VERI_B!A378)</f>
        <v/>
      </c>
      <c r="J378" s="16">
        <f>UPPER(TRIM(SUBSTITUTE($I378," ","")))</f>
        <v/>
      </c>
      <c r="K378" s="16">
        <f>IF($J378="",0,LEN($J378))</f>
        <v/>
      </c>
      <c r="L378" s="16">
        <f>IF($J378="","",LEFT($J378,cbb_ikincilUzunluk))</f>
        <v/>
      </c>
      <c r="M378" s="16">
        <f>"B"</f>
        <v/>
      </c>
      <c r="N378" s="16">
        <f>IF($J378="","",IF(COUNTIF(tblAnahtarB[NormB],$J378)&gt;1,"EVET","HAYIR"))</f>
        <v/>
      </c>
      <c r="O378" s="16">
        <f>IF($I378="","",ROW()-ROW($I$5))</f>
        <v/>
      </c>
    </row>
    <row r="379">
      <c r="A379" s="7">
        <f>IF(VERI_A!A379="","",VERI_A!A379)</f>
        <v/>
      </c>
      <c r="B379" s="16">
        <f>UPPER(TRIM(SUBSTITUTE($A379," ","")))</f>
        <v/>
      </c>
      <c r="C379" s="16">
        <f>IF($B379="",0,LEN($B379))</f>
        <v/>
      </c>
      <c r="D379" s="16">
        <f>IF($B379="","",LEFT($B379,cbb_ikincilUzunluk))</f>
        <v/>
      </c>
      <c r="E379" s="16">
        <f>"A"</f>
        <v/>
      </c>
      <c r="F379" s="16">
        <f>IF($B379="","",IF(COUNTIF(tblAnahtarA[Norm],$B379)&gt;1,"EVET","HAYIR"))</f>
        <v/>
      </c>
      <c r="G379" s="16">
        <f>IF($A379="","",ROW()-ROW($A$5))</f>
        <v/>
      </c>
      <c r="I379" s="7">
        <f>IF(VERI_B!A379="","",VERI_B!A379)</f>
        <v/>
      </c>
      <c r="J379" s="16">
        <f>UPPER(TRIM(SUBSTITUTE($I379," ","")))</f>
        <v/>
      </c>
      <c r="K379" s="16">
        <f>IF($J379="",0,LEN($J379))</f>
        <v/>
      </c>
      <c r="L379" s="16">
        <f>IF($J379="","",LEFT($J379,cbb_ikincilUzunluk))</f>
        <v/>
      </c>
      <c r="M379" s="16">
        <f>"B"</f>
        <v/>
      </c>
      <c r="N379" s="16">
        <f>IF($J379="","",IF(COUNTIF(tblAnahtarB[NormB],$J379)&gt;1,"EVET","HAYIR"))</f>
        <v/>
      </c>
      <c r="O379" s="16">
        <f>IF($I379="","",ROW()-ROW($I$5))</f>
        <v/>
      </c>
    </row>
    <row r="380">
      <c r="A380" s="7">
        <f>IF(VERI_A!A380="","",VERI_A!A380)</f>
        <v/>
      </c>
      <c r="B380" s="16">
        <f>UPPER(TRIM(SUBSTITUTE($A380," ","")))</f>
        <v/>
      </c>
      <c r="C380" s="16">
        <f>IF($B380="",0,LEN($B380))</f>
        <v/>
      </c>
      <c r="D380" s="16">
        <f>IF($B380="","",LEFT($B380,cbb_ikincilUzunluk))</f>
        <v/>
      </c>
      <c r="E380" s="16">
        <f>"A"</f>
        <v/>
      </c>
      <c r="F380" s="16">
        <f>IF($B380="","",IF(COUNTIF(tblAnahtarA[Norm],$B380)&gt;1,"EVET","HAYIR"))</f>
        <v/>
      </c>
      <c r="G380" s="16">
        <f>IF($A380="","",ROW()-ROW($A$5))</f>
        <v/>
      </c>
      <c r="I380" s="7">
        <f>IF(VERI_B!A380="","",VERI_B!A380)</f>
        <v/>
      </c>
      <c r="J380" s="16">
        <f>UPPER(TRIM(SUBSTITUTE($I380," ","")))</f>
        <v/>
      </c>
      <c r="K380" s="16">
        <f>IF($J380="",0,LEN($J380))</f>
        <v/>
      </c>
      <c r="L380" s="16">
        <f>IF($J380="","",LEFT($J380,cbb_ikincilUzunluk))</f>
        <v/>
      </c>
      <c r="M380" s="16">
        <f>"B"</f>
        <v/>
      </c>
      <c r="N380" s="16">
        <f>IF($J380="","",IF(COUNTIF(tblAnahtarB[NormB],$J380)&gt;1,"EVET","HAYIR"))</f>
        <v/>
      </c>
      <c r="O380" s="16">
        <f>IF($I380="","",ROW()-ROW($I$5))</f>
        <v/>
      </c>
    </row>
    <row r="381">
      <c r="A381" s="7">
        <f>IF(VERI_A!A381="","",VERI_A!A381)</f>
        <v/>
      </c>
      <c r="B381" s="16">
        <f>UPPER(TRIM(SUBSTITUTE($A381," ","")))</f>
        <v/>
      </c>
      <c r="C381" s="16">
        <f>IF($B381="",0,LEN($B381))</f>
        <v/>
      </c>
      <c r="D381" s="16">
        <f>IF($B381="","",LEFT($B381,cbb_ikincilUzunluk))</f>
        <v/>
      </c>
      <c r="E381" s="16">
        <f>"A"</f>
        <v/>
      </c>
      <c r="F381" s="16">
        <f>IF($B381="","",IF(COUNTIF(tblAnahtarA[Norm],$B381)&gt;1,"EVET","HAYIR"))</f>
        <v/>
      </c>
      <c r="G381" s="16">
        <f>IF($A381="","",ROW()-ROW($A$5))</f>
        <v/>
      </c>
      <c r="I381" s="7">
        <f>IF(VERI_B!A381="","",VERI_B!A381)</f>
        <v/>
      </c>
      <c r="J381" s="16">
        <f>UPPER(TRIM(SUBSTITUTE($I381," ","")))</f>
        <v/>
      </c>
      <c r="K381" s="16">
        <f>IF($J381="",0,LEN($J381))</f>
        <v/>
      </c>
      <c r="L381" s="16">
        <f>IF($J381="","",LEFT($J381,cbb_ikincilUzunluk))</f>
        <v/>
      </c>
      <c r="M381" s="16">
        <f>"B"</f>
        <v/>
      </c>
      <c r="N381" s="16">
        <f>IF($J381="","",IF(COUNTIF(tblAnahtarB[NormB],$J381)&gt;1,"EVET","HAYIR"))</f>
        <v/>
      </c>
      <c r="O381" s="16">
        <f>IF($I381="","",ROW()-ROW($I$5))</f>
        <v/>
      </c>
    </row>
    <row r="382">
      <c r="A382" s="7">
        <f>IF(VERI_A!A382="","",VERI_A!A382)</f>
        <v/>
      </c>
      <c r="B382" s="16">
        <f>UPPER(TRIM(SUBSTITUTE($A382," ","")))</f>
        <v/>
      </c>
      <c r="C382" s="16">
        <f>IF($B382="",0,LEN($B382))</f>
        <v/>
      </c>
      <c r="D382" s="16">
        <f>IF($B382="","",LEFT($B382,cbb_ikincilUzunluk))</f>
        <v/>
      </c>
      <c r="E382" s="16">
        <f>"A"</f>
        <v/>
      </c>
      <c r="F382" s="16">
        <f>IF($B382="","",IF(COUNTIF(tblAnahtarA[Norm],$B382)&gt;1,"EVET","HAYIR"))</f>
        <v/>
      </c>
      <c r="G382" s="16">
        <f>IF($A382="","",ROW()-ROW($A$5))</f>
        <v/>
      </c>
      <c r="I382" s="7">
        <f>IF(VERI_B!A382="","",VERI_B!A382)</f>
        <v/>
      </c>
      <c r="J382" s="16">
        <f>UPPER(TRIM(SUBSTITUTE($I382," ","")))</f>
        <v/>
      </c>
      <c r="K382" s="16">
        <f>IF($J382="",0,LEN($J382))</f>
        <v/>
      </c>
      <c r="L382" s="16">
        <f>IF($J382="","",LEFT($J382,cbb_ikincilUzunluk))</f>
        <v/>
      </c>
      <c r="M382" s="16">
        <f>"B"</f>
        <v/>
      </c>
      <c r="N382" s="16">
        <f>IF($J382="","",IF(COUNTIF(tblAnahtarB[NormB],$J382)&gt;1,"EVET","HAYIR"))</f>
        <v/>
      </c>
      <c r="O382" s="16">
        <f>IF($I382="","",ROW()-ROW($I$5))</f>
        <v/>
      </c>
    </row>
    <row r="383">
      <c r="A383" s="7">
        <f>IF(VERI_A!A383="","",VERI_A!A383)</f>
        <v/>
      </c>
      <c r="B383" s="16">
        <f>UPPER(TRIM(SUBSTITUTE($A383," ","")))</f>
        <v/>
      </c>
      <c r="C383" s="16">
        <f>IF($B383="",0,LEN($B383))</f>
        <v/>
      </c>
      <c r="D383" s="16">
        <f>IF($B383="","",LEFT($B383,cbb_ikincilUzunluk))</f>
        <v/>
      </c>
      <c r="E383" s="16">
        <f>"A"</f>
        <v/>
      </c>
      <c r="F383" s="16">
        <f>IF($B383="","",IF(COUNTIF(tblAnahtarA[Norm],$B383)&gt;1,"EVET","HAYIR"))</f>
        <v/>
      </c>
      <c r="G383" s="16">
        <f>IF($A383="","",ROW()-ROW($A$5))</f>
        <v/>
      </c>
      <c r="I383" s="7">
        <f>IF(VERI_B!A383="","",VERI_B!A383)</f>
        <v/>
      </c>
      <c r="J383" s="16">
        <f>UPPER(TRIM(SUBSTITUTE($I383," ","")))</f>
        <v/>
      </c>
      <c r="K383" s="16">
        <f>IF($J383="",0,LEN($J383))</f>
        <v/>
      </c>
      <c r="L383" s="16">
        <f>IF($J383="","",LEFT($J383,cbb_ikincilUzunluk))</f>
        <v/>
      </c>
      <c r="M383" s="16">
        <f>"B"</f>
        <v/>
      </c>
      <c r="N383" s="16">
        <f>IF($J383="","",IF(COUNTIF(tblAnahtarB[NormB],$J383)&gt;1,"EVET","HAYIR"))</f>
        <v/>
      </c>
      <c r="O383" s="16">
        <f>IF($I383="","",ROW()-ROW($I$5))</f>
        <v/>
      </c>
    </row>
    <row r="384">
      <c r="A384" s="7">
        <f>IF(VERI_A!A384="","",VERI_A!A384)</f>
        <v/>
      </c>
      <c r="B384" s="16">
        <f>UPPER(TRIM(SUBSTITUTE($A384," ","")))</f>
        <v/>
      </c>
      <c r="C384" s="16">
        <f>IF($B384="",0,LEN($B384))</f>
        <v/>
      </c>
      <c r="D384" s="16">
        <f>IF($B384="","",LEFT($B384,cbb_ikincilUzunluk))</f>
        <v/>
      </c>
      <c r="E384" s="16">
        <f>"A"</f>
        <v/>
      </c>
      <c r="F384" s="16">
        <f>IF($B384="","",IF(COUNTIF(tblAnahtarA[Norm],$B384)&gt;1,"EVET","HAYIR"))</f>
        <v/>
      </c>
      <c r="G384" s="16">
        <f>IF($A384="","",ROW()-ROW($A$5))</f>
        <v/>
      </c>
      <c r="I384" s="7">
        <f>IF(VERI_B!A384="","",VERI_B!A384)</f>
        <v/>
      </c>
      <c r="J384" s="16">
        <f>UPPER(TRIM(SUBSTITUTE($I384," ","")))</f>
        <v/>
      </c>
      <c r="K384" s="16">
        <f>IF($J384="",0,LEN($J384))</f>
        <v/>
      </c>
      <c r="L384" s="16">
        <f>IF($J384="","",LEFT($J384,cbb_ikincilUzunluk))</f>
        <v/>
      </c>
      <c r="M384" s="16">
        <f>"B"</f>
        <v/>
      </c>
      <c r="N384" s="16">
        <f>IF($J384="","",IF(COUNTIF(tblAnahtarB[NormB],$J384)&gt;1,"EVET","HAYIR"))</f>
        <v/>
      </c>
      <c r="O384" s="16">
        <f>IF($I384="","",ROW()-ROW($I$5))</f>
        <v/>
      </c>
    </row>
    <row r="385">
      <c r="A385" s="7">
        <f>IF(VERI_A!A385="","",VERI_A!A385)</f>
        <v/>
      </c>
      <c r="B385" s="16">
        <f>UPPER(TRIM(SUBSTITUTE($A385," ","")))</f>
        <v/>
      </c>
      <c r="C385" s="16">
        <f>IF($B385="",0,LEN($B385))</f>
        <v/>
      </c>
      <c r="D385" s="16">
        <f>IF($B385="","",LEFT($B385,cbb_ikincilUzunluk))</f>
        <v/>
      </c>
      <c r="E385" s="16">
        <f>"A"</f>
        <v/>
      </c>
      <c r="F385" s="16">
        <f>IF($B385="","",IF(COUNTIF(tblAnahtarA[Norm],$B385)&gt;1,"EVET","HAYIR"))</f>
        <v/>
      </c>
      <c r="G385" s="16">
        <f>IF($A385="","",ROW()-ROW($A$5))</f>
        <v/>
      </c>
      <c r="I385" s="7">
        <f>IF(VERI_B!A385="","",VERI_B!A385)</f>
        <v/>
      </c>
      <c r="J385" s="16">
        <f>UPPER(TRIM(SUBSTITUTE($I385," ","")))</f>
        <v/>
      </c>
      <c r="K385" s="16">
        <f>IF($J385="",0,LEN($J385))</f>
        <v/>
      </c>
      <c r="L385" s="16">
        <f>IF($J385="","",LEFT($J385,cbb_ikincilUzunluk))</f>
        <v/>
      </c>
      <c r="M385" s="16">
        <f>"B"</f>
        <v/>
      </c>
      <c r="N385" s="16">
        <f>IF($J385="","",IF(COUNTIF(tblAnahtarB[NormB],$J385)&gt;1,"EVET","HAYIR"))</f>
        <v/>
      </c>
      <c r="O385" s="16">
        <f>IF($I385="","",ROW()-ROW($I$5))</f>
        <v/>
      </c>
    </row>
    <row r="386">
      <c r="A386" s="7">
        <f>IF(VERI_A!A386="","",VERI_A!A386)</f>
        <v/>
      </c>
      <c r="B386" s="16">
        <f>UPPER(TRIM(SUBSTITUTE($A386," ","")))</f>
        <v/>
      </c>
      <c r="C386" s="16">
        <f>IF($B386="",0,LEN($B386))</f>
        <v/>
      </c>
      <c r="D386" s="16">
        <f>IF($B386="","",LEFT($B386,cbb_ikincilUzunluk))</f>
        <v/>
      </c>
      <c r="E386" s="16">
        <f>"A"</f>
        <v/>
      </c>
      <c r="F386" s="16">
        <f>IF($B386="","",IF(COUNTIF(tblAnahtarA[Norm],$B386)&gt;1,"EVET","HAYIR"))</f>
        <v/>
      </c>
      <c r="G386" s="16">
        <f>IF($A386="","",ROW()-ROW($A$5))</f>
        <v/>
      </c>
      <c r="I386" s="7">
        <f>IF(VERI_B!A386="","",VERI_B!A386)</f>
        <v/>
      </c>
      <c r="J386" s="16">
        <f>UPPER(TRIM(SUBSTITUTE($I386," ","")))</f>
        <v/>
      </c>
      <c r="K386" s="16">
        <f>IF($J386="",0,LEN($J386))</f>
        <v/>
      </c>
      <c r="L386" s="16">
        <f>IF($J386="","",LEFT($J386,cbb_ikincilUzunluk))</f>
        <v/>
      </c>
      <c r="M386" s="16">
        <f>"B"</f>
        <v/>
      </c>
      <c r="N386" s="16">
        <f>IF($J386="","",IF(COUNTIF(tblAnahtarB[NormB],$J386)&gt;1,"EVET","HAYIR"))</f>
        <v/>
      </c>
      <c r="O386" s="16">
        <f>IF($I386="","",ROW()-ROW($I$5))</f>
        <v/>
      </c>
    </row>
    <row r="387">
      <c r="A387" s="7">
        <f>IF(VERI_A!A387="","",VERI_A!A387)</f>
        <v/>
      </c>
      <c r="B387" s="16">
        <f>UPPER(TRIM(SUBSTITUTE($A387," ","")))</f>
        <v/>
      </c>
      <c r="C387" s="16">
        <f>IF($B387="",0,LEN($B387))</f>
        <v/>
      </c>
      <c r="D387" s="16">
        <f>IF($B387="","",LEFT($B387,cbb_ikincilUzunluk))</f>
        <v/>
      </c>
      <c r="E387" s="16">
        <f>"A"</f>
        <v/>
      </c>
      <c r="F387" s="16">
        <f>IF($B387="","",IF(COUNTIF(tblAnahtarA[Norm],$B387)&gt;1,"EVET","HAYIR"))</f>
        <v/>
      </c>
      <c r="G387" s="16">
        <f>IF($A387="","",ROW()-ROW($A$5))</f>
        <v/>
      </c>
      <c r="I387" s="7">
        <f>IF(VERI_B!A387="","",VERI_B!A387)</f>
        <v/>
      </c>
      <c r="J387" s="16">
        <f>UPPER(TRIM(SUBSTITUTE($I387," ","")))</f>
        <v/>
      </c>
      <c r="K387" s="16">
        <f>IF($J387="",0,LEN($J387))</f>
        <v/>
      </c>
      <c r="L387" s="16">
        <f>IF($J387="","",LEFT($J387,cbb_ikincilUzunluk))</f>
        <v/>
      </c>
      <c r="M387" s="16">
        <f>"B"</f>
        <v/>
      </c>
      <c r="N387" s="16">
        <f>IF($J387="","",IF(COUNTIF(tblAnahtarB[NormB],$J387)&gt;1,"EVET","HAYIR"))</f>
        <v/>
      </c>
      <c r="O387" s="16">
        <f>IF($I387="","",ROW()-ROW($I$5))</f>
        <v/>
      </c>
    </row>
    <row r="388">
      <c r="A388" s="7">
        <f>IF(VERI_A!A388="","",VERI_A!A388)</f>
        <v/>
      </c>
      <c r="B388" s="16">
        <f>UPPER(TRIM(SUBSTITUTE($A388," ","")))</f>
        <v/>
      </c>
      <c r="C388" s="16">
        <f>IF($B388="",0,LEN($B388))</f>
        <v/>
      </c>
      <c r="D388" s="16">
        <f>IF($B388="","",LEFT($B388,cbb_ikincilUzunluk))</f>
        <v/>
      </c>
      <c r="E388" s="16">
        <f>"A"</f>
        <v/>
      </c>
      <c r="F388" s="16">
        <f>IF($B388="","",IF(COUNTIF(tblAnahtarA[Norm],$B388)&gt;1,"EVET","HAYIR"))</f>
        <v/>
      </c>
      <c r="G388" s="16">
        <f>IF($A388="","",ROW()-ROW($A$5))</f>
        <v/>
      </c>
      <c r="I388" s="7">
        <f>IF(VERI_B!A388="","",VERI_B!A388)</f>
        <v/>
      </c>
      <c r="J388" s="16">
        <f>UPPER(TRIM(SUBSTITUTE($I388," ","")))</f>
        <v/>
      </c>
      <c r="K388" s="16">
        <f>IF($J388="",0,LEN($J388))</f>
        <v/>
      </c>
      <c r="L388" s="16">
        <f>IF($J388="","",LEFT($J388,cbb_ikincilUzunluk))</f>
        <v/>
      </c>
      <c r="M388" s="16">
        <f>"B"</f>
        <v/>
      </c>
      <c r="N388" s="16">
        <f>IF($J388="","",IF(COUNTIF(tblAnahtarB[NormB],$J388)&gt;1,"EVET","HAYIR"))</f>
        <v/>
      </c>
      <c r="O388" s="16">
        <f>IF($I388="","",ROW()-ROW($I$5))</f>
        <v/>
      </c>
    </row>
    <row r="389">
      <c r="A389" s="7">
        <f>IF(VERI_A!A389="","",VERI_A!A389)</f>
        <v/>
      </c>
      <c r="B389" s="16">
        <f>UPPER(TRIM(SUBSTITUTE($A389," ","")))</f>
        <v/>
      </c>
      <c r="C389" s="16">
        <f>IF($B389="",0,LEN($B389))</f>
        <v/>
      </c>
      <c r="D389" s="16">
        <f>IF($B389="","",LEFT($B389,cbb_ikincilUzunluk))</f>
        <v/>
      </c>
      <c r="E389" s="16">
        <f>"A"</f>
        <v/>
      </c>
      <c r="F389" s="16">
        <f>IF($B389="","",IF(COUNTIF(tblAnahtarA[Norm],$B389)&gt;1,"EVET","HAYIR"))</f>
        <v/>
      </c>
      <c r="G389" s="16">
        <f>IF($A389="","",ROW()-ROW($A$5))</f>
        <v/>
      </c>
      <c r="I389" s="7">
        <f>IF(VERI_B!A389="","",VERI_B!A389)</f>
        <v/>
      </c>
      <c r="J389" s="16">
        <f>UPPER(TRIM(SUBSTITUTE($I389," ","")))</f>
        <v/>
      </c>
      <c r="K389" s="16">
        <f>IF($J389="",0,LEN($J389))</f>
        <v/>
      </c>
      <c r="L389" s="16">
        <f>IF($J389="","",LEFT($J389,cbb_ikincilUzunluk))</f>
        <v/>
      </c>
      <c r="M389" s="16">
        <f>"B"</f>
        <v/>
      </c>
      <c r="N389" s="16">
        <f>IF($J389="","",IF(COUNTIF(tblAnahtarB[NormB],$J389)&gt;1,"EVET","HAYIR"))</f>
        <v/>
      </c>
      <c r="O389" s="16">
        <f>IF($I389="","",ROW()-ROW($I$5))</f>
        <v/>
      </c>
    </row>
    <row r="390">
      <c r="A390" s="7">
        <f>IF(VERI_A!A390="","",VERI_A!A390)</f>
        <v/>
      </c>
      <c r="B390" s="16">
        <f>UPPER(TRIM(SUBSTITUTE($A390," ","")))</f>
        <v/>
      </c>
      <c r="C390" s="16">
        <f>IF($B390="",0,LEN($B390))</f>
        <v/>
      </c>
      <c r="D390" s="16">
        <f>IF($B390="","",LEFT($B390,cbb_ikincilUzunluk))</f>
        <v/>
      </c>
      <c r="E390" s="16">
        <f>"A"</f>
        <v/>
      </c>
      <c r="F390" s="16">
        <f>IF($B390="","",IF(COUNTIF(tblAnahtarA[Norm],$B390)&gt;1,"EVET","HAYIR"))</f>
        <v/>
      </c>
      <c r="G390" s="16">
        <f>IF($A390="","",ROW()-ROW($A$5))</f>
        <v/>
      </c>
      <c r="I390" s="7">
        <f>IF(VERI_B!A390="","",VERI_B!A390)</f>
        <v/>
      </c>
      <c r="J390" s="16">
        <f>UPPER(TRIM(SUBSTITUTE($I390," ","")))</f>
        <v/>
      </c>
      <c r="K390" s="16">
        <f>IF($J390="",0,LEN($J390))</f>
        <v/>
      </c>
      <c r="L390" s="16">
        <f>IF($J390="","",LEFT($J390,cbb_ikincilUzunluk))</f>
        <v/>
      </c>
      <c r="M390" s="16">
        <f>"B"</f>
        <v/>
      </c>
      <c r="N390" s="16">
        <f>IF($J390="","",IF(COUNTIF(tblAnahtarB[NormB],$J390)&gt;1,"EVET","HAYIR"))</f>
        <v/>
      </c>
      <c r="O390" s="16">
        <f>IF($I390="","",ROW()-ROW($I$5))</f>
        <v/>
      </c>
    </row>
    <row r="391">
      <c r="A391" s="7">
        <f>IF(VERI_A!A391="","",VERI_A!A391)</f>
        <v/>
      </c>
      <c r="B391" s="16">
        <f>UPPER(TRIM(SUBSTITUTE($A391," ","")))</f>
        <v/>
      </c>
      <c r="C391" s="16">
        <f>IF($B391="",0,LEN($B391))</f>
        <v/>
      </c>
      <c r="D391" s="16">
        <f>IF($B391="","",LEFT($B391,cbb_ikincilUzunluk))</f>
        <v/>
      </c>
      <c r="E391" s="16">
        <f>"A"</f>
        <v/>
      </c>
      <c r="F391" s="16">
        <f>IF($B391="","",IF(COUNTIF(tblAnahtarA[Norm],$B391)&gt;1,"EVET","HAYIR"))</f>
        <v/>
      </c>
      <c r="G391" s="16">
        <f>IF($A391="","",ROW()-ROW($A$5))</f>
        <v/>
      </c>
      <c r="I391" s="7">
        <f>IF(VERI_B!A391="","",VERI_B!A391)</f>
        <v/>
      </c>
      <c r="J391" s="16">
        <f>UPPER(TRIM(SUBSTITUTE($I391," ","")))</f>
        <v/>
      </c>
      <c r="K391" s="16">
        <f>IF($J391="",0,LEN($J391))</f>
        <v/>
      </c>
      <c r="L391" s="16">
        <f>IF($J391="","",LEFT($J391,cbb_ikincilUzunluk))</f>
        <v/>
      </c>
      <c r="M391" s="16">
        <f>"B"</f>
        <v/>
      </c>
      <c r="N391" s="16">
        <f>IF($J391="","",IF(COUNTIF(tblAnahtarB[NormB],$J391)&gt;1,"EVET","HAYIR"))</f>
        <v/>
      </c>
      <c r="O391" s="16">
        <f>IF($I391="","",ROW()-ROW($I$5))</f>
        <v/>
      </c>
    </row>
    <row r="392">
      <c r="A392" s="7">
        <f>IF(VERI_A!A392="","",VERI_A!A392)</f>
        <v/>
      </c>
      <c r="B392" s="16">
        <f>UPPER(TRIM(SUBSTITUTE($A392," ","")))</f>
        <v/>
      </c>
      <c r="C392" s="16">
        <f>IF($B392="",0,LEN($B392))</f>
        <v/>
      </c>
      <c r="D392" s="16">
        <f>IF($B392="","",LEFT($B392,cbb_ikincilUzunluk))</f>
        <v/>
      </c>
      <c r="E392" s="16">
        <f>"A"</f>
        <v/>
      </c>
      <c r="F392" s="16">
        <f>IF($B392="","",IF(COUNTIF(tblAnahtarA[Norm],$B392)&gt;1,"EVET","HAYIR"))</f>
        <v/>
      </c>
      <c r="G392" s="16">
        <f>IF($A392="","",ROW()-ROW($A$5))</f>
        <v/>
      </c>
      <c r="I392" s="7">
        <f>IF(VERI_B!A392="","",VERI_B!A392)</f>
        <v/>
      </c>
      <c r="J392" s="16">
        <f>UPPER(TRIM(SUBSTITUTE($I392," ","")))</f>
        <v/>
      </c>
      <c r="K392" s="16">
        <f>IF($J392="",0,LEN($J392))</f>
        <v/>
      </c>
      <c r="L392" s="16">
        <f>IF($J392="","",LEFT($J392,cbb_ikincilUzunluk))</f>
        <v/>
      </c>
      <c r="M392" s="16">
        <f>"B"</f>
        <v/>
      </c>
      <c r="N392" s="16">
        <f>IF($J392="","",IF(COUNTIF(tblAnahtarB[NormB],$J392)&gt;1,"EVET","HAYIR"))</f>
        <v/>
      </c>
      <c r="O392" s="16">
        <f>IF($I392="","",ROW()-ROW($I$5))</f>
        <v/>
      </c>
    </row>
    <row r="393">
      <c r="A393" s="7">
        <f>IF(VERI_A!A393="","",VERI_A!A393)</f>
        <v/>
      </c>
      <c r="B393" s="16">
        <f>UPPER(TRIM(SUBSTITUTE($A393," ","")))</f>
        <v/>
      </c>
      <c r="C393" s="16">
        <f>IF($B393="",0,LEN($B393))</f>
        <v/>
      </c>
      <c r="D393" s="16">
        <f>IF($B393="","",LEFT($B393,cbb_ikincilUzunluk))</f>
        <v/>
      </c>
      <c r="E393" s="16">
        <f>"A"</f>
        <v/>
      </c>
      <c r="F393" s="16">
        <f>IF($B393="","",IF(COUNTIF(tblAnahtarA[Norm],$B393)&gt;1,"EVET","HAYIR"))</f>
        <v/>
      </c>
      <c r="G393" s="16">
        <f>IF($A393="","",ROW()-ROW($A$5))</f>
        <v/>
      </c>
      <c r="I393" s="7">
        <f>IF(VERI_B!A393="","",VERI_B!A393)</f>
        <v/>
      </c>
      <c r="J393" s="16">
        <f>UPPER(TRIM(SUBSTITUTE($I393," ","")))</f>
        <v/>
      </c>
      <c r="K393" s="16">
        <f>IF($J393="",0,LEN($J393))</f>
        <v/>
      </c>
      <c r="L393" s="16">
        <f>IF($J393="","",LEFT($J393,cbb_ikincilUzunluk))</f>
        <v/>
      </c>
      <c r="M393" s="16">
        <f>"B"</f>
        <v/>
      </c>
      <c r="N393" s="16">
        <f>IF($J393="","",IF(COUNTIF(tblAnahtarB[NormB],$J393)&gt;1,"EVET","HAYIR"))</f>
        <v/>
      </c>
      <c r="O393" s="16">
        <f>IF($I393="","",ROW()-ROW($I$5))</f>
        <v/>
      </c>
    </row>
    <row r="394">
      <c r="A394" s="7">
        <f>IF(VERI_A!A394="","",VERI_A!A394)</f>
        <v/>
      </c>
      <c r="B394" s="16">
        <f>UPPER(TRIM(SUBSTITUTE($A394," ","")))</f>
        <v/>
      </c>
      <c r="C394" s="16">
        <f>IF($B394="",0,LEN($B394))</f>
        <v/>
      </c>
      <c r="D394" s="16">
        <f>IF($B394="","",LEFT($B394,cbb_ikincilUzunluk))</f>
        <v/>
      </c>
      <c r="E394" s="16">
        <f>"A"</f>
        <v/>
      </c>
      <c r="F394" s="16">
        <f>IF($B394="","",IF(COUNTIF(tblAnahtarA[Norm],$B394)&gt;1,"EVET","HAYIR"))</f>
        <v/>
      </c>
      <c r="G394" s="16">
        <f>IF($A394="","",ROW()-ROW($A$5))</f>
        <v/>
      </c>
      <c r="I394" s="7">
        <f>IF(VERI_B!A394="","",VERI_B!A394)</f>
        <v/>
      </c>
      <c r="J394" s="16">
        <f>UPPER(TRIM(SUBSTITUTE($I394," ","")))</f>
        <v/>
      </c>
      <c r="K394" s="16">
        <f>IF($J394="",0,LEN($J394))</f>
        <v/>
      </c>
      <c r="L394" s="16">
        <f>IF($J394="","",LEFT($J394,cbb_ikincilUzunluk))</f>
        <v/>
      </c>
      <c r="M394" s="16">
        <f>"B"</f>
        <v/>
      </c>
      <c r="N394" s="16">
        <f>IF($J394="","",IF(COUNTIF(tblAnahtarB[NormB],$J394)&gt;1,"EVET","HAYIR"))</f>
        <v/>
      </c>
      <c r="O394" s="16">
        <f>IF($I394="","",ROW()-ROW($I$5))</f>
        <v/>
      </c>
    </row>
    <row r="395">
      <c r="A395" s="7">
        <f>IF(VERI_A!A395="","",VERI_A!A395)</f>
        <v/>
      </c>
      <c r="B395" s="16">
        <f>UPPER(TRIM(SUBSTITUTE($A395," ","")))</f>
        <v/>
      </c>
      <c r="C395" s="16">
        <f>IF($B395="",0,LEN($B395))</f>
        <v/>
      </c>
      <c r="D395" s="16">
        <f>IF($B395="","",LEFT($B395,cbb_ikincilUzunluk))</f>
        <v/>
      </c>
      <c r="E395" s="16">
        <f>"A"</f>
        <v/>
      </c>
      <c r="F395" s="16">
        <f>IF($B395="","",IF(COUNTIF(tblAnahtarA[Norm],$B395)&gt;1,"EVET","HAYIR"))</f>
        <v/>
      </c>
      <c r="G395" s="16">
        <f>IF($A395="","",ROW()-ROW($A$5))</f>
        <v/>
      </c>
      <c r="I395" s="7">
        <f>IF(VERI_B!A395="","",VERI_B!A395)</f>
        <v/>
      </c>
      <c r="J395" s="16">
        <f>UPPER(TRIM(SUBSTITUTE($I395," ","")))</f>
        <v/>
      </c>
      <c r="K395" s="16">
        <f>IF($J395="",0,LEN($J395))</f>
        <v/>
      </c>
      <c r="L395" s="16">
        <f>IF($J395="","",LEFT($J395,cbb_ikincilUzunluk))</f>
        <v/>
      </c>
      <c r="M395" s="16">
        <f>"B"</f>
        <v/>
      </c>
      <c r="N395" s="16">
        <f>IF($J395="","",IF(COUNTIF(tblAnahtarB[NormB],$J395)&gt;1,"EVET","HAYIR"))</f>
        <v/>
      </c>
      <c r="O395" s="16">
        <f>IF($I395="","",ROW()-ROW($I$5))</f>
        <v/>
      </c>
    </row>
    <row r="396">
      <c r="A396" s="7">
        <f>IF(VERI_A!A396="","",VERI_A!A396)</f>
        <v/>
      </c>
      <c r="B396" s="16">
        <f>UPPER(TRIM(SUBSTITUTE($A396," ","")))</f>
        <v/>
      </c>
      <c r="C396" s="16">
        <f>IF($B396="",0,LEN($B396))</f>
        <v/>
      </c>
      <c r="D396" s="16">
        <f>IF($B396="","",LEFT($B396,cbb_ikincilUzunluk))</f>
        <v/>
      </c>
      <c r="E396" s="16">
        <f>"A"</f>
        <v/>
      </c>
      <c r="F396" s="16">
        <f>IF($B396="","",IF(COUNTIF(tblAnahtarA[Norm],$B396)&gt;1,"EVET","HAYIR"))</f>
        <v/>
      </c>
      <c r="G396" s="16">
        <f>IF($A396="","",ROW()-ROW($A$5))</f>
        <v/>
      </c>
      <c r="I396" s="7">
        <f>IF(VERI_B!A396="","",VERI_B!A396)</f>
        <v/>
      </c>
      <c r="J396" s="16">
        <f>UPPER(TRIM(SUBSTITUTE($I396," ","")))</f>
        <v/>
      </c>
      <c r="K396" s="16">
        <f>IF($J396="",0,LEN($J396))</f>
        <v/>
      </c>
      <c r="L396" s="16">
        <f>IF($J396="","",LEFT($J396,cbb_ikincilUzunluk))</f>
        <v/>
      </c>
      <c r="M396" s="16">
        <f>"B"</f>
        <v/>
      </c>
      <c r="N396" s="16">
        <f>IF($J396="","",IF(COUNTIF(tblAnahtarB[NormB],$J396)&gt;1,"EVET","HAYIR"))</f>
        <v/>
      </c>
      <c r="O396" s="16">
        <f>IF($I396="","",ROW()-ROW($I$5))</f>
        <v/>
      </c>
    </row>
    <row r="397">
      <c r="A397" s="7">
        <f>IF(VERI_A!A397="","",VERI_A!A397)</f>
        <v/>
      </c>
      <c r="B397" s="16">
        <f>UPPER(TRIM(SUBSTITUTE($A397," ","")))</f>
        <v/>
      </c>
      <c r="C397" s="16">
        <f>IF($B397="",0,LEN($B397))</f>
        <v/>
      </c>
      <c r="D397" s="16">
        <f>IF($B397="","",LEFT($B397,cbb_ikincilUzunluk))</f>
        <v/>
      </c>
      <c r="E397" s="16">
        <f>"A"</f>
        <v/>
      </c>
      <c r="F397" s="16">
        <f>IF($B397="","",IF(COUNTIF(tblAnahtarA[Norm],$B397)&gt;1,"EVET","HAYIR"))</f>
        <v/>
      </c>
      <c r="G397" s="16">
        <f>IF($A397="","",ROW()-ROW($A$5))</f>
        <v/>
      </c>
      <c r="I397" s="7">
        <f>IF(VERI_B!A397="","",VERI_B!A397)</f>
        <v/>
      </c>
      <c r="J397" s="16">
        <f>UPPER(TRIM(SUBSTITUTE($I397," ","")))</f>
        <v/>
      </c>
      <c r="K397" s="16">
        <f>IF($J397="",0,LEN($J397))</f>
        <v/>
      </c>
      <c r="L397" s="16">
        <f>IF($J397="","",LEFT($J397,cbb_ikincilUzunluk))</f>
        <v/>
      </c>
      <c r="M397" s="16">
        <f>"B"</f>
        <v/>
      </c>
      <c r="N397" s="16">
        <f>IF($J397="","",IF(COUNTIF(tblAnahtarB[NormB],$J397)&gt;1,"EVET","HAYIR"))</f>
        <v/>
      </c>
      <c r="O397" s="16">
        <f>IF($I397="","",ROW()-ROW($I$5))</f>
        <v/>
      </c>
    </row>
    <row r="398">
      <c r="A398" s="7">
        <f>IF(VERI_A!A398="","",VERI_A!A398)</f>
        <v/>
      </c>
      <c r="B398" s="16">
        <f>UPPER(TRIM(SUBSTITUTE($A398," ","")))</f>
        <v/>
      </c>
      <c r="C398" s="16">
        <f>IF($B398="",0,LEN($B398))</f>
        <v/>
      </c>
      <c r="D398" s="16">
        <f>IF($B398="","",LEFT($B398,cbb_ikincilUzunluk))</f>
        <v/>
      </c>
      <c r="E398" s="16">
        <f>"A"</f>
        <v/>
      </c>
      <c r="F398" s="16">
        <f>IF($B398="","",IF(COUNTIF(tblAnahtarA[Norm],$B398)&gt;1,"EVET","HAYIR"))</f>
        <v/>
      </c>
      <c r="G398" s="16">
        <f>IF($A398="","",ROW()-ROW($A$5))</f>
        <v/>
      </c>
      <c r="I398" s="7">
        <f>IF(VERI_B!A398="","",VERI_B!A398)</f>
        <v/>
      </c>
      <c r="J398" s="16">
        <f>UPPER(TRIM(SUBSTITUTE($I398," ","")))</f>
        <v/>
      </c>
      <c r="K398" s="16">
        <f>IF($J398="",0,LEN($J398))</f>
        <v/>
      </c>
      <c r="L398" s="16">
        <f>IF($J398="","",LEFT($J398,cbb_ikincilUzunluk))</f>
        <v/>
      </c>
      <c r="M398" s="16">
        <f>"B"</f>
        <v/>
      </c>
      <c r="N398" s="16">
        <f>IF($J398="","",IF(COUNTIF(tblAnahtarB[NormB],$J398)&gt;1,"EVET","HAYIR"))</f>
        <v/>
      </c>
      <c r="O398" s="16">
        <f>IF($I398="","",ROW()-ROW($I$5))</f>
        <v/>
      </c>
    </row>
    <row r="399">
      <c r="A399" s="7">
        <f>IF(VERI_A!A399="","",VERI_A!A399)</f>
        <v/>
      </c>
      <c r="B399" s="16">
        <f>UPPER(TRIM(SUBSTITUTE($A399," ","")))</f>
        <v/>
      </c>
      <c r="C399" s="16">
        <f>IF($B399="",0,LEN($B399))</f>
        <v/>
      </c>
      <c r="D399" s="16">
        <f>IF($B399="","",LEFT($B399,cbb_ikincilUzunluk))</f>
        <v/>
      </c>
      <c r="E399" s="16">
        <f>"A"</f>
        <v/>
      </c>
      <c r="F399" s="16">
        <f>IF($B399="","",IF(COUNTIF(tblAnahtarA[Norm],$B399)&gt;1,"EVET","HAYIR"))</f>
        <v/>
      </c>
      <c r="G399" s="16">
        <f>IF($A399="","",ROW()-ROW($A$5))</f>
        <v/>
      </c>
      <c r="I399" s="7">
        <f>IF(VERI_B!A399="","",VERI_B!A399)</f>
        <v/>
      </c>
      <c r="J399" s="16">
        <f>UPPER(TRIM(SUBSTITUTE($I399," ","")))</f>
        <v/>
      </c>
      <c r="K399" s="16">
        <f>IF($J399="",0,LEN($J399))</f>
        <v/>
      </c>
      <c r="L399" s="16">
        <f>IF($J399="","",LEFT($J399,cbb_ikincilUzunluk))</f>
        <v/>
      </c>
      <c r="M399" s="16">
        <f>"B"</f>
        <v/>
      </c>
      <c r="N399" s="16">
        <f>IF($J399="","",IF(COUNTIF(tblAnahtarB[NormB],$J399)&gt;1,"EVET","HAYIR"))</f>
        <v/>
      </c>
      <c r="O399" s="16">
        <f>IF($I399="","",ROW()-ROW($I$5))</f>
        <v/>
      </c>
    </row>
    <row r="400">
      <c r="A400" s="7">
        <f>IF(VERI_A!A400="","",VERI_A!A400)</f>
        <v/>
      </c>
      <c r="B400" s="16">
        <f>UPPER(TRIM(SUBSTITUTE($A400," ","")))</f>
        <v/>
      </c>
      <c r="C400" s="16">
        <f>IF($B400="",0,LEN($B400))</f>
        <v/>
      </c>
      <c r="D400" s="16">
        <f>IF($B400="","",LEFT($B400,cbb_ikincilUzunluk))</f>
        <v/>
      </c>
      <c r="E400" s="16">
        <f>"A"</f>
        <v/>
      </c>
      <c r="F400" s="16">
        <f>IF($B400="","",IF(COUNTIF(tblAnahtarA[Norm],$B400)&gt;1,"EVET","HAYIR"))</f>
        <v/>
      </c>
      <c r="G400" s="16">
        <f>IF($A400="","",ROW()-ROW($A$5))</f>
        <v/>
      </c>
      <c r="I400" s="7">
        <f>IF(VERI_B!A400="","",VERI_B!A400)</f>
        <v/>
      </c>
      <c r="J400" s="16">
        <f>UPPER(TRIM(SUBSTITUTE($I400," ","")))</f>
        <v/>
      </c>
      <c r="K400" s="16">
        <f>IF($J400="",0,LEN($J400))</f>
        <v/>
      </c>
      <c r="L400" s="16">
        <f>IF($J400="","",LEFT($J400,cbb_ikincilUzunluk))</f>
        <v/>
      </c>
      <c r="M400" s="16">
        <f>"B"</f>
        <v/>
      </c>
      <c r="N400" s="16">
        <f>IF($J400="","",IF(COUNTIF(tblAnahtarB[NormB],$J400)&gt;1,"EVET","HAYIR"))</f>
        <v/>
      </c>
      <c r="O400" s="16">
        <f>IF($I400="","",ROW()-ROW($I$5))</f>
        <v/>
      </c>
    </row>
    <row r="401">
      <c r="A401" s="7">
        <f>IF(VERI_A!A401="","",VERI_A!A401)</f>
        <v/>
      </c>
      <c r="B401" s="16">
        <f>UPPER(TRIM(SUBSTITUTE($A401," ","")))</f>
        <v/>
      </c>
      <c r="C401" s="16">
        <f>IF($B401="",0,LEN($B401))</f>
        <v/>
      </c>
      <c r="D401" s="16">
        <f>IF($B401="","",LEFT($B401,cbb_ikincilUzunluk))</f>
        <v/>
      </c>
      <c r="E401" s="16">
        <f>"A"</f>
        <v/>
      </c>
      <c r="F401" s="16">
        <f>IF($B401="","",IF(COUNTIF(tblAnahtarA[Norm],$B401)&gt;1,"EVET","HAYIR"))</f>
        <v/>
      </c>
      <c r="G401" s="16">
        <f>IF($A401="","",ROW()-ROW($A$5))</f>
        <v/>
      </c>
      <c r="I401" s="7">
        <f>IF(VERI_B!A401="","",VERI_B!A401)</f>
        <v/>
      </c>
      <c r="J401" s="16">
        <f>UPPER(TRIM(SUBSTITUTE($I401," ","")))</f>
        <v/>
      </c>
      <c r="K401" s="16">
        <f>IF($J401="",0,LEN($J401))</f>
        <v/>
      </c>
      <c r="L401" s="16">
        <f>IF($J401="","",LEFT($J401,cbb_ikincilUzunluk))</f>
        <v/>
      </c>
      <c r="M401" s="16">
        <f>"B"</f>
        <v/>
      </c>
      <c r="N401" s="16">
        <f>IF($J401="","",IF(COUNTIF(tblAnahtarB[NormB],$J401)&gt;1,"EVET","HAYIR"))</f>
        <v/>
      </c>
      <c r="O401" s="16">
        <f>IF($I401="","",ROW()-ROW($I$5))</f>
        <v/>
      </c>
    </row>
    <row r="402">
      <c r="A402" s="7">
        <f>IF(VERI_A!A402="","",VERI_A!A402)</f>
        <v/>
      </c>
      <c r="B402" s="16">
        <f>UPPER(TRIM(SUBSTITUTE($A402," ","")))</f>
        <v/>
      </c>
      <c r="C402" s="16">
        <f>IF($B402="",0,LEN($B402))</f>
        <v/>
      </c>
      <c r="D402" s="16">
        <f>IF($B402="","",LEFT($B402,cbb_ikincilUzunluk))</f>
        <v/>
      </c>
      <c r="E402" s="16">
        <f>"A"</f>
        <v/>
      </c>
      <c r="F402" s="16">
        <f>IF($B402="","",IF(COUNTIF(tblAnahtarA[Norm],$B402)&gt;1,"EVET","HAYIR"))</f>
        <v/>
      </c>
      <c r="G402" s="16">
        <f>IF($A402="","",ROW()-ROW($A$5))</f>
        <v/>
      </c>
      <c r="I402" s="7">
        <f>IF(VERI_B!A402="","",VERI_B!A402)</f>
        <v/>
      </c>
      <c r="J402" s="16">
        <f>UPPER(TRIM(SUBSTITUTE($I402," ","")))</f>
        <v/>
      </c>
      <c r="K402" s="16">
        <f>IF($J402="",0,LEN($J402))</f>
        <v/>
      </c>
      <c r="L402" s="16">
        <f>IF($J402="","",LEFT($J402,cbb_ikincilUzunluk))</f>
        <v/>
      </c>
      <c r="M402" s="16">
        <f>"B"</f>
        <v/>
      </c>
      <c r="N402" s="16">
        <f>IF($J402="","",IF(COUNTIF(tblAnahtarB[NormB],$J402)&gt;1,"EVET","HAYIR"))</f>
        <v/>
      </c>
      <c r="O402" s="16">
        <f>IF($I402="","",ROW()-ROW($I$5))</f>
        <v/>
      </c>
    </row>
    <row r="403">
      <c r="A403" s="7">
        <f>IF(VERI_A!A403="","",VERI_A!A403)</f>
        <v/>
      </c>
      <c r="B403" s="16">
        <f>UPPER(TRIM(SUBSTITUTE($A403," ","")))</f>
        <v/>
      </c>
      <c r="C403" s="16">
        <f>IF($B403="",0,LEN($B403))</f>
        <v/>
      </c>
      <c r="D403" s="16">
        <f>IF($B403="","",LEFT($B403,cbb_ikincilUzunluk))</f>
        <v/>
      </c>
      <c r="E403" s="16">
        <f>"A"</f>
        <v/>
      </c>
      <c r="F403" s="16">
        <f>IF($B403="","",IF(COUNTIF(tblAnahtarA[Norm],$B403)&gt;1,"EVET","HAYIR"))</f>
        <v/>
      </c>
      <c r="G403" s="16">
        <f>IF($A403="","",ROW()-ROW($A$5))</f>
        <v/>
      </c>
      <c r="I403" s="7">
        <f>IF(VERI_B!A403="","",VERI_B!A403)</f>
        <v/>
      </c>
      <c r="J403" s="16">
        <f>UPPER(TRIM(SUBSTITUTE($I403," ","")))</f>
        <v/>
      </c>
      <c r="K403" s="16">
        <f>IF($J403="",0,LEN($J403))</f>
        <v/>
      </c>
      <c r="L403" s="16">
        <f>IF($J403="","",LEFT($J403,cbb_ikincilUzunluk))</f>
        <v/>
      </c>
      <c r="M403" s="16">
        <f>"B"</f>
        <v/>
      </c>
      <c r="N403" s="16">
        <f>IF($J403="","",IF(COUNTIF(tblAnahtarB[NormB],$J403)&gt;1,"EVET","HAYIR"))</f>
        <v/>
      </c>
      <c r="O403" s="16">
        <f>IF($I403="","",ROW()-ROW($I$5))</f>
        <v/>
      </c>
    </row>
    <row r="404">
      <c r="A404" s="7">
        <f>IF(VERI_A!A404="","",VERI_A!A404)</f>
        <v/>
      </c>
      <c r="B404" s="16">
        <f>UPPER(TRIM(SUBSTITUTE($A404," ","")))</f>
        <v/>
      </c>
      <c r="C404" s="16">
        <f>IF($B404="",0,LEN($B404))</f>
        <v/>
      </c>
      <c r="D404" s="16">
        <f>IF($B404="","",LEFT($B404,cbb_ikincilUzunluk))</f>
        <v/>
      </c>
      <c r="E404" s="16">
        <f>"A"</f>
        <v/>
      </c>
      <c r="F404" s="16">
        <f>IF($B404="","",IF(COUNTIF(tblAnahtarA[Norm],$B404)&gt;1,"EVET","HAYIR"))</f>
        <v/>
      </c>
      <c r="G404" s="16">
        <f>IF($A404="","",ROW()-ROW($A$5))</f>
        <v/>
      </c>
      <c r="I404" s="7">
        <f>IF(VERI_B!A404="","",VERI_B!A404)</f>
        <v/>
      </c>
      <c r="J404" s="16">
        <f>UPPER(TRIM(SUBSTITUTE($I404," ","")))</f>
        <v/>
      </c>
      <c r="K404" s="16">
        <f>IF($J404="",0,LEN($J404))</f>
        <v/>
      </c>
      <c r="L404" s="16">
        <f>IF($J404="","",LEFT($J404,cbb_ikincilUzunluk))</f>
        <v/>
      </c>
      <c r="M404" s="16">
        <f>"B"</f>
        <v/>
      </c>
      <c r="N404" s="16">
        <f>IF($J404="","",IF(COUNTIF(tblAnahtarB[NormB],$J404)&gt;1,"EVET","HAYIR"))</f>
        <v/>
      </c>
      <c r="O404" s="16">
        <f>IF($I404="","",ROW()-ROW($I$5))</f>
        <v/>
      </c>
    </row>
    <row r="405">
      <c r="A405" s="7">
        <f>IF(VERI_A!A405="","",VERI_A!A405)</f>
        <v/>
      </c>
      <c r="B405" s="16">
        <f>UPPER(TRIM(SUBSTITUTE($A405," ","")))</f>
        <v/>
      </c>
      <c r="C405" s="16">
        <f>IF($B405="",0,LEN($B405))</f>
        <v/>
      </c>
      <c r="D405" s="16">
        <f>IF($B405="","",LEFT($B405,cbb_ikincilUzunluk))</f>
        <v/>
      </c>
      <c r="E405" s="16">
        <f>"A"</f>
        <v/>
      </c>
      <c r="F405" s="16">
        <f>IF($B405="","",IF(COUNTIF(tblAnahtarA[Norm],$B405)&gt;1,"EVET","HAYIR"))</f>
        <v/>
      </c>
      <c r="G405" s="16">
        <f>IF($A405="","",ROW()-ROW($A$5))</f>
        <v/>
      </c>
      <c r="I405" s="7">
        <f>IF(VERI_B!A405="","",VERI_B!A405)</f>
        <v/>
      </c>
      <c r="J405" s="16">
        <f>UPPER(TRIM(SUBSTITUTE($I405," ","")))</f>
        <v/>
      </c>
      <c r="K405" s="16">
        <f>IF($J405="",0,LEN($J405))</f>
        <v/>
      </c>
      <c r="L405" s="16">
        <f>IF($J405="","",LEFT($J405,cbb_ikincilUzunluk))</f>
        <v/>
      </c>
      <c r="M405" s="16">
        <f>"B"</f>
        <v/>
      </c>
      <c r="N405" s="16">
        <f>IF($J405="","",IF(COUNTIF(tblAnahtarB[NormB],$J405)&gt;1,"EVET","HAYIR"))</f>
        <v/>
      </c>
      <c r="O405" s="16">
        <f>IF($I405="","",ROW()-ROW($I$5))</f>
        <v/>
      </c>
    </row>
    <row r="406">
      <c r="A406" s="7">
        <f>IF(VERI_A!A406="","",VERI_A!A406)</f>
        <v/>
      </c>
      <c r="B406" s="16">
        <f>UPPER(TRIM(SUBSTITUTE($A406," ","")))</f>
        <v/>
      </c>
      <c r="C406" s="16">
        <f>IF($B406="",0,LEN($B406))</f>
        <v/>
      </c>
      <c r="D406" s="16">
        <f>IF($B406="","",LEFT($B406,cbb_ikincilUzunluk))</f>
        <v/>
      </c>
      <c r="E406" s="16">
        <f>"A"</f>
        <v/>
      </c>
      <c r="F406" s="16">
        <f>IF($B406="","",IF(COUNTIF(tblAnahtarA[Norm],$B406)&gt;1,"EVET","HAYIR"))</f>
        <v/>
      </c>
      <c r="G406" s="16">
        <f>IF($A406="","",ROW()-ROW($A$5))</f>
        <v/>
      </c>
      <c r="I406" s="7">
        <f>IF(VERI_B!A406="","",VERI_B!A406)</f>
        <v/>
      </c>
      <c r="J406" s="16">
        <f>UPPER(TRIM(SUBSTITUTE($I406," ","")))</f>
        <v/>
      </c>
      <c r="K406" s="16">
        <f>IF($J406="",0,LEN($J406))</f>
        <v/>
      </c>
      <c r="L406" s="16">
        <f>IF($J406="","",LEFT($J406,cbb_ikincilUzunluk))</f>
        <v/>
      </c>
      <c r="M406" s="16">
        <f>"B"</f>
        <v/>
      </c>
      <c r="N406" s="16">
        <f>IF($J406="","",IF(COUNTIF(tblAnahtarB[NormB],$J406)&gt;1,"EVET","HAYIR"))</f>
        <v/>
      </c>
      <c r="O406" s="16">
        <f>IF($I406="","",ROW()-ROW($I$5))</f>
        <v/>
      </c>
    </row>
    <row r="407">
      <c r="A407" s="7">
        <f>IF(VERI_A!A407="","",VERI_A!A407)</f>
        <v/>
      </c>
      <c r="B407" s="16">
        <f>UPPER(TRIM(SUBSTITUTE($A407," ","")))</f>
        <v/>
      </c>
      <c r="C407" s="16">
        <f>IF($B407="",0,LEN($B407))</f>
        <v/>
      </c>
      <c r="D407" s="16">
        <f>IF($B407="","",LEFT($B407,cbb_ikincilUzunluk))</f>
        <v/>
      </c>
      <c r="E407" s="16">
        <f>"A"</f>
        <v/>
      </c>
      <c r="F407" s="16">
        <f>IF($B407="","",IF(COUNTIF(tblAnahtarA[Norm],$B407)&gt;1,"EVET","HAYIR"))</f>
        <v/>
      </c>
      <c r="G407" s="16">
        <f>IF($A407="","",ROW()-ROW($A$5))</f>
        <v/>
      </c>
      <c r="I407" s="7">
        <f>IF(VERI_B!A407="","",VERI_B!A407)</f>
        <v/>
      </c>
      <c r="J407" s="16">
        <f>UPPER(TRIM(SUBSTITUTE($I407," ","")))</f>
        <v/>
      </c>
      <c r="K407" s="16">
        <f>IF($J407="",0,LEN($J407))</f>
        <v/>
      </c>
      <c r="L407" s="16">
        <f>IF($J407="","",LEFT($J407,cbb_ikincilUzunluk))</f>
        <v/>
      </c>
      <c r="M407" s="16">
        <f>"B"</f>
        <v/>
      </c>
      <c r="N407" s="16">
        <f>IF($J407="","",IF(COUNTIF(tblAnahtarB[NormB],$J407)&gt;1,"EVET","HAYIR"))</f>
        <v/>
      </c>
      <c r="O407" s="16">
        <f>IF($I407="","",ROW()-ROW($I$5))</f>
        <v/>
      </c>
    </row>
    <row r="408">
      <c r="A408" s="7">
        <f>IF(VERI_A!A408="","",VERI_A!A408)</f>
        <v/>
      </c>
      <c r="B408" s="16">
        <f>UPPER(TRIM(SUBSTITUTE($A408," ","")))</f>
        <v/>
      </c>
      <c r="C408" s="16">
        <f>IF($B408="",0,LEN($B408))</f>
        <v/>
      </c>
      <c r="D408" s="16">
        <f>IF($B408="","",LEFT($B408,cbb_ikincilUzunluk))</f>
        <v/>
      </c>
      <c r="E408" s="16">
        <f>"A"</f>
        <v/>
      </c>
      <c r="F408" s="16">
        <f>IF($B408="","",IF(COUNTIF(tblAnahtarA[Norm],$B408)&gt;1,"EVET","HAYIR"))</f>
        <v/>
      </c>
      <c r="G408" s="16">
        <f>IF($A408="","",ROW()-ROW($A$5))</f>
        <v/>
      </c>
      <c r="I408" s="7">
        <f>IF(VERI_B!A408="","",VERI_B!A408)</f>
        <v/>
      </c>
      <c r="J408" s="16">
        <f>UPPER(TRIM(SUBSTITUTE($I408," ","")))</f>
        <v/>
      </c>
      <c r="K408" s="16">
        <f>IF($J408="",0,LEN($J408))</f>
        <v/>
      </c>
      <c r="L408" s="16">
        <f>IF($J408="","",LEFT($J408,cbb_ikincilUzunluk))</f>
        <v/>
      </c>
      <c r="M408" s="16">
        <f>"B"</f>
        <v/>
      </c>
      <c r="N408" s="16">
        <f>IF($J408="","",IF(COUNTIF(tblAnahtarB[NormB],$J408)&gt;1,"EVET","HAYIR"))</f>
        <v/>
      </c>
      <c r="O408" s="16">
        <f>IF($I408="","",ROW()-ROW($I$5))</f>
        <v/>
      </c>
    </row>
    <row r="409">
      <c r="A409" s="7">
        <f>IF(VERI_A!A409="","",VERI_A!A409)</f>
        <v/>
      </c>
      <c r="B409" s="16">
        <f>UPPER(TRIM(SUBSTITUTE($A409," ","")))</f>
        <v/>
      </c>
      <c r="C409" s="16">
        <f>IF($B409="",0,LEN($B409))</f>
        <v/>
      </c>
      <c r="D409" s="16">
        <f>IF($B409="","",LEFT($B409,cbb_ikincilUzunluk))</f>
        <v/>
      </c>
      <c r="E409" s="16">
        <f>"A"</f>
        <v/>
      </c>
      <c r="F409" s="16">
        <f>IF($B409="","",IF(COUNTIF(tblAnahtarA[Norm],$B409)&gt;1,"EVET","HAYIR"))</f>
        <v/>
      </c>
      <c r="G409" s="16">
        <f>IF($A409="","",ROW()-ROW($A$5))</f>
        <v/>
      </c>
      <c r="I409" s="7">
        <f>IF(VERI_B!A409="","",VERI_B!A409)</f>
        <v/>
      </c>
      <c r="J409" s="16">
        <f>UPPER(TRIM(SUBSTITUTE($I409," ","")))</f>
        <v/>
      </c>
      <c r="K409" s="16">
        <f>IF($J409="",0,LEN($J409))</f>
        <v/>
      </c>
      <c r="L409" s="16">
        <f>IF($J409="","",LEFT($J409,cbb_ikincilUzunluk))</f>
        <v/>
      </c>
      <c r="M409" s="16">
        <f>"B"</f>
        <v/>
      </c>
      <c r="N409" s="16">
        <f>IF($J409="","",IF(COUNTIF(tblAnahtarB[NormB],$J409)&gt;1,"EVET","HAYIR"))</f>
        <v/>
      </c>
      <c r="O409" s="16">
        <f>IF($I409="","",ROW()-ROW($I$5))</f>
        <v/>
      </c>
    </row>
    <row r="410">
      <c r="A410" s="7">
        <f>IF(VERI_A!A410="","",VERI_A!A410)</f>
        <v/>
      </c>
      <c r="B410" s="16">
        <f>UPPER(TRIM(SUBSTITUTE($A410," ","")))</f>
        <v/>
      </c>
      <c r="C410" s="16">
        <f>IF($B410="",0,LEN($B410))</f>
        <v/>
      </c>
      <c r="D410" s="16">
        <f>IF($B410="","",LEFT($B410,cbb_ikincilUzunluk))</f>
        <v/>
      </c>
      <c r="E410" s="16">
        <f>"A"</f>
        <v/>
      </c>
      <c r="F410" s="16">
        <f>IF($B410="","",IF(COUNTIF(tblAnahtarA[Norm],$B410)&gt;1,"EVET","HAYIR"))</f>
        <v/>
      </c>
      <c r="G410" s="16">
        <f>IF($A410="","",ROW()-ROW($A$5))</f>
        <v/>
      </c>
      <c r="I410" s="7">
        <f>IF(VERI_B!A410="","",VERI_B!A410)</f>
        <v/>
      </c>
      <c r="J410" s="16">
        <f>UPPER(TRIM(SUBSTITUTE($I410," ","")))</f>
        <v/>
      </c>
      <c r="K410" s="16">
        <f>IF($J410="",0,LEN($J410))</f>
        <v/>
      </c>
      <c r="L410" s="16">
        <f>IF($J410="","",LEFT($J410,cbb_ikincilUzunluk))</f>
        <v/>
      </c>
      <c r="M410" s="16">
        <f>"B"</f>
        <v/>
      </c>
      <c r="N410" s="16">
        <f>IF($J410="","",IF(COUNTIF(tblAnahtarB[NormB],$J410)&gt;1,"EVET","HAYIR"))</f>
        <v/>
      </c>
      <c r="O410" s="16">
        <f>IF($I410="","",ROW()-ROW($I$5))</f>
        <v/>
      </c>
    </row>
    <row r="411">
      <c r="A411" s="7">
        <f>IF(VERI_A!A411="","",VERI_A!A411)</f>
        <v/>
      </c>
      <c r="B411" s="16">
        <f>UPPER(TRIM(SUBSTITUTE($A411," ","")))</f>
        <v/>
      </c>
      <c r="C411" s="16">
        <f>IF($B411="",0,LEN($B411))</f>
        <v/>
      </c>
      <c r="D411" s="16">
        <f>IF($B411="","",LEFT($B411,cbb_ikincilUzunluk))</f>
        <v/>
      </c>
      <c r="E411" s="16">
        <f>"A"</f>
        <v/>
      </c>
      <c r="F411" s="16">
        <f>IF($B411="","",IF(COUNTIF(tblAnahtarA[Norm],$B411)&gt;1,"EVET","HAYIR"))</f>
        <v/>
      </c>
      <c r="G411" s="16">
        <f>IF($A411="","",ROW()-ROW($A$5))</f>
        <v/>
      </c>
      <c r="I411" s="7">
        <f>IF(VERI_B!A411="","",VERI_B!A411)</f>
        <v/>
      </c>
      <c r="J411" s="16">
        <f>UPPER(TRIM(SUBSTITUTE($I411," ","")))</f>
        <v/>
      </c>
      <c r="K411" s="16">
        <f>IF($J411="",0,LEN($J411))</f>
        <v/>
      </c>
      <c r="L411" s="16">
        <f>IF($J411="","",LEFT($J411,cbb_ikincilUzunluk))</f>
        <v/>
      </c>
      <c r="M411" s="16">
        <f>"B"</f>
        <v/>
      </c>
      <c r="N411" s="16">
        <f>IF($J411="","",IF(COUNTIF(tblAnahtarB[NormB],$J411)&gt;1,"EVET","HAYIR"))</f>
        <v/>
      </c>
      <c r="O411" s="16">
        <f>IF($I411="","",ROW()-ROW($I$5))</f>
        <v/>
      </c>
    </row>
    <row r="412">
      <c r="A412" s="7">
        <f>IF(VERI_A!A412="","",VERI_A!A412)</f>
        <v/>
      </c>
      <c r="B412" s="16">
        <f>UPPER(TRIM(SUBSTITUTE($A412," ","")))</f>
        <v/>
      </c>
      <c r="C412" s="16">
        <f>IF($B412="",0,LEN($B412))</f>
        <v/>
      </c>
      <c r="D412" s="16">
        <f>IF($B412="","",LEFT($B412,cbb_ikincilUzunluk))</f>
        <v/>
      </c>
      <c r="E412" s="16">
        <f>"A"</f>
        <v/>
      </c>
      <c r="F412" s="16">
        <f>IF($B412="","",IF(COUNTIF(tblAnahtarA[Norm],$B412)&gt;1,"EVET","HAYIR"))</f>
        <v/>
      </c>
      <c r="G412" s="16">
        <f>IF($A412="","",ROW()-ROW($A$5))</f>
        <v/>
      </c>
      <c r="I412" s="7">
        <f>IF(VERI_B!A412="","",VERI_B!A412)</f>
        <v/>
      </c>
      <c r="J412" s="16">
        <f>UPPER(TRIM(SUBSTITUTE($I412," ","")))</f>
        <v/>
      </c>
      <c r="K412" s="16">
        <f>IF($J412="",0,LEN($J412))</f>
        <v/>
      </c>
      <c r="L412" s="16">
        <f>IF($J412="","",LEFT($J412,cbb_ikincilUzunluk))</f>
        <v/>
      </c>
      <c r="M412" s="16">
        <f>"B"</f>
        <v/>
      </c>
      <c r="N412" s="16">
        <f>IF($J412="","",IF(COUNTIF(tblAnahtarB[NormB],$J412)&gt;1,"EVET","HAYIR"))</f>
        <v/>
      </c>
      <c r="O412" s="16">
        <f>IF($I412="","",ROW()-ROW($I$5))</f>
        <v/>
      </c>
    </row>
    <row r="413">
      <c r="A413" s="7">
        <f>IF(VERI_A!A413="","",VERI_A!A413)</f>
        <v/>
      </c>
      <c r="B413" s="16">
        <f>UPPER(TRIM(SUBSTITUTE($A413," ","")))</f>
        <v/>
      </c>
      <c r="C413" s="16">
        <f>IF($B413="",0,LEN($B413))</f>
        <v/>
      </c>
      <c r="D413" s="16">
        <f>IF($B413="","",LEFT($B413,cbb_ikincilUzunluk))</f>
        <v/>
      </c>
      <c r="E413" s="16">
        <f>"A"</f>
        <v/>
      </c>
      <c r="F413" s="16">
        <f>IF($B413="","",IF(COUNTIF(tblAnahtarA[Norm],$B413)&gt;1,"EVET","HAYIR"))</f>
        <v/>
      </c>
      <c r="G413" s="16">
        <f>IF($A413="","",ROW()-ROW($A$5))</f>
        <v/>
      </c>
      <c r="I413" s="7">
        <f>IF(VERI_B!A413="","",VERI_B!A413)</f>
        <v/>
      </c>
      <c r="J413" s="16">
        <f>UPPER(TRIM(SUBSTITUTE($I413," ","")))</f>
        <v/>
      </c>
      <c r="K413" s="16">
        <f>IF($J413="",0,LEN($J413))</f>
        <v/>
      </c>
      <c r="L413" s="16">
        <f>IF($J413="","",LEFT($J413,cbb_ikincilUzunluk))</f>
        <v/>
      </c>
      <c r="M413" s="16">
        <f>"B"</f>
        <v/>
      </c>
      <c r="N413" s="16">
        <f>IF($J413="","",IF(COUNTIF(tblAnahtarB[NormB],$J413)&gt;1,"EVET","HAYIR"))</f>
        <v/>
      </c>
      <c r="O413" s="16">
        <f>IF($I413="","",ROW()-ROW($I$5))</f>
        <v/>
      </c>
    </row>
    <row r="414">
      <c r="A414" s="7">
        <f>IF(VERI_A!A414="","",VERI_A!A414)</f>
        <v/>
      </c>
      <c r="B414" s="16">
        <f>UPPER(TRIM(SUBSTITUTE($A414," ","")))</f>
        <v/>
      </c>
      <c r="C414" s="16">
        <f>IF($B414="",0,LEN($B414))</f>
        <v/>
      </c>
      <c r="D414" s="16">
        <f>IF($B414="","",LEFT($B414,cbb_ikincilUzunluk))</f>
        <v/>
      </c>
      <c r="E414" s="16">
        <f>"A"</f>
        <v/>
      </c>
      <c r="F414" s="16">
        <f>IF($B414="","",IF(COUNTIF(tblAnahtarA[Norm],$B414)&gt;1,"EVET","HAYIR"))</f>
        <v/>
      </c>
      <c r="G414" s="16">
        <f>IF($A414="","",ROW()-ROW($A$5))</f>
        <v/>
      </c>
      <c r="I414" s="7">
        <f>IF(VERI_B!A414="","",VERI_B!A414)</f>
        <v/>
      </c>
      <c r="J414" s="16">
        <f>UPPER(TRIM(SUBSTITUTE($I414," ","")))</f>
        <v/>
      </c>
      <c r="K414" s="16">
        <f>IF($J414="",0,LEN($J414))</f>
        <v/>
      </c>
      <c r="L414" s="16">
        <f>IF($J414="","",LEFT($J414,cbb_ikincilUzunluk))</f>
        <v/>
      </c>
      <c r="M414" s="16">
        <f>"B"</f>
        <v/>
      </c>
      <c r="N414" s="16">
        <f>IF($J414="","",IF(COUNTIF(tblAnahtarB[NormB],$J414)&gt;1,"EVET","HAYIR"))</f>
        <v/>
      </c>
      <c r="O414" s="16">
        <f>IF($I414="","",ROW()-ROW($I$5))</f>
        <v/>
      </c>
    </row>
    <row r="415">
      <c r="A415" s="7">
        <f>IF(VERI_A!A415="","",VERI_A!A415)</f>
        <v/>
      </c>
      <c r="B415" s="16">
        <f>UPPER(TRIM(SUBSTITUTE($A415," ","")))</f>
        <v/>
      </c>
      <c r="C415" s="16">
        <f>IF($B415="",0,LEN($B415))</f>
        <v/>
      </c>
      <c r="D415" s="16">
        <f>IF($B415="","",LEFT($B415,cbb_ikincilUzunluk))</f>
        <v/>
      </c>
      <c r="E415" s="16">
        <f>"A"</f>
        <v/>
      </c>
      <c r="F415" s="16">
        <f>IF($B415="","",IF(COUNTIF(tblAnahtarA[Norm],$B415)&gt;1,"EVET","HAYIR"))</f>
        <v/>
      </c>
      <c r="G415" s="16">
        <f>IF($A415="","",ROW()-ROW($A$5))</f>
        <v/>
      </c>
      <c r="I415" s="7">
        <f>IF(VERI_B!A415="","",VERI_B!A415)</f>
        <v/>
      </c>
      <c r="J415" s="16">
        <f>UPPER(TRIM(SUBSTITUTE($I415," ","")))</f>
        <v/>
      </c>
      <c r="K415" s="16">
        <f>IF($J415="",0,LEN($J415))</f>
        <v/>
      </c>
      <c r="L415" s="16">
        <f>IF($J415="","",LEFT($J415,cbb_ikincilUzunluk))</f>
        <v/>
      </c>
      <c r="M415" s="16">
        <f>"B"</f>
        <v/>
      </c>
      <c r="N415" s="16">
        <f>IF($J415="","",IF(COUNTIF(tblAnahtarB[NormB],$J415)&gt;1,"EVET","HAYIR"))</f>
        <v/>
      </c>
      <c r="O415" s="16">
        <f>IF($I415="","",ROW()-ROW($I$5))</f>
        <v/>
      </c>
    </row>
    <row r="416">
      <c r="A416" s="7">
        <f>IF(VERI_A!A416="","",VERI_A!A416)</f>
        <v/>
      </c>
      <c r="B416" s="16">
        <f>UPPER(TRIM(SUBSTITUTE($A416," ","")))</f>
        <v/>
      </c>
      <c r="C416" s="16">
        <f>IF($B416="",0,LEN($B416))</f>
        <v/>
      </c>
      <c r="D416" s="16">
        <f>IF($B416="","",LEFT($B416,cbb_ikincilUzunluk))</f>
        <v/>
      </c>
      <c r="E416" s="16">
        <f>"A"</f>
        <v/>
      </c>
      <c r="F416" s="16">
        <f>IF($B416="","",IF(COUNTIF(tblAnahtarA[Norm],$B416)&gt;1,"EVET","HAYIR"))</f>
        <v/>
      </c>
      <c r="G416" s="16">
        <f>IF($A416="","",ROW()-ROW($A$5))</f>
        <v/>
      </c>
      <c r="I416" s="7">
        <f>IF(VERI_B!A416="","",VERI_B!A416)</f>
        <v/>
      </c>
      <c r="J416" s="16">
        <f>UPPER(TRIM(SUBSTITUTE($I416," ","")))</f>
        <v/>
      </c>
      <c r="K416" s="16">
        <f>IF($J416="",0,LEN($J416))</f>
        <v/>
      </c>
      <c r="L416" s="16">
        <f>IF($J416="","",LEFT($J416,cbb_ikincilUzunluk))</f>
        <v/>
      </c>
      <c r="M416" s="16">
        <f>"B"</f>
        <v/>
      </c>
      <c r="N416" s="16">
        <f>IF($J416="","",IF(COUNTIF(tblAnahtarB[NormB],$J416)&gt;1,"EVET","HAYIR"))</f>
        <v/>
      </c>
      <c r="O416" s="16">
        <f>IF($I416="","",ROW()-ROW($I$5))</f>
        <v/>
      </c>
    </row>
    <row r="417">
      <c r="A417" s="7">
        <f>IF(VERI_A!A417="","",VERI_A!A417)</f>
        <v/>
      </c>
      <c r="B417" s="16">
        <f>UPPER(TRIM(SUBSTITUTE($A417," ","")))</f>
        <v/>
      </c>
      <c r="C417" s="16">
        <f>IF($B417="",0,LEN($B417))</f>
        <v/>
      </c>
      <c r="D417" s="16">
        <f>IF($B417="","",LEFT($B417,cbb_ikincilUzunluk))</f>
        <v/>
      </c>
      <c r="E417" s="16">
        <f>"A"</f>
        <v/>
      </c>
      <c r="F417" s="16">
        <f>IF($B417="","",IF(COUNTIF(tblAnahtarA[Norm],$B417)&gt;1,"EVET","HAYIR"))</f>
        <v/>
      </c>
      <c r="G417" s="16">
        <f>IF($A417="","",ROW()-ROW($A$5))</f>
        <v/>
      </c>
      <c r="I417" s="7">
        <f>IF(VERI_B!A417="","",VERI_B!A417)</f>
        <v/>
      </c>
      <c r="J417" s="16">
        <f>UPPER(TRIM(SUBSTITUTE($I417," ","")))</f>
        <v/>
      </c>
      <c r="K417" s="16">
        <f>IF($J417="",0,LEN($J417))</f>
        <v/>
      </c>
      <c r="L417" s="16">
        <f>IF($J417="","",LEFT($J417,cbb_ikincilUzunluk))</f>
        <v/>
      </c>
      <c r="M417" s="16">
        <f>"B"</f>
        <v/>
      </c>
      <c r="N417" s="16">
        <f>IF($J417="","",IF(COUNTIF(tblAnahtarB[NormB],$J417)&gt;1,"EVET","HAYIR"))</f>
        <v/>
      </c>
      <c r="O417" s="16">
        <f>IF($I417="","",ROW()-ROW($I$5))</f>
        <v/>
      </c>
    </row>
    <row r="418">
      <c r="A418" s="7">
        <f>IF(VERI_A!A418="","",VERI_A!A418)</f>
        <v/>
      </c>
      <c r="B418" s="16">
        <f>UPPER(TRIM(SUBSTITUTE($A418," ","")))</f>
        <v/>
      </c>
      <c r="C418" s="16">
        <f>IF($B418="",0,LEN($B418))</f>
        <v/>
      </c>
      <c r="D418" s="16">
        <f>IF($B418="","",LEFT($B418,cbb_ikincilUzunluk))</f>
        <v/>
      </c>
      <c r="E418" s="16">
        <f>"A"</f>
        <v/>
      </c>
      <c r="F418" s="16">
        <f>IF($B418="","",IF(COUNTIF(tblAnahtarA[Norm],$B418)&gt;1,"EVET","HAYIR"))</f>
        <v/>
      </c>
      <c r="G418" s="16">
        <f>IF($A418="","",ROW()-ROW($A$5))</f>
        <v/>
      </c>
      <c r="I418" s="7">
        <f>IF(VERI_B!A418="","",VERI_B!A418)</f>
        <v/>
      </c>
      <c r="J418" s="16">
        <f>UPPER(TRIM(SUBSTITUTE($I418," ","")))</f>
        <v/>
      </c>
      <c r="K418" s="16">
        <f>IF($J418="",0,LEN($J418))</f>
        <v/>
      </c>
      <c r="L418" s="16">
        <f>IF($J418="","",LEFT($J418,cbb_ikincilUzunluk))</f>
        <v/>
      </c>
      <c r="M418" s="16">
        <f>"B"</f>
        <v/>
      </c>
      <c r="N418" s="16">
        <f>IF($J418="","",IF(COUNTIF(tblAnahtarB[NormB],$J418)&gt;1,"EVET","HAYIR"))</f>
        <v/>
      </c>
      <c r="O418" s="16">
        <f>IF($I418="","",ROW()-ROW($I$5))</f>
        <v/>
      </c>
    </row>
    <row r="419">
      <c r="A419" s="7">
        <f>IF(VERI_A!A419="","",VERI_A!A419)</f>
        <v/>
      </c>
      <c r="B419" s="16">
        <f>UPPER(TRIM(SUBSTITUTE($A419," ","")))</f>
        <v/>
      </c>
      <c r="C419" s="16">
        <f>IF($B419="",0,LEN($B419))</f>
        <v/>
      </c>
      <c r="D419" s="16">
        <f>IF($B419="","",LEFT($B419,cbb_ikincilUzunluk))</f>
        <v/>
      </c>
      <c r="E419" s="16">
        <f>"A"</f>
        <v/>
      </c>
      <c r="F419" s="16">
        <f>IF($B419="","",IF(COUNTIF(tblAnahtarA[Norm],$B419)&gt;1,"EVET","HAYIR"))</f>
        <v/>
      </c>
      <c r="G419" s="16">
        <f>IF($A419="","",ROW()-ROW($A$5))</f>
        <v/>
      </c>
      <c r="I419" s="7">
        <f>IF(VERI_B!A419="","",VERI_B!A419)</f>
        <v/>
      </c>
      <c r="J419" s="16">
        <f>UPPER(TRIM(SUBSTITUTE($I419," ","")))</f>
        <v/>
      </c>
      <c r="K419" s="16">
        <f>IF($J419="",0,LEN($J419))</f>
        <v/>
      </c>
      <c r="L419" s="16">
        <f>IF($J419="","",LEFT($J419,cbb_ikincilUzunluk))</f>
        <v/>
      </c>
      <c r="M419" s="16">
        <f>"B"</f>
        <v/>
      </c>
      <c r="N419" s="16">
        <f>IF($J419="","",IF(COUNTIF(tblAnahtarB[NormB],$J419)&gt;1,"EVET","HAYIR"))</f>
        <v/>
      </c>
      <c r="O419" s="16">
        <f>IF($I419="","",ROW()-ROW($I$5))</f>
        <v/>
      </c>
    </row>
    <row r="420">
      <c r="A420" s="7">
        <f>IF(VERI_A!A420="","",VERI_A!A420)</f>
        <v/>
      </c>
      <c r="B420" s="16">
        <f>UPPER(TRIM(SUBSTITUTE($A420," ","")))</f>
        <v/>
      </c>
      <c r="C420" s="16">
        <f>IF($B420="",0,LEN($B420))</f>
        <v/>
      </c>
      <c r="D420" s="16">
        <f>IF($B420="","",LEFT($B420,cbb_ikincilUzunluk))</f>
        <v/>
      </c>
      <c r="E420" s="16">
        <f>"A"</f>
        <v/>
      </c>
      <c r="F420" s="16">
        <f>IF($B420="","",IF(COUNTIF(tblAnahtarA[Norm],$B420)&gt;1,"EVET","HAYIR"))</f>
        <v/>
      </c>
      <c r="G420" s="16">
        <f>IF($A420="","",ROW()-ROW($A$5))</f>
        <v/>
      </c>
      <c r="I420" s="7">
        <f>IF(VERI_B!A420="","",VERI_B!A420)</f>
        <v/>
      </c>
      <c r="J420" s="16">
        <f>UPPER(TRIM(SUBSTITUTE($I420," ","")))</f>
        <v/>
      </c>
      <c r="K420" s="16">
        <f>IF($J420="",0,LEN($J420))</f>
        <v/>
      </c>
      <c r="L420" s="16">
        <f>IF($J420="","",LEFT($J420,cbb_ikincilUzunluk))</f>
        <v/>
      </c>
      <c r="M420" s="16">
        <f>"B"</f>
        <v/>
      </c>
      <c r="N420" s="16">
        <f>IF($J420="","",IF(COUNTIF(tblAnahtarB[NormB],$J420)&gt;1,"EVET","HAYIR"))</f>
        <v/>
      </c>
      <c r="O420" s="16">
        <f>IF($I420="","",ROW()-ROW($I$5))</f>
        <v/>
      </c>
    </row>
    <row r="421">
      <c r="A421" s="7">
        <f>IF(VERI_A!A421="","",VERI_A!A421)</f>
        <v/>
      </c>
      <c r="B421" s="16">
        <f>UPPER(TRIM(SUBSTITUTE($A421," ","")))</f>
        <v/>
      </c>
      <c r="C421" s="16">
        <f>IF($B421="",0,LEN($B421))</f>
        <v/>
      </c>
      <c r="D421" s="16">
        <f>IF($B421="","",LEFT($B421,cbb_ikincilUzunluk))</f>
        <v/>
      </c>
      <c r="E421" s="16">
        <f>"A"</f>
        <v/>
      </c>
      <c r="F421" s="16">
        <f>IF($B421="","",IF(COUNTIF(tblAnahtarA[Norm],$B421)&gt;1,"EVET","HAYIR"))</f>
        <v/>
      </c>
      <c r="G421" s="16">
        <f>IF($A421="","",ROW()-ROW($A$5))</f>
        <v/>
      </c>
      <c r="I421" s="7">
        <f>IF(VERI_B!A421="","",VERI_B!A421)</f>
        <v/>
      </c>
      <c r="J421" s="16">
        <f>UPPER(TRIM(SUBSTITUTE($I421," ","")))</f>
        <v/>
      </c>
      <c r="K421" s="16">
        <f>IF($J421="",0,LEN($J421))</f>
        <v/>
      </c>
      <c r="L421" s="16">
        <f>IF($J421="","",LEFT($J421,cbb_ikincilUzunluk))</f>
        <v/>
      </c>
      <c r="M421" s="16">
        <f>"B"</f>
        <v/>
      </c>
      <c r="N421" s="16">
        <f>IF($J421="","",IF(COUNTIF(tblAnahtarB[NormB],$J421)&gt;1,"EVET","HAYIR"))</f>
        <v/>
      </c>
      <c r="O421" s="16">
        <f>IF($I421="","",ROW()-ROW($I$5))</f>
        <v/>
      </c>
    </row>
    <row r="422">
      <c r="A422" s="7">
        <f>IF(VERI_A!A422="","",VERI_A!A422)</f>
        <v/>
      </c>
      <c r="B422" s="16">
        <f>UPPER(TRIM(SUBSTITUTE($A422," ","")))</f>
        <v/>
      </c>
      <c r="C422" s="16">
        <f>IF($B422="",0,LEN($B422))</f>
        <v/>
      </c>
      <c r="D422" s="16">
        <f>IF($B422="","",LEFT($B422,cbb_ikincilUzunluk))</f>
        <v/>
      </c>
      <c r="E422" s="16">
        <f>"A"</f>
        <v/>
      </c>
      <c r="F422" s="16">
        <f>IF($B422="","",IF(COUNTIF(tblAnahtarA[Norm],$B422)&gt;1,"EVET","HAYIR"))</f>
        <v/>
      </c>
      <c r="G422" s="16">
        <f>IF($A422="","",ROW()-ROW($A$5))</f>
        <v/>
      </c>
      <c r="I422" s="7">
        <f>IF(VERI_B!A422="","",VERI_B!A422)</f>
        <v/>
      </c>
      <c r="J422" s="16">
        <f>UPPER(TRIM(SUBSTITUTE($I422," ","")))</f>
        <v/>
      </c>
      <c r="K422" s="16">
        <f>IF($J422="",0,LEN($J422))</f>
        <v/>
      </c>
      <c r="L422" s="16">
        <f>IF($J422="","",LEFT($J422,cbb_ikincilUzunluk))</f>
        <v/>
      </c>
      <c r="M422" s="16">
        <f>"B"</f>
        <v/>
      </c>
      <c r="N422" s="16">
        <f>IF($J422="","",IF(COUNTIF(tblAnahtarB[NormB],$J422)&gt;1,"EVET","HAYIR"))</f>
        <v/>
      </c>
      <c r="O422" s="16">
        <f>IF($I422="","",ROW()-ROW($I$5))</f>
        <v/>
      </c>
    </row>
    <row r="423">
      <c r="A423" s="7">
        <f>IF(VERI_A!A423="","",VERI_A!A423)</f>
        <v/>
      </c>
      <c r="B423" s="16">
        <f>UPPER(TRIM(SUBSTITUTE($A423," ","")))</f>
        <v/>
      </c>
      <c r="C423" s="16">
        <f>IF($B423="",0,LEN($B423))</f>
        <v/>
      </c>
      <c r="D423" s="16">
        <f>IF($B423="","",LEFT($B423,cbb_ikincilUzunluk))</f>
        <v/>
      </c>
      <c r="E423" s="16">
        <f>"A"</f>
        <v/>
      </c>
      <c r="F423" s="16">
        <f>IF($B423="","",IF(COUNTIF(tblAnahtarA[Norm],$B423)&gt;1,"EVET","HAYIR"))</f>
        <v/>
      </c>
      <c r="G423" s="16">
        <f>IF($A423="","",ROW()-ROW($A$5))</f>
        <v/>
      </c>
      <c r="I423" s="7">
        <f>IF(VERI_B!A423="","",VERI_B!A423)</f>
        <v/>
      </c>
      <c r="J423" s="16">
        <f>UPPER(TRIM(SUBSTITUTE($I423," ","")))</f>
        <v/>
      </c>
      <c r="K423" s="16">
        <f>IF($J423="",0,LEN($J423))</f>
        <v/>
      </c>
      <c r="L423" s="16">
        <f>IF($J423="","",LEFT($J423,cbb_ikincilUzunluk))</f>
        <v/>
      </c>
      <c r="M423" s="16">
        <f>"B"</f>
        <v/>
      </c>
      <c r="N423" s="16">
        <f>IF($J423="","",IF(COUNTIF(tblAnahtarB[NormB],$J423)&gt;1,"EVET","HAYIR"))</f>
        <v/>
      </c>
      <c r="O423" s="16">
        <f>IF($I423="","",ROW()-ROW($I$5))</f>
        <v/>
      </c>
    </row>
    <row r="424">
      <c r="A424" s="7">
        <f>IF(VERI_A!A424="","",VERI_A!A424)</f>
        <v/>
      </c>
      <c r="B424" s="16">
        <f>UPPER(TRIM(SUBSTITUTE($A424," ","")))</f>
        <v/>
      </c>
      <c r="C424" s="16">
        <f>IF($B424="",0,LEN($B424))</f>
        <v/>
      </c>
      <c r="D424" s="16">
        <f>IF($B424="","",LEFT($B424,cbb_ikincilUzunluk))</f>
        <v/>
      </c>
      <c r="E424" s="16">
        <f>"A"</f>
        <v/>
      </c>
      <c r="F424" s="16">
        <f>IF($B424="","",IF(COUNTIF(tblAnahtarA[Norm],$B424)&gt;1,"EVET","HAYIR"))</f>
        <v/>
      </c>
      <c r="G424" s="16">
        <f>IF($A424="","",ROW()-ROW($A$5))</f>
        <v/>
      </c>
      <c r="I424" s="7">
        <f>IF(VERI_B!A424="","",VERI_B!A424)</f>
        <v/>
      </c>
      <c r="J424" s="16">
        <f>UPPER(TRIM(SUBSTITUTE($I424," ","")))</f>
        <v/>
      </c>
      <c r="K424" s="16">
        <f>IF($J424="",0,LEN($J424))</f>
        <v/>
      </c>
      <c r="L424" s="16">
        <f>IF($J424="","",LEFT($J424,cbb_ikincilUzunluk))</f>
        <v/>
      </c>
      <c r="M424" s="16">
        <f>"B"</f>
        <v/>
      </c>
      <c r="N424" s="16">
        <f>IF($J424="","",IF(COUNTIF(tblAnahtarB[NormB],$J424)&gt;1,"EVET","HAYIR"))</f>
        <v/>
      </c>
      <c r="O424" s="16">
        <f>IF($I424="","",ROW()-ROW($I$5))</f>
        <v/>
      </c>
    </row>
    <row r="425">
      <c r="A425" s="7">
        <f>IF(VERI_A!A425="","",VERI_A!A425)</f>
        <v/>
      </c>
      <c r="B425" s="16">
        <f>UPPER(TRIM(SUBSTITUTE($A425," ","")))</f>
        <v/>
      </c>
      <c r="C425" s="16">
        <f>IF($B425="",0,LEN($B425))</f>
        <v/>
      </c>
      <c r="D425" s="16">
        <f>IF($B425="","",LEFT($B425,cbb_ikincilUzunluk))</f>
        <v/>
      </c>
      <c r="E425" s="16">
        <f>"A"</f>
        <v/>
      </c>
      <c r="F425" s="16">
        <f>IF($B425="","",IF(COUNTIF(tblAnahtarA[Norm],$B425)&gt;1,"EVET","HAYIR"))</f>
        <v/>
      </c>
      <c r="G425" s="16">
        <f>IF($A425="","",ROW()-ROW($A$5))</f>
        <v/>
      </c>
      <c r="I425" s="7">
        <f>IF(VERI_B!A425="","",VERI_B!A425)</f>
        <v/>
      </c>
      <c r="J425" s="16">
        <f>UPPER(TRIM(SUBSTITUTE($I425," ","")))</f>
        <v/>
      </c>
      <c r="K425" s="16">
        <f>IF($J425="",0,LEN($J425))</f>
        <v/>
      </c>
      <c r="L425" s="16">
        <f>IF($J425="","",LEFT($J425,cbb_ikincilUzunluk))</f>
        <v/>
      </c>
      <c r="M425" s="16">
        <f>"B"</f>
        <v/>
      </c>
      <c r="N425" s="16">
        <f>IF($J425="","",IF(COUNTIF(tblAnahtarB[NormB],$J425)&gt;1,"EVET","HAYIR"))</f>
        <v/>
      </c>
      <c r="O425" s="16">
        <f>IF($I425="","",ROW()-ROW($I$5))</f>
        <v/>
      </c>
    </row>
    <row r="426">
      <c r="A426" s="7">
        <f>IF(VERI_A!A426="","",VERI_A!A426)</f>
        <v/>
      </c>
      <c r="B426" s="16">
        <f>UPPER(TRIM(SUBSTITUTE($A426," ","")))</f>
        <v/>
      </c>
      <c r="C426" s="16">
        <f>IF($B426="",0,LEN($B426))</f>
        <v/>
      </c>
      <c r="D426" s="16">
        <f>IF($B426="","",LEFT($B426,cbb_ikincilUzunluk))</f>
        <v/>
      </c>
      <c r="E426" s="16">
        <f>"A"</f>
        <v/>
      </c>
      <c r="F426" s="16">
        <f>IF($B426="","",IF(COUNTIF(tblAnahtarA[Norm],$B426)&gt;1,"EVET","HAYIR"))</f>
        <v/>
      </c>
      <c r="G426" s="16">
        <f>IF($A426="","",ROW()-ROW($A$5))</f>
        <v/>
      </c>
      <c r="I426" s="7">
        <f>IF(VERI_B!A426="","",VERI_B!A426)</f>
        <v/>
      </c>
      <c r="J426" s="16">
        <f>UPPER(TRIM(SUBSTITUTE($I426," ","")))</f>
        <v/>
      </c>
      <c r="K426" s="16">
        <f>IF($J426="",0,LEN($J426))</f>
        <v/>
      </c>
      <c r="L426" s="16">
        <f>IF($J426="","",LEFT($J426,cbb_ikincilUzunluk))</f>
        <v/>
      </c>
      <c r="M426" s="16">
        <f>"B"</f>
        <v/>
      </c>
      <c r="N426" s="16">
        <f>IF($J426="","",IF(COUNTIF(tblAnahtarB[NormB],$J426)&gt;1,"EVET","HAYIR"))</f>
        <v/>
      </c>
      <c r="O426" s="16">
        <f>IF($I426="","",ROW()-ROW($I$5))</f>
        <v/>
      </c>
    </row>
    <row r="427">
      <c r="A427" s="7">
        <f>IF(VERI_A!A427="","",VERI_A!A427)</f>
        <v/>
      </c>
      <c r="B427" s="16">
        <f>UPPER(TRIM(SUBSTITUTE($A427," ","")))</f>
        <v/>
      </c>
      <c r="C427" s="16">
        <f>IF($B427="",0,LEN($B427))</f>
        <v/>
      </c>
      <c r="D427" s="16">
        <f>IF($B427="","",LEFT($B427,cbb_ikincilUzunluk))</f>
        <v/>
      </c>
      <c r="E427" s="16">
        <f>"A"</f>
        <v/>
      </c>
      <c r="F427" s="16">
        <f>IF($B427="","",IF(COUNTIF(tblAnahtarA[Norm],$B427)&gt;1,"EVET","HAYIR"))</f>
        <v/>
      </c>
      <c r="G427" s="16">
        <f>IF($A427="","",ROW()-ROW($A$5))</f>
        <v/>
      </c>
      <c r="I427" s="7">
        <f>IF(VERI_B!A427="","",VERI_B!A427)</f>
        <v/>
      </c>
      <c r="J427" s="16">
        <f>UPPER(TRIM(SUBSTITUTE($I427," ","")))</f>
        <v/>
      </c>
      <c r="K427" s="16">
        <f>IF($J427="",0,LEN($J427))</f>
        <v/>
      </c>
      <c r="L427" s="16">
        <f>IF($J427="","",LEFT($J427,cbb_ikincilUzunluk))</f>
        <v/>
      </c>
      <c r="M427" s="16">
        <f>"B"</f>
        <v/>
      </c>
      <c r="N427" s="16">
        <f>IF($J427="","",IF(COUNTIF(tblAnahtarB[NormB],$J427)&gt;1,"EVET","HAYIR"))</f>
        <v/>
      </c>
      <c r="O427" s="16">
        <f>IF($I427="","",ROW()-ROW($I$5))</f>
        <v/>
      </c>
    </row>
    <row r="428">
      <c r="A428" s="7">
        <f>IF(VERI_A!A428="","",VERI_A!A428)</f>
        <v/>
      </c>
      <c r="B428" s="16">
        <f>UPPER(TRIM(SUBSTITUTE($A428," ","")))</f>
        <v/>
      </c>
      <c r="C428" s="16">
        <f>IF($B428="",0,LEN($B428))</f>
        <v/>
      </c>
      <c r="D428" s="16">
        <f>IF($B428="","",LEFT($B428,cbb_ikincilUzunluk))</f>
        <v/>
      </c>
      <c r="E428" s="16">
        <f>"A"</f>
        <v/>
      </c>
      <c r="F428" s="16">
        <f>IF($B428="","",IF(COUNTIF(tblAnahtarA[Norm],$B428)&gt;1,"EVET","HAYIR"))</f>
        <v/>
      </c>
      <c r="G428" s="16">
        <f>IF($A428="","",ROW()-ROW($A$5))</f>
        <v/>
      </c>
      <c r="I428" s="7">
        <f>IF(VERI_B!A428="","",VERI_B!A428)</f>
        <v/>
      </c>
      <c r="J428" s="16">
        <f>UPPER(TRIM(SUBSTITUTE($I428," ","")))</f>
        <v/>
      </c>
      <c r="K428" s="16">
        <f>IF($J428="",0,LEN($J428))</f>
        <v/>
      </c>
      <c r="L428" s="16">
        <f>IF($J428="","",LEFT($J428,cbb_ikincilUzunluk))</f>
        <v/>
      </c>
      <c r="M428" s="16">
        <f>"B"</f>
        <v/>
      </c>
      <c r="N428" s="16">
        <f>IF($J428="","",IF(COUNTIF(tblAnahtarB[NormB],$J428)&gt;1,"EVET","HAYIR"))</f>
        <v/>
      </c>
      <c r="O428" s="16">
        <f>IF($I428="","",ROW()-ROW($I$5))</f>
        <v/>
      </c>
    </row>
    <row r="429">
      <c r="A429" s="7">
        <f>IF(VERI_A!A429="","",VERI_A!A429)</f>
        <v/>
      </c>
      <c r="B429" s="16">
        <f>UPPER(TRIM(SUBSTITUTE($A429," ","")))</f>
        <v/>
      </c>
      <c r="C429" s="16">
        <f>IF($B429="",0,LEN($B429))</f>
        <v/>
      </c>
      <c r="D429" s="16">
        <f>IF($B429="","",LEFT($B429,cbb_ikincilUzunluk))</f>
        <v/>
      </c>
      <c r="E429" s="16">
        <f>"A"</f>
        <v/>
      </c>
      <c r="F429" s="16">
        <f>IF($B429="","",IF(COUNTIF(tblAnahtarA[Norm],$B429)&gt;1,"EVET","HAYIR"))</f>
        <v/>
      </c>
      <c r="G429" s="16">
        <f>IF($A429="","",ROW()-ROW($A$5))</f>
        <v/>
      </c>
      <c r="I429" s="7">
        <f>IF(VERI_B!A429="","",VERI_B!A429)</f>
        <v/>
      </c>
      <c r="J429" s="16">
        <f>UPPER(TRIM(SUBSTITUTE($I429," ","")))</f>
        <v/>
      </c>
      <c r="K429" s="16">
        <f>IF($J429="",0,LEN($J429))</f>
        <v/>
      </c>
      <c r="L429" s="16">
        <f>IF($J429="","",LEFT($J429,cbb_ikincilUzunluk))</f>
        <v/>
      </c>
      <c r="M429" s="16">
        <f>"B"</f>
        <v/>
      </c>
      <c r="N429" s="16">
        <f>IF($J429="","",IF(COUNTIF(tblAnahtarB[NormB],$J429)&gt;1,"EVET","HAYIR"))</f>
        <v/>
      </c>
      <c r="O429" s="16">
        <f>IF($I429="","",ROW()-ROW($I$5))</f>
        <v/>
      </c>
    </row>
    <row r="430">
      <c r="A430" s="7">
        <f>IF(VERI_A!A430="","",VERI_A!A430)</f>
        <v/>
      </c>
      <c r="B430" s="16">
        <f>UPPER(TRIM(SUBSTITUTE($A430," ","")))</f>
        <v/>
      </c>
      <c r="C430" s="16">
        <f>IF($B430="",0,LEN($B430))</f>
        <v/>
      </c>
      <c r="D430" s="16">
        <f>IF($B430="","",LEFT($B430,cbb_ikincilUzunluk))</f>
        <v/>
      </c>
      <c r="E430" s="16">
        <f>"A"</f>
        <v/>
      </c>
      <c r="F430" s="16">
        <f>IF($B430="","",IF(COUNTIF(tblAnahtarA[Norm],$B430)&gt;1,"EVET","HAYIR"))</f>
        <v/>
      </c>
      <c r="G430" s="16">
        <f>IF($A430="","",ROW()-ROW($A$5))</f>
        <v/>
      </c>
      <c r="I430" s="7">
        <f>IF(VERI_B!A430="","",VERI_B!A430)</f>
        <v/>
      </c>
      <c r="J430" s="16">
        <f>UPPER(TRIM(SUBSTITUTE($I430," ","")))</f>
        <v/>
      </c>
      <c r="K430" s="16">
        <f>IF($J430="",0,LEN($J430))</f>
        <v/>
      </c>
      <c r="L430" s="16">
        <f>IF($J430="","",LEFT($J430,cbb_ikincilUzunluk))</f>
        <v/>
      </c>
      <c r="M430" s="16">
        <f>"B"</f>
        <v/>
      </c>
      <c r="N430" s="16">
        <f>IF($J430="","",IF(COUNTIF(tblAnahtarB[NormB],$J430)&gt;1,"EVET","HAYIR"))</f>
        <v/>
      </c>
      <c r="O430" s="16">
        <f>IF($I430="","",ROW()-ROW($I$5))</f>
        <v/>
      </c>
    </row>
    <row r="431">
      <c r="A431" s="7">
        <f>IF(VERI_A!A431="","",VERI_A!A431)</f>
        <v/>
      </c>
      <c r="B431" s="16">
        <f>UPPER(TRIM(SUBSTITUTE($A431," ","")))</f>
        <v/>
      </c>
      <c r="C431" s="16">
        <f>IF($B431="",0,LEN($B431))</f>
        <v/>
      </c>
      <c r="D431" s="16">
        <f>IF($B431="","",LEFT($B431,cbb_ikincilUzunluk))</f>
        <v/>
      </c>
      <c r="E431" s="16">
        <f>"A"</f>
        <v/>
      </c>
      <c r="F431" s="16">
        <f>IF($B431="","",IF(COUNTIF(tblAnahtarA[Norm],$B431)&gt;1,"EVET","HAYIR"))</f>
        <v/>
      </c>
      <c r="G431" s="16">
        <f>IF($A431="","",ROW()-ROW($A$5))</f>
        <v/>
      </c>
      <c r="I431" s="7">
        <f>IF(VERI_B!A431="","",VERI_B!A431)</f>
        <v/>
      </c>
      <c r="J431" s="16">
        <f>UPPER(TRIM(SUBSTITUTE($I431," ","")))</f>
        <v/>
      </c>
      <c r="K431" s="16">
        <f>IF($J431="",0,LEN($J431))</f>
        <v/>
      </c>
      <c r="L431" s="16">
        <f>IF($J431="","",LEFT($J431,cbb_ikincilUzunluk))</f>
        <v/>
      </c>
      <c r="M431" s="16">
        <f>"B"</f>
        <v/>
      </c>
      <c r="N431" s="16">
        <f>IF($J431="","",IF(COUNTIF(tblAnahtarB[NormB],$J431)&gt;1,"EVET","HAYIR"))</f>
        <v/>
      </c>
      <c r="O431" s="16">
        <f>IF($I431="","",ROW()-ROW($I$5))</f>
        <v/>
      </c>
    </row>
    <row r="432">
      <c r="A432" s="7">
        <f>IF(VERI_A!A432="","",VERI_A!A432)</f>
        <v/>
      </c>
      <c r="B432" s="16">
        <f>UPPER(TRIM(SUBSTITUTE($A432," ","")))</f>
        <v/>
      </c>
      <c r="C432" s="16">
        <f>IF($B432="",0,LEN($B432))</f>
        <v/>
      </c>
      <c r="D432" s="16">
        <f>IF($B432="","",LEFT($B432,cbb_ikincilUzunluk))</f>
        <v/>
      </c>
      <c r="E432" s="16">
        <f>"A"</f>
        <v/>
      </c>
      <c r="F432" s="16">
        <f>IF($B432="","",IF(COUNTIF(tblAnahtarA[Norm],$B432)&gt;1,"EVET","HAYIR"))</f>
        <v/>
      </c>
      <c r="G432" s="16">
        <f>IF($A432="","",ROW()-ROW($A$5))</f>
        <v/>
      </c>
      <c r="I432" s="7">
        <f>IF(VERI_B!A432="","",VERI_B!A432)</f>
        <v/>
      </c>
      <c r="J432" s="16">
        <f>UPPER(TRIM(SUBSTITUTE($I432," ","")))</f>
        <v/>
      </c>
      <c r="K432" s="16">
        <f>IF($J432="",0,LEN($J432))</f>
        <v/>
      </c>
      <c r="L432" s="16">
        <f>IF($J432="","",LEFT($J432,cbb_ikincilUzunluk))</f>
        <v/>
      </c>
      <c r="M432" s="16">
        <f>"B"</f>
        <v/>
      </c>
      <c r="N432" s="16">
        <f>IF($J432="","",IF(COUNTIF(tblAnahtarB[NormB],$J432)&gt;1,"EVET","HAYIR"))</f>
        <v/>
      </c>
      <c r="O432" s="16">
        <f>IF($I432="","",ROW()-ROW($I$5))</f>
        <v/>
      </c>
    </row>
    <row r="433">
      <c r="A433" s="7">
        <f>IF(VERI_A!A433="","",VERI_A!A433)</f>
        <v/>
      </c>
      <c r="B433" s="16">
        <f>UPPER(TRIM(SUBSTITUTE($A433," ","")))</f>
        <v/>
      </c>
      <c r="C433" s="16">
        <f>IF($B433="",0,LEN($B433))</f>
        <v/>
      </c>
      <c r="D433" s="16">
        <f>IF($B433="","",LEFT($B433,cbb_ikincilUzunluk))</f>
        <v/>
      </c>
      <c r="E433" s="16">
        <f>"A"</f>
        <v/>
      </c>
      <c r="F433" s="16">
        <f>IF($B433="","",IF(COUNTIF(tblAnahtarA[Norm],$B433)&gt;1,"EVET","HAYIR"))</f>
        <v/>
      </c>
      <c r="G433" s="16">
        <f>IF($A433="","",ROW()-ROW($A$5))</f>
        <v/>
      </c>
      <c r="I433" s="7">
        <f>IF(VERI_B!A433="","",VERI_B!A433)</f>
        <v/>
      </c>
      <c r="J433" s="16">
        <f>UPPER(TRIM(SUBSTITUTE($I433," ","")))</f>
        <v/>
      </c>
      <c r="K433" s="16">
        <f>IF($J433="",0,LEN($J433))</f>
        <v/>
      </c>
      <c r="L433" s="16">
        <f>IF($J433="","",LEFT($J433,cbb_ikincilUzunluk))</f>
        <v/>
      </c>
      <c r="M433" s="16">
        <f>"B"</f>
        <v/>
      </c>
      <c r="N433" s="16">
        <f>IF($J433="","",IF(COUNTIF(tblAnahtarB[NormB],$J433)&gt;1,"EVET","HAYIR"))</f>
        <v/>
      </c>
      <c r="O433" s="16">
        <f>IF($I433="","",ROW()-ROW($I$5))</f>
        <v/>
      </c>
    </row>
    <row r="434">
      <c r="A434" s="7">
        <f>IF(VERI_A!A434="","",VERI_A!A434)</f>
        <v/>
      </c>
      <c r="B434" s="16">
        <f>UPPER(TRIM(SUBSTITUTE($A434," ","")))</f>
        <v/>
      </c>
      <c r="C434" s="16">
        <f>IF($B434="",0,LEN($B434))</f>
        <v/>
      </c>
      <c r="D434" s="16">
        <f>IF($B434="","",LEFT($B434,cbb_ikincilUzunluk))</f>
        <v/>
      </c>
      <c r="E434" s="16">
        <f>"A"</f>
        <v/>
      </c>
      <c r="F434" s="16">
        <f>IF($B434="","",IF(COUNTIF(tblAnahtarA[Norm],$B434)&gt;1,"EVET","HAYIR"))</f>
        <v/>
      </c>
      <c r="G434" s="16">
        <f>IF($A434="","",ROW()-ROW($A$5))</f>
        <v/>
      </c>
      <c r="I434" s="7">
        <f>IF(VERI_B!A434="","",VERI_B!A434)</f>
        <v/>
      </c>
      <c r="J434" s="16">
        <f>UPPER(TRIM(SUBSTITUTE($I434," ","")))</f>
        <v/>
      </c>
      <c r="K434" s="16">
        <f>IF($J434="",0,LEN($J434))</f>
        <v/>
      </c>
      <c r="L434" s="16">
        <f>IF($J434="","",LEFT($J434,cbb_ikincilUzunluk))</f>
        <v/>
      </c>
      <c r="M434" s="16">
        <f>"B"</f>
        <v/>
      </c>
      <c r="N434" s="16">
        <f>IF($J434="","",IF(COUNTIF(tblAnahtarB[NormB],$J434)&gt;1,"EVET","HAYIR"))</f>
        <v/>
      </c>
      <c r="O434" s="16">
        <f>IF($I434="","",ROW()-ROW($I$5))</f>
        <v/>
      </c>
    </row>
    <row r="435">
      <c r="A435" s="7">
        <f>IF(VERI_A!A435="","",VERI_A!A435)</f>
        <v/>
      </c>
      <c r="B435" s="16">
        <f>UPPER(TRIM(SUBSTITUTE($A435," ","")))</f>
        <v/>
      </c>
      <c r="C435" s="16">
        <f>IF($B435="",0,LEN($B435))</f>
        <v/>
      </c>
      <c r="D435" s="16">
        <f>IF($B435="","",LEFT($B435,cbb_ikincilUzunluk))</f>
        <v/>
      </c>
      <c r="E435" s="16">
        <f>"A"</f>
        <v/>
      </c>
      <c r="F435" s="16">
        <f>IF($B435="","",IF(COUNTIF(tblAnahtarA[Norm],$B435)&gt;1,"EVET","HAYIR"))</f>
        <v/>
      </c>
      <c r="G435" s="16">
        <f>IF($A435="","",ROW()-ROW($A$5))</f>
        <v/>
      </c>
      <c r="I435" s="7">
        <f>IF(VERI_B!A435="","",VERI_B!A435)</f>
        <v/>
      </c>
      <c r="J435" s="16">
        <f>UPPER(TRIM(SUBSTITUTE($I435," ","")))</f>
        <v/>
      </c>
      <c r="K435" s="16">
        <f>IF($J435="",0,LEN($J435))</f>
        <v/>
      </c>
      <c r="L435" s="16">
        <f>IF($J435="","",LEFT($J435,cbb_ikincilUzunluk))</f>
        <v/>
      </c>
      <c r="M435" s="16">
        <f>"B"</f>
        <v/>
      </c>
      <c r="N435" s="16">
        <f>IF($J435="","",IF(COUNTIF(tblAnahtarB[NormB],$J435)&gt;1,"EVET","HAYIR"))</f>
        <v/>
      </c>
      <c r="O435" s="16">
        <f>IF($I435="","",ROW()-ROW($I$5))</f>
        <v/>
      </c>
    </row>
    <row r="436">
      <c r="A436" s="7">
        <f>IF(VERI_A!A436="","",VERI_A!A436)</f>
        <v/>
      </c>
      <c r="B436" s="16">
        <f>UPPER(TRIM(SUBSTITUTE($A436," ","")))</f>
        <v/>
      </c>
      <c r="C436" s="16">
        <f>IF($B436="",0,LEN($B436))</f>
        <v/>
      </c>
      <c r="D436" s="16">
        <f>IF($B436="","",LEFT($B436,cbb_ikincilUzunluk))</f>
        <v/>
      </c>
      <c r="E436" s="16">
        <f>"A"</f>
        <v/>
      </c>
      <c r="F436" s="16">
        <f>IF($B436="","",IF(COUNTIF(tblAnahtarA[Norm],$B436)&gt;1,"EVET","HAYIR"))</f>
        <v/>
      </c>
      <c r="G436" s="16">
        <f>IF($A436="","",ROW()-ROW($A$5))</f>
        <v/>
      </c>
      <c r="I436" s="7">
        <f>IF(VERI_B!A436="","",VERI_B!A436)</f>
        <v/>
      </c>
      <c r="J436" s="16">
        <f>UPPER(TRIM(SUBSTITUTE($I436," ","")))</f>
        <v/>
      </c>
      <c r="K436" s="16">
        <f>IF($J436="",0,LEN($J436))</f>
        <v/>
      </c>
      <c r="L436" s="16">
        <f>IF($J436="","",LEFT($J436,cbb_ikincilUzunluk))</f>
        <v/>
      </c>
      <c r="M436" s="16">
        <f>"B"</f>
        <v/>
      </c>
      <c r="N436" s="16">
        <f>IF($J436="","",IF(COUNTIF(tblAnahtarB[NormB],$J436)&gt;1,"EVET","HAYIR"))</f>
        <v/>
      </c>
      <c r="O436" s="16">
        <f>IF($I436="","",ROW()-ROW($I$5))</f>
        <v/>
      </c>
    </row>
    <row r="437">
      <c r="A437" s="7">
        <f>IF(VERI_A!A437="","",VERI_A!A437)</f>
        <v/>
      </c>
      <c r="B437" s="16">
        <f>UPPER(TRIM(SUBSTITUTE($A437," ","")))</f>
        <v/>
      </c>
      <c r="C437" s="16">
        <f>IF($B437="",0,LEN($B437))</f>
        <v/>
      </c>
      <c r="D437" s="16">
        <f>IF($B437="","",LEFT($B437,cbb_ikincilUzunluk))</f>
        <v/>
      </c>
      <c r="E437" s="16">
        <f>"A"</f>
        <v/>
      </c>
      <c r="F437" s="16">
        <f>IF($B437="","",IF(COUNTIF(tblAnahtarA[Norm],$B437)&gt;1,"EVET","HAYIR"))</f>
        <v/>
      </c>
      <c r="G437" s="16">
        <f>IF($A437="","",ROW()-ROW($A$5))</f>
        <v/>
      </c>
      <c r="I437" s="7">
        <f>IF(VERI_B!A437="","",VERI_B!A437)</f>
        <v/>
      </c>
      <c r="J437" s="16">
        <f>UPPER(TRIM(SUBSTITUTE($I437," ","")))</f>
        <v/>
      </c>
      <c r="K437" s="16">
        <f>IF($J437="",0,LEN($J437))</f>
        <v/>
      </c>
      <c r="L437" s="16">
        <f>IF($J437="","",LEFT($J437,cbb_ikincilUzunluk))</f>
        <v/>
      </c>
      <c r="M437" s="16">
        <f>"B"</f>
        <v/>
      </c>
      <c r="N437" s="16">
        <f>IF($J437="","",IF(COUNTIF(tblAnahtarB[NormB],$J437)&gt;1,"EVET","HAYIR"))</f>
        <v/>
      </c>
      <c r="O437" s="16">
        <f>IF($I437="","",ROW()-ROW($I$5))</f>
        <v/>
      </c>
    </row>
    <row r="438">
      <c r="A438" s="7">
        <f>IF(VERI_A!A438="","",VERI_A!A438)</f>
        <v/>
      </c>
      <c r="B438" s="16">
        <f>UPPER(TRIM(SUBSTITUTE($A438," ","")))</f>
        <v/>
      </c>
      <c r="C438" s="16">
        <f>IF($B438="",0,LEN($B438))</f>
        <v/>
      </c>
      <c r="D438" s="16">
        <f>IF($B438="","",LEFT($B438,cbb_ikincilUzunluk))</f>
        <v/>
      </c>
      <c r="E438" s="16">
        <f>"A"</f>
        <v/>
      </c>
      <c r="F438" s="16">
        <f>IF($B438="","",IF(COUNTIF(tblAnahtarA[Norm],$B438)&gt;1,"EVET","HAYIR"))</f>
        <v/>
      </c>
      <c r="G438" s="16">
        <f>IF($A438="","",ROW()-ROW($A$5))</f>
        <v/>
      </c>
      <c r="I438" s="7">
        <f>IF(VERI_B!A438="","",VERI_B!A438)</f>
        <v/>
      </c>
      <c r="J438" s="16">
        <f>UPPER(TRIM(SUBSTITUTE($I438," ","")))</f>
        <v/>
      </c>
      <c r="K438" s="16">
        <f>IF($J438="",0,LEN($J438))</f>
        <v/>
      </c>
      <c r="L438" s="16">
        <f>IF($J438="","",LEFT($J438,cbb_ikincilUzunluk))</f>
        <v/>
      </c>
      <c r="M438" s="16">
        <f>"B"</f>
        <v/>
      </c>
      <c r="N438" s="16">
        <f>IF($J438="","",IF(COUNTIF(tblAnahtarB[NormB],$J438)&gt;1,"EVET","HAYIR"))</f>
        <v/>
      </c>
      <c r="O438" s="16">
        <f>IF($I438="","",ROW()-ROW($I$5))</f>
        <v/>
      </c>
    </row>
    <row r="439">
      <c r="A439" s="7">
        <f>IF(VERI_A!A439="","",VERI_A!A439)</f>
        <v/>
      </c>
      <c r="B439" s="16">
        <f>UPPER(TRIM(SUBSTITUTE($A439," ","")))</f>
        <v/>
      </c>
      <c r="C439" s="16">
        <f>IF($B439="",0,LEN($B439))</f>
        <v/>
      </c>
      <c r="D439" s="16">
        <f>IF($B439="","",LEFT($B439,cbb_ikincilUzunluk))</f>
        <v/>
      </c>
      <c r="E439" s="16">
        <f>"A"</f>
        <v/>
      </c>
      <c r="F439" s="16">
        <f>IF($B439="","",IF(COUNTIF(tblAnahtarA[Norm],$B439)&gt;1,"EVET","HAYIR"))</f>
        <v/>
      </c>
      <c r="G439" s="16">
        <f>IF($A439="","",ROW()-ROW($A$5))</f>
        <v/>
      </c>
      <c r="I439" s="7">
        <f>IF(VERI_B!A439="","",VERI_B!A439)</f>
        <v/>
      </c>
      <c r="J439" s="16">
        <f>UPPER(TRIM(SUBSTITUTE($I439," ","")))</f>
        <v/>
      </c>
      <c r="K439" s="16">
        <f>IF($J439="",0,LEN($J439))</f>
        <v/>
      </c>
      <c r="L439" s="16">
        <f>IF($J439="","",LEFT($J439,cbb_ikincilUzunluk))</f>
        <v/>
      </c>
      <c r="M439" s="16">
        <f>"B"</f>
        <v/>
      </c>
      <c r="N439" s="16">
        <f>IF($J439="","",IF(COUNTIF(tblAnahtarB[NormB],$J439)&gt;1,"EVET","HAYIR"))</f>
        <v/>
      </c>
      <c r="O439" s="16">
        <f>IF($I439="","",ROW()-ROW($I$5))</f>
        <v/>
      </c>
    </row>
    <row r="440">
      <c r="A440" s="7">
        <f>IF(VERI_A!A440="","",VERI_A!A440)</f>
        <v/>
      </c>
      <c r="B440" s="16">
        <f>UPPER(TRIM(SUBSTITUTE($A440," ","")))</f>
        <v/>
      </c>
      <c r="C440" s="16">
        <f>IF($B440="",0,LEN($B440))</f>
        <v/>
      </c>
      <c r="D440" s="16">
        <f>IF($B440="","",LEFT($B440,cbb_ikincilUzunluk))</f>
        <v/>
      </c>
      <c r="E440" s="16">
        <f>"A"</f>
        <v/>
      </c>
      <c r="F440" s="16">
        <f>IF($B440="","",IF(COUNTIF(tblAnahtarA[Norm],$B440)&gt;1,"EVET","HAYIR"))</f>
        <v/>
      </c>
      <c r="G440" s="16">
        <f>IF($A440="","",ROW()-ROW($A$5))</f>
        <v/>
      </c>
      <c r="I440" s="7">
        <f>IF(VERI_B!A440="","",VERI_B!A440)</f>
        <v/>
      </c>
      <c r="J440" s="16">
        <f>UPPER(TRIM(SUBSTITUTE($I440," ","")))</f>
        <v/>
      </c>
      <c r="K440" s="16">
        <f>IF($J440="",0,LEN($J440))</f>
        <v/>
      </c>
      <c r="L440" s="16">
        <f>IF($J440="","",LEFT($J440,cbb_ikincilUzunluk))</f>
        <v/>
      </c>
      <c r="M440" s="16">
        <f>"B"</f>
        <v/>
      </c>
      <c r="N440" s="16">
        <f>IF($J440="","",IF(COUNTIF(tblAnahtarB[NormB],$J440)&gt;1,"EVET","HAYIR"))</f>
        <v/>
      </c>
      <c r="O440" s="16">
        <f>IF($I440="","",ROW()-ROW($I$5))</f>
        <v/>
      </c>
    </row>
    <row r="441">
      <c r="A441" s="7">
        <f>IF(VERI_A!A441="","",VERI_A!A441)</f>
        <v/>
      </c>
      <c r="B441" s="16">
        <f>UPPER(TRIM(SUBSTITUTE($A441," ","")))</f>
        <v/>
      </c>
      <c r="C441" s="16">
        <f>IF($B441="",0,LEN($B441))</f>
        <v/>
      </c>
      <c r="D441" s="16">
        <f>IF($B441="","",LEFT($B441,cbb_ikincilUzunluk))</f>
        <v/>
      </c>
      <c r="E441" s="16">
        <f>"A"</f>
        <v/>
      </c>
      <c r="F441" s="16">
        <f>IF($B441="","",IF(COUNTIF(tblAnahtarA[Norm],$B441)&gt;1,"EVET","HAYIR"))</f>
        <v/>
      </c>
      <c r="G441" s="16">
        <f>IF($A441="","",ROW()-ROW($A$5))</f>
        <v/>
      </c>
      <c r="I441" s="7">
        <f>IF(VERI_B!A441="","",VERI_B!A441)</f>
        <v/>
      </c>
      <c r="J441" s="16">
        <f>UPPER(TRIM(SUBSTITUTE($I441," ","")))</f>
        <v/>
      </c>
      <c r="K441" s="16">
        <f>IF($J441="",0,LEN($J441))</f>
        <v/>
      </c>
      <c r="L441" s="16">
        <f>IF($J441="","",LEFT($J441,cbb_ikincilUzunluk))</f>
        <v/>
      </c>
      <c r="M441" s="16">
        <f>"B"</f>
        <v/>
      </c>
      <c r="N441" s="16">
        <f>IF($J441="","",IF(COUNTIF(tblAnahtarB[NormB],$J441)&gt;1,"EVET","HAYIR"))</f>
        <v/>
      </c>
      <c r="O441" s="16">
        <f>IF($I441="","",ROW()-ROW($I$5))</f>
        <v/>
      </c>
    </row>
    <row r="442">
      <c r="A442" s="7">
        <f>IF(VERI_A!A442="","",VERI_A!A442)</f>
        <v/>
      </c>
      <c r="B442" s="16">
        <f>UPPER(TRIM(SUBSTITUTE($A442," ","")))</f>
        <v/>
      </c>
      <c r="C442" s="16">
        <f>IF($B442="",0,LEN($B442))</f>
        <v/>
      </c>
      <c r="D442" s="16">
        <f>IF($B442="","",LEFT($B442,cbb_ikincilUzunluk))</f>
        <v/>
      </c>
      <c r="E442" s="16">
        <f>"A"</f>
        <v/>
      </c>
      <c r="F442" s="16">
        <f>IF($B442="","",IF(COUNTIF(tblAnahtarA[Norm],$B442)&gt;1,"EVET","HAYIR"))</f>
        <v/>
      </c>
      <c r="G442" s="16">
        <f>IF($A442="","",ROW()-ROW($A$5))</f>
        <v/>
      </c>
      <c r="I442" s="7">
        <f>IF(VERI_B!A442="","",VERI_B!A442)</f>
        <v/>
      </c>
      <c r="J442" s="16">
        <f>UPPER(TRIM(SUBSTITUTE($I442," ","")))</f>
        <v/>
      </c>
      <c r="K442" s="16">
        <f>IF($J442="",0,LEN($J442))</f>
        <v/>
      </c>
      <c r="L442" s="16">
        <f>IF($J442="","",LEFT($J442,cbb_ikincilUzunluk))</f>
        <v/>
      </c>
      <c r="M442" s="16">
        <f>"B"</f>
        <v/>
      </c>
      <c r="N442" s="16">
        <f>IF($J442="","",IF(COUNTIF(tblAnahtarB[NormB],$J442)&gt;1,"EVET","HAYIR"))</f>
        <v/>
      </c>
      <c r="O442" s="16">
        <f>IF($I442="","",ROW()-ROW($I$5))</f>
        <v/>
      </c>
    </row>
    <row r="443">
      <c r="A443" s="7">
        <f>IF(VERI_A!A443="","",VERI_A!A443)</f>
        <v/>
      </c>
      <c r="B443" s="16">
        <f>UPPER(TRIM(SUBSTITUTE($A443," ","")))</f>
        <v/>
      </c>
      <c r="C443" s="16">
        <f>IF($B443="",0,LEN($B443))</f>
        <v/>
      </c>
      <c r="D443" s="16">
        <f>IF($B443="","",LEFT($B443,cbb_ikincilUzunluk))</f>
        <v/>
      </c>
      <c r="E443" s="16">
        <f>"A"</f>
        <v/>
      </c>
      <c r="F443" s="16">
        <f>IF($B443="","",IF(COUNTIF(tblAnahtarA[Norm],$B443)&gt;1,"EVET","HAYIR"))</f>
        <v/>
      </c>
      <c r="G443" s="16">
        <f>IF($A443="","",ROW()-ROW($A$5))</f>
        <v/>
      </c>
      <c r="I443" s="7">
        <f>IF(VERI_B!A443="","",VERI_B!A443)</f>
        <v/>
      </c>
      <c r="J443" s="16">
        <f>UPPER(TRIM(SUBSTITUTE($I443," ","")))</f>
        <v/>
      </c>
      <c r="K443" s="16">
        <f>IF($J443="",0,LEN($J443))</f>
        <v/>
      </c>
      <c r="L443" s="16">
        <f>IF($J443="","",LEFT($J443,cbb_ikincilUzunluk))</f>
        <v/>
      </c>
      <c r="M443" s="16">
        <f>"B"</f>
        <v/>
      </c>
      <c r="N443" s="16">
        <f>IF($J443="","",IF(COUNTIF(tblAnahtarB[NormB],$J443)&gt;1,"EVET","HAYIR"))</f>
        <v/>
      </c>
      <c r="O443" s="16">
        <f>IF($I443="","",ROW()-ROW($I$5))</f>
        <v/>
      </c>
    </row>
    <row r="444">
      <c r="A444" s="7">
        <f>IF(VERI_A!A444="","",VERI_A!A444)</f>
        <v/>
      </c>
      <c r="B444" s="16">
        <f>UPPER(TRIM(SUBSTITUTE($A444," ","")))</f>
        <v/>
      </c>
      <c r="C444" s="16">
        <f>IF($B444="",0,LEN($B444))</f>
        <v/>
      </c>
      <c r="D444" s="16">
        <f>IF($B444="","",LEFT($B444,cbb_ikincilUzunluk))</f>
        <v/>
      </c>
      <c r="E444" s="16">
        <f>"A"</f>
        <v/>
      </c>
      <c r="F444" s="16">
        <f>IF($B444="","",IF(COUNTIF(tblAnahtarA[Norm],$B444)&gt;1,"EVET","HAYIR"))</f>
        <v/>
      </c>
      <c r="G444" s="16">
        <f>IF($A444="","",ROW()-ROW($A$5))</f>
        <v/>
      </c>
      <c r="I444" s="7">
        <f>IF(VERI_B!A444="","",VERI_B!A444)</f>
        <v/>
      </c>
      <c r="J444" s="16">
        <f>UPPER(TRIM(SUBSTITUTE($I444," ","")))</f>
        <v/>
      </c>
      <c r="K444" s="16">
        <f>IF($J444="",0,LEN($J444))</f>
        <v/>
      </c>
      <c r="L444" s="16">
        <f>IF($J444="","",LEFT($J444,cbb_ikincilUzunluk))</f>
        <v/>
      </c>
      <c r="M444" s="16">
        <f>"B"</f>
        <v/>
      </c>
      <c r="N444" s="16">
        <f>IF($J444="","",IF(COUNTIF(tblAnahtarB[NormB],$J444)&gt;1,"EVET","HAYIR"))</f>
        <v/>
      </c>
      <c r="O444" s="16">
        <f>IF($I444="","",ROW()-ROW($I$5))</f>
        <v/>
      </c>
    </row>
    <row r="445">
      <c r="A445" s="7">
        <f>IF(VERI_A!A445="","",VERI_A!A445)</f>
        <v/>
      </c>
      <c r="B445" s="16">
        <f>UPPER(TRIM(SUBSTITUTE($A445," ","")))</f>
        <v/>
      </c>
      <c r="C445" s="16">
        <f>IF($B445="",0,LEN($B445))</f>
        <v/>
      </c>
      <c r="D445" s="16">
        <f>IF($B445="","",LEFT($B445,cbb_ikincilUzunluk))</f>
        <v/>
      </c>
      <c r="E445" s="16">
        <f>"A"</f>
        <v/>
      </c>
      <c r="F445" s="16">
        <f>IF($B445="","",IF(COUNTIF(tblAnahtarA[Norm],$B445)&gt;1,"EVET","HAYIR"))</f>
        <v/>
      </c>
      <c r="G445" s="16">
        <f>IF($A445="","",ROW()-ROW($A$5))</f>
        <v/>
      </c>
      <c r="I445" s="7">
        <f>IF(VERI_B!A445="","",VERI_B!A445)</f>
        <v/>
      </c>
      <c r="J445" s="16">
        <f>UPPER(TRIM(SUBSTITUTE($I445," ","")))</f>
        <v/>
      </c>
      <c r="K445" s="16">
        <f>IF($J445="",0,LEN($J445))</f>
        <v/>
      </c>
      <c r="L445" s="16">
        <f>IF($J445="","",LEFT($J445,cbb_ikincilUzunluk))</f>
        <v/>
      </c>
      <c r="M445" s="16">
        <f>"B"</f>
        <v/>
      </c>
      <c r="N445" s="16">
        <f>IF($J445="","",IF(COUNTIF(tblAnahtarB[NormB],$J445)&gt;1,"EVET","HAYIR"))</f>
        <v/>
      </c>
      <c r="O445" s="16">
        <f>IF($I445="","",ROW()-ROW($I$5))</f>
        <v/>
      </c>
    </row>
    <row r="446">
      <c r="A446" s="7">
        <f>IF(VERI_A!A446="","",VERI_A!A446)</f>
        <v/>
      </c>
      <c r="B446" s="16">
        <f>UPPER(TRIM(SUBSTITUTE($A446," ","")))</f>
        <v/>
      </c>
      <c r="C446" s="16">
        <f>IF($B446="",0,LEN($B446))</f>
        <v/>
      </c>
      <c r="D446" s="16">
        <f>IF($B446="","",LEFT($B446,cbb_ikincilUzunluk))</f>
        <v/>
      </c>
      <c r="E446" s="16">
        <f>"A"</f>
        <v/>
      </c>
      <c r="F446" s="16">
        <f>IF($B446="","",IF(COUNTIF(tblAnahtarA[Norm],$B446)&gt;1,"EVET","HAYIR"))</f>
        <v/>
      </c>
      <c r="G446" s="16">
        <f>IF($A446="","",ROW()-ROW($A$5))</f>
        <v/>
      </c>
      <c r="I446" s="7">
        <f>IF(VERI_B!A446="","",VERI_B!A446)</f>
        <v/>
      </c>
      <c r="J446" s="16">
        <f>UPPER(TRIM(SUBSTITUTE($I446," ","")))</f>
        <v/>
      </c>
      <c r="K446" s="16">
        <f>IF($J446="",0,LEN($J446))</f>
        <v/>
      </c>
      <c r="L446" s="16">
        <f>IF($J446="","",LEFT($J446,cbb_ikincilUzunluk))</f>
        <v/>
      </c>
      <c r="M446" s="16">
        <f>"B"</f>
        <v/>
      </c>
      <c r="N446" s="16">
        <f>IF($J446="","",IF(COUNTIF(tblAnahtarB[NormB],$J446)&gt;1,"EVET","HAYIR"))</f>
        <v/>
      </c>
      <c r="O446" s="16">
        <f>IF($I446="","",ROW()-ROW($I$5))</f>
        <v/>
      </c>
    </row>
    <row r="447">
      <c r="A447" s="7">
        <f>IF(VERI_A!A447="","",VERI_A!A447)</f>
        <v/>
      </c>
      <c r="B447" s="16">
        <f>UPPER(TRIM(SUBSTITUTE($A447," ","")))</f>
        <v/>
      </c>
      <c r="C447" s="16">
        <f>IF($B447="",0,LEN($B447))</f>
        <v/>
      </c>
      <c r="D447" s="16">
        <f>IF($B447="","",LEFT($B447,cbb_ikincilUzunluk))</f>
        <v/>
      </c>
      <c r="E447" s="16">
        <f>"A"</f>
        <v/>
      </c>
      <c r="F447" s="16">
        <f>IF($B447="","",IF(COUNTIF(tblAnahtarA[Norm],$B447)&gt;1,"EVET","HAYIR"))</f>
        <v/>
      </c>
      <c r="G447" s="16">
        <f>IF($A447="","",ROW()-ROW($A$5))</f>
        <v/>
      </c>
      <c r="I447" s="7">
        <f>IF(VERI_B!A447="","",VERI_B!A447)</f>
        <v/>
      </c>
      <c r="J447" s="16">
        <f>UPPER(TRIM(SUBSTITUTE($I447," ","")))</f>
        <v/>
      </c>
      <c r="K447" s="16">
        <f>IF($J447="",0,LEN($J447))</f>
        <v/>
      </c>
      <c r="L447" s="16">
        <f>IF($J447="","",LEFT($J447,cbb_ikincilUzunluk))</f>
        <v/>
      </c>
      <c r="M447" s="16">
        <f>"B"</f>
        <v/>
      </c>
      <c r="N447" s="16">
        <f>IF($J447="","",IF(COUNTIF(tblAnahtarB[NormB],$J447)&gt;1,"EVET","HAYIR"))</f>
        <v/>
      </c>
      <c r="O447" s="16">
        <f>IF($I447="","",ROW()-ROW($I$5))</f>
        <v/>
      </c>
    </row>
    <row r="448">
      <c r="A448" s="7">
        <f>IF(VERI_A!A448="","",VERI_A!A448)</f>
        <v/>
      </c>
      <c r="B448" s="16">
        <f>UPPER(TRIM(SUBSTITUTE($A448," ","")))</f>
        <v/>
      </c>
      <c r="C448" s="16">
        <f>IF($B448="",0,LEN($B448))</f>
        <v/>
      </c>
      <c r="D448" s="16">
        <f>IF($B448="","",LEFT($B448,cbb_ikincilUzunluk))</f>
        <v/>
      </c>
      <c r="E448" s="16">
        <f>"A"</f>
        <v/>
      </c>
      <c r="F448" s="16">
        <f>IF($B448="","",IF(COUNTIF(tblAnahtarA[Norm],$B448)&gt;1,"EVET","HAYIR"))</f>
        <v/>
      </c>
      <c r="G448" s="16">
        <f>IF($A448="","",ROW()-ROW($A$5))</f>
        <v/>
      </c>
      <c r="I448" s="7">
        <f>IF(VERI_B!A448="","",VERI_B!A448)</f>
        <v/>
      </c>
      <c r="J448" s="16">
        <f>UPPER(TRIM(SUBSTITUTE($I448," ","")))</f>
        <v/>
      </c>
      <c r="K448" s="16">
        <f>IF($J448="",0,LEN($J448))</f>
        <v/>
      </c>
      <c r="L448" s="16">
        <f>IF($J448="","",LEFT($J448,cbb_ikincilUzunluk))</f>
        <v/>
      </c>
      <c r="M448" s="16">
        <f>"B"</f>
        <v/>
      </c>
      <c r="N448" s="16">
        <f>IF($J448="","",IF(COUNTIF(tblAnahtarB[NormB],$J448)&gt;1,"EVET","HAYIR"))</f>
        <v/>
      </c>
      <c r="O448" s="16">
        <f>IF($I448="","",ROW()-ROW($I$5))</f>
        <v/>
      </c>
    </row>
    <row r="449">
      <c r="A449" s="7">
        <f>IF(VERI_A!A449="","",VERI_A!A449)</f>
        <v/>
      </c>
      <c r="B449" s="16">
        <f>UPPER(TRIM(SUBSTITUTE($A449," ","")))</f>
        <v/>
      </c>
      <c r="C449" s="16">
        <f>IF($B449="",0,LEN($B449))</f>
        <v/>
      </c>
      <c r="D449" s="16">
        <f>IF($B449="","",LEFT($B449,cbb_ikincilUzunluk))</f>
        <v/>
      </c>
      <c r="E449" s="16">
        <f>"A"</f>
        <v/>
      </c>
      <c r="F449" s="16">
        <f>IF($B449="","",IF(COUNTIF(tblAnahtarA[Norm],$B449)&gt;1,"EVET","HAYIR"))</f>
        <v/>
      </c>
      <c r="G449" s="16">
        <f>IF($A449="","",ROW()-ROW($A$5))</f>
        <v/>
      </c>
      <c r="I449" s="7">
        <f>IF(VERI_B!A449="","",VERI_B!A449)</f>
        <v/>
      </c>
      <c r="J449" s="16">
        <f>UPPER(TRIM(SUBSTITUTE($I449," ","")))</f>
        <v/>
      </c>
      <c r="K449" s="16">
        <f>IF($J449="",0,LEN($J449))</f>
        <v/>
      </c>
      <c r="L449" s="16">
        <f>IF($J449="","",LEFT($J449,cbb_ikincilUzunluk))</f>
        <v/>
      </c>
      <c r="M449" s="16">
        <f>"B"</f>
        <v/>
      </c>
      <c r="N449" s="16">
        <f>IF($J449="","",IF(COUNTIF(tblAnahtarB[NormB],$J449)&gt;1,"EVET","HAYIR"))</f>
        <v/>
      </c>
      <c r="O449" s="16">
        <f>IF($I449="","",ROW()-ROW($I$5))</f>
        <v/>
      </c>
    </row>
    <row r="450">
      <c r="A450" s="7">
        <f>IF(VERI_A!A450="","",VERI_A!A450)</f>
        <v/>
      </c>
      <c r="B450" s="16">
        <f>UPPER(TRIM(SUBSTITUTE($A450," ","")))</f>
        <v/>
      </c>
      <c r="C450" s="16">
        <f>IF($B450="",0,LEN($B450))</f>
        <v/>
      </c>
      <c r="D450" s="16">
        <f>IF($B450="","",LEFT($B450,cbb_ikincilUzunluk))</f>
        <v/>
      </c>
      <c r="E450" s="16">
        <f>"A"</f>
        <v/>
      </c>
      <c r="F450" s="16">
        <f>IF($B450="","",IF(COUNTIF(tblAnahtarA[Norm],$B450)&gt;1,"EVET","HAYIR"))</f>
        <v/>
      </c>
      <c r="G450" s="16">
        <f>IF($A450="","",ROW()-ROW($A$5))</f>
        <v/>
      </c>
      <c r="I450" s="7">
        <f>IF(VERI_B!A450="","",VERI_B!A450)</f>
        <v/>
      </c>
      <c r="J450" s="16">
        <f>UPPER(TRIM(SUBSTITUTE($I450," ","")))</f>
        <v/>
      </c>
      <c r="K450" s="16">
        <f>IF($J450="",0,LEN($J450))</f>
        <v/>
      </c>
      <c r="L450" s="16">
        <f>IF($J450="","",LEFT($J450,cbb_ikincilUzunluk))</f>
        <v/>
      </c>
      <c r="M450" s="16">
        <f>"B"</f>
        <v/>
      </c>
      <c r="N450" s="16">
        <f>IF($J450="","",IF(COUNTIF(tblAnahtarB[NormB],$J450)&gt;1,"EVET","HAYIR"))</f>
        <v/>
      </c>
      <c r="O450" s="16">
        <f>IF($I450="","",ROW()-ROW($I$5))</f>
        <v/>
      </c>
    </row>
    <row r="451">
      <c r="A451" s="7">
        <f>IF(VERI_A!A451="","",VERI_A!A451)</f>
        <v/>
      </c>
      <c r="B451" s="16">
        <f>UPPER(TRIM(SUBSTITUTE($A451," ","")))</f>
        <v/>
      </c>
      <c r="C451" s="16">
        <f>IF($B451="",0,LEN($B451))</f>
        <v/>
      </c>
      <c r="D451" s="16">
        <f>IF($B451="","",LEFT($B451,cbb_ikincilUzunluk))</f>
        <v/>
      </c>
      <c r="E451" s="16">
        <f>"A"</f>
        <v/>
      </c>
      <c r="F451" s="16">
        <f>IF($B451="","",IF(COUNTIF(tblAnahtarA[Norm],$B451)&gt;1,"EVET","HAYIR"))</f>
        <v/>
      </c>
      <c r="G451" s="16">
        <f>IF($A451="","",ROW()-ROW($A$5))</f>
        <v/>
      </c>
      <c r="I451" s="7">
        <f>IF(VERI_B!A451="","",VERI_B!A451)</f>
        <v/>
      </c>
      <c r="J451" s="16">
        <f>UPPER(TRIM(SUBSTITUTE($I451," ","")))</f>
        <v/>
      </c>
      <c r="K451" s="16">
        <f>IF($J451="",0,LEN($J451))</f>
        <v/>
      </c>
      <c r="L451" s="16">
        <f>IF($J451="","",LEFT($J451,cbb_ikincilUzunluk))</f>
        <v/>
      </c>
      <c r="M451" s="16">
        <f>"B"</f>
        <v/>
      </c>
      <c r="N451" s="16">
        <f>IF($J451="","",IF(COUNTIF(tblAnahtarB[NormB],$J451)&gt;1,"EVET","HAYIR"))</f>
        <v/>
      </c>
      <c r="O451" s="16">
        <f>IF($I451="","",ROW()-ROW($I$5))</f>
        <v/>
      </c>
    </row>
    <row r="452">
      <c r="A452" s="7">
        <f>IF(VERI_A!A452="","",VERI_A!A452)</f>
        <v/>
      </c>
      <c r="B452" s="16">
        <f>UPPER(TRIM(SUBSTITUTE($A452," ","")))</f>
        <v/>
      </c>
      <c r="C452" s="16">
        <f>IF($B452="",0,LEN($B452))</f>
        <v/>
      </c>
      <c r="D452" s="16">
        <f>IF($B452="","",LEFT($B452,cbb_ikincilUzunluk))</f>
        <v/>
      </c>
      <c r="E452" s="16">
        <f>"A"</f>
        <v/>
      </c>
      <c r="F452" s="16">
        <f>IF($B452="","",IF(COUNTIF(tblAnahtarA[Norm],$B452)&gt;1,"EVET","HAYIR"))</f>
        <v/>
      </c>
      <c r="G452" s="16">
        <f>IF($A452="","",ROW()-ROW($A$5))</f>
        <v/>
      </c>
      <c r="I452" s="7">
        <f>IF(VERI_B!A452="","",VERI_B!A452)</f>
        <v/>
      </c>
      <c r="J452" s="16">
        <f>UPPER(TRIM(SUBSTITUTE($I452," ","")))</f>
        <v/>
      </c>
      <c r="K452" s="16">
        <f>IF($J452="",0,LEN($J452))</f>
        <v/>
      </c>
      <c r="L452" s="16">
        <f>IF($J452="","",LEFT($J452,cbb_ikincilUzunluk))</f>
        <v/>
      </c>
      <c r="M452" s="16">
        <f>"B"</f>
        <v/>
      </c>
      <c r="N452" s="16">
        <f>IF($J452="","",IF(COUNTIF(tblAnahtarB[NormB],$J452)&gt;1,"EVET","HAYIR"))</f>
        <v/>
      </c>
      <c r="O452" s="16">
        <f>IF($I452="","",ROW()-ROW($I$5))</f>
        <v/>
      </c>
    </row>
    <row r="453">
      <c r="A453" s="7">
        <f>IF(VERI_A!A453="","",VERI_A!A453)</f>
        <v/>
      </c>
      <c r="B453" s="16">
        <f>UPPER(TRIM(SUBSTITUTE($A453," ","")))</f>
        <v/>
      </c>
      <c r="C453" s="16">
        <f>IF($B453="",0,LEN($B453))</f>
        <v/>
      </c>
      <c r="D453" s="16">
        <f>IF($B453="","",LEFT($B453,cbb_ikincilUzunluk))</f>
        <v/>
      </c>
      <c r="E453" s="16">
        <f>"A"</f>
        <v/>
      </c>
      <c r="F453" s="16">
        <f>IF($B453="","",IF(COUNTIF(tblAnahtarA[Norm],$B453)&gt;1,"EVET","HAYIR"))</f>
        <v/>
      </c>
      <c r="G453" s="16">
        <f>IF($A453="","",ROW()-ROW($A$5))</f>
        <v/>
      </c>
      <c r="I453" s="7">
        <f>IF(VERI_B!A453="","",VERI_B!A453)</f>
        <v/>
      </c>
      <c r="J453" s="16">
        <f>UPPER(TRIM(SUBSTITUTE($I453," ","")))</f>
        <v/>
      </c>
      <c r="K453" s="16">
        <f>IF($J453="",0,LEN($J453))</f>
        <v/>
      </c>
      <c r="L453" s="16">
        <f>IF($J453="","",LEFT($J453,cbb_ikincilUzunluk))</f>
        <v/>
      </c>
      <c r="M453" s="16">
        <f>"B"</f>
        <v/>
      </c>
      <c r="N453" s="16">
        <f>IF($J453="","",IF(COUNTIF(tblAnahtarB[NormB],$J453)&gt;1,"EVET","HAYIR"))</f>
        <v/>
      </c>
      <c r="O453" s="16">
        <f>IF($I453="","",ROW()-ROW($I$5))</f>
        <v/>
      </c>
    </row>
    <row r="454">
      <c r="A454" s="7">
        <f>IF(VERI_A!A454="","",VERI_A!A454)</f>
        <v/>
      </c>
      <c r="B454" s="16">
        <f>UPPER(TRIM(SUBSTITUTE($A454," ","")))</f>
        <v/>
      </c>
      <c r="C454" s="16">
        <f>IF($B454="",0,LEN($B454))</f>
        <v/>
      </c>
      <c r="D454" s="16">
        <f>IF($B454="","",LEFT($B454,cbb_ikincilUzunluk))</f>
        <v/>
      </c>
      <c r="E454" s="16">
        <f>"A"</f>
        <v/>
      </c>
      <c r="F454" s="16">
        <f>IF($B454="","",IF(COUNTIF(tblAnahtarA[Norm],$B454)&gt;1,"EVET","HAYIR"))</f>
        <v/>
      </c>
      <c r="G454" s="16">
        <f>IF($A454="","",ROW()-ROW($A$5))</f>
        <v/>
      </c>
      <c r="I454" s="7">
        <f>IF(VERI_B!A454="","",VERI_B!A454)</f>
        <v/>
      </c>
      <c r="J454" s="16">
        <f>UPPER(TRIM(SUBSTITUTE($I454," ","")))</f>
        <v/>
      </c>
      <c r="K454" s="16">
        <f>IF($J454="",0,LEN($J454))</f>
        <v/>
      </c>
      <c r="L454" s="16">
        <f>IF($J454="","",LEFT($J454,cbb_ikincilUzunluk))</f>
        <v/>
      </c>
      <c r="M454" s="16">
        <f>"B"</f>
        <v/>
      </c>
      <c r="N454" s="16">
        <f>IF($J454="","",IF(COUNTIF(tblAnahtarB[NormB],$J454)&gt;1,"EVET","HAYIR"))</f>
        <v/>
      </c>
      <c r="O454" s="16">
        <f>IF($I454="","",ROW()-ROW($I$5))</f>
        <v/>
      </c>
    </row>
    <row r="455">
      <c r="A455" s="7">
        <f>IF(VERI_A!A455="","",VERI_A!A455)</f>
        <v/>
      </c>
      <c r="B455" s="16">
        <f>UPPER(TRIM(SUBSTITUTE($A455," ","")))</f>
        <v/>
      </c>
      <c r="C455" s="16">
        <f>IF($B455="",0,LEN($B455))</f>
        <v/>
      </c>
      <c r="D455" s="16">
        <f>IF($B455="","",LEFT($B455,cbb_ikincilUzunluk))</f>
        <v/>
      </c>
      <c r="E455" s="16">
        <f>"A"</f>
        <v/>
      </c>
      <c r="F455" s="16">
        <f>IF($B455="","",IF(COUNTIF(tblAnahtarA[Norm],$B455)&gt;1,"EVET","HAYIR"))</f>
        <v/>
      </c>
      <c r="G455" s="16">
        <f>IF($A455="","",ROW()-ROW($A$5))</f>
        <v/>
      </c>
      <c r="I455" s="7">
        <f>IF(VERI_B!A455="","",VERI_B!A455)</f>
        <v/>
      </c>
      <c r="J455" s="16">
        <f>UPPER(TRIM(SUBSTITUTE($I455," ","")))</f>
        <v/>
      </c>
      <c r="K455" s="16">
        <f>IF($J455="",0,LEN($J455))</f>
        <v/>
      </c>
      <c r="L455" s="16">
        <f>IF($J455="","",LEFT($J455,cbb_ikincilUzunluk))</f>
        <v/>
      </c>
      <c r="M455" s="16">
        <f>"B"</f>
        <v/>
      </c>
      <c r="N455" s="16">
        <f>IF($J455="","",IF(COUNTIF(tblAnahtarB[NormB],$J455)&gt;1,"EVET","HAYIR"))</f>
        <v/>
      </c>
      <c r="O455" s="16">
        <f>IF($I455="","",ROW()-ROW($I$5))</f>
        <v/>
      </c>
    </row>
    <row r="456">
      <c r="A456" s="7">
        <f>IF(VERI_A!A456="","",VERI_A!A456)</f>
        <v/>
      </c>
      <c r="B456" s="16">
        <f>UPPER(TRIM(SUBSTITUTE($A456," ","")))</f>
        <v/>
      </c>
      <c r="C456" s="16">
        <f>IF($B456="",0,LEN($B456))</f>
        <v/>
      </c>
      <c r="D456" s="16">
        <f>IF($B456="","",LEFT($B456,cbb_ikincilUzunluk))</f>
        <v/>
      </c>
      <c r="E456" s="16">
        <f>"A"</f>
        <v/>
      </c>
      <c r="F456" s="16">
        <f>IF($B456="","",IF(COUNTIF(tblAnahtarA[Norm],$B456)&gt;1,"EVET","HAYIR"))</f>
        <v/>
      </c>
      <c r="G456" s="16">
        <f>IF($A456="","",ROW()-ROW($A$5))</f>
        <v/>
      </c>
      <c r="I456" s="7">
        <f>IF(VERI_B!A456="","",VERI_B!A456)</f>
        <v/>
      </c>
      <c r="J456" s="16">
        <f>UPPER(TRIM(SUBSTITUTE($I456," ","")))</f>
        <v/>
      </c>
      <c r="K456" s="16">
        <f>IF($J456="",0,LEN($J456))</f>
        <v/>
      </c>
      <c r="L456" s="16">
        <f>IF($J456="","",LEFT($J456,cbb_ikincilUzunluk))</f>
        <v/>
      </c>
      <c r="M456" s="16">
        <f>"B"</f>
        <v/>
      </c>
      <c r="N456" s="16">
        <f>IF($J456="","",IF(COUNTIF(tblAnahtarB[NormB],$J456)&gt;1,"EVET","HAYIR"))</f>
        <v/>
      </c>
      <c r="O456" s="16">
        <f>IF($I456="","",ROW()-ROW($I$5))</f>
        <v/>
      </c>
    </row>
    <row r="457">
      <c r="A457" s="7">
        <f>IF(VERI_A!A457="","",VERI_A!A457)</f>
        <v/>
      </c>
      <c r="B457" s="16">
        <f>UPPER(TRIM(SUBSTITUTE($A457," ","")))</f>
        <v/>
      </c>
      <c r="C457" s="16">
        <f>IF($B457="",0,LEN($B457))</f>
        <v/>
      </c>
      <c r="D457" s="16">
        <f>IF($B457="","",LEFT($B457,cbb_ikincilUzunluk))</f>
        <v/>
      </c>
      <c r="E457" s="16">
        <f>"A"</f>
        <v/>
      </c>
      <c r="F457" s="16">
        <f>IF($B457="","",IF(COUNTIF(tblAnahtarA[Norm],$B457)&gt;1,"EVET","HAYIR"))</f>
        <v/>
      </c>
      <c r="G457" s="16">
        <f>IF($A457="","",ROW()-ROW($A$5))</f>
        <v/>
      </c>
      <c r="I457" s="7">
        <f>IF(VERI_B!A457="","",VERI_B!A457)</f>
        <v/>
      </c>
      <c r="J457" s="16">
        <f>UPPER(TRIM(SUBSTITUTE($I457," ","")))</f>
        <v/>
      </c>
      <c r="K457" s="16">
        <f>IF($J457="",0,LEN($J457))</f>
        <v/>
      </c>
      <c r="L457" s="16">
        <f>IF($J457="","",LEFT($J457,cbb_ikincilUzunluk))</f>
        <v/>
      </c>
      <c r="M457" s="16">
        <f>"B"</f>
        <v/>
      </c>
      <c r="N457" s="16">
        <f>IF($J457="","",IF(COUNTIF(tblAnahtarB[NormB],$J457)&gt;1,"EVET","HAYIR"))</f>
        <v/>
      </c>
      <c r="O457" s="16">
        <f>IF($I457="","",ROW()-ROW($I$5))</f>
        <v/>
      </c>
    </row>
    <row r="458">
      <c r="A458" s="7">
        <f>IF(VERI_A!A458="","",VERI_A!A458)</f>
        <v/>
      </c>
      <c r="B458" s="16">
        <f>UPPER(TRIM(SUBSTITUTE($A458," ","")))</f>
        <v/>
      </c>
      <c r="C458" s="16">
        <f>IF($B458="",0,LEN($B458))</f>
        <v/>
      </c>
      <c r="D458" s="16">
        <f>IF($B458="","",LEFT($B458,cbb_ikincilUzunluk))</f>
        <v/>
      </c>
      <c r="E458" s="16">
        <f>"A"</f>
        <v/>
      </c>
      <c r="F458" s="16">
        <f>IF($B458="","",IF(COUNTIF(tblAnahtarA[Norm],$B458)&gt;1,"EVET","HAYIR"))</f>
        <v/>
      </c>
      <c r="G458" s="16">
        <f>IF($A458="","",ROW()-ROW($A$5))</f>
        <v/>
      </c>
      <c r="I458" s="7">
        <f>IF(VERI_B!A458="","",VERI_B!A458)</f>
        <v/>
      </c>
      <c r="J458" s="16">
        <f>UPPER(TRIM(SUBSTITUTE($I458," ","")))</f>
        <v/>
      </c>
      <c r="K458" s="16">
        <f>IF($J458="",0,LEN($J458))</f>
        <v/>
      </c>
      <c r="L458" s="16">
        <f>IF($J458="","",LEFT($J458,cbb_ikincilUzunluk))</f>
        <v/>
      </c>
      <c r="M458" s="16">
        <f>"B"</f>
        <v/>
      </c>
      <c r="N458" s="16">
        <f>IF($J458="","",IF(COUNTIF(tblAnahtarB[NormB],$J458)&gt;1,"EVET","HAYIR"))</f>
        <v/>
      </c>
      <c r="O458" s="16">
        <f>IF($I458="","",ROW()-ROW($I$5))</f>
        <v/>
      </c>
    </row>
    <row r="459">
      <c r="A459" s="7">
        <f>IF(VERI_A!A459="","",VERI_A!A459)</f>
        <v/>
      </c>
      <c r="B459" s="16">
        <f>UPPER(TRIM(SUBSTITUTE($A459," ","")))</f>
        <v/>
      </c>
      <c r="C459" s="16">
        <f>IF($B459="",0,LEN($B459))</f>
        <v/>
      </c>
      <c r="D459" s="16">
        <f>IF($B459="","",LEFT($B459,cbb_ikincilUzunluk))</f>
        <v/>
      </c>
      <c r="E459" s="16">
        <f>"A"</f>
        <v/>
      </c>
      <c r="F459" s="16">
        <f>IF($B459="","",IF(COUNTIF(tblAnahtarA[Norm],$B459)&gt;1,"EVET","HAYIR"))</f>
        <v/>
      </c>
      <c r="G459" s="16">
        <f>IF($A459="","",ROW()-ROW($A$5))</f>
        <v/>
      </c>
      <c r="I459" s="7">
        <f>IF(VERI_B!A459="","",VERI_B!A459)</f>
        <v/>
      </c>
      <c r="J459" s="16">
        <f>UPPER(TRIM(SUBSTITUTE($I459," ","")))</f>
        <v/>
      </c>
      <c r="K459" s="16">
        <f>IF($J459="",0,LEN($J459))</f>
        <v/>
      </c>
      <c r="L459" s="16">
        <f>IF($J459="","",LEFT($J459,cbb_ikincilUzunluk))</f>
        <v/>
      </c>
      <c r="M459" s="16">
        <f>"B"</f>
        <v/>
      </c>
      <c r="N459" s="16">
        <f>IF($J459="","",IF(COUNTIF(tblAnahtarB[NormB],$J459)&gt;1,"EVET","HAYIR"))</f>
        <v/>
      </c>
      <c r="O459" s="16">
        <f>IF($I459="","",ROW()-ROW($I$5))</f>
        <v/>
      </c>
    </row>
    <row r="460">
      <c r="A460" s="7">
        <f>IF(VERI_A!A460="","",VERI_A!A460)</f>
        <v/>
      </c>
      <c r="B460" s="16">
        <f>UPPER(TRIM(SUBSTITUTE($A460," ","")))</f>
        <v/>
      </c>
      <c r="C460" s="16">
        <f>IF($B460="",0,LEN($B460))</f>
        <v/>
      </c>
      <c r="D460" s="16">
        <f>IF($B460="","",LEFT($B460,cbb_ikincilUzunluk))</f>
        <v/>
      </c>
      <c r="E460" s="16">
        <f>"A"</f>
        <v/>
      </c>
      <c r="F460" s="16">
        <f>IF($B460="","",IF(COUNTIF(tblAnahtarA[Norm],$B460)&gt;1,"EVET","HAYIR"))</f>
        <v/>
      </c>
      <c r="G460" s="16">
        <f>IF($A460="","",ROW()-ROW($A$5))</f>
        <v/>
      </c>
      <c r="I460" s="7">
        <f>IF(VERI_B!A460="","",VERI_B!A460)</f>
        <v/>
      </c>
      <c r="J460" s="16">
        <f>UPPER(TRIM(SUBSTITUTE($I460," ","")))</f>
        <v/>
      </c>
      <c r="K460" s="16">
        <f>IF($J460="",0,LEN($J460))</f>
        <v/>
      </c>
      <c r="L460" s="16">
        <f>IF($J460="","",LEFT($J460,cbb_ikincilUzunluk))</f>
        <v/>
      </c>
      <c r="M460" s="16">
        <f>"B"</f>
        <v/>
      </c>
      <c r="N460" s="16">
        <f>IF($J460="","",IF(COUNTIF(tblAnahtarB[NormB],$J460)&gt;1,"EVET","HAYIR"))</f>
        <v/>
      </c>
      <c r="O460" s="16">
        <f>IF($I460="","",ROW()-ROW($I$5))</f>
        <v/>
      </c>
    </row>
    <row r="461">
      <c r="A461" s="7">
        <f>IF(VERI_A!A461="","",VERI_A!A461)</f>
        <v/>
      </c>
      <c r="B461" s="16">
        <f>UPPER(TRIM(SUBSTITUTE($A461," ","")))</f>
        <v/>
      </c>
      <c r="C461" s="16">
        <f>IF($B461="",0,LEN($B461))</f>
        <v/>
      </c>
      <c r="D461" s="16">
        <f>IF($B461="","",LEFT($B461,cbb_ikincilUzunluk))</f>
        <v/>
      </c>
      <c r="E461" s="16">
        <f>"A"</f>
        <v/>
      </c>
      <c r="F461" s="16">
        <f>IF($B461="","",IF(COUNTIF(tblAnahtarA[Norm],$B461)&gt;1,"EVET","HAYIR"))</f>
        <v/>
      </c>
      <c r="G461" s="16">
        <f>IF($A461="","",ROW()-ROW($A$5))</f>
        <v/>
      </c>
      <c r="I461" s="7">
        <f>IF(VERI_B!A461="","",VERI_B!A461)</f>
        <v/>
      </c>
      <c r="J461" s="16">
        <f>UPPER(TRIM(SUBSTITUTE($I461," ","")))</f>
        <v/>
      </c>
      <c r="K461" s="16">
        <f>IF($J461="",0,LEN($J461))</f>
        <v/>
      </c>
      <c r="L461" s="16">
        <f>IF($J461="","",LEFT($J461,cbb_ikincilUzunluk))</f>
        <v/>
      </c>
      <c r="M461" s="16">
        <f>"B"</f>
        <v/>
      </c>
      <c r="N461" s="16">
        <f>IF($J461="","",IF(COUNTIF(tblAnahtarB[NormB],$J461)&gt;1,"EVET","HAYIR"))</f>
        <v/>
      </c>
      <c r="O461" s="16">
        <f>IF($I461="","",ROW()-ROW($I$5))</f>
        <v/>
      </c>
    </row>
    <row r="462">
      <c r="A462" s="7">
        <f>IF(VERI_A!A462="","",VERI_A!A462)</f>
        <v/>
      </c>
      <c r="B462" s="16">
        <f>UPPER(TRIM(SUBSTITUTE($A462," ","")))</f>
        <v/>
      </c>
      <c r="C462" s="16">
        <f>IF($B462="",0,LEN($B462))</f>
        <v/>
      </c>
      <c r="D462" s="16">
        <f>IF($B462="","",LEFT($B462,cbb_ikincilUzunluk))</f>
        <v/>
      </c>
      <c r="E462" s="16">
        <f>"A"</f>
        <v/>
      </c>
      <c r="F462" s="16">
        <f>IF($B462="","",IF(COUNTIF(tblAnahtarA[Norm],$B462)&gt;1,"EVET","HAYIR"))</f>
        <v/>
      </c>
      <c r="G462" s="16">
        <f>IF($A462="","",ROW()-ROW($A$5))</f>
        <v/>
      </c>
      <c r="I462" s="7">
        <f>IF(VERI_B!A462="","",VERI_B!A462)</f>
        <v/>
      </c>
      <c r="J462" s="16">
        <f>UPPER(TRIM(SUBSTITUTE($I462," ","")))</f>
        <v/>
      </c>
      <c r="K462" s="16">
        <f>IF($J462="",0,LEN($J462))</f>
        <v/>
      </c>
      <c r="L462" s="16">
        <f>IF($J462="","",LEFT($J462,cbb_ikincilUzunluk))</f>
        <v/>
      </c>
      <c r="M462" s="16">
        <f>"B"</f>
        <v/>
      </c>
      <c r="N462" s="16">
        <f>IF($J462="","",IF(COUNTIF(tblAnahtarB[NormB],$J462)&gt;1,"EVET","HAYIR"))</f>
        <v/>
      </c>
      <c r="O462" s="16">
        <f>IF($I462="","",ROW()-ROW($I$5))</f>
        <v/>
      </c>
    </row>
    <row r="463">
      <c r="A463" s="7">
        <f>IF(VERI_A!A463="","",VERI_A!A463)</f>
        <v/>
      </c>
      <c r="B463" s="16">
        <f>UPPER(TRIM(SUBSTITUTE($A463," ","")))</f>
        <v/>
      </c>
      <c r="C463" s="16">
        <f>IF($B463="",0,LEN($B463))</f>
        <v/>
      </c>
      <c r="D463" s="16">
        <f>IF($B463="","",LEFT($B463,cbb_ikincilUzunluk))</f>
        <v/>
      </c>
      <c r="E463" s="16">
        <f>"A"</f>
        <v/>
      </c>
      <c r="F463" s="16">
        <f>IF($B463="","",IF(COUNTIF(tblAnahtarA[Norm],$B463)&gt;1,"EVET","HAYIR"))</f>
        <v/>
      </c>
      <c r="G463" s="16">
        <f>IF($A463="","",ROW()-ROW($A$5))</f>
        <v/>
      </c>
      <c r="I463" s="7">
        <f>IF(VERI_B!A463="","",VERI_B!A463)</f>
        <v/>
      </c>
      <c r="J463" s="16">
        <f>UPPER(TRIM(SUBSTITUTE($I463," ","")))</f>
        <v/>
      </c>
      <c r="K463" s="16">
        <f>IF($J463="",0,LEN($J463))</f>
        <v/>
      </c>
      <c r="L463" s="16">
        <f>IF($J463="","",LEFT($J463,cbb_ikincilUzunluk))</f>
        <v/>
      </c>
      <c r="M463" s="16">
        <f>"B"</f>
        <v/>
      </c>
      <c r="N463" s="16">
        <f>IF($J463="","",IF(COUNTIF(tblAnahtarB[NormB],$J463)&gt;1,"EVET","HAYIR"))</f>
        <v/>
      </c>
      <c r="O463" s="16">
        <f>IF($I463="","",ROW()-ROW($I$5))</f>
        <v/>
      </c>
    </row>
    <row r="464">
      <c r="A464" s="7">
        <f>IF(VERI_A!A464="","",VERI_A!A464)</f>
        <v/>
      </c>
      <c r="B464" s="16">
        <f>UPPER(TRIM(SUBSTITUTE($A464," ","")))</f>
        <v/>
      </c>
      <c r="C464" s="16">
        <f>IF($B464="",0,LEN($B464))</f>
        <v/>
      </c>
      <c r="D464" s="16">
        <f>IF($B464="","",LEFT($B464,cbb_ikincilUzunluk))</f>
        <v/>
      </c>
      <c r="E464" s="16">
        <f>"A"</f>
        <v/>
      </c>
      <c r="F464" s="16">
        <f>IF($B464="","",IF(COUNTIF(tblAnahtarA[Norm],$B464)&gt;1,"EVET","HAYIR"))</f>
        <v/>
      </c>
      <c r="G464" s="16">
        <f>IF($A464="","",ROW()-ROW($A$5))</f>
        <v/>
      </c>
      <c r="I464" s="7">
        <f>IF(VERI_B!A464="","",VERI_B!A464)</f>
        <v/>
      </c>
      <c r="J464" s="16">
        <f>UPPER(TRIM(SUBSTITUTE($I464," ","")))</f>
        <v/>
      </c>
      <c r="K464" s="16">
        <f>IF($J464="",0,LEN($J464))</f>
        <v/>
      </c>
      <c r="L464" s="16">
        <f>IF($J464="","",LEFT($J464,cbb_ikincilUzunluk))</f>
        <v/>
      </c>
      <c r="M464" s="16">
        <f>"B"</f>
        <v/>
      </c>
      <c r="N464" s="16">
        <f>IF($J464="","",IF(COUNTIF(tblAnahtarB[NormB],$J464)&gt;1,"EVET","HAYIR"))</f>
        <v/>
      </c>
      <c r="O464" s="16">
        <f>IF($I464="","",ROW()-ROW($I$5))</f>
        <v/>
      </c>
    </row>
    <row r="465">
      <c r="A465" s="7">
        <f>IF(VERI_A!A465="","",VERI_A!A465)</f>
        <v/>
      </c>
      <c r="B465" s="16">
        <f>UPPER(TRIM(SUBSTITUTE($A465," ","")))</f>
        <v/>
      </c>
      <c r="C465" s="16">
        <f>IF($B465="",0,LEN($B465))</f>
        <v/>
      </c>
      <c r="D465" s="16">
        <f>IF($B465="","",LEFT($B465,cbb_ikincilUzunluk))</f>
        <v/>
      </c>
      <c r="E465" s="16">
        <f>"A"</f>
        <v/>
      </c>
      <c r="F465" s="16">
        <f>IF($B465="","",IF(COUNTIF(tblAnahtarA[Norm],$B465)&gt;1,"EVET","HAYIR"))</f>
        <v/>
      </c>
      <c r="G465" s="16">
        <f>IF($A465="","",ROW()-ROW($A$5))</f>
        <v/>
      </c>
      <c r="I465" s="7">
        <f>IF(VERI_B!A465="","",VERI_B!A465)</f>
        <v/>
      </c>
      <c r="J465" s="16">
        <f>UPPER(TRIM(SUBSTITUTE($I465," ","")))</f>
        <v/>
      </c>
      <c r="K465" s="16">
        <f>IF($J465="",0,LEN($J465))</f>
        <v/>
      </c>
      <c r="L465" s="16">
        <f>IF($J465="","",LEFT($J465,cbb_ikincilUzunluk))</f>
        <v/>
      </c>
      <c r="M465" s="16">
        <f>"B"</f>
        <v/>
      </c>
      <c r="N465" s="16">
        <f>IF($J465="","",IF(COUNTIF(tblAnahtarB[NormB],$J465)&gt;1,"EVET","HAYIR"))</f>
        <v/>
      </c>
      <c r="O465" s="16">
        <f>IF($I465="","",ROW()-ROW($I$5))</f>
        <v/>
      </c>
    </row>
    <row r="466">
      <c r="A466" s="7">
        <f>IF(VERI_A!A466="","",VERI_A!A466)</f>
        <v/>
      </c>
      <c r="B466" s="16">
        <f>UPPER(TRIM(SUBSTITUTE($A466," ","")))</f>
        <v/>
      </c>
      <c r="C466" s="16">
        <f>IF($B466="",0,LEN($B466))</f>
        <v/>
      </c>
      <c r="D466" s="16">
        <f>IF($B466="","",LEFT($B466,cbb_ikincilUzunluk))</f>
        <v/>
      </c>
      <c r="E466" s="16">
        <f>"A"</f>
        <v/>
      </c>
      <c r="F466" s="16">
        <f>IF($B466="","",IF(COUNTIF(tblAnahtarA[Norm],$B466)&gt;1,"EVET","HAYIR"))</f>
        <v/>
      </c>
      <c r="G466" s="16">
        <f>IF($A466="","",ROW()-ROW($A$5))</f>
        <v/>
      </c>
      <c r="I466" s="7">
        <f>IF(VERI_B!A466="","",VERI_B!A466)</f>
        <v/>
      </c>
      <c r="J466" s="16">
        <f>UPPER(TRIM(SUBSTITUTE($I466," ","")))</f>
        <v/>
      </c>
      <c r="K466" s="16">
        <f>IF($J466="",0,LEN($J466))</f>
        <v/>
      </c>
      <c r="L466" s="16">
        <f>IF($J466="","",LEFT($J466,cbb_ikincilUzunluk))</f>
        <v/>
      </c>
      <c r="M466" s="16">
        <f>"B"</f>
        <v/>
      </c>
      <c r="N466" s="16">
        <f>IF($J466="","",IF(COUNTIF(tblAnahtarB[NormB],$J466)&gt;1,"EVET","HAYIR"))</f>
        <v/>
      </c>
      <c r="O466" s="16">
        <f>IF($I466="","",ROW()-ROW($I$5))</f>
        <v/>
      </c>
    </row>
    <row r="467">
      <c r="A467" s="7">
        <f>IF(VERI_A!A467="","",VERI_A!A467)</f>
        <v/>
      </c>
      <c r="B467" s="16">
        <f>UPPER(TRIM(SUBSTITUTE($A467," ","")))</f>
        <v/>
      </c>
      <c r="C467" s="16">
        <f>IF($B467="",0,LEN($B467))</f>
        <v/>
      </c>
      <c r="D467" s="16">
        <f>IF($B467="","",LEFT($B467,cbb_ikincilUzunluk))</f>
        <v/>
      </c>
      <c r="E467" s="16">
        <f>"A"</f>
        <v/>
      </c>
      <c r="F467" s="16">
        <f>IF($B467="","",IF(COUNTIF(tblAnahtarA[Norm],$B467)&gt;1,"EVET","HAYIR"))</f>
        <v/>
      </c>
      <c r="G467" s="16">
        <f>IF($A467="","",ROW()-ROW($A$5))</f>
        <v/>
      </c>
      <c r="I467" s="7">
        <f>IF(VERI_B!A467="","",VERI_B!A467)</f>
        <v/>
      </c>
      <c r="J467" s="16">
        <f>UPPER(TRIM(SUBSTITUTE($I467," ","")))</f>
        <v/>
      </c>
      <c r="K467" s="16">
        <f>IF($J467="",0,LEN($J467))</f>
        <v/>
      </c>
      <c r="L467" s="16">
        <f>IF($J467="","",LEFT($J467,cbb_ikincilUzunluk))</f>
        <v/>
      </c>
      <c r="M467" s="16">
        <f>"B"</f>
        <v/>
      </c>
      <c r="N467" s="16">
        <f>IF($J467="","",IF(COUNTIF(tblAnahtarB[NormB],$J467)&gt;1,"EVET","HAYIR"))</f>
        <v/>
      </c>
      <c r="O467" s="16">
        <f>IF($I467="","",ROW()-ROW($I$5))</f>
        <v/>
      </c>
    </row>
    <row r="468">
      <c r="A468" s="7">
        <f>IF(VERI_A!A468="","",VERI_A!A468)</f>
        <v/>
      </c>
      <c r="B468" s="16">
        <f>UPPER(TRIM(SUBSTITUTE($A468," ","")))</f>
        <v/>
      </c>
      <c r="C468" s="16">
        <f>IF($B468="",0,LEN($B468))</f>
        <v/>
      </c>
      <c r="D468" s="16">
        <f>IF($B468="","",LEFT($B468,cbb_ikincilUzunluk))</f>
        <v/>
      </c>
      <c r="E468" s="16">
        <f>"A"</f>
        <v/>
      </c>
      <c r="F468" s="16">
        <f>IF($B468="","",IF(COUNTIF(tblAnahtarA[Norm],$B468)&gt;1,"EVET","HAYIR"))</f>
        <v/>
      </c>
      <c r="G468" s="16">
        <f>IF($A468="","",ROW()-ROW($A$5))</f>
        <v/>
      </c>
      <c r="I468" s="7">
        <f>IF(VERI_B!A468="","",VERI_B!A468)</f>
        <v/>
      </c>
      <c r="J468" s="16">
        <f>UPPER(TRIM(SUBSTITUTE($I468," ","")))</f>
        <v/>
      </c>
      <c r="K468" s="16">
        <f>IF($J468="",0,LEN($J468))</f>
        <v/>
      </c>
      <c r="L468" s="16">
        <f>IF($J468="","",LEFT($J468,cbb_ikincilUzunluk))</f>
        <v/>
      </c>
      <c r="M468" s="16">
        <f>"B"</f>
        <v/>
      </c>
      <c r="N468" s="16">
        <f>IF($J468="","",IF(COUNTIF(tblAnahtarB[NormB],$J468)&gt;1,"EVET","HAYIR"))</f>
        <v/>
      </c>
      <c r="O468" s="16">
        <f>IF($I468="","",ROW()-ROW($I$5))</f>
        <v/>
      </c>
    </row>
    <row r="469">
      <c r="A469" s="7">
        <f>IF(VERI_A!A469="","",VERI_A!A469)</f>
        <v/>
      </c>
      <c r="B469" s="16">
        <f>UPPER(TRIM(SUBSTITUTE($A469," ","")))</f>
        <v/>
      </c>
      <c r="C469" s="16">
        <f>IF($B469="",0,LEN($B469))</f>
        <v/>
      </c>
      <c r="D469" s="16">
        <f>IF($B469="","",LEFT($B469,cbb_ikincilUzunluk))</f>
        <v/>
      </c>
      <c r="E469" s="16">
        <f>"A"</f>
        <v/>
      </c>
      <c r="F469" s="16">
        <f>IF($B469="","",IF(COUNTIF(tblAnahtarA[Norm],$B469)&gt;1,"EVET","HAYIR"))</f>
        <v/>
      </c>
      <c r="G469" s="16">
        <f>IF($A469="","",ROW()-ROW($A$5))</f>
        <v/>
      </c>
      <c r="I469" s="7">
        <f>IF(VERI_B!A469="","",VERI_B!A469)</f>
        <v/>
      </c>
      <c r="J469" s="16">
        <f>UPPER(TRIM(SUBSTITUTE($I469," ","")))</f>
        <v/>
      </c>
      <c r="K469" s="16">
        <f>IF($J469="",0,LEN($J469))</f>
        <v/>
      </c>
      <c r="L469" s="16">
        <f>IF($J469="","",LEFT($J469,cbb_ikincilUzunluk))</f>
        <v/>
      </c>
      <c r="M469" s="16">
        <f>"B"</f>
        <v/>
      </c>
      <c r="N469" s="16">
        <f>IF($J469="","",IF(COUNTIF(tblAnahtarB[NormB],$J469)&gt;1,"EVET","HAYIR"))</f>
        <v/>
      </c>
      <c r="O469" s="16">
        <f>IF($I469="","",ROW()-ROW($I$5))</f>
        <v/>
      </c>
    </row>
    <row r="470">
      <c r="A470" s="7">
        <f>IF(VERI_A!A470="","",VERI_A!A470)</f>
        <v/>
      </c>
      <c r="B470" s="16">
        <f>UPPER(TRIM(SUBSTITUTE($A470," ","")))</f>
        <v/>
      </c>
      <c r="C470" s="16">
        <f>IF($B470="",0,LEN($B470))</f>
        <v/>
      </c>
      <c r="D470" s="16">
        <f>IF($B470="","",LEFT($B470,cbb_ikincilUzunluk))</f>
        <v/>
      </c>
      <c r="E470" s="16">
        <f>"A"</f>
        <v/>
      </c>
      <c r="F470" s="16">
        <f>IF($B470="","",IF(COUNTIF(tblAnahtarA[Norm],$B470)&gt;1,"EVET","HAYIR"))</f>
        <v/>
      </c>
      <c r="G470" s="16">
        <f>IF($A470="","",ROW()-ROW($A$5))</f>
        <v/>
      </c>
      <c r="I470" s="7">
        <f>IF(VERI_B!A470="","",VERI_B!A470)</f>
        <v/>
      </c>
      <c r="J470" s="16">
        <f>UPPER(TRIM(SUBSTITUTE($I470," ","")))</f>
        <v/>
      </c>
      <c r="K470" s="16">
        <f>IF($J470="",0,LEN($J470))</f>
        <v/>
      </c>
      <c r="L470" s="16">
        <f>IF($J470="","",LEFT($J470,cbb_ikincilUzunluk))</f>
        <v/>
      </c>
      <c r="M470" s="16">
        <f>"B"</f>
        <v/>
      </c>
      <c r="N470" s="16">
        <f>IF($J470="","",IF(COUNTIF(tblAnahtarB[NormB],$J470)&gt;1,"EVET","HAYIR"))</f>
        <v/>
      </c>
      <c r="O470" s="16">
        <f>IF($I470="","",ROW()-ROW($I$5))</f>
        <v/>
      </c>
    </row>
    <row r="471">
      <c r="A471" s="7">
        <f>IF(VERI_A!A471="","",VERI_A!A471)</f>
        <v/>
      </c>
      <c r="B471" s="16">
        <f>UPPER(TRIM(SUBSTITUTE($A471," ","")))</f>
        <v/>
      </c>
      <c r="C471" s="16">
        <f>IF($B471="",0,LEN($B471))</f>
        <v/>
      </c>
      <c r="D471" s="16">
        <f>IF($B471="","",LEFT($B471,cbb_ikincilUzunluk))</f>
        <v/>
      </c>
      <c r="E471" s="16">
        <f>"A"</f>
        <v/>
      </c>
      <c r="F471" s="16">
        <f>IF($B471="","",IF(COUNTIF(tblAnahtarA[Norm],$B471)&gt;1,"EVET","HAYIR"))</f>
        <v/>
      </c>
      <c r="G471" s="16">
        <f>IF($A471="","",ROW()-ROW($A$5))</f>
        <v/>
      </c>
      <c r="I471" s="7">
        <f>IF(VERI_B!A471="","",VERI_B!A471)</f>
        <v/>
      </c>
      <c r="J471" s="16">
        <f>UPPER(TRIM(SUBSTITUTE($I471," ","")))</f>
        <v/>
      </c>
      <c r="K471" s="16">
        <f>IF($J471="",0,LEN($J471))</f>
        <v/>
      </c>
      <c r="L471" s="16">
        <f>IF($J471="","",LEFT($J471,cbb_ikincilUzunluk))</f>
        <v/>
      </c>
      <c r="M471" s="16">
        <f>"B"</f>
        <v/>
      </c>
      <c r="N471" s="16">
        <f>IF($J471="","",IF(COUNTIF(tblAnahtarB[NormB],$J471)&gt;1,"EVET","HAYIR"))</f>
        <v/>
      </c>
      <c r="O471" s="16">
        <f>IF($I471="","",ROW()-ROW($I$5))</f>
        <v/>
      </c>
    </row>
    <row r="472">
      <c r="A472" s="7">
        <f>IF(VERI_A!A472="","",VERI_A!A472)</f>
        <v/>
      </c>
      <c r="B472" s="16">
        <f>UPPER(TRIM(SUBSTITUTE($A472," ","")))</f>
        <v/>
      </c>
      <c r="C472" s="16">
        <f>IF($B472="",0,LEN($B472))</f>
        <v/>
      </c>
      <c r="D472" s="16">
        <f>IF($B472="","",LEFT($B472,cbb_ikincilUzunluk))</f>
        <v/>
      </c>
      <c r="E472" s="16">
        <f>"A"</f>
        <v/>
      </c>
      <c r="F472" s="16">
        <f>IF($B472="","",IF(COUNTIF(tblAnahtarA[Norm],$B472)&gt;1,"EVET","HAYIR"))</f>
        <v/>
      </c>
      <c r="G472" s="16">
        <f>IF($A472="","",ROW()-ROW($A$5))</f>
        <v/>
      </c>
      <c r="I472" s="7">
        <f>IF(VERI_B!A472="","",VERI_B!A472)</f>
        <v/>
      </c>
      <c r="J472" s="16">
        <f>UPPER(TRIM(SUBSTITUTE($I472," ","")))</f>
        <v/>
      </c>
      <c r="K472" s="16">
        <f>IF($J472="",0,LEN($J472))</f>
        <v/>
      </c>
      <c r="L472" s="16">
        <f>IF($J472="","",LEFT($J472,cbb_ikincilUzunluk))</f>
        <v/>
      </c>
      <c r="M472" s="16">
        <f>"B"</f>
        <v/>
      </c>
      <c r="N472" s="16">
        <f>IF($J472="","",IF(COUNTIF(tblAnahtarB[NormB],$J472)&gt;1,"EVET","HAYIR"))</f>
        <v/>
      </c>
      <c r="O472" s="16">
        <f>IF($I472="","",ROW()-ROW($I$5))</f>
        <v/>
      </c>
    </row>
    <row r="473">
      <c r="A473" s="7">
        <f>IF(VERI_A!A473="","",VERI_A!A473)</f>
        <v/>
      </c>
      <c r="B473" s="16">
        <f>UPPER(TRIM(SUBSTITUTE($A473," ","")))</f>
        <v/>
      </c>
      <c r="C473" s="16">
        <f>IF($B473="",0,LEN($B473))</f>
        <v/>
      </c>
      <c r="D473" s="16">
        <f>IF($B473="","",LEFT($B473,cbb_ikincilUzunluk))</f>
        <v/>
      </c>
      <c r="E473" s="16">
        <f>"A"</f>
        <v/>
      </c>
      <c r="F473" s="16">
        <f>IF($B473="","",IF(COUNTIF(tblAnahtarA[Norm],$B473)&gt;1,"EVET","HAYIR"))</f>
        <v/>
      </c>
      <c r="G473" s="16">
        <f>IF($A473="","",ROW()-ROW($A$5))</f>
        <v/>
      </c>
      <c r="I473" s="7">
        <f>IF(VERI_B!A473="","",VERI_B!A473)</f>
        <v/>
      </c>
      <c r="J473" s="16">
        <f>UPPER(TRIM(SUBSTITUTE($I473," ","")))</f>
        <v/>
      </c>
      <c r="K473" s="16">
        <f>IF($J473="",0,LEN($J473))</f>
        <v/>
      </c>
      <c r="L473" s="16">
        <f>IF($J473="","",LEFT($J473,cbb_ikincilUzunluk))</f>
        <v/>
      </c>
      <c r="M473" s="16">
        <f>"B"</f>
        <v/>
      </c>
      <c r="N473" s="16">
        <f>IF($J473="","",IF(COUNTIF(tblAnahtarB[NormB],$J473)&gt;1,"EVET","HAYIR"))</f>
        <v/>
      </c>
      <c r="O473" s="16">
        <f>IF($I473="","",ROW()-ROW($I$5))</f>
        <v/>
      </c>
    </row>
    <row r="474">
      <c r="A474" s="7">
        <f>IF(VERI_A!A474="","",VERI_A!A474)</f>
        <v/>
      </c>
      <c r="B474" s="16">
        <f>UPPER(TRIM(SUBSTITUTE($A474," ","")))</f>
        <v/>
      </c>
      <c r="C474" s="16">
        <f>IF($B474="",0,LEN($B474))</f>
        <v/>
      </c>
      <c r="D474" s="16">
        <f>IF($B474="","",LEFT($B474,cbb_ikincilUzunluk))</f>
        <v/>
      </c>
      <c r="E474" s="16">
        <f>"A"</f>
        <v/>
      </c>
      <c r="F474" s="16">
        <f>IF($B474="","",IF(COUNTIF(tblAnahtarA[Norm],$B474)&gt;1,"EVET","HAYIR"))</f>
        <v/>
      </c>
      <c r="G474" s="16">
        <f>IF($A474="","",ROW()-ROW($A$5))</f>
        <v/>
      </c>
      <c r="I474" s="7">
        <f>IF(VERI_B!A474="","",VERI_B!A474)</f>
        <v/>
      </c>
      <c r="J474" s="16">
        <f>UPPER(TRIM(SUBSTITUTE($I474," ","")))</f>
        <v/>
      </c>
      <c r="K474" s="16">
        <f>IF($J474="",0,LEN($J474))</f>
        <v/>
      </c>
      <c r="L474" s="16">
        <f>IF($J474="","",LEFT($J474,cbb_ikincilUzunluk))</f>
        <v/>
      </c>
      <c r="M474" s="16">
        <f>"B"</f>
        <v/>
      </c>
      <c r="N474" s="16">
        <f>IF($J474="","",IF(COUNTIF(tblAnahtarB[NormB],$J474)&gt;1,"EVET","HAYIR"))</f>
        <v/>
      </c>
      <c r="O474" s="16">
        <f>IF($I474="","",ROW()-ROW($I$5))</f>
        <v/>
      </c>
    </row>
    <row r="475">
      <c r="A475" s="7">
        <f>IF(VERI_A!A475="","",VERI_A!A475)</f>
        <v/>
      </c>
      <c r="B475" s="16">
        <f>UPPER(TRIM(SUBSTITUTE($A475," ","")))</f>
        <v/>
      </c>
      <c r="C475" s="16">
        <f>IF($B475="",0,LEN($B475))</f>
        <v/>
      </c>
      <c r="D475" s="16">
        <f>IF($B475="","",LEFT($B475,cbb_ikincilUzunluk))</f>
        <v/>
      </c>
      <c r="E475" s="16">
        <f>"A"</f>
        <v/>
      </c>
      <c r="F475" s="16">
        <f>IF($B475="","",IF(COUNTIF(tblAnahtarA[Norm],$B475)&gt;1,"EVET","HAYIR"))</f>
        <v/>
      </c>
      <c r="G475" s="16">
        <f>IF($A475="","",ROW()-ROW($A$5))</f>
        <v/>
      </c>
      <c r="I475" s="7">
        <f>IF(VERI_B!A475="","",VERI_B!A475)</f>
        <v/>
      </c>
      <c r="J475" s="16">
        <f>UPPER(TRIM(SUBSTITUTE($I475," ","")))</f>
        <v/>
      </c>
      <c r="K475" s="16">
        <f>IF($J475="",0,LEN($J475))</f>
        <v/>
      </c>
      <c r="L475" s="16">
        <f>IF($J475="","",LEFT($J475,cbb_ikincilUzunluk))</f>
        <v/>
      </c>
      <c r="M475" s="16">
        <f>"B"</f>
        <v/>
      </c>
      <c r="N475" s="16">
        <f>IF($J475="","",IF(COUNTIF(tblAnahtarB[NormB],$J475)&gt;1,"EVET","HAYIR"))</f>
        <v/>
      </c>
      <c r="O475" s="16">
        <f>IF($I475="","",ROW()-ROW($I$5))</f>
        <v/>
      </c>
    </row>
    <row r="476">
      <c r="A476" s="7">
        <f>IF(VERI_A!A476="","",VERI_A!A476)</f>
        <v/>
      </c>
      <c r="B476" s="16">
        <f>UPPER(TRIM(SUBSTITUTE($A476," ","")))</f>
        <v/>
      </c>
      <c r="C476" s="16">
        <f>IF($B476="",0,LEN($B476))</f>
        <v/>
      </c>
      <c r="D476" s="16">
        <f>IF($B476="","",LEFT($B476,cbb_ikincilUzunluk))</f>
        <v/>
      </c>
      <c r="E476" s="16">
        <f>"A"</f>
        <v/>
      </c>
      <c r="F476" s="16">
        <f>IF($B476="","",IF(COUNTIF(tblAnahtarA[Norm],$B476)&gt;1,"EVET","HAYIR"))</f>
        <v/>
      </c>
      <c r="G476" s="16">
        <f>IF($A476="","",ROW()-ROW($A$5))</f>
        <v/>
      </c>
      <c r="I476" s="7">
        <f>IF(VERI_B!A476="","",VERI_B!A476)</f>
        <v/>
      </c>
      <c r="J476" s="16">
        <f>UPPER(TRIM(SUBSTITUTE($I476," ","")))</f>
        <v/>
      </c>
      <c r="K476" s="16">
        <f>IF($J476="",0,LEN($J476))</f>
        <v/>
      </c>
      <c r="L476" s="16">
        <f>IF($J476="","",LEFT($J476,cbb_ikincilUzunluk))</f>
        <v/>
      </c>
      <c r="M476" s="16">
        <f>"B"</f>
        <v/>
      </c>
      <c r="N476" s="16">
        <f>IF($J476="","",IF(COUNTIF(tblAnahtarB[NormB],$J476)&gt;1,"EVET","HAYIR"))</f>
        <v/>
      </c>
      <c r="O476" s="16">
        <f>IF($I476="","",ROW()-ROW($I$5))</f>
        <v/>
      </c>
    </row>
    <row r="477">
      <c r="A477" s="7">
        <f>IF(VERI_A!A477="","",VERI_A!A477)</f>
        <v/>
      </c>
      <c r="B477" s="16">
        <f>UPPER(TRIM(SUBSTITUTE($A477," ","")))</f>
        <v/>
      </c>
      <c r="C477" s="16">
        <f>IF($B477="",0,LEN($B477))</f>
        <v/>
      </c>
      <c r="D477" s="16">
        <f>IF($B477="","",LEFT($B477,cbb_ikincilUzunluk))</f>
        <v/>
      </c>
      <c r="E477" s="16">
        <f>"A"</f>
        <v/>
      </c>
      <c r="F477" s="16">
        <f>IF($B477="","",IF(COUNTIF(tblAnahtarA[Norm],$B477)&gt;1,"EVET","HAYIR"))</f>
        <v/>
      </c>
      <c r="G477" s="16">
        <f>IF($A477="","",ROW()-ROW($A$5))</f>
        <v/>
      </c>
      <c r="I477" s="7">
        <f>IF(VERI_B!A477="","",VERI_B!A477)</f>
        <v/>
      </c>
      <c r="J477" s="16">
        <f>UPPER(TRIM(SUBSTITUTE($I477," ","")))</f>
        <v/>
      </c>
      <c r="K477" s="16">
        <f>IF($J477="",0,LEN($J477))</f>
        <v/>
      </c>
      <c r="L477" s="16">
        <f>IF($J477="","",LEFT($J477,cbb_ikincilUzunluk))</f>
        <v/>
      </c>
      <c r="M477" s="16">
        <f>"B"</f>
        <v/>
      </c>
      <c r="N477" s="16">
        <f>IF($J477="","",IF(COUNTIF(tblAnahtarB[NormB],$J477)&gt;1,"EVET","HAYIR"))</f>
        <v/>
      </c>
      <c r="O477" s="16">
        <f>IF($I477="","",ROW()-ROW($I$5))</f>
        <v/>
      </c>
    </row>
    <row r="478">
      <c r="A478" s="7">
        <f>IF(VERI_A!A478="","",VERI_A!A478)</f>
        <v/>
      </c>
      <c r="B478" s="16">
        <f>UPPER(TRIM(SUBSTITUTE($A478," ","")))</f>
        <v/>
      </c>
      <c r="C478" s="16">
        <f>IF($B478="",0,LEN($B478))</f>
        <v/>
      </c>
      <c r="D478" s="16">
        <f>IF($B478="","",LEFT($B478,cbb_ikincilUzunluk))</f>
        <v/>
      </c>
      <c r="E478" s="16">
        <f>"A"</f>
        <v/>
      </c>
      <c r="F478" s="16">
        <f>IF($B478="","",IF(COUNTIF(tblAnahtarA[Norm],$B478)&gt;1,"EVET","HAYIR"))</f>
        <v/>
      </c>
      <c r="G478" s="16">
        <f>IF($A478="","",ROW()-ROW($A$5))</f>
        <v/>
      </c>
      <c r="I478" s="7">
        <f>IF(VERI_B!A478="","",VERI_B!A478)</f>
        <v/>
      </c>
      <c r="J478" s="16">
        <f>UPPER(TRIM(SUBSTITUTE($I478," ","")))</f>
        <v/>
      </c>
      <c r="K478" s="16">
        <f>IF($J478="",0,LEN($J478))</f>
        <v/>
      </c>
      <c r="L478" s="16">
        <f>IF($J478="","",LEFT($J478,cbb_ikincilUzunluk))</f>
        <v/>
      </c>
      <c r="M478" s="16">
        <f>"B"</f>
        <v/>
      </c>
      <c r="N478" s="16">
        <f>IF($J478="","",IF(COUNTIF(tblAnahtarB[NormB],$J478)&gt;1,"EVET","HAYIR"))</f>
        <v/>
      </c>
      <c r="O478" s="16">
        <f>IF($I478="","",ROW()-ROW($I$5))</f>
        <v/>
      </c>
    </row>
    <row r="479">
      <c r="A479" s="7">
        <f>IF(VERI_A!A479="","",VERI_A!A479)</f>
        <v/>
      </c>
      <c r="B479" s="16">
        <f>UPPER(TRIM(SUBSTITUTE($A479," ","")))</f>
        <v/>
      </c>
      <c r="C479" s="16">
        <f>IF($B479="",0,LEN($B479))</f>
        <v/>
      </c>
      <c r="D479" s="16">
        <f>IF($B479="","",LEFT($B479,cbb_ikincilUzunluk))</f>
        <v/>
      </c>
      <c r="E479" s="16">
        <f>"A"</f>
        <v/>
      </c>
      <c r="F479" s="16">
        <f>IF($B479="","",IF(COUNTIF(tblAnahtarA[Norm],$B479)&gt;1,"EVET","HAYIR"))</f>
        <v/>
      </c>
      <c r="G479" s="16">
        <f>IF($A479="","",ROW()-ROW($A$5))</f>
        <v/>
      </c>
      <c r="I479" s="7">
        <f>IF(VERI_B!A479="","",VERI_B!A479)</f>
        <v/>
      </c>
      <c r="J479" s="16">
        <f>UPPER(TRIM(SUBSTITUTE($I479," ","")))</f>
        <v/>
      </c>
      <c r="K479" s="16">
        <f>IF($J479="",0,LEN($J479))</f>
        <v/>
      </c>
      <c r="L479" s="16">
        <f>IF($J479="","",LEFT($J479,cbb_ikincilUzunluk))</f>
        <v/>
      </c>
      <c r="M479" s="16">
        <f>"B"</f>
        <v/>
      </c>
      <c r="N479" s="16">
        <f>IF($J479="","",IF(COUNTIF(tblAnahtarB[NormB],$J479)&gt;1,"EVET","HAYIR"))</f>
        <v/>
      </c>
      <c r="O479" s="16">
        <f>IF($I479="","",ROW()-ROW($I$5))</f>
        <v/>
      </c>
    </row>
    <row r="480">
      <c r="A480" s="7">
        <f>IF(VERI_A!A480="","",VERI_A!A480)</f>
        <v/>
      </c>
      <c r="B480" s="16">
        <f>UPPER(TRIM(SUBSTITUTE($A480," ","")))</f>
        <v/>
      </c>
      <c r="C480" s="16">
        <f>IF($B480="",0,LEN($B480))</f>
        <v/>
      </c>
      <c r="D480" s="16">
        <f>IF($B480="","",LEFT($B480,cbb_ikincilUzunluk))</f>
        <v/>
      </c>
      <c r="E480" s="16">
        <f>"A"</f>
        <v/>
      </c>
      <c r="F480" s="16">
        <f>IF($B480="","",IF(COUNTIF(tblAnahtarA[Norm],$B480)&gt;1,"EVET","HAYIR"))</f>
        <v/>
      </c>
      <c r="G480" s="16">
        <f>IF($A480="","",ROW()-ROW($A$5))</f>
        <v/>
      </c>
      <c r="I480" s="7">
        <f>IF(VERI_B!A480="","",VERI_B!A480)</f>
        <v/>
      </c>
      <c r="J480" s="16">
        <f>UPPER(TRIM(SUBSTITUTE($I480," ","")))</f>
        <v/>
      </c>
      <c r="K480" s="16">
        <f>IF($J480="",0,LEN($J480))</f>
        <v/>
      </c>
      <c r="L480" s="16">
        <f>IF($J480="","",LEFT($J480,cbb_ikincilUzunluk))</f>
        <v/>
      </c>
      <c r="M480" s="16">
        <f>"B"</f>
        <v/>
      </c>
      <c r="N480" s="16">
        <f>IF($J480="","",IF(COUNTIF(tblAnahtarB[NormB],$J480)&gt;1,"EVET","HAYIR"))</f>
        <v/>
      </c>
      <c r="O480" s="16">
        <f>IF($I480="","",ROW()-ROW($I$5))</f>
        <v/>
      </c>
    </row>
    <row r="481">
      <c r="A481" s="7">
        <f>IF(VERI_A!A481="","",VERI_A!A481)</f>
        <v/>
      </c>
      <c r="B481" s="16">
        <f>UPPER(TRIM(SUBSTITUTE($A481," ","")))</f>
        <v/>
      </c>
      <c r="C481" s="16">
        <f>IF($B481="",0,LEN($B481))</f>
        <v/>
      </c>
      <c r="D481" s="16">
        <f>IF($B481="","",LEFT($B481,cbb_ikincilUzunluk))</f>
        <v/>
      </c>
      <c r="E481" s="16">
        <f>"A"</f>
        <v/>
      </c>
      <c r="F481" s="16">
        <f>IF($B481="","",IF(COUNTIF(tblAnahtarA[Norm],$B481)&gt;1,"EVET","HAYIR"))</f>
        <v/>
      </c>
      <c r="G481" s="16">
        <f>IF($A481="","",ROW()-ROW($A$5))</f>
        <v/>
      </c>
      <c r="I481" s="7">
        <f>IF(VERI_B!A481="","",VERI_B!A481)</f>
        <v/>
      </c>
      <c r="J481" s="16">
        <f>UPPER(TRIM(SUBSTITUTE($I481," ","")))</f>
        <v/>
      </c>
      <c r="K481" s="16">
        <f>IF($J481="",0,LEN($J481))</f>
        <v/>
      </c>
      <c r="L481" s="16">
        <f>IF($J481="","",LEFT($J481,cbb_ikincilUzunluk))</f>
        <v/>
      </c>
      <c r="M481" s="16">
        <f>"B"</f>
        <v/>
      </c>
      <c r="N481" s="16">
        <f>IF($J481="","",IF(COUNTIF(tblAnahtarB[NormB],$J481)&gt;1,"EVET","HAYIR"))</f>
        <v/>
      </c>
      <c r="O481" s="16">
        <f>IF($I481="","",ROW()-ROW($I$5))</f>
        <v/>
      </c>
    </row>
    <row r="482">
      <c r="A482" s="7">
        <f>IF(VERI_A!A482="","",VERI_A!A482)</f>
        <v/>
      </c>
      <c r="B482" s="16">
        <f>UPPER(TRIM(SUBSTITUTE($A482," ","")))</f>
        <v/>
      </c>
      <c r="C482" s="16">
        <f>IF($B482="",0,LEN($B482))</f>
        <v/>
      </c>
      <c r="D482" s="16">
        <f>IF($B482="","",LEFT($B482,cbb_ikincilUzunluk))</f>
        <v/>
      </c>
      <c r="E482" s="16">
        <f>"A"</f>
        <v/>
      </c>
      <c r="F482" s="16">
        <f>IF($B482="","",IF(COUNTIF(tblAnahtarA[Norm],$B482)&gt;1,"EVET","HAYIR"))</f>
        <v/>
      </c>
      <c r="G482" s="16">
        <f>IF($A482="","",ROW()-ROW($A$5))</f>
        <v/>
      </c>
      <c r="I482" s="7">
        <f>IF(VERI_B!A482="","",VERI_B!A482)</f>
        <v/>
      </c>
      <c r="J482" s="16">
        <f>UPPER(TRIM(SUBSTITUTE($I482," ","")))</f>
        <v/>
      </c>
      <c r="K482" s="16">
        <f>IF($J482="",0,LEN($J482))</f>
        <v/>
      </c>
      <c r="L482" s="16">
        <f>IF($J482="","",LEFT($J482,cbb_ikincilUzunluk))</f>
        <v/>
      </c>
      <c r="M482" s="16">
        <f>"B"</f>
        <v/>
      </c>
      <c r="N482" s="16">
        <f>IF($J482="","",IF(COUNTIF(tblAnahtarB[NormB],$J482)&gt;1,"EVET","HAYIR"))</f>
        <v/>
      </c>
      <c r="O482" s="16">
        <f>IF($I482="","",ROW()-ROW($I$5))</f>
        <v/>
      </c>
    </row>
    <row r="483">
      <c r="A483" s="7">
        <f>IF(VERI_A!A483="","",VERI_A!A483)</f>
        <v/>
      </c>
      <c r="B483" s="16">
        <f>UPPER(TRIM(SUBSTITUTE($A483," ","")))</f>
        <v/>
      </c>
      <c r="C483" s="16">
        <f>IF($B483="",0,LEN($B483))</f>
        <v/>
      </c>
      <c r="D483" s="16">
        <f>IF($B483="","",LEFT($B483,cbb_ikincilUzunluk))</f>
        <v/>
      </c>
      <c r="E483" s="16">
        <f>"A"</f>
        <v/>
      </c>
      <c r="F483" s="16">
        <f>IF($B483="","",IF(COUNTIF(tblAnahtarA[Norm],$B483)&gt;1,"EVET","HAYIR"))</f>
        <v/>
      </c>
      <c r="G483" s="16">
        <f>IF($A483="","",ROW()-ROW($A$5))</f>
        <v/>
      </c>
      <c r="I483" s="7">
        <f>IF(VERI_B!A483="","",VERI_B!A483)</f>
        <v/>
      </c>
      <c r="J483" s="16">
        <f>UPPER(TRIM(SUBSTITUTE($I483," ","")))</f>
        <v/>
      </c>
      <c r="K483" s="16">
        <f>IF($J483="",0,LEN($J483))</f>
        <v/>
      </c>
      <c r="L483" s="16">
        <f>IF($J483="","",LEFT($J483,cbb_ikincilUzunluk))</f>
        <v/>
      </c>
      <c r="M483" s="16">
        <f>"B"</f>
        <v/>
      </c>
      <c r="N483" s="16">
        <f>IF($J483="","",IF(COUNTIF(tblAnahtarB[NormB],$J483)&gt;1,"EVET","HAYIR"))</f>
        <v/>
      </c>
      <c r="O483" s="16">
        <f>IF($I483="","",ROW()-ROW($I$5))</f>
        <v/>
      </c>
    </row>
    <row r="484">
      <c r="A484" s="7">
        <f>IF(VERI_A!A484="","",VERI_A!A484)</f>
        <v/>
      </c>
      <c r="B484" s="16">
        <f>UPPER(TRIM(SUBSTITUTE($A484," ","")))</f>
        <v/>
      </c>
      <c r="C484" s="16">
        <f>IF($B484="",0,LEN($B484))</f>
        <v/>
      </c>
      <c r="D484" s="16">
        <f>IF($B484="","",LEFT($B484,cbb_ikincilUzunluk))</f>
        <v/>
      </c>
      <c r="E484" s="16">
        <f>"A"</f>
        <v/>
      </c>
      <c r="F484" s="16">
        <f>IF($B484="","",IF(COUNTIF(tblAnahtarA[Norm],$B484)&gt;1,"EVET","HAYIR"))</f>
        <v/>
      </c>
      <c r="G484" s="16">
        <f>IF($A484="","",ROW()-ROW($A$5))</f>
        <v/>
      </c>
      <c r="I484" s="7">
        <f>IF(VERI_B!A484="","",VERI_B!A484)</f>
        <v/>
      </c>
      <c r="J484" s="16">
        <f>UPPER(TRIM(SUBSTITUTE($I484," ","")))</f>
        <v/>
      </c>
      <c r="K484" s="16">
        <f>IF($J484="",0,LEN($J484))</f>
        <v/>
      </c>
      <c r="L484" s="16">
        <f>IF($J484="","",LEFT($J484,cbb_ikincilUzunluk))</f>
        <v/>
      </c>
      <c r="M484" s="16">
        <f>"B"</f>
        <v/>
      </c>
      <c r="N484" s="16">
        <f>IF($J484="","",IF(COUNTIF(tblAnahtarB[NormB],$J484)&gt;1,"EVET","HAYIR"))</f>
        <v/>
      </c>
      <c r="O484" s="16">
        <f>IF($I484="","",ROW()-ROW($I$5))</f>
        <v/>
      </c>
    </row>
    <row r="485">
      <c r="A485" s="7">
        <f>IF(VERI_A!A485="","",VERI_A!A485)</f>
        <v/>
      </c>
      <c r="B485" s="16">
        <f>UPPER(TRIM(SUBSTITUTE($A485," ","")))</f>
        <v/>
      </c>
      <c r="C485" s="16">
        <f>IF($B485="",0,LEN($B485))</f>
        <v/>
      </c>
      <c r="D485" s="16">
        <f>IF($B485="","",LEFT($B485,cbb_ikincilUzunluk))</f>
        <v/>
      </c>
      <c r="E485" s="16">
        <f>"A"</f>
        <v/>
      </c>
      <c r="F485" s="16">
        <f>IF($B485="","",IF(COUNTIF(tblAnahtarA[Norm],$B485)&gt;1,"EVET","HAYIR"))</f>
        <v/>
      </c>
      <c r="G485" s="16">
        <f>IF($A485="","",ROW()-ROW($A$5))</f>
        <v/>
      </c>
      <c r="I485" s="7">
        <f>IF(VERI_B!A485="","",VERI_B!A485)</f>
        <v/>
      </c>
      <c r="J485" s="16">
        <f>UPPER(TRIM(SUBSTITUTE($I485," ","")))</f>
        <v/>
      </c>
      <c r="K485" s="16">
        <f>IF($J485="",0,LEN($J485))</f>
        <v/>
      </c>
      <c r="L485" s="16">
        <f>IF($J485="","",LEFT($J485,cbb_ikincilUzunluk))</f>
        <v/>
      </c>
      <c r="M485" s="16">
        <f>"B"</f>
        <v/>
      </c>
      <c r="N485" s="16">
        <f>IF($J485="","",IF(COUNTIF(tblAnahtarB[NormB],$J485)&gt;1,"EVET","HAYIR"))</f>
        <v/>
      </c>
      <c r="O485" s="16">
        <f>IF($I485="","",ROW()-ROW($I$5))</f>
        <v/>
      </c>
    </row>
    <row r="486">
      <c r="A486" s="7">
        <f>IF(VERI_A!A486="","",VERI_A!A486)</f>
        <v/>
      </c>
      <c r="B486" s="16">
        <f>UPPER(TRIM(SUBSTITUTE($A486," ","")))</f>
        <v/>
      </c>
      <c r="C486" s="16">
        <f>IF($B486="",0,LEN($B486))</f>
        <v/>
      </c>
      <c r="D486" s="16">
        <f>IF($B486="","",LEFT($B486,cbb_ikincilUzunluk))</f>
        <v/>
      </c>
      <c r="E486" s="16">
        <f>"A"</f>
        <v/>
      </c>
      <c r="F486" s="16">
        <f>IF($B486="","",IF(COUNTIF(tblAnahtarA[Norm],$B486)&gt;1,"EVET","HAYIR"))</f>
        <v/>
      </c>
      <c r="G486" s="16">
        <f>IF($A486="","",ROW()-ROW($A$5))</f>
        <v/>
      </c>
      <c r="I486" s="7">
        <f>IF(VERI_B!A486="","",VERI_B!A486)</f>
        <v/>
      </c>
      <c r="J486" s="16">
        <f>UPPER(TRIM(SUBSTITUTE($I486," ","")))</f>
        <v/>
      </c>
      <c r="K486" s="16">
        <f>IF($J486="",0,LEN($J486))</f>
        <v/>
      </c>
      <c r="L486" s="16">
        <f>IF($J486="","",LEFT($J486,cbb_ikincilUzunluk))</f>
        <v/>
      </c>
      <c r="M486" s="16">
        <f>"B"</f>
        <v/>
      </c>
      <c r="N486" s="16">
        <f>IF($J486="","",IF(COUNTIF(tblAnahtarB[NormB],$J486)&gt;1,"EVET","HAYIR"))</f>
        <v/>
      </c>
      <c r="O486" s="16">
        <f>IF($I486="","",ROW()-ROW($I$5))</f>
        <v/>
      </c>
    </row>
    <row r="487">
      <c r="A487" s="7">
        <f>IF(VERI_A!A487="","",VERI_A!A487)</f>
        <v/>
      </c>
      <c r="B487" s="16">
        <f>UPPER(TRIM(SUBSTITUTE($A487," ","")))</f>
        <v/>
      </c>
      <c r="C487" s="16">
        <f>IF($B487="",0,LEN($B487))</f>
        <v/>
      </c>
      <c r="D487" s="16">
        <f>IF($B487="","",LEFT($B487,cbb_ikincilUzunluk))</f>
        <v/>
      </c>
      <c r="E487" s="16">
        <f>"A"</f>
        <v/>
      </c>
      <c r="F487" s="16">
        <f>IF($B487="","",IF(COUNTIF(tblAnahtarA[Norm],$B487)&gt;1,"EVET","HAYIR"))</f>
        <v/>
      </c>
      <c r="G487" s="16">
        <f>IF($A487="","",ROW()-ROW($A$5))</f>
        <v/>
      </c>
      <c r="I487" s="7">
        <f>IF(VERI_B!A487="","",VERI_B!A487)</f>
        <v/>
      </c>
      <c r="J487" s="16">
        <f>UPPER(TRIM(SUBSTITUTE($I487," ","")))</f>
        <v/>
      </c>
      <c r="K487" s="16">
        <f>IF($J487="",0,LEN($J487))</f>
        <v/>
      </c>
      <c r="L487" s="16">
        <f>IF($J487="","",LEFT($J487,cbb_ikincilUzunluk))</f>
        <v/>
      </c>
      <c r="M487" s="16">
        <f>"B"</f>
        <v/>
      </c>
      <c r="N487" s="16">
        <f>IF($J487="","",IF(COUNTIF(tblAnahtarB[NormB],$J487)&gt;1,"EVET","HAYIR"))</f>
        <v/>
      </c>
      <c r="O487" s="16">
        <f>IF($I487="","",ROW()-ROW($I$5))</f>
        <v/>
      </c>
    </row>
    <row r="488">
      <c r="A488" s="7">
        <f>IF(VERI_A!A488="","",VERI_A!A488)</f>
        <v/>
      </c>
      <c r="B488" s="16">
        <f>UPPER(TRIM(SUBSTITUTE($A488," ","")))</f>
        <v/>
      </c>
      <c r="C488" s="16">
        <f>IF($B488="",0,LEN($B488))</f>
        <v/>
      </c>
      <c r="D488" s="16">
        <f>IF($B488="","",LEFT($B488,cbb_ikincilUzunluk))</f>
        <v/>
      </c>
      <c r="E488" s="16">
        <f>"A"</f>
        <v/>
      </c>
      <c r="F488" s="16">
        <f>IF($B488="","",IF(COUNTIF(tblAnahtarA[Norm],$B488)&gt;1,"EVET","HAYIR"))</f>
        <v/>
      </c>
      <c r="G488" s="16">
        <f>IF($A488="","",ROW()-ROW($A$5))</f>
        <v/>
      </c>
      <c r="I488" s="7">
        <f>IF(VERI_B!A488="","",VERI_B!A488)</f>
        <v/>
      </c>
      <c r="J488" s="16">
        <f>UPPER(TRIM(SUBSTITUTE($I488," ","")))</f>
        <v/>
      </c>
      <c r="K488" s="16">
        <f>IF($J488="",0,LEN($J488))</f>
        <v/>
      </c>
      <c r="L488" s="16">
        <f>IF($J488="","",LEFT($J488,cbb_ikincilUzunluk))</f>
        <v/>
      </c>
      <c r="M488" s="16">
        <f>"B"</f>
        <v/>
      </c>
      <c r="N488" s="16">
        <f>IF($J488="","",IF(COUNTIF(tblAnahtarB[NormB],$J488)&gt;1,"EVET","HAYIR"))</f>
        <v/>
      </c>
      <c r="O488" s="16">
        <f>IF($I488="","",ROW()-ROW($I$5))</f>
        <v/>
      </c>
    </row>
    <row r="489">
      <c r="A489" s="7">
        <f>IF(VERI_A!A489="","",VERI_A!A489)</f>
        <v/>
      </c>
      <c r="B489" s="16">
        <f>UPPER(TRIM(SUBSTITUTE($A489," ","")))</f>
        <v/>
      </c>
      <c r="C489" s="16">
        <f>IF($B489="",0,LEN($B489))</f>
        <v/>
      </c>
      <c r="D489" s="16">
        <f>IF($B489="","",LEFT($B489,cbb_ikincilUzunluk))</f>
        <v/>
      </c>
      <c r="E489" s="16">
        <f>"A"</f>
        <v/>
      </c>
      <c r="F489" s="16">
        <f>IF($B489="","",IF(COUNTIF(tblAnahtarA[Norm],$B489)&gt;1,"EVET","HAYIR"))</f>
        <v/>
      </c>
      <c r="G489" s="16">
        <f>IF($A489="","",ROW()-ROW($A$5))</f>
        <v/>
      </c>
      <c r="I489" s="7">
        <f>IF(VERI_B!A489="","",VERI_B!A489)</f>
        <v/>
      </c>
      <c r="J489" s="16">
        <f>UPPER(TRIM(SUBSTITUTE($I489," ","")))</f>
        <v/>
      </c>
      <c r="K489" s="16">
        <f>IF($J489="",0,LEN($J489))</f>
        <v/>
      </c>
      <c r="L489" s="16">
        <f>IF($J489="","",LEFT($J489,cbb_ikincilUzunluk))</f>
        <v/>
      </c>
      <c r="M489" s="16">
        <f>"B"</f>
        <v/>
      </c>
      <c r="N489" s="16">
        <f>IF($J489="","",IF(COUNTIF(tblAnahtarB[NormB],$J489)&gt;1,"EVET","HAYIR"))</f>
        <v/>
      </c>
      <c r="O489" s="16">
        <f>IF($I489="","",ROW()-ROW($I$5))</f>
        <v/>
      </c>
    </row>
    <row r="490">
      <c r="A490" s="7">
        <f>IF(VERI_A!A490="","",VERI_A!A490)</f>
        <v/>
      </c>
      <c r="B490" s="16">
        <f>UPPER(TRIM(SUBSTITUTE($A490," ","")))</f>
        <v/>
      </c>
      <c r="C490" s="16">
        <f>IF($B490="",0,LEN($B490))</f>
        <v/>
      </c>
      <c r="D490" s="16">
        <f>IF($B490="","",LEFT($B490,cbb_ikincilUzunluk))</f>
        <v/>
      </c>
      <c r="E490" s="16">
        <f>"A"</f>
        <v/>
      </c>
      <c r="F490" s="16">
        <f>IF($B490="","",IF(COUNTIF(tblAnahtarA[Norm],$B490)&gt;1,"EVET","HAYIR"))</f>
        <v/>
      </c>
      <c r="G490" s="16">
        <f>IF($A490="","",ROW()-ROW($A$5))</f>
        <v/>
      </c>
      <c r="I490" s="7">
        <f>IF(VERI_B!A490="","",VERI_B!A490)</f>
        <v/>
      </c>
      <c r="J490" s="16">
        <f>UPPER(TRIM(SUBSTITUTE($I490," ","")))</f>
        <v/>
      </c>
      <c r="K490" s="16">
        <f>IF($J490="",0,LEN($J490))</f>
        <v/>
      </c>
      <c r="L490" s="16">
        <f>IF($J490="","",LEFT($J490,cbb_ikincilUzunluk))</f>
        <v/>
      </c>
      <c r="M490" s="16">
        <f>"B"</f>
        <v/>
      </c>
      <c r="N490" s="16">
        <f>IF($J490="","",IF(COUNTIF(tblAnahtarB[NormB],$J490)&gt;1,"EVET","HAYIR"))</f>
        <v/>
      </c>
      <c r="O490" s="16">
        <f>IF($I490="","",ROW()-ROW($I$5))</f>
        <v/>
      </c>
    </row>
    <row r="491">
      <c r="A491" s="7">
        <f>IF(VERI_A!A491="","",VERI_A!A491)</f>
        <v/>
      </c>
      <c r="B491" s="16">
        <f>UPPER(TRIM(SUBSTITUTE($A491," ","")))</f>
        <v/>
      </c>
      <c r="C491" s="16">
        <f>IF($B491="",0,LEN($B491))</f>
        <v/>
      </c>
      <c r="D491" s="16">
        <f>IF($B491="","",LEFT($B491,cbb_ikincilUzunluk))</f>
        <v/>
      </c>
      <c r="E491" s="16">
        <f>"A"</f>
        <v/>
      </c>
      <c r="F491" s="16">
        <f>IF($B491="","",IF(COUNTIF(tblAnahtarA[Norm],$B491)&gt;1,"EVET","HAYIR"))</f>
        <v/>
      </c>
      <c r="G491" s="16">
        <f>IF($A491="","",ROW()-ROW($A$5))</f>
        <v/>
      </c>
      <c r="I491" s="7">
        <f>IF(VERI_B!A491="","",VERI_B!A491)</f>
        <v/>
      </c>
      <c r="J491" s="16">
        <f>UPPER(TRIM(SUBSTITUTE($I491," ","")))</f>
        <v/>
      </c>
      <c r="K491" s="16">
        <f>IF($J491="",0,LEN($J491))</f>
        <v/>
      </c>
      <c r="L491" s="16">
        <f>IF($J491="","",LEFT($J491,cbb_ikincilUzunluk))</f>
        <v/>
      </c>
      <c r="M491" s="16">
        <f>"B"</f>
        <v/>
      </c>
      <c r="N491" s="16">
        <f>IF($J491="","",IF(COUNTIF(tblAnahtarB[NormB],$J491)&gt;1,"EVET","HAYIR"))</f>
        <v/>
      </c>
      <c r="O491" s="16">
        <f>IF($I491="","",ROW()-ROW($I$5))</f>
        <v/>
      </c>
    </row>
    <row r="492">
      <c r="A492" s="7">
        <f>IF(VERI_A!A492="","",VERI_A!A492)</f>
        <v/>
      </c>
      <c r="B492" s="16">
        <f>UPPER(TRIM(SUBSTITUTE($A492," ","")))</f>
        <v/>
      </c>
      <c r="C492" s="16">
        <f>IF($B492="",0,LEN($B492))</f>
        <v/>
      </c>
      <c r="D492" s="16">
        <f>IF($B492="","",LEFT($B492,cbb_ikincilUzunluk))</f>
        <v/>
      </c>
      <c r="E492" s="16">
        <f>"A"</f>
        <v/>
      </c>
      <c r="F492" s="16">
        <f>IF($B492="","",IF(COUNTIF(tblAnahtarA[Norm],$B492)&gt;1,"EVET","HAYIR"))</f>
        <v/>
      </c>
      <c r="G492" s="16">
        <f>IF($A492="","",ROW()-ROW($A$5))</f>
        <v/>
      </c>
      <c r="I492" s="7">
        <f>IF(VERI_B!A492="","",VERI_B!A492)</f>
        <v/>
      </c>
      <c r="J492" s="16">
        <f>UPPER(TRIM(SUBSTITUTE($I492," ","")))</f>
        <v/>
      </c>
      <c r="K492" s="16">
        <f>IF($J492="",0,LEN($J492))</f>
        <v/>
      </c>
      <c r="L492" s="16">
        <f>IF($J492="","",LEFT($J492,cbb_ikincilUzunluk))</f>
        <v/>
      </c>
      <c r="M492" s="16">
        <f>"B"</f>
        <v/>
      </c>
      <c r="N492" s="16">
        <f>IF($J492="","",IF(COUNTIF(tblAnahtarB[NormB],$J492)&gt;1,"EVET","HAYIR"))</f>
        <v/>
      </c>
      <c r="O492" s="16">
        <f>IF($I492="","",ROW()-ROW($I$5))</f>
        <v/>
      </c>
    </row>
    <row r="493">
      <c r="A493" s="7">
        <f>IF(VERI_A!A493="","",VERI_A!A493)</f>
        <v/>
      </c>
      <c r="B493" s="16">
        <f>UPPER(TRIM(SUBSTITUTE($A493," ","")))</f>
        <v/>
      </c>
      <c r="C493" s="16">
        <f>IF($B493="",0,LEN($B493))</f>
        <v/>
      </c>
      <c r="D493" s="16">
        <f>IF($B493="","",LEFT($B493,cbb_ikincilUzunluk))</f>
        <v/>
      </c>
      <c r="E493" s="16">
        <f>"A"</f>
        <v/>
      </c>
      <c r="F493" s="16">
        <f>IF($B493="","",IF(COUNTIF(tblAnahtarA[Norm],$B493)&gt;1,"EVET","HAYIR"))</f>
        <v/>
      </c>
      <c r="G493" s="16">
        <f>IF($A493="","",ROW()-ROW($A$5))</f>
        <v/>
      </c>
      <c r="I493" s="7">
        <f>IF(VERI_B!A493="","",VERI_B!A493)</f>
        <v/>
      </c>
      <c r="J493" s="16">
        <f>UPPER(TRIM(SUBSTITUTE($I493," ","")))</f>
        <v/>
      </c>
      <c r="K493" s="16">
        <f>IF($J493="",0,LEN($J493))</f>
        <v/>
      </c>
      <c r="L493" s="16">
        <f>IF($J493="","",LEFT($J493,cbb_ikincilUzunluk))</f>
        <v/>
      </c>
      <c r="M493" s="16">
        <f>"B"</f>
        <v/>
      </c>
      <c r="N493" s="16">
        <f>IF($J493="","",IF(COUNTIF(tblAnahtarB[NormB],$J493)&gt;1,"EVET","HAYIR"))</f>
        <v/>
      </c>
      <c r="O493" s="16">
        <f>IF($I493="","",ROW()-ROW($I$5))</f>
        <v/>
      </c>
    </row>
    <row r="494">
      <c r="A494" s="7">
        <f>IF(VERI_A!A494="","",VERI_A!A494)</f>
        <v/>
      </c>
      <c r="B494" s="16">
        <f>UPPER(TRIM(SUBSTITUTE($A494," ","")))</f>
        <v/>
      </c>
      <c r="C494" s="16">
        <f>IF($B494="",0,LEN($B494))</f>
        <v/>
      </c>
      <c r="D494" s="16">
        <f>IF($B494="","",LEFT($B494,cbb_ikincilUzunluk))</f>
        <v/>
      </c>
      <c r="E494" s="16">
        <f>"A"</f>
        <v/>
      </c>
      <c r="F494" s="16">
        <f>IF($B494="","",IF(COUNTIF(tblAnahtarA[Norm],$B494)&gt;1,"EVET","HAYIR"))</f>
        <v/>
      </c>
      <c r="G494" s="16">
        <f>IF($A494="","",ROW()-ROW($A$5))</f>
        <v/>
      </c>
      <c r="I494" s="7">
        <f>IF(VERI_B!A494="","",VERI_B!A494)</f>
        <v/>
      </c>
      <c r="J494" s="16">
        <f>UPPER(TRIM(SUBSTITUTE($I494," ","")))</f>
        <v/>
      </c>
      <c r="K494" s="16">
        <f>IF($J494="",0,LEN($J494))</f>
        <v/>
      </c>
      <c r="L494" s="16">
        <f>IF($J494="","",LEFT($J494,cbb_ikincilUzunluk))</f>
        <v/>
      </c>
      <c r="M494" s="16">
        <f>"B"</f>
        <v/>
      </c>
      <c r="N494" s="16">
        <f>IF($J494="","",IF(COUNTIF(tblAnahtarB[NormB],$J494)&gt;1,"EVET","HAYIR"))</f>
        <v/>
      </c>
      <c r="O494" s="16">
        <f>IF($I494="","",ROW()-ROW($I$5))</f>
        <v/>
      </c>
    </row>
    <row r="495">
      <c r="A495" s="7">
        <f>IF(VERI_A!A495="","",VERI_A!A495)</f>
        <v/>
      </c>
      <c r="B495" s="16">
        <f>UPPER(TRIM(SUBSTITUTE($A495," ","")))</f>
        <v/>
      </c>
      <c r="C495" s="16">
        <f>IF($B495="",0,LEN($B495))</f>
        <v/>
      </c>
      <c r="D495" s="16">
        <f>IF($B495="","",LEFT($B495,cbb_ikincilUzunluk))</f>
        <v/>
      </c>
      <c r="E495" s="16">
        <f>"A"</f>
        <v/>
      </c>
      <c r="F495" s="16">
        <f>IF($B495="","",IF(COUNTIF(tblAnahtarA[Norm],$B495)&gt;1,"EVET","HAYIR"))</f>
        <v/>
      </c>
      <c r="G495" s="16">
        <f>IF($A495="","",ROW()-ROW($A$5))</f>
        <v/>
      </c>
      <c r="I495" s="7">
        <f>IF(VERI_B!A495="","",VERI_B!A495)</f>
        <v/>
      </c>
      <c r="J495" s="16">
        <f>UPPER(TRIM(SUBSTITUTE($I495," ","")))</f>
        <v/>
      </c>
      <c r="K495" s="16">
        <f>IF($J495="",0,LEN($J495))</f>
        <v/>
      </c>
      <c r="L495" s="16">
        <f>IF($J495="","",LEFT($J495,cbb_ikincilUzunluk))</f>
        <v/>
      </c>
      <c r="M495" s="16">
        <f>"B"</f>
        <v/>
      </c>
      <c r="N495" s="16">
        <f>IF($J495="","",IF(COUNTIF(tblAnahtarB[NormB],$J495)&gt;1,"EVET","HAYIR"))</f>
        <v/>
      </c>
      <c r="O495" s="16">
        <f>IF($I495="","",ROW()-ROW($I$5))</f>
        <v/>
      </c>
    </row>
    <row r="496">
      <c r="A496" s="7">
        <f>IF(VERI_A!A496="","",VERI_A!A496)</f>
        <v/>
      </c>
      <c r="B496" s="16">
        <f>UPPER(TRIM(SUBSTITUTE($A496," ","")))</f>
        <v/>
      </c>
      <c r="C496" s="16">
        <f>IF($B496="",0,LEN($B496))</f>
        <v/>
      </c>
      <c r="D496" s="16">
        <f>IF($B496="","",LEFT($B496,cbb_ikincilUzunluk))</f>
        <v/>
      </c>
      <c r="E496" s="16">
        <f>"A"</f>
        <v/>
      </c>
      <c r="F496" s="16">
        <f>IF($B496="","",IF(COUNTIF(tblAnahtarA[Norm],$B496)&gt;1,"EVET","HAYIR"))</f>
        <v/>
      </c>
      <c r="G496" s="16">
        <f>IF($A496="","",ROW()-ROW($A$5))</f>
        <v/>
      </c>
      <c r="I496" s="7">
        <f>IF(VERI_B!A496="","",VERI_B!A496)</f>
        <v/>
      </c>
      <c r="J496" s="16">
        <f>UPPER(TRIM(SUBSTITUTE($I496," ","")))</f>
        <v/>
      </c>
      <c r="K496" s="16">
        <f>IF($J496="",0,LEN($J496))</f>
        <v/>
      </c>
      <c r="L496" s="16">
        <f>IF($J496="","",LEFT($J496,cbb_ikincilUzunluk))</f>
        <v/>
      </c>
      <c r="M496" s="16">
        <f>"B"</f>
        <v/>
      </c>
      <c r="N496" s="16">
        <f>IF($J496="","",IF(COUNTIF(tblAnahtarB[NormB],$J496)&gt;1,"EVET","HAYIR"))</f>
        <v/>
      </c>
      <c r="O496" s="16">
        <f>IF($I496="","",ROW()-ROW($I$5))</f>
        <v/>
      </c>
    </row>
    <row r="497">
      <c r="A497" s="7">
        <f>IF(VERI_A!A497="","",VERI_A!A497)</f>
        <v/>
      </c>
      <c r="B497" s="16">
        <f>UPPER(TRIM(SUBSTITUTE($A497," ","")))</f>
        <v/>
      </c>
      <c r="C497" s="16">
        <f>IF($B497="",0,LEN($B497))</f>
        <v/>
      </c>
      <c r="D497" s="16">
        <f>IF($B497="","",LEFT($B497,cbb_ikincilUzunluk))</f>
        <v/>
      </c>
      <c r="E497" s="16">
        <f>"A"</f>
        <v/>
      </c>
      <c r="F497" s="16">
        <f>IF($B497="","",IF(COUNTIF(tblAnahtarA[Norm],$B497)&gt;1,"EVET","HAYIR"))</f>
        <v/>
      </c>
      <c r="G497" s="16">
        <f>IF($A497="","",ROW()-ROW($A$5))</f>
        <v/>
      </c>
      <c r="I497" s="7">
        <f>IF(VERI_B!A497="","",VERI_B!A497)</f>
        <v/>
      </c>
      <c r="J497" s="16">
        <f>UPPER(TRIM(SUBSTITUTE($I497," ","")))</f>
        <v/>
      </c>
      <c r="K497" s="16">
        <f>IF($J497="",0,LEN($J497))</f>
        <v/>
      </c>
      <c r="L497" s="16">
        <f>IF($J497="","",LEFT($J497,cbb_ikincilUzunluk))</f>
        <v/>
      </c>
      <c r="M497" s="16">
        <f>"B"</f>
        <v/>
      </c>
      <c r="N497" s="16">
        <f>IF($J497="","",IF(COUNTIF(tblAnahtarB[NormB],$J497)&gt;1,"EVET","HAYIR"))</f>
        <v/>
      </c>
      <c r="O497" s="16">
        <f>IF($I497="","",ROW()-ROW($I$5))</f>
        <v/>
      </c>
    </row>
    <row r="498">
      <c r="A498" s="7">
        <f>IF(VERI_A!A498="","",VERI_A!A498)</f>
        <v/>
      </c>
      <c r="B498" s="16">
        <f>UPPER(TRIM(SUBSTITUTE($A498," ","")))</f>
        <v/>
      </c>
      <c r="C498" s="16">
        <f>IF($B498="",0,LEN($B498))</f>
        <v/>
      </c>
      <c r="D498" s="16">
        <f>IF($B498="","",LEFT($B498,cbb_ikincilUzunluk))</f>
        <v/>
      </c>
      <c r="E498" s="16">
        <f>"A"</f>
        <v/>
      </c>
      <c r="F498" s="16">
        <f>IF($B498="","",IF(COUNTIF(tblAnahtarA[Norm],$B498)&gt;1,"EVET","HAYIR"))</f>
        <v/>
      </c>
      <c r="G498" s="16">
        <f>IF($A498="","",ROW()-ROW($A$5))</f>
        <v/>
      </c>
      <c r="I498" s="7">
        <f>IF(VERI_B!A498="","",VERI_B!A498)</f>
        <v/>
      </c>
      <c r="J498" s="16">
        <f>UPPER(TRIM(SUBSTITUTE($I498," ","")))</f>
        <v/>
      </c>
      <c r="K498" s="16">
        <f>IF($J498="",0,LEN($J498))</f>
        <v/>
      </c>
      <c r="L498" s="16">
        <f>IF($J498="","",LEFT($J498,cbb_ikincilUzunluk))</f>
        <v/>
      </c>
      <c r="M498" s="16">
        <f>"B"</f>
        <v/>
      </c>
      <c r="N498" s="16">
        <f>IF($J498="","",IF(COUNTIF(tblAnahtarB[NormB],$J498)&gt;1,"EVET","HAYIR"))</f>
        <v/>
      </c>
      <c r="O498" s="16">
        <f>IF($I498="","",ROW()-ROW($I$5))</f>
        <v/>
      </c>
    </row>
    <row r="499">
      <c r="A499" s="7">
        <f>IF(VERI_A!A499="","",VERI_A!A499)</f>
        <v/>
      </c>
      <c r="B499" s="16">
        <f>UPPER(TRIM(SUBSTITUTE($A499," ","")))</f>
        <v/>
      </c>
      <c r="C499" s="16">
        <f>IF($B499="",0,LEN($B499))</f>
        <v/>
      </c>
      <c r="D499" s="16">
        <f>IF($B499="","",LEFT($B499,cbb_ikincilUzunluk))</f>
        <v/>
      </c>
      <c r="E499" s="16">
        <f>"A"</f>
        <v/>
      </c>
      <c r="F499" s="16">
        <f>IF($B499="","",IF(COUNTIF(tblAnahtarA[Norm],$B499)&gt;1,"EVET","HAYIR"))</f>
        <v/>
      </c>
      <c r="G499" s="16">
        <f>IF($A499="","",ROW()-ROW($A$5))</f>
        <v/>
      </c>
      <c r="I499" s="7">
        <f>IF(VERI_B!A499="","",VERI_B!A499)</f>
        <v/>
      </c>
      <c r="J499" s="16">
        <f>UPPER(TRIM(SUBSTITUTE($I499," ","")))</f>
        <v/>
      </c>
      <c r="K499" s="16">
        <f>IF($J499="",0,LEN($J499))</f>
        <v/>
      </c>
      <c r="L499" s="16">
        <f>IF($J499="","",LEFT($J499,cbb_ikincilUzunluk))</f>
        <v/>
      </c>
      <c r="M499" s="16">
        <f>"B"</f>
        <v/>
      </c>
      <c r="N499" s="16">
        <f>IF($J499="","",IF(COUNTIF(tblAnahtarB[NormB],$J499)&gt;1,"EVET","HAYIR"))</f>
        <v/>
      </c>
      <c r="O499" s="16">
        <f>IF($I499="","",ROW()-ROW($I$5))</f>
        <v/>
      </c>
    </row>
    <row r="500">
      <c r="A500" s="7">
        <f>IF(VERI_A!A500="","",VERI_A!A500)</f>
        <v/>
      </c>
      <c r="B500" s="16">
        <f>UPPER(TRIM(SUBSTITUTE($A500," ","")))</f>
        <v/>
      </c>
      <c r="C500" s="16">
        <f>IF($B500="",0,LEN($B500))</f>
        <v/>
      </c>
      <c r="D500" s="16">
        <f>IF($B500="","",LEFT($B500,cbb_ikincilUzunluk))</f>
        <v/>
      </c>
      <c r="E500" s="16">
        <f>"A"</f>
        <v/>
      </c>
      <c r="F500" s="16">
        <f>IF($B500="","",IF(COUNTIF(tblAnahtarA[Norm],$B500)&gt;1,"EVET","HAYIR"))</f>
        <v/>
      </c>
      <c r="G500" s="16">
        <f>IF($A500="","",ROW()-ROW($A$5))</f>
        <v/>
      </c>
      <c r="I500" s="7">
        <f>IF(VERI_B!A500="","",VERI_B!A500)</f>
        <v/>
      </c>
      <c r="J500" s="16">
        <f>UPPER(TRIM(SUBSTITUTE($I500," ","")))</f>
        <v/>
      </c>
      <c r="K500" s="16">
        <f>IF($J500="",0,LEN($J500))</f>
        <v/>
      </c>
      <c r="L500" s="16">
        <f>IF($J500="","",LEFT($J500,cbb_ikincilUzunluk))</f>
        <v/>
      </c>
      <c r="M500" s="16">
        <f>"B"</f>
        <v/>
      </c>
      <c r="N500" s="16">
        <f>IF($J500="","",IF(COUNTIF(tblAnahtarB[NormB],$J500)&gt;1,"EVET","HAYIR"))</f>
        <v/>
      </c>
      <c r="O500" s="16">
        <f>IF($I500="","",ROW()-ROW($I$5))</f>
        <v/>
      </c>
    </row>
    <row r="501">
      <c r="A501" s="7">
        <f>IF(VERI_A!A501="","",VERI_A!A501)</f>
        <v/>
      </c>
      <c r="B501" s="16">
        <f>UPPER(TRIM(SUBSTITUTE($A501," ","")))</f>
        <v/>
      </c>
      <c r="C501" s="16">
        <f>IF($B501="",0,LEN($B501))</f>
        <v/>
      </c>
      <c r="D501" s="16">
        <f>IF($B501="","",LEFT($B501,cbb_ikincilUzunluk))</f>
        <v/>
      </c>
      <c r="E501" s="16">
        <f>"A"</f>
        <v/>
      </c>
      <c r="F501" s="16">
        <f>IF($B501="","",IF(COUNTIF(tblAnahtarA[Norm],$B501)&gt;1,"EVET","HAYIR"))</f>
        <v/>
      </c>
      <c r="G501" s="16">
        <f>IF($A501="","",ROW()-ROW($A$5))</f>
        <v/>
      </c>
      <c r="I501" s="7">
        <f>IF(VERI_B!A501="","",VERI_B!A501)</f>
        <v/>
      </c>
      <c r="J501" s="16">
        <f>UPPER(TRIM(SUBSTITUTE($I501," ","")))</f>
        <v/>
      </c>
      <c r="K501" s="16">
        <f>IF($J501="",0,LEN($J501))</f>
        <v/>
      </c>
      <c r="L501" s="16">
        <f>IF($J501="","",LEFT($J501,cbb_ikincilUzunluk))</f>
        <v/>
      </c>
      <c r="M501" s="16">
        <f>"B"</f>
        <v/>
      </c>
      <c r="N501" s="16">
        <f>IF($J501="","",IF(COUNTIF(tblAnahtarB[NormB],$J501)&gt;1,"EVET","HAYIR"))</f>
        <v/>
      </c>
      <c r="O501" s="16">
        <f>IF($I501="","",ROW()-ROW($I$5))</f>
        <v/>
      </c>
    </row>
    <row r="502">
      <c r="A502" s="7">
        <f>IF(VERI_A!A502="","",VERI_A!A502)</f>
        <v/>
      </c>
      <c r="B502" s="16">
        <f>UPPER(TRIM(SUBSTITUTE($A502," ","")))</f>
        <v/>
      </c>
      <c r="C502" s="16">
        <f>IF($B502="",0,LEN($B502))</f>
        <v/>
      </c>
      <c r="D502" s="16">
        <f>IF($B502="","",LEFT($B502,cbb_ikincilUzunluk))</f>
        <v/>
      </c>
      <c r="E502" s="16">
        <f>"A"</f>
        <v/>
      </c>
      <c r="F502" s="16">
        <f>IF($B502="","",IF(COUNTIF(tblAnahtarA[Norm],$B502)&gt;1,"EVET","HAYIR"))</f>
        <v/>
      </c>
      <c r="G502" s="16">
        <f>IF($A502="","",ROW()-ROW($A$5))</f>
        <v/>
      </c>
      <c r="I502" s="7">
        <f>IF(VERI_B!A502="","",VERI_B!A502)</f>
        <v/>
      </c>
      <c r="J502" s="16">
        <f>UPPER(TRIM(SUBSTITUTE($I502," ","")))</f>
        <v/>
      </c>
      <c r="K502" s="16">
        <f>IF($J502="",0,LEN($J502))</f>
        <v/>
      </c>
      <c r="L502" s="16">
        <f>IF($J502="","",LEFT($J502,cbb_ikincilUzunluk))</f>
        <v/>
      </c>
      <c r="M502" s="16">
        <f>"B"</f>
        <v/>
      </c>
      <c r="N502" s="16">
        <f>IF($J502="","",IF(COUNTIF(tblAnahtarB[NormB],$J502)&gt;1,"EVET","HAYIR"))</f>
        <v/>
      </c>
      <c r="O502" s="16">
        <f>IF($I502="","",ROW()-ROW($I$5))</f>
        <v/>
      </c>
    </row>
    <row r="503">
      <c r="A503" s="7">
        <f>IF(VERI_A!A503="","",VERI_A!A503)</f>
        <v/>
      </c>
      <c r="B503" s="16">
        <f>UPPER(TRIM(SUBSTITUTE($A503," ","")))</f>
        <v/>
      </c>
      <c r="C503" s="16">
        <f>IF($B503="",0,LEN($B503))</f>
        <v/>
      </c>
      <c r="D503" s="16">
        <f>IF($B503="","",LEFT($B503,cbb_ikincilUzunluk))</f>
        <v/>
      </c>
      <c r="E503" s="16">
        <f>"A"</f>
        <v/>
      </c>
      <c r="F503" s="16">
        <f>IF($B503="","",IF(COUNTIF(tblAnahtarA[Norm],$B503)&gt;1,"EVET","HAYIR"))</f>
        <v/>
      </c>
      <c r="G503" s="16">
        <f>IF($A503="","",ROW()-ROW($A$5))</f>
        <v/>
      </c>
      <c r="I503" s="7">
        <f>IF(VERI_B!A503="","",VERI_B!A503)</f>
        <v/>
      </c>
      <c r="J503" s="16">
        <f>UPPER(TRIM(SUBSTITUTE($I503," ","")))</f>
        <v/>
      </c>
      <c r="K503" s="16">
        <f>IF($J503="",0,LEN($J503))</f>
        <v/>
      </c>
      <c r="L503" s="16">
        <f>IF($J503="","",LEFT($J503,cbb_ikincilUzunluk))</f>
        <v/>
      </c>
      <c r="M503" s="16">
        <f>"B"</f>
        <v/>
      </c>
      <c r="N503" s="16">
        <f>IF($J503="","",IF(COUNTIF(tblAnahtarB[NormB],$J503)&gt;1,"EVET","HAYIR"))</f>
        <v/>
      </c>
      <c r="O503" s="16">
        <f>IF($I503="","",ROW()-ROW($I$5))</f>
        <v/>
      </c>
    </row>
    <row r="504">
      <c r="A504" s="7">
        <f>IF(VERI_A!A504="","",VERI_A!A504)</f>
        <v/>
      </c>
      <c r="B504" s="16">
        <f>UPPER(TRIM(SUBSTITUTE($A504," ","")))</f>
        <v/>
      </c>
      <c r="C504" s="16">
        <f>IF($B504="",0,LEN($B504))</f>
        <v/>
      </c>
      <c r="D504" s="16">
        <f>IF($B504="","",LEFT($B504,cbb_ikincilUzunluk))</f>
        <v/>
      </c>
      <c r="E504" s="16">
        <f>"A"</f>
        <v/>
      </c>
      <c r="F504" s="16">
        <f>IF($B504="","",IF(COUNTIF(tblAnahtarA[Norm],$B504)&gt;1,"EVET","HAYIR"))</f>
        <v/>
      </c>
      <c r="G504" s="16">
        <f>IF($A504="","",ROW()-ROW($A$5))</f>
        <v/>
      </c>
      <c r="I504" s="7">
        <f>IF(VERI_B!A504="","",VERI_B!A504)</f>
        <v/>
      </c>
      <c r="J504" s="16">
        <f>UPPER(TRIM(SUBSTITUTE($I504," ","")))</f>
        <v/>
      </c>
      <c r="K504" s="16">
        <f>IF($J504="",0,LEN($J504))</f>
        <v/>
      </c>
      <c r="L504" s="16">
        <f>IF($J504="","",LEFT($J504,cbb_ikincilUzunluk))</f>
        <v/>
      </c>
      <c r="M504" s="16">
        <f>"B"</f>
        <v/>
      </c>
      <c r="N504" s="16">
        <f>IF($J504="","",IF(COUNTIF(tblAnahtarB[NormB],$J504)&gt;1,"EVET","HAYIR"))</f>
        <v/>
      </c>
      <c r="O504" s="16">
        <f>IF($I504="","",ROW()-ROW($I$5))</f>
        <v/>
      </c>
    </row>
    <row r="505">
      <c r="A505" s="7">
        <f>IF(VERI_A!A505="","",VERI_A!A505)</f>
        <v/>
      </c>
      <c r="B505" s="16">
        <f>UPPER(TRIM(SUBSTITUTE($A505," ","")))</f>
        <v/>
      </c>
      <c r="C505" s="16">
        <f>IF($B505="",0,LEN($B505))</f>
        <v/>
      </c>
      <c r="D505" s="16">
        <f>IF($B505="","",LEFT($B505,cbb_ikincilUzunluk))</f>
        <v/>
      </c>
      <c r="E505" s="16">
        <f>"A"</f>
        <v/>
      </c>
      <c r="F505" s="16">
        <f>IF($B505="","",IF(COUNTIF(tblAnahtarA[Norm],$B505)&gt;1,"EVET","HAYIR"))</f>
        <v/>
      </c>
      <c r="G505" s="16">
        <f>IF($A505="","",ROW()-ROW($A$5))</f>
        <v/>
      </c>
      <c r="I505" s="7">
        <f>IF(VERI_B!A505="","",VERI_B!A505)</f>
        <v/>
      </c>
      <c r="J505" s="16">
        <f>UPPER(TRIM(SUBSTITUTE($I505," ","")))</f>
        <v/>
      </c>
      <c r="K505" s="16">
        <f>IF($J505="",0,LEN($J505))</f>
        <v/>
      </c>
      <c r="L505" s="16">
        <f>IF($J505="","",LEFT($J505,cbb_ikincilUzunluk))</f>
        <v/>
      </c>
      <c r="M505" s="16">
        <f>"B"</f>
        <v/>
      </c>
      <c r="N505" s="16">
        <f>IF($J505="","",IF(COUNTIF(tblAnahtarB[NormB],$J505)&gt;1,"EVET","HAYIR"))</f>
        <v/>
      </c>
      <c r="O505" s="16">
        <f>IF($I505="","",ROW()-ROW($I$5))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505">
    <cfRule type="cellIs" priority="1" operator="equal" dxfId="0">
      <formula>"EVET"</formula>
    </cfRule>
  </conditionalFormatting>
  <conditionalFormatting sqref="N6:N505">
    <cfRule type="cellIs" priority="2" operator="equal" dxfId="0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</cols>
  <sheetData>
    <row r="1" ht="26" customHeight="1">
      <c r="A1" s="1" t="inlineStr">
        <is>
          <t>MOTOR — Cari ve Ba-Bs Toplu Mutabakat Motoru</t>
        </is>
      </c>
    </row>
    <row r="3" ht="20" customHeight="1">
      <c r="A3" s="10" t="inlineStr">
        <is>
          <t>Ara hesap adımları — eşleştirme motoru beslemesi (D13)</t>
        </is>
      </c>
    </row>
    <row r="4">
      <c r="A4" s="19" t="inlineStr">
        <is>
          <t>Adim</t>
        </is>
      </c>
      <c r="B4" s="19" t="inlineStr">
        <is>
          <t>Aciklama</t>
        </is>
      </c>
      <c r="C4" s="19" t="inlineStr">
        <is>
          <t>Deger</t>
        </is>
      </c>
    </row>
    <row r="5">
      <c r="A5" s="7" t="inlineStr">
        <is>
          <t>A01</t>
        </is>
      </c>
      <c r="B5" s="7" t="inlineStr">
        <is>
          <t>Cari satır sayısı</t>
        </is>
      </c>
      <c r="C5" s="20">
        <f>COUNTA(tblVeriA[VKN])</f>
        <v/>
      </c>
    </row>
    <row r="6">
      <c r="A6" s="7" t="inlineStr">
        <is>
          <t>A02</t>
        </is>
      </c>
      <c r="B6" s="7" t="inlineStr">
        <is>
          <t>Ba-Bs satır sayısı</t>
        </is>
      </c>
      <c r="C6" s="20">
        <f>COUNTA(tblVeriB[VKN])</f>
        <v/>
      </c>
    </row>
    <row r="7">
      <c r="A7" s="7" t="inlineStr">
        <is>
          <t>A03</t>
        </is>
      </c>
      <c r="B7" s="7" t="inlineStr">
        <is>
          <t>Cari toplam tutar</t>
        </is>
      </c>
      <c r="C7" s="70">
        <f>IFERROR(SUM(tblVeriA[Tutar]),0)</f>
        <v/>
      </c>
    </row>
    <row r="8">
      <c r="A8" s="7" t="inlineStr">
        <is>
          <t>A04</t>
        </is>
      </c>
      <c r="B8" s="7" t="inlineStr">
        <is>
          <t>Ba-Bs toplam tutar</t>
        </is>
      </c>
      <c r="C8" s="70">
        <f>IFERROR(SUM(tblVeriB[BeyanTutar]),0)</f>
        <v/>
      </c>
    </row>
    <row r="9">
      <c r="A9" s="7" t="inlineStr">
        <is>
          <t>A05</t>
        </is>
      </c>
      <c r="B9" s="7" t="inlineStr">
        <is>
          <t>Ham mutabakat farkı</t>
        </is>
      </c>
      <c r="C9" s="70">
        <f>C7-C8</f>
        <v/>
      </c>
    </row>
    <row r="10">
      <c r="A10" s="7" t="inlineStr">
        <is>
          <t>A06</t>
        </is>
      </c>
      <c r="B10" s="7" t="inlineStr">
        <is>
          <t>Mutlak fark</t>
        </is>
      </c>
      <c r="C10" s="70">
        <f>ABS(C9)</f>
        <v/>
      </c>
    </row>
    <row r="11">
      <c r="A11" s="7" t="inlineStr">
        <is>
          <t>A07</t>
        </is>
      </c>
      <c r="B11" s="7" t="inlineStr">
        <is>
          <t>Ortalama cari tutar</t>
        </is>
      </c>
      <c r="C11" s="70">
        <f>IFERROR(AVERAGE(tblVeriA[Tutar]),0)</f>
        <v/>
      </c>
    </row>
    <row r="12">
      <c r="A12" s="7" t="inlineStr">
        <is>
          <t>A08</t>
        </is>
      </c>
      <c r="B12" s="7" t="inlineStr">
        <is>
          <t>Ortalama beyan tutar</t>
        </is>
      </c>
      <c r="C12" s="70">
        <f>IFERROR(AVERAGE(tblVeriB[BeyanTutar]),0)</f>
        <v/>
      </c>
    </row>
    <row r="13">
      <c r="A13" s="7" t="inlineStr">
        <is>
          <t>A09</t>
        </is>
      </c>
      <c r="B13" s="7" t="inlineStr">
        <is>
          <t>Maks cari tutar</t>
        </is>
      </c>
      <c r="C13" s="70">
        <f>IFERROR(MAX(tblVeriA[Tutar]),0)</f>
        <v/>
      </c>
    </row>
    <row r="14">
      <c r="A14" s="7" t="inlineStr">
        <is>
          <t>A10</t>
        </is>
      </c>
      <c r="B14" s="7" t="inlineStr">
        <is>
          <t>Maks beyan tutar</t>
        </is>
      </c>
      <c r="C14" s="70">
        <f>IFERROR(MAX(tblVeriB[BeyanTutar]),0)</f>
        <v/>
      </c>
    </row>
    <row r="15">
      <c r="A15" s="7" t="inlineStr">
        <is>
          <t>A11</t>
        </is>
      </c>
      <c r="B15" s="7" t="inlineStr">
        <is>
          <t>Min cari tutar</t>
        </is>
      </c>
      <c r="C15" s="70">
        <f>IFERROR(MIN(tblVeriA[Tutar]),0)</f>
        <v/>
      </c>
    </row>
    <row r="16">
      <c r="A16" s="7" t="inlineStr">
        <is>
          <t>A12</t>
        </is>
      </c>
      <c r="B16" s="7" t="inlineStr">
        <is>
          <t>Min beyan tutar</t>
        </is>
      </c>
      <c r="C16" s="70">
        <f>IFERROR(MIN(tblVeriB[BeyanTutar]),0)</f>
        <v/>
      </c>
    </row>
    <row r="17">
      <c r="A17" s="7" t="inlineStr">
        <is>
          <t>A13</t>
        </is>
      </c>
      <c r="B17" s="7" t="inlineStr">
        <is>
          <t>Normalize A dolu</t>
        </is>
      </c>
      <c r="C17" s="20">
        <f>COUNTA(tblAnahtarA[Norm])</f>
        <v/>
      </c>
    </row>
    <row r="18">
      <c r="A18" s="7" t="inlineStr">
        <is>
          <t>A14</t>
        </is>
      </c>
      <c r="B18" s="7" t="inlineStr">
        <is>
          <t>Normalize B dolu</t>
        </is>
      </c>
      <c r="C18" s="20">
        <f>COUNTA(tblAnahtarB[NormB])</f>
        <v/>
      </c>
    </row>
    <row r="19">
      <c r="A19" s="7" t="inlineStr">
        <is>
          <t>A15</t>
        </is>
      </c>
      <c r="B19" s="7" t="inlineStr">
        <is>
          <t>Duplike A</t>
        </is>
      </c>
      <c r="C19" s="20">
        <f>COUNTIF(tblAnahtarA[Duplike],"EVET")</f>
        <v/>
      </c>
    </row>
    <row r="20">
      <c r="A20" s="7" t="inlineStr">
        <is>
          <t>A16</t>
        </is>
      </c>
      <c r="B20" s="7" t="inlineStr">
        <is>
          <t>Duplike B</t>
        </is>
      </c>
      <c r="C20" s="20">
        <f>COUNTIF(tblAnahtarB[DuplikeB],"EVET")</f>
        <v/>
      </c>
    </row>
    <row r="21">
      <c r="A21" s="7" t="inlineStr">
        <is>
          <t>A17</t>
        </is>
      </c>
      <c r="B21" s="7" t="inlineStr">
        <is>
          <t>Eşleşti adet</t>
        </is>
      </c>
      <c r="C21" s="20">
        <f>COUNTIF(tblEslesme[Kova],"eslesti")</f>
        <v/>
      </c>
    </row>
    <row r="22">
      <c r="A22" s="7" t="inlineStr">
        <is>
          <t>A18</t>
        </is>
      </c>
      <c r="B22" s="7" t="inlineStr">
        <is>
          <t>Tolerans adet</t>
        </is>
      </c>
      <c r="C22" s="20">
        <f>COUNTIF(tblEslesme[Kova],"tolerans_icinde")</f>
        <v/>
      </c>
    </row>
    <row r="23">
      <c r="A23" s="7" t="inlineStr">
        <is>
          <t>A19</t>
        </is>
      </c>
      <c r="B23" s="7" t="inlineStr">
        <is>
          <t>Tutar farkı adet</t>
        </is>
      </c>
      <c r="C23" s="70">
        <f>COUNTIF(tblEslesme[Kova],"tutar_farki")</f>
        <v/>
      </c>
    </row>
    <row r="24">
      <c r="A24" s="7" t="inlineStr">
        <is>
          <t>A20</t>
        </is>
      </c>
      <c r="B24" s="7" t="inlineStr">
        <is>
          <t>Eşleşmedi adet</t>
        </is>
      </c>
      <c r="C24" s="20">
        <f>COUNTIF(tblEslesme[Kova],"eslesmedi")</f>
        <v/>
      </c>
    </row>
    <row r="25">
      <c r="A25" s="7" t="inlineStr">
        <is>
          <t>A21</t>
        </is>
      </c>
      <c r="B25" s="7" t="inlineStr">
        <is>
          <t>Kova toplam</t>
        </is>
      </c>
      <c r="C25" s="20">
        <f>C21+C22+C23+C24</f>
        <v/>
      </c>
    </row>
    <row r="26">
      <c r="A26" s="7" t="inlineStr">
        <is>
          <t>A22</t>
        </is>
      </c>
      <c r="B26" s="7" t="inlineStr">
        <is>
          <t>Kova bütünlük</t>
        </is>
      </c>
      <c r="C26" s="20">
        <f>IF(C25=C5,"BUTUN","KAYIP")</f>
        <v/>
      </c>
    </row>
    <row r="27">
      <c r="A27" s="7" t="inlineStr">
        <is>
          <t>A23</t>
        </is>
      </c>
      <c r="B27" s="7" t="inlineStr">
        <is>
          <t>Eşleşme oranı ham</t>
        </is>
      </c>
      <c r="C27" s="71">
        <f>IF(C5=0,0,(C21+C22)/MAX(C5,1))</f>
        <v/>
      </c>
    </row>
    <row r="28">
      <c r="A28" s="7" t="inlineStr">
        <is>
          <t>A24</t>
        </is>
      </c>
      <c r="B28" s="7" t="inlineStr">
        <is>
          <t>Fark eşiği üstü</t>
        </is>
      </c>
      <c r="C28" s="20">
        <f>COUNTIF(tblEslesme[EsikUstu],1)</f>
        <v/>
      </c>
    </row>
    <row r="29">
      <c r="A29" s="7" t="inlineStr">
        <is>
          <t>A25</t>
        </is>
      </c>
      <c r="B29" s="7" t="inlineStr">
        <is>
          <t>Abs fark toplam</t>
        </is>
      </c>
      <c r="C29" s="70">
        <f>IFERROR(SUM(tblEslesme[AbsFark]),0)</f>
        <v/>
      </c>
    </row>
    <row r="30">
      <c r="A30" s="7" t="inlineStr">
        <is>
          <t>A26</t>
        </is>
      </c>
      <c r="B30" s="7" t="inlineStr">
        <is>
          <t>Ort abs fark</t>
        </is>
      </c>
      <c r="C30" s="70">
        <f>IFERROR(IF(C5=0,0,C29/MAX(C5,1)),0)</f>
        <v/>
      </c>
    </row>
    <row r="31">
      <c r="A31" s="7" t="inlineStr">
        <is>
          <t>A27</t>
        </is>
      </c>
      <c r="B31" s="7" t="inlineStr">
        <is>
          <t>Pareto pay</t>
        </is>
      </c>
      <c r="C31" s="71">
        <f>IFERROR(IF(C29=0,0,MAX(tblEslesme[AbsFark])/C29),0)</f>
        <v/>
      </c>
    </row>
    <row r="32">
      <c r="A32" s="7" t="inlineStr">
        <is>
          <t>A28</t>
        </is>
      </c>
      <c r="B32" s="7" t="inlineStr">
        <is>
          <t>VKN yoğunluğu</t>
        </is>
      </c>
      <c r="C32" s="71">
        <f>IFERROR(IF(C5=0,0,MAX(tblEslesme[A_Tutar])/MAX(C7,1)),0)</f>
        <v/>
      </c>
    </row>
    <row r="33">
      <c r="A33" s="7" t="inlineStr">
        <is>
          <t>A29</t>
        </is>
      </c>
      <c r="B33" s="7" t="inlineStr">
        <is>
          <t>Kalite skoru</t>
        </is>
      </c>
      <c r="C33" s="20">
        <f>IF(C5=0,0,ROUND(100*(C21+C22)/MAX(C5,1),0))</f>
        <v/>
      </c>
    </row>
    <row r="34">
      <c r="A34" s="7" t="inlineStr">
        <is>
          <t>A30</t>
        </is>
      </c>
      <c r="B34" s="7" t="inlineStr">
        <is>
          <t>Tahmin P90</t>
        </is>
      </c>
      <c r="C34" s="70">
        <f>IFERROR(PERCENTILE(tblVeriA[Tutar],cbb_yuzdelikOran),0)</f>
        <v/>
      </c>
    </row>
    <row r="35">
      <c r="A35" s="7" t="inlineStr">
        <is>
          <t>A31</t>
        </is>
      </c>
      <c r="B35" s="7" t="inlineStr">
        <is>
          <t>Tahmin medyan</t>
        </is>
      </c>
      <c r="C35" s="70">
        <f>IFERROR(PERCENTILE(tblVeriA[Tutar],cbb_medyanOran),0)</f>
        <v/>
      </c>
    </row>
    <row r="36">
      <c r="A36" s="7" t="inlineStr">
        <is>
          <t>A32</t>
        </is>
      </c>
      <c r="B36" s="7" t="inlineStr">
        <is>
          <t>Tornado zirve</t>
        </is>
      </c>
      <c r="C36" s="70">
        <f>IFERROR(MAX(PANO!K25:K29),0)</f>
        <v/>
      </c>
    </row>
    <row r="37">
      <c r="A37" s="7" t="inlineStr">
        <is>
          <t>A33</t>
        </is>
      </c>
      <c r="B37" s="7" t="inlineStr">
        <is>
          <t>Senaryo etki</t>
        </is>
      </c>
      <c r="C37" s="70">
        <f>IFERROR(SUM(PANO!K25:K29),0)</f>
        <v/>
      </c>
    </row>
    <row r="38">
      <c r="A38" s="7" t="inlineStr">
        <is>
          <t>A34</t>
        </is>
      </c>
      <c r="B38" s="7" t="inlineStr">
        <is>
          <t>TANIMSIZ adet</t>
        </is>
      </c>
      <c r="C38" s="20">
        <f>COUNTIF(tblKok[KokNeden],"TANIMSIZ")</f>
        <v/>
      </c>
    </row>
    <row r="39">
      <c r="A39" s="7" t="inlineStr">
        <is>
          <t>A35</t>
        </is>
      </c>
      <c r="B39" s="7" t="inlineStr">
        <is>
          <t>Kök neden dolu</t>
        </is>
      </c>
      <c r="C39" s="20">
        <f>IFERROR(SUMPRODUCT((tblKok[KokNeden]&lt;&gt;"")*1),0)</f>
        <v/>
      </c>
    </row>
    <row r="40">
      <c r="A40" s="7" t="inlineStr">
        <is>
          <t>A36</t>
        </is>
      </c>
      <c r="B40" s="7" t="inlineStr">
        <is>
          <t>Negatif cari</t>
        </is>
      </c>
      <c r="C40" s="20">
        <f>COUNTIF(tblVeriA[Tutar],"&lt;0")</f>
        <v/>
      </c>
    </row>
    <row r="41">
      <c r="A41" s="7" t="inlineStr">
        <is>
          <t>A37</t>
        </is>
      </c>
      <c r="B41" s="7" t="inlineStr">
        <is>
          <t>Negatif beyan</t>
        </is>
      </c>
      <c r="C41" s="20">
        <f>COUNTIF(tblVeriB[BeyanTutar],"&lt;0")</f>
        <v/>
      </c>
    </row>
    <row r="42">
      <c r="A42" s="7" t="inlineStr">
        <is>
          <t>A38</t>
        </is>
      </c>
      <c r="B42" s="7" t="inlineStr">
        <is>
          <t>Uç tutar A</t>
        </is>
      </c>
      <c r="C42" s="70">
        <f>COUNTIF(tblVeriA[Tutar],"&gt;"&amp;cbb_azamiTutar)</f>
        <v/>
      </c>
    </row>
    <row r="43">
      <c r="A43" s="7" t="inlineStr">
        <is>
          <t>A39</t>
        </is>
      </c>
      <c r="B43" s="7" t="inlineStr">
        <is>
          <t>Uç tutar B</t>
        </is>
      </c>
      <c r="C43" s="70">
        <f>COUNTIF(tblVeriB[BeyanTutar],"&gt;"&amp;cbb_azamiTutar)</f>
        <v/>
      </c>
    </row>
    <row r="44">
      <c r="A44" s="7" t="inlineStr">
        <is>
          <t>A40</t>
        </is>
      </c>
      <c r="B44" s="7" t="inlineStr">
        <is>
          <t>Hazırlık oranı</t>
        </is>
      </c>
      <c r="C44" s="71">
        <f>IF(C5=0,0,C5/(C5+MAX(C6,1)))</f>
        <v/>
      </c>
    </row>
    <row r="45">
      <c r="A45" s="7" t="inlineStr">
        <is>
          <t>A41</t>
        </is>
      </c>
      <c r="B45" s="7" t="inlineStr">
        <is>
          <t>Karar ön-skor</t>
        </is>
      </c>
      <c r="C45" s="20">
        <f>IF(C5=0,0,IF(C27&lt;cbb_esikEslesme,1,IF(C10&gt;cbb_esikFark,cbb_donemCarpan,cbb_unvanMinLen)))</f>
        <v/>
      </c>
    </row>
    <row r="46">
      <c r="A46" s="7" t="inlineStr">
        <is>
          <t>A42</t>
        </is>
      </c>
      <c r="B46" s="7" t="inlineStr">
        <is>
          <t>Belge adet toplam</t>
        </is>
      </c>
      <c r="C46" s="20">
        <f>IFERROR(SUM(tblVeriB[BelgeAdet]),0)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C26">
    <cfRule type="cellIs" priority="1" operator="equal" dxfId="2">
      <formula>"BUTUN"</formula>
    </cfRule>
    <cfRule type="cellIs" priority="2" operator="equal" dxfId="0">
      <formula>"KAYIP"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R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ESLESTIRME — Cari ve Ba-Bs Toplu Mutabakat Motoru</t>
        </is>
      </c>
    </row>
    <row r="2">
      <c r="A2" s="18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0" customHeight="1">
      <c r="A3" s="10" t="inlineStr">
        <is>
          <t>Dört kova motoru — her cari VKN tek kovaya düşer (E02)</t>
        </is>
      </c>
    </row>
    <row r="5" ht="30" customHeight="1">
      <c r="A5" s="12" t="inlineStr">
        <is>
          <t>A_Norm</t>
        </is>
      </c>
      <c r="B5" s="12" t="inlineStr">
        <is>
          <t>B_Sayim</t>
        </is>
      </c>
      <c r="C5" s="12" t="inlineStr">
        <is>
          <t>B_Tutar</t>
        </is>
      </c>
      <c r="D5" s="12" t="inlineStr">
        <is>
          <t>A_Tutar</t>
        </is>
      </c>
      <c r="E5" s="12" t="inlineStr">
        <is>
          <t>Fark</t>
        </is>
      </c>
      <c r="F5" s="12" t="inlineStr">
        <is>
          <t>AbsFark</t>
        </is>
      </c>
      <c r="G5" s="12" t="inlineStr">
        <is>
          <t>Kova</t>
        </is>
      </c>
      <c r="H5" s="12" t="inlineStr">
        <is>
          <t>IkincilEslesme</t>
        </is>
      </c>
      <c r="I5" s="12" t="inlineStr">
        <is>
          <t>DuplikeBayrak</t>
        </is>
      </c>
      <c r="J5" s="12" t="inlineStr">
        <is>
          <t>FarkOran</t>
        </is>
      </c>
      <c r="K5" s="12" t="inlineStr">
        <is>
          <t>YuvarlakA</t>
        </is>
      </c>
      <c r="L5" s="12" t="inlineStr">
        <is>
          <t>YuvarlakB</t>
        </is>
      </c>
      <c r="M5" s="12" t="inlineStr">
        <is>
          <t>ToleransTest</t>
        </is>
      </c>
      <c r="N5" s="12" t="inlineStr">
        <is>
          <t>EsikUstu</t>
        </is>
      </c>
      <c r="O5" s="12" t="inlineStr">
        <is>
          <t>NetKatki</t>
        </is>
      </c>
      <c r="P5" s="12" t="inlineStr">
        <is>
          <t>MotorAdim</t>
        </is>
      </c>
    </row>
    <row r="6">
      <c r="A6" s="16">
        <f>IF('ANAHTAR'!$B6="","",'ANAHTAR'!$B6)</f>
        <v/>
      </c>
      <c r="B6" s="16">
        <f>IF($A6="","",COUNTIF(tblAnahtarB[NormB],$A6))</f>
        <v/>
      </c>
      <c r="C6" s="16">
        <f>IF($A6="","",SUMIF(tblAnahtarB[NormB],$A6,tblVeriB[BeyanTutar]))</f>
        <v/>
      </c>
      <c r="D6" s="16">
        <f>IF($A6="","",SUMIF(tblAnahtarA[Norm],$A6,tblVeriA[Tutar]))</f>
        <v/>
      </c>
      <c r="E6" s="16">
        <f>IF($A6="","",ROUND($D6,2)-ROUND($C6,2))</f>
        <v/>
      </c>
      <c r="F6" s="16">
        <f>IF($A6="","",ABS($E6))</f>
        <v/>
      </c>
      <c r="G6" s="16">
        <f>IF($A6="","",IF($B6=0,"eslesmedi",IF(ROUND($D6,2)=ROUND($C6,2),"eslesti",IF(ABS(ROUND($D6,2)-ROUND($C6,2))&lt;=toleransKurus,"tolerans_icinde","tutar_farki"))))</f>
        <v/>
      </c>
      <c r="H6" s="16">
        <f>IF($A6="","",IF($B6&gt;0,"BIRINCIL",IF(COUNTIF(tblAnahtarB[IkincilB],'ANAHTAR'!$D6)&gt;0,"IKINCIL","YOK")))</f>
        <v/>
      </c>
      <c r="I6" s="16">
        <f>IF($A6="","",'ANAHTAR'!$F6)</f>
        <v/>
      </c>
      <c r="J6" s="16">
        <f>IF(OR($A6="",$D6=0),0,$F6/ABS($D6))</f>
        <v/>
      </c>
      <c r="K6" s="16">
        <f>IF($A6="","",ROUND($D6,2))</f>
        <v/>
      </c>
      <c r="L6" s="16">
        <f>IF($A6="","",ROUND($C6,2))</f>
        <v/>
      </c>
      <c r="M6" s="16">
        <f>IF($A6="","",IF($F6&lt;=toleransKurus,1,0))</f>
        <v/>
      </c>
      <c r="N6" s="16">
        <f>IF($A6="","",IF($F6&gt;cbb_esikFark,1,0))</f>
        <v/>
      </c>
      <c r="O6" s="16">
        <f>IF($A6="","",IF($G6="eslesti",$D6,0))</f>
        <v/>
      </c>
      <c r="P6" s="16">
        <f>IF($A6="","",$B6+$M6+$N6)</f>
        <v/>
      </c>
    </row>
    <row r="7">
      <c r="A7" s="16">
        <f>IF('ANAHTAR'!$B7="","",'ANAHTAR'!$B7)</f>
        <v/>
      </c>
      <c r="B7" s="16">
        <f>IF($A7="","",COUNTIF(tblAnahtarB[NormB],$A7))</f>
        <v/>
      </c>
      <c r="C7" s="16">
        <f>IF($A7="","",SUMIF(tblAnahtarB[NormB],$A7,tblVeriB[BeyanTutar]))</f>
        <v/>
      </c>
      <c r="D7" s="16">
        <f>IF($A7="","",SUMIF(tblAnahtarA[Norm],$A7,tblVeriA[Tutar]))</f>
        <v/>
      </c>
      <c r="E7" s="16">
        <f>IF($A7="","",ROUND($D7,2)-ROUND($C7,2))</f>
        <v/>
      </c>
      <c r="F7" s="16">
        <f>IF($A7="","",ABS($E7))</f>
        <v/>
      </c>
      <c r="G7" s="16">
        <f>IF($A7="","",IF($B7=0,"eslesmedi",IF(ROUND($D7,2)=ROUND($C7,2),"eslesti",IF(ABS(ROUND($D7,2)-ROUND($C7,2))&lt;=toleransKurus,"tolerans_icinde","tutar_farki"))))</f>
        <v/>
      </c>
      <c r="H7" s="16">
        <f>IF($A7="","",IF($B7&gt;0,"BIRINCIL",IF(COUNTIF(tblAnahtarB[IkincilB],'ANAHTAR'!$D7)&gt;0,"IKINCIL","YOK")))</f>
        <v/>
      </c>
      <c r="I7" s="16">
        <f>IF($A7="","",'ANAHTAR'!$F7)</f>
        <v/>
      </c>
      <c r="J7" s="16">
        <f>IF(OR($A7="",$D7=0),0,$F7/ABS($D7))</f>
        <v/>
      </c>
      <c r="K7" s="16">
        <f>IF($A7="","",ROUND($D7,2))</f>
        <v/>
      </c>
      <c r="L7" s="16">
        <f>IF($A7="","",ROUND($C7,2))</f>
        <v/>
      </c>
      <c r="M7" s="16">
        <f>IF($A7="","",IF($F7&lt;=toleransKurus,1,0))</f>
        <v/>
      </c>
      <c r="N7" s="16">
        <f>IF($A7="","",IF($F7&gt;cbb_esikFark,1,0))</f>
        <v/>
      </c>
      <c r="O7" s="16">
        <f>IF($A7="","",IF($G7="eslesti",$D7,0))</f>
        <v/>
      </c>
      <c r="P7" s="16">
        <f>IF($A7="","",$B7+$M7+$N7)</f>
        <v/>
      </c>
    </row>
    <row r="8">
      <c r="A8" s="16">
        <f>IF('ANAHTAR'!$B8="","",'ANAHTAR'!$B8)</f>
        <v/>
      </c>
      <c r="B8" s="16">
        <f>IF($A8="","",COUNTIF(tblAnahtarB[NormB],$A8))</f>
        <v/>
      </c>
      <c r="C8" s="16">
        <f>IF($A8="","",SUMIF(tblAnahtarB[NormB],$A8,tblVeriB[BeyanTutar]))</f>
        <v/>
      </c>
      <c r="D8" s="16">
        <f>IF($A8="","",SUMIF(tblAnahtarA[Norm],$A8,tblVeriA[Tutar]))</f>
        <v/>
      </c>
      <c r="E8" s="16">
        <f>IF($A8="","",ROUND($D8,2)-ROUND($C8,2))</f>
        <v/>
      </c>
      <c r="F8" s="16">
        <f>IF($A8="","",ABS($E8))</f>
        <v/>
      </c>
      <c r="G8" s="16">
        <f>IF($A8="","",IF($B8=0,"eslesmedi",IF(ROUND($D8,2)=ROUND($C8,2),"eslesti",IF(ABS(ROUND($D8,2)-ROUND($C8,2))&lt;=toleransKurus,"tolerans_icinde","tutar_farki"))))</f>
        <v/>
      </c>
      <c r="H8" s="16">
        <f>IF($A8="","",IF($B8&gt;0,"BIRINCIL",IF(COUNTIF(tblAnahtarB[IkincilB],'ANAHTAR'!$D8)&gt;0,"IKINCIL","YOK")))</f>
        <v/>
      </c>
      <c r="I8" s="16">
        <f>IF($A8="","",'ANAHTAR'!$F8)</f>
        <v/>
      </c>
      <c r="J8" s="16">
        <f>IF(OR($A8="",$D8=0),0,$F8/ABS($D8))</f>
        <v/>
      </c>
      <c r="K8" s="16">
        <f>IF($A8="","",ROUND($D8,2))</f>
        <v/>
      </c>
      <c r="L8" s="16">
        <f>IF($A8="","",ROUND($C8,2))</f>
        <v/>
      </c>
      <c r="M8" s="16">
        <f>IF($A8="","",IF($F8&lt;=toleransKurus,1,0))</f>
        <v/>
      </c>
      <c r="N8" s="16">
        <f>IF($A8="","",IF($F8&gt;cbb_esikFark,1,0))</f>
        <v/>
      </c>
      <c r="O8" s="16">
        <f>IF($A8="","",IF($G8="eslesti",$D8,0))</f>
        <v/>
      </c>
      <c r="P8" s="16">
        <f>IF($A8="","",$B8+$M8+$N8)</f>
        <v/>
      </c>
    </row>
    <row r="9">
      <c r="A9" s="16">
        <f>IF('ANAHTAR'!$B9="","",'ANAHTAR'!$B9)</f>
        <v/>
      </c>
      <c r="B9" s="16">
        <f>IF($A9="","",COUNTIF(tblAnahtarB[NormB],$A9))</f>
        <v/>
      </c>
      <c r="C9" s="16">
        <f>IF($A9="","",SUMIF(tblAnahtarB[NormB],$A9,tblVeriB[BeyanTutar]))</f>
        <v/>
      </c>
      <c r="D9" s="16">
        <f>IF($A9="","",SUMIF(tblAnahtarA[Norm],$A9,tblVeriA[Tutar]))</f>
        <v/>
      </c>
      <c r="E9" s="16">
        <f>IF($A9="","",ROUND($D9,2)-ROUND($C9,2))</f>
        <v/>
      </c>
      <c r="F9" s="16">
        <f>IF($A9="","",ABS($E9))</f>
        <v/>
      </c>
      <c r="G9" s="16">
        <f>IF($A9="","",IF($B9=0,"eslesmedi",IF(ROUND($D9,2)=ROUND($C9,2),"eslesti",IF(ABS(ROUND($D9,2)-ROUND($C9,2))&lt;=toleransKurus,"tolerans_icinde","tutar_farki"))))</f>
        <v/>
      </c>
      <c r="H9" s="16">
        <f>IF($A9="","",IF($B9&gt;0,"BIRINCIL",IF(COUNTIF(tblAnahtarB[IkincilB],'ANAHTAR'!$D9)&gt;0,"IKINCIL","YOK")))</f>
        <v/>
      </c>
      <c r="I9" s="16">
        <f>IF($A9="","",'ANAHTAR'!$F9)</f>
        <v/>
      </c>
      <c r="J9" s="16">
        <f>IF(OR($A9="",$D9=0),0,$F9/ABS($D9))</f>
        <v/>
      </c>
      <c r="K9" s="16">
        <f>IF($A9="","",ROUND($D9,2))</f>
        <v/>
      </c>
      <c r="L9" s="16">
        <f>IF($A9="","",ROUND($C9,2))</f>
        <v/>
      </c>
      <c r="M9" s="16">
        <f>IF($A9="","",IF($F9&lt;=toleransKurus,1,0))</f>
        <v/>
      </c>
      <c r="N9" s="16">
        <f>IF($A9="","",IF($F9&gt;cbb_esikFark,1,0))</f>
        <v/>
      </c>
      <c r="O9" s="16">
        <f>IF($A9="","",IF($G9="eslesti",$D9,0))</f>
        <v/>
      </c>
      <c r="P9" s="16">
        <f>IF($A9="","",$B9+$M9+$N9)</f>
        <v/>
      </c>
    </row>
    <row r="10">
      <c r="A10" s="16">
        <f>IF('ANAHTAR'!$B10="","",'ANAHTAR'!$B10)</f>
        <v/>
      </c>
      <c r="B10" s="16">
        <f>IF($A10="","",COUNTIF(tblAnahtarB[NormB],$A10))</f>
        <v/>
      </c>
      <c r="C10" s="16">
        <f>IF($A10="","",SUMIF(tblAnahtarB[NormB],$A10,tblVeriB[BeyanTutar]))</f>
        <v/>
      </c>
      <c r="D10" s="16">
        <f>IF($A10="","",SUMIF(tblAnahtarA[Norm],$A10,tblVeriA[Tutar]))</f>
        <v/>
      </c>
      <c r="E10" s="16">
        <f>IF($A10="","",ROUND($D10,2)-ROUND($C10,2))</f>
        <v/>
      </c>
      <c r="F10" s="16">
        <f>IF($A10="","",ABS($E10))</f>
        <v/>
      </c>
      <c r="G10" s="16">
        <f>IF($A10="","",IF($B10=0,"eslesmedi",IF(ROUND($D10,2)=ROUND($C10,2),"eslesti",IF(ABS(ROUND($D10,2)-ROUND($C10,2))&lt;=toleransKurus,"tolerans_icinde","tutar_farki"))))</f>
        <v/>
      </c>
      <c r="H10" s="16">
        <f>IF($A10="","",IF($B10&gt;0,"BIRINCIL",IF(COUNTIF(tblAnahtarB[IkincilB],'ANAHTAR'!$D10)&gt;0,"IKINCIL","YOK")))</f>
        <v/>
      </c>
      <c r="I10" s="16">
        <f>IF($A10="","",'ANAHTAR'!$F10)</f>
        <v/>
      </c>
      <c r="J10" s="16">
        <f>IF(OR($A10="",$D10=0),0,$F10/ABS($D10))</f>
        <v/>
      </c>
      <c r="K10" s="16">
        <f>IF($A10="","",ROUND($D10,2))</f>
        <v/>
      </c>
      <c r="L10" s="16">
        <f>IF($A10="","",ROUND($C10,2))</f>
        <v/>
      </c>
      <c r="M10" s="16">
        <f>IF($A10="","",IF($F10&lt;=toleransKurus,1,0))</f>
        <v/>
      </c>
      <c r="N10" s="16">
        <f>IF($A10="","",IF($F10&gt;cbb_esikFark,1,0))</f>
        <v/>
      </c>
      <c r="O10" s="16">
        <f>IF($A10="","",IF($G10="eslesti",$D10,0))</f>
        <v/>
      </c>
      <c r="P10" s="16">
        <f>IF($A10="","",$B10+$M10+$N10)</f>
        <v/>
      </c>
    </row>
    <row r="11">
      <c r="A11" s="16">
        <f>IF('ANAHTAR'!$B11="","",'ANAHTAR'!$B11)</f>
        <v/>
      </c>
      <c r="B11" s="16">
        <f>IF($A11="","",COUNTIF(tblAnahtarB[NormB],$A11))</f>
        <v/>
      </c>
      <c r="C11" s="16">
        <f>IF($A11="","",SUMIF(tblAnahtarB[NormB],$A11,tblVeriB[BeyanTutar]))</f>
        <v/>
      </c>
      <c r="D11" s="16">
        <f>IF($A11="","",SUMIF(tblAnahtarA[Norm],$A11,tblVeriA[Tutar]))</f>
        <v/>
      </c>
      <c r="E11" s="16">
        <f>IF($A11="","",ROUND($D11,2)-ROUND($C11,2))</f>
        <v/>
      </c>
      <c r="F11" s="16">
        <f>IF($A11="","",ABS($E11))</f>
        <v/>
      </c>
      <c r="G11" s="16">
        <f>IF($A11="","",IF($B11=0,"eslesmedi",IF(ROUND($D11,2)=ROUND($C11,2),"eslesti",IF(ABS(ROUND($D11,2)-ROUND($C11,2))&lt;=toleransKurus,"tolerans_icinde","tutar_farki"))))</f>
        <v/>
      </c>
      <c r="H11" s="16">
        <f>IF($A11="","",IF($B11&gt;0,"BIRINCIL",IF(COUNTIF(tblAnahtarB[IkincilB],'ANAHTAR'!$D11)&gt;0,"IKINCIL","YOK")))</f>
        <v/>
      </c>
      <c r="I11" s="16">
        <f>IF($A11="","",'ANAHTAR'!$F11)</f>
        <v/>
      </c>
      <c r="J11" s="16">
        <f>IF(OR($A11="",$D11=0),0,$F11/ABS($D11))</f>
        <v/>
      </c>
      <c r="K11" s="16">
        <f>IF($A11="","",ROUND($D11,2))</f>
        <v/>
      </c>
      <c r="L11" s="16">
        <f>IF($A11="","",ROUND($C11,2))</f>
        <v/>
      </c>
      <c r="M11" s="16">
        <f>IF($A11="","",IF($F11&lt;=toleransKurus,1,0))</f>
        <v/>
      </c>
      <c r="N11" s="16">
        <f>IF($A11="","",IF($F11&gt;cbb_esikFark,1,0))</f>
        <v/>
      </c>
      <c r="O11" s="16">
        <f>IF($A11="","",IF($G11="eslesti",$D11,0))</f>
        <v/>
      </c>
      <c r="P11" s="16">
        <f>IF($A11="","",$B11+$M11+$N11)</f>
        <v/>
      </c>
    </row>
    <row r="12">
      <c r="A12" s="16">
        <f>IF('ANAHTAR'!$B12="","",'ANAHTAR'!$B12)</f>
        <v/>
      </c>
      <c r="B12" s="16">
        <f>IF($A12="","",COUNTIF(tblAnahtarB[NormB],$A12))</f>
        <v/>
      </c>
      <c r="C12" s="16">
        <f>IF($A12="","",SUMIF(tblAnahtarB[NormB],$A12,tblVeriB[BeyanTutar]))</f>
        <v/>
      </c>
      <c r="D12" s="16">
        <f>IF($A12="","",SUMIF(tblAnahtarA[Norm],$A12,tblVeriA[Tutar]))</f>
        <v/>
      </c>
      <c r="E12" s="16">
        <f>IF($A12="","",ROUND($D12,2)-ROUND($C12,2))</f>
        <v/>
      </c>
      <c r="F12" s="16">
        <f>IF($A12="","",ABS($E12))</f>
        <v/>
      </c>
      <c r="G12" s="16">
        <f>IF($A12="","",IF($B12=0,"eslesmedi",IF(ROUND($D12,2)=ROUND($C12,2),"eslesti",IF(ABS(ROUND($D12,2)-ROUND($C12,2))&lt;=toleransKurus,"tolerans_icinde","tutar_farki"))))</f>
        <v/>
      </c>
      <c r="H12" s="16">
        <f>IF($A12="","",IF($B12&gt;0,"BIRINCIL",IF(COUNTIF(tblAnahtarB[IkincilB],'ANAHTAR'!$D12)&gt;0,"IKINCIL","YOK")))</f>
        <v/>
      </c>
      <c r="I12" s="16">
        <f>IF($A12="","",'ANAHTAR'!$F12)</f>
        <v/>
      </c>
      <c r="J12" s="16">
        <f>IF(OR($A12="",$D12=0),0,$F12/ABS($D12))</f>
        <v/>
      </c>
      <c r="K12" s="16">
        <f>IF($A12="","",ROUND($D12,2))</f>
        <v/>
      </c>
      <c r="L12" s="16">
        <f>IF($A12="","",ROUND($C12,2))</f>
        <v/>
      </c>
      <c r="M12" s="16">
        <f>IF($A12="","",IF($F12&lt;=toleransKurus,1,0))</f>
        <v/>
      </c>
      <c r="N12" s="16">
        <f>IF($A12="","",IF($F12&gt;cbb_esikFark,1,0))</f>
        <v/>
      </c>
      <c r="O12" s="16">
        <f>IF($A12="","",IF($G12="eslesti",$D12,0))</f>
        <v/>
      </c>
      <c r="P12" s="16">
        <f>IF($A12="","",$B12+$M12+$N12)</f>
        <v/>
      </c>
    </row>
    <row r="13">
      <c r="A13" s="16">
        <f>IF('ANAHTAR'!$B13="","",'ANAHTAR'!$B13)</f>
        <v/>
      </c>
      <c r="B13" s="16">
        <f>IF($A13="","",COUNTIF(tblAnahtarB[NormB],$A13))</f>
        <v/>
      </c>
      <c r="C13" s="16">
        <f>IF($A13="","",SUMIF(tblAnahtarB[NormB],$A13,tblVeriB[BeyanTutar]))</f>
        <v/>
      </c>
      <c r="D13" s="16">
        <f>IF($A13="","",SUMIF(tblAnahtarA[Norm],$A13,tblVeriA[Tutar]))</f>
        <v/>
      </c>
      <c r="E13" s="16">
        <f>IF($A13="","",ROUND($D13,2)-ROUND($C13,2))</f>
        <v/>
      </c>
      <c r="F13" s="16">
        <f>IF($A13="","",ABS($E13))</f>
        <v/>
      </c>
      <c r="G13" s="16">
        <f>IF($A13="","",IF($B13=0,"eslesmedi",IF(ROUND($D13,2)=ROUND($C13,2),"eslesti",IF(ABS(ROUND($D13,2)-ROUND($C13,2))&lt;=toleransKurus,"tolerans_icinde","tutar_farki"))))</f>
        <v/>
      </c>
      <c r="H13" s="16">
        <f>IF($A13="","",IF($B13&gt;0,"BIRINCIL",IF(COUNTIF(tblAnahtarB[IkincilB],'ANAHTAR'!$D13)&gt;0,"IKINCIL","YOK")))</f>
        <v/>
      </c>
      <c r="I13" s="16">
        <f>IF($A13="","",'ANAHTAR'!$F13)</f>
        <v/>
      </c>
      <c r="J13" s="16">
        <f>IF(OR($A13="",$D13=0),0,$F13/ABS($D13))</f>
        <v/>
      </c>
      <c r="K13" s="16">
        <f>IF($A13="","",ROUND($D13,2))</f>
        <v/>
      </c>
      <c r="L13" s="16">
        <f>IF($A13="","",ROUND($C13,2))</f>
        <v/>
      </c>
      <c r="M13" s="16">
        <f>IF($A13="","",IF($F13&lt;=toleransKurus,1,0))</f>
        <v/>
      </c>
      <c r="N13" s="16">
        <f>IF($A13="","",IF($F13&gt;cbb_esikFark,1,0))</f>
        <v/>
      </c>
      <c r="O13" s="16">
        <f>IF($A13="","",IF($G13="eslesti",$D13,0))</f>
        <v/>
      </c>
      <c r="P13" s="16">
        <f>IF($A13="","",$B13+$M13+$N13)</f>
        <v/>
      </c>
    </row>
    <row r="14">
      <c r="A14" s="16">
        <f>IF('ANAHTAR'!$B14="","",'ANAHTAR'!$B14)</f>
        <v/>
      </c>
      <c r="B14" s="16">
        <f>IF($A14="","",COUNTIF(tblAnahtarB[NormB],$A14))</f>
        <v/>
      </c>
      <c r="C14" s="16">
        <f>IF($A14="","",SUMIF(tblAnahtarB[NormB],$A14,tblVeriB[BeyanTutar]))</f>
        <v/>
      </c>
      <c r="D14" s="16">
        <f>IF($A14="","",SUMIF(tblAnahtarA[Norm],$A14,tblVeriA[Tutar]))</f>
        <v/>
      </c>
      <c r="E14" s="16">
        <f>IF($A14="","",ROUND($D14,2)-ROUND($C14,2))</f>
        <v/>
      </c>
      <c r="F14" s="16">
        <f>IF($A14="","",ABS($E14))</f>
        <v/>
      </c>
      <c r="G14" s="16">
        <f>IF($A14="","",IF($B14=0,"eslesmedi",IF(ROUND($D14,2)=ROUND($C14,2),"eslesti",IF(ABS(ROUND($D14,2)-ROUND($C14,2))&lt;=toleransKurus,"tolerans_icinde","tutar_farki"))))</f>
        <v/>
      </c>
      <c r="H14" s="16">
        <f>IF($A14="","",IF($B14&gt;0,"BIRINCIL",IF(COUNTIF(tblAnahtarB[IkincilB],'ANAHTAR'!$D14)&gt;0,"IKINCIL","YOK")))</f>
        <v/>
      </c>
      <c r="I14" s="16">
        <f>IF($A14="","",'ANAHTAR'!$F14)</f>
        <v/>
      </c>
      <c r="J14" s="16">
        <f>IF(OR($A14="",$D14=0),0,$F14/ABS($D14))</f>
        <v/>
      </c>
      <c r="K14" s="16">
        <f>IF($A14="","",ROUND($D14,2))</f>
        <v/>
      </c>
      <c r="L14" s="16">
        <f>IF($A14="","",ROUND($C14,2))</f>
        <v/>
      </c>
      <c r="M14" s="16">
        <f>IF($A14="","",IF($F14&lt;=toleransKurus,1,0))</f>
        <v/>
      </c>
      <c r="N14" s="16">
        <f>IF($A14="","",IF($F14&gt;cbb_esikFark,1,0))</f>
        <v/>
      </c>
      <c r="O14" s="16">
        <f>IF($A14="","",IF($G14="eslesti",$D14,0))</f>
        <v/>
      </c>
      <c r="P14" s="16">
        <f>IF($A14="","",$B14+$M14+$N14)</f>
        <v/>
      </c>
    </row>
    <row r="15">
      <c r="A15" s="16">
        <f>IF('ANAHTAR'!$B15="","",'ANAHTAR'!$B15)</f>
        <v/>
      </c>
      <c r="B15" s="16">
        <f>IF($A15="","",COUNTIF(tblAnahtarB[NormB],$A15))</f>
        <v/>
      </c>
      <c r="C15" s="16">
        <f>IF($A15="","",SUMIF(tblAnahtarB[NormB],$A15,tblVeriB[BeyanTutar]))</f>
        <v/>
      </c>
      <c r="D15" s="16">
        <f>IF($A15="","",SUMIF(tblAnahtarA[Norm],$A15,tblVeriA[Tutar]))</f>
        <v/>
      </c>
      <c r="E15" s="16">
        <f>IF($A15="","",ROUND($D15,2)-ROUND($C15,2))</f>
        <v/>
      </c>
      <c r="F15" s="16">
        <f>IF($A15="","",ABS($E15))</f>
        <v/>
      </c>
      <c r="G15" s="16">
        <f>IF($A15="","",IF($B15=0,"eslesmedi",IF(ROUND($D15,2)=ROUND($C15,2),"eslesti",IF(ABS(ROUND($D15,2)-ROUND($C15,2))&lt;=toleransKurus,"tolerans_icinde","tutar_farki"))))</f>
        <v/>
      </c>
      <c r="H15" s="16">
        <f>IF($A15="","",IF($B15&gt;0,"BIRINCIL",IF(COUNTIF(tblAnahtarB[IkincilB],'ANAHTAR'!$D15)&gt;0,"IKINCIL","YOK")))</f>
        <v/>
      </c>
      <c r="I15" s="16">
        <f>IF($A15="","",'ANAHTAR'!$F15)</f>
        <v/>
      </c>
      <c r="J15" s="16">
        <f>IF(OR($A15="",$D15=0),0,$F15/ABS($D15))</f>
        <v/>
      </c>
      <c r="K15" s="16">
        <f>IF($A15="","",ROUND($D15,2))</f>
        <v/>
      </c>
      <c r="L15" s="16">
        <f>IF($A15="","",ROUND($C15,2))</f>
        <v/>
      </c>
      <c r="M15" s="16">
        <f>IF($A15="","",IF($F15&lt;=toleransKurus,1,0))</f>
        <v/>
      </c>
      <c r="N15" s="16">
        <f>IF($A15="","",IF($F15&gt;cbb_esikFark,1,0))</f>
        <v/>
      </c>
      <c r="O15" s="16">
        <f>IF($A15="","",IF($G15="eslesti",$D15,0))</f>
        <v/>
      </c>
      <c r="P15" s="16">
        <f>IF($A15="","",$B15+$M15+$N15)</f>
        <v/>
      </c>
    </row>
    <row r="16">
      <c r="A16" s="16">
        <f>IF('ANAHTAR'!$B16="","",'ANAHTAR'!$B16)</f>
        <v/>
      </c>
      <c r="B16" s="16">
        <f>IF($A16="","",COUNTIF(tblAnahtarB[NormB],$A16))</f>
        <v/>
      </c>
      <c r="C16" s="16">
        <f>IF($A16="","",SUMIF(tblAnahtarB[NormB],$A16,tblVeriB[BeyanTutar]))</f>
        <v/>
      </c>
      <c r="D16" s="16">
        <f>IF($A16="","",SUMIF(tblAnahtarA[Norm],$A16,tblVeriA[Tutar]))</f>
        <v/>
      </c>
      <c r="E16" s="16">
        <f>IF($A16="","",ROUND($D16,2)-ROUND($C16,2))</f>
        <v/>
      </c>
      <c r="F16" s="16">
        <f>IF($A16="","",ABS($E16))</f>
        <v/>
      </c>
      <c r="G16" s="16">
        <f>IF($A16="","",IF($B16=0,"eslesmedi",IF(ROUND($D16,2)=ROUND($C16,2),"eslesti",IF(ABS(ROUND($D16,2)-ROUND($C16,2))&lt;=toleransKurus,"tolerans_icinde","tutar_farki"))))</f>
        <v/>
      </c>
      <c r="H16" s="16">
        <f>IF($A16="","",IF($B16&gt;0,"BIRINCIL",IF(COUNTIF(tblAnahtarB[IkincilB],'ANAHTAR'!$D16)&gt;0,"IKINCIL","YOK")))</f>
        <v/>
      </c>
      <c r="I16" s="16">
        <f>IF($A16="","",'ANAHTAR'!$F16)</f>
        <v/>
      </c>
      <c r="J16" s="16">
        <f>IF(OR($A16="",$D16=0),0,$F16/ABS($D16))</f>
        <v/>
      </c>
      <c r="K16" s="16">
        <f>IF($A16="","",ROUND($D16,2))</f>
        <v/>
      </c>
      <c r="L16" s="16">
        <f>IF($A16="","",ROUND($C16,2))</f>
        <v/>
      </c>
      <c r="M16" s="16">
        <f>IF($A16="","",IF($F16&lt;=toleransKurus,1,0))</f>
        <v/>
      </c>
      <c r="N16" s="16">
        <f>IF($A16="","",IF($F16&gt;cbb_esikFark,1,0))</f>
        <v/>
      </c>
      <c r="O16" s="16">
        <f>IF($A16="","",IF($G16="eslesti",$D16,0))</f>
        <v/>
      </c>
      <c r="P16" s="16">
        <f>IF($A16="","",$B16+$M16+$N16)</f>
        <v/>
      </c>
    </row>
    <row r="17">
      <c r="A17" s="16">
        <f>IF('ANAHTAR'!$B17="","",'ANAHTAR'!$B17)</f>
        <v/>
      </c>
      <c r="B17" s="16">
        <f>IF($A17="","",COUNTIF(tblAnahtarB[NormB],$A17))</f>
        <v/>
      </c>
      <c r="C17" s="16">
        <f>IF($A17="","",SUMIF(tblAnahtarB[NormB],$A17,tblVeriB[BeyanTutar]))</f>
        <v/>
      </c>
      <c r="D17" s="16">
        <f>IF($A17="","",SUMIF(tblAnahtarA[Norm],$A17,tblVeriA[Tutar]))</f>
        <v/>
      </c>
      <c r="E17" s="16">
        <f>IF($A17="","",ROUND($D17,2)-ROUND($C17,2))</f>
        <v/>
      </c>
      <c r="F17" s="16">
        <f>IF($A17="","",ABS($E17))</f>
        <v/>
      </c>
      <c r="G17" s="16">
        <f>IF($A17="","",IF($B17=0,"eslesmedi",IF(ROUND($D17,2)=ROUND($C17,2),"eslesti",IF(ABS(ROUND($D17,2)-ROUND($C17,2))&lt;=toleransKurus,"tolerans_icinde","tutar_farki"))))</f>
        <v/>
      </c>
      <c r="H17" s="16">
        <f>IF($A17="","",IF($B17&gt;0,"BIRINCIL",IF(COUNTIF(tblAnahtarB[IkincilB],'ANAHTAR'!$D17)&gt;0,"IKINCIL","YOK")))</f>
        <v/>
      </c>
      <c r="I17" s="16">
        <f>IF($A17="","",'ANAHTAR'!$F17)</f>
        <v/>
      </c>
      <c r="J17" s="16">
        <f>IF(OR($A17="",$D17=0),0,$F17/ABS($D17))</f>
        <v/>
      </c>
      <c r="K17" s="16">
        <f>IF($A17="","",ROUND($D17,2))</f>
        <v/>
      </c>
      <c r="L17" s="16">
        <f>IF($A17="","",ROUND($C17,2))</f>
        <v/>
      </c>
      <c r="M17" s="16">
        <f>IF($A17="","",IF($F17&lt;=toleransKurus,1,0))</f>
        <v/>
      </c>
      <c r="N17" s="16">
        <f>IF($A17="","",IF($F17&gt;cbb_esikFark,1,0))</f>
        <v/>
      </c>
      <c r="O17" s="16">
        <f>IF($A17="","",IF($G17="eslesti",$D17,0))</f>
        <v/>
      </c>
      <c r="P17" s="16">
        <f>IF($A17="","",$B17+$M17+$N17)</f>
        <v/>
      </c>
    </row>
    <row r="18">
      <c r="A18" s="16">
        <f>IF('ANAHTAR'!$B18="","",'ANAHTAR'!$B18)</f>
        <v/>
      </c>
      <c r="B18" s="16">
        <f>IF($A18="","",COUNTIF(tblAnahtarB[NormB],$A18))</f>
        <v/>
      </c>
      <c r="C18" s="16">
        <f>IF($A18="","",SUMIF(tblAnahtarB[NormB],$A18,tblVeriB[BeyanTutar]))</f>
        <v/>
      </c>
      <c r="D18" s="16">
        <f>IF($A18="","",SUMIF(tblAnahtarA[Norm],$A18,tblVeriA[Tutar]))</f>
        <v/>
      </c>
      <c r="E18" s="16">
        <f>IF($A18="","",ROUND($D18,2)-ROUND($C18,2))</f>
        <v/>
      </c>
      <c r="F18" s="16">
        <f>IF($A18="","",ABS($E18))</f>
        <v/>
      </c>
      <c r="G18" s="16">
        <f>IF($A18="","",IF($B18=0,"eslesmedi",IF(ROUND($D18,2)=ROUND($C18,2),"eslesti",IF(ABS(ROUND($D18,2)-ROUND($C18,2))&lt;=toleransKurus,"tolerans_icinde","tutar_farki"))))</f>
        <v/>
      </c>
      <c r="H18" s="16">
        <f>IF($A18="","",IF($B18&gt;0,"BIRINCIL",IF(COUNTIF(tblAnahtarB[IkincilB],'ANAHTAR'!$D18)&gt;0,"IKINCIL","YOK")))</f>
        <v/>
      </c>
      <c r="I18" s="16">
        <f>IF($A18="","",'ANAHTAR'!$F18)</f>
        <v/>
      </c>
      <c r="J18" s="16">
        <f>IF(OR($A18="",$D18=0),0,$F18/ABS($D18))</f>
        <v/>
      </c>
      <c r="K18" s="16">
        <f>IF($A18="","",ROUND($D18,2))</f>
        <v/>
      </c>
      <c r="L18" s="16">
        <f>IF($A18="","",ROUND($C18,2))</f>
        <v/>
      </c>
      <c r="M18" s="16">
        <f>IF($A18="","",IF($F18&lt;=toleransKurus,1,0))</f>
        <v/>
      </c>
      <c r="N18" s="16">
        <f>IF($A18="","",IF($F18&gt;cbb_esikFark,1,0))</f>
        <v/>
      </c>
      <c r="O18" s="16">
        <f>IF($A18="","",IF($G18="eslesti",$D18,0))</f>
        <v/>
      </c>
      <c r="P18" s="16">
        <f>IF($A18="","",$B18+$M18+$N18)</f>
        <v/>
      </c>
    </row>
    <row r="19">
      <c r="A19" s="16">
        <f>IF('ANAHTAR'!$B19="","",'ANAHTAR'!$B19)</f>
        <v/>
      </c>
      <c r="B19" s="16">
        <f>IF($A19="","",COUNTIF(tblAnahtarB[NormB],$A19))</f>
        <v/>
      </c>
      <c r="C19" s="16">
        <f>IF($A19="","",SUMIF(tblAnahtarB[NormB],$A19,tblVeriB[BeyanTutar]))</f>
        <v/>
      </c>
      <c r="D19" s="16">
        <f>IF($A19="","",SUMIF(tblAnahtarA[Norm],$A19,tblVeriA[Tutar]))</f>
        <v/>
      </c>
      <c r="E19" s="16">
        <f>IF($A19="","",ROUND($D19,2)-ROUND($C19,2))</f>
        <v/>
      </c>
      <c r="F19" s="16">
        <f>IF($A19="","",ABS($E19))</f>
        <v/>
      </c>
      <c r="G19" s="16">
        <f>IF($A19="","",IF($B19=0,"eslesmedi",IF(ROUND($D19,2)=ROUND($C19,2),"eslesti",IF(ABS(ROUND($D19,2)-ROUND($C19,2))&lt;=toleransKurus,"tolerans_icinde","tutar_farki"))))</f>
        <v/>
      </c>
      <c r="H19" s="16">
        <f>IF($A19="","",IF($B19&gt;0,"BIRINCIL",IF(COUNTIF(tblAnahtarB[IkincilB],'ANAHTAR'!$D19)&gt;0,"IKINCIL","YOK")))</f>
        <v/>
      </c>
      <c r="I19" s="16">
        <f>IF($A19="","",'ANAHTAR'!$F19)</f>
        <v/>
      </c>
      <c r="J19" s="16">
        <f>IF(OR($A19="",$D19=0),0,$F19/ABS($D19))</f>
        <v/>
      </c>
      <c r="K19" s="16">
        <f>IF($A19="","",ROUND($D19,2))</f>
        <v/>
      </c>
      <c r="L19" s="16">
        <f>IF($A19="","",ROUND($C19,2))</f>
        <v/>
      </c>
      <c r="M19" s="16">
        <f>IF($A19="","",IF($F19&lt;=toleransKurus,1,0))</f>
        <v/>
      </c>
      <c r="N19" s="16">
        <f>IF($A19="","",IF($F19&gt;cbb_esikFark,1,0))</f>
        <v/>
      </c>
      <c r="O19" s="16">
        <f>IF($A19="","",IF($G19="eslesti",$D19,0))</f>
        <v/>
      </c>
      <c r="P19" s="16">
        <f>IF($A19="","",$B19+$M19+$N19)</f>
        <v/>
      </c>
    </row>
    <row r="20">
      <c r="A20" s="16">
        <f>IF('ANAHTAR'!$B20="","",'ANAHTAR'!$B20)</f>
        <v/>
      </c>
      <c r="B20" s="16">
        <f>IF($A20="","",COUNTIF(tblAnahtarB[NormB],$A20))</f>
        <v/>
      </c>
      <c r="C20" s="16">
        <f>IF($A20="","",SUMIF(tblAnahtarB[NormB],$A20,tblVeriB[BeyanTutar]))</f>
        <v/>
      </c>
      <c r="D20" s="16">
        <f>IF($A20="","",SUMIF(tblAnahtarA[Norm],$A20,tblVeriA[Tutar]))</f>
        <v/>
      </c>
      <c r="E20" s="16">
        <f>IF($A20="","",ROUND($D20,2)-ROUND($C20,2))</f>
        <v/>
      </c>
      <c r="F20" s="16">
        <f>IF($A20="","",ABS($E20))</f>
        <v/>
      </c>
      <c r="G20" s="16">
        <f>IF($A20="","",IF($B20=0,"eslesmedi",IF(ROUND($D20,2)=ROUND($C20,2),"eslesti",IF(ABS(ROUND($D20,2)-ROUND($C20,2))&lt;=toleransKurus,"tolerans_icinde","tutar_farki"))))</f>
        <v/>
      </c>
      <c r="H20" s="16">
        <f>IF($A20="","",IF($B20&gt;0,"BIRINCIL",IF(COUNTIF(tblAnahtarB[IkincilB],'ANAHTAR'!$D20)&gt;0,"IKINCIL","YOK")))</f>
        <v/>
      </c>
      <c r="I20" s="16">
        <f>IF($A20="","",'ANAHTAR'!$F20)</f>
        <v/>
      </c>
      <c r="J20" s="16">
        <f>IF(OR($A20="",$D20=0),0,$F20/ABS($D20))</f>
        <v/>
      </c>
      <c r="K20" s="16">
        <f>IF($A20="","",ROUND($D20,2))</f>
        <v/>
      </c>
      <c r="L20" s="16">
        <f>IF($A20="","",ROUND($C20,2))</f>
        <v/>
      </c>
      <c r="M20" s="16">
        <f>IF($A20="","",IF($F20&lt;=toleransKurus,1,0))</f>
        <v/>
      </c>
      <c r="N20" s="16">
        <f>IF($A20="","",IF($F20&gt;cbb_esikFark,1,0))</f>
        <v/>
      </c>
      <c r="O20" s="16">
        <f>IF($A20="","",IF($G20="eslesti",$D20,0))</f>
        <v/>
      </c>
      <c r="P20" s="16">
        <f>IF($A20="","",$B20+$M20+$N20)</f>
        <v/>
      </c>
    </row>
    <row r="21">
      <c r="A21" s="16">
        <f>IF('ANAHTAR'!$B21="","",'ANAHTAR'!$B21)</f>
        <v/>
      </c>
      <c r="B21" s="16">
        <f>IF($A21="","",COUNTIF(tblAnahtarB[NormB],$A21))</f>
        <v/>
      </c>
      <c r="C21" s="16">
        <f>IF($A21="","",SUMIF(tblAnahtarB[NormB],$A21,tblVeriB[BeyanTutar]))</f>
        <v/>
      </c>
      <c r="D21" s="16">
        <f>IF($A21="","",SUMIF(tblAnahtarA[Norm],$A21,tblVeriA[Tutar]))</f>
        <v/>
      </c>
      <c r="E21" s="16">
        <f>IF($A21="","",ROUND($D21,2)-ROUND($C21,2))</f>
        <v/>
      </c>
      <c r="F21" s="16">
        <f>IF($A21="","",ABS($E21))</f>
        <v/>
      </c>
      <c r="G21" s="16">
        <f>IF($A21="","",IF($B21=0,"eslesmedi",IF(ROUND($D21,2)=ROUND($C21,2),"eslesti",IF(ABS(ROUND($D21,2)-ROUND($C21,2))&lt;=toleransKurus,"tolerans_icinde","tutar_farki"))))</f>
        <v/>
      </c>
      <c r="H21" s="16">
        <f>IF($A21="","",IF($B21&gt;0,"BIRINCIL",IF(COUNTIF(tblAnahtarB[IkincilB],'ANAHTAR'!$D21)&gt;0,"IKINCIL","YOK")))</f>
        <v/>
      </c>
      <c r="I21" s="16">
        <f>IF($A21="","",'ANAHTAR'!$F21)</f>
        <v/>
      </c>
      <c r="J21" s="16">
        <f>IF(OR($A21="",$D21=0),0,$F21/ABS($D21))</f>
        <v/>
      </c>
      <c r="K21" s="16">
        <f>IF($A21="","",ROUND($D21,2))</f>
        <v/>
      </c>
      <c r="L21" s="16">
        <f>IF($A21="","",ROUND($C21,2))</f>
        <v/>
      </c>
      <c r="M21" s="16">
        <f>IF($A21="","",IF($F21&lt;=toleransKurus,1,0))</f>
        <v/>
      </c>
      <c r="N21" s="16">
        <f>IF($A21="","",IF($F21&gt;cbb_esikFark,1,0))</f>
        <v/>
      </c>
      <c r="O21" s="16">
        <f>IF($A21="","",IF($G21="eslesti",$D21,0))</f>
        <v/>
      </c>
      <c r="P21" s="16">
        <f>IF($A21="","",$B21+$M21+$N21)</f>
        <v/>
      </c>
    </row>
    <row r="22">
      <c r="A22" s="16">
        <f>IF('ANAHTAR'!$B22="","",'ANAHTAR'!$B22)</f>
        <v/>
      </c>
      <c r="B22" s="16">
        <f>IF($A22="","",COUNTIF(tblAnahtarB[NormB],$A22))</f>
        <v/>
      </c>
      <c r="C22" s="16">
        <f>IF($A22="","",SUMIF(tblAnahtarB[NormB],$A22,tblVeriB[BeyanTutar]))</f>
        <v/>
      </c>
      <c r="D22" s="16">
        <f>IF($A22="","",SUMIF(tblAnahtarA[Norm],$A22,tblVeriA[Tutar]))</f>
        <v/>
      </c>
      <c r="E22" s="16">
        <f>IF($A22="","",ROUND($D22,2)-ROUND($C22,2))</f>
        <v/>
      </c>
      <c r="F22" s="16">
        <f>IF($A22="","",ABS($E22))</f>
        <v/>
      </c>
      <c r="G22" s="16">
        <f>IF($A22="","",IF($B22=0,"eslesmedi",IF(ROUND($D22,2)=ROUND($C22,2),"eslesti",IF(ABS(ROUND($D22,2)-ROUND($C22,2))&lt;=toleransKurus,"tolerans_icinde","tutar_farki"))))</f>
        <v/>
      </c>
      <c r="H22" s="16">
        <f>IF($A22="","",IF($B22&gt;0,"BIRINCIL",IF(COUNTIF(tblAnahtarB[IkincilB],'ANAHTAR'!$D22)&gt;0,"IKINCIL","YOK")))</f>
        <v/>
      </c>
      <c r="I22" s="16">
        <f>IF($A22="","",'ANAHTAR'!$F22)</f>
        <v/>
      </c>
      <c r="J22" s="16">
        <f>IF(OR($A22="",$D22=0),0,$F22/ABS($D22))</f>
        <v/>
      </c>
      <c r="K22" s="16">
        <f>IF($A22="","",ROUND($D22,2))</f>
        <v/>
      </c>
      <c r="L22" s="16">
        <f>IF($A22="","",ROUND($C22,2))</f>
        <v/>
      </c>
      <c r="M22" s="16">
        <f>IF($A22="","",IF($F22&lt;=toleransKurus,1,0))</f>
        <v/>
      </c>
      <c r="N22" s="16">
        <f>IF($A22="","",IF($F22&gt;cbb_esikFark,1,0))</f>
        <v/>
      </c>
      <c r="O22" s="16">
        <f>IF($A22="","",IF($G22="eslesti",$D22,0))</f>
        <v/>
      </c>
      <c r="P22" s="16">
        <f>IF($A22="","",$B22+$M22+$N22)</f>
        <v/>
      </c>
    </row>
    <row r="23">
      <c r="A23" s="16">
        <f>IF('ANAHTAR'!$B23="","",'ANAHTAR'!$B23)</f>
        <v/>
      </c>
      <c r="B23" s="16">
        <f>IF($A23="","",COUNTIF(tblAnahtarB[NormB],$A23))</f>
        <v/>
      </c>
      <c r="C23" s="16">
        <f>IF($A23="","",SUMIF(tblAnahtarB[NormB],$A23,tblVeriB[BeyanTutar]))</f>
        <v/>
      </c>
      <c r="D23" s="16">
        <f>IF($A23="","",SUMIF(tblAnahtarA[Norm],$A23,tblVeriA[Tutar]))</f>
        <v/>
      </c>
      <c r="E23" s="16">
        <f>IF($A23="","",ROUND($D23,2)-ROUND($C23,2))</f>
        <v/>
      </c>
      <c r="F23" s="16">
        <f>IF($A23="","",ABS($E23))</f>
        <v/>
      </c>
      <c r="G23" s="16">
        <f>IF($A23="","",IF($B23=0,"eslesmedi",IF(ROUND($D23,2)=ROUND($C23,2),"eslesti",IF(ABS(ROUND($D23,2)-ROUND($C23,2))&lt;=toleransKurus,"tolerans_icinde","tutar_farki"))))</f>
        <v/>
      </c>
      <c r="H23" s="16">
        <f>IF($A23="","",IF($B23&gt;0,"BIRINCIL",IF(COUNTIF(tblAnahtarB[IkincilB],'ANAHTAR'!$D23)&gt;0,"IKINCIL","YOK")))</f>
        <v/>
      </c>
      <c r="I23" s="16">
        <f>IF($A23="","",'ANAHTAR'!$F23)</f>
        <v/>
      </c>
      <c r="J23" s="16">
        <f>IF(OR($A23="",$D23=0),0,$F23/ABS($D23))</f>
        <v/>
      </c>
      <c r="K23" s="16">
        <f>IF($A23="","",ROUND($D23,2))</f>
        <v/>
      </c>
      <c r="L23" s="16">
        <f>IF($A23="","",ROUND($C23,2))</f>
        <v/>
      </c>
      <c r="M23" s="16">
        <f>IF($A23="","",IF($F23&lt;=toleransKurus,1,0))</f>
        <v/>
      </c>
      <c r="N23" s="16">
        <f>IF($A23="","",IF($F23&gt;cbb_esikFark,1,0))</f>
        <v/>
      </c>
      <c r="O23" s="16">
        <f>IF($A23="","",IF($G23="eslesti",$D23,0))</f>
        <v/>
      </c>
      <c r="P23" s="16">
        <f>IF($A23="","",$B23+$M23+$N23)</f>
        <v/>
      </c>
    </row>
    <row r="24">
      <c r="A24" s="16">
        <f>IF('ANAHTAR'!$B24="","",'ANAHTAR'!$B24)</f>
        <v/>
      </c>
      <c r="B24" s="16">
        <f>IF($A24="","",COUNTIF(tblAnahtarB[NormB],$A24))</f>
        <v/>
      </c>
      <c r="C24" s="16">
        <f>IF($A24="","",SUMIF(tblAnahtarB[NormB],$A24,tblVeriB[BeyanTutar]))</f>
        <v/>
      </c>
      <c r="D24" s="16">
        <f>IF($A24="","",SUMIF(tblAnahtarA[Norm],$A24,tblVeriA[Tutar]))</f>
        <v/>
      </c>
      <c r="E24" s="16">
        <f>IF($A24="","",ROUND($D24,2)-ROUND($C24,2))</f>
        <v/>
      </c>
      <c r="F24" s="16">
        <f>IF($A24="","",ABS($E24))</f>
        <v/>
      </c>
      <c r="G24" s="16">
        <f>IF($A24="","",IF($B24=0,"eslesmedi",IF(ROUND($D24,2)=ROUND($C24,2),"eslesti",IF(ABS(ROUND($D24,2)-ROUND($C24,2))&lt;=toleransKurus,"tolerans_icinde","tutar_farki"))))</f>
        <v/>
      </c>
      <c r="H24" s="16">
        <f>IF($A24="","",IF($B24&gt;0,"BIRINCIL",IF(COUNTIF(tblAnahtarB[IkincilB],'ANAHTAR'!$D24)&gt;0,"IKINCIL","YOK")))</f>
        <v/>
      </c>
      <c r="I24" s="16">
        <f>IF($A24="","",'ANAHTAR'!$F24)</f>
        <v/>
      </c>
      <c r="J24" s="16">
        <f>IF(OR($A24="",$D24=0),0,$F24/ABS($D24))</f>
        <v/>
      </c>
      <c r="K24" s="16">
        <f>IF($A24="","",ROUND($D24,2))</f>
        <v/>
      </c>
      <c r="L24" s="16">
        <f>IF($A24="","",ROUND($C24,2))</f>
        <v/>
      </c>
      <c r="M24" s="16">
        <f>IF($A24="","",IF($F24&lt;=toleransKurus,1,0))</f>
        <v/>
      </c>
      <c r="N24" s="16">
        <f>IF($A24="","",IF($F24&gt;cbb_esikFark,1,0))</f>
        <v/>
      </c>
      <c r="O24" s="16">
        <f>IF($A24="","",IF($G24="eslesti",$D24,0))</f>
        <v/>
      </c>
      <c r="P24" s="16">
        <f>IF($A24="","",$B24+$M24+$N24)</f>
        <v/>
      </c>
    </row>
    <row r="25">
      <c r="A25" s="16">
        <f>IF('ANAHTAR'!$B25="","",'ANAHTAR'!$B25)</f>
        <v/>
      </c>
      <c r="B25" s="16">
        <f>IF($A25="","",COUNTIF(tblAnahtarB[NormB],$A25))</f>
        <v/>
      </c>
      <c r="C25" s="16">
        <f>IF($A25="","",SUMIF(tblAnahtarB[NormB],$A25,tblVeriB[BeyanTutar]))</f>
        <v/>
      </c>
      <c r="D25" s="16">
        <f>IF($A25="","",SUMIF(tblAnahtarA[Norm],$A25,tblVeriA[Tutar]))</f>
        <v/>
      </c>
      <c r="E25" s="16">
        <f>IF($A25="","",ROUND($D25,2)-ROUND($C25,2))</f>
        <v/>
      </c>
      <c r="F25" s="16">
        <f>IF($A25="","",ABS($E25))</f>
        <v/>
      </c>
      <c r="G25" s="16">
        <f>IF($A25="","",IF($B25=0,"eslesmedi",IF(ROUND($D25,2)=ROUND($C25,2),"eslesti",IF(ABS(ROUND($D25,2)-ROUND($C25,2))&lt;=toleransKurus,"tolerans_icinde","tutar_farki"))))</f>
        <v/>
      </c>
      <c r="H25" s="16">
        <f>IF($A25="","",IF($B25&gt;0,"BIRINCIL",IF(COUNTIF(tblAnahtarB[IkincilB],'ANAHTAR'!$D25)&gt;0,"IKINCIL","YOK")))</f>
        <v/>
      </c>
      <c r="I25" s="16">
        <f>IF($A25="","",'ANAHTAR'!$F25)</f>
        <v/>
      </c>
      <c r="J25" s="16">
        <f>IF(OR($A25="",$D25=0),0,$F25/ABS($D25))</f>
        <v/>
      </c>
      <c r="K25" s="16">
        <f>IF($A25="","",ROUND($D25,2))</f>
        <v/>
      </c>
      <c r="L25" s="16">
        <f>IF($A25="","",ROUND($C25,2))</f>
        <v/>
      </c>
      <c r="M25" s="16">
        <f>IF($A25="","",IF($F25&lt;=toleransKurus,1,0))</f>
        <v/>
      </c>
      <c r="N25" s="16">
        <f>IF($A25="","",IF($F25&gt;cbb_esikFark,1,0))</f>
        <v/>
      </c>
      <c r="O25" s="16">
        <f>IF($A25="","",IF($G25="eslesti",$D25,0))</f>
        <v/>
      </c>
      <c r="P25" s="16">
        <f>IF($A25="","",$B25+$M25+$N25)</f>
        <v/>
      </c>
    </row>
    <row r="26">
      <c r="A26" s="16">
        <f>IF('ANAHTAR'!$B26="","",'ANAHTAR'!$B26)</f>
        <v/>
      </c>
      <c r="B26" s="16">
        <f>IF($A26="","",COUNTIF(tblAnahtarB[NormB],$A26))</f>
        <v/>
      </c>
      <c r="C26" s="16">
        <f>IF($A26="","",SUMIF(tblAnahtarB[NormB],$A26,tblVeriB[BeyanTutar]))</f>
        <v/>
      </c>
      <c r="D26" s="16">
        <f>IF($A26="","",SUMIF(tblAnahtarA[Norm],$A26,tblVeriA[Tutar]))</f>
        <v/>
      </c>
      <c r="E26" s="16">
        <f>IF($A26="","",ROUND($D26,2)-ROUND($C26,2))</f>
        <v/>
      </c>
      <c r="F26" s="16">
        <f>IF($A26="","",ABS($E26))</f>
        <v/>
      </c>
      <c r="G26" s="16">
        <f>IF($A26="","",IF($B26=0,"eslesmedi",IF(ROUND($D26,2)=ROUND($C26,2),"eslesti",IF(ABS(ROUND($D26,2)-ROUND($C26,2))&lt;=toleransKurus,"tolerans_icinde","tutar_farki"))))</f>
        <v/>
      </c>
      <c r="H26" s="16">
        <f>IF($A26="","",IF($B26&gt;0,"BIRINCIL",IF(COUNTIF(tblAnahtarB[IkincilB],'ANAHTAR'!$D26)&gt;0,"IKINCIL","YOK")))</f>
        <v/>
      </c>
      <c r="I26" s="16">
        <f>IF($A26="","",'ANAHTAR'!$F26)</f>
        <v/>
      </c>
      <c r="J26" s="16">
        <f>IF(OR($A26="",$D26=0),0,$F26/ABS($D26))</f>
        <v/>
      </c>
      <c r="K26" s="16">
        <f>IF($A26="","",ROUND($D26,2))</f>
        <v/>
      </c>
      <c r="L26" s="16">
        <f>IF($A26="","",ROUND($C26,2))</f>
        <v/>
      </c>
      <c r="M26" s="16">
        <f>IF($A26="","",IF($F26&lt;=toleransKurus,1,0))</f>
        <v/>
      </c>
      <c r="N26" s="16">
        <f>IF($A26="","",IF($F26&gt;cbb_esikFark,1,0))</f>
        <v/>
      </c>
      <c r="O26" s="16">
        <f>IF($A26="","",IF($G26="eslesti",$D26,0))</f>
        <v/>
      </c>
      <c r="P26" s="16">
        <f>IF($A26="","",$B26+$M26+$N26)</f>
        <v/>
      </c>
    </row>
    <row r="27">
      <c r="A27" s="16">
        <f>IF('ANAHTAR'!$B27="","",'ANAHTAR'!$B27)</f>
        <v/>
      </c>
      <c r="B27" s="16">
        <f>IF($A27="","",COUNTIF(tblAnahtarB[NormB],$A27))</f>
        <v/>
      </c>
      <c r="C27" s="16">
        <f>IF($A27="","",SUMIF(tblAnahtarB[NormB],$A27,tblVeriB[BeyanTutar]))</f>
        <v/>
      </c>
      <c r="D27" s="16">
        <f>IF($A27="","",SUMIF(tblAnahtarA[Norm],$A27,tblVeriA[Tutar]))</f>
        <v/>
      </c>
      <c r="E27" s="16">
        <f>IF($A27="","",ROUND($D27,2)-ROUND($C27,2))</f>
        <v/>
      </c>
      <c r="F27" s="16">
        <f>IF($A27="","",ABS($E27))</f>
        <v/>
      </c>
      <c r="G27" s="16">
        <f>IF($A27="","",IF($B27=0,"eslesmedi",IF(ROUND($D27,2)=ROUND($C27,2),"eslesti",IF(ABS(ROUND($D27,2)-ROUND($C27,2))&lt;=toleransKurus,"tolerans_icinde","tutar_farki"))))</f>
        <v/>
      </c>
      <c r="H27" s="16">
        <f>IF($A27="","",IF($B27&gt;0,"BIRINCIL",IF(COUNTIF(tblAnahtarB[IkincilB],'ANAHTAR'!$D27)&gt;0,"IKINCIL","YOK")))</f>
        <v/>
      </c>
      <c r="I27" s="16">
        <f>IF($A27="","",'ANAHTAR'!$F27)</f>
        <v/>
      </c>
      <c r="J27" s="16">
        <f>IF(OR($A27="",$D27=0),0,$F27/ABS($D27))</f>
        <v/>
      </c>
      <c r="K27" s="16">
        <f>IF($A27="","",ROUND($D27,2))</f>
        <v/>
      </c>
      <c r="L27" s="16">
        <f>IF($A27="","",ROUND($C27,2))</f>
        <v/>
      </c>
      <c r="M27" s="16">
        <f>IF($A27="","",IF($F27&lt;=toleransKurus,1,0))</f>
        <v/>
      </c>
      <c r="N27" s="16">
        <f>IF($A27="","",IF($F27&gt;cbb_esikFark,1,0))</f>
        <v/>
      </c>
      <c r="O27" s="16">
        <f>IF($A27="","",IF($G27="eslesti",$D27,0))</f>
        <v/>
      </c>
      <c r="P27" s="16">
        <f>IF($A27="","",$B27+$M27+$N27)</f>
        <v/>
      </c>
    </row>
    <row r="28">
      <c r="A28" s="16">
        <f>IF('ANAHTAR'!$B28="","",'ANAHTAR'!$B28)</f>
        <v/>
      </c>
      <c r="B28" s="16">
        <f>IF($A28="","",COUNTIF(tblAnahtarB[NormB],$A28))</f>
        <v/>
      </c>
      <c r="C28" s="16">
        <f>IF($A28="","",SUMIF(tblAnahtarB[NormB],$A28,tblVeriB[BeyanTutar]))</f>
        <v/>
      </c>
      <c r="D28" s="16">
        <f>IF($A28="","",SUMIF(tblAnahtarA[Norm],$A28,tblVeriA[Tutar]))</f>
        <v/>
      </c>
      <c r="E28" s="16">
        <f>IF($A28="","",ROUND($D28,2)-ROUND($C28,2))</f>
        <v/>
      </c>
      <c r="F28" s="16">
        <f>IF($A28="","",ABS($E28))</f>
        <v/>
      </c>
      <c r="G28" s="16">
        <f>IF($A28="","",IF($B28=0,"eslesmedi",IF(ROUND($D28,2)=ROUND($C28,2),"eslesti",IF(ABS(ROUND($D28,2)-ROUND($C28,2))&lt;=toleransKurus,"tolerans_icinde","tutar_farki"))))</f>
        <v/>
      </c>
      <c r="H28" s="16">
        <f>IF($A28="","",IF($B28&gt;0,"BIRINCIL",IF(COUNTIF(tblAnahtarB[IkincilB],'ANAHTAR'!$D28)&gt;0,"IKINCIL","YOK")))</f>
        <v/>
      </c>
      <c r="I28" s="16">
        <f>IF($A28="","",'ANAHTAR'!$F28)</f>
        <v/>
      </c>
      <c r="J28" s="16">
        <f>IF(OR($A28="",$D28=0),0,$F28/ABS($D28))</f>
        <v/>
      </c>
      <c r="K28" s="16">
        <f>IF($A28="","",ROUND($D28,2))</f>
        <v/>
      </c>
      <c r="L28" s="16">
        <f>IF($A28="","",ROUND($C28,2))</f>
        <v/>
      </c>
      <c r="M28" s="16">
        <f>IF($A28="","",IF($F28&lt;=toleransKurus,1,0))</f>
        <v/>
      </c>
      <c r="N28" s="16">
        <f>IF($A28="","",IF($F28&gt;cbb_esikFark,1,0))</f>
        <v/>
      </c>
      <c r="O28" s="16">
        <f>IF($A28="","",IF($G28="eslesti",$D28,0))</f>
        <v/>
      </c>
      <c r="P28" s="16">
        <f>IF($A28="","",$B28+$M28+$N28)</f>
        <v/>
      </c>
    </row>
    <row r="29">
      <c r="A29" s="16">
        <f>IF('ANAHTAR'!$B29="","",'ANAHTAR'!$B29)</f>
        <v/>
      </c>
      <c r="B29" s="16">
        <f>IF($A29="","",COUNTIF(tblAnahtarB[NormB],$A29))</f>
        <v/>
      </c>
      <c r="C29" s="16">
        <f>IF($A29="","",SUMIF(tblAnahtarB[NormB],$A29,tblVeriB[BeyanTutar]))</f>
        <v/>
      </c>
      <c r="D29" s="16">
        <f>IF($A29="","",SUMIF(tblAnahtarA[Norm],$A29,tblVeriA[Tutar]))</f>
        <v/>
      </c>
      <c r="E29" s="16">
        <f>IF($A29="","",ROUND($D29,2)-ROUND($C29,2))</f>
        <v/>
      </c>
      <c r="F29" s="16">
        <f>IF($A29="","",ABS($E29))</f>
        <v/>
      </c>
      <c r="G29" s="16">
        <f>IF($A29="","",IF($B29=0,"eslesmedi",IF(ROUND($D29,2)=ROUND($C29,2),"eslesti",IF(ABS(ROUND($D29,2)-ROUND($C29,2))&lt;=toleransKurus,"tolerans_icinde","tutar_farki"))))</f>
        <v/>
      </c>
      <c r="H29" s="16">
        <f>IF($A29="","",IF($B29&gt;0,"BIRINCIL",IF(COUNTIF(tblAnahtarB[IkincilB],'ANAHTAR'!$D29)&gt;0,"IKINCIL","YOK")))</f>
        <v/>
      </c>
      <c r="I29" s="16">
        <f>IF($A29="","",'ANAHTAR'!$F29)</f>
        <v/>
      </c>
      <c r="J29" s="16">
        <f>IF(OR($A29="",$D29=0),0,$F29/ABS($D29))</f>
        <v/>
      </c>
      <c r="K29" s="16">
        <f>IF($A29="","",ROUND($D29,2))</f>
        <v/>
      </c>
      <c r="L29" s="16">
        <f>IF($A29="","",ROUND($C29,2))</f>
        <v/>
      </c>
      <c r="M29" s="16">
        <f>IF($A29="","",IF($F29&lt;=toleransKurus,1,0))</f>
        <v/>
      </c>
      <c r="N29" s="16">
        <f>IF($A29="","",IF($F29&gt;cbb_esikFark,1,0))</f>
        <v/>
      </c>
      <c r="O29" s="16">
        <f>IF($A29="","",IF($G29="eslesti",$D29,0))</f>
        <v/>
      </c>
      <c r="P29" s="16">
        <f>IF($A29="","",$B29+$M29+$N29)</f>
        <v/>
      </c>
    </row>
    <row r="30">
      <c r="A30" s="16">
        <f>IF('ANAHTAR'!$B30="","",'ANAHTAR'!$B30)</f>
        <v/>
      </c>
      <c r="B30" s="16">
        <f>IF($A30="","",COUNTIF(tblAnahtarB[NormB],$A30))</f>
        <v/>
      </c>
      <c r="C30" s="16">
        <f>IF($A30="","",SUMIF(tblAnahtarB[NormB],$A30,tblVeriB[BeyanTutar]))</f>
        <v/>
      </c>
      <c r="D30" s="16">
        <f>IF($A30="","",SUMIF(tblAnahtarA[Norm],$A30,tblVeriA[Tutar]))</f>
        <v/>
      </c>
      <c r="E30" s="16">
        <f>IF($A30="","",ROUND($D30,2)-ROUND($C30,2))</f>
        <v/>
      </c>
      <c r="F30" s="16">
        <f>IF($A30="","",ABS($E30))</f>
        <v/>
      </c>
      <c r="G30" s="16">
        <f>IF($A30="","",IF($B30=0,"eslesmedi",IF(ROUND($D30,2)=ROUND($C30,2),"eslesti",IF(ABS(ROUND($D30,2)-ROUND($C30,2))&lt;=toleransKurus,"tolerans_icinde","tutar_farki"))))</f>
        <v/>
      </c>
      <c r="H30" s="16">
        <f>IF($A30="","",IF($B30&gt;0,"BIRINCIL",IF(COUNTIF(tblAnahtarB[IkincilB],'ANAHTAR'!$D30)&gt;0,"IKINCIL","YOK")))</f>
        <v/>
      </c>
      <c r="I30" s="16">
        <f>IF($A30="","",'ANAHTAR'!$F30)</f>
        <v/>
      </c>
      <c r="J30" s="16">
        <f>IF(OR($A30="",$D30=0),0,$F30/ABS($D30))</f>
        <v/>
      </c>
      <c r="K30" s="16">
        <f>IF($A30="","",ROUND($D30,2))</f>
        <v/>
      </c>
      <c r="L30" s="16">
        <f>IF($A30="","",ROUND($C30,2))</f>
        <v/>
      </c>
      <c r="M30" s="16">
        <f>IF($A30="","",IF($F30&lt;=toleransKurus,1,0))</f>
        <v/>
      </c>
      <c r="N30" s="16">
        <f>IF($A30="","",IF($F30&gt;cbb_esikFark,1,0))</f>
        <v/>
      </c>
      <c r="O30" s="16">
        <f>IF($A30="","",IF($G30="eslesti",$D30,0))</f>
        <v/>
      </c>
      <c r="P30" s="16">
        <f>IF($A30="","",$B30+$M30+$N30)</f>
        <v/>
      </c>
    </row>
    <row r="31">
      <c r="A31" s="16">
        <f>IF('ANAHTAR'!$B31="","",'ANAHTAR'!$B31)</f>
        <v/>
      </c>
      <c r="B31" s="16">
        <f>IF($A31="","",COUNTIF(tblAnahtarB[NormB],$A31))</f>
        <v/>
      </c>
      <c r="C31" s="16">
        <f>IF($A31="","",SUMIF(tblAnahtarB[NormB],$A31,tblVeriB[BeyanTutar]))</f>
        <v/>
      </c>
      <c r="D31" s="16">
        <f>IF($A31="","",SUMIF(tblAnahtarA[Norm],$A31,tblVeriA[Tutar]))</f>
        <v/>
      </c>
      <c r="E31" s="16">
        <f>IF($A31="","",ROUND($D31,2)-ROUND($C31,2))</f>
        <v/>
      </c>
      <c r="F31" s="16">
        <f>IF($A31="","",ABS($E31))</f>
        <v/>
      </c>
      <c r="G31" s="16">
        <f>IF($A31="","",IF($B31=0,"eslesmedi",IF(ROUND($D31,2)=ROUND($C31,2),"eslesti",IF(ABS(ROUND($D31,2)-ROUND($C31,2))&lt;=toleransKurus,"tolerans_icinde","tutar_farki"))))</f>
        <v/>
      </c>
      <c r="H31" s="16">
        <f>IF($A31="","",IF($B31&gt;0,"BIRINCIL",IF(COUNTIF(tblAnahtarB[IkincilB],'ANAHTAR'!$D31)&gt;0,"IKINCIL","YOK")))</f>
        <v/>
      </c>
      <c r="I31" s="16">
        <f>IF($A31="","",'ANAHTAR'!$F31)</f>
        <v/>
      </c>
      <c r="J31" s="16">
        <f>IF(OR($A31="",$D31=0),0,$F31/ABS($D31))</f>
        <v/>
      </c>
      <c r="K31" s="16">
        <f>IF($A31="","",ROUND($D31,2))</f>
        <v/>
      </c>
      <c r="L31" s="16">
        <f>IF($A31="","",ROUND($C31,2))</f>
        <v/>
      </c>
      <c r="M31" s="16">
        <f>IF($A31="","",IF($F31&lt;=toleransKurus,1,0))</f>
        <v/>
      </c>
      <c r="N31" s="16">
        <f>IF($A31="","",IF($F31&gt;cbb_esikFark,1,0))</f>
        <v/>
      </c>
      <c r="O31" s="16">
        <f>IF($A31="","",IF($G31="eslesti",$D31,0))</f>
        <v/>
      </c>
      <c r="P31" s="16">
        <f>IF($A31="","",$B31+$M31+$N31)</f>
        <v/>
      </c>
    </row>
    <row r="32">
      <c r="A32" s="16">
        <f>IF('ANAHTAR'!$B32="","",'ANAHTAR'!$B32)</f>
        <v/>
      </c>
      <c r="B32" s="16">
        <f>IF($A32="","",COUNTIF(tblAnahtarB[NormB],$A32))</f>
        <v/>
      </c>
      <c r="C32" s="16">
        <f>IF($A32="","",SUMIF(tblAnahtarB[NormB],$A32,tblVeriB[BeyanTutar]))</f>
        <v/>
      </c>
      <c r="D32" s="16">
        <f>IF($A32="","",SUMIF(tblAnahtarA[Norm],$A32,tblVeriA[Tutar]))</f>
        <v/>
      </c>
      <c r="E32" s="16">
        <f>IF($A32="","",ROUND($D32,2)-ROUND($C32,2))</f>
        <v/>
      </c>
      <c r="F32" s="16">
        <f>IF($A32="","",ABS($E32))</f>
        <v/>
      </c>
      <c r="G32" s="16">
        <f>IF($A32="","",IF($B32=0,"eslesmedi",IF(ROUND($D32,2)=ROUND($C32,2),"eslesti",IF(ABS(ROUND($D32,2)-ROUND($C32,2))&lt;=toleransKurus,"tolerans_icinde","tutar_farki"))))</f>
        <v/>
      </c>
      <c r="H32" s="16">
        <f>IF($A32="","",IF($B32&gt;0,"BIRINCIL",IF(COUNTIF(tblAnahtarB[IkincilB],'ANAHTAR'!$D32)&gt;0,"IKINCIL","YOK")))</f>
        <v/>
      </c>
      <c r="I32" s="16">
        <f>IF($A32="","",'ANAHTAR'!$F32)</f>
        <v/>
      </c>
      <c r="J32" s="16">
        <f>IF(OR($A32="",$D32=0),0,$F32/ABS($D32))</f>
        <v/>
      </c>
      <c r="K32" s="16">
        <f>IF($A32="","",ROUND($D32,2))</f>
        <v/>
      </c>
      <c r="L32" s="16">
        <f>IF($A32="","",ROUND($C32,2))</f>
        <v/>
      </c>
      <c r="M32" s="16">
        <f>IF($A32="","",IF($F32&lt;=toleransKurus,1,0))</f>
        <v/>
      </c>
      <c r="N32" s="16">
        <f>IF($A32="","",IF($F32&gt;cbb_esikFark,1,0))</f>
        <v/>
      </c>
      <c r="O32" s="16">
        <f>IF($A32="","",IF($G32="eslesti",$D32,0))</f>
        <v/>
      </c>
      <c r="P32" s="16">
        <f>IF($A32="","",$B32+$M32+$N32)</f>
        <v/>
      </c>
    </row>
    <row r="33">
      <c r="A33" s="16">
        <f>IF('ANAHTAR'!$B33="","",'ANAHTAR'!$B33)</f>
        <v/>
      </c>
      <c r="B33" s="16">
        <f>IF($A33="","",COUNTIF(tblAnahtarB[NormB],$A33))</f>
        <v/>
      </c>
      <c r="C33" s="16">
        <f>IF($A33="","",SUMIF(tblAnahtarB[NormB],$A33,tblVeriB[BeyanTutar]))</f>
        <v/>
      </c>
      <c r="D33" s="16">
        <f>IF($A33="","",SUMIF(tblAnahtarA[Norm],$A33,tblVeriA[Tutar]))</f>
        <v/>
      </c>
      <c r="E33" s="16">
        <f>IF($A33="","",ROUND($D33,2)-ROUND($C33,2))</f>
        <v/>
      </c>
      <c r="F33" s="16">
        <f>IF($A33="","",ABS($E33))</f>
        <v/>
      </c>
      <c r="G33" s="16">
        <f>IF($A33="","",IF($B33=0,"eslesmedi",IF(ROUND($D33,2)=ROUND($C33,2),"eslesti",IF(ABS(ROUND($D33,2)-ROUND($C33,2))&lt;=toleransKurus,"tolerans_icinde","tutar_farki"))))</f>
        <v/>
      </c>
      <c r="H33" s="16">
        <f>IF($A33="","",IF($B33&gt;0,"BIRINCIL",IF(COUNTIF(tblAnahtarB[IkincilB],'ANAHTAR'!$D33)&gt;0,"IKINCIL","YOK")))</f>
        <v/>
      </c>
      <c r="I33" s="16">
        <f>IF($A33="","",'ANAHTAR'!$F33)</f>
        <v/>
      </c>
      <c r="J33" s="16">
        <f>IF(OR($A33="",$D33=0),0,$F33/ABS($D33))</f>
        <v/>
      </c>
      <c r="K33" s="16">
        <f>IF($A33="","",ROUND($D33,2))</f>
        <v/>
      </c>
      <c r="L33" s="16">
        <f>IF($A33="","",ROUND($C33,2))</f>
        <v/>
      </c>
      <c r="M33" s="16">
        <f>IF($A33="","",IF($F33&lt;=toleransKurus,1,0))</f>
        <v/>
      </c>
      <c r="N33" s="16">
        <f>IF($A33="","",IF($F33&gt;cbb_esikFark,1,0))</f>
        <v/>
      </c>
      <c r="O33" s="16">
        <f>IF($A33="","",IF($G33="eslesti",$D33,0))</f>
        <v/>
      </c>
      <c r="P33" s="16">
        <f>IF($A33="","",$B33+$M33+$N33)</f>
        <v/>
      </c>
    </row>
    <row r="34">
      <c r="A34" s="16">
        <f>IF('ANAHTAR'!$B34="","",'ANAHTAR'!$B34)</f>
        <v/>
      </c>
      <c r="B34" s="16">
        <f>IF($A34="","",COUNTIF(tblAnahtarB[NormB],$A34))</f>
        <v/>
      </c>
      <c r="C34" s="16">
        <f>IF($A34="","",SUMIF(tblAnahtarB[NormB],$A34,tblVeriB[BeyanTutar]))</f>
        <v/>
      </c>
      <c r="D34" s="16">
        <f>IF($A34="","",SUMIF(tblAnahtarA[Norm],$A34,tblVeriA[Tutar]))</f>
        <v/>
      </c>
      <c r="E34" s="16">
        <f>IF($A34="","",ROUND($D34,2)-ROUND($C34,2))</f>
        <v/>
      </c>
      <c r="F34" s="16">
        <f>IF($A34="","",ABS($E34))</f>
        <v/>
      </c>
      <c r="G34" s="16">
        <f>IF($A34="","",IF($B34=0,"eslesmedi",IF(ROUND($D34,2)=ROUND($C34,2),"eslesti",IF(ABS(ROUND($D34,2)-ROUND($C34,2))&lt;=toleransKurus,"tolerans_icinde","tutar_farki"))))</f>
        <v/>
      </c>
      <c r="H34" s="16">
        <f>IF($A34="","",IF($B34&gt;0,"BIRINCIL",IF(COUNTIF(tblAnahtarB[IkincilB],'ANAHTAR'!$D34)&gt;0,"IKINCIL","YOK")))</f>
        <v/>
      </c>
      <c r="I34" s="16">
        <f>IF($A34="","",'ANAHTAR'!$F34)</f>
        <v/>
      </c>
      <c r="J34" s="16">
        <f>IF(OR($A34="",$D34=0),0,$F34/ABS($D34))</f>
        <v/>
      </c>
      <c r="K34" s="16">
        <f>IF($A34="","",ROUND($D34,2))</f>
        <v/>
      </c>
      <c r="L34" s="16">
        <f>IF($A34="","",ROUND($C34,2))</f>
        <v/>
      </c>
      <c r="M34" s="16">
        <f>IF($A34="","",IF($F34&lt;=toleransKurus,1,0))</f>
        <v/>
      </c>
      <c r="N34" s="16">
        <f>IF($A34="","",IF($F34&gt;cbb_esikFark,1,0))</f>
        <v/>
      </c>
      <c r="O34" s="16">
        <f>IF($A34="","",IF($G34="eslesti",$D34,0))</f>
        <v/>
      </c>
      <c r="P34" s="16">
        <f>IF($A34="","",$B34+$M34+$N34)</f>
        <v/>
      </c>
    </row>
    <row r="35">
      <c r="A35" s="16">
        <f>IF('ANAHTAR'!$B35="","",'ANAHTAR'!$B35)</f>
        <v/>
      </c>
      <c r="B35" s="16">
        <f>IF($A35="","",COUNTIF(tblAnahtarB[NormB],$A35))</f>
        <v/>
      </c>
      <c r="C35" s="16">
        <f>IF($A35="","",SUMIF(tblAnahtarB[NormB],$A35,tblVeriB[BeyanTutar]))</f>
        <v/>
      </c>
      <c r="D35" s="16">
        <f>IF($A35="","",SUMIF(tblAnahtarA[Norm],$A35,tblVeriA[Tutar]))</f>
        <v/>
      </c>
      <c r="E35" s="16">
        <f>IF($A35="","",ROUND($D35,2)-ROUND($C35,2))</f>
        <v/>
      </c>
      <c r="F35" s="16">
        <f>IF($A35="","",ABS($E35))</f>
        <v/>
      </c>
      <c r="G35" s="16">
        <f>IF($A35="","",IF($B35=0,"eslesmedi",IF(ROUND($D35,2)=ROUND($C35,2),"eslesti",IF(ABS(ROUND($D35,2)-ROUND($C35,2))&lt;=toleransKurus,"tolerans_icinde","tutar_farki"))))</f>
        <v/>
      </c>
      <c r="H35" s="16">
        <f>IF($A35="","",IF($B35&gt;0,"BIRINCIL",IF(COUNTIF(tblAnahtarB[IkincilB],'ANAHTAR'!$D35)&gt;0,"IKINCIL","YOK")))</f>
        <v/>
      </c>
      <c r="I35" s="16">
        <f>IF($A35="","",'ANAHTAR'!$F35)</f>
        <v/>
      </c>
      <c r="J35" s="16">
        <f>IF(OR($A35="",$D35=0),0,$F35/ABS($D35))</f>
        <v/>
      </c>
      <c r="K35" s="16">
        <f>IF($A35="","",ROUND($D35,2))</f>
        <v/>
      </c>
      <c r="L35" s="16">
        <f>IF($A35="","",ROUND($C35,2))</f>
        <v/>
      </c>
      <c r="M35" s="16">
        <f>IF($A35="","",IF($F35&lt;=toleransKurus,1,0))</f>
        <v/>
      </c>
      <c r="N35" s="16">
        <f>IF($A35="","",IF($F35&gt;cbb_esikFark,1,0))</f>
        <v/>
      </c>
      <c r="O35" s="16">
        <f>IF($A35="","",IF($G35="eslesti",$D35,0))</f>
        <v/>
      </c>
      <c r="P35" s="16">
        <f>IF($A35="","",$B35+$M35+$N35)</f>
        <v/>
      </c>
    </row>
    <row r="36">
      <c r="A36" s="16">
        <f>IF('ANAHTAR'!$B36="","",'ANAHTAR'!$B36)</f>
        <v/>
      </c>
      <c r="B36" s="16">
        <f>IF($A36="","",COUNTIF(tblAnahtarB[NormB],$A36))</f>
        <v/>
      </c>
      <c r="C36" s="16">
        <f>IF($A36="","",SUMIF(tblAnahtarB[NormB],$A36,tblVeriB[BeyanTutar]))</f>
        <v/>
      </c>
      <c r="D36" s="16">
        <f>IF($A36="","",SUMIF(tblAnahtarA[Norm],$A36,tblVeriA[Tutar]))</f>
        <v/>
      </c>
      <c r="E36" s="16">
        <f>IF($A36="","",ROUND($D36,2)-ROUND($C36,2))</f>
        <v/>
      </c>
      <c r="F36" s="16">
        <f>IF($A36="","",ABS($E36))</f>
        <v/>
      </c>
      <c r="G36" s="16">
        <f>IF($A36="","",IF($B36=0,"eslesmedi",IF(ROUND($D36,2)=ROUND($C36,2),"eslesti",IF(ABS(ROUND($D36,2)-ROUND($C36,2))&lt;=toleransKurus,"tolerans_icinde","tutar_farki"))))</f>
        <v/>
      </c>
      <c r="H36" s="16">
        <f>IF($A36="","",IF($B36&gt;0,"BIRINCIL",IF(COUNTIF(tblAnahtarB[IkincilB],'ANAHTAR'!$D36)&gt;0,"IKINCIL","YOK")))</f>
        <v/>
      </c>
      <c r="I36" s="16">
        <f>IF($A36="","",'ANAHTAR'!$F36)</f>
        <v/>
      </c>
      <c r="J36" s="16">
        <f>IF(OR($A36="",$D36=0),0,$F36/ABS($D36))</f>
        <v/>
      </c>
      <c r="K36" s="16">
        <f>IF($A36="","",ROUND($D36,2))</f>
        <v/>
      </c>
      <c r="L36" s="16">
        <f>IF($A36="","",ROUND($C36,2))</f>
        <v/>
      </c>
      <c r="M36" s="16">
        <f>IF($A36="","",IF($F36&lt;=toleransKurus,1,0))</f>
        <v/>
      </c>
      <c r="N36" s="16">
        <f>IF($A36="","",IF($F36&gt;cbb_esikFark,1,0))</f>
        <v/>
      </c>
      <c r="O36" s="16">
        <f>IF($A36="","",IF($G36="eslesti",$D36,0))</f>
        <v/>
      </c>
      <c r="P36" s="16">
        <f>IF($A36="","",$B36+$M36+$N36)</f>
        <v/>
      </c>
    </row>
    <row r="37">
      <c r="A37" s="16">
        <f>IF('ANAHTAR'!$B37="","",'ANAHTAR'!$B37)</f>
        <v/>
      </c>
      <c r="B37" s="16">
        <f>IF($A37="","",COUNTIF(tblAnahtarB[NormB],$A37))</f>
        <v/>
      </c>
      <c r="C37" s="16">
        <f>IF($A37="","",SUMIF(tblAnahtarB[NormB],$A37,tblVeriB[BeyanTutar]))</f>
        <v/>
      </c>
      <c r="D37" s="16">
        <f>IF($A37="","",SUMIF(tblAnahtarA[Norm],$A37,tblVeriA[Tutar]))</f>
        <v/>
      </c>
      <c r="E37" s="16">
        <f>IF($A37="","",ROUND($D37,2)-ROUND($C37,2))</f>
        <v/>
      </c>
      <c r="F37" s="16">
        <f>IF($A37="","",ABS($E37))</f>
        <v/>
      </c>
      <c r="G37" s="16">
        <f>IF($A37="","",IF($B37=0,"eslesmedi",IF(ROUND($D37,2)=ROUND($C37,2),"eslesti",IF(ABS(ROUND($D37,2)-ROUND($C37,2))&lt;=toleransKurus,"tolerans_icinde","tutar_farki"))))</f>
        <v/>
      </c>
      <c r="H37" s="16">
        <f>IF($A37="","",IF($B37&gt;0,"BIRINCIL",IF(COUNTIF(tblAnahtarB[IkincilB],'ANAHTAR'!$D37)&gt;0,"IKINCIL","YOK")))</f>
        <v/>
      </c>
      <c r="I37" s="16">
        <f>IF($A37="","",'ANAHTAR'!$F37)</f>
        <v/>
      </c>
      <c r="J37" s="16">
        <f>IF(OR($A37="",$D37=0),0,$F37/ABS($D37))</f>
        <v/>
      </c>
      <c r="K37" s="16">
        <f>IF($A37="","",ROUND($D37,2))</f>
        <v/>
      </c>
      <c r="L37" s="16">
        <f>IF($A37="","",ROUND($C37,2))</f>
        <v/>
      </c>
      <c r="M37" s="16">
        <f>IF($A37="","",IF($F37&lt;=toleransKurus,1,0))</f>
        <v/>
      </c>
      <c r="N37" s="16">
        <f>IF($A37="","",IF($F37&gt;cbb_esikFark,1,0))</f>
        <v/>
      </c>
      <c r="O37" s="16">
        <f>IF($A37="","",IF($G37="eslesti",$D37,0))</f>
        <v/>
      </c>
      <c r="P37" s="16">
        <f>IF($A37="","",$B37+$M37+$N37)</f>
        <v/>
      </c>
    </row>
    <row r="38">
      <c r="A38" s="16">
        <f>IF('ANAHTAR'!$B38="","",'ANAHTAR'!$B38)</f>
        <v/>
      </c>
      <c r="B38" s="16">
        <f>IF($A38="","",COUNTIF(tblAnahtarB[NormB],$A38))</f>
        <v/>
      </c>
      <c r="C38" s="16">
        <f>IF($A38="","",SUMIF(tblAnahtarB[NormB],$A38,tblVeriB[BeyanTutar]))</f>
        <v/>
      </c>
      <c r="D38" s="16">
        <f>IF($A38="","",SUMIF(tblAnahtarA[Norm],$A38,tblVeriA[Tutar]))</f>
        <v/>
      </c>
      <c r="E38" s="16">
        <f>IF($A38="","",ROUND($D38,2)-ROUND($C38,2))</f>
        <v/>
      </c>
      <c r="F38" s="16">
        <f>IF($A38="","",ABS($E38))</f>
        <v/>
      </c>
      <c r="G38" s="16">
        <f>IF($A38="","",IF($B38=0,"eslesmedi",IF(ROUND($D38,2)=ROUND($C38,2),"eslesti",IF(ABS(ROUND($D38,2)-ROUND($C38,2))&lt;=toleransKurus,"tolerans_icinde","tutar_farki"))))</f>
        <v/>
      </c>
      <c r="H38" s="16">
        <f>IF($A38="","",IF($B38&gt;0,"BIRINCIL",IF(COUNTIF(tblAnahtarB[IkincilB],'ANAHTAR'!$D38)&gt;0,"IKINCIL","YOK")))</f>
        <v/>
      </c>
      <c r="I38" s="16">
        <f>IF($A38="","",'ANAHTAR'!$F38)</f>
        <v/>
      </c>
      <c r="J38" s="16">
        <f>IF(OR($A38="",$D38=0),0,$F38/ABS($D38))</f>
        <v/>
      </c>
      <c r="K38" s="16">
        <f>IF($A38="","",ROUND($D38,2))</f>
        <v/>
      </c>
      <c r="L38" s="16">
        <f>IF($A38="","",ROUND($C38,2))</f>
        <v/>
      </c>
      <c r="M38" s="16">
        <f>IF($A38="","",IF($F38&lt;=toleransKurus,1,0))</f>
        <v/>
      </c>
      <c r="N38" s="16">
        <f>IF($A38="","",IF($F38&gt;cbb_esikFark,1,0))</f>
        <v/>
      </c>
      <c r="O38" s="16">
        <f>IF($A38="","",IF($G38="eslesti",$D38,0))</f>
        <v/>
      </c>
      <c r="P38" s="16">
        <f>IF($A38="","",$B38+$M38+$N38)</f>
        <v/>
      </c>
    </row>
    <row r="39">
      <c r="A39" s="16">
        <f>IF('ANAHTAR'!$B39="","",'ANAHTAR'!$B39)</f>
        <v/>
      </c>
      <c r="B39" s="16">
        <f>IF($A39="","",COUNTIF(tblAnahtarB[NormB],$A39))</f>
        <v/>
      </c>
      <c r="C39" s="16">
        <f>IF($A39="","",SUMIF(tblAnahtarB[NormB],$A39,tblVeriB[BeyanTutar]))</f>
        <v/>
      </c>
      <c r="D39" s="16">
        <f>IF($A39="","",SUMIF(tblAnahtarA[Norm],$A39,tblVeriA[Tutar]))</f>
        <v/>
      </c>
      <c r="E39" s="16">
        <f>IF($A39="","",ROUND($D39,2)-ROUND($C39,2))</f>
        <v/>
      </c>
      <c r="F39" s="16">
        <f>IF($A39="","",ABS($E39))</f>
        <v/>
      </c>
      <c r="G39" s="16">
        <f>IF($A39="","",IF($B39=0,"eslesmedi",IF(ROUND($D39,2)=ROUND($C39,2),"eslesti",IF(ABS(ROUND($D39,2)-ROUND($C39,2))&lt;=toleransKurus,"tolerans_icinde","tutar_farki"))))</f>
        <v/>
      </c>
      <c r="H39" s="16">
        <f>IF($A39="","",IF($B39&gt;0,"BIRINCIL",IF(COUNTIF(tblAnahtarB[IkincilB],'ANAHTAR'!$D39)&gt;0,"IKINCIL","YOK")))</f>
        <v/>
      </c>
      <c r="I39" s="16">
        <f>IF($A39="","",'ANAHTAR'!$F39)</f>
        <v/>
      </c>
      <c r="J39" s="16">
        <f>IF(OR($A39="",$D39=0),0,$F39/ABS($D39))</f>
        <v/>
      </c>
      <c r="K39" s="16">
        <f>IF($A39="","",ROUND($D39,2))</f>
        <v/>
      </c>
      <c r="L39" s="16">
        <f>IF($A39="","",ROUND($C39,2))</f>
        <v/>
      </c>
      <c r="M39" s="16">
        <f>IF($A39="","",IF($F39&lt;=toleransKurus,1,0))</f>
        <v/>
      </c>
      <c r="N39" s="16">
        <f>IF($A39="","",IF($F39&gt;cbb_esikFark,1,0))</f>
        <v/>
      </c>
      <c r="O39" s="16">
        <f>IF($A39="","",IF($G39="eslesti",$D39,0))</f>
        <v/>
      </c>
      <c r="P39" s="16">
        <f>IF($A39="","",$B39+$M39+$N39)</f>
        <v/>
      </c>
    </row>
    <row r="40">
      <c r="A40" s="16">
        <f>IF('ANAHTAR'!$B40="","",'ANAHTAR'!$B40)</f>
        <v/>
      </c>
      <c r="B40" s="16">
        <f>IF($A40="","",COUNTIF(tblAnahtarB[NormB],$A40))</f>
        <v/>
      </c>
      <c r="C40" s="16">
        <f>IF($A40="","",SUMIF(tblAnahtarB[NormB],$A40,tblVeriB[BeyanTutar]))</f>
        <v/>
      </c>
      <c r="D40" s="16">
        <f>IF($A40="","",SUMIF(tblAnahtarA[Norm],$A40,tblVeriA[Tutar]))</f>
        <v/>
      </c>
      <c r="E40" s="16">
        <f>IF($A40="","",ROUND($D40,2)-ROUND($C40,2))</f>
        <v/>
      </c>
      <c r="F40" s="16">
        <f>IF($A40="","",ABS($E40))</f>
        <v/>
      </c>
      <c r="G40" s="16">
        <f>IF($A40="","",IF($B40=0,"eslesmedi",IF(ROUND($D40,2)=ROUND($C40,2),"eslesti",IF(ABS(ROUND($D40,2)-ROUND($C40,2))&lt;=toleransKurus,"tolerans_icinde","tutar_farki"))))</f>
        <v/>
      </c>
      <c r="H40" s="16">
        <f>IF($A40="","",IF($B40&gt;0,"BIRINCIL",IF(COUNTIF(tblAnahtarB[IkincilB],'ANAHTAR'!$D40)&gt;0,"IKINCIL","YOK")))</f>
        <v/>
      </c>
      <c r="I40" s="16">
        <f>IF($A40="","",'ANAHTAR'!$F40)</f>
        <v/>
      </c>
      <c r="J40" s="16">
        <f>IF(OR($A40="",$D40=0),0,$F40/ABS($D40))</f>
        <v/>
      </c>
      <c r="K40" s="16">
        <f>IF($A40="","",ROUND($D40,2))</f>
        <v/>
      </c>
      <c r="L40" s="16">
        <f>IF($A40="","",ROUND($C40,2))</f>
        <v/>
      </c>
      <c r="M40" s="16">
        <f>IF($A40="","",IF($F40&lt;=toleransKurus,1,0))</f>
        <v/>
      </c>
      <c r="N40" s="16">
        <f>IF($A40="","",IF($F40&gt;cbb_esikFark,1,0))</f>
        <v/>
      </c>
      <c r="O40" s="16">
        <f>IF($A40="","",IF($G40="eslesti",$D40,0))</f>
        <v/>
      </c>
      <c r="P40" s="16">
        <f>IF($A40="","",$B40+$M40+$N40)</f>
        <v/>
      </c>
    </row>
    <row r="41">
      <c r="A41" s="16">
        <f>IF('ANAHTAR'!$B41="","",'ANAHTAR'!$B41)</f>
        <v/>
      </c>
      <c r="B41" s="16">
        <f>IF($A41="","",COUNTIF(tblAnahtarB[NormB],$A41))</f>
        <v/>
      </c>
      <c r="C41" s="16">
        <f>IF($A41="","",SUMIF(tblAnahtarB[NormB],$A41,tblVeriB[BeyanTutar]))</f>
        <v/>
      </c>
      <c r="D41" s="16">
        <f>IF($A41="","",SUMIF(tblAnahtarA[Norm],$A41,tblVeriA[Tutar]))</f>
        <v/>
      </c>
      <c r="E41" s="16">
        <f>IF($A41="","",ROUND($D41,2)-ROUND($C41,2))</f>
        <v/>
      </c>
      <c r="F41" s="16">
        <f>IF($A41="","",ABS($E41))</f>
        <v/>
      </c>
      <c r="G41" s="16">
        <f>IF($A41="","",IF($B41=0,"eslesmedi",IF(ROUND($D41,2)=ROUND($C41,2),"eslesti",IF(ABS(ROUND($D41,2)-ROUND($C41,2))&lt;=toleransKurus,"tolerans_icinde","tutar_farki"))))</f>
        <v/>
      </c>
      <c r="H41" s="16">
        <f>IF($A41="","",IF($B41&gt;0,"BIRINCIL",IF(COUNTIF(tblAnahtarB[IkincilB],'ANAHTAR'!$D41)&gt;0,"IKINCIL","YOK")))</f>
        <v/>
      </c>
      <c r="I41" s="16">
        <f>IF($A41="","",'ANAHTAR'!$F41)</f>
        <v/>
      </c>
      <c r="J41" s="16">
        <f>IF(OR($A41="",$D41=0),0,$F41/ABS($D41))</f>
        <v/>
      </c>
      <c r="K41" s="16">
        <f>IF($A41="","",ROUND($D41,2))</f>
        <v/>
      </c>
      <c r="L41" s="16">
        <f>IF($A41="","",ROUND($C41,2))</f>
        <v/>
      </c>
      <c r="M41" s="16">
        <f>IF($A41="","",IF($F41&lt;=toleransKurus,1,0))</f>
        <v/>
      </c>
      <c r="N41" s="16">
        <f>IF($A41="","",IF($F41&gt;cbb_esikFark,1,0))</f>
        <v/>
      </c>
      <c r="O41" s="16">
        <f>IF($A41="","",IF($G41="eslesti",$D41,0))</f>
        <v/>
      </c>
      <c r="P41" s="16">
        <f>IF($A41="","",$B41+$M41+$N41)</f>
        <v/>
      </c>
    </row>
    <row r="42">
      <c r="A42" s="16">
        <f>IF('ANAHTAR'!$B42="","",'ANAHTAR'!$B42)</f>
        <v/>
      </c>
      <c r="B42" s="16">
        <f>IF($A42="","",COUNTIF(tblAnahtarB[NormB],$A42))</f>
        <v/>
      </c>
      <c r="C42" s="16">
        <f>IF($A42="","",SUMIF(tblAnahtarB[NormB],$A42,tblVeriB[BeyanTutar]))</f>
        <v/>
      </c>
      <c r="D42" s="16">
        <f>IF($A42="","",SUMIF(tblAnahtarA[Norm],$A42,tblVeriA[Tutar]))</f>
        <v/>
      </c>
      <c r="E42" s="16">
        <f>IF($A42="","",ROUND($D42,2)-ROUND($C42,2))</f>
        <v/>
      </c>
      <c r="F42" s="16">
        <f>IF($A42="","",ABS($E42))</f>
        <v/>
      </c>
      <c r="G42" s="16">
        <f>IF($A42="","",IF($B42=0,"eslesmedi",IF(ROUND($D42,2)=ROUND($C42,2),"eslesti",IF(ABS(ROUND($D42,2)-ROUND($C42,2))&lt;=toleransKurus,"tolerans_icinde","tutar_farki"))))</f>
        <v/>
      </c>
      <c r="H42" s="16">
        <f>IF($A42="","",IF($B42&gt;0,"BIRINCIL",IF(COUNTIF(tblAnahtarB[IkincilB],'ANAHTAR'!$D42)&gt;0,"IKINCIL","YOK")))</f>
        <v/>
      </c>
      <c r="I42" s="16">
        <f>IF($A42="","",'ANAHTAR'!$F42)</f>
        <v/>
      </c>
      <c r="J42" s="16">
        <f>IF(OR($A42="",$D42=0),0,$F42/ABS($D42))</f>
        <v/>
      </c>
      <c r="K42" s="16">
        <f>IF($A42="","",ROUND($D42,2))</f>
        <v/>
      </c>
      <c r="L42" s="16">
        <f>IF($A42="","",ROUND($C42,2))</f>
        <v/>
      </c>
      <c r="M42" s="16">
        <f>IF($A42="","",IF($F42&lt;=toleransKurus,1,0))</f>
        <v/>
      </c>
      <c r="N42" s="16">
        <f>IF($A42="","",IF($F42&gt;cbb_esikFark,1,0))</f>
        <v/>
      </c>
      <c r="O42" s="16">
        <f>IF($A42="","",IF($G42="eslesti",$D42,0))</f>
        <v/>
      </c>
      <c r="P42" s="16">
        <f>IF($A42="","",$B42+$M42+$N42)</f>
        <v/>
      </c>
    </row>
    <row r="43">
      <c r="A43" s="16">
        <f>IF('ANAHTAR'!$B43="","",'ANAHTAR'!$B43)</f>
        <v/>
      </c>
      <c r="B43" s="16">
        <f>IF($A43="","",COUNTIF(tblAnahtarB[NormB],$A43))</f>
        <v/>
      </c>
      <c r="C43" s="16">
        <f>IF($A43="","",SUMIF(tblAnahtarB[NormB],$A43,tblVeriB[BeyanTutar]))</f>
        <v/>
      </c>
      <c r="D43" s="16">
        <f>IF($A43="","",SUMIF(tblAnahtarA[Norm],$A43,tblVeriA[Tutar]))</f>
        <v/>
      </c>
      <c r="E43" s="16">
        <f>IF($A43="","",ROUND($D43,2)-ROUND($C43,2))</f>
        <v/>
      </c>
      <c r="F43" s="16">
        <f>IF($A43="","",ABS($E43))</f>
        <v/>
      </c>
      <c r="G43" s="16">
        <f>IF($A43="","",IF($B43=0,"eslesmedi",IF(ROUND($D43,2)=ROUND($C43,2),"eslesti",IF(ABS(ROUND($D43,2)-ROUND($C43,2))&lt;=toleransKurus,"tolerans_icinde","tutar_farki"))))</f>
        <v/>
      </c>
      <c r="H43" s="16">
        <f>IF($A43="","",IF($B43&gt;0,"BIRINCIL",IF(COUNTIF(tblAnahtarB[IkincilB],'ANAHTAR'!$D43)&gt;0,"IKINCIL","YOK")))</f>
        <v/>
      </c>
      <c r="I43" s="16">
        <f>IF($A43="","",'ANAHTAR'!$F43)</f>
        <v/>
      </c>
      <c r="J43" s="16">
        <f>IF(OR($A43="",$D43=0),0,$F43/ABS($D43))</f>
        <v/>
      </c>
      <c r="K43" s="16">
        <f>IF($A43="","",ROUND($D43,2))</f>
        <v/>
      </c>
      <c r="L43" s="16">
        <f>IF($A43="","",ROUND($C43,2))</f>
        <v/>
      </c>
      <c r="M43" s="16">
        <f>IF($A43="","",IF($F43&lt;=toleransKurus,1,0))</f>
        <v/>
      </c>
      <c r="N43" s="16">
        <f>IF($A43="","",IF($F43&gt;cbb_esikFark,1,0))</f>
        <v/>
      </c>
      <c r="O43" s="16">
        <f>IF($A43="","",IF($G43="eslesti",$D43,0))</f>
        <v/>
      </c>
      <c r="P43" s="16">
        <f>IF($A43="","",$B43+$M43+$N43)</f>
        <v/>
      </c>
    </row>
    <row r="44">
      <c r="A44" s="16">
        <f>IF('ANAHTAR'!$B44="","",'ANAHTAR'!$B44)</f>
        <v/>
      </c>
      <c r="B44" s="16">
        <f>IF($A44="","",COUNTIF(tblAnahtarB[NormB],$A44))</f>
        <v/>
      </c>
      <c r="C44" s="16">
        <f>IF($A44="","",SUMIF(tblAnahtarB[NormB],$A44,tblVeriB[BeyanTutar]))</f>
        <v/>
      </c>
      <c r="D44" s="16">
        <f>IF($A44="","",SUMIF(tblAnahtarA[Norm],$A44,tblVeriA[Tutar]))</f>
        <v/>
      </c>
      <c r="E44" s="16">
        <f>IF($A44="","",ROUND($D44,2)-ROUND($C44,2))</f>
        <v/>
      </c>
      <c r="F44" s="16">
        <f>IF($A44="","",ABS($E44))</f>
        <v/>
      </c>
      <c r="G44" s="16">
        <f>IF($A44="","",IF($B44=0,"eslesmedi",IF(ROUND($D44,2)=ROUND($C44,2),"eslesti",IF(ABS(ROUND($D44,2)-ROUND($C44,2))&lt;=toleransKurus,"tolerans_icinde","tutar_farki"))))</f>
        <v/>
      </c>
      <c r="H44" s="16">
        <f>IF($A44="","",IF($B44&gt;0,"BIRINCIL",IF(COUNTIF(tblAnahtarB[IkincilB],'ANAHTAR'!$D44)&gt;0,"IKINCIL","YOK")))</f>
        <v/>
      </c>
      <c r="I44" s="16">
        <f>IF($A44="","",'ANAHTAR'!$F44)</f>
        <v/>
      </c>
      <c r="J44" s="16">
        <f>IF(OR($A44="",$D44=0),0,$F44/ABS($D44))</f>
        <v/>
      </c>
      <c r="K44" s="16">
        <f>IF($A44="","",ROUND($D44,2))</f>
        <v/>
      </c>
      <c r="L44" s="16">
        <f>IF($A44="","",ROUND($C44,2))</f>
        <v/>
      </c>
      <c r="M44" s="16">
        <f>IF($A44="","",IF($F44&lt;=toleransKurus,1,0))</f>
        <v/>
      </c>
      <c r="N44" s="16">
        <f>IF($A44="","",IF($F44&gt;cbb_esikFark,1,0))</f>
        <v/>
      </c>
      <c r="O44" s="16">
        <f>IF($A44="","",IF($G44="eslesti",$D44,0))</f>
        <v/>
      </c>
      <c r="P44" s="16">
        <f>IF($A44="","",$B44+$M44+$N44)</f>
        <v/>
      </c>
    </row>
    <row r="45">
      <c r="A45" s="16">
        <f>IF('ANAHTAR'!$B45="","",'ANAHTAR'!$B45)</f>
        <v/>
      </c>
      <c r="B45" s="16">
        <f>IF($A45="","",COUNTIF(tblAnahtarB[NormB],$A45))</f>
        <v/>
      </c>
      <c r="C45" s="16">
        <f>IF($A45="","",SUMIF(tblAnahtarB[NormB],$A45,tblVeriB[BeyanTutar]))</f>
        <v/>
      </c>
      <c r="D45" s="16">
        <f>IF($A45="","",SUMIF(tblAnahtarA[Norm],$A45,tblVeriA[Tutar]))</f>
        <v/>
      </c>
      <c r="E45" s="16">
        <f>IF($A45="","",ROUND($D45,2)-ROUND($C45,2))</f>
        <v/>
      </c>
      <c r="F45" s="16">
        <f>IF($A45="","",ABS($E45))</f>
        <v/>
      </c>
      <c r="G45" s="16">
        <f>IF($A45="","",IF($B45=0,"eslesmedi",IF(ROUND($D45,2)=ROUND($C45,2),"eslesti",IF(ABS(ROUND($D45,2)-ROUND($C45,2))&lt;=toleransKurus,"tolerans_icinde","tutar_farki"))))</f>
        <v/>
      </c>
      <c r="H45" s="16">
        <f>IF($A45="","",IF($B45&gt;0,"BIRINCIL",IF(COUNTIF(tblAnahtarB[IkincilB],'ANAHTAR'!$D45)&gt;0,"IKINCIL","YOK")))</f>
        <v/>
      </c>
      <c r="I45" s="16">
        <f>IF($A45="","",'ANAHTAR'!$F45)</f>
        <v/>
      </c>
      <c r="J45" s="16">
        <f>IF(OR($A45="",$D45=0),0,$F45/ABS($D45))</f>
        <v/>
      </c>
      <c r="K45" s="16">
        <f>IF($A45="","",ROUND($D45,2))</f>
        <v/>
      </c>
      <c r="L45" s="16">
        <f>IF($A45="","",ROUND($C45,2))</f>
        <v/>
      </c>
      <c r="M45" s="16">
        <f>IF($A45="","",IF($F45&lt;=toleransKurus,1,0))</f>
        <v/>
      </c>
      <c r="N45" s="16">
        <f>IF($A45="","",IF($F45&gt;cbb_esikFark,1,0))</f>
        <v/>
      </c>
      <c r="O45" s="16">
        <f>IF($A45="","",IF($G45="eslesti",$D45,0))</f>
        <v/>
      </c>
      <c r="P45" s="16">
        <f>IF($A45="","",$B45+$M45+$N45)</f>
        <v/>
      </c>
    </row>
    <row r="46">
      <c r="A46" s="16">
        <f>IF('ANAHTAR'!$B46="","",'ANAHTAR'!$B46)</f>
        <v/>
      </c>
      <c r="B46" s="16">
        <f>IF($A46="","",COUNTIF(tblAnahtarB[NormB],$A46))</f>
        <v/>
      </c>
      <c r="C46" s="16">
        <f>IF($A46="","",SUMIF(tblAnahtarB[NormB],$A46,tblVeriB[BeyanTutar]))</f>
        <v/>
      </c>
      <c r="D46" s="16">
        <f>IF($A46="","",SUMIF(tblAnahtarA[Norm],$A46,tblVeriA[Tutar]))</f>
        <v/>
      </c>
      <c r="E46" s="16">
        <f>IF($A46="","",ROUND($D46,2)-ROUND($C46,2))</f>
        <v/>
      </c>
      <c r="F46" s="16">
        <f>IF($A46="","",ABS($E46))</f>
        <v/>
      </c>
      <c r="G46" s="16">
        <f>IF($A46="","",IF($B46=0,"eslesmedi",IF(ROUND($D46,2)=ROUND($C46,2),"eslesti",IF(ABS(ROUND($D46,2)-ROUND($C46,2))&lt;=toleransKurus,"tolerans_icinde","tutar_farki"))))</f>
        <v/>
      </c>
      <c r="H46" s="16">
        <f>IF($A46="","",IF($B46&gt;0,"BIRINCIL",IF(COUNTIF(tblAnahtarB[IkincilB],'ANAHTAR'!$D46)&gt;0,"IKINCIL","YOK")))</f>
        <v/>
      </c>
      <c r="I46" s="16">
        <f>IF($A46="","",'ANAHTAR'!$F46)</f>
        <v/>
      </c>
      <c r="J46" s="16">
        <f>IF(OR($A46="",$D46=0),0,$F46/ABS($D46))</f>
        <v/>
      </c>
      <c r="K46" s="16">
        <f>IF($A46="","",ROUND($D46,2))</f>
        <v/>
      </c>
      <c r="L46" s="16">
        <f>IF($A46="","",ROUND($C46,2))</f>
        <v/>
      </c>
      <c r="M46" s="16">
        <f>IF($A46="","",IF($F46&lt;=toleransKurus,1,0))</f>
        <v/>
      </c>
      <c r="N46" s="16">
        <f>IF($A46="","",IF($F46&gt;cbb_esikFark,1,0))</f>
        <v/>
      </c>
      <c r="O46" s="16">
        <f>IF($A46="","",IF($G46="eslesti",$D46,0))</f>
        <v/>
      </c>
      <c r="P46" s="16">
        <f>IF($A46="","",$B46+$M46+$N46)</f>
        <v/>
      </c>
    </row>
    <row r="47">
      <c r="A47" s="16">
        <f>IF('ANAHTAR'!$B47="","",'ANAHTAR'!$B47)</f>
        <v/>
      </c>
      <c r="B47" s="16">
        <f>IF($A47="","",COUNTIF(tblAnahtarB[NormB],$A47))</f>
        <v/>
      </c>
      <c r="C47" s="16">
        <f>IF($A47="","",SUMIF(tblAnahtarB[NormB],$A47,tblVeriB[BeyanTutar]))</f>
        <v/>
      </c>
      <c r="D47" s="16">
        <f>IF($A47="","",SUMIF(tblAnahtarA[Norm],$A47,tblVeriA[Tutar]))</f>
        <v/>
      </c>
      <c r="E47" s="16">
        <f>IF($A47="","",ROUND($D47,2)-ROUND($C47,2))</f>
        <v/>
      </c>
      <c r="F47" s="16">
        <f>IF($A47="","",ABS($E47))</f>
        <v/>
      </c>
      <c r="G47" s="16">
        <f>IF($A47="","",IF($B47=0,"eslesmedi",IF(ROUND($D47,2)=ROUND($C47,2),"eslesti",IF(ABS(ROUND($D47,2)-ROUND($C47,2))&lt;=toleransKurus,"tolerans_icinde","tutar_farki"))))</f>
        <v/>
      </c>
      <c r="H47" s="16">
        <f>IF($A47="","",IF($B47&gt;0,"BIRINCIL",IF(COUNTIF(tblAnahtarB[IkincilB],'ANAHTAR'!$D47)&gt;0,"IKINCIL","YOK")))</f>
        <v/>
      </c>
      <c r="I47" s="16">
        <f>IF($A47="","",'ANAHTAR'!$F47)</f>
        <v/>
      </c>
      <c r="J47" s="16">
        <f>IF(OR($A47="",$D47=0),0,$F47/ABS($D47))</f>
        <v/>
      </c>
      <c r="K47" s="16">
        <f>IF($A47="","",ROUND($D47,2))</f>
        <v/>
      </c>
      <c r="L47" s="16">
        <f>IF($A47="","",ROUND($C47,2))</f>
        <v/>
      </c>
      <c r="M47" s="16">
        <f>IF($A47="","",IF($F47&lt;=toleransKurus,1,0))</f>
        <v/>
      </c>
      <c r="N47" s="16">
        <f>IF($A47="","",IF($F47&gt;cbb_esikFark,1,0))</f>
        <v/>
      </c>
      <c r="O47" s="16">
        <f>IF($A47="","",IF($G47="eslesti",$D47,0))</f>
        <v/>
      </c>
      <c r="P47" s="16">
        <f>IF($A47="","",$B47+$M47+$N47)</f>
        <v/>
      </c>
    </row>
    <row r="48">
      <c r="A48" s="16">
        <f>IF('ANAHTAR'!$B48="","",'ANAHTAR'!$B48)</f>
        <v/>
      </c>
      <c r="B48" s="16">
        <f>IF($A48="","",COUNTIF(tblAnahtarB[NormB],$A48))</f>
        <v/>
      </c>
      <c r="C48" s="16">
        <f>IF($A48="","",SUMIF(tblAnahtarB[NormB],$A48,tblVeriB[BeyanTutar]))</f>
        <v/>
      </c>
      <c r="D48" s="16">
        <f>IF($A48="","",SUMIF(tblAnahtarA[Norm],$A48,tblVeriA[Tutar]))</f>
        <v/>
      </c>
      <c r="E48" s="16">
        <f>IF($A48="","",ROUND($D48,2)-ROUND($C48,2))</f>
        <v/>
      </c>
      <c r="F48" s="16">
        <f>IF($A48="","",ABS($E48))</f>
        <v/>
      </c>
      <c r="G48" s="16">
        <f>IF($A48="","",IF($B48=0,"eslesmedi",IF(ROUND($D48,2)=ROUND($C48,2),"eslesti",IF(ABS(ROUND($D48,2)-ROUND($C48,2))&lt;=toleransKurus,"tolerans_icinde","tutar_farki"))))</f>
        <v/>
      </c>
      <c r="H48" s="16">
        <f>IF($A48="","",IF($B48&gt;0,"BIRINCIL",IF(COUNTIF(tblAnahtarB[IkincilB],'ANAHTAR'!$D48)&gt;0,"IKINCIL","YOK")))</f>
        <v/>
      </c>
      <c r="I48" s="16">
        <f>IF($A48="","",'ANAHTAR'!$F48)</f>
        <v/>
      </c>
      <c r="J48" s="16">
        <f>IF(OR($A48="",$D48=0),0,$F48/ABS($D48))</f>
        <v/>
      </c>
      <c r="K48" s="16">
        <f>IF($A48="","",ROUND($D48,2))</f>
        <v/>
      </c>
      <c r="L48" s="16">
        <f>IF($A48="","",ROUND($C48,2))</f>
        <v/>
      </c>
      <c r="M48" s="16">
        <f>IF($A48="","",IF($F48&lt;=toleransKurus,1,0))</f>
        <v/>
      </c>
      <c r="N48" s="16">
        <f>IF($A48="","",IF($F48&gt;cbb_esikFark,1,0))</f>
        <v/>
      </c>
      <c r="O48" s="16">
        <f>IF($A48="","",IF($G48="eslesti",$D48,0))</f>
        <v/>
      </c>
      <c r="P48" s="16">
        <f>IF($A48="","",$B48+$M48+$N48)</f>
        <v/>
      </c>
    </row>
    <row r="49">
      <c r="A49" s="16">
        <f>IF('ANAHTAR'!$B49="","",'ANAHTAR'!$B49)</f>
        <v/>
      </c>
      <c r="B49" s="16">
        <f>IF($A49="","",COUNTIF(tblAnahtarB[NormB],$A49))</f>
        <v/>
      </c>
      <c r="C49" s="16">
        <f>IF($A49="","",SUMIF(tblAnahtarB[NormB],$A49,tblVeriB[BeyanTutar]))</f>
        <v/>
      </c>
      <c r="D49" s="16">
        <f>IF($A49="","",SUMIF(tblAnahtarA[Norm],$A49,tblVeriA[Tutar]))</f>
        <v/>
      </c>
      <c r="E49" s="16">
        <f>IF($A49="","",ROUND($D49,2)-ROUND($C49,2))</f>
        <v/>
      </c>
      <c r="F49" s="16">
        <f>IF($A49="","",ABS($E49))</f>
        <v/>
      </c>
      <c r="G49" s="16">
        <f>IF($A49="","",IF($B49=0,"eslesmedi",IF(ROUND($D49,2)=ROUND($C49,2),"eslesti",IF(ABS(ROUND($D49,2)-ROUND($C49,2))&lt;=toleransKurus,"tolerans_icinde","tutar_farki"))))</f>
        <v/>
      </c>
      <c r="H49" s="16">
        <f>IF($A49="","",IF($B49&gt;0,"BIRINCIL",IF(COUNTIF(tblAnahtarB[IkincilB],'ANAHTAR'!$D49)&gt;0,"IKINCIL","YOK")))</f>
        <v/>
      </c>
      <c r="I49" s="16">
        <f>IF($A49="","",'ANAHTAR'!$F49)</f>
        <v/>
      </c>
      <c r="J49" s="16">
        <f>IF(OR($A49="",$D49=0),0,$F49/ABS($D49))</f>
        <v/>
      </c>
      <c r="K49" s="16">
        <f>IF($A49="","",ROUND($D49,2))</f>
        <v/>
      </c>
      <c r="L49" s="16">
        <f>IF($A49="","",ROUND($C49,2))</f>
        <v/>
      </c>
      <c r="M49" s="16">
        <f>IF($A49="","",IF($F49&lt;=toleransKurus,1,0))</f>
        <v/>
      </c>
      <c r="N49" s="16">
        <f>IF($A49="","",IF($F49&gt;cbb_esikFark,1,0))</f>
        <v/>
      </c>
      <c r="O49" s="16">
        <f>IF($A49="","",IF($G49="eslesti",$D49,0))</f>
        <v/>
      </c>
      <c r="P49" s="16">
        <f>IF($A49="","",$B49+$M49+$N49)</f>
        <v/>
      </c>
    </row>
    <row r="50">
      <c r="A50" s="16">
        <f>IF('ANAHTAR'!$B50="","",'ANAHTAR'!$B50)</f>
        <v/>
      </c>
      <c r="B50" s="16">
        <f>IF($A50="","",COUNTIF(tblAnahtarB[NormB],$A50))</f>
        <v/>
      </c>
      <c r="C50" s="16">
        <f>IF($A50="","",SUMIF(tblAnahtarB[NormB],$A50,tblVeriB[BeyanTutar]))</f>
        <v/>
      </c>
      <c r="D50" s="16">
        <f>IF($A50="","",SUMIF(tblAnahtarA[Norm],$A50,tblVeriA[Tutar]))</f>
        <v/>
      </c>
      <c r="E50" s="16">
        <f>IF($A50="","",ROUND($D50,2)-ROUND($C50,2))</f>
        <v/>
      </c>
      <c r="F50" s="16">
        <f>IF($A50="","",ABS($E50))</f>
        <v/>
      </c>
      <c r="G50" s="16">
        <f>IF($A50="","",IF($B50=0,"eslesmedi",IF(ROUND($D50,2)=ROUND($C50,2),"eslesti",IF(ABS(ROUND($D50,2)-ROUND($C50,2))&lt;=toleransKurus,"tolerans_icinde","tutar_farki"))))</f>
        <v/>
      </c>
      <c r="H50" s="16">
        <f>IF($A50="","",IF($B50&gt;0,"BIRINCIL",IF(COUNTIF(tblAnahtarB[IkincilB],'ANAHTAR'!$D50)&gt;0,"IKINCIL","YOK")))</f>
        <v/>
      </c>
      <c r="I50" s="16">
        <f>IF($A50="","",'ANAHTAR'!$F50)</f>
        <v/>
      </c>
      <c r="J50" s="16">
        <f>IF(OR($A50="",$D50=0),0,$F50/ABS($D50))</f>
        <v/>
      </c>
      <c r="K50" s="16">
        <f>IF($A50="","",ROUND($D50,2))</f>
        <v/>
      </c>
      <c r="L50" s="16">
        <f>IF($A50="","",ROUND($C50,2))</f>
        <v/>
      </c>
      <c r="M50" s="16">
        <f>IF($A50="","",IF($F50&lt;=toleransKurus,1,0))</f>
        <v/>
      </c>
      <c r="N50" s="16">
        <f>IF($A50="","",IF($F50&gt;cbb_esikFark,1,0))</f>
        <v/>
      </c>
      <c r="O50" s="16">
        <f>IF($A50="","",IF($G50="eslesti",$D50,0))</f>
        <v/>
      </c>
      <c r="P50" s="16">
        <f>IF($A50="","",$B50+$M50+$N50)</f>
        <v/>
      </c>
    </row>
    <row r="51">
      <c r="A51" s="16">
        <f>IF('ANAHTAR'!$B51="","",'ANAHTAR'!$B51)</f>
        <v/>
      </c>
      <c r="B51" s="16">
        <f>IF($A51="","",COUNTIF(tblAnahtarB[NormB],$A51))</f>
        <v/>
      </c>
      <c r="C51" s="16">
        <f>IF($A51="","",SUMIF(tblAnahtarB[NormB],$A51,tblVeriB[BeyanTutar]))</f>
        <v/>
      </c>
      <c r="D51" s="16">
        <f>IF($A51="","",SUMIF(tblAnahtarA[Norm],$A51,tblVeriA[Tutar]))</f>
        <v/>
      </c>
      <c r="E51" s="16">
        <f>IF($A51="","",ROUND($D51,2)-ROUND($C51,2))</f>
        <v/>
      </c>
      <c r="F51" s="16">
        <f>IF($A51="","",ABS($E51))</f>
        <v/>
      </c>
      <c r="G51" s="16">
        <f>IF($A51="","",IF($B51=0,"eslesmedi",IF(ROUND($D51,2)=ROUND($C51,2),"eslesti",IF(ABS(ROUND($D51,2)-ROUND($C51,2))&lt;=toleransKurus,"tolerans_icinde","tutar_farki"))))</f>
        <v/>
      </c>
      <c r="H51" s="16">
        <f>IF($A51="","",IF($B51&gt;0,"BIRINCIL",IF(COUNTIF(tblAnahtarB[IkincilB],'ANAHTAR'!$D51)&gt;0,"IKINCIL","YOK")))</f>
        <v/>
      </c>
      <c r="I51" s="16">
        <f>IF($A51="","",'ANAHTAR'!$F51)</f>
        <v/>
      </c>
      <c r="J51" s="16">
        <f>IF(OR($A51="",$D51=0),0,$F51/ABS($D51))</f>
        <v/>
      </c>
      <c r="K51" s="16">
        <f>IF($A51="","",ROUND($D51,2))</f>
        <v/>
      </c>
      <c r="L51" s="16">
        <f>IF($A51="","",ROUND($C51,2))</f>
        <v/>
      </c>
      <c r="M51" s="16">
        <f>IF($A51="","",IF($F51&lt;=toleransKurus,1,0))</f>
        <v/>
      </c>
      <c r="N51" s="16">
        <f>IF($A51="","",IF($F51&gt;cbb_esikFark,1,0))</f>
        <v/>
      </c>
      <c r="O51" s="16">
        <f>IF($A51="","",IF($G51="eslesti",$D51,0))</f>
        <v/>
      </c>
      <c r="P51" s="16">
        <f>IF($A51="","",$B51+$M51+$N51)</f>
        <v/>
      </c>
    </row>
    <row r="52">
      <c r="A52" s="16">
        <f>IF('ANAHTAR'!$B52="","",'ANAHTAR'!$B52)</f>
        <v/>
      </c>
      <c r="B52" s="16">
        <f>IF($A52="","",COUNTIF(tblAnahtarB[NormB],$A52))</f>
        <v/>
      </c>
      <c r="C52" s="16">
        <f>IF($A52="","",SUMIF(tblAnahtarB[NormB],$A52,tblVeriB[BeyanTutar]))</f>
        <v/>
      </c>
      <c r="D52" s="16">
        <f>IF($A52="","",SUMIF(tblAnahtarA[Norm],$A52,tblVeriA[Tutar]))</f>
        <v/>
      </c>
      <c r="E52" s="16">
        <f>IF($A52="","",ROUND($D52,2)-ROUND($C52,2))</f>
        <v/>
      </c>
      <c r="F52" s="16">
        <f>IF($A52="","",ABS($E52))</f>
        <v/>
      </c>
      <c r="G52" s="16">
        <f>IF($A52="","",IF($B52=0,"eslesmedi",IF(ROUND($D52,2)=ROUND($C52,2),"eslesti",IF(ABS(ROUND($D52,2)-ROUND($C52,2))&lt;=toleransKurus,"tolerans_icinde","tutar_farki"))))</f>
        <v/>
      </c>
      <c r="H52" s="16">
        <f>IF($A52="","",IF($B52&gt;0,"BIRINCIL",IF(COUNTIF(tblAnahtarB[IkincilB],'ANAHTAR'!$D52)&gt;0,"IKINCIL","YOK")))</f>
        <v/>
      </c>
      <c r="I52" s="16">
        <f>IF($A52="","",'ANAHTAR'!$F52)</f>
        <v/>
      </c>
      <c r="J52" s="16">
        <f>IF(OR($A52="",$D52=0),0,$F52/ABS($D52))</f>
        <v/>
      </c>
      <c r="K52" s="16">
        <f>IF($A52="","",ROUND($D52,2))</f>
        <v/>
      </c>
      <c r="L52" s="16">
        <f>IF($A52="","",ROUND($C52,2))</f>
        <v/>
      </c>
      <c r="M52" s="16">
        <f>IF($A52="","",IF($F52&lt;=toleransKurus,1,0))</f>
        <v/>
      </c>
      <c r="N52" s="16">
        <f>IF($A52="","",IF($F52&gt;cbb_esikFark,1,0))</f>
        <v/>
      </c>
      <c r="O52" s="16">
        <f>IF($A52="","",IF($G52="eslesti",$D52,0))</f>
        <v/>
      </c>
      <c r="P52" s="16">
        <f>IF($A52="","",$B52+$M52+$N52)</f>
        <v/>
      </c>
    </row>
    <row r="53">
      <c r="A53" s="16">
        <f>IF('ANAHTAR'!$B53="","",'ANAHTAR'!$B53)</f>
        <v/>
      </c>
      <c r="B53" s="16">
        <f>IF($A53="","",COUNTIF(tblAnahtarB[NormB],$A53))</f>
        <v/>
      </c>
      <c r="C53" s="16">
        <f>IF($A53="","",SUMIF(tblAnahtarB[NormB],$A53,tblVeriB[BeyanTutar]))</f>
        <v/>
      </c>
      <c r="D53" s="16">
        <f>IF($A53="","",SUMIF(tblAnahtarA[Norm],$A53,tblVeriA[Tutar]))</f>
        <v/>
      </c>
      <c r="E53" s="16">
        <f>IF($A53="","",ROUND($D53,2)-ROUND($C53,2))</f>
        <v/>
      </c>
      <c r="F53" s="16">
        <f>IF($A53="","",ABS($E53))</f>
        <v/>
      </c>
      <c r="G53" s="16">
        <f>IF($A53="","",IF($B53=0,"eslesmedi",IF(ROUND($D53,2)=ROUND($C53,2),"eslesti",IF(ABS(ROUND($D53,2)-ROUND($C53,2))&lt;=toleransKurus,"tolerans_icinde","tutar_farki"))))</f>
        <v/>
      </c>
      <c r="H53" s="16">
        <f>IF($A53="","",IF($B53&gt;0,"BIRINCIL",IF(COUNTIF(tblAnahtarB[IkincilB],'ANAHTAR'!$D53)&gt;0,"IKINCIL","YOK")))</f>
        <v/>
      </c>
      <c r="I53" s="16">
        <f>IF($A53="","",'ANAHTAR'!$F53)</f>
        <v/>
      </c>
      <c r="J53" s="16">
        <f>IF(OR($A53="",$D53=0),0,$F53/ABS($D53))</f>
        <v/>
      </c>
      <c r="K53" s="16">
        <f>IF($A53="","",ROUND($D53,2))</f>
        <v/>
      </c>
      <c r="L53" s="16">
        <f>IF($A53="","",ROUND($C53,2))</f>
        <v/>
      </c>
      <c r="M53" s="16">
        <f>IF($A53="","",IF($F53&lt;=toleransKurus,1,0))</f>
        <v/>
      </c>
      <c r="N53" s="16">
        <f>IF($A53="","",IF($F53&gt;cbb_esikFark,1,0))</f>
        <v/>
      </c>
      <c r="O53" s="16">
        <f>IF($A53="","",IF($G53="eslesti",$D53,0))</f>
        <v/>
      </c>
      <c r="P53" s="16">
        <f>IF($A53="","",$B53+$M53+$N53)</f>
        <v/>
      </c>
    </row>
    <row r="54">
      <c r="A54" s="16">
        <f>IF('ANAHTAR'!$B54="","",'ANAHTAR'!$B54)</f>
        <v/>
      </c>
      <c r="B54" s="16">
        <f>IF($A54="","",COUNTIF(tblAnahtarB[NormB],$A54))</f>
        <v/>
      </c>
      <c r="C54" s="16">
        <f>IF($A54="","",SUMIF(tblAnahtarB[NormB],$A54,tblVeriB[BeyanTutar]))</f>
        <v/>
      </c>
      <c r="D54" s="16">
        <f>IF($A54="","",SUMIF(tblAnahtarA[Norm],$A54,tblVeriA[Tutar]))</f>
        <v/>
      </c>
      <c r="E54" s="16">
        <f>IF($A54="","",ROUND($D54,2)-ROUND($C54,2))</f>
        <v/>
      </c>
      <c r="F54" s="16">
        <f>IF($A54="","",ABS($E54))</f>
        <v/>
      </c>
      <c r="G54" s="16">
        <f>IF($A54="","",IF($B54=0,"eslesmedi",IF(ROUND($D54,2)=ROUND($C54,2),"eslesti",IF(ABS(ROUND($D54,2)-ROUND($C54,2))&lt;=toleransKurus,"tolerans_icinde","tutar_farki"))))</f>
        <v/>
      </c>
      <c r="H54" s="16">
        <f>IF($A54="","",IF($B54&gt;0,"BIRINCIL",IF(COUNTIF(tblAnahtarB[IkincilB],'ANAHTAR'!$D54)&gt;0,"IKINCIL","YOK")))</f>
        <v/>
      </c>
      <c r="I54" s="16">
        <f>IF($A54="","",'ANAHTAR'!$F54)</f>
        <v/>
      </c>
      <c r="J54" s="16">
        <f>IF(OR($A54="",$D54=0),0,$F54/ABS($D54))</f>
        <v/>
      </c>
      <c r="K54" s="16">
        <f>IF($A54="","",ROUND($D54,2))</f>
        <v/>
      </c>
      <c r="L54" s="16">
        <f>IF($A54="","",ROUND($C54,2))</f>
        <v/>
      </c>
      <c r="M54" s="16">
        <f>IF($A54="","",IF($F54&lt;=toleransKurus,1,0))</f>
        <v/>
      </c>
      <c r="N54" s="16">
        <f>IF($A54="","",IF($F54&gt;cbb_esikFark,1,0))</f>
        <v/>
      </c>
      <c r="O54" s="16">
        <f>IF($A54="","",IF($G54="eslesti",$D54,0))</f>
        <v/>
      </c>
      <c r="P54" s="16">
        <f>IF($A54="","",$B54+$M54+$N54)</f>
        <v/>
      </c>
    </row>
    <row r="55">
      <c r="A55" s="16">
        <f>IF('ANAHTAR'!$B55="","",'ANAHTAR'!$B55)</f>
        <v/>
      </c>
      <c r="B55" s="16">
        <f>IF($A55="","",COUNTIF(tblAnahtarB[NormB],$A55))</f>
        <v/>
      </c>
      <c r="C55" s="16">
        <f>IF($A55="","",SUMIF(tblAnahtarB[NormB],$A55,tblVeriB[BeyanTutar]))</f>
        <v/>
      </c>
      <c r="D55" s="16">
        <f>IF($A55="","",SUMIF(tblAnahtarA[Norm],$A55,tblVeriA[Tutar]))</f>
        <v/>
      </c>
      <c r="E55" s="16">
        <f>IF($A55="","",ROUND($D55,2)-ROUND($C55,2))</f>
        <v/>
      </c>
      <c r="F55" s="16">
        <f>IF($A55="","",ABS($E55))</f>
        <v/>
      </c>
      <c r="G55" s="16">
        <f>IF($A55="","",IF($B55=0,"eslesmedi",IF(ROUND($D55,2)=ROUND($C55,2),"eslesti",IF(ABS(ROUND($D55,2)-ROUND($C55,2))&lt;=toleransKurus,"tolerans_icinde","tutar_farki"))))</f>
        <v/>
      </c>
      <c r="H55" s="16">
        <f>IF($A55="","",IF($B55&gt;0,"BIRINCIL",IF(COUNTIF(tblAnahtarB[IkincilB],'ANAHTAR'!$D55)&gt;0,"IKINCIL","YOK")))</f>
        <v/>
      </c>
      <c r="I55" s="16">
        <f>IF($A55="","",'ANAHTAR'!$F55)</f>
        <v/>
      </c>
      <c r="J55" s="16">
        <f>IF(OR($A55="",$D55=0),0,$F55/ABS($D55))</f>
        <v/>
      </c>
      <c r="K55" s="16">
        <f>IF($A55="","",ROUND($D55,2))</f>
        <v/>
      </c>
      <c r="L55" s="16">
        <f>IF($A55="","",ROUND($C55,2))</f>
        <v/>
      </c>
      <c r="M55" s="16">
        <f>IF($A55="","",IF($F55&lt;=toleransKurus,1,0))</f>
        <v/>
      </c>
      <c r="N55" s="16">
        <f>IF($A55="","",IF($F55&gt;cbb_esikFark,1,0))</f>
        <v/>
      </c>
      <c r="O55" s="16">
        <f>IF($A55="","",IF($G55="eslesti",$D55,0))</f>
        <v/>
      </c>
      <c r="P55" s="16">
        <f>IF($A55="","",$B55+$M55+$N55)</f>
        <v/>
      </c>
    </row>
    <row r="56">
      <c r="A56" s="16">
        <f>IF('ANAHTAR'!$B56="","",'ANAHTAR'!$B56)</f>
        <v/>
      </c>
      <c r="B56" s="16">
        <f>IF($A56="","",COUNTIF(tblAnahtarB[NormB],$A56))</f>
        <v/>
      </c>
      <c r="C56" s="16">
        <f>IF($A56="","",SUMIF(tblAnahtarB[NormB],$A56,tblVeriB[BeyanTutar]))</f>
        <v/>
      </c>
      <c r="D56" s="16">
        <f>IF($A56="","",SUMIF(tblAnahtarA[Norm],$A56,tblVeriA[Tutar]))</f>
        <v/>
      </c>
      <c r="E56" s="16">
        <f>IF($A56="","",ROUND($D56,2)-ROUND($C56,2))</f>
        <v/>
      </c>
      <c r="F56" s="16">
        <f>IF($A56="","",ABS($E56))</f>
        <v/>
      </c>
      <c r="G56" s="16">
        <f>IF($A56="","",IF($B56=0,"eslesmedi",IF(ROUND($D56,2)=ROUND($C56,2),"eslesti",IF(ABS(ROUND($D56,2)-ROUND($C56,2))&lt;=toleransKurus,"tolerans_icinde","tutar_farki"))))</f>
        <v/>
      </c>
      <c r="H56" s="16">
        <f>IF($A56="","",IF($B56&gt;0,"BIRINCIL",IF(COUNTIF(tblAnahtarB[IkincilB],'ANAHTAR'!$D56)&gt;0,"IKINCIL","YOK")))</f>
        <v/>
      </c>
      <c r="I56" s="16">
        <f>IF($A56="","",'ANAHTAR'!$F56)</f>
        <v/>
      </c>
      <c r="J56" s="16">
        <f>IF(OR($A56="",$D56=0),0,$F56/ABS($D56))</f>
        <v/>
      </c>
      <c r="K56" s="16">
        <f>IF($A56="","",ROUND($D56,2))</f>
        <v/>
      </c>
      <c r="L56" s="16">
        <f>IF($A56="","",ROUND($C56,2))</f>
        <v/>
      </c>
      <c r="M56" s="16">
        <f>IF($A56="","",IF($F56&lt;=toleransKurus,1,0))</f>
        <v/>
      </c>
      <c r="N56" s="16">
        <f>IF($A56="","",IF($F56&gt;cbb_esikFark,1,0))</f>
        <v/>
      </c>
      <c r="O56" s="16">
        <f>IF($A56="","",IF($G56="eslesti",$D56,0))</f>
        <v/>
      </c>
      <c r="P56" s="16">
        <f>IF($A56="","",$B56+$M56+$N56)</f>
        <v/>
      </c>
    </row>
    <row r="57">
      <c r="A57" s="16">
        <f>IF('ANAHTAR'!$B57="","",'ANAHTAR'!$B57)</f>
        <v/>
      </c>
      <c r="B57" s="16">
        <f>IF($A57="","",COUNTIF(tblAnahtarB[NormB],$A57))</f>
        <v/>
      </c>
      <c r="C57" s="16">
        <f>IF($A57="","",SUMIF(tblAnahtarB[NormB],$A57,tblVeriB[BeyanTutar]))</f>
        <v/>
      </c>
      <c r="D57" s="16">
        <f>IF($A57="","",SUMIF(tblAnahtarA[Norm],$A57,tblVeriA[Tutar]))</f>
        <v/>
      </c>
      <c r="E57" s="16">
        <f>IF($A57="","",ROUND($D57,2)-ROUND($C57,2))</f>
        <v/>
      </c>
      <c r="F57" s="16">
        <f>IF($A57="","",ABS($E57))</f>
        <v/>
      </c>
      <c r="G57" s="16">
        <f>IF($A57="","",IF($B57=0,"eslesmedi",IF(ROUND($D57,2)=ROUND($C57,2),"eslesti",IF(ABS(ROUND($D57,2)-ROUND($C57,2))&lt;=toleransKurus,"tolerans_icinde","tutar_farki"))))</f>
        <v/>
      </c>
      <c r="H57" s="16">
        <f>IF($A57="","",IF($B57&gt;0,"BIRINCIL",IF(COUNTIF(tblAnahtarB[IkincilB],'ANAHTAR'!$D57)&gt;0,"IKINCIL","YOK")))</f>
        <v/>
      </c>
      <c r="I57" s="16">
        <f>IF($A57="","",'ANAHTAR'!$F57)</f>
        <v/>
      </c>
      <c r="J57" s="16">
        <f>IF(OR($A57="",$D57=0),0,$F57/ABS($D57))</f>
        <v/>
      </c>
      <c r="K57" s="16">
        <f>IF($A57="","",ROUND($D57,2))</f>
        <v/>
      </c>
      <c r="L57" s="16">
        <f>IF($A57="","",ROUND($C57,2))</f>
        <v/>
      </c>
      <c r="M57" s="16">
        <f>IF($A57="","",IF($F57&lt;=toleransKurus,1,0))</f>
        <v/>
      </c>
      <c r="N57" s="16">
        <f>IF($A57="","",IF($F57&gt;cbb_esikFark,1,0))</f>
        <v/>
      </c>
      <c r="O57" s="16">
        <f>IF($A57="","",IF($G57="eslesti",$D57,0))</f>
        <v/>
      </c>
      <c r="P57" s="16">
        <f>IF($A57="","",$B57+$M57+$N57)</f>
        <v/>
      </c>
    </row>
    <row r="58">
      <c r="A58" s="16">
        <f>IF('ANAHTAR'!$B58="","",'ANAHTAR'!$B58)</f>
        <v/>
      </c>
      <c r="B58" s="16">
        <f>IF($A58="","",COUNTIF(tblAnahtarB[NormB],$A58))</f>
        <v/>
      </c>
      <c r="C58" s="16">
        <f>IF($A58="","",SUMIF(tblAnahtarB[NormB],$A58,tblVeriB[BeyanTutar]))</f>
        <v/>
      </c>
      <c r="D58" s="16">
        <f>IF($A58="","",SUMIF(tblAnahtarA[Norm],$A58,tblVeriA[Tutar]))</f>
        <v/>
      </c>
      <c r="E58" s="16">
        <f>IF($A58="","",ROUND($D58,2)-ROUND($C58,2))</f>
        <v/>
      </c>
      <c r="F58" s="16">
        <f>IF($A58="","",ABS($E58))</f>
        <v/>
      </c>
      <c r="G58" s="16">
        <f>IF($A58="","",IF($B58=0,"eslesmedi",IF(ROUND($D58,2)=ROUND($C58,2),"eslesti",IF(ABS(ROUND($D58,2)-ROUND($C58,2))&lt;=toleransKurus,"tolerans_icinde","tutar_farki"))))</f>
        <v/>
      </c>
      <c r="H58" s="16">
        <f>IF($A58="","",IF($B58&gt;0,"BIRINCIL",IF(COUNTIF(tblAnahtarB[IkincilB],'ANAHTAR'!$D58)&gt;0,"IKINCIL","YOK")))</f>
        <v/>
      </c>
      <c r="I58" s="16">
        <f>IF($A58="","",'ANAHTAR'!$F58)</f>
        <v/>
      </c>
      <c r="J58" s="16">
        <f>IF(OR($A58="",$D58=0),0,$F58/ABS($D58))</f>
        <v/>
      </c>
      <c r="K58" s="16">
        <f>IF($A58="","",ROUND($D58,2))</f>
        <v/>
      </c>
      <c r="L58" s="16">
        <f>IF($A58="","",ROUND($C58,2))</f>
        <v/>
      </c>
      <c r="M58" s="16">
        <f>IF($A58="","",IF($F58&lt;=toleransKurus,1,0))</f>
        <v/>
      </c>
      <c r="N58" s="16">
        <f>IF($A58="","",IF($F58&gt;cbb_esikFark,1,0))</f>
        <v/>
      </c>
      <c r="O58" s="16">
        <f>IF($A58="","",IF($G58="eslesti",$D58,0))</f>
        <v/>
      </c>
      <c r="P58" s="16">
        <f>IF($A58="","",$B58+$M58+$N58)</f>
        <v/>
      </c>
    </row>
    <row r="59">
      <c r="A59" s="16">
        <f>IF('ANAHTAR'!$B59="","",'ANAHTAR'!$B59)</f>
        <v/>
      </c>
      <c r="B59" s="16">
        <f>IF($A59="","",COUNTIF(tblAnahtarB[NormB],$A59))</f>
        <v/>
      </c>
      <c r="C59" s="16">
        <f>IF($A59="","",SUMIF(tblAnahtarB[NormB],$A59,tblVeriB[BeyanTutar]))</f>
        <v/>
      </c>
      <c r="D59" s="16">
        <f>IF($A59="","",SUMIF(tblAnahtarA[Norm],$A59,tblVeriA[Tutar]))</f>
        <v/>
      </c>
      <c r="E59" s="16">
        <f>IF($A59="","",ROUND($D59,2)-ROUND($C59,2))</f>
        <v/>
      </c>
      <c r="F59" s="16">
        <f>IF($A59="","",ABS($E59))</f>
        <v/>
      </c>
      <c r="G59" s="16">
        <f>IF($A59="","",IF($B59=0,"eslesmedi",IF(ROUND($D59,2)=ROUND($C59,2),"eslesti",IF(ABS(ROUND($D59,2)-ROUND($C59,2))&lt;=toleransKurus,"tolerans_icinde","tutar_farki"))))</f>
        <v/>
      </c>
      <c r="H59" s="16">
        <f>IF($A59="","",IF($B59&gt;0,"BIRINCIL",IF(COUNTIF(tblAnahtarB[IkincilB],'ANAHTAR'!$D59)&gt;0,"IKINCIL","YOK")))</f>
        <v/>
      </c>
      <c r="I59" s="16">
        <f>IF($A59="","",'ANAHTAR'!$F59)</f>
        <v/>
      </c>
      <c r="J59" s="16">
        <f>IF(OR($A59="",$D59=0),0,$F59/ABS($D59))</f>
        <v/>
      </c>
      <c r="K59" s="16">
        <f>IF($A59="","",ROUND($D59,2))</f>
        <v/>
      </c>
      <c r="L59" s="16">
        <f>IF($A59="","",ROUND($C59,2))</f>
        <v/>
      </c>
      <c r="M59" s="16">
        <f>IF($A59="","",IF($F59&lt;=toleransKurus,1,0))</f>
        <v/>
      </c>
      <c r="N59" s="16">
        <f>IF($A59="","",IF($F59&gt;cbb_esikFark,1,0))</f>
        <v/>
      </c>
      <c r="O59" s="16">
        <f>IF($A59="","",IF($G59="eslesti",$D59,0))</f>
        <v/>
      </c>
      <c r="P59" s="16">
        <f>IF($A59="","",$B59+$M59+$N59)</f>
        <v/>
      </c>
    </row>
    <row r="60">
      <c r="A60" s="16">
        <f>IF('ANAHTAR'!$B60="","",'ANAHTAR'!$B60)</f>
        <v/>
      </c>
      <c r="B60" s="16">
        <f>IF($A60="","",COUNTIF(tblAnahtarB[NormB],$A60))</f>
        <v/>
      </c>
      <c r="C60" s="16">
        <f>IF($A60="","",SUMIF(tblAnahtarB[NormB],$A60,tblVeriB[BeyanTutar]))</f>
        <v/>
      </c>
      <c r="D60" s="16">
        <f>IF($A60="","",SUMIF(tblAnahtarA[Norm],$A60,tblVeriA[Tutar]))</f>
        <v/>
      </c>
      <c r="E60" s="16">
        <f>IF($A60="","",ROUND($D60,2)-ROUND($C60,2))</f>
        <v/>
      </c>
      <c r="F60" s="16">
        <f>IF($A60="","",ABS($E60))</f>
        <v/>
      </c>
      <c r="G60" s="16">
        <f>IF($A60="","",IF($B60=0,"eslesmedi",IF(ROUND($D60,2)=ROUND($C60,2),"eslesti",IF(ABS(ROUND($D60,2)-ROUND($C60,2))&lt;=toleransKurus,"tolerans_icinde","tutar_farki"))))</f>
        <v/>
      </c>
      <c r="H60" s="16">
        <f>IF($A60="","",IF($B60&gt;0,"BIRINCIL",IF(COUNTIF(tblAnahtarB[IkincilB],'ANAHTAR'!$D60)&gt;0,"IKINCIL","YOK")))</f>
        <v/>
      </c>
      <c r="I60" s="16">
        <f>IF($A60="","",'ANAHTAR'!$F60)</f>
        <v/>
      </c>
      <c r="J60" s="16">
        <f>IF(OR($A60="",$D60=0),0,$F60/ABS($D60))</f>
        <v/>
      </c>
      <c r="K60" s="16">
        <f>IF($A60="","",ROUND($D60,2))</f>
        <v/>
      </c>
      <c r="L60" s="16">
        <f>IF($A60="","",ROUND($C60,2))</f>
        <v/>
      </c>
      <c r="M60" s="16">
        <f>IF($A60="","",IF($F60&lt;=toleransKurus,1,0))</f>
        <v/>
      </c>
      <c r="N60" s="16">
        <f>IF($A60="","",IF($F60&gt;cbb_esikFark,1,0))</f>
        <v/>
      </c>
      <c r="O60" s="16">
        <f>IF($A60="","",IF($G60="eslesti",$D60,0))</f>
        <v/>
      </c>
      <c r="P60" s="16">
        <f>IF($A60="","",$B60+$M60+$N60)</f>
        <v/>
      </c>
    </row>
    <row r="61">
      <c r="A61" s="16">
        <f>IF('ANAHTAR'!$B61="","",'ANAHTAR'!$B61)</f>
        <v/>
      </c>
      <c r="B61" s="16">
        <f>IF($A61="","",COUNTIF(tblAnahtarB[NormB],$A61))</f>
        <v/>
      </c>
      <c r="C61" s="16">
        <f>IF($A61="","",SUMIF(tblAnahtarB[NormB],$A61,tblVeriB[BeyanTutar]))</f>
        <v/>
      </c>
      <c r="D61" s="16">
        <f>IF($A61="","",SUMIF(tblAnahtarA[Norm],$A61,tblVeriA[Tutar]))</f>
        <v/>
      </c>
      <c r="E61" s="16">
        <f>IF($A61="","",ROUND($D61,2)-ROUND($C61,2))</f>
        <v/>
      </c>
      <c r="F61" s="16">
        <f>IF($A61="","",ABS($E61))</f>
        <v/>
      </c>
      <c r="G61" s="16">
        <f>IF($A61="","",IF($B61=0,"eslesmedi",IF(ROUND($D61,2)=ROUND($C61,2),"eslesti",IF(ABS(ROUND($D61,2)-ROUND($C61,2))&lt;=toleransKurus,"tolerans_icinde","tutar_farki"))))</f>
        <v/>
      </c>
      <c r="H61" s="16">
        <f>IF($A61="","",IF($B61&gt;0,"BIRINCIL",IF(COUNTIF(tblAnahtarB[IkincilB],'ANAHTAR'!$D61)&gt;0,"IKINCIL","YOK")))</f>
        <v/>
      </c>
      <c r="I61" s="16">
        <f>IF($A61="","",'ANAHTAR'!$F61)</f>
        <v/>
      </c>
      <c r="J61" s="16">
        <f>IF(OR($A61="",$D61=0),0,$F61/ABS($D61))</f>
        <v/>
      </c>
      <c r="K61" s="16">
        <f>IF($A61="","",ROUND($D61,2))</f>
        <v/>
      </c>
      <c r="L61" s="16">
        <f>IF($A61="","",ROUND($C61,2))</f>
        <v/>
      </c>
      <c r="M61" s="16">
        <f>IF($A61="","",IF($F61&lt;=toleransKurus,1,0))</f>
        <v/>
      </c>
      <c r="N61" s="16">
        <f>IF($A61="","",IF($F61&gt;cbb_esikFark,1,0))</f>
        <v/>
      </c>
      <c r="O61" s="16">
        <f>IF($A61="","",IF($G61="eslesti",$D61,0))</f>
        <v/>
      </c>
      <c r="P61" s="16">
        <f>IF($A61="","",$B61+$M61+$N61)</f>
        <v/>
      </c>
    </row>
    <row r="62">
      <c r="A62" s="16">
        <f>IF('ANAHTAR'!$B62="","",'ANAHTAR'!$B62)</f>
        <v/>
      </c>
      <c r="B62" s="16">
        <f>IF($A62="","",COUNTIF(tblAnahtarB[NormB],$A62))</f>
        <v/>
      </c>
      <c r="C62" s="16">
        <f>IF($A62="","",SUMIF(tblAnahtarB[NormB],$A62,tblVeriB[BeyanTutar]))</f>
        <v/>
      </c>
      <c r="D62" s="16">
        <f>IF($A62="","",SUMIF(tblAnahtarA[Norm],$A62,tblVeriA[Tutar]))</f>
        <v/>
      </c>
      <c r="E62" s="16">
        <f>IF($A62="","",ROUND($D62,2)-ROUND($C62,2))</f>
        <v/>
      </c>
      <c r="F62" s="16">
        <f>IF($A62="","",ABS($E62))</f>
        <v/>
      </c>
      <c r="G62" s="16">
        <f>IF($A62="","",IF($B62=0,"eslesmedi",IF(ROUND($D62,2)=ROUND($C62,2),"eslesti",IF(ABS(ROUND($D62,2)-ROUND($C62,2))&lt;=toleransKurus,"tolerans_icinde","tutar_farki"))))</f>
        <v/>
      </c>
      <c r="H62" s="16">
        <f>IF($A62="","",IF($B62&gt;0,"BIRINCIL",IF(COUNTIF(tblAnahtarB[IkincilB],'ANAHTAR'!$D62)&gt;0,"IKINCIL","YOK")))</f>
        <v/>
      </c>
      <c r="I62" s="16">
        <f>IF($A62="","",'ANAHTAR'!$F62)</f>
        <v/>
      </c>
      <c r="J62" s="16">
        <f>IF(OR($A62="",$D62=0),0,$F62/ABS($D62))</f>
        <v/>
      </c>
      <c r="K62" s="16">
        <f>IF($A62="","",ROUND($D62,2))</f>
        <v/>
      </c>
      <c r="L62" s="16">
        <f>IF($A62="","",ROUND($C62,2))</f>
        <v/>
      </c>
      <c r="M62" s="16">
        <f>IF($A62="","",IF($F62&lt;=toleransKurus,1,0))</f>
        <v/>
      </c>
      <c r="N62" s="16">
        <f>IF($A62="","",IF($F62&gt;cbb_esikFark,1,0))</f>
        <v/>
      </c>
      <c r="O62" s="16">
        <f>IF($A62="","",IF($G62="eslesti",$D62,0))</f>
        <v/>
      </c>
      <c r="P62" s="16">
        <f>IF($A62="","",$B62+$M62+$N62)</f>
        <v/>
      </c>
    </row>
    <row r="63">
      <c r="A63" s="16">
        <f>IF('ANAHTAR'!$B63="","",'ANAHTAR'!$B63)</f>
        <v/>
      </c>
      <c r="B63" s="16">
        <f>IF($A63="","",COUNTIF(tblAnahtarB[NormB],$A63))</f>
        <v/>
      </c>
      <c r="C63" s="16">
        <f>IF($A63="","",SUMIF(tblAnahtarB[NormB],$A63,tblVeriB[BeyanTutar]))</f>
        <v/>
      </c>
      <c r="D63" s="16">
        <f>IF($A63="","",SUMIF(tblAnahtarA[Norm],$A63,tblVeriA[Tutar]))</f>
        <v/>
      </c>
      <c r="E63" s="16">
        <f>IF($A63="","",ROUND($D63,2)-ROUND($C63,2))</f>
        <v/>
      </c>
      <c r="F63" s="16">
        <f>IF($A63="","",ABS($E63))</f>
        <v/>
      </c>
      <c r="G63" s="16">
        <f>IF($A63="","",IF($B63=0,"eslesmedi",IF(ROUND($D63,2)=ROUND($C63,2),"eslesti",IF(ABS(ROUND($D63,2)-ROUND($C63,2))&lt;=toleransKurus,"tolerans_icinde","tutar_farki"))))</f>
        <v/>
      </c>
      <c r="H63" s="16">
        <f>IF($A63="","",IF($B63&gt;0,"BIRINCIL",IF(COUNTIF(tblAnahtarB[IkincilB],'ANAHTAR'!$D63)&gt;0,"IKINCIL","YOK")))</f>
        <v/>
      </c>
      <c r="I63" s="16">
        <f>IF($A63="","",'ANAHTAR'!$F63)</f>
        <v/>
      </c>
      <c r="J63" s="16">
        <f>IF(OR($A63="",$D63=0),0,$F63/ABS($D63))</f>
        <v/>
      </c>
      <c r="K63" s="16">
        <f>IF($A63="","",ROUND($D63,2))</f>
        <v/>
      </c>
      <c r="L63" s="16">
        <f>IF($A63="","",ROUND($C63,2))</f>
        <v/>
      </c>
      <c r="M63" s="16">
        <f>IF($A63="","",IF($F63&lt;=toleransKurus,1,0))</f>
        <v/>
      </c>
      <c r="N63" s="16">
        <f>IF($A63="","",IF($F63&gt;cbb_esikFark,1,0))</f>
        <v/>
      </c>
      <c r="O63" s="16">
        <f>IF($A63="","",IF($G63="eslesti",$D63,0))</f>
        <v/>
      </c>
      <c r="P63" s="16">
        <f>IF($A63="","",$B63+$M63+$N63)</f>
        <v/>
      </c>
    </row>
    <row r="64">
      <c r="A64" s="16">
        <f>IF('ANAHTAR'!$B64="","",'ANAHTAR'!$B64)</f>
        <v/>
      </c>
      <c r="B64" s="16">
        <f>IF($A64="","",COUNTIF(tblAnahtarB[NormB],$A64))</f>
        <v/>
      </c>
      <c r="C64" s="16">
        <f>IF($A64="","",SUMIF(tblAnahtarB[NormB],$A64,tblVeriB[BeyanTutar]))</f>
        <v/>
      </c>
      <c r="D64" s="16">
        <f>IF($A64="","",SUMIF(tblAnahtarA[Norm],$A64,tblVeriA[Tutar]))</f>
        <v/>
      </c>
      <c r="E64" s="16">
        <f>IF($A64="","",ROUND($D64,2)-ROUND($C64,2))</f>
        <v/>
      </c>
      <c r="F64" s="16">
        <f>IF($A64="","",ABS($E64))</f>
        <v/>
      </c>
      <c r="G64" s="16">
        <f>IF($A64="","",IF($B64=0,"eslesmedi",IF(ROUND($D64,2)=ROUND($C64,2),"eslesti",IF(ABS(ROUND($D64,2)-ROUND($C64,2))&lt;=toleransKurus,"tolerans_icinde","tutar_farki"))))</f>
        <v/>
      </c>
      <c r="H64" s="16">
        <f>IF($A64="","",IF($B64&gt;0,"BIRINCIL",IF(COUNTIF(tblAnahtarB[IkincilB],'ANAHTAR'!$D64)&gt;0,"IKINCIL","YOK")))</f>
        <v/>
      </c>
      <c r="I64" s="16">
        <f>IF($A64="","",'ANAHTAR'!$F64)</f>
        <v/>
      </c>
      <c r="J64" s="16">
        <f>IF(OR($A64="",$D64=0),0,$F64/ABS($D64))</f>
        <v/>
      </c>
      <c r="K64" s="16">
        <f>IF($A64="","",ROUND($D64,2))</f>
        <v/>
      </c>
      <c r="L64" s="16">
        <f>IF($A64="","",ROUND($C64,2))</f>
        <v/>
      </c>
      <c r="M64" s="16">
        <f>IF($A64="","",IF($F64&lt;=toleransKurus,1,0))</f>
        <v/>
      </c>
      <c r="N64" s="16">
        <f>IF($A64="","",IF($F64&gt;cbb_esikFark,1,0))</f>
        <v/>
      </c>
      <c r="O64" s="16">
        <f>IF($A64="","",IF($G64="eslesti",$D64,0))</f>
        <v/>
      </c>
      <c r="P64" s="16">
        <f>IF($A64="","",$B64+$M64+$N64)</f>
        <v/>
      </c>
    </row>
    <row r="65">
      <c r="A65" s="16">
        <f>IF('ANAHTAR'!$B65="","",'ANAHTAR'!$B65)</f>
        <v/>
      </c>
      <c r="B65" s="16">
        <f>IF($A65="","",COUNTIF(tblAnahtarB[NormB],$A65))</f>
        <v/>
      </c>
      <c r="C65" s="16">
        <f>IF($A65="","",SUMIF(tblAnahtarB[NormB],$A65,tblVeriB[BeyanTutar]))</f>
        <v/>
      </c>
      <c r="D65" s="16">
        <f>IF($A65="","",SUMIF(tblAnahtarA[Norm],$A65,tblVeriA[Tutar]))</f>
        <v/>
      </c>
      <c r="E65" s="16">
        <f>IF($A65="","",ROUND($D65,2)-ROUND($C65,2))</f>
        <v/>
      </c>
      <c r="F65" s="16">
        <f>IF($A65="","",ABS($E65))</f>
        <v/>
      </c>
      <c r="G65" s="16">
        <f>IF($A65="","",IF($B65=0,"eslesmedi",IF(ROUND($D65,2)=ROUND($C65,2),"eslesti",IF(ABS(ROUND($D65,2)-ROUND($C65,2))&lt;=toleransKurus,"tolerans_icinde","tutar_farki"))))</f>
        <v/>
      </c>
      <c r="H65" s="16">
        <f>IF($A65="","",IF($B65&gt;0,"BIRINCIL",IF(COUNTIF(tblAnahtarB[IkincilB],'ANAHTAR'!$D65)&gt;0,"IKINCIL","YOK")))</f>
        <v/>
      </c>
      <c r="I65" s="16">
        <f>IF($A65="","",'ANAHTAR'!$F65)</f>
        <v/>
      </c>
      <c r="J65" s="16">
        <f>IF(OR($A65="",$D65=0),0,$F65/ABS($D65))</f>
        <v/>
      </c>
      <c r="K65" s="16">
        <f>IF($A65="","",ROUND($D65,2))</f>
        <v/>
      </c>
      <c r="L65" s="16">
        <f>IF($A65="","",ROUND($C65,2))</f>
        <v/>
      </c>
      <c r="M65" s="16">
        <f>IF($A65="","",IF($F65&lt;=toleransKurus,1,0))</f>
        <v/>
      </c>
      <c r="N65" s="16">
        <f>IF($A65="","",IF($F65&gt;cbb_esikFark,1,0))</f>
        <v/>
      </c>
      <c r="O65" s="16">
        <f>IF($A65="","",IF($G65="eslesti",$D65,0))</f>
        <v/>
      </c>
      <c r="P65" s="16">
        <f>IF($A65="","",$B65+$M65+$N65)</f>
        <v/>
      </c>
    </row>
    <row r="66">
      <c r="A66" s="16">
        <f>IF('ANAHTAR'!$B66="","",'ANAHTAR'!$B66)</f>
        <v/>
      </c>
      <c r="B66" s="16">
        <f>IF($A66="","",COUNTIF(tblAnahtarB[NormB],$A66))</f>
        <v/>
      </c>
      <c r="C66" s="16">
        <f>IF($A66="","",SUMIF(tblAnahtarB[NormB],$A66,tblVeriB[BeyanTutar]))</f>
        <v/>
      </c>
      <c r="D66" s="16">
        <f>IF($A66="","",SUMIF(tblAnahtarA[Norm],$A66,tblVeriA[Tutar]))</f>
        <v/>
      </c>
      <c r="E66" s="16">
        <f>IF($A66="","",ROUND($D66,2)-ROUND($C66,2))</f>
        <v/>
      </c>
      <c r="F66" s="16">
        <f>IF($A66="","",ABS($E66))</f>
        <v/>
      </c>
      <c r="G66" s="16">
        <f>IF($A66="","",IF($B66=0,"eslesmedi",IF(ROUND($D66,2)=ROUND($C66,2),"eslesti",IF(ABS(ROUND($D66,2)-ROUND($C66,2))&lt;=toleransKurus,"tolerans_icinde","tutar_farki"))))</f>
        <v/>
      </c>
      <c r="H66" s="16">
        <f>IF($A66="","",IF($B66&gt;0,"BIRINCIL",IF(COUNTIF(tblAnahtarB[IkincilB],'ANAHTAR'!$D66)&gt;0,"IKINCIL","YOK")))</f>
        <v/>
      </c>
      <c r="I66" s="16">
        <f>IF($A66="","",'ANAHTAR'!$F66)</f>
        <v/>
      </c>
      <c r="J66" s="16">
        <f>IF(OR($A66="",$D66=0),0,$F66/ABS($D66))</f>
        <v/>
      </c>
      <c r="K66" s="16">
        <f>IF($A66="","",ROUND($D66,2))</f>
        <v/>
      </c>
      <c r="L66" s="16">
        <f>IF($A66="","",ROUND($C66,2))</f>
        <v/>
      </c>
      <c r="M66" s="16">
        <f>IF($A66="","",IF($F66&lt;=toleransKurus,1,0))</f>
        <v/>
      </c>
      <c r="N66" s="16">
        <f>IF($A66="","",IF($F66&gt;cbb_esikFark,1,0))</f>
        <v/>
      </c>
      <c r="O66" s="16">
        <f>IF($A66="","",IF($G66="eslesti",$D66,0))</f>
        <v/>
      </c>
      <c r="P66" s="16">
        <f>IF($A66="","",$B66+$M66+$N66)</f>
        <v/>
      </c>
    </row>
    <row r="67">
      <c r="A67" s="16">
        <f>IF('ANAHTAR'!$B67="","",'ANAHTAR'!$B67)</f>
        <v/>
      </c>
      <c r="B67" s="16">
        <f>IF($A67="","",COUNTIF(tblAnahtarB[NormB],$A67))</f>
        <v/>
      </c>
      <c r="C67" s="16">
        <f>IF($A67="","",SUMIF(tblAnahtarB[NormB],$A67,tblVeriB[BeyanTutar]))</f>
        <v/>
      </c>
      <c r="D67" s="16">
        <f>IF($A67="","",SUMIF(tblAnahtarA[Norm],$A67,tblVeriA[Tutar]))</f>
        <v/>
      </c>
      <c r="E67" s="16">
        <f>IF($A67="","",ROUND($D67,2)-ROUND($C67,2))</f>
        <v/>
      </c>
      <c r="F67" s="16">
        <f>IF($A67="","",ABS($E67))</f>
        <v/>
      </c>
      <c r="G67" s="16">
        <f>IF($A67="","",IF($B67=0,"eslesmedi",IF(ROUND($D67,2)=ROUND($C67,2),"eslesti",IF(ABS(ROUND($D67,2)-ROUND($C67,2))&lt;=toleransKurus,"tolerans_icinde","tutar_farki"))))</f>
        <v/>
      </c>
      <c r="H67" s="16">
        <f>IF($A67="","",IF($B67&gt;0,"BIRINCIL",IF(COUNTIF(tblAnahtarB[IkincilB],'ANAHTAR'!$D67)&gt;0,"IKINCIL","YOK")))</f>
        <v/>
      </c>
      <c r="I67" s="16">
        <f>IF($A67="","",'ANAHTAR'!$F67)</f>
        <v/>
      </c>
      <c r="J67" s="16">
        <f>IF(OR($A67="",$D67=0),0,$F67/ABS($D67))</f>
        <v/>
      </c>
      <c r="K67" s="16">
        <f>IF($A67="","",ROUND($D67,2))</f>
        <v/>
      </c>
      <c r="L67" s="16">
        <f>IF($A67="","",ROUND($C67,2))</f>
        <v/>
      </c>
      <c r="M67" s="16">
        <f>IF($A67="","",IF($F67&lt;=toleransKurus,1,0))</f>
        <v/>
      </c>
      <c r="N67" s="16">
        <f>IF($A67="","",IF($F67&gt;cbb_esikFark,1,0))</f>
        <v/>
      </c>
      <c r="O67" s="16">
        <f>IF($A67="","",IF($G67="eslesti",$D67,0))</f>
        <v/>
      </c>
      <c r="P67" s="16">
        <f>IF($A67="","",$B67+$M67+$N67)</f>
        <v/>
      </c>
    </row>
    <row r="68">
      <c r="A68" s="16">
        <f>IF('ANAHTAR'!$B68="","",'ANAHTAR'!$B68)</f>
        <v/>
      </c>
      <c r="B68" s="16">
        <f>IF($A68="","",COUNTIF(tblAnahtarB[NormB],$A68))</f>
        <v/>
      </c>
      <c r="C68" s="16">
        <f>IF($A68="","",SUMIF(tblAnahtarB[NormB],$A68,tblVeriB[BeyanTutar]))</f>
        <v/>
      </c>
      <c r="D68" s="16">
        <f>IF($A68="","",SUMIF(tblAnahtarA[Norm],$A68,tblVeriA[Tutar]))</f>
        <v/>
      </c>
      <c r="E68" s="16">
        <f>IF($A68="","",ROUND($D68,2)-ROUND($C68,2))</f>
        <v/>
      </c>
      <c r="F68" s="16">
        <f>IF($A68="","",ABS($E68))</f>
        <v/>
      </c>
      <c r="G68" s="16">
        <f>IF($A68="","",IF($B68=0,"eslesmedi",IF(ROUND($D68,2)=ROUND($C68,2),"eslesti",IF(ABS(ROUND($D68,2)-ROUND($C68,2))&lt;=toleransKurus,"tolerans_icinde","tutar_farki"))))</f>
        <v/>
      </c>
      <c r="H68" s="16">
        <f>IF($A68="","",IF($B68&gt;0,"BIRINCIL",IF(COUNTIF(tblAnahtarB[IkincilB],'ANAHTAR'!$D68)&gt;0,"IKINCIL","YOK")))</f>
        <v/>
      </c>
      <c r="I68" s="16">
        <f>IF($A68="","",'ANAHTAR'!$F68)</f>
        <v/>
      </c>
      <c r="J68" s="16">
        <f>IF(OR($A68="",$D68=0),0,$F68/ABS($D68))</f>
        <v/>
      </c>
      <c r="K68" s="16">
        <f>IF($A68="","",ROUND($D68,2))</f>
        <v/>
      </c>
      <c r="L68" s="16">
        <f>IF($A68="","",ROUND($C68,2))</f>
        <v/>
      </c>
      <c r="M68" s="16">
        <f>IF($A68="","",IF($F68&lt;=toleransKurus,1,0))</f>
        <v/>
      </c>
      <c r="N68" s="16">
        <f>IF($A68="","",IF($F68&gt;cbb_esikFark,1,0))</f>
        <v/>
      </c>
      <c r="O68" s="16">
        <f>IF($A68="","",IF($G68="eslesti",$D68,0))</f>
        <v/>
      </c>
      <c r="P68" s="16">
        <f>IF($A68="","",$B68+$M68+$N68)</f>
        <v/>
      </c>
    </row>
    <row r="69">
      <c r="A69" s="16">
        <f>IF('ANAHTAR'!$B69="","",'ANAHTAR'!$B69)</f>
        <v/>
      </c>
      <c r="B69" s="16">
        <f>IF($A69="","",COUNTIF(tblAnahtarB[NormB],$A69))</f>
        <v/>
      </c>
      <c r="C69" s="16">
        <f>IF($A69="","",SUMIF(tblAnahtarB[NormB],$A69,tblVeriB[BeyanTutar]))</f>
        <v/>
      </c>
      <c r="D69" s="16">
        <f>IF($A69="","",SUMIF(tblAnahtarA[Norm],$A69,tblVeriA[Tutar]))</f>
        <v/>
      </c>
      <c r="E69" s="16">
        <f>IF($A69="","",ROUND($D69,2)-ROUND($C69,2))</f>
        <v/>
      </c>
      <c r="F69" s="16">
        <f>IF($A69="","",ABS($E69))</f>
        <v/>
      </c>
      <c r="G69" s="16">
        <f>IF($A69="","",IF($B69=0,"eslesmedi",IF(ROUND($D69,2)=ROUND($C69,2),"eslesti",IF(ABS(ROUND($D69,2)-ROUND($C69,2))&lt;=toleransKurus,"tolerans_icinde","tutar_farki"))))</f>
        <v/>
      </c>
      <c r="H69" s="16">
        <f>IF($A69="","",IF($B69&gt;0,"BIRINCIL",IF(COUNTIF(tblAnahtarB[IkincilB],'ANAHTAR'!$D69)&gt;0,"IKINCIL","YOK")))</f>
        <v/>
      </c>
      <c r="I69" s="16">
        <f>IF($A69="","",'ANAHTAR'!$F69)</f>
        <v/>
      </c>
      <c r="J69" s="16">
        <f>IF(OR($A69="",$D69=0),0,$F69/ABS($D69))</f>
        <v/>
      </c>
      <c r="K69" s="16">
        <f>IF($A69="","",ROUND($D69,2))</f>
        <v/>
      </c>
      <c r="L69" s="16">
        <f>IF($A69="","",ROUND($C69,2))</f>
        <v/>
      </c>
      <c r="M69" s="16">
        <f>IF($A69="","",IF($F69&lt;=toleransKurus,1,0))</f>
        <v/>
      </c>
      <c r="N69" s="16">
        <f>IF($A69="","",IF($F69&gt;cbb_esikFark,1,0))</f>
        <v/>
      </c>
      <c r="O69" s="16">
        <f>IF($A69="","",IF($G69="eslesti",$D69,0))</f>
        <v/>
      </c>
      <c r="P69" s="16">
        <f>IF($A69="","",$B69+$M69+$N69)</f>
        <v/>
      </c>
    </row>
    <row r="70">
      <c r="A70" s="16">
        <f>IF('ANAHTAR'!$B70="","",'ANAHTAR'!$B70)</f>
        <v/>
      </c>
      <c r="B70" s="16">
        <f>IF($A70="","",COUNTIF(tblAnahtarB[NormB],$A70))</f>
        <v/>
      </c>
      <c r="C70" s="16">
        <f>IF($A70="","",SUMIF(tblAnahtarB[NormB],$A70,tblVeriB[BeyanTutar]))</f>
        <v/>
      </c>
      <c r="D70" s="16">
        <f>IF($A70="","",SUMIF(tblAnahtarA[Norm],$A70,tblVeriA[Tutar]))</f>
        <v/>
      </c>
      <c r="E70" s="16">
        <f>IF($A70="","",ROUND($D70,2)-ROUND($C70,2))</f>
        <v/>
      </c>
      <c r="F70" s="16">
        <f>IF($A70="","",ABS($E70))</f>
        <v/>
      </c>
      <c r="G70" s="16">
        <f>IF($A70="","",IF($B70=0,"eslesmedi",IF(ROUND($D70,2)=ROUND($C70,2),"eslesti",IF(ABS(ROUND($D70,2)-ROUND($C70,2))&lt;=toleransKurus,"tolerans_icinde","tutar_farki"))))</f>
        <v/>
      </c>
      <c r="H70" s="16">
        <f>IF($A70="","",IF($B70&gt;0,"BIRINCIL",IF(COUNTIF(tblAnahtarB[IkincilB],'ANAHTAR'!$D70)&gt;0,"IKINCIL","YOK")))</f>
        <v/>
      </c>
      <c r="I70" s="16">
        <f>IF($A70="","",'ANAHTAR'!$F70)</f>
        <v/>
      </c>
      <c r="J70" s="16">
        <f>IF(OR($A70="",$D70=0),0,$F70/ABS($D70))</f>
        <v/>
      </c>
      <c r="K70" s="16">
        <f>IF($A70="","",ROUND($D70,2))</f>
        <v/>
      </c>
      <c r="L70" s="16">
        <f>IF($A70="","",ROUND($C70,2))</f>
        <v/>
      </c>
      <c r="M70" s="16">
        <f>IF($A70="","",IF($F70&lt;=toleransKurus,1,0))</f>
        <v/>
      </c>
      <c r="N70" s="16">
        <f>IF($A70="","",IF($F70&gt;cbb_esikFark,1,0))</f>
        <v/>
      </c>
      <c r="O70" s="16">
        <f>IF($A70="","",IF($G70="eslesti",$D70,0))</f>
        <v/>
      </c>
      <c r="P70" s="16">
        <f>IF($A70="","",$B70+$M70+$N70)</f>
        <v/>
      </c>
    </row>
    <row r="71">
      <c r="A71" s="16">
        <f>IF('ANAHTAR'!$B71="","",'ANAHTAR'!$B71)</f>
        <v/>
      </c>
      <c r="B71" s="16">
        <f>IF($A71="","",COUNTIF(tblAnahtarB[NormB],$A71))</f>
        <v/>
      </c>
      <c r="C71" s="16">
        <f>IF($A71="","",SUMIF(tblAnahtarB[NormB],$A71,tblVeriB[BeyanTutar]))</f>
        <v/>
      </c>
      <c r="D71" s="16">
        <f>IF($A71="","",SUMIF(tblAnahtarA[Norm],$A71,tblVeriA[Tutar]))</f>
        <v/>
      </c>
      <c r="E71" s="16">
        <f>IF($A71="","",ROUND($D71,2)-ROUND($C71,2))</f>
        <v/>
      </c>
      <c r="F71" s="16">
        <f>IF($A71="","",ABS($E71))</f>
        <v/>
      </c>
      <c r="G71" s="16">
        <f>IF($A71="","",IF($B71=0,"eslesmedi",IF(ROUND($D71,2)=ROUND($C71,2),"eslesti",IF(ABS(ROUND($D71,2)-ROUND($C71,2))&lt;=toleransKurus,"tolerans_icinde","tutar_farki"))))</f>
        <v/>
      </c>
      <c r="H71" s="16">
        <f>IF($A71="","",IF($B71&gt;0,"BIRINCIL",IF(COUNTIF(tblAnahtarB[IkincilB],'ANAHTAR'!$D71)&gt;0,"IKINCIL","YOK")))</f>
        <v/>
      </c>
      <c r="I71" s="16">
        <f>IF($A71="","",'ANAHTAR'!$F71)</f>
        <v/>
      </c>
      <c r="J71" s="16">
        <f>IF(OR($A71="",$D71=0),0,$F71/ABS($D71))</f>
        <v/>
      </c>
      <c r="K71" s="16">
        <f>IF($A71="","",ROUND($D71,2))</f>
        <v/>
      </c>
      <c r="L71" s="16">
        <f>IF($A71="","",ROUND($C71,2))</f>
        <v/>
      </c>
      <c r="M71" s="16">
        <f>IF($A71="","",IF($F71&lt;=toleransKurus,1,0))</f>
        <v/>
      </c>
      <c r="N71" s="16">
        <f>IF($A71="","",IF($F71&gt;cbb_esikFark,1,0))</f>
        <v/>
      </c>
      <c r="O71" s="16">
        <f>IF($A71="","",IF($G71="eslesti",$D71,0))</f>
        <v/>
      </c>
      <c r="P71" s="16">
        <f>IF($A71="","",$B71+$M71+$N71)</f>
        <v/>
      </c>
    </row>
    <row r="72">
      <c r="A72" s="16">
        <f>IF('ANAHTAR'!$B72="","",'ANAHTAR'!$B72)</f>
        <v/>
      </c>
      <c r="B72" s="16">
        <f>IF($A72="","",COUNTIF(tblAnahtarB[NormB],$A72))</f>
        <v/>
      </c>
      <c r="C72" s="16">
        <f>IF($A72="","",SUMIF(tblAnahtarB[NormB],$A72,tblVeriB[BeyanTutar]))</f>
        <v/>
      </c>
      <c r="D72" s="16">
        <f>IF($A72="","",SUMIF(tblAnahtarA[Norm],$A72,tblVeriA[Tutar]))</f>
        <v/>
      </c>
      <c r="E72" s="16">
        <f>IF($A72="","",ROUND($D72,2)-ROUND($C72,2))</f>
        <v/>
      </c>
      <c r="F72" s="16">
        <f>IF($A72="","",ABS($E72))</f>
        <v/>
      </c>
      <c r="G72" s="16">
        <f>IF($A72="","",IF($B72=0,"eslesmedi",IF(ROUND($D72,2)=ROUND($C72,2),"eslesti",IF(ABS(ROUND($D72,2)-ROUND($C72,2))&lt;=toleransKurus,"tolerans_icinde","tutar_farki"))))</f>
        <v/>
      </c>
      <c r="H72" s="16">
        <f>IF($A72="","",IF($B72&gt;0,"BIRINCIL",IF(COUNTIF(tblAnahtarB[IkincilB],'ANAHTAR'!$D72)&gt;0,"IKINCIL","YOK")))</f>
        <v/>
      </c>
      <c r="I72" s="16">
        <f>IF($A72="","",'ANAHTAR'!$F72)</f>
        <v/>
      </c>
      <c r="J72" s="16">
        <f>IF(OR($A72="",$D72=0),0,$F72/ABS($D72))</f>
        <v/>
      </c>
      <c r="K72" s="16">
        <f>IF($A72="","",ROUND($D72,2))</f>
        <v/>
      </c>
      <c r="L72" s="16">
        <f>IF($A72="","",ROUND($C72,2))</f>
        <v/>
      </c>
      <c r="M72" s="16">
        <f>IF($A72="","",IF($F72&lt;=toleransKurus,1,0))</f>
        <v/>
      </c>
      <c r="N72" s="16">
        <f>IF($A72="","",IF($F72&gt;cbb_esikFark,1,0))</f>
        <v/>
      </c>
      <c r="O72" s="16">
        <f>IF($A72="","",IF($G72="eslesti",$D72,0))</f>
        <v/>
      </c>
      <c r="P72" s="16">
        <f>IF($A72="","",$B72+$M72+$N72)</f>
        <v/>
      </c>
    </row>
    <row r="73">
      <c r="A73" s="16">
        <f>IF('ANAHTAR'!$B73="","",'ANAHTAR'!$B73)</f>
        <v/>
      </c>
      <c r="B73" s="16">
        <f>IF($A73="","",COUNTIF(tblAnahtarB[NormB],$A73))</f>
        <v/>
      </c>
      <c r="C73" s="16">
        <f>IF($A73="","",SUMIF(tblAnahtarB[NormB],$A73,tblVeriB[BeyanTutar]))</f>
        <v/>
      </c>
      <c r="D73" s="16">
        <f>IF($A73="","",SUMIF(tblAnahtarA[Norm],$A73,tblVeriA[Tutar]))</f>
        <v/>
      </c>
      <c r="E73" s="16">
        <f>IF($A73="","",ROUND($D73,2)-ROUND($C73,2))</f>
        <v/>
      </c>
      <c r="F73" s="16">
        <f>IF($A73="","",ABS($E73))</f>
        <v/>
      </c>
      <c r="G73" s="16">
        <f>IF($A73="","",IF($B73=0,"eslesmedi",IF(ROUND($D73,2)=ROUND($C73,2),"eslesti",IF(ABS(ROUND($D73,2)-ROUND($C73,2))&lt;=toleransKurus,"tolerans_icinde","tutar_farki"))))</f>
        <v/>
      </c>
      <c r="H73" s="16">
        <f>IF($A73="","",IF($B73&gt;0,"BIRINCIL",IF(COUNTIF(tblAnahtarB[IkincilB],'ANAHTAR'!$D73)&gt;0,"IKINCIL","YOK")))</f>
        <v/>
      </c>
      <c r="I73" s="16">
        <f>IF($A73="","",'ANAHTAR'!$F73)</f>
        <v/>
      </c>
      <c r="J73" s="16">
        <f>IF(OR($A73="",$D73=0),0,$F73/ABS($D73))</f>
        <v/>
      </c>
      <c r="K73" s="16">
        <f>IF($A73="","",ROUND($D73,2))</f>
        <v/>
      </c>
      <c r="L73" s="16">
        <f>IF($A73="","",ROUND($C73,2))</f>
        <v/>
      </c>
      <c r="M73" s="16">
        <f>IF($A73="","",IF($F73&lt;=toleransKurus,1,0))</f>
        <v/>
      </c>
      <c r="N73" s="16">
        <f>IF($A73="","",IF($F73&gt;cbb_esikFark,1,0))</f>
        <v/>
      </c>
      <c r="O73" s="16">
        <f>IF($A73="","",IF($G73="eslesti",$D73,0))</f>
        <v/>
      </c>
      <c r="P73" s="16">
        <f>IF($A73="","",$B73+$M73+$N73)</f>
        <v/>
      </c>
    </row>
    <row r="74">
      <c r="A74" s="16">
        <f>IF('ANAHTAR'!$B74="","",'ANAHTAR'!$B74)</f>
        <v/>
      </c>
      <c r="B74" s="16">
        <f>IF($A74="","",COUNTIF(tblAnahtarB[NormB],$A74))</f>
        <v/>
      </c>
      <c r="C74" s="16">
        <f>IF($A74="","",SUMIF(tblAnahtarB[NormB],$A74,tblVeriB[BeyanTutar]))</f>
        <v/>
      </c>
      <c r="D74" s="16">
        <f>IF($A74="","",SUMIF(tblAnahtarA[Norm],$A74,tblVeriA[Tutar]))</f>
        <v/>
      </c>
      <c r="E74" s="16">
        <f>IF($A74="","",ROUND($D74,2)-ROUND($C74,2))</f>
        <v/>
      </c>
      <c r="F74" s="16">
        <f>IF($A74="","",ABS($E74))</f>
        <v/>
      </c>
      <c r="G74" s="16">
        <f>IF($A74="","",IF($B74=0,"eslesmedi",IF(ROUND($D74,2)=ROUND($C74,2),"eslesti",IF(ABS(ROUND($D74,2)-ROUND($C74,2))&lt;=toleransKurus,"tolerans_icinde","tutar_farki"))))</f>
        <v/>
      </c>
      <c r="H74" s="16">
        <f>IF($A74="","",IF($B74&gt;0,"BIRINCIL",IF(COUNTIF(tblAnahtarB[IkincilB],'ANAHTAR'!$D74)&gt;0,"IKINCIL","YOK")))</f>
        <v/>
      </c>
      <c r="I74" s="16">
        <f>IF($A74="","",'ANAHTAR'!$F74)</f>
        <v/>
      </c>
      <c r="J74" s="16">
        <f>IF(OR($A74="",$D74=0),0,$F74/ABS($D74))</f>
        <v/>
      </c>
      <c r="K74" s="16">
        <f>IF($A74="","",ROUND($D74,2))</f>
        <v/>
      </c>
      <c r="L74" s="16">
        <f>IF($A74="","",ROUND($C74,2))</f>
        <v/>
      </c>
      <c r="M74" s="16">
        <f>IF($A74="","",IF($F74&lt;=toleransKurus,1,0))</f>
        <v/>
      </c>
      <c r="N74" s="16">
        <f>IF($A74="","",IF($F74&gt;cbb_esikFark,1,0))</f>
        <v/>
      </c>
      <c r="O74" s="16">
        <f>IF($A74="","",IF($G74="eslesti",$D74,0))</f>
        <v/>
      </c>
      <c r="P74" s="16">
        <f>IF($A74="","",$B74+$M74+$N74)</f>
        <v/>
      </c>
    </row>
    <row r="75">
      <c r="A75" s="16">
        <f>IF('ANAHTAR'!$B75="","",'ANAHTAR'!$B75)</f>
        <v/>
      </c>
      <c r="B75" s="16">
        <f>IF($A75="","",COUNTIF(tblAnahtarB[NormB],$A75))</f>
        <v/>
      </c>
      <c r="C75" s="16">
        <f>IF($A75="","",SUMIF(tblAnahtarB[NormB],$A75,tblVeriB[BeyanTutar]))</f>
        <v/>
      </c>
      <c r="D75" s="16">
        <f>IF($A75="","",SUMIF(tblAnahtarA[Norm],$A75,tblVeriA[Tutar]))</f>
        <v/>
      </c>
      <c r="E75" s="16">
        <f>IF($A75="","",ROUND($D75,2)-ROUND($C75,2))</f>
        <v/>
      </c>
      <c r="F75" s="16">
        <f>IF($A75="","",ABS($E75))</f>
        <v/>
      </c>
      <c r="G75" s="16">
        <f>IF($A75="","",IF($B75=0,"eslesmedi",IF(ROUND($D75,2)=ROUND($C75,2),"eslesti",IF(ABS(ROUND($D75,2)-ROUND($C75,2))&lt;=toleransKurus,"tolerans_icinde","tutar_farki"))))</f>
        <v/>
      </c>
      <c r="H75" s="16">
        <f>IF($A75="","",IF($B75&gt;0,"BIRINCIL",IF(COUNTIF(tblAnahtarB[IkincilB],'ANAHTAR'!$D75)&gt;0,"IKINCIL","YOK")))</f>
        <v/>
      </c>
      <c r="I75" s="16">
        <f>IF($A75="","",'ANAHTAR'!$F75)</f>
        <v/>
      </c>
      <c r="J75" s="16">
        <f>IF(OR($A75="",$D75=0),0,$F75/ABS($D75))</f>
        <v/>
      </c>
      <c r="K75" s="16">
        <f>IF($A75="","",ROUND($D75,2))</f>
        <v/>
      </c>
      <c r="L75" s="16">
        <f>IF($A75="","",ROUND($C75,2))</f>
        <v/>
      </c>
      <c r="M75" s="16">
        <f>IF($A75="","",IF($F75&lt;=toleransKurus,1,0))</f>
        <v/>
      </c>
      <c r="N75" s="16">
        <f>IF($A75="","",IF($F75&gt;cbb_esikFark,1,0))</f>
        <v/>
      </c>
      <c r="O75" s="16">
        <f>IF($A75="","",IF($G75="eslesti",$D75,0))</f>
        <v/>
      </c>
      <c r="P75" s="16">
        <f>IF($A75="","",$B75+$M75+$N75)</f>
        <v/>
      </c>
    </row>
    <row r="76">
      <c r="A76" s="16">
        <f>IF('ANAHTAR'!$B76="","",'ANAHTAR'!$B76)</f>
        <v/>
      </c>
      <c r="B76" s="16">
        <f>IF($A76="","",COUNTIF(tblAnahtarB[NormB],$A76))</f>
        <v/>
      </c>
      <c r="C76" s="16">
        <f>IF($A76="","",SUMIF(tblAnahtarB[NormB],$A76,tblVeriB[BeyanTutar]))</f>
        <v/>
      </c>
      <c r="D76" s="16">
        <f>IF($A76="","",SUMIF(tblAnahtarA[Norm],$A76,tblVeriA[Tutar]))</f>
        <v/>
      </c>
      <c r="E76" s="16">
        <f>IF($A76="","",ROUND($D76,2)-ROUND($C76,2))</f>
        <v/>
      </c>
      <c r="F76" s="16">
        <f>IF($A76="","",ABS($E76))</f>
        <v/>
      </c>
      <c r="G76" s="16">
        <f>IF($A76="","",IF($B76=0,"eslesmedi",IF(ROUND($D76,2)=ROUND($C76,2),"eslesti",IF(ABS(ROUND($D76,2)-ROUND($C76,2))&lt;=toleransKurus,"tolerans_icinde","tutar_farki"))))</f>
        <v/>
      </c>
      <c r="H76" s="16">
        <f>IF($A76="","",IF($B76&gt;0,"BIRINCIL",IF(COUNTIF(tblAnahtarB[IkincilB],'ANAHTAR'!$D76)&gt;0,"IKINCIL","YOK")))</f>
        <v/>
      </c>
      <c r="I76" s="16">
        <f>IF($A76="","",'ANAHTAR'!$F76)</f>
        <v/>
      </c>
      <c r="J76" s="16">
        <f>IF(OR($A76="",$D76=0),0,$F76/ABS($D76))</f>
        <v/>
      </c>
      <c r="K76" s="16">
        <f>IF($A76="","",ROUND($D76,2))</f>
        <v/>
      </c>
      <c r="L76" s="16">
        <f>IF($A76="","",ROUND($C76,2))</f>
        <v/>
      </c>
      <c r="M76" s="16">
        <f>IF($A76="","",IF($F76&lt;=toleransKurus,1,0))</f>
        <v/>
      </c>
      <c r="N76" s="16">
        <f>IF($A76="","",IF($F76&gt;cbb_esikFark,1,0))</f>
        <v/>
      </c>
      <c r="O76" s="16">
        <f>IF($A76="","",IF($G76="eslesti",$D76,0))</f>
        <v/>
      </c>
      <c r="P76" s="16">
        <f>IF($A76="","",$B76+$M76+$N76)</f>
        <v/>
      </c>
    </row>
    <row r="77">
      <c r="A77" s="16">
        <f>IF('ANAHTAR'!$B77="","",'ANAHTAR'!$B77)</f>
        <v/>
      </c>
      <c r="B77" s="16">
        <f>IF($A77="","",COUNTIF(tblAnahtarB[NormB],$A77))</f>
        <v/>
      </c>
      <c r="C77" s="16">
        <f>IF($A77="","",SUMIF(tblAnahtarB[NormB],$A77,tblVeriB[BeyanTutar]))</f>
        <v/>
      </c>
      <c r="D77" s="16">
        <f>IF($A77="","",SUMIF(tblAnahtarA[Norm],$A77,tblVeriA[Tutar]))</f>
        <v/>
      </c>
      <c r="E77" s="16">
        <f>IF($A77="","",ROUND($D77,2)-ROUND($C77,2))</f>
        <v/>
      </c>
      <c r="F77" s="16">
        <f>IF($A77="","",ABS($E77))</f>
        <v/>
      </c>
      <c r="G77" s="16">
        <f>IF($A77="","",IF($B77=0,"eslesmedi",IF(ROUND($D77,2)=ROUND($C77,2),"eslesti",IF(ABS(ROUND($D77,2)-ROUND($C77,2))&lt;=toleransKurus,"tolerans_icinde","tutar_farki"))))</f>
        <v/>
      </c>
      <c r="H77" s="16">
        <f>IF($A77="","",IF($B77&gt;0,"BIRINCIL",IF(COUNTIF(tblAnahtarB[IkincilB],'ANAHTAR'!$D77)&gt;0,"IKINCIL","YOK")))</f>
        <v/>
      </c>
      <c r="I77" s="16">
        <f>IF($A77="","",'ANAHTAR'!$F77)</f>
        <v/>
      </c>
      <c r="J77" s="16">
        <f>IF(OR($A77="",$D77=0),0,$F77/ABS($D77))</f>
        <v/>
      </c>
      <c r="K77" s="16">
        <f>IF($A77="","",ROUND($D77,2))</f>
        <v/>
      </c>
      <c r="L77" s="16">
        <f>IF($A77="","",ROUND($C77,2))</f>
        <v/>
      </c>
      <c r="M77" s="16">
        <f>IF($A77="","",IF($F77&lt;=toleransKurus,1,0))</f>
        <v/>
      </c>
      <c r="N77" s="16">
        <f>IF($A77="","",IF($F77&gt;cbb_esikFark,1,0))</f>
        <v/>
      </c>
      <c r="O77" s="16">
        <f>IF($A77="","",IF($G77="eslesti",$D77,0))</f>
        <v/>
      </c>
      <c r="P77" s="16">
        <f>IF($A77="","",$B77+$M77+$N77)</f>
        <v/>
      </c>
    </row>
    <row r="78">
      <c r="A78" s="16">
        <f>IF('ANAHTAR'!$B78="","",'ANAHTAR'!$B78)</f>
        <v/>
      </c>
      <c r="B78" s="16">
        <f>IF($A78="","",COUNTIF(tblAnahtarB[NormB],$A78))</f>
        <v/>
      </c>
      <c r="C78" s="16">
        <f>IF($A78="","",SUMIF(tblAnahtarB[NormB],$A78,tblVeriB[BeyanTutar]))</f>
        <v/>
      </c>
      <c r="D78" s="16">
        <f>IF($A78="","",SUMIF(tblAnahtarA[Norm],$A78,tblVeriA[Tutar]))</f>
        <v/>
      </c>
      <c r="E78" s="16">
        <f>IF($A78="","",ROUND($D78,2)-ROUND($C78,2))</f>
        <v/>
      </c>
      <c r="F78" s="16">
        <f>IF($A78="","",ABS($E78))</f>
        <v/>
      </c>
      <c r="G78" s="16">
        <f>IF($A78="","",IF($B78=0,"eslesmedi",IF(ROUND($D78,2)=ROUND($C78,2),"eslesti",IF(ABS(ROUND($D78,2)-ROUND($C78,2))&lt;=toleransKurus,"tolerans_icinde","tutar_farki"))))</f>
        <v/>
      </c>
      <c r="H78" s="16">
        <f>IF($A78="","",IF($B78&gt;0,"BIRINCIL",IF(COUNTIF(tblAnahtarB[IkincilB],'ANAHTAR'!$D78)&gt;0,"IKINCIL","YOK")))</f>
        <v/>
      </c>
      <c r="I78" s="16">
        <f>IF($A78="","",'ANAHTAR'!$F78)</f>
        <v/>
      </c>
      <c r="J78" s="16">
        <f>IF(OR($A78="",$D78=0),0,$F78/ABS($D78))</f>
        <v/>
      </c>
      <c r="K78" s="16">
        <f>IF($A78="","",ROUND($D78,2))</f>
        <v/>
      </c>
      <c r="L78" s="16">
        <f>IF($A78="","",ROUND($C78,2))</f>
        <v/>
      </c>
      <c r="M78" s="16">
        <f>IF($A78="","",IF($F78&lt;=toleransKurus,1,0))</f>
        <v/>
      </c>
      <c r="N78" s="16">
        <f>IF($A78="","",IF($F78&gt;cbb_esikFark,1,0))</f>
        <v/>
      </c>
      <c r="O78" s="16">
        <f>IF($A78="","",IF($G78="eslesti",$D78,0))</f>
        <v/>
      </c>
      <c r="P78" s="16">
        <f>IF($A78="","",$B78+$M78+$N78)</f>
        <v/>
      </c>
    </row>
    <row r="79">
      <c r="A79" s="16">
        <f>IF('ANAHTAR'!$B79="","",'ANAHTAR'!$B79)</f>
        <v/>
      </c>
      <c r="B79" s="16">
        <f>IF($A79="","",COUNTIF(tblAnahtarB[NormB],$A79))</f>
        <v/>
      </c>
      <c r="C79" s="16">
        <f>IF($A79="","",SUMIF(tblAnahtarB[NormB],$A79,tblVeriB[BeyanTutar]))</f>
        <v/>
      </c>
      <c r="D79" s="16">
        <f>IF($A79="","",SUMIF(tblAnahtarA[Norm],$A79,tblVeriA[Tutar]))</f>
        <v/>
      </c>
      <c r="E79" s="16">
        <f>IF($A79="","",ROUND($D79,2)-ROUND($C79,2))</f>
        <v/>
      </c>
      <c r="F79" s="16">
        <f>IF($A79="","",ABS($E79))</f>
        <v/>
      </c>
      <c r="G79" s="16">
        <f>IF($A79="","",IF($B79=0,"eslesmedi",IF(ROUND($D79,2)=ROUND($C79,2),"eslesti",IF(ABS(ROUND($D79,2)-ROUND($C79,2))&lt;=toleransKurus,"tolerans_icinde","tutar_farki"))))</f>
        <v/>
      </c>
      <c r="H79" s="16">
        <f>IF($A79="","",IF($B79&gt;0,"BIRINCIL",IF(COUNTIF(tblAnahtarB[IkincilB],'ANAHTAR'!$D79)&gt;0,"IKINCIL","YOK")))</f>
        <v/>
      </c>
      <c r="I79" s="16">
        <f>IF($A79="","",'ANAHTAR'!$F79)</f>
        <v/>
      </c>
      <c r="J79" s="16">
        <f>IF(OR($A79="",$D79=0),0,$F79/ABS($D79))</f>
        <v/>
      </c>
      <c r="K79" s="16">
        <f>IF($A79="","",ROUND($D79,2))</f>
        <v/>
      </c>
      <c r="L79" s="16">
        <f>IF($A79="","",ROUND($C79,2))</f>
        <v/>
      </c>
      <c r="M79" s="16">
        <f>IF($A79="","",IF($F79&lt;=toleransKurus,1,0))</f>
        <v/>
      </c>
      <c r="N79" s="16">
        <f>IF($A79="","",IF($F79&gt;cbb_esikFark,1,0))</f>
        <v/>
      </c>
      <c r="O79" s="16">
        <f>IF($A79="","",IF($G79="eslesti",$D79,0))</f>
        <v/>
      </c>
      <c r="P79" s="16">
        <f>IF($A79="","",$B79+$M79+$N79)</f>
        <v/>
      </c>
    </row>
    <row r="80">
      <c r="A80" s="16">
        <f>IF('ANAHTAR'!$B80="","",'ANAHTAR'!$B80)</f>
        <v/>
      </c>
      <c r="B80" s="16">
        <f>IF($A80="","",COUNTIF(tblAnahtarB[NormB],$A80))</f>
        <v/>
      </c>
      <c r="C80" s="16">
        <f>IF($A80="","",SUMIF(tblAnahtarB[NormB],$A80,tblVeriB[BeyanTutar]))</f>
        <v/>
      </c>
      <c r="D80" s="16">
        <f>IF($A80="","",SUMIF(tblAnahtarA[Norm],$A80,tblVeriA[Tutar]))</f>
        <v/>
      </c>
      <c r="E80" s="16">
        <f>IF($A80="","",ROUND($D80,2)-ROUND($C80,2))</f>
        <v/>
      </c>
      <c r="F80" s="16">
        <f>IF($A80="","",ABS($E80))</f>
        <v/>
      </c>
      <c r="G80" s="16">
        <f>IF($A80="","",IF($B80=0,"eslesmedi",IF(ROUND($D80,2)=ROUND($C80,2),"eslesti",IF(ABS(ROUND($D80,2)-ROUND($C80,2))&lt;=toleransKurus,"tolerans_icinde","tutar_farki"))))</f>
        <v/>
      </c>
      <c r="H80" s="16">
        <f>IF($A80="","",IF($B80&gt;0,"BIRINCIL",IF(COUNTIF(tblAnahtarB[IkincilB],'ANAHTAR'!$D80)&gt;0,"IKINCIL","YOK")))</f>
        <v/>
      </c>
      <c r="I80" s="16">
        <f>IF($A80="","",'ANAHTAR'!$F80)</f>
        <v/>
      </c>
      <c r="J80" s="16">
        <f>IF(OR($A80="",$D80=0),0,$F80/ABS($D80))</f>
        <v/>
      </c>
      <c r="K80" s="16">
        <f>IF($A80="","",ROUND($D80,2))</f>
        <v/>
      </c>
      <c r="L80" s="16">
        <f>IF($A80="","",ROUND($C80,2))</f>
        <v/>
      </c>
      <c r="M80" s="16">
        <f>IF($A80="","",IF($F80&lt;=toleransKurus,1,0))</f>
        <v/>
      </c>
      <c r="N80" s="16">
        <f>IF($A80="","",IF($F80&gt;cbb_esikFark,1,0))</f>
        <v/>
      </c>
      <c r="O80" s="16">
        <f>IF($A80="","",IF($G80="eslesti",$D80,0))</f>
        <v/>
      </c>
      <c r="P80" s="16">
        <f>IF($A80="","",$B80+$M80+$N80)</f>
        <v/>
      </c>
    </row>
    <row r="81">
      <c r="A81" s="16">
        <f>IF('ANAHTAR'!$B81="","",'ANAHTAR'!$B81)</f>
        <v/>
      </c>
      <c r="B81" s="16">
        <f>IF($A81="","",COUNTIF(tblAnahtarB[NormB],$A81))</f>
        <v/>
      </c>
      <c r="C81" s="16">
        <f>IF($A81="","",SUMIF(tblAnahtarB[NormB],$A81,tblVeriB[BeyanTutar]))</f>
        <v/>
      </c>
      <c r="D81" s="16">
        <f>IF($A81="","",SUMIF(tblAnahtarA[Norm],$A81,tblVeriA[Tutar]))</f>
        <v/>
      </c>
      <c r="E81" s="16">
        <f>IF($A81="","",ROUND($D81,2)-ROUND($C81,2))</f>
        <v/>
      </c>
      <c r="F81" s="16">
        <f>IF($A81="","",ABS($E81))</f>
        <v/>
      </c>
      <c r="G81" s="16">
        <f>IF($A81="","",IF($B81=0,"eslesmedi",IF(ROUND($D81,2)=ROUND($C81,2),"eslesti",IF(ABS(ROUND($D81,2)-ROUND($C81,2))&lt;=toleransKurus,"tolerans_icinde","tutar_farki"))))</f>
        <v/>
      </c>
      <c r="H81" s="16">
        <f>IF($A81="","",IF($B81&gt;0,"BIRINCIL",IF(COUNTIF(tblAnahtarB[IkincilB],'ANAHTAR'!$D81)&gt;0,"IKINCIL","YOK")))</f>
        <v/>
      </c>
      <c r="I81" s="16">
        <f>IF($A81="","",'ANAHTAR'!$F81)</f>
        <v/>
      </c>
      <c r="J81" s="16">
        <f>IF(OR($A81="",$D81=0),0,$F81/ABS($D81))</f>
        <v/>
      </c>
      <c r="K81" s="16">
        <f>IF($A81="","",ROUND($D81,2))</f>
        <v/>
      </c>
      <c r="L81" s="16">
        <f>IF($A81="","",ROUND($C81,2))</f>
        <v/>
      </c>
      <c r="M81" s="16">
        <f>IF($A81="","",IF($F81&lt;=toleransKurus,1,0))</f>
        <v/>
      </c>
      <c r="N81" s="16">
        <f>IF($A81="","",IF($F81&gt;cbb_esikFark,1,0))</f>
        <v/>
      </c>
      <c r="O81" s="16">
        <f>IF($A81="","",IF($G81="eslesti",$D81,0))</f>
        <v/>
      </c>
      <c r="P81" s="16">
        <f>IF($A81="","",$B81+$M81+$N81)</f>
        <v/>
      </c>
    </row>
    <row r="82">
      <c r="A82" s="16">
        <f>IF('ANAHTAR'!$B82="","",'ANAHTAR'!$B82)</f>
        <v/>
      </c>
      <c r="B82" s="16">
        <f>IF($A82="","",COUNTIF(tblAnahtarB[NormB],$A82))</f>
        <v/>
      </c>
      <c r="C82" s="16">
        <f>IF($A82="","",SUMIF(tblAnahtarB[NormB],$A82,tblVeriB[BeyanTutar]))</f>
        <v/>
      </c>
      <c r="D82" s="16">
        <f>IF($A82="","",SUMIF(tblAnahtarA[Norm],$A82,tblVeriA[Tutar]))</f>
        <v/>
      </c>
      <c r="E82" s="16">
        <f>IF($A82="","",ROUND($D82,2)-ROUND($C82,2))</f>
        <v/>
      </c>
      <c r="F82" s="16">
        <f>IF($A82="","",ABS($E82))</f>
        <v/>
      </c>
      <c r="G82" s="16">
        <f>IF($A82="","",IF($B82=0,"eslesmedi",IF(ROUND($D82,2)=ROUND($C82,2),"eslesti",IF(ABS(ROUND($D82,2)-ROUND($C82,2))&lt;=toleransKurus,"tolerans_icinde","tutar_farki"))))</f>
        <v/>
      </c>
      <c r="H82" s="16">
        <f>IF($A82="","",IF($B82&gt;0,"BIRINCIL",IF(COUNTIF(tblAnahtarB[IkincilB],'ANAHTAR'!$D82)&gt;0,"IKINCIL","YOK")))</f>
        <v/>
      </c>
      <c r="I82" s="16">
        <f>IF($A82="","",'ANAHTAR'!$F82)</f>
        <v/>
      </c>
      <c r="J82" s="16">
        <f>IF(OR($A82="",$D82=0),0,$F82/ABS($D82))</f>
        <v/>
      </c>
      <c r="K82" s="16">
        <f>IF($A82="","",ROUND($D82,2))</f>
        <v/>
      </c>
      <c r="L82" s="16">
        <f>IF($A82="","",ROUND($C82,2))</f>
        <v/>
      </c>
      <c r="M82" s="16">
        <f>IF($A82="","",IF($F82&lt;=toleransKurus,1,0))</f>
        <v/>
      </c>
      <c r="N82" s="16">
        <f>IF($A82="","",IF($F82&gt;cbb_esikFark,1,0))</f>
        <v/>
      </c>
      <c r="O82" s="16">
        <f>IF($A82="","",IF($G82="eslesti",$D82,0))</f>
        <v/>
      </c>
      <c r="P82" s="16">
        <f>IF($A82="","",$B82+$M82+$N82)</f>
        <v/>
      </c>
    </row>
    <row r="83">
      <c r="A83" s="16">
        <f>IF('ANAHTAR'!$B83="","",'ANAHTAR'!$B83)</f>
        <v/>
      </c>
      <c r="B83" s="16">
        <f>IF($A83="","",COUNTIF(tblAnahtarB[NormB],$A83))</f>
        <v/>
      </c>
      <c r="C83" s="16">
        <f>IF($A83="","",SUMIF(tblAnahtarB[NormB],$A83,tblVeriB[BeyanTutar]))</f>
        <v/>
      </c>
      <c r="D83" s="16">
        <f>IF($A83="","",SUMIF(tblAnahtarA[Norm],$A83,tblVeriA[Tutar]))</f>
        <v/>
      </c>
      <c r="E83" s="16">
        <f>IF($A83="","",ROUND($D83,2)-ROUND($C83,2))</f>
        <v/>
      </c>
      <c r="F83" s="16">
        <f>IF($A83="","",ABS($E83))</f>
        <v/>
      </c>
      <c r="G83" s="16">
        <f>IF($A83="","",IF($B83=0,"eslesmedi",IF(ROUND($D83,2)=ROUND($C83,2),"eslesti",IF(ABS(ROUND($D83,2)-ROUND($C83,2))&lt;=toleransKurus,"tolerans_icinde","tutar_farki"))))</f>
        <v/>
      </c>
      <c r="H83" s="16">
        <f>IF($A83="","",IF($B83&gt;0,"BIRINCIL",IF(COUNTIF(tblAnahtarB[IkincilB],'ANAHTAR'!$D83)&gt;0,"IKINCIL","YOK")))</f>
        <v/>
      </c>
      <c r="I83" s="16">
        <f>IF($A83="","",'ANAHTAR'!$F83)</f>
        <v/>
      </c>
      <c r="J83" s="16">
        <f>IF(OR($A83="",$D83=0),0,$F83/ABS($D83))</f>
        <v/>
      </c>
      <c r="K83" s="16">
        <f>IF($A83="","",ROUND($D83,2))</f>
        <v/>
      </c>
      <c r="L83" s="16">
        <f>IF($A83="","",ROUND($C83,2))</f>
        <v/>
      </c>
      <c r="M83" s="16">
        <f>IF($A83="","",IF($F83&lt;=toleransKurus,1,0))</f>
        <v/>
      </c>
      <c r="N83" s="16">
        <f>IF($A83="","",IF($F83&gt;cbb_esikFark,1,0))</f>
        <v/>
      </c>
      <c r="O83" s="16">
        <f>IF($A83="","",IF($G83="eslesti",$D83,0))</f>
        <v/>
      </c>
      <c r="P83" s="16">
        <f>IF($A83="","",$B83+$M83+$N83)</f>
        <v/>
      </c>
    </row>
    <row r="84">
      <c r="A84" s="16">
        <f>IF('ANAHTAR'!$B84="","",'ANAHTAR'!$B84)</f>
        <v/>
      </c>
      <c r="B84" s="16">
        <f>IF($A84="","",COUNTIF(tblAnahtarB[NormB],$A84))</f>
        <v/>
      </c>
      <c r="C84" s="16">
        <f>IF($A84="","",SUMIF(tblAnahtarB[NormB],$A84,tblVeriB[BeyanTutar]))</f>
        <v/>
      </c>
      <c r="D84" s="16">
        <f>IF($A84="","",SUMIF(tblAnahtarA[Norm],$A84,tblVeriA[Tutar]))</f>
        <v/>
      </c>
      <c r="E84" s="16">
        <f>IF($A84="","",ROUND($D84,2)-ROUND($C84,2))</f>
        <v/>
      </c>
      <c r="F84" s="16">
        <f>IF($A84="","",ABS($E84))</f>
        <v/>
      </c>
      <c r="G84" s="16">
        <f>IF($A84="","",IF($B84=0,"eslesmedi",IF(ROUND($D84,2)=ROUND($C84,2),"eslesti",IF(ABS(ROUND($D84,2)-ROUND($C84,2))&lt;=toleransKurus,"tolerans_icinde","tutar_farki"))))</f>
        <v/>
      </c>
      <c r="H84" s="16">
        <f>IF($A84="","",IF($B84&gt;0,"BIRINCIL",IF(COUNTIF(tblAnahtarB[IkincilB],'ANAHTAR'!$D84)&gt;0,"IKINCIL","YOK")))</f>
        <v/>
      </c>
      <c r="I84" s="16">
        <f>IF($A84="","",'ANAHTAR'!$F84)</f>
        <v/>
      </c>
      <c r="J84" s="16">
        <f>IF(OR($A84="",$D84=0),0,$F84/ABS($D84))</f>
        <v/>
      </c>
      <c r="K84" s="16">
        <f>IF($A84="","",ROUND($D84,2))</f>
        <v/>
      </c>
      <c r="L84" s="16">
        <f>IF($A84="","",ROUND($C84,2))</f>
        <v/>
      </c>
      <c r="M84" s="16">
        <f>IF($A84="","",IF($F84&lt;=toleransKurus,1,0))</f>
        <v/>
      </c>
      <c r="N84" s="16">
        <f>IF($A84="","",IF($F84&gt;cbb_esikFark,1,0))</f>
        <v/>
      </c>
      <c r="O84" s="16">
        <f>IF($A84="","",IF($G84="eslesti",$D84,0))</f>
        <v/>
      </c>
      <c r="P84" s="16">
        <f>IF($A84="","",$B84+$M84+$N84)</f>
        <v/>
      </c>
    </row>
    <row r="85">
      <c r="A85" s="16">
        <f>IF('ANAHTAR'!$B85="","",'ANAHTAR'!$B85)</f>
        <v/>
      </c>
      <c r="B85" s="16">
        <f>IF($A85="","",COUNTIF(tblAnahtarB[NormB],$A85))</f>
        <v/>
      </c>
      <c r="C85" s="16">
        <f>IF($A85="","",SUMIF(tblAnahtarB[NormB],$A85,tblVeriB[BeyanTutar]))</f>
        <v/>
      </c>
      <c r="D85" s="16">
        <f>IF($A85="","",SUMIF(tblAnahtarA[Norm],$A85,tblVeriA[Tutar]))</f>
        <v/>
      </c>
      <c r="E85" s="16">
        <f>IF($A85="","",ROUND($D85,2)-ROUND($C85,2))</f>
        <v/>
      </c>
      <c r="F85" s="16">
        <f>IF($A85="","",ABS($E85))</f>
        <v/>
      </c>
      <c r="G85" s="16">
        <f>IF($A85="","",IF($B85=0,"eslesmedi",IF(ROUND($D85,2)=ROUND($C85,2),"eslesti",IF(ABS(ROUND($D85,2)-ROUND($C85,2))&lt;=toleransKurus,"tolerans_icinde","tutar_farki"))))</f>
        <v/>
      </c>
      <c r="H85" s="16">
        <f>IF($A85="","",IF($B85&gt;0,"BIRINCIL",IF(COUNTIF(tblAnahtarB[IkincilB],'ANAHTAR'!$D85)&gt;0,"IKINCIL","YOK")))</f>
        <v/>
      </c>
      <c r="I85" s="16">
        <f>IF($A85="","",'ANAHTAR'!$F85)</f>
        <v/>
      </c>
      <c r="J85" s="16">
        <f>IF(OR($A85="",$D85=0),0,$F85/ABS($D85))</f>
        <v/>
      </c>
      <c r="K85" s="16">
        <f>IF($A85="","",ROUND($D85,2))</f>
        <v/>
      </c>
      <c r="L85" s="16">
        <f>IF($A85="","",ROUND($C85,2))</f>
        <v/>
      </c>
      <c r="M85" s="16">
        <f>IF($A85="","",IF($F85&lt;=toleransKurus,1,0))</f>
        <v/>
      </c>
      <c r="N85" s="16">
        <f>IF($A85="","",IF($F85&gt;cbb_esikFark,1,0))</f>
        <v/>
      </c>
      <c r="O85" s="16">
        <f>IF($A85="","",IF($G85="eslesti",$D85,0))</f>
        <v/>
      </c>
      <c r="P85" s="16">
        <f>IF($A85="","",$B85+$M85+$N85)</f>
        <v/>
      </c>
    </row>
    <row r="86">
      <c r="A86" s="16">
        <f>IF('ANAHTAR'!$B86="","",'ANAHTAR'!$B86)</f>
        <v/>
      </c>
      <c r="B86" s="16">
        <f>IF($A86="","",COUNTIF(tblAnahtarB[NormB],$A86))</f>
        <v/>
      </c>
      <c r="C86" s="16">
        <f>IF($A86="","",SUMIF(tblAnahtarB[NormB],$A86,tblVeriB[BeyanTutar]))</f>
        <v/>
      </c>
      <c r="D86" s="16">
        <f>IF($A86="","",SUMIF(tblAnahtarA[Norm],$A86,tblVeriA[Tutar]))</f>
        <v/>
      </c>
      <c r="E86" s="16">
        <f>IF($A86="","",ROUND($D86,2)-ROUND($C86,2))</f>
        <v/>
      </c>
      <c r="F86" s="16">
        <f>IF($A86="","",ABS($E86))</f>
        <v/>
      </c>
      <c r="G86" s="16">
        <f>IF($A86="","",IF($B86=0,"eslesmedi",IF(ROUND($D86,2)=ROUND($C86,2),"eslesti",IF(ABS(ROUND($D86,2)-ROUND($C86,2))&lt;=toleransKurus,"tolerans_icinde","tutar_farki"))))</f>
        <v/>
      </c>
      <c r="H86" s="16">
        <f>IF($A86="","",IF($B86&gt;0,"BIRINCIL",IF(COUNTIF(tblAnahtarB[IkincilB],'ANAHTAR'!$D86)&gt;0,"IKINCIL","YOK")))</f>
        <v/>
      </c>
      <c r="I86" s="16">
        <f>IF($A86="","",'ANAHTAR'!$F86)</f>
        <v/>
      </c>
      <c r="J86" s="16">
        <f>IF(OR($A86="",$D86=0),0,$F86/ABS($D86))</f>
        <v/>
      </c>
      <c r="K86" s="16">
        <f>IF($A86="","",ROUND($D86,2))</f>
        <v/>
      </c>
      <c r="L86" s="16">
        <f>IF($A86="","",ROUND($C86,2))</f>
        <v/>
      </c>
      <c r="M86" s="16">
        <f>IF($A86="","",IF($F86&lt;=toleransKurus,1,0))</f>
        <v/>
      </c>
      <c r="N86" s="16">
        <f>IF($A86="","",IF($F86&gt;cbb_esikFark,1,0))</f>
        <v/>
      </c>
      <c r="O86" s="16">
        <f>IF($A86="","",IF($G86="eslesti",$D86,0))</f>
        <v/>
      </c>
      <c r="P86" s="16">
        <f>IF($A86="","",$B86+$M86+$N86)</f>
        <v/>
      </c>
    </row>
    <row r="87">
      <c r="A87" s="16">
        <f>IF('ANAHTAR'!$B87="","",'ANAHTAR'!$B87)</f>
        <v/>
      </c>
      <c r="B87" s="16">
        <f>IF($A87="","",COUNTIF(tblAnahtarB[NormB],$A87))</f>
        <v/>
      </c>
      <c r="C87" s="16">
        <f>IF($A87="","",SUMIF(tblAnahtarB[NormB],$A87,tblVeriB[BeyanTutar]))</f>
        <v/>
      </c>
      <c r="D87" s="16">
        <f>IF($A87="","",SUMIF(tblAnahtarA[Norm],$A87,tblVeriA[Tutar]))</f>
        <v/>
      </c>
      <c r="E87" s="16">
        <f>IF($A87="","",ROUND($D87,2)-ROUND($C87,2))</f>
        <v/>
      </c>
      <c r="F87" s="16">
        <f>IF($A87="","",ABS($E87))</f>
        <v/>
      </c>
      <c r="G87" s="16">
        <f>IF($A87="","",IF($B87=0,"eslesmedi",IF(ROUND($D87,2)=ROUND($C87,2),"eslesti",IF(ABS(ROUND($D87,2)-ROUND($C87,2))&lt;=toleransKurus,"tolerans_icinde","tutar_farki"))))</f>
        <v/>
      </c>
      <c r="H87" s="16">
        <f>IF($A87="","",IF($B87&gt;0,"BIRINCIL",IF(COUNTIF(tblAnahtarB[IkincilB],'ANAHTAR'!$D87)&gt;0,"IKINCIL","YOK")))</f>
        <v/>
      </c>
      <c r="I87" s="16">
        <f>IF($A87="","",'ANAHTAR'!$F87)</f>
        <v/>
      </c>
      <c r="J87" s="16">
        <f>IF(OR($A87="",$D87=0),0,$F87/ABS($D87))</f>
        <v/>
      </c>
      <c r="K87" s="16">
        <f>IF($A87="","",ROUND($D87,2))</f>
        <v/>
      </c>
      <c r="L87" s="16">
        <f>IF($A87="","",ROUND($C87,2))</f>
        <v/>
      </c>
      <c r="M87" s="16">
        <f>IF($A87="","",IF($F87&lt;=toleransKurus,1,0))</f>
        <v/>
      </c>
      <c r="N87" s="16">
        <f>IF($A87="","",IF($F87&gt;cbb_esikFark,1,0))</f>
        <v/>
      </c>
      <c r="O87" s="16">
        <f>IF($A87="","",IF($G87="eslesti",$D87,0))</f>
        <v/>
      </c>
      <c r="P87" s="16">
        <f>IF($A87="","",$B87+$M87+$N87)</f>
        <v/>
      </c>
    </row>
    <row r="88">
      <c r="A88" s="16">
        <f>IF('ANAHTAR'!$B88="","",'ANAHTAR'!$B88)</f>
        <v/>
      </c>
      <c r="B88" s="16">
        <f>IF($A88="","",COUNTIF(tblAnahtarB[NormB],$A88))</f>
        <v/>
      </c>
      <c r="C88" s="16">
        <f>IF($A88="","",SUMIF(tblAnahtarB[NormB],$A88,tblVeriB[BeyanTutar]))</f>
        <v/>
      </c>
      <c r="D88" s="16">
        <f>IF($A88="","",SUMIF(tblAnahtarA[Norm],$A88,tblVeriA[Tutar]))</f>
        <v/>
      </c>
      <c r="E88" s="16">
        <f>IF($A88="","",ROUND($D88,2)-ROUND($C88,2))</f>
        <v/>
      </c>
      <c r="F88" s="16">
        <f>IF($A88="","",ABS($E88))</f>
        <v/>
      </c>
      <c r="G88" s="16">
        <f>IF($A88="","",IF($B88=0,"eslesmedi",IF(ROUND($D88,2)=ROUND($C88,2),"eslesti",IF(ABS(ROUND($D88,2)-ROUND($C88,2))&lt;=toleransKurus,"tolerans_icinde","tutar_farki"))))</f>
        <v/>
      </c>
      <c r="H88" s="16">
        <f>IF($A88="","",IF($B88&gt;0,"BIRINCIL",IF(COUNTIF(tblAnahtarB[IkincilB],'ANAHTAR'!$D88)&gt;0,"IKINCIL","YOK")))</f>
        <v/>
      </c>
      <c r="I88" s="16">
        <f>IF($A88="","",'ANAHTAR'!$F88)</f>
        <v/>
      </c>
      <c r="J88" s="16">
        <f>IF(OR($A88="",$D88=0),0,$F88/ABS($D88))</f>
        <v/>
      </c>
      <c r="K88" s="16">
        <f>IF($A88="","",ROUND($D88,2))</f>
        <v/>
      </c>
      <c r="L88" s="16">
        <f>IF($A88="","",ROUND($C88,2))</f>
        <v/>
      </c>
      <c r="M88" s="16">
        <f>IF($A88="","",IF($F88&lt;=toleransKurus,1,0))</f>
        <v/>
      </c>
      <c r="N88" s="16">
        <f>IF($A88="","",IF($F88&gt;cbb_esikFark,1,0))</f>
        <v/>
      </c>
      <c r="O88" s="16">
        <f>IF($A88="","",IF($G88="eslesti",$D88,0))</f>
        <v/>
      </c>
      <c r="P88" s="16">
        <f>IF($A88="","",$B88+$M88+$N88)</f>
        <v/>
      </c>
    </row>
    <row r="89">
      <c r="A89" s="16">
        <f>IF('ANAHTAR'!$B89="","",'ANAHTAR'!$B89)</f>
        <v/>
      </c>
      <c r="B89" s="16">
        <f>IF($A89="","",COUNTIF(tblAnahtarB[NormB],$A89))</f>
        <v/>
      </c>
      <c r="C89" s="16">
        <f>IF($A89="","",SUMIF(tblAnahtarB[NormB],$A89,tblVeriB[BeyanTutar]))</f>
        <v/>
      </c>
      <c r="D89" s="16">
        <f>IF($A89="","",SUMIF(tblAnahtarA[Norm],$A89,tblVeriA[Tutar]))</f>
        <v/>
      </c>
      <c r="E89" s="16">
        <f>IF($A89="","",ROUND($D89,2)-ROUND($C89,2))</f>
        <v/>
      </c>
      <c r="F89" s="16">
        <f>IF($A89="","",ABS($E89))</f>
        <v/>
      </c>
      <c r="G89" s="16">
        <f>IF($A89="","",IF($B89=0,"eslesmedi",IF(ROUND($D89,2)=ROUND($C89,2),"eslesti",IF(ABS(ROUND($D89,2)-ROUND($C89,2))&lt;=toleransKurus,"tolerans_icinde","tutar_farki"))))</f>
        <v/>
      </c>
      <c r="H89" s="16">
        <f>IF($A89="","",IF($B89&gt;0,"BIRINCIL",IF(COUNTIF(tblAnahtarB[IkincilB],'ANAHTAR'!$D89)&gt;0,"IKINCIL","YOK")))</f>
        <v/>
      </c>
      <c r="I89" s="16">
        <f>IF($A89="","",'ANAHTAR'!$F89)</f>
        <v/>
      </c>
      <c r="J89" s="16">
        <f>IF(OR($A89="",$D89=0),0,$F89/ABS($D89))</f>
        <v/>
      </c>
      <c r="K89" s="16">
        <f>IF($A89="","",ROUND($D89,2))</f>
        <v/>
      </c>
      <c r="L89" s="16">
        <f>IF($A89="","",ROUND($C89,2))</f>
        <v/>
      </c>
      <c r="M89" s="16">
        <f>IF($A89="","",IF($F89&lt;=toleransKurus,1,0))</f>
        <v/>
      </c>
      <c r="N89" s="16">
        <f>IF($A89="","",IF($F89&gt;cbb_esikFark,1,0))</f>
        <v/>
      </c>
      <c r="O89" s="16">
        <f>IF($A89="","",IF($G89="eslesti",$D89,0))</f>
        <v/>
      </c>
      <c r="P89" s="16">
        <f>IF($A89="","",$B89+$M89+$N89)</f>
        <v/>
      </c>
    </row>
    <row r="90">
      <c r="A90" s="16">
        <f>IF('ANAHTAR'!$B90="","",'ANAHTAR'!$B90)</f>
        <v/>
      </c>
      <c r="B90" s="16">
        <f>IF($A90="","",COUNTIF(tblAnahtarB[NormB],$A90))</f>
        <v/>
      </c>
      <c r="C90" s="16">
        <f>IF($A90="","",SUMIF(tblAnahtarB[NormB],$A90,tblVeriB[BeyanTutar]))</f>
        <v/>
      </c>
      <c r="D90" s="16">
        <f>IF($A90="","",SUMIF(tblAnahtarA[Norm],$A90,tblVeriA[Tutar]))</f>
        <v/>
      </c>
      <c r="E90" s="16">
        <f>IF($A90="","",ROUND($D90,2)-ROUND($C90,2))</f>
        <v/>
      </c>
      <c r="F90" s="16">
        <f>IF($A90="","",ABS($E90))</f>
        <v/>
      </c>
      <c r="G90" s="16">
        <f>IF($A90="","",IF($B90=0,"eslesmedi",IF(ROUND($D90,2)=ROUND($C90,2),"eslesti",IF(ABS(ROUND($D90,2)-ROUND($C90,2))&lt;=toleransKurus,"tolerans_icinde","tutar_farki"))))</f>
        <v/>
      </c>
      <c r="H90" s="16">
        <f>IF($A90="","",IF($B90&gt;0,"BIRINCIL",IF(COUNTIF(tblAnahtarB[IkincilB],'ANAHTAR'!$D90)&gt;0,"IKINCIL","YOK")))</f>
        <v/>
      </c>
      <c r="I90" s="16">
        <f>IF($A90="","",'ANAHTAR'!$F90)</f>
        <v/>
      </c>
      <c r="J90" s="16">
        <f>IF(OR($A90="",$D90=0),0,$F90/ABS($D90))</f>
        <v/>
      </c>
      <c r="K90" s="16">
        <f>IF($A90="","",ROUND($D90,2))</f>
        <v/>
      </c>
      <c r="L90" s="16">
        <f>IF($A90="","",ROUND($C90,2))</f>
        <v/>
      </c>
      <c r="M90" s="16">
        <f>IF($A90="","",IF($F90&lt;=toleransKurus,1,0))</f>
        <v/>
      </c>
      <c r="N90" s="16">
        <f>IF($A90="","",IF($F90&gt;cbb_esikFark,1,0))</f>
        <v/>
      </c>
      <c r="O90" s="16">
        <f>IF($A90="","",IF($G90="eslesti",$D90,0))</f>
        <v/>
      </c>
      <c r="P90" s="16">
        <f>IF($A90="","",$B90+$M90+$N90)</f>
        <v/>
      </c>
    </row>
    <row r="91">
      <c r="A91" s="16">
        <f>IF('ANAHTAR'!$B91="","",'ANAHTAR'!$B91)</f>
        <v/>
      </c>
      <c r="B91" s="16">
        <f>IF($A91="","",COUNTIF(tblAnahtarB[NormB],$A91))</f>
        <v/>
      </c>
      <c r="C91" s="16">
        <f>IF($A91="","",SUMIF(tblAnahtarB[NormB],$A91,tblVeriB[BeyanTutar]))</f>
        <v/>
      </c>
      <c r="D91" s="16">
        <f>IF($A91="","",SUMIF(tblAnahtarA[Norm],$A91,tblVeriA[Tutar]))</f>
        <v/>
      </c>
      <c r="E91" s="16">
        <f>IF($A91="","",ROUND($D91,2)-ROUND($C91,2))</f>
        <v/>
      </c>
      <c r="F91" s="16">
        <f>IF($A91="","",ABS($E91))</f>
        <v/>
      </c>
      <c r="G91" s="16">
        <f>IF($A91="","",IF($B91=0,"eslesmedi",IF(ROUND($D91,2)=ROUND($C91,2),"eslesti",IF(ABS(ROUND($D91,2)-ROUND($C91,2))&lt;=toleransKurus,"tolerans_icinde","tutar_farki"))))</f>
        <v/>
      </c>
      <c r="H91" s="16">
        <f>IF($A91="","",IF($B91&gt;0,"BIRINCIL",IF(COUNTIF(tblAnahtarB[IkincilB],'ANAHTAR'!$D91)&gt;0,"IKINCIL","YOK")))</f>
        <v/>
      </c>
      <c r="I91" s="16">
        <f>IF($A91="","",'ANAHTAR'!$F91)</f>
        <v/>
      </c>
      <c r="J91" s="16">
        <f>IF(OR($A91="",$D91=0),0,$F91/ABS($D91))</f>
        <v/>
      </c>
      <c r="K91" s="16">
        <f>IF($A91="","",ROUND($D91,2))</f>
        <v/>
      </c>
      <c r="L91" s="16">
        <f>IF($A91="","",ROUND($C91,2))</f>
        <v/>
      </c>
      <c r="M91" s="16">
        <f>IF($A91="","",IF($F91&lt;=toleransKurus,1,0))</f>
        <v/>
      </c>
      <c r="N91" s="16">
        <f>IF($A91="","",IF($F91&gt;cbb_esikFark,1,0))</f>
        <v/>
      </c>
      <c r="O91" s="16">
        <f>IF($A91="","",IF($G91="eslesti",$D91,0))</f>
        <v/>
      </c>
      <c r="P91" s="16">
        <f>IF($A91="","",$B91+$M91+$N91)</f>
        <v/>
      </c>
    </row>
    <row r="92">
      <c r="A92" s="16">
        <f>IF('ANAHTAR'!$B92="","",'ANAHTAR'!$B92)</f>
        <v/>
      </c>
      <c r="B92" s="16">
        <f>IF($A92="","",COUNTIF(tblAnahtarB[NormB],$A92))</f>
        <v/>
      </c>
      <c r="C92" s="16">
        <f>IF($A92="","",SUMIF(tblAnahtarB[NormB],$A92,tblVeriB[BeyanTutar]))</f>
        <v/>
      </c>
      <c r="D92" s="16">
        <f>IF($A92="","",SUMIF(tblAnahtarA[Norm],$A92,tblVeriA[Tutar]))</f>
        <v/>
      </c>
      <c r="E92" s="16">
        <f>IF($A92="","",ROUND($D92,2)-ROUND($C92,2))</f>
        <v/>
      </c>
      <c r="F92" s="16">
        <f>IF($A92="","",ABS($E92))</f>
        <v/>
      </c>
      <c r="G92" s="16">
        <f>IF($A92="","",IF($B92=0,"eslesmedi",IF(ROUND($D92,2)=ROUND($C92,2),"eslesti",IF(ABS(ROUND($D92,2)-ROUND($C92,2))&lt;=toleransKurus,"tolerans_icinde","tutar_farki"))))</f>
        <v/>
      </c>
      <c r="H92" s="16">
        <f>IF($A92="","",IF($B92&gt;0,"BIRINCIL",IF(COUNTIF(tblAnahtarB[IkincilB],'ANAHTAR'!$D92)&gt;0,"IKINCIL","YOK")))</f>
        <v/>
      </c>
      <c r="I92" s="16">
        <f>IF($A92="","",'ANAHTAR'!$F92)</f>
        <v/>
      </c>
      <c r="J92" s="16">
        <f>IF(OR($A92="",$D92=0),0,$F92/ABS($D92))</f>
        <v/>
      </c>
      <c r="K92" s="16">
        <f>IF($A92="","",ROUND($D92,2))</f>
        <v/>
      </c>
      <c r="L92" s="16">
        <f>IF($A92="","",ROUND($C92,2))</f>
        <v/>
      </c>
      <c r="M92" s="16">
        <f>IF($A92="","",IF($F92&lt;=toleransKurus,1,0))</f>
        <v/>
      </c>
      <c r="N92" s="16">
        <f>IF($A92="","",IF($F92&gt;cbb_esikFark,1,0))</f>
        <v/>
      </c>
      <c r="O92" s="16">
        <f>IF($A92="","",IF($G92="eslesti",$D92,0))</f>
        <v/>
      </c>
      <c r="P92" s="16">
        <f>IF($A92="","",$B92+$M92+$N92)</f>
        <v/>
      </c>
    </row>
    <row r="93">
      <c r="A93" s="16">
        <f>IF('ANAHTAR'!$B93="","",'ANAHTAR'!$B93)</f>
        <v/>
      </c>
      <c r="B93" s="16">
        <f>IF($A93="","",COUNTIF(tblAnahtarB[NormB],$A93))</f>
        <v/>
      </c>
      <c r="C93" s="16">
        <f>IF($A93="","",SUMIF(tblAnahtarB[NormB],$A93,tblVeriB[BeyanTutar]))</f>
        <v/>
      </c>
      <c r="D93" s="16">
        <f>IF($A93="","",SUMIF(tblAnahtarA[Norm],$A93,tblVeriA[Tutar]))</f>
        <v/>
      </c>
      <c r="E93" s="16">
        <f>IF($A93="","",ROUND($D93,2)-ROUND($C93,2))</f>
        <v/>
      </c>
      <c r="F93" s="16">
        <f>IF($A93="","",ABS($E93))</f>
        <v/>
      </c>
      <c r="G93" s="16">
        <f>IF($A93="","",IF($B93=0,"eslesmedi",IF(ROUND($D93,2)=ROUND($C93,2),"eslesti",IF(ABS(ROUND($D93,2)-ROUND($C93,2))&lt;=toleransKurus,"tolerans_icinde","tutar_farki"))))</f>
        <v/>
      </c>
      <c r="H93" s="16">
        <f>IF($A93="","",IF($B93&gt;0,"BIRINCIL",IF(COUNTIF(tblAnahtarB[IkincilB],'ANAHTAR'!$D93)&gt;0,"IKINCIL","YOK")))</f>
        <v/>
      </c>
      <c r="I93" s="16">
        <f>IF($A93="","",'ANAHTAR'!$F93)</f>
        <v/>
      </c>
      <c r="J93" s="16">
        <f>IF(OR($A93="",$D93=0),0,$F93/ABS($D93))</f>
        <v/>
      </c>
      <c r="K93" s="16">
        <f>IF($A93="","",ROUND($D93,2))</f>
        <v/>
      </c>
      <c r="L93" s="16">
        <f>IF($A93="","",ROUND($C93,2))</f>
        <v/>
      </c>
      <c r="M93" s="16">
        <f>IF($A93="","",IF($F93&lt;=toleransKurus,1,0))</f>
        <v/>
      </c>
      <c r="N93" s="16">
        <f>IF($A93="","",IF($F93&gt;cbb_esikFark,1,0))</f>
        <v/>
      </c>
      <c r="O93" s="16">
        <f>IF($A93="","",IF($G93="eslesti",$D93,0))</f>
        <v/>
      </c>
      <c r="P93" s="16">
        <f>IF($A93="","",$B93+$M93+$N93)</f>
        <v/>
      </c>
    </row>
    <row r="94">
      <c r="A94" s="16">
        <f>IF('ANAHTAR'!$B94="","",'ANAHTAR'!$B94)</f>
        <v/>
      </c>
      <c r="B94" s="16">
        <f>IF($A94="","",COUNTIF(tblAnahtarB[NormB],$A94))</f>
        <v/>
      </c>
      <c r="C94" s="16">
        <f>IF($A94="","",SUMIF(tblAnahtarB[NormB],$A94,tblVeriB[BeyanTutar]))</f>
        <v/>
      </c>
      <c r="D94" s="16">
        <f>IF($A94="","",SUMIF(tblAnahtarA[Norm],$A94,tblVeriA[Tutar]))</f>
        <v/>
      </c>
      <c r="E94" s="16">
        <f>IF($A94="","",ROUND($D94,2)-ROUND($C94,2))</f>
        <v/>
      </c>
      <c r="F94" s="16">
        <f>IF($A94="","",ABS($E94))</f>
        <v/>
      </c>
      <c r="G94" s="16">
        <f>IF($A94="","",IF($B94=0,"eslesmedi",IF(ROUND($D94,2)=ROUND($C94,2),"eslesti",IF(ABS(ROUND($D94,2)-ROUND($C94,2))&lt;=toleransKurus,"tolerans_icinde","tutar_farki"))))</f>
        <v/>
      </c>
      <c r="H94" s="16">
        <f>IF($A94="","",IF($B94&gt;0,"BIRINCIL",IF(COUNTIF(tblAnahtarB[IkincilB],'ANAHTAR'!$D94)&gt;0,"IKINCIL","YOK")))</f>
        <v/>
      </c>
      <c r="I94" s="16">
        <f>IF($A94="","",'ANAHTAR'!$F94)</f>
        <v/>
      </c>
      <c r="J94" s="16">
        <f>IF(OR($A94="",$D94=0),0,$F94/ABS($D94))</f>
        <v/>
      </c>
      <c r="K94" s="16">
        <f>IF($A94="","",ROUND($D94,2))</f>
        <v/>
      </c>
      <c r="L94" s="16">
        <f>IF($A94="","",ROUND($C94,2))</f>
        <v/>
      </c>
      <c r="M94" s="16">
        <f>IF($A94="","",IF($F94&lt;=toleransKurus,1,0))</f>
        <v/>
      </c>
      <c r="N94" s="16">
        <f>IF($A94="","",IF($F94&gt;cbb_esikFark,1,0))</f>
        <v/>
      </c>
      <c r="O94" s="16">
        <f>IF($A94="","",IF($G94="eslesti",$D94,0))</f>
        <v/>
      </c>
      <c r="P94" s="16">
        <f>IF($A94="","",$B94+$M94+$N94)</f>
        <v/>
      </c>
    </row>
    <row r="95">
      <c r="A95" s="16">
        <f>IF('ANAHTAR'!$B95="","",'ANAHTAR'!$B95)</f>
        <v/>
      </c>
      <c r="B95" s="16">
        <f>IF($A95="","",COUNTIF(tblAnahtarB[NormB],$A95))</f>
        <v/>
      </c>
      <c r="C95" s="16">
        <f>IF($A95="","",SUMIF(tblAnahtarB[NormB],$A95,tblVeriB[BeyanTutar]))</f>
        <v/>
      </c>
      <c r="D95" s="16">
        <f>IF($A95="","",SUMIF(tblAnahtarA[Norm],$A95,tblVeriA[Tutar]))</f>
        <v/>
      </c>
      <c r="E95" s="16">
        <f>IF($A95="","",ROUND($D95,2)-ROUND($C95,2))</f>
        <v/>
      </c>
      <c r="F95" s="16">
        <f>IF($A95="","",ABS($E95))</f>
        <v/>
      </c>
      <c r="G95" s="16">
        <f>IF($A95="","",IF($B95=0,"eslesmedi",IF(ROUND($D95,2)=ROUND($C95,2),"eslesti",IF(ABS(ROUND($D95,2)-ROUND($C95,2))&lt;=toleransKurus,"tolerans_icinde","tutar_farki"))))</f>
        <v/>
      </c>
      <c r="H95" s="16">
        <f>IF($A95="","",IF($B95&gt;0,"BIRINCIL",IF(COUNTIF(tblAnahtarB[IkincilB],'ANAHTAR'!$D95)&gt;0,"IKINCIL","YOK")))</f>
        <v/>
      </c>
      <c r="I95" s="16">
        <f>IF($A95="","",'ANAHTAR'!$F95)</f>
        <v/>
      </c>
      <c r="J95" s="16">
        <f>IF(OR($A95="",$D95=0),0,$F95/ABS($D95))</f>
        <v/>
      </c>
      <c r="K95" s="16">
        <f>IF($A95="","",ROUND($D95,2))</f>
        <v/>
      </c>
      <c r="L95" s="16">
        <f>IF($A95="","",ROUND($C95,2))</f>
        <v/>
      </c>
      <c r="M95" s="16">
        <f>IF($A95="","",IF($F95&lt;=toleransKurus,1,0))</f>
        <v/>
      </c>
      <c r="N95" s="16">
        <f>IF($A95="","",IF($F95&gt;cbb_esikFark,1,0))</f>
        <v/>
      </c>
      <c r="O95" s="16">
        <f>IF($A95="","",IF($G95="eslesti",$D95,0))</f>
        <v/>
      </c>
      <c r="P95" s="16">
        <f>IF($A95="","",$B95+$M95+$N95)</f>
        <v/>
      </c>
    </row>
    <row r="96">
      <c r="A96" s="16">
        <f>IF('ANAHTAR'!$B96="","",'ANAHTAR'!$B96)</f>
        <v/>
      </c>
      <c r="B96" s="16">
        <f>IF($A96="","",COUNTIF(tblAnahtarB[NormB],$A96))</f>
        <v/>
      </c>
      <c r="C96" s="16">
        <f>IF($A96="","",SUMIF(tblAnahtarB[NormB],$A96,tblVeriB[BeyanTutar]))</f>
        <v/>
      </c>
      <c r="D96" s="16">
        <f>IF($A96="","",SUMIF(tblAnahtarA[Norm],$A96,tblVeriA[Tutar]))</f>
        <v/>
      </c>
      <c r="E96" s="16">
        <f>IF($A96="","",ROUND($D96,2)-ROUND($C96,2))</f>
        <v/>
      </c>
      <c r="F96" s="16">
        <f>IF($A96="","",ABS($E96))</f>
        <v/>
      </c>
      <c r="G96" s="16">
        <f>IF($A96="","",IF($B96=0,"eslesmedi",IF(ROUND($D96,2)=ROUND($C96,2),"eslesti",IF(ABS(ROUND($D96,2)-ROUND($C96,2))&lt;=toleransKurus,"tolerans_icinde","tutar_farki"))))</f>
        <v/>
      </c>
      <c r="H96" s="16">
        <f>IF($A96="","",IF($B96&gt;0,"BIRINCIL",IF(COUNTIF(tblAnahtarB[IkincilB],'ANAHTAR'!$D96)&gt;0,"IKINCIL","YOK")))</f>
        <v/>
      </c>
      <c r="I96" s="16">
        <f>IF($A96="","",'ANAHTAR'!$F96)</f>
        <v/>
      </c>
      <c r="J96" s="16">
        <f>IF(OR($A96="",$D96=0),0,$F96/ABS($D96))</f>
        <v/>
      </c>
      <c r="K96" s="16">
        <f>IF($A96="","",ROUND($D96,2))</f>
        <v/>
      </c>
      <c r="L96" s="16">
        <f>IF($A96="","",ROUND($C96,2))</f>
        <v/>
      </c>
      <c r="M96" s="16">
        <f>IF($A96="","",IF($F96&lt;=toleransKurus,1,0))</f>
        <v/>
      </c>
      <c r="N96" s="16">
        <f>IF($A96="","",IF($F96&gt;cbb_esikFark,1,0))</f>
        <v/>
      </c>
      <c r="O96" s="16">
        <f>IF($A96="","",IF($G96="eslesti",$D96,0))</f>
        <v/>
      </c>
      <c r="P96" s="16">
        <f>IF($A96="","",$B96+$M96+$N96)</f>
        <v/>
      </c>
    </row>
    <row r="97">
      <c r="A97" s="16">
        <f>IF('ANAHTAR'!$B97="","",'ANAHTAR'!$B97)</f>
        <v/>
      </c>
      <c r="B97" s="16">
        <f>IF($A97="","",COUNTIF(tblAnahtarB[NormB],$A97))</f>
        <v/>
      </c>
      <c r="C97" s="16">
        <f>IF($A97="","",SUMIF(tblAnahtarB[NormB],$A97,tblVeriB[BeyanTutar]))</f>
        <v/>
      </c>
      <c r="D97" s="16">
        <f>IF($A97="","",SUMIF(tblAnahtarA[Norm],$A97,tblVeriA[Tutar]))</f>
        <v/>
      </c>
      <c r="E97" s="16">
        <f>IF($A97="","",ROUND($D97,2)-ROUND($C97,2))</f>
        <v/>
      </c>
      <c r="F97" s="16">
        <f>IF($A97="","",ABS($E97))</f>
        <v/>
      </c>
      <c r="G97" s="16">
        <f>IF($A97="","",IF($B97=0,"eslesmedi",IF(ROUND($D97,2)=ROUND($C97,2),"eslesti",IF(ABS(ROUND($D97,2)-ROUND($C97,2))&lt;=toleransKurus,"tolerans_icinde","tutar_farki"))))</f>
        <v/>
      </c>
      <c r="H97" s="16">
        <f>IF($A97="","",IF($B97&gt;0,"BIRINCIL",IF(COUNTIF(tblAnahtarB[IkincilB],'ANAHTAR'!$D97)&gt;0,"IKINCIL","YOK")))</f>
        <v/>
      </c>
      <c r="I97" s="16">
        <f>IF($A97="","",'ANAHTAR'!$F97)</f>
        <v/>
      </c>
      <c r="J97" s="16">
        <f>IF(OR($A97="",$D97=0),0,$F97/ABS($D97))</f>
        <v/>
      </c>
      <c r="K97" s="16">
        <f>IF($A97="","",ROUND($D97,2))</f>
        <v/>
      </c>
      <c r="L97" s="16">
        <f>IF($A97="","",ROUND($C97,2))</f>
        <v/>
      </c>
      <c r="M97" s="16">
        <f>IF($A97="","",IF($F97&lt;=toleransKurus,1,0))</f>
        <v/>
      </c>
      <c r="N97" s="16">
        <f>IF($A97="","",IF($F97&gt;cbb_esikFark,1,0))</f>
        <v/>
      </c>
      <c r="O97" s="16">
        <f>IF($A97="","",IF($G97="eslesti",$D97,0))</f>
        <v/>
      </c>
      <c r="P97" s="16">
        <f>IF($A97="","",$B97+$M97+$N97)</f>
        <v/>
      </c>
    </row>
    <row r="98">
      <c r="A98" s="16">
        <f>IF('ANAHTAR'!$B98="","",'ANAHTAR'!$B98)</f>
        <v/>
      </c>
      <c r="B98" s="16">
        <f>IF($A98="","",COUNTIF(tblAnahtarB[NormB],$A98))</f>
        <v/>
      </c>
      <c r="C98" s="16">
        <f>IF($A98="","",SUMIF(tblAnahtarB[NormB],$A98,tblVeriB[BeyanTutar]))</f>
        <v/>
      </c>
      <c r="D98" s="16">
        <f>IF($A98="","",SUMIF(tblAnahtarA[Norm],$A98,tblVeriA[Tutar]))</f>
        <v/>
      </c>
      <c r="E98" s="16">
        <f>IF($A98="","",ROUND($D98,2)-ROUND($C98,2))</f>
        <v/>
      </c>
      <c r="F98" s="16">
        <f>IF($A98="","",ABS($E98))</f>
        <v/>
      </c>
      <c r="G98" s="16">
        <f>IF($A98="","",IF($B98=0,"eslesmedi",IF(ROUND($D98,2)=ROUND($C98,2),"eslesti",IF(ABS(ROUND($D98,2)-ROUND($C98,2))&lt;=toleransKurus,"tolerans_icinde","tutar_farki"))))</f>
        <v/>
      </c>
      <c r="H98" s="16">
        <f>IF($A98="","",IF($B98&gt;0,"BIRINCIL",IF(COUNTIF(tblAnahtarB[IkincilB],'ANAHTAR'!$D98)&gt;0,"IKINCIL","YOK")))</f>
        <v/>
      </c>
      <c r="I98" s="16">
        <f>IF($A98="","",'ANAHTAR'!$F98)</f>
        <v/>
      </c>
      <c r="J98" s="16">
        <f>IF(OR($A98="",$D98=0),0,$F98/ABS($D98))</f>
        <v/>
      </c>
      <c r="K98" s="16">
        <f>IF($A98="","",ROUND($D98,2))</f>
        <v/>
      </c>
      <c r="L98" s="16">
        <f>IF($A98="","",ROUND($C98,2))</f>
        <v/>
      </c>
      <c r="M98" s="16">
        <f>IF($A98="","",IF($F98&lt;=toleransKurus,1,0))</f>
        <v/>
      </c>
      <c r="N98" s="16">
        <f>IF($A98="","",IF($F98&gt;cbb_esikFark,1,0))</f>
        <v/>
      </c>
      <c r="O98" s="16">
        <f>IF($A98="","",IF($G98="eslesti",$D98,0))</f>
        <v/>
      </c>
      <c r="P98" s="16">
        <f>IF($A98="","",$B98+$M98+$N98)</f>
        <v/>
      </c>
    </row>
    <row r="99">
      <c r="A99" s="16">
        <f>IF('ANAHTAR'!$B99="","",'ANAHTAR'!$B99)</f>
        <v/>
      </c>
      <c r="B99" s="16">
        <f>IF($A99="","",COUNTIF(tblAnahtarB[NormB],$A99))</f>
        <v/>
      </c>
      <c r="C99" s="16">
        <f>IF($A99="","",SUMIF(tblAnahtarB[NormB],$A99,tblVeriB[BeyanTutar]))</f>
        <v/>
      </c>
      <c r="D99" s="16">
        <f>IF($A99="","",SUMIF(tblAnahtarA[Norm],$A99,tblVeriA[Tutar]))</f>
        <v/>
      </c>
      <c r="E99" s="16">
        <f>IF($A99="","",ROUND($D99,2)-ROUND($C99,2))</f>
        <v/>
      </c>
      <c r="F99" s="16">
        <f>IF($A99="","",ABS($E99))</f>
        <v/>
      </c>
      <c r="G99" s="16">
        <f>IF($A99="","",IF($B99=0,"eslesmedi",IF(ROUND($D99,2)=ROUND($C99,2),"eslesti",IF(ABS(ROUND($D99,2)-ROUND($C99,2))&lt;=toleransKurus,"tolerans_icinde","tutar_farki"))))</f>
        <v/>
      </c>
      <c r="H99" s="16">
        <f>IF($A99="","",IF($B99&gt;0,"BIRINCIL",IF(COUNTIF(tblAnahtarB[IkincilB],'ANAHTAR'!$D99)&gt;0,"IKINCIL","YOK")))</f>
        <v/>
      </c>
      <c r="I99" s="16">
        <f>IF($A99="","",'ANAHTAR'!$F99)</f>
        <v/>
      </c>
      <c r="J99" s="16">
        <f>IF(OR($A99="",$D99=0),0,$F99/ABS($D99))</f>
        <v/>
      </c>
      <c r="K99" s="16">
        <f>IF($A99="","",ROUND($D99,2))</f>
        <v/>
      </c>
      <c r="L99" s="16">
        <f>IF($A99="","",ROUND($C99,2))</f>
        <v/>
      </c>
      <c r="M99" s="16">
        <f>IF($A99="","",IF($F99&lt;=toleransKurus,1,0))</f>
        <v/>
      </c>
      <c r="N99" s="16">
        <f>IF($A99="","",IF($F99&gt;cbb_esikFark,1,0))</f>
        <v/>
      </c>
      <c r="O99" s="16">
        <f>IF($A99="","",IF($G99="eslesti",$D99,0))</f>
        <v/>
      </c>
      <c r="P99" s="16">
        <f>IF($A99="","",$B99+$M99+$N99)</f>
        <v/>
      </c>
    </row>
    <row r="100">
      <c r="A100" s="16">
        <f>IF('ANAHTAR'!$B100="","",'ANAHTAR'!$B100)</f>
        <v/>
      </c>
      <c r="B100" s="16">
        <f>IF($A100="","",COUNTIF(tblAnahtarB[NormB],$A100))</f>
        <v/>
      </c>
      <c r="C100" s="16">
        <f>IF($A100="","",SUMIF(tblAnahtarB[NormB],$A100,tblVeriB[BeyanTutar]))</f>
        <v/>
      </c>
      <c r="D100" s="16">
        <f>IF($A100="","",SUMIF(tblAnahtarA[Norm],$A100,tblVeriA[Tutar]))</f>
        <v/>
      </c>
      <c r="E100" s="16">
        <f>IF($A100="","",ROUND($D100,2)-ROUND($C100,2))</f>
        <v/>
      </c>
      <c r="F100" s="16">
        <f>IF($A100="","",ABS($E100))</f>
        <v/>
      </c>
      <c r="G100" s="16">
        <f>IF($A100="","",IF($B100=0,"eslesmedi",IF(ROUND($D100,2)=ROUND($C100,2),"eslesti",IF(ABS(ROUND($D100,2)-ROUND($C100,2))&lt;=toleransKurus,"tolerans_icinde","tutar_farki"))))</f>
        <v/>
      </c>
      <c r="H100" s="16">
        <f>IF($A100="","",IF($B100&gt;0,"BIRINCIL",IF(COUNTIF(tblAnahtarB[IkincilB],'ANAHTAR'!$D100)&gt;0,"IKINCIL","YOK")))</f>
        <v/>
      </c>
      <c r="I100" s="16">
        <f>IF($A100="","",'ANAHTAR'!$F100)</f>
        <v/>
      </c>
      <c r="J100" s="16">
        <f>IF(OR($A100="",$D100=0),0,$F100/ABS($D100))</f>
        <v/>
      </c>
      <c r="K100" s="16">
        <f>IF($A100="","",ROUND($D100,2))</f>
        <v/>
      </c>
      <c r="L100" s="16">
        <f>IF($A100="","",ROUND($C100,2))</f>
        <v/>
      </c>
      <c r="M100" s="16">
        <f>IF($A100="","",IF($F100&lt;=toleransKurus,1,0))</f>
        <v/>
      </c>
      <c r="N100" s="16">
        <f>IF($A100="","",IF($F100&gt;cbb_esikFark,1,0))</f>
        <v/>
      </c>
      <c r="O100" s="16">
        <f>IF($A100="","",IF($G100="eslesti",$D100,0))</f>
        <v/>
      </c>
      <c r="P100" s="16">
        <f>IF($A100="","",$B100+$M100+$N100)</f>
        <v/>
      </c>
    </row>
    <row r="101">
      <c r="A101" s="16">
        <f>IF('ANAHTAR'!$B101="","",'ANAHTAR'!$B101)</f>
        <v/>
      </c>
      <c r="B101" s="16">
        <f>IF($A101="","",COUNTIF(tblAnahtarB[NormB],$A101))</f>
        <v/>
      </c>
      <c r="C101" s="16">
        <f>IF($A101="","",SUMIF(tblAnahtarB[NormB],$A101,tblVeriB[BeyanTutar]))</f>
        <v/>
      </c>
      <c r="D101" s="16">
        <f>IF($A101="","",SUMIF(tblAnahtarA[Norm],$A101,tblVeriA[Tutar]))</f>
        <v/>
      </c>
      <c r="E101" s="16">
        <f>IF($A101="","",ROUND($D101,2)-ROUND($C101,2))</f>
        <v/>
      </c>
      <c r="F101" s="16">
        <f>IF($A101="","",ABS($E101))</f>
        <v/>
      </c>
      <c r="G101" s="16">
        <f>IF($A101="","",IF($B101=0,"eslesmedi",IF(ROUND($D101,2)=ROUND($C101,2),"eslesti",IF(ABS(ROUND($D101,2)-ROUND($C101,2))&lt;=toleransKurus,"tolerans_icinde","tutar_farki"))))</f>
        <v/>
      </c>
      <c r="H101" s="16">
        <f>IF($A101="","",IF($B101&gt;0,"BIRINCIL",IF(COUNTIF(tblAnahtarB[IkincilB],'ANAHTAR'!$D101)&gt;0,"IKINCIL","YOK")))</f>
        <v/>
      </c>
      <c r="I101" s="16">
        <f>IF($A101="","",'ANAHTAR'!$F101)</f>
        <v/>
      </c>
      <c r="J101" s="16">
        <f>IF(OR($A101="",$D101=0),0,$F101/ABS($D101))</f>
        <v/>
      </c>
      <c r="K101" s="16">
        <f>IF($A101="","",ROUND($D101,2))</f>
        <v/>
      </c>
      <c r="L101" s="16">
        <f>IF($A101="","",ROUND($C101,2))</f>
        <v/>
      </c>
      <c r="M101" s="16">
        <f>IF($A101="","",IF($F101&lt;=toleransKurus,1,0))</f>
        <v/>
      </c>
      <c r="N101" s="16">
        <f>IF($A101="","",IF($F101&gt;cbb_esikFark,1,0))</f>
        <v/>
      </c>
      <c r="O101" s="16">
        <f>IF($A101="","",IF($G101="eslesti",$D101,0))</f>
        <v/>
      </c>
      <c r="P101" s="16">
        <f>IF($A101="","",$B101+$M101+$N101)</f>
        <v/>
      </c>
    </row>
    <row r="102">
      <c r="A102" s="16">
        <f>IF('ANAHTAR'!$B102="","",'ANAHTAR'!$B102)</f>
        <v/>
      </c>
      <c r="B102" s="16">
        <f>IF($A102="","",COUNTIF(tblAnahtarB[NormB],$A102))</f>
        <v/>
      </c>
      <c r="C102" s="16">
        <f>IF($A102="","",SUMIF(tblAnahtarB[NormB],$A102,tblVeriB[BeyanTutar]))</f>
        <v/>
      </c>
      <c r="D102" s="16">
        <f>IF($A102="","",SUMIF(tblAnahtarA[Norm],$A102,tblVeriA[Tutar]))</f>
        <v/>
      </c>
      <c r="E102" s="16">
        <f>IF($A102="","",ROUND($D102,2)-ROUND($C102,2))</f>
        <v/>
      </c>
      <c r="F102" s="16">
        <f>IF($A102="","",ABS($E102))</f>
        <v/>
      </c>
      <c r="G102" s="16">
        <f>IF($A102="","",IF($B102=0,"eslesmedi",IF(ROUND($D102,2)=ROUND($C102,2),"eslesti",IF(ABS(ROUND($D102,2)-ROUND($C102,2))&lt;=toleransKurus,"tolerans_icinde","tutar_farki"))))</f>
        <v/>
      </c>
      <c r="H102" s="16">
        <f>IF($A102="","",IF($B102&gt;0,"BIRINCIL",IF(COUNTIF(tblAnahtarB[IkincilB],'ANAHTAR'!$D102)&gt;0,"IKINCIL","YOK")))</f>
        <v/>
      </c>
      <c r="I102" s="16">
        <f>IF($A102="","",'ANAHTAR'!$F102)</f>
        <v/>
      </c>
      <c r="J102" s="16">
        <f>IF(OR($A102="",$D102=0),0,$F102/ABS($D102))</f>
        <v/>
      </c>
      <c r="K102" s="16">
        <f>IF($A102="","",ROUND($D102,2))</f>
        <v/>
      </c>
      <c r="L102" s="16">
        <f>IF($A102="","",ROUND($C102,2))</f>
        <v/>
      </c>
      <c r="M102" s="16">
        <f>IF($A102="","",IF($F102&lt;=toleransKurus,1,0))</f>
        <v/>
      </c>
      <c r="N102" s="16">
        <f>IF($A102="","",IF($F102&gt;cbb_esikFark,1,0))</f>
        <v/>
      </c>
      <c r="O102" s="16">
        <f>IF($A102="","",IF($G102="eslesti",$D102,0))</f>
        <v/>
      </c>
      <c r="P102" s="16">
        <f>IF($A102="","",$B102+$M102+$N102)</f>
        <v/>
      </c>
    </row>
    <row r="103">
      <c r="A103" s="16">
        <f>IF('ANAHTAR'!$B103="","",'ANAHTAR'!$B103)</f>
        <v/>
      </c>
      <c r="B103" s="16">
        <f>IF($A103="","",COUNTIF(tblAnahtarB[NormB],$A103))</f>
        <v/>
      </c>
      <c r="C103" s="16">
        <f>IF($A103="","",SUMIF(tblAnahtarB[NormB],$A103,tblVeriB[BeyanTutar]))</f>
        <v/>
      </c>
      <c r="D103" s="16">
        <f>IF($A103="","",SUMIF(tblAnahtarA[Norm],$A103,tblVeriA[Tutar]))</f>
        <v/>
      </c>
      <c r="E103" s="16">
        <f>IF($A103="","",ROUND($D103,2)-ROUND($C103,2))</f>
        <v/>
      </c>
      <c r="F103" s="16">
        <f>IF($A103="","",ABS($E103))</f>
        <v/>
      </c>
      <c r="G103" s="16">
        <f>IF($A103="","",IF($B103=0,"eslesmedi",IF(ROUND($D103,2)=ROUND($C103,2),"eslesti",IF(ABS(ROUND($D103,2)-ROUND($C103,2))&lt;=toleransKurus,"tolerans_icinde","tutar_farki"))))</f>
        <v/>
      </c>
      <c r="H103" s="16">
        <f>IF($A103="","",IF($B103&gt;0,"BIRINCIL",IF(COUNTIF(tblAnahtarB[IkincilB],'ANAHTAR'!$D103)&gt;0,"IKINCIL","YOK")))</f>
        <v/>
      </c>
      <c r="I103" s="16">
        <f>IF($A103="","",'ANAHTAR'!$F103)</f>
        <v/>
      </c>
      <c r="J103" s="16">
        <f>IF(OR($A103="",$D103=0),0,$F103/ABS($D103))</f>
        <v/>
      </c>
      <c r="K103" s="16">
        <f>IF($A103="","",ROUND($D103,2))</f>
        <v/>
      </c>
      <c r="L103" s="16">
        <f>IF($A103="","",ROUND($C103,2))</f>
        <v/>
      </c>
      <c r="M103" s="16">
        <f>IF($A103="","",IF($F103&lt;=toleransKurus,1,0))</f>
        <v/>
      </c>
      <c r="N103" s="16">
        <f>IF($A103="","",IF($F103&gt;cbb_esikFark,1,0))</f>
        <v/>
      </c>
      <c r="O103" s="16">
        <f>IF($A103="","",IF($G103="eslesti",$D103,0))</f>
        <v/>
      </c>
      <c r="P103" s="16">
        <f>IF($A103="","",$B103+$M103+$N103)</f>
        <v/>
      </c>
    </row>
    <row r="104">
      <c r="A104" s="16">
        <f>IF('ANAHTAR'!$B104="","",'ANAHTAR'!$B104)</f>
        <v/>
      </c>
      <c r="B104" s="16">
        <f>IF($A104="","",COUNTIF(tblAnahtarB[NormB],$A104))</f>
        <v/>
      </c>
      <c r="C104" s="16">
        <f>IF($A104="","",SUMIF(tblAnahtarB[NormB],$A104,tblVeriB[BeyanTutar]))</f>
        <v/>
      </c>
      <c r="D104" s="16">
        <f>IF($A104="","",SUMIF(tblAnahtarA[Norm],$A104,tblVeriA[Tutar]))</f>
        <v/>
      </c>
      <c r="E104" s="16">
        <f>IF($A104="","",ROUND($D104,2)-ROUND($C104,2))</f>
        <v/>
      </c>
      <c r="F104" s="16">
        <f>IF($A104="","",ABS($E104))</f>
        <v/>
      </c>
      <c r="G104" s="16">
        <f>IF($A104="","",IF($B104=0,"eslesmedi",IF(ROUND($D104,2)=ROUND($C104,2),"eslesti",IF(ABS(ROUND($D104,2)-ROUND($C104,2))&lt;=toleransKurus,"tolerans_icinde","tutar_farki"))))</f>
        <v/>
      </c>
      <c r="H104" s="16">
        <f>IF($A104="","",IF($B104&gt;0,"BIRINCIL",IF(COUNTIF(tblAnahtarB[IkincilB],'ANAHTAR'!$D104)&gt;0,"IKINCIL","YOK")))</f>
        <v/>
      </c>
      <c r="I104" s="16">
        <f>IF($A104="","",'ANAHTAR'!$F104)</f>
        <v/>
      </c>
      <c r="J104" s="16">
        <f>IF(OR($A104="",$D104=0),0,$F104/ABS($D104))</f>
        <v/>
      </c>
      <c r="K104" s="16">
        <f>IF($A104="","",ROUND($D104,2))</f>
        <v/>
      </c>
      <c r="L104" s="16">
        <f>IF($A104="","",ROUND($C104,2))</f>
        <v/>
      </c>
      <c r="M104" s="16">
        <f>IF($A104="","",IF($F104&lt;=toleransKurus,1,0))</f>
        <v/>
      </c>
      <c r="N104" s="16">
        <f>IF($A104="","",IF($F104&gt;cbb_esikFark,1,0))</f>
        <v/>
      </c>
      <c r="O104" s="16">
        <f>IF($A104="","",IF($G104="eslesti",$D104,0))</f>
        <v/>
      </c>
      <c r="P104" s="16">
        <f>IF($A104="","",$B104+$M104+$N104)</f>
        <v/>
      </c>
    </row>
    <row r="105">
      <c r="A105" s="16">
        <f>IF('ANAHTAR'!$B105="","",'ANAHTAR'!$B105)</f>
        <v/>
      </c>
      <c r="B105" s="16">
        <f>IF($A105="","",COUNTIF(tblAnahtarB[NormB],$A105))</f>
        <v/>
      </c>
      <c r="C105" s="16">
        <f>IF($A105="","",SUMIF(tblAnahtarB[NormB],$A105,tblVeriB[BeyanTutar]))</f>
        <v/>
      </c>
      <c r="D105" s="16">
        <f>IF($A105="","",SUMIF(tblAnahtarA[Norm],$A105,tblVeriA[Tutar]))</f>
        <v/>
      </c>
      <c r="E105" s="16">
        <f>IF($A105="","",ROUND($D105,2)-ROUND($C105,2))</f>
        <v/>
      </c>
      <c r="F105" s="16">
        <f>IF($A105="","",ABS($E105))</f>
        <v/>
      </c>
      <c r="G105" s="16">
        <f>IF($A105="","",IF($B105=0,"eslesmedi",IF(ROUND($D105,2)=ROUND($C105,2),"eslesti",IF(ABS(ROUND($D105,2)-ROUND($C105,2))&lt;=toleransKurus,"tolerans_icinde","tutar_farki"))))</f>
        <v/>
      </c>
      <c r="H105" s="16">
        <f>IF($A105="","",IF($B105&gt;0,"BIRINCIL",IF(COUNTIF(tblAnahtarB[IkincilB],'ANAHTAR'!$D105)&gt;0,"IKINCIL","YOK")))</f>
        <v/>
      </c>
      <c r="I105" s="16">
        <f>IF($A105="","",'ANAHTAR'!$F105)</f>
        <v/>
      </c>
      <c r="J105" s="16">
        <f>IF(OR($A105="",$D105=0),0,$F105/ABS($D105))</f>
        <v/>
      </c>
      <c r="K105" s="16">
        <f>IF($A105="","",ROUND($D105,2))</f>
        <v/>
      </c>
      <c r="L105" s="16">
        <f>IF($A105="","",ROUND($C105,2))</f>
        <v/>
      </c>
      <c r="M105" s="16">
        <f>IF($A105="","",IF($F105&lt;=toleransKurus,1,0))</f>
        <v/>
      </c>
      <c r="N105" s="16">
        <f>IF($A105="","",IF($F105&gt;cbb_esikFark,1,0))</f>
        <v/>
      </c>
      <c r="O105" s="16">
        <f>IF($A105="","",IF($G105="eslesti",$D105,0))</f>
        <v/>
      </c>
      <c r="P105" s="16">
        <f>IF($A105="","",$B105+$M105+$N105)</f>
        <v/>
      </c>
    </row>
    <row r="106">
      <c r="A106" s="16">
        <f>IF('ANAHTAR'!$B106="","",'ANAHTAR'!$B106)</f>
        <v/>
      </c>
      <c r="B106" s="16">
        <f>IF($A106="","",COUNTIF(tblAnahtarB[NormB],$A106))</f>
        <v/>
      </c>
      <c r="C106" s="16">
        <f>IF($A106="","",SUMIF(tblAnahtarB[NormB],$A106,tblVeriB[BeyanTutar]))</f>
        <v/>
      </c>
      <c r="D106" s="16">
        <f>IF($A106="","",SUMIF(tblAnahtarA[Norm],$A106,tblVeriA[Tutar]))</f>
        <v/>
      </c>
      <c r="E106" s="16">
        <f>IF($A106="","",ROUND($D106,2)-ROUND($C106,2))</f>
        <v/>
      </c>
      <c r="F106" s="16">
        <f>IF($A106="","",ABS($E106))</f>
        <v/>
      </c>
      <c r="G106" s="16">
        <f>IF($A106="","",IF($B106=0,"eslesmedi",IF(ROUND($D106,2)=ROUND($C106,2),"eslesti",IF(ABS(ROUND($D106,2)-ROUND($C106,2))&lt;=toleransKurus,"tolerans_icinde","tutar_farki"))))</f>
        <v/>
      </c>
      <c r="H106" s="16">
        <f>IF($A106="","",IF($B106&gt;0,"BIRINCIL",IF(COUNTIF(tblAnahtarB[IkincilB],'ANAHTAR'!$D106)&gt;0,"IKINCIL","YOK")))</f>
        <v/>
      </c>
      <c r="I106" s="16">
        <f>IF($A106="","",'ANAHTAR'!$F106)</f>
        <v/>
      </c>
      <c r="J106" s="16">
        <f>IF(OR($A106="",$D106=0),0,$F106/ABS($D106))</f>
        <v/>
      </c>
      <c r="K106" s="16">
        <f>IF($A106="","",ROUND($D106,2))</f>
        <v/>
      </c>
      <c r="L106" s="16">
        <f>IF($A106="","",ROUND($C106,2))</f>
        <v/>
      </c>
      <c r="M106" s="16">
        <f>IF($A106="","",IF($F106&lt;=toleransKurus,1,0))</f>
        <v/>
      </c>
      <c r="N106" s="16">
        <f>IF($A106="","",IF($F106&gt;cbb_esikFark,1,0))</f>
        <v/>
      </c>
      <c r="O106" s="16">
        <f>IF($A106="","",IF($G106="eslesti",$D106,0))</f>
        <v/>
      </c>
      <c r="P106" s="16">
        <f>IF($A106="","",$B106+$M106+$N106)</f>
        <v/>
      </c>
    </row>
    <row r="107">
      <c r="A107" s="16">
        <f>IF('ANAHTAR'!$B107="","",'ANAHTAR'!$B107)</f>
        <v/>
      </c>
      <c r="B107" s="16">
        <f>IF($A107="","",COUNTIF(tblAnahtarB[NormB],$A107))</f>
        <v/>
      </c>
      <c r="C107" s="16">
        <f>IF($A107="","",SUMIF(tblAnahtarB[NormB],$A107,tblVeriB[BeyanTutar]))</f>
        <v/>
      </c>
      <c r="D107" s="16">
        <f>IF($A107="","",SUMIF(tblAnahtarA[Norm],$A107,tblVeriA[Tutar]))</f>
        <v/>
      </c>
      <c r="E107" s="16">
        <f>IF($A107="","",ROUND($D107,2)-ROUND($C107,2))</f>
        <v/>
      </c>
      <c r="F107" s="16">
        <f>IF($A107="","",ABS($E107))</f>
        <v/>
      </c>
      <c r="G107" s="16">
        <f>IF($A107="","",IF($B107=0,"eslesmedi",IF(ROUND($D107,2)=ROUND($C107,2),"eslesti",IF(ABS(ROUND($D107,2)-ROUND($C107,2))&lt;=toleransKurus,"tolerans_icinde","tutar_farki"))))</f>
        <v/>
      </c>
      <c r="H107" s="16">
        <f>IF($A107="","",IF($B107&gt;0,"BIRINCIL",IF(COUNTIF(tblAnahtarB[IkincilB],'ANAHTAR'!$D107)&gt;0,"IKINCIL","YOK")))</f>
        <v/>
      </c>
      <c r="I107" s="16">
        <f>IF($A107="","",'ANAHTAR'!$F107)</f>
        <v/>
      </c>
      <c r="J107" s="16">
        <f>IF(OR($A107="",$D107=0),0,$F107/ABS($D107))</f>
        <v/>
      </c>
      <c r="K107" s="16">
        <f>IF($A107="","",ROUND($D107,2))</f>
        <v/>
      </c>
      <c r="L107" s="16">
        <f>IF($A107="","",ROUND($C107,2))</f>
        <v/>
      </c>
      <c r="M107" s="16">
        <f>IF($A107="","",IF($F107&lt;=toleransKurus,1,0))</f>
        <v/>
      </c>
      <c r="N107" s="16">
        <f>IF($A107="","",IF($F107&gt;cbb_esikFark,1,0))</f>
        <v/>
      </c>
      <c r="O107" s="16">
        <f>IF($A107="","",IF($G107="eslesti",$D107,0))</f>
        <v/>
      </c>
      <c r="P107" s="16">
        <f>IF($A107="","",$B107+$M107+$N107)</f>
        <v/>
      </c>
    </row>
    <row r="108">
      <c r="A108" s="16">
        <f>IF('ANAHTAR'!$B108="","",'ANAHTAR'!$B108)</f>
        <v/>
      </c>
      <c r="B108" s="16">
        <f>IF($A108="","",COUNTIF(tblAnahtarB[NormB],$A108))</f>
        <v/>
      </c>
      <c r="C108" s="16">
        <f>IF($A108="","",SUMIF(tblAnahtarB[NormB],$A108,tblVeriB[BeyanTutar]))</f>
        <v/>
      </c>
      <c r="D108" s="16">
        <f>IF($A108="","",SUMIF(tblAnahtarA[Norm],$A108,tblVeriA[Tutar]))</f>
        <v/>
      </c>
      <c r="E108" s="16">
        <f>IF($A108="","",ROUND($D108,2)-ROUND($C108,2))</f>
        <v/>
      </c>
      <c r="F108" s="16">
        <f>IF($A108="","",ABS($E108))</f>
        <v/>
      </c>
      <c r="G108" s="16">
        <f>IF($A108="","",IF($B108=0,"eslesmedi",IF(ROUND($D108,2)=ROUND($C108,2),"eslesti",IF(ABS(ROUND($D108,2)-ROUND($C108,2))&lt;=toleransKurus,"tolerans_icinde","tutar_farki"))))</f>
        <v/>
      </c>
      <c r="H108" s="16">
        <f>IF($A108="","",IF($B108&gt;0,"BIRINCIL",IF(COUNTIF(tblAnahtarB[IkincilB],'ANAHTAR'!$D108)&gt;0,"IKINCIL","YOK")))</f>
        <v/>
      </c>
      <c r="I108" s="16">
        <f>IF($A108="","",'ANAHTAR'!$F108)</f>
        <v/>
      </c>
      <c r="J108" s="16">
        <f>IF(OR($A108="",$D108=0),0,$F108/ABS($D108))</f>
        <v/>
      </c>
      <c r="K108" s="16">
        <f>IF($A108="","",ROUND($D108,2))</f>
        <v/>
      </c>
      <c r="L108" s="16">
        <f>IF($A108="","",ROUND($C108,2))</f>
        <v/>
      </c>
      <c r="M108" s="16">
        <f>IF($A108="","",IF($F108&lt;=toleransKurus,1,0))</f>
        <v/>
      </c>
      <c r="N108" s="16">
        <f>IF($A108="","",IF($F108&gt;cbb_esikFark,1,0))</f>
        <v/>
      </c>
      <c r="O108" s="16">
        <f>IF($A108="","",IF($G108="eslesti",$D108,0))</f>
        <v/>
      </c>
      <c r="P108" s="16">
        <f>IF($A108="","",$B108+$M108+$N108)</f>
        <v/>
      </c>
    </row>
    <row r="109">
      <c r="A109" s="16">
        <f>IF('ANAHTAR'!$B109="","",'ANAHTAR'!$B109)</f>
        <v/>
      </c>
      <c r="B109" s="16">
        <f>IF($A109="","",COUNTIF(tblAnahtarB[NormB],$A109))</f>
        <v/>
      </c>
      <c r="C109" s="16">
        <f>IF($A109="","",SUMIF(tblAnahtarB[NormB],$A109,tblVeriB[BeyanTutar]))</f>
        <v/>
      </c>
      <c r="D109" s="16">
        <f>IF($A109="","",SUMIF(tblAnahtarA[Norm],$A109,tblVeriA[Tutar]))</f>
        <v/>
      </c>
      <c r="E109" s="16">
        <f>IF($A109="","",ROUND($D109,2)-ROUND($C109,2))</f>
        <v/>
      </c>
      <c r="F109" s="16">
        <f>IF($A109="","",ABS($E109))</f>
        <v/>
      </c>
      <c r="G109" s="16">
        <f>IF($A109="","",IF($B109=0,"eslesmedi",IF(ROUND($D109,2)=ROUND($C109,2),"eslesti",IF(ABS(ROUND($D109,2)-ROUND($C109,2))&lt;=toleransKurus,"tolerans_icinde","tutar_farki"))))</f>
        <v/>
      </c>
      <c r="H109" s="16">
        <f>IF($A109="","",IF($B109&gt;0,"BIRINCIL",IF(COUNTIF(tblAnahtarB[IkincilB],'ANAHTAR'!$D109)&gt;0,"IKINCIL","YOK")))</f>
        <v/>
      </c>
      <c r="I109" s="16">
        <f>IF($A109="","",'ANAHTAR'!$F109)</f>
        <v/>
      </c>
      <c r="J109" s="16">
        <f>IF(OR($A109="",$D109=0),0,$F109/ABS($D109))</f>
        <v/>
      </c>
      <c r="K109" s="16">
        <f>IF($A109="","",ROUND($D109,2))</f>
        <v/>
      </c>
      <c r="L109" s="16">
        <f>IF($A109="","",ROUND($C109,2))</f>
        <v/>
      </c>
      <c r="M109" s="16">
        <f>IF($A109="","",IF($F109&lt;=toleransKurus,1,0))</f>
        <v/>
      </c>
      <c r="N109" s="16">
        <f>IF($A109="","",IF($F109&gt;cbb_esikFark,1,0))</f>
        <v/>
      </c>
      <c r="O109" s="16">
        <f>IF($A109="","",IF($G109="eslesti",$D109,0))</f>
        <v/>
      </c>
      <c r="P109" s="16">
        <f>IF($A109="","",$B109+$M109+$N109)</f>
        <v/>
      </c>
    </row>
    <row r="110">
      <c r="A110" s="16">
        <f>IF('ANAHTAR'!$B110="","",'ANAHTAR'!$B110)</f>
        <v/>
      </c>
      <c r="B110" s="16">
        <f>IF($A110="","",COUNTIF(tblAnahtarB[NormB],$A110))</f>
        <v/>
      </c>
      <c r="C110" s="16">
        <f>IF($A110="","",SUMIF(tblAnahtarB[NormB],$A110,tblVeriB[BeyanTutar]))</f>
        <v/>
      </c>
      <c r="D110" s="16">
        <f>IF($A110="","",SUMIF(tblAnahtarA[Norm],$A110,tblVeriA[Tutar]))</f>
        <v/>
      </c>
      <c r="E110" s="16">
        <f>IF($A110="","",ROUND($D110,2)-ROUND($C110,2))</f>
        <v/>
      </c>
      <c r="F110" s="16">
        <f>IF($A110="","",ABS($E110))</f>
        <v/>
      </c>
      <c r="G110" s="16">
        <f>IF($A110="","",IF($B110=0,"eslesmedi",IF(ROUND($D110,2)=ROUND($C110,2),"eslesti",IF(ABS(ROUND($D110,2)-ROUND($C110,2))&lt;=toleransKurus,"tolerans_icinde","tutar_farki"))))</f>
        <v/>
      </c>
      <c r="H110" s="16">
        <f>IF($A110="","",IF($B110&gt;0,"BIRINCIL",IF(COUNTIF(tblAnahtarB[IkincilB],'ANAHTAR'!$D110)&gt;0,"IKINCIL","YOK")))</f>
        <v/>
      </c>
      <c r="I110" s="16">
        <f>IF($A110="","",'ANAHTAR'!$F110)</f>
        <v/>
      </c>
      <c r="J110" s="16">
        <f>IF(OR($A110="",$D110=0),0,$F110/ABS($D110))</f>
        <v/>
      </c>
      <c r="K110" s="16">
        <f>IF($A110="","",ROUND($D110,2))</f>
        <v/>
      </c>
      <c r="L110" s="16">
        <f>IF($A110="","",ROUND($C110,2))</f>
        <v/>
      </c>
      <c r="M110" s="16">
        <f>IF($A110="","",IF($F110&lt;=toleransKurus,1,0))</f>
        <v/>
      </c>
      <c r="N110" s="16">
        <f>IF($A110="","",IF($F110&gt;cbb_esikFark,1,0))</f>
        <v/>
      </c>
      <c r="O110" s="16">
        <f>IF($A110="","",IF($G110="eslesti",$D110,0))</f>
        <v/>
      </c>
      <c r="P110" s="16">
        <f>IF($A110="","",$B110+$M110+$N110)</f>
        <v/>
      </c>
    </row>
    <row r="111">
      <c r="A111" s="16">
        <f>IF('ANAHTAR'!$B111="","",'ANAHTAR'!$B111)</f>
        <v/>
      </c>
      <c r="B111" s="16">
        <f>IF($A111="","",COUNTIF(tblAnahtarB[NormB],$A111))</f>
        <v/>
      </c>
      <c r="C111" s="16">
        <f>IF($A111="","",SUMIF(tblAnahtarB[NormB],$A111,tblVeriB[BeyanTutar]))</f>
        <v/>
      </c>
      <c r="D111" s="16">
        <f>IF($A111="","",SUMIF(tblAnahtarA[Norm],$A111,tblVeriA[Tutar]))</f>
        <v/>
      </c>
      <c r="E111" s="16">
        <f>IF($A111="","",ROUND($D111,2)-ROUND($C111,2))</f>
        <v/>
      </c>
      <c r="F111" s="16">
        <f>IF($A111="","",ABS($E111))</f>
        <v/>
      </c>
      <c r="G111" s="16">
        <f>IF($A111="","",IF($B111=0,"eslesmedi",IF(ROUND($D111,2)=ROUND($C111,2),"eslesti",IF(ABS(ROUND($D111,2)-ROUND($C111,2))&lt;=toleransKurus,"tolerans_icinde","tutar_farki"))))</f>
        <v/>
      </c>
      <c r="H111" s="16">
        <f>IF($A111="","",IF($B111&gt;0,"BIRINCIL",IF(COUNTIF(tblAnahtarB[IkincilB],'ANAHTAR'!$D111)&gt;0,"IKINCIL","YOK")))</f>
        <v/>
      </c>
      <c r="I111" s="16">
        <f>IF($A111="","",'ANAHTAR'!$F111)</f>
        <v/>
      </c>
      <c r="J111" s="16">
        <f>IF(OR($A111="",$D111=0),0,$F111/ABS($D111))</f>
        <v/>
      </c>
      <c r="K111" s="16">
        <f>IF($A111="","",ROUND($D111,2))</f>
        <v/>
      </c>
      <c r="L111" s="16">
        <f>IF($A111="","",ROUND($C111,2))</f>
        <v/>
      </c>
      <c r="M111" s="16">
        <f>IF($A111="","",IF($F111&lt;=toleransKurus,1,0))</f>
        <v/>
      </c>
      <c r="N111" s="16">
        <f>IF($A111="","",IF($F111&gt;cbb_esikFark,1,0))</f>
        <v/>
      </c>
      <c r="O111" s="16">
        <f>IF($A111="","",IF($G111="eslesti",$D111,0))</f>
        <v/>
      </c>
      <c r="P111" s="16">
        <f>IF($A111="","",$B111+$M111+$N111)</f>
        <v/>
      </c>
    </row>
    <row r="112">
      <c r="A112" s="16">
        <f>IF('ANAHTAR'!$B112="","",'ANAHTAR'!$B112)</f>
        <v/>
      </c>
      <c r="B112" s="16">
        <f>IF($A112="","",COUNTIF(tblAnahtarB[NormB],$A112))</f>
        <v/>
      </c>
      <c r="C112" s="16">
        <f>IF($A112="","",SUMIF(tblAnahtarB[NormB],$A112,tblVeriB[BeyanTutar]))</f>
        <v/>
      </c>
      <c r="D112" s="16">
        <f>IF($A112="","",SUMIF(tblAnahtarA[Norm],$A112,tblVeriA[Tutar]))</f>
        <v/>
      </c>
      <c r="E112" s="16">
        <f>IF($A112="","",ROUND($D112,2)-ROUND($C112,2))</f>
        <v/>
      </c>
      <c r="F112" s="16">
        <f>IF($A112="","",ABS($E112))</f>
        <v/>
      </c>
      <c r="G112" s="16">
        <f>IF($A112="","",IF($B112=0,"eslesmedi",IF(ROUND($D112,2)=ROUND($C112,2),"eslesti",IF(ABS(ROUND($D112,2)-ROUND($C112,2))&lt;=toleransKurus,"tolerans_icinde","tutar_farki"))))</f>
        <v/>
      </c>
      <c r="H112" s="16">
        <f>IF($A112="","",IF($B112&gt;0,"BIRINCIL",IF(COUNTIF(tblAnahtarB[IkincilB],'ANAHTAR'!$D112)&gt;0,"IKINCIL","YOK")))</f>
        <v/>
      </c>
      <c r="I112" s="16">
        <f>IF($A112="","",'ANAHTAR'!$F112)</f>
        <v/>
      </c>
      <c r="J112" s="16">
        <f>IF(OR($A112="",$D112=0),0,$F112/ABS($D112))</f>
        <v/>
      </c>
      <c r="K112" s="16">
        <f>IF($A112="","",ROUND($D112,2))</f>
        <v/>
      </c>
      <c r="L112" s="16">
        <f>IF($A112="","",ROUND($C112,2))</f>
        <v/>
      </c>
      <c r="M112" s="16">
        <f>IF($A112="","",IF($F112&lt;=toleransKurus,1,0))</f>
        <v/>
      </c>
      <c r="N112" s="16">
        <f>IF($A112="","",IF($F112&gt;cbb_esikFark,1,0))</f>
        <v/>
      </c>
      <c r="O112" s="16">
        <f>IF($A112="","",IF($G112="eslesti",$D112,0))</f>
        <v/>
      </c>
      <c r="P112" s="16">
        <f>IF($A112="","",$B112+$M112+$N112)</f>
        <v/>
      </c>
    </row>
    <row r="113">
      <c r="A113" s="16">
        <f>IF('ANAHTAR'!$B113="","",'ANAHTAR'!$B113)</f>
        <v/>
      </c>
      <c r="B113" s="16">
        <f>IF($A113="","",COUNTIF(tblAnahtarB[NormB],$A113))</f>
        <v/>
      </c>
      <c r="C113" s="16">
        <f>IF($A113="","",SUMIF(tblAnahtarB[NormB],$A113,tblVeriB[BeyanTutar]))</f>
        <v/>
      </c>
      <c r="D113" s="16">
        <f>IF($A113="","",SUMIF(tblAnahtarA[Norm],$A113,tblVeriA[Tutar]))</f>
        <v/>
      </c>
      <c r="E113" s="16">
        <f>IF($A113="","",ROUND($D113,2)-ROUND($C113,2))</f>
        <v/>
      </c>
      <c r="F113" s="16">
        <f>IF($A113="","",ABS($E113))</f>
        <v/>
      </c>
      <c r="G113" s="16">
        <f>IF($A113="","",IF($B113=0,"eslesmedi",IF(ROUND($D113,2)=ROUND($C113,2),"eslesti",IF(ABS(ROUND($D113,2)-ROUND($C113,2))&lt;=toleransKurus,"tolerans_icinde","tutar_farki"))))</f>
        <v/>
      </c>
      <c r="H113" s="16">
        <f>IF($A113="","",IF($B113&gt;0,"BIRINCIL",IF(COUNTIF(tblAnahtarB[IkincilB],'ANAHTAR'!$D113)&gt;0,"IKINCIL","YOK")))</f>
        <v/>
      </c>
      <c r="I113" s="16">
        <f>IF($A113="","",'ANAHTAR'!$F113)</f>
        <v/>
      </c>
      <c r="J113" s="16">
        <f>IF(OR($A113="",$D113=0),0,$F113/ABS($D113))</f>
        <v/>
      </c>
      <c r="K113" s="16">
        <f>IF($A113="","",ROUND($D113,2))</f>
        <v/>
      </c>
      <c r="L113" s="16">
        <f>IF($A113="","",ROUND($C113,2))</f>
        <v/>
      </c>
      <c r="M113" s="16">
        <f>IF($A113="","",IF($F113&lt;=toleransKurus,1,0))</f>
        <v/>
      </c>
      <c r="N113" s="16">
        <f>IF($A113="","",IF($F113&gt;cbb_esikFark,1,0))</f>
        <v/>
      </c>
      <c r="O113" s="16">
        <f>IF($A113="","",IF($G113="eslesti",$D113,0))</f>
        <v/>
      </c>
      <c r="P113" s="16">
        <f>IF($A113="","",$B113+$M113+$N113)</f>
        <v/>
      </c>
    </row>
    <row r="114">
      <c r="A114" s="16">
        <f>IF('ANAHTAR'!$B114="","",'ANAHTAR'!$B114)</f>
        <v/>
      </c>
      <c r="B114" s="16">
        <f>IF($A114="","",COUNTIF(tblAnahtarB[NormB],$A114))</f>
        <v/>
      </c>
      <c r="C114" s="16">
        <f>IF($A114="","",SUMIF(tblAnahtarB[NormB],$A114,tblVeriB[BeyanTutar]))</f>
        <v/>
      </c>
      <c r="D114" s="16">
        <f>IF($A114="","",SUMIF(tblAnahtarA[Norm],$A114,tblVeriA[Tutar]))</f>
        <v/>
      </c>
      <c r="E114" s="16">
        <f>IF($A114="","",ROUND($D114,2)-ROUND($C114,2))</f>
        <v/>
      </c>
      <c r="F114" s="16">
        <f>IF($A114="","",ABS($E114))</f>
        <v/>
      </c>
      <c r="G114" s="16">
        <f>IF($A114="","",IF($B114=0,"eslesmedi",IF(ROUND($D114,2)=ROUND($C114,2),"eslesti",IF(ABS(ROUND($D114,2)-ROUND($C114,2))&lt;=toleransKurus,"tolerans_icinde","tutar_farki"))))</f>
        <v/>
      </c>
      <c r="H114" s="16">
        <f>IF($A114="","",IF($B114&gt;0,"BIRINCIL",IF(COUNTIF(tblAnahtarB[IkincilB],'ANAHTAR'!$D114)&gt;0,"IKINCIL","YOK")))</f>
        <v/>
      </c>
      <c r="I114" s="16">
        <f>IF($A114="","",'ANAHTAR'!$F114)</f>
        <v/>
      </c>
      <c r="J114" s="16">
        <f>IF(OR($A114="",$D114=0),0,$F114/ABS($D114))</f>
        <v/>
      </c>
      <c r="K114" s="16">
        <f>IF($A114="","",ROUND($D114,2))</f>
        <v/>
      </c>
      <c r="L114" s="16">
        <f>IF($A114="","",ROUND($C114,2))</f>
        <v/>
      </c>
      <c r="M114" s="16">
        <f>IF($A114="","",IF($F114&lt;=toleransKurus,1,0))</f>
        <v/>
      </c>
      <c r="N114" s="16">
        <f>IF($A114="","",IF($F114&gt;cbb_esikFark,1,0))</f>
        <v/>
      </c>
      <c r="O114" s="16">
        <f>IF($A114="","",IF($G114="eslesti",$D114,0))</f>
        <v/>
      </c>
      <c r="P114" s="16">
        <f>IF($A114="","",$B114+$M114+$N114)</f>
        <v/>
      </c>
    </row>
    <row r="115">
      <c r="A115" s="16">
        <f>IF('ANAHTAR'!$B115="","",'ANAHTAR'!$B115)</f>
        <v/>
      </c>
      <c r="B115" s="16">
        <f>IF($A115="","",COUNTIF(tblAnahtarB[NormB],$A115))</f>
        <v/>
      </c>
      <c r="C115" s="16">
        <f>IF($A115="","",SUMIF(tblAnahtarB[NormB],$A115,tblVeriB[BeyanTutar]))</f>
        <v/>
      </c>
      <c r="D115" s="16">
        <f>IF($A115="","",SUMIF(tblAnahtarA[Norm],$A115,tblVeriA[Tutar]))</f>
        <v/>
      </c>
      <c r="E115" s="16">
        <f>IF($A115="","",ROUND($D115,2)-ROUND($C115,2))</f>
        <v/>
      </c>
      <c r="F115" s="16">
        <f>IF($A115="","",ABS($E115))</f>
        <v/>
      </c>
      <c r="G115" s="16">
        <f>IF($A115="","",IF($B115=0,"eslesmedi",IF(ROUND($D115,2)=ROUND($C115,2),"eslesti",IF(ABS(ROUND($D115,2)-ROUND($C115,2))&lt;=toleransKurus,"tolerans_icinde","tutar_farki"))))</f>
        <v/>
      </c>
      <c r="H115" s="16">
        <f>IF($A115="","",IF($B115&gt;0,"BIRINCIL",IF(COUNTIF(tblAnahtarB[IkincilB],'ANAHTAR'!$D115)&gt;0,"IKINCIL","YOK")))</f>
        <v/>
      </c>
      <c r="I115" s="16">
        <f>IF($A115="","",'ANAHTAR'!$F115)</f>
        <v/>
      </c>
      <c r="J115" s="16">
        <f>IF(OR($A115="",$D115=0),0,$F115/ABS($D115))</f>
        <v/>
      </c>
      <c r="K115" s="16">
        <f>IF($A115="","",ROUND($D115,2))</f>
        <v/>
      </c>
      <c r="L115" s="16">
        <f>IF($A115="","",ROUND($C115,2))</f>
        <v/>
      </c>
      <c r="M115" s="16">
        <f>IF($A115="","",IF($F115&lt;=toleransKurus,1,0))</f>
        <v/>
      </c>
      <c r="N115" s="16">
        <f>IF($A115="","",IF($F115&gt;cbb_esikFark,1,0))</f>
        <v/>
      </c>
      <c r="O115" s="16">
        <f>IF($A115="","",IF($G115="eslesti",$D115,0))</f>
        <v/>
      </c>
      <c r="P115" s="16">
        <f>IF($A115="","",$B115+$M115+$N115)</f>
        <v/>
      </c>
    </row>
    <row r="116">
      <c r="A116" s="16">
        <f>IF('ANAHTAR'!$B116="","",'ANAHTAR'!$B116)</f>
        <v/>
      </c>
      <c r="B116" s="16">
        <f>IF($A116="","",COUNTIF(tblAnahtarB[NormB],$A116))</f>
        <v/>
      </c>
      <c r="C116" s="16">
        <f>IF($A116="","",SUMIF(tblAnahtarB[NormB],$A116,tblVeriB[BeyanTutar]))</f>
        <v/>
      </c>
      <c r="D116" s="16">
        <f>IF($A116="","",SUMIF(tblAnahtarA[Norm],$A116,tblVeriA[Tutar]))</f>
        <v/>
      </c>
      <c r="E116" s="16">
        <f>IF($A116="","",ROUND($D116,2)-ROUND($C116,2))</f>
        <v/>
      </c>
      <c r="F116" s="16">
        <f>IF($A116="","",ABS($E116))</f>
        <v/>
      </c>
      <c r="G116" s="16">
        <f>IF($A116="","",IF($B116=0,"eslesmedi",IF(ROUND($D116,2)=ROUND($C116,2),"eslesti",IF(ABS(ROUND($D116,2)-ROUND($C116,2))&lt;=toleransKurus,"tolerans_icinde","tutar_farki"))))</f>
        <v/>
      </c>
      <c r="H116" s="16">
        <f>IF($A116="","",IF($B116&gt;0,"BIRINCIL",IF(COUNTIF(tblAnahtarB[IkincilB],'ANAHTAR'!$D116)&gt;0,"IKINCIL","YOK")))</f>
        <v/>
      </c>
      <c r="I116" s="16">
        <f>IF($A116="","",'ANAHTAR'!$F116)</f>
        <v/>
      </c>
      <c r="J116" s="16">
        <f>IF(OR($A116="",$D116=0),0,$F116/ABS($D116))</f>
        <v/>
      </c>
      <c r="K116" s="16">
        <f>IF($A116="","",ROUND($D116,2))</f>
        <v/>
      </c>
      <c r="L116" s="16">
        <f>IF($A116="","",ROUND($C116,2))</f>
        <v/>
      </c>
      <c r="M116" s="16">
        <f>IF($A116="","",IF($F116&lt;=toleransKurus,1,0))</f>
        <v/>
      </c>
      <c r="N116" s="16">
        <f>IF($A116="","",IF($F116&gt;cbb_esikFark,1,0))</f>
        <v/>
      </c>
      <c r="O116" s="16">
        <f>IF($A116="","",IF($G116="eslesti",$D116,0))</f>
        <v/>
      </c>
      <c r="P116" s="16">
        <f>IF($A116="","",$B116+$M116+$N116)</f>
        <v/>
      </c>
    </row>
    <row r="117">
      <c r="A117" s="16">
        <f>IF('ANAHTAR'!$B117="","",'ANAHTAR'!$B117)</f>
        <v/>
      </c>
      <c r="B117" s="16">
        <f>IF($A117="","",COUNTIF(tblAnahtarB[NormB],$A117))</f>
        <v/>
      </c>
      <c r="C117" s="16">
        <f>IF($A117="","",SUMIF(tblAnahtarB[NormB],$A117,tblVeriB[BeyanTutar]))</f>
        <v/>
      </c>
      <c r="D117" s="16">
        <f>IF($A117="","",SUMIF(tblAnahtarA[Norm],$A117,tblVeriA[Tutar]))</f>
        <v/>
      </c>
      <c r="E117" s="16">
        <f>IF($A117="","",ROUND($D117,2)-ROUND($C117,2))</f>
        <v/>
      </c>
      <c r="F117" s="16">
        <f>IF($A117="","",ABS($E117))</f>
        <v/>
      </c>
      <c r="G117" s="16">
        <f>IF($A117="","",IF($B117=0,"eslesmedi",IF(ROUND($D117,2)=ROUND($C117,2),"eslesti",IF(ABS(ROUND($D117,2)-ROUND($C117,2))&lt;=toleransKurus,"tolerans_icinde","tutar_farki"))))</f>
        <v/>
      </c>
      <c r="H117" s="16">
        <f>IF($A117="","",IF($B117&gt;0,"BIRINCIL",IF(COUNTIF(tblAnahtarB[IkincilB],'ANAHTAR'!$D117)&gt;0,"IKINCIL","YOK")))</f>
        <v/>
      </c>
      <c r="I117" s="16">
        <f>IF($A117="","",'ANAHTAR'!$F117)</f>
        <v/>
      </c>
      <c r="J117" s="16">
        <f>IF(OR($A117="",$D117=0),0,$F117/ABS($D117))</f>
        <v/>
      </c>
      <c r="K117" s="16">
        <f>IF($A117="","",ROUND($D117,2))</f>
        <v/>
      </c>
      <c r="L117" s="16">
        <f>IF($A117="","",ROUND($C117,2))</f>
        <v/>
      </c>
      <c r="M117" s="16">
        <f>IF($A117="","",IF($F117&lt;=toleransKurus,1,0))</f>
        <v/>
      </c>
      <c r="N117" s="16">
        <f>IF($A117="","",IF($F117&gt;cbb_esikFark,1,0))</f>
        <v/>
      </c>
      <c r="O117" s="16">
        <f>IF($A117="","",IF($G117="eslesti",$D117,0))</f>
        <v/>
      </c>
      <c r="P117" s="16">
        <f>IF($A117="","",$B117+$M117+$N117)</f>
        <v/>
      </c>
    </row>
    <row r="118">
      <c r="A118" s="16">
        <f>IF('ANAHTAR'!$B118="","",'ANAHTAR'!$B118)</f>
        <v/>
      </c>
      <c r="B118" s="16">
        <f>IF($A118="","",COUNTIF(tblAnahtarB[NormB],$A118))</f>
        <v/>
      </c>
      <c r="C118" s="16">
        <f>IF($A118="","",SUMIF(tblAnahtarB[NormB],$A118,tblVeriB[BeyanTutar]))</f>
        <v/>
      </c>
      <c r="D118" s="16">
        <f>IF($A118="","",SUMIF(tblAnahtarA[Norm],$A118,tblVeriA[Tutar]))</f>
        <v/>
      </c>
      <c r="E118" s="16">
        <f>IF($A118="","",ROUND($D118,2)-ROUND($C118,2))</f>
        <v/>
      </c>
      <c r="F118" s="16">
        <f>IF($A118="","",ABS($E118))</f>
        <v/>
      </c>
      <c r="G118" s="16">
        <f>IF($A118="","",IF($B118=0,"eslesmedi",IF(ROUND($D118,2)=ROUND($C118,2),"eslesti",IF(ABS(ROUND($D118,2)-ROUND($C118,2))&lt;=toleransKurus,"tolerans_icinde","tutar_farki"))))</f>
        <v/>
      </c>
      <c r="H118" s="16">
        <f>IF($A118="","",IF($B118&gt;0,"BIRINCIL",IF(COUNTIF(tblAnahtarB[IkincilB],'ANAHTAR'!$D118)&gt;0,"IKINCIL","YOK")))</f>
        <v/>
      </c>
      <c r="I118" s="16">
        <f>IF($A118="","",'ANAHTAR'!$F118)</f>
        <v/>
      </c>
      <c r="J118" s="16">
        <f>IF(OR($A118="",$D118=0),0,$F118/ABS($D118))</f>
        <v/>
      </c>
      <c r="K118" s="16">
        <f>IF($A118="","",ROUND($D118,2))</f>
        <v/>
      </c>
      <c r="L118" s="16">
        <f>IF($A118="","",ROUND($C118,2))</f>
        <v/>
      </c>
      <c r="M118" s="16">
        <f>IF($A118="","",IF($F118&lt;=toleransKurus,1,0))</f>
        <v/>
      </c>
      <c r="N118" s="16">
        <f>IF($A118="","",IF($F118&gt;cbb_esikFark,1,0))</f>
        <v/>
      </c>
      <c r="O118" s="16">
        <f>IF($A118="","",IF($G118="eslesti",$D118,0))</f>
        <v/>
      </c>
      <c r="P118" s="16">
        <f>IF($A118="","",$B118+$M118+$N118)</f>
        <v/>
      </c>
    </row>
    <row r="119">
      <c r="A119" s="16">
        <f>IF('ANAHTAR'!$B119="","",'ANAHTAR'!$B119)</f>
        <v/>
      </c>
      <c r="B119" s="16">
        <f>IF($A119="","",COUNTIF(tblAnahtarB[NormB],$A119))</f>
        <v/>
      </c>
      <c r="C119" s="16">
        <f>IF($A119="","",SUMIF(tblAnahtarB[NormB],$A119,tblVeriB[BeyanTutar]))</f>
        <v/>
      </c>
      <c r="D119" s="16">
        <f>IF($A119="","",SUMIF(tblAnahtarA[Norm],$A119,tblVeriA[Tutar]))</f>
        <v/>
      </c>
      <c r="E119" s="16">
        <f>IF($A119="","",ROUND($D119,2)-ROUND($C119,2))</f>
        <v/>
      </c>
      <c r="F119" s="16">
        <f>IF($A119="","",ABS($E119))</f>
        <v/>
      </c>
      <c r="G119" s="16">
        <f>IF($A119="","",IF($B119=0,"eslesmedi",IF(ROUND($D119,2)=ROUND($C119,2),"eslesti",IF(ABS(ROUND($D119,2)-ROUND($C119,2))&lt;=toleransKurus,"tolerans_icinde","tutar_farki"))))</f>
        <v/>
      </c>
      <c r="H119" s="16">
        <f>IF($A119="","",IF($B119&gt;0,"BIRINCIL",IF(COUNTIF(tblAnahtarB[IkincilB],'ANAHTAR'!$D119)&gt;0,"IKINCIL","YOK")))</f>
        <v/>
      </c>
      <c r="I119" s="16">
        <f>IF($A119="","",'ANAHTAR'!$F119)</f>
        <v/>
      </c>
      <c r="J119" s="16">
        <f>IF(OR($A119="",$D119=0),0,$F119/ABS($D119))</f>
        <v/>
      </c>
      <c r="K119" s="16">
        <f>IF($A119="","",ROUND($D119,2))</f>
        <v/>
      </c>
      <c r="L119" s="16">
        <f>IF($A119="","",ROUND($C119,2))</f>
        <v/>
      </c>
      <c r="M119" s="16">
        <f>IF($A119="","",IF($F119&lt;=toleransKurus,1,0))</f>
        <v/>
      </c>
      <c r="N119" s="16">
        <f>IF($A119="","",IF($F119&gt;cbb_esikFark,1,0))</f>
        <v/>
      </c>
      <c r="O119" s="16">
        <f>IF($A119="","",IF($G119="eslesti",$D119,0))</f>
        <v/>
      </c>
      <c r="P119" s="16">
        <f>IF($A119="","",$B119+$M119+$N119)</f>
        <v/>
      </c>
    </row>
    <row r="120">
      <c r="A120" s="16">
        <f>IF('ANAHTAR'!$B120="","",'ANAHTAR'!$B120)</f>
        <v/>
      </c>
      <c r="B120" s="16">
        <f>IF($A120="","",COUNTIF(tblAnahtarB[NormB],$A120))</f>
        <v/>
      </c>
      <c r="C120" s="16">
        <f>IF($A120="","",SUMIF(tblAnahtarB[NormB],$A120,tblVeriB[BeyanTutar]))</f>
        <v/>
      </c>
      <c r="D120" s="16">
        <f>IF($A120="","",SUMIF(tblAnahtarA[Norm],$A120,tblVeriA[Tutar]))</f>
        <v/>
      </c>
      <c r="E120" s="16">
        <f>IF($A120="","",ROUND($D120,2)-ROUND($C120,2))</f>
        <v/>
      </c>
      <c r="F120" s="16">
        <f>IF($A120="","",ABS($E120))</f>
        <v/>
      </c>
      <c r="G120" s="16">
        <f>IF($A120="","",IF($B120=0,"eslesmedi",IF(ROUND($D120,2)=ROUND($C120,2),"eslesti",IF(ABS(ROUND($D120,2)-ROUND($C120,2))&lt;=toleransKurus,"tolerans_icinde","tutar_farki"))))</f>
        <v/>
      </c>
      <c r="H120" s="16">
        <f>IF($A120="","",IF($B120&gt;0,"BIRINCIL",IF(COUNTIF(tblAnahtarB[IkincilB],'ANAHTAR'!$D120)&gt;0,"IKINCIL","YOK")))</f>
        <v/>
      </c>
      <c r="I120" s="16">
        <f>IF($A120="","",'ANAHTAR'!$F120)</f>
        <v/>
      </c>
      <c r="J120" s="16">
        <f>IF(OR($A120="",$D120=0),0,$F120/ABS($D120))</f>
        <v/>
      </c>
      <c r="K120" s="16">
        <f>IF($A120="","",ROUND($D120,2))</f>
        <v/>
      </c>
      <c r="L120" s="16">
        <f>IF($A120="","",ROUND($C120,2))</f>
        <v/>
      </c>
      <c r="M120" s="16">
        <f>IF($A120="","",IF($F120&lt;=toleransKurus,1,0))</f>
        <v/>
      </c>
      <c r="N120" s="16">
        <f>IF($A120="","",IF($F120&gt;cbb_esikFark,1,0))</f>
        <v/>
      </c>
      <c r="O120" s="16">
        <f>IF($A120="","",IF($G120="eslesti",$D120,0))</f>
        <v/>
      </c>
      <c r="P120" s="16">
        <f>IF($A120="","",$B120+$M120+$N120)</f>
        <v/>
      </c>
    </row>
    <row r="121">
      <c r="A121" s="16">
        <f>IF('ANAHTAR'!$B121="","",'ANAHTAR'!$B121)</f>
        <v/>
      </c>
      <c r="B121" s="16">
        <f>IF($A121="","",COUNTIF(tblAnahtarB[NormB],$A121))</f>
        <v/>
      </c>
      <c r="C121" s="16">
        <f>IF($A121="","",SUMIF(tblAnahtarB[NormB],$A121,tblVeriB[BeyanTutar]))</f>
        <v/>
      </c>
      <c r="D121" s="16">
        <f>IF($A121="","",SUMIF(tblAnahtarA[Norm],$A121,tblVeriA[Tutar]))</f>
        <v/>
      </c>
      <c r="E121" s="16">
        <f>IF($A121="","",ROUND($D121,2)-ROUND($C121,2))</f>
        <v/>
      </c>
      <c r="F121" s="16">
        <f>IF($A121="","",ABS($E121))</f>
        <v/>
      </c>
      <c r="G121" s="16">
        <f>IF($A121="","",IF($B121=0,"eslesmedi",IF(ROUND($D121,2)=ROUND($C121,2),"eslesti",IF(ABS(ROUND($D121,2)-ROUND($C121,2))&lt;=toleransKurus,"tolerans_icinde","tutar_farki"))))</f>
        <v/>
      </c>
      <c r="H121" s="16">
        <f>IF($A121="","",IF($B121&gt;0,"BIRINCIL",IF(COUNTIF(tblAnahtarB[IkincilB],'ANAHTAR'!$D121)&gt;0,"IKINCIL","YOK")))</f>
        <v/>
      </c>
      <c r="I121" s="16">
        <f>IF($A121="","",'ANAHTAR'!$F121)</f>
        <v/>
      </c>
      <c r="J121" s="16">
        <f>IF(OR($A121="",$D121=0),0,$F121/ABS($D121))</f>
        <v/>
      </c>
      <c r="K121" s="16">
        <f>IF($A121="","",ROUND($D121,2))</f>
        <v/>
      </c>
      <c r="L121" s="16">
        <f>IF($A121="","",ROUND($C121,2))</f>
        <v/>
      </c>
      <c r="M121" s="16">
        <f>IF($A121="","",IF($F121&lt;=toleransKurus,1,0))</f>
        <v/>
      </c>
      <c r="N121" s="16">
        <f>IF($A121="","",IF($F121&gt;cbb_esikFark,1,0))</f>
        <v/>
      </c>
      <c r="O121" s="16">
        <f>IF($A121="","",IF($G121="eslesti",$D121,0))</f>
        <v/>
      </c>
      <c r="P121" s="16">
        <f>IF($A121="","",$B121+$M121+$N121)</f>
        <v/>
      </c>
    </row>
    <row r="122">
      <c r="A122" s="16">
        <f>IF('ANAHTAR'!$B122="","",'ANAHTAR'!$B122)</f>
        <v/>
      </c>
      <c r="B122" s="16">
        <f>IF($A122="","",COUNTIF(tblAnahtarB[NormB],$A122))</f>
        <v/>
      </c>
      <c r="C122" s="16">
        <f>IF($A122="","",SUMIF(tblAnahtarB[NormB],$A122,tblVeriB[BeyanTutar]))</f>
        <v/>
      </c>
      <c r="D122" s="16">
        <f>IF($A122="","",SUMIF(tblAnahtarA[Norm],$A122,tblVeriA[Tutar]))</f>
        <v/>
      </c>
      <c r="E122" s="16">
        <f>IF($A122="","",ROUND($D122,2)-ROUND($C122,2))</f>
        <v/>
      </c>
      <c r="F122" s="16">
        <f>IF($A122="","",ABS($E122))</f>
        <v/>
      </c>
      <c r="G122" s="16">
        <f>IF($A122="","",IF($B122=0,"eslesmedi",IF(ROUND($D122,2)=ROUND($C122,2),"eslesti",IF(ABS(ROUND($D122,2)-ROUND($C122,2))&lt;=toleransKurus,"tolerans_icinde","tutar_farki"))))</f>
        <v/>
      </c>
      <c r="H122" s="16">
        <f>IF($A122="","",IF($B122&gt;0,"BIRINCIL",IF(COUNTIF(tblAnahtarB[IkincilB],'ANAHTAR'!$D122)&gt;0,"IKINCIL","YOK")))</f>
        <v/>
      </c>
      <c r="I122" s="16">
        <f>IF($A122="","",'ANAHTAR'!$F122)</f>
        <v/>
      </c>
      <c r="J122" s="16">
        <f>IF(OR($A122="",$D122=0),0,$F122/ABS($D122))</f>
        <v/>
      </c>
      <c r="K122" s="16">
        <f>IF($A122="","",ROUND($D122,2))</f>
        <v/>
      </c>
      <c r="L122" s="16">
        <f>IF($A122="","",ROUND($C122,2))</f>
        <v/>
      </c>
      <c r="M122" s="16">
        <f>IF($A122="","",IF($F122&lt;=toleransKurus,1,0))</f>
        <v/>
      </c>
      <c r="N122" s="16">
        <f>IF($A122="","",IF($F122&gt;cbb_esikFark,1,0))</f>
        <v/>
      </c>
      <c r="O122" s="16">
        <f>IF($A122="","",IF($G122="eslesti",$D122,0))</f>
        <v/>
      </c>
      <c r="P122" s="16">
        <f>IF($A122="","",$B122+$M122+$N122)</f>
        <v/>
      </c>
    </row>
    <row r="123">
      <c r="A123" s="16">
        <f>IF('ANAHTAR'!$B123="","",'ANAHTAR'!$B123)</f>
        <v/>
      </c>
      <c r="B123" s="16">
        <f>IF($A123="","",COUNTIF(tblAnahtarB[NormB],$A123))</f>
        <v/>
      </c>
      <c r="C123" s="16">
        <f>IF($A123="","",SUMIF(tblAnahtarB[NormB],$A123,tblVeriB[BeyanTutar]))</f>
        <v/>
      </c>
      <c r="D123" s="16">
        <f>IF($A123="","",SUMIF(tblAnahtarA[Norm],$A123,tblVeriA[Tutar]))</f>
        <v/>
      </c>
      <c r="E123" s="16">
        <f>IF($A123="","",ROUND($D123,2)-ROUND($C123,2))</f>
        <v/>
      </c>
      <c r="F123" s="16">
        <f>IF($A123="","",ABS($E123))</f>
        <v/>
      </c>
      <c r="G123" s="16">
        <f>IF($A123="","",IF($B123=0,"eslesmedi",IF(ROUND($D123,2)=ROUND($C123,2),"eslesti",IF(ABS(ROUND($D123,2)-ROUND($C123,2))&lt;=toleransKurus,"tolerans_icinde","tutar_farki"))))</f>
        <v/>
      </c>
      <c r="H123" s="16">
        <f>IF($A123="","",IF($B123&gt;0,"BIRINCIL",IF(COUNTIF(tblAnahtarB[IkincilB],'ANAHTAR'!$D123)&gt;0,"IKINCIL","YOK")))</f>
        <v/>
      </c>
      <c r="I123" s="16">
        <f>IF($A123="","",'ANAHTAR'!$F123)</f>
        <v/>
      </c>
      <c r="J123" s="16">
        <f>IF(OR($A123="",$D123=0),0,$F123/ABS($D123))</f>
        <v/>
      </c>
      <c r="K123" s="16">
        <f>IF($A123="","",ROUND($D123,2))</f>
        <v/>
      </c>
      <c r="L123" s="16">
        <f>IF($A123="","",ROUND($C123,2))</f>
        <v/>
      </c>
      <c r="M123" s="16">
        <f>IF($A123="","",IF($F123&lt;=toleransKurus,1,0))</f>
        <v/>
      </c>
      <c r="N123" s="16">
        <f>IF($A123="","",IF($F123&gt;cbb_esikFark,1,0))</f>
        <v/>
      </c>
      <c r="O123" s="16">
        <f>IF($A123="","",IF($G123="eslesti",$D123,0))</f>
        <v/>
      </c>
      <c r="P123" s="16">
        <f>IF($A123="","",$B123+$M123+$N123)</f>
        <v/>
      </c>
    </row>
    <row r="124">
      <c r="A124" s="16">
        <f>IF('ANAHTAR'!$B124="","",'ANAHTAR'!$B124)</f>
        <v/>
      </c>
      <c r="B124" s="16">
        <f>IF($A124="","",COUNTIF(tblAnahtarB[NormB],$A124))</f>
        <v/>
      </c>
      <c r="C124" s="16">
        <f>IF($A124="","",SUMIF(tblAnahtarB[NormB],$A124,tblVeriB[BeyanTutar]))</f>
        <v/>
      </c>
      <c r="D124" s="16">
        <f>IF($A124="","",SUMIF(tblAnahtarA[Norm],$A124,tblVeriA[Tutar]))</f>
        <v/>
      </c>
      <c r="E124" s="16">
        <f>IF($A124="","",ROUND($D124,2)-ROUND($C124,2))</f>
        <v/>
      </c>
      <c r="F124" s="16">
        <f>IF($A124="","",ABS($E124))</f>
        <v/>
      </c>
      <c r="G124" s="16">
        <f>IF($A124="","",IF($B124=0,"eslesmedi",IF(ROUND($D124,2)=ROUND($C124,2),"eslesti",IF(ABS(ROUND($D124,2)-ROUND($C124,2))&lt;=toleransKurus,"tolerans_icinde","tutar_farki"))))</f>
        <v/>
      </c>
      <c r="H124" s="16">
        <f>IF($A124="","",IF($B124&gt;0,"BIRINCIL",IF(COUNTIF(tblAnahtarB[IkincilB],'ANAHTAR'!$D124)&gt;0,"IKINCIL","YOK")))</f>
        <v/>
      </c>
      <c r="I124" s="16">
        <f>IF($A124="","",'ANAHTAR'!$F124)</f>
        <v/>
      </c>
      <c r="J124" s="16">
        <f>IF(OR($A124="",$D124=0),0,$F124/ABS($D124))</f>
        <v/>
      </c>
      <c r="K124" s="16">
        <f>IF($A124="","",ROUND($D124,2))</f>
        <v/>
      </c>
      <c r="L124" s="16">
        <f>IF($A124="","",ROUND($C124,2))</f>
        <v/>
      </c>
      <c r="M124" s="16">
        <f>IF($A124="","",IF($F124&lt;=toleransKurus,1,0))</f>
        <v/>
      </c>
      <c r="N124" s="16">
        <f>IF($A124="","",IF($F124&gt;cbb_esikFark,1,0))</f>
        <v/>
      </c>
      <c r="O124" s="16">
        <f>IF($A124="","",IF($G124="eslesti",$D124,0))</f>
        <v/>
      </c>
      <c r="P124" s="16">
        <f>IF($A124="","",$B124+$M124+$N124)</f>
        <v/>
      </c>
    </row>
    <row r="125">
      <c r="A125" s="16">
        <f>IF('ANAHTAR'!$B125="","",'ANAHTAR'!$B125)</f>
        <v/>
      </c>
      <c r="B125" s="16">
        <f>IF($A125="","",COUNTIF(tblAnahtarB[NormB],$A125))</f>
        <v/>
      </c>
      <c r="C125" s="16">
        <f>IF($A125="","",SUMIF(tblAnahtarB[NormB],$A125,tblVeriB[BeyanTutar]))</f>
        <v/>
      </c>
      <c r="D125" s="16">
        <f>IF($A125="","",SUMIF(tblAnahtarA[Norm],$A125,tblVeriA[Tutar]))</f>
        <v/>
      </c>
      <c r="E125" s="16">
        <f>IF($A125="","",ROUND($D125,2)-ROUND($C125,2))</f>
        <v/>
      </c>
      <c r="F125" s="16">
        <f>IF($A125="","",ABS($E125))</f>
        <v/>
      </c>
      <c r="G125" s="16">
        <f>IF($A125="","",IF($B125=0,"eslesmedi",IF(ROUND($D125,2)=ROUND($C125,2),"eslesti",IF(ABS(ROUND($D125,2)-ROUND($C125,2))&lt;=toleransKurus,"tolerans_icinde","tutar_farki"))))</f>
        <v/>
      </c>
      <c r="H125" s="16">
        <f>IF($A125="","",IF($B125&gt;0,"BIRINCIL",IF(COUNTIF(tblAnahtarB[IkincilB],'ANAHTAR'!$D125)&gt;0,"IKINCIL","YOK")))</f>
        <v/>
      </c>
      <c r="I125" s="16">
        <f>IF($A125="","",'ANAHTAR'!$F125)</f>
        <v/>
      </c>
      <c r="J125" s="16">
        <f>IF(OR($A125="",$D125=0),0,$F125/ABS($D125))</f>
        <v/>
      </c>
      <c r="K125" s="16">
        <f>IF($A125="","",ROUND($D125,2))</f>
        <v/>
      </c>
      <c r="L125" s="16">
        <f>IF($A125="","",ROUND($C125,2))</f>
        <v/>
      </c>
      <c r="M125" s="16">
        <f>IF($A125="","",IF($F125&lt;=toleransKurus,1,0))</f>
        <v/>
      </c>
      <c r="N125" s="16">
        <f>IF($A125="","",IF($F125&gt;cbb_esikFark,1,0))</f>
        <v/>
      </c>
      <c r="O125" s="16">
        <f>IF($A125="","",IF($G125="eslesti",$D125,0))</f>
        <v/>
      </c>
      <c r="P125" s="16">
        <f>IF($A125="","",$B125+$M125+$N125)</f>
        <v/>
      </c>
    </row>
    <row r="126">
      <c r="A126" s="16">
        <f>IF('ANAHTAR'!$B126="","",'ANAHTAR'!$B126)</f>
        <v/>
      </c>
      <c r="B126" s="16">
        <f>IF($A126="","",COUNTIF(tblAnahtarB[NormB],$A126))</f>
        <v/>
      </c>
      <c r="C126" s="16">
        <f>IF($A126="","",SUMIF(tblAnahtarB[NormB],$A126,tblVeriB[BeyanTutar]))</f>
        <v/>
      </c>
      <c r="D126" s="16">
        <f>IF($A126="","",SUMIF(tblAnahtarA[Norm],$A126,tblVeriA[Tutar]))</f>
        <v/>
      </c>
      <c r="E126" s="16">
        <f>IF($A126="","",ROUND($D126,2)-ROUND($C126,2))</f>
        <v/>
      </c>
      <c r="F126" s="16">
        <f>IF($A126="","",ABS($E126))</f>
        <v/>
      </c>
      <c r="G126" s="16">
        <f>IF($A126="","",IF($B126=0,"eslesmedi",IF(ROUND($D126,2)=ROUND($C126,2),"eslesti",IF(ABS(ROUND($D126,2)-ROUND($C126,2))&lt;=toleransKurus,"tolerans_icinde","tutar_farki"))))</f>
        <v/>
      </c>
      <c r="H126" s="16">
        <f>IF($A126="","",IF($B126&gt;0,"BIRINCIL",IF(COUNTIF(tblAnahtarB[IkincilB],'ANAHTAR'!$D126)&gt;0,"IKINCIL","YOK")))</f>
        <v/>
      </c>
      <c r="I126" s="16">
        <f>IF($A126="","",'ANAHTAR'!$F126)</f>
        <v/>
      </c>
      <c r="J126" s="16">
        <f>IF(OR($A126="",$D126=0),0,$F126/ABS($D126))</f>
        <v/>
      </c>
      <c r="K126" s="16">
        <f>IF($A126="","",ROUND($D126,2))</f>
        <v/>
      </c>
      <c r="L126" s="16">
        <f>IF($A126="","",ROUND($C126,2))</f>
        <v/>
      </c>
      <c r="M126" s="16">
        <f>IF($A126="","",IF($F126&lt;=toleransKurus,1,0))</f>
        <v/>
      </c>
      <c r="N126" s="16">
        <f>IF($A126="","",IF($F126&gt;cbb_esikFark,1,0))</f>
        <v/>
      </c>
      <c r="O126" s="16">
        <f>IF($A126="","",IF($G126="eslesti",$D126,0))</f>
        <v/>
      </c>
      <c r="P126" s="16">
        <f>IF($A126="","",$B126+$M126+$N126)</f>
        <v/>
      </c>
    </row>
    <row r="127">
      <c r="A127" s="16">
        <f>IF('ANAHTAR'!$B127="","",'ANAHTAR'!$B127)</f>
        <v/>
      </c>
      <c r="B127" s="16">
        <f>IF($A127="","",COUNTIF(tblAnahtarB[NormB],$A127))</f>
        <v/>
      </c>
      <c r="C127" s="16">
        <f>IF($A127="","",SUMIF(tblAnahtarB[NormB],$A127,tblVeriB[BeyanTutar]))</f>
        <v/>
      </c>
      <c r="D127" s="16">
        <f>IF($A127="","",SUMIF(tblAnahtarA[Norm],$A127,tblVeriA[Tutar]))</f>
        <v/>
      </c>
      <c r="E127" s="16">
        <f>IF($A127="","",ROUND($D127,2)-ROUND($C127,2))</f>
        <v/>
      </c>
      <c r="F127" s="16">
        <f>IF($A127="","",ABS($E127))</f>
        <v/>
      </c>
      <c r="G127" s="16">
        <f>IF($A127="","",IF($B127=0,"eslesmedi",IF(ROUND($D127,2)=ROUND($C127,2),"eslesti",IF(ABS(ROUND($D127,2)-ROUND($C127,2))&lt;=toleransKurus,"tolerans_icinde","tutar_farki"))))</f>
        <v/>
      </c>
      <c r="H127" s="16">
        <f>IF($A127="","",IF($B127&gt;0,"BIRINCIL",IF(COUNTIF(tblAnahtarB[IkincilB],'ANAHTAR'!$D127)&gt;0,"IKINCIL","YOK")))</f>
        <v/>
      </c>
      <c r="I127" s="16">
        <f>IF($A127="","",'ANAHTAR'!$F127)</f>
        <v/>
      </c>
      <c r="J127" s="16">
        <f>IF(OR($A127="",$D127=0),0,$F127/ABS($D127))</f>
        <v/>
      </c>
      <c r="K127" s="16">
        <f>IF($A127="","",ROUND($D127,2))</f>
        <v/>
      </c>
      <c r="L127" s="16">
        <f>IF($A127="","",ROUND($C127,2))</f>
        <v/>
      </c>
      <c r="M127" s="16">
        <f>IF($A127="","",IF($F127&lt;=toleransKurus,1,0))</f>
        <v/>
      </c>
      <c r="N127" s="16">
        <f>IF($A127="","",IF($F127&gt;cbb_esikFark,1,0))</f>
        <v/>
      </c>
      <c r="O127" s="16">
        <f>IF($A127="","",IF($G127="eslesti",$D127,0))</f>
        <v/>
      </c>
      <c r="P127" s="16">
        <f>IF($A127="","",$B127+$M127+$N127)</f>
        <v/>
      </c>
    </row>
    <row r="128">
      <c r="A128" s="16">
        <f>IF('ANAHTAR'!$B128="","",'ANAHTAR'!$B128)</f>
        <v/>
      </c>
      <c r="B128" s="16">
        <f>IF($A128="","",COUNTIF(tblAnahtarB[NormB],$A128))</f>
        <v/>
      </c>
      <c r="C128" s="16">
        <f>IF($A128="","",SUMIF(tblAnahtarB[NormB],$A128,tblVeriB[BeyanTutar]))</f>
        <v/>
      </c>
      <c r="D128" s="16">
        <f>IF($A128="","",SUMIF(tblAnahtarA[Norm],$A128,tblVeriA[Tutar]))</f>
        <v/>
      </c>
      <c r="E128" s="16">
        <f>IF($A128="","",ROUND($D128,2)-ROUND($C128,2))</f>
        <v/>
      </c>
      <c r="F128" s="16">
        <f>IF($A128="","",ABS($E128))</f>
        <v/>
      </c>
      <c r="G128" s="16">
        <f>IF($A128="","",IF($B128=0,"eslesmedi",IF(ROUND($D128,2)=ROUND($C128,2),"eslesti",IF(ABS(ROUND($D128,2)-ROUND($C128,2))&lt;=toleransKurus,"tolerans_icinde","tutar_farki"))))</f>
        <v/>
      </c>
      <c r="H128" s="16">
        <f>IF($A128="","",IF($B128&gt;0,"BIRINCIL",IF(COUNTIF(tblAnahtarB[IkincilB],'ANAHTAR'!$D128)&gt;0,"IKINCIL","YOK")))</f>
        <v/>
      </c>
      <c r="I128" s="16">
        <f>IF($A128="","",'ANAHTAR'!$F128)</f>
        <v/>
      </c>
      <c r="J128" s="16">
        <f>IF(OR($A128="",$D128=0),0,$F128/ABS($D128))</f>
        <v/>
      </c>
      <c r="K128" s="16">
        <f>IF($A128="","",ROUND($D128,2))</f>
        <v/>
      </c>
      <c r="L128" s="16">
        <f>IF($A128="","",ROUND($C128,2))</f>
        <v/>
      </c>
      <c r="M128" s="16">
        <f>IF($A128="","",IF($F128&lt;=toleransKurus,1,0))</f>
        <v/>
      </c>
      <c r="N128" s="16">
        <f>IF($A128="","",IF($F128&gt;cbb_esikFark,1,0))</f>
        <v/>
      </c>
      <c r="O128" s="16">
        <f>IF($A128="","",IF($G128="eslesti",$D128,0))</f>
        <v/>
      </c>
      <c r="P128" s="16">
        <f>IF($A128="","",$B128+$M128+$N128)</f>
        <v/>
      </c>
    </row>
    <row r="129">
      <c r="A129" s="16">
        <f>IF('ANAHTAR'!$B129="","",'ANAHTAR'!$B129)</f>
        <v/>
      </c>
      <c r="B129" s="16">
        <f>IF($A129="","",COUNTIF(tblAnahtarB[NormB],$A129))</f>
        <v/>
      </c>
      <c r="C129" s="16">
        <f>IF($A129="","",SUMIF(tblAnahtarB[NormB],$A129,tblVeriB[BeyanTutar]))</f>
        <v/>
      </c>
      <c r="D129" s="16">
        <f>IF($A129="","",SUMIF(tblAnahtarA[Norm],$A129,tblVeriA[Tutar]))</f>
        <v/>
      </c>
      <c r="E129" s="16">
        <f>IF($A129="","",ROUND($D129,2)-ROUND($C129,2))</f>
        <v/>
      </c>
      <c r="F129" s="16">
        <f>IF($A129="","",ABS($E129))</f>
        <v/>
      </c>
      <c r="G129" s="16">
        <f>IF($A129="","",IF($B129=0,"eslesmedi",IF(ROUND($D129,2)=ROUND($C129,2),"eslesti",IF(ABS(ROUND($D129,2)-ROUND($C129,2))&lt;=toleransKurus,"tolerans_icinde","tutar_farki"))))</f>
        <v/>
      </c>
      <c r="H129" s="16">
        <f>IF($A129="","",IF($B129&gt;0,"BIRINCIL",IF(COUNTIF(tblAnahtarB[IkincilB],'ANAHTAR'!$D129)&gt;0,"IKINCIL","YOK")))</f>
        <v/>
      </c>
      <c r="I129" s="16">
        <f>IF($A129="","",'ANAHTAR'!$F129)</f>
        <v/>
      </c>
      <c r="J129" s="16">
        <f>IF(OR($A129="",$D129=0),0,$F129/ABS($D129))</f>
        <v/>
      </c>
      <c r="K129" s="16">
        <f>IF($A129="","",ROUND($D129,2))</f>
        <v/>
      </c>
      <c r="L129" s="16">
        <f>IF($A129="","",ROUND($C129,2))</f>
        <v/>
      </c>
      <c r="M129" s="16">
        <f>IF($A129="","",IF($F129&lt;=toleransKurus,1,0))</f>
        <v/>
      </c>
      <c r="N129" s="16">
        <f>IF($A129="","",IF($F129&gt;cbb_esikFark,1,0))</f>
        <v/>
      </c>
      <c r="O129" s="16">
        <f>IF($A129="","",IF($G129="eslesti",$D129,0))</f>
        <v/>
      </c>
      <c r="P129" s="16">
        <f>IF($A129="","",$B129+$M129+$N129)</f>
        <v/>
      </c>
    </row>
    <row r="130">
      <c r="A130" s="16">
        <f>IF('ANAHTAR'!$B130="","",'ANAHTAR'!$B130)</f>
        <v/>
      </c>
      <c r="B130" s="16">
        <f>IF($A130="","",COUNTIF(tblAnahtarB[NormB],$A130))</f>
        <v/>
      </c>
      <c r="C130" s="16">
        <f>IF($A130="","",SUMIF(tblAnahtarB[NormB],$A130,tblVeriB[BeyanTutar]))</f>
        <v/>
      </c>
      <c r="D130" s="16">
        <f>IF($A130="","",SUMIF(tblAnahtarA[Norm],$A130,tblVeriA[Tutar]))</f>
        <v/>
      </c>
      <c r="E130" s="16">
        <f>IF($A130="","",ROUND($D130,2)-ROUND($C130,2))</f>
        <v/>
      </c>
      <c r="F130" s="16">
        <f>IF($A130="","",ABS($E130))</f>
        <v/>
      </c>
      <c r="G130" s="16">
        <f>IF($A130="","",IF($B130=0,"eslesmedi",IF(ROUND($D130,2)=ROUND($C130,2),"eslesti",IF(ABS(ROUND($D130,2)-ROUND($C130,2))&lt;=toleransKurus,"tolerans_icinde","tutar_farki"))))</f>
        <v/>
      </c>
      <c r="H130" s="16">
        <f>IF($A130="","",IF($B130&gt;0,"BIRINCIL",IF(COUNTIF(tblAnahtarB[IkincilB],'ANAHTAR'!$D130)&gt;0,"IKINCIL","YOK")))</f>
        <v/>
      </c>
      <c r="I130" s="16">
        <f>IF($A130="","",'ANAHTAR'!$F130)</f>
        <v/>
      </c>
      <c r="J130" s="16">
        <f>IF(OR($A130="",$D130=0),0,$F130/ABS($D130))</f>
        <v/>
      </c>
      <c r="K130" s="16">
        <f>IF($A130="","",ROUND($D130,2))</f>
        <v/>
      </c>
      <c r="L130" s="16">
        <f>IF($A130="","",ROUND($C130,2))</f>
        <v/>
      </c>
      <c r="M130" s="16">
        <f>IF($A130="","",IF($F130&lt;=toleransKurus,1,0))</f>
        <v/>
      </c>
      <c r="N130" s="16">
        <f>IF($A130="","",IF($F130&gt;cbb_esikFark,1,0))</f>
        <v/>
      </c>
      <c r="O130" s="16">
        <f>IF($A130="","",IF($G130="eslesti",$D130,0))</f>
        <v/>
      </c>
      <c r="P130" s="16">
        <f>IF($A130="","",$B130+$M130+$N130)</f>
        <v/>
      </c>
    </row>
    <row r="131">
      <c r="A131" s="16">
        <f>IF('ANAHTAR'!$B131="","",'ANAHTAR'!$B131)</f>
        <v/>
      </c>
      <c r="B131" s="16">
        <f>IF($A131="","",COUNTIF(tblAnahtarB[NormB],$A131))</f>
        <v/>
      </c>
      <c r="C131" s="16">
        <f>IF($A131="","",SUMIF(tblAnahtarB[NormB],$A131,tblVeriB[BeyanTutar]))</f>
        <v/>
      </c>
      <c r="D131" s="16">
        <f>IF($A131="","",SUMIF(tblAnahtarA[Norm],$A131,tblVeriA[Tutar]))</f>
        <v/>
      </c>
      <c r="E131" s="16">
        <f>IF($A131="","",ROUND($D131,2)-ROUND($C131,2))</f>
        <v/>
      </c>
      <c r="F131" s="16">
        <f>IF($A131="","",ABS($E131))</f>
        <v/>
      </c>
      <c r="G131" s="16">
        <f>IF($A131="","",IF($B131=0,"eslesmedi",IF(ROUND($D131,2)=ROUND($C131,2),"eslesti",IF(ABS(ROUND($D131,2)-ROUND($C131,2))&lt;=toleransKurus,"tolerans_icinde","tutar_farki"))))</f>
        <v/>
      </c>
      <c r="H131" s="16">
        <f>IF($A131="","",IF($B131&gt;0,"BIRINCIL",IF(COUNTIF(tblAnahtarB[IkincilB],'ANAHTAR'!$D131)&gt;0,"IKINCIL","YOK")))</f>
        <v/>
      </c>
      <c r="I131" s="16">
        <f>IF($A131="","",'ANAHTAR'!$F131)</f>
        <v/>
      </c>
      <c r="J131" s="16">
        <f>IF(OR($A131="",$D131=0),0,$F131/ABS($D131))</f>
        <v/>
      </c>
      <c r="K131" s="16">
        <f>IF($A131="","",ROUND($D131,2))</f>
        <v/>
      </c>
      <c r="L131" s="16">
        <f>IF($A131="","",ROUND($C131,2))</f>
        <v/>
      </c>
      <c r="M131" s="16">
        <f>IF($A131="","",IF($F131&lt;=toleransKurus,1,0))</f>
        <v/>
      </c>
      <c r="N131" s="16">
        <f>IF($A131="","",IF($F131&gt;cbb_esikFark,1,0))</f>
        <v/>
      </c>
      <c r="O131" s="16">
        <f>IF($A131="","",IF($G131="eslesti",$D131,0))</f>
        <v/>
      </c>
      <c r="P131" s="16">
        <f>IF($A131="","",$B131+$M131+$N131)</f>
        <v/>
      </c>
    </row>
    <row r="132">
      <c r="A132" s="16">
        <f>IF('ANAHTAR'!$B132="","",'ANAHTAR'!$B132)</f>
        <v/>
      </c>
      <c r="B132" s="16">
        <f>IF($A132="","",COUNTIF(tblAnahtarB[NormB],$A132))</f>
        <v/>
      </c>
      <c r="C132" s="16">
        <f>IF($A132="","",SUMIF(tblAnahtarB[NormB],$A132,tblVeriB[BeyanTutar]))</f>
        <v/>
      </c>
      <c r="D132" s="16">
        <f>IF($A132="","",SUMIF(tblAnahtarA[Norm],$A132,tblVeriA[Tutar]))</f>
        <v/>
      </c>
      <c r="E132" s="16">
        <f>IF($A132="","",ROUND($D132,2)-ROUND($C132,2))</f>
        <v/>
      </c>
      <c r="F132" s="16">
        <f>IF($A132="","",ABS($E132))</f>
        <v/>
      </c>
      <c r="G132" s="16">
        <f>IF($A132="","",IF($B132=0,"eslesmedi",IF(ROUND($D132,2)=ROUND($C132,2),"eslesti",IF(ABS(ROUND($D132,2)-ROUND($C132,2))&lt;=toleransKurus,"tolerans_icinde","tutar_farki"))))</f>
        <v/>
      </c>
      <c r="H132" s="16">
        <f>IF($A132="","",IF($B132&gt;0,"BIRINCIL",IF(COUNTIF(tblAnahtarB[IkincilB],'ANAHTAR'!$D132)&gt;0,"IKINCIL","YOK")))</f>
        <v/>
      </c>
      <c r="I132" s="16">
        <f>IF($A132="","",'ANAHTAR'!$F132)</f>
        <v/>
      </c>
      <c r="J132" s="16">
        <f>IF(OR($A132="",$D132=0),0,$F132/ABS($D132))</f>
        <v/>
      </c>
      <c r="K132" s="16">
        <f>IF($A132="","",ROUND($D132,2))</f>
        <v/>
      </c>
      <c r="L132" s="16">
        <f>IF($A132="","",ROUND($C132,2))</f>
        <v/>
      </c>
      <c r="M132" s="16">
        <f>IF($A132="","",IF($F132&lt;=toleransKurus,1,0))</f>
        <v/>
      </c>
      <c r="N132" s="16">
        <f>IF($A132="","",IF($F132&gt;cbb_esikFark,1,0))</f>
        <v/>
      </c>
      <c r="O132" s="16">
        <f>IF($A132="","",IF($G132="eslesti",$D132,0))</f>
        <v/>
      </c>
      <c r="P132" s="16">
        <f>IF($A132="","",$B132+$M132+$N132)</f>
        <v/>
      </c>
    </row>
    <row r="133">
      <c r="A133" s="16">
        <f>IF('ANAHTAR'!$B133="","",'ANAHTAR'!$B133)</f>
        <v/>
      </c>
      <c r="B133" s="16">
        <f>IF($A133="","",COUNTIF(tblAnahtarB[NormB],$A133))</f>
        <v/>
      </c>
      <c r="C133" s="16">
        <f>IF($A133="","",SUMIF(tblAnahtarB[NormB],$A133,tblVeriB[BeyanTutar]))</f>
        <v/>
      </c>
      <c r="D133" s="16">
        <f>IF($A133="","",SUMIF(tblAnahtarA[Norm],$A133,tblVeriA[Tutar]))</f>
        <v/>
      </c>
      <c r="E133" s="16">
        <f>IF($A133="","",ROUND($D133,2)-ROUND($C133,2))</f>
        <v/>
      </c>
      <c r="F133" s="16">
        <f>IF($A133="","",ABS($E133))</f>
        <v/>
      </c>
      <c r="G133" s="16">
        <f>IF($A133="","",IF($B133=0,"eslesmedi",IF(ROUND($D133,2)=ROUND($C133,2),"eslesti",IF(ABS(ROUND($D133,2)-ROUND($C133,2))&lt;=toleransKurus,"tolerans_icinde","tutar_farki"))))</f>
        <v/>
      </c>
      <c r="H133" s="16">
        <f>IF($A133="","",IF($B133&gt;0,"BIRINCIL",IF(COUNTIF(tblAnahtarB[IkincilB],'ANAHTAR'!$D133)&gt;0,"IKINCIL","YOK")))</f>
        <v/>
      </c>
      <c r="I133" s="16">
        <f>IF($A133="","",'ANAHTAR'!$F133)</f>
        <v/>
      </c>
      <c r="J133" s="16">
        <f>IF(OR($A133="",$D133=0),0,$F133/ABS($D133))</f>
        <v/>
      </c>
      <c r="K133" s="16">
        <f>IF($A133="","",ROUND($D133,2))</f>
        <v/>
      </c>
      <c r="L133" s="16">
        <f>IF($A133="","",ROUND($C133,2))</f>
        <v/>
      </c>
      <c r="M133" s="16">
        <f>IF($A133="","",IF($F133&lt;=toleransKurus,1,0))</f>
        <v/>
      </c>
      <c r="N133" s="16">
        <f>IF($A133="","",IF($F133&gt;cbb_esikFark,1,0))</f>
        <v/>
      </c>
      <c r="O133" s="16">
        <f>IF($A133="","",IF($G133="eslesti",$D133,0))</f>
        <v/>
      </c>
      <c r="P133" s="16">
        <f>IF($A133="","",$B133+$M133+$N133)</f>
        <v/>
      </c>
    </row>
    <row r="134">
      <c r="A134" s="16">
        <f>IF('ANAHTAR'!$B134="","",'ANAHTAR'!$B134)</f>
        <v/>
      </c>
      <c r="B134" s="16">
        <f>IF($A134="","",COUNTIF(tblAnahtarB[NormB],$A134))</f>
        <v/>
      </c>
      <c r="C134" s="16">
        <f>IF($A134="","",SUMIF(tblAnahtarB[NormB],$A134,tblVeriB[BeyanTutar]))</f>
        <v/>
      </c>
      <c r="D134" s="16">
        <f>IF($A134="","",SUMIF(tblAnahtarA[Norm],$A134,tblVeriA[Tutar]))</f>
        <v/>
      </c>
      <c r="E134" s="16">
        <f>IF($A134="","",ROUND($D134,2)-ROUND($C134,2))</f>
        <v/>
      </c>
      <c r="F134" s="16">
        <f>IF($A134="","",ABS($E134))</f>
        <v/>
      </c>
      <c r="G134" s="16">
        <f>IF($A134="","",IF($B134=0,"eslesmedi",IF(ROUND($D134,2)=ROUND($C134,2),"eslesti",IF(ABS(ROUND($D134,2)-ROUND($C134,2))&lt;=toleransKurus,"tolerans_icinde","tutar_farki"))))</f>
        <v/>
      </c>
      <c r="H134" s="16">
        <f>IF($A134="","",IF($B134&gt;0,"BIRINCIL",IF(COUNTIF(tblAnahtarB[IkincilB],'ANAHTAR'!$D134)&gt;0,"IKINCIL","YOK")))</f>
        <v/>
      </c>
      <c r="I134" s="16">
        <f>IF($A134="","",'ANAHTAR'!$F134)</f>
        <v/>
      </c>
      <c r="J134" s="16">
        <f>IF(OR($A134="",$D134=0),0,$F134/ABS($D134))</f>
        <v/>
      </c>
      <c r="K134" s="16">
        <f>IF($A134="","",ROUND($D134,2))</f>
        <v/>
      </c>
      <c r="L134" s="16">
        <f>IF($A134="","",ROUND($C134,2))</f>
        <v/>
      </c>
      <c r="M134" s="16">
        <f>IF($A134="","",IF($F134&lt;=toleransKurus,1,0))</f>
        <v/>
      </c>
      <c r="N134" s="16">
        <f>IF($A134="","",IF($F134&gt;cbb_esikFark,1,0))</f>
        <v/>
      </c>
      <c r="O134" s="16">
        <f>IF($A134="","",IF($G134="eslesti",$D134,0))</f>
        <v/>
      </c>
      <c r="P134" s="16">
        <f>IF($A134="","",$B134+$M134+$N134)</f>
        <v/>
      </c>
    </row>
    <row r="135">
      <c r="A135" s="16">
        <f>IF('ANAHTAR'!$B135="","",'ANAHTAR'!$B135)</f>
        <v/>
      </c>
      <c r="B135" s="16">
        <f>IF($A135="","",COUNTIF(tblAnahtarB[NormB],$A135))</f>
        <v/>
      </c>
      <c r="C135" s="16">
        <f>IF($A135="","",SUMIF(tblAnahtarB[NormB],$A135,tblVeriB[BeyanTutar]))</f>
        <v/>
      </c>
      <c r="D135" s="16">
        <f>IF($A135="","",SUMIF(tblAnahtarA[Norm],$A135,tblVeriA[Tutar]))</f>
        <v/>
      </c>
      <c r="E135" s="16">
        <f>IF($A135="","",ROUND($D135,2)-ROUND($C135,2))</f>
        <v/>
      </c>
      <c r="F135" s="16">
        <f>IF($A135="","",ABS($E135))</f>
        <v/>
      </c>
      <c r="G135" s="16">
        <f>IF($A135="","",IF($B135=0,"eslesmedi",IF(ROUND($D135,2)=ROUND($C135,2),"eslesti",IF(ABS(ROUND($D135,2)-ROUND($C135,2))&lt;=toleransKurus,"tolerans_icinde","tutar_farki"))))</f>
        <v/>
      </c>
      <c r="H135" s="16">
        <f>IF($A135="","",IF($B135&gt;0,"BIRINCIL",IF(COUNTIF(tblAnahtarB[IkincilB],'ANAHTAR'!$D135)&gt;0,"IKINCIL","YOK")))</f>
        <v/>
      </c>
      <c r="I135" s="16">
        <f>IF($A135="","",'ANAHTAR'!$F135)</f>
        <v/>
      </c>
      <c r="J135" s="16">
        <f>IF(OR($A135="",$D135=0),0,$F135/ABS($D135))</f>
        <v/>
      </c>
      <c r="K135" s="16">
        <f>IF($A135="","",ROUND($D135,2))</f>
        <v/>
      </c>
      <c r="L135" s="16">
        <f>IF($A135="","",ROUND($C135,2))</f>
        <v/>
      </c>
      <c r="M135" s="16">
        <f>IF($A135="","",IF($F135&lt;=toleransKurus,1,0))</f>
        <v/>
      </c>
      <c r="N135" s="16">
        <f>IF($A135="","",IF($F135&gt;cbb_esikFark,1,0))</f>
        <v/>
      </c>
      <c r="O135" s="16">
        <f>IF($A135="","",IF($G135="eslesti",$D135,0))</f>
        <v/>
      </c>
      <c r="P135" s="16">
        <f>IF($A135="","",$B135+$M135+$N135)</f>
        <v/>
      </c>
    </row>
    <row r="136">
      <c r="A136" s="16">
        <f>IF('ANAHTAR'!$B136="","",'ANAHTAR'!$B136)</f>
        <v/>
      </c>
      <c r="B136" s="16">
        <f>IF($A136="","",COUNTIF(tblAnahtarB[NormB],$A136))</f>
        <v/>
      </c>
      <c r="C136" s="16">
        <f>IF($A136="","",SUMIF(tblAnahtarB[NormB],$A136,tblVeriB[BeyanTutar]))</f>
        <v/>
      </c>
      <c r="D136" s="16">
        <f>IF($A136="","",SUMIF(tblAnahtarA[Norm],$A136,tblVeriA[Tutar]))</f>
        <v/>
      </c>
      <c r="E136" s="16">
        <f>IF($A136="","",ROUND($D136,2)-ROUND($C136,2))</f>
        <v/>
      </c>
      <c r="F136" s="16">
        <f>IF($A136="","",ABS($E136))</f>
        <v/>
      </c>
      <c r="G136" s="16">
        <f>IF($A136="","",IF($B136=0,"eslesmedi",IF(ROUND($D136,2)=ROUND($C136,2),"eslesti",IF(ABS(ROUND($D136,2)-ROUND($C136,2))&lt;=toleransKurus,"tolerans_icinde","tutar_farki"))))</f>
        <v/>
      </c>
      <c r="H136" s="16">
        <f>IF($A136="","",IF($B136&gt;0,"BIRINCIL",IF(COUNTIF(tblAnahtarB[IkincilB],'ANAHTAR'!$D136)&gt;0,"IKINCIL","YOK")))</f>
        <v/>
      </c>
      <c r="I136" s="16">
        <f>IF($A136="","",'ANAHTAR'!$F136)</f>
        <v/>
      </c>
      <c r="J136" s="16">
        <f>IF(OR($A136="",$D136=0),0,$F136/ABS($D136))</f>
        <v/>
      </c>
      <c r="K136" s="16">
        <f>IF($A136="","",ROUND($D136,2))</f>
        <v/>
      </c>
      <c r="L136" s="16">
        <f>IF($A136="","",ROUND($C136,2))</f>
        <v/>
      </c>
      <c r="M136" s="16">
        <f>IF($A136="","",IF($F136&lt;=toleransKurus,1,0))</f>
        <v/>
      </c>
      <c r="N136" s="16">
        <f>IF($A136="","",IF($F136&gt;cbb_esikFark,1,0))</f>
        <v/>
      </c>
      <c r="O136" s="16">
        <f>IF($A136="","",IF($G136="eslesti",$D136,0))</f>
        <v/>
      </c>
      <c r="P136" s="16">
        <f>IF($A136="","",$B136+$M136+$N136)</f>
        <v/>
      </c>
    </row>
    <row r="137">
      <c r="A137" s="16">
        <f>IF('ANAHTAR'!$B137="","",'ANAHTAR'!$B137)</f>
        <v/>
      </c>
      <c r="B137" s="16">
        <f>IF($A137="","",COUNTIF(tblAnahtarB[NormB],$A137))</f>
        <v/>
      </c>
      <c r="C137" s="16">
        <f>IF($A137="","",SUMIF(tblAnahtarB[NormB],$A137,tblVeriB[BeyanTutar]))</f>
        <v/>
      </c>
      <c r="D137" s="16">
        <f>IF($A137="","",SUMIF(tblAnahtarA[Norm],$A137,tblVeriA[Tutar]))</f>
        <v/>
      </c>
      <c r="E137" s="16">
        <f>IF($A137="","",ROUND($D137,2)-ROUND($C137,2))</f>
        <v/>
      </c>
      <c r="F137" s="16">
        <f>IF($A137="","",ABS($E137))</f>
        <v/>
      </c>
      <c r="G137" s="16">
        <f>IF($A137="","",IF($B137=0,"eslesmedi",IF(ROUND($D137,2)=ROUND($C137,2),"eslesti",IF(ABS(ROUND($D137,2)-ROUND($C137,2))&lt;=toleransKurus,"tolerans_icinde","tutar_farki"))))</f>
        <v/>
      </c>
      <c r="H137" s="16">
        <f>IF($A137="","",IF($B137&gt;0,"BIRINCIL",IF(COUNTIF(tblAnahtarB[IkincilB],'ANAHTAR'!$D137)&gt;0,"IKINCIL","YOK")))</f>
        <v/>
      </c>
      <c r="I137" s="16">
        <f>IF($A137="","",'ANAHTAR'!$F137)</f>
        <v/>
      </c>
      <c r="J137" s="16">
        <f>IF(OR($A137="",$D137=0),0,$F137/ABS($D137))</f>
        <v/>
      </c>
      <c r="K137" s="16">
        <f>IF($A137="","",ROUND($D137,2))</f>
        <v/>
      </c>
      <c r="L137" s="16">
        <f>IF($A137="","",ROUND($C137,2))</f>
        <v/>
      </c>
      <c r="M137" s="16">
        <f>IF($A137="","",IF($F137&lt;=toleransKurus,1,0))</f>
        <v/>
      </c>
      <c r="N137" s="16">
        <f>IF($A137="","",IF($F137&gt;cbb_esikFark,1,0))</f>
        <v/>
      </c>
      <c r="O137" s="16">
        <f>IF($A137="","",IF($G137="eslesti",$D137,0))</f>
        <v/>
      </c>
      <c r="P137" s="16">
        <f>IF($A137="","",$B137+$M137+$N137)</f>
        <v/>
      </c>
    </row>
    <row r="138">
      <c r="A138" s="16">
        <f>IF('ANAHTAR'!$B138="","",'ANAHTAR'!$B138)</f>
        <v/>
      </c>
      <c r="B138" s="16">
        <f>IF($A138="","",COUNTIF(tblAnahtarB[NormB],$A138))</f>
        <v/>
      </c>
      <c r="C138" s="16">
        <f>IF($A138="","",SUMIF(tblAnahtarB[NormB],$A138,tblVeriB[BeyanTutar]))</f>
        <v/>
      </c>
      <c r="D138" s="16">
        <f>IF($A138="","",SUMIF(tblAnahtarA[Norm],$A138,tblVeriA[Tutar]))</f>
        <v/>
      </c>
      <c r="E138" s="16">
        <f>IF($A138="","",ROUND($D138,2)-ROUND($C138,2))</f>
        <v/>
      </c>
      <c r="F138" s="16">
        <f>IF($A138="","",ABS($E138))</f>
        <v/>
      </c>
      <c r="G138" s="16">
        <f>IF($A138="","",IF($B138=0,"eslesmedi",IF(ROUND($D138,2)=ROUND($C138,2),"eslesti",IF(ABS(ROUND($D138,2)-ROUND($C138,2))&lt;=toleransKurus,"tolerans_icinde","tutar_farki"))))</f>
        <v/>
      </c>
      <c r="H138" s="16">
        <f>IF($A138="","",IF($B138&gt;0,"BIRINCIL",IF(COUNTIF(tblAnahtarB[IkincilB],'ANAHTAR'!$D138)&gt;0,"IKINCIL","YOK")))</f>
        <v/>
      </c>
      <c r="I138" s="16">
        <f>IF($A138="","",'ANAHTAR'!$F138)</f>
        <v/>
      </c>
      <c r="J138" s="16">
        <f>IF(OR($A138="",$D138=0),0,$F138/ABS($D138))</f>
        <v/>
      </c>
      <c r="K138" s="16">
        <f>IF($A138="","",ROUND($D138,2))</f>
        <v/>
      </c>
      <c r="L138" s="16">
        <f>IF($A138="","",ROUND($C138,2))</f>
        <v/>
      </c>
      <c r="M138" s="16">
        <f>IF($A138="","",IF($F138&lt;=toleransKurus,1,0))</f>
        <v/>
      </c>
      <c r="N138" s="16">
        <f>IF($A138="","",IF($F138&gt;cbb_esikFark,1,0))</f>
        <v/>
      </c>
      <c r="O138" s="16">
        <f>IF($A138="","",IF($G138="eslesti",$D138,0))</f>
        <v/>
      </c>
      <c r="P138" s="16">
        <f>IF($A138="","",$B138+$M138+$N138)</f>
        <v/>
      </c>
    </row>
    <row r="139">
      <c r="A139" s="16">
        <f>IF('ANAHTAR'!$B139="","",'ANAHTAR'!$B139)</f>
        <v/>
      </c>
      <c r="B139" s="16">
        <f>IF($A139="","",COUNTIF(tblAnahtarB[NormB],$A139))</f>
        <v/>
      </c>
      <c r="C139" s="16">
        <f>IF($A139="","",SUMIF(tblAnahtarB[NormB],$A139,tblVeriB[BeyanTutar]))</f>
        <v/>
      </c>
      <c r="D139" s="16">
        <f>IF($A139="","",SUMIF(tblAnahtarA[Norm],$A139,tblVeriA[Tutar]))</f>
        <v/>
      </c>
      <c r="E139" s="16">
        <f>IF($A139="","",ROUND($D139,2)-ROUND($C139,2))</f>
        <v/>
      </c>
      <c r="F139" s="16">
        <f>IF($A139="","",ABS($E139))</f>
        <v/>
      </c>
      <c r="G139" s="16">
        <f>IF($A139="","",IF($B139=0,"eslesmedi",IF(ROUND($D139,2)=ROUND($C139,2),"eslesti",IF(ABS(ROUND($D139,2)-ROUND($C139,2))&lt;=toleransKurus,"tolerans_icinde","tutar_farki"))))</f>
        <v/>
      </c>
      <c r="H139" s="16">
        <f>IF($A139="","",IF($B139&gt;0,"BIRINCIL",IF(COUNTIF(tblAnahtarB[IkincilB],'ANAHTAR'!$D139)&gt;0,"IKINCIL","YOK")))</f>
        <v/>
      </c>
      <c r="I139" s="16">
        <f>IF($A139="","",'ANAHTAR'!$F139)</f>
        <v/>
      </c>
      <c r="J139" s="16">
        <f>IF(OR($A139="",$D139=0),0,$F139/ABS($D139))</f>
        <v/>
      </c>
      <c r="K139" s="16">
        <f>IF($A139="","",ROUND($D139,2))</f>
        <v/>
      </c>
      <c r="L139" s="16">
        <f>IF($A139="","",ROUND($C139,2))</f>
        <v/>
      </c>
      <c r="M139" s="16">
        <f>IF($A139="","",IF($F139&lt;=toleransKurus,1,0))</f>
        <v/>
      </c>
      <c r="N139" s="16">
        <f>IF($A139="","",IF($F139&gt;cbb_esikFark,1,0))</f>
        <v/>
      </c>
      <c r="O139" s="16">
        <f>IF($A139="","",IF($G139="eslesti",$D139,0))</f>
        <v/>
      </c>
      <c r="P139" s="16">
        <f>IF($A139="","",$B139+$M139+$N139)</f>
        <v/>
      </c>
    </row>
    <row r="140">
      <c r="A140" s="16">
        <f>IF('ANAHTAR'!$B140="","",'ANAHTAR'!$B140)</f>
        <v/>
      </c>
      <c r="B140" s="16">
        <f>IF($A140="","",COUNTIF(tblAnahtarB[NormB],$A140))</f>
        <v/>
      </c>
      <c r="C140" s="16">
        <f>IF($A140="","",SUMIF(tblAnahtarB[NormB],$A140,tblVeriB[BeyanTutar]))</f>
        <v/>
      </c>
      <c r="D140" s="16">
        <f>IF($A140="","",SUMIF(tblAnahtarA[Norm],$A140,tblVeriA[Tutar]))</f>
        <v/>
      </c>
      <c r="E140" s="16">
        <f>IF($A140="","",ROUND($D140,2)-ROUND($C140,2))</f>
        <v/>
      </c>
      <c r="F140" s="16">
        <f>IF($A140="","",ABS($E140))</f>
        <v/>
      </c>
      <c r="G140" s="16">
        <f>IF($A140="","",IF($B140=0,"eslesmedi",IF(ROUND($D140,2)=ROUND($C140,2),"eslesti",IF(ABS(ROUND($D140,2)-ROUND($C140,2))&lt;=toleransKurus,"tolerans_icinde","tutar_farki"))))</f>
        <v/>
      </c>
      <c r="H140" s="16">
        <f>IF($A140="","",IF($B140&gt;0,"BIRINCIL",IF(COUNTIF(tblAnahtarB[IkincilB],'ANAHTAR'!$D140)&gt;0,"IKINCIL","YOK")))</f>
        <v/>
      </c>
      <c r="I140" s="16">
        <f>IF($A140="","",'ANAHTAR'!$F140)</f>
        <v/>
      </c>
      <c r="J140" s="16">
        <f>IF(OR($A140="",$D140=0),0,$F140/ABS($D140))</f>
        <v/>
      </c>
      <c r="K140" s="16">
        <f>IF($A140="","",ROUND($D140,2))</f>
        <v/>
      </c>
      <c r="L140" s="16">
        <f>IF($A140="","",ROUND($C140,2))</f>
        <v/>
      </c>
      <c r="M140" s="16">
        <f>IF($A140="","",IF($F140&lt;=toleransKurus,1,0))</f>
        <v/>
      </c>
      <c r="N140" s="16">
        <f>IF($A140="","",IF($F140&gt;cbb_esikFark,1,0))</f>
        <v/>
      </c>
      <c r="O140" s="16">
        <f>IF($A140="","",IF($G140="eslesti",$D140,0))</f>
        <v/>
      </c>
      <c r="P140" s="16">
        <f>IF($A140="","",$B140+$M140+$N140)</f>
        <v/>
      </c>
    </row>
    <row r="141">
      <c r="A141" s="16">
        <f>IF('ANAHTAR'!$B141="","",'ANAHTAR'!$B141)</f>
        <v/>
      </c>
      <c r="B141" s="16">
        <f>IF($A141="","",COUNTIF(tblAnahtarB[NormB],$A141))</f>
        <v/>
      </c>
      <c r="C141" s="16">
        <f>IF($A141="","",SUMIF(tblAnahtarB[NormB],$A141,tblVeriB[BeyanTutar]))</f>
        <v/>
      </c>
      <c r="D141" s="16">
        <f>IF($A141="","",SUMIF(tblAnahtarA[Norm],$A141,tblVeriA[Tutar]))</f>
        <v/>
      </c>
      <c r="E141" s="16">
        <f>IF($A141="","",ROUND($D141,2)-ROUND($C141,2))</f>
        <v/>
      </c>
      <c r="F141" s="16">
        <f>IF($A141="","",ABS($E141))</f>
        <v/>
      </c>
      <c r="G141" s="16">
        <f>IF($A141="","",IF($B141=0,"eslesmedi",IF(ROUND($D141,2)=ROUND($C141,2),"eslesti",IF(ABS(ROUND($D141,2)-ROUND($C141,2))&lt;=toleransKurus,"tolerans_icinde","tutar_farki"))))</f>
        <v/>
      </c>
      <c r="H141" s="16">
        <f>IF($A141="","",IF($B141&gt;0,"BIRINCIL",IF(COUNTIF(tblAnahtarB[IkincilB],'ANAHTAR'!$D141)&gt;0,"IKINCIL","YOK")))</f>
        <v/>
      </c>
      <c r="I141" s="16">
        <f>IF($A141="","",'ANAHTAR'!$F141)</f>
        <v/>
      </c>
      <c r="J141" s="16">
        <f>IF(OR($A141="",$D141=0),0,$F141/ABS($D141))</f>
        <v/>
      </c>
      <c r="K141" s="16">
        <f>IF($A141="","",ROUND($D141,2))</f>
        <v/>
      </c>
      <c r="L141" s="16">
        <f>IF($A141="","",ROUND($C141,2))</f>
        <v/>
      </c>
      <c r="M141" s="16">
        <f>IF($A141="","",IF($F141&lt;=toleransKurus,1,0))</f>
        <v/>
      </c>
      <c r="N141" s="16">
        <f>IF($A141="","",IF($F141&gt;cbb_esikFark,1,0))</f>
        <v/>
      </c>
      <c r="O141" s="16">
        <f>IF($A141="","",IF($G141="eslesti",$D141,0))</f>
        <v/>
      </c>
      <c r="P141" s="16">
        <f>IF($A141="","",$B141+$M141+$N141)</f>
        <v/>
      </c>
    </row>
    <row r="142">
      <c r="A142" s="16">
        <f>IF('ANAHTAR'!$B142="","",'ANAHTAR'!$B142)</f>
        <v/>
      </c>
      <c r="B142" s="16">
        <f>IF($A142="","",COUNTIF(tblAnahtarB[NormB],$A142))</f>
        <v/>
      </c>
      <c r="C142" s="16">
        <f>IF($A142="","",SUMIF(tblAnahtarB[NormB],$A142,tblVeriB[BeyanTutar]))</f>
        <v/>
      </c>
      <c r="D142" s="16">
        <f>IF($A142="","",SUMIF(tblAnahtarA[Norm],$A142,tblVeriA[Tutar]))</f>
        <v/>
      </c>
      <c r="E142" s="16">
        <f>IF($A142="","",ROUND($D142,2)-ROUND($C142,2))</f>
        <v/>
      </c>
      <c r="F142" s="16">
        <f>IF($A142="","",ABS($E142))</f>
        <v/>
      </c>
      <c r="G142" s="16">
        <f>IF($A142="","",IF($B142=0,"eslesmedi",IF(ROUND($D142,2)=ROUND($C142,2),"eslesti",IF(ABS(ROUND($D142,2)-ROUND($C142,2))&lt;=toleransKurus,"tolerans_icinde","tutar_farki"))))</f>
        <v/>
      </c>
      <c r="H142" s="16">
        <f>IF($A142="","",IF($B142&gt;0,"BIRINCIL",IF(COUNTIF(tblAnahtarB[IkincilB],'ANAHTAR'!$D142)&gt;0,"IKINCIL","YOK")))</f>
        <v/>
      </c>
      <c r="I142" s="16">
        <f>IF($A142="","",'ANAHTAR'!$F142)</f>
        <v/>
      </c>
      <c r="J142" s="16">
        <f>IF(OR($A142="",$D142=0),0,$F142/ABS($D142))</f>
        <v/>
      </c>
      <c r="K142" s="16">
        <f>IF($A142="","",ROUND($D142,2))</f>
        <v/>
      </c>
      <c r="L142" s="16">
        <f>IF($A142="","",ROUND($C142,2))</f>
        <v/>
      </c>
      <c r="M142" s="16">
        <f>IF($A142="","",IF($F142&lt;=toleransKurus,1,0))</f>
        <v/>
      </c>
      <c r="N142" s="16">
        <f>IF($A142="","",IF($F142&gt;cbb_esikFark,1,0))</f>
        <v/>
      </c>
      <c r="O142" s="16">
        <f>IF($A142="","",IF($G142="eslesti",$D142,0))</f>
        <v/>
      </c>
      <c r="P142" s="16">
        <f>IF($A142="","",$B142+$M142+$N142)</f>
        <v/>
      </c>
    </row>
    <row r="143">
      <c r="A143" s="16">
        <f>IF('ANAHTAR'!$B143="","",'ANAHTAR'!$B143)</f>
        <v/>
      </c>
      <c r="B143" s="16">
        <f>IF($A143="","",COUNTIF(tblAnahtarB[NormB],$A143))</f>
        <v/>
      </c>
      <c r="C143" s="16">
        <f>IF($A143="","",SUMIF(tblAnahtarB[NormB],$A143,tblVeriB[BeyanTutar]))</f>
        <v/>
      </c>
      <c r="D143" s="16">
        <f>IF($A143="","",SUMIF(tblAnahtarA[Norm],$A143,tblVeriA[Tutar]))</f>
        <v/>
      </c>
      <c r="E143" s="16">
        <f>IF($A143="","",ROUND($D143,2)-ROUND($C143,2))</f>
        <v/>
      </c>
      <c r="F143" s="16">
        <f>IF($A143="","",ABS($E143))</f>
        <v/>
      </c>
      <c r="G143" s="16">
        <f>IF($A143="","",IF($B143=0,"eslesmedi",IF(ROUND($D143,2)=ROUND($C143,2),"eslesti",IF(ABS(ROUND($D143,2)-ROUND($C143,2))&lt;=toleransKurus,"tolerans_icinde","tutar_farki"))))</f>
        <v/>
      </c>
      <c r="H143" s="16">
        <f>IF($A143="","",IF($B143&gt;0,"BIRINCIL",IF(COUNTIF(tblAnahtarB[IkincilB],'ANAHTAR'!$D143)&gt;0,"IKINCIL","YOK")))</f>
        <v/>
      </c>
      <c r="I143" s="16">
        <f>IF($A143="","",'ANAHTAR'!$F143)</f>
        <v/>
      </c>
      <c r="J143" s="16">
        <f>IF(OR($A143="",$D143=0),0,$F143/ABS($D143))</f>
        <v/>
      </c>
      <c r="K143" s="16">
        <f>IF($A143="","",ROUND($D143,2))</f>
        <v/>
      </c>
      <c r="L143" s="16">
        <f>IF($A143="","",ROUND($C143,2))</f>
        <v/>
      </c>
      <c r="M143" s="16">
        <f>IF($A143="","",IF($F143&lt;=toleransKurus,1,0))</f>
        <v/>
      </c>
      <c r="N143" s="16">
        <f>IF($A143="","",IF($F143&gt;cbb_esikFark,1,0))</f>
        <v/>
      </c>
      <c r="O143" s="16">
        <f>IF($A143="","",IF($G143="eslesti",$D143,0))</f>
        <v/>
      </c>
      <c r="P143" s="16">
        <f>IF($A143="","",$B143+$M143+$N143)</f>
        <v/>
      </c>
    </row>
    <row r="144">
      <c r="A144" s="16">
        <f>IF('ANAHTAR'!$B144="","",'ANAHTAR'!$B144)</f>
        <v/>
      </c>
      <c r="B144" s="16">
        <f>IF($A144="","",COUNTIF(tblAnahtarB[NormB],$A144))</f>
        <v/>
      </c>
      <c r="C144" s="16">
        <f>IF($A144="","",SUMIF(tblAnahtarB[NormB],$A144,tblVeriB[BeyanTutar]))</f>
        <v/>
      </c>
      <c r="D144" s="16">
        <f>IF($A144="","",SUMIF(tblAnahtarA[Norm],$A144,tblVeriA[Tutar]))</f>
        <v/>
      </c>
      <c r="E144" s="16">
        <f>IF($A144="","",ROUND($D144,2)-ROUND($C144,2))</f>
        <v/>
      </c>
      <c r="F144" s="16">
        <f>IF($A144="","",ABS($E144))</f>
        <v/>
      </c>
      <c r="G144" s="16">
        <f>IF($A144="","",IF($B144=0,"eslesmedi",IF(ROUND($D144,2)=ROUND($C144,2),"eslesti",IF(ABS(ROUND($D144,2)-ROUND($C144,2))&lt;=toleransKurus,"tolerans_icinde","tutar_farki"))))</f>
        <v/>
      </c>
      <c r="H144" s="16">
        <f>IF($A144="","",IF($B144&gt;0,"BIRINCIL",IF(COUNTIF(tblAnahtarB[IkincilB],'ANAHTAR'!$D144)&gt;0,"IKINCIL","YOK")))</f>
        <v/>
      </c>
      <c r="I144" s="16">
        <f>IF($A144="","",'ANAHTAR'!$F144)</f>
        <v/>
      </c>
      <c r="J144" s="16">
        <f>IF(OR($A144="",$D144=0),0,$F144/ABS($D144))</f>
        <v/>
      </c>
      <c r="K144" s="16">
        <f>IF($A144="","",ROUND($D144,2))</f>
        <v/>
      </c>
      <c r="L144" s="16">
        <f>IF($A144="","",ROUND($C144,2))</f>
        <v/>
      </c>
      <c r="M144" s="16">
        <f>IF($A144="","",IF($F144&lt;=toleransKurus,1,0))</f>
        <v/>
      </c>
      <c r="N144" s="16">
        <f>IF($A144="","",IF($F144&gt;cbb_esikFark,1,0))</f>
        <v/>
      </c>
      <c r="O144" s="16">
        <f>IF($A144="","",IF($G144="eslesti",$D144,0))</f>
        <v/>
      </c>
      <c r="P144" s="16">
        <f>IF($A144="","",$B144+$M144+$N144)</f>
        <v/>
      </c>
    </row>
    <row r="145">
      <c r="A145" s="16">
        <f>IF('ANAHTAR'!$B145="","",'ANAHTAR'!$B145)</f>
        <v/>
      </c>
      <c r="B145" s="16">
        <f>IF($A145="","",COUNTIF(tblAnahtarB[NormB],$A145))</f>
        <v/>
      </c>
      <c r="C145" s="16">
        <f>IF($A145="","",SUMIF(tblAnahtarB[NormB],$A145,tblVeriB[BeyanTutar]))</f>
        <v/>
      </c>
      <c r="D145" s="16">
        <f>IF($A145="","",SUMIF(tblAnahtarA[Norm],$A145,tblVeriA[Tutar]))</f>
        <v/>
      </c>
      <c r="E145" s="16">
        <f>IF($A145="","",ROUND($D145,2)-ROUND($C145,2))</f>
        <v/>
      </c>
      <c r="F145" s="16">
        <f>IF($A145="","",ABS($E145))</f>
        <v/>
      </c>
      <c r="G145" s="16">
        <f>IF($A145="","",IF($B145=0,"eslesmedi",IF(ROUND($D145,2)=ROUND($C145,2),"eslesti",IF(ABS(ROUND($D145,2)-ROUND($C145,2))&lt;=toleransKurus,"tolerans_icinde","tutar_farki"))))</f>
        <v/>
      </c>
      <c r="H145" s="16">
        <f>IF($A145="","",IF($B145&gt;0,"BIRINCIL",IF(COUNTIF(tblAnahtarB[IkincilB],'ANAHTAR'!$D145)&gt;0,"IKINCIL","YOK")))</f>
        <v/>
      </c>
      <c r="I145" s="16">
        <f>IF($A145="","",'ANAHTAR'!$F145)</f>
        <v/>
      </c>
      <c r="J145" s="16">
        <f>IF(OR($A145="",$D145=0),0,$F145/ABS($D145))</f>
        <v/>
      </c>
      <c r="K145" s="16">
        <f>IF($A145="","",ROUND($D145,2))</f>
        <v/>
      </c>
      <c r="L145" s="16">
        <f>IF($A145="","",ROUND($C145,2))</f>
        <v/>
      </c>
      <c r="M145" s="16">
        <f>IF($A145="","",IF($F145&lt;=toleransKurus,1,0))</f>
        <v/>
      </c>
      <c r="N145" s="16">
        <f>IF($A145="","",IF($F145&gt;cbb_esikFark,1,0))</f>
        <v/>
      </c>
      <c r="O145" s="16">
        <f>IF($A145="","",IF($G145="eslesti",$D145,0))</f>
        <v/>
      </c>
      <c r="P145" s="16">
        <f>IF($A145="","",$B145+$M145+$N145)</f>
        <v/>
      </c>
    </row>
    <row r="146">
      <c r="A146" s="16">
        <f>IF('ANAHTAR'!$B146="","",'ANAHTAR'!$B146)</f>
        <v/>
      </c>
      <c r="B146" s="16">
        <f>IF($A146="","",COUNTIF(tblAnahtarB[NormB],$A146))</f>
        <v/>
      </c>
      <c r="C146" s="16">
        <f>IF($A146="","",SUMIF(tblAnahtarB[NormB],$A146,tblVeriB[BeyanTutar]))</f>
        <v/>
      </c>
      <c r="D146" s="16">
        <f>IF($A146="","",SUMIF(tblAnahtarA[Norm],$A146,tblVeriA[Tutar]))</f>
        <v/>
      </c>
      <c r="E146" s="16">
        <f>IF($A146="","",ROUND($D146,2)-ROUND($C146,2))</f>
        <v/>
      </c>
      <c r="F146" s="16">
        <f>IF($A146="","",ABS($E146))</f>
        <v/>
      </c>
      <c r="G146" s="16">
        <f>IF($A146="","",IF($B146=0,"eslesmedi",IF(ROUND($D146,2)=ROUND($C146,2),"eslesti",IF(ABS(ROUND($D146,2)-ROUND($C146,2))&lt;=toleransKurus,"tolerans_icinde","tutar_farki"))))</f>
        <v/>
      </c>
      <c r="H146" s="16">
        <f>IF($A146="","",IF($B146&gt;0,"BIRINCIL",IF(COUNTIF(tblAnahtarB[IkincilB],'ANAHTAR'!$D146)&gt;0,"IKINCIL","YOK")))</f>
        <v/>
      </c>
      <c r="I146" s="16">
        <f>IF($A146="","",'ANAHTAR'!$F146)</f>
        <v/>
      </c>
      <c r="J146" s="16">
        <f>IF(OR($A146="",$D146=0),0,$F146/ABS($D146))</f>
        <v/>
      </c>
      <c r="K146" s="16">
        <f>IF($A146="","",ROUND($D146,2))</f>
        <v/>
      </c>
      <c r="L146" s="16">
        <f>IF($A146="","",ROUND($C146,2))</f>
        <v/>
      </c>
      <c r="M146" s="16">
        <f>IF($A146="","",IF($F146&lt;=toleransKurus,1,0))</f>
        <v/>
      </c>
      <c r="N146" s="16">
        <f>IF($A146="","",IF($F146&gt;cbb_esikFark,1,0))</f>
        <v/>
      </c>
      <c r="O146" s="16">
        <f>IF($A146="","",IF($G146="eslesti",$D146,0))</f>
        <v/>
      </c>
      <c r="P146" s="16">
        <f>IF($A146="","",$B146+$M146+$N146)</f>
        <v/>
      </c>
    </row>
    <row r="147">
      <c r="A147" s="16">
        <f>IF('ANAHTAR'!$B147="","",'ANAHTAR'!$B147)</f>
        <v/>
      </c>
      <c r="B147" s="16">
        <f>IF($A147="","",COUNTIF(tblAnahtarB[NormB],$A147))</f>
        <v/>
      </c>
      <c r="C147" s="16">
        <f>IF($A147="","",SUMIF(tblAnahtarB[NormB],$A147,tblVeriB[BeyanTutar]))</f>
        <v/>
      </c>
      <c r="D147" s="16">
        <f>IF($A147="","",SUMIF(tblAnahtarA[Norm],$A147,tblVeriA[Tutar]))</f>
        <v/>
      </c>
      <c r="E147" s="16">
        <f>IF($A147="","",ROUND($D147,2)-ROUND($C147,2))</f>
        <v/>
      </c>
      <c r="F147" s="16">
        <f>IF($A147="","",ABS($E147))</f>
        <v/>
      </c>
      <c r="G147" s="16">
        <f>IF($A147="","",IF($B147=0,"eslesmedi",IF(ROUND($D147,2)=ROUND($C147,2),"eslesti",IF(ABS(ROUND($D147,2)-ROUND($C147,2))&lt;=toleransKurus,"tolerans_icinde","tutar_farki"))))</f>
        <v/>
      </c>
      <c r="H147" s="16">
        <f>IF($A147="","",IF($B147&gt;0,"BIRINCIL",IF(COUNTIF(tblAnahtarB[IkincilB],'ANAHTAR'!$D147)&gt;0,"IKINCIL","YOK")))</f>
        <v/>
      </c>
      <c r="I147" s="16">
        <f>IF($A147="","",'ANAHTAR'!$F147)</f>
        <v/>
      </c>
      <c r="J147" s="16">
        <f>IF(OR($A147="",$D147=0),0,$F147/ABS($D147))</f>
        <v/>
      </c>
      <c r="K147" s="16">
        <f>IF($A147="","",ROUND($D147,2))</f>
        <v/>
      </c>
      <c r="L147" s="16">
        <f>IF($A147="","",ROUND($C147,2))</f>
        <v/>
      </c>
      <c r="M147" s="16">
        <f>IF($A147="","",IF($F147&lt;=toleransKurus,1,0))</f>
        <v/>
      </c>
      <c r="N147" s="16">
        <f>IF($A147="","",IF($F147&gt;cbb_esikFark,1,0))</f>
        <v/>
      </c>
      <c r="O147" s="16">
        <f>IF($A147="","",IF($G147="eslesti",$D147,0))</f>
        <v/>
      </c>
      <c r="P147" s="16">
        <f>IF($A147="","",$B147+$M147+$N147)</f>
        <v/>
      </c>
    </row>
    <row r="148">
      <c r="A148" s="16">
        <f>IF('ANAHTAR'!$B148="","",'ANAHTAR'!$B148)</f>
        <v/>
      </c>
      <c r="B148" s="16">
        <f>IF($A148="","",COUNTIF(tblAnahtarB[NormB],$A148))</f>
        <v/>
      </c>
      <c r="C148" s="16">
        <f>IF($A148="","",SUMIF(tblAnahtarB[NormB],$A148,tblVeriB[BeyanTutar]))</f>
        <v/>
      </c>
      <c r="D148" s="16">
        <f>IF($A148="","",SUMIF(tblAnahtarA[Norm],$A148,tblVeriA[Tutar]))</f>
        <v/>
      </c>
      <c r="E148" s="16">
        <f>IF($A148="","",ROUND($D148,2)-ROUND($C148,2))</f>
        <v/>
      </c>
      <c r="F148" s="16">
        <f>IF($A148="","",ABS($E148))</f>
        <v/>
      </c>
      <c r="G148" s="16">
        <f>IF($A148="","",IF($B148=0,"eslesmedi",IF(ROUND($D148,2)=ROUND($C148,2),"eslesti",IF(ABS(ROUND($D148,2)-ROUND($C148,2))&lt;=toleransKurus,"tolerans_icinde","tutar_farki"))))</f>
        <v/>
      </c>
      <c r="H148" s="16">
        <f>IF($A148="","",IF($B148&gt;0,"BIRINCIL",IF(COUNTIF(tblAnahtarB[IkincilB],'ANAHTAR'!$D148)&gt;0,"IKINCIL","YOK")))</f>
        <v/>
      </c>
      <c r="I148" s="16">
        <f>IF($A148="","",'ANAHTAR'!$F148)</f>
        <v/>
      </c>
      <c r="J148" s="16">
        <f>IF(OR($A148="",$D148=0),0,$F148/ABS($D148))</f>
        <v/>
      </c>
      <c r="K148" s="16">
        <f>IF($A148="","",ROUND($D148,2))</f>
        <v/>
      </c>
      <c r="L148" s="16">
        <f>IF($A148="","",ROUND($C148,2))</f>
        <v/>
      </c>
      <c r="M148" s="16">
        <f>IF($A148="","",IF($F148&lt;=toleransKurus,1,0))</f>
        <v/>
      </c>
      <c r="N148" s="16">
        <f>IF($A148="","",IF($F148&gt;cbb_esikFark,1,0))</f>
        <v/>
      </c>
      <c r="O148" s="16">
        <f>IF($A148="","",IF($G148="eslesti",$D148,0))</f>
        <v/>
      </c>
      <c r="P148" s="16">
        <f>IF($A148="","",$B148+$M148+$N148)</f>
        <v/>
      </c>
    </row>
    <row r="149">
      <c r="A149" s="16">
        <f>IF('ANAHTAR'!$B149="","",'ANAHTAR'!$B149)</f>
        <v/>
      </c>
      <c r="B149" s="16">
        <f>IF($A149="","",COUNTIF(tblAnahtarB[NormB],$A149))</f>
        <v/>
      </c>
      <c r="C149" s="16">
        <f>IF($A149="","",SUMIF(tblAnahtarB[NormB],$A149,tblVeriB[BeyanTutar]))</f>
        <v/>
      </c>
      <c r="D149" s="16">
        <f>IF($A149="","",SUMIF(tblAnahtarA[Norm],$A149,tblVeriA[Tutar]))</f>
        <v/>
      </c>
      <c r="E149" s="16">
        <f>IF($A149="","",ROUND($D149,2)-ROUND($C149,2))</f>
        <v/>
      </c>
      <c r="F149" s="16">
        <f>IF($A149="","",ABS($E149))</f>
        <v/>
      </c>
      <c r="G149" s="16">
        <f>IF($A149="","",IF($B149=0,"eslesmedi",IF(ROUND($D149,2)=ROUND($C149,2),"eslesti",IF(ABS(ROUND($D149,2)-ROUND($C149,2))&lt;=toleransKurus,"tolerans_icinde","tutar_farki"))))</f>
        <v/>
      </c>
      <c r="H149" s="16">
        <f>IF($A149="","",IF($B149&gt;0,"BIRINCIL",IF(COUNTIF(tblAnahtarB[IkincilB],'ANAHTAR'!$D149)&gt;0,"IKINCIL","YOK")))</f>
        <v/>
      </c>
      <c r="I149" s="16">
        <f>IF($A149="","",'ANAHTAR'!$F149)</f>
        <v/>
      </c>
      <c r="J149" s="16">
        <f>IF(OR($A149="",$D149=0),0,$F149/ABS($D149))</f>
        <v/>
      </c>
      <c r="K149" s="16">
        <f>IF($A149="","",ROUND($D149,2))</f>
        <v/>
      </c>
      <c r="L149" s="16">
        <f>IF($A149="","",ROUND($C149,2))</f>
        <v/>
      </c>
      <c r="M149" s="16">
        <f>IF($A149="","",IF($F149&lt;=toleransKurus,1,0))</f>
        <v/>
      </c>
      <c r="N149" s="16">
        <f>IF($A149="","",IF($F149&gt;cbb_esikFark,1,0))</f>
        <v/>
      </c>
      <c r="O149" s="16">
        <f>IF($A149="","",IF($G149="eslesti",$D149,0))</f>
        <v/>
      </c>
      <c r="P149" s="16">
        <f>IF($A149="","",$B149+$M149+$N149)</f>
        <v/>
      </c>
    </row>
    <row r="150">
      <c r="A150" s="16">
        <f>IF('ANAHTAR'!$B150="","",'ANAHTAR'!$B150)</f>
        <v/>
      </c>
      <c r="B150" s="16">
        <f>IF($A150="","",COUNTIF(tblAnahtarB[NormB],$A150))</f>
        <v/>
      </c>
      <c r="C150" s="16">
        <f>IF($A150="","",SUMIF(tblAnahtarB[NormB],$A150,tblVeriB[BeyanTutar]))</f>
        <v/>
      </c>
      <c r="D150" s="16">
        <f>IF($A150="","",SUMIF(tblAnahtarA[Norm],$A150,tblVeriA[Tutar]))</f>
        <v/>
      </c>
      <c r="E150" s="16">
        <f>IF($A150="","",ROUND($D150,2)-ROUND($C150,2))</f>
        <v/>
      </c>
      <c r="F150" s="16">
        <f>IF($A150="","",ABS($E150))</f>
        <v/>
      </c>
      <c r="G150" s="16">
        <f>IF($A150="","",IF($B150=0,"eslesmedi",IF(ROUND($D150,2)=ROUND($C150,2),"eslesti",IF(ABS(ROUND($D150,2)-ROUND($C150,2))&lt;=toleransKurus,"tolerans_icinde","tutar_farki"))))</f>
        <v/>
      </c>
      <c r="H150" s="16">
        <f>IF($A150="","",IF($B150&gt;0,"BIRINCIL",IF(COUNTIF(tblAnahtarB[IkincilB],'ANAHTAR'!$D150)&gt;0,"IKINCIL","YOK")))</f>
        <v/>
      </c>
      <c r="I150" s="16">
        <f>IF($A150="","",'ANAHTAR'!$F150)</f>
        <v/>
      </c>
      <c r="J150" s="16">
        <f>IF(OR($A150="",$D150=0),0,$F150/ABS($D150))</f>
        <v/>
      </c>
      <c r="K150" s="16">
        <f>IF($A150="","",ROUND($D150,2))</f>
        <v/>
      </c>
      <c r="L150" s="16">
        <f>IF($A150="","",ROUND($C150,2))</f>
        <v/>
      </c>
      <c r="M150" s="16">
        <f>IF($A150="","",IF($F150&lt;=toleransKurus,1,0))</f>
        <v/>
      </c>
      <c r="N150" s="16">
        <f>IF($A150="","",IF($F150&gt;cbb_esikFark,1,0))</f>
        <v/>
      </c>
      <c r="O150" s="16">
        <f>IF($A150="","",IF($G150="eslesti",$D150,0))</f>
        <v/>
      </c>
      <c r="P150" s="16">
        <f>IF($A150="","",$B150+$M150+$N150)</f>
        <v/>
      </c>
    </row>
    <row r="151">
      <c r="A151" s="16">
        <f>IF('ANAHTAR'!$B151="","",'ANAHTAR'!$B151)</f>
        <v/>
      </c>
      <c r="B151" s="16">
        <f>IF($A151="","",COUNTIF(tblAnahtarB[NormB],$A151))</f>
        <v/>
      </c>
      <c r="C151" s="16">
        <f>IF($A151="","",SUMIF(tblAnahtarB[NormB],$A151,tblVeriB[BeyanTutar]))</f>
        <v/>
      </c>
      <c r="D151" s="16">
        <f>IF($A151="","",SUMIF(tblAnahtarA[Norm],$A151,tblVeriA[Tutar]))</f>
        <v/>
      </c>
      <c r="E151" s="16">
        <f>IF($A151="","",ROUND($D151,2)-ROUND($C151,2))</f>
        <v/>
      </c>
      <c r="F151" s="16">
        <f>IF($A151="","",ABS($E151))</f>
        <v/>
      </c>
      <c r="G151" s="16">
        <f>IF($A151="","",IF($B151=0,"eslesmedi",IF(ROUND($D151,2)=ROUND($C151,2),"eslesti",IF(ABS(ROUND($D151,2)-ROUND($C151,2))&lt;=toleransKurus,"tolerans_icinde","tutar_farki"))))</f>
        <v/>
      </c>
      <c r="H151" s="16">
        <f>IF($A151="","",IF($B151&gt;0,"BIRINCIL",IF(COUNTIF(tblAnahtarB[IkincilB],'ANAHTAR'!$D151)&gt;0,"IKINCIL","YOK")))</f>
        <v/>
      </c>
      <c r="I151" s="16">
        <f>IF($A151="","",'ANAHTAR'!$F151)</f>
        <v/>
      </c>
      <c r="J151" s="16">
        <f>IF(OR($A151="",$D151=0),0,$F151/ABS($D151))</f>
        <v/>
      </c>
      <c r="K151" s="16">
        <f>IF($A151="","",ROUND($D151,2))</f>
        <v/>
      </c>
      <c r="L151" s="16">
        <f>IF($A151="","",ROUND($C151,2))</f>
        <v/>
      </c>
      <c r="M151" s="16">
        <f>IF($A151="","",IF($F151&lt;=toleransKurus,1,0))</f>
        <v/>
      </c>
      <c r="N151" s="16">
        <f>IF($A151="","",IF($F151&gt;cbb_esikFark,1,0))</f>
        <v/>
      </c>
      <c r="O151" s="16">
        <f>IF($A151="","",IF($G151="eslesti",$D151,0))</f>
        <v/>
      </c>
      <c r="P151" s="16">
        <f>IF($A151="","",$B151+$M151+$N151)</f>
        <v/>
      </c>
    </row>
    <row r="152">
      <c r="A152" s="16">
        <f>IF('ANAHTAR'!$B152="","",'ANAHTAR'!$B152)</f>
        <v/>
      </c>
      <c r="B152" s="16">
        <f>IF($A152="","",COUNTIF(tblAnahtarB[NormB],$A152))</f>
        <v/>
      </c>
      <c r="C152" s="16">
        <f>IF($A152="","",SUMIF(tblAnahtarB[NormB],$A152,tblVeriB[BeyanTutar]))</f>
        <v/>
      </c>
      <c r="D152" s="16">
        <f>IF($A152="","",SUMIF(tblAnahtarA[Norm],$A152,tblVeriA[Tutar]))</f>
        <v/>
      </c>
      <c r="E152" s="16">
        <f>IF($A152="","",ROUND($D152,2)-ROUND($C152,2))</f>
        <v/>
      </c>
      <c r="F152" s="16">
        <f>IF($A152="","",ABS($E152))</f>
        <v/>
      </c>
      <c r="G152" s="16">
        <f>IF($A152="","",IF($B152=0,"eslesmedi",IF(ROUND($D152,2)=ROUND($C152,2),"eslesti",IF(ABS(ROUND($D152,2)-ROUND($C152,2))&lt;=toleransKurus,"tolerans_icinde","tutar_farki"))))</f>
        <v/>
      </c>
      <c r="H152" s="16">
        <f>IF($A152="","",IF($B152&gt;0,"BIRINCIL",IF(COUNTIF(tblAnahtarB[IkincilB],'ANAHTAR'!$D152)&gt;0,"IKINCIL","YOK")))</f>
        <v/>
      </c>
      <c r="I152" s="16">
        <f>IF($A152="","",'ANAHTAR'!$F152)</f>
        <v/>
      </c>
      <c r="J152" s="16">
        <f>IF(OR($A152="",$D152=0),0,$F152/ABS($D152))</f>
        <v/>
      </c>
      <c r="K152" s="16">
        <f>IF($A152="","",ROUND($D152,2))</f>
        <v/>
      </c>
      <c r="L152" s="16">
        <f>IF($A152="","",ROUND($C152,2))</f>
        <v/>
      </c>
      <c r="M152" s="16">
        <f>IF($A152="","",IF($F152&lt;=toleransKurus,1,0))</f>
        <v/>
      </c>
      <c r="N152" s="16">
        <f>IF($A152="","",IF($F152&gt;cbb_esikFark,1,0))</f>
        <v/>
      </c>
      <c r="O152" s="16">
        <f>IF($A152="","",IF($G152="eslesti",$D152,0))</f>
        <v/>
      </c>
      <c r="P152" s="16">
        <f>IF($A152="","",$B152+$M152+$N152)</f>
        <v/>
      </c>
    </row>
    <row r="153">
      <c r="A153" s="16">
        <f>IF('ANAHTAR'!$B153="","",'ANAHTAR'!$B153)</f>
        <v/>
      </c>
      <c r="B153" s="16">
        <f>IF($A153="","",COUNTIF(tblAnahtarB[NormB],$A153))</f>
        <v/>
      </c>
      <c r="C153" s="16">
        <f>IF($A153="","",SUMIF(tblAnahtarB[NormB],$A153,tblVeriB[BeyanTutar]))</f>
        <v/>
      </c>
      <c r="D153" s="16">
        <f>IF($A153="","",SUMIF(tblAnahtarA[Norm],$A153,tblVeriA[Tutar]))</f>
        <v/>
      </c>
      <c r="E153" s="16">
        <f>IF($A153="","",ROUND($D153,2)-ROUND($C153,2))</f>
        <v/>
      </c>
      <c r="F153" s="16">
        <f>IF($A153="","",ABS($E153))</f>
        <v/>
      </c>
      <c r="G153" s="16">
        <f>IF($A153="","",IF($B153=0,"eslesmedi",IF(ROUND($D153,2)=ROUND($C153,2),"eslesti",IF(ABS(ROUND($D153,2)-ROUND($C153,2))&lt;=toleransKurus,"tolerans_icinde","tutar_farki"))))</f>
        <v/>
      </c>
      <c r="H153" s="16">
        <f>IF($A153="","",IF($B153&gt;0,"BIRINCIL",IF(COUNTIF(tblAnahtarB[IkincilB],'ANAHTAR'!$D153)&gt;0,"IKINCIL","YOK")))</f>
        <v/>
      </c>
      <c r="I153" s="16">
        <f>IF($A153="","",'ANAHTAR'!$F153)</f>
        <v/>
      </c>
      <c r="J153" s="16">
        <f>IF(OR($A153="",$D153=0),0,$F153/ABS($D153))</f>
        <v/>
      </c>
      <c r="K153" s="16">
        <f>IF($A153="","",ROUND($D153,2))</f>
        <v/>
      </c>
      <c r="L153" s="16">
        <f>IF($A153="","",ROUND($C153,2))</f>
        <v/>
      </c>
      <c r="M153" s="16">
        <f>IF($A153="","",IF($F153&lt;=toleransKurus,1,0))</f>
        <v/>
      </c>
      <c r="N153" s="16">
        <f>IF($A153="","",IF($F153&gt;cbb_esikFark,1,0))</f>
        <v/>
      </c>
      <c r="O153" s="16">
        <f>IF($A153="","",IF($G153="eslesti",$D153,0))</f>
        <v/>
      </c>
      <c r="P153" s="16">
        <f>IF($A153="","",$B153+$M153+$N153)</f>
        <v/>
      </c>
    </row>
    <row r="154">
      <c r="A154" s="16">
        <f>IF('ANAHTAR'!$B154="","",'ANAHTAR'!$B154)</f>
        <v/>
      </c>
      <c r="B154" s="16">
        <f>IF($A154="","",COUNTIF(tblAnahtarB[NormB],$A154))</f>
        <v/>
      </c>
      <c r="C154" s="16">
        <f>IF($A154="","",SUMIF(tblAnahtarB[NormB],$A154,tblVeriB[BeyanTutar]))</f>
        <v/>
      </c>
      <c r="D154" s="16">
        <f>IF($A154="","",SUMIF(tblAnahtarA[Norm],$A154,tblVeriA[Tutar]))</f>
        <v/>
      </c>
      <c r="E154" s="16">
        <f>IF($A154="","",ROUND($D154,2)-ROUND($C154,2))</f>
        <v/>
      </c>
      <c r="F154" s="16">
        <f>IF($A154="","",ABS($E154))</f>
        <v/>
      </c>
      <c r="G154" s="16">
        <f>IF($A154="","",IF($B154=0,"eslesmedi",IF(ROUND($D154,2)=ROUND($C154,2),"eslesti",IF(ABS(ROUND($D154,2)-ROUND($C154,2))&lt;=toleransKurus,"tolerans_icinde","tutar_farki"))))</f>
        <v/>
      </c>
      <c r="H154" s="16">
        <f>IF($A154="","",IF($B154&gt;0,"BIRINCIL",IF(COUNTIF(tblAnahtarB[IkincilB],'ANAHTAR'!$D154)&gt;0,"IKINCIL","YOK")))</f>
        <v/>
      </c>
      <c r="I154" s="16">
        <f>IF($A154="","",'ANAHTAR'!$F154)</f>
        <v/>
      </c>
      <c r="J154" s="16">
        <f>IF(OR($A154="",$D154=0),0,$F154/ABS($D154))</f>
        <v/>
      </c>
      <c r="K154" s="16">
        <f>IF($A154="","",ROUND($D154,2))</f>
        <v/>
      </c>
      <c r="L154" s="16">
        <f>IF($A154="","",ROUND($C154,2))</f>
        <v/>
      </c>
      <c r="M154" s="16">
        <f>IF($A154="","",IF($F154&lt;=toleransKurus,1,0))</f>
        <v/>
      </c>
      <c r="N154" s="16">
        <f>IF($A154="","",IF($F154&gt;cbb_esikFark,1,0))</f>
        <v/>
      </c>
      <c r="O154" s="16">
        <f>IF($A154="","",IF($G154="eslesti",$D154,0))</f>
        <v/>
      </c>
      <c r="P154" s="16">
        <f>IF($A154="","",$B154+$M154+$N154)</f>
        <v/>
      </c>
    </row>
    <row r="155">
      <c r="A155" s="16">
        <f>IF('ANAHTAR'!$B155="","",'ANAHTAR'!$B155)</f>
        <v/>
      </c>
      <c r="B155" s="16">
        <f>IF($A155="","",COUNTIF(tblAnahtarB[NormB],$A155))</f>
        <v/>
      </c>
      <c r="C155" s="16">
        <f>IF($A155="","",SUMIF(tblAnahtarB[NormB],$A155,tblVeriB[BeyanTutar]))</f>
        <v/>
      </c>
      <c r="D155" s="16">
        <f>IF($A155="","",SUMIF(tblAnahtarA[Norm],$A155,tblVeriA[Tutar]))</f>
        <v/>
      </c>
      <c r="E155" s="16">
        <f>IF($A155="","",ROUND($D155,2)-ROUND($C155,2))</f>
        <v/>
      </c>
      <c r="F155" s="16">
        <f>IF($A155="","",ABS($E155))</f>
        <v/>
      </c>
      <c r="G155" s="16">
        <f>IF($A155="","",IF($B155=0,"eslesmedi",IF(ROUND($D155,2)=ROUND($C155,2),"eslesti",IF(ABS(ROUND($D155,2)-ROUND($C155,2))&lt;=toleransKurus,"tolerans_icinde","tutar_farki"))))</f>
        <v/>
      </c>
      <c r="H155" s="16">
        <f>IF($A155="","",IF($B155&gt;0,"BIRINCIL",IF(COUNTIF(tblAnahtarB[IkincilB],'ANAHTAR'!$D155)&gt;0,"IKINCIL","YOK")))</f>
        <v/>
      </c>
      <c r="I155" s="16">
        <f>IF($A155="","",'ANAHTAR'!$F155)</f>
        <v/>
      </c>
      <c r="J155" s="16">
        <f>IF(OR($A155="",$D155=0),0,$F155/ABS($D155))</f>
        <v/>
      </c>
      <c r="K155" s="16">
        <f>IF($A155="","",ROUND($D155,2))</f>
        <v/>
      </c>
      <c r="L155" s="16">
        <f>IF($A155="","",ROUND($C155,2))</f>
        <v/>
      </c>
      <c r="M155" s="16">
        <f>IF($A155="","",IF($F155&lt;=toleransKurus,1,0))</f>
        <v/>
      </c>
      <c r="N155" s="16">
        <f>IF($A155="","",IF($F155&gt;cbb_esikFark,1,0))</f>
        <v/>
      </c>
      <c r="O155" s="16">
        <f>IF($A155="","",IF($G155="eslesti",$D155,0))</f>
        <v/>
      </c>
      <c r="P155" s="16">
        <f>IF($A155="","",$B155+$M155+$N155)</f>
        <v/>
      </c>
    </row>
    <row r="156">
      <c r="A156" s="16">
        <f>IF('ANAHTAR'!$B156="","",'ANAHTAR'!$B156)</f>
        <v/>
      </c>
      <c r="B156" s="16">
        <f>IF($A156="","",COUNTIF(tblAnahtarB[NormB],$A156))</f>
        <v/>
      </c>
      <c r="C156" s="16">
        <f>IF($A156="","",SUMIF(tblAnahtarB[NormB],$A156,tblVeriB[BeyanTutar]))</f>
        <v/>
      </c>
      <c r="D156" s="16">
        <f>IF($A156="","",SUMIF(tblAnahtarA[Norm],$A156,tblVeriA[Tutar]))</f>
        <v/>
      </c>
      <c r="E156" s="16">
        <f>IF($A156="","",ROUND($D156,2)-ROUND($C156,2))</f>
        <v/>
      </c>
      <c r="F156" s="16">
        <f>IF($A156="","",ABS($E156))</f>
        <v/>
      </c>
      <c r="G156" s="16">
        <f>IF($A156="","",IF($B156=0,"eslesmedi",IF(ROUND($D156,2)=ROUND($C156,2),"eslesti",IF(ABS(ROUND($D156,2)-ROUND($C156,2))&lt;=toleransKurus,"tolerans_icinde","tutar_farki"))))</f>
        <v/>
      </c>
      <c r="H156" s="16">
        <f>IF($A156="","",IF($B156&gt;0,"BIRINCIL",IF(COUNTIF(tblAnahtarB[IkincilB],'ANAHTAR'!$D156)&gt;0,"IKINCIL","YOK")))</f>
        <v/>
      </c>
      <c r="I156" s="16">
        <f>IF($A156="","",'ANAHTAR'!$F156)</f>
        <v/>
      </c>
      <c r="J156" s="16">
        <f>IF(OR($A156="",$D156=0),0,$F156/ABS($D156))</f>
        <v/>
      </c>
      <c r="K156" s="16">
        <f>IF($A156="","",ROUND($D156,2))</f>
        <v/>
      </c>
      <c r="L156" s="16">
        <f>IF($A156="","",ROUND($C156,2))</f>
        <v/>
      </c>
      <c r="M156" s="16">
        <f>IF($A156="","",IF($F156&lt;=toleransKurus,1,0))</f>
        <v/>
      </c>
      <c r="N156" s="16">
        <f>IF($A156="","",IF($F156&gt;cbb_esikFark,1,0))</f>
        <v/>
      </c>
      <c r="O156" s="16">
        <f>IF($A156="","",IF($G156="eslesti",$D156,0))</f>
        <v/>
      </c>
      <c r="P156" s="16">
        <f>IF($A156="","",$B156+$M156+$N156)</f>
        <v/>
      </c>
    </row>
    <row r="157">
      <c r="A157" s="16">
        <f>IF('ANAHTAR'!$B157="","",'ANAHTAR'!$B157)</f>
        <v/>
      </c>
      <c r="B157" s="16">
        <f>IF($A157="","",COUNTIF(tblAnahtarB[NormB],$A157))</f>
        <v/>
      </c>
      <c r="C157" s="16">
        <f>IF($A157="","",SUMIF(tblAnahtarB[NormB],$A157,tblVeriB[BeyanTutar]))</f>
        <v/>
      </c>
      <c r="D157" s="16">
        <f>IF($A157="","",SUMIF(tblAnahtarA[Norm],$A157,tblVeriA[Tutar]))</f>
        <v/>
      </c>
      <c r="E157" s="16">
        <f>IF($A157="","",ROUND($D157,2)-ROUND($C157,2))</f>
        <v/>
      </c>
      <c r="F157" s="16">
        <f>IF($A157="","",ABS($E157))</f>
        <v/>
      </c>
      <c r="G157" s="16">
        <f>IF($A157="","",IF($B157=0,"eslesmedi",IF(ROUND($D157,2)=ROUND($C157,2),"eslesti",IF(ABS(ROUND($D157,2)-ROUND($C157,2))&lt;=toleransKurus,"tolerans_icinde","tutar_farki"))))</f>
        <v/>
      </c>
      <c r="H157" s="16">
        <f>IF($A157="","",IF($B157&gt;0,"BIRINCIL",IF(COUNTIF(tblAnahtarB[IkincilB],'ANAHTAR'!$D157)&gt;0,"IKINCIL","YOK")))</f>
        <v/>
      </c>
      <c r="I157" s="16">
        <f>IF($A157="","",'ANAHTAR'!$F157)</f>
        <v/>
      </c>
      <c r="J157" s="16">
        <f>IF(OR($A157="",$D157=0),0,$F157/ABS($D157))</f>
        <v/>
      </c>
      <c r="K157" s="16">
        <f>IF($A157="","",ROUND($D157,2))</f>
        <v/>
      </c>
      <c r="L157" s="16">
        <f>IF($A157="","",ROUND($C157,2))</f>
        <v/>
      </c>
      <c r="M157" s="16">
        <f>IF($A157="","",IF($F157&lt;=toleransKurus,1,0))</f>
        <v/>
      </c>
      <c r="N157" s="16">
        <f>IF($A157="","",IF($F157&gt;cbb_esikFark,1,0))</f>
        <v/>
      </c>
      <c r="O157" s="16">
        <f>IF($A157="","",IF($G157="eslesti",$D157,0))</f>
        <v/>
      </c>
      <c r="P157" s="16">
        <f>IF($A157="","",$B157+$M157+$N157)</f>
        <v/>
      </c>
    </row>
    <row r="158">
      <c r="A158" s="16">
        <f>IF('ANAHTAR'!$B158="","",'ANAHTAR'!$B158)</f>
        <v/>
      </c>
      <c r="B158" s="16">
        <f>IF($A158="","",COUNTIF(tblAnahtarB[NormB],$A158))</f>
        <v/>
      </c>
      <c r="C158" s="16">
        <f>IF($A158="","",SUMIF(tblAnahtarB[NormB],$A158,tblVeriB[BeyanTutar]))</f>
        <v/>
      </c>
      <c r="D158" s="16">
        <f>IF($A158="","",SUMIF(tblAnahtarA[Norm],$A158,tblVeriA[Tutar]))</f>
        <v/>
      </c>
      <c r="E158" s="16">
        <f>IF($A158="","",ROUND($D158,2)-ROUND($C158,2))</f>
        <v/>
      </c>
      <c r="F158" s="16">
        <f>IF($A158="","",ABS($E158))</f>
        <v/>
      </c>
      <c r="G158" s="16">
        <f>IF($A158="","",IF($B158=0,"eslesmedi",IF(ROUND($D158,2)=ROUND($C158,2),"eslesti",IF(ABS(ROUND($D158,2)-ROUND($C158,2))&lt;=toleransKurus,"tolerans_icinde","tutar_farki"))))</f>
        <v/>
      </c>
      <c r="H158" s="16">
        <f>IF($A158="","",IF($B158&gt;0,"BIRINCIL",IF(COUNTIF(tblAnahtarB[IkincilB],'ANAHTAR'!$D158)&gt;0,"IKINCIL","YOK")))</f>
        <v/>
      </c>
      <c r="I158" s="16">
        <f>IF($A158="","",'ANAHTAR'!$F158)</f>
        <v/>
      </c>
      <c r="J158" s="16">
        <f>IF(OR($A158="",$D158=0),0,$F158/ABS($D158))</f>
        <v/>
      </c>
      <c r="K158" s="16">
        <f>IF($A158="","",ROUND($D158,2))</f>
        <v/>
      </c>
      <c r="L158" s="16">
        <f>IF($A158="","",ROUND($C158,2))</f>
        <v/>
      </c>
      <c r="M158" s="16">
        <f>IF($A158="","",IF($F158&lt;=toleransKurus,1,0))</f>
        <v/>
      </c>
      <c r="N158" s="16">
        <f>IF($A158="","",IF($F158&gt;cbb_esikFark,1,0))</f>
        <v/>
      </c>
      <c r="O158" s="16">
        <f>IF($A158="","",IF($G158="eslesti",$D158,0))</f>
        <v/>
      </c>
      <c r="P158" s="16">
        <f>IF($A158="","",$B158+$M158+$N158)</f>
        <v/>
      </c>
    </row>
    <row r="159">
      <c r="A159" s="16">
        <f>IF('ANAHTAR'!$B159="","",'ANAHTAR'!$B159)</f>
        <v/>
      </c>
      <c r="B159" s="16">
        <f>IF($A159="","",COUNTIF(tblAnahtarB[NormB],$A159))</f>
        <v/>
      </c>
      <c r="C159" s="16">
        <f>IF($A159="","",SUMIF(tblAnahtarB[NormB],$A159,tblVeriB[BeyanTutar]))</f>
        <v/>
      </c>
      <c r="D159" s="16">
        <f>IF($A159="","",SUMIF(tblAnahtarA[Norm],$A159,tblVeriA[Tutar]))</f>
        <v/>
      </c>
      <c r="E159" s="16">
        <f>IF($A159="","",ROUND($D159,2)-ROUND($C159,2))</f>
        <v/>
      </c>
      <c r="F159" s="16">
        <f>IF($A159="","",ABS($E159))</f>
        <v/>
      </c>
      <c r="G159" s="16">
        <f>IF($A159="","",IF($B159=0,"eslesmedi",IF(ROUND($D159,2)=ROUND($C159,2),"eslesti",IF(ABS(ROUND($D159,2)-ROUND($C159,2))&lt;=toleransKurus,"tolerans_icinde","tutar_farki"))))</f>
        <v/>
      </c>
      <c r="H159" s="16">
        <f>IF($A159="","",IF($B159&gt;0,"BIRINCIL",IF(COUNTIF(tblAnahtarB[IkincilB],'ANAHTAR'!$D159)&gt;0,"IKINCIL","YOK")))</f>
        <v/>
      </c>
      <c r="I159" s="16">
        <f>IF($A159="","",'ANAHTAR'!$F159)</f>
        <v/>
      </c>
      <c r="J159" s="16">
        <f>IF(OR($A159="",$D159=0),0,$F159/ABS($D159))</f>
        <v/>
      </c>
      <c r="K159" s="16">
        <f>IF($A159="","",ROUND($D159,2))</f>
        <v/>
      </c>
      <c r="L159" s="16">
        <f>IF($A159="","",ROUND($C159,2))</f>
        <v/>
      </c>
      <c r="M159" s="16">
        <f>IF($A159="","",IF($F159&lt;=toleransKurus,1,0))</f>
        <v/>
      </c>
      <c r="N159" s="16">
        <f>IF($A159="","",IF($F159&gt;cbb_esikFark,1,0))</f>
        <v/>
      </c>
      <c r="O159" s="16">
        <f>IF($A159="","",IF($G159="eslesti",$D159,0))</f>
        <v/>
      </c>
      <c r="P159" s="16">
        <f>IF($A159="","",$B159+$M159+$N159)</f>
        <v/>
      </c>
    </row>
    <row r="160">
      <c r="A160" s="16">
        <f>IF('ANAHTAR'!$B160="","",'ANAHTAR'!$B160)</f>
        <v/>
      </c>
      <c r="B160" s="16">
        <f>IF($A160="","",COUNTIF(tblAnahtarB[NormB],$A160))</f>
        <v/>
      </c>
      <c r="C160" s="16">
        <f>IF($A160="","",SUMIF(tblAnahtarB[NormB],$A160,tblVeriB[BeyanTutar]))</f>
        <v/>
      </c>
      <c r="D160" s="16">
        <f>IF($A160="","",SUMIF(tblAnahtarA[Norm],$A160,tblVeriA[Tutar]))</f>
        <v/>
      </c>
      <c r="E160" s="16">
        <f>IF($A160="","",ROUND($D160,2)-ROUND($C160,2))</f>
        <v/>
      </c>
      <c r="F160" s="16">
        <f>IF($A160="","",ABS($E160))</f>
        <v/>
      </c>
      <c r="G160" s="16">
        <f>IF($A160="","",IF($B160=0,"eslesmedi",IF(ROUND($D160,2)=ROUND($C160,2),"eslesti",IF(ABS(ROUND($D160,2)-ROUND($C160,2))&lt;=toleransKurus,"tolerans_icinde","tutar_farki"))))</f>
        <v/>
      </c>
      <c r="H160" s="16">
        <f>IF($A160="","",IF($B160&gt;0,"BIRINCIL",IF(COUNTIF(tblAnahtarB[IkincilB],'ANAHTAR'!$D160)&gt;0,"IKINCIL","YOK")))</f>
        <v/>
      </c>
      <c r="I160" s="16">
        <f>IF($A160="","",'ANAHTAR'!$F160)</f>
        <v/>
      </c>
      <c r="J160" s="16">
        <f>IF(OR($A160="",$D160=0),0,$F160/ABS($D160))</f>
        <v/>
      </c>
      <c r="K160" s="16">
        <f>IF($A160="","",ROUND($D160,2))</f>
        <v/>
      </c>
      <c r="L160" s="16">
        <f>IF($A160="","",ROUND($C160,2))</f>
        <v/>
      </c>
      <c r="M160" s="16">
        <f>IF($A160="","",IF($F160&lt;=toleransKurus,1,0))</f>
        <v/>
      </c>
      <c r="N160" s="16">
        <f>IF($A160="","",IF($F160&gt;cbb_esikFark,1,0))</f>
        <v/>
      </c>
      <c r="O160" s="16">
        <f>IF($A160="","",IF($G160="eslesti",$D160,0))</f>
        <v/>
      </c>
      <c r="P160" s="16">
        <f>IF($A160="","",$B160+$M160+$N160)</f>
        <v/>
      </c>
    </row>
    <row r="161">
      <c r="A161" s="16">
        <f>IF('ANAHTAR'!$B161="","",'ANAHTAR'!$B161)</f>
        <v/>
      </c>
      <c r="B161" s="16">
        <f>IF($A161="","",COUNTIF(tblAnahtarB[NormB],$A161))</f>
        <v/>
      </c>
      <c r="C161" s="16">
        <f>IF($A161="","",SUMIF(tblAnahtarB[NormB],$A161,tblVeriB[BeyanTutar]))</f>
        <v/>
      </c>
      <c r="D161" s="16">
        <f>IF($A161="","",SUMIF(tblAnahtarA[Norm],$A161,tblVeriA[Tutar]))</f>
        <v/>
      </c>
      <c r="E161" s="16">
        <f>IF($A161="","",ROUND($D161,2)-ROUND($C161,2))</f>
        <v/>
      </c>
      <c r="F161" s="16">
        <f>IF($A161="","",ABS($E161))</f>
        <v/>
      </c>
      <c r="G161" s="16">
        <f>IF($A161="","",IF($B161=0,"eslesmedi",IF(ROUND($D161,2)=ROUND($C161,2),"eslesti",IF(ABS(ROUND($D161,2)-ROUND($C161,2))&lt;=toleransKurus,"tolerans_icinde","tutar_farki"))))</f>
        <v/>
      </c>
      <c r="H161" s="16">
        <f>IF($A161="","",IF($B161&gt;0,"BIRINCIL",IF(COUNTIF(tblAnahtarB[IkincilB],'ANAHTAR'!$D161)&gt;0,"IKINCIL","YOK")))</f>
        <v/>
      </c>
      <c r="I161" s="16">
        <f>IF($A161="","",'ANAHTAR'!$F161)</f>
        <v/>
      </c>
      <c r="J161" s="16">
        <f>IF(OR($A161="",$D161=0),0,$F161/ABS($D161))</f>
        <v/>
      </c>
      <c r="K161" s="16">
        <f>IF($A161="","",ROUND($D161,2))</f>
        <v/>
      </c>
      <c r="L161" s="16">
        <f>IF($A161="","",ROUND($C161,2))</f>
        <v/>
      </c>
      <c r="M161" s="16">
        <f>IF($A161="","",IF($F161&lt;=toleransKurus,1,0))</f>
        <v/>
      </c>
      <c r="N161" s="16">
        <f>IF($A161="","",IF($F161&gt;cbb_esikFark,1,0))</f>
        <v/>
      </c>
      <c r="O161" s="16">
        <f>IF($A161="","",IF($G161="eslesti",$D161,0))</f>
        <v/>
      </c>
      <c r="P161" s="16">
        <f>IF($A161="","",$B161+$M161+$N161)</f>
        <v/>
      </c>
    </row>
    <row r="162">
      <c r="A162" s="16">
        <f>IF('ANAHTAR'!$B162="","",'ANAHTAR'!$B162)</f>
        <v/>
      </c>
      <c r="B162" s="16">
        <f>IF($A162="","",COUNTIF(tblAnahtarB[NormB],$A162))</f>
        <v/>
      </c>
      <c r="C162" s="16">
        <f>IF($A162="","",SUMIF(tblAnahtarB[NormB],$A162,tblVeriB[BeyanTutar]))</f>
        <v/>
      </c>
      <c r="D162" s="16">
        <f>IF($A162="","",SUMIF(tblAnahtarA[Norm],$A162,tblVeriA[Tutar]))</f>
        <v/>
      </c>
      <c r="E162" s="16">
        <f>IF($A162="","",ROUND($D162,2)-ROUND($C162,2))</f>
        <v/>
      </c>
      <c r="F162" s="16">
        <f>IF($A162="","",ABS($E162))</f>
        <v/>
      </c>
      <c r="G162" s="16">
        <f>IF($A162="","",IF($B162=0,"eslesmedi",IF(ROUND($D162,2)=ROUND($C162,2),"eslesti",IF(ABS(ROUND($D162,2)-ROUND($C162,2))&lt;=toleransKurus,"tolerans_icinde","tutar_farki"))))</f>
        <v/>
      </c>
      <c r="H162" s="16">
        <f>IF($A162="","",IF($B162&gt;0,"BIRINCIL",IF(COUNTIF(tblAnahtarB[IkincilB],'ANAHTAR'!$D162)&gt;0,"IKINCIL","YOK")))</f>
        <v/>
      </c>
      <c r="I162" s="16">
        <f>IF($A162="","",'ANAHTAR'!$F162)</f>
        <v/>
      </c>
      <c r="J162" s="16">
        <f>IF(OR($A162="",$D162=0),0,$F162/ABS($D162))</f>
        <v/>
      </c>
      <c r="K162" s="16">
        <f>IF($A162="","",ROUND($D162,2))</f>
        <v/>
      </c>
      <c r="L162" s="16">
        <f>IF($A162="","",ROUND($C162,2))</f>
        <v/>
      </c>
      <c r="M162" s="16">
        <f>IF($A162="","",IF($F162&lt;=toleransKurus,1,0))</f>
        <v/>
      </c>
      <c r="N162" s="16">
        <f>IF($A162="","",IF($F162&gt;cbb_esikFark,1,0))</f>
        <v/>
      </c>
      <c r="O162" s="16">
        <f>IF($A162="","",IF($G162="eslesti",$D162,0))</f>
        <v/>
      </c>
      <c r="P162" s="16">
        <f>IF($A162="","",$B162+$M162+$N162)</f>
        <v/>
      </c>
    </row>
    <row r="163">
      <c r="A163" s="16">
        <f>IF('ANAHTAR'!$B163="","",'ANAHTAR'!$B163)</f>
        <v/>
      </c>
      <c r="B163" s="16">
        <f>IF($A163="","",COUNTIF(tblAnahtarB[NormB],$A163))</f>
        <v/>
      </c>
      <c r="C163" s="16">
        <f>IF($A163="","",SUMIF(tblAnahtarB[NormB],$A163,tblVeriB[BeyanTutar]))</f>
        <v/>
      </c>
      <c r="D163" s="16">
        <f>IF($A163="","",SUMIF(tblAnahtarA[Norm],$A163,tblVeriA[Tutar]))</f>
        <v/>
      </c>
      <c r="E163" s="16">
        <f>IF($A163="","",ROUND($D163,2)-ROUND($C163,2))</f>
        <v/>
      </c>
      <c r="F163" s="16">
        <f>IF($A163="","",ABS($E163))</f>
        <v/>
      </c>
      <c r="G163" s="16">
        <f>IF($A163="","",IF($B163=0,"eslesmedi",IF(ROUND($D163,2)=ROUND($C163,2),"eslesti",IF(ABS(ROUND($D163,2)-ROUND($C163,2))&lt;=toleransKurus,"tolerans_icinde","tutar_farki"))))</f>
        <v/>
      </c>
      <c r="H163" s="16">
        <f>IF($A163="","",IF($B163&gt;0,"BIRINCIL",IF(COUNTIF(tblAnahtarB[IkincilB],'ANAHTAR'!$D163)&gt;0,"IKINCIL","YOK")))</f>
        <v/>
      </c>
      <c r="I163" s="16">
        <f>IF($A163="","",'ANAHTAR'!$F163)</f>
        <v/>
      </c>
      <c r="J163" s="16">
        <f>IF(OR($A163="",$D163=0),0,$F163/ABS($D163))</f>
        <v/>
      </c>
      <c r="K163" s="16">
        <f>IF($A163="","",ROUND($D163,2))</f>
        <v/>
      </c>
      <c r="L163" s="16">
        <f>IF($A163="","",ROUND($C163,2))</f>
        <v/>
      </c>
      <c r="M163" s="16">
        <f>IF($A163="","",IF($F163&lt;=toleransKurus,1,0))</f>
        <v/>
      </c>
      <c r="N163" s="16">
        <f>IF($A163="","",IF($F163&gt;cbb_esikFark,1,0))</f>
        <v/>
      </c>
      <c r="O163" s="16">
        <f>IF($A163="","",IF($G163="eslesti",$D163,0))</f>
        <v/>
      </c>
      <c r="P163" s="16">
        <f>IF($A163="","",$B163+$M163+$N163)</f>
        <v/>
      </c>
    </row>
    <row r="164">
      <c r="A164" s="16">
        <f>IF('ANAHTAR'!$B164="","",'ANAHTAR'!$B164)</f>
        <v/>
      </c>
      <c r="B164" s="16">
        <f>IF($A164="","",COUNTIF(tblAnahtarB[NormB],$A164))</f>
        <v/>
      </c>
      <c r="C164" s="16">
        <f>IF($A164="","",SUMIF(tblAnahtarB[NormB],$A164,tblVeriB[BeyanTutar]))</f>
        <v/>
      </c>
      <c r="D164" s="16">
        <f>IF($A164="","",SUMIF(tblAnahtarA[Norm],$A164,tblVeriA[Tutar]))</f>
        <v/>
      </c>
      <c r="E164" s="16">
        <f>IF($A164="","",ROUND($D164,2)-ROUND($C164,2))</f>
        <v/>
      </c>
      <c r="F164" s="16">
        <f>IF($A164="","",ABS($E164))</f>
        <v/>
      </c>
      <c r="G164" s="16">
        <f>IF($A164="","",IF($B164=0,"eslesmedi",IF(ROUND($D164,2)=ROUND($C164,2),"eslesti",IF(ABS(ROUND($D164,2)-ROUND($C164,2))&lt;=toleransKurus,"tolerans_icinde","tutar_farki"))))</f>
        <v/>
      </c>
      <c r="H164" s="16">
        <f>IF($A164="","",IF($B164&gt;0,"BIRINCIL",IF(COUNTIF(tblAnahtarB[IkincilB],'ANAHTAR'!$D164)&gt;0,"IKINCIL","YOK")))</f>
        <v/>
      </c>
      <c r="I164" s="16">
        <f>IF($A164="","",'ANAHTAR'!$F164)</f>
        <v/>
      </c>
      <c r="J164" s="16">
        <f>IF(OR($A164="",$D164=0),0,$F164/ABS($D164))</f>
        <v/>
      </c>
      <c r="K164" s="16">
        <f>IF($A164="","",ROUND($D164,2))</f>
        <v/>
      </c>
      <c r="L164" s="16">
        <f>IF($A164="","",ROUND($C164,2))</f>
        <v/>
      </c>
      <c r="M164" s="16">
        <f>IF($A164="","",IF($F164&lt;=toleransKurus,1,0))</f>
        <v/>
      </c>
      <c r="N164" s="16">
        <f>IF($A164="","",IF($F164&gt;cbb_esikFark,1,0))</f>
        <v/>
      </c>
      <c r="O164" s="16">
        <f>IF($A164="","",IF($G164="eslesti",$D164,0))</f>
        <v/>
      </c>
      <c r="P164" s="16">
        <f>IF($A164="","",$B164+$M164+$N164)</f>
        <v/>
      </c>
    </row>
    <row r="165">
      <c r="A165" s="16">
        <f>IF('ANAHTAR'!$B165="","",'ANAHTAR'!$B165)</f>
        <v/>
      </c>
      <c r="B165" s="16">
        <f>IF($A165="","",COUNTIF(tblAnahtarB[NormB],$A165))</f>
        <v/>
      </c>
      <c r="C165" s="16">
        <f>IF($A165="","",SUMIF(tblAnahtarB[NormB],$A165,tblVeriB[BeyanTutar]))</f>
        <v/>
      </c>
      <c r="D165" s="16">
        <f>IF($A165="","",SUMIF(tblAnahtarA[Norm],$A165,tblVeriA[Tutar]))</f>
        <v/>
      </c>
      <c r="E165" s="16">
        <f>IF($A165="","",ROUND($D165,2)-ROUND($C165,2))</f>
        <v/>
      </c>
      <c r="F165" s="16">
        <f>IF($A165="","",ABS($E165))</f>
        <v/>
      </c>
      <c r="G165" s="16">
        <f>IF($A165="","",IF($B165=0,"eslesmedi",IF(ROUND($D165,2)=ROUND($C165,2),"eslesti",IF(ABS(ROUND($D165,2)-ROUND($C165,2))&lt;=toleransKurus,"tolerans_icinde","tutar_farki"))))</f>
        <v/>
      </c>
      <c r="H165" s="16">
        <f>IF($A165="","",IF($B165&gt;0,"BIRINCIL",IF(COUNTIF(tblAnahtarB[IkincilB],'ANAHTAR'!$D165)&gt;0,"IKINCIL","YOK")))</f>
        <v/>
      </c>
      <c r="I165" s="16">
        <f>IF($A165="","",'ANAHTAR'!$F165)</f>
        <v/>
      </c>
      <c r="J165" s="16">
        <f>IF(OR($A165="",$D165=0),0,$F165/ABS($D165))</f>
        <v/>
      </c>
      <c r="K165" s="16">
        <f>IF($A165="","",ROUND($D165,2))</f>
        <v/>
      </c>
      <c r="L165" s="16">
        <f>IF($A165="","",ROUND($C165,2))</f>
        <v/>
      </c>
      <c r="M165" s="16">
        <f>IF($A165="","",IF($F165&lt;=toleransKurus,1,0))</f>
        <v/>
      </c>
      <c r="N165" s="16">
        <f>IF($A165="","",IF($F165&gt;cbb_esikFark,1,0))</f>
        <v/>
      </c>
      <c r="O165" s="16">
        <f>IF($A165="","",IF($G165="eslesti",$D165,0))</f>
        <v/>
      </c>
      <c r="P165" s="16">
        <f>IF($A165="","",$B165+$M165+$N165)</f>
        <v/>
      </c>
    </row>
    <row r="166">
      <c r="A166" s="16">
        <f>IF('ANAHTAR'!$B166="","",'ANAHTAR'!$B166)</f>
        <v/>
      </c>
      <c r="B166" s="16">
        <f>IF($A166="","",COUNTIF(tblAnahtarB[NormB],$A166))</f>
        <v/>
      </c>
      <c r="C166" s="16">
        <f>IF($A166="","",SUMIF(tblAnahtarB[NormB],$A166,tblVeriB[BeyanTutar]))</f>
        <v/>
      </c>
      <c r="D166" s="16">
        <f>IF($A166="","",SUMIF(tblAnahtarA[Norm],$A166,tblVeriA[Tutar]))</f>
        <v/>
      </c>
      <c r="E166" s="16">
        <f>IF($A166="","",ROUND($D166,2)-ROUND($C166,2))</f>
        <v/>
      </c>
      <c r="F166" s="16">
        <f>IF($A166="","",ABS($E166))</f>
        <v/>
      </c>
      <c r="G166" s="16">
        <f>IF($A166="","",IF($B166=0,"eslesmedi",IF(ROUND($D166,2)=ROUND($C166,2),"eslesti",IF(ABS(ROUND($D166,2)-ROUND($C166,2))&lt;=toleransKurus,"tolerans_icinde","tutar_farki"))))</f>
        <v/>
      </c>
      <c r="H166" s="16">
        <f>IF($A166="","",IF($B166&gt;0,"BIRINCIL",IF(COUNTIF(tblAnahtarB[IkincilB],'ANAHTAR'!$D166)&gt;0,"IKINCIL","YOK")))</f>
        <v/>
      </c>
      <c r="I166" s="16">
        <f>IF($A166="","",'ANAHTAR'!$F166)</f>
        <v/>
      </c>
      <c r="J166" s="16">
        <f>IF(OR($A166="",$D166=0),0,$F166/ABS($D166))</f>
        <v/>
      </c>
      <c r="K166" s="16">
        <f>IF($A166="","",ROUND($D166,2))</f>
        <v/>
      </c>
      <c r="L166" s="16">
        <f>IF($A166="","",ROUND($C166,2))</f>
        <v/>
      </c>
      <c r="M166" s="16">
        <f>IF($A166="","",IF($F166&lt;=toleransKurus,1,0))</f>
        <v/>
      </c>
      <c r="N166" s="16">
        <f>IF($A166="","",IF($F166&gt;cbb_esikFark,1,0))</f>
        <v/>
      </c>
      <c r="O166" s="16">
        <f>IF($A166="","",IF($G166="eslesti",$D166,0))</f>
        <v/>
      </c>
      <c r="P166" s="16">
        <f>IF($A166="","",$B166+$M166+$N166)</f>
        <v/>
      </c>
    </row>
    <row r="167">
      <c r="A167" s="16">
        <f>IF('ANAHTAR'!$B167="","",'ANAHTAR'!$B167)</f>
        <v/>
      </c>
      <c r="B167" s="16">
        <f>IF($A167="","",COUNTIF(tblAnahtarB[NormB],$A167))</f>
        <v/>
      </c>
      <c r="C167" s="16">
        <f>IF($A167="","",SUMIF(tblAnahtarB[NormB],$A167,tblVeriB[BeyanTutar]))</f>
        <v/>
      </c>
      <c r="D167" s="16">
        <f>IF($A167="","",SUMIF(tblAnahtarA[Norm],$A167,tblVeriA[Tutar]))</f>
        <v/>
      </c>
      <c r="E167" s="16">
        <f>IF($A167="","",ROUND($D167,2)-ROUND($C167,2))</f>
        <v/>
      </c>
      <c r="F167" s="16">
        <f>IF($A167="","",ABS($E167))</f>
        <v/>
      </c>
      <c r="G167" s="16">
        <f>IF($A167="","",IF($B167=0,"eslesmedi",IF(ROUND($D167,2)=ROUND($C167,2),"eslesti",IF(ABS(ROUND($D167,2)-ROUND($C167,2))&lt;=toleransKurus,"tolerans_icinde","tutar_farki"))))</f>
        <v/>
      </c>
      <c r="H167" s="16">
        <f>IF($A167="","",IF($B167&gt;0,"BIRINCIL",IF(COUNTIF(tblAnahtarB[IkincilB],'ANAHTAR'!$D167)&gt;0,"IKINCIL","YOK")))</f>
        <v/>
      </c>
      <c r="I167" s="16">
        <f>IF($A167="","",'ANAHTAR'!$F167)</f>
        <v/>
      </c>
      <c r="J167" s="16">
        <f>IF(OR($A167="",$D167=0),0,$F167/ABS($D167))</f>
        <v/>
      </c>
      <c r="K167" s="16">
        <f>IF($A167="","",ROUND($D167,2))</f>
        <v/>
      </c>
      <c r="L167" s="16">
        <f>IF($A167="","",ROUND($C167,2))</f>
        <v/>
      </c>
      <c r="M167" s="16">
        <f>IF($A167="","",IF($F167&lt;=toleransKurus,1,0))</f>
        <v/>
      </c>
      <c r="N167" s="16">
        <f>IF($A167="","",IF($F167&gt;cbb_esikFark,1,0))</f>
        <v/>
      </c>
      <c r="O167" s="16">
        <f>IF($A167="","",IF($G167="eslesti",$D167,0))</f>
        <v/>
      </c>
      <c r="P167" s="16">
        <f>IF($A167="","",$B167+$M167+$N167)</f>
        <v/>
      </c>
    </row>
    <row r="168">
      <c r="A168" s="16">
        <f>IF('ANAHTAR'!$B168="","",'ANAHTAR'!$B168)</f>
        <v/>
      </c>
      <c r="B168" s="16">
        <f>IF($A168="","",COUNTIF(tblAnahtarB[NormB],$A168))</f>
        <v/>
      </c>
      <c r="C168" s="16">
        <f>IF($A168="","",SUMIF(tblAnahtarB[NormB],$A168,tblVeriB[BeyanTutar]))</f>
        <v/>
      </c>
      <c r="D168" s="16">
        <f>IF($A168="","",SUMIF(tblAnahtarA[Norm],$A168,tblVeriA[Tutar]))</f>
        <v/>
      </c>
      <c r="E168" s="16">
        <f>IF($A168="","",ROUND($D168,2)-ROUND($C168,2))</f>
        <v/>
      </c>
      <c r="F168" s="16">
        <f>IF($A168="","",ABS($E168))</f>
        <v/>
      </c>
      <c r="G168" s="16">
        <f>IF($A168="","",IF($B168=0,"eslesmedi",IF(ROUND($D168,2)=ROUND($C168,2),"eslesti",IF(ABS(ROUND($D168,2)-ROUND($C168,2))&lt;=toleransKurus,"tolerans_icinde","tutar_farki"))))</f>
        <v/>
      </c>
      <c r="H168" s="16">
        <f>IF($A168="","",IF($B168&gt;0,"BIRINCIL",IF(COUNTIF(tblAnahtarB[IkincilB],'ANAHTAR'!$D168)&gt;0,"IKINCIL","YOK")))</f>
        <v/>
      </c>
      <c r="I168" s="16">
        <f>IF($A168="","",'ANAHTAR'!$F168)</f>
        <v/>
      </c>
      <c r="J168" s="16">
        <f>IF(OR($A168="",$D168=0),0,$F168/ABS($D168))</f>
        <v/>
      </c>
      <c r="K168" s="16">
        <f>IF($A168="","",ROUND($D168,2))</f>
        <v/>
      </c>
      <c r="L168" s="16">
        <f>IF($A168="","",ROUND($C168,2))</f>
        <v/>
      </c>
      <c r="M168" s="16">
        <f>IF($A168="","",IF($F168&lt;=toleransKurus,1,0))</f>
        <v/>
      </c>
      <c r="N168" s="16">
        <f>IF($A168="","",IF($F168&gt;cbb_esikFark,1,0))</f>
        <v/>
      </c>
      <c r="O168" s="16">
        <f>IF($A168="","",IF($G168="eslesti",$D168,0))</f>
        <v/>
      </c>
      <c r="P168" s="16">
        <f>IF($A168="","",$B168+$M168+$N168)</f>
        <v/>
      </c>
    </row>
    <row r="169">
      <c r="A169" s="16">
        <f>IF('ANAHTAR'!$B169="","",'ANAHTAR'!$B169)</f>
        <v/>
      </c>
      <c r="B169" s="16">
        <f>IF($A169="","",COUNTIF(tblAnahtarB[NormB],$A169))</f>
        <v/>
      </c>
      <c r="C169" s="16">
        <f>IF($A169="","",SUMIF(tblAnahtarB[NormB],$A169,tblVeriB[BeyanTutar]))</f>
        <v/>
      </c>
      <c r="D169" s="16">
        <f>IF($A169="","",SUMIF(tblAnahtarA[Norm],$A169,tblVeriA[Tutar]))</f>
        <v/>
      </c>
      <c r="E169" s="16">
        <f>IF($A169="","",ROUND($D169,2)-ROUND($C169,2))</f>
        <v/>
      </c>
      <c r="F169" s="16">
        <f>IF($A169="","",ABS($E169))</f>
        <v/>
      </c>
      <c r="G169" s="16">
        <f>IF($A169="","",IF($B169=0,"eslesmedi",IF(ROUND($D169,2)=ROUND($C169,2),"eslesti",IF(ABS(ROUND($D169,2)-ROUND($C169,2))&lt;=toleransKurus,"tolerans_icinde","tutar_farki"))))</f>
        <v/>
      </c>
      <c r="H169" s="16">
        <f>IF($A169="","",IF($B169&gt;0,"BIRINCIL",IF(COUNTIF(tblAnahtarB[IkincilB],'ANAHTAR'!$D169)&gt;0,"IKINCIL","YOK")))</f>
        <v/>
      </c>
      <c r="I169" s="16">
        <f>IF($A169="","",'ANAHTAR'!$F169)</f>
        <v/>
      </c>
      <c r="J169" s="16">
        <f>IF(OR($A169="",$D169=0),0,$F169/ABS($D169))</f>
        <v/>
      </c>
      <c r="K169" s="16">
        <f>IF($A169="","",ROUND($D169,2))</f>
        <v/>
      </c>
      <c r="L169" s="16">
        <f>IF($A169="","",ROUND($C169,2))</f>
        <v/>
      </c>
      <c r="M169" s="16">
        <f>IF($A169="","",IF($F169&lt;=toleransKurus,1,0))</f>
        <v/>
      </c>
      <c r="N169" s="16">
        <f>IF($A169="","",IF($F169&gt;cbb_esikFark,1,0))</f>
        <v/>
      </c>
      <c r="O169" s="16">
        <f>IF($A169="","",IF($G169="eslesti",$D169,0))</f>
        <v/>
      </c>
      <c r="P169" s="16">
        <f>IF($A169="","",$B169+$M169+$N169)</f>
        <v/>
      </c>
    </row>
    <row r="170">
      <c r="A170" s="16">
        <f>IF('ANAHTAR'!$B170="","",'ANAHTAR'!$B170)</f>
        <v/>
      </c>
      <c r="B170" s="16">
        <f>IF($A170="","",COUNTIF(tblAnahtarB[NormB],$A170))</f>
        <v/>
      </c>
      <c r="C170" s="16">
        <f>IF($A170="","",SUMIF(tblAnahtarB[NormB],$A170,tblVeriB[BeyanTutar]))</f>
        <v/>
      </c>
      <c r="D170" s="16">
        <f>IF($A170="","",SUMIF(tblAnahtarA[Norm],$A170,tblVeriA[Tutar]))</f>
        <v/>
      </c>
      <c r="E170" s="16">
        <f>IF($A170="","",ROUND($D170,2)-ROUND($C170,2))</f>
        <v/>
      </c>
      <c r="F170" s="16">
        <f>IF($A170="","",ABS($E170))</f>
        <v/>
      </c>
      <c r="G170" s="16">
        <f>IF($A170="","",IF($B170=0,"eslesmedi",IF(ROUND($D170,2)=ROUND($C170,2),"eslesti",IF(ABS(ROUND($D170,2)-ROUND($C170,2))&lt;=toleransKurus,"tolerans_icinde","tutar_farki"))))</f>
        <v/>
      </c>
      <c r="H170" s="16">
        <f>IF($A170="","",IF($B170&gt;0,"BIRINCIL",IF(COUNTIF(tblAnahtarB[IkincilB],'ANAHTAR'!$D170)&gt;0,"IKINCIL","YOK")))</f>
        <v/>
      </c>
      <c r="I170" s="16">
        <f>IF($A170="","",'ANAHTAR'!$F170)</f>
        <v/>
      </c>
      <c r="J170" s="16">
        <f>IF(OR($A170="",$D170=0),0,$F170/ABS($D170))</f>
        <v/>
      </c>
      <c r="K170" s="16">
        <f>IF($A170="","",ROUND($D170,2))</f>
        <v/>
      </c>
      <c r="L170" s="16">
        <f>IF($A170="","",ROUND($C170,2))</f>
        <v/>
      </c>
      <c r="M170" s="16">
        <f>IF($A170="","",IF($F170&lt;=toleransKurus,1,0))</f>
        <v/>
      </c>
      <c r="N170" s="16">
        <f>IF($A170="","",IF($F170&gt;cbb_esikFark,1,0))</f>
        <v/>
      </c>
      <c r="O170" s="16">
        <f>IF($A170="","",IF($G170="eslesti",$D170,0))</f>
        <v/>
      </c>
      <c r="P170" s="16">
        <f>IF($A170="","",$B170+$M170+$N170)</f>
        <v/>
      </c>
    </row>
    <row r="171">
      <c r="A171" s="16">
        <f>IF('ANAHTAR'!$B171="","",'ANAHTAR'!$B171)</f>
        <v/>
      </c>
      <c r="B171" s="16">
        <f>IF($A171="","",COUNTIF(tblAnahtarB[NormB],$A171))</f>
        <v/>
      </c>
      <c r="C171" s="16">
        <f>IF($A171="","",SUMIF(tblAnahtarB[NormB],$A171,tblVeriB[BeyanTutar]))</f>
        <v/>
      </c>
      <c r="D171" s="16">
        <f>IF($A171="","",SUMIF(tblAnahtarA[Norm],$A171,tblVeriA[Tutar]))</f>
        <v/>
      </c>
      <c r="E171" s="16">
        <f>IF($A171="","",ROUND($D171,2)-ROUND($C171,2))</f>
        <v/>
      </c>
      <c r="F171" s="16">
        <f>IF($A171="","",ABS($E171))</f>
        <v/>
      </c>
      <c r="G171" s="16">
        <f>IF($A171="","",IF($B171=0,"eslesmedi",IF(ROUND($D171,2)=ROUND($C171,2),"eslesti",IF(ABS(ROUND($D171,2)-ROUND($C171,2))&lt;=toleransKurus,"tolerans_icinde","tutar_farki"))))</f>
        <v/>
      </c>
      <c r="H171" s="16">
        <f>IF($A171="","",IF($B171&gt;0,"BIRINCIL",IF(COUNTIF(tblAnahtarB[IkincilB],'ANAHTAR'!$D171)&gt;0,"IKINCIL","YOK")))</f>
        <v/>
      </c>
      <c r="I171" s="16">
        <f>IF($A171="","",'ANAHTAR'!$F171)</f>
        <v/>
      </c>
      <c r="J171" s="16">
        <f>IF(OR($A171="",$D171=0),0,$F171/ABS($D171))</f>
        <v/>
      </c>
      <c r="K171" s="16">
        <f>IF($A171="","",ROUND($D171,2))</f>
        <v/>
      </c>
      <c r="L171" s="16">
        <f>IF($A171="","",ROUND($C171,2))</f>
        <v/>
      </c>
      <c r="M171" s="16">
        <f>IF($A171="","",IF($F171&lt;=toleransKurus,1,0))</f>
        <v/>
      </c>
      <c r="N171" s="16">
        <f>IF($A171="","",IF($F171&gt;cbb_esikFark,1,0))</f>
        <v/>
      </c>
      <c r="O171" s="16">
        <f>IF($A171="","",IF($G171="eslesti",$D171,0))</f>
        <v/>
      </c>
      <c r="P171" s="16">
        <f>IF($A171="","",$B171+$M171+$N171)</f>
        <v/>
      </c>
    </row>
    <row r="172">
      <c r="A172" s="16">
        <f>IF('ANAHTAR'!$B172="","",'ANAHTAR'!$B172)</f>
        <v/>
      </c>
      <c r="B172" s="16">
        <f>IF($A172="","",COUNTIF(tblAnahtarB[NormB],$A172))</f>
        <v/>
      </c>
      <c r="C172" s="16">
        <f>IF($A172="","",SUMIF(tblAnahtarB[NormB],$A172,tblVeriB[BeyanTutar]))</f>
        <v/>
      </c>
      <c r="D172" s="16">
        <f>IF($A172="","",SUMIF(tblAnahtarA[Norm],$A172,tblVeriA[Tutar]))</f>
        <v/>
      </c>
      <c r="E172" s="16">
        <f>IF($A172="","",ROUND($D172,2)-ROUND($C172,2))</f>
        <v/>
      </c>
      <c r="F172" s="16">
        <f>IF($A172="","",ABS($E172))</f>
        <v/>
      </c>
      <c r="G172" s="16">
        <f>IF($A172="","",IF($B172=0,"eslesmedi",IF(ROUND($D172,2)=ROUND($C172,2),"eslesti",IF(ABS(ROUND($D172,2)-ROUND($C172,2))&lt;=toleransKurus,"tolerans_icinde","tutar_farki"))))</f>
        <v/>
      </c>
      <c r="H172" s="16">
        <f>IF($A172="","",IF($B172&gt;0,"BIRINCIL",IF(COUNTIF(tblAnahtarB[IkincilB],'ANAHTAR'!$D172)&gt;0,"IKINCIL","YOK")))</f>
        <v/>
      </c>
      <c r="I172" s="16">
        <f>IF($A172="","",'ANAHTAR'!$F172)</f>
        <v/>
      </c>
      <c r="J172" s="16">
        <f>IF(OR($A172="",$D172=0),0,$F172/ABS($D172))</f>
        <v/>
      </c>
      <c r="K172" s="16">
        <f>IF($A172="","",ROUND($D172,2))</f>
        <v/>
      </c>
      <c r="L172" s="16">
        <f>IF($A172="","",ROUND($C172,2))</f>
        <v/>
      </c>
      <c r="M172" s="16">
        <f>IF($A172="","",IF($F172&lt;=toleransKurus,1,0))</f>
        <v/>
      </c>
      <c r="N172" s="16">
        <f>IF($A172="","",IF($F172&gt;cbb_esikFark,1,0))</f>
        <v/>
      </c>
      <c r="O172" s="16">
        <f>IF($A172="","",IF($G172="eslesti",$D172,0))</f>
        <v/>
      </c>
      <c r="P172" s="16">
        <f>IF($A172="","",$B172+$M172+$N172)</f>
        <v/>
      </c>
    </row>
    <row r="173">
      <c r="A173" s="16">
        <f>IF('ANAHTAR'!$B173="","",'ANAHTAR'!$B173)</f>
        <v/>
      </c>
      <c r="B173" s="16">
        <f>IF($A173="","",COUNTIF(tblAnahtarB[NormB],$A173))</f>
        <v/>
      </c>
      <c r="C173" s="16">
        <f>IF($A173="","",SUMIF(tblAnahtarB[NormB],$A173,tblVeriB[BeyanTutar]))</f>
        <v/>
      </c>
      <c r="D173" s="16">
        <f>IF($A173="","",SUMIF(tblAnahtarA[Norm],$A173,tblVeriA[Tutar]))</f>
        <v/>
      </c>
      <c r="E173" s="16">
        <f>IF($A173="","",ROUND($D173,2)-ROUND($C173,2))</f>
        <v/>
      </c>
      <c r="F173" s="16">
        <f>IF($A173="","",ABS($E173))</f>
        <v/>
      </c>
      <c r="G173" s="16">
        <f>IF($A173="","",IF($B173=0,"eslesmedi",IF(ROUND($D173,2)=ROUND($C173,2),"eslesti",IF(ABS(ROUND($D173,2)-ROUND($C173,2))&lt;=toleransKurus,"tolerans_icinde","tutar_farki"))))</f>
        <v/>
      </c>
      <c r="H173" s="16">
        <f>IF($A173="","",IF($B173&gt;0,"BIRINCIL",IF(COUNTIF(tblAnahtarB[IkincilB],'ANAHTAR'!$D173)&gt;0,"IKINCIL","YOK")))</f>
        <v/>
      </c>
      <c r="I173" s="16">
        <f>IF($A173="","",'ANAHTAR'!$F173)</f>
        <v/>
      </c>
      <c r="J173" s="16">
        <f>IF(OR($A173="",$D173=0),0,$F173/ABS($D173))</f>
        <v/>
      </c>
      <c r="K173" s="16">
        <f>IF($A173="","",ROUND($D173,2))</f>
        <v/>
      </c>
      <c r="L173" s="16">
        <f>IF($A173="","",ROUND($C173,2))</f>
        <v/>
      </c>
      <c r="M173" s="16">
        <f>IF($A173="","",IF($F173&lt;=toleransKurus,1,0))</f>
        <v/>
      </c>
      <c r="N173" s="16">
        <f>IF($A173="","",IF($F173&gt;cbb_esikFark,1,0))</f>
        <v/>
      </c>
      <c r="O173" s="16">
        <f>IF($A173="","",IF($G173="eslesti",$D173,0))</f>
        <v/>
      </c>
      <c r="P173" s="16">
        <f>IF($A173="","",$B173+$M173+$N173)</f>
        <v/>
      </c>
    </row>
    <row r="174">
      <c r="A174" s="16">
        <f>IF('ANAHTAR'!$B174="","",'ANAHTAR'!$B174)</f>
        <v/>
      </c>
      <c r="B174" s="16">
        <f>IF($A174="","",COUNTIF(tblAnahtarB[NormB],$A174))</f>
        <v/>
      </c>
      <c r="C174" s="16">
        <f>IF($A174="","",SUMIF(tblAnahtarB[NormB],$A174,tblVeriB[BeyanTutar]))</f>
        <v/>
      </c>
      <c r="D174" s="16">
        <f>IF($A174="","",SUMIF(tblAnahtarA[Norm],$A174,tblVeriA[Tutar]))</f>
        <v/>
      </c>
      <c r="E174" s="16">
        <f>IF($A174="","",ROUND($D174,2)-ROUND($C174,2))</f>
        <v/>
      </c>
      <c r="F174" s="16">
        <f>IF($A174="","",ABS($E174))</f>
        <v/>
      </c>
      <c r="G174" s="16">
        <f>IF($A174="","",IF($B174=0,"eslesmedi",IF(ROUND($D174,2)=ROUND($C174,2),"eslesti",IF(ABS(ROUND($D174,2)-ROUND($C174,2))&lt;=toleransKurus,"tolerans_icinde","tutar_farki"))))</f>
        <v/>
      </c>
      <c r="H174" s="16">
        <f>IF($A174="","",IF($B174&gt;0,"BIRINCIL",IF(COUNTIF(tblAnahtarB[IkincilB],'ANAHTAR'!$D174)&gt;0,"IKINCIL","YOK")))</f>
        <v/>
      </c>
      <c r="I174" s="16">
        <f>IF($A174="","",'ANAHTAR'!$F174)</f>
        <v/>
      </c>
      <c r="J174" s="16">
        <f>IF(OR($A174="",$D174=0),0,$F174/ABS($D174))</f>
        <v/>
      </c>
      <c r="K174" s="16">
        <f>IF($A174="","",ROUND($D174,2))</f>
        <v/>
      </c>
      <c r="L174" s="16">
        <f>IF($A174="","",ROUND($C174,2))</f>
        <v/>
      </c>
      <c r="M174" s="16">
        <f>IF($A174="","",IF($F174&lt;=toleransKurus,1,0))</f>
        <v/>
      </c>
      <c r="N174" s="16">
        <f>IF($A174="","",IF($F174&gt;cbb_esikFark,1,0))</f>
        <v/>
      </c>
      <c r="O174" s="16">
        <f>IF($A174="","",IF($G174="eslesti",$D174,0))</f>
        <v/>
      </c>
      <c r="P174" s="16">
        <f>IF($A174="","",$B174+$M174+$N174)</f>
        <v/>
      </c>
    </row>
    <row r="175">
      <c r="A175" s="16">
        <f>IF('ANAHTAR'!$B175="","",'ANAHTAR'!$B175)</f>
        <v/>
      </c>
      <c r="B175" s="16">
        <f>IF($A175="","",COUNTIF(tblAnahtarB[NormB],$A175))</f>
        <v/>
      </c>
      <c r="C175" s="16">
        <f>IF($A175="","",SUMIF(tblAnahtarB[NormB],$A175,tblVeriB[BeyanTutar]))</f>
        <v/>
      </c>
      <c r="D175" s="16">
        <f>IF($A175="","",SUMIF(tblAnahtarA[Norm],$A175,tblVeriA[Tutar]))</f>
        <v/>
      </c>
      <c r="E175" s="16">
        <f>IF($A175="","",ROUND($D175,2)-ROUND($C175,2))</f>
        <v/>
      </c>
      <c r="F175" s="16">
        <f>IF($A175="","",ABS($E175))</f>
        <v/>
      </c>
      <c r="G175" s="16">
        <f>IF($A175="","",IF($B175=0,"eslesmedi",IF(ROUND($D175,2)=ROUND($C175,2),"eslesti",IF(ABS(ROUND($D175,2)-ROUND($C175,2))&lt;=toleransKurus,"tolerans_icinde","tutar_farki"))))</f>
        <v/>
      </c>
      <c r="H175" s="16">
        <f>IF($A175="","",IF($B175&gt;0,"BIRINCIL",IF(COUNTIF(tblAnahtarB[IkincilB],'ANAHTAR'!$D175)&gt;0,"IKINCIL","YOK")))</f>
        <v/>
      </c>
      <c r="I175" s="16">
        <f>IF($A175="","",'ANAHTAR'!$F175)</f>
        <v/>
      </c>
      <c r="J175" s="16">
        <f>IF(OR($A175="",$D175=0),0,$F175/ABS($D175))</f>
        <v/>
      </c>
      <c r="K175" s="16">
        <f>IF($A175="","",ROUND($D175,2))</f>
        <v/>
      </c>
      <c r="L175" s="16">
        <f>IF($A175="","",ROUND($C175,2))</f>
        <v/>
      </c>
      <c r="M175" s="16">
        <f>IF($A175="","",IF($F175&lt;=toleransKurus,1,0))</f>
        <v/>
      </c>
      <c r="N175" s="16">
        <f>IF($A175="","",IF($F175&gt;cbb_esikFark,1,0))</f>
        <v/>
      </c>
      <c r="O175" s="16">
        <f>IF($A175="","",IF($G175="eslesti",$D175,0))</f>
        <v/>
      </c>
      <c r="P175" s="16">
        <f>IF($A175="","",$B175+$M175+$N175)</f>
        <v/>
      </c>
    </row>
    <row r="176">
      <c r="A176" s="16">
        <f>IF('ANAHTAR'!$B176="","",'ANAHTAR'!$B176)</f>
        <v/>
      </c>
      <c r="B176" s="16">
        <f>IF($A176="","",COUNTIF(tblAnahtarB[NormB],$A176))</f>
        <v/>
      </c>
      <c r="C176" s="16">
        <f>IF($A176="","",SUMIF(tblAnahtarB[NormB],$A176,tblVeriB[BeyanTutar]))</f>
        <v/>
      </c>
      <c r="D176" s="16">
        <f>IF($A176="","",SUMIF(tblAnahtarA[Norm],$A176,tblVeriA[Tutar]))</f>
        <v/>
      </c>
      <c r="E176" s="16">
        <f>IF($A176="","",ROUND($D176,2)-ROUND($C176,2))</f>
        <v/>
      </c>
      <c r="F176" s="16">
        <f>IF($A176="","",ABS($E176))</f>
        <v/>
      </c>
      <c r="G176" s="16">
        <f>IF($A176="","",IF($B176=0,"eslesmedi",IF(ROUND($D176,2)=ROUND($C176,2),"eslesti",IF(ABS(ROUND($D176,2)-ROUND($C176,2))&lt;=toleransKurus,"tolerans_icinde","tutar_farki"))))</f>
        <v/>
      </c>
      <c r="H176" s="16">
        <f>IF($A176="","",IF($B176&gt;0,"BIRINCIL",IF(COUNTIF(tblAnahtarB[IkincilB],'ANAHTAR'!$D176)&gt;0,"IKINCIL","YOK")))</f>
        <v/>
      </c>
      <c r="I176" s="16">
        <f>IF($A176="","",'ANAHTAR'!$F176)</f>
        <v/>
      </c>
      <c r="J176" s="16">
        <f>IF(OR($A176="",$D176=0),0,$F176/ABS($D176))</f>
        <v/>
      </c>
      <c r="K176" s="16">
        <f>IF($A176="","",ROUND($D176,2))</f>
        <v/>
      </c>
      <c r="L176" s="16">
        <f>IF($A176="","",ROUND($C176,2))</f>
        <v/>
      </c>
      <c r="M176" s="16">
        <f>IF($A176="","",IF($F176&lt;=toleransKurus,1,0))</f>
        <v/>
      </c>
      <c r="N176" s="16">
        <f>IF($A176="","",IF($F176&gt;cbb_esikFark,1,0))</f>
        <v/>
      </c>
      <c r="O176" s="16">
        <f>IF($A176="","",IF($G176="eslesti",$D176,0))</f>
        <v/>
      </c>
      <c r="P176" s="16">
        <f>IF($A176="","",$B176+$M176+$N176)</f>
        <v/>
      </c>
    </row>
    <row r="177">
      <c r="A177" s="16">
        <f>IF('ANAHTAR'!$B177="","",'ANAHTAR'!$B177)</f>
        <v/>
      </c>
      <c r="B177" s="16">
        <f>IF($A177="","",COUNTIF(tblAnahtarB[NormB],$A177))</f>
        <v/>
      </c>
      <c r="C177" s="16">
        <f>IF($A177="","",SUMIF(tblAnahtarB[NormB],$A177,tblVeriB[BeyanTutar]))</f>
        <v/>
      </c>
      <c r="D177" s="16">
        <f>IF($A177="","",SUMIF(tblAnahtarA[Norm],$A177,tblVeriA[Tutar]))</f>
        <v/>
      </c>
      <c r="E177" s="16">
        <f>IF($A177="","",ROUND($D177,2)-ROUND($C177,2))</f>
        <v/>
      </c>
      <c r="F177" s="16">
        <f>IF($A177="","",ABS($E177))</f>
        <v/>
      </c>
      <c r="G177" s="16">
        <f>IF($A177="","",IF($B177=0,"eslesmedi",IF(ROUND($D177,2)=ROUND($C177,2),"eslesti",IF(ABS(ROUND($D177,2)-ROUND($C177,2))&lt;=toleransKurus,"tolerans_icinde","tutar_farki"))))</f>
        <v/>
      </c>
      <c r="H177" s="16">
        <f>IF($A177="","",IF($B177&gt;0,"BIRINCIL",IF(COUNTIF(tblAnahtarB[IkincilB],'ANAHTAR'!$D177)&gt;0,"IKINCIL","YOK")))</f>
        <v/>
      </c>
      <c r="I177" s="16">
        <f>IF($A177="","",'ANAHTAR'!$F177)</f>
        <v/>
      </c>
      <c r="J177" s="16">
        <f>IF(OR($A177="",$D177=0),0,$F177/ABS($D177))</f>
        <v/>
      </c>
      <c r="K177" s="16">
        <f>IF($A177="","",ROUND($D177,2))</f>
        <v/>
      </c>
      <c r="L177" s="16">
        <f>IF($A177="","",ROUND($C177,2))</f>
        <v/>
      </c>
      <c r="M177" s="16">
        <f>IF($A177="","",IF($F177&lt;=toleransKurus,1,0))</f>
        <v/>
      </c>
      <c r="N177" s="16">
        <f>IF($A177="","",IF($F177&gt;cbb_esikFark,1,0))</f>
        <v/>
      </c>
      <c r="O177" s="16">
        <f>IF($A177="","",IF($G177="eslesti",$D177,0))</f>
        <v/>
      </c>
      <c r="P177" s="16">
        <f>IF($A177="","",$B177+$M177+$N177)</f>
        <v/>
      </c>
    </row>
    <row r="178">
      <c r="A178" s="16">
        <f>IF('ANAHTAR'!$B178="","",'ANAHTAR'!$B178)</f>
        <v/>
      </c>
      <c r="B178" s="16">
        <f>IF($A178="","",COUNTIF(tblAnahtarB[NormB],$A178))</f>
        <v/>
      </c>
      <c r="C178" s="16">
        <f>IF($A178="","",SUMIF(tblAnahtarB[NormB],$A178,tblVeriB[BeyanTutar]))</f>
        <v/>
      </c>
      <c r="D178" s="16">
        <f>IF($A178="","",SUMIF(tblAnahtarA[Norm],$A178,tblVeriA[Tutar]))</f>
        <v/>
      </c>
      <c r="E178" s="16">
        <f>IF($A178="","",ROUND($D178,2)-ROUND($C178,2))</f>
        <v/>
      </c>
      <c r="F178" s="16">
        <f>IF($A178="","",ABS($E178))</f>
        <v/>
      </c>
      <c r="G178" s="16">
        <f>IF($A178="","",IF($B178=0,"eslesmedi",IF(ROUND($D178,2)=ROUND($C178,2),"eslesti",IF(ABS(ROUND($D178,2)-ROUND($C178,2))&lt;=toleransKurus,"tolerans_icinde","tutar_farki"))))</f>
        <v/>
      </c>
      <c r="H178" s="16">
        <f>IF($A178="","",IF($B178&gt;0,"BIRINCIL",IF(COUNTIF(tblAnahtarB[IkincilB],'ANAHTAR'!$D178)&gt;0,"IKINCIL","YOK")))</f>
        <v/>
      </c>
      <c r="I178" s="16">
        <f>IF($A178="","",'ANAHTAR'!$F178)</f>
        <v/>
      </c>
      <c r="J178" s="16">
        <f>IF(OR($A178="",$D178=0),0,$F178/ABS($D178))</f>
        <v/>
      </c>
      <c r="K178" s="16">
        <f>IF($A178="","",ROUND($D178,2))</f>
        <v/>
      </c>
      <c r="L178" s="16">
        <f>IF($A178="","",ROUND($C178,2))</f>
        <v/>
      </c>
      <c r="M178" s="16">
        <f>IF($A178="","",IF($F178&lt;=toleransKurus,1,0))</f>
        <v/>
      </c>
      <c r="N178" s="16">
        <f>IF($A178="","",IF($F178&gt;cbb_esikFark,1,0))</f>
        <v/>
      </c>
      <c r="O178" s="16">
        <f>IF($A178="","",IF($G178="eslesti",$D178,0))</f>
        <v/>
      </c>
      <c r="P178" s="16">
        <f>IF($A178="","",$B178+$M178+$N178)</f>
        <v/>
      </c>
    </row>
    <row r="179">
      <c r="A179" s="16">
        <f>IF('ANAHTAR'!$B179="","",'ANAHTAR'!$B179)</f>
        <v/>
      </c>
      <c r="B179" s="16">
        <f>IF($A179="","",COUNTIF(tblAnahtarB[NormB],$A179))</f>
        <v/>
      </c>
      <c r="C179" s="16">
        <f>IF($A179="","",SUMIF(tblAnahtarB[NormB],$A179,tblVeriB[BeyanTutar]))</f>
        <v/>
      </c>
      <c r="D179" s="16">
        <f>IF($A179="","",SUMIF(tblAnahtarA[Norm],$A179,tblVeriA[Tutar]))</f>
        <v/>
      </c>
      <c r="E179" s="16">
        <f>IF($A179="","",ROUND($D179,2)-ROUND($C179,2))</f>
        <v/>
      </c>
      <c r="F179" s="16">
        <f>IF($A179="","",ABS($E179))</f>
        <v/>
      </c>
      <c r="G179" s="16">
        <f>IF($A179="","",IF($B179=0,"eslesmedi",IF(ROUND($D179,2)=ROUND($C179,2),"eslesti",IF(ABS(ROUND($D179,2)-ROUND($C179,2))&lt;=toleransKurus,"tolerans_icinde","tutar_farki"))))</f>
        <v/>
      </c>
      <c r="H179" s="16">
        <f>IF($A179="","",IF($B179&gt;0,"BIRINCIL",IF(COUNTIF(tblAnahtarB[IkincilB],'ANAHTAR'!$D179)&gt;0,"IKINCIL","YOK")))</f>
        <v/>
      </c>
      <c r="I179" s="16">
        <f>IF($A179="","",'ANAHTAR'!$F179)</f>
        <v/>
      </c>
      <c r="J179" s="16">
        <f>IF(OR($A179="",$D179=0),0,$F179/ABS($D179))</f>
        <v/>
      </c>
      <c r="K179" s="16">
        <f>IF($A179="","",ROUND($D179,2))</f>
        <v/>
      </c>
      <c r="L179" s="16">
        <f>IF($A179="","",ROUND($C179,2))</f>
        <v/>
      </c>
      <c r="M179" s="16">
        <f>IF($A179="","",IF($F179&lt;=toleransKurus,1,0))</f>
        <v/>
      </c>
      <c r="N179" s="16">
        <f>IF($A179="","",IF($F179&gt;cbb_esikFark,1,0))</f>
        <v/>
      </c>
      <c r="O179" s="16">
        <f>IF($A179="","",IF($G179="eslesti",$D179,0))</f>
        <v/>
      </c>
      <c r="P179" s="16">
        <f>IF($A179="","",$B179+$M179+$N179)</f>
        <v/>
      </c>
    </row>
    <row r="180">
      <c r="A180" s="16">
        <f>IF('ANAHTAR'!$B180="","",'ANAHTAR'!$B180)</f>
        <v/>
      </c>
      <c r="B180" s="16">
        <f>IF($A180="","",COUNTIF(tblAnahtarB[NormB],$A180))</f>
        <v/>
      </c>
      <c r="C180" s="16">
        <f>IF($A180="","",SUMIF(tblAnahtarB[NormB],$A180,tblVeriB[BeyanTutar]))</f>
        <v/>
      </c>
      <c r="D180" s="16">
        <f>IF($A180="","",SUMIF(tblAnahtarA[Norm],$A180,tblVeriA[Tutar]))</f>
        <v/>
      </c>
      <c r="E180" s="16">
        <f>IF($A180="","",ROUND($D180,2)-ROUND($C180,2))</f>
        <v/>
      </c>
      <c r="F180" s="16">
        <f>IF($A180="","",ABS($E180))</f>
        <v/>
      </c>
      <c r="G180" s="16">
        <f>IF($A180="","",IF($B180=0,"eslesmedi",IF(ROUND($D180,2)=ROUND($C180,2),"eslesti",IF(ABS(ROUND($D180,2)-ROUND($C180,2))&lt;=toleransKurus,"tolerans_icinde","tutar_farki"))))</f>
        <v/>
      </c>
      <c r="H180" s="16">
        <f>IF($A180="","",IF($B180&gt;0,"BIRINCIL",IF(COUNTIF(tblAnahtarB[IkincilB],'ANAHTAR'!$D180)&gt;0,"IKINCIL","YOK")))</f>
        <v/>
      </c>
      <c r="I180" s="16">
        <f>IF($A180="","",'ANAHTAR'!$F180)</f>
        <v/>
      </c>
      <c r="J180" s="16">
        <f>IF(OR($A180="",$D180=0),0,$F180/ABS($D180))</f>
        <v/>
      </c>
      <c r="K180" s="16">
        <f>IF($A180="","",ROUND($D180,2))</f>
        <v/>
      </c>
      <c r="L180" s="16">
        <f>IF($A180="","",ROUND($C180,2))</f>
        <v/>
      </c>
      <c r="M180" s="16">
        <f>IF($A180="","",IF($F180&lt;=toleransKurus,1,0))</f>
        <v/>
      </c>
      <c r="N180" s="16">
        <f>IF($A180="","",IF($F180&gt;cbb_esikFark,1,0))</f>
        <v/>
      </c>
      <c r="O180" s="16">
        <f>IF($A180="","",IF($G180="eslesti",$D180,0))</f>
        <v/>
      </c>
      <c r="P180" s="16">
        <f>IF($A180="","",$B180+$M180+$N180)</f>
        <v/>
      </c>
    </row>
    <row r="181">
      <c r="A181" s="16">
        <f>IF('ANAHTAR'!$B181="","",'ANAHTAR'!$B181)</f>
        <v/>
      </c>
      <c r="B181" s="16">
        <f>IF($A181="","",COUNTIF(tblAnahtarB[NormB],$A181))</f>
        <v/>
      </c>
      <c r="C181" s="16">
        <f>IF($A181="","",SUMIF(tblAnahtarB[NormB],$A181,tblVeriB[BeyanTutar]))</f>
        <v/>
      </c>
      <c r="D181" s="16">
        <f>IF($A181="","",SUMIF(tblAnahtarA[Norm],$A181,tblVeriA[Tutar]))</f>
        <v/>
      </c>
      <c r="E181" s="16">
        <f>IF($A181="","",ROUND($D181,2)-ROUND($C181,2))</f>
        <v/>
      </c>
      <c r="F181" s="16">
        <f>IF($A181="","",ABS($E181))</f>
        <v/>
      </c>
      <c r="G181" s="16">
        <f>IF($A181="","",IF($B181=0,"eslesmedi",IF(ROUND($D181,2)=ROUND($C181,2),"eslesti",IF(ABS(ROUND($D181,2)-ROUND($C181,2))&lt;=toleransKurus,"tolerans_icinde","tutar_farki"))))</f>
        <v/>
      </c>
      <c r="H181" s="16">
        <f>IF($A181="","",IF($B181&gt;0,"BIRINCIL",IF(COUNTIF(tblAnahtarB[IkincilB],'ANAHTAR'!$D181)&gt;0,"IKINCIL","YOK")))</f>
        <v/>
      </c>
      <c r="I181" s="16">
        <f>IF($A181="","",'ANAHTAR'!$F181)</f>
        <v/>
      </c>
      <c r="J181" s="16">
        <f>IF(OR($A181="",$D181=0),0,$F181/ABS($D181))</f>
        <v/>
      </c>
      <c r="K181" s="16">
        <f>IF($A181="","",ROUND($D181,2))</f>
        <v/>
      </c>
      <c r="L181" s="16">
        <f>IF($A181="","",ROUND($C181,2))</f>
        <v/>
      </c>
      <c r="M181" s="16">
        <f>IF($A181="","",IF($F181&lt;=toleransKurus,1,0))</f>
        <v/>
      </c>
      <c r="N181" s="16">
        <f>IF($A181="","",IF($F181&gt;cbb_esikFark,1,0))</f>
        <v/>
      </c>
      <c r="O181" s="16">
        <f>IF($A181="","",IF($G181="eslesti",$D181,0))</f>
        <v/>
      </c>
      <c r="P181" s="16">
        <f>IF($A181="","",$B181+$M181+$N181)</f>
        <v/>
      </c>
    </row>
    <row r="182">
      <c r="A182" s="16">
        <f>IF('ANAHTAR'!$B182="","",'ANAHTAR'!$B182)</f>
        <v/>
      </c>
      <c r="B182" s="16">
        <f>IF($A182="","",COUNTIF(tblAnahtarB[NormB],$A182))</f>
        <v/>
      </c>
      <c r="C182" s="16">
        <f>IF($A182="","",SUMIF(tblAnahtarB[NormB],$A182,tblVeriB[BeyanTutar]))</f>
        <v/>
      </c>
      <c r="D182" s="16">
        <f>IF($A182="","",SUMIF(tblAnahtarA[Norm],$A182,tblVeriA[Tutar]))</f>
        <v/>
      </c>
      <c r="E182" s="16">
        <f>IF($A182="","",ROUND($D182,2)-ROUND($C182,2))</f>
        <v/>
      </c>
      <c r="F182" s="16">
        <f>IF($A182="","",ABS($E182))</f>
        <v/>
      </c>
      <c r="G182" s="16">
        <f>IF($A182="","",IF($B182=0,"eslesmedi",IF(ROUND($D182,2)=ROUND($C182,2),"eslesti",IF(ABS(ROUND($D182,2)-ROUND($C182,2))&lt;=toleransKurus,"tolerans_icinde","tutar_farki"))))</f>
        <v/>
      </c>
      <c r="H182" s="16">
        <f>IF($A182="","",IF($B182&gt;0,"BIRINCIL",IF(COUNTIF(tblAnahtarB[IkincilB],'ANAHTAR'!$D182)&gt;0,"IKINCIL","YOK")))</f>
        <v/>
      </c>
      <c r="I182" s="16">
        <f>IF($A182="","",'ANAHTAR'!$F182)</f>
        <v/>
      </c>
      <c r="J182" s="16">
        <f>IF(OR($A182="",$D182=0),0,$F182/ABS($D182))</f>
        <v/>
      </c>
      <c r="K182" s="16">
        <f>IF($A182="","",ROUND($D182,2))</f>
        <v/>
      </c>
      <c r="L182" s="16">
        <f>IF($A182="","",ROUND($C182,2))</f>
        <v/>
      </c>
      <c r="M182" s="16">
        <f>IF($A182="","",IF($F182&lt;=toleransKurus,1,0))</f>
        <v/>
      </c>
      <c r="N182" s="16">
        <f>IF($A182="","",IF($F182&gt;cbb_esikFark,1,0))</f>
        <v/>
      </c>
      <c r="O182" s="16">
        <f>IF($A182="","",IF($G182="eslesti",$D182,0))</f>
        <v/>
      </c>
      <c r="P182" s="16">
        <f>IF($A182="","",$B182+$M182+$N182)</f>
        <v/>
      </c>
    </row>
    <row r="183">
      <c r="A183" s="16">
        <f>IF('ANAHTAR'!$B183="","",'ANAHTAR'!$B183)</f>
        <v/>
      </c>
      <c r="B183" s="16">
        <f>IF($A183="","",COUNTIF(tblAnahtarB[NormB],$A183))</f>
        <v/>
      </c>
      <c r="C183" s="16">
        <f>IF($A183="","",SUMIF(tblAnahtarB[NormB],$A183,tblVeriB[BeyanTutar]))</f>
        <v/>
      </c>
      <c r="D183" s="16">
        <f>IF($A183="","",SUMIF(tblAnahtarA[Norm],$A183,tblVeriA[Tutar]))</f>
        <v/>
      </c>
      <c r="E183" s="16">
        <f>IF($A183="","",ROUND($D183,2)-ROUND($C183,2))</f>
        <v/>
      </c>
      <c r="F183" s="16">
        <f>IF($A183="","",ABS($E183))</f>
        <v/>
      </c>
      <c r="G183" s="16">
        <f>IF($A183="","",IF($B183=0,"eslesmedi",IF(ROUND($D183,2)=ROUND($C183,2),"eslesti",IF(ABS(ROUND($D183,2)-ROUND($C183,2))&lt;=toleransKurus,"tolerans_icinde","tutar_farki"))))</f>
        <v/>
      </c>
      <c r="H183" s="16">
        <f>IF($A183="","",IF($B183&gt;0,"BIRINCIL",IF(COUNTIF(tblAnahtarB[IkincilB],'ANAHTAR'!$D183)&gt;0,"IKINCIL","YOK")))</f>
        <v/>
      </c>
      <c r="I183" s="16">
        <f>IF($A183="","",'ANAHTAR'!$F183)</f>
        <v/>
      </c>
      <c r="J183" s="16">
        <f>IF(OR($A183="",$D183=0),0,$F183/ABS($D183))</f>
        <v/>
      </c>
      <c r="K183" s="16">
        <f>IF($A183="","",ROUND($D183,2))</f>
        <v/>
      </c>
      <c r="L183" s="16">
        <f>IF($A183="","",ROUND($C183,2))</f>
        <v/>
      </c>
      <c r="M183" s="16">
        <f>IF($A183="","",IF($F183&lt;=toleransKurus,1,0))</f>
        <v/>
      </c>
      <c r="N183" s="16">
        <f>IF($A183="","",IF($F183&gt;cbb_esikFark,1,0))</f>
        <v/>
      </c>
      <c r="O183" s="16">
        <f>IF($A183="","",IF($G183="eslesti",$D183,0))</f>
        <v/>
      </c>
      <c r="P183" s="16">
        <f>IF($A183="","",$B183+$M183+$N183)</f>
        <v/>
      </c>
    </row>
    <row r="184">
      <c r="A184" s="16">
        <f>IF('ANAHTAR'!$B184="","",'ANAHTAR'!$B184)</f>
        <v/>
      </c>
      <c r="B184" s="16">
        <f>IF($A184="","",COUNTIF(tblAnahtarB[NormB],$A184))</f>
        <v/>
      </c>
      <c r="C184" s="16">
        <f>IF($A184="","",SUMIF(tblAnahtarB[NormB],$A184,tblVeriB[BeyanTutar]))</f>
        <v/>
      </c>
      <c r="D184" s="16">
        <f>IF($A184="","",SUMIF(tblAnahtarA[Norm],$A184,tblVeriA[Tutar]))</f>
        <v/>
      </c>
      <c r="E184" s="16">
        <f>IF($A184="","",ROUND($D184,2)-ROUND($C184,2))</f>
        <v/>
      </c>
      <c r="F184" s="16">
        <f>IF($A184="","",ABS($E184))</f>
        <v/>
      </c>
      <c r="G184" s="16">
        <f>IF($A184="","",IF($B184=0,"eslesmedi",IF(ROUND($D184,2)=ROUND($C184,2),"eslesti",IF(ABS(ROUND($D184,2)-ROUND($C184,2))&lt;=toleransKurus,"tolerans_icinde","tutar_farki"))))</f>
        <v/>
      </c>
      <c r="H184" s="16">
        <f>IF($A184="","",IF($B184&gt;0,"BIRINCIL",IF(COUNTIF(tblAnahtarB[IkincilB],'ANAHTAR'!$D184)&gt;0,"IKINCIL","YOK")))</f>
        <v/>
      </c>
      <c r="I184" s="16">
        <f>IF($A184="","",'ANAHTAR'!$F184)</f>
        <v/>
      </c>
      <c r="J184" s="16">
        <f>IF(OR($A184="",$D184=0),0,$F184/ABS($D184))</f>
        <v/>
      </c>
      <c r="K184" s="16">
        <f>IF($A184="","",ROUND($D184,2))</f>
        <v/>
      </c>
      <c r="L184" s="16">
        <f>IF($A184="","",ROUND($C184,2))</f>
        <v/>
      </c>
      <c r="M184" s="16">
        <f>IF($A184="","",IF($F184&lt;=toleransKurus,1,0))</f>
        <v/>
      </c>
      <c r="N184" s="16">
        <f>IF($A184="","",IF($F184&gt;cbb_esikFark,1,0))</f>
        <v/>
      </c>
      <c r="O184" s="16">
        <f>IF($A184="","",IF($G184="eslesti",$D184,0))</f>
        <v/>
      </c>
      <c r="P184" s="16">
        <f>IF($A184="","",$B184+$M184+$N184)</f>
        <v/>
      </c>
    </row>
    <row r="185">
      <c r="A185" s="16">
        <f>IF('ANAHTAR'!$B185="","",'ANAHTAR'!$B185)</f>
        <v/>
      </c>
      <c r="B185" s="16">
        <f>IF($A185="","",COUNTIF(tblAnahtarB[NormB],$A185))</f>
        <v/>
      </c>
      <c r="C185" s="16">
        <f>IF($A185="","",SUMIF(tblAnahtarB[NormB],$A185,tblVeriB[BeyanTutar]))</f>
        <v/>
      </c>
      <c r="D185" s="16">
        <f>IF($A185="","",SUMIF(tblAnahtarA[Norm],$A185,tblVeriA[Tutar]))</f>
        <v/>
      </c>
      <c r="E185" s="16">
        <f>IF($A185="","",ROUND($D185,2)-ROUND($C185,2))</f>
        <v/>
      </c>
      <c r="F185" s="16">
        <f>IF($A185="","",ABS($E185))</f>
        <v/>
      </c>
      <c r="G185" s="16">
        <f>IF($A185="","",IF($B185=0,"eslesmedi",IF(ROUND($D185,2)=ROUND($C185,2),"eslesti",IF(ABS(ROUND($D185,2)-ROUND($C185,2))&lt;=toleransKurus,"tolerans_icinde","tutar_farki"))))</f>
        <v/>
      </c>
      <c r="H185" s="16">
        <f>IF($A185="","",IF($B185&gt;0,"BIRINCIL",IF(COUNTIF(tblAnahtarB[IkincilB],'ANAHTAR'!$D185)&gt;0,"IKINCIL","YOK")))</f>
        <v/>
      </c>
      <c r="I185" s="16">
        <f>IF($A185="","",'ANAHTAR'!$F185)</f>
        <v/>
      </c>
      <c r="J185" s="16">
        <f>IF(OR($A185="",$D185=0),0,$F185/ABS($D185))</f>
        <v/>
      </c>
      <c r="K185" s="16">
        <f>IF($A185="","",ROUND($D185,2))</f>
        <v/>
      </c>
      <c r="L185" s="16">
        <f>IF($A185="","",ROUND($C185,2))</f>
        <v/>
      </c>
      <c r="M185" s="16">
        <f>IF($A185="","",IF($F185&lt;=toleransKurus,1,0))</f>
        <v/>
      </c>
      <c r="N185" s="16">
        <f>IF($A185="","",IF($F185&gt;cbb_esikFark,1,0))</f>
        <v/>
      </c>
      <c r="O185" s="16">
        <f>IF($A185="","",IF($G185="eslesti",$D185,0))</f>
        <v/>
      </c>
      <c r="P185" s="16">
        <f>IF($A185="","",$B185+$M185+$N185)</f>
        <v/>
      </c>
    </row>
    <row r="186">
      <c r="A186" s="16">
        <f>IF('ANAHTAR'!$B186="","",'ANAHTAR'!$B186)</f>
        <v/>
      </c>
      <c r="B186" s="16">
        <f>IF($A186="","",COUNTIF(tblAnahtarB[NormB],$A186))</f>
        <v/>
      </c>
      <c r="C186" s="16">
        <f>IF($A186="","",SUMIF(tblAnahtarB[NormB],$A186,tblVeriB[BeyanTutar]))</f>
        <v/>
      </c>
      <c r="D186" s="16">
        <f>IF($A186="","",SUMIF(tblAnahtarA[Norm],$A186,tblVeriA[Tutar]))</f>
        <v/>
      </c>
      <c r="E186" s="16">
        <f>IF($A186="","",ROUND($D186,2)-ROUND($C186,2))</f>
        <v/>
      </c>
      <c r="F186" s="16">
        <f>IF($A186="","",ABS($E186))</f>
        <v/>
      </c>
      <c r="G186" s="16">
        <f>IF($A186="","",IF($B186=0,"eslesmedi",IF(ROUND($D186,2)=ROUND($C186,2),"eslesti",IF(ABS(ROUND($D186,2)-ROUND($C186,2))&lt;=toleransKurus,"tolerans_icinde","tutar_farki"))))</f>
        <v/>
      </c>
      <c r="H186" s="16">
        <f>IF($A186="","",IF($B186&gt;0,"BIRINCIL",IF(COUNTIF(tblAnahtarB[IkincilB],'ANAHTAR'!$D186)&gt;0,"IKINCIL","YOK")))</f>
        <v/>
      </c>
      <c r="I186" s="16">
        <f>IF($A186="","",'ANAHTAR'!$F186)</f>
        <v/>
      </c>
      <c r="J186" s="16">
        <f>IF(OR($A186="",$D186=0),0,$F186/ABS($D186))</f>
        <v/>
      </c>
      <c r="K186" s="16">
        <f>IF($A186="","",ROUND($D186,2))</f>
        <v/>
      </c>
      <c r="L186" s="16">
        <f>IF($A186="","",ROUND($C186,2))</f>
        <v/>
      </c>
      <c r="M186" s="16">
        <f>IF($A186="","",IF($F186&lt;=toleransKurus,1,0))</f>
        <v/>
      </c>
      <c r="N186" s="16">
        <f>IF($A186="","",IF($F186&gt;cbb_esikFark,1,0))</f>
        <v/>
      </c>
      <c r="O186" s="16">
        <f>IF($A186="","",IF($G186="eslesti",$D186,0))</f>
        <v/>
      </c>
      <c r="P186" s="16">
        <f>IF($A186="","",$B186+$M186+$N186)</f>
        <v/>
      </c>
    </row>
    <row r="187">
      <c r="A187" s="16">
        <f>IF('ANAHTAR'!$B187="","",'ANAHTAR'!$B187)</f>
        <v/>
      </c>
      <c r="B187" s="16">
        <f>IF($A187="","",COUNTIF(tblAnahtarB[NormB],$A187))</f>
        <v/>
      </c>
      <c r="C187" s="16">
        <f>IF($A187="","",SUMIF(tblAnahtarB[NormB],$A187,tblVeriB[BeyanTutar]))</f>
        <v/>
      </c>
      <c r="D187" s="16">
        <f>IF($A187="","",SUMIF(tblAnahtarA[Norm],$A187,tblVeriA[Tutar]))</f>
        <v/>
      </c>
      <c r="E187" s="16">
        <f>IF($A187="","",ROUND($D187,2)-ROUND($C187,2))</f>
        <v/>
      </c>
      <c r="F187" s="16">
        <f>IF($A187="","",ABS($E187))</f>
        <v/>
      </c>
      <c r="G187" s="16">
        <f>IF($A187="","",IF($B187=0,"eslesmedi",IF(ROUND($D187,2)=ROUND($C187,2),"eslesti",IF(ABS(ROUND($D187,2)-ROUND($C187,2))&lt;=toleransKurus,"tolerans_icinde","tutar_farki"))))</f>
        <v/>
      </c>
      <c r="H187" s="16">
        <f>IF($A187="","",IF($B187&gt;0,"BIRINCIL",IF(COUNTIF(tblAnahtarB[IkincilB],'ANAHTAR'!$D187)&gt;0,"IKINCIL","YOK")))</f>
        <v/>
      </c>
      <c r="I187" s="16">
        <f>IF($A187="","",'ANAHTAR'!$F187)</f>
        <v/>
      </c>
      <c r="J187" s="16">
        <f>IF(OR($A187="",$D187=0),0,$F187/ABS($D187))</f>
        <v/>
      </c>
      <c r="K187" s="16">
        <f>IF($A187="","",ROUND($D187,2))</f>
        <v/>
      </c>
      <c r="L187" s="16">
        <f>IF($A187="","",ROUND($C187,2))</f>
        <v/>
      </c>
      <c r="M187" s="16">
        <f>IF($A187="","",IF($F187&lt;=toleransKurus,1,0))</f>
        <v/>
      </c>
      <c r="N187" s="16">
        <f>IF($A187="","",IF($F187&gt;cbb_esikFark,1,0))</f>
        <v/>
      </c>
      <c r="O187" s="16">
        <f>IF($A187="","",IF($G187="eslesti",$D187,0))</f>
        <v/>
      </c>
      <c r="P187" s="16">
        <f>IF($A187="","",$B187+$M187+$N187)</f>
        <v/>
      </c>
    </row>
    <row r="188">
      <c r="A188" s="16">
        <f>IF('ANAHTAR'!$B188="","",'ANAHTAR'!$B188)</f>
        <v/>
      </c>
      <c r="B188" s="16">
        <f>IF($A188="","",COUNTIF(tblAnahtarB[NormB],$A188))</f>
        <v/>
      </c>
      <c r="C188" s="16">
        <f>IF($A188="","",SUMIF(tblAnahtarB[NormB],$A188,tblVeriB[BeyanTutar]))</f>
        <v/>
      </c>
      <c r="D188" s="16">
        <f>IF($A188="","",SUMIF(tblAnahtarA[Norm],$A188,tblVeriA[Tutar]))</f>
        <v/>
      </c>
      <c r="E188" s="16">
        <f>IF($A188="","",ROUND($D188,2)-ROUND($C188,2))</f>
        <v/>
      </c>
      <c r="F188" s="16">
        <f>IF($A188="","",ABS($E188))</f>
        <v/>
      </c>
      <c r="G188" s="16">
        <f>IF($A188="","",IF($B188=0,"eslesmedi",IF(ROUND($D188,2)=ROUND($C188,2),"eslesti",IF(ABS(ROUND($D188,2)-ROUND($C188,2))&lt;=toleransKurus,"tolerans_icinde","tutar_farki"))))</f>
        <v/>
      </c>
      <c r="H188" s="16">
        <f>IF($A188="","",IF($B188&gt;0,"BIRINCIL",IF(COUNTIF(tblAnahtarB[IkincilB],'ANAHTAR'!$D188)&gt;0,"IKINCIL","YOK")))</f>
        <v/>
      </c>
      <c r="I188" s="16">
        <f>IF($A188="","",'ANAHTAR'!$F188)</f>
        <v/>
      </c>
      <c r="J188" s="16">
        <f>IF(OR($A188="",$D188=0),0,$F188/ABS($D188))</f>
        <v/>
      </c>
      <c r="K188" s="16">
        <f>IF($A188="","",ROUND($D188,2))</f>
        <v/>
      </c>
      <c r="L188" s="16">
        <f>IF($A188="","",ROUND($C188,2))</f>
        <v/>
      </c>
      <c r="M188" s="16">
        <f>IF($A188="","",IF($F188&lt;=toleransKurus,1,0))</f>
        <v/>
      </c>
      <c r="N188" s="16">
        <f>IF($A188="","",IF($F188&gt;cbb_esikFark,1,0))</f>
        <v/>
      </c>
      <c r="O188" s="16">
        <f>IF($A188="","",IF($G188="eslesti",$D188,0))</f>
        <v/>
      </c>
      <c r="P188" s="16">
        <f>IF($A188="","",$B188+$M188+$N188)</f>
        <v/>
      </c>
    </row>
    <row r="189">
      <c r="A189" s="16">
        <f>IF('ANAHTAR'!$B189="","",'ANAHTAR'!$B189)</f>
        <v/>
      </c>
      <c r="B189" s="16">
        <f>IF($A189="","",COUNTIF(tblAnahtarB[NormB],$A189))</f>
        <v/>
      </c>
      <c r="C189" s="16">
        <f>IF($A189="","",SUMIF(tblAnahtarB[NormB],$A189,tblVeriB[BeyanTutar]))</f>
        <v/>
      </c>
      <c r="D189" s="16">
        <f>IF($A189="","",SUMIF(tblAnahtarA[Norm],$A189,tblVeriA[Tutar]))</f>
        <v/>
      </c>
      <c r="E189" s="16">
        <f>IF($A189="","",ROUND($D189,2)-ROUND($C189,2))</f>
        <v/>
      </c>
      <c r="F189" s="16">
        <f>IF($A189="","",ABS($E189))</f>
        <v/>
      </c>
      <c r="G189" s="16">
        <f>IF($A189="","",IF($B189=0,"eslesmedi",IF(ROUND($D189,2)=ROUND($C189,2),"eslesti",IF(ABS(ROUND($D189,2)-ROUND($C189,2))&lt;=toleransKurus,"tolerans_icinde","tutar_farki"))))</f>
        <v/>
      </c>
      <c r="H189" s="16">
        <f>IF($A189="","",IF($B189&gt;0,"BIRINCIL",IF(COUNTIF(tblAnahtarB[IkincilB],'ANAHTAR'!$D189)&gt;0,"IKINCIL","YOK")))</f>
        <v/>
      </c>
      <c r="I189" s="16">
        <f>IF($A189="","",'ANAHTAR'!$F189)</f>
        <v/>
      </c>
      <c r="J189" s="16">
        <f>IF(OR($A189="",$D189=0),0,$F189/ABS($D189))</f>
        <v/>
      </c>
      <c r="K189" s="16">
        <f>IF($A189="","",ROUND($D189,2))</f>
        <v/>
      </c>
      <c r="L189" s="16">
        <f>IF($A189="","",ROUND($C189,2))</f>
        <v/>
      </c>
      <c r="M189" s="16">
        <f>IF($A189="","",IF($F189&lt;=toleransKurus,1,0))</f>
        <v/>
      </c>
      <c r="N189" s="16">
        <f>IF($A189="","",IF($F189&gt;cbb_esikFark,1,0))</f>
        <v/>
      </c>
      <c r="O189" s="16">
        <f>IF($A189="","",IF($G189="eslesti",$D189,0))</f>
        <v/>
      </c>
      <c r="P189" s="16">
        <f>IF($A189="","",$B189+$M189+$N189)</f>
        <v/>
      </c>
    </row>
    <row r="190">
      <c r="A190" s="16">
        <f>IF('ANAHTAR'!$B190="","",'ANAHTAR'!$B190)</f>
        <v/>
      </c>
      <c r="B190" s="16">
        <f>IF($A190="","",COUNTIF(tblAnahtarB[NormB],$A190))</f>
        <v/>
      </c>
      <c r="C190" s="16">
        <f>IF($A190="","",SUMIF(tblAnahtarB[NormB],$A190,tblVeriB[BeyanTutar]))</f>
        <v/>
      </c>
      <c r="D190" s="16">
        <f>IF($A190="","",SUMIF(tblAnahtarA[Norm],$A190,tblVeriA[Tutar]))</f>
        <v/>
      </c>
      <c r="E190" s="16">
        <f>IF($A190="","",ROUND($D190,2)-ROUND($C190,2))</f>
        <v/>
      </c>
      <c r="F190" s="16">
        <f>IF($A190="","",ABS($E190))</f>
        <v/>
      </c>
      <c r="G190" s="16">
        <f>IF($A190="","",IF($B190=0,"eslesmedi",IF(ROUND($D190,2)=ROUND($C190,2),"eslesti",IF(ABS(ROUND($D190,2)-ROUND($C190,2))&lt;=toleransKurus,"tolerans_icinde","tutar_farki"))))</f>
        <v/>
      </c>
      <c r="H190" s="16">
        <f>IF($A190="","",IF($B190&gt;0,"BIRINCIL",IF(COUNTIF(tblAnahtarB[IkincilB],'ANAHTAR'!$D190)&gt;0,"IKINCIL","YOK")))</f>
        <v/>
      </c>
      <c r="I190" s="16">
        <f>IF($A190="","",'ANAHTAR'!$F190)</f>
        <v/>
      </c>
      <c r="J190" s="16">
        <f>IF(OR($A190="",$D190=0),0,$F190/ABS($D190))</f>
        <v/>
      </c>
      <c r="K190" s="16">
        <f>IF($A190="","",ROUND($D190,2))</f>
        <v/>
      </c>
      <c r="L190" s="16">
        <f>IF($A190="","",ROUND($C190,2))</f>
        <v/>
      </c>
      <c r="M190" s="16">
        <f>IF($A190="","",IF($F190&lt;=toleransKurus,1,0))</f>
        <v/>
      </c>
      <c r="N190" s="16">
        <f>IF($A190="","",IF($F190&gt;cbb_esikFark,1,0))</f>
        <v/>
      </c>
      <c r="O190" s="16">
        <f>IF($A190="","",IF($G190="eslesti",$D190,0))</f>
        <v/>
      </c>
      <c r="P190" s="16">
        <f>IF($A190="","",$B190+$M190+$N190)</f>
        <v/>
      </c>
    </row>
    <row r="191">
      <c r="A191" s="16">
        <f>IF('ANAHTAR'!$B191="","",'ANAHTAR'!$B191)</f>
        <v/>
      </c>
      <c r="B191" s="16">
        <f>IF($A191="","",COUNTIF(tblAnahtarB[NormB],$A191))</f>
        <v/>
      </c>
      <c r="C191" s="16">
        <f>IF($A191="","",SUMIF(tblAnahtarB[NormB],$A191,tblVeriB[BeyanTutar]))</f>
        <v/>
      </c>
      <c r="D191" s="16">
        <f>IF($A191="","",SUMIF(tblAnahtarA[Norm],$A191,tblVeriA[Tutar]))</f>
        <v/>
      </c>
      <c r="E191" s="16">
        <f>IF($A191="","",ROUND($D191,2)-ROUND($C191,2))</f>
        <v/>
      </c>
      <c r="F191" s="16">
        <f>IF($A191="","",ABS($E191))</f>
        <v/>
      </c>
      <c r="G191" s="16">
        <f>IF($A191="","",IF($B191=0,"eslesmedi",IF(ROUND($D191,2)=ROUND($C191,2),"eslesti",IF(ABS(ROUND($D191,2)-ROUND($C191,2))&lt;=toleransKurus,"tolerans_icinde","tutar_farki"))))</f>
        <v/>
      </c>
      <c r="H191" s="16">
        <f>IF($A191="","",IF($B191&gt;0,"BIRINCIL",IF(COUNTIF(tblAnahtarB[IkincilB],'ANAHTAR'!$D191)&gt;0,"IKINCIL","YOK")))</f>
        <v/>
      </c>
      <c r="I191" s="16">
        <f>IF($A191="","",'ANAHTAR'!$F191)</f>
        <v/>
      </c>
      <c r="J191" s="16">
        <f>IF(OR($A191="",$D191=0),0,$F191/ABS($D191))</f>
        <v/>
      </c>
      <c r="K191" s="16">
        <f>IF($A191="","",ROUND($D191,2))</f>
        <v/>
      </c>
      <c r="L191" s="16">
        <f>IF($A191="","",ROUND($C191,2))</f>
        <v/>
      </c>
      <c r="M191" s="16">
        <f>IF($A191="","",IF($F191&lt;=toleransKurus,1,0))</f>
        <v/>
      </c>
      <c r="N191" s="16">
        <f>IF($A191="","",IF($F191&gt;cbb_esikFark,1,0))</f>
        <v/>
      </c>
      <c r="O191" s="16">
        <f>IF($A191="","",IF($G191="eslesti",$D191,0))</f>
        <v/>
      </c>
      <c r="P191" s="16">
        <f>IF($A191="","",$B191+$M191+$N191)</f>
        <v/>
      </c>
    </row>
    <row r="192">
      <c r="A192" s="16">
        <f>IF('ANAHTAR'!$B192="","",'ANAHTAR'!$B192)</f>
        <v/>
      </c>
      <c r="B192" s="16">
        <f>IF($A192="","",COUNTIF(tblAnahtarB[NormB],$A192))</f>
        <v/>
      </c>
      <c r="C192" s="16">
        <f>IF($A192="","",SUMIF(tblAnahtarB[NormB],$A192,tblVeriB[BeyanTutar]))</f>
        <v/>
      </c>
      <c r="D192" s="16">
        <f>IF($A192="","",SUMIF(tblAnahtarA[Norm],$A192,tblVeriA[Tutar]))</f>
        <v/>
      </c>
      <c r="E192" s="16">
        <f>IF($A192="","",ROUND($D192,2)-ROUND($C192,2))</f>
        <v/>
      </c>
      <c r="F192" s="16">
        <f>IF($A192="","",ABS($E192))</f>
        <v/>
      </c>
      <c r="G192" s="16">
        <f>IF($A192="","",IF($B192=0,"eslesmedi",IF(ROUND($D192,2)=ROUND($C192,2),"eslesti",IF(ABS(ROUND($D192,2)-ROUND($C192,2))&lt;=toleransKurus,"tolerans_icinde","tutar_farki"))))</f>
        <v/>
      </c>
      <c r="H192" s="16">
        <f>IF($A192="","",IF($B192&gt;0,"BIRINCIL",IF(COUNTIF(tblAnahtarB[IkincilB],'ANAHTAR'!$D192)&gt;0,"IKINCIL","YOK")))</f>
        <v/>
      </c>
      <c r="I192" s="16">
        <f>IF($A192="","",'ANAHTAR'!$F192)</f>
        <v/>
      </c>
      <c r="J192" s="16">
        <f>IF(OR($A192="",$D192=0),0,$F192/ABS($D192))</f>
        <v/>
      </c>
      <c r="K192" s="16">
        <f>IF($A192="","",ROUND($D192,2))</f>
        <v/>
      </c>
      <c r="L192" s="16">
        <f>IF($A192="","",ROUND($C192,2))</f>
        <v/>
      </c>
      <c r="M192" s="16">
        <f>IF($A192="","",IF($F192&lt;=toleransKurus,1,0))</f>
        <v/>
      </c>
      <c r="N192" s="16">
        <f>IF($A192="","",IF($F192&gt;cbb_esikFark,1,0))</f>
        <v/>
      </c>
      <c r="O192" s="16">
        <f>IF($A192="","",IF($G192="eslesti",$D192,0))</f>
        <v/>
      </c>
      <c r="P192" s="16">
        <f>IF($A192="","",$B192+$M192+$N192)</f>
        <v/>
      </c>
    </row>
    <row r="193">
      <c r="A193" s="16">
        <f>IF('ANAHTAR'!$B193="","",'ANAHTAR'!$B193)</f>
        <v/>
      </c>
      <c r="B193" s="16">
        <f>IF($A193="","",COUNTIF(tblAnahtarB[NormB],$A193))</f>
        <v/>
      </c>
      <c r="C193" s="16">
        <f>IF($A193="","",SUMIF(tblAnahtarB[NormB],$A193,tblVeriB[BeyanTutar]))</f>
        <v/>
      </c>
      <c r="D193" s="16">
        <f>IF($A193="","",SUMIF(tblAnahtarA[Norm],$A193,tblVeriA[Tutar]))</f>
        <v/>
      </c>
      <c r="E193" s="16">
        <f>IF($A193="","",ROUND($D193,2)-ROUND($C193,2))</f>
        <v/>
      </c>
      <c r="F193" s="16">
        <f>IF($A193="","",ABS($E193))</f>
        <v/>
      </c>
      <c r="G193" s="16">
        <f>IF($A193="","",IF($B193=0,"eslesmedi",IF(ROUND($D193,2)=ROUND($C193,2),"eslesti",IF(ABS(ROUND($D193,2)-ROUND($C193,2))&lt;=toleransKurus,"tolerans_icinde","tutar_farki"))))</f>
        <v/>
      </c>
      <c r="H193" s="16">
        <f>IF($A193="","",IF($B193&gt;0,"BIRINCIL",IF(COUNTIF(tblAnahtarB[IkincilB],'ANAHTAR'!$D193)&gt;0,"IKINCIL","YOK")))</f>
        <v/>
      </c>
      <c r="I193" s="16">
        <f>IF($A193="","",'ANAHTAR'!$F193)</f>
        <v/>
      </c>
      <c r="J193" s="16">
        <f>IF(OR($A193="",$D193=0),0,$F193/ABS($D193))</f>
        <v/>
      </c>
      <c r="K193" s="16">
        <f>IF($A193="","",ROUND($D193,2))</f>
        <v/>
      </c>
      <c r="L193" s="16">
        <f>IF($A193="","",ROUND($C193,2))</f>
        <v/>
      </c>
      <c r="M193" s="16">
        <f>IF($A193="","",IF($F193&lt;=toleransKurus,1,0))</f>
        <v/>
      </c>
      <c r="N193" s="16">
        <f>IF($A193="","",IF($F193&gt;cbb_esikFark,1,0))</f>
        <v/>
      </c>
      <c r="O193" s="16">
        <f>IF($A193="","",IF($G193="eslesti",$D193,0))</f>
        <v/>
      </c>
      <c r="P193" s="16">
        <f>IF($A193="","",$B193+$M193+$N193)</f>
        <v/>
      </c>
    </row>
    <row r="194">
      <c r="A194" s="16">
        <f>IF('ANAHTAR'!$B194="","",'ANAHTAR'!$B194)</f>
        <v/>
      </c>
      <c r="B194" s="16">
        <f>IF($A194="","",COUNTIF(tblAnahtarB[NormB],$A194))</f>
        <v/>
      </c>
      <c r="C194" s="16">
        <f>IF($A194="","",SUMIF(tblAnahtarB[NormB],$A194,tblVeriB[BeyanTutar]))</f>
        <v/>
      </c>
      <c r="D194" s="16">
        <f>IF($A194="","",SUMIF(tblAnahtarA[Norm],$A194,tblVeriA[Tutar]))</f>
        <v/>
      </c>
      <c r="E194" s="16">
        <f>IF($A194="","",ROUND($D194,2)-ROUND($C194,2))</f>
        <v/>
      </c>
      <c r="F194" s="16">
        <f>IF($A194="","",ABS($E194))</f>
        <v/>
      </c>
      <c r="G194" s="16">
        <f>IF($A194="","",IF($B194=0,"eslesmedi",IF(ROUND($D194,2)=ROUND($C194,2),"eslesti",IF(ABS(ROUND($D194,2)-ROUND($C194,2))&lt;=toleransKurus,"tolerans_icinde","tutar_farki"))))</f>
        <v/>
      </c>
      <c r="H194" s="16">
        <f>IF($A194="","",IF($B194&gt;0,"BIRINCIL",IF(COUNTIF(tblAnahtarB[IkincilB],'ANAHTAR'!$D194)&gt;0,"IKINCIL","YOK")))</f>
        <v/>
      </c>
      <c r="I194" s="16">
        <f>IF($A194="","",'ANAHTAR'!$F194)</f>
        <v/>
      </c>
      <c r="J194" s="16">
        <f>IF(OR($A194="",$D194=0),0,$F194/ABS($D194))</f>
        <v/>
      </c>
      <c r="K194" s="16">
        <f>IF($A194="","",ROUND($D194,2))</f>
        <v/>
      </c>
      <c r="L194" s="16">
        <f>IF($A194="","",ROUND($C194,2))</f>
        <v/>
      </c>
      <c r="M194" s="16">
        <f>IF($A194="","",IF($F194&lt;=toleransKurus,1,0))</f>
        <v/>
      </c>
      <c r="N194" s="16">
        <f>IF($A194="","",IF($F194&gt;cbb_esikFark,1,0))</f>
        <v/>
      </c>
      <c r="O194" s="16">
        <f>IF($A194="","",IF($G194="eslesti",$D194,0))</f>
        <v/>
      </c>
      <c r="P194" s="16">
        <f>IF($A194="","",$B194+$M194+$N194)</f>
        <v/>
      </c>
    </row>
    <row r="195">
      <c r="A195" s="16">
        <f>IF('ANAHTAR'!$B195="","",'ANAHTAR'!$B195)</f>
        <v/>
      </c>
      <c r="B195" s="16">
        <f>IF($A195="","",COUNTIF(tblAnahtarB[NormB],$A195))</f>
        <v/>
      </c>
      <c r="C195" s="16">
        <f>IF($A195="","",SUMIF(tblAnahtarB[NormB],$A195,tblVeriB[BeyanTutar]))</f>
        <v/>
      </c>
      <c r="D195" s="16">
        <f>IF($A195="","",SUMIF(tblAnahtarA[Norm],$A195,tblVeriA[Tutar]))</f>
        <v/>
      </c>
      <c r="E195" s="16">
        <f>IF($A195="","",ROUND($D195,2)-ROUND($C195,2))</f>
        <v/>
      </c>
      <c r="F195" s="16">
        <f>IF($A195="","",ABS($E195))</f>
        <v/>
      </c>
      <c r="G195" s="16">
        <f>IF($A195="","",IF($B195=0,"eslesmedi",IF(ROUND($D195,2)=ROUND($C195,2),"eslesti",IF(ABS(ROUND($D195,2)-ROUND($C195,2))&lt;=toleransKurus,"tolerans_icinde","tutar_farki"))))</f>
        <v/>
      </c>
      <c r="H195" s="16">
        <f>IF($A195="","",IF($B195&gt;0,"BIRINCIL",IF(COUNTIF(tblAnahtarB[IkincilB],'ANAHTAR'!$D195)&gt;0,"IKINCIL","YOK")))</f>
        <v/>
      </c>
      <c r="I195" s="16">
        <f>IF($A195="","",'ANAHTAR'!$F195)</f>
        <v/>
      </c>
      <c r="J195" s="16">
        <f>IF(OR($A195="",$D195=0),0,$F195/ABS($D195))</f>
        <v/>
      </c>
      <c r="K195" s="16">
        <f>IF($A195="","",ROUND($D195,2))</f>
        <v/>
      </c>
      <c r="L195" s="16">
        <f>IF($A195="","",ROUND($C195,2))</f>
        <v/>
      </c>
      <c r="M195" s="16">
        <f>IF($A195="","",IF($F195&lt;=toleransKurus,1,0))</f>
        <v/>
      </c>
      <c r="N195" s="16">
        <f>IF($A195="","",IF($F195&gt;cbb_esikFark,1,0))</f>
        <v/>
      </c>
      <c r="O195" s="16">
        <f>IF($A195="","",IF($G195="eslesti",$D195,0))</f>
        <v/>
      </c>
      <c r="P195" s="16">
        <f>IF($A195="","",$B195+$M195+$N195)</f>
        <v/>
      </c>
    </row>
    <row r="196">
      <c r="A196" s="16">
        <f>IF('ANAHTAR'!$B196="","",'ANAHTAR'!$B196)</f>
        <v/>
      </c>
      <c r="B196" s="16">
        <f>IF($A196="","",COUNTIF(tblAnahtarB[NormB],$A196))</f>
        <v/>
      </c>
      <c r="C196" s="16">
        <f>IF($A196="","",SUMIF(tblAnahtarB[NormB],$A196,tblVeriB[BeyanTutar]))</f>
        <v/>
      </c>
      <c r="D196" s="16">
        <f>IF($A196="","",SUMIF(tblAnahtarA[Norm],$A196,tblVeriA[Tutar]))</f>
        <v/>
      </c>
      <c r="E196" s="16">
        <f>IF($A196="","",ROUND($D196,2)-ROUND($C196,2))</f>
        <v/>
      </c>
      <c r="F196" s="16">
        <f>IF($A196="","",ABS($E196))</f>
        <v/>
      </c>
      <c r="G196" s="16">
        <f>IF($A196="","",IF($B196=0,"eslesmedi",IF(ROUND($D196,2)=ROUND($C196,2),"eslesti",IF(ABS(ROUND($D196,2)-ROUND($C196,2))&lt;=toleransKurus,"tolerans_icinde","tutar_farki"))))</f>
        <v/>
      </c>
      <c r="H196" s="16">
        <f>IF($A196="","",IF($B196&gt;0,"BIRINCIL",IF(COUNTIF(tblAnahtarB[IkincilB],'ANAHTAR'!$D196)&gt;0,"IKINCIL","YOK")))</f>
        <v/>
      </c>
      <c r="I196" s="16">
        <f>IF($A196="","",'ANAHTAR'!$F196)</f>
        <v/>
      </c>
      <c r="J196" s="16">
        <f>IF(OR($A196="",$D196=0),0,$F196/ABS($D196))</f>
        <v/>
      </c>
      <c r="K196" s="16">
        <f>IF($A196="","",ROUND($D196,2))</f>
        <v/>
      </c>
      <c r="L196" s="16">
        <f>IF($A196="","",ROUND($C196,2))</f>
        <v/>
      </c>
      <c r="M196" s="16">
        <f>IF($A196="","",IF($F196&lt;=toleransKurus,1,0))</f>
        <v/>
      </c>
      <c r="N196" s="16">
        <f>IF($A196="","",IF($F196&gt;cbb_esikFark,1,0))</f>
        <v/>
      </c>
      <c r="O196" s="16">
        <f>IF($A196="","",IF($G196="eslesti",$D196,0))</f>
        <v/>
      </c>
      <c r="P196" s="16">
        <f>IF($A196="","",$B196+$M196+$N196)</f>
        <v/>
      </c>
    </row>
    <row r="197">
      <c r="A197" s="16">
        <f>IF('ANAHTAR'!$B197="","",'ANAHTAR'!$B197)</f>
        <v/>
      </c>
      <c r="B197" s="16">
        <f>IF($A197="","",COUNTIF(tblAnahtarB[NormB],$A197))</f>
        <v/>
      </c>
      <c r="C197" s="16">
        <f>IF($A197="","",SUMIF(tblAnahtarB[NormB],$A197,tblVeriB[BeyanTutar]))</f>
        <v/>
      </c>
      <c r="D197" s="16">
        <f>IF($A197="","",SUMIF(tblAnahtarA[Norm],$A197,tblVeriA[Tutar]))</f>
        <v/>
      </c>
      <c r="E197" s="16">
        <f>IF($A197="","",ROUND($D197,2)-ROUND($C197,2))</f>
        <v/>
      </c>
      <c r="F197" s="16">
        <f>IF($A197="","",ABS($E197))</f>
        <v/>
      </c>
      <c r="G197" s="16">
        <f>IF($A197="","",IF($B197=0,"eslesmedi",IF(ROUND($D197,2)=ROUND($C197,2),"eslesti",IF(ABS(ROUND($D197,2)-ROUND($C197,2))&lt;=toleransKurus,"tolerans_icinde","tutar_farki"))))</f>
        <v/>
      </c>
      <c r="H197" s="16">
        <f>IF($A197="","",IF($B197&gt;0,"BIRINCIL",IF(COUNTIF(tblAnahtarB[IkincilB],'ANAHTAR'!$D197)&gt;0,"IKINCIL","YOK")))</f>
        <v/>
      </c>
      <c r="I197" s="16">
        <f>IF($A197="","",'ANAHTAR'!$F197)</f>
        <v/>
      </c>
      <c r="J197" s="16">
        <f>IF(OR($A197="",$D197=0),0,$F197/ABS($D197))</f>
        <v/>
      </c>
      <c r="K197" s="16">
        <f>IF($A197="","",ROUND($D197,2))</f>
        <v/>
      </c>
      <c r="L197" s="16">
        <f>IF($A197="","",ROUND($C197,2))</f>
        <v/>
      </c>
      <c r="M197" s="16">
        <f>IF($A197="","",IF($F197&lt;=toleransKurus,1,0))</f>
        <v/>
      </c>
      <c r="N197" s="16">
        <f>IF($A197="","",IF($F197&gt;cbb_esikFark,1,0))</f>
        <v/>
      </c>
      <c r="O197" s="16">
        <f>IF($A197="","",IF($G197="eslesti",$D197,0))</f>
        <v/>
      </c>
      <c r="P197" s="16">
        <f>IF($A197="","",$B197+$M197+$N197)</f>
        <v/>
      </c>
    </row>
    <row r="198">
      <c r="A198" s="16">
        <f>IF('ANAHTAR'!$B198="","",'ANAHTAR'!$B198)</f>
        <v/>
      </c>
      <c r="B198" s="16">
        <f>IF($A198="","",COUNTIF(tblAnahtarB[NormB],$A198))</f>
        <v/>
      </c>
      <c r="C198" s="16">
        <f>IF($A198="","",SUMIF(tblAnahtarB[NormB],$A198,tblVeriB[BeyanTutar]))</f>
        <v/>
      </c>
      <c r="D198" s="16">
        <f>IF($A198="","",SUMIF(tblAnahtarA[Norm],$A198,tblVeriA[Tutar]))</f>
        <v/>
      </c>
      <c r="E198" s="16">
        <f>IF($A198="","",ROUND($D198,2)-ROUND($C198,2))</f>
        <v/>
      </c>
      <c r="F198" s="16">
        <f>IF($A198="","",ABS($E198))</f>
        <v/>
      </c>
      <c r="G198" s="16">
        <f>IF($A198="","",IF($B198=0,"eslesmedi",IF(ROUND($D198,2)=ROUND($C198,2),"eslesti",IF(ABS(ROUND($D198,2)-ROUND($C198,2))&lt;=toleransKurus,"tolerans_icinde","tutar_farki"))))</f>
        <v/>
      </c>
      <c r="H198" s="16">
        <f>IF($A198="","",IF($B198&gt;0,"BIRINCIL",IF(COUNTIF(tblAnahtarB[IkincilB],'ANAHTAR'!$D198)&gt;0,"IKINCIL","YOK")))</f>
        <v/>
      </c>
      <c r="I198" s="16">
        <f>IF($A198="","",'ANAHTAR'!$F198)</f>
        <v/>
      </c>
      <c r="J198" s="16">
        <f>IF(OR($A198="",$D198=0),0,$F198/ABS($D198))</f>
        <v/>
      </c>
      <c r="K198" s="16">
        <f>IF($A198="","",ROUND($D198,2))</f>
        <v/>
      </c>
      <c r="L198" s="16">
        <f>IF($A198="","",ROUND($C198,2))</f>
        <v/>
      </c>
      <c r="M198" s="16">
        <f>IF($A198="","",IF($F198&lt;=toleransKurus,1,0))</f>
        <v/>
      </c>
      <c r="N198" s="16">
        <f>IF($A198="","",IF($F198&gt;cbb_esikFark,1,0))</f>
        <v/>
      </c>
      <c r="O198" s="16">
        <f>IF($A198="","",IF($G198="eslesti",$D198,0))</f>
        <v/>
      </c>
      <c r="P198" s="16">
        <f>IF($A198="","",$B198+$M198+$N198)</f>
        <v/>
      </c>
    </row>
    <row r="199">
      <c r="A199" s="16">
        <f>IF('ANAHTAR'!$B199="","",'ANAHTAR'!$B199)</f>
        <v/>
      </c>
      <c r="B199" s="16">
        <f>IF($A199="","",COUNTIF(tblAnahtarB[NormB],$A199))</f>
        <v/>
      </c>
      <c r="C199" s="16">
        <f>IF($A199="","",SUMIF(tblAnahtarB[NormB],$A199,tblVeriB[BeyanTutar]))</f>
        <v/>
      </c>
      <c r="D199" s="16">
        <f>IF($A199="","",SUMIF(tblAnahtarA[Norm],$A199,tblVeriA[Tutar]))</f>
        <v/>
      </c>
      <c r="E199" s="16">
        <f>IF($A199="","",ROUND($D199,2)-ROUND($C199,2))</f>
        <v/>
      </c>
      <c r="F199" s="16">
        <f>IF($A199="","",ABS($E199))</f>
        <v/>
      </c>
      <c r="G199" s="16">
        <f>IF($A199="","",IF($B199=0,"eslesmedi",IF(ROUND($D199,2)=ROUND($C199,2),"eslesti",IF(ABS(ROUND($D199,2)-ROUND($C199,2))&lt;=toleransKurus,"tolerans_icinde","tutar_farki"))))</f>
        <v/>
      </c>
      <c r="H199" s="16">
        <f>IF($A199="","",IF($B199&gt;0,"BIRINCIL",IF(COUNTIF(tblAnahtarB[IkincilB],'ANAHTAR'!$D199)&gt;0,"IKINCIL","YOK")))</f>
        <v/>
      </c>
      <c r="I199" s="16">
        <f>IF($A199="","",'ANAHTAR'!$F199)</f>
        <v/>
      </c>
      <c r="J199" s="16">
        <f>IF(OR($A199="",$D199=0),0,$F199/ABS($D199))</f>
        <v/>
      </c>
      <c r="K199" s="16">
        <f>IF($A199="","",ROUND($D199,2))</f>
        <v/>
      </c>
      <c r="L199" s="16">
        <f>IF($A199="","",ROUND($C199,2))</f>
        <v/>
      </c>
      <c r="M199" s="16">
        <f>IF($A199="","",IF($F199&lt;=toleransKurus,1,0))</f>
        <v/>
      </c>
      <c r="N199" s="16">
        <f>IF($A199="","",IF($F199&gt;cbb_esikFark,1,0))</f>
        <v/>
      </c>
      <c r="O199" s="16">
        <f>IF($A199="","",IF($G199="eslesti",$D199,0))</f>
        <v/>
      </c>
      <c r="P199" s="16">
        <f>IF($A199="","",$B199+$M199+$N199)</f>
        <v/>
      </c>
    </row>
    <row r="200">
      <c r="A200" s="16">
        <f>IF('ANAHTAR'!$B200="","",'ANAHTAR'!$B200)</f>
        <v/>
      </c>
      <c r="B200" s="16">
        <f>IF($A200="","",COUNTIF(tblAnahtarB[NormB],$A200))</f>
        <v/>
      </c>
      <c r="C200" s="16">
        <f>IF($A200="","",SUMIF(tblAnahtarB[NormB],$A200,tblVeriB[BeyanTutar]))</f>
        <v/>
      </c>
      <c r="D200" s="16">
        <f>IF($A200="","",SUMIF(tblAnahtarA[Norm],$A200,tblVeriA[Tutar]))</f>
        <v/>
      </c>
      <c r="E200" s="16">
        <f>IF($A200="","",ROUND($D200,2)-ROUND($C200,2))</f>
        <v/>
      </c>
      <c r="F200" s="16">
        <f>IF($A200="","",ABS($E200))</f>
        <v/>
      </c>
      <c r="G200" s="16">
        <f>IF($A200="","",IF($B200=0,"eslesmedi",IF(ROUND($D200,2)=ROUND($C200,2),"eslesti",IF(ABS(ROUND($D200,2)-ROUND($C200,2))&lt;=toleransKurus,"tolerans_icinde","tutar_farki"))))</f>
        <v/>
      </c>
      <c r="H200" s="16">
        <f>IF($A200="","",IF($B200&gt;0,"BIRINCIL",IF(COUNTIF(tblAnahtarB[IkincilB],'ANAHTAR'!$D200)&gt;0,"IKINCIL","YOK")))</f>
        <v/>
      </c>
      <c r="I200" s="16">
        <f>IF($A200="","",'ANAHTAR'!$F200)</f>
        <v/>
      </c>
      <c r="J200" s="16">
        <f>IF(OR($A200="",$D200=0),0,$F200/ABS($D200))</f>
        <v/>
      </c>
      <c r="K200" s="16">
        <f>IF($A200="","",ROUND($D200,2))</f>
        <v/>
      </c>
      <c r="L200" s="16">
        <f>IF($A200="","",ROUND($C200,2))</f>
        <v/>
      </c>
      <c r="M200" s="16">
        <f>IF($A200="","",IF($F200&lt;=toleransKurus,1,0))</f>
        <v/>
      </c>
      <c r="N200" s="16">
        <f>IF($A200="","",IF($F200&gt;cbb_esikFark,1,0))</f>
        <v/>
      </c>
      <c r="O200" s="16">
        <f>IF($A200="","",IF($G200="eslesti",$D200,0))</f>
        <v/>
      </c>
      <c r="P200" s="16">
        <f>IF($A200="","",$B200+$M200+$N200)</f>
        <v/>
      </c>
    </row>
    <row r="201">
      <c r="A201" s="16">
        <f>IF('ANAHTAR'!$B201="","",'ANAHTAR'!$B201)</f>
        <v/>
      </c>
      <c r="B201" s="16">
        <f>IF($A201="","",COUNTIF(tblAnahtarB[NormB],$A201))</f>
        <v/>
      </c>
      <c r="C201" s="16">
        <f>IF($A201="","",SUMIF(tblAnahtarB[NormB],$A201,tblVeriB[BeyanTutar]))</f>
        <v/>
      </c>
      <c r="D201" s="16">
        <f>IF($A201="","",SUMIF(tblAnahtarA[Norm],$A201,tblVeriA[Tutar]))</f>
        <v/>
      </c>
      <c r="E201" s="16">
        <f>IF($A201="","",ROUND($D201,2)-ROUND($C201,2))</f>
        <v/>
      </c>
      <c r="F201" s="16">
        <f>IF($A201="","",ABS($E201))</f>
        <v/>
      </c>
      <c r="G201" s="16">
        <f>IF($A201="","",IF($B201=0,"eslesmedi",IF(ROUND($D201,2)=ROUND($C201,2),"eslesti",IF(ABS(ROUND($D201,2)-ROUND($C201,2))&lt;=toleransKurus,"tolerans_icinde","tutar_farki"))))</f>
        <v/>
      </c>
      <c r="H201" s="16">
        <f>IF($A201="","",IF($B201&gt;0,"BIRINCIL",IF(COUNTIF(tblAnahtarB[IkincilB],'ANAHTAR'!$D201)&gt;0,"IKINCIL","YOK")))</f>
        <v/>
      </c>
      <c r="I201" s="16">
        <f>IF($A201="","",'ANAHTAR'!$F201)</f>
        <v/>
      </c>
      <c r="J201" s="16">
        <f>IF(OR($A201="",$D201=0),0,$F201/ABS($D201))</f>
        <v/>
      </c>
      <c r="K201" s="16">
        <f>IF($A201="","",ROUND($D201,2))</f>
        <v/>
      </c>
      <c r="L201" s="16">
        <f>IF($A201="","",ROUND($C201,2))</f>
        <v/>
      </c>
      <c r="M201" s="16">
        <f>IF($A201="","",IF($F201&lt;=toleransKurus,1,0))</f>
        <v/>
      </c>
      <c r="N201" s="16">
        <f>IF($A201="","",IF($F201&gt;cbb_esikFark,1,0))</f>
        <v/>
      </c>
      <c r="O201" s="16">
        <f>IF($A201="","",IF($G201="eslesti",$D201,0))</f>
        <v/>
      </c>
      <c r="P201" s="16">
        <f>IF($A201="","",$B201+$M201+$N201)</f>
        <v/>
      </c>
    </row>
    <row r="202">
      <c r="A202" s="16">
        <f>IF('ANAHTAR'!$B202="","",'ANAHTAR'!$B202)</f>
        <v/>
      </c>
      <c r="B202" s="16">
        <f>IF($A202="","",COUNTIF(tblAnahtarB[NormB],$A202))</f>
        <v/>
      </c>
      <c r="C202" s="16">
        <f>IF($A202="","",SUMIF(tblAnahtarB[NormB],$A202,tblVeriB[BeyanTutar]))</f>
        <v/>
      </c>
      <c r="D202" s="16">
        <f>IF($A202="","",SUMIF(tblAnahtarA[Norm],$A202,tblVeriA[Tutar]))</f>
        <v/>
      </c>
      <c r="E202" s="16">
        <f>IF($A202="","",ROUND($D202,2)-ROUND($C202,2))</f>
        <v/>
      </c>
      <c r="F202" s="16">
        <f>IF($A202="","",ABS($E202))</f>
        <v/>
      </c>
      <c r="G202" s="16">
        <f>IF($A202="","",IF($B202=0,"eslesmedi",IF(ROUND($D202,2)=ROUND($C202,2),"eslesti",IF(ABS(ROUND($D202,2)-ROUND($C202,2))&lt;=toleransKurus,"tolerans_icinde","tutar_farki"))))</f>
        <v/>
      </c>
      <c r="H202" s="16">
        <f>IF($A202="","",IF($B202&gt;0,"BIRINCIL",IF(COUNTIF(tblAnahtarB[IkincilB],'ANAHTAR'!$D202)&gt;0,"IKINCIL","YOK")))</f>
        <v/>
      </c>
      <c r="I202" s="16">
        <f>IF($A202="","",'ANAHTAR'!$F202)</f>
        <v/>
      </c>
      <c r="J202" s="16">
        <f>IF(OR($A202="",$D202=0),0,$F202/ABS($D202))</f>
        <v/>
      </c>
      <c r="K202" s="16">
        <f>IF($A202="","",ROUND($D202,2))</f>
        <v/>
      </c>
      <c r="L202" s="16">
        <f>IF($A202="","",ROUND($C202,2))</f>
        <v/>
      </c>
      <c r="M202" s="16">
        <f>IF($A202="","",IF($F202&lt;=toleransKurus,1,0))</f>
        <v/>
      </c>
      <c r="N202" s="16">
        <f>IF($A202="","",IF($F202&gt;cbb_esikFark,1,0))</f>
        <v/>
      </c>
      <c r="O202" s="16">
        <f>IF($A202="","",IF($G202="eslesti",$D202,0))</f>
        <v/>
      </c>
      <c r="P202" s="16">
        <f>IF($A202="","",$B202+$M202+$N202)</f>
        <v/>
      </c>
    </row>
    <row r="203">
      <c r="A203" s="16">
        <f>IF('ANAHTAR'!$B203="","",'ANAHTAR'!$B203)</f>
        <v/>
      </c>
      <c r="B203" s="16">
        <f>IF($A203="","",COUNTIF(tblAnahtarB[NormB],$A203))</f>
        <v/>
      </c>
      <c r="C203" s="16">
        <f>IF($A203="","",SUMIF(tblAnahtarB[NormB],$A203,tblVeriB[BeyanTutar]))</f>
        <v/>
      </c>
      <c r="D203" s="16">
        <f>IF($A203="","",SUMIF(tblAnahtarA[Norm],$A203,tblVeriA[Tutar]))</f>
        <v/>
      </c>
      <c r="E203" s="16">
        <f>IF($A203="","",ROUND($D203,2)-ROUND($C203,2))</f>
        <v/>
      </c>
      <c r="F203" s="16">
        <f>IF($A203="","",ABS($E203))</f>
        <v/>
      </c>
      <c r="G203" s="16">
        <f>IF($A203="","",IF($B203=0,"eslesmedi",IF(ROUND($D203,2)=ROUND($C203,2),"eslesti",IF(ABS(ROUND($D203,2)-ROUND($C203,2))&lt;=toleransKurus,"tolerans_icinde","tutar_farki"))))</f>
        <v/>
      </c>
      <c r="H203" s="16">
        <f>IF($A203="","",IF($B203&gt;0,"BIRINCIL",IF(COUNTIF(tblAnahtarB[IkincilB],'ANAHTAR'!$D203)&gt;0,"IKINCIL","YOK")))</f>
        <v/>
      </c>
      <c r="I203" s="16">
        <f>IF($A203="","",'ANAHTAR'!$F203)</f>
        <v/>
      </c>
      <c r="J203" s="16">
        <f>IF(OR($A203="",$D203=0),0,$F203/ABS($D203))</f>
        <v/>
      </c>
      <c r="K203" s="16">
        <f>IF($A203="","",ROUND($D203,2))</f>
        <v/>
      </c>
      <c r="L203" s="16">
        <f>IF($A203="","",ROUND($C203,2))</f>
        <v/>
      </c>
      <c r="M203" s="16">
        <f>IF($A203="","",IF($F203&lt;=toleransKurus,1,0))</f>
        <v/>
      </c>
      <c r="N203" s="16">
        <f>IF($A203="","",IF($F203&gt;cbb_esikFark,1,0))</f>
        <v/>
      </c>
      <c r="O203" s="16">
        <f>IF($A203="","",IF($G203="eslesti",$D203,0))</f>
        <v/>
      </c>
      <c r="P203" s="16">
        <f>IF($A203="","",$B203+$M203+$N203)</f>
        <v/>
      </c>
    </row>
    <row r="204">
      <c r="A204" s="16">
        <f>IF('ANAHTAR'!$B204="","",'ANAHTAR'!$B204)</f>
        <v/>
      </c>
      <c r="B204" s="16">
        <f>IF($A204="","",COUNTIF(tblAnahtarB[NormB],$A204))</f>
        <v/>
      </c>
      <c r="C204" s="16">
        <f>IF($A204="","",SUMIF(tblAnahtarB[NormB],$A204,tblVeriB[BeyanTutar]))</f>
        <v/>
      </c>
      <c r="D204" s="16">
        <f>IF($A204="","",SUMIF(tblAnahtarA[Norm],$A204,tblVeriA[Tutar]))</f>
        <v/>
      </c>
      <c r="E204" s="16">
        <f>IF($A204="","",ROUND($D204,2)-ROUND($C204,2))</f>
        <v/>
      </c>
      <c r="F204" s="16">
        <f>IF($A204="","",ABS($E204))</f>
        <v/>
      </c>
      <c r="G204" s="16">
        <f>IF($A204="","",IF($B204=0,"eslesmedi",IF(ROUND($D204,2)=ROUND($C204,2),"eslesti",IF(ABS(ROUND($D204,2)-ROUND($C204,2))&lt;=toleransKurus,"tolerans_icinde","tutar_farki"))))</f>
        <v/>
      </c>
      <c r="H204" s="16">
        <f>IF($A204="","",IF($B204&gt;0,"BIRINCIL",IF(COUNTIF(tblAnahtarB[IkincilB],'ANAHTAR'!$D204)&gt;0,"IKINCIL","YOK")))</f>
        <v/>
      </c>
      <c r="I204" s="16">
        <f>IF($A204="","",'ANAHTAR'!$F204)</f>
        <v/>
      </c>
      <c r="J204" s="16">
        <f>IF(OR($A204="",$D204=0),0,$F204/ABS($D204))</f>
        <v/>
      </c>
      <c r="K204" s="16">
        <f>IF($A204="","",ROUND($D204,2))</f>
        <v/>
      </c>
      <c r="L204" s="16">
        <f>IF($A204="","",ROUND($C204,2))</f>
        <v/>
      </c>
      <c r="M204" s="16">
        <f>IF($A204="","",IF($F204&lt;=toleransKurus,1,0))</f>
        <v/>
      </c>
      <c r="N204" s="16">
        <f>IF($A204="","",IF($F204&gt;cbb_esikFark,1,0))</f>
        <v/>
      </c>
      <c r="O204" s="16">
        <f>IF($A204="","",IF($G204="eslesti",$D204,0))</f>
        <v/>
      </c>
      <c r="P204" s="16">
        <f>IF($A204="","",$B204+$M204+$N204)</f>
        <v/>
      </c>
    </row>
    <row r="205">
      <c r="A205" s="16">
        <f>IF('ANAHTAR'!$B205="","",'ANAHTAR'!$B205)</f>
        <v/>
      </c>
      <c r="B205" s="16">
        <f>IF($A205="","",COUNTIF(tblAnahtarB[NormB],$A205))</f>
        <v/>
      </c>
      <c r="C205" s="16">
        <f>IF($A205="","",SUMIF(tblAnahtarB[NormB],$A205,tblVeriB[BeyanTutar]))</f>
        <v/>
      </c>
      <c r="D205" s="16">
        <f>IF($A205="","",SUMIF(tblAnahtarA[Norm],$A205,tblVeriA[Tutar]))</f>
        <v/>
      </c>
      <c r="E205" s="16">
        <f>IF($A205="","",ROUND($D205,2)-ROUND($C205,2))</f>
        <v/>
      </c>
      <c r="F205" s="16">
        <f>IF($A205="","",ABS($E205))</f>
        <v/>
      </c>
      <c r="G205" s="16">
        <f>IF($A205="","",IF($B205=0,"eslesmedi",IF(ROUND($D205,2)=ROUND($C205,2),"eslesti",IF(ABS(ROUND($D205,2)-ROUND($C205,2))&lt;=toleransKurus,"tolerans_icinde","tutar_farki"))))</f>
        <v/>
      </c>
      <c r="H205" s="16">
        <f>IF($A205="","",IF($B205&gt;0,"BIRINCIL",IF(COUNTIF(tblAnahtarB[IkincilB],'ANAHTAR'!$D205)&gt;0,"IKINCIL","YOK")))</f>
        <v/>
      </c>
      <c r="I205" s="16">
        <f>IF($A205="","",'ANAHTAR'!$F205)</f>
        <v/>
      </c>
      <c r="J205" s="16">
        <f>IF(OR($A205="",$D205=0),0,$F205/ABS($D205))</f>
        <v/>
      </c>
      <c r="K205" s="16">
        <f>IF($A205="","",ROUND($D205,2))</f>
        <v/>
      </c>
      <c r="L205" s="16">
        <f>IF($A205="","",ROUND($C205,2))</f>
        <v/>
      </c>
      <c r="M205" s="16">
        <f>IF($A205="","",IF($F205&lt;=toleransKurus,1,0))</f>
        <v/>
      </c>
      <c r="N205" s="16">
        <f>IF($A205="","",IF($F205&gt;cbb_esikFark,1,0))</f>
        <v/>
      </c>
      <c r="O205" s="16">
        <f>IF($A205="","",IF($G205="eslesti",$D205,0))</f>
        <v/>
      </c>
      <c r="P205" s="16">
        <f>IF($A205="","",$B205+$M205+$N205)</f>
        <v/>
      </c>
    </row>
    <row r="206">
      <c r="A206" s="16">
        <f>IF('ANAHTAR'!$B206="","",'ANAHTAR'!$B206)</f>
        <v/>
      </c>
      <c r="B206" s="16">
        <f>IF($A206="","",COUNTIF(tblAnahtarB[NormB],$A206))</f>
        <v/>
      </c>
      <c r="C206" s="16">
        <f>IF($A206="","",SUMIF(tblAnahtarB[NormB],$A206,tblVeriB[BeyanTutar]))</f>
        <v/>
      </c>
      <c r="D206" s="16">
        <f>IF($A206="","",SUMIF(tblAnahtarA[Norm],$A206,tblVeriA[Tutar]))</f>
        <v/>
      </c>
      <c r="E206" s="16">
        <f>IF($A206="","",ROUND($D206,2)-ROUND($C206,2))</f>
        <v/>
      </c>
      <c r="F206" s="16">
        <f>IF($A206="","",ABS($E206))</f>
        <v/>
      </c>
      <c r="G206" s="16">
        <f>IF($A206="","",IF($B206=0,"eslesmedi",IF(ROUND($D206,2)=ROUND($C206,2),"eslesti",IF(ABS(ROUND($D206,2)-ROUND($C206,2))&lt;=toleransKurus,"tolerans_icinde","tutar_farki"))))</f>
        <v/>
      </c>
      <c r="H206" s="16">
        <f>IF($A206="","",IF($B206&gt;0,"BIRINCIL",IF(COUNTIF(tblAnahtarB[IkincilB],'ANAHTAR'!$D206)&gt;0,"IKINCIL","YOK")))</f>
        <v/>
      </c>
      <c r="I206" s="16">
        <f>IF($A206="","",'ANAHTAR'!$F206)</f>
        <v/>
      </c>
      <c r="J206" s="16">
        <f>IF(OR($A206="",$D206=0),0,$F206/ABS($D206))</f>
        <v/>
      </c>
      <c r="K206" s="16">
        <f>IF($A206="","",ROUND($D206,2))</f>
        <v/>
      </c>
      <c r="L206" s="16">
        <f>IF($A206="","",ROUND($C206,2))</f>
        <v/>
      </c>
      <c r="M206" s="16">
        <f>IF($A206="","",IF($F206&lt;=toleransKurus,1,0))</f>
        <v/>
      </c>
      <c r="N206" s="16">
        <f>IF($A206="","",IF($F206&gt;cbb_esikFark,1,0))</f>
        <v/>
      </c>
      <c r="O206" s="16">
        <f>IF($A206="","",IF($G206="eslesti",$D206,0))</f>
        <v/>
      </c>
      <c r="P206" s="16">
        <f>IF($A206="","",$B206+$M206+$N206)</f>
        <v/>
      </c>
    </row>
    <row r="207">
      <c r="A207" s="16">
        <f>IF('ANAHTAR'!$B207="","",'ANAHTAR'!$B207)</f>
        <v/>
      </c>
      <c r="B207" s="16">
        <f>IF($A207="","",COUNTIF(tblAnahtarB[NormB],$A207))</f>
        <v/>
      </c>
      <c r="C207" s="16">
        <f>IF($A207="","",SUMIF(tblAnahtarB[NormB],$A207,tblVeriB[BeyanTutar]))</f>
        <v/>
      </c>
      <c r="D207" s="16">
        <f>IF($A207="","",SUMIF(tblAnahtarA[Norm],$A207,tblVeriA[Tutar]))</f>
        <v/>
      </c>
      <c r="E207" s="16">
        <f>IF($A207="","",ROUND($D207,2)-ROUND($C207,2))</f>
        <v/>
      </c>
      <c r="F207" s="16">
        <f>IF($A207="","",ABS($E207))</f>
        <v/>
      </c>
      <c r="G207" s="16">
        <f>IF($A207="","",IF($B207=0,"eslesmedi",IF(ROUND($D207,2)=ROUND($C207,2),"eslesti",IF(ABS(ROUND($D207,2)-ROUND($C207,2))&lt;=toleransKurus,"tolerans_icinde","tutar_farki"))))</f>
        <v/>
      </c>
      <c r="H207" s="16">
        <f>IF($A207="","",IF($B207&gt;0,"BIRINCIL",IF(COUNTIF(tblAnahtarB[IkincilB],'ANAHTAR'!$D207)&gt;0,"IKINCIL","YOK")))</f>
        <v/>
      </c>
      <c r="I207" s="16">
        <f>IF($A207="","",'ANAHTAR'!$F207)</f>
        <v/>
      </c>
      <c r="J207" s="16">
        <f>IF(OR($A207="",$D207=0),0,$F207/ABS($D207))</f>
        <v/>
      </c>
      <c r="K207" s="16">
        <f>IF($A207="","",ROUND($D207,2))</f>
        <v/>
      </c>
      <c r="L207" s="16">
        <f>IF($A207="","",ROUND($C207,2))</f>
        <v/>
      </c>
      <c r="M207" s="16">
        <f>IF($A207="","",IF($F207&lt;=toleransKurus,1,0))</f>
        <v/>
      </c>
      <c r="N207" s="16">
        <f>IF($A207="","",IF($F207&gt;cbb_esikFark,1,0))</f>
        <v/>
      </c>
      <c r="O207" s="16">
        <f>IF($A207="","",IF($G207="eslesti",$D207,0))</f>
        <v/>
      </c>
      <c r="P207" s="16">
        <f>IF($A207="","",$B207+$M207+$N207)</f>
        <v/>
      </c>
    </row>
    <row r="208">
      <c r="A208" s="16">
        <f>IF('ANAHTAR'!$B208="","",'ANAHTAR'!$B208)</f>
        <v/>
      </c>
      <c r="B208" s="16">
        <f>IF($A208="","",COUNTIF(tblAnahtarB[NormB],$A208))</f>
        <v/>
      </c>
      <c r="C208" s="16">
        <f>IF($A208="","",SUMIF(tblAnahtarB[NormB],$A208,tblVeriB[BeyanTutar]))</f>
        <v/>
      </c>
      <c r="D208" s="16">
        <f>IF($A208="","",SUMIF(tblAnahtarA[Norm],$A208,tblVeriA[Tutar]))</f>
        <v/>
      </c>
      <c r="E208" s="16">
        <f>IF($A208="","",ROUND($D208,2)-ROUND($C208,2))</f>
        <v/>
      </c>
      <c r="F208" s="16">
        <f>IF($A208="","",ABS($E208))</f>
        <v/>
      </c>
      <c r="G208" s="16">
        <f>IF($A208="","",IF($B208=0,"eslesmedi",IF(ROUND($D208,2)=ROUND($C208,2),"eslesti",IF(ABS(ROUND($D208,2)-ROUND($C208,2))&lt;=toleransKurus,"tolerans_icinde","tutar_farki"))))</f>
        <v/>
      </c>
      <c r="H208" s="16">
        <f>IF($A208="","",IF($B208&gt;0,"BIRINCIL",IF(COUNTIF(tblAnahtarB[IkincilB],'ANAHTAR'!$D208)&gt;0,"IKINCIL","YOK")))</f>
        <v/>
      </c>
      <c r="I208" s="16">
        <f>IF($A208="","",'ANAHTAR'!$F208)</f>
        <v/>
      </c>
      <c r="J208" s="16">
        <f>IF(OR($A208="",$D208=0),0,$F208/ABS($D208))</f>
        <v/>
      </c>
      <c r="K208" s="16">
        <f>IF($A208="","",ROUND($D208,2))</f>
        <v/>
      </c>
      <c r="L208" s="16">
        <f>IF($A208="","",ROUND($C208,2))</f>
        <v/>
      </c>
      <c r="M208" s="16">
        <f>IF($A208="","",IF($F208&lt;=toleransKurus,1,0))</f>
        <v/>
      </c>
      <c r="N208" s="16">
        <f>IF($A208="","",IF($F208&gt;cbb_esikFark,1,0))</f>
        <v/>
      </c>
      <c r="O208" s="16">
        <f>IF($A208="","",IF($G208="eslesti",$D208,0))</f>
        <v/>
      </c>
      <c r="P208" s="16">
        <f>IF($A208="","",$B208+$M208+$N208)</f>
        <v/>
      </c>
    </row>
    <row r="209">
      <c r="A209" s="16">
        <f>IF('ANAHTAR'!$B209="","",'ANAHTAR'!$B209)</f>
        <v/>
      </c>
      <c r="B209" s="16">
        <f>IF($A209="","",COUNTIF(tblAnahtarB[NormB],$A209))</f>
        <v/>
      </c>
      <c r="C209" s="16">
        <f>IF($A209="","",SUMIF(tblAnahtarB[NormB],$A209,tblVeriB[BeyanTutar]))</f>
        <v/>
      </c>
      <c r="D209" s="16">
        <f>IF($A209="","",SUMIF(tblAnahtarA[Norm],$A209,tblVeriA[Tutar]))</f>
        <v/>
      </c>
      <c r="E209" s="16">
        <f>IF($A209="","",ROUND($D209,2)-ROUND($C209,2))</f>
        <v/>
      </c>
      <c r="F209" s="16">
        <f>IF($A209="","",ABS($E209))</f>
        <v/>
      </c>
      <c r="G209" s="16">
        <f>IF($A209="","",IF($B209=0,"eslesmedi",IF(ROUND($D209,2)=ROUND($C209,2),"eslesti",IF(ABS(ROUND($D209,2)-ROUND($C209,2))&lt;=toleransKurus,"tolerans_icinde","tutar_farki"))))</f>
        <v/>
      </c>
      <c r="H209" s="16">
        <f>IF($A209="","",IF($B209&gt;0,"BIRINCIL",IF(COUNTIF(tblAnahtarB[IkincilB],'ANAHTAR'!$D209)&gt;0,"IKINCIL","YOK")))</f>
        <v/>
      </c>
      <c r="I209" s="16">
        <f>IF($A209="","",'ANAHTAR'!$F209)</f>
        <v/>
      </c>
      <c r="J209" s="16">
        <f>IF(OR($A209="",$D209=0),0,$F209/ABS($D209))</f>
        <v/>
      </c>
      <c r="K209" s="16">
        <f>IF($A209="","",ROUND($D209,2))</f>
        <v/>
      </c>
      <c r="L209" s="16">
        <f>IF($A209="","",ROUND($C209,2))</f>
        <v/>
      </c>
      <c r="M209" s="16">
        <f>IF($A209="","",IF($F209&lt;=toleransKurus,1,0))</f>
        <v/>
      </c>
      <c r="N209" s="16">
        <f>IF($A209="","",IF($F209&gt;cbb_esikFark,1,0))</f>
        <v/>
      </c>
      <c r="O209" s="16">
        <f>IF($A209="","",IF($G209="eslesti",$D209,0))</f>
        <v/>
      </c>
      <c r="P209" s="16">
        <f>IF($A209="","",$B209+$M209+$N209)</f>
        <v/>
      </c>
    </row>
    <row r="210">
      <c r="A210" s="16">
        <f>IF('ANAHTAR'!$B210="","",'ANAHTAR'!$B210)</f>
        <v/>
      </c>
      <c r="B210" s="16">
        <f>IF($A210="","",COUNTIF(tblAnahtarB[NormB],$A210))</f>
        <v/>
      </c>
      <c r="C210" s="16">
        <f>IF($A210="","",SUMIF(tblAnahtarB[NormB],$A210,tblVeriB[BeyanTutar]))</f>
        <v/>
      </c>
      <c r="D210" s="16">
        <f>IF($A210="","",SUMIF(tblAnahtarA[Norm],$A210,tblVeriA[Tutar]))</f>
        <v/>
      </c>
      <c r="E210" s="16">
        <f>IF($A210="","",ROUND($D210,2)-ROUND($C210,2))</f>
        <v/>
      </c>
      <c r="F210" s="16">
        <f>IF($A210="","",ABS($E210))</f>
        <v/>
      </c>
      <c r="G210" s="16">
        <f>IF($A210="","",IF($B210=0,"eslesmedi",IF(ROUND($D210,2)=ROUND($C210,2),"eslesti",IF(ABS(ROUND($D210,2)-ROUND($C210,2))&lt;=toleransKurus,"tolerans_icinde","tutar_farki"))))</f>
        <v/>
      </c>
      <c r="H210" s="16">
        <f>IF($A210="","",IF($B210&gt;0,"BIRINCIL",IF(COUNTIF(tblAnahtarB[IkincilB],'ANAHTAR'!$D210)&gt;0,"IKINCIL","YOK")))</f>
        <v/>
      </c>
      <c r="I210" s="16">
        <f>IF($A210="","",'ANAHTAR'!$F210)</f>
        <v/>
      </c>
      <c r="J210" s="16">
        <f>IF(OR($A210="",$D210=0),0,$F210/ABS($D210))</f>
        <v/>
      </c>
      <c r="K210" s="16">
        <f>IF($A210="","",ROUND($D210,2))</f>
        <v/>
      </c>
      <c r="L210" s="16">
        <f>IF($A210="","",ROUND($C210,2))</f>
        <v/>
      </c>
      <c r="M210" s="16">
        <f>IF($A210="","",IF($F210&lt;=toleransKurus,1,0))</f>
        <v/>
      </c>
      <c r="N210" s="16">
        <f>IF($A210="","",IF($F210&gt;cbb_esikFark,1,0))</f>
        <v/>
      </c>
      <c r="O210" s="16">
        <f>IF($A210="","",IF($G210="eslesti",$D210,0))</f>
        <v/>
      </c>
      <c r="P210" s="16">
        <f>IF($A210="","",$B210+$M210+$N210)</f>
        <v/>
      </c>
    </row>
    <row r="211">
      <c r="A211" s="16">
        <f>IF('ANAHTAR'!$B211="","",'ANAHTAR'!$B211)</f>
        <v/>
      </c>
      <c r="B211" s="16">
        <f>IF($A211="","",COUNTIF(tblAnahtarB[NormB],$A211))</f>
        <v/>
      </c>
      <c r="C211" s="16">
        <f>IF($A211="","",SUMIF(tblAnahtarB[NormB],$A211,tblVeriB[BeyanTutar]))</f>
        <v/>
      </c>
      <c r="D211" s="16">
        <f>IF($A211="","",SUMIF(tblAnahtarA[Norm],$A211,tblVeriA[Tutar]))</f>
        <v/>
      </c>
      <c r="E211" s="16">
        <f>IF($A211="","",ROUND($D211,2)-ROUND($C211,2))</f>
        <v/>
      </c>
      <c r="F211" s="16">
        <f>IF($A211="","",ABS($E211))</f>
        <v/>
      </c>
      <c r="G211" s="16">
        <f>IF($A211="","",IF($B211=0,"eslesmedi",IF(ROUND($D211,2)=ROUND($C211,2),"eslesti",IF(ABS(ROUND($D211,2)-ROUND($C211,2))&lt;=toleransKurus,"tolerans_icinde","tutar_farki"))))</f>
        <v/>
      </c>
      <c r="H211" s="16">
        <f>IF($A211="","",IF($B211&gt;0,"BIRINCIL",IF(COUNTIF(tblAnahtarB[IkincilB],'ANAHTAR'!$D211)&gt;0,"IKINCIL","YOK")))</f>
        <v/>
      </c>
      <c r="I211" s="16">
        <f>IF($A211="","",'ANAHTAR'!$F211)</f>
        <v/>
      </c>
      <c r="J211" s="16">
        <f>IF(OR($A211="",$D211=0),0,$F211/ABS($D211))</f>
        <v/>
      </c>
      <c r="K211" s="16">
        <f>IF($A211="","",ROUND($D211,2))</f>
        <v/>
      </c>
      <c r="L211" s="16">
        <f>IF($A211="","",ROUND($C211,2))</f>
        <v/>
      </c>
      <c r="M211" s="16">
        <f>IF($A211="","",IF($F211&lt;=toleransKurus,1,0))</f>
        <v/>
      </c>
      <c r="N211" s="16">
        <f>IF($A211="","",IF($F211&gt;cbb_esikFark,1,0))</f>
        <v/>
      </c>
      <c r="O211" s="16">
        <f>IF($A211="","",IF($G211="eslesti",$D211,0))</f>
        <v/>
      </c>
      <c r="P211" s="16">
        <f>IF($A211="","",$B211+$M211+$N211)</f>
        <v/>
      </c>
    </row>
    <row r="212">
      <c r="A212" s="16">
        <f>IF('ANAHTAR'!$B212="","",'ANAHTAR'!$B212)</f>
        <v/>
      </c>
      <c r="B212" s="16">
        <f>IF($A212="","",COUNTIF(tblAnahtarB[NormB],$A212))</f>
        <v/>
      </c>
      <c r="C212" s="16">
        <f>IF($A212="","",SUMIF(tblAnahtarB[NormB],$A212,tblVeriB[BeyanTutar]))</f>
        <v/>
      </c>
      <c r="D212" s="16">
        <f>IF($A212="","",SUMIF(tblAnahtarA[Norm],$A212,tblVeriA[Tutar]))</f>
        <v/>
      </c>
      <c r="E212" s="16">
        <f>IF($A212="","",ROUND($D212,2)-ROUND($C212,2))</f>
        <v/>
      </c>
      <c r="F212" s="16">
        <f>IF($A212="","",ABS($E212))</f>
        <v/>
      </c>
      <c r="G212" s="16">
        <f>IF($A212="","",IF($B212=0,"eslesmedi",IF(ROUND($D212,2)=ROUND($C212,2),"eslesti",IF(ABS(ROUND($D212,2)-ROUND($C212,2))&lt;=toleransKurus,"tolerans_icinde","tutar_farki"))))</f>
        <v/>
      </c>
      <c r="H212" s="16">
        <f>IF($A212="","",IF($B212&gt;0,"BIRINCIL",IF(COUNTIF(tblAnahtarB[IkincilB],'ANAHTAR'!$D212)&gt;0,"IKINCIL","YOK")))</f>
        <v/>
      </c>
      <c r="I212" s="16">
        <f>IF($A212="","",'ANAHTAR'!$F212)</f>
        <v/>
      </c>
      <c r="J212" s="16">
        <f>IF(OR($A212="",$D212=0),0,$F212/ABS($D212))</f>
        <v/>
      </c>
      <c r="K212" s="16">
        <f>IF($A212="","",ROUND($D212,2))</f>
        <v/>
      </c>
      <c r="L212" s="16">
        <f>IF($A212="","",ROUND($C212,2))</f>
        <v/>
      </c>
      <c r="M212" s="16">
        <f>IF($A212="","",IF($F212&lt;=toleransKurus,1,0))</f>
        <v/>
      </c>
      <c r="N212" s="16">
        <f>IF($A212="","",IF($F212&gt;cbb_esikFark,1,0))</f>
        <v/>
      </c>
      <c r="O212" s="16">
        <f>IF($A212="","",IF($G212="eslesti",$D212,0))</f>
        <v/>
      </c>
      <c r="P212" s="16">
        <f>IF($A212="","",$B212+$M212+$N212)</f>
        <v/>
      </c>
    </row>
    <row r="213">
      <c r="A213" s="16">
        <f>IF('ANAHTAR'!$B213="","",'ANAHTAR'!$B213)</f>
        <v/>
      </c>
      <c r="B213" s="16">
        <f>IF($A213="","",COUNTIF(tblAnahtarB[NormB],$A213))</f>
        <v/>
      </c>
      <c r="C213" s="16">
        <f>IF($A213="","",SUMIF(tblAnahtarB[NormB],$A213,tblVeriB[BeyanTutar]))</f>
        <v/>
      </c>
      <c r="D213" s="16">
        <f>IF($A213="","",SUMIF(tblAnahtarA[Norm],$A213,tblVeriA[Tutar]))</f>
        <v/>
      </c>
      <c r="E213" s="16">
        <f>IF($A213="","",ROUND($D213,2)-ROUND($C213,2))</f>
        <v/>
      </c>
      <c r="F213" s="16">
        <f>IF($A213="","",ABS($E213))</f>
        <v/>
      </c>
      <c r="G213" s="16">
        <f>IF($A213="","",IF($B213=0,"eslesmedi",IF(ROUND($D213,2)=ROUND($C213,2),"eslesti",IF(ABS(ROUND($D213,2)-ROUND($C213,2))&lt;=toleransKurus,"tolerans_icinde","tutar_farki"))))</f>
        <v/>
      </c>
      <c r="H213" s="16">
        <f>IF($A213="","",IF($B213&gt;0,"BIRINCIL",IF(COUNTIF(tblAnahtarB[IkincilB],'ANAHTAR'!$D213)&gt;0,"IKINCIL","YOK")))</f>
        <v/>
      </c>
      <c r="I213" s="16">
        <f>IF($A213="","",'ANAHTAR'!$F213)</f>
        <v/>
      </c>
      <c r="J213" s="16">
        <f>IF(OR($A213="",$D213=0),0,$F213/ABS($D213))</f>
        <v/>
      </c>
      <c r="K213" s="16">
        <f>IF($A213="","",ROUND($D213,2))</f>
        <v/>
      </c>
      <c r="L213" s="16">
        <f>IF($A213="","",ROUND($C213,2))</f>
        <v/>
      </c>
      <c r="M213" s="16">
        <f>IF($A213="","",IF($F213&lt;=toleransKurus,1,0))</f>
        <v/>
      </c>
      <c r="N213" s="16">
        <f>IF($A213="","",IF($F213&gt;cbb_esikFark,1,0))</f>
        <v/>
      </c>
      <c r="O213" s="16">
        <f>IF($A213="","",IF($G213="eslesti",$D213,0))</f>
        <v/>
      </c>
      <c r="P213" s="16">
        <f>IF($A213="","",$B213+$M213+$N213)</f>
        <v/>
      </c>
    </row>
    <row r="214">
      <c r="A214" s="16">
        <f>IF('ANAHTAR'!$B214="","",'ANAHTAR'!$B214)</f>
        <v/>
      </c>
      <c r="B214" s="16">
        <f>IF($A214="","",COUNTIF(tblAnahtarB[NormB],$A214))</f>
        <v/>
      </c>
      <c r="C214" s="16">
        <f>IF($A214="","",SUMIF(tblAnahtarB[NormB],$A214,tblVeriB[BeyanTutar]))</f>
        <v/>
      </c>
      <c r="D214" s="16">
        <f>IF($A214="","",SUMIF(tblAnahtarA[Norm],$A214,tblVeriA[Tutar]))</f>
        <v/>
      </c>
      <c r="E214" s="16">
        <f>IF($A214="","",ROUND($D214,2)-ROUND($C214,2))</f>
        <v/>
      </c>
      <c r="F214" s="16">
        <f>IF($A214="","",ABS($E214))</f>
        <v/>
      </c>
      <c r="G214" s="16">
        <f>IF($A214="","",IF($B214=0,"eslesmedi",IF(ROUND($D214,2)=ROUND($C214,2),"eslesti",IF(ABS(ROUND($D214,2)-ROUND($C214,2))&lt;=toleransKurus,"tolerans_icinde","tutar_farki"))))</f>
        <v/>
      </c>
      <c r="H214" s="16">
        <f>IF($A214="","",IF($B214&gt;0,"BIRINCIL",IF(COUNTIF(tblAnahtarB[IkincilB],'ANAHTAR'!$D214)&gt;0,"IKINCIL","YOK")))</f>
        <v/>
      </c>
      <c r="I214" s="16">
        <f>IF($A214="","",'ANAHTAR'!$F214)</f>
        <v/>
      </c>
      <c r="J214" s="16">
        <f>IF(OR($A214="",$D214=0),0,$F214/ABS($D214))</f>
        <v/>
      </c>
      <c r="K214" s="16">
        <f>IF($A214="","",ROUND($D214,2))</f>
        <v/>
      </c>
      <c r="L214" s="16">
        <f>IF($A214="","",ROUND($C214,2))</f>
        <v/>
      </c>
      <c r="M214" s="16">
        <f>IF($A214="","",IF($F214&lt;=toleransKurus,1,0))</f>
        <v/>
      </c>
      <c r="N214" s="16">
        <f>IF($A214="","",IF($F214&gt;cbb_esikFark,1,0))</f>
        <v/>
      </c>
      <c r="O214" s="16">
        <f>IF($A214="","",IF($G214="eslesti",$D214,0))</f>
        <v/>
      </c>
      <c r="P214" s="16">
        <f>IF($A214="","",$B214+$M214+$N214)</f>
        <v/>
      </c>
    </row>
    <row r="215">
      <c r="A215" s="16">
        <f>IF('ANAHTAR'!$B215="","",'ANAHTAR'!$B215)</f>
        <v/>
      </c>
      <c r="B215" s="16">
        <f>IF($A215="","",COUNTIF(tblAnahtarB[NormB],$A215))</f>
        <v/>
      </c>
      <c r="C215" s="16">
        <f>IF($A215="","",SUMIF(tblAnahtarB[NormB],$A215,tblVeriB[BeyanTutar]))</f>
        <v/>
      </c>
      <c r="D215" s="16">
        <f>IF($A215="","",SUMIF(tblAnahtarA[Norm],$A215,tblVeriA[Tutar]))</f>
        <v/>
      </c>
      <c r="E215" s="16">
        <f>IF($A215="","",ROUND($D215,2)-ROUND($C215,2))</f>
        <v/>
      </c>
      <c r="F215" s="16">
        <f>IF($A215="","",ABS($E215))</f>
        <v/>
      </c>
      <c r="G215" s="16">
        <f>IF($A215="","",IF($B215=0,"eslesmedi",IF(ROUND($D215,2)=ROUND($C215,2),"eslesti",IF(ABS(ROUND($D215,2)-ROUND($C215,2))&lt;=toleransKurus,"tolerans_icinde","tutar_farki"))))</f>
        <v/>
      </c>
      <c r="H215" s="16">
        <f>IF($A215="","",IF($B215&gt;0,"BIRINCIL",IF(COUNTIF(tblAnahtarB[IkincilB],'ANAHTAR'!$D215)&gt;0,"IKINCIL","YOK")))</f>
        <v/>
      </c>
      <c r="I215" s="16">
        <f>IF($A215="","",'ANAHTAR'!$F215)</f>
        <v/>
      </c>
      <c r="J215" s="16">
        <f>IF(OR($A215="",$D215=0),0,$F215/ABS($D215))</f>
        <v/>
      </c>
      <c r="K215" s="16">
        <f>IF($A215="","",ROUND($D215,2))</f>
        <v/>
      </c>
      <c r="L215" s="16">
        <f>IF($A215="","",ROUND($C215,2))</f>
        <v/>
      </c>
      <c r="M215" s="16">
        <f>IF($A215="","",IF($F215&lt;=toleransKurus,1,0))</f>
        <v/>
      </c>
      <c r="N215" s="16">
        <f>IF($A215="","",IF($F215&gt;cbb_esikFark,1,0))</f>
        <v/>
      </c>
      <c r="O215" s="16">
        <f>IF($A215="","",IF($G215="eslesti",$D215,0))</f>
        <v/>
      </c>
      <c r="P215" s="16">
        <f>IF($A215="","",$B215+$M215+$N215)</f>
        <v/>
      </c>
    </row>
    <row r="216">
      <c r="A216" s="16">
        <f>IF('ANAHTAR'!$B216="","",'ANAHTAR'!$B216)</f>
        <v/>
      </c>
      <c r="B216" s="16">
        <f>IF($A216="","",COUNTIF(tblAnahtarB[NormB],$A216))</f>
        <v/>
      </c>
      <c r="C216" s="16">
        <f>IF($A216="","",SUMIF(tblAnahtarB[NormB],$A216,tblVeriB[BeyanTutar]))</f>
        <v/>
      </c>
      <c r="D216" s="16">
        <f>IF($A216="","",SUMIF(tblAnahtarA[Norm],$A216,tblVeriA[Tutar]))</f>
        <v/>
      </c>
      <c r="E216" s="16">
        <f>IF($A216="","",ROUND($D216,2)-ROUND($C216,2))</f>
        <v/>
      </c>
      <c r="F216" s="16">
        <f>IF($A216="","",ABS($E216))</f>
        <v/>
      </c>
      <c r="G216" s="16">
        <f>IF($A216="","",IF($B216=0,"eslesmedi",IF(ROUND($D216,2)=ROUND($C216,2),"eslesti",IF(ABS(ROUND($D216,2)-ROUND($C216,2))&lt;=toleransKurus,"tolerans_icinde","tutar_farki"))))</f>
        <v/>
      </c>
      <c r="H216" s="16">
        <f>IF($A216="","",IF($B216&gt;0,"BIRINCIL",IF(COUNTIF(tblAnahtarB[IkincilB],'ANAHTAR'!$D216)&gt;0,"IKINCIL","YOK")))</f>
        <v/>
      </c>
      <c r="I216" s="16">
        <f>IF($A216="","",'ANAHTAR'!$F216)</f>
        <v/>
      </c>
      <c r="J216" s="16">
        <f>IF(OR($A216="",$D216=0),0,$F216/ABS($D216))</f>
        <v/>
      </c>
      <c r="K216" s="16">
        <f>IF($A216="","",ROUND($D216,2))</f>
        <v/>
      </c>
      <c r="L216" s="16">
        <f>IF($A216="","",ROUND($C216,2))</f>
        <v/>
      </c>
      <c r="M216" s="16">
        <f>IF($A216="","",IF($F216&lt;=toleransKurus,1,0))</f>
        <v/>
      </c>
      <c r="N216" s="16">
        <f>IF($A216="","",IF($F216&gt;cbb_esikFark,1,0))</f>
        <v/>
      </c>
      <c r="O216" s="16">
        <f>IF($A216="","",IF($G216="eslesti",$D216,0))</f>
        <v/>
      </c>
      <c r="P216" s="16">
        <f>IF($A216="","",$B216+$M216+$N216)</f>
        <v/>
      </c>
    </row>
    <row r="217">
      <c r="A217" s="16">
        <f>IF('ANAHTAR'!$B217="","",'ANAHTAR'!$B217)</f>
        <v/>
      </c>
      <c r="B217" s="16">
        <f>IF($A217="","",COUNTIF(tblAnahtarB[NormB],$A217))</f>
        <v/>
      </c>
      <c r="C217" s="16">
        <f>IF($A217="","",SUMIF(tblAnahtarB[NormB],$A217,tblVeriB[BeyanTutar]))</f>
        <v/>
      </c>
      <c r="D217" s="16">
        <f>IF($A217="","",SUMIF(tblAnahtarA[Norm],$A217,tblVeriA[Tutar]))</f>
        <v/>
      </c>
      <c r="E217" s="16">
        <f>IF($A217="","",ROUND($D217,2)-ROUND($C217,2))</f>
        <v/>
      </c>
      <c r="F217" s="16">
        <f>IF($A217="","",ABS($E217))</f>
        <v/>
      </c>
      <c r="G217" s="16">
        <f>IF($A217="","",IF($B217=0,"eslesmedi",IF(ROUND($D217,2)=ROUND($C217,2),"eslesti",IF(ABS(ROUND($D217,2)-ROUND($C217,2))&lt;=toleransKurus,"tolerans_icinde","tutar_farki"))))</f>
        <v/>
      </c>
      <c r="H217" s="16">
        <f>IF($A217="","",IF($B217&gt;0,"BIRINCIL",IF(COUNTIF(tblAnahtarB[IkincilB],'ANAHTAR'!$D217)&gt;0,"IKINCIL","YOK")))</f>
        <v/>
      </c>
      <c r="I217" s="16">
        <f>IF($A217="","",'ANAHTAR'!$F217)</f>
        <v/>
      </c>
      <c r="J217" s="16">
        <f>IF(OR($A217="",$D217=0),0,$F217/ABS($D217))</f>
        <v/>
      </c>
      <c r="K217" s="16">
        <f>IF($A217="","",ROUND($D217,2))</f>
        <v/>
      </c>
      <c r="L217" s="16">
        <f>IF($A217="","",ROUND($C217,2))</f>
        <v/>
      </c>
      <c r="M217" s="16">
        <f>IF($A217="","",IF($F217&lt;=toleransKurus,1,0))</f>
        <v/>
      </c>
      <c r="N217" s="16">
        <f>IF($A217="","",IF($F217&gt;cbb_esikFark,1,0))</f>
        <v/>
      </c>
      <c r="O217" s="16">
        <f>IF($A217="","",IF($G217="eslesti",$D217,0))</f>
        <v/>
      </c>
      <c r="P217" s="16">
        <f>IF($A217="","",$B217+$M217+$N217)</f>
        <v/>
      </c>
    </row>
    <row r="218">
      <c r="A218" s="16">
        <f>IF('ANAHTAR'!$B218="","",'ANAHTAR'!$B218)</f>
        <v/>
      </c>
      <c r="B218" s="16">
        <f>IF($A218="","",COUNTIF(tblAnahtarB[NormB],$A218))</f>
        <v/>
      </c>
      <c r="C218" s="16">
        <f>IF($A218="","",SUMIF(tblAnahtarB[NormB],$A218,tblVeriB[BeyanTutar]))</f>
        <v/>
      </c>
      <c r="D218" s="16">
        <f>IF($A218="","",SUMIF(tblAnahtarA[Norm],$A218,tblVeriA[Tutar]))</f>
        <v/>
      </c>
      <c r="E218" s="16">
        <f>IF($A218="","",ROUND($D218,2)-ROUND($C218,2))</f>
        <v/>
      </c>
      <c r="F218" s="16">
        <f>IF($A218="","",ABS($E218))</f>
        <v/>
      </c>
      <c r="G218" s="16">
        <f>IF($A218="","",IF($B218=0,"eslesmedi",IF(ROUND($D218,2)=ROUND($C218,2),"eslesti",IF(ABS(ROUND($D218,2)-ROUND($C218,2))&lt;=toleransKurus,"tolerans_icinde","tutar_farki"))))</f>
        <v/>
      </c>
      <c r="H218" s="16">
        <f>IF($A218="","",IF($B218&gt;0,"BIRINCIL",IF(COUNTIF(tblAnahtarB[IkincilB],'ANAHTAR'!$D218)&gt;0,"IKINCIL","YOK")))</f>
        <v/>
      </c>
      <c r="I218" s="16">
        <f>IF($A218="","",'ANAHTAR'!$F218)</f>
        <v/>
      </c>
      <c r="J218" s="16">
        <f>IF(OR($A218="",$D218=0),0,$F218/ABS($D218))</f>
        <v/>
      </c>
      <c r="K218" s="16">
        <f>IF($A218="","",ROUND($D218,2))</f>
        <v/>
      </c>
      <c r="L218" s="16">
        <f>IF($A218="","",ROUND($C218,2))</f>
        <v/>
      </c>
      <c r="M218" s="16">
        <f>IF($A218="","",IF($F218&lt;=toleransKurus,1,0))</f>
        <v/>
      </c>
      <c r="N218" s="16">
        <f>IF($A218="","",IF($F218&gt;cbb_esikFark,1,0))</f>
        <v/>
      </c>
      <c r="O218" s="16">
        <f>IF($A218="","",IF($G218="eslesti",$D218,0))</f>
        <v/>
      </c>
      <c r="P218" s="16">
        <f>IF($A218="","",$B218+$M218+$N218)</f>
        <v/>
      </c>
    </row>
    <row r="219">
      <c r="A219" s="16">
        <f>IF('ANAHTAR'!$B219="","",'ANAHTAR'!$B219)</f>
        <v/>
      </c>
      <c r="B219" s="16">
        <f>IF($A219="","",COUNTIF(tblAnahtarB[NormB],$A219))</f>
        <v/>
      </c>
      <c r="C219" s="16">
        <f>IF($A219="","",SUMIF(tblAnahtarB[NormB],$A219,tblVeriB[BeyanTutar]))</f>
        <v/>
      </c>
      <c r="D219" s="16">
        <f>IF($A219="","",SUMIF(tblAnahtarA[Norm],$A219,tblVeriA[Tutar]))</f>
        <v/>
      </c>
      <c r="E219" s="16">
        <f>IF($A219="","",ROUND($D219,2)-ROUND($C219,2))</f>
        <v/>
      </c>
      <c r="F219" s="16">
        <f>IF($A219="","",ABS($E219))</f>
        <v/>
      </c>
      <c r="G219" s="16">
        <f>IF($A219="","",IF($B219=0,"eslesmedi",IF(ROUND($D219,2)=ROUND($C219,2),"eslesti",IF(ABS(ROUND($D219,2)-ROUND($C219,2))&lt;=toleransKurus,"tolerans_icinde","tutar_farki"))))</f>
        <v/>
      </c>
      <c r="H219" s="16">
        <f>IF($A219="","",IF($B219&gt;0,"BIRINCIL",IF(COUNTIF(tblAnahtarB[IkincilB],'ANAHTAR'!$D219)&gt;0,"IKINCIL","YOK")))</f>
        <v/>
      </c>
      <c r="I219" s="16">
        <f>IF($A219="","",'ANAHTAR'!$F219)</f>
        <v/>
      </c>
      <c r="J219" s="16">
        <f>IF(OR($A219="",$D219=0),0,$F219/ABS($D219))</f>
        <v/>
      </c>
      <c r="K219" s="16">
        <f>IF($A219="","",ROUND($D219,2))</f>
        <v/>
      </c>
      <c r="L219" s="16">
        <f>IF($A219="","",ROUND($C219,2))</f>
        <v/>
      </c>
      <c r="M219" s="16">
        <f>IF($A219="","",IF($F219&lt;=toleransKurus,1,0))</f>
        <v/>
      </c>
      <c r="N219" s="16">
        <f>IF($A219="","",IF($F219&gt;cbb_esikFark,1,0))</f>
        <v/>
      </c>
      <c r="O219" s="16">
        <f>IF($A219="","",IF($G219="eslesti",$D219,0))</f>
        <v/>
      </c>
      <c r="P219" s="16">
        <f>IF($A219="","",$B219+$M219+$N219)</f>
        <v/>
      </c>
    </row>
    <row r="220">
      <c r="A220" s="16">
        <f>IF('ANAHTAR'!$B220="","",'ANAHTAR'!$B220)</f>
        <v/>
      </c>
      <c r="B220" s="16">
        <f>IF($A220="","",COUNTIF(tblAnahtarB[NormB],$A220))</f>
        <v/>
      </c>
      <c r="C220" s="16">
        <f>IF($A220="","",SUMIF(tblAnahtarB[NormB],$A220,tblVeriB[BeyanTutar]))</f>
        <v/>
      </c>
      <c r="D220" s="16">
        <f>IF($A220="","",SUMIF(tblAnahtarA[Norm],$A220,tblVeriA[Tutar]))</f>
        <v/>
      </c>
      <c r="E220" s="16">
        <f>IF($A220="","",ROUND($D220,2)-ROUND($C220,2))</f>
        <v/>
      </c>
      <c r="F220" s="16">
        <f>IF($A220="","",ABS($E220))</f>
        <v/>
      </c>
      <c r="G220" s="16">
        <f>IF($A220="","",IF($B220=0,"eslesmedi",IF(ROUND($D220,2)=ROUND($C220,2),"eslesti",IF(ABS(ROUND($D220,2)-ROUND($C220,2))&lt;=toleransKurus,"tolerans_icinde","tutar_farki"))))</f>
        <v/>
      </c>
      <c r="H220" s="16">
        <f>IF($A220="","",IF($B220&gt;0,"BIRINCIL",IF(COUNTIF(tblAnahtarB[IkincilB],'ANAHTAR'!$D220)&gt;0,"IKINCIL","YOK")))</f>
        <v/>
      </c>
      <c r="I220" s="16">
        <f>IF($A220="","",'ANAHTAR'!$F220)</f>
        <v/>
      </c>
      <c r="J220" s="16">
        <f>IF(OR($A220="",$D220=0),0,$F220/ABS($D220))</f>
        <v/>
      </c>
      <c r="K220" s="16">
        <f>IF($A220="","",ROUND($D220,2))</f>
        <v/>
      </c>
      <c r="L220" s="16">
        <f>IF($A220="","",ROUND($C220,2))</f>
        <v/>
      </c>
      <c r="M220" s="16">
        <f>IF($A220="","",IF($F220&lt;=toleransKurus,1,0))</f>
        <v/>
      </c>
      <c r="N220" s="16">
        <f>IF($A220="","",IF($F220&gt;cbb_esikFark,1,0))</f>
        <v/>
      </c>
      <c r="O220" s="16">
        <f>IF($A220="","",IF($G220="eslesti",$D220,0))</f>
        <v/>
      </c>
      <c r="P220" s="16">
        <f>IF($A220="","",$B220+$M220+$N220)</f>
        <v/>
      </c>
    </row>
    <row r="221">
      <c r="A221" s="16">
        <f>IF('ANAHTAR'!$B221="","",'ANAHTAR'!$B221)</f>
        <v/>
      </c>
      <c r="B221" s="16">
        <f>IF($A221="","",COUNTIF(tblAnahtarB[NormB],$A221))</f>
        <v/>
      </c>
      <c r="C221" s="16">
        <f>IF($A221="","",SUMIF(tblAnahtarB[NormB],$A221,tblVeriB[BeyanTutar]))</f>
        <v/>
      </c>
      <c r="D221" s="16">
        <f>IF($A221="","",SUMIF(tblAnahtarA[Norm],$A221,tblVeriA[Tutar]))</f>
        <v/>
      </c>
      <c r="E221" s="16">
        <f>IF($A221="","",ROUND($D221,2)-ROUND($C221,2))</f>
        <v/>
      </c>
      <c r="F221" s="16">
        <f>IF($A221="","",ABS($E221))</f>
        <v/>
      </c>
      <c r="G221" s="16">
        <f>IF($A221="","",IF($B221=0,"eslesmedi",IF(ROUND($D221,2)=ROUND($C221,2),"eslesti",IF(ABS(ROUND($D221,2)-ROUND($C221,2))&lt;=toleransKurus,"tolerans_icinde","tutar_farki"))))</f>
        <v/>
      </c>
      <c r="H221" s="16">
        <f>IF($A221="","",IF($B221&gt;0,"BIRINCIL",IF(COUNTIF(tblAnahtarB[IkincilB],'ANAHTAR'!$D221)&gt;0,"IKINCIL","YOK")))</f>
        <v/>
      </c>
      <c r="I221" s="16">
        <f>IF($A221="","",'ANAHTAR'!$F221)</f>
        <v/>
      </c>
      <c r="J221" s="16">
        <f>IF(OR($A221="",$D221=0),0,$F221/ABS($D221))</f>
        <v/>
      </c>
      <c r="K221" s="16">
        <f>IF($A221="","",ROUND($D221,2))</f>
        <v/>
      </c>
      <c r="L221" s="16">
        <f>IF($A221="","",ROUND($C221,2))</f>
        <v/>
      </c>
      <c r="M221" s="16">
        <f>IF($A221="","",IF($F221&lt;=toleransKurus,1,0))</f>
        <v/>
      </c>
      <c r="N221" s="16">
        <f>IF($A221="","",IF($F221&gt;cbb_esikFark,1,0))</f>
        <v/>
      </c>
      <c r="O221" s="16">
        <f>IF($A221="","",IF($G221="eslesti",$D221,0))</f>
        <v/>
      </c>
      <c r="P221" s="16">
        <f>IF($A221="","",$B221+$M221+$N221)</f>
        <v/>
      </c>
    </row>
    <row r="222">
      <c r="A222" s="16">
        <f>IF('ANAHTAR'!$B222="","",'ANAHTAR'!$B222)</f>
        <v/>
      </c>
      <c r="B222" s="16">
        <f>IF($A222="","",COUNTIF(tblAnahtarB[NormB],$A222))</f>
        <v/>
      </c>
      <c r="C222" s="16">
        <f>IF($A222="","",SUMIF(tblAnahtarB[NormB],$A222,tblVeriB[BeyanTutar]))</f>
        <v/>
      </c>
      <c r="D222" s="16">
        <f>IF($A222="","",SUMIF(tblAnahtarA[Norm],$A222,tblVeriA[Tutar]))</f>
        <v/>
      </c>
      <c r="E222" s="16">
        <f>IF($A222="","",ROUND($D222,2)-ROUND($C222,2))</f>
        <v/>
      </c>
      <c r="F222" s="16">
        <f>IF($A222="","",ABS($E222))</f>
        <v/>
      </c>
      <c r="G222" s="16">
        <f>IF($A222="","",IF($B222=0,"eslesmedi",IF(ROUND($D222,2)=ROUND($C222,2),"eslesti",IF(ABS(ROUND($D222,2)-ROUND($C222,2))&lt;=toleransKurus,"tolerans_icinde","tutar_farki"))))</f>
        <v/>
      </c>
      <c r="H222" s="16">
        <f>IF($A222="","",IF($B222&gt;0,"BIRINCIL",IF(COUNTIF(tblAnahtarB[IkincilB],'ANAHTAR'!$D222)&gt;0,"IKINCIL","YOK")))</f>
        <v/>
      </c>
      <c r="I222" s="16">
        <f>IF($A222="","",'ANAHTAR'!$F222)</f>
        <v/>
      </c>
      <c r="J222" s="16">
        <f>IF(OR($A222="",$D222=0),0,$F222/ABS($D222))</f>
        <v/>
      </c>
      <c r="K222" s="16">
        <f>IF($A222="","",ROUND($D222,2))</f>
        <v/>
      </c>
      <c r="L222" s="16">
        <f>IF($A222="","",ROUND($C222,2))</f>
        <v/>
      </c>
      <c r="M222" s="16">
        <f>IF($A222="","",IF($F222&lt;=toleransKurus,1,0))</f>
        <v/>
      </c>
      <c r="N222" s="16">
        <f>IF($A222="","",IF($F222&gt;cbb_esikFark,1,0))</f>
        <v/>
      </c>
      <c r="O222" s="16">
        <f>IF($A222="","",IF($G222="eslesti",$D222,0))</f>
        <v/>
      </c>
      <c r="P222" s="16">
        <f>IF($A222="","",$B222+$M222+$N222)</f>
        <v/>
      </c>
    </row>
    <row r="223">
      <c r="A223" s="16">
        <f>IF('ANAHTAR'!$B223="","",'ANAHTAR'!$B223)</f>
        <v/>
      </c>
      <c r="B223" s="16">
        <f>IF($A223="","",COUNTIF(tblAnahtarB[NormB],$A223))</f>
        <v/>
      </c>
      <c r="C223" s="16">
        <f>IF($A223="","",SUMIF(tblAnahtarB[NormB],$A223,tblVeriB[BeyanTutar]))</f>
        <v/>
      </c>
      <c r="D223" s="16">
        <f>IF($A223="","",SUMIF(tblAnahtarA[Norm],$A223,tblVeriA[Tutar]))</f>
        <v/>
      </c>
      <c r="E223" s="16">
        <f>IF($A223="","",ROUND($D223,2)-ROUND($C223,2))</f>
        <v/>
      </c>
      <c r="F223" s="16">
        <f>IF($A223="","",ABS($E223))</f>
        <v/>
      </c>
      <c r="G223" s="16">
        <f>IF($A223="","",IF($B223=0,"eslesmedi",IF(ROUND($D223,2)=ROUND($C223,2),"eslesti",IF(ABS(ROUND($D223,2)-ROUND($C223,2))&lt;=toleransKurus,"tolerans_icinde","tutar_farki"))))</f>
        <v/>
      </c>
      <c r="H223" s="16">
        <f>IF($A223="","",IF($B223&gt;0,"BIRINCIL",IF(COUNTIF(tblAnahtarB[IkincilB],'ANAHTAR'!$D223)&gt;0,"IKINCIL","YOK")))</f>
        <v/>
      </c>
      <c r="I223" s="16">
        <f>IF($A223="","",'ANAHTAR'!$F223)</f>
        <v/>
      </c>
      <c r="J223" s="16">
        <f>IF(OR($A223="",$D223=0),0,$F223/ABS($D223))</f>
        <v/>
      </c>
      <c r="K223" s="16">
        <f>IF($A223="","",ROUND($D223,2))</f>
        <v/>
      </c>
      <c r="L223" s="16">
        <f>IF($A223="","",ROUND($C223,2))</f>
        <v/>
      </c>
      <c r="M223" s="16">
        <f>IF($A223="","",IF($F223&lt;=toleransKurus,1,0))</f>
        <v/>
      </c>
      <c r="N223" s="16">
        <f>IF($A223="","",IF($F223&gt;cbb_esikFark,1,0))</f>
        <v/>
      </c>
      <c r="O223" s="16">
        <f>IF($A223="","",IF($G223="eslesti",$D223,0))</f>
        <v/>
      </c>
      <c r="P223" s="16">
        <f>IF($A223="","",$B223+$M223+$N223)</f>
        <v/>
      </c>
    </row>
    <row r="224">
      <c r="A224" s="16">
        <f>IF('ANAHTAR'!$B224="","",'ANAHTAR'!$B224)</f>
        <v/>
      </c>
      <c r="B224" s="16">
        <f>IF($A224="","",COUNTIF(tblAnahtarB[NormB],$A224))</f>
        <v/>
      </c>
      <c r="C224" s="16">
        <f>IF($A224="","",SUMIF(tblAnahtarB[NormB],$A224,tblVeriB[BeyanTutar]))</f>
        <v/>
      </c>
      <c r="D224" s="16">
        <f>IF($A224="","",SUMIF(tblAnahtarA[Norm],$A224,tblVeriA[Tutar]))</f>
        <v/>
      </c>
      <c r="E224" s="16">
        <f>IF($A224="","",ROUND($D224,2)-ROUND($C224,2))</f>
        <v/>
      </c>
      <c r="F224" s="16">
        <f>IF($A224="","",ABS($E224))</f>
        <v/>
      </c>
      <c r="G224" s="16">
        <f>IF($A224="","",IF($B224=0,"eslesmedi",IF(ROUND($D224,2)=ROUND($C224,2),"eslesti",IF(ABS(ROUND($D224,2)-ROUND($C224,2))&lt;=toleransKurus,"tolerans_icinde","tutar_farki"))))</f>
        <v/>
      </c>
      <c r="H224" s="16">
        <f>IF($A224="","",IF($B224&gt;0,"BIRINCIL",IF(COUNTIF(tblAnahtarB[IkincilB],'ANAHTAR'!$D224)&gt;0,"IKINCIL","YOK")))</f>
        <v/>
      </c>
      <c r="I224" s="16">
        <f>IF($A224="","",'ANAHTAR'!$F224)</f>
        <v/>
      </c>
      <c r="J224" s="16">
        <f>IF(OR($A224="",$D224=0),0,$F224/ABS($D224))</f>
        <v/>
      </c>
      <c r="K224" s="16">
        <f>IF($A224="","",ROUND($D224,2))</f>
        <v/>
      </c>
      <c r="L224" s="16">
        <f>IF($A224="","",ROUND($C224,2))</f>
        <v/>
      </c>
      <c r="M224" s="16">
        <f>IF($A224="","",IF($F224&lt;=toleransKurus,1,0))</f>
        <v/>
      </c>
      <c r="N224" s="16">
        <f>IF($A224="","",IF($F224&gt;cbb_esikFark,1,0))</f>
        <v/>
      </c>
      <c r="O224" s="16">
        <f>IF($A224="","",IF($G224="eslesti",$D224,0))</f>
        <v/>
      </c>
      <c r="P224" s="16">
        <f>IF($A224="","",$B224+$M224+$N224)</f>
        <v/>
      </c>
    </row>
    <row r="225">
      <c r="A225" s="16">
        <f>IF('ANAHTAR'!$B225="","",'ANAHTAR'!$B225)</f>
        <v/>
      </c>
      <c r="B225" s="16">
        <f>IF($A225="","",COUNTIF(tblAnahtarB[NormB],$A225))</f>
        <v/>
      </c>
      <c r="C225" s="16">
        <f>IF($A225="","",SUMIF(tblAnahtarB[NormB],$A225,tblVeriB[BeyanTutar]))</f>
        <v/>
      </c>
      <c r="D225" s="16">
        <f>IF($A225="","",SUMIF(tblAnahtarA[Norm],$A225,tblVeriA[Tutar]))</f>
        <v/>
      </c>
      <c r="E225" s="16">
        <f>IF($A225="","",ROUND($D225,2)-ROUND($C225,2))</f>
        <v/>
      </c>
      <c r="F225" s="16">
        <f>IF($A225="","",ABS($E225))</f>
        <v/>
      </c>
      <c r="G225" s="16">
        <f>IF($A225="","",IF($B225=0,"eslesmedi",IF(ROUND($D225,2)=ROUND($C225,2),"eslesti",IF(ABS(ROUND($D225,2)-ROUND($C225,2))&lt;=toleransKurus,"tolerans_icinde","tutar_farki"))))</f>
        <v/>
      </c>
      <c r="H225" s="16">
        <f>IF($A225="","",IF($B225&gt;0,"BIRINCIL",IF(COUNTIF(tblAnahtarB[IkincilB],'ANAHTAR'!$D225)&gt;0,"IKINCIL","YOK")))</f>
        <v/>
      </c>
      <c r="I225" s="16">
        <f>IF($A225="","",'ANAHTAR'!$F225)</f>
        <v/>
      </c>
      <c r="J225" s="16">
        <f>IF(OR($A225="",$D225=0),0,$F225/ABS($D225))</f>
        <v/>
      </c>
      <c r="K225" s="16">
        <f>IF($A225="","",ROUND($D225,2))</f>
        <v/>
      </c>
      <c r="L225" s="16">
        <f>IF($A225="","",ROUND($C225,2))</f>
        <v/>
      </c>
      <c r="M225" s="16">
        <f>IF($A225="","",IF($F225&lt;=toleransKurus,1,0))</f>
        <v/>
      </c>
      <c r="N225" s="16">
        <f>IF($A225="","",IF($F225&gt;cbb_esikFark,1,0))</f>
        <v/>
      </c>
      <c r="O225" s="16">
        <f>IF($A225="","",IF($G225="eslesti",$D225,0))</f>
        <v/>
      </c>
      <c r="P225" s="16">
        <f>IF($A225="","",$B225+$M225+$N225)</f>
        <v/>
      </c>
    </row>
    <row r="226">
      <c r="A226" s="16">
        <f>IF('ANAHTAR'!$B226="","",'ANAHTAR'!$B226)</f>
        <v/>
      </c>
      <c r="B226" s="16">
        <f>IF($A226="","",COUNTIF(tblAnahtarB[NormB],$A226))</f>
        <v/>
      </c>
      <c r="C226" s="16">
        <f>IF($A226="","",SUMIF(tblAnahtarB[NormB],$A226,tblVeriB[BeyanTutar]))</f>
        <v/>
      </c>
      <c r="D226" s="16">
        <f>IF($A226="","",SUMIF(tblAnahtarA[Norm],$A226,tblVeriA[Tutar]))</f>
        <v/>
      </c>
      <c r="E226" s="16">
        <f>IF($A226="","",ROUND($D226,2)-ROUND($C226,2))</f>
        <v/>
      </c>
      <c r="F226" s="16">
        <f>IF($A226="","",ABS($E226))</f>
        <v/>
      </c>
      <c r="G226" s="16">
        <f>IF($A226="","",IF($B226=0,"eslesmedi",IF(ROUND($D226,2)=ROUND($C226,2),"eslesti",IF(ABS(ROUND($D226,2)-ROUND($C226,2))&lt;=toleransKurus,"tolerans_icinde","tutar_farki"))))</f>
        <v/>
      </c>
      <c r="H226" s="16">
        <f>IF($A226="","",IF($B226&gt;0,"BIRINCIL",IF(COUNTIF(tblAnahtarB[IkincilB],'ANAHTAR'!$D226)&gt;0,"IKINCIL","YOK")))</f>
        <v/>
      </c>
      <c r="I226" s="16">
        <f>IF($A226="","",'ANAHTAR'!$F226)</f>
        <v/>
      </c>
      <c r="J226" s="16">
        <f>IF(OR($A226="",$D226=0),0,$F226/ABS($D226))</f>
        <v/>
      </c>
      <c r="K226" s="16">
        <f>IF($A226="","",ROUND($D226,2))</f>
        <v/>
      </c>
      <c r="L226" s="16">
        <f>IF($A226="","",ROUND($C226,2))</f>
        <v/>
      </c>
      <c r="M226" s="16">
        <f>IF($A226="","",IF($F226&lt;=toleransKurus,1,0))</f>
        <v/>
      </c>
      <c r="N226" s="16">
        <f>IF($A226="","",IF($F226&gt;cbb_esikFark,1,0))</f>
        <v/>
      </c>
      <c r="O226" s="16">
        <f>IF($A226="","",IF($G226="eslesti",$D226,0))</f>
        <v/>
      </c>
      <c r="P226" s="16">
        <f>IF($A226="","",$B226+$M226+$N226)</f>
        <v/>
      </c>
    </row>
    <row r="227">
      <c r="A227" s="16">
        <f>IF('ANAHTAR'!$B227="","",'ANAHTAR'!$B227)</f>
        <v/>
      </c>
      <c r="B227" s="16">
        <f>IF($A227="","",COUNTIF(tblAnahtarB[NormB],$A227))</f>
        <v/>
      </c>
      <c r="C227" s="16">
        <f>IF($A227="","",SUMIF(tblAnahtarB[NormB],$A227,tblVeriB[BeyanTutar]))</f>
        <v/>
      </c>
      <c r="D227" s="16">
        <f>IF($A227="","",SUMIF(tblAnahtarA[Norm],$A227,tblVeriA[Tutar]))</f>
        <v/>
      </c>
      <c r="E227" s="16">
        <f>IF($A227="","",ROUND($D227,2)-ROUND($C227,2))</f>
        <v/>
      </c>
      <c r="F227" s="16">
        <f>IF($A227="","",ABS($E227))</f>
        <v/>
      </c>
      <c r="G227" s="16">
        <f>IF($A227="","",IF($B227=0,"eslesmedi",IF(ROUND($D227,2)=ROUND($C227,2),"eslesti",IF(ABS(ROUND($D227,2)-ROUND($C227,2))&lt;=toleransKurus,"tolerans_icinde","tutar_farki"))))</f>
        <v/>
      </c>
      <c r="H227" s="16">
        <f>IF($A227="","",IF($B227&gt;0,"BIRINCIL",IF(COUNTIF(tblAnahtarB[IkincilB],'ANAHTAR'!$D227)&gt;0,"IKINCIL","YOK")))</f>
        <v/>
      </c>
      <c r="I227" s="16">
        <f>IF($A227="","",'ANAHTAR'!$F227)</f>
        <v/>
      </c>
      <c r="J227" s="16">
        <f>IF(OR($A227="",$D227=0),0,$F227/ABS($D227))</f>
        <v/>
      </c>
      <c r="K227" s="16">
        <f>IF($A227="","",ROUND($D227,2))</f>
        <v/>
      </c>
      <c r="L227" s="16">
        <f>IF($A227="","",ROUND($C227,2))</f>
        <v/>
      </c>
      <c r="M227" s="16">
        <f>IF($A227="","",IF($F227&lt;=toleransKurus,1,0))</f>
        <v/>
      </c>
      <c r="N227" s="16">
        <f>IF($A227="","",IF($F227&gt;cbb_esikFark,1,0))</f>
        <v/>
      </c>
      <c r="O227" s="16">
        <f>IF($A227="","",IF($G227="eslesti",$D227,0))</f>
        <v/>
      </c>
      <c r="P227" s="16">
        <f>IF($A227="","",$B227+$M227+$N227)</f>
        <v/>
      </c>
    </row>
    <row r="228">
      <c r="A228" s="16">
        <f>IF('ANAHTAR'!$B228="","",'ANAHTAR'!$B228)</f>
        <v/>
      </c>
      <c r="B228" s="16">
        <f>IF($A228="","",COUNTIF(tblAnahtarB[NormB],$A228))</f>
        <v/>
      </c>
      <c r="C228" s="16">
        <f>IF($A228="","",SUMIF(tblAnahtarB[NormB],$A228,tblVeriB[BeyanTutar]))</f>
        <v/>
      </c>
      <c r="D228" s="16">
        <f>IF($A228="","",SUMIF(tblAnahtarA[Norm],$A228,tblVeriA[Tutar]))</f>
        <v/>
      </c>
      <c r="E228" s="16">
        <f>IF($A228="","",ROUND($D228,2)-ROUND($C228,2))</f>
        <v/>
      </c>
      <c r="F228" s="16">
        <f>IF($A228="","",ABS($E228))</f>
        <v/>
      </c>
      <c r="G228" s="16">
        <f>IF($A228="","",IF($B228=0,"eslesmedi",IF(ROUND($D228,2)=ROUND($C228,2),"eslesti",IF(ABS(ROUND($D228,2)-ROUND($C228,2))&lt;=toleransKurus,"tolerans_icinde","tutar_farki"))))</f>
        <v/>
      </c>
      <c r="H228" s="16">
        <f>IF($A228="","",IF($B228&gt;0,"BIRINCIL",IF(COUNTIF(tblAnahtarB[IkincilB],'ANAHTAR'!$D228)&gt;0,"IKINCIL","YOK")))</f>
        <v/>
      </c>
      <c r="I228" s="16">
        <f>IF($A228="","",'ANAHTAR'!$F228)</f>
        <v/>
      </c>
      <c r="J228" s="16">
        <f>IF(OR($A228="",$D228=0),0,$F228/ABS($D228))</f>
        <v/>
      </c>
      <c r="K228" s="16">
        <f>IF($A228="","",ROUND($D228,2))</f>
        <v/>
      </c>
      <c r="L228" s="16">
        <f>IF($A228="","",ROUND($C228,2))</f>
        <v/>
      </c>
      <c r="M228" s="16">
        <f>IF($A228="","",IF($F228&lt;=toleransKurus,1,0))</f>
        <v/>
      </c>
      <c r="N228" s="16">
        <f>IF($A228="","",IF($F228&gt;cbb_esikFark,1,0))</f>
        <v/>
      </c>
      <c r="O228" s="16">
        <f>IF($A228="","",IF($G228="eslesti",$D228,0))</f>
        <v/>
      </c>
      <c r="P228" s="16">
        <f>IF($A228="","",$B228+$M228+$N228)</f>
        <v/>
      </c>
    </row>
    <row r="229">
      <c r="A229" s="16">
        <f>IF('ANAHTAR'!$B229="","",'ANAHTAR'!$B229)</f>
        <v/>
      </c>
      <c r="B229" s="16">
        <f>IF($A229="","",COUNTIF(tblAnahtarB[NormB],$A229))</f>
        <v/>
      </c>
      <c r="C229" s="16">
        <f>IF($A229="","",SUMIF(tblAnahtarB[NormB],$A229,tblVeriB[BeyanTutar]))</f>
        <v/>
      </c>
      <c r="D229" s="16">
        <f>IF($A229="","",SUMIF(tblAnahtarA[Norm],$A229,tblVeriA[Tutar]))</f>
        <v/>
      </c>
      <c r="E229" s="16">
        <f>IF($A229="","",ROUND($D229,2)-ROUND($C229,2))</f>
        <v/>
      </c>
      <c r="F229" s="16">
        <f>IF($A229="","",ABS($E229))</f>
        <v/>
      </c>
      <c r="G229" s="16">
        <f>IF($A229="","",IF($B229=0,"eslesmedi",IF(ROUND($D229,2)=ROUND($C229,2),"eslesti",IF(ABS(ROUND($D229,2)-ROUND($C229,2))&lt;=toleransKurus,"tolerans_icinde","tutar_farki"))))</f>
        <v/>
      </c>
      <c r="H229" s="16">
        <f>IF($A229="","",IF($B229&gt;0,"BIRINCIL",IF(COUNTIF(tblAnahtarB[IkincilB],'ANAHTAR'!$D229)&gt;0,"IKINCIL","YOK")))</f>
        <v/>
      </c>
      <c r="I229" s="16">
        <f>IF($A229="","",'ANAHTAR'!$F229)</f>
        <v/>
      </c>
      <c r="J229" s="16">
        <f>IF(OR($A229="",$D229=0),0,$F229/ABS($D229))</f>
        <v/>
      </c>
      <c r="K229" s="16">
        <f>IF($A229="","",ROUND($D229,2))</f>
        <v/>
      </c>
      <c r="L229" s="16">
        <f>IF($A229="","",ROUND($C229,2))</f>
        <v/>
      </c>
      <c r="M229" s="16">
        <f>IF($A229="","",IF($F229&lt;=toleransKurus,1,0))</f>
        <v/>
      </c>
      <c r="N229" s="16">
        <f>IF($A229="","",IF($F229&gt;cbb_esikFark,1,0))</f>
        <v/>
      </c>
      <c r="O229" s="16">
        <f>IF($A229="","",IF($G229="eslesti",$D229,0))</f>
        <v/>
      </c>
      <c r="P229" s="16">
        <f>IF($A229="","",$B229+$M229+$N229)</f>
        <v/>
      </c>
    </row>
    <row r="230">
      <c r="A230" s="16">
        <f>IF('ANAHTAR'!$B230="","",'ANAHTAR'!$B230)</f>
        <v/>
      </c>
      <c r="B230" s="16">
        <f>IF($A230="","",COUNTIF(tblAnahtarB[NormB],$A230))</f>
        <v/>
      </c>
      <c r="C230" s="16">
        <f>IF($A230="","",SUMIF(tblAnahtarB[NormB],$A230,tblVeriB[BeyanTutar]))</f>
        <v/>
      </c>
      <c r="D230" s="16">
        <f>IF($A230="","",SUMIF(tblAnahtarA[Norm],$A230,tblVeriA[Tutar]))</f>
        <v/>
      </c>
      <c r="E230" s="16">
        <f>IF($A230="","",ROUND($D230,2)-ROUND($C230,2))</f>
        <v/>
      </c>
      <c r="F230" s="16">
        <f>IF($A230="","",ABS($E230))</f>
        <v/>
      </c>
      <c r="G230" s="16">
        <f>IF($A230="","",IF($B230=0,"eslesmedi",IF(ROUND($D230,2)=ROUND($C230,2),"eslesti",IF(ABS(ROUND($D230,2)-ROUND($C230,2))&lt;=toleransKurus,"tolerans_icinde","tutar_farki"))))</f>
        <v/>
      </c>
      <c r="H230" s="16">
        <f>IF($A230="","",IF($B230&gt;0,"BIRINCIL",IF(COUNTIF(tblAnahtarB[IkincilB],'ANAHTAR'!$D230)&gt;0,"IKINCIL","YOK")))</f>
        <v/>
      </c>
      <c r="I230" s="16">
        <f>IF($A230="","",'ANAHTAR'!$F230)</f>
        <v/>
      </c>
      <c r="J230" s="16">
        <f>IF(OR($A230="",$D230=0),0,$F230/ABS($D230))</f>
        <v/>
      </c>
      <c r="K230" s="16">
        <f>IF($A230="","",ROUND($D230,2))</f>
        <v/>
      </c>
      <c r="L230" s="16">
        <f>IF($A230="","",ROUND($C230,2))</f>
        <v/>
      </c>
      <c r="M230" s="16">
        <f>IF($A230="","",IF($F230&lt;=toleransKurus,1,0))</f>
        <v/>
      </c>
      <c r="N230" s="16">
        <f>IF($A230="","",IF($F230&gt;cbb_esikFark,1,0))</f>
        <v/>
      </c>
      <c r="O230" s="16">
        <f>IF($A230="","",IF($G230="eslesti",$D230,0))</f>
        <v/>
      </c>
      <c r="P230" s="16">
        <f>IF($A230="","",$B230+$M230+$N230)</f>
        <v/>
      </c>
    </row>
    <row r="231">
      <c r="A231" s="16">
        <f>IF('ANAHTAR'!$B231="","",'ANAHTAR'!$B231)</f>
        <v/>
      </c>
      <c r="B231" s="16">
        <f>IF($A231="","",COUNTIF(tblAnahtarB[NormB],$A231))</f>
        <v/>
      </c>
      <c r="C231" s="16">
        <f>IF($A231="","",SUMIF(tblAnahtarB[NormB],$A231,tblVeriB[BeyanTutar]))</f>
        <v/>
      </c>
      <c r="D231" s="16">
        <f>IF($A231="","",SUMIF(tblAnahtarA[Norm],$A231,tblVeriA[Tutar]))</f>
        <v/>
      </c>
      <c r="E231" s="16">
        <f>IF($A231="","",ROUND($D231,2)-ROUND($C231,2))</f>
        <v/>
      </c>
      <c r="F231" s="16">
        <f>IF($A231="","",ABS($E231))</f>
        <v/>
      </c>
      <c r="G231" s="16">
        <f>IF($A231="","",IF($B231=0,"eslesmedi",IF(ROUND($D231,2)=ROUND($C231,2),"eslesti",IF(ABS(ROUND($D231,2)-ROUND($C231,2))&lt;=toleransKurus,"tolerans_icinde","tutar_farki"))))</f>
        <v/>
      </c>
      <c r="H231" s="16">
        <f>IF($A231="","",IF($B231&gt;0,"BIRINCIL",IF(COUNTIF(tblAnahtarB[IkincilB],'ANAHTAR'!$D231)&gt;0,"IKINCIL","YOK")))</f>
        <v/>
      </c>
      <c r="I231" s="16">
        <f>IF($A231="","",'ANAHTAR'!$F231)</f>
        <v/>
      </c>
      <c r="J231" s="16">
        <f>IF(OR($A231="",$D231=0),0,$F231/ABS($D231))</f>
        <v/>
      </c>
      <c r="K231" s="16">
        <f>IF($A231="","",ROUND($D231,2))</f>
        <v/>
      </c>
      <c r="L231" s="16">
        <f>IF($A231="","",ROUND($C231,2))</f>
        <v/>
      </c>
      <c r="M231" s="16">
        <f>IF($A231="","",IF($F231&lt;=toleransKurus,1,0))</f>
        <v/>
      </c>
      <c r="N231" s="16">
        <f>IF($A231="","",IF($F231&gt;cbb_esikFark,1,0))</f>
        <v/>
      </c>
      <c r="O231" s="16">
        <f>IF($A231="","",IF($G231="eslesti",$D231,0))</f>
        <v/>
      </c>
      <c r="P231" s="16">
        <f>IF($A231="","",$B231+$M231+$N231)</f>
        <v/>
      </c>
    </row>
    <row r="232">
      <c r="A232" s="16">
        <f>IF('ANAHTAR'!$B232="","",'ANAHTAR'!$B232)</f>
        <v/>
      </c>
      <c r="B232" s="16">
        <f>IF($A232="","",COUNTIF(tblAnahtarB[NormB],$A232))</f>
        <v/>
      </c>
      <c r="C232" s="16">
        <f>IF($A232="","",SUMIF(tblAnahtarB[NormB],$A232,tblVeriB[BeyanTutar]))</f>
        <v/>
      </c>
      <c r="D232" s="16">
        <f>IF($A232="","",SUMIF(tblAnahtarA[Norm],$A232,tblVeriA[Tutar]))</f>
        <v/>
      </c>
      <c r="E232" s="16">
        <f>IF($A232="","",ROUND($D232,2)-ROUND($C232,2))</f>
        <v/>
      </c>
      <c r="F232" s="16">
        <f>IF($A232="","",ABS($E232))</f>
        <v/>
      </c>
      <c r="G232" s="16">
        <f>IF($A232="","",IF($B232=0,"eslesmedi",IF(ROUND($D232,2)=ROUND($C232,2),"eslesti",IF(ABS(ROUND($D232,2)-ROUND($C232,2))&lt;=toleransKurus,"tolerans_icinde","tutar_farki"))))</f>
        <v/>
      </c>
      <c r="H232" s="16">
        <f>IF($A232="","",IF($B232&gt;0,"BIRINCIL",IF(COUNTIF(tblAnahtarB[IkincilB],'ANAHTAR'!$D232)&gt;0,"IKINCIL","YOK")))</f>
        <v/>
      </c>
      <c r="I232" s="16">
        <f>IF($A232="","",'ANAHTAR'!$F232)</f>
        <v/>
      </c>
      <c r="J232" s="16">
        <f>IF(OR($A232="",$D232=0),0,$F232/ABS($D232))</f>
        <v/>
      </c>
      <c r="K232" s="16">
        <f>IF($A232="","",ROUND($D232,2))</f>
        <v/>
      </c>
      <c r="L232" s="16">
        <f>IF($A232="","",ROUND($C232,2))</f>
        <v/>
      </c>
      <c r="M232" s="16">
        <f>IF($A232="","",IF($F232&lt;=toleransKurus,1,0))</f>
        <v/>
      </c>
      <c r="N232" s="16">
        <f>IF($A232="","",IF($F232&gt;cbb_esikFark,1,0))</f>
        <v/>
      </c>
      <c r="O232" s="16">
        <f>IF($A232="","",IF($G232="eslesti",$D232,0))</f>
        <v/>
      </c>
      <c r="P232" s="16">
        <f>IF($A232="","",$B232+$M232+$N232)</f>
        <v/>
      </c>
    </row>
    <row r="233">
      <c r="A233" s="16">
        <f>IF('ANAHTAR'!$B233="","",'ANAHTAR'!$B233)</f>
        <v/>
      </c>
      <c r="B233" s="16">
        <f>IF($A233="","",COUNTIF(tblAnahtarB[NormB],$A233))</f>
        <v/>
      </c>
      <c r="C233" s="16">
        <f>IF($A233="","",SUMIF(tblAnahtarB[NormB],$A233,tblVeriB[BeyanTutar]))</f>
        <v/>
      </c>
      <c r="D233" s="16">
        <f>IF($A233="","",SUMIF(tblAnahtarA[Norm],$A233,tblVeriA[Tutar]))</f>
        <v/>
      </c>
      <c r="E233" s="16">
        <f>IF($A233="","",ROUND($D233,2)-ROUND($C233,2))</f>
        <v/>
      </c>
      <c r="F233" s="16">
        <f>IF($A233="","",ABS($E233))</f>
        <v/>
      </c>
      <c r="G233" s="16">
        <f>IF($A233="","",IF($B233=0,"eslesmedi",IF(ROUND($D233,2)=ROUND($C233,2),"eslesti",IF(ABS(ROUND($D233,2)-ROUND($C233,2))&lt;=toleransKurus,"tolerans_icinde","tutar_farki"))))</f>
        <v/>
      </c>
      <c r="H233" s="16">
        <f>IF($A233="","",IF($B233&gt;0,"BIRINCIL",IF(COUNTIF(tblAnahtarB[IkincilB],'ANAHTAR'!$D233)&gt;0,"IKINCIL","YOK")))</f>
        <v/>
      </c>
      <c r="I233" s="16">
        <f>IF($A233="","",'ANAHTAR'!$F233)</f>
        <v/>
      </c>
      <c r="J233" s="16">
        <f>IF(OR($A233="",$D233=0),0,$F233/ABS($D233))</f>
        <v/>
      </c>
      <c r="K233" s="16">
        <f>IF($A233="","",ROUND($D233,2))</f>
        <v/>
      </c>
      <c r="L233" s="16">
        <f>IF($A233="","",ROUND($C233,2))</f>
        <v/>
      </c>
      <c r="M233" s="16">
        <f>IF($A233="","",IF($F233&lt;=toleransKurus,1,0))</f>
        <v/>
      </c>
      <c r="N233" s="16">
        <f>IF($A233="","",IF($F233&gt;cbb_esikFark,1,0))</f>
        <v/>
      </c>
      <c r="O233" s="16">
        <f>IF($A233="","",IF($G233="eslesti",$D233,0))</f>
        <v/>
      </c>
      <c r="P233" s="16">
        <f>IF($A233="","",$B233+$M233+$N233)</f>
        <v/>
      </c>
    </row>
    <row r="234">
      <c r="A234" s="16">
        <f>IF('ANAHTAR'!$B234="","",'ANAHTAR'!$B234)</f>
        <v/>
      </c>
      <c r="B234" s="16">
        <f>IF($A234="","",COUNTIF(tblAnahtarB[NormB],$A234))</f>
        <v/>
      </c>
      <c r="C234" s="16">
        <f>IF($A234="","",SUMIF(tblAnahtarB[NormB],$A234,tblVeriB[BeyanTutar]))</f>
        <v/>
      </c>
      <c r="D234" s="16">
        <f>IF($A234="","",SUMIF(tblAnahtarA[Norm],$A234,tblVeriA[Tutar]))</f>
        <v/>
      </c>
      <c r="E234" s="16">
        <f>IF($A234="","",ROUND($D234,2)-ROUND($C234,2))</f>
        <v/>
      </c>
      <c r="F234" s="16">
        <f>IF($A234="","",ABS($E234))</f>
        <v/>
      </c>
      <c r="G234" s="16">
        <f>IF($A234="","",IF($B234=0,"eslesmedi",IF(ROUND($D234,2)=ROUND($C234,2),"eslesti",IF(ABS(ROUND($D234,2)-ROUND($C234,2))&lt;=toleransKurus,"tolerans_icinde","tutar_farki"))))</f>
        <v/>
      </c>
      <c r="H234" s="16">
        <f>IF($A234="","",IF($B234&gt;0,"BIRINCIL",IF(COUNTIF(tblAnahtarB[IkincilB],'ANAHTAR'!$D234)&gt;0,"IKINCIL","YOK")))</f>
        <v/>
      </c>
      <c r="I234" s="16">
        <f>IF($A234="","",'ANAHTAR'!$F234)</f>
        <v/>
      </c>
      <c r="J234" s="16">
        <f>IF(OR($A234="",$D234=0),0,$F234/ABS($D234))</f>
        <v/>
      </c>
      <c r="K234" s="16">
        <f>IF($A234="","",ROUND($D234,2))</f>
        <v/>
      </c>
      <c r="L234" s="16">
        <f>IF($A234="","",ROUND($C234,2))</f>
        <v/>
      </c>
      <c r="M234" s="16">
        <f>IF($A234="","",IF($F234&lt;=toleransKurus,1,0))</f>
        <v/>
      </c>
      <c r="N234" s="16">
        <f>IF($A234="","",IF($F234&gt;cbb_esikFark,1,0))</f>
        <v/>
      </c>
      <c r="O234" s="16">
        <f>IF($A234="","",IF($G234="eslesti",$D234,0))</f>
        <v/>
      </c>
      <c r="P234" s="16">
        <f>IF($A234="","",$B234+$M234+$N234)</f>
        <v/>
      </c>
    </row>
    <row r="235">
      <c r="A235" s="16">
        <f>IF('ANAHTAR'!$B235="","",'ANAHTAR'!$B235)</f>
        <v/>
      </c>
      <c r="B235" s="16">
        <f>IF($A235="","",COUNTIF(tblAnahtarB[NormB],$A235))</f>
        <v/>
      </c>
      <c r="C235" s="16">
        <f>IF($A235="","",SUMIF(tblAnahtarB[NormB],$A235,tblVeriB[BeyanTutar]))</f>
        <v/>
      </c>
      <c r="D235" s="16">
        <f>IF($A235="","",SUMIF(tblAnahtarA[Norm],$A235,tblVeriA[Tutar]))</f>
        <v/>
      </c>
      <c r="E235" s="16">
        <f>IF($A235="","",ROUND($D235,2)-ROUND($C235,2))</f>
        <v/>
      </c>
      <c r="F235" s="16">
        <f>IF($A235="","",ABS($E235))</f>
        <v/>
      </c>
      <c r="G235" s="16">
        <f>IF($A235="","",IF($B235=0,"eslesmedi",IF(ROUND($D235,2)=ROUND($C235,2),"eslesti",IF(ABS(ROUND($D235,2)-ROUND($C235,2))&lt;=toleransKurus,"tolerans_icinde","tutar_farki"))))</f>
        <v/>
      </c>
      <c r="H235" s="16">
        <f>IF($A235="","",IF($B235&gt;0,"BIRINCIL",IF(COUNTIF(tblAnahtarB[IkincilB],'ANAHTAR'!$D235)&gt;0,"IKINCIL","YOK")))</f>
        <v/>
      </c>
      <c r="I235" s="16">
        <f>IF($A235="","",'ANAHTAR'!$F235)</f>
        <v/>
      </c>
      <c r="J235" s="16">
        <f>IF(OR($A235="",$D235=0),0,$F235/ABS($D235))</f>
        <v/>
      </c>
      <c r="K235" s="16">
        <f>IF($A235="","",ROUND($D235,2))</f>
        <v/>
      </c>
      <c r="L235" s="16">
        <f>IF($A235="","",ROUND($C235,2))</f>
        <v/>
      </c>
      <c r="M235" s="16">
        <f>IF($A235="","",IF($F235&lt;=toleransKurus,1,0))</f>
        <v/>
      </c>
      <c r="N235" s="16">
        <f>IF($A235="","",IF($F235&gt;cbb_esikFark,1,0))</f>
        <v/>
      </c>
      <c r="O235" s="16">
        <f>IF($A235="","",IF($G235="eslesti",$D235,0))</f>
        <v/>
      </c>
      <c r="P235" s="16">
        <f>IF($A235="","",$B235+$M235+$N235)</f>
        <v/>
      </c>
    </row>
    <row r="236">
      <c r="A236" s="16">
        <f>IF('ANAHTAR'!$B236="","",'ANAHTAR'!$B236)</f>
        <v/>
      </c>
      <c r="B236" s="16">
        <f>IF($A236="","",COUNTIF(tblAnahtarB[NormB],$A236))</f>
        <v/>
      </c>
      <c r="C236" s="16">
        <f>IF($A236="","",SUMIF(tblAnahtarB[NormB],$A236,tblVeriB[BeyanTutar]))</f>
        <v/>
      </c>
      <c r="D236" s="16">
        <f>IF($A236="","",SUMIF(tblAnahtarA[Norm],$A236,tblVeriA[Tutar]))</f>
        <v/>
      </c>
      <c r="E236" s="16">
        <f>IF($A236="","",ROUND($D236,2)-ROUND($C236,2))</f>
        <v/>
      </c>
      <c r="F236" s="16">
        <f>IF($A236="","",ABS($E236))</f>
        <v/>
      </c>
      <c r="G236" s="16">
        <f>IF($A236="","",IF($B236=0,"eslesmedi",IF(ROUND($D236,2)=ROUND($C236,2),"eslesti",IF(ABS(ROUND($D236,2)-ROUND($C236,2))&lt;=toleransKurus,"tolerans_icinde","tutar_farki"))))</f>
        <v/>
      </c>
      <c r="H236" s="16">
        <f>IF($A236="","",IF($B236&gt;0,"BIRINCIL",IF(COUNTIF(tblAnahtarB[IkincilB],'ANAHTAR'!$D236)&gt;0,"IKINCIL","YOK")))</f>
        <v/>
      </c>
      <c r="I236" s="16">
        <f>IF($A236="","",'ANAHTAR'!$F236)</f>
        <v/>
      </c>
      <c r="J236" s="16">
        <f>IF(OR($A236="",$D236=0),0,$F236/ABS($D236))</f>
        <v/>
      </c>
      <c r="K236" s="16">
        <f>IF($A236="","",ROUND($D236,2))</f>
        <v/>
      </c>
      <c r="L236" s="16">
        <f>IF($A236="","",ROUND($C236,2))</f>
        <v/>
      </c>
      <c r="M236" s="16">
        <f>IF($A236="","",IF($F236&lt;=toleransKurus,1,0))</f>
        <v/>
      </c>
      <c r="N236" s="16">
        <f>IF($A236="","",IF($F236&gt;cbb_esikFark,1,0))</f>
        <v/>
      </c>
      <c r="O236" s="16">
        <f>IF($A236="","",IF($G236="eslesti",$D236,0))</f>
        <v/>
      </c>
      <c r="P236" s="16">
        <f>IF($A236="","",$B236+$M236+$N236)</f>
        <v/>
      </c>
    </row>
    <row r="237">
      <c r="A237" s="16">
        <f>IF('ANAHTAR'!$B237="","",'ANAHTAR'!$B237)</f>
        <v/>
      </c>
      <c r="B237" s="16">
        <f>IF($A237="","",COUNTIF(tblAnahtarB[NormB],$A237))</f>
        <v/>
      </c>
      <c r="C237" s="16">
        <f>IF($A237="","",SUMIF(tblAnahtarB[NormB],$A237,tblVeriB[BeyanTutar]))</f>
        <v/>
      </c>
      <c r="D237" s="16">
        <f>IF($A237="","",SUMIF(tblAnahtarA[Norm],$A237,tblVeriA[Tutar]))</f>
        <v/>
      </c>
      <c r="E237" s="16">
        <f>IF($A237="","",ROUND($D237,2)-ROUND($C237,2))</f>
        <v/>
      </c>
      <c r="F237" s="16">
        <f>IF($A237="","",ABS($E237))</f>
        <v/>
      </c>
      <c r="G237" s="16">
        <f>IF($A237="","",IF($B237=0,"eslesmedi",IF(ROUND($D237,2)=ROUND($C237,2),"eslesti",IF(ABS(ROUND($D237,2)-ROUND($C237,2))&lt;=toleransKurus,"tolerans_icinde","tutar_farki"))))</f>
        <v/>
      </c>
      <c r="H237" s="16">
        <f>IF($A237="","",IF($B237&gt;0,"BIRINCIL",IF(COUNTIF(tblAnahtarB[IkincilB],'ANAHTAR'!$D237)&gt;0,"IKINCIL","YOK")))</f>
        <v/>
      </c>
      <c r="I237" s="16">
        <f>IF($A237="","",'ANAHTAR'!$F237)</f>
        <v/>
      </c>
      <c r="J237" s="16">
        <f>IF(OR($A237="",$D237=0),0,$F237/ABS($D237))</f>
        <v/>
      </c>
      <c r="K237" s="16">
        <f>IF($A237="","",ROUND($D237,2))</f>
        <v/>
      </c>
      <c r="L237" s="16">
        <f>IF($A237="","",ROUND($C237,2))</f>
        <v/>
      </c>
      <c r="M237" s="16">
        <f>IF($A237="","",IF($F237&lt;=toleransKurus,1,0))</f>
        <v/>
      </c>
      <c r="N237" s="16">
        <f>IF($A237="","",IF($F237&gt;cbb_esikFark,1,0))</f>
        <v/>
      </c>
      <c r="O237" s="16">
        <f>IF($A237="","",IF($G237="eslesti",$D237,0))</f>
        <v/>
      </c>
      <c r="P237" s="16">
        <f>IF($A237="","",$B237+$M237+$N237)</f>
        <v/>
      </c>
    </row>
    <row r="238">
      <c r="A238" s="16">
        <f>IF('ANAHTAR'!$B238="","",'ANAHTAR'!$B238)</f>
        <v/>
      </c>
      <c r="B238" s="16">
        <f>IF($A238="","",COUNTIF(tblAnahtarB[NormB],$A238))</f>
        <v/>
      </c>
      <c r="C238" s="16">
        <f>IF($A238="","",SUMIF(tblAnahtarB[NormB],$A238,tblVeriB[BeyanTutar]))</f>
        <v/>
      </c>
      <c r="D238" s="16">
        <f>IF($A238="","",SUMIF(tblAnahtarA[Norm],$A238,tblVeriA[Tutar]))</f>
        <v/>
      </c>
      <c r="E238" s="16">
        <f>IF($A238="","",ROUND($D238,2)-ROUND($C238,2))</f>
        <v/>
      </c>
      <c r="F238" s="16">
        <f>IF($A238="","",ABS($E238))</f>
        <v/>
      </c>
      <c r="G238" s="16">
        <f>IF($A238="","",IF($B238=0,"eslesmedi",IF(ROUND($D238,2)=ROUND($C238,2),"eslesti",IF(ABS(ROUND($D238,2)-ROUND($C238,2))&lt;=toleransKurus,"tolerans_icinde","tutar_farki"))))</f>
        <v/>
      </c>
      <c r="H238" s="16">
        <f>IF($A238="","",IF($B238&gt;0,"BIRINCIL",IF(COUNTIF(tblAnahtarB[IkincilB],'ANAHTAR'!$D238)&gt;0,"IKINCIL","YOK")))</f>
        <v/>
      </c>
      <c r="I238" s="16">
        <f>IF($A238="","",'ANAHTAR'!$F238)</f>
        <v/>
      </c>
      <c r="J238" s="16">
        <f>IF(OR($A238="",$D238=0),0,$F238/ABS($D238))</f>
        <v/>
      </c>
      <c r="K238" s="16">
        <f>IF($A238="","",ROUND($D238,2))</f>
        <v/>
      </c>
      <c r="L238" s="16">
        <f>IF($A238="","",ROUND($C238,2))</f>
        <v/>
      </c>
      <c r="M238" s="16">
        <f>IF($A238="","",IF($F238&lt;=toleransKurus,1,0))</f>
        <v/>
      </c>
      <c r="N238" s="16">
        <f>IF($A238="","",IF($F238&gt;cbb_esikFark,1,0))</f>
        <v/>
      </c>
      <c r="O238" s="16">
        <f>IF($A238="","",IF($G238="eslesti",$D238,0))</f>
        <v/>
      </c>
      <c r="P238" s="16">
        <f>IF($A238="","",$B238+$M238+$N238)</f>
        <v/>
      </c>
    </row>
    <row r="239">
      <c r="A239" s="16">
        <f>IF('ANAHTAR'!$B239="","",'ANAHTAR'!$B239)</f>
        <v/>
      </c>
      <c r="B239" s="16">
        <f>IF($A239="","",COUNTIF(tblAnahtarB[NormB],$A239))</f>
        <v/>
      </c>
      <c r="C239" s="16">
        <f>IF($A239="","",SUMIF(tblAnahtarB[NormB],$A239,tblVeriB[BeyanTutar]))</f>
        <v/>
      </c>
      <c r="D239" s="16">
        <f>IF($A239="","",SUMIF(tblAnahtarA[Norm],$A239,tblVeriA[Tutar]))</f>
        <v/>
      </c>
      <c r="E239" s="16">
        <f>IF($A239="","",ROUND($D239,2)-ROUND($C239,2))</f>
        <v/>
      </c>
      <c r="F239" s="16">
        <f>IF($A239="","",ABS($E239))</f>
        <v/>
      </c>
      <c r="G239" s="16">
        <f>IF($A239="","",IF($B239=0,"eslesmedi",IF(ROUND($D239,2)=ROUND($C239,2),"eslesti",IF(ABS(ROUND($D239,2)-ROUND($C239,2))&lt;=toleransKurus,"tolerans_icinde","tutar_farki"))))</f>
        <v/>
      </c>
      <c r="H239" s="16">
        <f>IF($A239="","",IF($B239&gt;0,"BIRINCIL",IF(COUNTIF(tblAnahtarB[IkincilB],'ANAHTAR'!$D239)&gt;0,"IKINCIL","YOK")))</f>
        <v/>
      </c>
      <c r="I239" s="16">
        <f>IF($A239="","",'ANAHTAR'!$F239)</f>
        <v/>
      </c>
      <c r="J239" s="16">
        <f>IF(OR($A239="",$D239=0),0,$F239/ABS($D239))</f>
        <v/>
      </c>
      <c r="K239" s="16">
        <f>IF($A239="","",ROUND($D239,2))</f>
        <v/>
      </c>
      <c r="L239" s="16">
        <f>IF($A239="","",ROUND($C239,2))</f>
        <v/>
      </c>
      <c r="M239" s="16">
        <f>IF($A239="","",IF($F239&lt;=toleransKurus,1,0))</f>
        <v/>
      </c>
      <c r="N239" s="16">
        <f>IF($A239="","",IF($F239&gt;cbb_esikFark,1,0))</f>
        <v/>
      </c>
      <c r="O239" s="16">
        <f>IF($A239="","",IF($G239="eslesti",$D239,0))</f>
        <v/>
      </c>
      <c r="P239" s="16">
        <f>IF($A239="","",$B239+$M239+$N239)</f>
        <v/>
      </c>
    </row>
    <row r="240">
      <c r="A240" s="16">
        <f>IF('ANAHTAR'!$B240="","",'ANAHTAR'!$B240)</f>
        <v/>
      </c>
      <c r="B240" s="16">
        <f>IF($A240="","",COUNTIF(tblAnahtarB[NormB],$A240))</f>
        <v/>
      </c>
      <c r="C240" s="16">
        <f>IF($A240="","",SUMIF(tblAnahtarB[NormB],$A240,tblVeriB[BeyanTutar]))</f>
        <v/>
      </c>
      <c r="D240" s="16">
        <f>IF($A240="","",SUMIF(tblAnahtarA[Norm],$A240,tblVeriA[Tutar]))</f>
        <v/>
      </c>
      <c r="E240" s="16">
        <f>IF($A240="","",ROUND($D240,2)-ROUND($C240,2))</f>
        <v/>
      </c>
      <c r="F240" s="16">
        <f>IF($A240="","",ABS($E240))</f>
        <v/>
      </c>
      <c r="G240" s="16">
        <f>IF($A240="","",IF($B240=0,"eslesmedi",IF(ROUND($D240,2)=ROUND($C240,2),"eslesti",IF(ABS(ROUND($D240,2)-ROUND($C240,2))&lt;=toleransKurus,"tolerans_icinde","tutar_farki"))))</f>
        <v/>
      </c>
      <c r="H240" s="16">
        <f>IF($A240="","",IF($B240&gt;0,"BIRINCIL",IF(COUNTIF(tblAnahtarB[IkincilB],'ANAHTAR'!$D240)&gt;0,"IKINCIL","YOK")))</f>
        <v/>
      </c>
      <c r="I240" s="16">
        <f>IF($A240="","",'ANAHTAR'!$F240)</f>
        <v/>
      </c>
      <c r="J240" s="16">
        <f>IF(OR($A240="",$D240=0),0,$F240/ABS($D240))</f>
        <v/>
      </c>
      <c r="K240" s="16">
        <f>IF($A240="","",ROUND($D240,2))</f>
        <v/>
      </c>
      <c r="L240" s="16">
        <f>IF($A240="","",ROUND($C240,2))</f>
        <v/>
      </c>
      <c r="M240" s="16">
        <f>IF($A240="","",IF($F240&lt;=toleransKurus,1,0))</f>
        <v/>
      </c>
      <c r="N240" s="16">
        <f>IF($A240="","",IF($F240&gt;cbb_esikFark,1,0))</f>
        <v/>
      </c>
      <c r="O240" s="16">
        <f>IF($A240="","",IF($G240="eslesti",$D240,0))</f>
        <v/>
      </c>
      <c r="P240" s="16">
        <f>IF($A240="","",$B240+$M240+$N240)</f>
        <v/>
      </c>
    </row>
    <row r="241">
      <c r="A241" s="16">
        <f>IF('ANAHTAR'!$B241="","",'ANAHTAR'!$B241)</f>
        <v/>
      </c>
      <c r="B241" s="16">
        <f>IF($A241="","",COUNTIF(tblAnahtarB[NormB],$A241))</f>
        <v/>
      </c>
      <c r="C241" s="16">
        <f>IF($A241="","",SUMIF(tblAnahtarB[NormB],$A241,tblVeriB[BeyanTutar]))</f>
        <v/>
      </c>
      <c r="D241" s="16">
        <f>IF($A241="","",SUMIF(tblAnahtarA[Norm],$A241,tblVeriA[Tutar]))</f>
        <v/>
      </c>
      <c r="E241" s="16">
        <f>IF($A241="","",ROUND($D241,2)-ROUND($C241,2))</f>
        <v/>
      </c>
      <c r="F241" s="16">
        <f>IF($A241="","",ABS($E241))</f>
        <v/>
      </c>
      <c r="G241" s="16">
        <f>IF($A241="","",IF($B241=0,"eslesmedi",IF(ROUND($D241,2)=ROUND($C241,2),"eslesti",IF(ABS(ROUND($D241,2)-ROUND($C241,2))&lt;=toleransKurus,"tolerans_icinde","tutar_farki"))))</f>
        <v/>
      </c>
      <c r="H241" s="16">
        <f>IF($A241="","",IF($B241&gt;0,"BIRINCIL",IF(COUNTIF(tblAnahtarB[IkincilB],'ANAHTAR'!$D241)&gt;0,"IKINCIL","YOK")))</f>
        <v/>
      </c>
      <c r="I241" s="16">
        <f>IF($A241="","",'ANAHTAR'!$F241)</f>
        <v/>
      </c>
      <c r="J241" s="16">
        <f>IF(OR($A241="",$D241=0),0,$F241/ABS($D241))</f>
        <v/>
      </c>
      <c r="K241" s="16">
        <f>IF($A241="","",ROUND($D241,2))</f>
        <v/>
      </c>
      <c r="L241" s="16">
        <f>IF($A241="","",ROUND($C241,2))</f>
        <v/>
      </c>
      <c r="M241" s="16">
        <f>IF($A241="","",IF($F241&lt;=toleransKurus,1,0))</f>
        <v/>
      </c>
      <c r="N241" s="16">
        <f>IF($A241="","",IF($F241&gt;cbb_esikFark,1,0))</f>
        <v/>
      </c>
      <c r="O241" s="16">
        <f>IF($A241="","",IF($G241="eslesti",$D241,0))</f>
        <v/>
      </c>
      <c r="P241" s="16">
        <f>IF($A241="","",$B241+$M241+$N241)</f>
        <v/>
      </c>
    </row>
    <row r="242">
      <c r="A242" s="16">
        <f>IF('ANAHTAR'!$B242="","",'ANAHTAR'!$B242)</f>
        <v/>
      </c>
      <c r="B242" s="16">
        <f>IF($A242="","",COUNTIF(tblAnahtarB[NormB],$A242))</f>
        <v/>
      </c>
      <c r="C242" s="16">
        <f>IF($A242="","",SUMIF(tblAnahtarB[NormB],$A242,tblVeriB[BeyanTutar]))</f>
        <v/>
      </c>
      <c r="D242" s="16">
        <f>IF($A242="","",SUMIF(tblAnahtarA[Norm],$A242,tblVeriA[Tutar]))</f>
        <v/>
      </c>
      <c r="E242" s="16">
        <f>IF($A242="","",ROUND($D242,2)-ROUND($C242,2))</f>
        <v/>
      </c>
      <c r="F242" s="16">
        <f>IF($A242="","",ABS($E242))</f>
        <v/>
      </c>
      <c r="G242" s="16">
        <f>IF($A242="","",IF($B242=0,"eslesmedi",IF(ROUND($D242,2)=ROUND($C242,2),"eslesti",IF(ABS(ROUND($D242,2)-ROUND($C242,2))&lt;=toleransKurus,"tolerans_icinde","tutar_farki"))))</f>
        <v/>
      </c>
      <c r="H242" s="16">
        <f>IF($A242="","",IF($B242&gt;0,"BIRINCIL",IF(COUNTIF(tblAnahtarB[IkincilB],'ANAHTAR'!$D242)&gt;0,"IKINCIL","YOK")))</f>
        <v/>
      </c>
      <c r="I242" s="16">
        <f>IF($A242="","",'ANAHTAR'!$F242)</f>
        <v/>
      </c>
      <c r="J242" s="16">
        <f>IF(OR($A242="",$D242=0),0,$F242/ABS($D242))</f>
        <v/>
      </c>
      <c r="K242" s="16">
        <f>IF($A242="","",ROUND($D242,2))</f>
        <v/>
      </c>
      <c r="L242" s="16">
        <f>IF($A242="","",ROUND($C242,2))</f>
        <v/>
      </c>
      <c r="M242" s="16">
        <f>IF($A242="","",IF($F242&lt;=toleransKurus,1,0))</f>
        <v/>
      </c>
      <c r="N242" s="16">
        <f>IF($A242="","",IF($F242&gt;cbb_esikFark,1,0))</f>
        <v/>
      </c>
      <c r="O242" s="16">
        <f>IF($A242="","",IF($G242="eslesti",$D242,0))</f>
        <v/>
      </c>
      <c r="P242" s="16">
        <f>IF($A242="","",$B242+$M242+$N242)</f>
        <v/>
      </c>
    </row>
    <row r="243">
      <c r="A243" s="16">
        <f>IF('ANAHTAR'!$B243="","",'ANAHTAR'!$B243)</f>
        <v/>
      </c>
      <c r="B243" s="16">
        <f>IF($A243="","",COUNTIF(tblAnahtarB[NormB],$A243))</f>
        <v/>
      </c>
      <c r="C243" s="16">
        <f>IF($A243="","",SUMIF(tblAnahtarB[NormB],$A243,tblVeriB[BeyanTutar]))</f>
        <v/>
      </c>
      <c r="D243" s="16">
        <f>IF($A243="","",SUMIF(tblAnahtarA[Norm],$A243,tblVeriA[Tutar]))</f>
        <v/>
      </c>
      <c r="E243" s="16">
        <f>IF($A243="","",ROUND($D243,2)-ROUND($C243,2))</f>
        <v/>
      </c>
      <c r="F243" s="16">
        <f>IF($A243="","",ABS($E243))</f>
        <v/>
      </c>
      <c r="G243" s="16">
        <f>IF($A243="","",IF($B243=0,"eslesmedi",IF(ROUND($D243,2)=ROUND($C243,2),"eslesti",IF(ABS(ROUND($D243,2)-ROUND($C243,2))&lt;=toleransKurus,"tolerans_icinde","tutar_farki"))))</f>
        <v/>
      </c>
      <c r="H243" s="16">
        <f>IF($A243="","",IF($B243&gt;0,"BIRINCIL",IF(COUNTIF(tblAnahtarB[IkincilB],'ANAHTAR'!$D243)&gt;0,"IKINCIL","YOK")))</f>
        <v/>
      </c>
      <c r="I243" s="16">
        <f>IF($A243="","",'ANAHTAR'!$F243)</f>
        <v/>
      </c>
      <c r="J243" s="16">
        <f>IF(OR($A243="",$D243=0),0,$F243/ABS($D243))</f>
        <v/>
      </c>
      <c r="K243" s="16">
        <f>IF($A243="","",ROUND($D243,2))</f>
        <v/>
      </c>
      <c r="L243" s="16">
        <f>IF($A243="","",ROUND($C243,2))</f>
        <v/>
      </c>
      <c r="M243" s="16">
        <f>IF($A243="","",IF($F243&lt;=toleransKurus,1,0))</f>
        <v/>
      </c>
      <c r="N243" s="16">
        <f>IF($A243="","",IF($F243&gt;cbb_esikFark,1,0))</f>
        <v/>
      </c>
      <c r="O243" s="16">
        <f>IF($A243="","",IF($G243="eslesti",$D243,0))</f>
        <v/>
      </c>
      <c r="P243" s="16">
        <f>IF($A243="","",$B243+$M243+$N243)</f>
        <v/>
      </c>
    </row>
    <row r="244">
      <c r="A244" s="16">
        <f>IF('ANAHTAR'!$B244="","",'ANAHTAR'!$B244)</f>
        <v/>
      </c>
      <c r="B244" s="16">
        <f>IF($A244="","",COUNTIF(tblAnahtarB[NormB],$A244))</f>
        <v/>
      </c>
      <c r="C244" s="16">
        <f>IF($A244="","",SUMIF(tblAnahtarB[NormB],$A244,tblVeriB[BeyanTutar]))</f>
        <v/>
      </c>
      <c r="D244" s="16">
        <f>IF($A244="","",SUMIF(tblAnahtarA[Norm],$A244,tblVeriA[Tutar]))</f>
        <v/>
      </c>
      <c r="E244" s="16">
        <f>IF($A244="","",ROUND($D244,2)-ROUND($C244,2))</f>
        <v/>
      </c>
      <c r="F244" s="16">
        <f>IF($A244="","",ABS($E244))</f>
        <v/>
      </c>
      <c r="G244" s="16">
        <f>IF($A244="","",IF($B244=0,"eslesmedi",IF(ROUND($D244,2)=ROUND($C244,2),"eslesti",IF(ABS(ROUND($D244,2)-ROUND($C244,2))&lt;=toleransKurus,"tolerans_icinde","tutar_farki"))))</f>
        <v/>
      </c>
      <c r="H244" s="16">
        <f>IF($A244="","",IF($B244&gt;0,"BIRINCIL",IF(COUNTIF(tblAnahtarB[IkincilB],'ANAHTAR'!$D244)&gt;0,"IKINCIL","YOK")))</f>
        <v/>
      </c>
      <c r="I244" s="16">
        <f>IF($A244="","",'ANAHTAR'!$F244)</f>
        <v/>
      </c>
      <c r="J244" s="16">
        <f>IF(OR($A244="",$D244=0),0,$F244/ABS($D244))</f>
        <v/>
      </c>
      <c r="K244" s="16">
        <f>IF($A244="","",ROUND($D244,2))</f>
        <v/>
      </c>
      <c r="L244" s="16">
        <f>IF($A244="","",ROUND($C244,2))</f>
        <v/>
      </c>
      <c r="M244" s="16">
        <f>IF($A244="","",IF($F244&lt;=toleransKurus,1,0))</f>
        <v/>
      </c>
      <c r="N244" s="16">
        <f>IF($A244="","",IF($F244&gt;cbb_esikFark,1,0))</f>
        <v/>
      </c>
      <c r="O244" s="16">
        <f>IF($A244="","",IF($G244="eslesti",$D244,0))</f>
        <v/>
      </c>
      <c r="P244" s="16">
        <f>IF($A244="","",$B244+$M244+$N244)</f>
        <v/>
      </c>
    </row>
    <row r="245">
      <c r="A245" s="16">
        <f>IF('ANAHTAR'!$B245="","",'ANAHTAR'!$B245)</f>
        <v/>
      </c>
      <c r="B245" s="16">
        <f>IF($A245="","",COUNTIF(tblAnahtarB[NormB],$A245))</f>
        <v/>
      </c>
      <c r="C245" s="16">
        <f>IF($A245="","",SUMIF(tblAnahtarB[NormB],$A245,tblVeriB[BeyanTutar]))</f>
        <v/>
      </c>
      <c r="D245" s="16">
        <f>IF($A245="","",SUMIF(tblAnahtarA[Norm],$A245,tblVeriA[Tutar]))</f>
        <v/>
      </c>
      <c r="E245" s="16">
        <f>IF($A245="","",ROUND($D245,2)-ROUND($C245,2))</f>
        <v/>
      </c>
      <c r="F245" s="16">
        <f>IF($A245="","",ABS($E245))</f>
        <v/>
      </c>
      <c r="G245" s="16">
        <f>IF($A245="","",IF($B245=0,"eslesmedi",IF(ROUND($D245,2)=ROUND($C245,2),"eslesti",IF(ABS(ROUND($D245,2)-ROUND($C245,2))&lt;=toleransKurus,"tolerans_icinde","tutar_farki"))))</f>
        <v/>
      </c>
      <c r="H245" s="16">
        <f>IF($A245="","",IF($B245&gt;0,"BIRINCIL",IF(COUNTIF(tblAnahtarB[IkincilB],'ANAHTAR'!$D245)&gt;0,"IKINCIL","YOK")))</f>
        <v/>
      </c>
      <c r="I245" s="16">
        <f>IF($A245="","",'ANAHTAR'!$F245)</f>
        <v/>
      </c>
      <c r="J245" s="16">
        <f>IF(OR($A245="",$D245=0),0,$F245/ABS($D245))</f>
        <v/>
      </c>
      <c r="K245" s="16">
        <f>IF($A245="","",ROUND($D245,2))</f>
        <v/>
      </c>
      <c r="L245" s="16">
        <f>IF($A245="","",ROUND($C245,2))</f>
        <v/>
      </c>
      <c r="M245" s="16">
        <f>IF($A245="","",IF($F245&lt;=toleransKurus,1,0))</f>
        <v/>
      </c>
      <c r="N245" s="16">
        <f>IF($A245="","",IF($F245&gt;cbb_esikFark,1,0))</f>
        <v/>
      </c>
      <c r="O245" s="16">
        <f>IF($A245="","",IF($G245="eslesti",$D245,0))</f>
        <v/>
      </c>
      <c r="P245" s="16">
        <f>IF($A245="","",$B245+$M245+$N245)</f>
        <v/>
      </c>
    </row>
    <row r="246">
      <c r="A246" s="16">
        <f>IF('ANAHTAR'!$B246="","",'ANAHTAR'!$B246)</f>
        <v/>
      </c>
      <c r="B246" s="16">
        <f>IF($A246="","",COUNTIF(tblAnahtarB[NormB],$A246))</f>
        <v/>
      </c>
      <c r="C246" s="16">
        <f>IF($A246="","",SUMIF(tblAnahtarB[NormB],$A246,tblVeriB[BeyanTutar]))</f>
        <v/>
      </c>
      <c r="D246" s="16">
        <f>IF($A246="","",SUMIF(tblAnahtarA[Norm],$A246,tblVeriA[Tutar]))</f>
        <v/>
      </c>
      <c r="E246" s="16">
        <f>IF($A246="","",ROUND($D246,2)-ROUND($C246,2))</f>
        <v/>
      </c>
      <c r="F246" s="16">
        <f>IF($A246="","",ABS($E246))</f>
        <v/>
      </c>
      <c r="G246" s="16">
        <f>IF($A246="","",IF($B246=0,"eslesmedi",IF(ROUND($D246,2)=ROUND($C246,2),"eslesti",IF(ABS(ROUND($D246,2)-ROUND($C246,2))&lt;=toleransKurus,"tolerans_icinde","tutar_farki"))))</f>
        <v/>
      </c>
      <c r="H246" s="16">
        <f>IF($A246="","",IF($B246&gt;0,"BIRINCIL",IF(COUNTIF(tblAnahtarB[IkincilB],'ANAHTAR'!$D246)&gt;0,"IKINCIL","YOK")))</f>
        <v/>
      </c>
      <c r="I246" s="16">
        <f>IF($A246="","",'ANAHTAR'!$F246)</f>
        <v/>
      </c>
      <c r="J246" s="16">
        <f>IF(OR($A246="",$D246=0),0,$F246/ABS($D246))</f>
        <v/>
      </c>
      <c r="K246" s="16">
        <f>IF($A246="","",ROUND($D246,2))</f>
        <v/>
      </c>
      <c r="L246" s="16">
        <f>IF($A246="","",ROUND($C246,2))</f>
        <v/>
      </c>
      <c r="M246" s="16">
        <f>IF($A246="","",IF($F246&lt;=toleransKurus,1,0))</f>
        <v/>
      </c>
      <c r="N246" s="16">
        <f>IF($A246="","",IF($F246&gt;cbb_esikFark,1,0))</f>
        <v/>
      </c>
      <c r="O246" s="16">
        <f>IF($A246="","",IF($G246="eslesti",$D246,0))</f>
        <v/>
      </c>
      <c r="P246" s="16">
        <f>IF($A246="","",$B246+$M246+$N246)</f>
        <v/>
      </c>
    </row>
    <row r="247">
      <c r="A247" s="16">
        <f>IF('ANAHTAR'!$B247="","",'ANAHTAR'!$B247)</f>
        <v/>
      </c>
      <c r="B247" s="16">
        <f>IF($A247="","",COUNTIF(tblAnahtarB[NormB],$A247))</f>
        <v/>
      </c>
      <c r="C247" s="16">
        <f>IF($A247="","",SUMIF(tblAnahtarB[NormB],$A247,tblVeriB[BeyanTutar]))</f>
        <v/>
      </c>
      <c r="D247" s="16">
        <f>IF($A247="","",SUMIF(tblAnahtarA[Norm],$A247,tblVeriA[Tutar]))</f>
        <v/>
      </c>
      <c r="E247" s="16">
        <f>IF($A247="","",ROUND($D247,2)-ROUND($C247,2))</f>
        <v/>
      </c>
      <c r="F247" s="16">
        <f>IF($A247="","",ABS($E247))</f>
        <v/>
      </c>
      <c r="G247" s="16">
        <f>IF($A247="","",IF($B247=0,"eslesmedi",IF(ROUND($D247,2)=ROUND($C247,2),"eslesti",IF(ABS(ROUND($D247,2)-ROUND($C247,2))&lt;=toleransKurus,"tolerans_icinde","tutar_farki"))))</f>
        <v/>
      </c>
      <c r="H247" s="16">
        <f>IF($A247="","",IF($B247&gt;0,"BIRINCIL",IF(COUNTIF(tblAnahtarB[IkincilB],'ANAHTAR'!$D247)&gt;0,"IKINCIL","YOK")))</f>
        <v/>
      </c>
      <c r="I247" s="16">
        <f>IF($A247="","",'ANAHTAR'!$F247)</f>
        <v/>
      </c>
      <c r="J247" s="16">
        <f>IF(OR($A247="",$D247=0),0,$F247/ABS($D247))</f>
        <v/>
      </c>
      <c r="K247" s="16">
        <f>IF($A247="","",ROUND($D247,2))</f>
        <v/>
      </c>
      <c r="L247" s="16">
        <f>IF($A247="","",ROUND($C247,2))</f>
        <v/>
      </c>
      <c r="M247" s="16">
        <f>IF($A247="","",IF($F247&lt;=toleransKurus,1,0))</f>
        <v/>
      </c>
      <c r="N247" s="16">
        <f>IF($A247="","",IF($F247&gt;cbb_esikFark,1,0))</f>
        <v/>
      </c>
      <c r="O247" s="16">
        <f>IF($A247="","",IF($G247="eslesti",$D247,0))</f>
        <v/>
      </c>
      <c r="P247" s="16">
        <f>IF($A247="","",$B247+$M247+$N247)</f>
        <v/>
      </c>
    </row>
    <row r="248">
      <c r="A248" s="16">
        <f>IF('ANAHTAR'!$B248="","",'ANAHTAR'!$B248)</f>
        <v/>
      </c>
      <c r="B248" s="16">
        <f>IF($A248="","",COUNTIF(tblAnahtarB[NormB],$A248))</f>
        <v/>
      </c>
      <c r="C248" s="16">
        <f>IF($A248="","",SUMIF(tblAnahtarB[NormB],$A248,tblVeriB[BeyanTutar]))</f>
        <v/>
      </c>
      <c r="D248" s="16">
        <f>IF($A248="","",SUMIF(tblAnahtarA[Norm],$A248,tblVeriA[Tutar]))</f>
        <v/>
      </c>
      <c r="E248" s="16">
        <f>IF($A248="","",ROUND($D248,2)-ROUND($C248,2))</f>
        <v/>
      </c>
      <c r="F248" s="16">
        <f>IF($A248="","",ABS($E248))</f>
        <v/>
      </c>
      <c r="G248" s="16">
        <f>IF($A248="","",IF($B248=0,"eslesmedi",IF(ROUND($D248,2)=ROUND($C248,2),"eslesti",IF(ABS(ROUND($D248,2)-ROUND($C248,2))&lt;=toleransKurus,"tolerans_icinde","tutar_farki"))))</f>
        <v/>
      </c>
      <c r="H248" s="16">
        <f>IF($A248="","",IF($B248&gt;0,"BIRINCIL",IF(COUNTIF(tblAnahtarB[IkincilB],'ANAHTAR'!$D248)&gt;0,"IKINCIL","YOK")))</f>
        <v/>
      </c>
      <c r="I248" s="16">
        <f>IF($A248="","",'ANAHTAR'!$F248)</f>
        <v/>
      </c>
      <c r="J248" s="16">
        <f>IF(OR($A248="",$D248=0),0,$F248/ABS($D248))</f>
        <v/>
      </c>
      <c r="K248" s="16">
        <f>IF($A248="","",ROUND($D248,2))</f>
        <v/>
      </c>
      <c r="L248" s="16">
        <f>IF($A248="","",ROUND($C248,2))</f>
        <v/>
      </c>
      <c r="M248" s="16">
        <f>IF($A248="","",IF($F248&lt;=toleransKurus,1,0))</f>
        <v/>
      </c>
      <c r="N248" s="16">
        <f>IF($A248="","",IF($F248&gt;cbb_esikFark,1,0))</f>
        <v/>
      </c>
      <c r="O248" s="16">
        <f>IF($A248="","",IF($G248="eslesti",$D248,0))</f>
        <v/>
      </c>
      <c r="P248" s="16">
        <f>IF($A248="","",$B248+$M248+$N248)</f>
        <v/>
      </c>
    </row>
    <row r="249">
      <c r="A249" s="16">
        <f>IF('ANAHTAR'!$B249="","",'ANAHTAR'!$B249)</f>
        <v/>
      </c>
      <c r="B249" s="16">
        <f>IF($A249="","",COUNTIF(tblAnahtarB[NormB],$A249))</f>
        <v/>
      </c>
      <c r="C249" s="16">
        <f>IF($A249="","",SUMIF(tblAnahtarB[NormB],$A249,tblVeriB[BeyanTutar]))</f>
        <v/>
      </c>
      <c r="D249" s="16">
        <f>IF($A249="","",SUMIF(tblAnahtarA[Norm],$A249,tblVeriA[Tutar]))</f>
        <v/>
      </c>
      <c r="E249" s="16">
        <f>IF($A249="","",ROUND($D249,2)-ROUND($C249,2))</f>
        <v/>
      </c>
      <c r="F249" s="16">
        <f>IF($A249="","",ABS($E249))</f>
        <v/>
      </c>
      <c r="G249" s="16">
        <f>IF($A249="","",IF($B249=0,"eslesmedi",IF(ROUND($D249,2)=ROUND($C249,2),"eslesti",IF(ABS(ROUND($D249,2)-ROUND($C249,2))&lt;=toleransKurus,"tolerans_icinde","tutar_farki"))))</f>
        <v/>
      </c>
      <c r="H249" s="16">
        <f>IF($A249="","",IF($B249&gt;0,"BIRINCIL",IF(COUNTIF(tblAnahtarB[IkincilB],'ANAHTAR'!$D249)&gt;0,"IKINCIL","YOK")))</f>
        <v/>
      </c>
      <c r="I249" s="16">
        <f>IF($A249="","",'ANAHTAR'!$F249)</f>
        <v/>
      </c>
      <c r="J249" s="16">
        <f>IF(OR($A249="",$D249=0),0,$F249/ABS($D249))</f>
        <v/>
      </c>
      <c r="K249" s="16">
        <f>IF($A249="","",ROUND($D249,2))</f>
        <v/>
      </c>
      <c r="L249" s="16">
        <f>IF($A249="","",ROUND($C249,2))</f>
        <v/>
      </c>
      <c r="M249" s="16">
        <f>IF($A249="","",IF($F249&lt;=toleransKurus,1,0))</f>
        <v/>
      </c>
      <c r="N249" s="16">
        <f>IF($A249="","",IF($F249&gt;cbb_esikFark,1,0))</f>
        <v/>
      </c>
      <c r="O249" s="16">
        <f>IF($A249="","",IF($G249="eslesti",$D249,0))</f>
        <v/>
      </c>
      <c r="P249" s="16">
        <f>IF($A249="","",$B249+$M249+$N249)</f>
        <v/>
      </c>
    </row>
    <row r="250">
      <c r="A250" s="16">
        <f>IF('ANAHTAR'!$B250="","",'ANAHTAR'!$B250)</f>
        <v/>
      </c>
      <c r="B250" s="16">
        <f>IF($A250="","",COUNTIF(tblAnahtarB[NormB],$A250))</f>
        <v/>
      </c>
      <c r="C250" s="16">
        <f>IF($A250="","",SUMIF(tblAnahtarB[NormB],$A250,tblVeriB[BeyanTutar]))</f>
        <v/>
      </c>
      <c r="D250" s="16">
        <f>IF($A250="","",SUMIF(tblAnahtarA[Norm],$A250,tblVeriA[Tutar]))</f>
        <v/>
      </c>
      <c r="E250" s="16">
        <f>IF($A250="","",ROUND($D250,2)-ROUND($C250,2))</f>
        <v/>
      </c>
      <c r="F250" s="16">
        <f>IF($A250="","",ABS($E250))</f>
        <v/>
      </c>
      <c r="G250" s="16">
        <f>IF($A250="","",IF($B250=0,"eslesmedi",IF(ROUND($D250,2)=ROUND($C250,2),"eslesti",IF(ABS(ROUND($D250,2)-ROUND($C250,2))&lt;=toleransKurus,"tolerans_icinde","tutar_farki"))))</f>
        <v/>
      </c>
      <c r="H250" s="16">
        <f>IF($A250="","",IF($B250&gt;0,"BIRINCIL",IF(COUNTIF(tblAnahtarB[IkincilB],'ANAHTAR'!$D250)&gt;0,"IKINCIL","YOK")))</f>
        <v/>
      </c>
      <c r="I250" s="16">
        <f>IF($A250="","",'ANAHTAR'!$F250)</f>
        <v/>
      </c>
      <c r="J250" s="16">
        <f>IF(OR($A250="",$D250=0),0,$F250/ABS($D250))</f>
        <v/>
      </c>
      <c r="K250" s="16">
        <f>IF($A250="","",ROUND($D250,2))</f>
        <v/>
      </c>
      <c r="L250" s="16">
        <f>IF($A250="","",ROUND($C250,2))</f>
        <v/>
      </c>
      <c r="M250" s="16">
        <f>IF($A250="","",IF($F250&lt;=toleransKurus,1,0))</f>
        <v/>
      </c>
      <c r="N250" s="16">
        <f>IF($A250="","",IF($F250&gt;cbb_esikFark,1,0))</f>
        <v/>
      </c>
      <c r="O250" s="16">
        <f>IF($A250="","",IF($G250="eslesti",$D250,0))</f>
        <v/>
      </c>
      <c r="P250" s="16">
        <f>IF($A250="","",$B250+$M250+$N250)</f>
        <v/>
      </c>
    </row>
    <row r="251">
      <c r="A251" s="16">
        <f>IF('ANAHTAR'!$B251="","",'ANAHTAR'!$B251)</f>
        <v/>
      </c>
      <c r="B251" s="16">
        <f>IF($A251="","",COUNTIF(tblAnahtarB[NormB],$A251))</f>
        <v/>
      </c>
      <c r="C251" s="16">
        <f>IF($A251="","",SUMIF(tblAnahtarB[NormB],$A251,tblVeriB[BeyanTutar]))</f>
        <v/>
      </c>
      <c r="D251" s="16">
        <f>IF($A251="","",SUMIF(tblAnahtarA[Norm],$A251,tblVeriA[Tutar]))</f>
        <v/>
      </c>
      <c r="E251" s="16">
        <f>IF($A251="","",ROUND($D251,2)-ROUND($C251,2))</f>
        <v/>
      </c>
      <c r="F251" s="16">
        <f>IF($A251="","",ABS($E251))</f>
        <v/>
      </c>
      <c r="G251" s="16">
        <f>IF($A251="","",IF($B251=0,"eslesmedi",IF(ROUND($D251,2)=ROUND($C251,2),"eslesti",IF(ABS(ROUND($D251,2)-ROUND($C251,2))&lt;=toleransKurus,"tolerans_icinde","tutar_farki"))))</f>
        <v/>
      </c>
      <c r="H251" s="16">
        <f>IF($A251="","",IF($B251&gt;0,"BIRINCIL",IF(COUNTIF(tblAnahtarB[IkincilB],'ANAHTAR'!$D251)&gt;0,"IKINCIL","YOK")))</f>
        <v/>
      </c>
      <c r="I251" s="16">
        <f>IF($A251="","",'ANAHTAR'!$F251)</f>
        <v/>
      </c>
      <c r="J251" s="16">
        <f>IF(OR($A251="",$D251=0),0,$F251/ABS($D251))</f>
        <v/>
      </c>
      <c r="K251" s="16">
        <f>IF($A251="","",ROUND($D251,2))</f>
        <v/>
      </c>
      <c r="L251" s="16">
        <f>IF($A251="","",ROUND($C251,2))</f>
        <v/>
      </c>
      <c r="M251" s="16">
        <f>IF($A251="","",IF($F251&lt;=toleransKurus,1,0))</f>
        <v/>
      </c>
      <c r="N251" s="16">
        <f>IF($A251="","",IF($F251&gt;cbb_esikFark,1,0))</f>
        <v/>
      </c>
      <c r="O251" s="16">
        <f>IF($A251="","",IF($G251="eslesti",$D251,0))</f>
        <v/>
      </c>
      <c r="P251" s="16">
        <f>IF($A251="","",$B251+$M251+$N251)</f>
        <v/>
      </c>
    </row>
    <row r="252">
      <c r="A252" s="16">
        <f>IF('ANAHTAR'!$B252="","",'ANAHTAR'!$B252)</f>
        <v/>
      </c>
      <c r="B252" s="16">
        <f>IF($A252="","",COUNTIF(tblAnahtarB[NormB],$A252))</f>
        <v/>
      </c>
      <c r="C252" s="16">
        <f>IF($A252="","",SUMIF(tblAnahtarB[NormB],$A252,tblVeriB[BeyanTutar]))</f>
        <v/>
      </c>
      <c r="D252" s="16">
        <f>IF($A252="","",SUMIF(tblAnahtarA[Norm],$A252,tblVeriA[Tutar]))</f>
        <v/>
      </c>
      <c r="E252" s="16">
        <f>IF($A252="","",ROUND($D252,2)-ROUND($C252,2))</f>
        <v/>
      </c>
      <c r="F252" s="16">
        <f>IF($A252="","",ABS($E252))</f>
        <v/>
      </c>
      <c r="G252" s="16">
        <f>IF($A252="","",IF($B252=0,"eslesmedi",IF(ROUND($D252,2)=ROUND($C252,2),"eslesti",IF(ABS(ROUND($D252,2)-ROUND($C252,2))&lt;=toleransKurus,"tolerans_icinde","tutar_farki"))))</f>
        <v/>
      </c>
      <c r="H252" s="16">
        <f>IF($A252="","",IF($B252&gt;0,"BIRINCIL",IF(COUNTIF(tblAnahtarB[IkincilB],'ANAHTAR'!$D252)&gt;0,"IKINCIL","YOK")))</f>
        <v/>
      </c>
      <c r="I252" s="16">
        <f>IF($A252="","",'ANAHTAR'!$F252)</f>
        <v/>
      </c>
      <c r="J252" s="16">
        <f>IF(OR($A252="",$D252=0),0,$F252/ABS($D252))</f>
        <v/>
      </c>
      <c r="K252" s="16">
        <f>IF($A252="","",ROUND($D252,2))</f>
        <v/>
      </c>
      <c r="L252" s="16">
        <f>IF($A252="","",ROUND($C252,2))</f>
        <v/>
      </c>
      <c r="M252" s="16">
        <f>IF($A252="","",IF($F252&lt;=toleransKurus,1,0))</f>
        <v/>
      </c>
      <c r="N252" s="16">
        <f>IF($A252="","",IF($F252&gt;cbb_esikFark,1,0))</f>
        <v/>
      </c>
      <c r="O252" s="16">
        <f>IF($A252="","",IF($G252="eslesti",$D252,0))</f>
        <v/>
      </c>
      <c r="P252" s="16">
        <f>IF($A252="","",$B252+$M252+$N252)</f>
        <v/>
      </c>
    </row>
    <row r="253">
      <c r="A253" s="16">
        <f>IF('ANAHTAR'!$B253="","",'ANAHTAR'!$B253)</f>
        <v/>
      </c>
      <c r="B253" s="16">
        <f>IF($A253="","",COUNTIF(tblAnahtarB[NormB],$A253))</f>
        <v/>
      </c>
      <c r="C253" s="16">
        <f>IF($A253="","",SUMIF(tblAnahtarB[NormB],$A253,tblVeriB[BeyanTutar]))</f>
        <v/>
      </c>
      <c r="D253" s="16">
        <f>IF($A253="","",SUMIF(tblAnahtarA[Norm],$A253,tblVeriA[Tutar]))</f>
        <v/>
      </c>
      <c r="E253" s="16">
        <f>IF($A253="","",ROUND($D253,2)-ROUND($C253,2))</f>
        <v/>
      </c>
      <c r="F253" s="16">
        <f>IF($A253="","",ABS($E253))</f>
        <v/>
      </c>
      <c r="G253" s="16">
        <f>IF($A253="","",IF($B253=0,"eslesmedi",IF(ROUND($D253,2)=ROUND($C253,2),"eslesti",IF(ABS(ROUND($D253,2)-ROUND($C253,2))&lt;=toleransKurus,"tolerans_icinde","tutar_farki"))))</f>
        <v/>
      </c>
      <c r="H253" s="16">
        <f>IF($A253="","",IF($B253&gt;0,"BIRINCIL",IF(COUNTIF(tblAnahtarB[IkincilB],'ANAHTAR'!$D253)&gt;0,"IKINCIL","YOK")))</f>
        <v/>
      </c>
      <c r="I253" s="16">
        <f>IF($A253="","",'ANAHTAR'!$F253)</f>
        <v/>
      </c>
      <c r="J253" s="16">
        <f>IF(OR($A253="",$D253=0),0,$F253/ABS($D253))</f>
        <v/>
      </c>
      <c r="K253" s="16">
        <f>IF($A253="","",ROUND($D253,2))</f>
        <v/>
      </c>
      <c r="L253" s="16">
        <f>IF($A253="","",ROUND($C253,2))</f>
        <v/>
      </c>
      <c r="M253" s="16">
        <f>IF($A253="","",IF($F253&lt;=toleransKurus,1,0))</f>
        <v/>
      </c>
      <c r="N253" s="16">
        <f>IF($A253="","",IF($F253&gt;cbb_esikFark,1,0))</f>
        <v/>
      </c>
      <c r="O253" s="16">
        <f>IF($A253="","",IF($G253="eslesti",$D253,0))</f>
        <v/>
      </c>
      <c r="P253" s="16">
        <f>IF($A253="","",$B253+$M253+$N253)</f>
        <v/>
      </c>
    </row>
    <row r="254">
      <c r="A254" s="16">
        <f>IF('ANAHTAR'!$B254="","",'ANAHTAR'!$B254)</f>
        <v/>
      </c>
      <c r="B254" s="16">
        <f>IF($A254="","",COUNTIF(tblAnahtarB[NormB],$A254))</f>
        <v/>
      </c>
      <c r="C254" s="16">
        <f>IF($A254="","",SUMIF(tblAnahtarB[NormB],$A254,tblVeriB[BeyanTutar]))</f>
        <v/>
      </c>
      <c r="D254" s="16">
        <f>IF($A254="","",SUMIF(tblAnahtarA[Norm],$A254,tblVeriA[Tutar]))</f>
        <v/>
      </c>
      <c r="E254" s="16">
        <f>IF($A254="","",ROUND($D254,2)-ROUND($C254,2))</f>
        <v/>
      </c>
      <c r="F254" s="16">
        <f>IF($A254="","",ABS($E254))</f>
        <v/>
      </c>
      <c r="G254" s="16">
        <f>IF($A254="","",IF($B254=0,"eslesmedi",IF(ROUND($D254,2)=ROUND($C254,2),"eslesti",IF(ABS(ROUND($D254,2)-ROUND($C254,2))&lt;=toleransKurus,"tolerans_icinde","tutar_farki"))))</f>
        <v/>
      </c>
      <c r="H254" s="16">
        <f>IF($A254="","",IF($B254&gt;0,"BIRINCIL",IF(COUNTIF(tblAnahtarB[IkincilB],'ANAHTAR'!$D254)&gt;0,"IKINCIL","YOK")))</f>
        <v/>
      </c>
      <c r="I254" s="16">
        <f>IF($A254="","",'ANAHTAR'!$F254)</f>
        <v/>
      </c>
      <c r="J254" s="16">
        <f>IF(OR($A254="",$D254=0),0,$F254/ABS($D254))</f>
        <v/>
      </c>
      <c r="K254" s="16">
        <f>IF($A254="","",ROUND($D254,2))</f>
        <v/>
      </c>
      <c r="L254" s="16">
        <f>IF($A254="","",ROUND($C254,2))</f>
        <v/>
      </c>
      <c r="M254" s="16">
        <f>IF($A254="","",IF($F254&lt;=toleransKurus,1,0))</f>
        <v/>
      </c>
      <c r="N254" s="16">
        <f>IF($A254="","",IF($F254&gt;cbb_esikFark,1,0))</f>
        <v/>
      </c>
      <c r="O254" s="16">
        <f>IF($A254="","",IF($G254="eslesti",$D254,0))</f>
        <v/>
      </c>
      <c r="P254" s="16">
        <f>IF($A254="","",$B254+$M254+$N254)</f>
        <v/>
      </c>
    </row>
    <row r="255">
      <c r="A255" s="16">
        <f>IF('ANAHTAR'!$B255="","",'ANAHTAR'!$B255)</f>
        <v/>
      </c>
      <c r="B255" s="16">
        <f>IF($A255="","",COUNTIF(tblAnahtarB[NormB],$A255))</f>
        <v/>
      </c>
      <c r="C255" s="16">
        <f>IF($A255="","",SUMIF(tblAnahtarB[NormB],$A255,tblVeriB[BeyanTutar]))</f>
        <v/>
      </c>
      <c r="D255" s="16">
        <f>IF($A255="","",SUMIF(tblAnahtarA[Norm],$A255,tblVeriA[Tutar]))</f>
        <v/>
      </c>
      <c r="E255" s="16">
        <f>IF($A255="","",ROUND($D255,2)-ROUND($C255,2))</f>
        <v/>
      </c>
      <c r="F255" s="16">
        <f>IF($A255="","",ABS($E255))</f>
        <v/>
      </c>
      <c r="G255" s="16">
        <f>IF($A255="","",IF($B255=0,"eslesmedi",IF(ROUND($D255,2)=ROUND($C255,2),"eslesti",IF(ABS(ROUND($D255,2)-ROUND($C255,2))&lt;=toleransKurus,"tolerans_icinde","tutar_farki"))))</f>
        <v/>
      </c>
      <c r="H255" s="16">
        <f>IF($A255="","",IF($B255&gt;0,"BIRINCIL",IF(COUNTIF(tblAnahtarB[IkincilB],'ANAHTAR'!$D255)&gt;0,"IKINCIL","YOK")))</f>
        <v/>
      </c>
      <c r="I255" s="16">
        <f>IF($A255="","",'ANAHTAR'!$F255)</f>
        <v/>
      </c>
      <c r="J255" s="16">
        <f>IF(OR($A255="",$D255=0),0,$F255/ABS($D255))</f>
        <v/>
      </c>
      <c r="K255" s="16">
        <f>IF($A255="","",ROUND($D255,2))</f>
        <v/>
      </c>
      <c r="L255" s="16">
        <f>IF($A255="","",ROUND($C255,2))</f>
        <v/>
      </c>
      <c r="M255" s="16">
        <f>IF($A255="","",IF($F255&lt;=toleransKurus,1,0))</f>
        <v/>
      </c>
      <c r="N255" s="16">
        <f>IF($A255="","",IF($F255&gt;cbb_esikFark,1,0))</f>
        <v/>
      </c>
      <c r="O255" s="16">
        <f>IF($A255="","",IF($G255="eslesti",$D255,0))</f>
        <v/>
      </c>
      <c r="P255" s="16">
        <f>IF($A255="","",$B255+$M255+$N255)</f>
        <v/>
      </c>
    </row>
    <row r="256">
      <c r="A256" s="16">
        <f>IF('ANAHTAR'!$B256="","",'ANAHTAR'!$B256)</f>
        <v/>
      </c>
      <c r="B256" s="16">
        <f>IF($A256="","",COUNTIF(tblAnahtarB[NormB],$A256))</f>
        <v/>
      </c>
      <c r="C256" s="16">
        <f>IF($A256="","",SUMIF(tblAnahtarB[NormB],$A256,tblVeriB[BeyanTutar]))</f>
        <v/>
      </c>
      <c r="D256" s="16">
        <f>IF($A256="","",SUMIF(tblAnahtarA[Norm],$A256,tblVeriA[Tutar]))</f>
        <v/>
      </c>
      <c r="E256" s="16">
        <f>IF($A256="","",ROUND($D256,2)-ROUND($C256,2))</f>
        <v/>
      </c>
      <c r="F256" s="16">
        <f>IF($A256="","",ABS($E256))</f>
        <v/>
      </c>
      <c r="G256" s="16">
        <f>IF($A256="","",IF($B256=0,"eslesmedi",IF(ROUND($D256,2)=ROUND($C256,2),"eslesti",IF(ABS(ROUND($D256,2)-ROUND($C256,2))&lt;=toleransKurus,"tolerans_icinde","tutar_farki"))))</f>
        <v/>
      </c>
      <c r="H256" s="16">
        <f>IF($A256="","",IF($B256&gt;0,"BIRINCIL",IF(COUNTIF(tblAnahtarB[IkincilB],'ANAHTAR'!$D256)&gt;0,"IKINCIL","YOK")))</f>
        <v/>
      </c>
      <c r="I256" s="16">
        <f>IF($A256="","",'ANAHTAR'!$F256)</f>
        <v/>
      </c>
      <c r="J256" s="16">
        <f>IF(OR($A256="",$D256=0),0,$F256/ABS($D256))</f>
        <v/>
      </c>
      <c r="K256" s="16">
        <f>IF($A256="","",ROUND($D256,2))</f>
        <v/>
      </c>
      <c r="L256" s="16">
        <f>IF($A256="","",ROUND($C256,2))</f>
        <v/>
      </c>
      <c r="M256" s="16">
        <f>IF($A256="","",IF($F256&lt;=toleransKurus,1,0))</f>
        <v/>
      </c>
      <c r="N256" s="16">
        <f>IF($A256="","",IF($F256&gt;cbb_esikFark,1,0))</f>
        <v/>
      </c>
      <c r="O256" s="16">
        <f>IF($A256="","",IF($G256="eslesti",$D256,0))</f>
        <v/>
      </c>
      <c r="P256" s="16">
        <f>IF($A256="","",$B256+$M256+$N256)</f>
        <v/>
      </c>
    </row>
    <row r="257">
      <c r="A257" s="16">
        <f>IF('ANAHTAR'!$B257="","",'ANAHTAR'!$B257)</f>
        <v/>
      </c>
      <c r="B257" s="16">
        <f>IF($A257="","",COUNTIF(tblAnahtarB[NormB],$A257))</f>
        <v/>
      </c>
      <c r="C257" s="16">
        <f>IF($A257="","",SUMIF(tblAnahtarB[NormB],$A257,tblVeriB[BeyanTutar]))</f>
        <v/>
      </c>
      <c r="D257" s="16">
        <f>IF($A257="","",SUMIF(tblAnahtarA[Norm],$A257,tblVeriA[Tutar]))</f>
        <v/>
      </c>
      <c r="E257" s="16">
        <f>IF($A257="","",ROUND($D257,2)-ROUND($C257,2))</f>
        <v/>
      </c>
      <c r="F257" s="16">
        <f>IF($A257="","",ABS($E257))</f>
        <v/>
      </c>
      <c r="G257" s="16">
        <f>IF($A257="","",IF($B257=0,"eslesmedi",IF(ROUND($D257,2)=ROUND($C257,2),"eslesti",IF(ABS(ROUND($D257,2)-ROUND($C257,2))&lt;=toleransKurus,"tolerans_icinde","tutar_farki"))))</f>
        <v/>
      </c>
      <c r="H257" s="16">
        <f>IF($A257="","",IF($B257&gt;0,"BIRINCIL",IF(COUNTIF(tblAnahtarB[IkincilB],'ANAHTAR'!$D257)&gt;0,"IKINCIL","YOK")))</f>
        <v/>
      </c>
      <c r="I257" s="16">
        <f>IF($A257="","",'ANAHTAR'!$F257)</f>
        <v/>
      </c>
      <c r="J257" s="16">
        <f>IF(OR($A257="",$D257=0),0,$F257/ABS($D257))</f>
        <v/>
      </c>
      <c r="K257" s="16">
        <f>IF($A257="","",ROUND($D257,2))</f>
        <v/>
      </c>
      <c r="L257" s="16">
        <f>IF($A257="","",ROUND($C257,2))</f>
        <v/>
      </c>
      <c r="M257" s="16">
        <f>IF($A257="","",IF($F257&lt;=toleransKurus,1,0))</f>
        <v/>
      </c>
      <c r="N257" s="16">
        <f>IF($A257="","",IF($F257&gt;cbb_esikFark,1,0))</f>
        <v/>
      </c>
      <c r="O257" s="16">
        <f>IF($A257="","",IF($G257="eslesti",$D257,0))</f>
        <v/>
      </c>
      <c r="P257" s="16">
        <f>IF($A257="","",$B257+$M257+$N257)</f>
        <v/>
      </c>
    </row>
    <row r="258">
      <c r="A258" s="16">
        <f>IF('ANAHTAR'!$B258="","",'ANAHTAR'!$B258)</f>
        <v/>
      </c>
      <c r="B258" s="16">
        <f>IF($A258="","",COUNTIF(tblAnahtarB[NormB],$A258))</f>
        <v/>
      </c>
      <c r="C258" s="16">
        <f>IF($A258="","",SUMIF(tblAnahtarB[NormB],$A258,tblVeriB[BeyanTutar]))</f>
        <v/>
      </c>
      <c r="D258" s="16">
        <f>IF($A258="","",SUMIF(tblAnahtarA[Norm],$A258,tblVeriA[Tutar]))</f>
        <v/>
      </c>
      <c r="E258" s="16">
        <f>IF($A258="","",ROUND($D258,2)-ROUND($C258,2))</f>
        <v/>
      </c>
      <c r="F258" s="16">
        <f>IF($A258="","",ABS($E258))</f>
        <v/>
      </c>
      <c r="G258" s="16">
        <f>IF($A258="","",IF($B258=0,"eslesmedi",IF(ROUND($D258,2)=ROUND($C258,2),"eslesti",IF(ABS(ROUND($D258,2)-ROUND($C258,2))&lt;=toleransKurus,"tolerans_icinde","tutar_farki"))))</f>
        <v/>
      </c>
      <c r="H258" s="16">
        <f>IF($A258="","",IF($B258&gt;0,"BIRINCIL",IF(COUNTIF(tblAnahtarB[IkincilB],'ANAHTAR'!$D258)&gt;0,"IKINCIL","YOK")))</f>
        <v/>
      </c>
      <c r="I258" s="16">
        <f>IF($A258="","",'ANAHTAR'!$F258)</f>
        <v/>
      </c>
      <c r="J258" s="16">
        <f>IF(OR($A258="",$D258=0),0,$F258/ABS($D258))</f>
        <v/>
      </c>
      <c r="K258" s="16">
        <f>IF($A258="","",ROUND($D258,2))</f>
        <v/>
      </c>
      <c r="L258" s="16">
        <f>IF($A258="","",ROUND($C258,2))</f>
        <v/>
      </c>
      <c r="M258" s="16">
        <f>IF($A258="","",IF($F258&lt;=toleransKurus,1,0))</f>
        <v/>
      </c>
      <c r="N258" s="16">
        <f>IF($A258="","",IF($F258&gt;cbb_esikFark,1,0))</f>
        <v/>
      </c>
      <c r="O258" s="16">
        <f>IF($A258="","",IF($G258="eslesti",$D258,0))</f>
        <v/>
      </c>
      <c r="P258" s="16">
        <f>IF($A258="","",$B258+$M258+$N258)</f>
        <v/>
      </c>
    </row>
    <row r="259">
      <c r="A259" s="16">
        <f>IF('ANAHTAR'!$B259="","",'ANAHTAR'!$B259)</f>
        <v/>
      </c>
      <c r="B259" s="16">
        <f>IF($A259="","",COUNTIF(tblAnahtarB[NormB],$A259))</f>
        <v/>
      </c>
      <c r="C259" s="16">
        <f>IF($A259="","",SUMIF(tblAnahtarB[NormB],$A259,tblVeriB[BeyanTutar]))</f>
        <v/>
      </c>
      <c r="D259" s="16">
        <f>IF($A259="","",SUMIF(tblAnahtarA[Norm],$A259,tblVeriA[Tutar]))</f>
        <v/>
      </c>
      <c r="E259" s="16">
        <f>IF($A259="","",ROUND($D259,2)-ROUND($C259,2))</f>
        <v/>
      </c>
      <c r="F259" s="16">
        <f>IF($A259="","",ABS($E259))</f>
        <v/>
      </c>
      <c r="G259" s="16">
        <f>IF($A259="","",IF($B259=0,"eslesmedi",IF(ROUND($D259,2)=ROUND($C259,2),"eslesti",IF(ABS(ROUND($D259,2)-ROUND($C259,2))&lt;=toleransKurus,"tolerans_icinde","tutar_farki"))))</f>
        <v/>
      </c>
      <c r="H259" s="16">
        <f>IF($A259="","",IF($B259&gt;0,"BIRINCIL",IF(COUNTIF(tblAnahtarB[IkincilB],'ANAHTAR'!$D259)&gt;0,"IKINCIL","YOK")))</f>
        <v/>
      </c>
      <c r="I259" s="16">
        <f>IF($A259="","",'ANAHTAR'!$F259)</f>
        <v/>
      </c>
      <c r="J259" s="16">
        <f>IF(OR($A259="",$D259=0),0,$F259/ABS($D259))</f>
        <v/>
      </c>
      <c r="K259" s="16">
        <f>IF($A259="","",ROUND($D259,2))</f>
        <v/>
      </c>
      <c r="L259" s="16">
        <f>IF($A259="","",ROUND($C259,2))</f>
        <v/>
      </c>
      <c r="M259" s="16">
        <f>IF($A259="","",IF($F259&lt;=toleransKurus,1,0))</f>
        <v/>
      </c>
      <c r="N259" s="16">
        <f>IF($A259="","",IF($F259&gt;cbb_esikFark,1,0))</f>
        <v/>
      </c>
      <c r="O259" s="16">
        <f>IF($A259="","",IF($G259="eslesti",$D259,0))</f>
        <v/>
      </c>
      <c r="P259" s="16">
        <f>IF($A259="","",$B259+$M259+$N259)</f>
        <v/>
      </c>
    </row>
    <row r="260">
      <c r="A260" s="16">
        <f>IF('ANAHTAR'!$B260="","",'ANAHTAR'!$B260)</f>
        <v/>
      </c>
      <c r="B260" s="16">
        <f>IF($A260="","",COUNTIF(tblAnahtarB[NormB],$A260))</f>
        <v/>
      </c>
      <c r="C260" s="16">
        <f>IF($A260="","",SUMIF(tblAnahtarB[NormB],$A260,tblVeriB[BeyanTutar]))</f>
        <v/>
      </c>
      <c r="D260" s="16">
        <f>IF($A260="","",SUMIF(tblAnahtarA[Norm],$A260,tblVeriA[Tutar]))</f>
        <v/>
      </c>
      <c r="E260" s="16">
        <f>IF($A260="","",ROUND($D260,2)-ROUND($C260,2))</f>
        <v/>
      </c>
      <c r="F260" s="16">
        <f>IF($A260="","",ABS($E260))</f>
        <v/>
      </c>
      <c r="G260" s="16">
        <f>IF($A260="","",IF($B260=0,"eslesmedi",IF(ROUND($D260,2)=ROUND($C260,2),"eslesti",IF(ABS(ROUND($D260,2)-ROUND($C260,2))&lt;=toleransKurus,"tolerans_icinde","tutar_farki"))))</f>
        <v/>
      </c>
      <c r="H260" s="16">
        <f>IF($A260="","",IF($B260&gt;0,"BIRINCIL",IF(COUNTIF(tblAnahtarB[IkincilB],'ANAHTAR'!$D260)&gt;0,"IKINCIL","YOK")))</f>
        <v/>
      </c>
      <c r="I260" s="16">
        <f>IF($A260="","",'ANAHTAR'!$F260)</f>
        <v/>
      </c>
      <c r="J260" s="16">
        <f>IF(OR($A260="",$D260=0),0,$F260/ABS($D260))</f>
        <v/>
      </c>
      <c r="K260" s="16">
        <f>IF($A260="","",ROUND($D260,2))</f>
        <v/>
      </c>
      <c r="L260" s="16">
        <f>IF($A260="","",ROUND($C260,2))</f>
        <v/>
      </c>
      <c r="M260" s="16">
        <f>IF($A260="","",IF($F260&lt;=toleransKurus,1,0))</f>
        <v/>
      </c>
      <c r="N260" s="16">
        <f>IF($A260="","",IF($F260&gt;cbb_esikFark,1,0))</f>
        <v/>
      </c>
      <c r="O260" s="16">
        <f>IF($A260="","",IF($G260="eslesti",$D260,0))</f>
        <v/>
      </c>
      <c r="P260" s="16">
        <f>IF($A260="","",$B260+$M260+$N260)</f>
        <v/>
      </c>
    </row>
    <row r="261">
      <c r="A261" s="16">
        <f>IF('ANAHTAR'!$B261="","",'ANAHTAR'!$B261)</f>
        <v/>
      </c>
      <c r="B261" s="16">
        <f>IF($A261="","",COUNTIF(tblAnahtarB[NormB],$A261))</f>
        <v/>
      </c>
      <c r="C261" s="16">
        <f>IF($A261="","",SUMIF(tblAnahtarB[NormB],$A261,tblVeriB[BeyanTutar]))</f>
        <v/>
      </c>
      <c r="D261" s="16">
        <f>IF($A261="","",SUMIF(tblAnahtarA[Norm],$A261,tblVeriA[Tutar]))</f>
        <v/>
      </c>
      <c r="E261" s="16">
        <f>IF($A261="","",ROUND($D261,2)-ROUND($C261,2))</f>
        <v/>
      </c>
      <c r="F261" s="16">
        <f>IF($A261="","",ABS($E261))</f>
        <v/>
      </c>
      <c r="G261" s="16">
        <f>IF($A261="","",IF($B261=0,"eslesmedi",IF(ROUND($D261,2)=ROUND($C261,2),"eslesti",IF(ABS(ROUND($D261,2)-ROUND($C261,2))&lt;=toleransKurus,"tolerans_icinde","tutar_farki"))))</f>
        <v/>
      </c>
      <c r="H261" s="16">
        <f>IF($A261="","",IF($B261&gt;0,"BIRINCIL",IF(COUNTIF(tblAnahtarB[IkincilB],'ANAHTAR'!$D261)&gt;0,"IKINCIL","YOK")))</f>
        <v/>
      </c>
      <c r="I261" s="16">
        <f>IF($A261="","",'ANAHTAR'!$F261)</f>
        <v/>
      </c>
      <c r="J261" s="16">
        <f>IF(OR($A261="",$D261=0),0,$F261/ABS($D261))</f>
        <v/>
      </c>
      <c r="K261" s="16">
        <f>IF($A261="","",ROUND($D261,2))</f>
        <v/>
      </c>
      <c r="L261" s="16">
        <f>IF($A261="","",ROUND($C261,2))</f>
        <v/>
      </c>
      <c r="M261" s="16">
        <f>IF($A261="","",IF($F261&lt;=toleransKurus,1,0))</f>
        <v/>
      </c>
      <c r="N261" s="16">
        <f>IF($A261="","",IF($F261&gt;cbb_esikFark,1,0))</f>
        <v/>
      </c>
      <c r="O261" s="16">
        <f>IF($A261="","",IF($G261="eslesti",$D261,0))</f>
        <v/>
      </c>
      <c r="P261" s="16">
        <f>IF($A261="","",$B261+$M261+$N261)</f>
        <v/>
      </c>
    </row>
    <row r="262">
      <c r="A262" s="16">
        <f>IF('ANAHTAR'!$B262="","",'ANAHTAR'!$B262)</f>
        <v/>
      </c>
      <c r="B262" s="16">
        <f>IF($A262="","",COUNTIF(tblAnahtarB[NormB],$A262))</f>
        <v/>
      </c>
      <c r="C262" s="16">
        <f>IF($A262="","",SUMIF(tblAnahtarB[NormB],$A262,tblVeriB[BeyanTutar]))</f>
        <v/>
      </c>
      <c r="D262" s="16">
        <f>IF($A262="","",SUMIF(tblAnahtarA[Norm],$A262,tblVeriA[Tutar]))</f>
        <v/>
      </c>
      <c r="E262" s="16">
        <f>IF($A262="","",ROUND($D262,2)-ROUND($C262,2))</f>
        <v/>
      </c>
      <c r="F262" s="16">
        <f>IF($A262="","",ABS($E262))</f>
        <v/>
      </c>
      <c r="G262" s="16">
        <f>IF($A262="","",IF($B262=0,"eslesmedi",IF(ROUND($D262,2)=ROUND($C262,2),"eslesti",IF(ABS(ROUND($D262,2)-ROUND($C262,2))&lt;=toleransKurus,"tolerans_icinde","tutar_farki"))))</f>
        <v/>
      </c>
      <c r="H262" s="16">
        <f>IF($A262="","",IF($B262&gt;0,"BIRINCIL",IF(COUNTIF(tblAnahtarB[IkincilB],'ANAHTAR'!$D262)&gt;0,"IKINCIL","YOK")))</f>
        <v/>
      </c>
      <c r="I262" s="16">
        <f>IF($A262="","",'ANAHTAR'!$F262)</f>
        <v/>
      </c>
      <c r="J262" s="16">
        <f>IF(OR($A262="",$D262=0),0,$F262/ABS($D262))</f>
        <v/>
      </c>
      <c r="K262" s="16">
        <f>IF($A262="","",ROUND($D262,2))</f>
        <v/>
      </c>
      <c r="L262" s="16">
        <f>IF($A262="","",ROUND($C262,2))</f>
        <v/>
      </c>
      <c r="M262" s="16">
        <f>IF($A262="","",IF($F262&lt;=toleransKurus,1,0))</f>
        <v/>
      </c>
      <c r="N262" s="16">
        <f>IF($A262="","",IF($F262&gt;cbb_esikFark,1,0))</f>
        <v/>
      </c>
      <c r="O262" s="16">
        <f>IF($A262="","",IF($G262="eslesti",$D262,0))</f>
        <v/>
      </c>
      <c r="P262" s="16">
        <f>IF($A262="","",$B262+$M262+$N262)</f>
        <v/>
      </c>
    </row>
    <row r="263">
      <c r="A263" s="16">
        <f>IF('ANAHTAR'!$B263="","",'ANAHTAR'!$B263)</f>
        <v/>
      </c>
      <c r="B263" s="16">
        <f>IF($A263="","",COUNTIF(tblAnahtarB[NormB],$A263))</f>
        <v/>
      </c>
      <c r="C263" s="16">
        <f>IF($A263="","",SUMIF(tblAnahtarB[NormB],$A263,tblVeriB[BeyanTutar]))</f>
        <v/>
      </c>
      <c r="D263" s="16">
        <f>IF($A263="","",SUMIF(tblAnahtarA[Norm],$A263,tblVeriA[Tutar]))</f>
        <v/>
      </c>
      <c r="E263" s="16">
        <f>IF($A263="","",ROUND($D263,2)-ROUND($C263,2))</f>
        <v/>
      </c>
      <c r="F263" s="16">
        <f>IF($A263="","",ABS($E263))</f>
        <v/>
      </c>
      <c r="G263" s="16">
        <f>IF($A263="","",IF($B263=0,"eslesmedi",IF(ROUND($D263,2)=ROUND($C263,2),"eslesti",IF(ABS(ROUND($D263,2)-ROUND($C263,2))&lt;=toleransKurus,"tolerans_icinde","tutar_farki"))))</f>
        <v/>
      </c>
      <c r="H263" s="16">
        <f>IF($A263="","",IF($B263&gt;0,"BIRINCIL",IF(COUNTIF(tblAnahtarB[IkincilB],'ANAHTAR'!$D263)&gt;0,"IKINCIL","YOK")))</f>
        <v/>
      </c>
      <c r="I263" s="16">
        <f>IF($A263="","",'ANAHTAR'!$F263)</f>
        <v/>
      </c>
      <c r="J263" s="16">
        <f>IF(OR($A263="",$D263=0),0,$F263/ABS($D263))</f>
        <v/>
      </c>
      <c r="K263" s="16">
        <f>IF($A263="","",ROUND($D263,2))</f>
        <v/>
      </c>
      <c r="L263" s="16">
        <f>IF($A263="","",ROUND($C263,2))</f>
        <v/>
      </c>
      <c r="M263" s="16">
        <f>IF($A263="","",IF($F263&lt;=toleransKurus,1,0))</f>
        <v/>
      </c>
      <c r="N263" s="16">
        <f>IF($A263="","",IF($F263&gt;cbb_esikFark,1,0))</f>
        <v/>
      </c>
      <c r="O263" s="16">
        <f>IF($A263="","",IF($G263="eslesti",$D263,0))</f>
        <v/>
      </c>
      <c r="P263" s="16">
        <f>IF($A263="","",$B263+$M263+$N263)</f>
        <v/>
      </c>
    </row>
    <row r="264">
      <c r="A264" s="16">
        <f>IF('ANAHTAR'!$B264="","",'ANAHTAR'!$B264)</f>
        <v/>
      </c>
      <c r="B264" s="16">
        <f>IF($A264="","",COUNTIF(tblAnahtarB[NormB],$A264))</f>
        <v/>
      </c>
      <c r="C264" s="16">
        <f>IF($A264="","",SUMIF(tblAnahtarB[NormB],$A264,tblVeriB[BeyanTutar]))</f>
        <v/>
      </c>
      <c r="D264" s="16">
        <f>IF($A264="","",SUMIF(tblAnahtarA[Norm],$A264,tblVeriA[Tutar]))</f>
        <v/>
      </c>
      <c r="E264" s="16">
        <f>IF($A264="","",ROUND($D264,2)-ROUND($C264,2))</f>
        <v/>
      </c>
      <c r="F264" s="16">
        <f>IF($A264="","",ABS($E264))</f>
        <v/>
      </c>
      <c r="G264" s="16">
        <f>IF($A264="","",IF($B264=0,"eslesmedi",IF(ROUND($D264,2)=ROUND($C264,2),"eslesti",IF(ABS(ROUND($D264,2)-ROUND($C264,2))&lt;=toleransKurus,"tolerans_icinde","tutar_farki"))))</f>
        <v/>
      </c>
      <c r="H264" s="16">
        <f>IF($A264="","",IF($B264&gt;0,"BIRINCIL",IF(COUNTIF(tblAnahtarB[IkincilB],'ANAHTAR'!$D264)&gt;0,"IKINCIL","YOK")))</f>
        <v/>
      </c>
      <c r="I264" s="16">
        <f>IF($A264="","",'ANAHTAR'!$F264)</f>
        <v/>
      </c>
      <c r="J264" s="16">
        <f>IF(OR($A264="",$D264=0),0,$F264/ABS($D264))</f>
        <v/>
      </c>
      <c r="K264" s="16">
        <f>IF($A264="","",ROUND($D264,2))</f>
        <v/>
      </c>
      <c r="L264" s="16">
        <f>IF($A264="","",ROUND($C264,2))</f>
        <v/>
      </c>
      <c r="M264" s="16">
        <f>IF($A264="","",IF($F264&lt;=toleransKurus,1,0))</f>
        <v/>
      </c>
      <c r="N264" s="16">
        <f>IF($A264="","",IF($F264&gt;cbb_esikFark,1,0))</f>
        <v/>
      </c>
      <c r="O264" s="16">
        <f>IF($A264="","",IF($G264="eslesti",$D264,0))</f>
        <v/>
      </c>
      <c r="P264" s="16">
        <f>IF($A264="","",$B264+$M264+$N264)</f>
        <v/>
      </c>
    </row>
    <row r="265">
      <c r="A265" s="16">
        <f>IF('ANAHTAR'!$B265="","",'ANAHTAR'!$B265)</f>
        <v/>
      </c>
      <c r="B265" s="16">
        <f>IF($A265="","",COUNTIF(tblAnahtarB[NormB],$A265))</f>
        <v/>
      </c>
      <c r="C265" s="16">
        <f>IF($A265="","",SUMIF(tblAnahtarB[NormB],$A265,tblVeriB[BeyanTutar]))</f>
        <v/>
      </c>
      <c r="D265" s="16">
        <f>IF($A265="","",SUMIF(tblAnahtarA[Norm],$A265,tblVeriA[Tutar]))</f>
        <v/>
      </c>
      <c r="E265" s="16">
        <f>IF($A265="","",ROUND($D265,2)-ROUND($C265,2))</f>
        <v/>
      </c>
      <c r="F265" s="16">
        <f>IF($A265="","",ABS($E265))</f>
        <v/>
      </c>
      <c r="G265" s="16">
        <f>IF($A265="","",IF($B265=0,"eslesmedi",IF(ROUND($D265,2)=ROUND($C265,2),"eslesti",IF(ABS(ROUND($D265,2)-ROUND($C265,2))&lt;=toleransKurus,"tolerans_icinde","tutar_farki"))))</f>
        <v/>
      </c>
      <c r="H265" s="16">
        <f>IF($A265="","",IF($B265&gt;0,"BIRINCIL",IF(COUNTIF(tblAnahtarB[IkincilB],'ANAHTAR'!$D265)&gt;0,"IKINCIL","YOK")))</f>
        <v/>
      </c>
      <c r="I265" s="16">
        <f>IF($A265="","",'ANAHTAR'!$F265)</f>
        <v/>
      </c>
      <c r="J265" s="16">
        <f>IF(OR($A265="",$D265=0),0,$F265/ABS($D265))</f>
        <v/>
      </c>
      <c r="K265" s="16">
        <f>IF($A265="","",ROUND($D265,2))</f>
        <v/>
      </c>
      <c r="L265" s="16">
        <f>IF($A265="","",ROUND($C265,2))</f>
        <v/>
      </c>
      <c r="M265" s="16">
        <f>IF($A265="","",IF($F265&lt;=toleransKurus,1,0))</f>
        <v/>
      </c>
      <c r="N265" s="16">
        <f>IF($A265="","",IF($F265&gt;cbb_esikFark,1,0))</f>
        <v/>
      </c>
      <c r="O265" s="16">
        <f>IF($A265="","",IF($G265="eslesti",$D265,0))</f>
        <v/>
      </c>
      <c r="P265" s="16">
        <f>IF($A265="","",$B265+$M265+$N265)</f>
        <v/>
      </c>
    </row>
    <row r="266">
      <c r="A266" s="16">
        <f>IF('ANAHTAR'!$B266="","",'ANAHTAR'!$B266)</f>
        <v/>
      </c>
      <c r="B266" s="16">
        <f>IF($A266="","",COUNTIF(tblAnahtarB[NormB],$A266))</f>
        <v/>
      </c>
      <c r="C266" s="16">
        <f>IF($A266="","",SUMIF(tblAnahtarB[NormB],$A266,tblVeriB[BeyanTutar]))</f>
        <v/>
      </c>
      <c r="D266" s="16">
        <f>IF($A266="","",SUMIF(tblAnahtarA[Norm],$A266,tblVeriA[Tutar]))</f>
        <v/>
      </c>
      <c r="E266" s="16">
        <f>IF($A266="","",ROUND($D266,2)-ROUND($C266,2))</f>
        <v/>
      </c>
      <c r="F266" s="16">
        <f>IF($A266="","",ABS($E266))</f>
        <v/>
      </c>
      <c r="G266" s="16">
        <f>IF($A266="","",IF($B266=0,"eslesmedi",IF(ROUND($D266,2)=ROUND($C266,2),"eslesti",IF(ABS(ROUND($D266,2)-ROUND($C266,2))&lt;=toleransKurus,"tolerans_icinde","tutar_farki"))))</f>
        <v/>
      </c>
      <c r="H266" s="16">
        <f>IF($A266="","",IF($B266&gt;0,"BIRINCIL",IF(COUNTIF(tblAnahtarB[IkincilB],'ANAHTAR'!$D266)&gt;0,"IKINCIL","YOK")))</f>
        <v/>
      </c>
      <c r="I266" s="16">
        <f>IF($A266="","",'ANAHTAR'!$F266)</f>
        <v/>
      </c>
      <c r="J266" s="16">
        <f>IF(OR($A266="",$D266=0),0,$F266/ABS($D266))</f>
        <v/>
      </c>
      <c r="K266" s="16">
        <f>IF($A266="","",ROUND($D266,2))</f>
        <v/>
      </c>
      <c r="L266" s="16">
        <f>IF($A266="","",ROUND($C266,2))</f>
        <v/>
      </c>
      <c r="M266" s="16">
        <f>IF($A266="","",IF($F266&lt;=toleransKurus,1,0))</f>
        <v/>
      </c>
      <c r="N266" s="16">
        <f>IF($A266="","",IF($F266&gt;cbb_esikFark,1,0))</f>
        <v/>
      </c>
      <c r="O266" s="16">
        <f>IF($A266="","",IF($G266="eslesti",$D266,0))</f>
        <v/>
      </c>
      <c r="P266" s="16">
        <f>IF($A266="","",$B266+$M266+$N266)</f>
        <v/>
      </c>
    </row>
    <row r="267">
      <c r="A267" s="16">
        <f>IF('ANAHTAR'!$B267="","",'ANAHTAR'!$B267)</f>
        <v/>
      </c>
      <c r="B267" s="16">
        <f>IF($A267="","",COUNTIF(tblAnahtarB[NormB],$A267))</f>
        <v/>
      </c>
      <c r="C267" s="16">
        <f>IF($A267="","",SUMIF(tblAnahtarB[NormB],$A267,tblVeriB[BeyanTutar]))</f>
        <v/>
      </c>
      <c r="D267" s="16">
        <f>IF($A267="","",SUMIF(tblAnahtarA[Norm],$A267,tblVeriA[Tutar]))</f>
        <v/>
      </c>
      <c r="E267" s="16">
        <f>IF($A267="","",ROUND($D267,2)-ROUND($C267,2))</f>
        <v/>
      </c>
      <c r="F267" s="16">
        <f>IF($A267="","",ABS($E267))</f>
        <v/>
      </c>
      <c r="G267" s="16">
        <f>IF($A267="","",IF($B267=0,"eslesmedi",IF(ROUND($D267,2)=ROUND($C267,2),"eslesti",IF(ABS(ROUND($D267,2)-ROUND($C267,2))&lt;=toleransKurus,"tolerans_icinde","tutar_farki"))))</f>
        <v/>
      </c>
      <c r="H267" s="16">
        <f>IF($A267="","",IF($B267&gt;0,"BIRINCIL",IF(COUNTIF(tblAnahtarB[IkincilB],'ANAHTAR'!$D267)&gt;0,"IKINCIL","YOK")))</f>
        <v/>
      </c>
      <c r="I267" s="16">
        <f>IF($A267="","",'ANAHTAR'!$F267)</f>
        <v/>
      </c>
      <c r="J267" s="16">
        <f>IF(OR($A267="",$D267=0),0,$F267/ABS($D267))</f>
        <v/>
      </c>
      <c r="K267" s="16">
        <f>IF($A267="","",ROUND($D267,2))</f>
        <v/>
      </c>
      <c r="L267" s="16">
        <f>IF($A267="","",ROUND($C267,2))</f>
        <v/>
      </c>
      <c r="M267" s="16">
        <f>IF($A267="","",IF($F267&lt;=toleransKurus,1,0))</f>
        <v/>
      </c>
      <c r="N267" s="16">
        <f>IF($A267="","",IF($F267&gt;cbb_esikFark,1,0))</f>
        <v/>
      </c>
      <c r="O267" s="16">
        <f>IF($A267="","",IF($G267="eslesti",$D267,0))</f>
        <v/>
      </c>
      <c r="P267" s="16">
        <f>IF($A267="","",$B267+$M267+$N267)</f>
        <v/>
      </c>
    </row>
    <row r="268">
      <c r="A268" s="16">
        <f>IF('ANAHTAR'!$B268="","",'ANAHTAR'!$B268)</f>
        <v/>
      </c>
      <c r="B268" s="16">
        <f>IF($A268="","",COUNTIF(tblAnahtarB[NormB],$A268))</f>
        <v/>
      </c>
      <c r="C268" s="16">
        <f>IF($A268="","",SUMIF(tblAnahtarB[NormB],$A268,tblVeriB[BeyanTutar]))</f>
        <v/>
      </c>
      <c r="D268" s="16">
        <f>IF($A268="","",SUMIF(tblAnahtarA[Norm],$A268,tblVeriA[Tutar]))</f>
        <v/>
      </c>
      <c r="E268" s="16">
        <f>IF($A268="","",ROUND($D268,2)-ROUND($C268,2))</f>
        <v/>
      </c>
      <c r="F268" s="16">
        <f>IF($A268="","",ABS($E268))</f>
        <v/>
      </c>
      <c r="G268" s="16">
        <f>IF($A268="","",IF($B268=0,"eslesmedi",IF(ROUND($D268,2)=ROUND($C268,2),"eslesti",IF(ABS(ROUND($D268,2)-ROUND($C268,2))&lt;=toleransKurus,"tolerans_icinde","tutar_farki"))))</f>
        <v/>
      </c>
      <c r="H268" s="16">
        <f>IF($A268="","",IF($B268&gt;0,"BIRINCIL",IF(COUNTIF(tblAnahtarB[IkincilB],'ANAHTAR'!$D268)&gt;0,"IKINCIL","YOK")))</f>
        <v/>
      </c>
      <c r="I268" s="16">
        <f>IF($A268="","",'ANAHTAR'!$F268)</f>
        <v/>
      </c>
      <c r="J268" s="16">
        <f>IF(OR($A268="",$D268=0),0,$F268/ABS($D268))</f>
        <v/>
      </c>
      <c r="K268" s="16">
        <f>IF($A268="","",ROUND($D268,2))</f>
        <v/>
      </c>
      <c r="L268" s="16">
        <f>IF($A268="","",ROUND($C268,2))</f>
        <v/>
      </c>
      <c r="M268" s="16">
        <f>IF($A268="","",IF($F268&lt;=toleransKurus,1,0))</f>
        <v/>
      </c>
      <c r="N268" s="16">
        <f>IF($A268="","",IF($F268&gt;cbb_esikFark,1,0))</f>
        <v/>
      </c>
      <c r="O268" s="16">
        <f>IF($A268="","",IF($G268="eslesti",$D268,0))</f>
        <v/>
      </c>
      <c r="P268" s="16">
        <f>IF($A268="","",$B268+$M268+$N268)</f>
        <v/>
      </c>
    </row>
    <row r="269">
      <c r="A269" s="16">
        <f>IF('ANAHTAR'!$B269="","",'ANAHTAR'!$B269)</f>
        <v/>
      </c>
      <c r="B269" s="16">
        <f>IF($A269="","",COUNTIF(tblAnahtarB[NormB],$A269))</f>
        <v/>
      </c>
      <c r="C269" s="16">
        <f>IF($A269="","",SUMIF(tblAnahtarB[NormB],$A269,tblVeriB[BeyanTutar]))</f>
        <v/>
      </c>
      <c r="D269" s="16">
        <f>IF($A269="","",SUMIF(tblAnahtarA[Norm],$A269,tblVeriA[Tutar]))</f>
        <v/>
      </c>
      <c r="E269" s="16">
        <f>IF($A269="","",ROUND($D269,2)-ROUND($C269,2))</f>
        <v/>
      </c>
      <c r="F269" s="16">
        <f>IF($A269="","",ABS($E269))</f>
        <v/>
      </c>
      <c r="G269" s="16">
        <f>IF($A269="","",IF($B269=0,"eslesmedi",IF(ROUND($D269,2)=ROUND($C269,2),"eslesti",IF(ABS(ROUND($D269,2)-ROUND($C269,2))&lt;=toleransKurus,"tolerans_icinde","tutar_farki"))))</f>
        <v/>
      </c>
      <c r="H269" s="16">
        <f>IF($A269="","",IF($B269&gt;0,"BIRINCIL",IF(COUNTIF(tblAnahtarB[IkincilB],'ANAHTAR'!$D269)&gt;0,"IKINCIL","YOK")))</f>
        <v/>
      </c>
      <c r="I269" s="16">
        <f>IF($A269="","",'ANAHTAR'!$F269)</f>
        <v/>
      </c>
      <c r="J269" s="16">
        <f>IF(OR($A269="",$D269=0),0,$F269/ABS($D269))</f>
        <v/>
      </c>
      <c r="K269" s="16">
        <f>IF($A269="","",ROUND($D269,2))</f>
        <v/>
      </c>
      <c r="L269" s="16">
        <f>IF($A269="","",ROUND($C269,2))</f>
        <v/>
      </c>
      <c r="M269" s="16">
        <f>IF($A269="","",IF($F269&lt;=toleransKurus,1,0))</f>
        <v/>
      </c>
      <c r="N269" s="16">
        <f>IF($A269="","",IF($F269&gt;cbb_esikFark,1,0))</f>
        <v/>
      </c>
      <c r="O269" s="16">
        <f>IF($A269="","",IF($G269="eslesti",$D269,0))</f>
        <v/>
      </c>
      <c r="P269" s="16">
        <f>IF($A269="","",$B269+$M269+$N269)</f>
        <v/>
      </c>
    </row>
    <row r="270">
      <c r="A270" s="16">
        <f>IF('ANAHTAR'!$B270="","",'ANAHTAR'!$B270)</f>
        <v/>
      </c>
      <c r="B270" s="16">
        <f>IF($A270="","",COUNTIF(tblAnahtarB[NormB],$A270))</f>
        <v/>
      </c>
      <c r="C270" s="16">
        <f>IF($A270="","",SUMIF(tblAnahtarB[NormB],$A270,tblVeriB[BeyanTutar]))</f>
        <v/>
      </c>
      <c r="D270" s="16">
        <f>IF($A270="","",SUMIF(tblAnahtarA[Norm],$A270,tblVeriA[Tutar]))</f>
        <v/>
      </c>
      <c r="E270" s="16">
        <f>IF($A270="","",ROUND($D270,2)-ROUND($C270,2))</f>
        <v/>
      </c>
      <c r="F270" s="16">
        <f>IF($A270="","",ABS($E270))</f>
        <v/>
      </c>
      <c r="G270" s="16">
        <f>IF($A270="","",IF($B270=0,"eslesmedi",IF(ROUND($D270,2)=ROUND($C270,2),"eslesti",IF(ABS(ROUND($D270,2)-ROUND($C270,2))&lt;=toleransKurus,"tolerans_icinde","tutar_farki"))))</f>
        <v/>
      </c>
      <c r="H270" s="16">
        <f>IF($A270="","",IF($B270&gt;0,"BIRINCIL",IF(COUNTIF(tblAnahtarB[IkincilB],'ANAHTAR'!$D270)&gt;0,"IKINCIL","YOK")))</f>
        <v/>
      </c>
      <c r="I270" s="16">
        <f>IF($A270="","",'ANAHTAR'!$F270)</f>
        <v/>
      </c>
      <c r="J270" s="16">
        <f>IF(OR($A270="",$D270=0),0,$F270/ABS($D270))</f>
        <v/>
      </c>
      <c r="K270" s="16">
        <f>IF($A270="","",ROUND($D270,2))</f>
        <v/>
      </c>
      <c r="L270" s="16">
        <f>IF($A270="","",ROUND($C270,2))</f>
        <v/>
      </c>
      <c r="M270" s="16">
        <f>IF($A270="","",IF($F270&lt;=toleransKurus,1,0))</f>
        <v/>
      </c>
      <c r="N270" s="16">
        <f>IF($A270="","",IF($F270&gt;cbb_esikFark,1,0))</f>
        <v/>
      </c>
      <c r="O270" s="16">
        <f>IF($A270="","",IF($G270="eslesti",$D270,0))</f>
        <v/>
      </c>
      <c r="P270" s="16">
        <f>IF($A270="","",$B270+$M270+$N270)</f>
        <v/>
      </c>
    </row>
    <row r="271">
      <c r="A271" s="16">
        <f>IF('ANAHTAR'!$B271="","",'ANAHTAR'!$B271)</f>
        <v/>
      </c>
      <c r="B271" s="16">
        <f>IF($A271="","",COUNTIF(tblAnahtarB[NormB],$A271))</f>
        <v/>
      </c>
      <c r="C271" s="16">
        <f>IF($A271="","",SUMIF(tblAnahtarB[NormB],$A271,tblVeriB[BeyanTutar]))</f>
        <v/>
      </c>
      <c r="D271" s="16">
        <f>IF($A271="","",SUMIF(tblAnahtarA[Norm],$A271,tblVeriA[Tutar]))</f>
        <v/>
      </c>
      <c r="E271" s="16">
        <f>IF($A271="","",ROUND($D271,2)-ROUND($C271,2))</f>
        <v/>
      </c>
      <c r="F271" s="16">
        <f>IF($A271="","",ABS($E271))</f>
        <v/>
      </c>
      <c r="G271" s="16">
        <f>IF($A271="","",IF($B271=0,"eslesmedi",IF(ROUND($D271,2)=ROUND($C271,2),"eslesti",IF(ABS(ROUND($D271,2)-ROUND($C271,2))&lt;=toleransKurus,"tolerans_icinde","tutar_farki"))))</f>
        <v/>
      </c>
      <c r="H271" s="16">
        <f>IF($A271="","",IF($B271&gt;0,"BIRINCIL",IF(COUNTIF(tblAnahtarB[IkincilB],'ANAHTAR'!$D271)&gt;0,"IKINCIL","YOK")))</f>
        <v/>
      </c>
      <c r="I271" s="16">
        <f>IF($A271="","",'ANAHTAR'!$F271)</f>
        <v/>
      </c>
      <c r="J271" s="16">
        <f>IF(OR($A271="",$D271=0),0,$F271/ABS($D271))</f>
        <v/>
      </c>
      <c r="K271" s="16">
        <f>IF($A271="","",ROUND($D271,2))</f>
        <v/>
      </c>
      <c r="L271" s="16">
        <f>IF($A271="","",ROUND($C271,2))</f>
        <v/>
      </c>
      <c r="M271" s="16">
        <f>IF($A271="","",IF($F271&lt;=toleransKurus,1,0))</f>
        <v/>
      </c>
      <c r="N271" s="16">
        <f>IF($A271="","",IF($F271&gt;cbb_esikFark,1,0))</f>
        <v/>
      </c>
      <c r="O271" s="16">
        <f>IF($A271="","",IF($G271="eslesti",$D271,0))</f>
        <v/>
      </c>
      <c r="P271" s="16">
        <f>IF($A271="","",$B271+$M271+$N271)</f>
        <v/>
      </c>
    </row>
    <row r="272">
      <c r="A272" s="16">
        <f>IF('ANAHTAR'!$B272="","",'ANAHTAR'!$B272)</f>
        <v/>
      </c>
      <c r="B272" s="16">
        <f>IF($A272="","",COUNTIF(tblAnahtarB[NormB],$A272))</f>
        <v/>
      </c>
      <c r="C272" s="16">
        <f>IF($A272="","",SUMIF(tblAnahtarB[NormB],$A272,tblVeriB[BeyanTutar]))</f>
        <v/>
      </c>
      <c r="D272" s="16">
        <f>IF($A272="","",SUMIF(tblAnahtarA[Norm],$A272,tblVeriA[Tutar]))</f>
        <v/>
      </c>
      <c r="E272" s="16">
        <f>IF($A272="","",ROUND($D272,2)-ROUND($C272,2))</f>
        <v/>
      </c>
      <c r="F272" s="16">
        <f>IF($A272="","",ABS($E272))</f>
        <v/>
      </c>
      <c r="G272" s="16">
        <f>IF($A272="","",IF($B272=0,"eslesmedi",IF(ROUND($D272,2)=ROUND($C272,2),"eslesti",IF(ABS(ROUND($D272,2)-ROUND($C272,2))&lt;=toleransKurus,"tolerans_icinde","tutar_farki"))))</f>
        <v/>
      </c>
      <c r="H272" s="16">
        <f>IF($A272="","",IF($B272&gt;0,"BIRINCIL",IF(COUNTIF(tblAnahtarB[IkincilB],'ANAHTAR'!$D272)&gt;0,"IKINCIL","YOK")))</f>
        <v/>
      </c>
      <c r="I272" s="16">
        <f>IF($A272="","",'ANAHTAR'!$F272)</f>
        <v/>
      </c>
      <c r="J272" s="16">
        <f>IF(OR($A272="",$D272=0),0,$F272/ABS($D272))</f>
        <v/>
      </c>
      <c r="K272" s="16">
        <f>IF($A272="","",ROUND($D272,2))</f>
        <v/>
      </c>
      <c r="L272" s="16">
        <f>IF($A272="","",ROUND($C272,2))</f>
        <v/>
      </c>
      <c r="M272" s="16">
        <f>IF($A272="","",IF($F272&lt;=toleransKurus,1,0))</f>
        <v/>
      </c>
      <c r="N272" s="16">
        <f>IF($A272="","",IF($F272&gt;cbb_esikFark,1,0))</f>
        <v/>
      </c>
      <c r="O272" s="16">
        <f>IF($A272="","",IF($G272="eslesti",$D272,0))</f>
        <v/>
      </c>
      <c r="P272" s="16">
        <f>IF($A272="","",$B272+$M272+$N272)</f>
        <v/>
      </c>
    </row>
    <row r="273">
      <c r="A273" s="16">
        <f>IF('ANAHTAR'!$B273="","",'ANAHTAR'!$B273)</f>
        <v/>
      </c>
      <c r="B273" s="16">
        <f>IF($A273="","",COUNTIF(tblAnahtarB[NormB],$A273))</f>
        <v/>
      </c>
      <c r="C273" s="16">
        <f>IF($A273="","",SUMIF(tblAnahtarB[NormB],$A273,tblVeriB[BeyanTutar]))</f>
        <v/>
      </c>
      <c r="D273" s="16">
        <f>IF($A273="","",SUMIF(tblAnahtarA[Norm],$A273,tblVeriA[Tutar]))</f>
        <v/>
      </c>
      <c r="E273" s="16">
        <f>IF($A273="","",ROUND($D273,2)-ROUND($C273,2))</f>
        <v/>
      </c>
      <c r="F273" s="16">
        <f>IF($A273="","",ABS($E273))</f>
        <v/>
      </c>
      <c r="G273" s="16">
        <f>IF($A273="","",IF($B273=0,"eslesmedi",IF(ROUND($D273,2)=ROUND($C273,2),"eslesti",IF(ABS(ROUND($D273,2)-ROUND($C273,2))&lt;=toleransKurus,"tolerans_icinde","tutar_farki"))))</f>
        <v/>
      </c>
      <c r="H273" s="16">
        <f>IF($A273="","",IF($B273&gt;0,"BIRINCIL",IF(COUNTIF(tblAnahtarB[IkincilB],'ANAHTAR'!$D273)&gt;0,"IKINCIL","YOK")))</f>
        <v/>
      </c>
      <c r="I273" s="16">
        <f>IF($A273="","",'ANAHTAR'!$F273)</f>
        <v/>
      </c>
      <c r="J273" s="16">
        <f>IF(OR($A273="",$D273=0),0,$F273/ABS($D273))</f>
        <v/>
      </c>
      <c r="K273" s="16">
        <f>IF($A273="","",ROUND($D273,2))</f>
        <v/>
      </c>
      <c r="L273" s="16">
        <f>IF($A273="","",ROUND($C273,2))</f>
        <v/>
      </c>
      <c r="M273" s="16">
        <f>IF($A273="","",IF($F273&lt;=toleransKurus,1,0))</f>
        <v/>
      </c>
      <c r="N273" s="16">
        <f>IF($A273="","",IF($F273&gt;cbb_esikFark,1,0))</f>
        <v/>
      </c>
      <c r="O273" s="16">
        <f>IF($A273="","",IF($G273="eslesti",$D273,0))</f>
        <v/>
      </c>
      <c r="P273" s="16">
        <f>IF($A273="","",$B273+$M273+$N273)</f>
        <v/>
      </c>
    </row>
    <row r="274">
      <c r="A274" s="16">
        <f>IF('ANAHTAR'!$B274="","",'ANAHTAR'!$B274)</f>
        <v/>
      </c>
      <c r="B274" s="16">
        <f>IF($A274="","",COUNTIF(tblAnahtarB[NormB],$A274))</f>
        <v/>
      </c>
      <c r="C274" s="16">
        <f>IF($A274="","",SUMIF(tblAnahtarB[NormB],$A274,tblVeriB[BeyanTutar]))</f>
        <v/>
      </c>
      <c r="D274" s="16">
        <f>IF($A274="","",SUMIF(tblAnahtarA[Norm],$A274,tblVeriA[Tutar]))</f>
        <v/>
      </c>
      <c r="E274" s="16">
        <f>IF($A274="","",ROUND($D274,2)-ROUND($C274,2))</f>
        <v/>
      </c>
      <c r="F274" s="16">
        <f>IF($A274="","",ABS($E274))</f>
        <v/>
      </c>
      <c r="G274" s="16">
        <f>IF($A274="","",IF($B274=0,"eslesmedi",IF(ROUND($D274,2)=ROUND($C274,2),"eslesti",IF(ABS(ROUND($D274,2)-ROUND($C274,2))&lt;=toleransKurus,"tolerans_icinde","tutar_farki"))))</f>
        <v/>
      </c>
      <c r="H274" s="16">
        <f>IF($A274="","",IF($B274&gt;0,"BIRINCIL",IF(COUNTIF(tblAnahtarB[IkincilB],'ANAHTAR'!$D274)&gt;0,"IKINCIL","YOK")))</f>
        <v/>
      </c>
      <c r="I274" s="16">
        <f>IF($A274="","",'ANAHTAR'!$F274)</f>
        <v/>
      </c>
      <c r="J274" s="16">
        <f>IF(OR($A274="",$D274=0),0,$F274/ABS($D274))</f>
        <v/>
      </c>
      <c r="K274" s="16">
        <f>IF($A274="","",ROUND($D274,2))</f>
        <v/>
      </c>
      <c r="L274" s="16">
        <f>IF($A274="","",ROUND($C274,2))</f>
        <v/>
      </c>
      <c r="M274" s="16">
        <f>IF($A274="","",IF($F274&lt;=toleransKurus,1,0))</f>
        <v/>
      </c>
      <c r="N274" s="16">
        <f>IF($A274="","",IF($F274&gt;cbb_esikFark,1,0))</f>
        <v/>
      </c>
      <c r="O274" s="16">
        <f>IF($A274="","",IF($G274="eslesti",$D274,0))</f>
        <v/>
      </c>
      <c r="P274" s="16">
        <f>IF($A274="","",$B274+$M274+$N274)</f>
        <v/>
      </c>
    </row>
    <row r="275">
      <c r="A275" s="16">
        <f>IF('ANAHTAR'!$B275="","",'ANAHTAR'!$B275)</f>
        <v/>
      </c>
      <c r="B275" s="16">
        <f>IF($A275="","",COUNTIF(tblAnahtarB[NormB],$A275))</f>
        <v/>
      </c>
      <c r="C275" s="16">
        <f>IF($A275="","",SUMIF(tblAnahtarB[NormB],$A275,tblVeriB[BeyanTutar]))</f>
        <v/>
      </c>
      <c r="D275" s="16">
        <f>IF($A275="","",SUMIF(tblAnahtarA[Norm],$A275,tblVeriA[Tutar]))</f>
        <v/>
      </c>
      <c r="E275" s="16">
        <f>IF($A275="","",ROUND($D275,2)-ROUND($C275,2))</f>
        <v/>
      </c>
      <c r="F275" s="16">
        <f>IF($A275="","",ABS($E275))</f>
        <v/>
      </c>
      <c r="G275" s="16">
        <f>IF($A275="","",IF($B275=0,"eslesmedi",IF(ROUND($D275,2)=ROUND($C275,2),"eslesti",IF(ABS(ROUND($D275,2)-ROUND($C275,2))&lt;=toleransKurus,"tolerans_icinde","tutar_farki"))))</f>
        <v/>
      </c>
      <c r="H275" s="16">
        <f>IF($A275="","",IF($B275&gt;0,"BIRINCIL",IF(COUNTIF(tblAnahtarB[IkincilB],'ANAHTAR'!$D275)&gt;0,"IKINCIL","YOK")))</f>
        <v/>
      </c>
      <c r="I275" s="16">
        <f>IF($A275="","",'ANAHTAR'!$F275)</f>
        <v/>
      </c>
      <c r="J275" s="16">
        <f>IF(OR($A275="",$D275=0),0,$F275/ABS($D275))</f>
        <v/>
      </c>
      <c r="K275" s="16">
        <f>IF($A275="","",ROUND($D275,2))</f>
        <v/>
      </c>
      <c r="L275" s="16">
        <f>IF($A275="","",ROUND($C275,2))</f>
        <v/>
      </c>
      <c r="M275" s="16">
        <f>IF($A275="","",IF($F275&lt;=toleransKurus,1,0))</f>
        <v/>
      </c>
      <c r="N275" s="16">
        <f>IF($A275="","",IF($F275&gt;cbb_esikFark,1,0))</f>
        <v/>
      </c>
      <c r="O275" s="16">
        <f>IF($A275="","",IF($G275="eslesti",$D275,0))</f>
        <v/>
      </c>
      <c r="P275" s="16">
        <f>IF($A275="","",$B275+$M275+$N275)</f>
        <v/>
      </c>
    </row>
    <row r="276">
      <c r="A276" s="16">
        <f>IF('ANAHTAR'!$B276="","",'ANAHTAR'!$B276)</f>
        <v/>
      </c>
      <c r="B276" s="16">
        <f>IF($A276="","",COUNTIF(tblAnahtarB[NormB],$A276))</f>
        <v/>
      </c>
      <c r="C276" s="16">
        <f>IF($A276="","",SUMIF(tblAnahtarB[NormB],$A276,tblVeriB[BeyanTutar]))</f>
        <v/>
      </c>
      <c r="D276" s="16">
        <f>IF($A276="","",SUMIF(tblAnahtarA[Norm],$A276,tblVeriA[Tutar]))</f>
        <v/>
      </c>
      <c r="E276" s="16">
        <f>IF($A276="","",ROUND($D276,2)-ROUND($C276,2))</f>
        <v/>
      </c>
      <c r="F276" s="16">
        <f>IF($A276="","",ABS($E276))</f>
        <v/>
      </c>
      <c r="G276" s="16">
        <f>IF($A276="","",IF($B276=0,"eslesmedi",IF(ROUND($D276,2)=ROUND($C276,2),"eslesti",IF(ABS(ROUND($D276,2)-ROUND($C276,2))&lt;=toleransKurus,"tolerans_icinde","tutar_farki"))))</f>
        <v/>
      </c>
      <c r="H276" s="16">
        <f>IF($A276="","",IF($B276&gt;0,"BIRINCIL",IF(COUNTIF(tblAnahtarB[IkincilB],'ANAHTAR'!$D276)&gt;0,"IKINCIL","YOK")))</f>
        <v/>
      </c>
      <c r="I276" s="16">
        <f>IF($A276="","",'ANAHTAR'!$F276)</f>
        <v/>
      </c>
      <c r="J276" s="16">
        <f>IF(OR($A276="",$D276=0),0,$F276/ABS($D276))</f>
        <v/>
      </c>
      <c r="K276" s="16">
        <f>IF($A276="","",ROUND($D276,2))</f>
        <v/>
      </c>
      <c r="L276" s="16">
        <f>IF($A276="","",ROUND($C276,2))</f>
        <v/>
      </c>
      <c r="M276" s="16">
        <f>IF($A276="","",IF($F276&lt;=toleransKurus,1,0))</f>
        <v/>
      </c>
      <c r="N276" s="16">
        <f>IF($A276="","",IF($F276&gt;cbb_esikFark,1,0))</f>
        <v/>
      </c>
      <c r="O276" s="16">
        <f>IF($A276="","",IF($G276="eslesti",$D276,0))</f>
        <v/>
      </c>
      <c r="P276" s="16">
        <f>IF($A276="","",$B276+$M276+$N276)</f>
        <v/>
      </c>
    </row>
    <row r="277">
      <c r="A277" s="16">
        <f>IF('ANAHTAR'!$B277="","",'ANAHTAR'!$B277)</f>
        <v/>
      </c>
      <c r="B277" s="16">
        <f>IF($A277="","",COUNTIF(tblAnahtarB[NormB],$A277))</f>
        <v/>
      </c>
      <c r="C277" s="16">
        <f>IF($A277="","",SUMIF(tblAnahtarB[NormB],$A277,tblVeriB[BeyanTutar]))</f>
        <v/>
      </c>
      <c r="D277" s="16">
        <f>IF($A277="","",SUMIF(tblAnahtarA[Norm],$A277,tblVeriA[Tutar]))</f>
        <v/>
      </c>
      <c r="E277" s="16">
        <f>IF($A277="","",ROUND($D277,2)-ROUND($C277,2))</f>
        <v/>
      </c>
      <c r="F277" s="16">
        <f>IF($A277="","",ABS($E277))</f>
        <v/>
      </c>
      <c r="G277" s="16">
        <f>IF($A277="","",IF($B277=0,"eslesmedi",IF(ROUND($D277,2)=ROUND($C277,2),"eslesti",IF(ABS(ROUND($D277,2)-ROUND($C277,2))&lt;=toleransKurus,"tolerans_icinde","tutar_farki"))))</f>
        <v/>
      </c>
      <c r="H277" s="16">
        <f>IF($A277="","",IF($B277&gt;0,"BIRINCIL",IF(COUNTIF(tblAnahtarB[IkincilB],'ANAHTAR'!$D277)&gt;0,"IKINCIL","YOK")))</f>
        <v/>
      </c>
      <c r="I277" s="16">
        <f>IF($A277="","",'ANAHTAR'!$F277)</f>
        <v/>
      </c>
      <c r="J277" s="16">
        <f>IF(OR($A277="",$D277=0),0,$F277/ABS($D277))</f>
        <v/>
      </c>
      <c r="K277" s="16">
        <f>IF($A277="","",ROUND($D277,2))</f>
        <v/>
      </c>
      <c r="L277" s="16">
        <f>IF($A277="","",ROUND($C277,2))</f>
        <v/>
      </c>
      <c r="M277" s="16">
        <f>IF($A277="","",IF($F277&lt;=toleransKurus,1,0))</f>
        <v/>
      </c>
      <c r="N277" s="16">
        <f>IF($A277="","",IF($F277&gt;cbb_esikFark,1,0))</f>
        <v/>
      </c>
      <c r="O277" s="16">
        <f>IF($A277="","",IF($G277="eslesti",$D277,0))</f>
        <v/>
      </c>
      <c r="P277" s="16">
        <f>IF($A277="","",$B277+$M277+$N277)</f>
        <v/>
      </c>
    </row>
    <row r="278">
      <c r="A278" s="16">
        <f>IF('ANAHTAR'!$B278="","",'ANAHTAR'!$B278)</f>
        <v/>
      </c>
      <c r="B278" s="16">
        <f>IF($A278="","",COUNTIF(tblAnahtarB[NormB],$A278))</f>
        <v/>
      </c>
      <c r="C278" s="16">
        <f>IF($A278="","",SUMIF(tblAnahtarB[NormB],$A278,tblVeriB[BeyanTutar]))</f>
        <v/>
      </c>
      <c r="D278" s="16">
        <f>IF($A278="","",SUMIF(tblAnahtarA[Norm],$A278,tblVeriA[Tutar]))</f>
        <v/>
      </c>
      <c r="E278" s="16">
        <f>IF($A278="","",ROUND($D278,2)-ROUND($C278,2))</f>
        <v/>
      </c>
      <c r="F278" s="16">
        <f>IF($A278="","",ABS($E278))</f>
        <v/>
      </c>
      <c r="G278" s="16">
        <f>IF($A278="","",IF($B278=0,"eslesmedi",IF(ROUND($D278,2)=ROUND($C278,2),"eslesti",IF(ABS(ROUND($D278,2)-ROUND($C278,2))&lt;=toleransKurus,"tolerans_icinde","tutar_farki"))))</f>
        <v/>
      </c>
      <c r="H278" s="16">
        <f>IF($A278="","",IF($B278&gt;0,"BIRINCIL",IF(COUNTIF(tblAnahtarB[IkincilB],'ANAHTAR'!$D278)&gt;0,"IKINCIL","YOK")))</f>
        <v/>
      </c>
      <c r="I278" s="16">
        <f>IF($A278="","",'ANAHTAR'!$F278)</f>
        <v/>
      </c>
      <c r="J278" s="16">
        <f>IF(OR($A278="",$D278=0),0,$F278/ABS($D278))</f>
        <v/>
      </c>
      <c r="K278" s="16">
        <f>IF($A278="","",ROUND($D278,2))</f>
        <v/>
      </c>
      <c r="L278" s="16">
        <f>IF($A278="","",ROUND($C278,2))</f>
        <v/>
      </c>
      <c r="M278" s="16">
        <f>IF($A278="","",IF($F278&lt;=toleransKurus,1,0))</f>
        <v/>
      </c>
      <c r="N278" s="16">
        <f>IF($A278="","",IF($F278&gt;cbb_esikFark,1,0))</f>
        <v/>
      </c>
      <c r="O278" s="16">
        <f>IF($A278="","",IF($G278="eslesti",$D278,0))</f>
        <v/>
      </c>
      <c r="P278" s="16">
        <f>IF($A278="","",$B278+$M278+$N278)</f>
        <v/>
      </c>
    </row>
    <row r="279">
      <c r="A279" s="16">
        <f>IF('ANAHTAR'!$B279="","",'ANAHTAR'!$B279)</f>
        <v/>
      </c>
      <c r="B279" s="16">
        <f>IF($A279="","",COUNTIF(tblAnahtarB[NormB],$A279))</f>
        <v/>
      </c>
      <c r="C279" s="16">
        <f>IF($A279="","",SUMIF(tblAnahtarB[NormB],$A279,tblVeriB[BeyanTutar]))</f>
        <v/>
      </c>
      <c r="D279" s="16">
        <f>IF($A279="","",SUMIF(tblAnahtarA[Norm],$A279,tblVeriA[Tutar]))</f>
        <v/>
      </c>
      <c r="E279" s="16">
        <f>IF($A279="","",ROUND($D279,2)-ROUND($C279,2))</f>
        <v/>
      </c>
      <c r="F279" s="16">
        <f>IF($A279="","",ABS($E279))</f>
        <v/>
      </c>
      <c r="G279" s="16">
        <f>IF($A279="","",IF($B279=0,"eslesmedi",IF(ROUND($D279,2)=ROUND($C279,2),"eslesti",IF(ABS(ROUND($D279,2)-ROUND($C279,2))&lt;=toleransKurus,"tolerans_icinde","tutar_farki"))))</f>
        <v/>
      </c>
      <c r="H279" s="16">
        <f>IF($A279="","",IF($B279&gt;0,"BIRINCIL",IF(COUNTIF(tblAnahtarB[IkincilB],'ANAHTAR'!$D279)&gt;0,"IKINCIL","YOK")))</f>
        <v/>
      </c>
      <c r="I279" s="16">
        <f>IF($A279="","",'ANAHTAR'!$F279)</f>
        <v/>
      </c>
      <c r="J279" s="16">
        <f>IF(OR($A279="",$D279=0),0,$F279/ABS($D279))</f>
        <v/>
      </c>
      <c r="K279" s="16">
        <f>IF($A279="","",ROUND($D279,2))</f>
        <v/>
      </c>
      <c r="L279" s="16">
        <f>IF($A279="","",ROUND($C279,2))</f>
        <v/>
      </c>
      <c r="M279" s="16">
        <f>IF($A279="","",IF($F279&lt;=toleransKurus,1,0))</f>
        <v/>
      </c>
      <c r="N279" s="16">
        <f>IF($A279="","",IF($F279&gt;cbb_esikFark,1,0))</f>
        <v/>
      </c>
      <c r="O279" s="16">
        <f>IF($A279="","",IF($G279="eslesti",$D279,0))</f>
        <v/>
      </c>
      <c r="P279" s="16">
        <f>IF($A279="","",$B279+$M279+$N279)</f>
        <v/>
      </c>
    </row>
    <row r="280">
      <c r="A280" s="16">
        <f>IF('ANAHTAR'!$B280="","",'ANAHTAR'!$B280)</f>
        <v/>
      </c>
      <c r="B280" s="16">
        <f>IF($A280="","",COUNTIF(tblAnahtarB[NormB],$A280))</f>
        <v/>
      </c>
      <c r="C280" s="16">
        <f>IF($A280="","",SUMIF(tblAnahtarB[NormB],$A280,tblVeriB[BeyanTutar]))</f>
        <v/>
      </c>
      <c r="D280" s="16">
        <f>IF($A280="","",SUMIF(tblAnahtarA[Norm],$A280,tblVeriA[Tutar]))</f>
        <v/>
      </c>
      <c r="E280" s="16">
        <f>IF($A280="","",ROUND($D280,2)-ROUND($C280,2))</f>
        <v/>
      </c>
      <c r="F280" s="16">
        <f>IF($A280="","",ABS($E280))</f>
        <v/>
      </c>
      <c r="G280" s="16">
        <f>IF($A280="","",IF($B280=0,"eslesmedi",IF(ROUND($D280,2)=ROUND($C280,2),"eslesti",IF(ABS(ROUND($D280,2)-ROUND($C280,2))&lt;=toleransKurus,"tolerans_icinde","tutar_farki"))))</f>
        <v/>
      </c>
      <c r="H280" s="16">
        <f>IF($A280="","",IF($B280&gt;0,"BIRINCIL",IF(COUNTIF(tblAnahtarB[IkincilB],'ANAHTAR'!$D280)&gt;0,"IKINCIL","YOK")))</f>
        <v/>
      </c>
      <c r="I280" s="16">
        <f>IF($A280="","",'ANAHTAR'!$F280)</f>
        <v/>
      </c>
      <c r="J280" s="16">
        <f>IF(OR($A280="",$D280=0),0,$F280/ABS($D280))</f>
        <v/>
      </c>
      <c r="K280" s="16">
        <f>IF($A280="","",ROUND($D280,2))</f>
        <v/>
      </c>
      <c r="L280" s="16">
        <f>IF($A280="","",ROUND($C280,2))</f>
        <v/>
      </c>
      <c r="M280" s="16">
        <f>IF($A280="","",IF($F280&lt;=toleransKurus,1,0))</f>
        <v/>
      </c>
      <c r="N280" s="16">
        <f>IF($A280="","",IF($F280&gt;cbb_esikFark,1,0))</f>
        <v/>
      </c>
      <c r="O280" s="16">
        <f>IF($A280="","",IF($G280="eslesti",$D280,0))</f>
        <v/>
      </c>
      <c r="P280" s="16">
        <f>IF($A280="","",$B280+$M280+$N280)</f>
        <v/>
      </c>
    </row>
    <row r="281">
      <c r="A281" s="16">
        <f>IF('ANAHTAR'!$B281="","",'ANAHTAR'!$B281)</f>
        <v/>
      </c>
      <c r="B281" s="16">
        <f>IF($A281="","",COUNTIF(tblAnahtarB[NormB],$A281))</f>
        <v/>
      </c>
      <c r="C281" s="16">
        <f>IF($A281="","",SUMIF(tblAnahtarB[NormB],$A281,tblVeriB[BeyanTutar]))</f>
        <v/>
      </c>
      <c r="D281" s="16">
        <f>IF($A281="","",SUMIF(tblAnahtarA[Norm],$A281,tblVeriA[Tutar]))</f>
        <v/>
      </c>
      <c r="E281" s="16">
        <f>IF($A281="","",ROUND($D281,2)-ROUND($C281,2))</f>
        <v/>
      </c>
      <c r="F281" s="16">
        <f>IF($A281="","",ABS($E281))</f>
        <v/>
      </c>
      <c r="G281" s="16">
        <f>IF($A281="","",IF($B281=0,"eslesmedi",IF(ROUND($D281,2)=ROUND($C281,2),"eslesti",IF(ABS(ROUND($D281,2)-ROUND($C281,2))&lt;=toleransKurus,"tolerans_icinde","tutar_farki"))))</f>
        <v/>
      </c>
      <c r="H281" s="16">
        <f>IF($A281="","",IF($B281&gt;0,"BIRINCIL",IF(COUNTIF(tblAnahtarB[IkincilB],'ANAHTAR'!$D281)&gt;0,"IKINCIL","YOK")))</f>
        <v/>
      </c>
      <c r="I281" s="16">
        <f>IF($A281="","",'ANAHTAR'!$F281)</f>
        <v/>
      </c>
      <c r="J281" s="16">
        <f>IF(OR($A281="",$D281=0),0,$F281/ABS($D281))</f>
        <v/>
      </c>
      <c r="K281" s="16">
        <f>IF($A281="","",ROUND($D281,2))</f>
        <v/>
      </c>
      <c r="L281" s="16">
        <f>IF($A281="","",ROUND($C281,2))</f>
        <v/>
      </c>
      <c r="M281" s="16">
        <f>IF($A281="","",IF($F281&lt;=toleransKurus,1,0))</f>
        <v/>
      </c>
      <c r="N281" s="16">
        <f>IF($A281="","",IF($F281&gt;cbb_esikFark,1,0))</f>
        <v/>
      </c>
      <c r="O281" s="16">
        <f>IF($A281="","",IF($G281="eslesti",$D281,0))</f>
        <v/>
      </c>
      <c r="P281" s="16">
        <f>IF($A281="","",$B281+$M281+$N281)</f>
        <v/>
      </c>
    </row>
    <row r="282">
      <c r="A282" s="16">
        <f>IF('ANAHTAR'!$B282="","",'ANAHTAR'!$B282)</f>
        <v/>
      </c>
      <c r="B282" s="16">
        <f>IF($A282="","",COUNTIF(tblAnahtarB[NormB],$A282))</f>
        <v/>
      </c>
      <c r="C282" s="16">
        <f>IF($A282="","",SUMIF(tblAnahtarB[NormB],$A282,tblVeriB[BeyanTutar]))</f>
        <v/>
      </c>
      <c r="D282" s="16">
        <f>IF($A282="","",SUMIF(tblAnahtarA[Norm],$A282,tblVeriA[Tutar]))</f>
        <v/>
      </c>
      <c r="E282" s="16">
        <f>IF($A282="","",ROUND($D282,2)-ROUND($C282,2))</f>
        <v/>
      </c>
      <c r="F282" s="16">
        <f>IF($A282="","",ABS($E282))</f>
        <v/>
      </c>
      <c r="G282" s="16">
        <f>IF($A282="","",IF($B282=0,"eslesmedi",IF(ROUND($D282,2)=ROUND($C282,2),"eslesti",IF(ABS(ROUND($D282,2)-ROUND($C282,2))&lt;=toleransKurus,"tolerans_icinde","tutar_farki"))))</f>
        <v/>
      </c>
      <c r="H282" s="16">
        <f>IF($A282="","",IF($B282&gt;0,"BIRINCIL",IF(COUNTIF(tblAnahtarB[IkincilB],'ANAHTAR'!$D282)&gt;0,"IKINCIL","YOK")))</f>
        <v/>
      </c>
      <c r="I282" s="16">
        <f>IF($A282="","",'ANAHTAR'!$F282)</f>
        <v/>
      </c>
      <c r="J282" s="16">
        <f>IF(OR($A282="",$D282=0),0,$F282/ABS($D282))</f>
        <v/>
      </c>
      <c r="K282" s="16">
        <f>IF($A282="","",ROUND($D282,2))</f>
        <v/>
      </c>
      <c r="L282" s="16">
        <f>IF($A282="","",ROUND($C282,2))</f>
        <v/>
      </c>
      <c r="M282" s="16">
        <f>IF($A282="","",IF($F282&lt;=toleransKurus,1,0))</f>
        <v/>
      </c>
      <c r="N282" s="16">
        <f>IF($A282="","",IF($F282&gt;cbb_esikFark,1,0))</f>
        <v/>
      </c>
      <c r="O282" s="16">
        <f>IF($A282="","",IF($G282="eslesti",$D282,0))</f>
        <v/>
      </c>
      <c r="P282" s="16">
        <f>IF($A282="","",$B282+$M282+$N282)</f>
        <v/>
      </c>
    </row>
    <row r="283">
      <c r="A283" s="16">
        <f>IF('ANAHTAR'!$B283="","",'ANAHTAR'!$B283)</f>
        <v/>
      </c>
      <c r="B283" s="16">
        <f>IF($A283="","",COUNTIF(tblAnahtarB[NormB],$A283))</f>
        <v/>
      </c>
      <c r="C283" s="16">
        <f>IF($A283="","",SUMIF(tblAnahtarB[NormB],$A283,tblVeriB[BeyanTutar]))</f>
        <v/>
      </c>
      <c r="D283" s="16">
        <f>IF($A283="","",SUMIF(tblAnahtarA[Norm],$A283,tblVeriA[Tutar]))</f>
        <v/>
      </c>
      <c r="E283" s="16">
        <f>IF($A283="","",ROUND($D283,2)-ROUND($C283,2))</f>
        <v/>
      </c>
      <c r="F283" s="16">
        <f>IF($A283="","",ABS($E283))</f>
        <v/>
      </c>
      <c r="G283" s="16">
        <f>IF($A283="","",IF($B283=0,"eslesmedi",IF(ROUND($D283,2)=ROUND($C283,2),"eslesti",IF(ABS(ROUND($D283,2)-ROUND($C283,2))&lt;=toleransKurus,"tolerans_icinde","tutar_farki"))))</f>
        <v/>
      </c>
      <c r="H283" s="16">
        <f>IF($A283="","",IF($B283&gt;0,"BIRINCIL",IF(COUNTIF(tblAnahtarB[IkincilB],'ANAHTAR'!$D283)&gt;0,"IKINCIL","YOK")))</f>
        <v/>
      </c>
      <c r="I283" s="16">
        <f>IF($A283="","",'ANAHTAR'!$F283)</f>
        <v/>
      </c>
      <c r="J283" s="16">
        <f>IF(OR($A283="",$D283=0),0,$F283/ABS($D283))</f>
        <v/>
      </c>
      <c r="K283" s="16">
        <f>IF($A283="","",ROUND($D283,2))</f>
        <v/>
      </c>
      <c r="L283" s="16">
        <f>IF($A283="","",ROUND($C283,2))</f>
        <v/>
      </c>
      <c r="M283" s="16">
        <f>IF($A283="","",IF($F283&lt;=toleransKurus,1,0))</f>
        <v/>
      </c>
      <c r="N283" s="16">
        <f>IF($A283="","",IF($F283&gt;cbb_esikFark,1,0))</f>
        <v/>
      </c>
      <c r="O283" s="16">
        <f>IF($A283="","",IF($G283="eslesti",$D283,0))</f>
        <v/>
      </c>
      <c r="P283" s="16">
        <f>IF($A283="","",$B283+$M283+$N283)</f>
        <v/>
      </c>
    </row>
    <row r="284">
      <c r="A284" s="16">
        <f>IF('ANAHTAR'!$B284="","",'ANAHTAR'!$B284)</f>
        <v/>
      </c>
      <c r="B284" s="16">
        <f>IF($A284="","",COUNTIF(tblAnahtarB[NormB],$A284))</f>
        <v/>
      </c>
      <c r="C284" s="16">
        <f>IF($A284="","",SUMIF(tblAnahtarB[NormB],$A284,tblVeriB[BeyanTutar]))</f>
        <v/>
      </c>
      <c r="D284" s="16">
        <f>IF($A284="","",SUMIF(tblAnahtarA[Norm],$A284,tblVeriA[Tutar]))</f>
        <v/>
      </c>
      <c r="E284" s="16">
        <f>IF($A284="","",ROUND($D284,2)-ROUND($C284,2))</f>
        <v/>
      </c>
      <c r="F284" s="16">
        <f>IF($A284="","",ABS($E284))</f>
        <v/>
      </c>
      <c r="G284" s="16">
        <f>IF($A284="","",IF($B284=0,"eslesmedi",IF(ROUND($D284,2)=ROUND($C284,2),"eslesti",IF(ABS(ROUND($D284,2)-ROUND($C284,2))&lt;=toleransKurus,"tolerans_icinde","tutar_farki"))))</f>
        <v/>
      </c>
      <c r="H284" s="16">
        <f>IF($A284="","",IF($B284&gt;0,"BIRINCIL",IF(COUNTIF(tblAnahtarB[IkincilB],'ANAHTAR'!$D284)&gt;0,"IKINCIL","YOK")))</f>
        <v/>
      </c>
      <c r="I284" s="16">
        <f>IF($A284="","",'ANAHTAR'!$F284)</f>
        <v/>
      </c>
      <c r="J284" s="16">
        <f>IF(OR($A284="",$D284=0),0,$F284/ABS($D284))</f>
        <v/>
      </c>
      <c r="K284" s="16">
        <f>IF($A284="","",ROUND($D284,2))</f>
        <v/>
      </c>
      <c r="L284" s="16">
        <f>IF($A284="","",ROUND($C284,2))</f>
        <v/>
      </c>
      <c r="M284" s="16">
        <f>IF($A284="","",IF($F284&lt;=toleransKurus,1,0))</f>
        <v/>
      </c>
      <c r="N284" s="16">
        <f>IF($A284="","",IF($F284&gt;cbb_esikFark,1,0))</f>
        <v/>
      </c>
      <c r="O284" s="16">
        <f>IF($A284="","",IF($G284="eslesti",$D284,0))</f>
        <v/>
      </c>
      <c r="P284" s="16">
        <f>IF($A284="","",$B284+$M284+$N284)</f>
        <v/>
      </c>
    </row>
    <row r="285">
      <c r="A285" s="16">
        <f>IF('ANAHTAR'!$B285="","",'ANAHTAR'!$B285)</f>
        <v/>
      </c>
      <c r="B285" s="16">
        <f>IF($A285="","",COUNTIF(tblAnahtarB[NormB],$A285))</f>
        <v/>
      </c>
      <c r="C285" s="16">
        <f>IF($A285="","",SUMIF(tblAnahtarB[NormB],$A285,tblVeriB[BeyanTutar]))</f>
        <v/>
      </c>
      <c r="D285" s="16">
        <f>IF($A285="","",SUMIF(tblAnahtarA[Norm],$A285,tblVeriA[Tutar]))</f>
        <v/>
      </c>
      <c r="E285" s="16">
        <f>IF($A285="","",ROUND($D285,2)-ROUND($C285,2))</f>
        <v/>
      </c>
      <c r="F285" s="16">
        <f>IF($A285="","",ABS($E285))</f>
        <v/>
      </c>
      <c r="G285" s="16">
        <f>IF($A285="","",IF($B285=0,"eslesmedi",IF(ROUND($D285,2)=ROUND($C285,2),"eslesti",IF(ABS(ROUND($D285,2)-ROUND($C285,2))&lt;=toleransKurus,"tolerans_icinde","tutar_farki"))))</f>
        <v/>
      </c>
      <c r="H285" s="16">
        <f>IF($A285="","",IF($B285&gt;0,"BIRINCIL",IF(COUNTIF(tblAnahtarB[IkincilB],'ANAHTAR'!$D285)&gt;0,"IKINCIL","YOK")))</f>
        <v/>
      </c>
      <c r="I285" s="16">
        <f>IF($A285="","",'ANAHTAR'!$F285)</f>
        <v/>
      </c>
      <c r="J285" s="16">
        <f>IF(OR($A285="",$D285=0),0,$F285/ABS($D285))</f>
        <v/>
      </c>
      <c r="K285" s="16">
        <f>IF($A285="","",ROUND($D285,2))</f>
        <v/>
      </c>
      <c r="L285" s="16">
        <f>IF($A285="","",ROUND($C285,2))</f>
        <v/>
      </c>
      <c r="M285" s="16">
        <f>IF($A285="","",IF($F285&lt;=toleransKurus,1,0))</f>
        <v/>
      </c>
      <c r="N285" s="16">
        <f>IF($A285="","",IF($F285&gt;cbb_esikFark,1,0))</f>
        <v/>
      </c>
      <c r="O285" s="16">
        <f>IF($A285="","",IF($G285="eslesti",$D285,0))</f>
        <v/>
      </c>
      <c r="P285" s="16">
        <f>IF($A285="","",$B285+$M285+$N285)</f>
        <v/>
      </c>
    </row>
    <row r="286">
      <c r="A286" s="16">
        <f>IF('ANAHTAR'!$B286="","",'ANAHTAR'!$B286)</f>
        <v/>
      </c>
      <c r="B286" s="16">
        <f>IF($A286="","",COUNTIF(tblAnahtarB[NormB],$A286))</f>
        <v/>
      </c>
      <c r="C286" s="16">
        <f>IF($A286="","",SUMIF(tblAnahtarB[NormB],$A286,tblVeriB[BeyanTutar]))</f>
        <v/>
      </c>
      <c r="D286" s="16">
        <f>IF($A286="","",SUMIF(tblAnahtarA[Norm],$A286,tblVeriA[Tutar]))</f>
        <v/>
      </c>
      <c r="E286" s="16">
        <f>IF($A286="","",ROUND($D286,2)-ROUND($C286,2))</f>
        <v/>
      </c>
      <c r="F286" s="16">
        <f>IF($A286="","",ABS($E286))</f>
        <v/>
      </c>
      <c r="G286" s="16">
        <f>IF($A286="","",IF($B286=0,"eslesmedi",IF(ROUND($D286,2)=ROUND($C286,2),"eslesti",IF(ABS(ROUND($D286,2)-ROUND($C286,2))&lt;=toleransKurus,"tolerans_icinde","tutar_farki"))))</f>
        <v/>
      </c>
      <c r="H286" s="16">
        <f>IF($A286="","",IF($B286&gt;0,"BIRINCIL",IF(COUNTIF(tblAnahtarB[IkincilB],'ANAHTAR'!$D286)&gt;0,"IKINCIL","YOK")))</f>
        <v/>
      </c>
      <c r="I286" s="16">
        <f>IF($A286="","",'ANAHTAR'!$F286)</f>
        <v/>
      </c>
      <c r="J286" s="16">
        <f>IF(OR($A286="",$D286=0),0,$F286/ABS($D286))</f>
        <v/>
      </c>
      <c r="K286" s="16">
        <f>IF($A286="","",ROUND($D286,2))</f>
        <v/>
      </c>
      <c r="L286" s="16">
        <f>IF($A286="","",ROUND($C286,2))</f>
        <v/>
      </c>
      <c r="M286" s="16">
        <f>IF($A286="","",IF($F286&lt;=toleransKurus,1,0))</f>
        <v/>
      </c>
      <c r="N286" s="16">
        <f>IF($A286="","",IF($F286&gt;cbb_esikFark,1,0))</f>
        <v/>
      </c>
      <c r="O286" s="16">
        <f>IF($A286="","",IF($G286="eslesti",$D286,0))</f>
        <v/>
      </c>
      <c r="P286" s="16">
        <f>IF($A286="","",$B286+$M286+$N286)</f>
        <v/>
      </c>
    </row>
    <row r="287">
      <c r="A287" s="16">
        <f>IF('ANAHTAR'!$B287="","",'ANAHTAR'!$B287)</f>
        <v/>
      </c>
      <c r="B287" s="16">
        <f>IF($A287="","",COUNTIF(tblAnahtarB[NormB],$A287))</f>
        <v/>
      </c>
      <c r="C287" s="16">
        <f>IF($A287="","",SUMIF(tblAnahtarB[NormB],$A287,tblVeriB[BeyanTutar]))</f>
        <v/>
      </c>
      <c r="D287" s="16">
        <f>IF($A287="","",SUMIF(tblAnahtarA[Norm],$A287,tblVeriA[Tutar]))</f>
        <v/>
      </c>
      <c r="E287" s="16">
        <f>IF($A287="","",ROUND($D287,2)-ROUND($C287,2))</f>
        <v/>
      </c>
      <c r="F287" s="16">
        <f>IF($A287="","",ABS($E287))</f>
        <v/>
      </c>
      <c r="G287" s="16">
        <f>IF($A287="","",IF($B287=0,"eslesmedi",IF(ROUND($D287,2)=ROUND($C287,2),"eslesti",IF(ABS(ROUND($D287,2)-ROUND($C287,2))&lt;=toleransKurus,"tolerans_icinde","tutar_farki"))))</f>
        <v/>
      </c>
      <c r="H287" s="16">
        <f>IF($A287="","",IF($B287&gt;0,"BIRINCIL",IF(COUNTIF(tblAnahtarB[IkincilB],'ANAHTAR'!$D287)&gt;0,"IKINCIL","YOK")))</f>
        <v/>
      </c>
      <c r="I287" s="16">
        <f>IF($A287="","",'ANAHTAR'!$F287)</f>
        <v/>
      </c>
      <c r="J287" s="16">
        <f>IF(OR($A287="",$D287=0),0,$F287/ABS($D287))</f>
        <v/>
      </c>
      <c r="K287" s="16">
        <f>IF($A287="","",ROUND($D287,2))</f>
        <v/>
      </c>
      <c r="L287" s="16">
        <f>IF($A287="","",ROUND($C287,2))</f>
        <v/>
      </c>
      <c r="M287" s="16">
        <f>IF($A287="","",IF($F287&lt;=toleransKurus,1,0))</f>
        <v/>
      </c>
      <c r="N287" s="16">
        <f>IF($A287="","",IF($F287&gt;cbb_esikFark,1,0))</f>
        <v/>
      </c>
      <c r="O287" s="16">
        <f>IF($A287="","",IF($G287="eslesti",$D287,0))</f>
        <v/>
      </c>
      <c r="P287" s="16">
        <f>IF($A287="","",$B287+$M287+$N287)</f>
        <v/>
      </c>
    </row>
    <row r="288">
      <c r="A288" s="16">
        <f>IF('ANAHTAR'!$B288="","",'ANAHTAR'!$B288)</f>
        <v/>
      </c>
      <c r="B288" s="16">
        <f>IF($A288="","",COUNTIF(tblAnahtarB[NormB],$A288))</f>
        <v/>
      </c>
      <c r="C288" s="16">
        <f>IF($A288="","",SUMIF(tblAnahtarB[NormB],$A288,tblVeriB[BeyanTutar]))</f>
        <v/>
      </c>
      <c r="D288" s="16">
        <f>IF($A288="","",SUMIF(tblAnahtarA[Norm],$A288,tblVeriA[Tutar]))</f>
        <v/>
      </c>
      <c r="E288" s="16">
        <f>IF($A288="","",ROUND($D288,2)-ROUND($C288,2))</f>
        <v/>
      </c>
      <c r="F288" s="16">
        <f>IF($A288="","",ABS($E288))</f>
        <v/>
      </c>
      <c r="G288" s="16">
        <f>IF($A288="","",IF($B288=0,"eslesmedi",IF(ROUND($D288,2)=ROUND($C288,2),"eslesti",IF(ABS(ROUND($D288,2)-ROUND($C288,2))&lt;=toleransKurus,"tolerans_icinde","tutar_farki"))))</f>
        <v/>
      </c>
      <c r="H288" s="16">
        <f>IF($A288="","",IF($B288&gt;0,"BIRINCIL",IF(COUNTIF(tblAnahtarB[IkincilB],'ANAHTAR'!$D288)&gt;0,"IKINCIL","YOK")))</f>
        <v/>
      </c>
      <c r="I288" s="16">
        <f>IF($A288="","",'ANAHTAR'!$F288)</f>
        <v/>
      </c>
      <c r="J288" s="16">
        <f>IF(OR($A288="",$D288=0),0,$F288/ABS($D288))</f>
        <v/>
      </c>
      <c r="K288" s="16">
        <f>IF($A288="","",ROUND($D288,2))</f>
        <v/>
      </c>
      <c r="L288" s="16">
        <f>IF($A288="","",ROUND($C288,2))</f>
        <v/>
      </c>
      <c r="M288" s="16">
        <f>IF($A288="","",IF($F288&lt;=toleransKurus,1,0))</f>
        <v/>
      </c>
      <c r="N288" s="16">
        <f>IF($A288="","",IF($F288&gt;cbb_esikFark,1,0))</f>
        <v/>
      </c>
      <c r="O288" s="16">
        <f>IF($A288="","",IF($G288="eslesti",$D288,0))</f>
        <v/>
      </c>
      <c r="P288" s="16">
        <f>IF($A288="","",$B288+$M288+$N288)</f>
        <v/>
      </c>
    </row>
    <row r="289">
      <c r="A289" s="16">
        <f>IF('ANAHTAR'!$B289="","",'ANAHTAR'!$B289)</f>
        <v/>
      </c>
      <c r="B289" s="16">
        <f>IF($A289="","",COUNTIF(tblAnahtarB[NormB],$A289))</f>
        <v/>
      </c>
      <c r="C289" s="16">
        <f>IF($A289="","",SUMIF(tblAnahtarB[NormB],$A289,tblVeriB[BeyanTutar]))</f>
        <v/>
      </c>
      <c r="D289" s="16">
        <f>IF($A289="","",SUMIF(tblAnahtarA[Norm],$A289,tblVeriA[Tutar]))</f>
        <v/>
      </c>
      <c r="E289" s="16">
        <f>IF($A289="","",ROUND($D289,2)-ROUND($C289,2))</f>
        <v/>
      </c>
      <c r="F289" s="16">
        <f>IF($A289="","",ABS($E289))</f>
        <v/>
      </c>
      <c r="G289" s="16">
        <f>IF($A289="","",IF($B289=0,"eslesmedi",IF(ROUND($D289,2)=ROUND($C289,2),"eslesti",IF(ABS(ROUND($D289,2)-ROUND($C289,2))&lt;=toleransKurus,"tolerans_icinde","tutar_farki"))))</f>
        <v/>
      </c>
      <c r="H289" s="16">
        <f>IF($A289="","",IF($B289&gt;0,"BIRINCIL",IF(COUNTIF(tblAnahtarB[IkincilB],'ANAHTAR'!$D289)&gt;0,"IKINCIL","YOK")))</f>
        <v/>
      </c>
      <c r="I289" s="16">
        <f>IF($A289="","",'ANAHTAR'!$F289)</f>
        <v/>
      </c>
      <c r="J289" s="16">
        <f>IF(OR($A289="",$D289=0),0,$F289/ABS($D289))</f>
        <v/>
      </c>
      <c r="K289" s="16">
        <f>IF($A289="","",ROUND($D289,2))</f>
        <v/>
      </c>
      <c r="L289" s="16">
        <f>IF($A289="","",ROUND($C289,2))</f>
        <v/>
      </c>
      <c r="M289" s="16">
        <f>IF($A289="","",IF($F289&lt;=toleransKurus,1,0))</f>
        <v/>
      </c>
      <c r="N289" s="16">
        <f>IF($A289="","",IF($F289&gt;cbb_esikFark,1,0))</f>
        <v/>
      </c>
      <c r="O289" s="16">
        <f>IF($A289="","",IF($G289="eslesti",$D289,0))</f>
        <v/>
      </c>
      <c r="P289" s="16">
        <f>IF($A289="","",$B289+$M289+$N289)</f>
        <v/>
      </c>
    </row>
    <row r="290">
      <c r="A290" s="16">
        <f>IF('ANAHTAR'!$B290="","",'ANAHTAR'!$B290)</f>
        <v/>
      </c>
      <c r="B290" s="16">
        <f>IF($A290="","",COUNTIF(tblAnahtarB[NormB],$A290))</f>
        <v/>
      </c>
      <c r="C290" s="16">
        <f>IF($A290="","",SUMIF(tblAnahtarB[NormB],$A290,tblVeriB[BeyanTutar]))</f>
        <v/>
      </c>
      <c r="D290" s="16">
        <f>IF($A290="","",SUMIF(tblAnahtarA[Norm],$A290,tblVeriA[Tutar]))</f>
        <v/>
      </c>
      <c r="E290" s="16">
        <f>IF($A290="","",ROUND($D290,2)-ROUND($C290,2))</f>
        <v/>
      </c>
      <c r="F290" s="16">
        <f>IF($A290="","",ABS($E290))</f>
        <v/>
      </c>
      <c r="G290" s="16">
        <f>IF($A290="","",IF($B290=0,"eslesmedi",IF(ROUND($D290,2)=ROUND($C290,2),"eslesti",IF(ABS(ROUND($D290,2)-ROUND($C290,2))&lt;=toleransKurus,"tolerans_icinde","tutar_farki"))))</f>
        <v/>
      </c>
      <c r="H290" s="16">
        <f>IF($A290="","",IF($B290&gt;0,"BIRINCIL",IF(COUNTIF(tblAnahtarB[IkincilB],'ANAHTAR'!$D290)&gt;0,"IKINCIL","YOK")))</f>
        <v/>
      </c>
      <c r="I290" s="16">
        <f>IF($A290="","",'ANAHTAR'!$F290)</f>
        <v/>
      </c>
      <c r="J290" s="16">
        <f>IF(OR($A290="",$D290=0),0,$F290/ABS($D290))</f>
        <v/>
      </c>
      <c r="K290" s="16">
        <f>IF($A290="","",ROUND($D290,2))</f>
        <v/>
      </c>
      <c r="L290" s="16">
        <f>IF($A290="","",ROUND($C290,2))</f>
        <v/>
      </c>
      <c r="M290" s="16">
        <f>IF($A290="","",IF($F290&lt;=toleransKurus,1,0))</f>
        <v/>
      </c>
      <c r="N290" s="16">
        <f>IF($A290="","",IF($F290&gt;cbb_esikFark,1,0))</f>
        <v/>
      </c>
      <c r="O290" s="16">
        <f>IF($A290="","",IF($G290="eslesti",$D290,0))</f>
        <v/>
      </c>
      <c r="P290" s="16">
        <f>IF($A290="","",$B290+$M290+$N290)</f>
        <v/>
      </c>
    </row>
    <row r="291">
      <c r="A291" s="16">
        <f>IF('ANAHTAR'!$B291="","",'ANAHTAR'!$B291)</f>
        <v/>
      </c>
      <c r="B291" s="16">
        <f>IF($A291="","",COUNTIF(tblAnahtarB[NormB],$A291))</f>
        <v/>
      </c>
      <c r="C291" s="16">
        <f>IF($A291="","",SUMIF(tblAnahtarB[NormB],$A291,tblVeriB[BeyanTutar]))</f>
        <v/>
      </c>
      <c r="D291" s="16">
        <f>IF($A291="","",SUMIF(tblAnahtarA[Norm],$A291,tblVeriA[Tutar]))</f>
        <v/>
      </c>
      <c r="E291" s="16">
        <f>IF($A291="","",ROUND($D291,2)-ROUND($C291,2))</f>
        <v/>
      </c>
      <c r="F291" s="16">
        <f>IF($A291="","",ABS($E291))</f>
        <v/>
      </c>
      <c r="G291" s="16">
        <f>IF($A291="","",IF($B291=0,"eslesmedi",IF(ROUND($D291,2)=ROUND($C291,2),"eslesti",IF(ABS(ROUND($D291,2)-ROUND($C291,2))&lt;=toleransKurus,"tolerans_icinde","tutar_farki"))))</f>
        <v/>
      </c>
      <c r="H291" s="16">
        <f>IF($A291="","",IF($B291&gt;0,"BIRINCIL",IF(COUNTIF(tblAnahtarB[IkincilB],'ANAHTAR'!$D291)&gt;0,"IKINCIL","YOK")))</f>
        <v/>
      </c>
      <c r="I291" s="16">
        <f>IF($A291="","",'ANAHTAR'!$F291)</f>
        <v/>
      </c>
      <c r="J291" s="16">
        <f>IF(OR($A291="",$D291=0),0,$F291/ABS($D291))</f>
        <v/>
      </c>
      <c r="K291" s="16">
        <f>IF($A291="","",ROUND($D291,2))</f>
        <v/>
      </c>
      <c r="L291" s="16">
        <f>IF($A291="","",ROUND($C291,2))</f>
        <v/>
      </c>
      <c r="M291" s="16">
        <f>IF($A291="","",IF($F291&lt;=toleransKurus,1,0))</f>
        <v/>
      </c>
      <c r="N291" s="16">
        <f>IF($A291="","",IF($F291&gt;cbb_esikFark,1,0))</f>
        <v/>
      </c>
      <c r="O291" s="16">
        <f>IF($A291="","",IF($G291="eslesti",$D291,0))</f>
        <v/>
      </c>
      <c r="P291" s="16">
        <f>IF($A291="","",$B291+$M291+$N291)</f>
        <v/>
      </c>
    </row>
    <row r="292">
      <c r="A292" s="16">
        <f>IF('ANAHTAR'!$B292="","",'ANAHTAR'!$B292)</f>
        <v/>
      </c>
      <c r="B292" s="16">
        <f>IF($A292="","",COUNTIF(tblAnahtarB[NormB],$A292))</f>
        <v/>
      </c>
      <c r="C292" s="16">
        <f>IF($A292="","",SUMIF(tblAnahtarB[NormB],$A292,tblVeriB[BeyanTutar]))</f>
        <v/>
      </c>
      <c r="D292" s="16">
        <f>IF($A292="","",SUMIF(tblAnahtarA[Norm],$A292,tblVeriA[Tutar]))</f>
        <v/>
      </c>
      <c r="E292" s="16">
        <f>IF($A292="","",ROUND($D292,2)-ROUND($C292,2))</f>
        <v/>
      </c>
      <c r="F292" s="16">
        <f>IF($A292="","",ABS($E292))</f>
        <v/>
      </c>
      <c r="G292" s="16">
        <f>IF($A292="","",IF($B292=0,"eslesmedi",IF(ROUND($D292,2)=ROUND($C292,2),"eslesti",IF(ABS(ROUND($D292,2)-ROUND($C292,2))&lt;=toleransKurus,"tolerans_icinde","tutar_farki"))))</f>
        <v/>
      </c>
      <c r="H292" s="16">
        <f>IF($A292="","",IF($B292&gt;0,"BIRINCIL",IF(COUNTIF(tblAnahtarB[IkincilB],'ANAHTAR'!$D292)&gt;0,"IKINCIL","YOK")))</f>
        <v/>
      </c>
      <c r="I292" s="16">
        <f>IF($A292="","",'ANAHTAR'!$F292)</f>
        <v/>
      </c>
      <c r="J292" s="16">
        <f>IF(OR($A292="",$D292=0),0,$F292/ABS($D292))</f>
        <v/>
      </c>
      <c r="K292" s="16">
        <f>IF($A292="","",ROUND($D292,2))</f>
        <v/>
      </c>
      <c r="L292" s="16">
        <f>IF($A292="","",ROUND($C292,2))</f>
        <v/>
      </c>
      <c r="M292" s="16">
        <f>IF($A292="","",IF($F292&lt;=toleransKurus,1,0))</f>
        <v/>
      </c>
      <c r="N292" s="16">
        <f>IF($A292="","",IF($F292&gt;cbb_esikFark,1,0))</f>
        <v/>
      </c>
      <c r="O292" s="16">
        <f>IF($A292="","",IF($G292="eslesti",$D292,0))</f>
        <v/>
      </c>
      <c r="P292" s="16">
        <f>IF($A292="","",$B292+$M292+$N292)</f>
        <v/>
      </c>
    </row>
    <row r="293">
      <c r="A293" s="16">
        <f>IF('ANAHTAR'!$B293="","",'ANAHTAR'!$B293)</f>
        <v/>
      </c>
      <c r="B293" s="16">
        <f>IF($A293="","",COUNTIF(tblAnahtarB[NormB],$A293))</f>
        <v/>
      </c>
      <c r="C293" s="16">
        <f>IF($A293="","",SUMIF(tblAnahtarB[NormB],$A293,tblVeriB[BeyanTutar]))</f>
        <v/>
      </c>
      <c r="D293" s="16">
        <f>IF($A293="","",SUMIF(tblAnahtarA[Norm],$A293,tblVeriA[Tutar]))</f>
        <v/>
      </c>
      <c r="E293" s="16">
        <f>IF($A293="","",ROUND($D293,2)-ROUND($C293,2))</f>
        <v/>
      </c>
      <c r="F293" s="16">
        <f>IF($A293="","",ABS($E293))</f>
        <v/>
      </c>
      <c r="G293" s="16">
        <f>IF($A293="","",IF($B293=0,"eslesmedi",IF(ROUND($D293,2)=ROUND($C293,2),"eslesti",IF(ABS(ROUND($D293,2)-ROUND($C293,2))&lt;=toleransKurus,"tolerans_icinde","tutar_farki"))))</f>
        <v/>
      </c>
      <c r="H293" s="16">
        <f>IF($A293="","",IF($B293&gt;0,"BIRINCIL",IF(COUNTIF(tblAnahtarB[IkincilB],'ANAHTAR'!$D293)&gt;0,"IKINCIL","YOK")))</f>
        <v/>
      </c>
      <c r="I293" s="16">
        <f>IF($A293="","",'ANAHTAR'!$F293)</f>
        <v/>
      </c>
      <c r="J293" s="16">
        <f>IF(OR($A293="",$D293=0),0,$F293/ABS($D293))</f>
        <v/>
      </c>
      <c r="K293" s="16">
        <f>IF($A293="","",ROUND($D293,2))</f>
        <v/>
      </c>
      <c r="L293" s="16">
        <f>IF($A293="","",ROUND($C293,2))</f>
        <v/>
      </c>
      <c r="M293" s="16">
        <f>IF($A293="","",IF($F293&lt;=toleransKurus,1,0))</f>
        <v/>
      </c>
      <c r="N293" s="16">
        <f>IF($A293="","",IF($F293&gt;cbb_esikFark,1,0))</f>
        <v/>
      </c>
      <c r="O293" s="16">
        <f>IF($A293="","",IF($G293="eslesti",$D293,0))</f>
        <v/>
      </c>
      <c r="P293" s="16">
        <f>IF($A293="","",$B293+$M293+$N293)</f>
        <v/>
      </c>
    </row>
    <row r="294">
      <c r="A294" s="16">
        <f>IF('ANAHTAR'!$B294="","",'ANAHTAR'!$B294)</f>
        <v/>
      </c>
      <c r="B294" s="16">
        <f>IF($A294="","",COUNTIF(tblAnahtarB[NormB],$A294))</f>
        <v/>
      </c>
      <c r="C294" s="16">
        <f>IF($A294="","",SUMIF(tblAnahtarB[NormB],$A294,tblVeriB[BeyanTutar]))</f>
        <v/>
      </c>
      <c r="D294" s="16">
        <f>IF($A294="","",SUMIF(tblAnahtarA[Norm],$A294,tblVeriA[Tutar]))</f>
        <v/>
      </c>
      <c r="E294" s="16">
        <f>IF($A294="","",ROUND($D294,2)-ROUND($C294,2))</f>
        <v/>
      </c>
      <c r="F294" s="16">
        <f>IF($A294="","",ABS($E294))</f>
        <v/>
      </c>
      <c r="G294" s="16">
        <f>IF($A294="","",IF($B294=0,"eslesmedi",IF(ROUND($D294,2)=ROUND($C294,2),"eslesti",IF(ABS(ROUND($D294,2)-ROUND($C294,2))&lt;=toleransKurus,"tolerans_icinde","tutar_farki"))))</f>
        <v/>
      </c>
      <c r="H294" s="16">
        <f>IF($A294="","",IF($B294&gt;0,"BIRINCIL",IF(COUNTIF(tblAnahtarB[IkincilB],'ANAHTAR'!$D294)&gt;0,"IKINCIL","YOK")))</f>
        <v/>
      </c>
      <c r="I294" s="16">
        <f>IF($A294="","",'ANAHTAR'!$F294)</f>
        <v/>
      </c>
      <c r="J294" s="16">
        <f>IF(OR($A294="",$D294=0),0,$F294/ABS($D294))</f>
        <v/>
      </c>
      <c r="K294" s="16">
        <f>IF($A294="","",ROUND($D294,2))</f>
        <v/>
      </c>
      <c r="L294" s="16">
        <f>IF($A294="","",ROUND($C294,2))</f>
        <v/>
      </c>
      <c r="M294" s="16">
        <f>IF($A294="","",IF($F294&lt;=toleransKurus,1,0))</f>
        <v/>
      </c>
      <c r="N294" s="16">
        <f>IF($A294="","",IF($F294&gt;cbb_esikFark,1,0))</f>
        <v/>
      </c>
      <c r="O294" s="16">
        <f>IF($A294="","",IF($G294="eslesti",$D294,0))</f>
        <v/>
      </c>
      <c r="P294" s="16">
        <f>IF($A294="","",$B294+$M294+$N294)</f>
        <v/>
      </c>
    </row>
    <row r="295">
      <c r="A295" s="16">
        <f>IF('ANAHTAR'!$B295="","",'ANAHTAR'!$B295)</f>
        <v/>
      </c>
      <c r="B295" s="16">
        <f>IF($A295="","",COUNTIF(tblAnahtarB[NormB],$A295))</f>
        <v/>
      </c>
      <c r="C295" s="16">
        <f>IF($A295="","",SUMIF(tblAnahtarB[NormB],$A295,tblVeriB[BeyanTutar]))</f>
        <v/>
      </c>
      <c r="D295" s="16">
        <f>IF($A295="","",SUMIF(tblAnahtarA[Norm],$A295,tblVeriA[Tutar]))</f>
        <v/>
      </c>
      <c r="E295" s="16">
        <f>IF($A295="","",ROUND($D295,2)-ROUND($C295,2))</f>
        <v/>
      </c>
      <c r="F295" s="16">
        <f>IF($A295="","",ABS($E295))</f>
        <v/>
      </c>
      <c r="G295" s="16">
        <f>IF($A295="","",IF($B295=0,"eslesmedi",IF(ROUND($D295,2)=ROUND($C295,2),"eslesti",IF(ABS(ROUND($D295,2)-ROUND($C295,2))&lt;=toleransKurus,"tolerans_icinde","tutar_farki"))))</f>
        <v/>
      </c>
      <c r="H295" s="16">
        <f>IF($A295="","",IF($B295&gt;0,"BIRINCIL",IF(COUNTIF(tblAnahtarB[IkincilB],'ANAHTAR'!$D295)&gt;0,"IKINCIL","YOK")))</f>
        <v/>
      </c>
      <c r="I295" s="16">
        <f>IF($A295="","",'ANAHTAR'!$F295)</f>
        <v/>
      </c>
      <c r="J295" s="16">
        <f>IF(OR($A295="",$D295=0),0,$F295/ABS($D295))</f>
        <v/>
      </c>
      <c r="K295" s="16">
        <f>IF($A295="","",ROUND($D295,2))</f>
        <v/>
      </c>
      <c r="L295" s="16">
        <f>IF($A295="","",ROUND($C295,2))</f>
        <v/>
      </c>
      <c r="M295" s="16">
        <f>IF($A295="","",IF($F295&lt;=toleransKurus,1,0))</f>
        <v/>
      </c>
      <c r="N295" s="16">
        <f>IF($A295="","",IF($F295&gt;cbb_esikFark,1,0))</f>
        <v/>
      </c>
      <c r="O295" s="16">
        <f>IF($A295="","",IF($G295="eslesti",$D295,0))</f>
        <v/>
      </c>
      <c r="P295" s="16">
        <f>IF($A295="","",$B295+$M295+$N295)</f>
        <v/>
      </c>
    </row>
    <row r="296">
      <c r="A296" s="16">
        <f>IF('ANAHTAR'!$B296="","",'ANAHTAR'!$B296)</f>
        <v/>
      </c>
      <c r="B296" s="16">
        <f>IF($A296="","",COUNTIF(tblAnahtarB[NormB],$A296))</f>
        <v/>
      </c>
      <c r="C296" s="16">
        <f>IF($A296="","",SUMIF(tblAnahtarB[NormB],$A296,tblVeriB[BeyanTutar]))</f>
        <v/>
      </c>
      <c r="D296" s="16">
        <f>IF($A296="","",SUMIF(tblAnahtarA[Norm],$A296,tblVeriA[Tutar]))</f>
        <v/>
      </c>
      <c r="E296" s="16">
        <f>IF($A296="","",ROUND($D296,2)-ROUND($C296,2))</f>
        <v/>
      </c>
      <c r="F296" s="16">
        <f>IF($A296="","",ABS($E296))</f>
        <v/>
      </c>
      <c r="G296" s="16">
        <f>IF($A296="","",IF($B296=0,"eslesmedi",IF(ROUND($D296,2)=ROUND($C296,2),"eslesti",IF(ABS(ROUND($D296,2)-ROUND($C296,2))&lt;=toleransKurus,"tolerans_icinde","tutar_farki"))))</f>
        <v/>
      </c>
      <c r="H296" s="16">
        <f>IF($A296="","",IF($B296&gt;0,"BIRINCIL",IF(COUNTIF(tblAnahtarB[IkincilB],'ANAHTAR'!$D296)&gt;0,"IKINCIL","YOK")))</f>
        <v/>
      </c>
      <c r="I296" s="16">
        <f>IF($A296="","",'ANAHTAR'!$F296)</f>
        <v/>
      </c>
      <c r="J296" s="16">
        <f>IF(OR($A296="",$D296=0),0,$F296/ABS($D296))</f>
        <v/>
      </c>
      <c r="K296" s="16">
        <f>IF($A296="","",ROUND($D296,2))</f>
        <v/>
      </c>
      <c r="L296" s="16">
        <f>IF($A296="","",ROUND($C296,2))</f>
        <v/>
      </c>
      <c r="M296" s="16">
        <f>IF($A296="","",IF($F296&lt;=toleransKurus,1,0))</f>
        <v/>
      </c>
      <c r="N296" s="16">
        <f>IF($A296="","",IF($F296&gt;cbb_esikFark,1,0))</f>
        <v/>
      </c>
      <c r="O296" s="16">
        <f>IF($A296="","",IF($G296="eslesti",$D296,0))</f>
        <v/>
      </c>
      <c r="P296" s="16">
        <f>IF($A296="","",$B296+$M296+$N296)</f>
        <v/>
      </c>
    </row>
    <row r="297">
      <c r="A297" s="16">
        <f>IF('ANAHTAR'!$B297="","",'ANAHTAR'!$B297)</f>
        <v/>
      </c>
      <c r="B297" s="16">
        <f>IF($A297="","",COUNTIF(tblAnahtarB[NormB],$A297))</f>
        <v/>
      </c>
      <c r="C297" s="16">
        <f>IF($A297="","",SUMIF(tblAnahtarB[NormB],$A297,tblVeriB[BeyanTutar]))</f>
        <v/>
      </c>
      <c r="D297" s="16">
        <f>IF($A297="","",SUMIF(tblAnahtarA[Norm],$A297,tblVeriA[Tutar]))</f>
        <v/>
      </c>
      <c r="E297" s="16">
        <f>IF($A297="","",ROUND($D297,2)-ROUND($C297,2))</f>
        <v/>
      </c>
      <c r="F297" s="16">
        <f>IF($A297="","",ABS($E297))</f>
        <v/>
      </c>
      <c r="G297" s="16">
        <f>IF($A297="","",IF($B297=0,"eslesmedi",IF(ROUND($D297,2)=ROUND($C297,2),"eslesti",IF(ABS(ROUND($D297,2)-ROUND($C297,2))&lt;=toleransKurus,"tolerans_icinde","tutar_farki"))))</f>
        <v/>
      </c>
      <c r="H297" s="16">
        <f>IF($A297="","",IF($B297&gt;0,"BIRINCIL",IF(COUNTIF(tblAnahtarB[IkincilB],'ANAHTAR'!$D297)&gt;0,"IKINCIL","YOK")))</f>
        <v/>
      </c>
      <c r="I297" s="16">
        <f>IF($A297="","",'ANAHTAR'!$F297)</f>
        <v/>
      </c>
      <c r="J297" s="16">
        <f>IF(OR($A297="",$D297=0),0,$F297/ABS($D297))</f>
        <v/>
      </c>
      <c r="K297" s="16">
        <f>IF($A297="","",ROUND($D297,2))</f>
        <v/>
      </c>
      <c r="L297" s="16">
        <f>IF($A297="","",ROUND($C297,2))</f>
        <v/>
      </c>
      <c r="M297" s="16">
        <f>IF($A297="","",IF($F297&lt;=toleransKurus,1,0))</f>
        <v/>
      </c>
      <c r="N297" s="16">
        <f>IF($A297="","",IF($F297&gt;cbb_esikFark,1,0))</f>
        <v/>
      </c>
      <c r="O297" s="16">
        <f>IF($A297="","",IF($G297="eslesti",$D297,0))</f>
        <v/>
      </c>
      <c r="P297" s="16">
        <f>IF($A297="","",$B297+$M297+$N297)</f>
        <v/>
      </c>
    </row>
    <row r="298">
      <c r="A298" s="16">
        <f>IF('ANAHTAR'!$B298="","",'ANAHTAR'!$B298)</f>
        <v/>
      </c>
      <c r="B298" s="16">
        <f>IF($A298="","",COUNTIF(tblAnahtarB[NormB],$A298))</f>
        <v/>
      </c>
      <c r="C298" s="16">
        <f>IF($A298="","",SUMIF(tblAnahtarB[NormB],$A298,tblVeriB[BeyanTutar]))</f>
        <v/>
      </c>
      <c r="D298" s="16">
        <f>IF($A298="","",SUMIF(tblAnahtarA[Norm],$A298,tblVeriA[Tutar]))</f>
        <v/>
      </c>
      <c r="E298" s="16">
        <f>IF($A298="","",ROUND($D298,2)-ROUND($C298,2))</f>
        <v/>
      </c>
      <c r="F298" s="16">
        <f>IF($A298="","",ABS($E298))</f>
        <v/>
      </c>
      <c r="G298" s="16">
        <f>IF($A298="","",IF($B298=0,"eslesmedi",IF(ROUND($D298,2)=ROUND($C298,2),"eslesti",IF(ABS(ROUND($D298,2)-ROUND($C298,2))&lt;=toleransKurus,"tolerans_icinde","tutar_farki"))))</f>
        <v/>
      </c>
      <c r="H298" s="16">
        <f>IF($A298="","",IF($B298&gt;0,"BIRINCIL",IF(COUNTIF(tblAnahtarB[IkincilB],'ANAHTAR'!$D298)&gt;0,"IKINCIL","YOK")))</f>
        <v/>
      </c>
      <c r="I298" s="16">
        <f>IF($A298="","",'ANAHTAR'!$F298)</f>
        <v/>
      </c>
      <c r="J298" s="16">
        <f>IF(OR($A298="",$D298=0),0,$F298/ABS($D298))</f>
        <v/>
      </c>
      <c r="K298" s="16">
        <f>IF($A298="","",ROUND($D298,2))</f>
        <v/>
      </c>
      <c r="L298" s="16">
        <f>IF($A298="","",ROUND($C298,2))</f>
        <v/>
      </c>
      <c r="M298" s="16">
        <f>IF($A298="","",IF($F298&lt;=toleransKurus,1,0))</f>
        <v/>
      </c>
      <c r="N298" s="16">
        <f>IF($A298="","",IF($F298&gt;cbb_esikFark,1,0))</f>
        <v/>
      </c>
      <c r="O298" s="16">
        <f>IF($A298="","",IF($G298="eslesti",$D298,0))</f>
        <v/>
      </c>
      <c r="P298" s="16">
        <f>IF($A298="","",$B298+$M298+$N298)</f>
        <v/>
      </c>
    </row>
    <row r="299">
      <c r="A299" s="16">
        <f>IF('ANAHTAR'!$B299="","",'ANAHTAR'!$B299)</f>
        <v/>
      </c>
      <c r="B299" s="16">
        <f>IF($A299="","",COUNTIF(tblAnahtarB[NormB],$A299))</f>
        <v/>
      </c>
      <c r="C299" s="16">
        <f>IF($A299="","",SUMIF(tblAnahtarB[NormB],$A299,tblVeriB[BeyanTutar]))</f>
        <v/>
      </c>
      <c r="D299" s="16">
        <f>IF($A299="","",SUMIF(tblAnahtarA[Norm],$A299,tblVeriA[Tutar]))</f>
        <v/>
      </c>
      <c r="E299" s="16">
        <f>IF($A299="","",ROUND($D299,2)-ROUND($C299,2))</f>
        <v/>
      </c>
      <c r="F299" s="16">
        <f>IF($A299="","",ABS($E299))</f>
        <v/>
      </c>
      <c r="G299" s="16">
        <f>IF($A299="","",IF($B299=0,"eslesmedi",IF(ROUND($D299,2)=ROUND($C299,2),"eslesti",IF(ABS(ROUND($D299,2)-ROUND($C299,2))&lt;=toleransKurus,"tolerans_icinde","tutar_farki"))))</f>
        <v/>
      </c>
      <c r="H299" s="16">
        <f>IF($A299="","",IF($B299&gt;0,"BIRINCIL",IF(COUNTIF(tblAnahtarB[IkincilB],'ANAHTAR'!$D299)&gt;0,"IKINCIL","YOK")))</f>
        <v/>
      </c>
      <c r="I299" s="16">
        <f>IF($A299="","",'ANAHTAR'!$F299)</f>
        <v/>
      </c>
      <c r="J299" s="16">
        <f>IF(OR($A299="",$D299=0),0,$F299/ABS($D299))</f>
        <v/>
      </c>
      <c r="K299" s="16">
        <f>IF($A299="","",ROUND($D299,2))</f>
        <v/>
      </c>
      <c r="L299" s="16">
        <f>IF($A299="","",ROUND($C299,2))</f>
        <v/>
      </c>
      <c r="M299" s="16">
        <f>IF($A299="","",IF($F299&lt;=toleransKurus,1,0))</f>
        <v/>
      </c>
      <c r="N299" s="16">
        <f>IF($A299="","",IF($F299&gt;cbb_esikFark,1,0))</f>
        <v/>
      </c>
      <c r="O299" s="16">
        <f>IF($A299="","",IF($G299="eslesti",$D299,0))</f>
        <v/>
      </c>
      <c r="P299" s="16">
        <f>IF($A299="","",$B299+$M299+$N299)</f>
        <v/>
      </c>
    </row>
    <row r="300">
      <c r="A300" s="16">
        <f>IF('ANAHTAR'!$B300="","",'ANAHTAR'!$B300)</f>
        <v/>
      </c>
      <c r="B300" s="16">
        <f>IF($A300="","",COUNTIF(tblAnahtarB[NormB],$A300))</f>
        <v/>
      </c>
      <c r="C300" s="16">
        <f>IF($A300="","",SUMIF(tblAnahtarB[NormB],$A300,tblVeriB[BeyanTutar]))</f>
        <v/>
      </c>
      <c r="D300" s="16">
        <f>IF($A300="","",SUMIF(tblAnahtarA[Norm],$A300,tblVeriA[Tutar]))</f>
        <v/>
      </c>
      <c r="E300" s="16">
        <f>IF($A300="","",ROUND($D300,2)-ROUND($C300,2))</f>
        <v/>
      </c>
      <c r="F300" s="16">
        <f>IF($A300="","",ABS($E300))</f>
        <v/>
      </c>
      <c r="G300" s="16">
        <f>IF($A300="","",IF($B300=0,"eslesmedi",IF(ROUND($D300,2)=ROUND($C300,2),"eslesti",IF(ABS(ROUND($D300,2)-ROUND($C300,2))&lt;=toleransKurus,"tolerans_icinde","tutar_farki"))))</f>
        <v/>
      </c>
      <c r="H300" s="16">
        <f>IF($A300="","",IF($B300&gt;0,"BIRINCIL",IF(COUNTIF(tblAnahtarB[IkincilB],'ANAHTAR'!$D300)&gt;0,"IKINCIL","YOK")))</f>
        <v/>
      </c>
      <c r="I300" s="16">
        <f>IF($A300="","",'ANAHTAR'!$F300)</f>
        <v/>
      </c>
      <c r="J300" s="16">
        <f>IF(OR($A300="",$D300=0),0,$F300/ABS($D300))</f>
        <v/>
      </c>
      <c r="K300" s="16">
        <f>IF($A300="","",ROUND($D300,2))</f>
        <v/>
      </c>
      <c r="L300" s="16">
        <f>IF($A300="","",ROUND($C300,2))</f>
        <v/>
      </c>
      <c r="M300" s="16">
        <f>IF($A300="","",IF($F300&lt;=toleransKurus,1,0))</f>
        <v/>
      </c>
      <c r="N300" s="16">
        <f>IF($A300="","",IF($F300&gt;cbb_esikFark,1,0))</f>
        <v/>
      </c>
      <c r="O300" s="16">
        <f>IF($A300="","",IF($G300="eslesti",$D300,0))</f>
        <v/>
      </c>
      <c r="P300" s="16">
        <f>IF($A300="","",$B300+$M300+$N300)</f>
        <v/>
      </c>
    </row>
    <row r="301">
      <c r="A301" s="16">
        <f>IF('ANAHTAR'!$B301="","",'ANAHTAR'!$B301)</f>
        <v/>
      </c>
      <c r="B301" s="16">
        <f>IF($A301="","",COUNTIF(tblAnahtarB[NormB],$A301))</f>
        <v/>
      </c>
      <c r="C301" s="16">
        <f>IF($A301="","",SUMIF(tblAnahtarB[NormB],$A301,tblVeriB[BeyanTutar]))</f>
        <v/>
      </c>
      <c r="D301" s="16">
        <f>IF($A301="","",SUMIF(tblAnahtarA[Norm],$A301,tblVeriA[Tutar]))</f>
        <v/>
      </c>
      <c r="E301" s="16">
        <f>IF($A301="","",ROUND($D301,2)-ROUND($C301,2))</f>
        <v/>
      </c>
      <c r="F301" s="16">
        <f>IF($A301="","",ABS($E301))</f>
        <v/>
      </c>
      <c r="G301" s="16">
        <f>IF($A301="","",IF($B301=0,"eslesmedi",IF(ROUND($D301,2)=ROUND($C301,2),"eslesti",IF(ABS(ROUND($D301,2)-ROUND($C301,2))&lt;=toleransKurus,"tolerans_icinde","tutar_farki"))))</f>
        <v/>
      </c>
      <c r="H301" s="16">
        <f>IF($A301="","",IF($B301&gt;0,"BIRINCIL",IF(COUNTIF(tblAnahtarB[IkincilB],'ANAHTAR'!$D301)&gt;0,"IKINCIL","YOK")))</f>
        <v/>
      </c>
      <c r="I301" s="16">
        <f>IF($A301="","",'ANAHTAR'!$F301)</f>
        <v/>
      </c>
      <c r="J301" s="16">
        <f>IF(OR($A301="",$D301=0),0,$F301/ABS($D301))</f>
        <v/>
      </c>
      <c r="K301" s="16">
        <f>IF($A301="","",ROUND($D301,2))</f>
        <v/>
      </c>
      <c r="L301" s="16">
        <f>IF($A301="","",ROUND($C301,2))</f>
        <v/>
      </c>
      <c r="M301" s="16">
        <f>IF($A301="","",IF($F301&lt;=toleransKurus,1,0))</f>
        <v/>
      </c>
      <c r="N301" s="16">
        <f>IF($A301="","",IF($F301&gt;cbb_esikFark,1,0))</f>
        <v/>
      </c>
      <c r="O301" s="16">
        <f>IF($A301="","",IF($G301="eslesti",$D301,0))</f>
        <v/>
      </c>
      <c r="P301" s="16">
        <f>IF($A301="","",$B301+$M301+$N301)</f>
        <v/>
      </c>
    </row>
    <row r="302">
      <c r="A302" s="16">
        <f>IF('ANAHTAR'!$B302="","",'ANAHTAR'!$B302)</f>
        <v/>
      </c>
      <c r="B302" s="16">
        <f>IF($A302="","",COUNTIF(tblAnahtarB[NormB],$A302))</f>
        <v/>
      </c>
      <c r="C302" s="16">
        <f>IF($A302="","",SUMIF(tblAnahtarB[NormB],$A302,tblVeriB[BeyanTutar]))</f>
        <v/>
      </c>
      <c r="D302" s="16">
        <f>IF($A302="","",SUMIF(tblAnahtarA[Norm],$A302,tblVeriA[Tutar]))</f>
        <v/>
      </c>
      <c r="E302" s="16">
        <f>IF($A302="","",ROUND($D302,2)-ROUND($C302,2))</f>
        <v/>
      </c>
      <c r="F302" s="16">
        <f>IF($A302="","",ABS($E302))</f>
        <v/>
      </c>
      <c r="G302" s="16">
        <f>IF($A302="","",IF($B302=0,"eslesmedi",IF(ROUND($D302,2)=ROUND($C302,2),"eslesti",IF(ABS(ROUND($D302,2)-ROUND($C302,2))&lt;=toleransKurus,"tolerans_icinde","tutar_farki"))))</f>
        <v/>
      </c>
      <c r="H302" s="16">
        <f>IF($A302="","",IF($B302&gt;0,"BIRINCIL",IF(COUNTIF(tblAnahtarB[IkincilB],'ANAHTAR'!$D302)&gt;0,"IKINCIL","YOK")))</f>
        <v/>
      </c>
      <c r="I302" s="16">
        <f>IF($A302="","",'ANAHTAR'!$F302)</f>
        <v/>
      </c>
      <c r="J302" s="16">
        <f>IF(OR($A302="",$D302=0),0,$F302/ABS($D302))</f>
        <v/>
      </c>
      <c r="K302" s="16">
        <f>IF($A302="","",ROUND($D302,2))</f>
        <v/>
      </c>
      <c r="L302" s="16">
        <f>IF($A302="","",ROUND($C302,2))</f>
        <v/>
      </c>
      <c r="M302" s="16">
        <f>IF($A302="","",IF($F302&lt;=toleransKurus,1,0))</f>
        <v/>
      </c>
      <c r="N302" s="16">
        <f>IF($A302="","",IF($F302&gt;cbb_esikFark,1,0))</f>
        <v/>
      </c>
      <c r="O302" s="16">
        <f>IF($A302="","",IF($G302="eslesti",$D302,0))</f>
        <v/>
      </c>
      <c r="P302" s="16">
        <f>IF($A302="","",$B302+$M302+$N302)</f>
        <v/>
      </c>
    </row>
    <row r="303">
      <c r="A303" s="16">
        <f>IF('ANAHTAR'!$B303="","",'ANAHTAR'!$B303)</f>
        <v/>
      </c>
      <c r="B303" s="16">
        <f>IF($A303="","",COUNTIF(tblAnahtarB[NormB],$A303))</f>
        <v/>
      </c>
      <c r="C303" s="16">
        <f>IF($A303="","",SUMIF(tblAnahtarB[NormB],$A303,tblVeriB[BeyanTutar]))</f>
        <v/>
      </c>
      <c r="D303" s="16">
        <f>IF($A303="","",SUMIF(tblAnahtarA[Norm],$A303,tblVeriA[Tutar]))</f>
        <v/>
      </c>
      <c r="E303" s="16">
        <f>IF($A303="","",ROUND($D303,2)-ROUND($C303,2))</f>
        <v/>
      </c>
      <c r="F303" s="16">
        <f>IF($A303="","",ABS($E303))</f>
        <v/>
      </c>
      <c r="G303" s="16">
        <f>IF($A303="","",IF($B303=0,"eslesmedi",IF(ROUND($D303,2)=ROUND($C303,2),"eslesti",IF(ABS(ROUND($D303,2)-ROUND($C303,2))&lt;=toleransKurus,"tolerans_icinde","tutar_farki"))))</f>
        <v/>
      </c>
      <c r="H303" s="16">
        <f>IF($A303="","",IF($B303&gt;0,"BIRINCIL",IF(COUNTIF(tblAnahtarB[IkincilB],'ANAHTAR'!$D303)&gt;0,"IKINCIL","YOK")))</f>
        <v/>
      </c>
      <c r="I303" s="16">
        <f>IF($A303="","",'ANAHTAR'!$F303)</f>
        <v/>
      </c>
      <c r="J303" s="16">
        <f>IF(OR($A303="",$D303=0),0,$F303/ABS($D303))</f>
        <v/>
      </c>
      <c r="K303" s="16">
        <f>IF($A303="","",ROUND($D303,2))</f>
        <v/>
      </c>
      <c r="L303" s="16">
        <f>IF($A303="","",ROUND($C303,2))</f>
        <v/>
      </c>
      <c r="M303" s="16">
        <f>IF($A303="","",IF($F303&lt;=toleransKurus,1,0))</f>
        <v/>
      </c>
      <c r="N303" s="16">
        <f>IF($A303="","",IF($F303&gt;cbb_esikFark,1,0))</f>
        <v/>
      </c>
      <c r="O303" s="16">
        <f>IF($A303="","",IF($G303="eslesti",$D303,0))</f>
        <v/>
      </c>
      <c r="P303" s="16">
        <f>IF($A303="","",$B303+$M303+$N303)</f>
        <v/>
      </c>
    </row>
    <row r="304">
      <c r="A304" s="16">
        <f>IF('ANAHTAR'!$B304="","",'ANAHTAR'!$B304)</f>
        <v/>
      </c>
      <c r="B304" s="16">
        <f>IF($A304="","",COUNTIF(tblAnahtarB[NormB],$A304))</f>
        <v/>
      </c>
      <c r="C304" s="16">
        <f>IF($A304="","",SUMIF(tblAnahtarB[NormB],$A304,tblVeriB[BeyanTutar]))</f>
        <v/>
      </c>
      <c r="D304" s="16">
        <f>IF($A304="","",SUMIF(tblAnahtarA[Norm],$A304,tblVeriA[Tutar]))</f>
        <v/>
      </c>
      <c r="E304" s="16">
        <f>IF($A304="","",ROUND($D304,2)-ROUND($C304,2))</f>
        <v/>
      </c>
      <c r="F304" s="16">
        <f>IF($A304="","",ABS($E304))</f>
        <v/>
      </c>
      <c r="G304" s="16">
        <f>IF($A304="","",IF($B304=0,"eslesmedi",IF(ROUND($D304,2)=ROUND($C304,2),"eslesti",IF(ABS(ROUND($D304,2)-ROUND($C304,2))&lt;=toleransKurus,"tolerans_icinde","tutar_farki"))))</f>
        <v/>
      </c>
      <c r="H304" s="16">
        <f>IF($A304="","",IF($B304&gt;0,"BIRINCIL",IF(COUNTIF(tblAnahtarB[IkincilB],'ANAHTAR'!$D304)&gt;0,"IKINCIL","YOK")))</f>
        <v/>
      </c>
      <c r="I304" s="16">
        <f>IF($A304="","",'ANAHTAR'!$F304)</f>
        <v/>
      </c>
      <c r="J304" s="16">
        <f>IF(OR($A304="",$D304=0),0,$F304/ABS($D304))</f>
        <v/>
      </c>
      <c r="K304" s="16">
        <f>IF($A304="","",ROUND($D304,2))</f>
        <v/>
      </c>
      <c r="L304" s="16">
        <f>IF($A304="","",ROUND($C304,2))</f>
        <v/>
      </c>
      <c r="M304" s="16">
        <f>IF($A304="","",IF($F304&lt;=toleransKurus,1,0))</f>
        <v/>
      </c>
      <c r="N304" s="16">
        <f>IF($A304="","",IF($F304&gt;cbb_esikFark,1,0))</f>
        <v/>
      </c>
      <c r="O304" s="16">
        <f>IF($A304="","",IF($G304="eslesti",$D304,0))</f>
        <v/>
      </c>
      <c r="P304" s="16">
        <f>IF($A304="","",$B304+$M304+$N304)</f>
        <v/>
      </c>
    </row>
    <row r="305">
      <c r="A305" s="16">
        <f>IF('ANAHTAR'!$B305="","",'ANAHTAR'!$B305)</f>
        <v/>
      </c>
      <c r="B305" s="16">
        <f>IF($A305="","",COUNTIF(tblAnahtarB[NormB],$A305))</f>
        <v/>
      </c>
      <c r="C305" s="16">
        <f>IF($A305="","",SUMIF(tblAnahtarB[NormB],$A305,tblVeriB[BeyanTutar]))</f>
        <v/>
      </c>
      <c r="D305" s="16">
        <f>IF($A305="","",SUMIF(tblAnahtarA[Norm],$A305,tblVeriA[Tutar]))</f>
        <v/>
      </c>
      <c r="E305" s="16">
        <f>IF($A305="","",ROUND($D305,2)-ROUND($C305,2))</f>
        <v/>
      </c>
      <c r="F305" s="16">
        <f>IF($A305="","",ABS($E305))</f>
        <v/>
      </c>
      <c r="G305" s="16">
        <f>IF($A305="","",IF($B305=0,"eslesmedi",IF(ROUND($D305,2)=ROUND($C305,2),"eslesti",IF(ABS(ROUND($D305,2)-ROUND($C305,2))&lt;=toleransKurus,"tolerans_icinde","tutar_farki"))))</f>
        <v/>
      </c>
      <c r="H305" s="16">
        <f>IF($A305="","",IF($B305&gt;0,"BIRINCIL",IF(COUNTIF(tblAnahtarB[IkincilB],'ANAHTAR'!$D305)&gt;0,"IKINCIL","YOK")))</f>
        <v/>
      </c>
      <c r="I305" s="16">
        <f>IF($A305="","",'ANAHTAR'!$F305)</f>
        <v/>
      </c>
      <c r="J305" s="16">
        <f>IF(OR($A305="",$D305=0),0,$F305/ABS($D305))</f>
        <v/>
      </c>
      <c r="K305" s="16">
        <f>IF($A305="","",ROUND($D305,2))</f>
        <v/>
      </c>
      <c r="L305" s="16">
        <f>IF($A305="","",ROUND($C305,2))</f>
        <v/>
      </c>
      <c r="M305" s="16">
        <f>IF($A305="","",IF($F305&lt;=toleransKurus,1,0))</f>
        <v/>
      </c>
      <c r="N305" s="16">
        <f>IF($A305="","",IF($F305&gt;cbb_esikFark,1,0))</f>
        <v/>
      </c>
      <c r="O305" s="16">
        <f>IF($A305="","",IF($G305="eslesti",$D305,0))</f>
        <v/>
      </c>
      <c r="P305" s="16">
        <f>IF($A305="","",$B305+$M305+$N305)</f>
        <v/>
      </c>
    </row>
    <row r="306">
      <c r="A306" s="16">
        <f>IF('ANAHTAR'!$B306="","",'ANAHTAR'!$B306)</f>
        <v/>
      </c>
      <c r="B306" s="16">
        <f>IF($A306="","",COUNTIF(tblAnahtarB[NormB],$A306))</f>
        <v/>
      </c>
      <c r="C306" s="16">
        <f>IF($A306="","",SUMIF(tblAnahtarB[NormB],$A306,tblVeriB[BeyanTutar]))</f>
        <v/>
      </c>
      <c r="D306" s="16">
        <f>IF($A306="","",SUMIF(tblAnahtarA[Norm],$A306,tblVeriA[Tutar]))</f>
        <v/>
      </c>
      <c r="E306" s="16">
        <f>IF($A306="","",ROUND($D306,2)-ROUND($C306,2))</f>
        <v/>
      </c>
      <c r="F306" s="16">
        <f>IF($A306="","",ABS($E306))</f>
        <v/>
      </c>
      <c r="G306" s="16">
        <f>IF($A306="","",IF($B306=0,"eslesmedi",IF(ROUND($D306,2)=ROUND($C306,2),"eslesti",IF(ABS(ROUND($D306,2)-ROUND($C306,2))&lt;=toleransKurus,"tolerans_icinde","tutar_farki"))))</f>
        <v/>
      </c>
      <c r="H306" s="16">
        <f>IF($A306="","",IF($B306&gt;0,"BIRINCIL",IF(COUNTIF(tblAnahtarB[IkincilB],'ANAHTAR'!$D306)&gt;0,"IKINCIL","YOK")))</f>
        <v/>
      </c>
      <c r="I306" s="16">
        <f>IF($A306="","",'ANAHTAR'!$F306)</f>
        <v/>
      </c>
      <c r="J306" s="16">
        <f>IF(OR($A306="",$D306=0),0,$F306/ABS($D306))</f>
        <v/>
      </c>
      <c r="K306" s="16">
        <f>IF($A306="","",ROUND($D306,2))</f>
        <v/>
      </c>
      <c r="L306" s="16">
        <f>IF($A306="","",ROUND($C306,2))</f>
        <v/>
      </c>
      <c r="M306" s="16">
        <f>IF($A306="","",IF($F306&lt;=toleransKurus,1,0))</f>
        <v/>
      </c>
      <c r="N306" s="16">
        <f>IF($A306="","",IF($F306&gt;cbb_esikFark,1,0))</f>
        <v/>
      </c>
      <c r="O306" s="16">
        <f>IF($A306="","",IF($G306="eslesti",$D306,0))</f>
        <v/>
      </c>
      <c r="P306" s="16">
        <f>IF($A306="","",$B306+$M306+$N306)</f>
        <v/>
      </c>
    </row>
    <row r="307">
      <c r="A307" s="16">
        <f>IF('ANAHTAR'!$B307="","",'ANAHTAR'!$B307)</f>
        <v/>
      </c>
      <c r="B307" s="16">
        <f>IF($A307="","",COUNTIF(tblAnahtarB[NormB],$A307))</f>
        <v/>
      </c>
      <c r="C307" s="16">
        <f>IF($A307="","",SUMIF(tblAnahtarB[NormB],$A307,tblVeriB[BeyanTutar]))</f>
        <v/>
      </c>
      <c r="D307" s="16">
        <f>IF($A307="","",SUMIF(tblAnahtarA[Norm],$A307,tblVeriA[Tutar]))</f>
        <v/>
      </c>
      <c r="E307" s="16">
        <f>IF($A307="","",ROUND($D307,2)-ROUND($C307,2))</f>
        <v/>
      </c>
      <c r="F307" s="16">
        <f>IF($A307="","",ABS($E307))</f>
        <v/>
      </c>
      <c r="G307" s="16">
        <f>IF($A307="","",IF($B307=0,"eslesmedi",IF(ROUND($D307,2)=ROUND($C307,2),"eslesti",IF(ABS(ROUND($D307,2)-ROUND($C307,2))&lt;=toleransKurus,"tolerans_icinde","tutar_farki"))))</f>
        <v/>
      </c>
      <c r="H307" s="16">
        <f>IF($A307="","",IF($B307&gt;0,"BIRINCIL",IF(COUNTIF(tblAnahtarB[IkincilB],'ANAHTAR'!$D307)&gt;0,"IKINCIL","YOK")))</f>
        <v/>
      </c>
      <c r="I307" s="16">
        <f>IF($A307="","",'ANAHTAR'!$F307)</f>
        <v/>
      </c>
      <c r="J307" s="16">
        <f>IF(OR($A307="",$D307=0),0,$F307/ABS($D307))</f>
        <v/>
      </c>
      <c r="K307" s="16">
        <f>IF($A307="","",ROUND($D307,2))</f>
        <v/>
      </c>
      <c r="L307" s="16">
        <f>IF($A307="","",ROUND($C307,2))</f>
        <v/>
      </c>
      <c r="M307" s="16">
        <f>IF($A307="","",IF($F307&lt;=toleransKurus,1,0))</f>
        <v/>
      </c>
      <c r="N307" s="16">
        <f>IF($A307="","",IF($F307&gt;cbb_esikFark,1,0))</f>
        <v/>
      </c>
      <c r="O307" s="16">
        <f>IF($A307="","",IF($G307="eslesti",$D307,0))</f>
        <v/>
      </c>
      <c r="P307" s="16">
        <f>IF($A307="","",$B307+$M307+$N307)</f>
        <v/>
      </c>
    </row>
    <row r="308">
      <c r="A308" s="16">
        <f>IF('ANAHTAR'!$B308="","",'ANAHTAR'!$B308)</f>
        <v/>
      </c>
      <c r="B308" s="16">
        <f>IF($A308="","",COUNTIF(tblAnahtarB[NormB],$A308))</f>
        <v/>
      </c>
      <c r="C308" s="16">
        <f>IF($A308="","",SUMIF(tblAnahtarB[NormB],$A308,tblVeriB[BeyanTutar]))</f>
        <v/>
      </c>
      <c r="D308" s="16">
        <f>IF($A308="","",SUMIF(tblAnahtarA[Norm],$A308,tblVeriA[Tutar]))</f>
        <v/>
      </c>
      <c r="E308" s="16">
        <f>IF($A308="","",ROUND($D308,2)-ROUND($C308,2))</f>
        <v/>
      </c>
      <c r="F308" s="16">
        <f>IF($A308="","",ABS($E308))</f>
        <v/>
      </c>
      <c r="G308" s="16">
        <f>IF($A308="","",IF($B308=0,"eslesmedi",IF(ROUND($D308,2)=ROUND($C308,2),"eslesti",IF(ABS(ROUND($D308,2)-ROUND($C308,2))&lt;=toleransKurus,"tolerans_icinde","tutar_farki"))))</f>
        <v/>
      </c>
      <c r="H308" s="16">
        <f>IF($A308="","",IF($B308&gt;0,"BIRINCIL",IF(COUNTIF(tblAnahtarB[IkincilB],'ANAHTAR'!$D308)&gt;0,"IKINCIL","YOK")))</f>
        <v/>
      </c>
      <c r="I308" s="16">
        <f>IF($A308="","",'ANAHTAR'!$F308)</f>
        <v/>
      </c>
      <c r="J308" s="16">
        <f>IF(OR($A308="",$D308=0),0,$F308/ABS($D308))</f>
        <v/>
      </c>
      <c r="K308" s="16">
        <f>IF($A308="","",ROUND($D308,2))</f>
        <v/>
      </c>
      <c r="L308" s="16">
        <f>IF($A308="","",ROUND($C308,2))</f>
        <v/>
      </c>
      <c r="M308" s="16">
        <f>IF($A308="","",IF($F308&lt;=toleransKurus,1,0))</f>
        <v/>
      </c>
      <c r="N308" s="16">
        <f>IF($A308="","",IF($F308&gt;cbb_esikFark,1,0))</f>
        <v/>
      </c>
      <c r="O308" s="16">
        <f>IF($A308="","",IF($G308="eslesti",$D308,0))</f>
        <v/>
      </c>
      <c r="P308" s="16">
        <f>IF($A308="","",$B308+$M308+$N308)</f>
        <v/>
      </c>
    </row>
    <row r="309">
      <c r="A309" s="16">
        <f>IF('ANAHTAR'!$B309="","",'ANAHTAR'!$B309)</f>
        <v/>
      </c>
      <c r="B309" s="16">
        <f>IF($A309="","",COUNTIF(tblAnahtarB[NormB],$A309))</f>
        <v/>
      </c>
      <c r="C309" s="16">
        <f>IF($A309="","",SUMIF(tblAnahtarB[NormB],$A309,tblVeriB[BeyanTutar]))</f>
        <v/>
      </c>
      <c r="D309" s="16">
        <f>IF($A309="","",SUMIF(tblAnahtarA[Norm],$A309,tblVeriA[Tutar]))</f>
        <v/>
      </c>
      <c r="E309" s="16">
        <f>IF($A309="","",ROUND($D309,2)-ROUND($C309,2))</f>
        <v/>
      </c>
      <c r="F309" s="16">
        <f>IF($A309="","",ABS($E309))</f>
        <v/>
      </c>
      <c r="G309" s="16">
        <f>IF($A309="","",IF($B309=0,"eslesmedi",IF(ROUND($D309,2)=ROUND($C309,2),"eslesti",IF(ABS(ROUND($D309,2)-ROUND($C309,2))&lt;=toleransKurus,"tolerans_icinde","tutar_farki"))))</f>
        <v/>
      </c>
      <c r="H309" s="16">
        <f>IF($A309="","",IF($B309&gt;0,"BIRINCIL",IF(COUNTIF(tblAnahtarB[IkincilB],'ANAHTAR'!$D309)&gt;0,"IKINCIL","YOK")))</f>
        <v/>
      </c>
      <c r="I309" s="16">
        <f>IF($A309="","",'ANAHTAR'!$F309)</f>
        <v/>
      </c>
      <c r="J309" s="16">
        <f>IF(OR($A309="",$D309=0),0,$F309/ABS($D309))</f>
        <v/>
      </c>
      <c r="K309" s="16">
        <f>IF($A309="","",ROUND($D309,2))</f>
        <v/>
      </c>
      <c r="L309" s="16">
        <f>IF($A309="","",ROUND($C309,2))</f>
        <v/>
      </c>
      <c r="M309" s="16">
        <f>IF($A309="","",IF($F309&lt;=toleransKurus,1,0))</f>
        <v/>
      </c>
      <c r="N309" s="16">
        <f>IF($A309="","",IF($F309&gt;cbb_esikFark,1,0))</f>
        <v/>
      </c>
      <c r="O309" s="16">
        <f>IF($A309="","",IF($G309="eslesti",$D309,0))</f>
        <v/>
      </c>
      <c r="P309" s="16">
        <f>IF($A309="","",$B309+$M309+$N309)</f>
        <v/>
      </c>
    </row>
    <row r="310">
      <c r="A310" s="16">
        <f>IF('ANAHTAR'!$B310="","",'ANAHTAR'!$B310)</f>
        <v/>
      </c>
      <c r="B310" s="16">
        <f>IF($A310="","",COUNTIF(tblAnahtarB[NormB],$A310))</f>
        <v/>
      </c>
      <c r="C310" s="16">
        <f>IF($A310="","",SUMIF(tblAnahtarB[NormB],$A310,tblVeriB[BeyanTutar]))</f>
        <v/>
      </c>
      <c r="D310" s="16">
        <f>IF($A310="","",SUMIF(tblAnahtarA[Norm],$A310,tblVeriA[Tutar]))</f>
        <v/>
      </c>
      <c r="E310" s="16">
        <f>IF($A310="","",ROUND($D310,2)-ROUND($C310,2))</f>
        <v/>
      </c>
      <c r="F310" s="16">
        <f>IF($A310="","",ABS($E310))</f>
        <v/>
      </c>
      <c r="G310" s="16">
        <f>IF($A310="","",IF($B310=0,"eslesmedi",IF(ROUND($D310,2)=ROUND($C310,2),"eslesti",IF(ABS(ROUND($D310,2)-ROUND($C310,2))&lt;=toleransKurus,"tolerans_icinde","tutar_farki"))))</f>
        <v/>
      </c>
      <c r="H310" s="16">
        <f>IF($A310="","",IF($B310&gt;0,"BIRINCIL",IF(COUNTIF(tblAnahtarB[IkincilB],'ANAHTAR'!$D310)&gt;0,"IKINCIL","YOK")))</f>
        <v/>
      </c>
      <c r="I310" s="16">
        <f>IF($A310="","",'ANAHTAR'!$F310)</f>
        <v/>
      </c>
      <c r="J310" s="16">
        <f>IF(OR($A310="",$D310=0),0,$F310/ABS($D310))</f>
        <v/>
      </c>
      <c r="K310" s="16">
        <f>IF($A310="","",ROUND($D310,2))</f>
        <v/>
      </c>
      <c r="L310" s="16">
        <f>IF($A310="","",ROUND($C310,2))</f>
        <v/>
      </c>
      <c r="M310" s="16">
        <f>IF($A310="","",IF($F310&lt;=toleransKurus,1,0))</f>
        <v/>
      </c>
      <c r="N310" s="16">
        <f>IF($A310="","",IF($F310&gt;cbb_esikFark,1,0))</f>
        <v/>
      </c>
      <c r="O310" s="16">
        <f>IF($A310="","",IF($G310="eslesti",$D310,0))</f>
        <v/>
      </c>
      <c r="P310" s="16">
        <f>IF($A310="","",$B310+$M310+$N310)</f>
        <v/>
      </c>
    </row>
    <row r="311">
      <c r="A311" s="16">
        <f>IF('ANAHTAR'!$B311="","",'ANAHTAR'!$B311)</f>
        <v/>
      </c>
      <c r="B311" s="16">
        <f>IF($A311="","",COUNTIF(tblAnahtarB[NormB],$A311))</f>
        <v/>
      </c>
      <c r="C311" s="16">
        <f>IF($A311="","",SUMIF(tblAnahtarB[NormB],$A311,tblVeriB[BeyanTutar]))</f>
        <v/>
      </c>
      <c r="D311" s="16">
        <f>IF($A311="","",SUMIF(tblAnahtarA[Norm],$A311,tblVeriA[Tutar]))</f>
        <v/>
      </c>
      <c r="E311" s="16">
        <f>IF($A311="","",ROUND($D311,2)-ROUND($C311,2))</f>
        <v/>
      </c>
      <c r="F311" s="16">
        <f>IF($A311="","",ABS($E311))</f>
        <v/>
      </c>
      <c r="G311" s="16">
        <f>IF($A311="","",IF($B311=0,"eslesmedi",IF(ROUND($D311,2)=ROUND($C311,2),"eslesti",IF(ABS(ROUND($D311,2)-ROUND($C311,2))&lt;=toleransKurus,"tolerans_icinde","tutar_farki"))))</f>
        <v/>
      </c>
      <c r="H311" s="16">
        <f>IF($A311="","",IF($B311&gt;0,"BIRINCIL",IF(COUNTIF(tblAnahtarB[IkincilB],'ANAHTAR'!$D311)&gt;0,"IKINCIL","YOK")))</f>
        <v/>
      </c>
      <c r="I311" s="16">
        <f>IF($A311="","",'ANAHTAR'!$F311)</f>
        <v/>
      </c>
      <c r="J311" s="16">
        <f>IF(OR($A311="",$D311=0),0,$F311/ABS($D311))</f>
        <v/>
      </c>
      <c r="K311" s="16">
        <f>IF($A311="","",ROUND($D311,2))</f>
        <v/>
      </c>
      <c r="L311" s="16">
        <f>IF($A311="","",ROUND($C311,2))</f>
        <v/>
      </c>
      <c r="M311" s="16">
        <f>IF($A311="","",IF($F311&lt;=toleransKurus,1,0))</f>
        <v/>
      </c>
      <c r="N311" s="16">
        <f>IF($A311="","",IF($F311&gt;cbb_esikFark,1,0))</f>
        <v/>
      </c>
      <c r="O311" s="16">
        <f>IF($A311="","",IF($G311="eslesti",$D311,0))</f>
        <v/>
      </c>
      <c r="P311" s="16">
        <f>IF($A311="","",$B311+$M311+$N311)</f>
        <v/>
      </c>
    </row>
    <row r="312">
      <c r="A312" s="16">
        <f>IF('ANAHTAR'!$B312="","",'ANAHTAR'!$B312)</f>
        <v/>
      </c>
      <c r="B312" s="16">
        <f>IF($A312="","",COUNTIF(tblAnahtarB[NormB],$A312))</f>
        <v/>
      </c>
      <c r="C312" s="16">
        <f>IF($A312="","",SUMIF(tblAnahtarB[NormB],$A312,tblVeriB[BeyanTutar]))</f>
        <v/>
      </c>
      <c r="D312" s="16">
        <f>IF($A312="","",SUMIF(tblAnahtarA[Norm],$A312,tblVeriA[Tutar]))</f>
        <v/>
      </c>
      <c r="E312" s="16">
        <f>IF($A312="","",ROUND($D312,2)-ROUND($C312,2))</f>
        <v/>
      </c>
      <c r="F312" s="16">
        <f>IF($A312="","",ABS($E312))</f>
        <v/>
      </c>
      <c r="G312" s="16">
        <f>IF($A312="","",IF($B312=0,"eslesmedi",IF(ROUND($D312,2)=ROUND($C312,2),"eslesti",IF(ABS(ROUND($D312,2)-ROUND($C312,2))&lt;=toleransKurus,"tolerans_icinde","tutar_farki"))))</f>
        <v/>
      </c>
      <c r="H312" s="16">
        <f>IF($A312="","",IF($B312&gt;0,"BIRINCIL",IF(COUNTIF(tblAnahtarB[IkincilB],'ANAHTAR'!$D312)&gt;0,"IKINCIL","YOK")))</f>
        <v/>
      </c>
      <c r="I312" s="16">
        <f>IF($A312="","",'ANAHTAR'!$F312)</f>
        <v/>
      </c>
      <c r="J312" s="16">
        <f>IF(OR($A312="",$D312=0),0,$F312/ABS($D312))</f>
        <v/>
      </c>
      <c r="K312" s="16">
        <f>IF($A312="","",ROUND($D312,2))</f>
        <v/>
      </c>
      <c r="L312" s="16">
        <f>IF($A312="","",ROUND($C312,2))</f>
        <v/>
      </c>
      <c r="M312" s="16">
        <f>IF($A312="","",IF($F312&lt;=toleransKurus,1,0))</f>
        <v/>
      </c>
      <c r="N312" s="16">
        <f>IF($A312="","",IF($F312&gt;cbb_esikFark,1,0))</f>
        <v/>
      </c>
      <c r="O312" s="16">
        <f>IF($A312="","",IF($G312="eslesti",$D312,0))</f>
        <v/>
      </c>
      <c r="P312" s="16">
        <f>IF($A312="","",$B312+$M312+$N312)</f>
        <v/>
      </c>
    </row>
    <row r="313">
      <c r="A313" s="16">
        <f>IF('ANAHTAR'!$B313="","",'ANAHTAR'!$B313)</f>
        <v/>
      </c>
      <c r="B313" s="16">
        <f>IF($A313="","",COUNTIF(tblAnahtarB[NormB],$A313))</f>
        <v/>
      </c>
      <c r="C313" s="16">
        <f>IF($A313="","",SUMIF(tblAnahtarB[NormB],$A313,tblVeriB[BeyanTutar]))</f>
        <v/>
      </c>
      <c r="D313" s="16">
        <f>IF($A313="","",SUMIF(tblAnahtarA[Norm],$A313,tblVeriA[Tutar]))</f>
        <v/>
      </c>
      <c r="E313" s="16">
        <f>IF($A313="","",ROUND($D313,2)-ROUND($C313,2))</f>
        <v/>
      </c>
      <c r="F313" s="16">
        <f>IF($A313="","",ABS($E313))</f>
        <v/>
      </c>
      <c r="G313" s="16">
        <f>IF($A313="","",IF($B313=0,"eslesmedi",IF(ROUND($D313,2)=ROUND($C313,2),"eslesti",IF(ABS(ROUND($D313,2)-ROUND($C313,2))&lt;=toleransKurus,"tolerans_icinde","tutar_farki"))))</f>
        <v/>
      </c>
      <c r="H313" s="16">
        <f>IF($A313="","",IF($B313&gt;0,"BIRINCIL",IF(COUNTIF(tblAnahtarB[IkincilB],'ANAHTAR'!$D313)&gt;0,"IKINCIL","YOK")))</f>
        <v/>
      </c>
      <c r="I313" s="16">
        <f>IF($A313="","",'ANAHTAR'!$F313)</f>
        <v/>
      </c>
      <c r="J313" s="16">
        <f>IF(OR($A313="",$D313=0),0,$F313/ABS($D313))</f>
        <v/>
      </c>
      <c r="K313" s="16">
        <f>IF($A313="","",ROUND($D313,2))</f>
        <v/>
      </c>
      <c r="L313" s="16">
        <f>IF($A313="","",ROUND($C313,2))</f>
        <v/>
      </c>
      <c r="M313" s="16">
        <f>IF($A313="","",IF($F313&lt;=toleransKurus,1,0))</f>
        <v/>
      </c>
      <c r="N313" s="16">
        <f>IF($A313="","",IF($F313&gt;cbb_esikFark,1,0))</f>
        <v/>
      </c>
      <c r="O313" s="16">
        <f>IF($A313="","",IF($G313="eslesti",$D313,0))</f>
        <v/>
      </c>
      <c r="P313" s="16">
        <f>IF($A313="","",$B313+$M313+$N313)</f>
        <v/>
      </c>
    </row>
    <row r="314">
      <c r="A314" s="16">
        <f>IF('ANAHTAR'!$B314="","",'ANAHTAR'!$B314)</f>
        <v/>
      </c>
      <c r="B314" s="16">
        <f>IF($A314="","",COUNTIF(tblAnahtarB[NormB],$A314))</f>
        <v/>
      </c>
      <c r="C314" s="16">
        <f>IF($A314="","",SUMIF(tblAnahtarB[NormB],$A314,tblVeriB[BeyanTutar]))</f>
        <v/>
      </c>
      <c r="D314" s="16">
        <f>IF($A314="","",SUMIF(tblAnahtarA[Norm],$A314,tblVeriA[Tutar]))</f>
        <v/>
      </c>
      <c r="E314" s="16">
        <f>IF($A314="","",ROUND($D314,2)-ROUND($C314,2))</f>
        <v/>
      </c>
      <c r="F314" s="16">
        <f>IF($A314="","",ABS($E314))</f>
        <v/>
      </c>
      <c r="G314" s="16">
        <f>IF($A314="","",IF($B314=0,"eslesmedi",IF(ROUND($D314,2)=ROUND($C314,2),"eslesti",IF(ABS(ROUND($D314,2)-ROUND($C314,2))&lt;=toleransKurus,"tolerans_icinde","tutar_farki"))))</f>
        <v/>
      </c>
      <c r="H314" s="16">
        <f>IF($A314="","",IF($B314&gt;0,"BIRINCIL",IF(COUNTIF(tblAnahtarB[IkincilB],'ANAHTAR'!$D314)&gt;0,"IKINCIL","YOK")))</f>
        <v/>
      </c>
      <c r="I314" s="16">
        <f>IF($A314="","",'ANAHTAR'!$F314)</f>
        <v/>
      </c>
      <c r="J314" s="16">
        <f>IF(OR($A314="",$D314=0),0,$F314/ABS($D314))</f>
        <v/>
      </c>
      <c r="K314" s="16">
        <f>IF($A314="","",ROUND($D314,2))</f>
        <v/>
      </c>
      <c r="L314" s="16">
        <f>IF($A314="","",ROUND($C314,2))</f>
        <v/>
      </c>
      <c r="M314" s="16">
        <f>IF($A314="","",IF($F314&lt;=toleransKurus,1,0))</f>
        <v/>
      </c>
      <c r="N314" s="16">
        <f>IF($A314="","",IF($F314&gt;cbb_esikFark,1,0))</f>
        <v/>
      </c>
      <c r="O314" s="16">
        <f>IF($A314="","",IF($G314="eslesti",$D314,0))</f>
        <v/>
      </c>
      <c r="P314" s="16">
        <f>IF($A314="","",$B314+$M314+$N314)</f>
        <v/>
      </c>
    </row>
    <row r="315">
      <c r="A315" s="16">
        <f>IF('ANAHTAR'!$B315="","",'ANAHTAR'!$B315)</f>
        <v/>
      </c>
      <c r="B315" s="16">
        <f>IF($A315="","",COUNTIF(tblAnahtarB[NormB],$A315))</f>
        <v/>
      </c>
      <c r="C315" s="16">
        <f>IF($A315="","",SUMIF(tblAnahtarB[NormB],$A315,tblVeriB[BeyanTutar]))</f>
        <v/>
      </c>
      <c r="D315" s="16">
        <f>IF($A315="","",SUMIF(tblAnahtarA[Norm],$A315,tblVeriA[Tutar]))</f>
        <v/>
      </c>
      <c r="E315" s="16">
        <f>IF($A315="","",ROUND($D315,2)-ROUND($C315,2))</f>
        <v/>
      </c>
      <c r="F315" s="16">
        <f>IF($A315="","",ABS($E315))</f>
        <v/>
      </c>
      <c r="G315" s="16">
        <f>IF($A315="","",IF($B315=0,"eslesmedi",IF(ROUND($D315,2)=ROUND($C315,2),"eslesti",IF(ABS(ROUND($D315,2)-ROUND($C315,2))&lt;=toleransKurus,"tolerans_icinde","tutar_farki"))))</f>
        <v/>
      </c>
      <c r="H315" s="16">
        <f>IF($A315="","",IF($B315&gt;0,"BIRINCIL",IF(COUNTIF(tblAnahtarB[IkincilB],'ANAHTAR'!$D315)&gt;0,"IKINCIL","YOK")))</f>
        <v/>
      </c>
      <c r="I315" s="16">
        <f>IF($A315="","",'ANAHTAR'!$F315)</f>
        <v/>
      </c>
      <c r="J315" s="16">
        <f>IF(OR($A315="",$D315=0),0,$F315/ABS($D315))</f>
        <v/>
      </c>
      <c r="K315" s="16">
        <f>IF($A315="","",ROUND($D315,2))</f>
        <v/>
      </c>
      <c r="L315" s="16">
        <f>IF($A315="","",ROUND($C315,2))</f>
        <v/>
      </c>
      <c r="M315" s="16">
        <f>IF($A315="","",IF($F315&lt;=toleransKurus,1,0))</f>
        <v/>
      </c>
      <c r="N315" s="16">
        <f>IF($A315="","",IF($F315&gt;cbb_esikFark,1,0))</f>
        <v/>
      </c>
      <c r="O315" s="16">
        <f>IF($A315="","",IF($G315="eslesti",$D315,0))</f>
        <v/>
      </c>
      <c r="P315" s="16">
        <f>IF($A315="","",$B315+$M315+$N315)</f>
        <v/>
      </c>
    </row>
    <row r="316">
      <c r="A316" s="16">
        <f>IF('ANAHTAR'!$B316="","",'ANAHTAR'!$B316)</f>
        <v/>
      </c>
      <c r="B316" s="16">
        <f>IF($A316="","",COUNTIF(tblAnahtarB[NormB],$A316))</f>
        <v/>
      </c>
      <c r="C316" s="16">
        <f>IF($A316="","",SUMIF(tblAnahtarB[NormB],$A316,tblVeriB[BeyanTutar]))</f>
        <v/>
      </c>
      <c r="D316" s="16">
        <f>IF($A316="","",SUMIF(tblAnahtarA[Norm],$A316,tblVeriA[Tutar]))</f>
        <v/>
      </c>
      <c r="E316" s="16">
        <f>IF($A316="","",ROUND($D316,2)-ROUND($C316,2))</f>
        <v/>
      </c>
      <c r="F316" s="16">
        <f>IF($A316="","",ABS($E316))</f>
        <v/>
      </c>
      <c r="G316" s="16">
        <f>IF($A316="","",IF($B316=0,"eslesmedi",IF(ROUND($D316,2)=ROUND($C316,2),"eslesti",IF(ABS(ROUND($D316,2)-ROUND($C316,2))&lt;=toleransKurus,"tolerans_icinde","tutar_farki"))))</f>
        <v/>
      </c>
      <c r="H316" s="16">
        <f>IF($A316="","",IF($B316&gt;0,"BIRINCIL",IF(COUNTIF(tblAnahtarB[IkincilB],'ANAHTAR'!$D316)&gt;0,"IKINCIL","YOK")))</f>
        <v/>
      </c>
      <c r="I316" s="16">
        <f>IF($A316="","",'ANAHTAR'!$F316)</f>
        <v/>
      </c>
      <c r="J316" s="16">
        <f>IF(OR($A316="",$D316=0),0,$F316/ABS($D316))</f>
        <v/>
      </c>
      <c r="K316" s="16">
        <f>IF($A316="","",ROUND($D316,2))</f>
        <v/>
      </c>
      <c r="L316" s="16">
        <f>IF($A316="","",ROUND($C316,2))</f>
        <v/>
      </c>
      <c r="M316" s="16">
        <f>IF($A316="","",IF($F316&lt;=toleransKurus,1,0))</f>
        <v/>
      </c>
      <c r="N316" s="16">
        <f>IF($A316="","",IF($F316&gt;cbb_esikFark,1,0))</f>
        <v/>
      </c>
      <c r="O316" s="16">
        <f>IF($A316="","",IF($G316="eslesti",$D316,0))</f>
        <v/>
      </c>
      <c r="P316" s="16">
        <f>IF($A316="","",$B316+$M316+$N316)</f>
        <v/>
      </c>
    </row>
    <row r="317">
      <c r="A317" s="16">
        <f>IF('ANAHTAR'!$B317="","",'ANAHTAR'!$B317)</f>
        <v/>
      </c>
      <c r="B317" s="16">
        <f>IF($A317="","",COUNTIF(tblAnahtarB[NormB],$A317))</f>
        <v/>
      </c>
      <c r="C317" s="16">
        <f>IF($A317="","",SUMIF(tblAnahtarB[NormB],$A317,tblVeriB[BeyanTutar]))</f>
        <v/>
      </c>
      <c r="D317" s="16">
        <f>IF($A317="","",SUMIF(tblAnahtarA[Norm],$A317,tblVeriA[Tutar]))</f>
        <v/>
      </c>
      <c r="E317" s="16">
        <f>IF($A317="","",ROUND($D317,2)-ROUND($C317,2))</f>
        <v/>
      </c>
      <c r="F317" s="16">
        <f>IF($A317="","",ABS($E317))</f>
        <v/>
      </c>
      <c r="G317" s="16">
        <f>IF($A317="","",IF($B317=0,"eslesmedi",IF(ROUND($D317,2)=ROUND($C317,2),"eslesti",IF(ABS(ROUND($D317,2)-ROUND($C317,2))&lt;=toleransKurus,"tolerans_icinde","tutar_farki"))))</f>
        <v/>
      </c>
      <c r="H317" s="16">
        <f>IF($A317="","",IF($B317&gt;0,"BIRINCIL",IF(COUNTIF(tblAnahtarB[IkincilB],'ANAHTAR'!$D317)&gt;0,"IKINCIL","YOK")))</f>
        <v/>
      </c>
      <c r="I317" s="16">
        <f>IF($A317="","",'ANAHTAR'!$F317)</f>
        <v/>
      </c>
      <c r="J317" s="16">
        <f>IF(OR($A317="",$D317=0),0,$F317/ABS($D317))</f>
        <v/>
      </c>
      <c r="K317" s="16">
        <f>IF($A317="","",ROUND($D317,2))</f>
        <v/>
      </c>
      <c r="L317" s="16">
        <f>IF($A317="","",ROUND($C317,2))</f>
        <v/>
      </c>
      <c r="M317" s="16">
        <f>IF($A317="","",IF($F317&lt;=toleransKurus,1,0))</f>
        <v/>
      </c>
      <c r="N317" s="16">
        <f>IF($A317="","",IF($F317&gt;cbb_esikFark,1,0))</f>
        <v/>
      </c>
      <c r="O317" s="16">
        <f>IF($A317="","",IF($G317="eslesti",$D317,0))</f>
        <v/>
      </c>
      <c r="P317" s="16">
        <f>IF($A317="","",$B317+$M317+$N317)</f>
        <v/>
      </c>
    </row>
    <row r="318">
      <c r="A318" s="16">
        <f>IF('ANAHTAR'!$B318="","",'ANAHTAR'!$B318)</f>
        <v/>
      </c>
      <c r="B318" s="16">
        <f>IF($A318="","",COUNTIF(tblAnahtarB[NormB],$A318))</f>
        <v/>
      </c>
      <c r="C318" s="16">
        <f>IF($A318="","",SUMIF(tblAnahtarB[NormB],$A318,tblVeriB[BeyanTutar]))</f>
        <v/>
      </c>
      <c r="D318" s="16">
        <f>IF($A318="","",SUMIF(tblAnahtarA[Norm],$A318,tblVeriA[Tutar]))</f>
        <v/>
      </c>
      <c r="E318" s="16">
        <f>IF($A318="","",ROUND($D318,2)-ROUND($C318,2))</f>
        <v/>
      </c>
      <c r="F318" s="16">
        <f>IF($A318="","",ABS($E318))</f>
        <v/>
      </c>
      <c r="G318" s="16">
        <f>IF($A318="","",IF($B318=0,"eslesmedi",IF(ROUND($D318,2)=ROUND($C318,2),"eslesti",IF(ABS(ROUND($D318,2)-ROUND($C318,2))&lt;=toleransKurus,"tolerans_icinde","tutar_farki"))))</f>
        <v/>
      </c>
      <c r="H318" s="16">
        <f>IF($A318="","",IF($B318&gt;0,"BIRINCIL",IF(COUNTIF(tblAnahtarB[IkincilB],'ANAHTAR'!$D318)&gt;0,"IKINCIL","YOK")))</f>
        <v/>
      </c>
      <c r="I318" s="16">
        <f>IF($A318="","",'ANAHTAR'!$F318)</f>
        <v/>
      </c>
      <c r="J318" s="16">
        <f>IF(OR($A318="",$D318=0),0,$F318/ABS($D318))</f>
        <v/>
      </c>
      <c r="K318" s="16">
        <f>IF($A318="","",ROUND($D318,2))</f>
        <v/>
      </c>
      <c r="L318" s="16">
        <f>IF($A318="","",ROUND($C318,2))</f>
        <v/>
      </c>
      <c r="M318" s="16">
        <f>IF($A318="","",IF($F318&lt;=toleransKurus,1,0))</f>
        <v/>
      </c>
      <c r="N318" s="16">
        <f>IF($A318="","",IF($F318&gt;cbb_esikFark,1,0))</f>
        <v/>
      </c>
      <c r="O318" s="16">
        <f>IF($A318="","",IF($G318="eslesti",$D318,0))</f>
        <v/>
      </c>
      <c r="P318" s="16">
        <f>IF($A318="","",$B318+$M318+$N318)</f>
        <v/>
      </c>
    </row>
    <row r="319">
      <c r="A319" s="16">
        <f>IF('ANAHTAR'!$B319="","",'ANAHTAR'!$B319)</f>
        <v/>
      </c>
      <c r="B319" s="16">
        <f>IF($A319="","",COUNTIF(tblAnahtarB[NormB],$A319))</f>
        <v/>
      </c>
      <c r="C319" s="16">
        <f>IF($A319="","",SUMIF(tblAnahtarB[NormB],$A319,tblVeriB[BeyanTutar]))</f>
        <v/>
      </c>
      <c r="D319" s="16">
        <f>IF($A319="","",SUMIF(tblAnahtarA[Norm],$A319,tblVeriA[Tutar]))</f>
        <v/>
      </c>
      <c r="E319" s="16">
        <f>IF($A319="","",ROUND($D319,2)-ROUND($C319,2))</f>
        <v/>
      </c>
      <c r="F319" s="16">
        <f>IF($A319="","",ABS($E319))</f>
        <v/>
      </c>
      <c r="G319" s="16">
        <f>IF($A319="","",IF($B319=0,"eslesmedi",IF(ROUND($D319,2)=ROUND($C319,2),"eslesti",IF(ABS(ROUND($D319,2)-ROUND($C319,2))&lt;=toleransKurus,"tolerans_icinde","tutar_farki"))))</f>
        <v/>
      </c>
      <c r="H319" s="16">
        <f>IF($A319="","",IF($B319&gt;0,"BIRINCIL",IF(COUNTIF(tblAnahtarB[IkincilB],'ANAHTAR'!$D319)&gt;0,"IKINCIL","YOK")))</f>
        <v/>
      </c>
      <c r="I319" s="16">
        <f>IF($A319="","",'ANAHTAR'!$F319)</f>
        <v/>
      </c>
      <c r="J319" s="16">
        <f>IF(OR($A319="",$D319=0),0,$F319/ABS($D319))</f>
        <v/>
      </c>
      <c r="K319" s="16">
        <f>IF($A319="","",ROUND($D319,2))</f>
        <v/>
      </c>
      <c r="L319" s="16">
        <f>IF($A319="","",ROUND($C319,2))</f>
        <v/>
      </c>
      <c r="M319" s="16">
        <f>IF($A319="","",IF($F319&lt;=toleransKurus,1,0))</f>
        <v/>
      </c>
      <c r="N319" s="16">
        <f>IF($A319="","",IF($F319&gt;cbb_esikFark,1,0))</f>
        <v/>
      </c>
      <c r="O319" s="16">
        <f>IF($A319="","",IF($G319="eslesti",$D319,0))</f>
        <v/>
      </c>
      <c r="P319" s="16">
        <f>IF($A319="","",$B319+$M319+$N319)</f>
        <v/>
      </c>
    </row>
    <row r="320">
      <c r="A320" s="16">
        <f>IF('ANAHTAR'!$B320="","",'ANAHTAR'!$B320)</f>
        <v/>
      </c>
      <c r="B320" s="16">
        <f>IF($A320="","",COUNTIF(tblAnahtarB[NormB],$A320))</f>
        <v/>
      </c>
      <c r="C320" s="16">
        <f>IF($A320="","",SUMIF(tblAnahtarB[NormB],$A320,tblVeriB[BeyanTutar]))</f>
        <v/>
      </c>
      <c r="D320" s="16">
        <f>IF($A320="","",SUMIF(tblAnahtarA[Norm],$A320,tblVeriA[Tutar]))</f>
        <v/>
      </c>
      <c r="E320" s="16">
        <f>IF($A320="","",ROUND($D320,2)-ROUND($C320,2))</f>
        <v/>
      </c>
      <c r="F320" s="16">
        <f>IF($A320="","",ABS($E320))</f>
        <v/>
      </c>
      <c r="G320" s="16">
        <f>IF($A320="","",IF($B320=0,"eslesmedi",IF(ROUND($D320,2)=ROUND($C320,2),"eslesti",IF(ABS(ROUND($D320,2)-ROUND($C320,2))&lt;=toleransKurus,"tolerans_icinde","tutar_farki"))))</f>
        <v/>
      </c>
      <c r="H320" s="16">
        <f>IF($A320="","",IF($B320&gt;0,"BIRINCIL",IF(COUNTIF(tblAnahtarB[IkincilB],'ANAHTAR'!$D320)&gt;0,"IKINCIL","YOK")))</f>
        <v/>
      </c>
      <c r="I320" s="16">
        <f>IF($A320="","",'ANAHTAR'!$F320)</f>
        <v/>
      </c>
      <c r="J320" s="16">
        <f>IF(OR($A320="",$D320=0),0,$F320/ABS($D320))</f>
        <v/>
      </c>
      <c r="K320" s="16">
        <f>IF($A320="","",ROUND($D320,2))</f>
        <v/>
      </c>
      <c r="L320" s="16">
        <f>IF($A320="","",ROUND($C320,2))</f>
        <v/>
      </c>
      <c r="M320" s="16">
        <f>IF($A320="","",IF($F320&lt;=toleransKurus,1,0))</f>
        <v/>
      </c>
      <c r="N320" s="16">
        <f>IF($A320="","",IF($F320&gt;cbb_esikFark,1,0))</f>
        <v/>
      </c>
      <c r="O320" s="16">
        <f>IF($A320="","",IF($G320="eslesti",$D320,0))</f>
        <v/>
      </c>
      <c r="P320" s="16">
        <f>IF($A320="","",$B320+$M320+$N320)</f>
        <v/>
      </c>
    </row>
    <row r="321">
      <c r="A321" s="16">
        <f>IF('ANAHTAR'!$B321="","",'ANAHTAR'!$B321)</f>
        <v/>
      </c>
      <c r="B321" s="16">
        <f>IF($A321="","",COUNTIF(tblAnahtarB[NormB],$A321))</f>
        <v/>
      </c>
      <c r="C321" s="16">
        <f>IF($A321="","",SUMIF(tblAnahtarB[NormB],$A321,tblVeriB[BeyanTutar]))</f>
        <v/>
      </c>
      <c r="D321" s="16">
        <f>IF($A321="","",SUMIF(tblAnahtarA[Norm],$A321,tblVeriA[Tutar]))</f>
        <v/>
      </c>
      <c r="E321" s="16">
        <f>IF($A321="","",ROUND($D321,2)-ROUND($C321,2))</f>
        <v/>
      </c>
      <c r="F321" s="16">
        <f>IF($A321="","",ABS($E321))</f>
        <v/>
      </c>
      <c r="G321" s="16">
        <f>IF($A321="","",IF($B321=0,"eslesmedi",IF(ROUND($D321,2)=ROUND($C321,2),"eslesti",IF(ABS(ROUND($D321,2)-ROUND($C321,2))&lt;=toleransKurus,"tolerans_icinde","tutar_farki"))))</f>
        <v/>
      </c>
      <c r="H321" s="16">
        <f>IF($A321="","",IF($B321&gt;0,"BIRINCIL",IF(COUNTIF(tblAnahtarB[IkincilB],'ANAHTAR'!$D321)&gt;0,"IKINCIL","YOK")))</f>
        <v/>
      </c>
      <c r="I321" s="16">
        <f>IF($A321="","",'ANAHTAR'!$F321)</f>
        <v/>
      </c>
      <c r="J321" s="16">
        <f>IF(OR($A321="",$D321=0),0,$F321/ABS($D321))</f>
        <v/>
      </c>
      <c r="K321" s="16">
        <f>IF($A321="","",ROUND($D321,2))</f>
        <v/>
      </c>
      <c r="L321" s="16">
        <f>IF($A321="","",ROUND($C321,2))</f>
        <v/>
      </c>
      <c r="M321" s="16">
        <f>IF($A321="","",IF($F321&lt;=toleransKurus,1,0))</f>
        <v/>
      </c>
      <c r="N321" s="16">
        <f>IF($A321="","",IF($F321&gt;cbb_esikFark,1,0))</f>
        <v/>
      </c>
      <c r="O321" s="16">
        <f>IF($A321="","",IF($G321="eslesti",$D321,0))</f>
        <v/>
      </c>
      <c r="P321" s="16">
        <f>IF($A321="","",$B321+$M321+$N321)</f>
        <v/>
      </c>
    </row>
    <row r="322">
      <c r="A322" s="16">
        <f>IF('ANAHTAR'!$B322="","",'ANAHTAR'!$B322)</f>
        <v/>
      </c>
      <c r="B322" s="16">
        <f>IF($A322="","",COUNTIF(tblAnahtarB[NormB],$A322))</f>
        <v/>
      </c>
      <c r="C322" s="16">
        <f>IF($A322="","",SUMIF(tblAnahtarB[NormB],$A322,tblVeriB[BeyanTutar]))</f>
        <v/>
      </c>
      <c r="D322" s="16">
        <f>IF($A322="","",SUMIF(tblAnahtarA[Norm],$A322,tblVeriA[Tutar]))</f>
        <v/>
      </c>
      <c r="E322" s="16">
        <f>IF($A322="","",ROUND($D322,2)-ROUND($C322,2))</f>
        <v/>
      </c>
      <c r="F322" s="16">
        <f>IF($A322="","",ABS($E322))</f>
        <v/>
      </c>
      <c r="G322" s="16">
        <f>IF($A322="","",IF($B322=0,"eslesmedi",IF(ROUND($D322,2)=ROUND($C322,2),"eslesti",IF(ABS(ROUND($D322,2)-ROUND($C322,2))&lt;=toleransKurus,"tolerans_icinde","tutar_farki"))))</f>
        <v/>
      </c>
      <c r="H322" s="16">
        <f>IF($A322="","",IF($B322&gt;0,"BIRINCIL",IF(COUNTIF(tblAnahtarB[IkincilB],'ANAHTAR'!$D322)&gt;0,"IKINCIL","YOK")))</f>
        <v/>
      </c>
      <c r="I322" s="16">
        <f>IF($A322="","",'ANAHTAR'!$F322)</f>
        <v/>
      </c>
      <c r="J322" s="16">
        <f>IF(OR($A322="",$D322=0),0,$F322/ABS($D322))</f>
        <v/>
      </c>
      <c r="K322" s="16">
        <f>IF($A322="","",ROUND($D322,2))</f>
        <v/>
      </c>
      <c r="L322" s="16">
        <f>IF($A322="","",ROUND($C322,2))</f>
        <v/>
      </c>
      <c r="M322" s="16">
        <f>IF($A322="","",IF($F322&lt;=toleransKurus,1,0))</f>
        <v/>
      </c>
      <c r="N322" s="16">
        <f>IF($A322="","",IF($F322&gt;cbb_esikFark,1,0))</f>
        <v/>
      </c>
      <c r="O322" s="16">
        <f>IF($A322="","",IF($G322="eslesti",$D322,0))</f>
        <v/>
      </c>
      <c r="P322" s="16">
        <f>IF($A322="","",$B322+$M322+$N322)</f>
        <v/>
      </c>
    </row>
    <row r="323">
      <c r="A323" s="16">
        <f>IF('ANAHTAR'!$B323="","",'ANAHTAR'!$B323)</f>
        <v/>
      </c>
      <c r="B323" s="16">
        <f>IF($A323="","",COUNTIF(tblAnahtarB[NormB],$A323))</f>
        <v/>
      </c>
      <c r="C323" s="16">
        <f>IF($A323="","",SUMIF(tblAnahtarB[NormB],$A323,tblVeriB[BeyanTutar]))</f>
        <v/>
      </c>
      <c r="D323" s="16">
        <f>IF($A323="","",SUMIF(tblAnahtarA[Norm],$A323,tblVeriA[Tutar]))</f>
        <v/>
      </c>
      <c r="E323" s="16">
        <f>IF($A323="","",ROUND($D323,2)-ROUND($C323,2))</f>
        <v/>
      </c>
      <c r="F323" s="16">
        <f>IF($A323="","",ABS($E323))</f>
        <v/>
      </c>
      <c r="G323" s="16">
        <f>IF($A323="","",IF($B323=0,"eslesmedi",IF(ROUND($D323,2)=ROUND($C323,2),"eslesti",IF(ABS(ROUND($D323,2)-ROUND($C323,2))&lt;=toleransKurus,"tolerans_icinde","tutar_farki"))))</f>
        <v/>
      </c>
      <c r="H323" s="16">
        <f>IF($A323="","",IF($B323&gt;0,"BIRINCIL",IF(COUNTIF(tblAnahtarB[IkincilB],'ANAHTAR'!$D323)&gt;0,"IKINCIL","YOK")))</f>
        <v/>
      </c>
      <c r="I323" s="16">
        <f>IF($A323="","",'ANAHTAR'!$F323)</f>
        <v/>
      </c>
      <c r="J323" s="16">
        <f>IF(OR($A323="",$D323=0),0,$F323/ABS($D323))</f>
        <v/>
      </c>
      <c r="K323" s="16">
        <f>IF($A323="","",ROUND($D323,2))</f>
        <v/>
      </c>
      <c r="L323" s="16">
        <f>IF($A323="","",ROUND($C323,2))</f>
        <v/>
      </c>
      <c r="M323" s="16">
        <f>IF($A323="","",IF($F323&lt;=toleransKurus,1,0))</f>
        <v/>
      </c>
      <c r="N323" s="16">
        <f>IF($A323="","",IF($F323&gt;cbb_esikFark,1,0))</f>
        <v/>
      </c>
      <c r="O323" s="16">
        <f>IF($A323="","",IF($G323="eslesti",$D323,0))</f>
        <v/>
      </c>
      <c r="P323" s="16">
        <f>IF($A323="","",$B323+$M323+$N323)</f>
        <v/>
      </c>
    </row>
    <row r="324">
      <c r="A324" s="16">
        <f>IF('ANAHTAR'!$B324="","",'ANAHTAR'!$B324)</f>
        <v/>
      </c>
      <c r="B324" s="16">
        <f>IF($A324="","",COUNTIF(tblAnahtarB[NormB],$A324))</f>
        <v/>
      </c>
      <c r="C324" s="16">
        <f>IF($A324="","",SUMIF(tblAnahtarB[NormB],$A324,tblVeriB[BeyanTutar]))</f>
        <v/>
      </c>
      <c r="D324" s="16">
        <f>IF($A324="","",SUMIF(tblAnahtarA[Norm],$A324,tblVeriA[Tutar]))</f>
        <v/>
      </c>
      <c r="E324" s="16">
        <f>IF($A324="","",ROUND($D324,2)-ROUND($C324,2))</f>
        <v/>
      </c>
      <c r="F324" s="16">
        <f>IF($A324="","",ABS($E324))</f>
        <v/>
      </c>
      <c r="G324" s="16">
        <f>IF($A324="","",IF($B324=0,"eslesmedi",IF(ROUND($D324,2)=ROUND($C324,2),"eslesti",IF(ABS(ROUND($D324,2)-ROUND($C324,2))&lt;=toleransKurus,"tolerans_icinde","tutar_farki"))))</f>
        <v/>
      </c>
      <c r="H324" s="16">
        <f>IF($A324="","",IF($B324&gt;0,"BIRINCIL",IF(COUNTIF(tblAnahtarB[IkincilB],'ANAHTAR'!$D324)&gt;0,"IKINCIL","YOK")))</f>
        <v/>
      </c>
      <c r="I324" s="16">
        <f>IF($A324="","",'ANAHTAR'!$F324)</f>
        <v/>
      </c>
      <c r="J324" s="16">
        <f>IF(OR($A324="",$D324=0),0,$F324/ABS($D324))</f>
        <v/>
      </c>
      <c r="K324" s="16">
        <f>IF($A324="","",ROUND($D324,2))</f>
        <v/>
      </c>
      <c r="L324" s="16">
        <f>IF($A324="","",ROUND($C324,2))</f>
        <v/>
      </c>
      <c r="M324" s="16">
        <f>IF($A324="","",IF($F324&lt;=toleransKurus,1,0))</f>
        <v/>
      </c>
      <c r="N324" s="16">
        <f>IF($A324="","",IF($F324&gt;cbb_esikFark,1,0))</f>
        <v/>
      </c>
      <c r="O324" s="16">
        <f>IF($A324="","",IF($G324="eslesti",$D324,0))</f>
        <v/>
      </c>
      <c r="P324" s="16">
        <f>IF($A324="","",$B324+$M324+$N324)</f>
        <v/>
      </c>
    </row>
    <row r="325">
      <c r="A325" s="16">
        <f>IF('ANAHTAR'!$B325="","",'ANAHTAR'!$B325)</f>
        <v/>
      </c>
      <c r="B325" s="16">
        <f>IF($A325="","",COUNTIF(tblAnahtarB[NormB],$A325))</f>
        <v/>
      </c>
      <c r="C325" s="16">
        <f>IF($A325="","",SUMIF(tblAnahtarB[NormB],$A325,tblVeriB[BeyanTutar]))</f>
        <v/>
      </c>
      <c r="D325" s="16">
        <f>IF($A325="","",SUMIF(tblAnahtarA[Norm],$A325,tblVeriA[Tutar]))</f>
        <v/>
      </c>
      <c r="E325" s="16">
        <f>IF($A325="","",ROUND($D325,2)-ROUND($C325,2))</f>
        <v/>
      </c>
      <c r="F325" s="16">
        <f>IF($A325="","",ABS($E325))</f>
        <v/>
      </c>
      <c r="G325" s="16">
        <f>IF($A325="","",IF($B325=0,"eslesmedi",IF(ROUND($D325,2)=ROUND($C325,2),"eslesti",IF(ABS(ROUND($D325,2)-ROUND($C325,2))&lt;=toleransKurus,"tolerans_icinde","tutar_farki"))))</f>
        <v/>
      </c>
      <c r="H325" s="16">
        <f>IF($A325="","",IF($B325&gt;0,"BIRINCIL",IF(COUNTIF(tblAnahtarB[IkincilB],'ANAHTAR'!$D325)&gt;0,"IKINCIL","YOK")))</f>
        <v/>
      </c>
      <c r="I325" s="16">
        <f>IF($A325="","",'ANAHTAR'!$F325)</f>
        <v/>
      </c>
      <c r="J325" s="16">
        <f>IF(OR($A325="",$D325=0),0,$F325/ABS($D325))</f>
        <v/>
      </c>
      <c r="K325" s="16">
        <f>IF($A325="","",ROUND($D325,2))</f>
        <v/>
      </c>
      <c r="L325" s="16">
        <f>IF($A325="","",ROUND($C325,2))</f>
        <v/>
      </c>
      <c r="M325" s="16">
        <f>IF($A325="","",IF($F325&lt;=toleransKurus,1,0))</f>
        <v/>
      </c>
      <c r="N325" s="16">
        <f>IF($A325="","",IF($F325&gt;cbb_esikFark,1,0))</f>
        <v/>
      </c>
      <c r="O325" s="16">
        <f>IF($A325="","",IF($G325="eslesti",$D325,0))</f>
        <v/>
      </c>
      <c r="P325" s="16">
        <f>IF($A325="","",$B325+$M325+$N325)</f>
        <v/>
      </c>
    </row>
    <row r="326">
      <c r="A326" s="16">
        <f>IF('ANAHTAR'!$B326="","",'ANAHTAR'!$B326)</f>
        <v/>
      </c>
      <c r="B326" s="16">
        <f>IF($A326="","",COUNTIF(tblAnahtarB[NormB],$A326))</f>
        <v/>
      </c>
      <c r="C326" s="16">
        <f>IF($A326="","",SUMIF(tblAnahtarB[NormB],$A326,tblVeriB[BeyanTutar]))</f>
        <v/>
      </c>
      <c r="D326" s="16">
        <f>IF($A326="","",SUMIF(tblAnahtarA[Norm],$A326,tblVeriA[Tutar]))</f>
        <v/>
      </c>
      <c r="E326" s="16">
        <f>IF($A326="","",ROUND($D326,2)-ROUND($C326,2))</f>
        <v/>
      </c>
      <c r="F326" s="16">
        <f>IF($A326="","",ABS($E326))</f>
        <v/>
      </c>
      <c r="G326" s="16">
        <f>IF($A326="","",IF($B326=0,"eslesmedi",IF(ROUND($D326,2)=ROUND($C326,2),"eslesti",IF(ABS(ROUND($D326,2)-ROUND($C326,2))&lt;=toleransKurus,"tolerans_icinde","tutar_farki"))))</f>
        <v/>
      </c>
      <c r="H326" s="16">
        <f>IF($A326="","",IF($B326&gt;0,"BIRINCIL",IF(COUNTIF(tblAnahtarB[IkincilB],'ANAHTAR'!$D326)&gt;0,"IKINCIL","YOK")))</f>
        <v/>
      </c>
      <c r="I326" s="16">
        <f>IF($A326="","",'ANAHTAR'!$F326)</f>
        <v/>
      </c>
      <c r="J326" s="16">
        <f>IF(OR($A326="",$D326=0),0,$F326/ABS($D326))</f>
        <v/>
      </c>
      <c r="K326" s="16">
        <f>IF($A326="","",ROUND($D326,2))</f>
        <v/>
      </c>
      <c r="L326" s="16">
        <f>IF($A326="","",ROUND($C326,2))</f>
        <v/>
      </c>
      <c r="M326" s="16">
        <f>IF($A326="","",IF($F326&lt;=toleransKurus,1,0))</f>
        <v/>
      </c>
      <c r="N326" s="16">
        <f>IF($A326="","",IF($F326&gt;cbb_esikFark,1,0))</f>
        <v/>
      </c>
      <c r="O326" s="16">
        <f>IF($A326="","",IF($G326="eslesti",$D326,0))</f>
        <v/>
      </c>
      <c r="P326" s="16">
        <f>IF($A326="","",$B326+$M326+$N326)</f>
        <v/>
      </c>
    </row>
    <row r="327">
      <c r="A327" s="16">
        <f>IF('ANAHTAR'!$B327="","",'ANAHTAR'!$B327)</f>
        <v/>
      </c>
      <c r="B327" s="16">
        <f>IF($A327="","",COUNTIF(tblAnahtarB[NormB],$A327))</f>
        <v/>
      </c>
      <c r="C327" s="16">
        <f>IF($A327="","",SUMIF(tblAnahtarB[NormB],$A327,tblVeriB[BeyanTutar]))</f>
        <v/>
      </c>
      <c r="D327" s="16">
        <f>IF($A327="","",SUMIF(tblAnahtarA[Norm],$A327,tblVeriA[Tutar]))</f>
        <v/>
      </c>
      <c r="E327" s="16">
        <f>IF($A327="","",ROUND($D327,2)-ROUND($C327,2))</f>
        <v/>
      </c>
      <c r="F327" s="16">
        <f>IF($A327="","",ABS($E327))</f>
        <v/>
      </c>
      <c r="G327" s="16">
        <f>IF($A327="","",IF($B327=0,"eslesmedi",IF(ROUND($D327,2)=ROUND($C327,2),"eslesti",IF(ABS(ROUND($D327,2)-ROUND($C327,2))&lt;=toleransKurus,"tolerans_icinde","tutar_farki"))))</f>
        <v/>
      </c>
      <c r="H327" s="16">
        <f>IF($A327="","",IF($B327&gt;0,"BIRINCIL",IF(COUNTIF(tblAnahtarB[IkincilB],'ANAHTAR'!$D327)&gt;0,"IKINCIL","YOK")))</f>
        <v/>
      </c>
      <c r="I327" s="16">
        <f>IF($A327="","",'ANAHTAR'!$F327)</f>
        <v/>
      </c>
      <c r="J327" s="16">
        <f>IF(OR($A327="",$D327=0),0,$F327/ABS($D327))</f>
        <v/>
      </c>
      <c r="K327" s="16">
        <f>IF($A327="","",ROUND($D327,2))</f>
        <v/>
      </c>
      <c r="L327" s="16">
        <f>IF($A327="","",ROUND($C327,2))</f>
        <v/>
      </c>
      <c r="M327" s="16">
        <f>IF($A327="","",IF($F327&lt;=toleransKurus,1,0))</f>
        <v/>
      </c>
      <c r="N327" s="16">
        <f>IF($A327="","",IF($F327&gt;cbb_esikFark,1,0))</f>
        <v/>
      </c>
      <c r="O327" s="16">
        <f>IF($A327="","",IF($G327="eslesti",$D327,0))</f>
        <v/>
      </c>
      <c r="P327" s="16">
        <f>IF($A327="","",$B327+$M327+$N327)</f>
        <v/>
      </c>
    </row>
    <row r="328">
      <c r="A328" s="16">
        <f>IF('ANAHTAR'!$B328="","",'ANAHTAR'!$B328)</f>
        <v/>
      </c>
      <c r="B328" s="16">
        <f>IF($A328="","",COUNTIF(tblAnahtarB[NormB],$A328))</f>
        <v/>
      </c>
      <c r="C328" s="16">
        <f>IF($A328="","",SUMIF(tblAnahtarB[NormB],$A328,tblVeriB[BeyanTutar]))</f>
        <v/>
      </c>
      <c r="D328" s="16">
        <f>IF($A328="","",SUMIF(tblAnahtarA[Norm],$A328,tblVeriA[Tutar]))</f>
        <v/>
      </c>
      <c r="E328" s="16">
        <f>IF($A328="","",ROUND($D328,2)-ROUND($C328,2))</f>
        <v/>
      </c>
      <c r="F328" s="16">
        <f>IF($A328="","",ABS($E328))</f>
        <v/>
      </c>
      <c r="G328" s="16">
        <f>IF($A328="","",IF($B328=0,"eslesmedi",IF(ROUND($D328,2)=ROUND($C328,2),"eslesti",IF(ABS(ROUND($D328,2)-ROUND($C328,2))&lt;=toleransKurus,"tolerans_icinde","tutar_farki"))))</f>
        <v/>
      </c>
      <c r="H328" s="16">
        <f>IF($A328="","",IF($B328&gt;0,"BIRINCIL",IF(COUNTIF(tblAnahtarB[IkincilB],'ANAHTAR'!$D328)&gt;0,"IKINCIL","YOK")))</f>
        <v/>
      </c>
      <c r="I328" s="16">
        <f>IF($A328="","",'ANAHTAR'!$F328)</f>
        <v/>
      </c>
      <c r="J328" s="16">
        <f>IF(OR($A328="",$D328=0),0,$F328/ABS($D328))</f>
        <v/>
      </c>
      <c r="K328" s="16">
        <f>IF($A328="","",ROUND($D328,2))</f>
        <v/>
      </c>
      <c r="L328" s="16">
        <f>IF($A328="","",ROUND($C328,2))</f>
        <v/>
      </c>
      <c r="M328" s="16">
        <f>IF($A328="","",IF($F328&lt;=toleransKurus,1,0))</f>
        <v/>
      </c>
      <c r="N328" s="16">
        <f>IF($A328="","",IF($F328&gt;cbb_esikFark,1,0))</f>
        <v/>
      </c>
      <c r="O328" s="16">
        <f>IF($A328="","",IF($G328="eslesti",$D328,0))</f>
        <v/>
      </c>
      <c r="P328" s="16">
        <f>IF($A328="","",$B328+$M328+$N328)</f>
        <v/>
      </c>
    </row>
    <row r="329">
      <c r="A329" s="16">
        <f>IF('ANAHTAR'!$B329="","",'ANAHTAR'!$B329)</f>
        <v/>
      </c>
      <c r="B329" s="16">
        <f>IF($A329="","",COUNTIF(tblAnahtarB[NormB],$A329))</f>
        <v/>
      </c>
      <c r="C329" s="16">
        <f>IF($A329="","",SUMIF(tblAnahtarB[NormB],$A329,tblVeriB[BeyanTutar]))</f>
        <v/>
      </c>
      <c r="D329" s="16">
        <f>IF($A329="","",SUMIF(tblAnahtarA[Norm],$A329,tblVeriA[Tutar]))</f>
        <v/>
      </c>
      <c r="E329" s="16">
        <f>IF($A329="","",ROUND($D329,2)-ROUND($C329,2))</f>
        <v/>
      </c>
      <c r="F329" s="16">
        <f>IF($A329="","",ABS($E329))</f>
        <v/>
      </c>
      <c r="G329" s="16">
        <f>IF($A329="","",IF($B329=0,"eslesmedi",IF(ROUND($D329,2)=ROUND($C329,2),"eslesti",IF(ABS(ROUND($D329,2)-ROUND($C329,2))&lt;=toleransKurus,"tolerans_icinde","tutar_farki"))))</f>
        <v/>
      </c>
      <c r="H329" s="16">
        <f>IF($A329="","",IF($B329&gt;0,"BIRINCIL",IF(COUNTIF(tblAnahtarB[IkincilB],'ANAHTAR'!$D329)&gt;0,"IKINCIL","YOK")))</f>
        <v/>
      </c>
      <c r="I329" s="16">
        <f>IF($A329="","",'ANAHTAR'!$F329)</f>
        <v/>
      </c>
      <c r="J329" s="16">
        <f>IF(OR($A329="",$D329=0),0,$F329/ABS($D329))</f>
        <v/>
      </c>
      <c r="K329" s="16">
        <f>IF($A329="","",ROUND($D329,2))</f>
        <v/>
      </c>
      <c r="L329" s="16">
        <f>IF($A329="","",ROUND($C329,2))</f>
        <v/>
      </c>
      <c r="M329" s="16">
        <f>IF($A329="","",IF($F329&lt;=toleransKurus,1,0))</f>
        <v/>
      </c>
      <c r="N329" s="16">
        <f>IF($A329="","",IF($F329&gt;cbb_esikFark,1,0))</f>
        <v/>
      </c>
      <c r="O329" s="16">
        <f>IF($A329="","",IF($G329="eslesti",$D329,0))</f>
        <v/>
      </c>
      <c r="P329" s="16">
        <f>IF($A329="","",$B329+$M329+$N329)</f>
        <v/>
      </c>
    </row>
    <row r="330">
      <c r="A330" s="16">
        <f>IF('ANAHTAR'!$B330="","",'ANAHTAR'!$B330)</f>
        <v/>
      </c>
      <c r="B330" s="16">
        <f>IF($A330="","",COUNTIF(tblAnahtarB[NormB],$A330))</f>
        <v/>
      </c>
      <c r="C330" s="16">
        <f>IF($A330="","",SUMIF(tblAnahtarB[NormB],$A330,tblVeriB[BeyanTutar]))</f>
        <v/>
      </c>
      <c r="D330" s="16">
        <f>IF($A330="","",SUMIF(tblAnahtarA[Norm],$A330,tblVeriA[Tutar]))</f>
        <v/>
      </c>
      <c r="E330" s="16">
        <f>IF($A330="","",ROUND($D330,2)-ROUND($C330,2))</f>
        <v/>
      </c>
      <c r="F330" s="16">
        <f>IF($A330="","",ABS($E330))</f>
        <v/>
      </c>
      <c r="G330" s="16">
        <f>IF($A330="","",IF($B330=0,"eslesmedi",IF(ROUND($D330,2)=ROUND($C330,2),"eslesti",IF(ABS(ROUND($D330,2)-ROUND($C330,2))&lt;=toleransKurus,"tolerans_icinde","tutar_farki"))))</f>
        <v/>
      </c>
      <c r="H330" s="16">
        <f>IF($A330="","",IF($B330&gt;0,"BIRINCIL",IF(COUNTIF(tblAnahtarB[IkincilB],'ANAHTAR'!$D330)&gt;0,"IKINCIL","YOK")))</f>
        <v/>
      </c>
      <c r="I330" s="16">
        <f>IF($A330="","",'ANAHTAR'!$F330)</f>
        <v/>
      </c>
      <c r="J330" s="16">
        <f>IF(OR($A330="",$D330=0),0,$F330/ABS($D330))</f>
        <v/>
      </c>
      <c r="K330" s="16">
        <f>IF($A330="","",ROUND($D330,2))</f>
        <v/>
      </c>
      <c r="L330" s="16">
        <f>IF($A330="","",ROUND($C330,2))</f>
        <v/>
      </c>
      <c r="M330" s="16">
        <f>IF($A330="","",IF($F330&lt;=toleransKurus,1,0))</f>
        <v/>
      </c>
      <c r="N330" s="16">
        <f>IF($A330="","",IF($F330&gt;cbb_esikFark,1,0))</f>
        <v/>
      </c>
      <c r="O330" s="16">
        <f>IF($A330="","",IF($G330="eslesti",$D330,0))</f>
        <v/>
      </c>
      <c r="P330" s="16">
        <f>IF($A330="","",$B330+$M330+$N330)</f>
        <v/>
      </c>
    </row>
    <row r="331">
      <c r="A331" s="16">
        <f>IF('ANAHTAR'!$B331="","",'ANAHTAR'!$B331)</f>
        <v/>
      </c>
      <c r="B331" s="16">
        <f>IF($A331="","",COUNTIF(tblAnahtarB[NormB],$A331))</f>
        <v/>
      </c>
      <c r="C331" s="16">
        <f>IF($A331="","",SUMIF(tblAnahtarB[NormB],$A331,tblVeriB[BeyanTutar]))</f>
        <v/>
      </c>
      <c r="D331" s="16">
        <f>IF($A331="","",SUMIF(tblAnahtarA[Norm],$A331,tblVeriA[Tutar]))</f>
        <v/>
      </c>
      <c r="E331" s="16">
        <f>IF($A331="","",ROUND($D331,2)-ROUND($C331,2))</f>
        <v/>
      </c>
      <c r="F331" s="16">
        <f>IF($A331="","",ABS($E331))</f>
        <v/>
      </c>
      <c r="G331" s="16">
        <f>IF($A331="","",IF($B331=0,"eslesmedi",IF(ROUND($D331,2)=ROUND($C331,2),"eslesti",IF(ABS(ROUND($D331,2)-ROUND($C331,2))&lt;=toleransKurus,"tolerans_icinde","tutar_farki"))))</f>
        <v/>
      </c>
      <c r="H331" s="16">
        <f>IF($A331="","",IF($B331&gt;0,"BIRINCIL",IF(COUNTIF(tblAnahtarB[IkincilB],'ANAHTAR'!$D331)&gt;0,"IKINCIL","YOK")))</f>
        <v/>
      </c>
      <c r="I331" s="16">
        <f>IF($A331="","",'ANAHTAR'!$F331)</f>
        <v/>
      </c>
      <c r="J331" s="16">
        <f>IF(OR($A331="",$D331=0),0,$F331/ABS($D331))</f>
        <v/>
      </c>
      <c r="K331" s="16">
        <f>IF($A331="","",ROUND($D331,2))</f>
        <v/>
      </c>
      <c r="L331" s="16">
        <f>IF($A331="","",ROUND($C331,2))</f>
        <v/>
      </c>
      <c r="M331" s="16">
        <f>IF($A331="","",IF($F331&lt;=toleransKurus,1,0))</f>
        <v/>
      </c>
      <c r="N331" s="16">
        <f>IF($A331="","",IF($F331&gt;cbb_esikFark,1,0))</f>
        <v/>
      </c>
      <c r="O331" s="16">
        <f>IF($A331="","",IF($G331="eslesti",$D331,0))</f>
        <v/>
      </c>
      <c r="P331" s="16">
        <f>IF($A331="","",$B331+$M331+$N331)</f>
        <v/>
      </c>
    </row>
    <row r="332">
      <c r="A332" s="16">
        <f>IF('ANAHTAR'!$B332="","",'ANAHTAR'!$B332)</f>
        <v/>
      </c>
      <c r="B332" s="16">
        <f>IF($A332="","",COUNTIF(tblAnahtarB[NormB],$A332))</f>
        <v/>
      </c>
      <c r="C332" s="16">
        <f>IF($A332="","",SUMIF(tblAnahtarB[NormB],$A332,tblVeriB[BeyanTutar]))</f>
        <v/>
      </c>
      <c r="D332" s="16">
        <f>IF($A332="","",SUMIF(tblAnahtarA[Norm],$A332,tblVeriA[Tutar]))</f>
        <v/>
      </c>
      <c r="E332" s="16">
        <f>IF($A332="","",ROUND($D332,2)-ROUND($C332,2))</f>
        <v/>
      </c>
      <c r="F332" s="16">
        <f>IF($A332="","",ABS($E332))</f>
        <v/>
      </c>
      <c r="G332" s="16">
        <f>IF($A332="","",IF($B332=0,"eslesmedi",IF(ROUND($D332,2)=ROUND($C332,2),"eslesti",IF(ABS(ROUND($D332,2)-ROUND($C332,2))&lt;=toleransKurus,"tolerans_icinde","tutar_farki"))))</f>
        <v/>
      </c>
      <c r="H332" s="16">
        <f>IF($A332="","",IF($B332&gt;0,"BIRINCIL",IF(COUNTIF(tblAnahtarB[IkincilB],'ANAHTAR'!$D332)&gt;0,"IKINCIL","YOK")))</f>
        <v/>
      </c>
      <c r="I332" s="16">
        <f>IF($A332="","",'ANAHTAR'!$F332)</f>
        <v/>
      </c>
      <c r="J332" s="16">
        <f>IF(OR($A332="",$D332=0),0,$F332/ABS($D332))</f>
        <v/>
      </c>
      <c r="K332" s="16">
        <f>IF($A332="","",ROUND($D332,2))</f>
        <v/>
      </c>
      <c r="L332" s="16">
        <f>IF($A332="","",ROUND($C332,2))</f>
        <v/>
      </c>
      <c r="M332" s="16">
        <f>IF($A332="","",IF($F332&lt;=toleransKurus,1,0))</f>
        <v/>
      </c>
      <c r="N332" s="16">
        <f>IF($A332="","",IF($F332&gt;cbb_esikFark,1,0))</f>
        <v/>
      </c>
      <c r="O332" s="16">
        <f>IF($A332="","",IF($G332="eslesti",$D332,0))</f>
        <v/>
      </c>
      <c r="P332" s="16">
        <f>IF($A332="","",$B332+$M332+$N332)</f>
        <v/>
      </c>
    </row>
    <row r="333">
      <c r="A333" s="16">
        <f>IF('ANAHTAR'!$B333="","",'ANAHTAR'!$B333)</f>
        <v/>
      </c>
      <c r="B333" s="16">
        <f>IF($A333="","",COUNTIF(tblAnahtarB[NormB],$A333))</f>
        <v/>
      </c>
      <c r="C333" s="16">
        <f>IF($A333="","",SUMIF(tblAnahtarB[NormB],$A333,tblVeriB[BeyanTutar]))</f>
        <v/>
      </c>
      <c r="D333" s="16">
        <f>IF($A333="","",SUMIF(tblAnahtarA[Norm],$A333,tblVeriA[Tutar]))</f>
        <v/>
      </c>
      <c r="E333" s="16">
        <f>IF($A333="","",ROUND($D333,2)-ROUND($C333,2))</f>
        <v/>
      </c>
      <c r="F333" s="16">
        <f>IF($A333="","",ABS($E333))</f>
        <v/>
      </c>
      <c r="G333" s="16">
        <f>IF($A333="","",IF($B333=0,"eslesmedi",IF(ROUND($D333,2)=ROUND($C333,2),"eslesti",IF(ABS(ROUND($D333,2)-ROUND($C333,2))&lt;=toleransKurus,"tolerans_icinde","tutar_farki"))))</f>
        <v/>
      </c>
      <c r="H333" s="16">
        <f>IF($A333="","",IF($B333&gt;0,"BIRINCIL",IF(COUNTIF(tblAnahtarB[IkincilB],'ANAHTAR'!$D333)&gt;0,"IKINCIL","YOK")))</f>
        <v/>
      </c>
      <c r="I333" s="16">
        <f>IF($A333="","",'ANAHTAR'!$F333)</f>
        <v/>
      </c>
      <c r="J333" s="16">
        <f>IF(OR($A333="",$D333=0),0,$F333/ABS($D333))</f>
        <v/>
      </c>
      <c r="K333" s="16">
        <f>IF($A333="","",ROUND($D333,2))</f>
        <v/>
      </c>
      <c r="L333" s="16">
        <f>IF($A333="","",ROUND($C333,2))</f>
        <v/>
      </c>
      <c r="M333" s="16">
        <f>IF($A333="","",IF($F333&lt;=toleransKurus,1,0))</f>
        <v/>
      </c>
      <c r="N333" s="16">
        <f>IF($A333="","",IF($F333&gt;cbb_esikFark,1,0))</f>
        <v/>
      </c>
      <c r="O333" s="16">
        <f>IF($A333="","",IF($G333="eslesti",$D333,0))</f>
        <v/>
      </c>
      <c r="P333" s="16">
        <f>IF($A333="","",$B333+$M333+$N333)</f>
        <v/>
      </c>
    </row>
    <row r="334">
      <c r="A334" s="16">
        <f>IF('ANAHTAR'!$B334="","",'ANAHTAR'!$B334)</f>
        <v/>
      </c>
      <c r="B334" s="16">
        <f>IF($A334="","",COUNTIF(tblAnahtarB[NormB],$A334))</f>
        <v/>
      </c>
      <c r="C334" s="16">
        <f>IF($A334="","",SUMIF(tblAnahtarB[NormB],$A334,tblVeriB[BeyanTutar]))</f>
        <v/>
      </c>
      <c r="D334" s="16">
        <f>IF($A334="","",SUMIF(tblAnahtarA[Norm],$A334,tblVeriA[Tutar]))</f>
        <v/>
      </c>
      <c r="E334" s="16">
        <f>IF($A334="","",ROUND($D334,2)-ROUND($C334,2))</f>
        <v/>
      </c>
      <c r="F334" s="16">
        <f>IF($A334="","",ABS($E334))</f>
        <v/>
      </c>
      <c r="G334" s="16">
        <f>IF($A334="","",IF($B334=0,"eslesmedi",IF(ROUND($D334,2)=ROUND($C334,2),"eslesti",IF(ABS(ROUND($D334,2)-ROUND($C334,2))&lt;=toleransKurus,"tolerans_icinde","tutar_farki"))))</f>
        <v/>
      </c>
      <c r="H334" s="16">
        <f>IF($A334="","",IF($B334&gt;0,"BIRINCIL",IF(COUNTIF(tblAnahtarB[IkincilB],'ANAHTAR'!$D334)&gt;0,"IKINCIL","YOK")))</f>
        <v/>
      </c>
      <c r="I334" s="16">
        <f>IF($A334="","",'ANAHTAR'!$F334)</f>
        <v/>
      </c>
      <c r="J334" s="16">
        <f>IF(OR($A334="",$D334=0),0,$F334/ABS($D334))</f>
        <v/>
      </c>
      <c r="K334" s="16">
        <f>IF($A334="","",ROUND($D334,2))</f>
        <v/>
      </c>
      <c r="L334" s="16">
        <f>IF($A334="","",ROUND($C334,2))</f>
        <v/>
      </c>
      <c r="M334" s="16">
        <f>IF($A334="","",IF($F334&lt;=toleransKurus,1,0))</f>
        <v/>
      </c>
      <c r="N334" s="16">
        <f>IF($A334="","",IF($F334&gt;cbb_esikFark,1,0))</f>
        <v/>
      </c>
      <c r="O334" s="16">
        <f>IF($A334="","",IF($G334="eslesti",$D334,0))</f>
        <v/>
      </c>
      <c r="P334" s="16">
        <f>IF($A334="","",$B334+$M334+$N334)</f>
        <v/>
      </c>
    </row>
    <row r="335">
      <c r="A335" s="16">
        <f>IF('ANAHTAR'!$B335="","",'ANAHTAR'!$B335)</f>
        <v/>
      </c>
      <c r="B335" s="16">
        <f>IF($A335="","",COUNTIF(tblAnahtarB[NormB],$A335))</f>
        <v/>
      </c>
      <c r="C335" s="16">
        <f>IF($A335="","",SUMIF(tblAnahtarB[NormB],$A335,tblVeriB[BeyanTutar]))</f>
        <v/>
      </c>
      <c r="D335" s="16">
        <f>IF($A335="","",SUMIF(tblAnahtarA[Norm],$A335,tblVeriA[Tutar]))</f>
        <v/>
      </c>
      <c r="E335" s="16">
        <f>IF($A335="","",ROUND($D335,2)-ROUND($C335,2))</f>
        <v/>
      </c>
      <c r="F335" s="16">
        <f>IF($A335="","",ABS($E335))</f>
        <v/>
      </c>
      <c r="G335" s="16">
        <f>IF($A335="","",IF($B335=0,"eslesmedi",IF(ROUND($D335,2)=ROUND($C335,2),"eslesti",IF(ABS(ROUND($D335,2)-ROUND($C335,2))&lt;=toleransKurus,"tolerans_icinde","tutar_farki"))))</f>
        <v/>
      </c>
      <c r="H335" s="16">
        <f>IF($A335="","",IF($B335&gt;0,"BIRINCIL",IF(COUNTIF(tblAnahtarB[IkincilB],'ANAHTAR'!$D335)&gt;0,"IKINCIL","YOK")))</f>
        <v/>
      </c>
      <c r="I335" s="16">
        <f>IF($A335="","",'ANAHTAR'!$F335)</f>
        <v/>
      </c>
      <c r="J335" s="16">
        <f>IF(OR($A335="",$D335=0),0,$F335/ABS($D335))</f>
        <v/>
      </c>
      <c r="K335" s="16">
        <f>IF($A335="","",ROUND($D335,2))</f>
        <v/>
      </c>
      <c r="L335" s="16">
        <f>IF($A335="","",ROUND($C335,2))</f>
        <v/>
      </c>
      <c r="M335" s="16">
        <f>IF($A335="","",IF($F335&lt;=toleransKurus,1,0))</f>
        <v/>
      </c>
      <c r="N335" s="16">
        <f>IF($A335="","",IF($F335&gt;cbb_esikFark,1,0))</f>
        <v/>
      </c>
      <c r="O335" s="16">
        <f>IF($A335="","",IF($G335="eslesti",$D335,0))</f>
        <v/>
      </c>
      <c r="P335" s="16">
        <f>IF($A335="","",$B335+$M335+$N335)</f>
        <v/>
      </c>
    </row>
    <row r="336">
      <c r="A336" s="16">
        <f>IF('ANAHTAR'!$B336="","",'ANAHTAR'!$B336)</f>
        <v/>
      </c>
      <c r="B336" s="16">
        <f>IF($A336="","",COUNTIF(tblAnahtarB[NormB],$A336))</f>
        <v/>
      </c>
      <c r="C336" s="16">
        <f>IF($A336="","",SUMIF(tblAnahtarB[NormB],$A336,tblVeriB[BeyanTutar]))</f>
        <v/>
      </c>
      <c r="D336" s="16">
        <f>IF($A336="","",SUMIF(tblAnahtarA[Norm],$A336,tblVeriA[Tutar]))</f>
        <v/>
      </c>
      <c r="E336" s="16">
        <f>IF($A336="","",ROUND($D336,2)-ROUND($C336,2))</f>
        <v/>
      </c>
      <c r="F336" s="16">
        <f>IF($A336="","",ABS($E336))</f>
        <v/>
      </c>
      <c r="G336" s="16">
        <f>IF($A336="","",IF($B336=0,"eslesmedi",IF(ROUND($D336,2)=ROUND($C336,2),"eslesti",IF(ABS(ROUND($D336,2)-ROUND($C336,2))&lt;=toleransKurus,"tolerans_icinde","tutar_farki"))))</f>
        <v/>
      </c>
      <c r="H336" s="16">
        <f>IF($A336="","",IF($B336&gt;0,"BIRINCIL",IF(COUNTIF(tblAnahtarB[IkincilB],'ANAHTAR'!$D336)&gt;0,"IKINCIL","YOK")))</f>
        <v/>
      </c>
      <c r="I336" s="16">
        <f>IF($A336="","",'ANAHTAR'!$F336)</f>
        <v/>
      </c>
      <c r="J336" s="16">
        <f>IF(OR($A336="",$D336=0),0,$F336/ABS($D336))</f>
        <v/>
      </c>
      <c r="K336" s="16">
        <f>IF($A336="","",ROUND($D336,2))</f>
        <v/>
      </c>
      <c r="L336" s="16">
        <f>IF($A336="","",ROUND($C336,2))</f>
        <v/>
      </c>
      <c r="M336" s="16">
        <f>IF($A336="","",IF($F336&lt;=toleransKurus,1,0))</f>
        <v/>
      </c>
      <c r="N336" s="16">
        <f>IF($A336="","",IF($F336&gt;cbb_esikFark,1,0))</f>
        <v/>
      </c>
      <c r="O336" s="16">
        <f>IF($A336="","",IF($G336="eslesti",$D336,0))</f>
        <v/>
      </c>
      <c r="P336" s="16">
        <f>IF($A336="","",$B336+$M336+$N336)</f>
        <v/>
      </c>
    </row>
    <row r="337">
      <c r="A337" s="16">
        <f>IF('ANAHTAR'!$B337="","",'ANAHTAR'!$B337)</f>
        <v/>
      </c>
      <c r="B337" s="16">
        <f>IF($A337="","",COUNTIF(tblAnahtarB[NormB],$A337))</f>
        <v/>
      </c>
      <c r="C337" s="16">
        <f>IF($A337="","",SUMIF(tblAnahtarB[NormB],$A337,tblVeriB[BeyanTutar]))</f>
        <v/>
      </c>
      <c r="D337" s="16">
        <f>IF($A337="","",SUMIF(tblAnahtarA[Norm],$A337,tblVeriA[Tutar]))</f>
        <v/>
      </c>
      <c r="E337" s="16">
        <f>IF($A337="","",ROUND($D337,2)-ROUND($C337,2))</f>
        <v/>
      </c>
      <c r="F337" s="16">
        <f>IF($A337="","",ABS($E337))</f>
        <v/>
      </c>
      <c r="G337" s="16">
        <f>IF($A337="","",IF($B337=0,"eslesmedi",IF(ROUND($D337,2)=ROUND($C337,2),"eslesti",IF(ABS(ROUND($D337,2)-ROUND($C337,2))&lt;=toleransKurus,"tolerans_icinde","tutar_farki"))))</f>
        <v/>
      </c>
      <c r="H337" s="16">
        <f>IF($A337="","",IF($B337&gt;0,"BIRINCIL",IF(COUNTIF(tblAnahtarB[IkincilB],'ANAHTAR'!$D337)&gt;0,"IKINCIL","YOK")))</f>
        <v/>
      </c>
      <c r="I337" s="16">
        <f>IF($A337="","",'ANAHTAR'!$F337)</f>
        <v/>
      </c>
      <c r="J337" s="16">
        <f>IF(OR($A337="",$D337=0),0,$F337/ABS($D337))</f>
        <v/>
      </c>
      <c r="K337" s="16">
        <f>IF($A337="","",ROUND($D337,2))</f>
        <v/>
      </c>
      <c r="L337" s="16">
        <f>IF($A337="","",ROUND($C337,2))</f>
        <v/>
      </c>
      <c r="M337" s="16">
        <f>IF($A337="","",IF($F337&lt;=toleransKurus,1,0))</f>
        <v/>
      </c>
      <c r="N337" s="16">
        <f>IF($A337="","",IF($F337&gt;cbb_esikFark,1,0))</f>
        <v/>
      </c>
      <c r="O337" s="16">
        <f>IF($A337="","",IF($G337="eslesti",$D337,0))</f>
        <v/>
      </c>
      <c r="P337" s="16">
        <f>IF($A337="","",$B337+$M337+$N337)</f>
        <v/>
      </c>
    </row>
    <row r="338">
      <c r="A338" s="16">
        <f>IF('ANAHTAR'!$B338="","",'ANAHTAR'!$B338)</f>
        <v/>
      </c>
      <c r="B338" s="16">
        <f>IF($A338="","",COUNTIF(tblAnahtarB[NormB],$A338))</f>
        <v/>
      </c>
      <c r="C338" s="16">
        <f>IF($A338="","",SUMIF(tblAnahtarB[NormB],$A338,tblVeriB[BeyanTutar]))</f>
        <v/>
      </c>
      <c r="D338" s="16">
        <f>IF($A338="","",SUMIF(tblAnahtarA[Norm],$A338,tblVeriA[Tutar]))</f>
        <v/>
      </c>
      <c r="E338" s="16">
        <f>IF($A338="","",ROUND($D338,2)-ROUND($C338,2))</f>
        <v/>
      </c>
      <c r="F338" s="16">
        <f>IF($A338="","",ABS($E338))</f>
        <v/>
      </c>
      <c r="G338" s="16">
        <f>IF($A338="","",IF($B338=0,"eslesmedi",IF(ROUND($D338,2)=ROUND($C338,2),"eslesti",IF(ABS(ROUND($D338,2)-ROUND($C338,2))&lt;=toleransKurus,"tolerans_icinde","tutar_farki"))))</f>
        <v/>
      </c>
      <c r="H338" s="16">
        <f>IF($A338="","",IF($B338&gt;0,"BIRINCIL",IF(COUNTIF(tblAnahtarB[IkincilB],'ANAHTAR'!$D338)&gt;0,"IKINCIL","YOK")))</f>
        <v/>
      </c>
      <c r="I338" s="16">
        <f>IF($A338="","",'ANAHTAR'!$F338)</f>
        <v/>
      </c>
      <c r="J338" s="16">
        <f>IF(OR($A338="",$D338=0),0,$F338/ABS($D338))</f>
        <v/>
      </c>
      <c r="K338" s="16">
        <f>IF($A338="","",ROUND($D338,2))</f>
        <v/>
      </c>
      <c r="L338" s="16">
        <f>IF($A338="","",ROUND($C338,2))</f>
        <v/>
      </c>
      <c r="M338" s="16">
        <f>IF($A338="","",IF($F338&lt;=toleransKurus,1,0))</f>
        <v/>
      </c>
      <c r="N338" s="16">
        <f>IF($A338="","",IF($F338&gt;cbb_esikFark,1,0))</f>
        <v/>
      </c>
      <c r="O338" s="16">
        <f>IF($A338="","",IF($G338="eslesti",$D338,0))</f>
        <v/>
      </c>
      <c r="P338" s="16">
        <f>IF($A338="","",$B338+$M338+$N338)</f>
        <v/>
      </c>
    </row>
    <row r="339">
      <c r="A339" s="16">
        <f>IF('ANAHTAR'!$B339="","",'ANAHTAR'!$B339)</f>
        <v/>
      </c>
      <c r="B339" s="16">
        <f>IF($A339="","",COUNTIF(tblAnahtarB[NormB],$A339))</f>
        <v/>
      </c>
      <c r="C339" s="16">
        <f>IF($A339="","",SUMIF(tblAnahtarB[NormB],$A339,tblVeriB[BeyanTutar]))</f>
        <v/>
      </c>
      <c r="D339" s="16">
        <f>IF($A339="","",SUMIF(tblAnahtarA[Norm],$A339,tblVeriA[Tutar]))</f>
        <v/>
      </c>
      <c r="E339" s="16">
        <f>IF($A339="","",ROUND($D339,2)-ROUND($C339,2))</f>
        <v/>
      </c>
      <c r="F339" s="16">
        <f>IF($A339="","",ABS($E339))</f>
        <v/>
      </c>
      <c r="G339" s="16">
        <f>IF($A339="","",IF($B339=0,"eslesmedi",IF(ROUND($D339,2)=ROUND($C339,2),"eslesti",IF(ABS(ROUND($D339,2)-ROUND($C339,2))&lt;=toleransKurus,"tolerans_icinde","tutar_farki"))))</f>
        <v/>
      </c>
      <c r="H339" s="16">
        <f>IF($A339="","",IF($B339&gt;0,"BIRINCIL",IF(COUNTIF(tblAnahtarB[IkincilB],'ANAHTAR'!$D339)&gt;0,"IKINCIL","YOK")))</f>
        <v/>
      </c>
      <c r="I339" s="16">
        <f>IF($A339="","",'ANAHTAR'!$F339)</f>
        <v/>
      </c>
      <c r="J339" s="16">
        <f>IF(OR($A339="",$D339=0),0,$F339/ABS($D339))</f>
        <v/>
      </c>
      <c r="K339" s="16">
        <f>IF($A339="","",ROUND($D339,2))</f>
        <v/>
      </c>
      <c r="L339" s="16">
        <f>IF($A339="","",ROUND($C339,2))</f>
        <v/>
      </c>
      <c r="M339" s="16">
        <f>IF($A339="","",IF($F339&lt;=toleransKurus,1,0))</f>
        <v/>
      </c>
      <c r="N339" s="16">
        <f>IF($A339="","",IF($F339&gt;cbb_esikFark,1,0))</f>
        <v/>
      </c>
      <c r="O339" s="16">
        <f>IF($A339="","",IF($G339="eslesti",$D339,0))</f>
        <v/>
      </c>
      <c r="P339" s="16">
        <f>IF($A339="","",$B339+$M339+$N339)</f>
        <v/>
      </c>
    </row>
    <row r="340">
      <c r="A340" s="16">
        <f>IF('ANAHTAR'!$B340="","",'ANAHTAR'!$B340)</f>
        <v/>
      </c>
      <c r="B340" s="16">
        <f>IF($A340="","",COUNTIF(tblAnahtarB[NormB],$A340))</f>
        <v/>
      </c>
      <c r="C340" s="16">
        <f>IF($A340="","",SUMIF(tblAnahtarB[NormB],$A340,tblVeriB[BeyanTutar]))</f>
        <v/>
      </c>
      <c r="D340" s="16">
        <f>IF($A340="","",SUMIF(tblAnahtarA[Norm],$A340,tblVeriA[Tutar]))</f>
        <v/>
      </c>
      <c r="E340" s="16">
        <f>IF($A340="","",ROUND($D340,2)-ROUND($C340,2))</f>
        <v/>
      </c>
      <c r="F340" s="16">
        <f>IF($A340="","",ABS($E340))</f>
        <v/>
      </c>
      <c r="G340" s="16">
        <f>IF($A340="","",IF($B340=0,"eslesmedi",IF(ROUND($D340,2)=ROUND($C340,2),"eslesti",IF(ABS(ROUND($D340,2)-ROUND($C340,2))&lt;=toleransKurus,"tolerans_icinde","tutar_farki"))))</f>
        <v/>
      </c>
      <c r="H340" s="16">
        <f>IF($A340="","",IF($B340&gt;0,"BIRINCIL",IF(COUNTIF(tblAnahtarB[IkincilB],'ANAHTAR'!$D340)&gt;0,"IKINCIL","YOK")))</f>
        <v/>
      </c>
      <c r="I340" s="16">
        <f>IF($A340="","",'ANAHTAR'!$F340)</f>
        <v/>
      </c>
      <c r="J340" s="16">
        <f>IF(OR($A340="",$D340=0),0,$F340/ABS($D340))</f>
        <v/>
      </c>
      <c r="K340" s="16">
        <f>IF($A340="","",ROUND($D340,2))</f>
        <v/>
      </c>
      <c r="L340" s="16">
        <f>IF($A340="","",ROUND($C340,2))</f>
        <v/>
      </c>
      <c r="M340" s="16">
        <f>IF($A340="","",IF($F340&lt;=toleransKurus,1,0))</f>
        <v/>
      </c>
      <c r="N340" s="16">
        <f>IF($A340="","",IF($F340&gt;cbb_esikFark,1,0))</f>
        <v/>
      </c>
      <c r="O340" s="16">
        <f>IF($A340="","",IF($G340="eslesti",$D340,0))</f>
        <v/>
      </c>
      <c r="P340" s="16">
        <f>IF($A340="","",$B340+$M340+$N340)</f>
        <v/>
      </c>
    </row>
    <row r="341">
      <c r="A341" s="16">
        <f>IF('ANAHTAR'!$B341="","",'ANAHTAR'!$B341)</f>
        <v/>
      </c>
      <c r="B341" s="16">
        <f>IF($A341="","",COUNTIF(tblAnahtarB[NormB],$A341))</f>
        <v/>
      </c>
      <c r="C341" s="16">
        <f>IF($A341="","",SUMIF(tblAnahtarB[NormB],$A341,tblVeriB[BeyanTutar]))</f>
        <v/>
      </c>
      <c r="D341" s="16">
        <f>IF($A341="","",SUMIF(tblAnahtarA[Norm],$A341,tblVeriA[Tutar]))</f>
        <v/>
      </c>
      <c r="E341" s="16">
        <f>IF($A341="","",ROUND($D341,2)-ROUND($C341,2))</f>
        <v/>
      </c>
      <c r="F341" s="16">
        <f>IF($A341="","",ABS($E341))</f>
        <v/>
      </c>
      <c r="G341" s="16">
        <f>IF($A341="","",IF($B341=0,"eslesmedi",IF(ROUND($D341,2)=ROUND($C341,2),"eslesti",IF(ABS(ROUND($D341,2)-ROUND($C341,2))&lt;=toleransKurus,"tolerans_icinde","tutar_farki"))))</f>
        <v/>
      </c>
      <c r="H341" s="16">
        <f>IF($A341="","",IF($B341&gt;0,"BIRINCIL",IF(COUNTIF(tblAnahtarB[IkincilB],'ANAHTAR'!$D341)&gt;0,"IKINCIL","YOK")))</f>
        <v/>
      </c>
      <c r="I341" s="16">
        <f>IF($A341="","",'ANAHTAR'!$F341)</f>
        <v/>
      </c>
      <c r="J341" s="16">
        <f>IF(OR($A341="",$D341=0),0,$F341/ABS($D341))</f>
        <v/>
      </c>
      <c r="K341" s="16">
        <f>IF($A341="","",ROUND($D341,2))</f>
        <v/>
      </c>
      <c r="L341" s="16">
        <f>IF($A341="","",ROUND($C341,2))</f>
        <v/>
      </c>
      <c r="M341" s="16">
        <f>IF($A341="","",IF($F341&lt;=toleransKurus,1,0))</f>
        <v/>
      </c>
      <c r="N341" s="16">
        <f>IF($A341="","",IF($F341&gt;cbb_esikFark,1,0))</f>
        <v/>
      </c>
      <c r="O341" s="16">
        <f>IF($A341="","",IF($G341="eslesti",$D341,0))</f>
        <v/>
      </c>
      <c r="P341" s="16">
        <f>IF($A341="","",$B341+$M341+$N341)</f>
        <v/>
      </c>
    </row>
    <row r="342">
      <c r="A342" s="16">
        <f>IF('ANAHTAR'!$B342="","",'ANAHTAR'!$B342)</f>
        <v/>
      </c>
      <c r="B342" s="16">
        <f>IF($A342="","",COUNTIF(tblAnahtarB[NormB],$A342))</f>
        <v/>
      </c>
      <c r="C342" s="16">
        <f>IF($A342="","",SUMIF(tblAnahtarB[NormB],$A342,tblVeriB[BeyanTutar]))</f>
        <v/>
      </c>
      <c r="D342" s="16">
        <f>IF($A342="","",SUMIF(tblAnahtarA[Norm],$A342,tblVeriA[Tutar]))</f>
        <v/>
      </c>
      <c r="E342" s="16">
        <f>IF($A342="","",ROUND($D342,2)-ROUND($C342,2))</f>
        <v/>
      </c>
      <c r="F342" s="16">
        <f>IF($A342="","",ABS($E342))</f>
        <v/>
      </c>
      <c r="G342" s="16">
        <f>IF($A342="","",IF($B342=0,"eslesmedi",IF(ROUND($D342,2)=ROUND($C342,2),"eslesti",IF(ABS(ROUND($D342,2)-ROUND($C342,2))&lt;=toleransKurus,"tolerans_icinde","tutar_farki"))))</f>
        <v/>
      </c>
      <c r="H342" s="16">
        <f>IF($A342="","",IF($B342&gt;0,"BIRINCIL",IF(COUNTIF(tblAnahtarB[IkincilB],'ANAHTAR'!$D342)&gt;0,"IKINCIL","YOK")))</f>
        <v/>
      </c>
      <c r="I342" s="16">
        <f>IF($A342="","",'ANAHTAR'!$F342)</f>
        <v/>
      </c>
      <c r="J342" s="16">
        <f>IF(OR($A342="",$D342=0),0,$F342/ABS($D342))</f>
        <v/>
      </c>
      <c r="K342" s="16">
        <f>IF($A342="","",ROUND($D342,2))</f>
        <v/>
      </c>
      <c r="L342" s="16">
        <f>IF($A342="","",ROUND($C342,2))</f>
        <v/>
      </c>
      <c r="M342" s="16">
        <f>IF($A342="","",IF($F342&lt;=toleransKurus,1,0))</f>
        <v/>
      </c>
      <c r="N342" s="16">
        <f>IF($A342="","",IF($F342&gt;cbb_esikFark,1,0))</f>
        <v/>
      </c>
      <c r="O342" s="16">
        <f>IF($A342="","",IF($G342="eslesti",$D342,0))</f>
        <v/>
      </c>
      <c r="P342" s="16">
        <f>IF($A342="","",$B342+$M342+$N342)</f>
        <v/>
      </c>
    </row>
    <row r="343">
      <c r="A343" s="16">
        <f>IF('ANAHTAR'!$B343="","",'ANAHTAR'!$B343)</f>
        <v/>
      </c>
      <c r="B343" s="16">
        <f>IF($A343="","",COUNTIF(tblAnahtarB[NormB],$A343))</f>
        <v/>
      </c>
      <c r="C343" s="16">
        <f>IF($A343="","",SUMIF(tblAnahtarB[NormB],$A343,tblVeriB[BeyanTutar]))</f>
        <v/>
      </c>
      <c r="D343" s="16">
        <f>IF($A343="","",SUMIF(tblAnahtarA[Norm],$A343,tblVeriA[Tutar]))</f>
        <v/>
      </c>
      <c r="E343" s="16">
        <f>IF($A343="","",ROUND($D343,2)-ROUND($C343,2))</f>
        <v/>
      </c>
      <c r="F343" s="16">
        <f>IF($A343="","",ABS($E343))</f>
        <v/>
      </c>
      <c r="G343" s="16">
        <f>IF($A343="","",IF($B343=0,"eslesmedi",IF(ROUND($D343,2)=ROUND($C343,2),"eslesti",IF(ABS(ROUND($D343,2)-ROUND($C343,2))&lt;=toleransKurus,"tolerans_icinde","tutar_farki"))))</f>
        <v/>
      </c>
      <c r="H343" s="16">
        <f>IF($A343="","",IF($B343&gt;0,"BIRINCIL",IF(COUNTIF(tblAnahtarB[IkincilB],'ANAHTAR'!$D343)&gt;0,"IKINCIL","YOK")))</f>
        <v/>
      </c>
      <c r="I343" s="16">
        <f>IF($A343="","",'ANAHTAR'!$F343)</f>
        <v/>
      </c>
      <c r="J343" s="16">
        <f>IF(OR($A343="",$D343=0),0,$F343/ABS($D343))</f>
        <v/>
      </c>
      <c r="K343" s="16">
        <f>IF($A343="","",ROUND($D343,2))</f>
        <v/>
      </c>
      <c r="L343" s="16">
        <f>IF($A343="","",ROUND($C343,2))</f>
        <v/>
      </c>
      <c r="M343" s="16">
        <f>IF($A343="","",IF($F343&lt;=toleransKurus,1,0))</f>
        <v/>
      </c>
      <c r="N343" s="16">
        <f>IF($A343="","",IF($F343&gt;cbb_esikFark,1,0))</f>
        <v/>
      </c>
      <c r="O343" s="16">
        <f>IF($A343="","",IF($G343="eslesti",$D343,0))</f>
        <v/>
      </c>
      <c r="P343" s="16">
        <f>IF($A343="","",$B343+$M343+$N343)</f>
        <v/>
      </c>
    </row>
    <row r="344">
      <c r="A344" s="16">
        <f>IF('ANAHTAR'!$B344="","",'ANAHTAR'!$B344)</f>
        <v/>
      </c>
      <c r="B344" s="16">
        <f>IF($A344="","",COUNTIF(tblAnahtarB[NormB],$A344))</f>
        <v/>
      </c>
      <c r="C344" s="16">
        <f>IF($A344="","",SUMIF(tblAnahtarB[NormB],$A344,tblVeriB[BeyanTutar]))</f>
        <v/>
      </c>
      <c r="D344" s="16">
        <f>IF($A344="","",SUMIF(tblAnahtarA[Norm],$A344,tblVeriA[Tutar]))</f>
        <v/>
      </c>
      <c r="E344" s="16">
        <f>IF($A344="","",ROUND($D344,2)-ROUND($C344,2))</f>
        <v/>
      </c>
      <c r="F344" s="16">
        <f>IF($A344="","",ABS($E344))</f>
        <v/>
      </c>
      <c r="G344" s="16">
        <f>IF($A344="","",IF($B344=0,"eslesmedi",IF(ROUND($D344,2)=ROUND($C344,2),"eslesti",IF(ABS(ROUND($D344,2)-ROUND($C344,2))&lt;=toleransKurus,"tolerans_icinde","tutar_farki"))))</f>
        <v/>
      </c>
      <c r="H344" s="16">
        <f>IF($A344="","",IF($B344&gt;0,"BIRINCIL",IF(COUNTIF(tblAnahtarB[IkincilB],'ANAHTAR'!$D344)&gt;0,"IKINCIL","YOK")))</f>
        <v/>
      </c>
      <c r="I344" s="16">
        <f>IF($A344="","",'ANAHTAR'!$F344)</f>
        <v/>
      </c>
      <c r="J344" s="16">
        <f>IF(OR($A344="",$D344=0),0,$F344/ABS($D344))</f>
        <v/>
      </c>
      <c r="K344" s="16">
        <f>IF($A344="","",ROUND($D344,2))</f>
        <v/>
      </c>
      <c r="L344" s="16">
        <f>IF($A344="","",ROUND($C344,2))</f>
        <v/>
      </c>
      <c r="M344" s="16">
        <f>IF($A344="","",IF($F344&lt;=toleransKurus,1,0))</f>
        <v/>
      </c>
      <c r="N344" s="16">
        <f>IF($A344="","",IF($F344&gt;cbb_esikFark,1,0))</f>
        <v/>
      </c>
      <c r="O344" s="16">
        <f>IF($A344="","",IF($G344="eslesti",$D344,0))</f>
        <v/>
      </c>
      <c r="P344" s="16">
        <f>IF($A344="","",$B344+$M344+$N344)</f>
        <v/>
      </c>
    </row>
    <row r="345">
      <c r="A345" s="16">
        <f>IF('ANAHTAR'!$B345="","",'ANAHTAR'!$B345)</f>
        <v/>
      </c>
      <c r="B345" s="16">
        <f>IF($A345="","",COUNTIF(tblAnahtarB[NormB],$A345))</f>
        <v/>
      </c>
      <c r="C345" s="16">
        <f>IF($A345="","",SUMIF(tblAnahtarB[NormB],$A345,tblVeriB[BeyanTutar]))</f>
        <v/>
      </c>
      <c r="D345" s="16">
        <f>IF($A345="","",SUMIF(tblAnahtarA[Norm],$A345,tblVeriA[Tutar]))</f>
        <v/>
      </c>
      <c r="E345" s="16">
        <f>IF($A345="","",ROUND($D345,2)-ROUND($C345,2))</f>
        <v/>
      </c>
      <c r="F345" s="16">
        <f>IF($A345="","",ABS($E345))</f>
        <v/>
      </c>
      <c r="G345" s="16">
        <f>IF($A345="","",IF($B345=0,"eslesmedi",IF(ROUND($D345,2)=ROUND($C345,2),"eslesti",IF(ABS(ROUND($D345,2)-ROUND($C345,2))&lt;=toleransKurus,"tolerans_icinde","tutar_farki"))))</f>
        <v/>
      </c>
      <c r="H345" s="16">
        <f>IF($A345="","",IF($B345&gt;0,"BIRINCIL",IF(COUNTIF(tblAnahtarB[IkincilB],'ANAHTAR'!$D345)&gt;0,"IKINCIL","YOK")))</f>
        <v/>
      </c>
      <c r="I345" s="16">
        <f>IF($A345="","",'ANAHTAR'!$F345)</f>
        <v/>
      </c>
      <c r="J345" s="16">
        <f>IF(OR($A345="",$D345=0),0,$F345/ABS($D345))</f>
        <v/>
      </c>
      <c r="K345" s="16">
        <f>IF($A345="","",ROUND($D345,2))</f>
        <v/>
      </c>
      <c r="L345" s="16">
        <f>IF($A345="","",ROUND($C345,2))</f>
        <v/>
      </c>
      <c r="M345" s="16">
        <f>IF($A345="","",IF($F345&lt;=toleransKurus,1,0))</f>
        <v/>
      </c>
      <c r="N345" s="16">
        <f>IF($A345="","",IF($F345&gt;cbb_esikFark,1,0))</f>
        <v/>
      </c>
      <c r="O345" s="16">
        <f>IF($A345="","",IF($G345="eslesti",$D345,0))</f>
        <v/>
      </c>
      <c r="P345" s="16">
        <f>IF($A345="","",$B345+$M345+$N345)</f>
        <v/>
      </c>
    </row>
    <row r="346">
      <c r="A346" s="16">
        <f>IF('ANAHTAR'!$B346="","",'ANAHTAR'!$B346)</f>
        <v/>
      </c>
      <c r="B346" s="16">
        <f>IF($A346="","",COUNTIF(tblAnahtarB[NormB],$A346))</f>
        <v/>
      </c>
      <c r="C346" s="16">
        <f>IF($A346="","",SUMIF(tblAnahtarB[NormB],$A346,tblVeriB[BeyanTutar]))</f>
        <v/>
      </c>
      <c r="D346" s="16">
        <f>IF($A346="","",SUMIF(tblAnahtarA[Norm],$A346,tblVeriA[Tutar]))</f>
        <v/>
      </c>
      <c r="E346" s="16">
        <f>IF($A346="","",ROUND($D346,2)-ROUND($C346,2))</f>
        <v/>
      </c>
      <c r="F346" s="16">
        <f>IF($A346="","",ABS($E346))</f>
        <v/>
      </c>
      <c r="G346" s="16">
        <f>IF($A346="","",IF($B346=0,"eslesmedi",IF(ROUND($D346,2)=ROUND($C346,2),"eslesti",IF(ABS(ROUND($D346,2)-ROUND($C346,2))&lt;=toleransKurus,"tolerans_icinde","tutar_farki"))))</f>
        <v/>
      </c>
      <c r="H346" s="16">
        <f>IF($A346="","",IF($B346&gt;0,"BIRINCIL",IF(COUNTIF(tblAnahtarB[IkincilB],'ANAHTAR'!$D346)&gt;0,"IKINCIL","YOK")))</f>
        <v/>
      </c>
      <c r="I346" s="16">
        <f>IF($A346="","",'ANAHTAR'!$F346)</f>
        <v/>
      </c>
      <c r="J346" s="16">
        <f>IF(OR($A346="",$D346=0),0,$F346/ABS($D346))</f>
        <v/>
      </c>
      <c r="K346" s="16">
        <f>IF($A346="","",ROUND($D346,2))</f>
        <v/>
      </c>
      <c r="L346" s="16">
        <f>IF($A346="","",ROUND($C346,2))</f>
        <v/>
      </c>
      <c r="M346" s="16">
        <f>IF($A346="","",IF($F346&lt;=toleransKurus,1,0))</f>
        <v/>
      </c>
      <c r="N346" s="16">
        <f>IF($A346="","",IF($F346&gt;cbb_esikFark,1,0))</f>
        <v/>
      </c>
      <c r="O346" s="16">
        <f>IF($A346="","",IF($G346="eslesti",$D346,0))</f>
        <v/>
      </c>
      <c r="P346" s="16">
        <f>IF($A346="","",$B346+$M346+$N346)</f>
        <v/>
      </c>
    </row>
    <row r="347">
      <c r="A347" s="16">
        <f>IF('ANAHTAR'!$B347="","",'ANAHTAR'!$B347)</f>
        <v/>
      </c>
      <c r="B347" s="16">
        <f>IF($A347="","",COUNTIF(tblAnahtarB[NormB],$A347))</f>
        <v/>
      </c>
      <c r="C347" s="16">
        <f>IF($A347="","",SUMIF(tblAnahtarB[NormB],$A347,tblVeriB[BeyanTutar]))</f>
        <v/>
      </c>
      <c r="D347" s="16">
        <f>IF($A347="","",SUMIF(tblAnahtarA[Norm],$A347,tblVeriA[Tutar]))</f>
        <v/>
      </c>
      <c r="E347" s="16">
        <f>IF($A347="","",ROUND($D347,2)-ROUND($C347,2))</f>
        <v/>
      </c>
      <c r="F347" s="16">
        <f>IF($A347="","",ABS($E347))</f>
        <v/>
      </c>
      <c r="G347" s="16">
        <f>IF($A347="","",IF($B347=0,"eslesmedi",IF(ROUND($D347,2)=ROUND($C347,2),"eslesti",IF(ABS(ROUND($D347,2)-ROUND($C347,2))&lt;=toleransKurus,"tolerans_icinde","tutar_farki"))))</f>
        <v/>
      </c>
      <c r="H347" s="16">
        <f>IF($A347="","",IF($B347&gt;0,"BIRINCIL",IF(COUNTIF(tblAnahtarB[IkincilB],'ANAHTAR'!$D347)&gt;0,"IKINCIL","YOK")))</f>
        <v/>
      </c>
      <c r="I347" s="16">
        <f>IF($A347="","",'ANAHTAR'!$F347)</f>
        <v/>
      </c>
      <c r="J347" s="16">
        <f>IF(OR($A347="",$D347=0),0,$F347/ABS($D347))</f>
        <v/>
      </c>
      <c r="K347" s="16">
        <f>IF($A347="","",ROUND($D347,2))</f>
        <v/>
      </c>
      <c r="L347" s="16">
        <f>IF($A347="","",ROUND($C347,2))</f>
        <v/>
      </c>
      <c r="M347" s="16">
        <f>IF($A347="","",IF($F347&lt;=toleransKurus,1,0))</f>
        <v/>
      </c>
      <c r="N347" s="16">
        <f>IF($A347="","",IF($F347&gt;cbb_esikFark,1,0))</f>
        <v/>
      </c>
      <c r="O347" s="16">
        <f>IF($A347="","",IF($G347="eslesti",$D347,0))</f>
        <v/>
      </c>
      <c r="P347" s="16">
        <f>IF($A347="","",$B347+$M347+$N347)</f>
        <v/>
      </c>
    </row>
    <row r="348">
      <c r="A348" s="16">
        <f>IF('ANAHTAR'!$B348="","",'ANAHTAR'!$B348)</f>
        <v/>
      </c>
      <c r="B348" s="16">
        <f>IF($A348="","",COUNTIF(tblAnahtarB[NormB],$A348))</f>
        <v/>
      </c>
      <c r="C348" s="16">
        <f>IF($A348="","",SUMIF(tblAnahtarB[NormB],$A348,tblVeriB[BeyanTutar]))</f>
        <v/>
      </c>
      <c r="D348" s="16">
        <f>IF($A348="","",SUMIF(tblAnahtarA[Norm],$A348,tblVeriA[Tutar]))</f>
        <v/>
      </c>
      <c r="E348" s="16">
        <f>IF($A348="","",ROUND($D348,2)-ROUND($C348,2))</f>
        <v/>
      </c>
      <c r="F348" s="16">
        <f>IF($A348="","",ABS($E348))</f>
        <v/>
      </c>
      <c r="G348" s="16">
        <f>IF($A348="","",IF($B348=0,"eslesmedi",IF(ROUND($D348,2)=ROUND($C348,2),"eslesti",IF(ABS(ROUND($D348,2)-ROUND($C348,2))&lt;=toleransKurus,"tolerans_icinde","tutar_farki"))))</f>
        <v/>
      </c>
      <c r="H348" s="16">
        <f>IF($A348="","",IF($B348&gt;0,"BIRINCIL",IF(COUNTIF(tblAnahtarB[IkincilB],'ANAHTAR'!$D348)&gt;0,"IKINCIL","YOK")))</f>
        <v/>
      </c>
      <c r="I348" s="16">
        <f>IF($A348="","",'ANAHTAR'!$F348)</f>
        <v/>
      </c>
      <c r="J348" s="16">
        <f>IF(OR($A348="",$D348=0),0,$F348/ABS($D348))</f>
        <v/>
      </c>
      <c r="K348" s="16">
        <f>IF($A348="","",ROUND($D348,2))</f>
        <v/>
      </c>
      <c r="L348" s="16">
        <f>IF($A348="","",ROUND($C348,2))</f>
        <v/>
      </c>
      <c r="M348" s="16">
        <f>IF($A348="","",IF($F348&lt;=toleransKurus,1,0))</f>
        <v/>
      </c>
      <c r="N348" s="16">
        <f>IF($A348="","",IF($F348&gt;cbb_esikFark,1,0))</f>
        <v/>
      </c>
      <c r="O348" s="16">
        <f>IF($A348="","",IF($G348="eslesti",$D348,0))</f>
        <v/>
      </c>
      <c r="P348" s="16">
        <f>IF($A348="","",$B348+$M348+$N348)</f>
        <v/>
      </c>
    </row>
    <row r="349">
      <c r="A349" s="16">
        <f>IF('ANAHTAR'!$B349="","",'ANAHTAR'!$B349)</f>
        <v/>
      </c>
      <c r="B349" s="16">
        <f>IF($A349="","",COUNTIF(tblAnahtarB[NormB],$A349))</f>
        <v/>
      </c>
      <c r="C349" s="16">
        <f>IF($A349="","",SUMIF(tblAnahtarB[NormB],$A349,tblVeriB[BeyanTutar]))</f>
        <v/>
      </c>
      <c r="D349" s="16">
        <f>IF($A349="","",SUMIF(tblAnahtarA[Norm],$A349,tblVeriA[Tutar]))</f>
        <v/>
      </c>
      <c r="E349" s="16">
        <f>IF($A349="","",ROUND($D349,2)-ROUND($C349,2))</f>
        <v/>
      </c>
      <c r="F349" s="16">
        <f>IF($A349="","",ABS($E349))</f>
        <v/>
      </c>
      <c r="G349" s="16">
        <f>IF($A349="","",IF($B349=0,"eslesmedi",IF(ROUND($D349,2)=ROUND($C349,2),"eslesti",IF(ABS(ROUND($D349,2)-ROUND($C349,2))&lt;=toleransKurus,"tolerans_icinde","tutar_farki"))))</f>
        <v/>
      </c>
      <c r="H349" s="16">
        <f>IF($A349="","",IF($B349&gt;0,"BIRINCIL",IF(COUNTIF(tblAnahtarB[IkincilB],'ANAHTAR'!$D349)&gt;0,"IKINCIL","YOK")))</f>
        <v/>
      </c>
      <c r="I349" s="16">
        <f>IF($A349="","",'ANAHTAR'!$F349)</f>
        <v/>
      </c>
      <c r="J349" s="16">
        <f>IF(OR($A349="",$D349=0),0,$F349/ABS($D349))</f>
        <v/>
      </c>
      <c r="K349" s="16">
        <f>IF($A349="","",ROUND($D349,2))</f>
        <v/>
      </c>
      <c r="L349" s="16">
        <f>IF($A349="","",ROUND($C349,2))</f>
        <v/>
      </c>
      <c r="M349" s="16">
        <f>IF($A349="","",IF($F349&lt;=toleransKurus,1,0))</f>
        <v/>
      </c>
      <c r="N349" s="16">
        <f>IF($A349="","",IF($F349&gt;cbb_esikFark,1,0))</f>
        <v/>
      </c>
      <c r="O349" s="16">
        <f>IF($A349="","",IF($G349="eslesti",$D349,0))</f>
        <v/>
      </c>
      <c r="P349" s="16">
        <f>IF($A349="","",$B349+$M349+$N349)</f>
        <v/>
      </c>
    </row>
    <row r="350">
      <c r="A350" s="16">
        <f>IF('ANAHTAR'!$B350="","",'ANAHTAR'!$B350)</f>
        <v/>
      </c>
      <c r="B350" s="16">
        <f>IF($A350="","",COUNTIF(tblAnahtarB[NormB],$A350))</f>
        <v/>
      </c>
      <c r="C350" s="16">
        <f>IF($A350="","",SUMIF(tblAnahtarB[NormB],$A350,tblVeriB[BeyanTutar]))</f>
        <v/>
      </c>
      <c r="D350" s="16">
        <f>IF($A350="","",SUMIF(tblAnahtarA[Norm],$A350,tblVeriA[Tutar]))</f>
        <v/>
      </c>
      <c r="E350" s="16">
        <f>IF($A350="","",ROUND($D350,2)-ROUND($C350,2))</f>
        <v/>
      </c>
      <c r="F350" s="16">
        <f>IF($A350="","",ABS($E350))</f>
        <v/>
      </c>
      <c r="G350" s="16">
        <f>IF($A350="","",IF($B350=0,"eslesmedi",IF(ROUND($D350,2)=ROUND($C350,2),"eslesti",IF(ABS(ROUND($D350,2)-ROUND($C350,2))&lt;=toleransKurus,"tolerans_icinde","tutar_farki"))))</f>
        <v/>
      </c>
      <c r="H350" s="16">
        <f>IF($A350="","",IF($B350&gt;0,"BIRINCIL",IF(COUNTIF(tblAnahtarB[IkincilB],'ANAHTAR'!$D350)&gt;0,"IKINCIL","YOK")))</f>
        <v/>
      </c>
      <c r="I350" s="16">
        <f>IF($A350="","",'ANAHTAR'!$F350)</f>
        <v/>
      </c>
      <c r="J350" s="16">
        <f>IF(OR($A350="",$D350=0),0,$F350/ABS($D350))</f>
        <v/>
      </c>
      <c r="K350" s="16">
        <f>IF($A350="","",ROUND($D350,2))</f>
        <v/>
      </c>
      <c r="L350" s="16">
        <f>IF($A350="","",ROUND($C350,2))</f>
        <v/>
      </c>
      <c r="M350" s="16">
        <f>IF($A350="","",IF($F350&lt;=toleransKurus,1,0))</f>
        <v/>
      </c>
      <c r="N350" s="16">
        <f>IF($A350="","",IF($F350&gt;cbb_esikFark,1,0))</f>
        <v/>
      </c>
      <c r="O350" s="16">
        <f>IF($A350="","",IF($G350="eslesti",$D350,0))</f>
        <v/>
      </c>
      <c r="P350" s="16">
        <f>IF($A350="","",$B350+$M350+$N350)</f>
        <v/>
      </c>
    </row>
    <row r="351">
      <c r="A351" s="16">
        <f>IF('ANAHTAR'!$B351="","",'ANAHTAR'!$B351)</f>
        <v/>
      </c>
      <c r="B351" s="16">
        <f>IF($A351="","",COUNTIF(tblAnahtarB[NormB],$A351))</f>
        <v/>
      </c>
      <c r="C351" s="16">
        <f>IF($A351="","",SUMIF(tblAnahtarB[NormB],$A351,tblVeriB[BeyanTutar]))</f>
        <v/>
      </c>
      <c r="D351" s="16">
        <f>IF($A351="","",SUMIF(tblAnahtarA[Norm],$A351,tblVeriA[Tutar]))</f>
        <v/>
      </c>
      <c r="E351" s="16">
        <f>IF($A351="","",ROUND($D351,2)-ROUND($C351,2))</f>
        <v/>
      </c>
      <c r="F351" s="16">
        <f>IF($A351="","",ABS($E351))</f>
        <v/>
      </c>
      <c r="G351" s="16">
        <f>IF($A351="","",IF($B351=0,"eslesmedi",IF(ROUND($D351,2)=ROUND($C351,2),"eslesti",IF(ABS(ROUND($D351,2)-ROUND($C351,2))&lt;=toleransKurus,"tolerans_icinde","tutar_farki"))))</f>
        <v/>
      </c>
      <c r="H351" s="16">
        <f>IF($A351="","",IF($B351&gt;0,"BIRINCIL",IF(COUNTIF(tblAnahtarB[IkincilB],'ANAHTAR'!$D351)&gt;0,"IKINCIL","YOK")))</f>
        <v/>
      </c>
      <c r="I351" s="16">
        <f>IF($A351="","",'ANAHTAR'!$F351)</f>
        <v/>
      </c>
      <c r="J351" s="16">
        <f>IF(OR($A351="",$D351=0),0,$F351/ABS($D351))</f>
        <v/>
      </c>
      <c r="K351" s="16">
        <f>IF($A351="","",ROUND($D351,2))</f>
        <v/>
      </c>
      <c r="L351" s="16">
        <f>IF($A351="","",ROUND($C351,2))</f>
        <v/>
      </c>
      <c r="M351" s="16">
        <f>IF($A351="","",IF($F351&lt;=toleransKurus,1,0))</f>
        <v/>
      </c>
      <c r="N351" s="16">
        <f>IF($A351="","",IF($F351&gt;cbb_esikFark,1,0))</f>
        <v/>
      </c>
      <c r="O351" s="16">
        <f>IF($A351="","",IF($G351="eslesti",$D351,0))</f>
        <v/>
      </c>
      <c r="P351" s="16">
        <f>IF($A351="","",$B351+$M351+$N351)</f>
        <v/>
      </c>
    </row>
    <row r="352">
      <c r="A352" s="16">
        <f>IF('ANAHTAR'!$B352="","",'ANAHTAR'!$B352)</f>
        <v/>
      </c>
      <c r="B352" s="16">
        <f>IF($A352="","",COUNTIF(tblAnahtarB[NormB],$A352))</f>
        <v/>
      </c>
      <c r="C352" s="16">
        <f>IF($A352="","",SUMIF(tblAnahtarB[NormB],$A352,tblVeriB[BeyanTutar]))</f>
        <v/>
      </c>
      <c r="D352" s="16">
        <f>IF($A352="","",SUMIF(tblAnahtarA[Norm],$A352,tblVeriA[Tutar]))</f>
        <v/>
      </c>
      <c r="E352" s="16">
        <f>IF($A352="","",ROUND($D352,2)-ROUND($C352,2))</f>
        <v/>
      </c>
      <c r="F352" s="16">
        <f>IF($A352="","",ABS($E352))</f>
        <v/>
      </c>
      <c r="G352" s="16">
        <f>IF($A352="","",IF($B352=0,"eslesmedi",IF(ROUND($D352,2)=ROUND($C352,2),"eslesti",IF(ABS(ROUND($D352,2)-ROUND($C352,2))&lt;=toleransKurus,"tolerans_icinde","tutar_farki"))))</f>
        <v/>
      </c>
      <c r="H352" s="16">
        <f>IF($A352="","",IF($B352&gt;0,"BIRINCIL",IF(COUNTIF(tblAnahtarB[IkincilB],'ANAHTAR'!$D352)&gt;0,"IKINCIL","YOK")))</f>
        <v/>
      </c>
      <c r="I352" s="16">
        <f>IF($A352="","",'ANAHTAR'!$F352)</f>
        <v/>
      </c>
      <c r="J352" s="16">
        <f>IF(OR($A352="",$D352=0),0,$F352/ABS($D352))</f>
        <v/>
      </c>
      <c r="K352" s="16">
        <f>IF($A352="","",ROUND($D352,2))</f>
        <v/>
      </c>
      <c r="L352" s="16">
        <f>IF($A352="","",ROUND($C352,2))</f>
        <v/>
      </c>
      <c r="M352" s="16">
        <f>IF($A352="","",IF($F352&lt;=toleransKurus,1,0))</f>
        <v/>
      </c>
      <c r="N352" s="16">
        <f>IF($A352="","",IF($F352&gt;cbb_esikFark,1,0))</f>
        <v/>
      </c>
      <c r="O352" s="16">
        <f>IF($A352="","",IF($G352="eslesti",$D352,0))</f>
        <v/>
      </c>
      <c r="P352" s="16">
        <f>IF($A352="","",$B352+$M352+$N352)</f>
        <v/>
      </c>
    </row>
    <row r="353">
      <c r="A353" s="16">
        <f>IF('ANAHTAR'!$B353="","",'ANAHTAR'!$B353)</f>
        <v/>
      </c>
      <c r="B353" s="16">
        <f>IF($A353="","",COUNTIF(tblAnahtarB[NormB],$A353))</f>
        <v/>
      </c>
      <c r="C353" s="16">
        <f>IF($A353="","",SUMIF(tblAnahtarB[NormB],$A353,tblVeriB[BeyanTutar]))</f>
        <v/>
      </c>
      <c r="D353" s="16">
        <f>IF($A353="","",SUMIF(tblAnahtarA[Norm],$A353,tblVeriA[Tutar]))</f>
        <v/>
      </c>
      <c r="E353" s="16">
        <f>IF($A353="","",ROUND($D353,2)-ROUND($C353,2))</f>
        <v/>
      </c>
      <c r="F353" s="16">
        <f>IF($A353="","",ABS($E353))</f>
        <v/>
      </c>
      <c r="G353" s="16">
        <f>IF($A353="","",IF($B353=0,"eslesmedi",IF(ROUND($D353,2)=ROUND($C353,2),"eslesti",IF(ABS(ROUND($D353,2)-ROUND($C353,2))&lt;=toleransKurus,"tolerans_icinde","tutar_farki"))))</f>
        <v/>
      </c>
      <c r="H353" s="16">
        <f>IF($A353="","",IF($B353&gt;0,"BIRINCIL",IF(COUNTIF(tblAnahtarB[IkincilB],'ANAHTAR'!$D353)&gt;0,"IKINCIL","YOK")))</f>
        <v/>
      </c>
      <c r="I353" s="16">
        <f>IF($A353="","",'ANAHTAR'!$F353)</f>
        <v/>
      </c>
      <c r="J353" s="16">
        <f>IF(OR($A353="",$D353=0),0,$F353/ABS($D353))</f>
        <v/>
      </c>
      <c r="K353" s="16">
        <f>IF($A353="","",ROUND($D353,2))</f>
        <v/>
      </c>
      <c r="L353" s="16">
        <f>IF($A353="","",ROUND($C353,2))</f>
        <v/>
      </c>
      <c r="M353" s="16">
        <f>IF($A353="","",IF($F353&lt;=toleransKurus,1,0))</f>
        <v/>
      </c>
      <c r="N353" s="16">
        <f>IF($A353="","",IF($F353&gt;cbb_esikFark,1,0))</f>
        <v/>
      </c>
      <c r="O353" s="16">
        <f>IF($A353="","",IF($G353="eslesti",$D353,0))</f>
        <v/>
      </c>
      <c r="P353" s="16">
        <f>IF($A353="","",$B353+$M353+$N353)</f>
        <v/>
      </c>
    </row>
    <row r="354">
      <c r="A354" s="16">
        <f>IF('ANAHTAR'!$B354="","",'ANAHTAR'!$B354)</f>
        <v/>
      </c>
      <c r="B354" s="16">
        <f>IF($A354="","",COUNTIF(tblAnahtarB[NormB],$A354))</f>
        <v/>
      </c>
      <c r="C354" s="16">
        <f>IF($A354="","",SUMIF(tblAnahtarB[NormB],$A354,tblVeriB[BeyanTutar]))</f>
        <v/>
      </c>
      <c r="D354" s="16">
        <f>IF($A354="","",SUMIF(tblAnahtarA[Norm],$A354,tblVeriA[Tutar]))</f>
        <v/>
      </c>
      <c r="E354" s="16">
        <f>IF($A354="","",ROUND($D354,2)-ROUND($C354,2))</f>
        <v/>
      </c>
      <c r="F354" s="16">
        <f>IF($A354="","",ABS($E354))</f>
        <v/>
      </c>
      <c r="G354" s="16">
        <f>IF($A354="","",IF($B354=0,"eslesmedi",IF(ROUND($D354,2)=ROUND($C354,2),"eslesti",IF(ABS(ROUND($D354,2)-ROUND($C354,2))&lt;=toleransKurus,"tolerans_icinde","tutar_farki"))))</f>
        <v/>
      </c>
      <c r="H354" s="16">
        <f>IF($A354="","",IF($B354&gt;0,"BIRINCIL",IF(COUNTIF(tblAnahtarB[IkincilB],'ANAHTAR'!$D354)&gt;0,"IKINCIL","YOK")))</f>
        <v/>
      </c>
      <c r="I354" s="16">
        <f>IF($A354="","",'ANAHTAR'!$F354)</f>
        <v/>
      </c>
      <c r="J354" s="16">
        <f>IF(OR($A354="",$D354=0),0,$F354/ABS($D354))</f>
        <v/>
      </c>
      <c r="K354" s="16">
        <f>IF($A354="","",ROUND($D354,2))</f>
        <v/>
      </c>
      <c r="L354" s="16">
        <f>IF($A354="","",ROUND($C354,2))</f>
        <v/>
      </c>
      <c r="M354" s="16">
        <f>IF($A354="","",IF($F354&lt;=toleransKurus,1,0))</f>
        <v/>
      </c>
      <c r="N354" s="16">
        <f>IF($A354="","",IF($F354&gt;cbb_esikFark,1,0))</f>
        <v/>
      </c>
      <c r="O354" s="16">
        <f>IF($A354="","",IF($G354="eslesti",$D354,0))</f>
        <v/>
      </c>
      <c r="P354" s="16">
        <f>IF($A354="","",$B354+$M354+$N354)</f>
        <v/>
      </c>
    </row>
    <row r="355">
      <c r="A355" s="16">
        <f>IF('ANAHTAR'!$B355="","",'ANAHTAR'!$B355)</f>
        <v/>
      </c>
      <c r="B355" s="16">
        <f>IF($A355="","",COUNTIF(tblAnahtarB[NormB],$A355))</f>
        <v/>
      </c>
      <c r="C355" s="16">
        <f>IF($A355="","",SUMIF(tblAnahtarB[NormB],$A355,tblVeriB[BeyanTutar]))</f>
        <v/>
      </c>
      <c r="D355" s="16">
        <f>IF($A355="","",SUMIF(tblAnahtarA[Norm],$A355,tblVeriA[Tutar]))</f>
        <v/>
      </c>
      <c r="E355" s="16">
        <f>IF($A355="","",ROUND($D355,2)-ROUND($C355,2))</f>
        <v/>
      </c>
      <c r="F355" s="16">
        <f>IF($A355="","",ABS($E355))</f>
        <v/>
      </c>
      <c r="G355" s="16">
        <f>IF($A355="","",IF($B355=0,"eslesmedi",IF(ROUND($D355,2)=ROUND($C355,2),"eslesti",IF(ABS(ROUND($D355,2)-ROUND($C355,2))&lt;=toleransKurus,"tolerans_icinde","tutar_farki"))))</f>
        <v/>
      </c>
      <c r="H355" s="16">
        <f>IF($A355="","",IF($B355&gt;0,"BIRINCIL",IF(COUNTIF(tblAnahtarB[IkincilB],'ANAHTAR'!$D355)&gt;0,"IKINCIL","YOK")))</f>
        <v/>
      </c>
      <c r="I355" s="16">
        <f>IF($A355="","",'ANAHTAR'!$F355)</f>
        <v/>
      </c>
      <c r="J355" s="16">
        <f>IF(OR($A355="",$D355=0),0,$F355/ABS($D355))</f>
        <v/>
      </c>
      <c r="K355" s="16">
        <f>IF($A355="","",ROUND($D355,2))</f>
        <v/>
      </c>
      <c r="L355" s="16">
        <f>IF($A355="","",ROUND($C355,2))</f>
        <v/>
      </c>
      <c r="M355" s="16">
        <f>IF($A355="","",IF($F355&lt;=toleransKurus,1,0))</f>
        <v/>
      </c>
      <c r="N355" s="16">
        <f>IF($A355="","",IF($F355&gt;cbb_esikFark,1,0))</f>
        <v/>
      </c>
      <c r="O355" s="16">
        <f>IF($A355="","",IF($G355="eslesti",$D355,0))</f>
        <v/>
      </c>
      <c r="P355" s="16">
        <f>IF($A355="","",$B355+$M355+$N355)</f>
        <v/>
      </c>
    </row>
    <row r="356">
      <c r="A356" s="16">
        <f>IF('ANAHTAR'!$B356="","",'ANAHTAR'!$B356)</f>
        <v/>
      </c>
      <c r="B356" s="16">
        <f>IF($A356="","",COUNTIF(tblAnahtarB[NormB],$A356))</f>
        <v/>
      </c>
      <c r="C356" s="16">
        <f>IF($A356="","",SUMIF(tblAnahtarB[NormB],$A356,tblVeriB[BeyanTutar]))</f>
        <v/>
      </c>
      <c r="D356" s="16">
        <f>IF($A356="","",SUMIF(tblAnahtarA[Norm],$A356,tblVeriA[Tutar]))</f>
        <v/>
      </c>
      <c r="E356" s="16">
        <f>IF($A356="","",ROUND($D356,2)-ROUND($C356,2))</f>
        <v/>
      </c>
      <c r="F356" s="16">
        <f>IF($A356="","",ABS($E356))</f>
        <v/>
      </c>
      <c r="G356" s="16">
        <f>IF($A356="","",IF($B356=0,"eslesmedi",IF(ROUND($D356,2)=ROUND($C356,2),"eslesti",IF(ABS(ROUND($D356,2)-ROUND($C356,2))&lt;=toleransKurus,"tolerans_icinde","tutar_farki"))))</f>
        <v/>
      </c>
      <c r="H356" s="16">
        <f>IF($A356="","",IF($B356&gt;0,"BIRINCIL",IF(COUNTIF(tblAnahtarB[IkincilB],'ANAHTAR'!$D356)&gt;0,"IKINCIL","YOK")))</f>
        <v/>
      </c>
      <c r="I356" s="16">
        <f>IF($A356="","",'ANAHTAR'!$F356)</f>
        <v/>
      </c>
      <c r="J356" s="16">
        <f>IF(OR($A356="",$D356=0),0,$F356/ABS($D356))</f>
        <v/>
      </c>
      <c r="K356" s="16">
        <f>IF($A356="","",ROUND($D356,2))</f>
        <v/>
      </c>
      <c r="L356" s="16">
        <f>IF($A356="","",ROUND($C356,2))</f>
        <v/>
      </c>
      <c r="M356" s="16">
        <f>IF($A356="","",IF($F356&lt;=toleransKurus,1,0))</f>
        <v/>
      </c>
      <c r="N356" s="16">
        <f>IF($A356="","",IF($F356&gt;cbb_esikFark,1,0))</f>
        <v/>
      </c>
      <c r="O356" s="16">
        <f>IF($A356="","",IF($G356="eslesti",$D356,0))</f>
        <v/>
      </c>
      <c r="P356" s="16">
        <f>IF($A356="","",$B356+$M356+$N356)</f>
        <v/>
      </c>
    </row>
    <row r="357">
      <c r="A357" s="16">
        <f>IF('ANAHTAR'!$B357="","",'ANAHTAR'!$B357)</f>
        <v/>
      </c>
      <c r="B357" s="16">
        <f>IF($A357="","",COUNTIF(tblAnahtarB[NormB],$A357))</f>
        <v/>
      </c>
      <c r="C357" s="16">
        <f>IF($A357="","",SUMIF(tblAnahtarB[NormB],$A357,tblVeriB[BeyanTutar]))</f>
        <v/>
      </c>
      <c r="D357" s="16">
        <f>IF($A357="","",SUMIF(tblAnahtarA[Norm],$A357,tblVeriA[Tutar]))</f>
        <v/>
      </c>
      <c r="E357" s="16">
        <f>IF($A357="","",ROUND($D357,2)-ROUND($C357,2))</f>
        <v/>
      </c>
      <c r="F357" s="16">
        <f>IF($A357="","",ABS($E357))</f>
        <v/>
      </c>
      <c r="G357" s="16">
        <f>IF($A357="","",IF($B357=0,"eslesmedi",IF(ROUND($D357,2)=ROUND($C357,2),"eslesti",IF(ABS(ROUND($D357,2)-ROUND($C357,2))&lt;=toleransKurus,"tolerans_icinde","tutar_farki"))))</f>
        <v/>
      </c>
      <c r="H357" s="16">
        <f>IF($A357="","",IF($B357&gt;0,"BIRINCIL",IF(COUNTIF(tblAnahtarB[IkincilB],'ANAHTAR'!$D357)&gt;0,"IKINCIL","YOK")))</f>
        <v/>
      </c>
      <c r="I357" s="16">
        <f>IF($A357="","",'ANAHTAR'!$F357)</f>
        <v/>
      </c>
      <c r="J357" s="16">
        <f>IF(OR($A357="",$D357=0),0,$F357/ABS($D357))</f>
        <v/>
      </c>
      <c r="K357" s="16">
        <f>IF($A357="","",ROUND($D357,2))</f>
        <v/>
      </c>
      <c r="L357" s="16">
        <f>IF($A357="","",ROUND($C357,2))</f>
        <v/>
      </c>
      <c r="M357" s="16">
        <f>IF($A357="","",IF($F357&lt;=toleransKurus,1,0))</f>
        <v/>
      </c>
      <c r="N357" s="16">
        <f>IF($A357="","",IF($F357&gt;cbb_esikFark,1,0))</f>
        <v/>
      </c>
      <c r="O357" s="16">
        <f>IF($A357="","",IF($G357="eslesti",$D357,0))</f>
        <v/>
      </c>
      <c r="P357" s="16">
        <f>IF($A357="","",$B357+$M357+$N357)</f>
        <v/>
      </c>
    </row>
    <row r="358">
      <c r="A358" s="16">
        <f>IF('ANAHTAR'!$B358="","",'ANAHTAR'!$B358)</f>
        <v/>
      </c>
      <c r="B358" s="16">
        <f>IF($A358="","",COUNTIF(tblAnahtarB[NormB],$A358))</f>
        <v/>
      </c>
      <c r="C358" s="16">
        <f>IF($A358="","",SUMIF(tblAnahtarB[NormB],$A358,tblVeriB[BeyanTutar]))</f>
        <v/>
      </c>
      <c r="D358" s="16">
        <f>IF($A358="","",SUMIF(tblAnahtarA[Norm],$A358,tblVeriA[Tutar]))</f>
        <v/>
      </c>
      <c r="E358" s="16">
        <f>IF($A358="","",ROUND($D358,2)-ROUND($C358,2))</f>
        <v/>
      </c>
      <c r="F358" s="16">
        <f>IF($A358="","",ABS($E358))</f>
        <v/>
      </c>
      <c r="G358" s="16">
        <f>IF($A358="","",IF($B358=0,"eslesmedi",IF(ROUND($D358,2)=ROUND($C358,2),"eslesti",IF(ABS(ROUND($D358,2)-ROUND($C358,2))&lt;=toleransKurus,"tolerans_icinde","tutar_farki"))))</f>
        <v/>
      </c>
      <c r="H358" s="16">
        <f>IF($A358="","",IF($B358&gt;0,"BIRINCIL",IF(COUNTIF(tblAnahtarB[IkincilB],'ANAHTAR'!$D358)&gt;0,"IKINCIL","YOK")))</f>
        <v/>
      </c>
      <c r="I358" s="16">
        <f>IF($A358="","",'ANAHTAR'!$F358)</f>
        <v/>
      </c>
      <c r="J358" s="16">
        <f>IF(OR($A358="",$D358=0),0,$F358/ABS($D358))</f>
        <v/>
      </c>
      <c r="K358" s="16">
        <f>IF($A358="","",ROUND($D358,2))</f>
        <v/>
      </c>
      <c r="L358" s="16">
        <f>IF($A358="","",ROUND($C358,2))</f>
        <v/>
      </c>
      <c r="M358" s="16">
        <f>IF($A358="","",IF($F358&lt;=toleransKurus,1,0))</f>
        <v/>
      </c>
      <c r="N358" s="16">
        <f>IF($A358="","",IF($F358&gt;cbb_esikFark,1,0))</f>
        <v/>
      </c>
      <c r="O358" s="16">
        <f>IF($A358="","",IF($G358="eslesti",$D358,0))</f>
        <v/>
      </c>
      <c r="P358" s="16">
        <f>IF($A358="","",$B358+$M358+$N358)</f>
        <v/>
      </c>
    </row>
    <row r="359">
      <c r="A359" s="16">
        <f>IF('ANAHTAR'!$B359="","",'ANAHTAR'!$B359)</f>
        <v/>
      </c>
      <c r="B359" s="16">
        <f>IF($A359="","",COUNTIF(tblAnahtarB[NormB],$A359))</f>
        <v/>
      </c>
      <c r="C359" s="16">
        <f>IF($A359="","",SUMIF(tblAnahtarB[NormB],$A359,tblVeriB[BeyanTutar]))</f>
        <v/>
      </c>
      <c r="D359" s="16">
        <f>IF($A359="","",SUMIF(tblAnahtarA[Norm],$A359,tblVeriA[Tutar]))</f>
        <v/>
      </c>
      <c r="E359" s="16">
        <f>IF($A359="","",ROUND($D359,2)-ROUND($C359,2))</f>
        <v/>
      </c>
      <c r="F359" s="16">
        <f>IF($A359="","",ABS($E359))</f>
        <v/>
      </c>
      <c r="G359" s="16">
        <f>IF($A359="","",IF($B359=0,"eslesmedi",IF(ROUND($D359,2)=ROUND($C359,2),"eslesti",IF(ABS(ROUND($D359,2)-ROUND($C359,2))&lt;=toleransKurus,"tolerans_icinde","tutar_farki"))))</f>
        <v/>
      </c>
      <c r="H359" s="16">
        <f>IF($A359="","",IF($B359&gt;0,"BIRINCIL",IF(COUNTIF(tblAnahtarB[IkincilB],'ANAHTAR'!$D359)&gt;0,"IKINCIL","YOK")))</f>
        <v/>
      </c>
      <c r="I359" s="16">
        <f>IF($A359="","",'ANAHTAR'!$F359)</f>
        <v/>
      </c>
      <c r="J359" s="16">
        <f>IF(OR($A359="",$D359=0),0,$F359/ABS($D359))</f>
        <v/>
      </c>
      <c r="K359" s="16">
        <f>IF($A359="","",ROUND($D359,2))</f>
        <v/>
      </c>
      <c r="L359" s="16">
        <f>IF($A359="","",ROUND($C359,2))</f>
        <v/>
      </c>
      <c r="M359" s="16">
        <f>IF($A359="","",IF($F359&lt;=toleransKurus,1,0))</f>
        <v/>
      </c>
      <c r="N359" s="16">
        <f>IF($A359="","",IF($F359&gt;cbb_esikFark,1,0))</f>
        <v/>
      </c>
      <c r="O359" s="16">
        <f>IF($A359="","",IF($G359="eslesti",$D359,0))</f>
        <v/>
      </c>
      <c r="P359" s="16">
        <f>IF($A359="","",$B359+$M359+$N359)</f>
        <v/>
      </c>
    </row>
    <row r="360">
      <c r="A360" s="16">
        <f>IF('ANAHTAR'!$B360="","",'ANAHTAR'!$B360)</f>
        <v/>
      </c>
      <c r="B360" s="16">
        <f>IF($A360="","",COUNTIF(tblAnahtarB[NormB],$A360))</f>
        <v/>
      </c>
      <c r="C360" s="16">
        <f>IF($A360="","",SUMIF(tblAnahtarB[NormB],$A360,tblVeriB[BeyanTutar]))</f>
        <v/>
      </c>
      <c r="D360" s="16">
        <f>IF($A360="","",SUMIF(tblAnahtarA[Norm],$A360,tblVeriA[Tutar]))</f>
        <v/>
      </c>
      <c r="E360" s="16">
        <f>IF($A360="","",ROUND($D360,2)-ROUND($C360,2))</f>
        <v/>
      </c>
      <c r="F360" s="16">
        <f>IF($A360="","",ABS($E360))</f>
        <v/>
      </c>
      <c r="G360" s="16">
        <f>IF($A360="","",IF($B360=0,"eslesmedi",IF(ROUND($D360,2)=ROUND($C360,2),"eslesti",IF(ABS(ROUND($D360,2)-ROUND($C360,2))&lt;=toleransKurus,"tolerans_icinde","tutar_farki"))))</f>
        <v/>
      </c>
      <c r="H360" s="16">
        <f>IF($A360="","",IF($B360&gt;0,"BIRINCIL",IF(COUNTIF(tblAnahtarB[IkincilB],'ANAHTAR'!$D360)&gt;0,"IKINCIL","YOK")))</f>
        <v/>
      </c>
      <c r="I360" s="16">
        <f>IF($A360="","",'ANAHTAR'!$F360)</f>
        <v/>
      </c>
      <c r="J360" s="16">
        <f>IF(OR($A360="",$D360=0),0,$F360/ABS($D360))</f>
        <v/>
      </c>
      <c r="K360" s="16">
        <f>IF($A360="","",ROUND($D360,2))</f>
        <v/>
      </c>
      <c r="L360" s="16">
        <f>IF($A360="","",ROUND($C360,2))</f>
        <v/>
      </c>
      <c r="M360" s="16">
        <f>IF($A360="","",IF($F360&lt;=toleransKurus,1,0))</f>
        <v/>
      </c>
      <c r="N360" s="16">
        <f>IF($A360="","",IF($F360&gt;cbb_esikFark,1,0))</f>
        <v/>
      </c>
      <c r="O360" s="16">
        <f>IF($A360="","",IF($G360="eslesti",$D360,0))</f>
        <v/>
      </c>
      <c r="P360" s="16">
        <f>IF($A360="","",$B360+$M360+$N360)</f>
        <v/>
      </c>
    </row>
    <row r="361">
      <c r="A361" s="16">
        <f>IF('ANAHTAR'!$B361="","",'ANAHTAR'!$B361)</f>
        <v/>
      </c>
      <c r="B361" s="16">
        <f>IF($A361="","",COUNTIF(tblAnahtarB[NormB],$A361))</f>
        <v/>
      </c>
      <c r="C361" s="16">
        <f>IF($A361="","",SUMIF(tblAnahtarB[NormB],$A361,tblVeriB[BeyanTutar]))</f>
        <v/>
      </c>
      <c r="D361" s="16">
        <f>IF($A361="","",SUMIF(tblAnahtarA[Norm],$A361,tblVeriA[Tutar]))</f>
        <v/>
      </c>
      <c r="E361" s="16">
        <f>IF($A361="","",ROUND($D361,2)-ROUND($C361,2))</f>
        <v/>
      </c>
      <c r="F361" s="16">
        <f>IF($A361="","",ABS($E361))</f>
        <v/>
      </c>
      <c r="G361" s="16">
        <f>IF($A361="","",IF($B361=0,"eslesmedi",IF(ROUND($D361,2)=ROUND($C361,2),"eslesti",IF(ABS(ROUND($D361,2)-ROUND($C361,2))&lt;=toleransKurus,"tolerans_icinde","tutar_farki"))))</f>
        <v/>
      </c>
      <c r="H361" s="16">
        <f>IF($A361="","",IF($B361&gt;0,"BIRINCIL",IF(COUNTIF(tblAnahtarB[IkincilB],'ANAHTAR'!$D361)&gt;0,"IKINCIL","YOK")))</f>
        <v/>
      </c>
      <c r="I361" s="16">
        <f>IF($A361="","",'ANAHTAR'!$F361)</f>
        <v/>
      </c>
      <c r="J361" s="16">
        <f>IF(OR($A361="",$D361=0),0,$F361/ABS($D361))</f>
        <v/>
      </c>
      <c r="K361" s="16">
        <f>IF($A361="","",ROUND($D361,2))</f>
        <v/>
      </c>
      <c r="L361" s="16">
        <f>IF($A361="","",ROUND($C361,2))</f>
        <v/>
      </c>
      <c r="M361" s="16">
        <f>IF($A361="","",IF($F361&lt;=toleransKurus,1,0))</f>
        <v/>
      </c>
      <c r="N361" s="16">
        <f>IF($A361="","",IF($F361&gt;cbb_esikFark,1,0))</f>
        <v/>
      </c>
      <c r="O361" s="16">
        <f>IF($A361="","",IF($G361="eslesti",$D361,0))</f>
        <v/>
      </c>
      <c r="P361" s="16">
        <f>IF($A361="","",$B361+$M361+$N361)</f>
        <v/>
      </c>
    </row>
    <row r="362">
      <c r="A362" s="16">
        <f>IF('ANAHTAR'!$B362="","",'ANAHTAR'!$B362)</f>
        <v/>
      </c>
      <c r="B362" s="16">
        <f>IF($A362="","",COUNTIF(tblAnahtarB[NormB],$A362))</f>
        <v/>
      </c>
      <c r="C362" s="16">
        <f>IF($A362="","",SUMIF(tblAnahtarB[NormB],$A362,tblVeriB[BeyanTutar]))</f>
        <v/>
      </c>
      <c r="D362" s="16">
        <f>IF($A362="","",SUMIF(tblAnahtarA[Norm],$A362,tblVeriA[Tutar]))</f>
        <v/>
      </c>
      <c r="E362" s="16">
        <f>IF($A362="","",ROUND($D362,2)-ROUND($C362,2))</f>
        <v/>
      </c>
      <c r="F362" s="16">
        <f>IF($A362="","",ABS($E362))</f>
        <v/>
      </c>
      <c r="G362" s="16">
        <f>IF($A362="","",IF($B362=0,"eslesmedi",IF(ROUND($D362,2)=ROUND($C362,2),"eslesti",IF(ABS(ROUND($D362,2)-ROUND($C362,2))&lt;=toleransKurus,"tolerans_icinde","tutar_farki"))))</f>
        <v/>
      </c>
      <c r="H362" s="16">
        <f>IF($A362="","",IF($B362&gt;0,"BIRINCIL",IF(COUNTIF(tblAnahtarB[IkincilB],'ANAHTAR'!$D362)&gt;0,"IKINCIL","YOK")))</f>
        <v/>
      </c>
      <c r="I362" s="16">
        <f>IF($A362="","",'ANAHTAR'!$F362)</f>
        <v/>
      </c>
      <c r="J362" s="16">
        <f>IF(OR($A362="",$D362=0),0,$F362/ABS($D362))</f>
        <v/>
      </c>
      <c r="K362" s="16">
        <f>IF($A362="","",ROUND($D362,2))</f>
        <v/>
      </c>
      <c r="L362" s="16">
        <f>IF($A362="","",ROUND($C362,2))</f>
        <v/>
      </c>
      <c r="M362" s="16">
        <f>IF($A362="","",IF($F362&lt;=toleransKurus,1,0))</f>
        <v/>
      </c>
      <c r="N362" s="16">
        <f>IF($A362="","",IF($F362&gt;cbb_esikFark,1,0))</f>
        <v/>
      </c>
      <c r="O362" s="16">
        <f>IF($A362="","",IF($G362="eslesti",$D362,0))</f>
        <v/>
      </c>
      <c r="P362" s="16">
        <f>IF($A362="","",$B362+$M362+$N362)</f>
        <v/>
      </c>
    </row>
    <row r="363">
      <c r="A363" s="16">
        <f>IF('ANAHTAR'!$B363="","",'ANAHTAR'!$B363)</f>
        <v/>
      </c>
      <c r="B363" s="16">
        <f>IF($A363="","",COUNTIF(tblAnahtarB[NormB],$A363))</f>
        <v/>
      </c>
      <c r="C363" s="16">
        <f>IF($A363="","",SUMIF(tblAnahtarB[NormB],$A363,tblVeriB[BeyanTutar]))</f>
        <v/>
      </c>
      <c r="D363" s="16">
        <f>IF($A363="","",SUMIF(tblAnahtarA[Norm],$A363,tblVeriA[Tutar]))</f>
        <v/>
      </c>
      <c r="E363" s="16">
        <f>IF($A363="","",ROUND($D363,2)-ROUND($C363,2))</f>
        <v/>
      </c>
      <c r="F363" s="16">
        <f>IF($A363="","",ABS($E363))</f>
        <v/>
      </c>
      <c r="G363" s="16">
        <f>IF($A363="","",IF($B363=0,"eslesmedi",IF(ROUND($D363,2)=ROUND($C363,2),"eslesti",IF(ABS(ROUND($D363,2)-ROUND($C363,2))&lt;=toleransKurus,"tolerans_icinde","tutar_farki"))))</f>
        <v/>
      </c>
      <c r="H363" s="16">
        <f>IF($A363="","",IF($B363&gt;0,"BIRINCIL",IF(COUNTIF(tblAnahtarB[IkincilB],'ANAHTAR'!$D363)&gt;0,"IKINCIL","YOK")))</f>
        <v/>
      </c>
      <c r="I363" s="16">
        <f>IF($A363="","",'ANAHTAR'!$F363)</f>
        <v/>
      </c>
      <c r="J363" s="16">
        <f>IF(OR($A363="",$D363=0),0,$F363/ABS($D363))</f>
        <v/>
      </c>
      <c r="K363" s="16">
        <f>IF($A363="","",ROUND($D363,2))</f>
        <v/>
      </c>
      <c r="L363" s="16">
        <f>IF($A363="","",ROUND($C363,2))</f>
        <v/>
      </c>
      <c r="M363" s="16">
        <f>IF($A363="","",IF($F363&lt;=toleransKurus,1,0))</f>
        <v/>
      </c>
      <c r="N363" s="16">
        <f>IF($A363="","",IF($F363&gt;cbb_esikFark,1,0))</f>
        <v/>
      </c>
      <c r="O363" s="16">
        <f>IF($A363="","",IF($G363="eslesti",$D363,0))</f>
        <v/>
      </c>
      <c r="P363" s="16">
        <f>IF($A363="","",$B363+$M363+$N363)</f>
        <v/>
      </c>
    </row>
    <row r="364">
      <c r="A364" s="16">
        <f>IF('ANAHTAR'!$B364="","",'ANAHTAR'!$B364)</f>
        <v/>
      </c>
      <c r="B364" s="16">
        <f>IF($A364="","",COUNTIF(tblAnahtarB[NormB],$A364))</f>
        <v/>
      </c>
      <c r="C364" s="16">
        <f>IF($A364="","",SUMIF(tblAnahtarB[NormB],$A364,tblVeriB[BeyanTutar]))</f>
        <v/>
      </c>
      <c r="D364" s="16">
        <f>IF($A364="","",SUMIF(tblAnahtarA[Norm],$A364,tblVeriA[Tutar]))</f>
        <v/>
      </c>
      <c r="E364" s="16">
        <f>IF($A364="","",ROUND($D364,2)-ROUND($C364,2))</f>
        <v/>
      </c>
      <c r="F364" s="16">
        <f>IF($A364="","",ABS($E364))</f>
        <v/>
      </c>
      <c r="G364" s="16">
        <f>IF($A364="","",IF($B364=0,"eslesmedi",IF(ROUND($D364,2)=ROUND($C364,2),"eslesti",IF(ABS(ROUND($D364,2)-ROUND($C364,2))&lt;=toleransKurus,"tolerans_icinde","tutar_farki"))))</f>
        <v/>
      </c>
      <c r="H364" s="16">
        <f>IF($A364="","",IF($B364&gt;0,"BIRINCIL",IF(COUNTIF(tblAnahtarB[IkincilB],'ANAHTAR'!$D364)&gt;0,"IKINCIL","YOK")))</f>
        <v/>
      </c>
      <c r="I364" s="16">
        <f>IF($A364="","",'ANAHTAR'!$F364)</f>
        <v/>
      </c>
      <c r="J364" s="16">
        <f>IF(OR($A364="",$D364=0),0,$F364/ABS($D364))</f>
        <v/>
      </c>
      <c r="K364" s="16">
        <f>IF($A364="","",ROUND($D364,2))</f>
        <v/>
      </c>
      <c r="L364" s="16">
        <f>IF($A364="","",ROUND($C364,2))</f>
        <v/>
      </c>
      <c r="M364" s="16">
        <f>IF($A364="","",IF($F364&lt;=toleransKurus,1,0))</f>
        <v/>
      </c>
      <c r="N364" s="16">
        <f>IF($A364="","",IF($F364&gt;cbb_esikFark,1,0))</f>
        <v/>
      </c>
      <c r="O364" s="16">
        <f>IF($A364="","",IF($G364="eslesti",$D364,0))</f>
        <v/>
      </c>
      <c r="P364" s="16">
        <f>IF($A364="","",$B364+$M364+$N364)</f>
        <v/>
      </c>
    </row>
    <row r="365">
      <c r="A365" s="16">
        <f>IF('ANAHTAR'!$B365="","",'ANAHTAR'!$B365)</f>
        <v/>
      </c>
      <c r="B365" s="16">
        <f>IF($A365="","",COUNTIF(tblAnahtarB[NormB],$A365))</f>
        <v/>
      </c>
      <c r="C365" s="16">
        <f>IF($A365="","",SUMIF(tblAnahtarB[NormB],$A365,tblVeriB[BeyanTutar]))</f>
        <v/>
      </c>
      <c r="D365" s="16">
        <f>IF($A365="","",SUMIF(tblAnahtarA[Norm],$A365,tblVeriA[Tutar]))</f>
        <v/>
      </c>
      <c r="E365" s="16">
        <f>IF($A365="","",ROUND($D365,2)-ROUND($C365,2))</f>
        <v/>
      </c>
      <c r="F365" s="16">
        <f>IF($A365="","",ABS($E365))</f>
        <v/>
      </c>
      <c r="G365" s="16">
        <f>IF($A365="","",IF($B365=0,"eslesmedi",IF(ROUND($D365,2)=ROUND($C365,2),"eslesti",IF(ABS(ROUND($D365,2)-ROUND($C365,2))&lt;=toleransKurus,"tolerans_icinde","tutar_farki"))))</f>
        <v/>
      </c>
      <c r="H365" s="16">
        <f>IF($A365="","",IF($B365&gt;0,"BIRINCIL",IF(COUNTIF(tblAnahtarB[IkincilB],'ANAHTAR'!$D365)&gt;0,"IKINCIL","YOK")))</f>
        <v/>
      </c>
      <c r="I365" s="16">
        <f>IF($A365="","",'ANAHTAR'!$F365)</f>
        <v/>
      </c>
      <c r="J365" s="16">
        <f>IF(OR($A365="",$D365=0),0,$F365/ABS($D365))</f>
        <v/>
      </c>
      <c r="K365" s="16">
        <f>IF($A365="","",ROUND($D365,2))</f>
        <v/>
      </c>
      <c r="L365" s="16">
        <f>IF($A365="","",ROUND($C365,2))</f>
        <v/>
      </c>
      <c r="M365" s="16">
        <f>IF($A365="","",IF($F365&lt;=toleransKurus,1,0))</f>
        <v/>
      </c>
      <c r="N365" s="16">
        <f>IF($A365="","",IF($F365&gt;cbb_esikFark,1,0))</f>
        <v/>
      </c>
      <c r="O365" s="16">
        <f>IF($A365="","",IF($G365="eslesti",$D365,0))</f>
        <v/>
      </c>
      <c r="P365" s="16">
        <f>IF($A365="","",$B365+$M365+$N365)</f>
        <v/>
      </c>
    </row>
    <row r="366">
      <c r="A366" s="16">
        <f>IF('ANAHTAR'!$B366="","",'ANAHTAR'!$B366)</f>
        <v/>
      </c>
      <c r="B366" s="16">
        <f>IF($A366="","",COUNTIF(tblAnahtarB[NormB],$A366))</f>
        <v/>
      </c>
      <c r="C366" s="16">
        <f>IF($A366="","",SUMIF(tblAnahtarB[NormB],$A366,tblVeriB[BeyanTutar]))</f>
        <v/>
      </c>
      <c r="D366" s="16">
        <f>IF($A366="","",SUMIF(tblAnahtarA[Norm],$A366,tblVeriA[Tutar]))</f>
        <v/>
      </c>
      <c r="E366" s="16">
        <f>IF($A366="","",ROUND($D366,2)-ROUND($C366,2))</f>
        <v/>
      </c>
      <c r="F366" s="16">
        <f>IF($A366="","",ABS($E366))</f>
        <v/>
      </c>
      <c r="G366" s="16">
        <f>IF($A366="","",IF($B366=0,"eslesmedi",IF(ROUND($D366,2)=ROUND($C366,2),"eslesti",IF(ABS(ROUND($D366,2)-ROUND($C366,2))&lt;=toleransKurus,"tolerans_icinde","tutar_farki"))))</f>
        <v/>
      </c>
      <c r="H366" s="16">
        <f>IF($A366="","",IF($B366&gt;0,"BIRINCIL",IF(COUNTIF(tblAnahtarB[IkincilB],'ANAHTAR'!$D366)&gt;0,"IKINCIL","YOK")))</f>
        <v/>
      </c>
      <c r="I366" s="16">
        <f>IF($A366="","",'ANAHTAR'!$F366)</f>
        <v/>
      </c>
      <c r="J366" s="16">
        <f>IF(OR($A366="",$D366=0),0,$F366/ABS($D366))</f>
        <v/>
      </c>
      <c r="K366" s="16">
        <f>IF($A366="","",ROUND($D366,2))</f>
        <v/>
      </c>
      <c r="L366" s="16">
        <f>IF($A366="","",ROUND($C366,2))</f>
        <v/>
      </c>
      <c r="M366" s="16">
        <f>IF($A366="","",IF($F366&lt;=toleransKurus,1,0))</f>
        <v/>
      </c>
      <c r="N366" s="16">
        <f>IF($A366="","",IF($F366&gt;cbb_esikFark,1,0))</f>
        <v/>
      </c>
      <c r="O366" s="16">
        <f>IF($A366="","",IF($G366="eslesti",$D366,0))</f>
        <v/>
      </c>
      <c r="P366" s="16">
        <f>IF($A366="","",$B366+$M366+$N366)</f>
        <v/>
      </c>
    </row>
    <row r="367">
      <c r="A367" s="16">
        <f>IF('ANAHTAR'!$B367="","",'ANAHTAR'!$B367)</f>
        <v/>
      </c>
      <c r="B367" s="16">
        <f>IF($A367="","",COUNTIF(tblAnahtarB[NormB],$A367))</f>
        <v/>
      </c>
      <c r="C367" s="16">
        <f>IF($A367="","",SUMIF(tblAnahtarB[NormB],$A367,tblVeriB[BeyanTutar]))</f>
        <v/>
      </c>
      <c r="D367" s="16">
        <f>IF($A367="","",SUMIF(tblAnahtarA[Norm],$A367,tblVeriA[Tutar]))</f>
        <v/>
      </c>
      <c r="E367" s="16">
        <f>IF($A367="","",ROUND($D367,2)-ROUND($C367,2))</f>
        <v/>
      </c>
      <c r="F367" s="16">
        <f>IF($A367="","",ABS($E367))</f>
        <v/>
      </c>
      <c r="G367" s="16">
        <f>IF($A367="","",IF($B367=0,"eslesmedi",IF(ROUND($D367,2)=ROUND($C367,2),"eslesti",IF(ABS(ROUND($D367,2)-ROUND($C367,2))&lt;=toleransKurus,"tolerans_icinde","tutar_farki"))))</f>
        <v/>
      </c>
      <c r="H367" s="16">
        <f>IF($A367="","",IF($B367&gt;0,"BIRINCIL",IF(COUNTIF(tblAnahtarB[IkincilB],'ANAHTAR'!$D367)&gt;0,"IKINCIL","YOK")))</f>
        <v/>
      </c>
      <c r="I367" s="16">
        <f>IF($A367="","",'ANAHTAR'!$F367)</f>
        <v/>
      </c>
      <c r="J367" s="16">
        <f>IF(OR($A367="",$D367=0),0,$F367/ABS($D367))</f>
        <v/>
      </c>
      <c r="K367" s="16">
        <f>IF($A367="","",ROUND($D367,2))</f>
        <v/>
      </c>
      <c r="L367" s="16">
        <f>IF($A367="","",ROUND($C367,2))</f>
        <v/>
      </c>
      <c r="M367" s="16">
        <f>IF($A367="","",IF($F367&lt;=toleransKurus,1,0))</f>
        <v/>
      </c>
      <c r="N367" s="16">
        <f>IF($A367="","",IF($F367&gt;cbb_esikFark,1,0))</f>
        <v/>
      </c>
      <c r="O367" s="16">
        <f>IF($A367="","",IF($G367="eslesti",$D367,0))</f>
        <v/>
      </c>
      <c r="P367" s="16">
        <f>IF($A367="","",$B367+$M367+$N367)</f>
        <v/>
      </c>
    </row>
    <row r="368">
      <c r="A368" s="16">
        <f>IF('ANAHTAR'!$B368="","",'ANAHTAR'!$B368)</f>
        <v/>
      </c>
      <c r="B368" s="16">
        <f>IF($A368="","",COUNTIF(tblAnahtarB[NormB],$A368))</f>
        <v/>
      </c>
      <c r="C368" s="16">
        <f>IF($A368="","",SUMIF(tblAnahtarB[NormB],$A368,tblVeriB[BeyanTutar]))</f>
        <v/>
      </c>
      <c r="D368" s="16">
        <f>IF($A368="","",SUMIF(tblAnahtarA[Norm],$A368,tblVeriA[Tutar]))</f>
        <v/>
      </c>
      <c r="E368" s="16">
        <f>IF($A368="","",ROUND($D368,2)-ROUND($C368,2))</f>
        <v/>
      </c>
      <c r="F368" s="16">
        <f>IF($A368="","",ABS($E368))</f>
        <v/>
      </c>
      <c r="G368" s="16">
        <f>IF($A368="","",IF($B368=0,"eslesmedi",IF(ROUND($D368,2)=ROUND($C368,2),"eslesti",IF(ABS(ROUND($D368,2)-ROUND($C368,2))&lt;=toleransKurus,"tolerans_icinde","tutar_farki"))))</f>
        <v/>
      </c>
      <c r="H368" s="16">
        <f>IF($A368="","",IF($B368&gt;0,"BIRINCIL",IF(COUNTIF(tblAnahtarB[IkincilB],'ANAHTAR'!$D368)&gt;0,"IKINCIL","YOK")))</f>
        <v/>
      </c>
      <c r="I368" s="16">
        <f>IF($A368="","",'ANAHTAR'!$F368)</f>
        <v/>
      </c>
      <c r="J368" s="16">
        <f>IF(OR($A368="",$D368=0),0,$F368/ABS($D368))</f>
        <v/>
      </c>
      <c r="K368" s="16">
        <f>IF($A368="","",ROUND($D368,2))</f>
        <v/>
      </c>
      <c r="L368" s="16">
        <f>IF($A368="","",ROUND($C368,2))</f>
        <v/>
      </c>
      <c r="M368" s="16">
        <f>IF($A368="","",IF($F368&lt;=toleransKurus,1,0))</f>
        <v/>
      </c>
      <c r="N368" s="16">
        <f>IF($A368="","",IF($F368&gt;cbb_esikFark,1,0))</f>
        <v/>
      </c>
      <c r="O368" s="16">
        <f>IF($A368="","",IF($G368="eslesti",$D368,0))</f>
        <v/>
      </c>
      <c r="P368" s="16">
        <f>IF($A368="","",$B368+$M368+$N368)</f>
        <v/>
      </c>
    </row>
    <row r="369">
      <c r="A369" s="16">
        <f>IF('ANAHTAR'!$B369="","",'ANAHTAR'!$B369)</f>
        <v/>
      </c>
      <c r="B369" s="16">
        <f>IF($A369="","",COUNTIF(tblAnahtarB[NormB],$A369))</f>
        <v/>
      </c>
      <c r="C369" s="16">
        <f>IF($A369="","",SUMIF(tblAnahtarB[NormB],$A369,tblVeriB[BeyanTutar]))</f>
        <v/>
      </c>
      <c r="D369" s="16">
        <f>IF($A369="","",SUMIF(tblAnahtarA[Norm],$A369,tblVeriA[Tutar]))</f>
        <v/>
      </c>
      <c r="E369" s="16">
        <f>IF($A369="","",ROUND($D369,2)-ROUND($C369,2))</f>
        <v/>
      </c>
      <c r="F369" s="16">
        <f>IF($A369="","",ABS($E369))</f>
        <v/>
      </c>
      <c r="G369" s="16">
        <f>IF($A369="","",IF($B369=0,"eslesmedi",IF(ROUND($D369,2)=ROUND($C369,2),"eslesti",IF(ABS(ROUND($D369,2)-ROUND($C369,2))&lt;=toleransKurus,"tolerans_icinde","tutar_farki"))))</f>
        <v/>
      </c>
      <c r="H369" s="16">
        <f>IF($A369="","",IF($B369&gt;0,"BIRINCIL",IF(COUNTIF(tblAnahtarB[IkincilB],'ANAHTAR'!$D369)&gt;0,"IKINCIL","YOK")))</f>
        <v/>
      </c>
      <c r="I369" s="16">
        <f>IF($A369="","",'ANAHTAR'!$F369)</f>
        <v/>
      </c>
      <c r="J369" s="16">
        <f>IF(OR($A369="",$D369=0),0,$F369/ABS($D369))</f>
        <v/>
      </c>
      <c r="K369" s="16">
        <f>IF($A369="","",ROUND($D369,2))</f>
        <v/>
      </c>
      <c r="L369" s="16">
        <f>IF($A369="","",ROUND($C369,2))</f>
        <v/>
      </c>
      <c r="M369" s="16">
        <f>IF($A369="","",IF($F369&lt;=toleransKurus,1,0))</f>
        <v/>
      </c>
      <c r="N369" s="16">
        <f>IF($A369="","",IF($F369&gt;cbb_esikFark,1,0))</f>
        <v/>
      </c>
      <c r="O369" s="16">
        <f>IF($A369="","",IF($G369="eslesti",$D369,0))</f>
        <v/>
      </c>
      <c r="P369" s="16">
        <f>IF($A369="","",$B369+$M369+$N369)</f>
        <v/>
      </c>
    </row>
    <row r="370">
      <c r="A370" s="16">
        <f>IF('ANAHTAR'!$B370="","",'ANAHTAR'!$B370)</f>
        <v/>
      </c>
      <c r="B370" s="16">
        <f>IF($A370="","",COUNTIF(tblAnahtarB[NormB],$A370))</f>
        <v/>
      </c>
      <c r="C370" s="16">
        <f>IF($A370="","",SUMIF(tblAnahtarB[NormB],$A370,tblVeriB[BeyanTutar]))</f>
        <v/>
      </c>
      <c r="D370" s="16">
        <f>IF($A370="","",SUMIF(tblAnahtarA[Norm],$A370,tblVeriA[Tutar]))</f>
        <v/>
      </c>
      <c r="E370" s="16">
        <f>IF($A370="","",ROUND($D370,2)-ROUND($C370,2))</f>
        <v/>
      </c>
      <c r="F370" s="16">
        <f>IF($A370="","",ABS($E370))</f>
        <v/>
      </c>
      <c r="G370" s="16">
        <f>IF($A370="","",IF($B370=0,"eslesmedi",IF(ROUND($D370,2)=ROUND($C370,2),"eslesti",IF(ABS(ROUND($D370,2)-ROUND($C370,2))&lt;=toleransKurus,"tolerans_icinde","tutar_farki"))))</f>
        <v/>
      </c>
      <c r="H370" s="16">
        <f>IF($A370="","",IF($B370&gt;0,"BIRINCIL",IF(COUNTIF(tblAnahtarB[IkincilB],'ANAHTAR'!$D370)&gt;0,"IKINCIL","YOK")))</f>
        <v/>
      </c>
      <c r="I370" s="16">
        <f>IF($A370="","",'ANAHTAR'!$F370)</f>
        <v/>
      </c>
      <c r="J370" s="16">
        <f>IF(OR($A370="",$D370=0),0,$F370/ABS($D370))</f>
        <v/>
      </c>
      <c r="K370" s="16">
        <f>IF($A370="","",ROUND($D370,2))</f>
        <v/>
      </c>
      <c r="L370" s="16">
        <f>IF($A370="","",ROUND($C370,2))</f>
        <v/>
      </c>
      <c r="M370" s="16">
        <f>IF($A370="","",IF($F370&lt;=toleransKurus,1,0))</f>
        <v/>
      </c>
      <c r="N370" s="16">
        <f>IF($A370="","",IF($F370&gt;cbb_esikFark,1,0))</f>
        <v/>
      </c>
      <c r="O370" s="16">
        <f>IF($A370="","",IF($G370="eslesti",$D370,0))</f>
        <v/>
      </c>
      <c r="P370" s="16">
        <f>IF($A370="","",$B370+$M370+$N370)</f>
        <v/>
      </c>
    </row>
    <row r="371">
      <c r="A371" s="16">
        <f>IF('ANAHTAR'!$B371="","",'ANAHTAR'!$B371)</f>
        <v/>
      </c>
      <c r="B371" s="16">
        <f>IF($A371="","",COUNTIF(tblAnahtarB[NormB],$A371))</f>
        <v/>
      </c>
      <c r="C371" s="16">
        <f>IF($A371="","",SUMIF(tblAnahtarB[NormB],$A371,tblVeriB[BeyanTutar]))</f>
        <v/>
      </c>
      <c r="D371" s="16">
        <f>IF($A371="","",SUMIF(tblAnahtarA[Norm],$A371,tblVeriA[Tutar]))</f>
        <v/>
      </c>
      <c r="E371" s="16">
        <f>IF($A371="","",ROUND($D371,2)-ROUND($C371,2))</f>
        <v/>
      </c>
      <c r="F371" s="16">
        <f>IF($A371="","",ABS($E371))</f>
        <v/>
      </c>
      <c r="G371" s="16">
        <f>IF($A371="","",IF($B371=0,"eslesmedi",IF(ROUND($D371,2)=ROUND($C371,2),"eslesti",IF(ABS(ROUND($D371,2)-ROUND($C371,2))&lt;=toleransKurus,"tolerans_icinde","tutar_farki"))))</f>
        <v/>
      </c>
      <c r="H371" s="16">
        <f>IF($A371="","",IF($B371&gt;0,"BIRINCIL",IF(COUNTIF(tblAnahtarB[IkincilB],'ANAHTAR'!$D371)&gt;0,"IKINCIL","YOK")))</f>
        <v/>
      </c>
      <c r="I371" s="16">
        <f>IF($A371="","",'ANAHTAR'!$F371)</f>
        <v/>
      </c>
      <c r="J371" s="16">
        <f>IF(OR($A371="",$D371=0),0,$F371/ABS($D371))</f>
        <v/>
      </c>
      <c r="K371" s="16">
        <f>IF($A371="","",ROUND($D371,2))</f>
        <v/>
      </c>
      <c r="L371" s="16">
        <f>IF($A371="","",ROUND($C371,2))</f>
        <v/>
      </c>
      <c r="M371" s="16">
        <f>IF($A371="","",IF($F371&lt;=toleransKurus,1,0))</f>
        <v/>
      </c>
      <c r="N371" s="16">
        <f>IF($A371="","",IF($F371&gt;cbb_esikFark,1,0))</f>
        <v/>
      </c>
      <c r="O371" s="16">
        <f>IF($A371="","",IF($G371="eslesti",$D371,0))</f>
        <v/>
      </c>
      <c r="P371" s="16">
        <f>IF($A371="","",$B371+$M371+$N371)</f>
        <v/>
      </c>
    </row>
    <row r="372">
      <c r="A372" s="16">
        <f>IF('ANAHTAR'!$B372="","",'ANAHTAR'!$B372)</f>
        <v/>
      </c>
      <c r="B372" s="16">
        <f>IF($A372="","",COUNTIF(tblAnahtarB[NormB],$A372))</f>
        <v/>
      </c>
      <c r="C372" s="16">
        <f>IF($A372="","",SUMIF(tblAnahtarB[NormB],$A372,tblVeriB[BeyanTutar]))</f>
        <v/>
      </c>
      <c r="D372" s="16">
        <f>IF($A372="","",SUMIF(tblAnahtarA[Norm],$A372,tblVeriA[Tutar]))</f>
        <v/>
      </c>
      <c r="E372" s="16">
        <f>IF($A372="","",ROUND($D372,2)-ROUND($C372,2))</f>
        <v/>
      </c>
      <c r="F372" s="16">
        <f>IF($A372="","",ABS($E372))</f>
        <v/>
      </c>
      <c r="G372" s="16">
        <f>IF($A372="","",IF($B372=0,"eslesmedi",IF(ROUND($D372,2)=ROUND($C372,2),"eslesti",IF(ABS(ROUND($D372,2)-ROUND($C372,2))&lt;=toleransKurus,"tolerans_icinde","tutar_farki"))))</f>
        <v/>
      </c>
      <c r="H372" s="16">
        <f>IF($A372="","",IF($B372&gt;0,"BIRINCIL",IF(COUNTIF(tblAnahtarB[IkincilB],'ANAHTAR'!$D372)&gt;0,"IKINCIL","YOK")))</f>
        <v/>
      </c>
      <c r="I372" s="16">
        <f>IF($A372="","",'ANAHTAR'!$F372)</f>
        <v/>
      </c>
      <c r="J372" s="16">
        <f>IF(OR($A372="",$D372=0),0,$F372/ABS($D372))</f>
        <v/>
      </c>
      <c r="K372" s="16">
        <f>IF($A372="","",ROUND($D372,2))</f>
        <v/>
      </c>
      <c r="L372" s="16">
        <f>IF($A372="","",ROUND($C372,2))</f>
        <v/>
      </c>
      <c r="M372" s="16">
        <f>IF($A372="","",IF($F372&lt;=toleransKurus,1,0))</f>
        <v/>
      </c>
      <c r="N372" s="16">
        <f>IF($A372="","",IF($F372&gt;cbb_esikFark,1,0))</f>
        <v/>
      </c>
      <c r="O372" s="16">
        <f>IF($A372="","",IF($G372="eslesti",$D372,0))</f>
        <v/>
      </c>
      <c r="P372" s="16">
        <f>IF($A372="","",$B372+$M372+$N372)</f>
        <v/>
      </c>
    </row>
    <row r="373">
      <c r="A373" s="16">
        <f>IF('ANAHTAR'!$B373="","",'ANAHTAR'!$B373)</f>
        <v/>
      </c>
      <c r="B373" s="16">
        <f>IF($A373="","",COUNTIF(tblAnahtarB[NormB],$A373))</f>
        <v/>
      </c>
      <c r="C373" s="16">
        <f>IF($A373="","",SUMIF(tblAnahtarB[NormB],$A373,tblVeriB[BeyanTutar]))</f>
        <v/>
      </c>
      <c r="D373" s="16">
        <f>IF($A373="","",SUMIF(tblAnahtarA[Norm],$A373,tblVeriA[Tutar]))</f>
        <v/>
      </c>
      <c r="E373" s="16">
        <f>IF($A373="","",ROUND($D373,2)-ROUND($C373,2))</f>
        <v/>
      </c>
      <c r="F373" s="16">
        <f>IF($A373="","",ABS($E373))</f>
        <v/>
      </c>
      <c r="G373" s="16">
        <f>IF($A373="","",IF($B373=0,"eslesmedi",IF(ROUND($D373,2)=ROUND($C373,2),"eslesti",IF(ABS(ROUND($D373,2)-ROUND($C373,2))&lt;=toleransKurus,"tolerans_icinde","tutar_farki"))))</f>
        <v/>
      </c>
      <c r="H373" s="16">
        <f>IF($A373="","",IF($B373&gt;0,"BIRINCIL",IF(COUNTIF(tblAnahtarB[IkincilB],'ANAHTAR'!$D373)&gt;0,"IKINCIL","YOK")))</f>
        <v/>
      </c>
      <c r="I373" s="16">
        <f>IF($A373="","",'ANAHTAR'!$F373)</f>
        <v/>
      </c>
      <c r="J373" s="16">
        <f>IF(OR($A373="",$D373=0),0,$F373/ABS($D373))</f>
        <v/>
      </c>
      <c r="K373" s="16">
        <f>IF($A373="","",ROUND($D373,2))</f>
        <v/>
      </c>
      <c r="L373" s="16">
        <f>IF($A373="","",ROUND($C373,2))</f>
        <v/>
      </c>
      <c r="M373" s="16">
        <f>IF($A373="","",IF($F373&lt;=toleransKurus,1,0))</f>
        <v/>
      </c>
      <c r="N373" s="16">
        <f>IF($A373="","",IF($F373&gt;cbb_esikFark,1,0))</f>
        <v/>
      </c>
      <c r="O373" s="16">
        <f>IF($A373="","",IF($G373="eslesti",$D373,0))</f>
        <v/>
      </c>
      <c r="P373" s="16">
        <f>IF($A373="","",$B373+$M373+$N373)</f>
        <v/>
      </c>
    </row>
    <row r="374">
      <c r="A374" s="16">
        <f>IF('ANAHTAR'!$B374="","",'ANAHTAR'!$B374)</f>
        <v/>
      </c>
      <c r="B374" s="16">
        <f>IF($A374="","",COUNTIF(tblAnahtarB[NormB],$A374))</f>
        <v/>
      </c>
      <c r="C374" s="16">
        <f>IF($A374="","",SUMIF(tblAnahtarB[NormB],$A374,tblVeriB[BeyanTutar]))</f>
        <v/>
      </c>
      <c r="D374" s="16">
        <f>IF($A374="","",SUMIF(tblAnahtarA[Norm],$A374,tblVeriA[Tutar]))</f>
        <v/>
      </c>
      <c r="E374" s="16">
        <f>IF($A374="","",ROUND($D374,2)-ROUND($C374,2))</f>
        <v/>
      </c>
      <c r="F374" s="16">
        <f>IF($A374="","",ABS($E374))</f>
        <v/>
      </c>
      <c r="G374" s="16">
        <f>IF($A374="","",IF($B374=0,"eslesmedi",IF(ROUND($D374,2)=ROUND($C374,2),"eslesti",IF(ABS(ROUND($D374,2)-ROUND($C374,2))&lt;=toleransKurus,"tolerans_icinde","tutar_farki"))))</f>
        <v/>
      </c>
      <c r="H374" s="16">
        <f>IF($A374="","",IF($B374&gt;0,"BIRINCIL",IF(COUNTIF(tblAnahtarB[IkincilB],'ANAHTAR'!$D374)&gt;0,"IKINCIL","YOK")))</f>
        <v/>
      </c>
      <c r="I374" s="16">
        <f>IF($A374="","",'ANAHTAR'!$F374)</f>
        <v/>
      </c>
      <c r="J374" s="16">
        <f>IF(OR($A374="",$D374=0),0,$F374/ABS($D374))</f>
        <v/>
      </c>
      <c r="K374" s="16">
        <f>IF($A374="","",ROUND($D374,2))</f>
        <v/>
      </c>
      <c r="L374" s="16">
        <f>IF($A374="","",ROUND($C374,2))</f>
        <v/>
      </c>
      <c r="M374" s="16">
        <f>IF($A374="","",IF($F374&lt;=toleransKurus,1,0))</f>
        <v/>
      </c>
      <c r="N374" s="16">
        <f>IF($A374="","",IF($F374&gt;cbb_esikFark,1,0))</f>
        <v/>
      </c>
      <c r="O374" s="16">
        <f>IF($A374="","",IF($G374="eslesti",$D374,0))</f>
        <v/>
      </c>
      <c r="P374" s="16">
        <f>IF($A374="","",$B374+$M374+$N374)</f>
        <v/>
      </c>
    </row>
    <row r="375">
      <c r="A375" s="16">
        <f>IF('ANAHTAR'!$B375="","",'ANAHTAR'!$B375)</f>
        <v/>
      </c>
      <c r="B375" s="16">
        <f>IF($A375="","",COUNTIF(tblAnahtarB[NormB],$A375))</f>
        <v/>
      </c>
      <c r="C375" s="16">
        <f>IF($A375="","",SUMIF(tblAnahtarB[NormB],$A375,tblVeriB[BeyanTutar]))</f>
        <v/>
      </c>
      <c r="D375" s="16">
        <f>IF($A375="","",SUMIF(tblAnahtarA[Norm],$A375,tblVeriA[Tutar]))</f>
        <v/>
      </c>
      <c r="E375" s="16">
        <f>IF($A375="","",ROUND($D375,2)-ROUND($C375,2))</f>
        <v/>
      </c>
      <c r="F375" s="16">
        <f>IF($A375="","",ABS($E375))</f>
        <v/>
      </c>
      <c r="G375" s="16">
        <f>IF($A375="","",IF($B375=0,"eslesmedi",IF(ROUND($D375,2)=ROUND($C375,2),"eslesti",IF(ABS(ROUND($D375,2)-ROUND($C375,2))&lt;=toleransKurus,"tolerans_icinde","tutar_farki"))))</f>
        <v/>
      </c>
      <c r="H375" s="16">
        <f>IF($A375="","",IF($B375&gt;0,"BIRINCIL",IF(COUNTIF(tblAnahtarB[IkincilB],'ANAHTAR'!$D375)&gt;0,"IKINCIL","YOK")))</f>
        <v/>
      </c>
      <c r="I375" s="16">
        <f>IF($A375="","",'ANAHTAR'!$F375)</f>
        <v/>
      </c>
      <c r="J375" s="16">
        <f>IF(OR($A375="",$D375=0),0,$F375/ABS($D375))</f>
        <v/>
      </c>
      <c r="K375" s="16">
        <f>IF($A375="","",ROUND($D375,2))</f>
        <v/>
      </c>
      <c r="L375" s="16">
        <f>IF($A375="","",ROUND($C375,2))</f>
        <v/>
      </c>
      <c r="M375" s="16">
        <f>IF($A375="","",IF($F375&lt;=toleransKurus,1,0))</f>
        <v/>
      </c>
      <c r="N375" s="16">
        <f>IF($A375="","",IF($F375&gt;cbb_esikFark,1,0))</f>
        <v/>
      </c>
      <c r="O375" s="16">
        <f>IF($A375="","",IF($G375="eslesti",$D375,0))</f>
        <v/>
      </c>
      <c r="P375" s="16">
        <f>IF($A375="","",$B375+$M375+$N375)</f>
        <v/>
      </c>
    </row>
    <row r="376">
      <c r="A376" s="16">
        <f>IF('ANAHTAR'!$B376="","",'ANAHTAR'!$B376)</f>
        <v/>
      </c>
      <c r="B376" s="16">
        <f>IF($A376="","",COUNTIF(tblAnahtarB[NormB],$A376))</f>
        <v/>
      </c>
      <c r="C376" s="16">
        <f>IF($A376="","",SUMIF(tblAnahtarB[NormB],$A376,tblVeriB[BeyanTutar]))</f>
        <v/>
      </c>
      <c r="D376" s="16">
        <f>IF($A376="","",SUMIF(tblAnahtarA[Norm],$A376,tblVeriA[Tutar]))</f>
        <v/>
      </c>
      <c r="E376" s="16">
        <f>IF($A376="","",ROUND($D376,2)-ROUND($C376,2))</f>
        <v/>
      </c>
      <c r="F376" s="16">
        <f>IF($A376="","",ABS($E376))</f>
        <v/>
      </c>
      <c r="G376" s="16">
        <f>IF($A376="","",IF($B376=0,"eslesmedi",IF(ROUND($D376,2)=ROUND($C376,2),"eslesti",IF(ABS(ROUND($D376,2)-ROUND($C376,2))&lt;=toleransKurus,"tolerans_icinde","tutar_farki"))))</f>
        <v/>
      </c>
      <c r="H376" s="16">
        <f>IF($A376="","",IF($B376&gt;0,"BIRINCIL",IF(COUNTIF(tblAnahtarB[IkincilB],'ANAHTAR'!$D376)&gt;0,"IKINCIL","YOK")))</f>
        <v/>
      </c>
      <c r="I376" s="16">
        <f>IF($A376="","",'ANAHTAR'!$F376)</f>
        <v/>
      </c>
      <c r="J376" s="16">
        <f>IF(OR($A376="",$D376=0),0,$F376/ABS($D376))</f>
        <v/>
      </c>
      <c r="K376" s="16">
        <f>IF($A376="","",ROUND($D376,2))</f>
        <v/>
      </c>
      <c r="L376" s="16">
        <f>IF($A376="","",ROUND($C376,2))</f>
        <v/>
      </c>
      <c r="M376" s="16">
        <f>IF($A376="","",IF($F376&lt;=toleransKurus,1,0))</f>
        <v/>
      </c>
      <c r="N376" s="16">
        <f>IF($A376="","",IF($F376&gt;cbb_esikFark,1,0))</f>
        <v/>
      </c>
      <c r="O376" s="16">
        <f>IF($A376="","",IF($G376="eslesti",$D376,0))</f>
        <v/>
      </c>
      <c r="P376" s="16">
        <f>IF($A376="","",$B376+$M376+$N376)</f>
        <v/>
      </c>
    </row>
    <row r="377">
      <c r="A377" s="16">
        <f>IF('ANAHTAR'!$B377="","",'ANAHTAR'!$B377)</f>
        <v/>
      </c>
      <c r="B377" s="16">
        <f>IF($A377="","",COUNTIF(tblAnahtarB[NormB],$A377))</f>
        <v/>
      </c>
      <c r="C377" s="16">
        <f>IF($A377="","",SUMIF(tblAnahtarB[NormB],$A377,tblVeriB[BeyanTutar]))</f>
        <v/>
      </c>
      <c r="D377" s="16">
        <f>IF($A377="","",SUMIF(tblAnahtarA[Norm],$A377,tblVeriA[Tutar]))</f>
        <v/>
      </c>
      <c r="E377" s="16">
        <f>IF($A377="","",ROUND($D377,2)-ROUND($C377,2))</f>
        <v/>
      </c>
      <c r="F377" s="16">
        <f>IF($A377="","",ABS($E377))</f>
        <v/>
      </c>
      <c r="G377" s="16">
        <f>IF($A377="","",IF($B377=0,"eslesmedi",IF(ROUND($D377,2)=ROUND($C377,2),"eslesti",IF(ABS(ROUND($D377,2)-ROUND($C377,2))&lt;=toleransKurus,"tolerans_icinde","tutar_farki"))))</f>
        <v/>
      </c>
      <c r="H377" s="16">
        <f>IF($A377="","",IF($B377&gt;0,"BIRINCIL",IF(COUNTIF(tblAnahtarB[IkincilB],'ANAHTAR'!$D377)&gt;0,"IKINCIL","YOK")))</f>
        <v/>
      </c>
      <c r="I377" s="16">
        <f>IF($A377="","",'ANAHTAR'!$F377)</f>
        <v/>
      </c>
      <c r="J377" s="16">
        <f>IF(OR($A377="",$D377=0),0,$F377/ABS($D377))</f>
        <v/>
      </c>
      <c r="K377" s="16">
        <f>IF($A377="","",ROUND($D377,2))</f>
        <v/>
      </c>
      <c r="L377" s="16">
        <f>IF($A377="","",ROUND($C377,2))</f>
        <v/>
      </c>
      <c r="M377" s="16">
        <f>IF($A377="","",IF($F377&lt;=toleransKurus,1,0))</f>
        <v/>
      </c>
      <c r="N377" s="16">
        <f>IF($A377="","",IF($F377&gt;cbb_esikFark,1,0))</f>
        <v/>
      </c>
      <c r="O377" s="16">
        <f>IF($A377="","",IF($G377="eslesti",$D377,0))</f>
        <v/>
      </c>
      <c r="P377" s="16">
        <f>IF($A377="","",$B377+$M377+$N377)</f>
        <v/>
      </c>
    </row>
    <row r="378">
      <c r="A378" s="16">
        <f>IF('ANAHTAR'!$B378="","",'ANAHTAR'!$B378)</f>
        <v/>
      </c>
      <c r="B378" s="16">
        <f>IF($A378="","",COUNTIF(tblAnahtarB[NormB],$A378))</f>
        <v/>
      </c>
      <c r="C378" s="16">
        <f>IF($A378="","",SUMIF(tblAnahtarB[NormB],$A378,tblVeriB[BeyanTutar]))</f>
        <v/>
      </c>
      <c r="D378" s="16">
        <f>IF($A378="","",SUMIF(tblAnahtarA[Norm],$A378,tblVeriA[Tutar]))</f>
        <v/>
      </c>
      <c r="E378" s="16">
        <f>IF($A378="","",ROUND($D378,2)-ROUND($C378,2))</f>
        <v/>
      </c>
      <c r="F378" s="16">
        <f>IF($A378="","",ABS($E378))</f>
        <v/>
      </c>
      <c r="G378" s="16">
        <f>IF($A378="","",IF($B378=0,"eslesmedi",IF(ROUND($D378,2)=ROUND($C378,2),"eslesti",IF(ABS(ROUND($D378,2)-ROUND($C378,2))&lt;=toleransKurus,"tolerans_icinde","tutar_farki"))))</f>
        <v/>
      </c>
      <c r="H378" s="16">
        <f>IF($A378="","",IF($B378&gt;0,"BIRINCIL",IF(COUNTIF(tblAnahtarB[IkincilB],'ANAHTAR'!$D378)&gt;0,"IKINCIL","YOK")))</f>
        <v/>
      </c>
      <c r="I378" s="16">
        <f>IF($A378="","",'ANAHTAR'!$F378)</f>
        <v/>
      </c>
      <c r="J378" s="16">
        <f>IF(OR($A378="",$D378=0),0,$F378/ABS($D378))</f>
        <v/>
      </c>
      <c r="K378" s="16">
        <f>IF($A378="","",ROUND($D378,2))</f>
        <v/>
      </c>
      <c r="L378" s="16">
        <f>IF($A378="","",ROUND($C378,2))</f>
        <v/>
      </c>
      <c r="M378" s="16">
        <f>IF($A378="","",IF($F378&lt;=toleransKurus,1,0))</f>
        <v/>
      </c>
      <c r="N378" s="16">
        <f>IF($A378="","",IF($F378&gt;cbb_esikFark,1,0))</f>
        <v/>
      </c>
      <c r="O378" s="16">
        <f>IF($A378="","",IF($G378="eslesti",$D378,0))</f>
        <v/>
      </c>
      <c r="P378" s="16">
        <f>IF($A378="","",$B378+$M378+$N378)</f>
        <v/>
      </c>
    </row>
    <row r="379">
      <c r="A379" s="16">
        <f>IF('ANAHTAR'!$B379="","",'ANAHTAR'!$B379)</f>
        <v/>
      </c>
      <c r="B379" s="16">
        <f>IF($A379="","",COUNTIF(tblAnahtarB[NormB],$A379))</f>
        <v/>
      </c>
      <c r="C379" s="16">
        <f>IF($A379="","",SUMIF(tblAnahtarB[NormB],$A379,tblVeriB[BeyanTutar]))</f>
        <v/>
      </c>
      <c r="D379" s="16">
        <f>IF($A379="","",SUMIF(tblAnahtarA[Norm],$A379,tblVeriA[Tutar]))</f>
        <v/>
      </c>
      <c r="E379" s="16">
        <f>IF($A379="","",ROUND($D379,2)-ROUND($C379,2))</f>
        <v/>
      </c>
      <c r="F379" s="16">
        <f>IF($A379="","",ABS($E379))</f>
        <v/>
      </c>
      <c r="G379" s="16">
        <f>IF($A379="","",IF($B379=0,"eslesmedi",IF(ROUND($D379,2)=ROUND($C379,2),"eslesti",IF(ABS(ROUND($D379,2)-ROUND($C379,2))&lt;=toleransKurus,"tolerans_icinde","tutar_farki"))))</f>
        <v/>
      </c>
      <c r="H379" s="16">
        <f>IF($A379="","",IF($B379&gt;0,"BIRINCIL",IF(COUNTIF(tblAnahtarB[IkincilB],'ANAHTAR'!$D379)&gt;0,"IKINCIL","YOK")))</f>
        <v/>
      </c>
      <c r="I379" s="16">
        <f>IF($A379="","",'ANAHTAR'!$F379)</f>
        <v/>
      </c>
      <c r="J379" s="16">
        <f>IF(OR($A379="",$D379=0),0,$F379/ABS($D379))</f>
        <v/>
      </c>
      <c r="K379" s="16">
        <f>IF($A379="","",ROUND($D379,2))</f>
        <v/>
      </c>
      <c r="L379" s="16">
        <f>IF($A379="","",ROUND($C379,2))</f>
        <v/>
      </c>
      <c r="M379" s="16">
        <f>IF($A379="","",IF($F379&lt;=toleransKurus,1,0))</f>
        <v/>
      </c>
      <c r="N379" s="16">
        <f>IF($A379="","",IF($F379&gt;cbb_esikFark,1,0))</f>
        <v/>
      </c>
      <c r="O379" s="16">
        <f>IF($A379="","",IF($G379="eslesti",$D379,0))</f>
        <v/>
      </c>
      <c r="P379" s="16">
        <f>IF($A379="","",$B379+$M379+$N379)</f>
        <v/>
      </c>
    </row>
    <row r="380">
      <c r="A380" s="16">
        <f>IF('ANAHTAR'!$B380="","",'ANAHTAR'!$B380)</f>
        <v/>
      </c>
      <c r="B380" s="16">
        <f>IF($A380="","",COUNTIF(tblAnahtarB[NormB],$A380))</f>
        <v/>
      </c>
      <c r="C380" s="16">
        <f>IF($A380="","",SUMIF(tblAnahtarB[NormB],$A380,tblVeriB[BeyanTutar]))</f>
        <v/>
      </c>
      <c r="D380" s="16">
        <f>IF($A380="","",SUMIF(tblAnahtarA[Norm],$A380,tblVeriA[Tutar]))</f>
        <v/>
      </c>
      <c r="E380" s="16">
        <f>IF($A380="","",ROUND($D380,2)-ROUND($C380,2))</f>
        <v/>
      </c>
      <c r="F380" s="16">
        <f>IF($A380="","",ABS($E380))</f>
        <v/>
      </c>
      <c r="G380" s="16">
        <f>IF($A380="","",IF($B380=0,"eslesmedi",IF(ROUND($D380,2)=ROUND($C380,2),"eslesti",IF(ABS(ROUND($D380,2)-ROUND($C380,2))&lt;=toleransKurus,"tolerans_icinde","tutar_farki"))))</f>
        <v/>
      </c>
      <c r="H380" s="16">
        <f>IF($A380="","",IF($B380&gt;0,"BIRINCIL",IF(COUNTIF(tblAnahtarB[IkincilB],'ANAHTAR'!$D380)&gt;0,"IKINCIL","YOK")))</f>
        <v/>
      </c>
      <c r="I380" s="16">
        <f>IF($A380="","",'ANAHTAR'!$F380)</f>
        <v/>
      </c>
      <c r="J380" s="16">
        <f>IF(OR($A380="",$D380=0),0,$F380/ABS($D380))</f>
        <v/>
      </c>
      <c r="K380" s="16">
        <f>IF($A380="","",ROUND($D380,2))</f>
        <v/>
      </c>
      <c r="L380" s="16">
        <f>IF($A380="","",ROUND($C380,2))</f>
        <v/>
      </c>
      <c r="M380" s="16">
        <f>IF($A380="","",IF($F380&lt;=toleransKurus,1,0))</f>
        <v/>
      </c>
      <c r="N380" s="16">
        <f>IF($A380="","",IF($F380&gt;cbb_esikFark,1,0))</f>
        <v/>
      </c>
      <c r="O380" s="16">
        <f>IF($A380="","",IF($G380="eslesti",$D380,0))</f>
        <v/>
      </c>
      <c r="P380" s="16">
        <f>IF($A380="","",$B380+$M380+$N380)</f>
        <v/>
      </c>
    </row>
    <row r="381">
      <c r="A381" s="16">
        <f>IF('ANAHTAR'!$B381="","",'ANAHTAR'!$B381)</f>
        <v/>
      </c>
      <c r="B381" s="16">
        <f>IF($A381="","",COUNTIF(tblAnahtarB[NormB],$A381))</f>
        <v/>
      </c>
      <c r="C381" s="16">
        <f>IF($A381="","",SUMIF(tblAnahtarB[NormB],$A381,tblVeriB[BeyanTutar]))</f>
        <v/>
      </c>
      <c r="D381" s="16">
        <f>IF($A381="","",SUMIF(tblAnahtarA[Norm],$A381,tblVeriA[Tutar]))</f>
        <v/>
      </c>
      <c r="E381" s="16">
        <f>IF($A381="","",ROUND($D381,2)-ROUND($C381,2))</f>
        <v/>
      </c>
      <c r="F381" s="16">
        <f>IF($A381="","",ABS($E381))</f>
        <v/>
      </c>
      <c r="G381" s="16">
        <f>IF($A381="","",IF($B381=0,"eslesmedi",IF(ROUND($D381,2)=ROUND($C381,2),"eslesti",IF(ABS(ROUND($D381,2)-ROUND($C381,2))&lt;=toleransKurus,"tolerans_icinde","tutar_farki"))))</f>
        <v/>
      </c>
      <c r="H381" s="16">
        <f>IF($A381="","",IF($B381&gt;0,"BIRINCIL",IF(COUNTIF(tblAnahtarB[IkincilB],'ANAHTAR'!$D381)&gt;0,"IKINCIL","YOK")))</f>
        <v/>
      </c>
      <c r="I381" s="16">
        <f>IF($A381="","",'ANAHTAR'!$F381)</f>
        <v/>
      </c>
      <c r="J381" s="16">
        <f>IF(OR($A381="",$D381=0),0,$F381/ABS($D381))</f>
        <v/>
      </c>
      <c r="K381" s="16">
        <f>IF($A381="","",ROUND($D381,2))</f>
        <v/>
      </c>
      <c r="L381" s="16">
        <f>IF($A381="","",ROUND($C381,2))</f>
        <v/>
      </c>
      <c r="M381" s="16">
        <f>IF($A381="","",IF($F381&lt;=toleransKurus,1,0))</f>
        <v/>
      </c>
      <c r="N381" s="16">
        <f>IF($A381="","",IF($F381&gt;cbb_esikFark,1,0))</f>
        <v/>
      </c>
      <c r="O381" s="16">
        <f>IF($A381="","",IF($G381="eslesti",$D381,0))</f>
        <v/>
      </c>
      <c r="P381" s="16">
        <f>IF($A381="","",$B381+$M381+$N381)</f>
        <v/>
      </c>
    </row>
    <row r="382">
      <c r="A382" s="16">
        <f>IF('ANAHTAR'!$B382="","",'ANAHTAR'!$B382)</f>
        <v/>
      </c>
      <c r="B382" s="16">
        <f>IF($A382="","",COUNTIF(tblAnahtarB[NormB],$A382))</f>
        <v/>
      </c>
      <c r="C382" s="16">
        <f>IF($A382="","",SUMIF(tblAnahtarB[NormB],$A382,tblVeriB[BeyanTutar]))</f>
        <v/>
      </c>
      <c r="D382" s="16">
        <f>IF($A382="","",SUMIF(tblAnahtarA[Norm],$A382,tblVeriA[Tutar]))</f>
        <v/>
      </c>
      <c r="E382" s="16">
        <f>IF($A382="","",ROUND($D382,2)-ROUND($C382,2))</f>
        <v/>
      </c>
      <c r="F382" s="16">
        <f>IF($A382="","",ABS($E382))</f>
        <v/>
      </c>
      <c r="G382" s="16">
        <f>IF($A382="","",IF($B382=0,"eslesmedi",IF(ROUND($D382,2)=ROUND($C382,2),"eslesti",IF(ABS(ROUND($D382,2)-ROUND($C382,2))&lt;=toleransKurus,"tolerans_icinde","tutar_farki"))))</f>
        <v/>
      </c>
      <c r="H382" s="16">
        <f>IF($A382="","",IF($B382&gt;0,"BIRINCIL",IF(COUNTIF(tblAnahtarB[IkincilB],'ANAHTAR'!$D382)&gt;0,"IKINCIL","YOK")))</f>
        <v/>
      </c>
      <c r="I382" s="16">
        <f>IF($A382="","",'ANAHTAR'!$F382)</f>
        <v/>
      </c>
      <c r="J382" s="16">
        <f>IF(OR($A382="",$D382=0),0,$F382/ABS($D382))</f>
        <v/>
      </c>
      <c r="K382" s="16">
        <f>IF($A382="","",ROUND($D382,2))</f>
        <v/>
      </c>
      <c r="L382" s="16">
        <f>IF($A382="","",ROUND($C382,2))</f>
        <v/>
      </c>
      <c r="M382" s="16">
        <f>IF($A382="","",IF($F382&lt;=toleransKurus,1,0))</f>
        <v/>
      </c>
      <c r="N382" s="16">
        <f>IF($A382="","",IF($F382&gt;cbb_esikFark,1,0))</f>
        <v/>
      </c>
      <c r="O382" s="16">
        <f>IF($A382="","",IF($G382="eslesti",$D382,0))</f>
        <v/>
      </c>
      <c r="P382" s="16">
        <f>IF($A382="","",$B382+$M382+$N382)</f>
        <v/>
      </c>
    </row>
    <row r="383">
      <c r="A383" s="16">
        <f>IF('ANAHTAR'!$B383="","",'ANAHTAR'!$B383)</f>
        <v/>
      </c>
      <c r="B383" s="16">
        <f>IF($A383="","",COUNTIF(tblAnahtarB[NormB],$A383))</f>
        <v/>
      </c>
      <c r="C383" s="16">
        <f>IF($A383="","",SUMIF(tblAnahtarB[NormB],$A383,tblVeriB[BeyanTutar]))</f>
        <v/>
      </c>
      <c r="D383" s="16">
        <f>IF($A383="","",SUMIF(tblAnahtarA[Norm],$A383,tblVeriA[Tutar]))</f>
        <v/>
      </c>
      <c r="E383" s="16">
        <f>IF($A383="","",ROUND($D383,2)-ROUND($C383,2))</f>
        <v/>
      </c>
      <c r="F383" s="16">
        <f>IF($A383="","",ABS($E383))</f>
        <v/>
      </c>
      <c r="G383" s="16">
        <f>IF($A383="","",IF($B383=0,"eslesmedi",IF(ROUND($D383,2)=ROUND($C383,2),"eslesti",IF(ABS(ROUND($D383,2)-ROUND($C383,2))&lt;=toleransKurus,"tolerans_icinde","tutar_farki"))))</f>
        <v/>
      </c>
      <c r="H383" s="16">
        <f>IF($A383="","",IF($B383&gt;0,"BIRINCIL",IF(COUNTIF(tblAnahtarB[IkincilB],'ANAHTAR'!$D383)&gt;0,"IKINCIL","YOK")))</f>
        <v/>
      </c>
      <c r="I383" s="16">
        <f>IF($A383="","",'ANAHTAR'!$F383)</f>
        <v/>
      </c>
      <c r="J383" s="16">
        <f>IF(OR($A383="",$D383=0),0,$F383/ABS($D383))</f>
        <v/>
      </c>
      <c r="K383" s="16">
        <f>IF($A383="","",ROUND($D383,2))</f>
        <v/>
      </c>
      <c r="L383" s="16">
        <f>IF($A383="","",ROUND($C383,2))</f>
        <v/>
      </c>
      <c r="M383" s="16">
        <f>IF($A383="","",IF($F383&lt;=toleransKurus,1,0))</f>
        <v/>
      </c>
      <c r="N383" s="16">
        <f>IF($A383="","",IF($F383&gt;cbb_esikFark,1,0))</f>
        <v/>
      </c>
      <c r="O383" s="16">
        <f>IF($A383="","",IF($G383="eslesti",$D383,0))</f>
        <v/>
      </c>
      <c r="P383" s="16">
        <f>IF($A383="","",$B383+$M383+$N383)</f>
        <v/>
      </c>
    </row>
    <row r="384">
      <c r="A384" s="16">
        <f>IF('ANAHTAR'!$B384="","",'ANAHTAR'!$B384)</f>
        <v/>
      </c>
      <c r="B384" s="16">
        <f>IF($A384="","",COUNTIF(tblAnahtarB[NormB],$A384))</f>
        <v/>
      </c>
      <c r="C384" s="16">
        <f>IF($A384="","",SUMIF(tblAnahtarB[NormB],$A384,tblVeriB[BeyanTutar]))</f>
        <v/>
      </c>
      <c r="D384" s="16">
        <f>IF($A384="","",SUMIF(tblAnahtarA[Norm],$A384,tblVeriA[Tutar]))</f>
        <v/>
      </c>
      <c r="E384" s="16">
        <f>IF($A384="","",ROUND($D384,2)-ROUND($C384,2))</f>
        <v/>
      </c>
      <c r="F384" s="16">
        <f>IF($A384="","",ABS($E384))</f>
        <v/>
      </c>
      <c r="G384" s="16">
        <f>IF($A384="","",IF($B384=0,"eslesmedi",IF(ROUND($D384,2)=ROUND($C384,2),"eslesti",IF(ABS(ROUND($D384,2)-ROUND($C384,2))&lt;=toleransKurus,"tolerans_icinde","tutar_farki"))))</f>
        <v/>
      </c>
      <c r="H384" s="16">
        <f>IF($A384="","",IF($B384&gt;0,"BIRINCIL",IF(COUNTIF(tblAnahtarB[IkincilB],'ANAHTAR'!$D384)&gt;0,"IKINCIL","YOK")))</f>
        <v/>
      </c>
      <c r="I384" s="16">
        <f>IF($A384="","",'ANAHTAR'!$F384)</f>
        <v/>
      </c>
      <c r="J384" s="16">
        <f>IF(OR($A384="",$D384=0),0,$F384/ABS($D384))</f>
        <v/>
      </c>
      <c r="K384" s="16">
        <f>IF($A384="","",ROUND($D384,2))</f>
        <v/>
      </c>
      <c r="L384" s="16">
        <f>IF($A384="","",ROUND($C384,2))</f>
        <v/>
      </c>
      <c r="M384" s="16">
        <f>IF($A384="","",IF($F384&lt;=toleransKurus,1,0))</f>
        <v/>
      </c>
      <c r="N384" s="16">
        <f>IF($A384="","",IF($F384&gt;cbb_esikFark,1,0))</f>
        <v/>
      </c>
      <c r="O384" s="16">
        <f>IF($A384="","",IF($G384="eslesti",$D384,0))</f>
        <v/>
      </c>
      <c r="P384" s="16">
        <f>IF($A384="","",$B384+$M384+$N384)</f>
        <v/>
      </c>
    </row>
    <row r="385">
      <c r="A385" s="16">
        <f>IF('ANAHTAR'!$B385="","",'ANAHTAR'!$B385)</f>
        <v/>
      </c>
      <c r="B385" s="16">
        <f>IF($A385="","",COUNTIF(tblAnahtarB[NormB],$A385))</f>
        <v/>
      </c>
      <c r="C385" s="16">
        <f>IF($A385="","",SUMIF(tblAnahtarB[NormB],$A385,tblVeriB[BeyanTutar]))</f>
        <v/>
      </c>
      <c r="D385" s="16">
        <f>IF($A385="","",SUMIF(tblAnahtarA[Norm],$A385,tblVeriA[Tutar]))</f>
        <v/>
      </c>
      <c r="E385" s="16">
        <f>IF($A385="","",ROUND($D385,2)-ROUND($C385,2))</f>
        <v/>
      </c>
      <c r="F385" s="16">
        <f>IF($A385="","",ABS($E385))</f>
        <v/>
      </c>
      <c r="G385" s="16">
        <f>IF($A385="","",IF($B385=0,"eslesmedi",IF(ROUND($D385,2)=ROUND($C385,2),"eslesti",IF(ABS(ROUND($D385,2)-ROUND($C385,2))&lt;=toleransKurus,"tolerans_icinde","tutar_farki"))))</f>
        <v/>
      </c>
      <c r="H385" s="16">
        <f>IF($A385="","",IF($B385&gt;0,"BIRINCIL",IF(COUNTIF(tblAnahtarB[IkincilB],'ANAHTAR'!$D385)&gt;0,"IKINCIL","YOK")))</f>
        <v/>
      </c>
      <c r="I385" s="16">
        <f>IF($A385="","",'ANAHTAR'!$F385)</f>
        <v/>
      </c>
      <c r="J385" s="16">
        <f>IF(OR($A385="",$D385=0),0,$F385/ABS($D385))</f>
        <v/>
      </c>
      <c r="K385" s="16">
        <f>IF($A385="","",ROUND($D385,2))</f>
        <v/>
      </c>
      <c r="L385" s="16">
        <f>IF($A385="","",ROUND($C385,2))</f>
        <v/>
      </c>
      <c r="M385" s="16">
        <f>IF($A385="","",IF($F385&lt;=toleransKurus,1,0))</f>
        <v/>
      </c>
      <c r="N385" s="16">
        <f>IF($A385="","",IF($F385&gt;cbb_esikFark,1,0))</f>
        <v/>
      </c>
      <c r="O385" s="16">
        <f>IF($A385="","",IF($G385="eslesti",$D385,0))</f>
        <v/>
      </c>
      <c r="P385" s="16">
        <f>IF($A385="","",$B385+$M385+$N385)</f>
        <v/>
      </c>
    </row>
    <row r="386">
      <c r="A386" s="16">
        <f>IF('ANAHTAR'!$B386="","",'ANAHTAR'!$B386)</f>
        <v/>
      </c>
      <c r="B386" s="16">
        <f>IF($A386="","",COUNTIF(tblAnahtarB[NormB],$A386))</f>
        <v/>
      </c>
      <c r="C386" s="16">
        <f>IF($A386="","",SUMIF(tblAnahtarB[NormB],$A386,tblVeriB[BeyanTutar]))</f>
        <v/>
      </c>
      <c r="D386" s="16">
        <f>IF($A386="","",SUMIF(tblAnahtarA[Norm],$A386,tblVeriA[Tutar]))</f>
        <v/>
      </c>
      <c r="E386" s="16">
        <f>IF($A386="","",ROUND($D386,2)-ROUND($C386,2))</f>
        <v/>
      </c>
      <c r="F386" s="16">
        <f>IF($A386="","",ABS($E386))</f>
        <v/>
      </c>
      <c r="G386" s="16">
        <f>IF($A386="","",IF($B386=0,"eslesmedi",IF(ROUND($D386,2)=ROUND($C386,2),"eslesti",IF(ABS(ROUND($D386,2)-ROUND($C386,2))&lt;=toleransKurus,"tolerans_icinde","tutar_farki"))))</f>
        <v/>
      </c>
      <c r="H386" s="16">
        <f>IF($A386="","",IF($B386&gt;0,"BIRINCIL",IF(COUNTIF(tblAnahtarB[IkincilB],'ANAHTAR'!$D386)&gt;0,"IKINCIL","YOK")))</f>
        <v/>
      </c>
      <c r="I386" s="16">
        <f>IF($A386="","",'ANAHTAR'!$F386)</f>
        <v/>
      </c>
      <c r="J386" s="16">
        <f>IF(OR($A386="",$D386=0),0,$F386/ABS($D386))</f>
        <v/>
      </c>
      <c r="K386" s="16">
        <f>IF($A386="","",ROUND($D386,2))</f>
        <v/>
      </c>
      <c r="L386" s="16">
        <f>IF($A386="","",ROUND($C386,2))</f>
        <v/>
      </c>
      <c r="M386" s="16">
        <f>IF($A386="","",IF($F386&lt;=toleransKurus,1,0))</f>
        <v/>
      </c>
      <c r="N386" s="16">
        <f>IF($A386="","",IF($F386&gt;cbb_esikFark,1,0))</f>
        <v/>
      </c>
      <c r="O386" s="16">
        <f>IF($A386="","",IF($G386="eslesti",$D386,0))</f>
        <v/>
      </c>
      <c r="P386" s="16">
        <f>IF($A386="","",$B386+$M386+$N386)</f>
        <v/>
      </c>
    </row>
    <row r="387">
      <c r="A387" s="16">
        <f>IF('ANAHTAR'!$B387="","",'ANAHTAR'!$B387)</f>
        <v/>
      </c>
      <c r="B387" s="16">
        <f>IF($A387="","",COUNTIF(tblAnahtarB[NormB],$A387))</f>
        <v/>
      </c>
      <c r="C387" s="16">
        <f>IF($A387="","",SUMIF(tblAnahtarB[NormB],$A387,tblVeriB[BeyanTutar]))</f>
        <v/>
      </c>
      <c r="D387" s="16">
        <f>IF($A387="","",SUMIF(tblAnahtarA[Norm],$A387,tblVeriA[Tutar]))</f>
        <v/>
      </c>
      <c r="E387" s="16">
        <f>IF($A387="","",ROUND($D387,2)-ROUND($C387,2))</f>
        <v/>
      </c>
      <c r="F387" s="16">
        <f>IF($A387="","",ABS($E387))</f>
        <v/>
      </c>
      <c r="G387" s="16">
        <f>IF($A387="","",IF($B387=0,"eslesmedi",IF(ROUND($D387,2)=ROUND($C387,2),"eslesti",IF(ABS(ROUND($D387,2)-ROUND($C387,2))&lt;=toleransKurus,"tolerans_icinde","tutar_farki"))))</f>
        <v/>
      </c>
      <c r="H387" s="16">
        <f>IF($A387="","",IF($B387&gt;0,"BIRINCIL",IF(COUNTIF(tblAnahtarB[IkincilB],'ANAHTAR'!$D387)&gt;0,"IKINCIL","YOK")))</f>
        <v/>
      </c>
      <c r="I387" s="16">
        <f>IF($A387="","",'ANAHTAR'!$F387)</f>
        <v/>
      </c>
      <c r="J387" s="16">
        <f>IF(OR($A387="",$D387=0),0,$F387/ABS($D387))</f>
        <v/>
      </c>
      <c r="K387" s="16">
        <f>IF($A387="","",ROUND($D387,2))</f>
        <v/>
      </c>
      <c r="L387" s="16">
        <f>IF($A387="","",ROUND($C387,2))</f>
        <v/>
      </c>
      <c r="M387" s="16">
        <f>IF($A387="","",IF($F387&lt;=toleransKurus,1,0))</f>
        <v/>
      </c>
      <c r="N387" s="16">
        <f>IF($A387="","",IF($F387&gt;cbb_esikFark,1,0))</f>
        <v/>
      </c>
      <c r="O387" s="16">
        <f>IF($A387="","",IF($G387="eslesti",$D387,0))</f>
        <v/>
      </c>
      <c r="P387" s="16">
        <f>IF($A387="","",$B387+$M387+$N387)</f>
        <v/>
      </c>
    </row>
    <row r="388">
      <c r="A388" s="16">
        <f>IF('ANAHTAR'!$B388="","",'ANAHTAR'!$B388)</f>
        <v/>
      </c>
      <c r="B388" s="16">
        <f>IF($A388="","",COUNTIF(tblAnahtarB[NormB],$A388))</f>
        <v/>
      </c>
      <c r="C388" s="16">
        <f>IF($A388="","",SUMIF(tblAnahtarB[NormB],$A388,tblVeriB[BeyanTutar]))</f>
        <v/>
      </c>
      <c r="D388" s="16">
        <f>IF($A388="","",SUMIF(tblAnahtarA[Norm],$A388,tblVeriA[Tutar]))</f>
        <v/>
      </c>
      <c r="E388" s="16">
        <f>IF($A388="","",ROUND($D388,2)-ROUND($C388,2))</f>
        <v/>
      </c>
      <c r="F388" s="16">
        <f>IF($A388="","",ABS($E388))</f>
        <v/>
      </c>
      <c r="G388" s="16">
        <f>IF($A388="","",IF($B388=0,"eslesmedi",IF(ROUND($D388,2)=ROUND($C388,2),"eslesti",IF(ABS(ROUND($D388,2)-ROUND($C388,2))&lt;=toleransKurus,"tolerans_icinde","tutar_farki"))))</f>
        <v/>
      </c>
      <c r="H388" s="16">
        <f>IF($A388="","",IF($B388&gt;0,"BIRINCIL",IF(COUNTIF(tblAnahtarB[IkincilB],'ANAHTAR'!$D388)&gt;0,"IKINCIL","YOK")))</f>
        <v/>
      </c>
      <c r="I388" s="16">
        <f>IF($A388="","",'ANAHTAR'!$F388)</f>
        <v/>
      </c>
      <c r="J388" s="16">
        <f>IF(OR($A388="",$D388=0),0,$F388/ABS($D388))</f>
        <v/>
      </c>
      <c r="K388" s="16">
        <f>IF($A388="","",ROUND($D388,2))</f>
        <v/>
      </c>
      <c r="L388" s="16">
        <f>IF($A388="","",ROUND($C388,2))</f>
        <v/>
      </c>
      <c r="M388" s="16">
        <f>IF($A388="","",IF($F388&lt;=toleransKurus,1,0))</f>
        <v/>
      </c>
      <c r="N388" s="16">
        <f>IF($A388="","",IF($F388&gt;cbb_esikFark,1,0))</f>
        <v/>
      </c>
      <c r="O388" s="16">
        <f>IF($A388="","",IF($G388="eslesti",$D388,0))</f>
        <v/>
      </c>
      <c r="P388" s="16">
        <f>IF($A388="","",$B388+$M388+$N388)</f>
        <v/>
      </c>
    </row>
    <row r="389">
      <c r="A389" s="16">
        <f>IF('ANAHTAR'!$B389="","",'ANAHTAR'!$B389)</f>
        <v/>
      </c>
      <c r="B389" s="16">
        <f>IF($A389="","",COUNTIF(tblAnahtarB[NormB],$A389))</f>
        <v/>
      </c>
      <c r="C389" s="16">
        <f>IF($A389="","",SUMIF(tblAnahtarB[NormB],$A389,tblVeriB[BeyanTutar]))</f>
        <v/>
      </c>
      <c r="D389" s="16">
        <f>IF($A389="","",SUMIF(tblAnahtarA[Norm],$A389,tblVeriA[Tutar]))</f>
        <v/>
      </c>
      <c r="E389" s="16">
        <f>IF($A389="","",ROUND($D389,2)-ROUND($C389,2))</f>
        <v/>
      </c>
      <c r="F389" s="16">
        <f>IF($A389="","",ABS($E389))</f>
        <v/>
      </c>
      <c r="G389" s="16">
        <f>IF($A389="","",IF($B389=0,"eslesmedi",IF(ROUND($D389,2)=ROUND($C389,2),"eslesti",IF(ABS(ROUND($D389,2)-ROUND($C389,2))&lt;=toleransKurus,"tolerans_icinde","tutar_farki"))))</f>
        <v/>
      </c>
      <c r="H389" s="16">
        <f>IF($A389="","",IF($B389&gt;0,"BIRINCIL",IF(COUNTIF(tblAnahtarB[IkincilB],'ANAHTAR'!$D389)&gt;0,"IKINCIL","YOK")))</f>
        <v/>
      </c>
      <c r="I389" s="16">
        <f>IF($A389="","",'ANAHTAR'!$F389)</f>
        <v/>
      </c>
      <c r="J389" s="16">
        <f>IF(OR($A389="",$D389=0),0,$F389/ABS($D389))</f>
        <v/>
      </c>
      <c r="K389" s="16">
        <f>IF($A389="","",ROUND($D389,2))</f>
        <v/>
      </c>
      <c r="L389" s="16">
        <f>IF($A389="","",ROUND($C389,2))</f>
        <v/>
      </c>
      <c r="M389" s="16">
        <f>IF($A389="","",IF($F389&lt;=toleransKurus,1,0))</f>
        <v/>
      </c>
      <c r="N389" s="16">
        <f>IF($A389="","",IF($F389&gt;cbb_esikFark,1,0))</f>
        <v/>
      </c>
      <c r="O389" s="16">
        <f>IF($A389="","",IF($G389="eslesti",$D389,0))</f>
        <v/>
      </c>
      <c r="P389" s="16">
        <f>IF($A389="","",$B389+$M389+$N389)</f>
        <v/>
      </c>
    </row>
    <row r="390">
      <c r="A390" s="16">
        <f>IF('ANAHTAR'!$B390="","",'ANAHTAR'!$B390)</f>
        <v/>
      </c>
      <c r="B390" s="16">
        <f>IF($A390="","",COUNTIF(tblAnahtarB[NormB],$A390))</f>
        <v/>
      </c>
      <c r="C390" s="16">
        <f>IF($A390="","",SUMIF(tblAnahtarB[NormB],$A390,tblVeriB[BeyanTutar]))</f>
        <v/>
      </c>
      <c r="D390" s="16">
        <f>IF($A390="","",SUMIF(tblAnahtarA[Norm],$A390,tblVeriA[Tutar]))</f>
        <v/>
      </c>
      <c r="E390" s="16">
        <f>IF($A390="","",ROUND($D390,2)-ROUND($C390,2))</f>
        <v/>
      </c>
      <c r="F390" s="16">
        <f>IF($A390="","",ABS($E390))</f>
        <v/>
      </c>
      <c r="G390" s="16">
        <f>IF($A390="","",IF($B390=0,"eslesmedi",IF(ROUND($D390,2)=ROUND($C390,2),"eslesti",IF(ABS(ROUND($D390,2)-ROUND($C390,2))&lt;=toleransKurus,"tolerans_icinde","tutar_farki"))))</f>
        <v/>
      </c>
      <c r="H390" s="16">
        <f>IF($A390="","",IF($B390&gt;0,"BIRINCIL",IF(COUNTIF(tblAnahtarB[IkincilB],'ANAHTAR'!$D390)&gt;0,"IKINCIL","YOK")))</f>
        <v/>
      </c>
      <c r="I390" s="16">
        <f>IF($A390="","",'ANAHTAR'!$F390)</f>
        <v/>
      </c>
      <c r="J390" s="16">
        <f>IF(OR($A390="",$D390=0),0,$F390/ABS($D390))</f>
        <v/>
      </c>
      <c r="K390" s="16">
        <f>IF($A390="","",ROUND($D390,2))</f>
        <v/>
      </c>
      <c r="L390" s="16">
        <f>IF($A390="","",ROUND($C390,2))</f>
        <v/>
      </c>
      <c r="M390" s="16">
        <f>IF($A390="","",IF($F390&lt;=toleransKurus,1,0))</f>
        <v/>
      </c>
      <c r="N390" s="16">
        <f>IF($A390="","",IF($F390&gt;cbb_esikFark,1,0))</f>
        <v/>
      </c>
      <c r="O390" s="16">
        <f>IF($A390="","",IF($G390="eslesti",$D390,0))</f>
        <v/>
      </c>
      <c r="P390" s="16">
        <f>IF($A390="","",$B390+$M390+$N390)</f>
        <v/>
      </c>
    </row>
    <row r="391">
      <c r="A391" s="16">
        <f>IF('ANAHTAR'!$B391="","",'ANAHTAR'!$B391)</f>
        <v/>
      </c>
      <c r="B391" s="16">
        <f>IF($A391="","",COUNTIF(tblAnahtarB[NormB],$A391))</f>
        <v/>
      </c>
      <c r="C391" s="16">
        <f>IF($A391="","",SUMIF(tblAnahtarB[NormB],$A391,tblVeriB[BeyanTutar]))</f>
        <v/>
      </c>
      <c r="D391" s="16">
        <f>IF($A391="","",SUMIF(tblAnahtarA[Norm],$A391,tblVeriA[Tutar]))</f>
        <v/>
      </c>
      <c r="E391" s="16">
        <f>IF($A391="","",ROUND($D391,2)-ROUND($C391,2))</f>
        <v/>
      </c>
      <c r="F391" s="16">
        <f>IF($A391="","",ABS($E391))</f>
        <v/>
      </c>
      <c r="G391" s="16">
        <f>IF($A391="","",IF($B391=0,"eslesmedi",IF(ROUND($D391,2)=ROUND($C391,2),"eslesti",IF(ABS(ROUND($D391,2)-ROUND($C391,2))&lt;=toleransKurus,"tolerans_icinde","tutar_farki"))))</f>
        <v/>
      </c>
      <c r="H391" s="16">
        <f>IF($A391="","",IF($B391&gt;0,"BIRINCIL",IF(COUNTIF(tblAnahtarB[IkincilB],'ANAHTAR'!$D391)&gt;0,"IKINCIL","YOK")))</f>
        <v/>
      </c>
      <c r="I391" s="16">
        <f>IF($A391="","",'ANAHTAR'!$F391)</f>
        <v/>
      </c>
      <c r="J391" s="16">
        <f>IF(OR($A391="",$D391=0),0,$F391/ABS($D391))</f>
        <v/>
      </c>
      <c r="K391" s="16">
        <f>IF($A391="","",ROUND($D391,2))</f>
        <v/>
      </c>
      <c r="L391" s="16">
        <f>IF($A391="","",ROUND($C391,2))</f>
        <v/>
      </c>
      <c r="M391" s="16">
        <f>IF($A391="","",IF($F391&lt;=toleransKurus,1,0))</f>
        <v/>
      </c>
      <c r="N391" s="16">
        <f>IF($A391="","",IF($F391&gt;cbb_esikFark,1,0))</f>
        <v/>
      </c>
      <c r="O391" s="16">
        <f>IF($A391="","",IF($G391="eslesti",$D391,0))</f>
        <v/>
      </c>
      <c r="P391" s="16">
        <f>IF($A391="","",$B391+$M391+$N391)</f>
        <v/>
      </c>
    </row>
    <row r="392">
      <c r="A392" s="16">
        <f>IF('ANAHTAR'!$B392="","",'ANAHTAR'!$B392)</f>
        <v/>
      </c>
      <c r="B392" s="16">
        <f>IF($A392="","",COUNTIF(tblAnahtarB[NormB],$A392))</f>
        <v/>
      </c>
      <c r="C392" s="16">
        <f>IF($A392="","",SUMIF(tblAnahtarB[NormB],$A392,tblVeriB[BeyanTutar]))</f>
        <v/>
      </c>
      <c r="D392" s="16">
        <f>IF($A392="","",SUMIF(tblAnahtarA[Norm],$A392,tblVeriA[Tutar]))</f>
        <v/>
      </c>
      <c r="E392" s="16">
        <f>IF($A392="","",ROUND($D392,2)-ROUND($C392,2))</f>
        <v/>
      </c>
      <c r="F392" s="16">
        <f>IF($A392="","",ABS($E392))</f>
        <v/>
      </c>
      <c r="G392" s="16">
        <f>IF($A392="","",IF($B392=0,"eslesmedi",IF(ROUND($D392,2)=ROUND($C392,2),"eslesti",IF(ABS(ROUND($D392,2)-ROUND($C392,2))&lt;=toleransKurus,"tolerans_icinde","tutar_farki"))))</f>
        <v/>
      </c>
      <c r="H392" s="16">
        <f>IF($A392="","",IF($B392&gt;0,"BIRINCIL",IF(COUNTIF(tblAnahtarB[IkincilB],'ANAHTAR'!$D392)&gt;0,"IKINCIL","YOK")))</f>
        <v/>
      </c>
      <c r="I392" s="16">
        <f>IF($A392="","",'ANAHTAR'!$F392)</f>
        <v/>
      </c>
      <c r="J392" s="16">
        <f>IF(OR($A392="",$D392=0),0,$F392/ABS($D392))</f>
        <v/>
      </c>
      <c r="K392" s="16">
        <f>IF($A392="","",ROUND($D392,2))</f>
        <v/>
      </c>
      <c r="L392" s="16">
        <f>IF($A392="","",ROUND($C392,2))</f>
        <v/>
      </c>
      <c r="M392" s="16">
        <f>IF($A392="","",IF($F392&lt;=toleransKurus,1,0))</f>
        <v/>
      </c>
      <c r="N392" s="16">
        <f>IF($A392="","",IF($F392&gt;cbb_esikFark,1,0))</f>
        <v/>
      </c>
      <c r="O392" s="16">
        <f>IF($A392="","",IF($G392="eslesti",$D392,0))</f>
        <v/>
      </c>
      <c r="P392" s="16">
        <f>IF($A392="","",$B392+$M392+$N392)</f>
        <v/>
      </c>
    </row>
    <row r="393">
      <c r="A393" s="16">
        <f>IF('ANAHTAR'!$B393="","",'ANAHTAR'!$B393)</f>
        <v/>
      </c>
      <c r="B393" s="16">
        <f>IF($A393="","",COUNTIF(tblAnahtarB[NormB],$A393))</f>
        <v/>
      </c>
      <c r="C393" s="16">
        <f>IF($A393="","",SUMIF(tblAnahtarB[NormB],$A393,tblVeriB[BeyanTutar]))</f>
        <v/>
      </c>
      <c r="D393" s="16">
        <f>IF($A393="","",SUMIF(tblAnahtarA[Norm],$A393,tblVeriA[Tutar]))</f>
        <v/>
      </c>
      <c r="E393" s="16">
        <f>IF($A393="","",ROUND($D393,2)-ROUND($C393,2))</f>
        <v/>
      </c>
      <c r="F393" s="16">
        <f>IF($A393="","",ABS($E393))</f>
        <v/>
      </c>
      <c r="G393" s="16">
        <f>IF($A393="","",IF($B393=0,"eslesmedi",IF(ROUND($D393,2)=ROUND($C393,2),"eslesti",IF(ABS(ROUND($D393,2)-ROUND($C393,2))&lt;=toleransKurus,"tolerans_icinde","tutar_farki"))))</f>
        <v/>
      </c>
      <c r="H393" s="16">
        <f>IF($A393="","",IF($B393&gt;0,"BIRINCIL",IF(COUNTIF(tblAnahtarB[IkincilB],'ANAHTAR'!$D393)&gt;0,"IKINCIL","YOK")))</f>
        <v/>
      </c>
      <c r="I393" s="16">
        <f>IF($A393="","",'ANAHTAR'!$F393)</f>
        <v/>
      </c>
      <c r="J393" s="16">
        <f>IF(OR($A393="",$D393=0),0,$F393/ABS($D393))</f>
        <v/>
      </c>
      <c r="K393" s="16">
        <f>IF($A393="","",ROUND($D393,2))</f>
        <v/>
      </c>
      <c r="L393" s="16">
        <f>IF($A393="","",ROUND($C393,2))</f>
        <v/>
      </c>
      <c r="M393" s="16">
        <f>IF($A393="","",IF($F393&lt;=toleransKurus,1,0))</f>
        <v/>
      </c>
      <c r="N393" s="16">
        <f>IF($A393="","",IF($F393&gt;cbb_esikFark,1,0))</f>
        <v/>
      </c>
      <c r="O393" s="16">
        <f>IF($A393="","",IF($G393="eslesti",$D393,0))</f>
        <v/>
      </c>
      <c r="P393" s="16">
        <f>IF($A393="","",$B393+$M393+$N393)</f>
        <v/>
      </c>
    </row>
    <row r="394">
      <c r="A394" s="16">
        <f>IF('ANAHTAR'!$B394="","",'ANAHTAR'!$B394)</f>
        <v/>
      </c>
      <c r="B394" s="16">
        <f>IF($A394="","",COUNTIF(tblAnahtarB[NormB],$A394))</f>
        <v/>
      </c>
      <c r="C394" s="16">
        <f>IF($A394="","",SUMIF(tblAnahtarB[NormB],$A394,tblVeriB[BeyanTutar]))</f>
        <v/>
      </c>
      <c r="D394" s="16">
        <f>IF($A394="","",SUMIF(tblAnahtarA[Norm],$A394,tblVeriA[Tutar]))</f>
        <v/>
      </c>
      <c r="E394" s="16">
        <f>IF($A394="","",ROUND($D394,2)-ROUND($C394,2))</f>
        <v/>
      </c>
      <c r="F394" s="16">
        <f>IF($A394="","",ABS($E394))</f>
        <v/>
      </c>
      <c r="G394" s="16">
        <f>IF($A394="","",IF($B394=0,"eslesmedi",IF(ROUND($D394,2)=ROUND($C394,2),"eslesti",IF(ABS(ROUND($D394,2)-ROUND($C394,2))&lt;=toleransKurus,"tolerans_icinde","tutar_farki"))))</f>
        <v/>
      </c>
      <c r="H394" s="16">
        <f>IF($A394="","",IF($B394&gt;0,"BIRINCIL",IF(COUNTIF(tblAnahtarB[IkincilB],'ANAHTAR'!$D394)&gt;0,"IKINCIL","YOK")))</f>
        <v/>
      </c>
      <c r="I394" s="16">
        <f>IF($A394="","",'ANAHTAR'!$F394)</f>
        <v/>
      </c>
      <c r="J394" s="16">
        <f>IF(OR($A394="",$D394=0),0,$F394/ABS($D394))</f>
        <v/>
      </c>
      <c r="K394" s="16">
        <f>IF($A394="","",ROUND($D394,2))</f>
        <v/>
      </c>
      <c r="L394" s="16">
        <f>IF($A394="","",ROUND($C394,2))</f>
        <v/>
      </c>
      <c r="M394" s="16">
        <f>IF($A394="","",IF($F394&lt;=toleransKurus,1,0))</f>
        <v/>
      </c>
      <c r="N394" s="16">
        <f>IF($A394="","",IF($F394&gt;cbb_esikFark,1,0))</f>
        <v/>
      </c>
      <c r="O394" s="16">
        <f>IF($A394="","",IF($G394="eslesti",$D394,0))</f>
        <v/>
      </c>
      <c r="P394" s="16">
        <f>IF($A394="","",$B394+$M394+$N394)</f>
        <v/>
      </c>
    </row>
    <row r="395">
      <c r="A395" s="16">
        <f>IF('ANAHTAR'!$B395="","",'ANAHTAR'!$B395)</f>
        <v/>
      </c>
      <c r="B395" s="16">
        <f>IF($A395="","",COUNTIF(tblAnahtarB[NormB],$A395))</f>
        <v/>
      </c>
      <c r="C395" s="16">
        <f>IF($A395="","",SUMIF(tblAnahtarB[NormB],$A395,tblVeriB[BeyanTutar]))</f>
        <v/>
      </c>
      <c r="D395" s="16">
        <f>IF($A395="","",SUMIF(tblAnahtarA[Norm],$A395,tblVeriA[Tutar]))</f>
        <v/>
      </c>
      <c r="E395" s="16">
        <f>IF($A395="","",ROUND($D395,2)-ROUND($C395,2))</f>
        <v/>
      </c>
      <c r="F395" s="16">
        <f>IF($A395="","",ABS($E395))</f>
        <v/>
      </c>
      <c r="G395" s="16">
        <f>IF($A395="","",IF($B395=0,"eslesmedi",IF(ROUND($D395,2)=ROUND($C395,2),"eslesti",IF(ABS(ROUND($D395,2)-ROUND($C395,2))&lt;=toleransKurus,"tolerans_icinde","tutar_farki"))))</f>
        <v/>
      </c>
      <c r="H395" s="16">
        <f>IF($A395="","",IF($B395&gt;0,"BIRINCIL",IF(COUNTIF(tblAnahtarB[IkincilB],'ANAHTAR'!$D395)&gt;0,"IKINCIL","YOK")))</f>
        <v/>
      </c>
      <c r="I395" s="16">
        <f>IF($A395="","",'ANAHTAR'!$F395)</f>
        <v/>
      </c>
      <c r="J395" s="16">
        <f>IF(OR($A395="",$D395=0),0,$F395/ABS($D395))</f>
        <v/>
      </c>
      <c r="K395" s="16">
        <f>IF($A395="","",ROUND($D395,2))</f>
        <v/>
      </c>
      <c r="L395" s="16">
        <f>IF($A395="","",ROUND($C395,2))</f>
        <v/>
      </c>
      <c r="M395" s="16">
        <f>IF($A395="","",IF($F395&lt;=toleransKurus,1,0))</f>
        <v/>
      </c>
      <c r="N395" s="16">
        <f>IF($A395="","",IF($F395&gt;cbb_esikFark,1,0))</f>
        <v/>
      </c>
      <c r="O395" s="16">
        <f>IF($A395="","",IF($G395="eslesti",$D395,0))</f>
        <v/>
      </c>
      <c r="P395" s="16">
        <f>IF($A395="","",$B395+$M395+$N395)</f>
        <v/>
      </c>
    </row>
    <row r="396">
      <c r="A396" s="16">
        <f>IF('ANAHTAR'!$B396="","",'ANAHTAR'!$B396)</f>
        <v/>
      </c>
      <c r="B396" s="16">
        <f>IF($A396="","",COUNTIF(tblAnahtarB[NormB],$A396))</f>
        <v/>
      </c>
      <c r="C396" s="16">
        <f>IF($A396="","",SUMIF(tblAnahtarB[NormB],$A396,tblVeriB[BeyanTutar]))</f>
        <v/>
      </c>
      <c r="D396" s="16">
        <f>IF($A396="","",SUMIF(tblAnahtarA[Norm],$A396,tblVeriA[Tutar]))</f>
        <v/>
      </c>
      <c r="E396" s="16">
        <f>IF($A396="","",ROUND($D396,2)-ROUND($C396,2))</f>
        <v/>
      </c>
      <c r="F396" s="16">
        <f>IF($A396="","",ABS($E396))</f>
        <v/>
      </c>
      <c r="G396" s="16">
        <f>IF($A396="","",IF($B396=0,"eslesmedi",IF(ROUND($D396,2)=ROUND($C396,2),"eslesti",IF(ABS(ROUND($D396,2)-ROUND($C396,2))&lt;=toleransKurus,"tolerans_icinde","tutar_farki"))))</f>
        <v/>
      </c>
      <c r="H396" s="16">
        <f>IF($A396="","",IF($B396&gt;0,"BIRINCIL",IF(COUNTIF(tblAnahtarB[IkincilB],'ANAHTAR'!$D396)&gt;0,"IKINCIL","YOK")))</f>
        <v/>
      </c>
      <c r="I396" s="16">
        <f>IF($A396="","",'ANAHTAR'!$F396)</f>
        <v/>
      </c>
      <c r="J396" s="16">
        <f>IF(OR($A396="",$D396=0),0,$F396/ABS($D396))</f>
        <v/>
      </c>
      <c r="K396" s="16">
        <f>IF($A396="","",ROUND($D396,2))</f>
        <v/>
      </c>
      <c r="L396" s="16">
        <f>IF($A396="","",ROUND($C396,2))</f>
        <v/>
      </c>
      <c r="M396" s="16">
        <f>IF($A396="","",IF($F396&lt;=toleransKurus,1,0))</f>
        <v/>
      </c>
      <c r="N396" s="16">
        <f>IF($A396="","",IF($F396&gt;cbb_esikFark,1,0))</f>
        <v/>
      </c>
      <c r="O396" s="16">
        <f>IF($A396="","",IF($G396="eslesti",$D396,0))</f>
        <v/>
      </c>
      <c r="P396" s="16">
        <f>IF($A396="","",$B396+$M396+$N396)</f>
        <v/>
      </c>
    </row>
    <row r="397">
      <c r="A397" s="16">
        <f>IF('ANAHTAR'!$B397="","",'ANAHTAR'!$B397)</f>
        <v/>
      </c>
      <c r="B397" s="16">
        <f>IF($A397="","",COUNTIF(tblAnahtarB[NormB],$A397))</f>
        <v/>
      </c>
      <c r="C397" s="16">
        <f>IF($A397="","",SUMIF(tblAnahtarB[NormB],$A397,tblVeriB[BeyanTutar]))</f>
        <v/>
      </c>
      <c r="D397" s="16">
        <f>IF($A397="","",SUMIF(tblAnahtarA[Norm],$A397,tblVeriA[Tutar]))</f>
        <v/>
      </c>
      <c r="E397" s="16">
        <f>IF($A397="","",ROUND($D397,2)-ROUND($C397,2))</f>
        <v/>
      </c>
      <c r="F397" s="16">
        <f>IF($A397="","",ABS($E397))</f>
        <v/>
      </c>
      <c r="G397" s="16">
        <f>IF($A397="","",IF($B397=0,"eslesmedi",IF(ROUND($D397,2)=ROUND($C397,2),"eslesti",IF(ABS(ROUND($D397,2)-ROUND($C397,2))&lt;=toleransKurus,"tolerans_icinde","tutar_farki"))))</f>
        <v/>
      </c>
      <c r="H397" s="16">
        <f>IF($A397="","",IF($B397&gt;0,"BIRINCIL",IF(COUNTIF(tblAnahtarB[IkincilB],'ANAHTAR'!$D397)&gt;0,"IKINCIL","YOK")))</f>
        <v/>
      </c>
      <c r="I397" s="16">
        <f>IF($A397="","",'ANAHTAR'!$F397)</f>
        <v/>
      </c>
      <c r="J397" s="16">
        <f>IF(OR($A397="",$D397=0),0,$F397/ABS($D397))</f>
        <v/>
      </c>
      <c r="K397" s="16">
        <f>IF($A397="","",ROUND($D397,2))</f>
        <v/>
      </c>
      <c r="L397" s="16">
        <f>IF($A397="","",ROUND($C397,2))</f>
        <v/>
      </c>
      <c r="M397" s="16">
        <f>IF($A397="","",IF($F397&lt;=toleransKurus,1,0))</f>
        <v/>
      </c>
      <c r="N397" s="16">
        <f>IF($A397="","",IF($F397&gt;cbb_esikFark,1,0))</f>
        <v/>
      </c>
      <c r="O397" s="16">
        <f>IF($A397="","",IF($G397="eslesti",$D397,0))</f>
        <v/>
      </c>
      <c r="P397" s="16">
        <f>IF($A397="","",$B397+$M397+$N397)</f>
        <v/>
      </c>
    </row>
    <row r="398">
      <c r="A398" s="16">
        <f>IF('ANAHTAR'!$B398="","",'ANAHTAR'!$B398)</f>
        <v/>
      </c>
      <c r="B398" s="16">
        <f>IF($A398="","",COUNTIF(tblAnahtarB[NormB],$A398))</f>
        <v/>
      </c>
      <c r="C398" s="16">
        <f>IF($A398="","",SUMIF(tblAnahtarB[NormB],$A398,tblVeriB[BeyanTutar]))</f>
        <v/>
      </c>
      <c r="D398" s="16">
        <f>IF($A398="","",SUMIF(tblAnahtarA[Norm],$A398,tblVeriA[Tutar]))</f>
        <v/>
      </c>
      <c r="E398" s="16">
        <f>IF($A398="","",ROUND($D398,2)-ROUND($C398,2))</f>
        <v/>
      </c>
      <c r="F398" s="16">
        <f>IF($A398="","",ABS($E398))</f>
        <v/>
      </c>
      <c r="G398" s="16">
        <f>IF($A398="","",IF($B398=0,"eslesmedi",IF(ROUND($D398,2)=ROUND($C398,2),"eslesti",IF(ABS(ROUND($D398,2)-ROUND($C398,2))&lt;=toleransKurus,"tolerans_icinde","tutar_farki"))))</f>
        <v/>
      </c>
      <c r="H398" s="16">
        <f>IF($A398="","",IF($B398&gt;0,"BIRINCIL",IF(COUNTIF(tblAnahtarB[IkincilB],'ANAHTAR'!$D398)&gt;0,"IKINCIL","YOK")))</f>
        <v/>
      </c>
      <c r="I398" s="16">
        <f>IF($A398="","",'ANAHTAR'!$F398)</f>
        <v/>
      </c>
      <c r="J398" s="16">
        <f>IF(OR($A398="",$D398=0),0,$F398/ABS($D398))</f>
        <v/>
      </c>
      <c r="K398" s="16">
        <f>IF($A398="","",ROUND($D398,2))</f>
        <v/>
      </c>
      <c r="L398" s="16">
        <f>IF($A398="","",ROUND($C398,2))</f>
        <v/>
      </c>
      <c r="M398" s="16">
        <f>IF($A398="","",IF($F398&lt;=toleransKurus,1,0))</f>
        <v/>
      </c>
      <c r="N398" s="16">
        <f>IF($A398="","",IF($F398&gt;cbb_esikFark,1,0))</f>
        <v/>
      </c>
      <c r="O398" s="16">
        <f>IF($A398="","",IF($G398="eslesti",$D398,0))</f>
        <v/>
      </c>
      <c r="P398" s="16">
        <f>IF($A398="","",$B398+$M398+$N398)</f>
        <v/>
      </c>
    </row>
    <row r="399">
      <c r="A399" s="16">
        <f>IF('ANAHTAR'!$B399="","",'ANAHTAR'!$B399)</f>
        <v/>
      </c>
      <c r="B399" s="16">
        <f>IF($A399="","",COUNTIF(tblAnahtarB[NormB],$A399))</f>
        <v/>
      </c>
      <c r="C399" s="16">
        <f>IF($A399="","",SUMIF(tblAnahtarB[NormB],$A399,tblVeriB[BeyanTutar]))</f>
        <v/>
      </c>
      <c r="D399" s="16">
        <f>IF($A399="","",SUMIF(tblAnahtarA[Norm],$A399,tblVeriA[Tutar]))</f>
        <v/>
      </c>
      <c r="E399" s="16">
        <f>IF($A399="","",ROUND($D399,2)-ROUND($C399,2))</f>
        <v/>
      </c>
      <c r="F399" s="16">
        <f>IF($A399="","",ABS($E399))</f>
        <v/>
      </c>
      <c r="G399" s="16">
        <f>IF($A399="","",IF($B399=0,"eslesmedi",IF(ROUND($D399,2)=ROUND($C399,2),"eslesti",IF(ABS(ROUND($D399,2)-ROUND($C399,2))&lt;=toleransKurus,"tolerans_icinde","tutar_farki"))))</f>
        <v/>
      </c>
      <c r="H399" s="16">
        <f>IF($A399="","",IF($B399&gt;0,"BIRINCIL",IF(COUNTIF(tblAnahtarB[IkincilB],'ANAHTAR'!$D399)&gt;0,"IKINCIL","YOK")))</f>
        <v/>
      </c>
      <c r="I399" s="16">
        <f>IF($A399="","",'ANAHTAR'!$F399)</f>
        <v/>
      </c>
      <c r="J399" s="16">
        <f>IF(OR($A399="",$D399=0),0,$F399/ABS($D399))</f>
        <v/>
      </c>
      <c r="K399" s="16">
        <f>IF($A399="","",ROUND($D399,2))</f>
        <v/>
      </c>
      <c r="L399" s="16">
        <f>IF($A399="","",ROUND($C399,2))</f>
        <v/>
      </c>
      <c r="M399" s="16">
        <f>IF($A399="","",IF($F399&lt;=toleransKurus,1,0))</f>
        <v/>
      </c>
      <c r="N399" s="16">
        <f>IF($A399="","",IF($F399&gt;cbb_esikFark,1,0))</f>
        <v/>
      </c>
      <c r="O399" s="16">
        <f>IF($A399="","",IF($G399="eslesti",$D399,0))</f>
        <v/>
      </c>
      <c r="P399" s="16">
        <f>IF($A399="","",$B399+$M399+$N399)</f>
        <v/>
      </c>
    </row>
    <row r="400">
      <c r="A400" s="16">
        <f>IF('ANAHTAR'!$B400="","",'ANAHTAR'!$B400)</f>
        <v/>
      </c>
      <c r="B400" s="16">
        <f>IF($A400="","",COUNTIF(tblAnahtarB[NormB],$A400))</f>
        <v/>
      </c>
      <c r="C400" s="16">
        <f>IF($A400="","",SUMIF(tblAnahtarB[NormB],$A400,tblVeriB[BeyanTutar]))</f>
        <v/>
      </c>
      <c r="D400" s="16">
        <f>IF($A400="","",SUMIF(tblAnahtarA[Norm],$A400,tblVeriA[Tutar]))</f>
        <v/>
      </c>
      <c r="E400" s="16">
        <f>IF($A400="","",ROUND($D400,2)-ROUND($C400,2))</f>
        <v/>
      </c>
      <c r="F400" s="16">
        <f>IF($A400="","",ABS($E400))</f>
        <v/>
      </c>
      <c r="G400" s="16">
        <f>IF($A400="","",IF($B400=0,"eslesmedi",IF(ROUND($D400,2)=ROUND($C400,2),"eslesti",IF(ABS(ROUND($D400,2)-ROUND($C400,2))&lt;=toleransKurus,"tolerans_icinde","tutar_farki"))))</f>
        <v/>
      </c>
      <c r="H400" s="16">
        <f>IF($A400="","",IF($B400&gt;0,"BIRINCIL",IF(COUNTIF(tblAnahtarB[IkincilB],'ANAHTAR'!$D400)&gt;0,"IKINCIL","YOK")))</f>
        <v/>
      </c>
      <c r="I400" s="16">
        <f>IF($A400="","",'ANAHTAR'!$F400)</f>
        <v/>
      </c>
      <c r="J400" s="16">
        <f>IF(OR($A400="",$D400=0),0,$F400/ABS($D400))</f>
        <v/>
      </c>
      <c r="K400" s="16">
        <f>IF($A400="","",ROUND($D400,2))</f>
        <v/>
      </c>
      <c r="L400" s="16">
        <f>IF($A400="","",ROUND($C400,2))</f>
        <v/>
      </c>
      <c r="M400" s="16">
        <f>IF($A400="","",IF($F400&lt;=toleransKurus,1,0))</f>
        <v/>
      </c>
      <c r="N400" s="16">
        <f>IF($A400="","",IF($F400&gt;cbb_esikFark,1,0))</f>
        <v/>
      </c>
      <c r="O400" s="16">
        <f>IF($A400="","",IF($G400="eslesti",$D400,0))</f>
        <v/>
      </c>
      <c r="P400" s="16">
        <f>IF($A400="","",$B400+$M400+$N400)</f>
        <v/>
      </c>
    </row>
    <row r="401">
      <c r="A401" s="16">
        <f>IF('ANAHTAR'!$B401="","",'ANAHTAR'!$B401)</f>
        <v/>
      </c>
      <c r="B401" s="16">
        <f>IF($A401="","",COUNTIF(tblAnahtarB[NormB],$A401))</f>
        <v/>
      </c>
      <c r="C401" s="16">
        <f>IF($A401="","",SUMIF(tblAnahtarB[NormB],$A401,tblVeriB[BeyanTutar]))</f>
        <v/>
      </c>
      <c r="D401" s="16">
        <f>IF($A401="","",SUMIF(tblAnahtarA[Norm],$A401,tblVeriA[Tutar]))</f>
        <v/>
      </c>
      <c r="E401" s="16">
        <f>IF($A401="","",ROUND($D401,2)-ROUND($C401,2))</f>
        <v/>
      </c>
      <c r="F401" s="16">
        <f>IF($A401="","",ABS($E401))</f>
        <v/>
      </c>
      <c r="G401" s="16">
        <f>IF($A401="","",IF($B401=0,"eslesmedi",IF(ROUND($D401,2)=ROUND($C401,2),"eslesti",IF(ABS(ROUND($D401,2)-ROUND($C401,2))&lt;=toleransKurus,"tolerans_icinde","tutar_farki"))))</f>
        <v/>
      </c>
      <c r="H401" s="16">
        <f>IF($A401="","",IF($B401&gt;0,"BIRINCIL",IF(COUNTIF(tblAnahtarB[IkincilB],'ANAHTAR'!$D401)&gt;0,"IKINCIL","YOK")))</f>
        <v/>
      </c>
      <c r="I401" s="16">
        <f>IF($A401="","",'ANAHTAR'!$F401)</f>
        <v/>
      </c>
      <c r="J401" s="16">
        <f>IF(OR($A401="",$D401=0),0,$F401/ABS($D401))</f>
        <v/>
      </c>
      <c r="K401" s="16">
        <f>IF($A401="","",ROUND($D401,2))</f>
        <v/>
      </c>
      <c r="L401" s="16">
        <f>IF($A401="","",ROUND($C401,2))</f>
        <v/>
      </c>
      <c r="M401" s="16">
        <f>IF($A401="","",IF($F401&lt;=toleransKurus,1,0))</f>
        <v/>
      </c>
      <c r="N401" s="16">
        <f>IF($A401="","",IF($F401&gt;cbb_esikFark,1,0))</f>
        <v/>
      </c>
      <c r="O401" s="16">
        <f>IF($A401="","",IF($G401="eslesti",$D401,0))</f>
        <v/>
      </c>
      <c r="P401" s="16">
        <f>IF($A401="","",$B401+$M401+$N401)</f>
        <v/>
      </c>
    </row>
    <row r="402">
      <c r="A402" s="16">
        <f>IF('ANAHTAR'!$B402="","",'ANAHTAR'!$B402)</f>
        <v/>
      </c>
      <c r="B402" s="16">
        <f>IF($A402="","",COUNTIF(tblAnahtarB[NormB],$A402))</f>
        <v/>
      </c>
      <c r="C402" s="16">
        <f>IF($A402="","",SUMIF(tblAnahtarB[NormB],$A402,tblVeriB[BeyanTutar]))</f>
        <v/>
      </c>
      <c r="D402" s="16">
        <f>IF($A402="","",SUMIF(tblAnahtarA[Norm],$A402,tblVeriA[Tutar]))</f>
        <v/>
      </c>
      <c r="E402" s="16">
        <f>IF($A402="","",ROUND($D402,2)-ROUND($C402,2))</f>
        <v/>
      </c>
      <c r="F402" s="16">
        <f>IF($A402="","",ABS($E402))</f>
        <v/>
      </c>
      <c r="G402" s="16">
        <f>IF($A402="","",IF($B402=0,"eslesmedi",IF(ROUND($D402,2)=ROUND($C402,2),"eslesti",IF(ABS(ROUND($D402,2)-ROUND($C402,2))&lt;=toleransKurus,"tolerans_icinde","tutar_farki"))))</f>
        <v/>
      </c>
      <c r="H402" s="16">
        <f>IF($A402="","",IF($B402&gt;0,"BIRINCIL",IF(COUNTIF(tblAnahtarB[IkincilB],'ANAHTAR'!$D402)&gt;0,"IKINCIL","YOK")))</f>
        <v/>
      </c>
      <c r="I402" s="16">
        <f>IF($A402="","",'ANAHTAR'!$F402)</f>
        <v/>
      </c>
      <c r="J402" s="16">
        <f>IF(OR($A402="",$D402=0),0,$F402/ABS($D402))</f>
        <v/>
      </c>
      <c r="K402" s="16">
        <f>IF($A402="","",ROUND($D402,2))</f>
        <v/>
      </c>
      <c r="L402" s="16">
        <f>IF($A402="","",ROUND($C402,2))</f>
        <v/>
      </c>
      <c r="M402" s="16">
        <f>IF($A402="","",IF($F402&lt;=toleransKurus,1,0))</f>
        <v/>
      </c>
      <c r="N402" s="16">
        <f>IF($A402="","",IF($F402&gt;cbb_esikFark,1,0))</f>
        <v/>
      </c>
      <c r="O402" s="16">
        <f>IF($A402="","",IF($G402="eslesti",$D402,0))</f>
        <v/>
      </c>
      <c r="P402" s="16">
        <f>IF($A402="","",$B402+$M402+$N402)</f>
        <v/>
      </c>
    </row>
    <row r="403">
      <c r="A403" s="16">
        <f>IF('ANAHTAR'!$B403="","",'ANAHTAR'!$B403)</f>
        <v/>
      </c>
      <c r="B403" s="16">
        <f>IF($A403="","",COUNTIF(tblAnahtarB[NormB],$A403))</f>
        <v/>
      </c>
      <c r="C403" s="16">
        <f>IF($A403="","",SUMIF(tblAnahtarB[NormB],$A403,tblVeriB[BeyanTutar]))</f>
        <v/>
      </c>
      <c r="D403" s="16">
        <f>IF($A403="","",SUMIF(tblAnahtarA[Norm],$A403,tblVeriA[Tutar]))</f>
        <v/>
      </c>
      <c r="E403" s="16">
        <f>IF($A403="","",ROUND($D403,2)-ROUND($C403,2))</f>
        <v/>
      </c>
      <c r="F403" s="16">
        <f>IF($A403="","",ABS($E403))</f>
        <v/>
      </c>
      <c r="G403" s="16">
        <f>IF($A403="","",IF($B403=0,"eslesmedi",IF(ROUND($D403,2)=ROUND($C403,2),"eslesti",IF(ABS(ROUND($D403,2)-ROUND($C403,2))&lt;=toleransKurus,"tolerans_icinde","tutar_farki"))))</f>
        <v/>
      </c>
      <c r="H403" s="16">
        <f>IF($A403="","",IF($B403&gt;0,"BIRINCIL",IF(COUNTIF(tblAnahtarB[IkincilB],'ANAHTAR'!$D403)&gt;0,"IKINCIL","YOK")))</f>
        <v/>
      </c>
      <c r="I403" s="16">
        <f>IF($A403="","",'ANAHTAR'!$F403)</f>
        <v/>
      </c>
      <c r="J403" s="16">
        <f>IF(OR($A403="",$D403=0),0,$F403/ABS($D403))</f>
        <v/>
      </c>
      <c r="K403" s="16">
        <f>IF($A403="","",ROUND($D403,2))</f>
        <v/>
      </c>
      <c r="L403" s="16">
        <f>IF($A403="","",ROUND($C403,2))</f>
        <v/>
      </c>
      <c r="M403" s="16">
        <f>IF($A403="","",IF($F403&lt;=toleransKurus,1,0))</f>
        <v/>
      </c>
      <c r="N403" s="16">
        <f>IF($A403="","",IF($F403&gt;cbb_esikFark,1,0))</f>
        <v/>
      </c>
      <c r="O403" s="16">
        <f>IF($A403="","",IF($G403="eslesti",$D403,0))</f>
        <v/>
      </c>
      <c r="P403" s="16">
        <f>IF($A403="","",$B403+$M403+$N403)</f>
        <v/>
      </c>
    </row>
    <row r="404">
      <c r="A404" s="16">
        <f>IF('ANAHTAR'!$B404="","",'ANAHTAR'!$B404)</f>
        <v/>
      </c>
      <c r="B404" s="16">
        <f>IF($A404="","",COUNTIF(tblAnahtarB[NormB],$A404))</f>
        <v/>
      </c>
      <c r="C404" s="16">
        <f>IF($A404="","",SUMIF(tblAnahtarB[NormB],$A404,tblVeriB[BeyanTutar]))</f>
        <v/>
      </c>
      <c r="D404" s="16">
        <f>IF($A404="","",SUMIF(tblAnahtarA[Norm],$A404,tblVeriA[Tutar]))</f>
        <v/>
      </c>
      <c r="E404" s="16">
        <f>IF($A404="","",ROUND($D404,2)-ROUND($C404,2))</f>
        <v/>
      </c>
      <c r="F404" s="16">
        <f>IF($A404="","",ABS($E404))</f>
        <v/>
      </c>
      <c r="G404" s="16">
        <f>IF($A404="","",IF($B404=0,"eslesmedi",IF(ROUND($D404,2)=ROUND($C404,2),"eslesti",IF(ABS(ROUND($D404,2)-ROUND($C404,2))&lt;=toleransKurus,"tolerans_icinde","tutar_farki"))))</f>
        <v/>
      </c>
      <c r="H404" s="16">
        <f>IF($A404="","",IF($B404&gt;0,"BIRINCIL",IF(COUNTIF(tblAnahtarB[IkincilB],'ANAHTAR'!$D404)&gt;0,"IKINCIL","YOK")))</f>
        <v/>
      </c>
      <c r="I404" s="16">
        <f>IF($A404="","",'ANAHTAR'!$F404)</f>
        <v/>
      </c>
      <c r="J404" s="16">
        <f>IF(OR($A404="",$D404=0),0,$F404/ABS($D404))</f>
        <v/>
      </c>
      <c r="K404" s="16">
        <f>IF($A404="","",ROUND($D404,2))</f>
        <v/>
      </c>
      <c r="L404" s="16">
        <f>IF($A404="","",ROUND($C404,2))</f>
        <v/>
      </c>
      <c r="M404" s="16">
        <f>IF($A404="","",IF($F404&lt;=toleransKurus,1,0))</f>
        <v/>
      </c>
      <c r="N404" s="16">
        <f>IF($A404="","",IF($F404&gt;cbb_esikFark,1,0))</f>
        <v/>
      </c>
      <c r="O404" s="16">
        <f>IF($A404="","",IF($G404="eslesti",$D404,0))</f>
        <v/>
      </c>
      <c r="P404" s="16">
        <f>IF($A404="","",$B404+$M404+$N404)</f>
        <v/>
      </c>
    </row>
    <row r="405">
      <c r="A405" s="16">
        <f>IF('ANAHTAR'!$B405="","",'ANAHTAR'!$B405)</f>
        <v/>
      </c>
      <c r="B405" s="16">
        <f>IF($A405="","",COUNTIF(tblAnahtarB[NormB],$A405))</f>
        <v/>
      </c>
      <c r="C405" s="16">
        <f>IF($A405="","",SUMIF(tblAnahtarB[NormB],$A405,tblVeriB[BeyanTutar]))</f>
        <v/>
      </c>
      <c r="D405" s="16">
        <f>IF($A405="","",SUMIF(tblAnahtarA[Norm],$A405,tblVeriA[Tutar]))</f>
        <v/>
      </c>
      <c r="E405" s="16">
        <f>IF($A405="","",ROUND($D405,2)-ROUND($C405,2))</f>
        <v/>
      </c>
      <c r="F405" s="16">
        <f>IF($A405="","",ABS($E405))</f>
        <v/>
      </c>
      <c r="G405" s="16">
        <f>IF($A405="","",IF($B405=0,"eslesmedi",IF(ROUND($D405,2)=ROUND($C405,2),"eslesti",IF(ABS(ROUND($D405,2)-ROUND($C405,2))&lt;=toleransKurus,"tolerans_icinde","tutar_farki"))))</f>
        <v/>
      </c>
      <c r="H405" s="16">
        <f>IF($A405="","",IF($B405&gt;0,"BIRINCIL",IF(COUNTIF(tblAnahtarB[IkincilB],'ANAHTAR'!$D405)&gt;0,"IKINCIL","YOK")))</f>
        <v/>
      </c>
      <c r="I405" s="16">
        <f>IF($A405="","",'ANAHTAR'!$F405)</f>
        <v/>
      </c>
      <c r="J405" s="16">
        <f>IF(OR($A405="",$D405=0),0,$F405/ABS($D405))</f>
        <v/>
      </c>
      <c r="K405" s="16">
        <f>IF($A405="","",ROUND($D405,2))</f>
        <v/>
      </c>
      <c r="L405" s="16">
        <f>IF($A405="","",ROUND($C405,2))</f>
        <v/>
      </c>
      <c r="M405" s="16">
        <f>IF($A405="","",IF($F405&lt;=toleransKurus,1,0))</f>
        <v/>
      </c>
      <c r="N405" s="16">
        <f>IF($A405="","",IF($F405&gt;cbb_esikFark,1,0))</f>
        <v/>
      </c>
      <c r="O405" s="16">
        <f>IF($A405="","",IF($G405="eslesti",$D405,0))</f>
        <v/>
      </c>
      <c r="P405" s="16">
        <f>IF($A405="","",$B405+$M405+$N405)</f>
        <v/>
      </c>
    </row>
    <row r="406">
      <c r="A406" s="16">
        <f>IF('ANAHTAR'!$B406="","",'ANAHTAR'!$B406)</f>
        <v/>
      </c>
      <c r="B406" s="16">
        <f>IF($A406="","",COUNTIF(tblAnahtarB[NormB],$A406))</f>
        <v/>
      </c>
      <c r="C406" s="16">
        <f>IF($A406="","",SUMIF(tblAnahtarB[NormB],$A406,tblVeriB[BeyanTutar]))</f>
        <v/>
      </c>
      <c r="D406" s="16">
        <f>IF($A406="","",SUMIF(tblAnahtarA[Norm],$A406,tblVeriA[Tutar]))</f>
        <v/>
      </c>
      <c r="E406" s="16">
        <f>IF($A406="","",ROUND($D406,2)-ROUND($C406,2))</f>
        <v/>
      </c>
      <c r="F406" s="16">
        <f>IF($A406="","",ABS($E406))</f>
        <v/>
      </c>
      <c r="G406" s="16">
        <f>IF($A406="","",IF($B406=0,"eslesmedi",IF(ROUND($D406,2)=ROUND($C406,2),"eslesti",IF(ABS(ROUND($D406,2)-ROUND($C406,2))&lt;=toleransKurus,"tolerans_icinde","tutar_farki"))))</f>
        <v/>
      </c>
      <c r="H406" s="16">
        <f>IF($A406="","",IF($B406&gt;0,"BIRINCIL",IF(COUNTIF(tblAnahtarB[IkincilB],'ANAHTAR'!$D406)&gt;0,"IKINCIL","YOK")))</f>
        <v/>
      </c>
      <c r="I406" s="16">
        <f>IF($A406="","",'ANAHTAR'!$F406)</f>
        <v/>
      </c>
      <c r="J406" s="16">
        <f>IF(OR($A406="",$D406=0),0,$F406/ABS($D406))</f>
        <v/>
      </c>
      <c r="K406" s="16">
        <f>IF($A406="","",ROUND($D406,2))</f>
        <v/>
      </c>
      <c r="L406" s="16">
        <f>IF($A406="","",ROUND($C406,2))</f>
        <v/>
      </c>
      <c r="M406" s="16">
        <f>IF($A406="","",IF($F406&lt;=toleransKurus,1,0))</f>
        <v/>
      </c>
      <c r="N406" s="16">
        <f>IF($A406="","",IF($F406&gt;cbb_esikFark,1,0))</f>
        <v/>
      </c>
      <c r="O406" s="16">
        <f>IF($A406="","",IF($G406="eslesti",$D406,0))</f>
        <v/>
      </c>
      <c r="P406" s="16">
        <f>IF($A406="","",$B406+$M406+$N406)</f>
        <v/>
      </c>
    </row>
    <row r="407">
      <c r="A407" s="16">
        <f>IF('ANAHTAR'!$B407="","",'ANAHTAR'!$B407)</f>
        <v/>
      </c>
      <c r="B407" s="16">
        <f>IF($A407="","",COUNTIF(tblAnahtarB[NormB],$A407))</f>
        <v/>
      </c>
      <c r="C407" s="16">
        <f>IF($A407="","",SUMIF(tblAnahtarB[NormB],$A407,tblVeriB[BeyanTutar]))</f>
        <v/>
      </c>
      <c r="D407" s="16">
        <f>IF($A407="","",SUMIF(tblAnahtarA[Norm],$A407,tblVeriA[Tutar]))</f>
        <v/>
      </c>
      <c r="E407" s="16">
        <f>IF($A407="","",ROUND($D407,2)-ROUND($C407,2))</f>
        <v/>
      </c>
      <c r="F407" s="16">
        <f>IF($A407="","",ABS($E407))</f>
        <v/>
      </c>
      <c r="G407" s="16">
        <f>IF($A407="","",IF($B407=0,"eslesmedi",IF(ROUND($D407,2)=ROUND($C407,2),"eslesti",IF(ABS(ROUND($D407,2)-ROUND($C407,2))&lt;=toleransKurus,"tolerans_icinde","tutar_farki"))))</f>
        <v/>
      </c>
      <c r="H407" s="16">
        <f>IF($A407="","",IF($B407&gt;0,"BIRINCIL",IF(COUNTIF(tblAnahtarB[IkincilB],'ANAHTAR'!$D407)&gt;0,"IKINCIL","YOK")))</f>
        <v/>
      </c>
      <c r="I407" s="16">
        <f>IF($A407="","",'ANAHTAR'!$F407)</f>
        <v/>
      </c>
      <c r="J407" s="16">
        <f>IF(OR($A407="",$D407=0),0,$F407/ABS($D407))</f>
        <v/>
      </c>
      <c r="K407" s="16">
        <f>IF($A407="","",ROUND($D407,2))</f>
        <v/>
      </c>
      <c r="L407" s="16">
        <f>IF($A407="","",ROUND($C407,2))</f>
        <v/>
      </c>
      <c r="M407" s="16">
        <f>IF($A407="","",IF($F407&lt;=toleransKurus,1,0))</f>
        <v/>
      </c>
      <c r="N407" s="16">
        <f>IF($A407="","",IF($F407&gt;cbb_esikFark,1,0))</f>
        <v/>
      </c>
      <c r="O407" s="16">
        <f>IF($A407="","",IF($G407="eslesti",$D407,0))</f>
        <v/>
      </c>
      <c r="P407" s="16">
        <f>IF($A407="","",$B407+$M407+$N407)</f>
        <v/>
      </c>
    </row>
    <row r="408">
      <c r="A408" s="16">
        <f>IF('ANAHTAR'!$B408="","",'ANAHTAR'!$B408)</f>
        <v/>
      </c>
      <c r="B408" s="16">
        <f>IF($A408="","",COUNTIF(tblAnahtarB[NormB],$A408))</f>
        <v/>
      </c>
      <c r="C408" s="16">
        <f>IF($A408="","",SUMIF(tblAnahtarB[NormB],$A408,tblVeriB[BeyanTutar]))</f>
        <v/>
      </c>
      <c r="D408" s="16">
        <f>IF($A408="","",SUMIF(tblAnahtarA[Norm],$A408,tblVeriA[Tutar]))</f>
        <v/>
      </c>
      <c r="E408" s="16">
        <f>IF($A408="","",ROUND($D408,2)-ROUND($C408,2))</f>
        <v/>
      </c>
      <c r="F408" s="16">
        <f>IF($A408="","",ABS($E408))</f>
        <v/>
      </c>
      <c r="G408" s="16">
        <f>IF($A408="","",IF($B408=0,"eslesmedi",IF(ROUND($D408,2)=ROUND($C408,2),"eslesti",IF(ABS(ROUND($D408,2)-ROUND($C408,2))&lt;=toleransKurus,"tolerans_icinde","tutar_farki"))))</f>
        <v/>
      </c>
      <c r="H408" s="16">
        <f>IF($A408="","",IF($B408&gt;0,"BIRINCIL",IF(COUNTIF(tblAnahtarB[IkincilB],'ANAHTAR'!$D408)&gt;0,"IKINCIL","YOK")))</f>
        <v/>
      </c>
      <c r="I408" s="16">
        <f>IF($A408="","",'ANAHTAR'!$F408)</f>
        <v/>
      </c>
      <c r="J408" s="16">
        <f>IF(OR($A408="",$D408=0),0,$F408/ABS($D408))</f>
        <v/>
      </c>
      <c r="K408" s="16">
        <f>IF($A408="","",ROUND($D408,2))</f>
        <v/>
      </c>
      <c r="L408" s="16">
        <f>IF($A408="","",ROUND($C408,2))</f>
        <v/>
      </c>
      <c r="M408" s="16">
        <f>IF($A408="","",IF($F408&lt;=toleransKurus,1,0))</f>
        <v/>
      </c>
      <c r="N408" s="16">
        <f>IF($A408="","",IF($F408&gt;cbb_esikFark,1,0))</f>
        <v/>
      </c>
      <c r="O408" s="16">
        <f>IF($A408="","",IF($G408="eslesti",$D408,0))</f>
        <v/>
      </c>
      <c r="P408" s="16">
        <f>IF($A408="","",$B408+$M408+$N408)</f>
        <v/>
      </c>
    </row>
    <row r="409">
      <c r="A409" s="16">
        <f>IF('ANAHTAR'!$B409="","",'ANAHTAR'!$B409)</f>
        <v/>
      </c>
      <c r="B409" s="16">
        <f>IF($A409="","",COUNTIF(tblAnahtarB[NormB],$A409))</f>
        <v/>
      </c>
      <c r="C409" s="16">
        <f>IF($A409="","",SUMIF(tblAnahtarB[NormB],$A409,tblVeriB[BeyanTutar]))</f>
        <v/>
      </c>
      <c r="D409" s="16">
        <f>IF($A409="","",SUMIF(tblAnahtarA[Norm],$A409,tblVeriA[Tutar]))</f>
        <v/>
      </c>
      <c r="E409" s="16">
        <f>IF($A409="","",ROUND($D409,2)-ROUND($C409,2))</f>
        <v/>
      </c>
      <c r="F409" s="16">
        <f>IF($A409="","",ABS($E409))</f>
        <v/>
      </c>
      <c r="G409" s="16">
        <f>IF($A409="","",IF($B409=0,"eslesmedi",IF(ROUND($D409,2)=ROUND($C409,2),"eslesti",IF(ABS(ROUND($D409,2)-ROUND($C409,2))&lt;=toleransKurus,"tolerans_icinde","tutar_farki"))))</f>
        <v/>
      </c>
      <c r="H409" s="16">
        <f>IF($A409="","",IF($B409&gt;0,"BIRINCIL",IF(COUNTIF(tblAnahtarB[IkincilB],'ANAHTAR'!$D409)&gt;0,"IKINCIL","YOK")))</f>
        <v/>
      </c>
      <c r="I409" s="16">
        <f>IF($A409="","",'ANAHTAR'!$F409)</f>
        <v/>
      </c>
      <c r="J409" s="16">
        <f>IF(OR($A409="",$D409=0),0,$F409/ABS($D409))</f>
        <v/>
      </c>
      <c r="K409" s="16">
        <f>IF($A409="","",ROUND($D409,2))</f>
        <v/>
      </c>
      <c r="L409" s="16">
        <f>IF($A409="","",ROUND($C409,2))</f>
        <v/>
      </c>
      <c r="M409" s="16">
        <f>IF($A409="","",IF($F409&lt;=toleransKurus,1,0))</f>
        <v/>
      </c>
      <c r="N409" s="16">
        <f>IF($A409="","",IF($F409&gt;cbb_esikFark,1,0))</f>
        <v/>
      </c>
      <c r="O409" s="16">
        <f>IF($A409="","",IF($G409="eslesti",$D409,0))</f>
        <v/>
      </c>
      <c r="P409" s="16">
        <f>IF($A409="","",$B409+$M409+$N409)</f>
        <v/>
      </c>
    </row>
    <row r="410">
      <c r="A410" s="16">
        <f>IF('ANAHTAR'!$B410="","",'ANAHTAR'!$B410)</f>
        <v/>
      </c>
      <c r="B410" s="16">
        <f>IF($A410="","",COUNTIF(tblAnahtarB[NormB],$A410))</f>
        <v/>
      </c>
      <c r="C410" s="16">
        <f>IF($A410="","",SUMIF(tblAnahtarB[NormB],$A410,tblVeriB[BeyanTutar]))</f>
        <v/>
      </c>
      <c r="D410" s="16">
        <f>IF($A410="","",SUMIF(tblAnahtarA[Norm],$A410,tblVeriA[Tutar]))</f>
        <v/>
      </c>
      <c r="E410" s="16">
        <f>IF($A410="","",ROUND($D410,2)-ROUND($C410,2))</f>
        <v/>
      </c>
      <c r="F410" s="16">
        <f>IF($A410="","",ABS($E410))</f>
        <v/>
      </c>
      <c r="G410" s="16">
        <f>IF($A410="","",IF($B410=0,"eslesmedi",IF(ROUND($D410,2)=ROUND($C410,2),"eslesti",IF(ABS(ROUND($D410,2)-ROUND($C410,2))&lt;=toleransKurus,"tolerans_icinde","tutar_farki"))))</f>
        <v/>
      </c>
      <c r="H410" s="16">
        <f>IF($A410="","",IF($B410&gt;0,"BIRINCIL",IF(COUNTIF(tblAnahtarB[IkincilB],'ANAHTAR'!$D410)&gt;0,"IKINCIL","YOK")))</f>
        <v/>
      </c>
      <c r="I410" s="16">
        <f>IF($A410="","",'ANAHTAR'!$F410)</f>
        <v/>
      </c>
      <c r="J410" s="16">
        <f>IF(OR($A410="",$D410=0),0,$F410/ABS($D410))</f>
        <v/>
      </c>
      <c r="K410" s="16">
        <f>IF($A410="","",ROUND($D410,2))</f>
        <v/>
      </c>
      <c r="L410" s="16">
        <f>IF($A410="","",ROUND($C410,2))</f>
        <v/>
      </c>
      <c r="M410" s="16">
        <f>IF($A410="","",IF($F410&lt;=toleransKurus,1,0))</f>
        <v/>
      </c>
      <c r="N410" s="16">
        <f>IF($A410="","",IF($F410&gt;cbb_esikFark,1,0))</f>
        <v/>
      </c>
      <c r="O410" s="16">
        <f>IF($A410="","",IF($G410="eslesti",$D410,0))</f>
        <v/>
      </c>
      <c r="P410" s="16">
        <f>IF($A410="","",$B410+$M410+$N410)</f>
        <v/>
      </c>
    </row>
    <row r="411">
      <c r="A411" s="16">
        <f>IF('ANAHTAR'!$B411="","",'ANAHTAR'!$B411)</f>
        <v/>
      </c>
      <c r="B411" s="16">
        <f>IF($A411="","",COUNTIF(tblAnahtarB[NormB],$A411))</f>
        <v/>
      </c>
      <c r="C411" s="16">
        <f>IF($A411="","",SUMIF(tblAnahtarB[NormB],$A411,tblVeriB[BeyanTutar]))</f>
        <v/>
      </c>
      <c r="D411" s="16">
        <f>IF($A411="","",SUMIF(tblAnahtarA[Norm],$A411,tblVeriA[Tutar]))</f>
        <v/>
      </c>
      <c r="E411" s="16">
        <f>IF($A411="","",ROUND($D411,2)-ROUND($C411,2))</f>
        <v/>
      </c>
      <c r="F411" s="16">
        <f>IF($A411="","",ABS($E411))</f>
        <v/>
      </c>
      <c r="G411" s="16">
        <f>IF($A411="","",IF($B411=0,"eslesmedi",IF(ROUND($D411,2)=ROUND($C411,2),"eslesti",IF(ABS(ROUND($D411,2)-ROUND($C411,2))&lt;=toleransKurus,"tolerans_icinde","tutar_farki"))))</f>
        <v/>
      </c>
      <c r="H411" s="16">
        <f>IF($A411="","",IF($B411&gt;0,"BIRINCIL",IF(COUNTIF(tblAnahtarB[IkincilB],'ANAHTAR'!$D411)&gt;0,"IKINCIL","YOK")))</f>
        <v/>
      </c>
      <c r="I411" s="16">
        <f>IF($A411="","",'ANAHTAR'!$F411)</f>
        <v/>
      </c>
      <c r="J411" s="16">
        <f>IF(OR($A411="",$D411=0),0,$F411/ABS($D411))</f>
        <v/>
      </c>
      <c r="K411" s="16">
        <f>IF($A411="","",ROUND($D411,2))</f>
        <v/>
      </c>
      <c r="L411" s="16">
        <f>IF($A411="","",ROUND($C411,2))</f>
        <v/>
      </c>
      <c r="M411" s="16">
        <f>IF($A411="","",IF($F411&lt;=toleransKurus,1,0))</f>
        <v/>
      </c>
      <c r="N411" s="16">
        <f>IF($A411="","",IF($F411&gt;cbb_esikFark,1,0))</f>
        <v/>
      </c>
      <c r="O411" s="16">
        <f>IF($A411="","",IF($G411="eslesti",$D411,0))</f>
        <v/>
      </c>
      <c r="P411" s="16">
        <f>IF($A411="","",$B411+$M411+$N411)</f>
        <v/>
      </c>
    </row>
    <row r="412">
      <c r="A412" s="16">
        <f>IF('ANAHTAR'!$B412="","",'ANAHTAR'!$B412)</f>
        <v/>
      </c>
      <c r="B412" s="16">
        <f>IF($A412="","",COUNTIF(tblAnahtarB[NormB],$A412))</f>
        <v/>
      </c>
      <c r="C412" s="16">
        <f>IF($A412="","",SUMIF(tblAnahtarB[NormB],$A412,tblVeriB[BeyanTutar]))</f>
        <v/>
      </c>
      <c r="D412" s="16">
        <f>IF($A412="","",SUMIF(tblAnahtarA[Norm],$A412,tblVeriA[Tutar]))</f>
        <v/>
      </c>
      <c r="E412" s="16">
        <f>IF($A412="","",ROUND($D412,2)-ROUND($C412,2))</f>
        <v/>
      </c>
      <c r="F412" s="16">
        <f>IF($A412="","",ABS($E412))</f>
        <v/>
      </c>
      <c r="G412" s="16">
        <f>IF($A412="","",IF($B412=0,"eslesmedi",IF(ROUND($D412,2)=ROUND($C412,2),"eslesti",IF(ABS(ROUND($D412,2)-ROUND($C412,2))&lt;=toleransKurus,"tolerans_icinde","tutar_farki"))))</f>
        <v/>
      </c>
      <c r="H412" s="16">
        <f>IF($A412="","",IF($B412&gt;0,"BIRINCIL",IF(COUNTIF(tblAnahtarB[IkincilB],'ANAHTAR'!$D412)&gt;0,"IKINCIL","YOK")))</f>
        <v/>
      </c>
      <c r="I412" s="16">
        <f>IF($A412="","",'ANAHTAR'!$F412)</f>
        <v/>
      </c>
      <c r="J412" s="16">
        <f>IF(OR($A412="",$D412=0),0,$F412/ABS($D412))</f>
        <v/>
      </c>
      <c r="K412" s="16">
        <f>IF($A412="","",ROUND($D412,2))</f>
        <v/>
      </c>
      <c r="L412" s="16">
        <f>IF($A412="","",ROUND($C412,2))</f>
        <v/>
      </c>
      <c r="M412" s="16">
        <f>IF($A412="","",IF($F412&lt;=toleransKurus,1,0))</f>
        <v/>
      </c>
      <c r="N412" s="16">
        <f>IF($A412="","",IF($F412&gt;cbb_esikFark,1,0))</f>
        <v/>
      </c>
      <c r="O412" s="16">
        <f>IF($A412="","",IF($G412="eslesti",$D412,0))</f>
        <v/>
      </c>
      <c r="P412" s="16">
        <f>IF($A412="","",$B412+$M412+$N412)</f>
        <v/>
      </c>
    </row>
    <row r="413">
      <c r="A413" s="16">
        <f>IF('ANAHTAR'!$B413="","",'ANAHTAR'!$B413)</f>
        <v/>
      </c>
      <c r="B413" s="16">
        <f>IF($A413="","",COUNTIF(tblAnahtarB[NormB],$A413))</f>
        <v/>
      </c>
      <c r="C413" s="16">
        <f>IF($A413="","",SUMIF(tblAnahtarB[NormB],$A413,tblVeriB[BeyanTutar]))</f>
        <v/>
      </c>
      <c r="D413" s="16">
        <f>IF($A413="","",SUMIF(tblAnahtarA[Norm],$A413,tblVeriA[Tutar]))</f>
        <v/>
      </c>
      <c r="E413" s="16">
        <f>IF($A413="","",ROUND($D413,2)-ROUND($C413,2))</f>
        <v/>
      </c>
      <c r="F413" s="16">
        <f>IF($A413="","",ABS($E413))</f>
        <v/>
      </c>
      <c r="G413" s="16">
        <f>IF($A413="","",IF($B413=0,"eslesmedi",IF(ROUND($D413,2)=ROUND($C413,2),"eslesti",IF(ABS(ROUND($D413,2)-ROUND($C413,2))&lt;=toleransKurus,"tolerans_icinde","tutar_farki"))))</f>
        <v/>
      </c>
      <c r="H413" s="16">
        <f>IF($A413="","",IF($B413&gt;0,"BIRINCIL",IF(COUNTIF(tblAnahtarB[IkincilB],'ANAHTAR'!$D413)&gt;0,"IKINCIL","YOK")))</f>
        <v/>
      </c>
      <c r="I413" s="16">
        <f>IF($A413="","",'ANAHTAR'!$F413)</f>
        <v/>
      </c>
      <c r="J413" s="16">
        <f>IF(OR($A413="",$D413=0),0,$F413/ABS($D413))</f>
        <v/>
      </c>
      <c r="K413" s="16">
        <f>IF($A413="","",ROUND($D413,2))</f>
        <v/>
      </c>
      <c r="L413" s="16">
        <f>IF($A413="","",ROUND($C413,2))</f>
        <v/>
      </c>
      <c r="M413" s="16">
        <f>IF($A413="","",IF($F413&lt;=toleransKurus,1,0))</f>
        <v/>
      </c>
      <c r="N413" s="16">
        <f>IF($A413="","",IF($F413&gt;cbb_esikFark,1,0))</f>
        <v/>
      </c>
      <c r="O413" s="16">
        <f>IF($A413="","",IF($G413="eslesti",$D413,0))</f>
        <v/>
      </c>
      <c r="P413" s="16">
        <f>IF($A413="","",$B413+$M413+$N413)</f>
        <v/>
      </c>
    </row>
    <row r="414">
      <c r="A414" s="16">
        <f>IF('ANAHTAR'!$B414="","",'ANAHTAR'!$B414)</f>
        <v/>
      </c>
      <c r="B414" s="16">
        <f>IF($A414="","",COUNTIF(tblAnahtarB[NormB],$A414))</f>
        <v/>
      </c>
      <c r="C414" s="16">
        <f>IF($A414="","",SUMIF(tblAnahtarB[NormB],$A414,tblVeriB[BeyanTutar]))</f>
        <v/>
      </c>
      <c r="D414" s="16">
        <f>IF($A414="","",SUMIF(tblAnahtarA[Norm],$A414,tblVeriA[Tutar]))</f>
        <v/>
      </c>
      <c r="E414" s="16">
        <f>IF($A414="","",ROUND($D414,2)-ROUND($C414,2))</f>
        <v/>
      </c>
      <c r="F414" s="16">
        <f>IF($A414="","",ABS($E414))</f>
        <v/>
      </c>
      <c r="G414" s="16">
        <f>IF($A414="","",IF($B414=0,"eslesmedi",IF(ROUND($D414,2)=ROUND($C414,2),"eslesti",IF(ABS(ROUND($D414,2)-ROUND($C414,2))&lt;=toleransKurus,"tolerans_icinde","tutar_farki"))))</f>
        <v/>
      </c>
      <c r="H414" s="16">
        <f>IF($A414="","",IF($B414&gt;0,"BIRINCIL",IF(COUNTIF(tblAnahtarB[IkincilB],'ANAHTAR'!$D414)&gt;0,"IKINCIL","YOK")))</f>
        <v/>
      </c>
      <c r="I414" s="16">
        <f>IF($A414="","",'ANAHTAR'!$F414)</f>
        <v/>
      </c>
      <c r="J414" s="16">
        <f>IF(OR($A414="",$D414=0),0,$F414/ABS($D414))</f>
        <v/>
      </c>
      <c r="K414" s="16">
        <f>IF($A414="","",ROUND($D414,2))</f>
        <v/>
      </c>
      <c r="L414" s="16">
        <f>IF($A414="","",ROUND($C414,2))</f>
        <v/>
      </c>
      <c r="M414" s="16">
        <f>IF($A414="","",IF($F414&lt;=toleransKurus,1,0))</f>
        <v/>
      </c>
      <c r="N414" s="16">
        <f>IF($A414="","",IF($F414&gt;cbb_esikFark,1,0))</f>
        <v/>
      </c>
      <c r="O414" s="16">
        <f>IF($A414="","",IF($G414="eslesti",$D414,0))</f>
        <v/>
      </c>
      <c r="P414" s="16">
        <f>IF($A414="","",$B414+$M414+$N414)</f>
        <v/>
      </c>
    </row>
    <row r="415">
      <c r="A415" s="16">
        <f>IF('ANAHTAR'!$B415="","",'ANAHTAR'!$B415)</f>
        <v/>
      </c>
      <c r="B415" s="16">
        <f>IF($A415="","",COUNTIF(tblAnahtarB[NormB],$A415))</f>
        <v/>
      </c>
      <c r="C415" s="16">
        <f>IF($A415="","",SUMIF(tblAnahtarB[NormB],$A415,tblVeriB[BeyanTutar]))</f>
        <v/>
      </c>
      <c r="D415" s="16">
        <f>IF($A415="","",SUMIF(tblAnahtarA[Norm],$A415,tblVeriA[Tutar]))</f>
        <v/>
      </c>
      <c r="E415" s="16">
        <f>IF($A415="","",ROUND($D415,2)-ROUND($C415,2))</f>
        <v/>
      </c>
      <c r="F415" s="16">
        <f>IF($A415="","",ABS($E415))</f>
        <v/>
      </c>
      <c r="G415" s="16">
        <f>IF($A415="","",IF($B415=0,"eslesmedi",IF(ROUND($D415,2)=ROUND($C415,2),"eslesti",IF(ABS(ROUND($D415,2)-ROUND($C415,2))&lt;=toleransKurus,"tolerans_icinde","tutar_farki"))))</f>
        <v/>
      </c>
      <c r="H415" s="16">
        <f>IF($A415="","",IF($B415&gt;0,"BIRINCIL",IF(COUNTIF(tblAnahtarB[IkincilB],'ANAHTAR'!$D415)&gt;0,"IKINCIL","YOK")))</f>
        <v/>
      </c>
      <c r="I415" s="16">
        <f>IF($A415="","",'ANAHTAR'!$F415)</f>
        <v/>
      </c>
      <c r="J415" s="16">
        <f>IF(OR($A415="",$D415=0),0,$F415/ABS($D415))</f>
        <v/>
      </c>
      <c r="K415" s="16">
        <f>IF($A415="","",ROUND($D415,2))</f>
        <v/>
      </c>
      <c r="L415" s="16">
        <f>IF($A415="","",ROUND($C415,2))</f>
        <v/>
      </c>
      <c r="M415" s="16">
        <f>IF($A415="","",IF($F415&lt;=toleransKurus,1,0))</f>
        <v/>
      </c>
      <c r="N415" s="16">
        <f>IF($A415="","",IF($F415&gt;cbb_esikFark,1,0))</f>
        <v/>
      </c>
      <c r="O415" s="16">
        <f>IF($A415="","",IF($G415="eslesti",$D415,0))</f>
        <v/>
      </c>
      <c r="P415" s="16">
        <f>IF($A415="","",$B415+$M415+$N415)</f>
        <v/>
      </c>
    </row>
    <row r="416">
      <c r="A416" s="16">
        <f>IF('ANAHTAR'!$B416="","",'ANAHTAR'!$B416)</f>
        <v/>
      </c>
      <c r="B416" s="16">
        <f>IF($A416="","",COUNTIF(tblAnahtarB[NormB],$A416))</f>
        <v/>
      </c>
      <c r="C416" s="16">
        <f>IF($A416="","",SUMIF(tblAnahtarB[NormB],$A416,tblVeriB[BeyanTutar]))</f>
        <v/>
      </c>
      <c r="D416" s="16">
        <f>IF($A416="","",SUMIF(tblAnahtarA[Norm],$A416,tblVeriA[Tutar]))</f>
        <v/>
      </c>
      <c r="E416" s="16">
        <f>IF($A416="","",ROUND($D416,2)-ROUND($C416,2))</f>
        <v/>
      </c>
      <c r="F416" s="16">
        <f>IF($A416="","",ABS($E416))</f>
        <v/>
      </c>
      <c r="G416" s="16">
        <f>IF($A416="","",IF($B416=0,"eslesmedi",IF(ROUND($D416,2)=ROUND($C416,2),"eslesti",IF(ABS(ROUND($D416,2)-ROUND($C416,2))&lt;=toleransKurus,"tolerans_icinde","tutar_farki"))))</f>
        <v/>
      </c>
      <c r="H416" s="16">
        <f>IF($A416="","",IF($B416&gt;0,"BIRINCIL",IF(COUNTIF(tblAnahtarB[IkincilB],'ANAHTAR'!$D416)&gt;0,"IKINCIL","YOK")))</f>
        <v/>
      </c>
      <c r="I416" s="16">
        <f>IF($A416="","",'ANAHTAR'!$F416)</f>
        <v/>
      </c>
      <c r="J416" s="16">
        <f>IF(OR($A416="",$D416=0),0,$F416/ABS($D416))</f>
        <v/>
      </c>
      <c r="K416" s="16">
        <f>IF($A416="","",ROUND($D416,2))</f>
        <v/>
      </c>
      <c r="L416" s="16">
        <f>IF($A416="","",ROUND($C416,2))</f>
        <v/>
      </c>
      <c r="M416" s="16">
        <f>IF($A416="","",IF($F416&lt;=toleransKurus,1,0))</f>
        <v/>
      </c>
      <c r="N416" s="16">
        <f>IF($A416="","",IF($F416&gt;cbb_esikFark,1,0))</f>
        <v/>
      </c>
      <c r="O416" s="16">
        <f>IF($A416="","",IF($G416="eslesti",$D416,0))</f>
        <v/>
      </c>
      <c r="P416" s="16">
        <f>IF($A416="","",$B416+$M416+$N416)</f>
        <v/>
      </c>
    </row>
    <row r="417">
      <c r="A417" s="16">
        <f>IF('ANAHTAR'!$B417="","",'ANAHTAR'!$B417)</f>
        <v/>
      </c>
      <c r="B417" s="16">
        <f>IF($A417="","",COUNTIF(tblAnahtarB[NormB],$A417))</f>
        <v/>
      </c>
      <c r="C417" s="16">
        <f>IF($A417="","",SUMIF(tblAnahtarB[NormB],$A417,tblVeriB[BeyanTutar]))</f>
        <v/>
      </c>
      <c r="D417" s="16">
        <f>IF($A417="","",SUMIF(tblAnahtarA[Norm],$A417,tblVeriA[Tutar]))</f>
        <v/>
      </c>
      <c r="E417" s="16">
        <f>IF($A417="","",ROUND($D417,2)-ROUND($C417,2))</f>
        <v/>
      </c>
      <c r="F417" s="16">
        <f>IF($A417="","",ABS($E417))</f>
        <v/>
      </c>
      <c r="G417" s="16">
        <f>IF($A417="","",IF($B417=0,"eslesmedi",IF(ROUND($D417,2)=ROUND($C417,2),"eslesti",IF(ABS(ROUND($D417,2)-ROUND($C417,2))&lt;=toleransKurus,"tolerans_icinde","tutar_farki"))))</f>
        <v/>
      </c>
      <c r="H417" s="16">
        <f>IF($A417="","",IF($B417&gt;0,"BIRINCIL",IF(COUNTIF(tblAnahtarB[IkincilB],'ANAHTAR'!$D417)&gt;0,"IKINCIL","YOK")))</f>
        <v/>
      </c>
      <c r="I417" s="16">
        <f>IF($A417="","",'ANAHTAR'!$F417)</f>
        <v/>
      </c>
      <c r="J417" s="16">
        <f>IF(OR($A417="",$D417=0),0,$F417/ABS($D417))</f>
        <v/>
      </c>
      <c r="K417" s="16">
        <f>IF($A417="","",ROUND($D417,2))</f>
        <v/>
      </c>
      <c r="L417" s="16">
        <f>IF($A417="","",ROUND($C417,2))</f>
        <v/>
      </c>
      <c r="M417" s="16">
        <f>IF($A417="","",IF($F417&lt;=toleransKurus,1,0))</f>
        <v/>
      </c>
      <c r="N417" s="16">
        <f>IF($A417="","",IF($F417&gt;cbb_esikFark,1,0))</f>
        <v/>
      </c>
      <c r="O417" s="16">
        <f>IF($A417="","",IF($G417="eslesti",$D417,0))</f>
        <v/>
      </c>
      <c r="P417" s="16">
        <f>IF($A417="","",$B417+$M417+$N417)</f>
        <v/>
      </c>
    </row>
    <row r="418">
      <c r="A418" s="16">
        <f>IF('ANAHTAR'!$B418="","",'ANAHTAR'!$B418)</f>
        <v/>
      </c>
      <c r="B418" s="16">
        <f>IF($A418="","",COUNTIF(tblAnahtarB[NormB],$A418))</f>
        <v/>
      </c>
      <c r="C418" s="16">
        <f>IF($A418="","",SUMIF(tblAnahtarB[NormB],$A418,tblVeriB[BeyanTutar]))</f>
        <v/>
      </c>
      <c r="D418" s="16">
        <f>IF($A418="","",SUMIF(tblAnahtarA[Norm],$A418,tblVeriA[Tutar]))</f>
        <v/>
      </c>
      <c r="E418" s="16">
        <f>IF($A418="","",ROUND($D418,2)-ROUND($C418,2))</f>
        <v/>
      </c>
      <c r="F418" s="16">
        <f>IF($A418="","",ABS($E418))</f>
        <v/>
      </c>
      <c r="G418" s="16">
        <f>IF($A418="","",IF($B418=0,"eslesmedi",IF(ROUND($D418,2)=ROUND($C418,2),"eslesti",IF(ABS(ROUND($D418,2)-ROUND($C418,2))&lt;=toleransKurus,"tolerans_icinde","tutar_farki"))))</f>
        <v/>
      </c>
      <c r="H418" s="16">
        <f>IF($A418="","",IF($B418&gt;0,"BIRINCIL",IF(COUNTIF(tblAnahtarB[IkincilB],'ANAHTAR'!$D418)&gt;0,"IKINCIL","YOK")))</f>
        <v/>
      </c>
      <c r="I418" s="16">
        <f>IF($A418="","",'ANAHTAR'!$F418)</f>
        <v/>
      </c>
      <c r="J418" s="16">
        <f>IF(OR($A418="",$D418=0),0,$F418/ABS($D418))</f>
        <v/>
      </c>
      <c r="K418" s="16">
        <f>IF($A418="","",ROUND($D418,2))</f>
        <v/>
      </c>
      <c r="L418" s="16">
        <f>IF($A418="","",ROUND($C418,2))</f>
        <v/>
      </c>
      <c r="M418" s="16">
        <f>IF($A418="","",IF($F418&lt;=toleransKurus,1,0))</f>
        <v/>
      </c>
      <c r="N418" s="16">
        <f>IF($A418="","",IF($F418&gt;cbb_esikFark,1,0))</f>
        <v/>
      </c>
      <c r="O418" s="16">
        <f>IF($A418="","",IF($G418="eslesti",$D418,0))</f>
        <v/>
      </c>
      <c r="P418" s="16">
        <f>IF($A418="","",$B418+$M418+$N418)</f>
        <v/>
      </c>
    </row>
    <row r="419">
      <c r="A419" s="16">
        <f>IF('ANAHTAR'!$B419="","",'ANAHTAR'!$B419)</f>
        <v/>
      </c>
      <c r="B419" s="16">
        <f>IF($A419="","",COUNTIF(tblAnahtarB[NormB],$A419))</f>
        <v/>
      </c>
      <c r="C419" s="16">
        <f>IF($A419="","",SUMIF(tblAnahtarB[NormB],$A419,tblVeriB[BeyanTutar]))</f>
        <v/>
      </c>
      <c r="D419" s="16">
        <f>IF($A419="","",SUMIF(tblAnahtarA[Norm],$A419,tblVeriA[Tutar]))</f>
        <v/>
      </c>
      <c r="E419" s="16">
        <f>IF($A419="","",ROUND($D419,2)-ROUND($C419,2))</f>
        <v/>
      </c>
      <c r="F419" s="16">
        <f>IF($A419="","",ABS($E419))</f>
        <v/>
      </c>
      <c r="G419" s="16">
        <f>IF($A419="","",IF($B419=0,"eslesmedi",IF(ROUND($D419,2)=ROUND($C419,2),"eslesti",IF(ABS(ROUND($D419,2)-ROUND($C419,2))&lt;=toleransKurus,"tolerans_icinde","tutar_farki"))))</f>
        <v/>
      </c>
      <c r="H419" s="16">
        <f>IF($A419="","",IF($B419&gt;0,"BIRINCIL",IF(COUNTIF(tblAnahtarB[IkincilB],'ANAHTAR'!$D419)&gt;0,"IKINCIL","YOK")))</f>
        <v/>
      </c>
      <c r="I419" s="16">
        <f>IF($A419="","",'ANAHTAR'!$F419)</f>
        <v/>
      </c>
      <c r="J419" s="16">
        <f>IF(OR($A419="",$D419=0),0,$F419/ABS($D419))</f>
        <v/>
      </c>
      <c r="K419" s="16">
        <f>IF($A419="","",ROUND($D419,2))</f>
        <v/>
      </c>
      <c r="L419" s="16">
        <f>IF($A419="","",ROUND($C419,2))</f>
        <v/>
      </c>
      <c r="M419" s="16">
        <f>IF($A419="","",IF($F419&lt;=toleransKurus,1,0))</f>
        <v/>
      </c>
      <c r="N419" s="16">
        <f>IF($A419="","",IF($F419&gt;cbb_esikFark,1,0))</f>
        <v/>
      </c>
      <c r="O419" s="16">
        <f>IF($A419="","",IF($G419="eslesti",$D419,0))</f>
        <v/>
      </c>
      <c r="P419" s="16">
        <f>IF($A419="","",$B419+$M419+$N419)</f>
        <v/>
      </c>
    </row>
    <row r="420">
      <c r="A420" s="16">
        <f>IF('ANAHTAR'!$B420="","",'ANAHTAR'!$B420)</f>
        <v/>
      </c>
      <c r="B420" s="16">
        <f>IF($A420="","",COUNTIF(tblAnahtarB[NormB],$A420))</f>
        <v/>
      </c>
      <c r="C420" s="16">
        <f>IF($A420="","",SUMIF(tblAnahtarB[NormB],$A420,tblVeriB[BeyanTutar]))</f>
        <v/>
      </c>
      <c r="D420" s="16">
        <f>IF($A420="","",SUMIF(tblAnahtarA[Norm],$A420,tblVeriA[Tutar]))</f>
        <v/>
      </c>
      <c r="E420" s="16">
        <f>IF($A420="","",ROUND($D420,2)-ROUND($C420,2))</f>
        <v/>
      </c>
      <c r="F420" s="16">
        <f>IF($A420="","",ABS($E420))</f>
        <v/>
      </c>
      <c r="G420" s="16">
        <f>IF($A420="","",IF($B420=0,"eslesmedi",IF(ROUND($D420,2)=ROUND($C420,2),"eslesti",IF(ABS(ROUND($D420,2)-ROUND($C420,2))&lt;=toleransKurus,"tolerans_icinde","tutar_farki"))))</f>
        <v/>
      </c>
      <c r="H420" s="16">
        <f>IF($A420="","",IF($B420&gt;0,"BIRINCIL",IF(COUNTIF(tblAnahtarB[IkincilB],'ANAHTAR'!$D420)&gt;0,"IKINCIL","YOK")))</f>
        <v/>
      </c>
      <c r="I420" s="16">
        <f>IF($A420="","",'ANAHTAR'!$F420)</f>
        <v/>
      </c>
      <c r="J420" s="16">
        <f>IF(OR($A420="",$D420=0),0,$F420/ABS($D420))</f>
        <v/>
      </c>
      <c r="K420" s="16">
        <f>IF($A420="","",ROUND($D420,2))</f>
        <v/>
      </c>
      <c r="L420" s="16">
        <f>IF($A420="","",ROUND($C420,2))</f>
        <v/>
      </c>
      <c r="M420" s="16">
        <f>IF($A420="","",IF($F420&lt;=toleransKurus,1,0))</f>
        <v/>
      </c>
      <c r="N420" s="16">
        <f>IF($A420="","",IF($F420&gt;cbb_esikFark,1,0))</f>
        <v/>
      </c>
      <c r="O420" s="16">
        <f>IF($A420="","",IF($G420="eslesti",$D420,0))</f>
        <v/>
      </c>
      <c r="P420" s="16">
        <f>IF($A420="","",$B420+$M420+$N420)</f>
        <v/>
      </c>
    </row>
    <row r="421">
      <c r="A421" s="16">
        <f>IF('ANAHTAR'!$B421="","",'ANAHTAR'!$B421)</f>
        <v/>
      </c>
      <c r="B421" s="16">
        <f>IF($A421="","",COUNTIF(tblAnahtarB[NormB],$A421))</f>
        <v/>
      </c>
      <c r="C421" s="16">
        <f>IF($A421="","",SUMIF(tblAnahtarB[NormB],$A421,tblVeriB[BeyanTutar]))</f>
        <v/>
      </c>
      <c r="D421" s="16">
        <f>IF($A421="","",SUMIF(tblAnahtarA[Norm],$A421,tblVeriA[Tutar]))</f>
        <v/>
      </c>
      <c r="E421" s="16">
        <f>IF($A421="","",ROUND($D421,2)-ROUND($C421,2))</f>
        <v/>
      </c>
      <c r="F421" s="16">
        <f>IF($A421="","",ABS($E421))</f>
        <v/>
      </c>
      <c r="G421" s="16">
        <f>IF($A421="","",IF($B421=0,"eslesmedi",IF(ROUND($D421,2)=ROUND($C421,2),"eslesti",IF(ABS(ROUND($D421,2)-ROUND($C421,2))&lt;=toleransKurus,"tolerans_icinde","tutar_farki"))))</f>
        <v/>
      </c>
      <c r="H421" s="16">
        <f>IF($A421="","",IF($B421&gt;0,"BIRINCIL",IF(COUNTIF(tblAnahtarB[IkincilB],'ANAHTAR'!$D421)&gt;0,"IKINCIL","YOK")))</f>
        <v/>
      </c>
      <c r="I421" s="16">
        <f>IF($A421="","",'ANAHTAR'!$F421)</f>
        <v/>
      </c>
      <c r="J421" s="16">
        <f>IF(OR($A421="",$D421=0),0,$F421/ABS($D421))</f>
        <v/>
      </c>
      <c r="K421" s="16">
        <f>IF($A421="","",ROUND($D421,2))</f>
        <v/>
      </c>
      <c r="L421" s="16">
        <f>IF($A421="","",ROUND($C421,2))</f>
        <v/>
      </c>
      <c r="M421" s="16">
        <f>IF($A421="","",IF($F421&lt;=toleransKurus,1,0))</f>
        <v/>
      </c>
      <c r="N421" s="16">
        <f>IF($A421="","",IF($F421&gt;cbb_esikFark,1,0))</f>
        <v/>
      </c>
      <c r="O421" s="16">
        <f>IF($A421="","",IF($G421="eslesti",$D421,0))</f>
        <v/>
      </c>
      <c r="P421" s="16">
        <f>IF($A421="","",$B421+$M421+$N421)</f>
        <v/>
      </c>
    </row>
    <row r="422">
      <c r="A422" s="16">
        <f>IF('ANAHTAR'!$B422="","",'ANAHTAR'!$B422)</f>
        <v/>
      </c>
      <c r="B422" s="16">
        <f>IF($A422="","",COUNTIF(tblAnahtarB[NormB],$A422))</f>
        <v/>
      </c>
      <c r="C422" s="16">
        <f>IF($A422="","",SUMIF(tblAnahtarB[NormB],$A422,tblVeriB[BeyanTutar]))</f>
        <v/>
      </c>
      <c r="D422" s="16">
        <f>IF($A422="","",SUMIF(tblAnahtarA[Norm],$A422,tblVeriA[Tutar]))</f>
        <v/>
      </c>
      <c r="E422" s="16">
        <f>IF($A422="","",ROUND($D422,2)-ROUND($C422,2))</f>
        <v/>
      </c>
      <c r="F422" s="16">
        <f>IF($A422="","",ABS($E422))</f>
        <v/>
      </c>
      <c r="G422" s="16">
        <f>IF($A422="","",IF($B422=0,"eslesmedi",IF(ROUND($D422,2)=ROUND($C422,2),"eslesti",IF(ABS(ROUND($D422,2)-ROUND($C422,2))&lt;=toleransKurus,"tolerans_icinde","tutar_farki"))))</f>
        <v/>
      </c>
      <c r="H422" s="16">
        <f>IF($A422="","",IF($B422&gt;0,"BIRINCIL",IF(COUNTIF(tblAnahtarB[IkincilB],'ANAHTAR'!$D422)&gt;0,"IKINCIL","YOK")))</f>
        <v/>
      </c>
      <c r="I422" s="16">
        <f>IF($A422="","",'ANAHTAR'!$F422)</f>
        <v/>
      </c>
      <c r="J422" s="16">
        <f>IF(OR($A422="",$D422=0),0,$F422/ABS($D422))</f>
        <v/>
      </c>
      <c r="K422" s="16">
        <f>IF($A422="","",ROUND($D422,2))</f>
        <v/>
      </c>
      <c r="L422" s="16">
        <f>IF($A422="","",ROUND($C422,2))</f>
        <v/>
      </c>
      <c r="M422" s="16">
        <f>IF($A422="","",IF($F422&lt;=toleransKurus,1,0))</f>
        <v/>
      </c>
      <c r="N422" s="16">
        <f>IF($A422="","",IF($F422&gt;cbb_esikFark,1,0))</f>
        <v/>
      </c>
      <c r="O422" s="16">
        <f>IF($A422="","",IF($G422="eslesti",$D422,0))</f>
        <v/>
      </c>
      <c r="P422" s="16">
        <f>IF($A422="","",$B422+$M422+$N422)</f>
        <v/>
      </c>
    </row>
    <row r="423">
      <c r="A423" s="16">
        <f>IF('ANAHTAR'!$B423="","",'ANAHTAR'!$B423)</f>
        <v/>
      </c>
      <c r="B423" s="16">
        <f>IF($A423="","",COUNTIF(tblAnahtarB[NormB],$A423))</f>
        <v/>
      </c>
      <c r="C423" s="16">
        <f>IF($A423="","",SUMIF(tblAnahtarB[NormB],$A423,tblVeriB[BeyanTutar]))</f>
        <v/>
      </c>
      <c r="D423" s="16">
        <f>IF($A423="","",SUMIF(tblAnahtarA[Norm],$A423,tblVeriA[Tutar]))</f>
        <v/>
      </c>
      <c r="E423" s="16">
        <f>IF($A423="","",ROUND($D423,2)-ROUND($C423,2))</f>
        <v/>
      </c>
      <c r="F423" s="16">
        <f>IF($A423="","",ABS($E423))</f>
        <v/>
      </c>
      <c r="G423" s="16">
        <f>IF($A423="","",IF($B423=0,"eslesmedi",IF(ROUND($D423,2)=ROUND($C423,2),"eslesti",IF(ABS(ROUND($D423,2)-ROUND($C423,2))&lt;=toleransKurus,"tolerans_icinde","tutar_farki"))))</f>
        <v/>
      </c>
      <c r="H423" s="16">
        <f>IF($A423="","",IF($B423&gt;0,"BIRINCIL",IF(COUNTIF(tblAnahtarB[IkincilB],'ANAHTAR'!$D423)&gt;0,"IKINCIL","YOK")))</f>
        <v/>
      </c>
      <c r="I423" s="16">
        <f>IF($A423="","",'ANAHTAR'!$F423)</f>
        <v/>
      </c>
      <c r="J423" s="16">
        <f>IF(OR($A423="",$D423=0),0,$F423/ABS($D423))</f>
        <v/>
      </c>
      <c r="K423" s="16">
        <f>IF($A423="","",ROUND($D423,2))</f>
        <v/>
      </c>
      <c r="L423" s="16">
        <f>IF($A423="","",ROUND($C423,2))</f>
        <v/>
      </c>
      <c r="M423" s="16">
        <f>IF($A423="","",IF($F423&lt;=toleransKurus,1,0))</f>
        <v/>
      </c>
      <c r="N423" s="16">
        <f>IF($A423="","",IF($F423&gt;cbb_esikFark,1,0))</f>
        <v/>
      </c>
      <c r="O423" s="16">
        <f>IF($A423="","",IF($G423="eslesti",$D423,0))</f>
        <v/>
      </c>
      <c r="P423" s="16">
        <f>IF($A423="","",$B423+$M423+$N423)</f>
        <v/>
      </c>
    </row>
    <row r="424">
      <c r="A424" s="16">
        <f>IF('ANAHTAR'!$B424="","",'ANAHTAR'!$B424)</f>
        <v/>
      </c>
      <c r="B424" s="16">
        <f>IF($A424="","",COUNTIF(tblAnahtarB[NormB],$A424))</f>
        <v/>
      </c>
      <c r="C424" s="16">
        <f>IF($A424="","",SUMIF(tblAnahtarB[NormB],$A424,tblVeriB[BeyanTutar]))</f>
        <v/>
      </c>
      <c r="D424" s="16">
        <f>IF($A424="","",SUMIF(tblAnahtarA[Norm],$A424,tblVeriA[Tutar]))</f>
        <v/>
      </c>
      <c r="E424" s="16">
        <f>IF($A424="","",ROUND($D424,2)-ROUND($C424,2))</f>
        <v/>
      </c>
      <c r="F424" s="16">
        <f>IF($A424="","",ABS($E424))</f>
        <v/>
      </c>
      <c r="G424" s="16">
        <f>IF($A424="","",IF($B424=0,"eslesmedi",IF(ROUND($D424,2)=ROUND($C424,2),"eslesti",IF(ABS(ROUND($D424,2)-ROUND($C424,2))&lt;=toleransKurus,"tolerans_icinde","tutar_farki"))))</f>
        <v/>
      </c>
      <c r="H424" s="16">
        <f>IF($A424="","",IF($B424&gt;0,"BIRINCIL",IF(COUNTIF(tblAnahtarB[IkincilB],'ANAHTAR'!$D424)&gt;0,"IKINCIL","YOK")))</f>
        <v/>
      </c>
      <c r="I424" s="16">
        <f>IF($A424="","",'ANAHTAR'!$F424)</f>
        <v/>
      </c>
      <c r="J424" s="16">
        <f>IF(OR($A424="",$D424=0),0,$F424/ABS($D424))</f>
        <v/>
      </c>
      <c r="K424" s="16">
        <f>IF($A424="","",ROUND($D424,2))</f>
        <v/>
      </c>
      <c r="L424" s="16">
        <f>IF($A424="","",ROUND($C424,2))</f>
        <v/>
      </c>
      <c r="M424" s="16">
        <f>IF($A424="","",IF($F424&lt;=toleransKurus,1,0))</f>
        <v/>
      </c>
      <c r="N424" s="16">
        <f>IF($A424="","",IF($F424&gt;cbb_esikFark,1,0))</f>
        <v/>
      </c>
      <c r="O424" s="16">
        <f>IF($A424="","",IF($G424="eslesti",$D424,0))</f>
        <v/>
      </c>
      <c r="P424" s="16">
        <f>IF($A424="","",$B424+$M424+$N424)</f>
        <v/>
      </c>
    </row>
    <row r="425">
      <c r="A425" s="16">
        <f>IF('ANAHTAR'!$B425="","",'ANAHTAR'!$B425)</f>
        <v/>
      </c>
      <c r="B425" s="16">
        <f>IF($A425="","",COUNTIF(tblAnahtarB[NormB],$A425))</f>
        <v/>
      </c>
      <c r="C425" s="16">
        <f>IF($A425="","",SUMIF(tblAnahtarB[NormB],$A425,tblVeriB[BeyanTutar]))</f>
        <v/>
      </c>
      <c r="D425" s="16">
        <f>IF($A425="","",SUMIF(tblAnahtarA[Norm],$A425,tblVeriA[Tutar]))</f>
        <v/>
      </c>
      <c r="E425" s="16">
        <f>IF($A425="","",ROUND($D425,2)-ROUND($C425,2))</f>
        <v/>
      </c>
      <c r="F425" s="16">
        <f>IF($A425="","",ABS($E425))</f>
        <v/>
      </c>
      <c r="G425" s="16">
        <f>IF($A425="","",IF($B425=0,"eslesmedi",IF(ROUND($D425,2)=ROUND($C425,2),"eslesti",IF(ABS(ROUND($D425,2)-ROUND($C425,2))&lt;=toleransKurus,"tolerans_icinde","tutar_farki"))))</f>
        <v/>
      </c>
      <c r="H425" s="16">
        <f>IF($A425="","",IF($B425&gt;0,"BIRINCIL",IF(COUNTIF(tblAnahtarB[IkincilB],'ANAHTAR'!$D425)&gt;0,"IKINCIL","YOK")))</f>
        <v/>
      </c>
      <c r="I425" s="16">
        <f>IF($A425="","",'ANAHTAR'!$F425)</f>
        <v/>
      </c>
      <c r="J425" s="16">
        <f>IF(OR($A425="",$D425=0),0,$F425/ABS($D425))</f>
        <v/>
      </c>
      <c r="K425" s="16">
        <f>IF($A425="","",ROUND($D425,2))</f>
        <v/>
      </c>
      <c r="L425" s="16">
        <f>IF($A425="","",ROUND($C425,2))</f>
        <v/>
      </c>
      <c r="M425" s="16">
        <f>IF($A425="","",IF($F425&lt;=toleransKurus,1,0))</f>
        <v/>
      </c>
      <c r="N425" s="16">
        <f>IF($A425="","",IF($F425&gt;cbb_esikFark,1,0))</f>
        <v/>
      </c>
      <c r="O425" s="16">
        <f>IF($A425="","",IF($G425="eslesti",$D425,0))</f>
        <v/>
      </c>
      <c r="P425" s="16">
        <f>IF($A425="","",$B425+$M425+$N425)</f>
        <v/>
      </c>
    </row>
    <row r="426">
      <c r="A426" s="16">
        <f>IF('ANAHTAR'!$B426="","",'ANAHTAR'!$B426)</f>
        <v/>
      </c>
      <c r="B426" s="16">
        <f>IF($A426="","",COUNTIF(tblAnahtarB[NormB],$A426))</f>
        <v/>
      </c>
      <c r="C426" s="16">
        <f>IF($A426="","",SUMIF(tblAnahtarB[NormB],$A426,tblVeriB[BeyanTutar]))</f>
        <v/>
      </c>
      <c r="D426" s="16">
        <f>IF($A426="","",SUMIF(tblAnahtarA[Norm],$A426,tblVeriA[Tutar]))</f>
        <v/>
      </c>
      <c r="E426" s="16">
        <f>IF($A426="","",ROUND($D426,2)-ROUND($C426,2))</f>
        <v/>
      </c>
      <c r="F426" s="16">
        <f>IF($A426="","",ABS($E426))</f>
        <v/>
      </c>
      <c r="G426" s="16">
        <f>IF($A426="","",IF($B426=0,"eslesmedi",IF(ROUND($D426,2)=ROUND($C426,2),"eslesti",IF(ABS(ROUND($D426,2)-ROUND($C426,2))&lt;=toleransKurus,"tolerans_icinde","tutar_farki"))))</f>
        <v/>
      </c>
      <c r="H426" s="16">
        <f>IF($A426="","",IF($B426&gt;0,"BIRINCIL",IF(COUNTIF(tblAnahtarB[IkincilB],'ANAHTAR'!$D426)&gt;0,"IKINCIL","YOK")))</f>
        <v/>
      </c>
      <c r="I426" s="16">
        <f>IF($A426="","",'ANAHTAR'!$F426)</f>
        <v/>
      </c>
      <c r="J426" s="16">
        <f>IF(OR($A426="",$D426=0),0,$F426/ABS($D426))</f>
        <v/>
      </c>
      <c r="K426" s="16">
        <f>IF($A426="","",ROUND($D426,2))</f>
        <v/>
      </c>
      <c r="L426" s="16">
        <f>IF($A426="","",ROUND($C426,2))</f>
        <v/>
      </c>
      <c r="M426" s="16">
        <f>IF($A426="","",IF($F426&lt;=toleransKurus,1,0))</f>
        <v/>
      </c>
      <c r="N426" s="16">
        <f>IF($A426="","",IF($F426&gt;cbb_esikFark,1,0))</f>
        <v/>
      </c>
      <c r="O426" s="16">
        <f>IF($A426="","",IF($G426="eslesti",$D426,0))</f>
        <v/>
      </c>
      <c r="P426" s="16">
        <f>IF($A426="","",$B426+$M426+$N426)</f>
        <v/>
      </c>
    </row>
    <row r="427">
      <c r="A427" s="16">
        <f>IF('ANAHTAR'!$B427="","",'ANAHTAR'!$B427)</f>
        <v/>
      </c>
      <c r="B427" s="16">
        <f>IF($A427="","",COUNTIF(tblAnahtarB[NormB],$A427))</f>
        <v/>
      </c>
      <c r="C427" s="16">
        <f>IF($A427="","",SUMIF(tblAnahtarB[NormB],$A427,tblVeriB[BeyanTutar]))</f>
        <v/>
      </c>
      <c r="D427" s="16">
        <f>IF($A427="","",SUMIF(tblAnahtarA[Norm],$A427,tblVeriA[Tutar]))</f>
        <v/>
      </c>
      <c r="E427" s="16">
        <f>IF($A427="","",ROUND($D427,2)-ROUND($C427,2))</f>
        <v/>
      </c>
      <c r="F427" s="16">
        <f>IF($A427="","",ABS($E427))</f>
        <v/>
      </c>
      <c r="G427" s="16">
        <f>IF($A427="","",IF($B427=0,"eslesmedi",IF(ROUND($D427,2)=ROUND($C427,2),"eslesti",IF(ABS(ROUND($D427,2)-ROUND($C427,2))&lt;=toleransKurus,"tolerans_icinde","tutar_farki"))))</f>
        <v/>
      </c>
      <c r="H427" s="16">
        <f>IF($A427="","",IF($B427&gt;0,"BIRINCIL",IF(COUNTIF(tblAnahtarB[IkincilB],'ANAHTAR'!$D427)&gt;0,"IKINCIL","YOK")))</f>
        <v/>
      </c>
      <c r="I427" s="16">
        <f>IF($A427="","",'ANAHTAR'!$F427)</f>
        <v/>
      </c>
      <c r="J427" s="16">
        <f>IF(OR($A427="",$D427=0),0,$F427/ABS($D427))</f>
        <v/>
      </c>
      <c r="K427" s="16">
        <f>IF($A427="","",ROUND($D427,2))</f>
        <v/>
      </c>
      <c r="L427" s="16">
        <f>IF($A427="","",ROUND($C427,2))</f>
        <v/>
      </c>
      <c r="M427" s="16">
        <f>IF($A427="","",IF($F427&lt;=toleransKurus,1,0))</f>
        <v/>
      </c>
      <c r="N427" s="16">
        <f>IF($A427="","",IF($F427&gt;cbb_esikFark,1,0))</f>
        <v/>
      </c>
      <c r="O427" s="16">
        <f>IF($A427="","",IF($G427="eslesti",$D427,0))</f>
        <v/>
      </c>
      <c r="P427" s="16">
        <f>IF($A427="","",$B427+$M427+$N427)</f>
        <v/>
      </c>
    </row>
    <row r="428">
      <c r="A428" s="16">
        <f>IF('ANAHTAR'!$B428="","",'ANAHTAR'!$B428)</f>
        <v/>
      </c>
      <c r="B428" s="16">
        <f>IF($A428="","",COUNTIF(tblAnahtarB[NormB],$A428))</f>
        <v/>
      </c>
      <c r="C428" s="16">
        <f>IF($A428="","",SUMIF(tblAnahtarB[NormB],$A428,tblVeriB[BeyanTutar]))</f>
        <v/>
      </c>
      <c r="D428" s="16">
        <f>IF($A428="","",SUMIF(tblAnahtarA[Norm],$A428,tblVeriA[Tutar]))</f>
        <v/>
      </c>
      <c r="E428" s="16">
        <f>IF($A428="","",ROUND($D428,2)-ROUND($C428,2))</f>
        <v/>
      </c>
      <c r="F428" s="16">
        <f>IF($A428="","",ABS($E428))</f>
        <v/>
      </c>
      <c r="G428" s="16">
        <f>IF($A428="","",IF($B428=0,"eslesmedi",IF(ROUND($D428,2)=ROUND($C428,2),"eslesti",IF(ABS(ROUND($D428,2)-ROUND($C428,2))&lt;=toleransKurus,"tolerans_icinde","tutar_farki"))))</f>
        <v/>
      </c>
      <c r="H428" s="16">
        <f>IF($A428="","",IF($B428&gt;0,"BIRINCIL",IF(COUNTIF(tblAnahtarB[IkincilB],'ANAHTAR'!$D428)&gt;0,"IKINCIL","YOK")))</f>
        <v/>
      </c>
      <c r="I428" s="16">
        <f>IF($A428="","",'ANAHTAR'!$F428)</f>
        <v/>
      </c>
      <c r="J428" s="16">
        <f>IF(OR($A428="",$D428=0),0,$F428/ABS($D428))</f>
        <v/>
      </c>
      <c r="K428" s="16">
        <f>IF($A428="","",ROUND($D428,2))</f>
        <v/>
      </c>
      <c r="L428" s="16">
        <f>IF($A428="","",ROUND($C428,2))</f>
        <v/>
      </c>
      <c r="M428" s="16">
        <f>IF($A428="","",IF($F428&lt;=toleransKurus,1,0))</f>
        <v/>
      </c>
      <c r="N428" s="16">
        <f>IF($A428="","",IF($F428&gt;cbb_esikFark,1,0))</f>
        <v/>
      </c>
      <c r="O428" s="16">
        <f>IF($A428="","",IF($G428="eslesti",$D428,0))</f>
        <v/>
      </c>
      <c r="P428" s="16">
        <f>IF($A428="","",$B428+$M428+$N428)</f>
        <v/>
      </c>
    </row>
    <row r="429">
      <c r="A429" s="16">
        <f>IF('ANAHTAR'!$B429="","",'ANAHTAR'!$B429)</f>
        <v/>
      </c>
      <c r="B429" s="16">
        <f>IF($A429="","",COUNTIF(tblAnahtarB[NormB],$A429))</f>
        <v/>
      </c>
      <c r="C429" s="16">
        <f>IF($A429="","",SUMIF(tblAnahtarB[NormB],$A429,tblVeriB[BeyanTutar]))</f>
        <v/>
      </c>
      <c r="D429" s="16">
        <f>IF($A429="","",SUMIF(tblAnahtarA[Norm],$A429,tblVeriA[Tutar]))</f>
        <v/>
      </c>
      <c r="E429" s="16">
        <f>IF($A429="","",ROUND($D429,2)-ROUND($C429,2))</f>
        <v/>
      </c>
      <c r="F429" s="16">
        <f>IF($A429="","",ABS($E429))</f>
        <v/>
      </c>
      <c r="G429" s="16">
        <f>IF($A429="","",IF($B429=0,"eslesmedi",IF(ROUND($D429,2)=ROUND($C429,2),"eslesti",IF(ABS(ROUND($D429,2)-ROUND($C429,2))&lt;=toleransKurus,"tolerans_icinde","tutar_farki"))))</f>
        <v/>
      </c>
      <c r="H429" s="16">
        <f>IF($A429="","",IF($B429&gt;0,"BIRINCIL",IF(COUNTIF(tblAnahtarB[IkincilB],'ANAHTAR'!$D429)&gt;0,"IKINCIL","YOK")))</f>
        <v/>
      </c>
      <c r="I429" s="16">
        <f>IF($A429="","",'ANAHTAR'!$F429)</f>
        <v/>
      </c>
      <c r="J429" s="16">
        <f>IF(OR($A429="",$D429=0),0,$F429/ABS($D429))</f>
        <v/>
      </c>
      <c r="K429" s="16">
        <f>IF($A429="","",ROUND($D429,2))</f>
        <v/>
      </c>
      <c r="L429" s="16">
        <f>IF($A429="","",ROUND($C429,2))</f>
        <v/>
      </c>
      <c r="M429" s="16">
        <f>IF($A429="","",IF($F429&lt;=toleransKurus,1,0))</f>
        <v/>
      </c>
      <c r="N429" s="16">
        <f>IF($A429="","",IF($F429&gt;cbb_esikFark,1,0))</f>
        <v/>
      </c>
      <c r="O429" s="16">
        <f>IF($A429="","",IF($G429="eslesti",$D429,0))</f>
        <v/>
      </c>
      <c r="P429" s="16">
        <f>IF($A429="","",$B429+$M429+$N429)</f>
        <v/>
      </c>
    </row>
    <row r="430">
      <c r="A430" s="16">
        <f>IF('ANAHTAR'!$B430="","",'ANAHTAR'!$B430)</f>
        <v/>
      </c>
      <c r="B430" s="16">
        <f>IF($A430="","",COUNTIF(tblAnahtarB[NormB],$A430))</f>
        <v/>
      </c>
      <c r="C430" s="16">
        <f>IF($A430="","",SUMIF(tblAnahtarB[NormB],$A430,tblVeriB[BeyanTutar]))</f>
        <v/>
      </c>
      <c r="D430" s="16">
        <f>IF($A430="","",SUMIF(tblAnahtarA[Norm],$A430,tblVeriA[Tutar]))</f>
        <v/>
      </c>
      <c r="E430" s="16">
        <f>IF($A430="","",ROUND($D430,2)-ROUND($C430,2))</f>
        <v/>
      </c>
      <c r="F430" s="16">
        <f>IF($A430="","",ABS($E430))</f>
        <v/>
      </c>
      <c r="G430" s="16">
        <f>IF($A430="","",IF($B430=0,"eslesmedi",IF(ROUND($D430,2)=ROUND($C430,2),"eslesti",IF(ABS(ROUND($D430,2)-ROUND($C430,2))&lt;=toleransKurus,"tolerans_icinde","tutar_farki"))))</f>
        <v/>
      </c>
      <c r="H430" s="16">
        <f>IF($A430="","",IF($B430&gt;0,"BIRINCIL",IF(COUNTIF(tblAnahtarB[IkincilB],'ANAHTAR'!$D430)&gt;0,"IKINCIL","YOK")))</f>
        <v/>
      </c>
      <c r="I430" s="16">
        <f>IF($A430="","",'ANAHTAR'!$F430)</f>
        <v/>
      </c>
      <c r="J430" s="16">
        <f>IF(OR($A430="",$D430=0),0,$F430/ABS($D430))</f>
        <v/>
      </c>
      <c r="K430" s="16">
        <f>IF($A430="","",ROUND($D430,2))</f>
        <v/>
      </c>
      <c r="L430" s="16">
        <f>IF($A430="","",ROUND($C430,2))</f>
        <v/>
      </c>
      <c r="M430" s="16">
        <f>IF($A430="","",IF($F430&lt;=toleransKurus,1,0))</f>
        <v/>
      </c>
      <c r="N430" s="16">
        <f>IF($A430="","",IF($F430&gt;cbb_esikFark,1,0))</f>
        <v/>
      </c>
      <c r="O430" s="16">
        <f>IF($A430="","",IF($G430="eslesti",$D430,0))</f>
        <v/>
      </c>
      <c r="P430" s="16">
        <f>IF($A430="","",$B430+$M430+$N430)</f>
        <v/>
      </c>
    </row>
    <row r="431">
      <c r="A431" s="16">
        <f>IF('ANAHTAR'!$B431="","",'ANAHTAR'!$B431)</f>
        <v/>
      </c>
      <c r="B431" s="16">
        <f>IF($A431="","",COUNTIF(tblAnahtarB[NormB],$A431))</f>
        <v/>
      </c>
      <c r="C431" s="16">
        <f>IF($A431="","",SUMIF(tblAnahtarB[NormB],$A431,tblVeriB[BeyanTutar]))</f>
        <v/>
      </c>
      <c r="D431" s="16">
        <f>IF($A431="","",SUMIF(tblAnahtarA[Norm],$A431,tblVeriA[Tutar]))</f>
        <v/>
      </c>
      <c r="E431" s="16">
        <f>IF($A431="","",ROUND($D431,2)-ROUND($C431,2))</f>
        <v/>
      </c>
      <c r="F431" s="16">
        <f>IF($A431="","",ABS($E431))</f>
        <v/>
      </c>
      <c r="G431" s="16">
        <f>IF($A431="","",IF($B431=0,"eslesmedi",IF(ROUND($D431,2)=ROUND($C431,2),"eslesti",IF(ABS(ROUND($D431,2)-ROUND($C431,2))&lt;=toleransKurus,"tolerans_icinde","tutar_farki"))))</f>
        <v/>
      </c>
      <c r="H431" s="16">
        <f>IF($A431="","",IF($B431&gt;0,"BIRINCIL",IF(COUNTIF(tblAnahtarB[IkincilB],'ANAHTAR'!$D431)&gt;0,"IKINCIL","YOK")))</f>
        <v/>
      </c>
      <c r="I431" s="16">
        <f>IF($A431="","",'ANAHTAR'!$F431)</f>
        <v/>
      </c>
      <c r="J431" s="16">
        <f>IF(OR($A431="",$D431=0),0,$F431/ABS($D431))</f>
        <v/>
      </c>
      <c r="K431" s="16">
        <f>IF($A431="","",ROUND($D431,2))</f>
        <v/>
      </c>
      <c r="L431" s="16">
        <f>IF($A431="","",ROUND($C431,2))</f>
        <v/>
      </c>
      <c r="M431" s="16">
        <f>IF($A431="","",IF($F431&lt;=toleransKurus,1,0))</f>
        <v/>
      </c>
      <c r="N431" s="16">
        <f>IF($A431="","",IF($F431&gt;cbb_esikFark,1,0))</f>
        <v/>
      </c>
      <c r="O431" s="16">
        <f>IF($A431="","",IF($G431="eslesti",$D431,0))</f>
        <v/>
      </c>
      <c r="P431" s="16">
        <f>IF($A431="","",$B431+$M431+$N431)</f>
        <v/>
      </c>
    </row>
    <row r="432">
      <c r="A432" s="16">
        <f>IF('ANAHTAR'!$B432="","",'ANAHTAR'!$B432)</f>
        <v/>
      </c>
      <c r="B432" s="16">
        <f>IF($A432="","",COUNTIF(tblAnahtarB[NormB],$A432))</f>
        <v/>
      </c>
      <c r="C432" s="16">
        <f>IF($A432="","",SUMIF(tblAnahtarB[NormB],$A432,tblVeriB[BeyanTutar]))</f>
        <v/>
      </c>
      <c r="D432" s="16">
        <f>IF($A432="","",SUMIF(tblAnahtarA[Norm],$A432,tblVeriA[Tutar]))</f>
        <v/>
      </c>
      <c r="E432" s="16">
        <f>IF($A432="","",ROUND($D432,2)-ROUND($C432,2))</f>
        <v/>
      </c>
      <c r="F432" s="16">
        <f>IF($A432="","",ABS($E432))</f>
        <v/>
      </c>
      <c r="G432" s="16">
        <f>IF($A432="","",IF($B432=0,"eslesmedi",IF(ROUND($D432,2)=ROUND($C432,2),"eslesti",IF(ABS(ROUND($D432,2)-ROUND($C432,2))&lt;=toleransKurus,"tolerans_icinde","tutar_farki"))))</f>
        <v/>
      </c>
      <c r="H432" s="16">
        <f>IF($A432="","",IF($B432&gt;0,"BIRINCIL",IF(COUNTIF(tblAnahtarB[IkincilB],'ANAHTAR'!$D432)&gt;0,"IKINCIL","YOK")))</f>
        <v/>
      </c>
      <c r="I432" s="16">
        <f>IF($A432="","",'ANAHTAR'!$F432)</f>
        <v/>
      </c>
      <c r="J432" s="16">
        <f>IF(OR($A432="",$D432=0),0,$F432/ABS($D432))</f>
        <v/>
      </c>
      <c r="K432" s="16">
        <f>IF($A432="","",ROUND($D432,2))</f>
        <v/>
      </c>
      <c r="L432" s="16">
        <f>IF($A432="","",ROUND($C432,2))</f>
        <v/>
      </c>
      <c r="M432" s="16">
        <f>IF($A432="","",IF($F432&lt;=toleransKurus,1,0))</f>
        <v/>
      </c>
      <c r="N432" s="16">
        <f>IF($A432="","",IF($F432&gt;cbb_esikFark,1,0))</f>
        <v/>
      </c>
      <c r="O432" s="16">
        <f>IF($A432="","",IF($G432="eslesti",$D432,0))</f>
        <v/>
      </c>
      <c r="P432" s="16">
        <f>IF($A432="","",$B432+$M432+$N432)</f>
        <v/>
      </c>
    </row>
    <row r="433">
      <c r="A433" s="16">
        <f>IF('ANAHTAR'!$B433="","",'ANAHTAR'!$B433)</f>
        <v/>
      </c>
      <c r="B433" s="16">
        <f>IF($A433="","",COUNTIF(tblAnahtarB[NormB],$A433))</f>
        <v/>
      </c>
      <c r="C433" s="16">
        <f>IF($A433="","",SUMIF(tblAnahtarB[NormB],$A433,tblVeriB[BeyanTutar]))</f>
        <v/>
      </c>
      <c r="D433" s="16">
        <f>IF($A433="","",SUMIF(tblAnahtarA[Norm],$A433,tblVeriA[Tutar]))</f>
        <v/>
      </c>
      <c r="E433" s="16">
        <f>IF($A433="","",ROUND($D433,2)-ROUND($C433,2))</f>
        <v/>
      </c>
      <c r="F433" s="16">
        <f>IF($A433="","",ABS($E433))</f>
        <v/>
      </c>
      <c r="G433" s="16">
        <f>IF($A433="","",IF($B433=0,"eslesmedi",IF(ROUND($D433,2)=ROUND($C433,2),"eslesti",IF(ABS(ROUND($D433,2)-ROUND($C433,2))&lt;=toleransKurus,"tolerans_icinde","tutar_farki"))))</f>
        <v/>
      </c>
      <c r="H433" s="16">
        <f>IF($A433="","",IF($B433&gt;0,"BIRINCIL",IF(COUNTIF(tblAnahtarB[IkincilB],'ANAHTAR'!$D433)&gt;0,"IKINCIL","YOK")))</f>
        <v/>
      </c>
      <c r="I433" s="16">
        <f>IF($A433="","",'ANAHTAR'!$F433)</f>
        <v/>
      </c>
      <c r="J433" s="16">
        <f>IF(OR($A433="",$D433=0),0,$F433/ABS($D433))</f>
        <v/>
      </c>
      <c r="K433" s="16">
        <f>IF($A433="","",ROUND($D433,2))</f>
        <v/>
      </c>
      <c r="L433" s="16">
        <f>IF($A433="","",ROUND($C433,2))</f>
        <v/>
      </c>
      <c r="M433" s="16">
        <f>IF($A433="","",IF($F433&lt;=toleransKurus,1,0))</f>
        <v/>
      </c>
      <c r="N433" s="16">
        <f>IF($A433="","",IF($F433&gt;cbb_esikFark,1,0))</f>
        <v/>
      </c>
      <c r="O433" s="16">
        <f>IF($A433="","",IF($G433="eslesti",$D433,0))</f>
        <v/>
      </c>
      <c r="P433" s="16">
        <f>IF($A433="","",$B433+$M433+$N433)</f>
        <v/>
      </c>
    </row>
    <row r="434">
      <c r="A434" s="16">
        <f>IF('ANAHTAR'!$B434="","",'ANAHTAR'!$B434)</f>
        <v/>
      </c>
      <c r="B434" s="16">
        <f>IF($A434="","",COUNTIF(tblAnahtarB[NormB],$A434))</f>
        <v/>
      </c>
      <c r="C434" s="16">
        <f>IF($A434="","",SUMIF(tblAnahtarB[NormB],$A434,tblVeriB[BeyanTutar]))</f>
        <v/>
      </c>
      <c r="D434" s="16">
        <f>IF($A434="","",SUMIF(tblAnahtarA[Norm],$A434,tblVeriA[Tutar]))</f>
        <v/>
      </c>
      <c r="E434" s="16">
        <f>IF($A434="","",ROUND($D434,2)-ROUND($C434,2))</f>
        <v/>
      </c>
      <c r="F434" s="16">
        <f>IF($A434="","",ABS($E434))</f>
        <v/>
      </c>
      <c r="G434" s="16">
        <f>IF($A434="","",IF($B434=0,"eslesmedi",IF(ROUND($D434,2)=ROUND($C434,2),"eslesti",IF(ABS(ROUND($D434,2)-ROUND($C434,2))&lt;=toleransKurus,"tolerans_icinde","tutar_farki"))))</f>
        <v/>
      </c>
      <c r="H434" s="16">
        <f>IF($A434="","",IF($B434&gt;0,"BIRINCIL",IF(COUNTIF(tblAnahtarB[IkincilB],'ANAHTAR'!$D434)&gt;0,"IKINCIL","YOK")))</f>
        <v/>
      </c>
      <c r="I434" s="16">
        <f>IF($A434="","",'ANAHTAR'!$F434)</f>
        <v/>
      </c>
      <c r="J434" s="16">
        <f>IF(OR($A434="",$D434=0),0,$F434/ABS($D434))</f>
        <v/>
      </c>
      <c r="K434" s="16">
        <f>IF($A434="","",ROUND($D434,2))</f>
        <v/>
      </c>
      <c r="L434" s="16">
        <f>IF($A434="","",ROUND($C434,2))</f>
        <v/>
      </c>
      <c r="M434" s="16">
        <f>IF($A434="","",IF($F434&lt;=toleransKurus,1,0))</f>
        <v/>
      </c>
      <c r="N434" s="16">
        <f>IF($A434="","",IF($F434&gt;cbb_esikFark,1,0))</f>
        <v/>
      </c>
      <c r="O434" s="16">
        <f>IF($A434="","",IF($G434="eslesti",$D434,0))</f>
        <v/>
      </c>
      <c r="P434" s="16">
        <f>IF($A434="","",$B434+$M434+$N434)</f>
        <v/>
      </c>
    </row>
    <row r="435">
      <c r="A435" s="16">
        <f>IF('ANAHTAR'!$B435="","",'ANAHTAR'!$B435)</f>
        <v/>
      </c>
      <c r="B435" s="16">
        <f>IF($A435="","",COUNTIF(tblAnahtarB[NormB],$A435))</f>
        <v/>
      </c>
      <c r="C435" s="16">
        <f>IF($A435="","",SUMIF(tblAnahtarB[NormB],$A435,tblVeriB[BeyanTutar]))</f>
        <v/>
      </c>
      <c r="D435" s="16">
        <f>IF($A435="","",SUMIF(tblAnahtarA[Norm],$A435,tblVeriA[Tutar]))</f>
        <v/>
      </c>
      <c r="E435" s="16">
        <f>IF($A435="","",ROUND($D435,2)-ROUND($C435,2))</f>
        <v/>
      </c>
      <c r="F435" s="16">
        <f>IF($A435="","",ABS($E435))</f>
        <v/>
      </c>
      <c r="G435" s="16">
        <f>IF($A435="","",IF($B435=0,"eslesmedi",IF(ROUND($D435,2)=ROUND($C435,2),"eslesti",IF(ABS(ROUND($D435,2)-ROUND($C435,2))&lt;=toleransKurus,"tolerans_icinde","tutar_farki"))))</f>
        <v/>
      </c>
      <c r="H435" s="16">
        <f>IF($A435="","",IF($B435&gt;0,"BIRINCIL",IF(COUNTIF(tblAnahtarB[IkincilB],'ANAHTAR'!$D435)&gt;0,"IKINCIL","YOK")))</f>
        <v/>
      </c>
      <c r="I435" s="16">
        <f>IF($A435="","",'ANAHTAR'!$F435)</f>
        <v/>
      </c>
      <c r="J435" s="16">
        <f>IF(OR($A435="",$D435=0),0,$F435/ABS($D435))</f>
        <v/>
      </c>
      <c r="K435" s="16">
        <f>IF($A435="","",ROUND($D435,2))</f>
        <v/>
      </c>
      <c r="L435" s="16">
        <f>IF($A435="","",ROUND($C435,2))</f>
        <v/>
      </c>
      <c r="M435" s="16">
        <f>IF($A435="","",IF($F435&lt;=toleransKurus,1,0))</f>
        <v/>
      </c>
      <c r="N435" s="16">
        <f>IF($A435="","",IF($F435&gt;cbb_esikFark,1,0))</f>
        <v/>
      </c>
      <c r="O435" s="16">
        <f>IF($A435="","",IF($G435="eslesti",$D435,0))</f>
        <v/>
      </c>
      <c r="P435" s="16">
        <f>IF($A435="","",$B435+$M435+$N435)</f>
        <v/>
      </c>
    </row>
    <row r="436">
      <c r="A436" s="16">
        <f>IF('ANAHTAR'!$B436="","",'ANAHTAR'!$B436)</f>
        <v/>
      </c>
      <c r="B436" s="16">
        <f>IF($A436="","",COUNTIF(tblAnahtarB[NormB],$A436))</f>
        <v/>
      </c>
      <c r="C436" s="16">
        <f>IF($A436="","",SUMIF(tblAnahtarB[NormB],$A436,tblVeriB[BeyanTutar]))</f>
        <v/>
      </c>
      <c r="D436" s="16">
        <f>IF($A436="","",SUMIF(tblAnahtarA[Norm],$A436,tblVeriA[Tutar]))</f>
        <v/>
      </c>
      <c r="E436" s="16">
        <f>IF($A436="","",ROUND($D436,2)-ROUND($C436,2))</f>
        <v/>
      </c>
      <c r="F436" s="16">
        <f>IF($A436="","",ABS($E436))</f>
        <v/>
      </c>
      <c r="G436" s="16">
        <f>IF($A436="","",IF($B436=0,"eslesmedi",IF(ROUND($D436,2)=ROUND($C436,2),"eslesti",IF(ABS(ROUND($D436,2)-ROUND($C436,2))&lt;=toleransKurus,"tolerans_icinde","tutar_farki"))))</f>
        <v/>
      </c>
      <c r="H436" s="16">
        <f>IF($A436="","",IF($B436&gt;0,"BIRINCIL",IF(COUNTIF(tblAnahtarB[IkincilB],'ANAHTAR'!$D436)&gt;0,"IKINCIL","YOK")))</f>
        <v/>
      </c>
      <c r="I436" s="16">
        <f>IF($A436="","",'ANAHTAR'!$F436)</f>
        <v/>
      </c>
      <c r="J436" s="16">
        <f>IF(OR($A436="",$D436=0),0,$F436/ABS($D436))</f>
        <v/>
      </c>
      <c r="K436" s="16">
        <f>IF($A436="","",ROUND($D436,2))</f>
        <v/>
      </c>
      <c r="L436" s="16">
        <f>IF($A436="","",ROUND($C436,2))</f>
        <v/>
      </c>
      <c r="M436" s="16">
        <f>IF($A436="","",IF($F436&lt;=toleransKurus,1,0))</f>
        <v/>
      </c>
      <c r="N436" s="16">
        <f>IF($A436="","",IF($F436&gt;cbb_esikFark,1,0))</f>
        <v/>
      </c>
      <c r="O436" s="16">
        <f>IF($A436="","",IF($G436="eslesti",$D436,0))</f>
        <v/>
      </c>
      <c r="P436" s="16">
        <f>IF($A436="","",$B436+$M436+$N436)</f>
        <v/>
      </c>
    </row>
    <row r="437">
      <c r="A437" s="16">
        <f>IF('ANAHTAR'!$B437="","",'ANAHTAR'!$B437)</f>
        <v/>
      </c>
      <c r="B437" s="16">
        <f>IF($A437="","",COUNTIF(tblAnahtarB[NormB],$A437))</f>
        <v/>
      </c>
      <c r="C437" s="16">
        <f>IF($A437="","",SUMIF(tblAnahtarB[NormB],$A437,tblVeriB[BeyanTutar]))</f>
        <v/>
      </c>
      <c r="D437" s="16">
        <f>IF($A437="","",SUMIF(tblAnahtarA[Norm],$A437,tblVeriA[Tutar]))</f>
        <v/>
      </c>
      <c r="E437" s="16">
        <f>IF($A437="","",ROUND($D437,2)-ROUND($C437,2))</f>
        <v/>
      </c>
      <c r="F437" s="16">
        <f>IF($A437="","",ABS($E437))</f>
        <v/>
      </c>
      <c r="G437" s="16">
        <f>IF($A437="","",IF($B437=0,"eslesmedi",IF(ROUND($D437,2)=ROUND($C437,2),"eslesti",IF(ABS(ROUND($D437,2)-ROUND($C437,2))&lt;=toleransKurus,"tolerans_icinde","tutar_farki"))))</f>
        <v/>
      </c>
      <c r="H437" s="16">
        <f>IF($A437="","",IF($B437&gt;0,"BIRINCIL",IF(COUNTIF(tblAnahtarB[IkincilB],'ANAHTAR'!$D437)&gt;0,"IKINCIL","YOK")))</f>
        <v/>
      </c>
      <c r="I437" s="16">
        <f>IF($A437="","",'ANAHTAR'!$F437)</f>
        <v/>
      </c>
      <c r="J437" s="16">
        <f>IF(OR($A437="",$D437=0),0,$F437/ABS($D437))</f>
        <v/>
      </c>
      <c r="K437" s="16">
        <f>IF($A437="","",ROUND($D437,2))</f>
        <v/>
      </c>
      <c r="L437" s="16">
        <f>IF($A437="","",ROUND($C437,2))</f>
        <v/>
      </c>
      <c r="M437" s="16">
        <f>IF($A437="","",IF($F437&lt;=toleransKurus,1,0))</f>
        <v/>
      </c>
      <c r="N437" s="16">
        <f>IF($A437="","",IF($F437&gt;cbb_esikFark,1,0))</f>
        <v/>
      </c>
      <c r="O437" s="16">
        <f>IF($A437="","",IF($G437="eslesti",$D437,0))</f>
        <v/>
      </c>
      <c r="P437" s="16">
        <f>IF($A437="","",$B437+$M437+$N437)</f>
        <v/>
      </c>
    </row>
    <row r="438">
      <c r="A438" s="16">
        <f>IF('ANAHTAR'!$B438="","",'ANAHTAR'!$B438)</f>
        <v/>
      </c>
      <c r="B438" s="16">
        <f>IF($A438="","",COUNTIF(tblAnahtarB[NormB],$A438))</f>
        <v/>
      </c>
      <c r="C438" s="16">
        <f>IF($A438="","",SUMIF(tblAnahtarB[NormB],$A438,tblVeriB[BeyanTutar]))</f>
        <v/>
      </c>
      <c r="D438" s="16">
        <f>IF($A438="","",SUMIF(tblAnahtarA[Norm],$A438,tblVeriA[Tutar]))</f>
        <v/>
      </c>
      <c r="E438" s="16">
        <f>IF($A438="","",ROUND($D438,2)-ROUND($C438,2))</f>
        <v/>
      </c>
      <c r="F438" s="16">
        <f>IF($A438="","",ABS($E438))</f>
        <v/>
      </c>
      <c r="G438" s="16">
        <f>IF($A438="","",IF($B438=0,"eslesmedi",IF(ROUND($D438,2)=ROUND($C438,2),"eslesti",IF(ABS(ROUND($D438,2)-ROUND($C438,2))&lt;=toleransKurus,"tolerans_icinde","tutar_farki"))))</f>
        <v/>
      </c>
      <c r="H438" s="16">
        <f>IF($A438="","",IF($B438&gt;0,"BIRINCIL",IF(COUNTIF(tblAnahtarB[IkincilB],'ANAHTAR'!$D438)&gt;0,"IKINCIL","YOK")))</f>
        <v/>
      </c>
      <c r="I438" s="16">
        <f>IF($A438="","",'ANAHTAR'!$F438)</f>
        <v/>
      </c>
      <c r="J438" s="16">
        <f>IF(OR($A438="",$D438=0),0,$F438/ABS($D438))</f>
        <v/>
      </c>
      <c r="K438" s="16">
        <f>IF($A438="","",ROUND($D438,2))</f>
        <v/>
      </c>
      <c r="L438" s="16">
        <f>IF($A438="","",ROUND($C438,2))</f>
        <v/>
      </c>
      <c r="M438" s="16">
        <f>IF($A438="","",IF($F438&lt;=toleransKurus,1,0))</f>
        <v/>
      </c>
      <c r="N438" s="16">
        <f>IF($A438="","",IF($F438&gt;cbb_esikFark,1,0))</f>
        <v/>
      </c>
      <c r="O438" s="16">
        <f>IF($A438="","",IF($G438="eslesti",$D438,0))</f>
        <v/>
      </c>
      <c r="P438" s="16">
        <f>IF($A438="","",$B438+$M438+$N438)</f>
        <v/>
      </c>
    </row>
    <row r="439">
      <c r="A439" s="16">
        <f>IF('ANAHTAR'!$B439="","",'ANAHTAR'!$B439)</f>
        <v/>
      </c>
      <c r="B439" s="16">
        <f>IF($A439="","",COUNTIF(tblAnahtarB[NormB],$A439))</f>
        <v/>
      </c>
      <c r="C439" s="16">
        <f>IF($A439="","",SUMIF(tblAnahtarB[NormB],$A439,tblVeriB[BeyanTutar]))</f>
        <v/>
      </c>
      <c r="D439" s="16">
        <f>IF($A439="","",SUMIF(tblAnahtarA[Norm],$A439,tblVeriA[Tutar]))</f>
        <v/>
      </c>
      <c r="E439" s="16">
        <f>IF($A439="","",ROUND($D439,2)-ROUND($C439,2))</f>
        <v/>
      </c>
      <c r="F439" s="16">
        <f>IF($A439="","",ABS($E439))</f>
        <v/>
      </c>
      <c r="G439" s="16">
        <f>IF($A439="","",IF($B439=0,"eslesmedi",IF(ROUND($D439,2)=ROUND($C439,2),"eslesti",IF(ABS(ROUND($D439,2)-ROUND($C439,2))&lt;=toleransKurus,"tolerans_icinde","tutar_farki"))))</f>
        <v/>
      </c>
      <c r="H439" s="16">
        <f>IF($A439="","",IF($B439&gt;0,"BIRINCIL",IF(COUNTIF(tblAnahtarB[IkincilB],'ANAHTAR'!$D439)&gt;0,"IKINCIL","YOK")))</f>
        <v/>
      </c>
      <c r="I439" s="16">
        <f>IF($A439="","",'ANAHTAR'!$F439)</f>
        <v/>
      </c>
      <c r="J439" s="16">
        <f>IF(OR($A439="",$D439=0),0,$F439/ABS($D439))</f>
        <v/>
      </c>
      <c r="K439" s="16">
        <f>IF($A439="","",ROUND($D439,2))</f>
        <v/>
      </c>
      <c r="L439" s="16">
        <f>IF($A439="","",ROUND($C439,2))</f>
        <v/>
      </c>
      <c r="M439" s="16">
        <f>IF($A439="","",IF($F439&lt;=toleransKurus,1,0))</f>
        <v/>
      </c>
      <c r="N439" s="16">
        <f>IF($A439="","",IF($F439&gt;cbb_esikFark,1,0))</f>
        <v/>
      </c>
      <c r="O439" s="16">
        <f>IF($A439="","",IF($G439="eslesti",$D439,0))</f>
        <v/>
      </c>
      <c r="P439" s="16">
        <f>IF($A439="","",$B439+$M439+$N439)</f>
        <v/>
      </c>
    </row>
    <row r="440">
      <c r="A440" s="16">
        <f>IF('ANAHTAR'!$B440="","",'ANAHTAR'!$B440)</f>
        <v/>
      </c>
      <c r="B440" s="16">
        <f>IF($A440="","",COUNTIF(tblAnahtarB[NormB],$A440))</f>
        <v/>
      </c>
      <c r="C440" s="16">
        <f>IF($A440="","",SUMIF(tblAnahtarB[NormB],$A440,tblVeriB[BeyanTutar]))</f>
        <v/>
      </c>
      <c r="D440" s="16">
        <f>IF($A440="","",SUMIF(tblAnahtarA[Norm],$A440,tblVeriA[Tutar]))</f>
        <v/>
      </c>
      <c r="E440" s="16">
        <f>IF($A440="","",ROUND($D440,2)-ROUND($C440,2))</f>
        <v/>
      </c>
      <c r="F440" s="16">
        <f>IF($A440="","",ABS($E440))</f>
        <v/>
      </c>
      <c r="G440" s="16">
        <f>IF($A440="","",IF($B440=0,"eslesmedi",IF(ROUND($D440,2)=ROUND($C440,2),"eslesti",IF(ABS(ROUND($D440,2)-ROUND($C440,2))&lt;=toleransKurus,"tolerans_icinde","tutar_farki"))))</f>
        <v/>
      </c>
      <c r="H440" s="16">
        <f>IF($A440="","",IF($B440&gt;0,"BIRINCIL",IF(COUNTIF(tblAnahtarB[IkincilB],'ANAHTAR'!$D440)&gt;0,"IKINCIL","YOK")))</f>
        <v/>
      </c>
      <c r="I440" s="16">
        <f>IF($A440="","",'ANAHTAR'!$F440)</f>
        <v/>
      </c>
      <c r="J440" s="16">
        <f>IF(OR($A440="",$D440=0),0,$F440/ABS($D440))</f>
        <v/>
      </c>
      <c r="K440" s="16">
        <f>IF($A440="","",ROUND($D440,2))</f>
        <v/>
      </c>
      <c r="L440" s="16">
        <f>IF($A440="","",ROUND($C440,2))</f>
        <v/>
      </c>
      <c r="M440" s="16">
        <f>IF($A440="","",IF($F440&lt;=toleransKurus,1,0))</f>
        <v/>
      </c>
      <c r="N440" s="16">
        <f>IF($A440="","",IF($F440&gt;cbb_esikFark,1,0))</f>
        <v/>
      </c>
      <c r="O440" s="16">
        <f>IF($A440="","",IF($G440="eslesti",$D440,0))</f>
        <v/>
      </c>
      <c r="P440" s="16">
        <f>IF($A440="","",$B440+$M440+$N440)</f>
        <v/>
      </c>
    </row>
    <row r="441">
      <c r="A441" s="16">
        <f>IF('ANAHTAR'!$B441="","",'ANAHTAR'!$B441)</f>
        <v/>
      </c>
      <c r="B441" s="16">
        <f>IF($A441="","",COUNTIF(tblAnahtarB[NormB],$A441))</f>
        <v/>
      </c>
      <c r="C441" s="16">
        <f>IF($A441="","",SUMIF(tblAnahtarB[NormB],$A441,tblVeriB[BeyanTutar]))</f>
        <v/>
      </c>
      <c r="D441" s="16">
        <f>IF($A441="","",SUMIF(tblAnahtarA[Norm],$A441,tblVeriA[Tutar]))</f>
        <v/>
      </c>
      <c r="E441" s="16">
        <f>IF($A441="","",ROUND($D441,2)-ROUND($C441,2))</f>
        <v/>
      </c>
      <c r="F441" s="16">
        <f>IF($A441="","",ABS($E441))</f>
        <v/>
      </c>
      <c r="G441" s="16">
        <f>IF($A441="","",IF($B441=0,"eslesmedi",IF(ROUND($D441,2)=ROUND($C441,2),"eslesti",IF(ABS(ROUND($D441,2)-ROUND($C441,2))&lt;=toleransKurus,"tolerans_icinde","tutar_farki"))))</f>
        <v/>
      </c>
      <c r="H441" s="16">
        <f>IF($A441="","",IF($B441&gt;0,"BIRINCIL",IF(COUNTIF(tblAnahtarB[IkincilB],'ANAHTAR'!$D441)&gt;0,"IKINCIL","YOK")))</f>
        <v/>
      </c>
      <c r="I441" s="16">
        <f>IF($A441="","",'ANAHTAR'!$F441)</f>
        <v/>
      </c>
      <c r="J441" s="16">
        <f>IF(OR($A441="",$D441=0),0,$F441/ABS($D441))</f>
        <v/>
      </c>
      <c r="K441" s="16">
        <f>IF($A441="","",ROUND($D441,2))</f>
        <v/>
      </c>
      <c r="L441" s="16">
        <f>IF($A441="","",ROUND($C441,2))</f>
        <v/>
      </c>
      <c r="M441" s="16">
        <f>IF($A441="","",IF($F441&lt;=toleransKurus,1,0))</f>
        <v/>
      </c>
      <c r="N441" s="16">
        <f>IF($A441="","",IF($F441&gt;cbb_esikFark,1,0))</f>
        <v/>
      </c>
      <c r="O441" s="16">
        <f>IF($A441="","",IF($G441="eslesti",$D441,0))</f>
        <v/>
      </c>
      <c r="P441" s="16">
        <f>IF($A441="","",$B441+$M441+$N441)</f>
        <v/>
      </c>
    </row>
    <row r="442">
      <c r="A442" s="16">
        <f>IF('ANAHTAR'!$B442="","",'ANAHTAR'!$B442)</f>
        <v/>
      </c>
      <c r="B442" s="16">
        <f>IF($A442="","",COUNTIF(tblAnahtarB[NormB],$A442))</f>
        <v/>
      </c>
      <c r="C442" s="16">
        <f>IF($A442="","",SUMIF(tblAnahtarB[NormB],$A442,tblVeriB[BeyanTutar]))</f>
        <v/>
      </c>
      <c r="D442" s="16">
        <f>IF($A442="","",SUMIF(tblAnahtarA[Norm],$A442,tblVeriA[Tutar]))</f>
        <v/>
      </c>
      <c r="E442" s="16">
        <f>IF($A442="","",ROUND($D442,2)-ROUND($C442,2))</f>
        <v/>
      </c>
      <c r="F442" s="16">
        <f>IF($A442="","",ABS($E442))</f>
        <v/>
      </c>
      <c r="G442" s="16">
        <f>IF($A442="","",IF($B442=0,"eslesmedi",IF(ROUND($D442,2)=ROUND($C442,2),"eslesti",IF(ABS(ROUND($D442,2)-ROUND($C442,2))&lt;=toleransKurus,"tolerans_icinde","tutar_farki"))))</f>
        <v/>
      </c>
      <c r="H442" s="16">
        <f>IF($A442="","",IF($B442&gt;0,"BIRINCIL",IF(COUNTIF(tblAnahtarB[IkincilB],'ANAHTAR'!$D442)&gt;0,"IKINCIL","YOK")))</f>
        <v/>
      </c>
      <c r="I442" s="16">
        <f>IF($A442="","",'ANAHTAR'!$F442)</f>
        <v/>
      </c>
      <c r="J442" s="16">
        <f>IF(OR($A442="",$D442=0),0,$F442/ABS($D442))</f>
        <v/>
      </c>
      <c r="K442" s="16">
        <f>IF($A442="","",ROUND($D442,2))</f>
        <v/>
      </c>
      <c r="L442" s="16">
        <f>IF($A442="","",ROUND($C442,2))</f>
        <v/>
      </c>
      <c r="M442" s="16">
        <f>IF($A442="","",IF($F442&lt;=toleransKurus,1,0))</f>
        <v/>
      </c>
      <c r="N442" s="16">
        <f>IF($A442="","",IF($F442&gt;cbb_esikFark,1,0))</f>
        <v/>
      </c>
      <c r="O442" s="16">
        <f>IF($A442="","",IF($G442="eslesti",$D442,0))</f>
        <v/>
      </c>
      <c r="P442" s="16">
        <f>IF($A442="","",$B442+$M442+$N442)</f>
        <v/>
      </c>
    </row>
    <row r="443">
      <c r="A443" s="16">
        <f>IF('ANAHTAR'!$B443="","",'ANAHTAR'!$B443)</f>
        <v/>
      </c>
      <c r="B443" s="16">
        <f>IF($A443="","",COUNTIF(tblAnahtarB[NormB],$A443))</f>
        <v/>
      </c>
      <c r="C443" s="16">
        <f>IF($A443="","",SUMIF(tblAnahtarB[NormB],$A443,tblVeriB[BeyanTutar]))</f>
        <v/>
      </c>
      <c r="D443" s="16">
        <f>IF($A443="","",SUMIF(tblAnahtarA[Norm],$A443,tblVeriA[Tutar]))</f>
        <v/>
      </c>
      <c r="E443" s="16">
        <f>IF($A443="","",ROUND($D443,2)-ROUND($C443,2))</f>
        <v/>
      </c>
      <c r="F443" s="16">
        <f>IF($A443="","",ABS($E443))</f>
        <v/>
      </c>
      <c r="G443" s="16">
        <f>IF($A443="","",IF($B443=0,"eslesmedi",IF(ROUND($D443,2)=ROUND($C443,2),"eslesti",IF(ABS(ROUND($D443,2)-ROUND($C443,2))&lt;=toleransKurus,"tolerans_icinde","tutar_farki"))))</f>
        <v/>
      </c>
      <c r="H443" s="16">
        <f>IF($A443="","",IF($B443&gt;0,"BIRINCIL",IF(COUNTIF(tblAnahtarB[IkincilB],'ANAHTAR'!$D443)&gt;0,"IKINCIL","YOK")))</f>
        <v/>
      </c>
      <c r="I443" s="16">
        <f>IF($A443="","",'ANAHTAR'!$F443)</f>
        <v/>
      </c>
      <c r="J443" s="16">
        <f>IF(OR($A443="",$D443=0),0,$F443/ABS($D443))</f>
        <v/>
      </c>
      <c r="K443" s="16">
        <f>IF($A443="","",ROUND($D443,2))</f>
        <v/>
      </c>
      <c r="L443" s="16">
        <f>IF($A443="","",ROUND($C443,2))</f>
        <v/>
      </c>
      <c r="M443" s="16">
        <f>IF($A443="","",IF($F443&lt;=toleransKurus,1,0))</f>
        <v/>
      </c>
      <c r="N443" s="16">
        <f>IF($A443="","",IF($F443&gt;cbb_esikFark,1,0))</f>
        <v/>
      </c>
      <c r="O443" s="16">
        <f>IF($A443="","",IF($G443="eslesti",$D443,0))</f>
        <v/>
      </c>
      <c r="P443" s="16">
        <f>IF($A443="","",$B443+$M443+$N443)</f>
        <v/>
      </c>
    </row>
    <row r="444">
      <c r="A444" s="16">
        <f>IF('ANAHTAR'!$B444="","",'ANAHTAR'!$B444)</f>
        <v/>
      </c>
      <c r="B444" s="16">
        <f>IF($A444="","",COUNTIF(tblAnahtarB[NormB],$A444))</f>
        <v/>
      </c>
      <c r="C444" s="16">
        <f>IF($A444="","",SUMIF(tblAnahtarB[NormB],$A444,tblVeriB[BeyanTutar]))</f>
        <v/>
      </c>
      <c r="D444" s="16">
        <f>IF($A444="","",SUMIF(tblAnahtarA[Norm],$A444,tblVeriA[Tutar]))</f>
        <v/>
      </c>
      <c r="E444" s="16">
        <f>IF($A444="","",ROUND($D444,2)-ROUND($C444,2))</f>
        <v/>
      </c>
      <c r="F444" s="16">
        <f>IF($A444="","",ABS($E444))</f>
        <v/>
      </c>
      <c r="G444" s="16">
        <f>IF($A444="","",IF($B444=0,"eslesmedi",IF(ROUND($D444,2)=ROUND($C444,2),"eslesti",IF(ABS(ROUND($D444,2)-ROUND($C444,2))&lt;=toleransKurus,"tolerans_icinde","tutar_farki"))))</f>
        <v/>
      </c>
      <c r="H444" s="16">
        <f>IF($A444="","",IF($B444&gt;0,"BIRINCIL",IF(COUNTIF(tblAnahtarB[IkincilB],'ANAHTAR'!$D444)&gt;0,"IKINCIL","YOK")))</f>
        <v/>
      </c>
      <c r="I444" s="16">
        <f>IF($A444="","",'ANAHTAR'!$F444)</f>
        <v/>
      </c>
      <c r="J444" s="16">
        <f>IF(OR($A444="",$D444=0),0,$F444/ABS($D444))</f>
        <v/>
      </c>
      <c r="K444" s="16">
        <f>IF($A444="","",ROUND($D444,2))</f>
        <v/>
      </c>
      <c r="L444" s="16">
        <f>IF($A444="","",ROUND($C444,2))</f>
        <v/>
      </c>
      <c r="M444" s="16">
        <f>IF($A444="","",IF($F444&lt;=toleransKurus,1,0))</f>
        <v/>
      </c>
      <c r="N444" s="16">
        <f>IF($A444="","",IF($F444&gt;cbb_esikFark,1,0))</f>
        <v/>
      </c>
      <c r="O444" s="16">
        <f>IF($A444="","",IF($G444="eslesti",$D444,0))</f>
        <v/>
      </c>
      <c r="P444" s="16">
        <f>IF($A444="","",$B444+$M444+$N444)</f>
        <v/>
      </c>
    </row>
    <row r="445">
      <c r="A445" s="16">
        <f>IF('ANAHTAR'!$B445="","",'ANAHTAR'!$B445)</f>
        <v/>
      </c>
      <c r="B445" s="16">
        <f>IF($A445="","",COUNTIF(tblAnahtarB[NormB],$A445))</f>
        <v/>
      </c>
      <c r="C445" s="16">
        <f>IF($A445="","",SUMIF(tblAnahtarB[NormB],$A445,tblVeriB[BeyanTutar]))</f>
        <v/>
      </c>
      <c r="D445" s="16">
        <f>IF($A445="","",SUMIF(tblAnahtarA[Norm],$A445,tblVeriA[Tutar]))</f>
        <v/>
      </c>
      <c r="E445" s="16">
        <f>IF($A445="","",ROUND($D445,2)-ROUND($C445,2))</f>
        <v/>
      </c>
      <c r="F445" s="16">
        <f>IF($A445="","",ABS($E445))</f>
        <v/>
      </c>
      <c r="G445" s="16">
        <f>IF($A445="","",IF($B445=0,"eslesmedi",IF(ROUND($D445,2)=ROUND($C445,2),"eslesti",IF(ABS(ROUND($D445,2)-ROUND($C445,2))&lt;=toleransKurus,"tolerans_icinde","tutar_farki"))))</f>
        <v/>
      </c>
      <c r="H445" s="16">
        <f>IF($A445="","",IF($B445&gt;0,"BIRINCIL",IF(COUNTIF(tblAnahtarB[IkincilB],'ANAHTAR'!$D445)&gt;0,"IKINCIL","YOK")))</f>
        <v/>
      </c>
      <c r="I445" s="16">
        <f>IF($A445="","",'ANAHTAR'!$F445)</f>
        <v/>
      </c>
      <c r="J445" s="16">
        <f>IF(OR($A445="",$D445=0),0,$F445/ABS($D445))</f>
        <v/>
      </c>
      <c r="K445" s="16">
        <f>IF($A445="","",ROUND($D445,2))</f>
        <v/>
      </c>
      <c r="L445" s="16">
        <f>IF($A445="","",ROUND($C445,2))</f>
        <v/>
      </c>
      <c r="M445" s="16">
        <f>IF($A445="","",IF($F445&lt;=toleransKurus,1,0))</f>
        <v/>
      </c>
      <c r="N445" s="16">
        <f>IF($A445="","",IF($F445&gt;cbb_esikFark,1,0))</f>
        <v/>
      </c>
      <c r="O445" s="16">
        <f>IF($A445="","",IF($G445="eslesti",$D445,0))</f>
        <v/>
      </c>
      <c r="P445" s="16">
        <f>IF($A445="","",$B445+$M445+$N445)</f>
        <v/>
      </c>
    </row>
    <row r="446">
      <c r="A446" s="16">
        <f>IF('ANAHTAR'!$B446="","",'ANAHTAR'!$B446)</f>
        <v/>
      </c>
      <c r="B446" s="16">
        <f>IF($A446="","",COUNTIF(tblAnahtarB[NormB],$A446))</f>
        <v/>
      </c>
      <c r="C446" s="16">
        <f>IF($A446="","",SUMIF(tblAnahtarB[NormB],$A446,tblVeriB[BeyanTutar]))</f>
        <v/>
      </c>
      <c r="D446" s="16">
        <f>IF($A446="","",SUMIF(tblAnahtarA[Norm],$A446,tblVeriA[Tutar]))</f>
        <v/>
      </c>
      <c r="E446" s="16">
        <f>IF($A446="","",ROUND($D446,2)-ROUND($C446,2))</f>
        <v/>
      </c>
      <c r="F446" s="16">
        <f>IF($A446="","",ABS($E446))</f>
        <v/>
      </c>
      <c r="G446" s="16">
        <f>IF($A446="","",IF($B446=0,"eslesmedi",IF(ROUND($D446,2)=ROUND($C446,2),"eslesti",IF(ABS(ROUND($D446,2)-ROUND($C446,2))&lt;=toleransKurus,"tolerans_icinde","tutar_farki"))))</f>
        <v/>
      </c>
      <c r="H446" s="16">
        <f>IF($A446="","",IF($B446&gt;0,"BIRINCIL",IF(COUNTIF(tblAnahtarB[IkincilB],'ANAHTAR'!$D446)&gt;0,"IKINCIL","YOK")))</f>
        <v/>
      </c>
      <c r="I446" s="16">
        <f>IF($A446="","",'ANAHTAR'!$F446)</f>
        <v/>
      </c>
      <c r="J446" s="16">
        <f>IF(OR($A446="",$D446=0),0,$F446/ABS($D446))</f>
        <v/>
      </c>
      <c r="K446" s="16">
        <f>IF($A446="","",ROUND($D446,2))</f>
        <v/>
      </c>
      <c r="L446" s="16">
        <f>IF($A446="","",ROUND($C446,2))</f>
        <v/>
      </c>
      <c r="M446" s="16">
        <f>IF($A446="","",IF($F446&lt;=toleransKurus,1,0))</f>
        <v/>
      </c>
      <c r="N446" s="16">
        <f>IF($A446="","",IF($F446&gt;cbb_esikFark,1,0))</f>
        <v/>
      </c>
      <c r="O446" s="16">
        <f>IF($A446="","",IF($G446="eslesti",$D446,0))</f>
        <v/>
      </c>
      <c r="P446" s="16">
        <f>IF($A446="","",$B446+$M446+$N446)</f>
        <v/>
      </c>
    </row>
    <row r="447">
      <c r="A447" s="16">
        <f>IF('ANAHTAR'!$B447="","",'ANAHTAR'!$B447)</f>
        <v/>
      </c>
      <c r="B447" s="16">
        <f>IF($A447="","",COUNTIF(tblAnahtarB[NormB],$A447))</f>
        <v/>
      </c>
      <c r="C447" s="16">
        <f>IF($A447="","",SUMIF(tblAnahtarB[NormB],$A447,tblVeriB[BeyanTutar]))</f>
        <v/>
      </c>
      <c r="D447" s="16">
        <f>IF($A447="","",SUMIF(tblAnahtarA[Norm],$A447,tblVeriA[Tutar]))</f>
        <v/>
      </c>
      <c r="E447" s="16">
        <f>IF($A447="","",ROUND($D447,2)-ROUND($C447,2))</f>
        <v/>
      </c>
      <c r="F447" s="16">
        <f>IF($A447="","",ABS($E447))</f>
        <v/>
      </c>
      <c r="G447" s="16">
        <f>IF($A447="","",IF($B447=0,"eslesmedi",IF(ROUND($D447,2)=ROUND($C447,2),"eslesti",IF(ABS(ROUND($D447,2)-ROUND($C447,2))&lt;=toleransKurus,"tolerans_icinde","tutar_farki"))))</f>
        <v/>
      </c>
      <c r="H447" s="16">
        <f>IF($A447="","",IF($B447&gt;0,"BIRINCIL",IF(COUNTIF(tblAnahtarB[IkincilB],'ANAHTAR'!$D447)&gt;0,"IKINCIL","YOK")))</f>
        <v/>
      </c>
      <c r="I447" s="16">
        <f>IF($A447="","",'ANAHTAR'!$F447)</f>
        <v/>
      </c>
      <c r="J447" s="16">
        <f>IF(OR($A447="",$D447=0),0,$F447/ABS($D447))</f>
        <v/>
      </c>
      <c r="K447" s="16">
        <f>IF($A447="","",ROUND($D447,2))</f>
        <v/>
      </c>
      <c r="L447" s="16">
        <f>IF($A447="","",ROUND($C447,2))</f>
        <v/>
      </c>
      <c r="M447" s="16">
        <f>IF($A447="","",IF($F447&lt;=toleransKurus,1,0))</f>
        <v/>
      </c>
      <c r="N447" s="16">
        <f>IF($A447="","",IF($F447&gt;cbb_esikFark,1,0))</f>
        <v/>
      </c>
      <c r="O447" s="16">
        <f>IF($A447="","",IF($G447="eslesti",$D447,0))</f>
        <v/>
      </c>
      <c r="P447" s="16">
        <f>IF($A447="","",$B447+$M447+$N447)</f>
        <v/>
      </c>
    </row>
    <row r="448">
      <c r="A448" s="16">
        <f>IF('ANAHTAR'!$B448="","",'ANAHTAR'!$B448)</f>
        <v/>
      </c>
      <c r="B448" s="16">
        <f>IF($A448="","",COUNTIF(tblAnahtarB[NormB],$A448))</f>
        <v/>
      </c>
      <c r="C448" s="16">
        <f>IF($A448="","",SUMIF(tblAnahtarB[NormB],$A448,tblVeriB[BeyanTutar]))</f>
        <v/>
      </c>
      <c r="D448" s="16">
        <f>IF($A448="","",SUMIF(tblAnahtarA[Norm],$A448,tblVeriA[Tutar]))</f>
        <v/>
      </c>
      <c r="E448" s="16">
        <f>IF($A448="","",ROUND($D448,2)-ROUND($C448,2))</f>
        <v/>
      </c>
      <c r="F448" s="16">
        <f>IF($A448="","",ABS($E448))</f>
        <v/>
      </c>
      <c r="G448" s="16">
        <f>IF($A448="","",IF($B448=0,"eslesmedi",IF(ROUND($D448,2)=ROUND($C448,2),"eslesti",IF(ABS(ROUND($D448,2)-ROUND($C448,2))&lt;=toleransKurus,"tolerans_icinde","tutar_farki"))))</f>
        <v/>
      </c>
      <c r="H448" s="16">
        <f>IF($A448="","",IF($B448&gt;0,"BIRINCIL",IF(COUNTIF(tblAnahtarB[IkincilB],'ANAHTAR'!$D448)&gt;0,"IKINCIL","YOK")))</f>
        <v/>
      </c>
      <c r="I448" s="16">
        <f>IF($A448="","",'ANAHTAR'!$F448)</f>
        <v/>
      </c>
      <c r="J448" s="16">
        <f>IF(OR($A448="",$D448=0),0,$F448/ABS($D448))</f>
        <v/>
      </c>
      <c r="K448" s="16">
        <f>IF($A448="","",ROUND($D448,2))</f>
        <v/>
      </c>
      <c r="L448" s="16">
        <f>IF($A448="","",ROUND($C448,2))</f>
        <v/>
      </c>
      <c r="M448" s="16">
        <f>IF($A448="","",IF($F448&lt;=toleransKurus,1,0))</f>
        <v/>
      </c>
      <c r="N448" s="16">
        <f>IF($A448="","",IF($F448&gt;cbb_esikFark,1,0))</f>
        <v/>
      </c>
      <c r="O448" s="16">
        <f>IF($A448="","",IF($G448="eslesti",$D448,0))</f>
        <v/>
      </c>
      <c r="P448" s="16">
        <f>IF($A448="","",$B448+$M448+$N448)</f>
        <v/>
      </c>
    </row>
    <row r="449">
      <c r="A449" s="16">
        <f>IF('ANAHTAR'!$B449="","",'ANAHTAR'!$B449)</f>
        <v/>
      </c>
      <c r="B449" s="16">
        <f>IF($A449="","",COUNTIF(tblAnahtarB[NormB],$A449))</f>
        <v/>
      </c>
      <c r="C449" s="16">
        <f>IF($A449="","",SUMIF(tblAnahtarB[NormB],$A449,tblVeriB[BeyanTutar]))</f>
        <v/>
      </c>
      <c r="D449" s="16">
        <f>IF($A449="","",SUMIF(tblAnahtarA[Norm],$A449,tblVeriA[Tutar]))</f>
        <v/>
      </c>
      <c r="E449" s="16">
        <f>IF($A449="","",ROUND($D449,2)-ROUND($C449,2))</f>
        <v/>
      </c>
      <c r="F449" s="16">
        <f>IF($A449="","",ABS($E449))</f>
        <v/>
      </c>
      <c r="G449" s="16">
        <f>IF($A449="","",IF($B449=0,"eslesmedi",IF(ROUND($D449,2)=ROUND($C449,2),"eslesti",IF(ABS(ROUND($D449,2)-ROUND($C449,2))&lt;=toleransKurus,"tolerans_icinde","tutar_farki"))))</f>
        <v/>
      </c>
      <c r="H449" s="16">
        <f>IF($A449="","",IF($B449&gt;0,"BIRINCIL",IF(COUNTIF(tblAnahtarB[IkincilB],'ANAHTAR'!$D449)&gt;0,"IKINCIL","YOK")))</f>
        <v/>
      </c>
      <c r="I449" s="16">
        <f>IF($A449="","",'ANAHTAR'!$F449)</f>
        <v/>
      </c>
      <c r="J449" s="16">
        <f>IF(OR($A449="",$D449=0),0,$F449/ABS($D449))</f>
        <v/>
      </c>
      <c r="K449" s="16">
        <f>IF($A449="","",ROUND($D449,2))</f>
        <v/>
      </c>
      <c r="L449" s="16">
        <f>IF($A449="","",ROUND($C449,2))</f>
        <v/>
      </c>
      <c r="M449" s="16">
        <f>IF($A449="","",IF($F449&lt;=toleransKurus,1,0))</f>
        <v/>
      </c>
      <c r="N449" s="16">
        <f>IF($A449="","",IF($F449&gt;cbb_esikFark,1,0))</f>
        <v/>
      </c>
      <c r="O449" s="16">
        <f>IF($A449="","",IF($G449="eslesti",$D449,0))</f>
        <v/>
      </c>
      <c r="P449" s="16">
        <f>IF($A449="","",$B449+$M449+$N449)</f>
        <v/>
      </c>
    </row>
    <row r="450">
      <c r="A450" s="16">
        <f>IF('ANAHTAR'!$B450="","",'ANAHTAR'!$B450)</f>
        <v/>
      </c>
      <c r="B450" s="16">
        <f>IF($A450="","",COUNTIF(tblAnahtarB[NormB],$A450))</f>
        <v/>
      </c>
      <c r="C450" s="16">
        <f>IF($A450="","",SUMIF(tblAnahtarB[NormB],$A450,tblVeriB[BeyanTutar]))</f>
        <v/>
      </c>
      <c r="D450" s="16">
        <f>IF($A450="","",SUMIF(tblAnahtarA[Norm],$A450,tblVeriA[Tutar]))</f>
        <v/>
      </c>
      <c r="E450" s="16">
        <f>IF($A450="","",ROUND($D450,2)-ROUND($C450,2))</f>
        <v/>
      </c>
      <c r="F450" s="16">
        <f>IF($A450="","",ABS($E450))</f>
        <v/>
      </c>
      <c r="G450" s="16">
        <f>IF($A450="","",IF($B450=0,"eslesmedi",IF(ROUND($D450,2)=ROUND($C450,2),"eslesti",IF(ABS(ROUND($D450,2)-ROUND($C450,2))&lt;=toleransKurus,"tolerans_icinde","tutar_farki"))))</f>
        <v/>
      </c>
      <c r="H450" s="16">
        <f>IF($A450="","",IF($B450&gt;0,"BIRINCIL",IF(COUNTIF(tblAnahtarB[IkincilB],'ANAHTAR'!$D450)&gt;0,"IKINCIL","YOK")))</f>
        <v/>
      </c>
      <c r="I450" s="16">
        <f>IF($A450="","",'ANAHTAR'!$F450)</f>
        <v/>
      </c>
      <c r="J450" s="16">
        <f>IF(OR($A450="",$D450=0),0,$F450/ABS($D450))</f>
        <v/>
      </c>
      <c r="K450" s="16">
        <f>IF($A450="","",ROUND($D450,2))</f>
        <v/>
      </c>
      <c r="L450" s="16">
        <f>IF($A450="","",ROUND($C450,2))</f>
        <v/>
      </c>
      <c r="M450" s="16">
        <f>IF($A450="","",IF($F450&lt;=toleransKurus,1,0))</f>
        <v/>
      </c>
      <c r="N450" s="16">
        <f>IF($A450="","",IF($F450&gt;cbb_esikFark,1,0))</f>
        <v/>
      </c>
      <c r="O450" s="16">
        <f>IF($A450="","",IF($G450="eslesti",$D450,0))</f>
        <v/>
      </c>
      <c r="P450" s="16">
        <f>IF($A450="","",$B450+$M450+$N450)</f>
        <v/>
      </c>
    </row>
    <row r="451">
      <c r="A451" s="16">
        <f>IF('ANAHTAR'!$B451="","",'ANAHTAR'!$B451)</f>
        <v/>
      </c>
      <c r="B451" s="16">
        <f>IF($A451="","",COUNTIF(tblAnahtarB[NormB],$A451))</f>
        <v/>
      </c>
      <c r="C451" s="16">
        <f>IF($A451="","",SUMIF(tblAnahtarB[NormB],$A451,tblVeriB[BeyanTutar]))</f>
        <v/>
      </c>
      <c r="D451" s="16">
        <f>IF($A451="","",SUMIF(tblAnahtarA[Norm],$A451,tblVeriA[Tutar]))</f>
        <v/>
      </c>
      <c r="E451" s="16">
        <f>IF($A451="","",ROUND($D451,2)-ROUND($C451,2))</f>
        <v/>
      </c>
      <c r="F451" s="16">
        <f>IF($A451="","",ABS($E451))</f>
        <v/>
      </c>
      <c r="G451" s="16">
        <f>IF($A451="","",IF($B451=0,"eslesmedi",IF(ROUND($D451,2)=ROUND($C451,2),"eslesti",IF(ABS(ROUND($D451,2)-ROUND($C451,2))&lt;=toleransKurus,"tolerans_icinde","tutar_farki"))))</f>
        <v/>
      </c>
      <c r="H451" s="16">
        <f>IF($A451="","",IF($B451&gt;0,"BIRINCIL",IF(COUNTIF(tblAnahtarB[IkincilB],'ANAHTAR'!$D451)&gt;0,"IKINCIL","YOK")))</f>
        <v/>
      </c>
      <c r="I451" s="16">
        <f>IF($A451="","",'ANAHTAR'!$F451)</f>
        <v/>
      </c>
      <c r="J451" s="16">
        <f>IF(OR($A451="",$D451=0),0,$F451/ABS($D451))</f>
        <v/>
      </c>
      <c r="K451" s="16">
        <f>IF($A451="","",ROUND($D451,2))</f>
        <v/>
      </c>
      <c r="L451" s="16">
        <f>IF($A451="","",ROUND($C451,2))</f>
        <v/>
      </c>
      <c r="M451" s="16">
        <f>IF($A451="","",IF($F451&lt;=toleransKurus,1,0))</f>
        <v/>
      </c>
      <c r="N451" s="16">
        <f>IF($A451="","",IF($F451&gt;cbb_esikFark,1,0))</f>
        <v/>
      </c>
      <c r="O451" s="16">
        <f>IF($A451="","",IF($G451="eslesti",$D451,0))</f>
        <v/>
      </c>
      <c r="P451" s="16">
        <f>IF($A451="","",$B451+$M451+$N451)</f>
        <v/>
      </c>
    </row>
    <row r="452">
      <c r="A452" s="16">
        <f>IF('ANAHTAR'!$B452="","",'ANAHTAR'!$B452)</f>
        <v/>
      </c>
      <c r="B452" s="16">
        <f>IF($A452="","",COUNTIF(tblAnahtarB[NormB],$A452))</f>
        <v/>
      </c>
      <c r="C452" s="16">
        <f>IF($A452="","",SUMIF(tblAnahtarB[NormB],$A452,tblVeriB[BeyanTutar]))</f>
        <v/>
      </c>
      <c r="D452" s="16">
        <f>IF($A452="","",SUMIF(tblAnahtarA[Norm],$A452,tblVeriA[Tutar]))</f>
        <v/>
      </c>
      <c r="E452" s="16">
        <f>IF($A452="","",ROUND($D452,2)-ROUND($C452,2))</f>
        <v/>
      </c>
      <c r="F452" s="16">
        <f>IF($A452="","",ABS($E452))</f>
        <v/>
      </c>
      <c r="G452" s="16">
        <f>IF($A452="","",IF($B452=0,"eslesmedi",IF(ROUND($D452,2)=ROUND($C452,2),"eslesti",IF(ABS(ROUND($D452,2)-ROUND($C452,2))&lt;=toleransKurus,"tolerans_icinde","tutar_farki"))))</f>
        <v/>
      </c>
      <c r="H452" s="16">
        <f>IF($A452="","",IF($B452&gt;0,"BIRINCIL",IF(COUNTIF(tblAnahtarB[IkincilB],'ANAHTAR'!$D452)&gt;0,"IKINCIL","YOK")))</f>
        <v/>
      </c>
      <c r="I452" s="16">
        <f>IF($A452="","",'ANAHTAR'!$F452)</f>
        <v/>
      </c>
      <c r="J452" s="16">
        <f>IF(OR($A452="",$D452=0),0,$F452/ABS($D452))</f>
        <v/>
      </c>
      <c r="K452" s="16">
        <f>IF($A452="","",ROUND($D452,2))</f>
        <v/>
      </c>
      <c r="L452" s="16">
        <f>IF($A452="","",ROUND($C452,2))</f>
        <v/>
      </c>
      <c r="M452" s="16">
        <f>IF($A452="","",IF($F452&lt;=toleransKurus,1,0))</f>
        <v/>
      </c>
      <c r="N452" s="16">
        <f>IF($A452="","",IF($F452&gt;cbb_esikFark,1,0))</f>
        <v/>
      </c>
      <c r="O452" s="16">
        <f>IF($A452="","",IF($G452="eslesti",$D452,0))</f>
        <v/>
      </c>
      <c r="P452" s="16">
        <f>IF($A452="","",$B452+$M452+$N452)</f>
        <v/>
      </c>
    </row>
    <row r="453">
      <c r="A453" s="16">
        <f>IF('ANAHTAR'!$B453="","",'ANAHTAR'!$B453)</f>
        <v/>
      </c>
      <c r="B453" s="16">
        <f>IF($A453="","",COUNTIF(tblAnahtarB[NormB],$A453))</f>
        <v/>
      </c>
      <c r="C453" s="16">
        <f>IF($A453="","",SUMIF(tblAnahtarB[NormB],$A453,tblVeriB[BeyanTutar]))</f>
        <v/>
      </c>
      <c r="D453" s="16">
        <f>IF($A453="","",SUMIF(tblAnahtarA[Norm],$A453,tblVeriA[Tutar]))</f>
        <v/>
      </c>
      <c r="E453" s="16">
        <f>IF($A453="","",ROUND($D453,2)-ROUND($C453,2))</f>
        <v/>
      </c>
      <c r="F453" s="16">
        <f>IF($A453="","",ABS($E453))</f>
        <v/>
      </c>
      <c r="G453" s="16">
        <f>IF($A453="","",IF($B453=0,"eslesmedi",IF(ROUND($D453,2)=ROUND($C453,2),"eslesti",IF(ABS(ROUND($D453,2)-ROUND($C453,2))&lt;=toleransKurus,"tolerans_icinde","tutar_farki"))))</f>
        <v/>
      </c>
      <c r="H453" s="16">
        <f>IF($A453="","",IF($B453&gt;0,"BIRINCIL",IF(COUNTIF(tblAnahtarB[IkincilB],'ANAHTAR'!$D453)&gt;0,"IKINCIL","YOK")))</f>
        <v/>
      </c>
      <c r="I453" s="16">
        <f>IF($A453="","",'ANAHTAR'!$F453)</f>
        <v/>
      </c>
      <c r="J453" s="16">
        <f>IF(OR($A453="",$D453=0),0,$F453/ABS($D453))</f>
        <v/>
      </c>
      <c r="K453" s="16">
        <f>IF($A453="","",ROUND($D453,2))</f>
        <v/>
      </c>
      <c r="L453" s="16">
        <f>IF($A453="","",ROUND($C453,2))</f>
        <v/>
      </c>
      <c r="M453" s="16">
        <f>IF($A453="","",IF($F453&lt;=toleransKurus,1,0))</f>
        <v/>
      </c>
      <c r="N453" s="16">
        <f>IF($A453="","",IF($F453&gt;cbb_esikFark,1,0))</f>
        <v/>
      </c>
      <c r="O453" s="16">
        <f>IF($A453="","",IF($G453="eslesti",$D453,0))</f>
        <v/>
      </c>
      <c r="P453" s="16">
        <f>IF($A453="","",$B453+$M453+$N453)</f>
        <v/>
      </c>
    </row>
    <row r="454">
      <c r="A454" s="16">
        <f>IF('ANAHTAR'!$B454="","",'ANAHTAR'!$B454)</f>
        <v/>
      </c>
      <c r="B454" s="16">
        <f>IF($A454="","",COUNTIF(tblAnahtarB[NormB],$A454))</f>
        <v/>
      </c>
      <c r="C454" s="16">
        <f>IF($A454="","",SUMIF(tblAnahtarB[NormB],$A454,tblVeriB[BeyanTutar]))</f>
        <v/>
      </c>
      <c r="D454" s="16">
        <f>IF($A454="","",SUMIF(tblAnahtarA[Norm],$A454,tblVeriA[Tutar]))</f>
        <v/>
      </c>
      <c r="E454" s="16">
        <f>IF($A454="","",ROUND($D454,2)-ROUND($C454,2))</f>
        <v/>
      </c>
      <c r="F454" s="16">
        <f>IF($A454="","",ABS($E454))</f>
        <v/>
      </c>
      <c r="G454" s="16">
        <f>IF($A454="","",IF($B454=0,"eslesmedi",IF(ROUND($D454,2)=ROUND($C454,2),"eslesti",IF(ABS(ROUND($D454,2)-ROUND($C454,2))&lt;=toleransKurus,"tolerans_icinde","tutar_farki"))))</f>
        <v/>
      </c>
      <c r="H454" s="16">
        <f>IF($A454="","",IF($B454&gt;0,"BIRINCIL",IF(COUNTIF(tblAnahtarB[IkincilB],'ANAHTAR'!$D454)&gt;0,"IKINCIL","YOK")))</f>
        <v/>
      </c>
      <c r="I454" s="16">
        <f>IF($A454="","",'ANAHTAR'!$F454)</f>
        <v/>
      </c>
      <c r="J454" s="16">
        <f>IF(OR($A454="",$D454=0),0,$F454/ABS($D454))</f>
        <v/>
      </c>
      <c r="K454" s="16">
        <f>IF($A454="","",ROUND($D454,2))</f>
        <v/>
      </c>
      <c r="L454" s="16">
        <f>IF($A454="","",ROUND($C454,2))</f>
        <v/>
      </c>
      <c r="M454" s="16">
        <f>IF($A454="","",IF($F454&lt;=toleransKurus,1,0))</f>
        <v/>
      </c>
      <c r="N454" s="16">
        <f>IF($A454="","",IF($F454&gt;cbb_esikFark,1,0))</f>
        <v/>
      </c>
      <c r="O454" s="16">
        <f>IF($A454="","",IF($G454="eslesti",$D454,0))</f>
        <v/>
      </c>
      <c r="P454" s="16">
        <f>IF($A454="","",$B454+$M454+$N454)</f>
        <v/>
      </c>
    </row>
    <row r="455">
      <c r="A455" s="16">
        <f>IF('ANAHTAR'!$B455="","",'ANAHTAR'!$B455)</f>
        <v/>
      </c>
      <c r="B455" s="16">
        <f>IF($A455="","",COUNTIF(tblAnahtarB[NormB],$A455))</f>
        <v/>
      </c>
      <c r="C455" s="16">
        <f>IF($A455="","",SUMIF(tblAnahtarB[NormB],$A455,tblVeriB[BeyanTutar]))</f>
        <v/>
      </c>
      <c r="D455" s="16">
        <f>IF($A455="","",SUMIF(tblAnahtarA[Norm],$A455,tblVeriA[Tutar]))</f>
        <v/>
      </c>
      <c r="E455" s="16">
        <f>IF($A455="","",ROUND($D455,2)-ROUND($C455,2))</f>
        <v/>
      </c>
      <c r="F455" s="16">
        <f>IF($A455="","",ABS($E455))</f>
        <v/>
      </c>
      <c r="G455" s="16">
        <f>IF($A455="","",IF($B455=0,"eslesmedi",IF(ROUND($D455,2)=ROUND($C455,2),"eslesti",IF(ABS(ROUND($D455,2)-ROUND($C455,2))&lt;=toleransKurus,"tolerans_icinde","tutar_farki"))))</f>
        <v/>
      </c>
      <c r="H455" s="16">
        <f>IF($A455="","",IF($B455&gt;0,"BIRINCIL",IF(COUNTIF(tblAnahtarB[IkincilB],'ANAHTAR'!$D455)&gt;0,"IKINCIL","YOK")))</f>
        <v/>
      </c>
      <c r="I455" s="16">
        <f>IF($A455="","",'ANAHTAR'!$F455)</f>
        <v/>
      </c>
      <c r="J455" s="16">
        <f>IF(OR($A455="",$D455=0),0,$F455/ABS($D455))</f>
        <v/>
      </c>
      <c r="K455" s="16">
        <f>IF($A455="","",ROUND($D455,2))</f>
        <v/>
      </c>
      <c r="L455" s="16">
        <f>IF($A455="","",ROUND($C455,2))</f>
        <v/>
      </c>
      <c r="M455" s="16">
        <f>IF($A455="","",IF($F455&lt;=toleransKurus,1,0))</f>
        <v/>
      </c>
      <c r="N455" s="16">
        <f>IF($A455="","",IF($F455&gt;cbb_esikFark,1,0))</f>
        <v/>
      </c>
      <c r="O455" s="16">
        <f>IF($A455="","",IF($G455="eslesti",$D455,0))</f>
        <v/>
      </c>
      <c r="P455" s="16">
        <f>IF($A455="","",$B455+$M455+$N455)</f>
        <v/>
      </c>
    </row>
    <row r="456">
      <c r="A456" s="16">
        <f>IF('ANAHTAR'!$B456="","",'ANAHTAR'!$B456)</f>
        <v/>
      </c>
      <c r="B456" s="16">
        <f>IF($A456="","",COUNTIF(tblAnahtarB[NormB],$A456))</f>
        <v/>
      </c>
      <c r="C456" s="16">
        <f>IF($A456="","",SUMIF(tblAnahtarB[NormB],$A456,tblVeriB[BeyanTutar]))</f>
        <v/>
      </c>
      <c r="D456" s="16">
        <f>IF($A456="","",SUMIF(tblAnahtarA[Norm],$A456,tblVeriA[Tutar]))</f>
        <v/>
      </c>
      <c r="E456" s="16">
        <f>IF($A456="","",ROUND($D456,2)-ROUND($C456,2))</f>
        <v/>
      </c>
      <c r="F456" s="16">
        <f>IF($A456="","",ABS($E456))</f>
        <v/>
      </c>
      <c r="G456" s="16">
        <f>IF($A456="","",IF($B456=0,"eslesmedi",IF(ROUND($D456,2)=ROUND($C456,2),"eslesti",IF(ABS(ROUND($D456,2)-ROUND($C456,2))&lt;=toleransKurus,"tolerans_icinde","tutar_farki"))))</f>
        <v/>
      </c>
      <c r="H456" s="16">
        <f>IF($A456="","",IF($B456&gt;0,"BIRINCIL",IF(COUNTIF(tblAnahtarB[IkincilB],'ANAHTAR'!$D456)&gt;0,"IKINCIL","YOK")))</f>
        <v/>
      </c>
      <c r="I456" s="16">
        <f>IF($A456="","",'ANAHTAR'!$F456)</f>
        <v/>
      </c>
      <c r="J456" s="16">
        <f>IF(OR($A456="",$D456=0),0,$F456/ABS($D456))</f>
        <v/>
      </c>
      <c r="K456" s="16">
        <f>IF($A456="","",ROUND($D456,2))</f>
        <v/>
      </c>
      <c r="L456" s="16">
        <f>IF($A456="","",ROUND($C456,2))</f>
        <v/>
      </c>
      <c r="M456" s="16">
        <f>IF($A456="","",IF($F456&lt;=toleransKurus,1,0))</f>
        <v/>
      </c>
      <c r="N456" s="16">
        <f>IF($A456="","",IF($F456&gt;cbb_esikFark,1,0))</f>
        <v/>
      </c>
      <c r="O456" s="16">
        <f>IF($A456="","",IF($G456="eslesti",$D456,0))</f>
        <v/>
      </c>
      <c r="P456" s="16">
        <f>IF($A456="","",$B456+$M456+$N456)</f>
        <v/>
      </c>
    </row>
    <row r="457">
      <c r="A457" s="16">
        <f>IF('ANAHTAR'!$B457="","",'ANAHTAR'!$B457)</f>
        <v/>
      </c>
      <c r="B457" s="16">
        <f>IF($A457="","",COUNTIF(tblAnahtarB[NormB],$A457))</f>
        <v/>
      </c>
      <c r="C457" s="16">
        <f>IF($A457="","",SUMIF(tblAnahtarB[NormB],$A457,tblVeriB[BeyanTutar]))</f>
        <v/>
      </c>
      <c r="D457" s="16">
        <f>IF($A457="","",SUMIF(tblAnahtarA[Norm],$A457,tblVeriA[Tutar]))</f>
        <v/>
      </c>
      <c r="E457" s="16">
        <f>IF($A457="","",ROUND($D457,2)-ROUND($C457,2))</f>
        <v/>
      </c>
      <c r="F457" s="16">
        <f>IF($A457="","",ABS($E457))</f>
        <v/>
      </c>
      <c r="G457" s="16">
        <f>IF($A457="","",IF($B457=0,"eslesmedi",IF(ROUND($D457,2)=ROUND($C457,2),"eslesti",IF(ABS(ROUND($D457,2)-ROUND($C457,2))&lt;=toleransKurus,"tolerans_icinde","tutar_farki"))))</f>
        <v/>
      </c>
      <c r="H457" s="16">
        <f>IF($A457="","",IF($B457&gt;0,"BIRINCIL",IF(COUNTIF(tblAnahtarB[IkincilB],'ANAHTAR'!$D457)&gt;0,"IKINCIL","YOK")))</f>
        <v/>
      </c>
      <c r="I457" s="16">
        <f>IF($A457="","",'ANAHTAR'!$F457)</f>
        <v/>
      </c>
      <c r="J457" s="16">
        <f>IF(OR($A457="",$D457=0),0,$F457/ABS($D457))</f>
        <v/>
      </c>
      <c r="K457" s="16">
        <f>IF($A457="","",ROUND($D457,2))</f>
        <v/>
      </c>
      <c r="L457" s="16">
        <f>IF($A457="","",ROUND($C457,2))</f>
        <v/>
      </c>
      <c r="M457" s="16">
        <f>IF($A457="","",IF($F457&lt;=toleransKurus,1,0))</f>
        <v/>
      </c>
      <c r="N457" s="16">
        <f>IF($A457="","",IF($F457&gt;cbb_esikFark,1,0))</f>
        <v/>
      </c>
      <c r="O457" s="16">
        <f>IF($A457="","",IF($G457="eslesti",$D457,0))</f>
        <v/>
      </c>
      <c r="P457" s="16">
        <f>IF($A457="","",$B457+$M457+$N457)</f>
        <v/>
      </c>
    </row>
    <row r="458">
      <c r="A458" s="16">
        <f>IF('ANAHTAR'!$B458="","",'ANAHTAR'!$B458)</f>
        <v/>
      </c>
      <c r="B458" s="16">
        <f>IF($A458="","",COUNTIF(tblAnahtarB[NormB],$A458))</f>
        <v/>
      </c>
      <c r="C458" s="16">
        <f>IF($A458="","",SUMIF(tblAnahtarB[NormB],$A458,tblVeriB[BeyanTutar]))</f>
        <v/>
      </c>
      <c r="D458" s="16">
        <f>IF($A458="","",SUMIF(tblAnahtarA[Norm],$A458,tblVeriA[Tutar]))</f>
        <v/>
      </c>
      <c r="E458" s="16">
        <f>IF($A458="","",ROUND($D458,2)-ROUND($C458,2))</f>
        <v/>
      </c>
      <c r="F458" s="16">
        <f>IF($A458="","",ABS($E458))</f>
        <v/>
      </c>
      <c r="G458" s="16">
        <f>IF($A458="","",IF($B458=0,"eslesmedi",IF(ROUND($D458,2)=ROUND($C458,2),"eslesti",IF(ABS(ROUND($D458,2)-ROUND($C458,2))&lt;=toleransKurus,"tolerans_icinde","tutar_farki"))))</f>
        <v/>
      </c>
      <c r="H458" s="16">
        <f>IF($A458="","",IF($B458&gt;0,"BIRINCIL",IF(COUNTIF(tblAnahtarB[IkincilB],'ANAHTAR'!$D458)&gt;0,"IKINCIL","YOK")))</f>
        <v/>
      </c>
      <c r="I458" s="16">
        <f>IF($A458="","",'ANAHTAR'!$F458)</f>
        <v/>
      </c>
      <c r="J458" s="16">
        <f>IF(OR($A458="",$D458=0),0,$F458/ABS($D458))</f>
        <v/>
      </c>
      <c r="K458" s="16">
        <f>IF($A458="","",ROUND($D458,2))</f>
        <v/>
      </c>
      <c r="L458" s="16">
        <f>IF($A458="","",ROUND($C458,2))</f>
        <v/>
      </c>
      <c r="M458" s="16">
        <f>IF($A458="","",IF($F458&lt;=toleransKurus,1,0))</f>
        <v/>
      </c>
      <c r="N458" s="16">
        <f>IF($A458="","",IF($F458&gt;cbb_esikFark,1,0))</f>
        <v/>
      </c>
      <c r="O458" s="16">
        <f>IF($A458="","",IF($G458="eslesti",$D458,0))</f>
        <v/>
      </c>
      <c r="P458" s="16">
        <f>IF($A458="","",$B458+$M458+$N458)</f>
        <v/>
      </c>
    </row>
    <row r="459">
      <c r="A459" s="16">
        <f>IF('ANAHTAR'!$B459="","",'ANAHTAR'!$B459)</f>
        <v/>
      </c>
      <c r="B459" s="16">
        <f>IF($A459="","",COUNTIF(tblAnahtarB[NormB],$A459))</f>
        <v/>
      </c>
      <c r="C459" s="16">
        <f>IF($A459="","",SUMIF(tblAnahtarB[NormB],$A459,tblVeriB[BeyanTutar]))</f>
        <v/>
      </c>
      <c r="D459" s="16">
        <f>IF($A459="","",SUMIF(tblAnahtarA[Norm],$A459,tblVeriA[Tutar]))</f>
        <v/>
      </c>
      <c r="E459" s="16">
        <f>IF($A459="","",ROUND($D459,2)-ROUND($C459,2))</f>
        <v/>
      </c>
      <c r="F459" s="16">
        <f>IF($A459="","",ABS($E459))</f>
        <v/>
      </c>
      <c r="G459" s="16">
        <f>IF($A459="","",IF($B459=0,"eslesmedi",IF(ROUND($D459,2)=ROUND($C459,2),"eslesti",IF(ABS(ROUND($D459,2)-ROUND($C459,2))&lt;=toleransKurus,"tolerans_icinde","tutar_farki"))))</f>
        <v/>
      </c>
      <c r="H459" s="16">
        <f>IF($A459="","",IF($B459&gt;0,"BIRINCIL",IF(COUNTIF(tblAnahtarB[IkincilB],'ANAHTAR'!$D459)&gt;0,"IKINCIL","YOK")))</f>
        <v/>
      </c>
      <c r="I459" s="16">
        <f>IF($A459="","",'ANAHTAR'!$F459)</f>
        <v/>
      </c>
      <c r="J459" s="16">
        <f>IF(OR($A459="",$D459=0),0,$F459/ABS($D459))</f>
        <v/>
      </c>
      <c r="K459" s="16">
        <f>IF($A459="","",ROUND($D459,2))</f>
        <v/>
      </c>
      <c r="L459" s="16">
        <f>IF($A459="","",ROUND($C459,2))</f>
        <v/>
      </c>
      <c r="M459" s="16">
        <f>IF($A459="","",IF($F459&lt;=toleransKurus,1,0))</f>
        <v/>
      </c>
      <c r="N459" s="16">
        <f>IF($A459="","",IF($F459&gt;cbb_esikFark,1,0))</f>
        <v/>
      </c>
      <c r="O459" s="16">
        <f>IF($A459="","",IF($G459="eslesti",$D459,0))</f>
        <v/>
      </c>
      <c r="P459" s="16">
        <f>IF($A459="","",$B459+$M459+$N459)</f>
        <v/>
      </c>
    </row>
    <row r="460">
      <c r="A460" s="16">
        <f>IF('ANAHTAR'!$B460="","",'ANAHTAR'!$B460)</f>
        <v/>
      </c>
      <c r="B460" s="16">
        <f>IF($A460="","",COUNTIF(tblAnahtarB[NormB],$A460))</f>
        <v/>
      </c>
      <c r="C460" s="16">
        <f>IF($A460="","",SUMIF(tblAnahtarB[NormB],$A460,tblVeriB[BeyanTutar]))</f>
        <v/>
      </c>
      <c r="D460" s="16">
        <f>IF($A460="","",SUMIF(tblAnahtarA[Norm],$A460,tblVeriA[Tutar]))</f>
        <v/>
      </c>
      <c r="E460" s="16">
        <f>IF($A460="","",ROUND($D460,2)-ROUND($C460,2))</f>
        <v/>
      </c>
      <c r="F460" s="16">
        <f>IF($A460="","",ABS($E460))</f>
        <v/>
      </c>
      <c r="G460" s="16">
        <f>IF($A460="","",IF($B460=0,"eslesmedi",IF(ROUND($D460,2)=ROUND($C460,2),"eslesti",IF(ABS(ROUND($D460,2)-ROUND($C460,2))&lt;=toleransKurus,"tolerans_icinde","tutar_farki"))))</f>
        <v/>
      </c>
      <c r="H460" s="16">
        <f>IF($A460="","",IF($B460&gt;0,"BIRINCIL",IF(COUNTIF(tblAnahtarB[IkincilB],'ANAHTAR'!$D460)&gt;0,"IKINCIL","YOK")))</f>
        <v/>
      </c>
      <c r="I460" s="16">
        <f>IF($A460="","",'ANAHTAR'!$F460)</f>
        <v/>
      </c>
      <c r="J460" s="16">
        <f>IF(OR($A460="",$D460=0),0,$F460/ABS($D460))</f>
        <v/>
      </c>
      <c r="K460" s="16">
        <f>IF($A460="","",ROUND($D460,2))</f>
        <v/>
      </c>
      <c r="L460" s="16">
        <f>IF($A460="","",ROUND($C460,2))</f>
        <v/>
      </c>
      <c r="M460" s="16">
        <f>IF($A460="","",IF($F460&lt;=toleransKurus,1,0))</f>
        <v/>
      </c>
      <c r="N460" s="16">
        <f>IF($A460="","",IF($F460&gt;cbb_esikFark,1,0))</f>
        <v/>
      </c>
      <c r="O460" s="16">
        <f>IF($A460="","",IF($G460="eslesti",$D460,0))</f>
        <v/>
      </c>
      <c r="P460" s="16">
        <f>IF($A460="","",$B460+$M460+$N460)</f>
        <v/>
      </c>
    </row>
    <row r="461">
      <c r="A461" s="16">
        <f>IF('ANAHTAR'!$B461="","",'ANAHTAR'!$B461)</f>
        <v/>
      </c>
      <c r="B461" s="16">
        <f>IF($A461="","",COUNTIF(tblAnahtarB[NormB],$A461))</f>
        <v/>
      </c>
      <c r="C461" s="16">
        <f>IF($A461="","",SUMIF(tblAnahtarB[NormB],$A461,tblVeriB[BeyanTutar]))</f>
        <v/>
      </c>
      <c r="D461" s="16">
        <f>IF($A461="","",SUMIF(tblAnahtarA[Norm],$A461,tblVeriA[Tutar]))</f>
        <v/>
      </c>
      <c r="E461" s="16">
        <f>IF($A461="","",ROUND($D461,2)-ROUND($C461,2))</f>
        <v/>
      </c>
      <c r="F461" s="16">
        <f>IF($A461="","",ABS($E461))</f>
        <v/>
      </c>
      <c r="G461" s="16">
        <f>IF($A461="","",IF($B461=0,"eslesmedi",IF(ROUND($D461,2)=ROUND($C461,2),"eslesti",IF(ABS(ROUND($D461,2)-ROUND($C461,2))&lt;=toleransKurus,"tolerans_icinde","tutar_farki"))))</f>
        <v/>
      </c>
      <c r="H461" s="16">
        <f>IF($A461="","",IF($B461&gt;0,"BIRINCIL",IF(COUNTIF(tblAnahtarB[IkincilB],'ANAHTAR'!$D461)&gt;0,"IKINCIL","YOK")))</f>
        <v/>
      </c>
      <c r="I461" s="16">
        <f>IF($A461="","",'ANAHTAR'!$F461)</f>
        <v/>
      </c>
      <c r="J461" s="16">
        <f>IF(OR($A461="",$D461=0),0,$F461/ABS($D461))</f>
        <v/>
      </c>
      <c r="K461" s="16">
        <f>IF($A461="","",ROUND($D461,2))</f>
        <v/>
      </c>
      <c r="L461" s="16">
        <f>IF($A461="","",ROUND($C461,2))</f>
        <v/>
      </c>
      <c r="M461" s="16">
        <f>IF($A461="","",IF($F461&lt;=toleransKurus,1,0))</f>
        <v/>
      </c>
      <c r="N461" s="16">
        <f>IF($A461="","",IF($F461&gt;cbb_esikFark,1,0))</f>
        <v/>
      </c>
      <c r="O461" s="16">
        <f>IF($A461="","",IF($G461="eslesti",$D461,0))</f>
        <v/>
      </c>
      <c r="P461" s="16">
        <f>IF($A461="","",$B461+$M461+$N461)</f>
        <v/>
      </c>
    </row>
    <row r="462">
      <c r="A462" s="16">
        <f>IF('ANAHTAR'!$B462="","",'ANAHTAR'!$B462)</f>
        <v/>
      </c>
      <c r="B462" s="16">
        <f>IF($A462="","",COUNTIF(tblAnahtarB[NormB],$A462))</f>
        <v/>
      </c>
      <c r="C462" s="16">
        <f>IF($A462="","",SUMIF(tblAnahtarB[NormB],$A462,tblVeriB[BeyanTutar]))</f>
        <v/>
      </c>
      <c r="D462" s="16">
        <f>IF($A462="","",SUMIF(tblAnahtarA[Norm],$A462,tblVeriA[Tutar]))</f>
        <v/>
      </c>
      <c r="E462" s="16">
        <f>IF($A462="","",ROUND($D462,2)-ROUND($C462,2))</f>
        <v/>
      </c>
      <c r="F462" s="16">
        <f>IF($A462="","",ABS($E462))</f>
        <v/>
      </c>
      <c r="G462" s="16">
        <f>IF($A462="","",IF($B462=0,"eslesmedi",IF(ROUND($D462,2)=ROUND($C462,2),"eslesti",IF(ABS(ROUND($D462,2)-ROUND($C462,2))&lt;=toleransKurus,"tolerans_icinde","tutar_farki"))))</f>
        <v/>
      </c>
      <c r="H462" s="16">
        <f>IF($A462="","",IF($B462&gt;0,"BIRINCIL",IF(COUNTIF(tblAnahtarB[IkincilB],'ANAHTAR'!$D462)&gt;0,"IKINCIL","YOK")))</f>
        <v/>
      </c>
      <c r="I462" s="16">
        <f>IF($A462="","",'ANAHTAR'!$F462)</f>
        <v/>
      </c>
      <c r="J462" s="16">
        <f>IF(OR($A462="",$D462=0),0,$F462/ABS($D462))</f>
        <v/>
      </c>
      <c r="K462" s="16">
        <f>IF($A462="","",ROUND($D462,2))</f>
        <v/>
      </c>
      <c r="L462" s="16">
        <f>IF($A462="","",ROUND($C462,2))</f>
        <v/>
      </c>
      <c r="M462" s="16">
        <f>IF($A462="","",IF($F462&lt;=toleransKurus,1,0))</f>
        <v/>
      </c>
      <c r="N462" s="16">
        <f>IF($A462="","",IF($F462&gt;cbb_esikFark,1,0))</f>
        <v/>
      </c>
      <c r="O462" s="16">
        <f>IF($A462="","",IF($G462="eslesti",$D462,0))</f>
        <v/>
      </c>
      <c r="P462" s="16">
        <f>IF($A462="","",$B462+$M462+$N462)</f>
        <v/>
      </c>
    </row>
    <row r="463">
      <c r="A463" s="16">
        <f>IF('ANAHTAR'!$B463="","",'ANAHTAR'!$B463)</f>
        <v/>
      </c>
      <c r="B463" s="16">
        <f>IF($A463="","",COUNTIF(tblAnahtarB[NormB],$A463))</f>
        <v/>
      </c>
      <c r="C463" s="16">
        <f>IF($A463="","",SUMIF(tblAnahtarB[NormB],$A463,tblVeriB[BeyanTutar]))</f>
        <v/>
      </c>
      <c r="D463" s="16">
        <f>IF($A463="","",SUMIF(tblAnahtarA[Norm],$A463,tblVeriA[Tutar]))</f>
        <v/>
      </c>
      <c r="E463" s="16">
        <f>IF($A463="","",ROUND($D463,2)-ROUND($C463,2))</f>
        <v/>
      </c>
      <c r="F463" s="16">
        <f>IF($A463="","",ABS($E463))</f>
        <v/>
      </c>
      <c r="G463" s="16">
        <f>IF($A463="","",IF($B463=0,"eslesmedi",IF(ROUND($D463,2)=ROUND($C463,2),"eslesti",IF(ABS(ROUND($D463,2)-ROUND($C463,2))&lt;=toleransKurus,"tolerans_icinde","tutar_farki"))))</f>
        <v/>
      </c>
      <c r="H463" s="16">
        <f>IF($A463="","",IF($B463&gt;0,"BIRINCIL",IF(COUNTIF(tblAnahtarB[IkincilB],'ANAHTAR'!$D463)&gt;0,"IKINCIL","YOK")))</f>
        <v/>
      </c>
      <c r="I463" s="16">
        <f>IF($A463="","",'ANAHTAR'!$F463)</f>
        <v/>
      </c>
      <c r="J463" s="16">
        <f>IF(OR($A463="",$D463=0),0,$F463/ABS($D463))</f>
        <v/>
      </c>
      <c r="K463" s="16">
        <f>IF($A463="","",ROUND($D463,2))</f>
        <v/>
      </c>
      <c r="L463" s="16">
        <f>IF($A463="","",ROUND($C463,2))</f>
        <v/>
      </c>
      <c r="M463" s="16">
        <f>IF($A463="","",IF($F463&lt;=toleransKurus,1,0))</f>
        <v/>
      </c>
      <c r="N463" s="16">
        <f>IF($A463="","",IF($F463&gt;cbb_esikFark,1,0))</f>
        <v/>
      </c>
      <c r="O463" s="16">
        <f>IF($A463="","",IF($G463="eslesti",$D463,0))</f>
        <v/>
      </c>
      <c r="P463" s="16">
        <f>IF($A463="","",$B463+$M463+$N463)</f>
        <v/>
      </c>
    </row>
    <row r="464">
      <c r="A464" s="16">
        <f>IF('ANAHTAR'!$B464="","",'ANAHTAR'!$B464)</f>
        <v/>
      </c>
      <c r="B464" s="16">
        <f>IF($A464="","",COUNTIF(tblAnahtarB[NormB],$A464))</f>
        <v/>
      </c>
      <c r="C464" s="16">
        <f>IF($A464="","",SUMIF(tblAnahtarB[NormB],$A464,tblVeriB[BeyanTutar]))</f>
        <v/>
      </c>
      <c r="D464" s="16">
        <f>IF($A464="","",SUMIF(tblAnahtarA[Norm],$A464,tblVeriA[Tutar]))</f>
        <v/>
      </c>
      <c r="E464" s="16">
        <f>IF($A464="","",ROUND($D464,2)-ROUND($C464,2))</f>
        <v/>
      </c>
      <c r="F464" s="16">
        <f>IF($A464="","",ABS($E464))</f>
        <v/>
      </c>
      <c r="G464" s="16">
        <f>IF($A464="","",IF($B464=0,"eslesmedi",IF(ROUND($D464,2)=ROUND($C464,2),"eslesti",IF(ABS(ROUND($D464,2)-ROUND($C464,2))&lt;=toleransKurus,"tolerans_icinde","tutar_farki"))))</f>
        <v/>
      </c>
      <c r="H464" s="16">
        <f>IF($A464="","",IF($B464&gt;0,"BIRINCIL",IF(COUNTIF(tblAnahtarB[IkincilB],'ANAHTAR'!$D464)&gt;0,"IKINCIL","YOK")))</f>
        <v/>
      </c>
      <c r="I464" s="16">
        <f>IF($A464="","",'ANAHTAR'!$F464)</f>
        <v/>
      </c>
      <c r="J464" s="16">
        <f>IF(OR($A464="",$D464=0),0,$F464/ABS($D464))</f>
        <v/>
      </c>
      <c r="K464" s="16">
        <f>IF($A464="","",ROUND($D464,2))</f>
        <v/>
      </c>
      <c r="L464" s="16">
        <f>IF($A464="","",ROUND($C464,2))</f>
        <v/>
      </c>
      <c r="M464" s="16">
        <f>IF($A464="","",IF($F464&lt;=toleransKurus,1,0))</f>
        <v/>
      </c>
      <c r="N464" s="16">
        <f>IF($A464="","",IF($F464&gt;cbb_esikFark,1,0))</f>
        <v/>
      </c>
      <c r="O464" s="16">
        <f>IF($A464="","",IF($G464="eslesti",$D464,0))</f>
        <v/>
      </c>
      <c r="P464" s="16">
        <f>IF($A464="","",$B464+$M464+$N464)</f>
        <v/>
      </c>
    </row>
    <row r="465">
      <c r="A465" s="16">
        <f>IF('ANAHTAR'!$B465="","",'ANAHTAR'!$B465)</f>
        <v/>
      </c>
      <c r="B465" s="16">
        <f>IF($A465="","",COUNTIF(tblAnahtarB[NormB],$A465))</f>
        <v/>
      </c>
      <c r="C465" s="16">
        <f>IF($A465="","",SUMIF(tblAnahtarB[NormB],$A465,tblVeriB[BeyanTutar]))</f>
        <v/>
      </c>
      <c r="D465" s="16">
        <f>IF($A465="","",SUMIF(tblAnahtarA[Norm],$A465,tblVeriA[Tutar]))</f>
        <v/>
      </c>
      <c r="E465" s="16">
        <f>IF($A465="","",ROUND($D465,2)-ROUND($C465,2))</f>
        <v/>
      </c>
      <c r="F465" s="16">
        <f>IF($A465="","",ABS($E465))</f>
        <v/>
      </c>
      <c r="G465" s="16">
        <f>IF($A465="","",IF($B465=0,"eslesmedi",IF(ROUND($D465,2)=ROUND($C465,2),"eslesti",IF(ABS(ROUND($D465,2)-ROUND($C465,2))&lt;=toleransKurus,"tolerans_icinde","tutar_farki"))))</f>
        <v/>
      </c>
      <c r="H465" s="16">
        <f>IF($A465="","",IF($B465&gt;0,"BIRINCIL",IF(COUNTIF(tblAnahtarB[IkincilB],'ANAHTAR'!$D465)&gt;0,"IKINCIL","YOK")))</f>
        <v/>
      </c>
      <c r="I465" s="16">
        <f>IF($A465="","",'ANAHTAR'!$F465)</f>
        <v/>
      </c>
      <c r="J465" s="16">
        <f>IF(OR($A465="",$D465=0),0,$F465/ABS($D465))</f>
        <v/>
      </c>
      <c r="K465" s="16">
        <f>IF($A465="","",ROUND($D465,2))</f>
        <v/>
      </c>
      <c r="L465" s="16">
        <f>IF($A465="","",ROUND($C465,2))</f>
        <v/>
      </c>
      <c r="M465" s="16">
        <f>IF($A465="","",IF($F465&lt;=toleransKurus,1,0))</f>
        <v/>
      </c>
      <c r="N465" s="16">
        <f>IF($A465="","",IF($F465&gt;cbb_esikFark,1,0))</f>
        <v/>
      </c>
      <c r="O465" s="16">
        <f>IF($A465="","",IF($G465="eslesti",$D465,0))</f>
        <v/>
      </c>
      <c r="P465" s="16">
        <f>IF($A465="","",$B465+$M465+$N465)</f>
        <v/>
      </c>
    </row>
    <row r="466">
      <c r="A466" s="16">
        <f>IF('ANAHTAR'!$B466="","",'ANAHTAR'!$B466)</f>
        <v/>
      </c>
      <c r="B466" s="16">
        <f>IF($A466="","",COUNTIF(tblAnahtarB[NormB],$A466))</f>
        <v/>
      </c>
      <c r="C466" s="16">
        <f>IF($A466="","",SUMIF(tblAnahtarB[NormB],$A466,tblVeriB[BeyanTutar]))</f>
        <v/>
      </c>
      <c r="D466" s="16">
        <f>IF($A466="","",SUMIF(tblAnahtarA[Norm],$A466,tblVeriA[Tutar]))</f>
        <v/>
      </c>
      <c r="E466" s="16">
        <f>IF($A466="","",ROUND($D466,2)-ROUND($C466,2))</f>
        <v/>
      </c>
      <c r="F466" s="16">
        <f>IF($A466="","",ABS($E466))</f>
        <v/>
      </c>
      <c r="G466" s="16">
        <f>IF($A466="","",IF($B466=0,"eslesmedi",IF(ROUND($D466,2)=ROUND($C466,2),"eslesti",IF(ABS(ROUND($D466,2)-ROUND($C466,2))&lt;=toleransKurus,"tolerans_icinde","tutar_farki"))))</f>
        <v/>
      </c>
      <c r="H466" s="16">
        <f>IF($A466="","",IF($B466&gt;0,"BIRINCIL",IF(COUNTIF(tblAnahtarB[IkincilB],'ANAHTAR'!$D466)&gt;0,"IKINCIL","YOK")))</f>
        <v/>
      </c>
      <c r="I466" s="16">
        <f>IF($A466="","",'ANAHTAR'!$F466)</f>
        <v/>
      </c>
      <c r="J466" s="16">
        <f>IF(OR($A466="",$D466=0),0,$F466/ABS($D466))</f>
        <v/>
      </c>
      <c r="K466" s="16">
        <f>IF($A466="","",ROUND($D466,2))</f>
        <v/>
      </c>
      <c r="L466" s="16">
        <f>IF($A466="","",ROUND($C466,2))</f>
        <v/>
      </c>
      <c r="M466" s="16">
        <f>IF($A466="","",IF($F466&lt;=toleransKurus,1,0))</f>
        <v/>
      </c>
      <c r="N466" s="16">
        <f>IF($A466="","",IF($F466&gt;cbb_esikFark,1,0))</f>
        <v/>
      </c>
      <c r="O466" s="16">
        <f>IF($A466="","",IF($G466="eslesti",$D466,0))</f>
        <v/>
      </c>
      <c r="P466" s="16">
        <f>IF($A466="","",$B466+$M466+$N466)</f>
        <v/>
      </c>
    </row>
    <row r="467">
      <c r="A467" s="16">
        <f>IF('ANAHTAR'!$B467="","",'ANAHTAR'!$B467)</f>
        <v/>
      </c>
      <c r="B467" s="16">
        <f>IF($A467="","",COUNTIF(tblAnahtarB[NormB],$A467))</f>
        <v/>
      </c>
      <c r="C467" s="16">
        <f>IF($A467="","",SUMIF(tblAnahtarB[NormB],$A467,tblVeriB[BeyanTutar]))</f>
        <v/>
      </c>
      <c r="D467" s="16">
        <f>IF($A467="","",SUMIF(tblAnahtarA[Norm],$A467,tblVeriA[Tutar]))</f>
        <v/>
      </c>
      <c r="E467" s="16">
        <f>IF($A467="","",ROUND($D467,2)-ROUND($C467,2))</f>
        <v/>
      </c>
      <c r="F467" s="16">
        <f>IF($A467="","",ABS($E467))</f>
        <v/>
      </c>
      <c r="G467" s="16">
        <f>IF($A467="","",IF($B467=0,"eslesmedi",IF(ROUND($D467,2)=ROUND($C467,2),"eslesti",IF(ABS(ROUND($D467,2)-ROUND($C467,2))&lt;=toleransKurus,"tolerans_icinde","tutar_farki"))))</f>
        <v/>
      </c>
      <c r="H467" s="16">
        <f>IF($A467="","",IF($B467&gt;0,"BIRINCIL",IF(COUNTIF(tblAnahtarB[IkincilB],'ANAHTAR'!$D467)&gt;0,"IKINCIL","YOK")))</f>
        <v/>
      </c>
      <c r="I467" s="16">
        <f>IF($A467="","",'ANAHTAR'!$F467)</f>
        <v/>
      </c>
      <c r="J467" s="16">
        <f>IF(OR($A467="",$D467=0),0,$F467/ABS($D467))</f>
        <v/>
      </c>
      <c r="K467" s="16">
        <f>IF($A467="","",ROUND($D467,2))</f>
        <v/>
      </c>
      <c r="L467" s="16">
        <f>IF($A467="","",ROUND($C467,2))</f>
        <v/>
      </c>
      <c r="M467" s="16">
        <f>IF($A467="","",IF($F467&lt;=toleransKurus,1,0))</f>
        <v/>
      </c>
      <c r="N467" s="16">
        <f>IF($A467="","",IF($F467&gt;cbb_esikFark,1,0))</f>
        <v/>
      </c>
      <c r="O467" s="16">
        <f>IF($A467="","",IF($G467="eslesti",$D467,0))</f>
        <v/>
      </c>
      <c r="P467" s="16">
        <f>IF($A467="","",$B467+$M467+$N467)</f>
        <v/>
      </c>
    </row>
    <row r="468">
      <c r="A468" s="16">
        <f>IF('ANAHTAR'!$B468="","",'ANAHTAR'!$B468)</f>
        <v/>
      </c>
      <c r="B468" s="16">
        <f>IF($A468="","",COUNTIF(tblAnahtarB[NormB],$A468))</f>
        <v/>
      </c>
      <c r="C468" s="16">
        <f>IF($A468="","",SUMIF(tblAnahtarB[NormB],$A468,tblVeriB[BeyanTutar]))</f>
        <v/>
      </c>
      <c r="D468" s="16">
        <f>IF($A468="","",SUMIF(tblAnahtarA[Norm],$A468,tblVeriA[Tutar]))</f>
        <v/>
      </c>
      <c r="E468" s="16">
        <f>IF($A468="","",ROUND($D468,2)-ROUND($C468,2))</f>
        <v/>
      </c>
      <c r="F468" s="16">
        <f>IF($A468="","",ABS($E468))</f>
        <v/>
      </c>
      <c r="G468" s="16">
        <f>IF($A468="","",IF($B468=0,"eslesmedi",IF(ROUND($D468,2)=ROUND($C468,2),"eslesti",IF(ABS(ROUND($D468,2)-ROUND($C468,2))&lt;=toleransKurus,"tolerans_icinde","tutar_farki"))))</f>
        <v/>
      </c>
      <c r="H468" s="16">
        <f>IF($A468="","",IF($B468&gt;0,"BIRINCIL",IF(COUNTIF(tblAnahtarB[IkincilB],'ANAHTAR'!$D468)&gt;0,"IKINCIL","YOK")))</f>
        <v/>
      </c>
      <c r="I468" s="16">
        <f>IF($A468="","",'ANAHTAR'!$F468)</f>
        <v/>
      </c>
      <c r="J468" s="16">
        <f>IF(OR($A468="",$D468=0),0,$F468/ABS($D468))</f>
        <v/>
      </c>
      <c r="K468" s="16">
        <f>IF($A468="","",ROUND($D468,2))</f>
        <v/>
      </c>
      <c r="L468" s="16">
        <f>IF($A468="","",ROUND($C468,2))</f>
        <v/>
      </c>
      <c r="M468" s="16">
        <f>IF($A468="","",IF($F468&lt;=toleransKurus,1,0))</f>
        <v/>
      </c>
      <c r="N468" s="16">
        <f>IF($A468="","",IF($F468&gt;cbb_esikFark,1,0))</f>
        <v/>
      </c>
      <c r="O468" s="16">
        <f>IF($A468="","",IF($G468="eslesti",$D468,0))</f>
        <v/>
      </c>
      <c r="P468" s="16">
        <f>IF($A468="","",$B468+$M468+$N468)</f>
        <v/>
      </c>
    </row>
    <row r="469">
      <c r="A469" s="16">
        <f>IF('ANAHTAR'!$B469="","",'ANAHTAR'!$B469)</f>
        <v/>
      </c>
      <c r="B469" s="16">
        <f>IF($A469="","",COUNTIF(tblAnahtarB[NormB],$A469))</f>
        <v/>
      </c>
      <c r="C469" s="16">
        <f>IF($A469="","",SUMIF(tblAnahtarB[NormB],$A469,tblVeriB[BeyanTutar]))</f>
        <v/>
      </c>
      <c r="D469" s="16">
        <f>IF($A469="","",SUMIF(tblAnahtarA[Norm],$A469,tblVeriA[Tutar]))</f>
        <v/>
      </c>
      <c r="E469" s="16">
        <f>IF($A469="","",ROUND($D469,2)-ROUND($C469,2))</f>
        <v/>
      </c>
      <c r="F469" s="16">
        <f>IF($A469="","",ABS($E469))</f>
        <v/>
      </c>
      <c r="G469" s="16">
        <f>IF($A469="","",IF($B469=0,"eslesmedi",IF(ROUND($D469,2)=ROUND($C469,2),"eslesti",IF(ABS(ROUND($D469,2)-ROUND($C469,2))&lt;=toleransKurus,"tolerans_icinde","tutar_farki"))))</f>
        <v/>
      </c>
      <c r="H469" s="16">
        <f>IF($A469="","",IF($B469&gt;0,"BIRINCIL",IF(COUNTIF(tblAnahtarB[IkincilB],'ANAHTAR'!$D469)&gt;0,"IKINCIL","YOK")))</f>
        <v/>
      </c>
      <c r="I469" s="16">
        <f>IF($A469="","",'ANAHTAR'!$F469)</f>
        <v/>
      </c>
      <c r="J469" s="16">
        <f>IF(OR($A469="",$D469=0),0,$F469/ABS($D469))</f>
        <v/>
      </c>
      <c r="K469" s="16">
        <f>IF($A469="","",ROUND($D469,2))</f>
        <v/>
      </c>
      <c r="L469" s="16">
        <f>IF($A469="","",ROUND($C469,2))</f>
        <v/>
      </c>
      <c r="M469" s="16">
        <f>IF($A469="","",IF($F469&lt;=toleransKurus,1,0))</f>
        <v/>
      </c>
      <c r="N469" s="16">
        <f>IF($A469="","",IF($F469&gt;cbb_esikFark,1,0))</f>
        <v/>
      </c>
      <c r="O469" s="16">
        <f>IF($A469="","",IF($G469="eslesti",$D469,0))</f>
        <v/>
      </c>
      <c r="P469" s="16">
        <f>IF($A469="","",$B469+$M469+$N469)</f>
        <v/>
      </c>
    </row>
    <row r="470">
      <c r="A470" s="16">
        <f>IF('ANAHTAR'!$B470="","",'ANAHTAR'!$B470)</f>
        <v/>
      </c>
      <c r="B470" s="16">
        <f>IF($A470="","",COUNTIF(tblAnahtarB[NormB],$A470))</f>
        <v/>
      </c>
      <c r="C470" s="16">
        <f>IF($A470="","",SUMIF(tblAnahtarB[NormB],$A470,tblVeriB[BeyanTutar]))</f>
        <v/>
      </c>
      <c r="D470" s="16">
        <f>IF($A470="","",SUMIF(tblAnahtarA[Norm],$A470,tblVeriA[Tutar]))</f>
        <v/>
      </c>
      <c r="E470" s="16">
        <f>IF($A470="","",ROUND($D470,2)-ROUND($C470,2))</f>
        <v/>
      </c>
      <c r="F470" s="16">
        <f>IF($A470="","",ABS($E470))</f>
        <v/>
      </c>
      <c r="G470" s="16">
        <f>IF($A470="","",IF($B470=0,"eslesmedi",IF(ROUND($D470,2)=ROUND($C470,2),"eslesti",IF(ABS(ROUND($D470,2)-ROUND($C470,2))&lt;=toleransKurus,"tolerans_icinde","tutar_farki"))))</f>
        <v/>
      </c>
      <c r="H470" s="16">
        <f>IF($A470="","",IF($B470&gt;0,"BIRINCIL",IF(COUNTIF(tblAnahtarB[IkincilB],'ANAHTAR'!$D470)&gt;0,"IKINCIL","YOK")))</f>
        <v/>
      </c>
      <c r="I470" s="16">
        <f>IF($A470="","",'ANAHTAR'!$F470)</f>
        <v/>
      </c>
      <c r="J470" s="16">
        <f>IF(OR($A470="",$D470=0),0,$F470/ABS($D470))</f>
        <v/>
      </c>
      <c r="K470" s="16">
        <f>IF($A470="","",ROUND($D470,2))</f>
        <v/>
      </c>
      <c r="L470" s="16">
        <f>IF($A470="","",ROUND($C470,2))</f>
        <v/>
      </c>
      <c r="M470" s="16">
        <f>IF($A470="","",IF($F470&lt;=toleransKurus,1,0))</f>
        <v/>
      </c>
      <c r="N470" s="16">
        <f>IF($A470="","",IF($F470&gt;cbb_esikFark,1,0))</f>
        <v/>
      </c>
      <c r="O470" s="16">
        <f>IF($A470="","",IF($G470="eslesti",$D470,0))</f>
        <v/>
      </c>
      <c r="P470" s="16">
        <f>IF($A470="","",$B470+$M470+$N470)</f>
        <v/>
      </c>
    </row>
    <row r="471">
      <c r="A471" s="16">
        <f>IF('ANAHTAR'!$B471="","",'ANAHTAR'!$B471)</f>
        <v/>
      </c>
      <c r="B471" s="16">
        <f>IF($A471="","",COUNTIF(tblAnahtarB[NormB],$A471))</f>
        <v/>
      </c>
      <c r="C471" s="16">
        <f>IF($A471="","",SUMIF(tblAnahtarB[NormB],$A471,tblVeriB[BeyanTutar]))</f>
        <v/>
      </c>
      <c r="D471" s="16">
        <f>IF($A471="","",SUMIF(tblAnahtarA[Norm],$A471,tblVeriA[Tutar]))</f>
        <v/>
      </c>
      <c r="E471" s="16">
        <f>IF($A471="","",ROUND($D471,2)-ROUND($C471,2))</f>
        <v/>
      </c>
      <c r="F471" s="16">
        <f>IF($A471="","",ABS($E471))</f>
        <v/>
      </c>
      <c r="G471" s="16">
        <f>IF($A471="","",IF($B471=0,"eslesmedi",IF(ROUND($D471,2)=ROUND($C471,2),"eslesti",IF(ABS(ROUND($D471,2)-ROUND($C471,2))&lt;=toleransKurus,"tolerans_icinde","tutar_farki"))))</f>
        <v/>
      </c>
      <c r="H471" s="16">
        <f>IF($A471="","",IF($B471&gt;0,"BIRINCIL",IF(COUNTIF(tblAnahtarB[IkincilB],'ANAHTAR'!$D471)&gt;0,"IKINCIL","YOK")))</f>
        <v/>
      </c>
      <c r="I471" s="16">
        <f>IF($A471="","",'ANAHTAR'!$F471)</f>
        <v/>
      </c>
      <c r="J471" s="16">
        <f>IF(OR($A471="",$D471=0),0,$F471/ABS($D471))</f>
        <v/>
      </c>
      <c r="K471" s="16">
        <f>IF($A471="","",ROUND($D471,2))</f>
        <v/>
      </c>
      <c r="L471" s="16">
        <f>IF($A471="","",ROUND($C471,2))</f>
        <v/>
      </c>
      <c r="M471" s="16">
        <f>IF($A471="","",IF($F471&lt;=toleransKurus,1,0))</f>
        <v/>
      </c>
      <c r="N471" s="16">
        <f>IF($A471="","",IF($F471&gt;cbb_esikFark,1,0))</f>
        <v/>
      </c>
      <c r="O471" s="16">
        <f>IF($A471="","",IF($G471="eslesti",$D471,0))</f>
        <v/>
      </c>
      <c r="P471" s="16">
        <f>IF($A471="","",$B471+$M471+$N471)</f>
        <v/>
      </c>
    </row>
    <row r="472">
      <c r="A472" s="16">
        <f>IF('ANAHTAR'!$B472="","",'ANAHTAR'!$B472)</f>
        <v/>
      </c>
      <c r="B472" s="16">
        <f>IF($A472="","",COUNTIF(tblAnahtarB[NormB],$A472))</f>
        <v/>
      </c>
      <c r="C472" s="16">
        <f>IF($A472="","",SUMIF(tblAnahtarB[NormB],$A472,tblVeriB[BeyanTutar]))</f>
        <v/>
      </c>
      <c r="D472" s="16">
        <f>IF($A472="","",SUMIF(tblAnahtarA[Norm],$A472,tblVeriA[Tutar]))</f>
        <v/>
      </c>
      <c r="E472" s="16">
        <f>IF($A472="","",ROUND($D472,2)-ROUND($C472,2))</f>
        <v/>
      </c>
      <c r="F472" s="16">
        <f>IF($A472="","",ABS($E472))</f>
        <v/>
      </c>
      <c r="G472" s="16">
        <f>IF($A472="","",IF($B472=0,"eslesmedi",IF(ROUND($D472,2)=ROUND($C472,2),"eslesti",IF(ABS(ROUND($D472,2)-ROUND($C472,2))&lt;=toleransKurus,"tolerans_icinde","tutar_farki"))))</f>
        <v/>
      </c>
      <c r="H472" s="16">
        <f>IF($A472="","",IF($B472&gt;0,"BIRINCIL",IF(COUNTIF(tblAnahtarB[IkincilB],'ANAHTAR'!$D472)&gt;0,"IKINCIL","YOK")))</f>
        <v/>
      </c>
      <c r="I472" s="16">
        <f>IF($A472="","",'ANAHTAR'!$F472)</f>
        <v/>
      </c>
      <c r="J472" s="16">
        <f>IF(OR($A472="",$D472=0),0,$F472/ABS($D472))</f>
        <v/>
      </c>
      <c r="K472" s="16">
        <f>IF($A472="","",ROUND($D472,2))</f>
        <v/>
      </c>
      <c r="L472" s="16">
        <f>IF($A472="","",ROUND($C472,2))</f>
        <v/>
      </c>
      <c r="M472" s="16">
        <f>IF($A472="","",IF($F472&lt;=toleransKurus,1,0))</f>
        <v/>
      </c>
      <c r="N472" s="16">
        <f>IF($A472="","",IF($F472&gt;cbb_esikFark,1,0))</f>
        <v/>
      </c>
      <c r="O472" s="16">
        <f>IF($A472="","",IF($G472="eslesti",$D472,0))</f>
        <v/>
      </c>
      <c r="P472" s="16">
        <f>IF($A472="","",$B472+$M472+$N472)</f>
        <v/>
      </c>
    </row>
    <row r="473">
      <c r="A473" s="16">
        <f>IF('ANAHTAR'!$B473="","",'ANAHTAR'!$B473)</f>
        <v/>
      </c>
      <c r="B473" s="16">
        <f>IF($A473="","",COUNTIF(tblAnahtarB[NormB],$A473))</f>
        <v/>
      </c>
      <c r="C473" s="16">
        <f>IF($A473="","",SUMIF(tblAnahtarB[NormB],$A473,tblVeriB[BeyanTutar]))</f>
        <v/>
      </c>
      <c r="D473" s="16">
        <f>IF($A473="","",SUMIF(tblAnahtarA[Norm],$A473,tblVeriA[Tutar]))</f>
        <v/>
      </c>
      <c r="E473" s="16">
        <f>IF($A473="","",ROUND($D473,2)-ROUND($C473,2))</f>
        <v/>
      </c>
      <c r="F473" s="16">
        <f>IF($A473="","",ABS($E473))</f>
        <v/>
      </c>
      <c r="G473" s="16">
        <f>IF($A473="","",IF($B473=0,"eslesmedi",IF(ROUND($D473,2)=ROUND($C473,2),"eslesti",IF(ABS(ROUND($D473,2)-ROUND($C473,2))&lt;=toleransKurus,"tolerans_icinde","tutar_farki"))))</f>
        <v/>
      </c>
      <c r="H473" s="16">
        <f>IF($A473="","",IF($B473&gt;0,"BIRINCIL",IF(COUNTIF(tblAnahtarB[IkincilB],'ANAHTAR'!$D473)&gt;0,"IKINCIL","YOK")))</f>
        <v/>
      </c>
      <c r="I473" s="16">
        <f>IF($A473="","",'ANAHTAR'!$F473)</f>
        <v/>
      </c>
      <c r="J473" s="16">
        <f>IF(OR($A473="",$D473=0),0,$F473/ABS($D473))</f>
        <v/>
      </c>
      <c r="K473" s="16">
        <f>IF($A473="","",ROUND($D473,2))</f>
        <v/>
      </c>
      <c r="L473" s="16">
        <f>IF($A473="","",ROUND($C473,2))</f>
        <v/>
      </c>
      <c r="M473" s="16">
        <f>IF($A473="","",IF($F473&lt;=toleransKurus,1,0))</f>
        <v/>
      </c>
      <c r="N473" s="16">
        <f>IF($A473="","",IF($F473&gt;cbb_esikFark,1,0))</f>
        <v/>
      </c>
      <c r="O473" s="16">
        <f>IF($A473="","",IF($G473="eslesti",$D473,0))</f>
        <v/>
      </c>
      <c r="P473" s="16">
        <f>IF($A473="","",$B473+$M473+$N473)</f>
        <v/>
      </c>
    </row>
    <row r="474">
      <c r="A474" s="16">
        <f>IF('ANAHTAR'!$B474="","",'ANAHTAR'!$B474)</f>
        <v/>
      </c>
      <c r="B474" s="16">
        <f>IF($A474="","",COUNTIF(tblAnahtarB[NormB],$A474))</f>
        <v/>
      </c>
      <c r="C474" s="16">
        <f>IF($A474="","",SUMIF(tblAnahtarB[NormB],$A474,tblVeriB[BeyanTutar]))</f>
        <v/>
      </c>
      <c r="D474" s="16">
        <f>IF($A474="","",SUMIF(tblAnahtarA[Norm],$A474,tblVeriA[Tutar]))</f>
        <v/>
      </c>
      <c r="E474" s="16">
        <f>IF($A474="","",ROUND($D474,2)-ROUND($C474,2))</f>
        <v/>
      </c>
      <c r="F474" s="16">
        <f>IF($A474="","",ABS($E474))</f>
        <v/>
      </c>
      <c r="G474" s="16">
        <f>IF($A474="","",IF($B474=0,"eslesmedi",IF(ROUND($D474,2)=ROUND($C474,2),"eslesti",IF(ABS(ROUND($D474,2)-ROUND($C474,2))&lt;=toleransKurus,"tolerans_icinde","tutar_farki"))))</f>
        <v/>
      </c>
      <c r="H474" s="16">
        <f>IF($A474="","",IF($B474&gt;0,"BIRINCIL",IF(COUNTIF(tblAnahtarB[IkincilB],'ANAHTAR'!$D474)&gt;0,"IKINCIL","YOK")))</f>
        <v/>
      </c>
      <c r="I474" s="16">
        <f>IF($A474="","",'ANAHTAR'!$F474)</f>
        <v/>
      </c>
      <c r="J474" s="16">
        <f>IF(OR($A474="",$D474=0),0,$F474/ABS($D474))</f>
        <v/>
      </c>
      <c r="K474" s="16">
        <f>IF($A474="","",ROUND($D474,2))</f>
        <v/>
      </c>
      <c r="L474" s="16">
        <f>IF($A474="","",ROUND($C474,2))</f>
        <v/>
      </c>
      <c r="M474" s="16">
        <f>IF($A474="","",IF($F474&lt;=toleransKurus,1,0))</f>
        <v/>
      </c>
      <c r="N474" s="16">
        <f>IF($A474="","",IF($F474&gt;cbb_esikFark,1,0))</f>
        <v/>
      </c>
      <c r="O474" s="16">
        <f>IF($A474="","",IF($G474="eslesti",$D474,0))</f>
        <v/>
      </c>
      <c r="P474" s="16">
        <f>IF($A474="","",$B474+$M474+$N474)</f>
        <v/>
      </c>
    </row>
    <row r="475">
      <c r="A475" s="16">
        <f>IF('ANAHTAR'!$B475="","",'ANAHTAR'!$B475)</f>
        <v/>
      </c>
      <c r="B475" s="16">
        <f>IF($A475="","",COUNTIF(tblAnahtarB[NormB],$A475))</f>
        <v/>
      </c>
      <c r="C475" s="16">
        <f>IF($A475="","",SUMIF(tblAnahtarB[NormB],$A475,tblVeriB[BeyanTutar]))</f>
        <v/>
      </c>
      <c r="D475" s="16">
        <f>IF($A475="","",SUMIF(tblAnahtarA[Norm],$A475,tblVeriA[Tutar]))</f>
        <v/>
      </c>
      <c r="E475" s="16">
        <f>IF($A475="","",ROUND($D475,2)-ROUND($C475,2))</f>
        <v/>
      </c>
      <c r="F475" s="16">
        <f>IF($A475="","",ABS($E475))</f>
        <v/>
      </c>
      <c r="G475" s="16">
        <f>IF($A475="","",IF($B475=0,"eslesmedi",IF(ROUND($D475,2)=ROUND($C475,2),"eslesti",IF(ABS(ROUND($D475,2)-ROUND($C475,2))&lt;=toleransKurus,"tolerans_icinde","tutar_farki"))))</f>
        <v/>
      </c>
      <c r="H475" s="16">
        <f>IF($A475="","",IF($B475&gt;0,"BIRINCIL",IF(COUNTIF(tblAnahtarB[IkincilB],'ANAHTAR'!$D475)&gt;0,"IKINCIL","YOK")))</f>
        <v/>
      </c>
      <c r="I475" s="16">
        <f>IF($A475="","",'ANAHTAR'!$F475)</f>
        <v/>
      </c>
      <c r="J475" s="16">
        <f>IF(OR($A475="",$D475=0),0,$F475/ABS($D475))</f>
        <v/>
      </c>
      <c r="K475" s="16">
        <f>IF($A475="","",ROUND($D475,2))</f>
        <v/>
      </c>
      <c r="L475" s="16">
        <f>IF($A475="","",ROUND($C475,2))</f>
        <v/>
      </c>
      <c r="M475" s="16">
        <f>IF($A475="","",IF($F475&lt;=toleransKurus,1,0))</f>
        <v/>
      </c>
      <c r="N475" s="16">
        <f>IF($A475="","",IF($F475&gt;cbb_esikFark,1,0))</f>
        <v/>
      </c>
      <c r="O475" s="16">
        <f>IF($A475="","",IF($G475="eslesti",$D475,0))</f>
        <v/>
      </c>
      <c r="P475" s="16">
        <f>IF($A475="","",$B475+$M475+$N475)</f>
        <v/>
      </c>
    </row>
    <row r="476">
      <c r="A476" s="16">
        <f>IF('ANAHTAR'!$B476="","",'ANAHTAR'!$B476)</f>
        <v/>
      </c>
      <c r="B476" s="16">
        <f>IF($A476="","",COUNTIF(tblAnahtarB[NormB],$A476))</f>
        <v/>
      </c>
      <c r="C476" s="16">
        <f>IF($A476="","",SUMIF(tblAnahtarB[NormB],$A476,tblVeriB[BeyanTutar]))</f>
        <v/>
      </c>
      <c r="D476" s="16">
        <f>IF($A476="","",SUMIF(tblAnahtarA[Norm],$A476,tblVeriA[Tutar]))</f>
        <v/>
      </c>
      <c r="E476" s="16">
        <f>IF($A476="","",ROUND($D476,2)-ROUND($C476,2))</f>
        <v/>
      </c>
      <c r="F476" s="16">
        <f>IF($A476="","",ABS($E476))</f>
        <v/>
      </c>
      <c r="G476" s="16">
        <f>IF($A476="","",IF($B476=0,"eslesmedi",IF(ROUND($D476,2)=ROUND($C476,2),"eslesti",IF(ABS(ROUND($D476,2)-ROUND($C476,2))&lt;=toleransKurus,"tolerans_icinde","tutar_farki"))))</f>
        <v/>
      </c>
      <c r="H476" s="16">
        <f>IF($A476="","",IF($B476&gt;0,"BIRINCIL",IF(COUNTIF(tblAnahtarB[IkincilB],'ANAHTAR'!$D476)&gt;0,"IKINCIL","YOK")))</f>
        <v/>
      </c>
      <c r="I476" s="16">
        <f>IF($A476="","",'ANAHTAR'!$F476)</f>
        <v/>
      </c>
      <c r="J476" s="16">
        <f>IF(OR($A476="",$D476=0),0,$F476/ABS($D476))</f>
        <v/>
      </c>
      <c r="K476" s="16">
        <f>IF($A476="","",ROUND($D476,2))</f>
        <v/>
      </c>
      <c r="L476" s="16">
        <f>IF($A476="","",ROUND($C476,2))</f>
        <v/>
      </c>
      <c r="M476" s="16">
        <f>IF($A476="","",IF($F476&lt;=toleransKurus,1,0))</f>
        <v/>
      </c>
      <c r="N476" s="16">
        <f>IF($A476="","",IF($F476&gt;cbb_esikFark,1,0))</f>
        <v/>
      </c>
      <c r="O476" s="16">
        <f>IF($A476="","",IF($G476="eslesti",$D476,0))</f>
        <v/>
      </c>
      <c r="P476" s="16">
        <f>IF($A476="","",$B476+$M476+$N476)</f>
        <v/>
      </c>
    </row>
    <row r="477">
      <c r="A477" s="16">
        <f>IF('ANAHTAR'!$B477="","",'ANAHTAR'!$B477)</f>
        <v/>
      </c>
      <c r="B477" s="16">
        <f>IF($A477="","",COUNTIF(tblAnahtarB[NormB],$A477))</f>
        <v/>
      </c>
      <c r="C477" s="16">
        <f>IF($A477="","",SUMIF(tblAnahtarB[NormB],$A477,tblVeriB[BeyanTutar]))</f>
        <v/>
      </c>
      <c r="D477" s="16">
        <f>IF($A477="","",SUMIF(tblAnahtarA[Norm],$A477,tblVeriA[Tutar]))</f>
        <v/>
      </c>
      <c r="E477" s="16">
        <f>IF($A477="","",ROUND($D477,2)-ROUND($C477,2))</f>
        <v/>
      </c>
      <c r="F477" s="16">
        <f>IF($A477="","",ABS($E477))</f>
        <v/>
      </c>
      <c r="G477" s="16">
        <f>IF($A477="","",IF($B477=0,"eslesmedi",IF(ROUND($D477,2)=ROUND($C477,2),"eslesti",IF(ABS(ROUND($D477,2)-ROUND($C477,2))&lt;=toleransKurus,"tolerans_icinde","tutar_farki"))))</f>
        <v/>
      </c>
      <c r="H477" s="16">
        <f>IF($A477="","",IF($B477&gt;0,"BIRINCIL",IF(COUNTIF(tblAnahtarB[IkincilB],'ANAHTAR'!$D477)&gt;0,"IKINCIL","YOK")))</f>
        <v/>
      </c>
      <c r="I477" s="16">
        <f>IF($A477="","",'ANAHTAR'!$F477)</f>
        <v/>
      </c>
      <c r="J477" s="16">
        <f>IF(OR($A477="",$D477=0),0,$F477/ABS($D477))</f>
        <v/>
      </c>
      <c r="K477" s="16">
        <f>IF($A477="","",ROUND($D477,2))</f>
        <v/>
      </c>
      <c r="L477" s="16">
        <f>IF($A477="","",ROUND($C477,2))</f>
        <v/>
      </c>
      <c r="M477" s="16">
        <f>IF($A477="","",IF($F477&lt;=toleransKurus,1,0))</f>
        <v/>
      </c>
      <c r="N477" s="16">
        <f>IF($A477="","",IF($F477&gt;cbb_esikFark,1,0))</f>
        <v/>
      </c>
      <c r="O477" s="16">
        <f>IF($A477="","",IF($G477="eslesti",$D477,0))</f>
        <v/>
      </c>
      <c r="P477" s="16">
        <f>IF($A477="","",$B477+$M477+$N477)</f>
        <v/>
      </c>
    </row>
    <row r="478">
      <c r="A478" s="16">
        <f>IF('ANAHTAR'!$B478="","",'ANAHTAR'!$B478)</f>
        <v/>
      </c>
      <c r="B478" s="16">
        <f>IF($A478="","",COUNTIF(tblAnahtarB[NormB],$A478))</f>
        <v/>
      </c>
      <c r="C478" s="16">
        <f>IF($A478="","",SUMIF(tblAnahtarB[NormB],$A478,tblVeriB[BeyanTutar]))</f>
        <v/>
      </c>
      <c r="D478" s="16">
        <f>IF($A478="","",SUMIF(tblAnahtarA[Norm],$A478,tblVeriA[Tutar]))</f>
        <v/>
      </c>
      <c r="E478" s="16">
        <f>IF($A478="","",ROUND($D478,2)-ROUND($C478,2))</f>
        <v/>
      </c>
      <c r="F478" s="16">
        <f>IF($A478="","",ABS($E478))</f>
        <v/>
      </c>
      <c r="G478" s="16">
        <f>IF($A478="","",IF($B478=0,"eslesmedi",IF(ROUND($D478,2)=ROUND($C478,2),"eslesti",IF(ABS(ROUND($D478,2)-ROUND($C478,2))&lt;=toleransKurus,"tolerans_icinde","tutar_farki"))))</f>
        <v/>
      </c>
      <c r="H478" s="16">
        <f>IF($A478="","",IF($B478&gt;0,"BIRINCIL",IF(COUNTIF(tblAnahtarB[IkincilB],'ANAHTAR'!$D478)&gt;0,"IKINCIL","YOK")))</f>
        <v/>
      </c>
      <c r="I478" s="16">
        <f>IF($A478="","",'ANAHTAR'!$F478)</f>
        <v/>
      </c>
      <c r="J478" s="16">
        <f>IF(OR($A478="",$D478=0),0,$F478/ABS($D478))</f>
        <v/>
      </c>
      <c r="K478" s="16">
        <f>IF($A478="","",ROUND($D478,2))</f>
        <v/>
      </c>
      <c r="L478" s="16">
        <f>IF($A478="","",ROUND($C478,2))</f>
        <v/>
      </c>
      <c r="M478" s="16">
        <f>IF($A478="","",IF($F478&lt;=toleransKurus,1,0))</f>
        <v/>
      </c>
      <c r="N478" s="16">
        <f>IF($A478="","",IF($F478&gt;cbb_esikFark,1,0))</f>
        <v/>
      </c>
      <c r="O478" s="16">
        <f>IF($A478="","",IF($G478="eslesti",$D478,0))</f>
        <v/>
      </c>
      <c r="P478" s="16">
        <f>IF($A478="","",$B478+$M478+$N478)</f>
        <v/>
      </c>
    </row>
    <row r="479">
      <c r="A479" s="16">
        <f>IF('ANAHTAR'!$B479="","",'ANAHTAR'!$B479)</f>
        <v/>
      </c>
      <c r="B479" s="16">
        <f>IF($A479="","",COUNTIF(tblAnahtarB[NormB],$A479))</f>
        <v/>
      </c>
      <c r="C479" s="16">
        <f>IF($A479="","",SUMIF(tblAnahtarB[NormB],$A479,tblVeriB[BeyanTutar]))</f>
        <v/>
      </c>
      <c r="D479" s="16">
        <f>IF($A479="","",SUMIF(tblAnahtarA[Norm],$A479,tblVeriA[Tutar]))</f>
        <v/>
      </c>
      <c r="E479" s="16">
        <f>IF($A479="","",ROUND($D479,2)-ROUND($C479,2))</f>
        <v/>
      </c>
      <c r="F479" s="16">
        <f>IF($A479="","",ABS($E479))</f>
        <v/>
      </c>
      <c r="G479" s="16">
        <f>IF($A479="","",IF($B479=0,"eslesmedi",IF(ROUND($D479,2)=ROUND($C479,2),"eslesti",IF(ABS(ROUND($D479,2)-ROUND($C479,2))&lt;=toleransKurus,"tolerans_icinde","tutar_farki"))))</f>
        <v/>
      </c>
      <c r="H479" s="16">
        <f>IF($A479="","",IF($B479&gt;0,"BIRINCIL",IF(COUNTIF(tblAnahtarB[IkincilB],'ANAHTAR'!$D479)&gt;0,"IKINCIL","YOK")))</f>
        <v/>
      </c>
      <c r="I479" s="16">
        <f>IF($A479="","",'ANAHTAR'!$F479)</f>
        <v/>
      </c>
      <c r="J479" s="16">
        <f>IF(OR($A479="",$D479=0),0,$F479/ABS($D479))</f>
        <v/>
      </c>
      <c r="K479" s="16">
        <f>IF($A479="","",ROUND($D479,2))</f>
        <v/>
      </c>
      <c r="L479" s="16">
        <f>IF($A479="","",ROUND($C479,2))</f>
        <v/>
      </c>
      <c r="M479" s="16">
        <f>IF($A479="","",IF($F479&lt;=toleransKurus,1,0))</f>
        <v/>
      </c>
      <c r="N479" s="16">
        <f>IF($A479="","",IF($F479&gt;cbb_esikFark,1,0))</f>
        <v/>
      </c>
      <c r="O479" s="16">
        <f>IF($A479="","",IF($G479="eslesti",$D479,0))</f>
        <v/>
      </c>
      <c r="P479" s="16">
        <f>IF($A479="","",$B479+$M479+$N479)</f>
        <v/>
      </c>
    </row>
    <row r="480">
      <c r="A480" s="16">
        <f>IF('ANAHTAR'!$B480="","",'ANAHTAR'!$B480)</f>
        <v/>
      </c>
      <c r="B480" s="16">
        <f>IF($A480="","",COUNTIF(tblAnahtarB[NormB],$A480))</f>
        <v/>
      </c>
      <c r="C480" s="16">
        <f>IF($A480="","",SUMIF(tblAnahtarB[NormB],$A480,tblVeriB[BeyanTutar]))</f>
        <v/>
      </c>
      <c r="D480" s="16">
        <f>IF($A480="","",SUMIF(tblAnahtarA[Norm],$A480,tblVeriA[Tutar]))</f>
        <v/>
      </c>
      <c r="E480" s="16">
        <f>IF($A480="","",ROUND($D480,2)-ROUND($C480,2))</f>
        <v/>
      </c>
      <c r="F480" s="16">
        <f>IF($A480="","",ABS($E480))</f>
        <v/>
      </c>
      <c r="G480" s="16">
        <f>IF($A480="","",IF($B480=0,"eslesmedi",IF(ROUND($D480,2)=ROUND($C480,2),"eslesti",IF(ABS(ROUND($D480,2)-ROUND($C480,2))&lt;=toleransKurus,"tolerans_icinde","tutar_farki"))))</f>
        <v/>
      </c>
      <c r="H480" s="16">
        <f>IF($A480="","",IF($B480&gt;0,"BIRINCIL",IF(COUNTIF(tblAnahtarB[IkincilB],'ANAHTAR'!$D480)&gt;0,"IKINCIL","YOK")))</f>
        <v/>
      </c>
      <c r="I480" s="16">
        <f>IF($A480="","",'ANAHTAR'!$F480)</f>
        <v/>
      </c>
      <c r="J480" s="16">
        <f>IF(OR($A480="",$D480=0),0,$F480/ABS($D480))</f>
        <v/>
      </c>
      <c r="K480" s="16">
        <f>IF($A480="","",ROUND($D480,2))</f>
        <v/>
      </c>
      <c r="L480" s="16">
        <f>IF($A480="","",ROUND($C480,2))</f>
        <v/>
      </c>
      <c r="M480" s="16">
        <f>IF($A480="","",IF($F480&lt;=toleransKurus,1,0))</f>
        <v/>
      </c>
      <c r="N480" s="16">
        <f>IF($A480="","",IF($F480&gt;cbb_esikFark,1,0))</f>
        <v/>
      </c>
      <c r="O480" s="16">
        <f>IF($A480="","",IF($G480="eslesti",$D480,0))</f>
        <v/>
      </c>
      <c r="P480" s="16">
        <f>IF($A480="","",$B480+$M480+$N480)</f>
        <v/>
      </c>
    </row>
    <row r="481">
      <c r="A481" s="16">
        <f>IF('ANAHTAR'!$B481="","",'ANAHTAR'!$B481)</f>
        <v/>
      </c>
      <c r="B481" s="16">
        <f>IF($A481="","",COUNTIF(tblAnahtarB[NormB],$A481))</f>
        <v/>
      </c>
      <c r="C481" s="16">
        <f>IF($A481="","",SUMIF(tblAnahtarB[NormB],$A481,tblVeriB[BeyanTutar]))</f>
        <v/>
      </c>
      <c r="D481" s="16">
        <f>IF($A481="","",SUMIF(tblAnahtarA[Norm],$A481,tblVeriA[Tutar]))</f>
        <v/>
      </c>
      <c r="E481" s="16">
        <f>IF($A481="","",ROUND($D481,2)-ROUND($C481,2))</f>
        <v/>
      </c>
      <c r="F481" s="16">
        <f>IF($A481="","",ABS($E481))</f>
        <v/>
      </c>
      <c r="G481" s="16">
        <f>IF($A481="","",IF($B481=0,"eslesmedi",IF(ROUND($D481,2)=ROUND($C481,2),"eslesti",IF(ABS(ROUND($D481,2)-ROUND($C481,2))&lt;=toleransKurus,"tolerans_icinde","tutar_farki"))))</f>
        <v/>
      </c>
      <c r="H481" s="16">
        <f>IF($A481="","",IF($B481&gt;0,"BIRINCIL",IF(COUNTIF(tblAnahtarB[IkincilB],'ANAHTAR'!$D481)&gt;0,"IKINCIL","YOK")))</f>
        <v/>
      </c>
      <c r="I481" s="16">
        <f>IF($A481="","",'ANAHTAR'!$F481)</f>
        <v/>
      </c>
      <c r="J481" s="16">
        <f>IF(OR($A481="",$D481=0),0,$F481/ABS($D481))</f>
        <v/>
      </c>
      <c r="K481" s="16">
        <f>IF($A481="","",ROUND($D481,2))</f>
        <v/>
      </c>
      <c r="L481" s="16">
        <f>IF($A481="","",ROUND($C481,2))</f>
        <v/>
      </c>
      <c r="M481" s="16">
        <f>IF($A481="","",IF($F481&lt;=toleransKurus,1,0))</f>
        <v/>
      </c>
      <c r="N481" s="16">
        <f>IF($A481="","",IF($F481&gt;cbb_esikFark,1,0))</f>
        <v/>
      </c>
      <c r="O481" s="16">
        <f>IF($A481="","",IF($G481="eslesti",$D481,0))</f>
        <v/>
      </c>
      <c r="P481" s="16">
        <f>IF($A481="","",$B481+$M481+$N481)</f>
        <v/>
      </c>
    </row>
    <row r="482">
      <c r="A482" s="16">
        <f>IF('ANAHTAR'!$B482="","",'ANAHTAR'!$B482)</f>
        <v/>
      </c>
      <c r="B482" s="16">
        <f>IF($A482="","",COUNTIF(tblAnahtarB[NormB],$A482))</f>
        <v/>
      </c>
      <c r="C482" s="16">
        <f>IF($A482="","",SUMIF(tblAnahtarB[NormB],$A482,tblVeriB[BeyanTutar]))</f>
        <v/>
      </c>
      <c r="D482" s="16">
        <f>IF($A482="","",SUMIF(tblAnahtarA[Norm],$A482,tblVeriA[Tutar]))</f>
        <v/>
      </c>
      <c r="E482" s="16">
        <f>IF($A482="","",ROUND($D482,2)-ROUND($C482,2))</f>
        <v/>
      </c>
      <c r="F482" s="16">
        <f>IF($A482="","",ABS($E482))</f>
        <v/>
      </c>
      <c r="G482" s="16">
        <f>IF($A482="","",IF($B482=0,"eslesmedi",IF(ROUND($D482,2)=ROUND($C482,2),"eslesti",IF(ABS(ROUND($D482,2)-ROUND($C482,2))&lt;=toleransKurus,"tolerans_icinde","tutar_farki"))))</f>
        <v/>
      </c>
      <c r="H482" s="16">
        <f>IF($A482="","",IF($B482&gt;0,"BIRINCIL",IF(COUNTIF(tblAnahtarB[IkincilB],'ANAHTAR'!$D482)&gt;0,"IKINCIL","YOK")))</f>
        <v/>
      </c>
      <c r="I482" s="16">
        <f>IF($A482="","",'ANAHTAR'!$F482)</f>
        <v/>
      </c>
      <c r="J482" s="16">
        <f>IF(OR($A482="",$D482=0),0,$F482/ABS($D482))</f>
        <v/>
      </c>
      <c r="K482" s="16">
        <f>IF($A482="","",ROUND($D482,2))</f>
        <v/>
      </c>
      <c r="L482" s="16">
        <f>IF($A482="","",ROUND($C482,2))</f>
        <v/>
      </c>
      <c r="M482" s="16">
        <f>IF($A482="","",IF($F482&lt;=toleransKurus,1,0))</f>
        <v/>
      </c>
      <c r="N482" s="16">
        <f>IF($A482="","",IF($F482&gt;cbb_esikFark,1,0))</f>
        <v/>
      </c>
      <c r="O482" s="16">
        <f>IF($A482="","",IF($G482="eslesti",$D482,0))</f>
        <v/>
      </c>
      <c r="P482" s="16">
        <f>IF($A482="","",$B482+$M482+$N482)</f>
        <v/>
      </c>
    </row>
    <row r="483">
      <c r="A483" s="16">
        <f>IF('ANAHTAR'!$B483="","",'ANAHTAR'!$B483)</f>
        <v/>
      </c>
      <c r="B483" s="16">
        <f>IF($A483="","",COUNTIF(tblAnahtarB[NormB],$A483))</f>
        <v/>
      </c>
      <c r="C483" s="16">
        <f>IF($A483="","",SUMIF(tblAnahtarB[NormB],$A483,tblVeriB[BeyanTutar]))</f>
        <v/>
      </c>
      <c r="D483" s="16">
        <f>IF($A483="","",SUMIF(tblAnahtarA[Norm],$A483,tblVeriA[Tutar]))</f>
        <v/>
      </c>
      <c r="E483" s="16">
        <f>IF($A483="","",ROUND($D483,2)-ROUND($C483,2))</f>
        <v/>
      </c>
      <c r="F483" s="16">
        <f>IF($A483="","",ABS($E483))</f>
        <v/>
      </c>
      <c r="G483" s="16">
        <f>IF($A483="","",IF($B483=0,"eslesmedi",IF(ROUND($D483,2)=ROUND($C483,2),"eslesti",IF(ABS(ROUND($D483,2)-ROUND($C483,2))&lt;=toleransKurus,"tolerans_icinde","tutar_farki"))))</f>
        <v/>
      </c>
      <c r="H483" s="16">
        <f>IF($A483="","",IF($B483&gt;0,"BIRINCIL",IF(COUNTIF(tblAnahtarB[IkincilB],'ANAHTAR'!$D483)&gt;0,"IKINCIL","YOK")))</f>
        <v/>
      </c>
      <c r="I483" s="16">
        <f>IF($A483="","",'ANAHTAR'!$F483)</f>
        <v/>
      </c>
      <c r="J483" s="16">
        <f>IF(OR($A483="",$D483=0),0,$F483/ABS($D483))</f>
        <v/>
      </c>
      <c r="K483" s="16">
        <f>IF($A483="","",ROUND($D483,2))</f>
        <v/>
      </c>
      <c r="L483" s="16">
        <f>IF($A483="","",ROUND($C483,2))</f>
        <v/>
      </c>
      <c r="M483" s="16">
        <f>IF($A483="","",IF($F483&lt;=toleransKurus,1,0))</f>
        <v/>
      </c>
      <c r="N483" s="16">
        <f>IF($A483="","",IF($F483&gt;cbb_esikFark,1,0))</f>
        <v/>
      </c>
      <c r="O483" s="16">
        <f>IF($A483="","",IF($G483="eslesti",$D483,0))</f>
        <v/>
      </c>
      <c r="P483" s="16">
        <f>IF($A483="","",$B483+$M483+$N483)</f>
        <v/>
      </c>
    </row>
    <row r="484">
      <c r="A484" s="16">
        <f>IF('ANAHTAR'!$B484="","",'ANAHTAR'!$B484)</f>
        <v/>
      </c>
      <c r="B484" s="16">
        <f>IF($A484="","",COUNTIF(tblAnahtarB[NormB],$A484))</f>
        <v/>
      </c>
      <c r="C484" s="16">
        <f>IF($A484="","",SUMIF(tblAnahtarB[NormB],$A484,tblVeriB[BeyanTutar]))</f>
        <v/>
      </c>
      <c r="D484" s="16">
        <f>IF($A484="","",SUMIF(tblAnahtarA[Norm],$A484,tblVeriA[Tutar]))</f>
        <v/>
      </c>
      <c r="E484" s="16">
        <f>IF($A484="","",ROUND($D484,2)-ROUND($C484,2))</f>
        <v/>
      </c>
      <c r="F484" s="16">
        <f>IF($A484="","",ABS($E484))</f>
        <v/>
      </c>
      <c r="G484" s="16">
        <f>IF($A484="","",IF($B484=0,"eslesmedi",IF(ROUND($D484,2)=ROUND($C484,2),"eslesti",IF(ABS(ROUND($D484,2)-ROUND($C484,2))&lt;=toleransKurus,"tolerans_icinde","tutar_farki"))))</f>
        <v/>
      </c>
      <c r="H484" s="16">
        <f>IF($A484="","",IF($B484&gt;0,"BIRINCIL",IF(COUNTIF(tblAnahtarB[IkincilB],'ANAHTAR'!$D484)&gt;0,"IKINCIL","YOK")))</f>
        <v/>
      </c>
      <c r="I484" s="16">
        <f>IF($A484="","",'ANAHTAR'!$F484)</f>
        <v/>
      </c>
      <c r="J484" s="16">
        <f>IF(OR($A484="",$D484=0),0,$F484/ABS($D484))</f>
        <v/>
      </c>
      <c r="K484" s="16">
        <f>IF($A484="","",ROUND($D484,2))</f>
        <v/>
      </c>
      <c r="L484" s="16">
        <f>IF($A484="","",ROUND($C484,2))</f>
        <v/>
      </c>
      <c r="M484" s="16">
        <f>IF($A484="","",IF($F484&lt;=toleransKurus,1,0))</f>
        <v/>
      </c>
      <c r="N484" s="16">
        <f>IF($A484="","",IF($F484&gt;cbb_esikFark,1,0))</f>
        <v/>
      </c>
      <c r="O484" s="16">
        <f>IF($A484="","",IF($G484="eslesti",$D484,0))</f>
        <v/>
      </c>
      <c r="P484" s="16">
        <f>IF($A484="","",$B484+$M484+$N484)</f>
        <v/>
      </c>
    </row>
    <row r="485">
      <c r="A485" s="16">
        <f>IF('ANAHTAR'!$B485="","",'ANAHTAR'!$B485)</f>
        <v/>
      </c>
      <c r="B485" s="16">
        <f>IF($A485="","",COUNTIF(tblAnahtarB[NormB],$A485))</f>
        <v/>
      </c>
      <c r="C485" s="16">
        <f>IF($A485="","",SUMIF(tblAnahtarB[NormB],$A485,tblVeriB[BeyanTutar]))</f>
        <v/>
      </c>
      <c r="D485" s="16">
        <f>IF($A485="","",SUMIF(tblAnahtarA[Norm],$A485,tblVeriA[Tutar]))</f>
        <v/>
      </c>
      <c r="E485" s="16">
        <f>IF($A485="","",ROUND($D485,2)-ROUND($C485,2))</f>
        <v/>
      </c>
      <c r="F485" s="16">
        <f>IF($A485="","",ABS($E485))</f>
        <v/>
      </c>
      <c r="G485" s="16">
        <f>IF($A485="","",IF($B485=0,"eslesmedi",IF(ROUND($D485,2)=ROUND($C485,2),"eslesti",IF(ABS(ROUND($D485,2)-ROUND($C485,2))&lt;=toleransKurus,"tolerans_icinde","tutar_farki"))))</f>
        <v/>
      </c>
      <c r="H485" s="16">
        <f>IF($A485="","",IF($B485&gt;0,"BIRINCIL",IF(COUNTIF(tblAnahtarB[IkincilB],'ANAHTAR'!$D485)&gt;0,"IKINCIL","YOK")))</f>
        <v/>
      </c>
      <c r="I485" s="16">
        <f>IF($A485="","",'ANAHTAR'!$F485)</f>
        <v/>
      </c>
      <c r="J485" s="16">
        <f>IF(OR($A485="",$D485=0),0,$F485/ABS($D485))</f>
        <v/>
      </c>
      <c r="K485" s="16">
        <f>IF($A485="","",ROUND($D485,2))</f>
        <v/>
      </c>
      <c r="L485" s="16">
        <f>IF($A485="","",ROUND($C485,2))</f>
        <v/>
      </c>
      <c r="M485" s="16">
        <f>IF($A485="","",IF($F485&lt;=toleransKurus,1,0))</f>
        <v/>
      </c>
      <c r="N485" s="16">
        <f>IF($A485="","",IF($F485&gt;cbb_esikFark,1,0))</f>
        <v/>
      </c>
      <c r="O485" s="16">
        <f>IF($A485="","",IF($G485="eslesti",$D485,0))</f>
        <v/>
      </c>
      <c r="P485" s="16">
        <f>IF($A485="","",$B485+$M485+$N485)</f>
        <v/>
      </c>
    </row>
    <row r="486">
      <c r="A486" s="16">
        <f>IF('ANAHTAR'!$B486="","",'ANAHTAR'!$B486)</f>
        <v/>
      </c>
      <c r="B486" s="16">
        <f>IF($A486="","",COUNTIF(tblAnahtarB[NormB],$A486))</f>
        <v/>
      </c>
      <c r="C486" s="16">
        <f>IF($A486="","",SUMIF(tblAnahtarB[NormB],$A486,tblVeriB[BeyanTutar]))</f>
        <v/>
      </c>
      <c r="D486" s="16">
        <f>IF($A486="","",SUMIF(tblAnahtarA[Norm],$A486,tblVeriA[Tutar]))</f>
        <v/>
      </c>
      <c r="E486" s="16">
        <f>IF($A486="","",ROUND($D486,2)-ROUND($C486,2))</f>
        <v/>
      </c>
      <c r="F486" s="16">
        <f>IF($A486="","",ABS($E486))</f>
        <v/>
      </c>
      <c r="G486" s="16">
        <f>IF($A486="","",IF($B486=0,"eslesmedi",IF(ROUND($D486,2)=ROUND($C486,2),"eslesti",IF(ABS(ROUND($D486,2)-ROUND($C486,2))&lt;=toleransKurus,"tolerans_icinde","tutar_farki"))))</f>
        <v/>
      </c>
      <c r="H486" s="16">
        <f>IF($A486="","",IF($B486&gt;0,"BIRINCIL",IF(COUNTIF(tblAnahtarB[IkincilB],'ANAHTAR'!$D486)&gt;0,"IKINCIL","YOK")))</f>
        <v/>
      </c>
      <c r="I486" s="16">
        <f>IF($A486="","",'ANAHTAR'!$F486)</f>
        <v/>
      </c>
      <c r="J486" s="16">
        <f>IF(OR($A486="",$D486=0),0,$F486/ABS($D486))</f>
        <v/>
      </c>
      <c r="K486" s="16">
        <f>IF($A486="","",ROUND($D486,2))</f>
        <v/>
      </c>
      <c r="L486" s="16">
        <f>IF($A486="","",ROUND($C486,2))</f>
        <v/>
      </c>
      <c r="M486" s="16">
        <f>IF($A486="","",IF($F486&lt;=toleransKurus,1,0))</f>
        <v/>
      </c>
      <c r="N486" s="16">
        <f>IF($A486="","",IF($F486&gt;cbb_esikFark,1,0))</f>
        <v/>
      </c>
      <c r="O486" s="16">
        <f>IF($A486="","",IF($G486="eslesti",$D486,0))</f>
        <v/>
      </c>
      <c r="P486" s="16">
        <f>IF($A486="","",$B486+$M486+$N486)</f>
        <v/>
      </c>
    </row>
    <row r="487">
      <c r="A487" s="16">
        <f>IF('ANAHTAR'!$B487="","",'ANAHTAR'!$B487)</f>
        <v/>
      </c>
      <c r="B487" s="16">
        <f>IF($A487="","",COUNTIF(tblAnahtarB[NormB],$A487))</f>
        <v/>
      </c>
      <c r="C487" s="16">
        <f>IF($A487="","",SUMIF(tblAnahtarB[NormB],$A487,tblVeriB[BeyanTutar]))</f>
        <v/>
      </c>
      <c r="D487" s="16">
        <f>IF($A487="","",SUMIF(tblAnahtarA[Norm],$A487,tblVeriA[Tutar]))</f>
        <v/>
      </c>
      <c r="E487" s="16">
        <f>IF($A487="","",ROUND($D487,2)-ROUND($C487,2))</f>
        <v/>
      </c>
      <c r="F487" s="16">
        <f>IF($A487="","",ABS($E487))</f>
        <v/>
      </c>
      <c r="G487" s="16">
        <f>IF($A487="","",IF($B487=0,"eslesmedi",IF(ROUND($D487,2)=ROUND($C487,2),"eslesti",IF(ABS(ROUND($D487,2)-ROUND($C487,2))&lt;=toleransKurus,"tolerans_icinde","tutar_farki"))))</f>
        <v/>
      </c>
      <c r="H487" s="16">
        <f>IF($A487="","",IF($B487&gt;0,"BIRINCIL",IF(COUNTIF(tblAnahtarB[IkincilB],'ANAHTAR'!$D487)&gt;0,"IKINCIL","YOK")))</f>
        <v/>
      </c>
      <c r="I487" s="16">
        <f>IF($A487="","",'ANAHTAR'!$F487)</f>
        <v/>
      </c>
      <c r="J487" s="16">
        <f>IF(OR($A487="",$D487=0),0,$F487/ABS($D487))</f>
        <v/>
      </c>
      <c r="K487" s="16">
        <f>IF($A487="","",ROUND($D487,2))</f>
        <v/>
      </c>
      <c r="L487" s="16">
        <f>IF($A487="","",ROUND($C487,2))</f>
        <v/>
      </c>
      <c r="M487" s="16">
        <f>IF($A487="","",IF($F487&lt;=toleransKurus,1,0))</f>
        <v/>
      </c>
      <c r="N487" s="16">
        <f>IF($A487="","",IF($F487&gt;cbb_esikFark,1,0))</f>
        <v/>
      </c>
      <c r="O487" s="16">
        <f>IF($A487="","",IF($G487="eslesti",$D487,0))</f>
        <v/>
      </c>
      <c r="P487" s="16">
        <f>IF($A487="","",$B487+$M487+$N487)</f>
        <v/>
      </c>
    </row>
    <row r="488">
      <c r="A488" s="16">
        <f>IF('ANAHTAR'!$B488="","",'ANAHTAR'!$B488)</f>
        <v/>
      </c>
      <c r="B488" s="16">
        <f>IF($A488="","",COUNTIF(tblAnahtarB[NormB],$A488))</f>
        <v/>
      </c>
      <c r="C488" s="16">
        <f>IF($A488="","",SUMIF(tblAnahtarB[NormB],$A488,tblVeriB[BeyanTutar]))</f>
        <v/>
      </c>
      <c r="D488" s="16">
        <f>IF($A488="","",SUMIF(tblAnahtarA[Norm],$A488,tblVeriA[Tutar]))</f>
        <v/>
      </c>
      <c r="E488" s="16">
        <f>IF($A488="","",ROUND($D488,2)-ROUND($C488,2))</f>
        <v/>
      </c>
      <c r="F488" s="16">
        <f>IF($A488="","",ABS($E488))</f>
        <v/>
      </c>
      <c r="G488" s="16">
        <f>IF($A488="","",IF($B488=0,"eslesmedi",IF(ROUND($D488,2)=ROUND($C488,2),"eslesti",IF(ABS(ROUND($D488,2)-ROUND($C488,2))&lt;=toleransKurus,"tolerans_icinde","tutar_farki"))))</f>
        <v/>
      </c>
      <c r="H488" s="16">
        <f>IF($A488="","",IF($B488&gt;0,"BIRINCIL",IF(COUNTIF(tblAnahtarB[IkincilB],'ANAHTAR'!$D488)&gt;0,"IKINCIL","YOK")))</f>
        <v/>
      </c>
      <c r="I488" s="16">
        <f>IF($A488="","",'ANAHTAR'!$F488)</f>
        <v/>
      </c>
      <c r="J488" s="16">
        <f>IF(OR($A488="",$D488=0),0,$F488/ABS($D488))</f>
        <v/>
      </c>
      <c r="K488" s="16">
        <f>IF($A488="","",ROUND($D488,2))</f>
        <v/>
      </c>
      <c r="L488" s="16">
        <f>IF($A488="","",ROUND($C488,2))</f>
        <v/>
      </c>
      <c r="M488" s="16">
        <f>IF($A488="","",IF($F488&lt;=toleransKurus,1,0))</f>
        <v/>
      </c>
      <c r="N488" s="16">
        <f>IF($A488="","",IF($F488&gt;cbb_esikFark,1,0))</f>
        <v/>
      </c>
      <c r="O488" s="16">
        <f>IF($A488="","",IF($G488="eslesti",$D488,0))</f>
        <v/>
      </c>
      <c r="P488" s="16">
        <f>IF($A488="","",$B488+$M488+$N488)</f>
        <v/>
      </c>
    </row>
    <row r="489">
      <c r="A489" s="16">
        <f>IF('ANAHTAR'!$B489="","",'ANAHTAR'!$B489)</f>
        <v/>
      </c>
      <c r="B489" s="16">
        <f>IF($A489="","",COUNTIF(tblAnahtarB[NormB],$A489))</f>
        <v/>
      </c>
      <c r="C489" s="16">
        <f>IF($A489="","",SUMIF(tblAnahtarB[NormB],$A489,tblVeriB[BeyanTutar]))</f>
        <v/>
      </c>
      <c r="D489" s="16">
        <f>IF($A489="","",SUMIF(tblAnahtarA[Norm],$A489,tblVeriA[Tutar]))</f>
        <v/>
      </c>
      <c r="E489" s="16">
        <f>IF($A489="","",ROUND($D489,2)-ROUND($C489,2))</f>
        <v/>
      </c>
      <c r="F489" s="16">
        <f>IF($A489="","",ABS($E489))</f>
        <v/>
      </c>
      <c r="G489" s="16">
        <f>IF($A489="","",IF($B489=0,"eslesmedi",IF(ROUND($D489,2)=ROUND($C489,2),"eslesti",IF(ABS(ROUND($D489,2)-ROUND($C489,2))&lt;=toleransKurus,"tolerans_icinde","tutar_farki"))))</f>
        <v/>
      </c>
      <c r="H489" s="16">
        <f>IF($A489="","",IF($B489&gt;0,"BIRINCIL",IF(COUNTIF(tblAnahtarB[IkincilB],'ANAHTAR'!$D489)&gt;0,"IKINCIL","YOK")))</f>
        <v/>
      </c>
      <c r="I489" s="16">
        <f>IF($A489="","",'ANAHTAR'!$F489)</f>
        <v/>
      </c>
      <c r="J489" s="16">
        <f>IF(OR($A489="",$D489=0),0,$F489/ABS($D489))</f>
        <v/>
      </c>
      <c r="K489" s="16">
        <f>IF($A489="","",ROUND($D489,2))</f>
        <v/>
      </c>
      <c r="L489" s="16">
        <f>IF($A489="","",ROUND($C489,2))</f>
        <v/>
      </c>
      <c r="M489" s="16">
        <f>IF($A489="","",IF($F489&lt;=toleransKurus,1,0))</f>
        <v/>
      </c>
      <c r="N489" s="16">
        <f>IF($A489="","",IF($F489&gt;cbb_esikFark,1,0))</f>
        <v/>
      </c>
      <c r="O489" s="16">
        <f>IF($A489="","",IF($G489="eslesti",$D489,0))</f>
        <v/>
      </c>
      <c r="P489" s="16">
        <f>IF($A489="","",$B489+$M489+$N489)</f>
        <v/>
      </c>
    </row>
    <row r="490">
      <c r="A490" s="16">
        <f>IF('ANAHTAR'!$B490="","",'ANAHTAR'!$B490)</f>
        <v/>
      </c>
      <c r="B490" s="16">
        <f>IF($A490="","",COUNTIF(tblAnahtarB[NormB],$A490))</f>
        <v/>
      </c>
      <c r="C490" s="16">
        <f>IF($A490="","",SUMIF(tblAnahtarB[NormB],$A490,tblVeriB[BeyanTutar]))</f>
        <v/>
      </c>
      <c r="D490" s="16">
        <f>IF($A490="","",SUMIF(tblAnahtarA[Norm],$A490,tblVeriA[Tutar]))</f>
        <v/>
      </c>
      <c r="E490" s="16">
        <f>IF($A490="","",ROUND($D490,2)-ROUND($C490,2))</f>
        <v/>
      </c>
      <c r="F490" s="16">
        <f>IF($A490="","",ABS($E490))</f>
        <v/>
      </c>
      <c r="G490" s="16">
        <f>IF($A490="","",IF($B490=0,"eslesmedi",IF(ROUND($D490,2)=ROUND($C490,2),"eslesti",IF(ABS(ROUND($D490,2)-ROUND($C490,2))&lt;=toleransKurus,"tolerans_icinde","tutar_farki"))))</f>
        <v/>
      </c>
      <c r="H490" s="16">
        <f>IF($A490="","",IF($B490&gt;0,"BIRINCIL",IF(COUNTIF(tblAnahtarB[IkincilB],'ANAHTAR'!$D490)&gt;0,"IKINCIL","YOK")))</f>
        <v/>
      </c>
      <c r="I490" s="16">
        <f>IF($A490="","",'ANAHTAR'!$F490)</f>
        <v/>
      </c>
      <c r="J490" s="16">
        <f>IF(OR($A490="",$D490=0),0,$F490/ABS($D490))</f>
        <v/>
      </c>
      <c r="K490" s="16">
        <f>IF($A490="","",ROUND($D490,2))</f>
        <v/>
      </c>
      <c r="L490" s="16">
        <f>IF($A490="","",ROUND($C490,2))</f>
        <v/>
      </c>
      <c r="M490" s="16">
        <f>IF($A490="","",IF($F490&lt;=toleransKurus,1,0))</f>
        <v/>
      </c>
      <c r="N490" s="16">
        <f>IF($A490="","",IF($F490&gt;cbb_esikFark,1,0))</f>
        <v/>
      </c>
      <c r="O490" s="16">
        <f>IF($A490="","",IF($G490="eslesti",$D490,0))</f>
        <v/>
      </c>
      <c r="P490" s="16">
        <f>IF($A490="","",$B490+$M490+$N490)</f>
        <v/>
      </c>
    </row>
    <row r="491">
      <c r="A491" s="16">
        <f>IF('ANAHTAR'!$B491="","",'ANAHTAR'!$B491)</f>
        <v/>
      </c>
      <c r="B491" s="16">
        <f>IF($A491="","",COUNTIF(tblAnahtarB[NormB],$A491))</f>
        <v/>
      </c>
      <c r="C491" s="16">
        <f>IF($A491="","",SUMIF(tblAnahtarB[NormB],$A491,tblVeriB[BeyanTutar]))</f>
        <v/>
      </c>
      <c r="D491" s="16">
        <f>IF($A491="","",SUMIF(tblAnahtarA[Norm],$A491,tblVeriA[Tutar]))</f>
        <v/>
      </c>
      <c r="E491" s="16">
        <f>IF($A491="","",ROUND($D491,2)-ROUND($C491,2))</f>
        <v/>
      </c>
      <c r="F491" s="16">
        <f>IF($A491="","",ABS($E491))</f>
        <v/>
      </c>
      <c r="G491" s="16">
        <f>IF($A491="","",IF($B491=0,"eslesmedi",IF(ROUND($D491,2)=ROUND($C491,2),"eslesti",IF(ABS(ROUND($D491,2)-ROUND($C491,2))&lt;=toleransKurus,"tolerans_icinde","tutar_farki"))))</f>
        <v/>
      </c>
      <c r="H491" s="16">
        <f>IF($A491="","",IF($B491&gt;0,"BIRINCIL",IF(COUNTIF(tblAnahtarB[IkincilB],'ANAHTAR'!$D491)&gt;0,"IKINCIL","YOK")))</f>
        <v/>
      </c>
      <c r="I491" s="16">
        <f>IF($A491="","",'ANAHTAR'!$F491)</f>
        <v/>
      </c>
      <c r="J491" s="16">
        <f>IF(OR($A491="",$D491=0),0,$F491/ABS($D491))</f>
        <v/>
      </c>
      <c r="K491" s="16">
        <f>IF($A491="","",ROUND($D491,2))</f>
        <v/>
      </c>
      <c r="L491" s="16">
        <f>IF($A491="","",ROUND($C491,2))</f>
        <v/>
      </c>
      <c r="M491" s="16">
        <f>IF($A491="","",IF($F491&lt;=toleransKurus,1,0))</f>
        <v/>
      </c>
      <c r="N491" s="16">
        <f>IF($A491="","",IF($F491&gt;cbb_esikFark,1,0))</f>
        <v/>
      </c>
      <c r="O491" s="16">
        <f>IF($A491="","",IF($G491="eslesti",$D491,0))</f>
        <v/>
      </c>
      <c r="P491" s="16">
        <f>IF($A491="","",$B491+$M491+$N491)</f>
        <v/>
      </c>
    </row>
    <row r="492">
      <c r="A492" s="16">
        <f>IF('ANAHTAR'!$B492="","",'ANAHTAR'!$B492)</f>
        <v/>
      </c>
      <c r="B492" s="16">
        <f>IF($A492="","",COUNTIF(tblAnahtarB[NormB],$A492))</f>
        <v/>
      </c>
      <c r="C492" s="16">
        <f>IF($A492="","",SUMIF(tblAnahtarB[NormB],$A492,tblVeriB[BeyanTutar]))</f>
        <v/>
      </c>
      <c r="D492" s="16">
        <f>IF($A492="","",SUMIF(tblAnahtarA[Norm],$A492,tblVeriA[Tutar]))</f>
        <v/>
      </c>
      <c r="E492" s="16">
        <f>IF($A492="","",ROUND($D492,2)-ROUND($C492,2))</f>
        <v/>
      </c>
      <c r="F492" s="16">
        <f>IF($A492="","",ABS($E492))</f>
        <v/>
      </c>
      <c r="G492" s="16">
        <f>IF($A492="","",IF($B492=0,"eslesmedi",IF(ROUND($D492,2)=ROUND($C492,2),"eslesti",IF(ABS(ROUND($D492,2)-ROUND($C492,2))&lt;=toleransKurus,"tolerans_icinde","tutar_farki"))))</f>
        <v/>
      </c>
      <c r="H492" s="16">
        <f>IF($A492="","",IF($B492&gt;0,"BIRINCIL",IF(COUNTIF(tblAnahtarB[IkincilB],'ANAHTAR'!$D492)&gt;0,"IKINCIL","YOK")))</f>
        <v/>
      </c>
      <c r="I492" s="16">
        <f>IF($A492="","",'ANAHTAR'!$F492)</f>
        <v/>
      </c>
      <c r="J492" s="16">
        <f>IF(OR($A492="",$D492=0),0,$F492/ABS($D492))</f>
        <v/>
      </c>
      <c r="K492" s="16">
        <f>IF($A492="","",ROUND($D492,2))</f>
        <v/>
      </c>
      <c r="L492" s="16">
        <f>IF($A492="","",ROUND($C492,2))</f>
        <v/>
      </c>
      <c r="M492" s="16">
        <f>IF($A492="","",IF($F492&lt;=toleransKurus,1,0))</f>
        <v/>
      </c>
      <c r="N492" s="16">
        <f>IF($A492="","",IF($F492&gt;cbb_esikFark,1,0))</f>
        <v/>
      </c>
      <c r="O492" s="16">
        <f>IF($A492="","",IF($G492="eslesti",$D492,0))</f>
        <v/>
      </c>
      <c r="P492" s="16">
        <f>IF($A492="","",$B492+$M492+$N492)</f>
        <v/>
      </c>
    </row>
    <row r="493">
      <c r="A493" s="16">
        <f>IF('ANAHTAR'!$B493="","",'ANAHTAR'!$B493)</f>
        <v/>
      </c>
      <c r="B493" s="16">
        <f>IF($A493="","",COUNTIF(tblAnahtarB[NormB],$A493))</f>
        <v/>
      </c>
      <c r="C493" s="16">
        <f>IF($A493="","",SUMIF(tblAnahtarB[NormB],$A493,tblVeriB[BeyanTutar]))</f>
        <v/>
      </c>
      <c r="D493" s="16">
        <f>IF($A493="","",SUMIF(tblAnahtarA[Norm],$A493,tblVeriA[Tutar]))</f>
        <v/>
      </c>
      <c r="E493" s="16">
        <f>IF($A493="","",ROUND($D493,2)-ROUND($C493,2))</f>
        <v/>
      </c>
      <c r="F493" s="16">
        <f>IF($A493="","",ABS($E493))</f>
        <v/>
      </c>
      <c r="G493" s="16">
        <f>IF($A493="","",IF($B493=0,"eslesmedi",IF(ROUND($D493,2)=ROUND($C493,2),"eslesti",IF(ABS(ROUND($D493,2)-ROUND($C493,2))&lt;=toleransKurus,"tolerans_icinde","tutar_farki"))))</f>
        <v/>
      </c>
      <c r="H493" s="16">
        <f>IF($A493="","",IF($B493&gt;0,"BIRINCIL",IF(COUNTIF(tblAnahtarB[IkincilB],'ANAHTAR'!$D493)&gt;0,"IKINCIL","YOK")))</f>
        <v/>
      </c>
      <c r="I493" s="16">
        <f>IF($A493="","",'ANAHTAR'!$F493)</f>
        <v/>
      </c>
      <c r="J493" s="16">
        <f>IF(OR($A493="",$D493=0),0,$F493/ABS($D493))</f>
        <v/>
      </c>
      <c r="K493" s="16">
        <f>IF($A493="","",ROUND($D493,2))</f>
        <v/>
      </c>
      <c r="L493" s="16">
        <f>IF($A493="","",ROUND($C493,2))</f>
        <v/>
      </c>
      <c r="M493" s="16">
        <f>IF($A493="","",IF($F493&lt;=toleransKurus,1,0))</f>
        <v/>
      </c>
      <c r="N493" s="16">
        <f>IF($A493="","",IF($F493&gt;cbb_esikFark,1,0))</f>
        <v/>
      </c>
      <c r="O493" s="16">
        <f>IF($A493="","",IF($G493="eslesti",$D493,0))</f>
        <v/>
      </c>
      <c r="P493" s="16">
        <f>IF($A493="","",$B493+$M493+$N493)</f>
        <v/>
      </c>
    </row>
    <row r="494">
      <c r="A494" s="16">
        <f>IF('ANAHTAR'!$B494="","",'ANAHTAR'!$B494)</f>
        <v/>
      </c>
      <c r="B494" s="16">
        <f>IF($A494="","",COUNTIF(tblAnahtarB[NormB],$A494))</f>
        <v/>
      </c>
      <c r="C494" s="16">
        <f>IF($A494="","",SUMIF(tblAnahtarB[NormB],$A494,tblVeriB[BeyanTutar]))</f>
        <v/>
      </c>
      <c r="D494" s="16">
        <f>IF($A494="","",SUMIF(tblAnahtarA[Norm],$A494,tblVeriA[Tutar]))</f>
        <v/>
      </c>
      <c r="E494" s="16">
        <f>IF($A494="","",ROUND($D494,2)-ROUND($C494,2))</f>
        <v/>
      </c>
      <c r="F494" s="16">
        <f>IF($A494="","",ABS($E494))</f>
        <v/>
      </c>
      <c r="G494" s="16">
        <f>IF($A494="","",IF($B494=0,"eslesmedi",IF(ROUND($D494,2)=ROUND($C494,2),"eslesti",IF(ABS(ROUND($D494,2)-ROUND($C494,2))&lt;=toleransKurus,"tolerans_icinde","tutar_farki"))))</f>
        <v/>
      </c>
      <c r="H494" s="16">
        <f>IF($A494="","",IF($B494&gt;0,"BIRINCIL",IF(COUNTIF(tblAnahtarB[IkincilB],'ANAHTAR'!$D494)&gt;0,"IKINCIL","YOK")))</f>
        <v/>
      </c>
      <c r="I494" s="16">
        <f>IF($A494="","",'ANAHTAR'!$F494)</f>
        <v/>
      </c>
      <c r="J494" s="16">
        <f>IF(OR($A494="",$D494=0),0,$F494/ABS($D494))</f>
        <v/>
      </c>
      <c r="K494" s="16">
        <f>IF($A494="","",ROUND($D494,2))</f>
        <v/>
      </c>
      <c r="L494" s="16">
        <f>IF($A494="","",ROUND($C494,2))</f>
        <v/>
      </c>
      <c r="M494" s="16">
        <f>IF($A494="","",IF($F494&lt;=toleransKurus,1,0))</f>
        <v/>
      </c>
      <c r="N494" s="16">
        <f>IF($A494="","",IF($F494&gt;cbb_esikFark,1,0))</f>
        <v/>
      </c>
      <c r="O494" s="16">
        <f>IF($A494="","",IF($G494="eslesti",$D494,0))</f>
        <v/>
      </c>
      <c r="P494" s="16">
        <f>IF($A494="","",$B494+$M494+$N494)</f>
        <v/>
      </c>
    </row>
    <row r="495">
      <c r="A495" s="16">
        <f>IF('ANAHTAR'!$B495="","",'ANAHTAR'!$B495)</f>
        <v/>
      </c>
      <c r="B495" s="16">
        <f>IF($A495="","",COUNTIF(tblAnahtarB[NormB],$A495))</f>
        <v/>
      </c>
      <c r="C495" s="16">
        <f>IF($A495="","",SUMIF(tblAnahtarB[NormB],$A495,tblVeriB[BeyanTutar]))</f>
        <v/>
      </c>
      <c r="D495" s="16">
        <f>IF($A495="","",SUMIF(tblAnahtarA[Norm],$A495,tblVeriA[Tutar]))</f>
        <v/>
      </c>
      <c r="E495" s="16">
        <f>IF($A495="","",ROUND($D495,2)-ROUND($C495,2))</f>
        <v/>
      </c>
      <c r="F495" s="16">
        <f>IF($A495="","",ABS($E495))</f>
        <v/>
      </c>
      <c r="G495" s="16">
        <f>IF($A495="","",IF($B495=0,"eslesmedi",IF(ROUND($D495,2)=ROUND($C495,2),"eslesti",IF(ABS(ROUND($D495,2)-ROUND($C495,2))&lt;=toleransKurus,"tolerans_icinde","tutar_farki"))))</f>
        <v/>
      </c>
      <c r="H495" s="16">
        <f>IF($A495="","",IF($B495&gt;0,"BIRINCIL",IF(COUNTIF(tblAnahtarB[IkincilB],'ANAHTAR'!$D495)&gt;0,"IKINCIL","YOK")))</f>
        <v/>
      </c>
      <c r="I495" s="16">
        <f>IF($A495="","",'ANAHTAR'!$F495)</f>
        <v/>
      </c>
      <c r="J495" s="16">
        <f>IF(OR($A495="",$D495=0),0,$F495/ABS($D495))</f>
        <v/>
      </c>
      <c r="K495" s="16">
        <f>IF($A495="","",ROUND($D495,2))</f>
        <v/>
      </c>
      <c r="L495" s="16">
        <f>IF($A495="","",ROUND($C495,2))</f>
        <v/>
      </c>
      <c r="M495" s="16">
        <f>IF($A495="","",IF($F495&lt;=toleransKurus,1,0))</f>
        <v/>
      </c>
      <c r="N495" s="16">
        <f>IF($A495="","",IF($F495&gt;cbb_esikFark,1,0))</f>
        <v/>
      </c>
      <c r="O495" s="16">
        <f>IF($A495="","",IF($G495="eslesti",$D495,0))</f>
        <v/>
      </c>
      <c r="P495" s="16">
        <f>IF($A495="","",$B495+$M495+$N495)</f>
        <v/>
      </c>
    </row>
    <row r="496">
      <c r="A496" s="16">
        <f>IF('ANAHTAR'!$B496="","",'ANAHTAR'!$B496)</f>
        <v/>
      </c>
      <c r="B496" s="16">
        <f>IF($A496="","",COUNTIF(tblAnahtarB[NormB],$A496))</f>
        <v/>
      </c>
      <c r="C496" s="16">
        <f>IF($A496="","",SUMIF(tblAnahtarB[NormB],$A496,tblVeriB[BeyanTutar]))</f>
        <v/>
      </c>
      <c r="D496" s="16">
        <f>IF($A496="","",SUMIF(tblAnahtarA[Norm],$A496,tblVeriA[Tutar]))</f>
        <v/>
      </c>
      <c r="E496" s="16">
        <f>IF($A496="","",ROUND($D496,2)-ROUND($C496,2))</f>
        <v/>
      </c>
      <c r="F496" s="16">
        <f>IF($A496="","",ABS($E496))</f>
        <v/>
      </c>
      <c r="G496" s="16">
        <f>IF($A496="","",IF($B496=0,"eslesmedi",IF(ROUND($D496,2)=ROUND($C496,2),"eslesti",IF(ABS(ROUND($D496,2)-ROUND($C496,2))&lt;=toleransKurus,"tolerans_icinde","tutar_farki"))))</f>
        <v/>
      </c>
      <c r="H496" s="16">
        <f>IF($A496="","",IF($B496&gt;0,"BIRINCIL",IF(COUNTIF(tblAnahtarB[IkincilB],'ANAHTAR'!$D496)&gt;0,"IKINCIL","YOK")))</f>
        <v/>
      </c>
      <c r="I496" s="16">
        <f>IF($A496="","",'ANAHTAR'!$F496)</f>
        <v/>
      </c>
      <c r="J496" s="16">
        <f>IF(OR($A496="",$D496=0),0,$F496/ABS($D496))</f>
        <v/>
      </c>
      <c r="K496" s="16">
        <f>IF($A496="","",ROUND($D496,2))</f>
        <v/>
      </c>
      <c r="L496" s="16">
        <f>IF($A496="","",ROUND($C496,2))</f>
        <v/>
      </c>
      <c r="M496" s="16">
        <f>IF($A496="","",IF($F496&lt;=toleransKurus,1,0))</f>
        <v/>
      </c>
      <c r="N496" s="16">
        <f>IF($A496="","",IF($F496&gt;cbb_esikFark,1,0))</f>
        <v/>
      </c>
      <c r="O496" s="16">
        <f>IF($A496="","",IF($G496="eslesti",$D496,0))</f>
        <v/>
      </c>
      <c r="P496" s="16">
        <f>IF($A496="","",$B496+$M496+$N496)</f>
        <v/>
      </c>
    </row>
    <row r="497">
      <c r="A497" s="16">
        <f>IF('ANAHTAR'!$B497="","",'ANAHTAR'!$B497)</f>
        <v/>
      </c>
      <c r="B497" s="16">
        <f>IF($A497="","",COUNTIF(tblAnahtarB[NormB],$A497))</f>
        <v/>
      </c>
      <c r="C497" s="16">
        <f>IF($A497="","",SUMIF(tblAnahtarB[NormB],$A497,tblVeriB[BeyanTutar]))</f>
        <v/>
      </c>
      <c r="D497" s="16">
        <f>IF($A497="","",SUMIF(tblAnahtarA[Norm],$A497,tblVeriA[Tutar]))</f>
        <v/>
      </c>
      <c r="E497" s="16">
        <f>IF($A497="","",ROUND($D497,2)-ROUND($C497,2))</f>
        <v/>
      </c>
      <c r="F497" s="16">
        <f>IF($A497="","",ABS($E497))</f>
        <v/>
      </c>
      <c r="G497" s="16">
        <f>IF($A497="","",IF($B497=0,"eslesmedi",IF(ROUND($D497,2)=ROUND($C497,2),"eslesti",IF(ABS(ROUND($D497,2)-ROUND($C497,2))&lt;=toleransKurus,"tolerans_icinde","tutar_farki"))))</f>
        <v/>
      </c>
      <c r="H497" s="16">
        <f>IF($A497="","",IF($B497&gt;0,"BIRINCIL",IF(COUNTIF(tblAnahtarB[IkincilB],'ANAHTAR'!$D497)&gt;0,"IKINCIL","YOK")))</f>
        <v/>
      </c>
      <c r="I497" s="16">
        <f>IF($A497="","",'ANAHTAR'!$F497)</f>
        <v/>
      </c>
      <c r="J497" s="16">
        <f>IF(OR($A497="",$D497=0),0,$F497/ABS($D497))</f>
        <v/>
      </c>
      <c r="K497" s="16">
        <f>IF($A497="","",ROUND($D497,2))</f>
        <v/>
      </c>
      <c r="L497" s="16">
        <f>IF($A497="","",ROUND($C497,2))</f>
        <v/>
      </c>
      <c r="M497" s="16">
        <f>IF($A497="","",IF($F497&lt;=toleransKurus,1,0))</f>
        <v/>
      </c>
      <c r="N497" s="16">
        <f>IF($A497="","",IF($F497&gt;cbb_esikFark,1,0))</f>
        <v/>
      </c>
      <c r="O497" s="16">
        <f>IF($A497="","",IF($G497="eslesti",$D497,0))</f>
        <v/>
      </c>
      <c r="P497" s="16">
        <f>IF($A497="","",$B497+$M497+$N497)</f>
        <v/>
      </c>
    </row>
    <row r="498">
      <c r="A498" s="16">
        <f>IF('ANAHTAR'!$B498="","",'ANAHTAR'!$B498)</f>
        <v/>
      </c>
      <c r="B498" s="16">
        <f>IF($A498="","",COUNTIF(tblAnahtarB[NormB],$A498))</f>
        <v/>
      </c>
      <c r="C498" s="16">
        <f>IF($A498="","",SUMIF(tblAnahtarB[NormB],$A498,tblVeriB[BeyanTutar]))</f>
        <v/>
      </c>
      <c r="D498" s="16">
        <f>IF($A498="","",SUMIF(tblAnahtarA[Norm],$A498,tblVeriA[Tutar]))</f>
        <v/>
      </c>
      <c r="E498" s="16">
        <f>IF($A498="","",ROUND($D498,2)-ROUND($C498,2))</f>
        <v/>
      </c>
      <c r="F498" s="16">
        <f>IF($A498="","",ABS($E498))</f>
        <v/>
      </c>
      <c r="G498" s="16">
        <f>IF($A498="","",IF($B498=0,"eslesmedi",IF(ROUND($D498,2)=ROUND($C498,2),"eslesti",IF(ABS(ROUND($D498,2)-ROUND($C498,2))&lt;=toleransKurus,"tolerans_icinde","tutar_farki"))))</f>
        <v/>
      </c>
      <c r="H498" s="16">
        <f>IF($A498="","",IF($B498&gt;0,"BIRINCIL",IF(COUNTIF(tblAnahtarB[IkincilB],'ANAHTAR'!$D498)&gt;0,"IKINCIL","YOK")))</f>
        <v/>
      </c>
      <c r="I498" s="16">
        <f>IF($A498="","",'ANAHTAR'!$F498)</f>
        <v/>
      </c>
      <c r="J498" s="16">
        <f>IF(OR($A498="",$D498=0),0,$F498/ABS($D498))</f>
        <v/>
      </c>
      <c r="K498" s="16">
        <f>IF($A498="","",ROUND($D498,2))</f>
        <v/>
      </c>
      <c r="L498" s="16">
        <f>IF($A498="","",ROUND($C498,2))</f>
        <v/>
      </c>
      <c r="M498" s="16">
        <f>IF($A498="","",IF($F498&lt;=toleransKurus,1,0))</f>
        <v/>
      </c>
      <c r="N498" s="16">
        <f>IF($A498="","",IF($F498&gt;cbb_esikFark,1,0))</f>
        <v/>
      </c>
      <c r="O498" s="16">
        <f>IF($A498="","",IF($G498="eslesti",$D498,0))</f>
        <v/>
      </c>
      <c r="P498" s="16">
        <f>IF($A498="","",$B498+$M498+$N498)</f>
        <v/>
      </c>
    </row>
    <row r="499">
      <c r="A499" s="16">
        <f>IF('ANAHTAR'!$B499="","",'ANAHTAR'!$B499)</f>
        <v/>
      </c>
      <c r="B499" s="16">
        <f>IF($A499="","",COUNTIF(tblAnahtarB[NormB],$A499))</f>
        <v/>
      </c>
      <c r="C499" s="16">
        <f>IF($A499="","",SUMIF(tblAnahtarB[NormB],$A499,tblVeriB[BeyanTutar]))</f>
        <v/>
      </c>
      <c r="D499" s="16">
        <f>IF($A499="","",SUMIF(tblAnahtarA[Norm],$A499,tblVeriA[Tutar]))</f>
        <v/>
      </c>
      <c r="E499" s="16">
        <f>IF($A499="","",ROUND($D499,2)-ROUND($C499,2))</f>
        <v/>
      </c>
      <c r="F499" s="16">
        <f>IF($A499="","",ABS($E499))</f>
        <v/>
      </c>
      <c r="G499" s="16">
        <f>IF($A499="","",IF($B499=0,"eslesmedi",IF(ROUND($D499,2)=ROUND($C499,2),"eslesti",IF(ABS(ROUND($D499,2)-ROUND($C499,2))&lt;=toleransKurus,"tolerans_icinde","tutar_farki"))))</f>
        <v/>
      </c>
      <c r="H499" s="16">
        <f>IF($A499="","",IF($B499&gt;0,"BIRINCIL",IF(COUNTIF(tblAnahtarB[IkincilB],'ANAHTAR'!$D499)&gt;0,"IKINCIL","YOK")))</f>
        <v/>
      </c>
      <c r="I499" s="16">
        <f>IF($A499="","",'ANAHTAR'!$F499)</f>
        <v/>
      </c>
      <c r="J499" s="16">
        <f>IF(OR($A499="",$D499=0),0,$F499/ABS($D499))</f>
        <v/>
      </c>
      <c r="K499" s="16">
        <f>IF($A499="","",ROUND($D499,2))</f>
        <v/>
      </c>
      <c r="L499" s="16">
        <f>IF($A499="","",ROUND($C499,2))</f>
        <v/>
      </c>
      <c r="M499" s="16">
        <f>IF($A499="","",IF($F499&lt;=toleransKurus,1,0))</f>
        <v/>
      </c>
      <c r="N499" s="16">
        <f>IF($A499="","",IF($F499&gt;cbb_esikFark,1,0))</f>
        <v/>
      </c>
      <c r="O499" s="16">
        <f>IF($A499="","",IF($G499="eslesti",$D499,0))</f>
        <v/>
      </c>
      <c r="P499" s="16">
        <f>IF($A499="","",$B499+$M499+$N499)</f>
        <v/>
      </c>
    </row>
    <row r="500">
      <c r="A500" s="16">
        <f>IF('ANAHTAR'!$B500="","",'ANAHTAR'!$B500)</f>
        <v/>
      </c>
      <c r="B500" s="16">
        <f>IF($A500="","",COUNTIF(tblAnahtarB[NormB],$A500))</f>
        <v/>
      </c>
      <c r="C500" s="16">
        <f>IF($A500="","",SUMIF(tblAnahtarB[NormB],$A500,tblVeriB[BeyanTutar]))</f>
        <v/>
      </c>
      <c r="D500" s="16">
        <f>IF($A500="","",SUMIF(tblAnahtarA[Norm],$A500,tblVeriA[Tutar]))</f>
        <v/>
      </c>
      <c r="E500" s="16">
        <f>IF($A500="","",ROUND($D500,2)-ROUND($C500,2))</f>
        <v/>
      </c>
      <c r="F500" s="16">
        <f>IF($A500="","",ABS($E500))</f>
        <v/>
      </c>
      <c r="G500" s="16">
        <f>IF($A500="","",IF($B500=0,"eslesmedi",IF(ROUND($D500,2)=ROUND($C500,2),"eslesti",IF(ABS(ROUND($D500,2)-ROUND($C500,2))&lt;=toleransKurus,"tolerans_icinde","tutar_farki"))))</f>
        <v/>
      </c>
      <c r="H500" s="16">
        <f>IF($A500="","",IF($B500&gt;0,"BIRINCIL",IF(COUNTIF(tblAnahtarB[IkincilB],'ANAHTAR'!$D500)&gt;0,"IKINCIL","YOK")))</f>
        <v/>
      </c>
      <c r="I500" s="16">
        <f>IF($A500="","",'ANAHTAR'!$F500)</f>
        <v/>
      </c>
      <c r="J500" s="16">
        <f>IF(OR($A500="",$D500=0),0,$F500/ABS($D500))</f>
        <v/>
      </c>
      <c r="K500" s="16">
        <f>IF($A500="","",ROUND($D500,2))</f>
        <v/>
      </c>
      <c r="L500" s="16">
        <f>IF($A500="","",ROUND($C500,2))</f>
        <v/>
      </c>
      <c r="M500" s="16">
        <f>IF($A500="","",IF($F500&lt;=toleransKurus,1,0))</f>
        <v/>
      </c>
      <c r="N500" s="16">
        <f>IF($A500="","",IF($F500&gt;cbb_esikFark,1,0))</f>
        <v/>
      </c>
      <c r="O500" s="16">
        <f>IF($A500="","",IF($G500="eslesti",$D500,0))</f>
        <v/>
      </c>
      <c r="P500" s="16">
        <f>IF($A500="","",$B500+$M500+$N500)</f>
        <v/>
      </c>
    </row>
    <row r="501">
      <c r="A501" s="16">
        <f>IF('ANAHTAR'!$B501="","",'ANAHTAR'!$B501)</f>
        <v/>
      </c>
      <c r="B501" s="16">
        <f>IF($A501="","",COUNTIF(tblAnahtarB[NormB],$A501))</f>
        <v/>
      </c>
      <c r="C501" s="16">
        <f>IF($A501="","",SUMIF(tblAnahtarB[NormB],$A501,tblVeriB[BeyanTutar]))</f>
        <v/>
      </c>
      <c r="D501" s="16">
        <f>IF($A501="","",SUMIF(tblAnahtarA[Norm],$A501,tblVeriA[Tutar]))</f>
        <v/>
      </c>
      <c r="E501" s="16">
        <f>IF($A501="","",ROUND($D501,2)-ROUND($C501,2))</f>
        <v/>
      </c>
      <c r="F501" s="16">
        <f>IF($A501="","",ABS($E501))</f>
        <v/>
      </c>
      <c r="G501" s="16">
        <f>IF($A501="","",IF($B501=0,"eslesmedi",IF(ROUND($D501,2)=ROUND($C501,2),"eslesti",IF(ABS(ROUND($D501,2)-ROUND($C501,2))&lt;=toleransKurus,"tolerans_icinde","tutar_farki"))))</f>
        <v/>
      </c>
      <c r="H501" s="16">
        <f>IF($A501="","",IF($B501&gt;0,"BIRINCIL",IF(COUNTIF(tblAnahtarB[IkincilB],'ANAHTAR'!$D501)&gt;0,"IKINCIL","YOK")))</f>
        <v/>
      </c>
      <c r="I501" s="16">
        <f>IF($A501="","",'ANAHTAR'!$F501)</f>
        <v/>
      </c>
      <c r="J501" s="16">
        <f>IF(OR($A501="",$D501=0),0,$F501/ABS($D501))</f>
        <v/>
      </c>
      <c r="K501" s="16">
        <f>IF($A501="","",ROUND($D501,2))</f>
        <v/>
      </c>
      <c r="L501" s="16">
        <f>IF($A501="","",ROUND($C501,2))</f>
        <v/>
      </c>
      <c r="M501" s="16">
        <f>IF($A501="","",IF($F501&lt;=toleransKurus,1,0))</f>
        <v/>
      </c>
      <c r="N501" s="16">
        <f>IF($A501="","",IF($F501&gt;cbb_esikFark,1,0))</f>
        <v/>
      </c>
      <c r="O501" s="16">
        <f>IF($A501="","",IF($G501="eslesti",$D501,0))</f>
        <v/>
      </c>
      <c r="P501" s="16">
        <f>IF($A501="","",$B501+$M501+$N501)</f>
        <v/>
      </c>
    </row>
    <row r="502">
      <c r="A502" s="16">
        <f>IF('ANAHTAR'!$B502="","",'ANAHTAR'!$B502)</f>
        <v/>
      </c>
      <c r="B502" s="16">
        <f>IF($A502="","",COUNTIF(tblAnahtarB[NormB],$A502))</f>
        <v/>
      </c>
      <c r="C502" s="16">
        <f>IF($A502="","",SUMIF(tblAnahtarB[NormB],$A502,tblVeriB[BeyanTutar]))</f>
        <v/>
      </c>
      <c r="D502" s="16">
        <f>IF($A502="","",SUMIF(tblAnahtarA[Norm],$A502,tblVeriA[Tutar]))</f>
        <v/>
      </c>
      <c r="E502" s="16">
        <f>IF($A502="","",ROUND($D502,2)-ROUND($C502,2))</f>
        <v/>
      </c>
      <c r="F502" s="16">
        <f>IF($A502="","",ABS($E502))</f>
        <v/>
      </c>
      <c r="G502" s="16">
        <f>IF($A502="","",IF($B502=0,"eslesmedi",IF(ROUND($D502,2)=ROUND($C502,2),"eslesti",IF(ABS(ROUND($D502,2)-ROUND($C502,2))&lt;=toleransKurus,"tolerans_icinde","tutar_farki"))))</f>
        <v/>
      </c>
      <c r="H502" s="16">
        <f>IF($A502="","",IF($B502&gt;0,"BIRINCIL",IF(COUNTIF(tblAnahtarB[IkincilB],'ANAHTAR'!$D502)&gt;0,"IKINCIL","YOK")))</f>
        <v/>
      </c>
      <c r="I502" s="16">
        <f>IF($A502="","",'ANAHTAR'!$F502)</f>
        <v/>
      </c>
      <c r="J502" s="16">
        <f>IF(OR($A502="",$D502=0),0,$F502/ABS($D502))</f>
        <v/>
      </c>
      <c r="K502" s="16">
        <f>IF($A502="","",ROUND($D502,2))</f>
        <v/>
      </c>
      <c r="L502" s="16">
        <f>IF($A502="","",ROUND($C502,2))</f>
        <v/>
      </c>
      <c r="M502" s="16">
        <f>IF($A502="","",IF($F502&lt;=toleransKurus,1,0))</f>
        <v/>
      </c>
      <c r="N502" s="16">
        <f>IF($A502="","",IF($F502&gt;cbb_esikFark,1,0))</f>
        <v/>
      </c>
      <c r="O502" s="16">
        <f>IF($A502="","",IF($G502="eslesti",$D502,0))</f>
        <v/>
      </c>
      <c r="P502" s="16">
        <f>IF($A502="","",$B502+$M502+$N502)</f>
        <v/>
      </c>
    </row>
    <row r="503">
      <c r="A503" s="16">
        <f>IF('ANAHTAR'!$B503="","",'ANAHTAR'!$B503)</f>
        <v/>
      </c>
      <c r="B503" s="16">
        <f>IF($A503="","",COUNTIF(tblAnahtarB[NormB],$A503))</f>
        <v/>
      </c>
      <c r="C503" s="16">
        <f>IF($A503="","",SUMIF(tblAnahtarB[NormB],$A503,tblVeriB[BeyanTutar]))</f>
        <v/>
      </c>
      <c r="D503" s="16">
        <f>IF($A503="","",SUMIF(tblAnahtarA[Norm],$A503,tblVeriA[Tutar]))</f>
        <v/>
      </c>
      <c r="E503" s="16">
        <f>IF($A503="","",ROUND($D503,2)-ROUND($C503,2))</f>
        <v/>
      </c>
      <c r="F503" s="16">
        <f>IF($A503="","",ABS($E503))</f>
        <v/>
      </c>
      <c r="G503" s="16">
        <f>IF($A503="","",IF($B503=0,"eslesmedi",IF(ROUND($D503,2)=ROUND($C503,2),"eslesti",IF(ABS(ROUND($D503,2)-ROUND($C503,2))&lt;=toleransKurus,"tolerans_icinde","tutar_farki"))))</f>
        <v/>
      </c>
      <c r="H503" s="16">
        <f>IF($A503="","",IF($B503&gt;0,"BIRINCIL",IF(COUNTIF(tblAnahtarB[IkincilB],'ANAHTAR'!$D503)&gt;0,"IKINCIL","YOK")))</f>
        <v/>
      </c>
      <c r="I503" s="16">
        <f>IF($A503="","",'ANAHTAR'!$F503)</f>
        <v/>
      </c>
      <c r="J503" s="16">
        <f>IF(OR($A503="",$D503=0),0,$F503/ABS($D503))</f>
        <v/>
      </c>
      <c r="K503" s="16">
        <f>IF($A503="","",ROUND($D503,2))</f>
        <v/>
      </c>
      <c r="L503" s="16">
        <f>IF($A503="","",ROUND($C503,2))</f>
        <v/>
      </c>
      <c r="M503" s="16">
        <f>IF($A503="","",IF($F503&lt;=toleransKurus,1,0))</f>
        <v/>
      </c>
      <c r="N503" s="16">
        <f>IF($A503="","",IF($F503&gt;cbb_esikFark,1,0))</f>
        <v/>
      </c>
      <c r="O503" s="16">
        <f>IF($A503="","",IF($G503="eslesti",$D503,0))</f>
        <v/>
      </c>
      <c r="P503" s="16">
        <f>IF($A503="","",$B503+$M503+$N503)</f>
        <v/>
      </c>
    </row>
    <row r="504">
      <c r="A504" s="16">
        <f>IF('ANAHTAR'!$B504="","",'ANAHTAR'!$B504)</f>
        <v/>
      </c>
      <c r="B504" s="16">
        <f>IF($A504="","",COUNTIF(tblAnahtarB[NormB],$A504))</f>
        <v/>
      </c>
      <c r="C504" s="16">
        <f>IF($A504="","",SUMIF(tblAnahtarB[NormB],$A504,tblVeriB[BeyanTutar]))</f>
        <v/>
      </c>
      <c r="D504" s="16">
        <f>IF($A504="","",SUMIF(tblAnahtarA[Norm],$A504,tblVeriA[Tutar]))</f>
        <v/>
      </c>
      <c r="E504" s="16">
        <f>IF($A504="","",ROUND($D504,2)-ROUND($C504,2))</f>
        <v/>
      </c>
      <c r="F504" s="16">
        <f>IF($A504="","",ABS($E504))</f>
        <v/>
      </c>
      <c r="G504" s="16">
        <f>IF($A504="","",IF($B504=0,"eslesmedi",IF(ROUND($D504,2)=ROUND($C504,2),"eslesti",IF(ABS(ROUND($D504,2)-ROUND($C504,2))&lt;=toleransKurus,"tolerans_icinde","tutar_farki"))))</f>
        <v/>
      </c>
      <c r="H504" s="16">
        <f>IF($A504="","",IF($B504&gt;0,"BIRINCIL",IF(COUNTIF(tblAnahtarB[IkincilB],'ANAHTAR'!$D504)&gt;0,"IKINCIL","YOK")))</f>
        <v/>
      </c>
      <c r="I504" s="16">
        <f>IF($A504="","",'ANAHTAR'!$F504)</f>
        <v/>
      </c>
      <c r="J504" s="16">
        <f>IF(OR($A504="",$D504=0),0,$F504/ABS($D504))</f>
        <v/>
      </c>
      <c r="K504" s="16">
        <f>IF($A504="","",ROUND($D504,2))</f>
        <v/>
      </c>
      <c r="L504" s="16">
        <f>IF($A504="","",ROUND($C504,2))</f>
        <v/>
      </c>
      <c r="M504" s="16">
        <f>IF($A504="","",IF($F504&lt;=toleransKurus,1,0))</f>
        <v/>
      </c>
      <c r="N504" s="16">
        <f>IF($A504="","",IF($F504&gt;cbb_esikFark,1,0))</f>
        <v/>
      </c>
      <c r="O504" s="16">
        <f>IF($A504="","",IF($G504="eslesti",$D504,0))</f>
        <v/>
      </c>
      <c r="P504" s="16">
        <f>IF($A504="","",$B504+$M504+$N504)</f>
        <v/>
      </c>
    </row>
    <row r="505">
      <c r="A505" s="16">
        <f>IF('ANAHTAR'!$B505="","",'ANAHTAR'!$B505)</f>
        <v/>
      </c>
      <c r="B505" s="16">
        <f>IF($A505="","",COUNTIF(tblAnahtarB[NormB],$A505))</f>
        <v/>
      </c>
      <c r="C505" s="16">
        <f>IF($A505="","",SUMIF(tblAnahtarB[NormB],$A505,tblVeriB[BeyanTutar]))</f>
        <v/>
      </c>
      <c r="D505" s="16">
        <f>IF($A505="","",SUMIF(tblAnahtarA[Norm],$A505,tblVeriA[Tutar]))</f>
        <v/>
      </c>
      <c r="E505" s="16">
        <f>IF($A505="","",ROUND($D505,2)-ROUND($C505,2))</f>
        <v/>
      </c>
      <c r="F505" s="16">
        <f>IF($A505="","",ABS($E505))</f>
        <v/>
      </c>
      <c r="G505" s="16">
        <f>IF($A505="","",IF($B505=0,"eslesmedi",IF(ROUND($D505,2)=ROUND($C505,2),"eslesti",IF(ABS(ROUND($D505,2)-ROUND($C505,2))&lt;=toleransKurus,"tolerans_icinde","tutar_farki"))))</f>
        <v/>
      </c>
      <c r="H505" s="16">
        <f>IF($A505="","",IF($B505&gt;0,"BIRINCIL",IF(COUNTIF(tblAnahtarB[IkincilB],'ANAHTAR'!$D505)&gt;0,"IKINCIL","YOK")))</f>
        <v/>
      </c>
      <c r="I505" s="16">
        <f>IF($A505="","",'ANAHTAR'!$F505)</f>
        <v/>
      </c>
      <c r="J505" s="16">
        <f>IF(OR($A505="",$D505=0),0,$F505/ABS($D505))</f>
        <v/>
      </c>
      <c r="K505" s="16">
        <f>IF($A505="","",ROUND($D505,2))</f>
        <v/>
      </c>
      <c r="L505" s="16">
        <f>IF($A505="","",ROUND($C505,2))</f>
        <v/>
      </c>
      <c r="M505" s="16">
        <f>IF($A505="","",IF($F505&lt;=toleransKurus,1,0))</f>
        <v/>
      </c>
      <c r="N505" s="16">
        <f>IF($A505="","",IF($F505&gt;cbb_esikFark,1,0))</f>
        <v/>
      </c>
      <c r="O505" s="16">
        <f>IF($A505="","",IF($G505="eslesti",$D505,0))</f>
        <v/>
      </c>
      <c r="P505" s="16">
        <f>IF($A505="","",$B505+$M505+$N505)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505">
    <cfRule type="cellIs" priority="1" operator="equal" dxfId="2">
      <formula>"eslesti"</formula>
    </cfRule>
    <cfRule type="cellIs" priority="2" operator="equal" dxfId="1">
      <formula>"tutar_farki"</formula>
    </cfRule>
    <cfRule type="cellIs" priority="3" operator="equal" dxfId="0">
      <formula>"eslesmedi"</formula>
    </cfRule>
    <cfRule type="cellIs" priority="4" operator="equal" dxfId="1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N5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KOK NEDEN — Cari ve Ba-Bs Toplu Mutabakat Motoru</t>
        </is>
      </c>
    </row>
    <row r="3" ht="20" customHeight="1">
      <c r="A3" s="10" t="inlineStr">
        <is>
          <t>Öncelik kurallı kök neden — eşleşmeyen fark TANIMSIZ (E04)</t>
        </is>
      </c>
    </row>
    <row r="4">
      <c r="A4" s="18" t="inlineStr">
        <is>
          <t>Kural Önceliği</t>
        </is>
      </c>
    </row>
    <row r="5" ht="30" customHeight="1">
      <c r="A5" s="12" t="inlineStr">
        <is>
          <t>Sira</t>
        </is>
      </c>
      <c r="B5" s="12" t="inlineStr">
        <is>
          <t>NedenKodu</t>
        </is>
      </c>
      <c r="C5" s="12" t="inlineStr">
        <is>
          <t>Test</t>
        </is>
      </c>
      <c r="D5" s="12" t="inlineStr">
        <is>
          <t>Aciklama</t>
        </is>
      </c>
    </row>
    <row r="6">
      <c r="A6" s="23" t="n">
        <v>1</v>
      </c>
      <c r="B6" s="18" t="inlineStr">
        <is>
          <t>DONEM</t>
        </is>
      </c>
      <c r="C6" s="8" t="inlineStr">
        <is>
          <t>donem_a&lt;&gt;donem_b</t>
        </is>
      </c>
      <c r="D6" s="8" t="inlineStr">
        <is>
          <t>Dönem uyuşmazlığı şüphesi</t>
        </is>
      </c>
    </row>
    <row r="7">
      <c r="A7" s="23" t="n">
        <v>2</v>
      </c>
      <c r="B7" s="18" t="inlineStr">
        <is>
          <t>UNVAN</t>
        </is>
      </c>
      <c r="C7" s="8" t="inlineStr">
        <is>
          <t>unvan_norm_a&lt;&gt;unvan_norm_b</t>
        </is>
      </c>
      <c r="D7" s="8" t="inlineStr">
        <is>
          <t>Unvan normalize farkı</t>
        </is>
      </c>
    </row>
    <row r="8">
      <c r="A8" s="23" t="n">
        <v>3</v>
      </c>
      <c r="B8" s="18" t="inlineStr">
        <is>
          <t>YUVARLAMA</t>
        </is>
      </c>
      <c r="C8" s="8" t="inlineStr">
        <is>
          <t>ABS(fark)&lt;=toleransKurus*10</t>
        </is>
      </c>
      <c r="D8" s="8" t="inlineStr">
        <is>
          <t>Kuruş/yuvarlama sapması</t>
        </is>
      </c>
    </row>
    <row r="9">
      <c r="A9" s="23" t="n">
        <v>4</v>
      </c>
      <c r="B9" s="18" t="inlineStr">
        <is>
          <t>BELGE_EKSIK</t>
        </is>
      </c>
      <c r="C9" s="8" t="inlineStr">
        <is>
          <t>belge_adet=0</t>
        </is>
      </c>
      <c r="D9" s="8" t="inlineStr">
        <is>
          <t>Belge adedi eksik/sıfır</t>
        </is>
      </c>
    </row>
    <row r="10">
      <c r="A10" s="23" t="n">
        <v>5</v>
      </c>
      <c r="B10" s="18" t="inlineStr">
        <is>
          <t>TIP_KARISIK</t>
        </is>
      </c>
      <c r="C10" s="8" t="inlineStr">
        <is>
          <t>form_tipi_uyumsuz</t>
        </is>
      </c>
      <c r="D10" s="8" t="inlineStr">
        <is>
          <t>Ba/Bs tipi ile alış-satış uyumsuz</t>
        </is>
      </c>
    </row>
    <row r="11">
      <c r="A11" s="23" t="n">
        <v>6</v>
      </c>
      <c r="B11" s="24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3">
      <c r="A13" s="25" t="inlineStr">
        <is>
          <t>TANIMSIZ kovası görünür tutulur — zorla sınıflandırma yok. Elle inceleyin.</t>
        </is>
      </c>
    </row>
    <row r="14">
      <c r="A14" s="18" t="inlineStr">
        <is>
          <t>Satır Sınıflandırması</t>
        </is>
      </c>
    </row>
    <row r="15" ht="30" customHeight="1">
      <c r="A15" s="12" t="inlineStr">
        <is>
          <t>A_Norm</t>
        </is>
      </c>
      <c r="B15" s="12" t="inlineStr">
        <is>
          <t>Kova</t>
        </is>
      </c>
      <c r="C15" s="12" t="inlineStr">
        <is>
          <t>AbsFark</t>
        </is>
      </c>
      <c r="D15" s="12" t="inlineStr">
        <is>
          <t>UnvanNorm</t>
        </is>
      </c>
      <c r="E15" s="12" t="inlineStr">
        <is>
          <t>BelgeAdet</t>
        </is>
      </c>
      <c r="F15" s="12" t="inlineStr">
        <is>
          <t>FormTipi</t>
        </is>
      </c>
      <c r="G15" s="12" t="inlineStr">
        <is>
          <t>Donem</t>
        </is>
      </c>
      <c r="H15" s="12" t="inlineStr">
        <is>
          <t>KokNeden</t>
        </is>
      </c>
    </row>
    <row r="16">
      <c r="A16" s="26">
        <f>IF('ESLESTIRME'!$A16="","",'ESLESTIRME'!$A16)</f>
        <v/>
      </c>
      <c r="B16" s="16">
        <f>IF($A16="","",IFERROR(INDEX(tblEslesme[Kova],MATCH($A16,tblEslesme[A_Norm],0)),""))</f>
        <v/>
      </c>
      <c r="C16" s="16">
        <f>IF($A16="","",IFERROR(INDEX(tblEslesme[AbsFark],MATCH($A16,tblEslesme[A_Norm],0)),0))</f>
        <v/>
      </c>
      <c r="D16" s="16">
        <f>IF($A16="","",IFERROR(INDEX(tblVeriA[Unvan],MATCH($A16,tblAnahtarA[Norm],0)),""))</f>
        <v/>
      </c>
      <c r="E16" s="16">
        <f>IF($A16="","",IFERROR(SUMIF(tblAnahtarB[NormB],$A16,tblVeriB[BelgeAdet]),0))</f>
        <v/>
      </c>
      <c r="F16" s="16">
        <f>IF($A16="","",IFERROR(INDEX(tblVeriB[FormTipi],MATCH($A16,tblAnahtarB[NormB],0)),""))</f>
        <v/>
      </c>
      <c r="G16" s="16">
        <f>IF($A16="","",IFERROR(INDEX(tblVeriA[Donem],MATCH($A16,tblAnahtarA[Norm],0)),""))</f>
        <v/>
      </c>
      <c r="H16" s="16">
        <f>IF(OR($A16="",$B16&lt;&gt;"tutar_farki"),"",IF($E16=0,"BELGE_EKSIK",IF($C16&lt;=toleransKurus*cbb_yuvarlamaCarpan,"YUVARLAMA",IF(AND($F16&lt;&gt;"Ba",$F16&lt;&gt;"Bs"),"TIP_KARISIK",IF($C16&gt;cbb_esikFark*cbb_donemCarpan,"DONEM",IF(LEN($D16)&lt;cbb_unvanMinLen,"UNVAN","TANIMSIZ"))))))</f>
        <v/>
      </c>
    </row>
    <row r="17">
      <c r="A17" s="26">
        <f>IF('ESLESTIRME'!$A17="","",'ESLESTIRME'!$A17)</f>
        <v/>
      </c>
      <c r="B17" s="16">
        <f>IF($A17="","",IFERROR(INDEX(tblEslesme[Kova],MATCH($A17,tblEslesme[A_Norm],0)),""))</f>
        <v/>
      </c>
      <c r="C17" s="16">
        <f>IF($A17="","",IFERROR(INDEX(tblEslesme[AbsFark],MATCH($A17,tblEslesme[A_Norm],0)),0))</f>
        <v/>
      </c>
      <c r="D17" s="16">
        <f>IF($A17="","",IFERROR(INDEX(tblVeriA[Unvan],MATCH($A17,tblAnahtarA[Norm],0)),""))</f>
        <v/>
      </c>
      <c r="E17" s="16">
        <f>IF($A17="","",IFERROR(SUMIF(tblAnahtarB[NormB],$A17,tblVeriB[BelgeAdet]),0))</f>
        <v/>
      </c>
      <c r="F17" s="16">
        <f>IF($A17="","",IFERROR(INDEX(tblVeriB[FormTipi],MATCH($A17,tblAnahtarB[NormB],0)),""))</f>
        <v/>
      </c>
      <c r="G17" s="16">
        <f>IF($A17="","",IFERROR(INDEX(tblVeriA[Donem],MATCH($A17,tblAnahtarA[Norm],0)),""))</f>
        <v/>
      </c>
      <c r="H17" s="16">
        <f>IF(OR($A17="",$B17&lt;&gt;"tutar_farki"),"",IF($E17=0,"BELGE_EKSIK",IF($C17&lt;=toleransKurus*cbb_yuvarlamaCarpan,"YUVARLAMA",IF(AND($F17&lt;&gt;"Ba",$F17&lt;&gt;"Bs"),"TIP_KARISIK",IF($C17&gt;cbb_esikFark*cbb_donemCarpan,"DONEM",IF(LEN($D17)&lt;cbb_unvanMinLen,"UNVAN","TANIMSIZ"))))))</f>
        <v/>
      </c>
    </row>
    <row r="18">
      <c r="A18" s="26">
        <f>IF('ESLESTIRME'!$A18="","",'ESLESTIRME'!$A18)</f>
        <v/>
      </c>
      <c r="B18" s="16">
        <f>IF($A18="","",IFERROR(INDEX(tblEslesme[Kova],MATCH($A18,tblEslesme[A_Norm],0)),""))</f>
        <v/>
      </c>
      <c r="C18" s="16">
        <f>IF($A18="","",IFERROR(INDEX(tblEslesme[AbsFark],MATCH($A18,tblEslesme[A_Norm],0)),0))</f>
        <v/>
      </c>
      <c r="D18" s="16">
        <f>IF($A18="","",IFERROR(INDEX(tblVeriA[Unvan],MATCH($A18,tblAnahtarA[Norm],0)),""))</f>
        <v/>
      </c>
      <c r="E18" s="16">
        <f>IF($A18="","",IFERROR(SUMIF(tblAnahtarB[NormB],$A18,tblVeriB[BelgeAdet]),0))</f>
        <v/>
      </c>
      <c r="F18" s="16">
        <f>IF($A18="","",IFERROR(INDEX(tblVeriB[FormTipi],MATCH($A18,tblAnahtarB[NormB],0)),""))</f>
        <v/>
      </c>
      <c r="G18" s="16">
        <f>IF($A18="","",IFERROR(INDEX(tblVeriA[Donem],MATCH($A18,tblAnahtarA[Norm],0)),""))</f>
        <v/>
      </c>
      <c r="H18" s="16">
        <f>IF(OR($A18="",$B18&lt;&gt;"tutar_farki"),"",IF($E18=0,"BELGE_EKSIK",IF($C18&lt;=toleransKurus*cbb_yuvarlamaCarpan,"YUVARLAMA",IF(AND($F18&lt;&gt;"Ba",$F18&lt;&gt;"Bs"),"TIP_KARISIK",IF($C18&gt;cbb_esikFark*cbb_donemCarpan,"DONEM",IF(LEN($D18)&lt;cbb_unvanMinLen,"UNVAN","TANIMSIZ"))))))</f>
        <v/>
      </c>
    </row>
    <row r="19">
      <c r="A19" s="26">
        <f>IF('ESLESTIRME'!$A19="","",'ESLESTIRME'!$A19)</f>
        <v/>
      </c>
      <c r="B19" s="16">
        <f>IF($A19="","",IFERROR(INDEX(tblEslesme[Kova],MATCH($A19,tblEslesme[A_Norm],0)),""))</f>
        <v/>
      </c>
      <c r="C19" s="16">
        <f>IF($A19="","",IFERROR(INDEX(tblEslesme[AbsFark],MATCH($A19,tblEslesme[A_Norm],0)),0))</f>
        <v/>
      </c>
      <c r="D19" s="16">
        <f>IF($A19="","",IFERROR(INDEX(tblVeriA[Unvan],MATCH($A19,tblAnahtarA[Norm],0)),""))</f>
        <v/>
      </c>
      <c r="E19" s="16">
        <f>IF($A19="","",IFERROR(SUMIF(tblAnahtarB[NormB],$A19,tblVeriB[BelgeAdet]),0))</f>
        <v/>
      </c>
      <c r="F19" s="16">
        <f>IF($A19="","",IFERROR(INDEX(tblVeriB[FormTipi],MATCH($A19,tblAnahtarB[NormB],0)),""))</f>
        <v/>
      </c>
      <c r="G19" s="16">
        <f>IF($A19="","",IFERROR(INDEX(tblVeriA[Donem],MATCH($A19,tblAnahtarA[Norm],0)),""))</f>
        <v/>
      </c>
      <c r="H19" s="16">
        <f>IF(OR($A19="",$B19&lt;&gt;"tutar_farki"),"",IF($E19=0,"BELGE_EKSIK",IF($C19&lt;=toleransKurus*cbb_yuvarlamaCarpan,"YUVARLAMA",IF(AND($F19&lt;&gt;"Ba",$F19&lt;&gt;"Bs"),"TIP_KARISIK",IF($C19&gt;cbb_esikFark*cbb_donemCarpan,"DONEM",IF(LEN($D19)&lt;cbb_unvanMinLen,"UNVAN","TANIMSIZ"))))))</f>
        <v/>
      </c>
    </row>
    <row r="20">
      <c r="A20" s="26">
        <f>IF('ESLESTIRME'!$A20="","",'ESLESTIRME'!$A20)</f>
        <v/>
      </c>
      <c r="B20" s="16">
        <f>IF($A20="","",IFERROR(INDEX(tblEslesme[Kova],MATCH($A20,tblEslesme[A_Norm],0)),""))</f>
        <v/>
      </c>
      <c r="C20" s="16">
        <f>IF($A20="","",IFERROR(INDEX(tblEslesme[AbsFark],MATCH($A20,tblEslesme[A_Norm],0)),0))</f>
        <v/>
      </c>
      <c r="D20" s="16">
        <f>IF($A20="","",IFERROR(INDEX(tblVeriA[Unvan],MATCH($A20,tblAnahtarA[Norm],0)),""))</f>
        <v/>
      </c>
      <c r="E20" s="16">
        <f>IF($A20="","",IFERROR(SUMIF(tblAnahtarB[NormB],$A20,tblVeriB[BelgeAdet]),0))</f>
        <v/>
      </c>
      <c r="F20" s="16">
        <f>IF($A20="","",IFERROR(INDEX(tblVeriB[FormTipi],MATCH($A20,tblAnahtarB[NormB],0)),""))</f>
        <v/>
      </c>
      <c r="G20" s="16">
        <f>IF($A20="","",IFERROR(INDEX(tblVeriA[Donem],MATCH($A20,tblAnahtarA[Norm],0)),""))</f>
        <v/>
      </c>
      <c r="H20" s="16">
        <f>IF(OR($A20="",$B20&lt;&gt;"tutar_farki"),"",IF($E20=0,"BELGE_EKSIK",IF($C20&lt;=toleransKurus*cbb_yuvarlamaCarpan,"YUVARLAMA",IF(AND($F20&lt;&gt;"Ba",$F20&lt;&gt;"Bs"),"TIP_KARISIK",IF($C20&gt;cbb_esikFark*cbb_donemCarpan,"DONEM",IF(LEN($D20)&lt;cbb_unvanMinLen,"UNVAN","TANIMSIZ"))))))</f>
        <v/>
      </c>
    </row>
    <row r="21">
      <c r="A21" s="26">
        <f>IF('ESLESTIRME'!$A21="","",'ESLESTIRME'!$A21)</f>
        <v/>
      </c>
      <c r="B21" s="16">
        <f>IF($A21="","",IFERROR(INDEX(tblEslesme[Kova],MATCH($A21,tblEslesme[A_Norm],0)),""))</f>
        <v/>
      </c>
      <c r="C21" s="16">
        <f>IF($A21="","",IFERROR(INDEX(tblEslesme[AbsFark],MATCH($A21,tblEslesme[A_Norm],0)),0))</f>
        <v/>
      </c>
      <c r="D21" s="16">
        <f>IF($A21="","",IFERROR(INDEX(tblVeriA[Unvan],MATCH($A21,tblAnahtarA[Norm],0)),""))</f>
        <v/>
      </c>
      <c r="E21" s="16">
        <f>IF($A21="","",IFERROR(SUMIF(tblAnahtarB[NormB],$A21,tblVeriB[BelgeAdet]),0))</f>
        <v/>
      </c>
      <c r="F21" s="16">
        <f>IF($A21="","",IFERROR(INDEX(tblVeriB[FormTipi],MATCH($A21,tblAnahtarB[NormB],0)),""))</f>
        <v/>
      </c>
      <c r="G21" s="16">
        <f>IF($A21="","",IFERROR(INDEX(tblVeriA[Donem],MATCH($A21,tblAnahtarA[Norm],0)),""))</f>
        <v/>
      </c>
      <c r="H21" s="16">
        <f>IF(OR($A21="",$B21&lt;&gt;"tutar_farki"),"",IF($E21=0,"BELGE_EKSIK",IF($C21&lt;=toleransKurus*cbb_yuvarlamaCarpan,"YUVARLAMA",IF(AND($F21&lt;&gt;"Ba",$F21&lt;&gt;"Bs"),"TIP_KARISIK",IF($C21&gt;cbb_esikFark*cbb_donemCarpan,"DONEM",IF(LEN($D21)&lt;cbb_unvanMinLen,"UNVAN","TANIMSIZ"))))))</f>
        <v/>
      </c>
    </row>
    <row r="22">
      <c r="A22" s="26">
        <f>IF('ESLESTIRME'!$A22="","",'ESLESTIRME'!$A22)</f>
        <v/>
      </c>
      <c r="B22" s="16">
        <f>IF($A22="","",IFERROR(INDEX(tblEslesme[Kova],MATCH($A22,tblEslesme[A_Norm],0)),""))</f>
        <v/>
      </c>
      <c r="C22" s="16">
        <f>IF($A22="","",IFERROR(INDEX(tblEslesme[AbsFark],MATCH($A22,tblEslesme[A_Norm],0)),0))</f>
        <v/>
      </c>
      <c r="D22" s="16">
        <f>IF($A22="","",IFERROR(INDEX(tblVeriA[Unvan],MATCH($A22,tblAnahtarA[Norm],0)),""))</f>
        <v/>
      </c>
      <c r="E22" s="16">
        <f>IF($A22="","",IFERROR(SUMIF(tblAnahtarB[NormB],$A22,tblVeriB[BelgeAdet]),0))</f>
        <v/>
      </c>
      <c r="F22" s="16">
        <f>IF($A22="","",IFERROR(INDEX(tblVeriB[FormTipi],MATCH($A22,tblAnahtarB[NormB],0)),""))</f>
        <v/>
      </c>
      <c r="G22" s="16">
        <f>IF($A22="","",IFERROR(INDEX(tblVeriA[Donem],MATCH($A22,tblAnahtarA[Norm],0)),""))</f>
        <v/>
      </c>
      <c r="H22" s="16">
        <f>IF(OR($A22="",$B22&lt;&gt;"tutar_farki"),"",IF($E22=0,"BELGE_EKSIK",IF($C22&lt;=toleransKurus*cbb_yuvarlamaCarpan,"YUVARLAMA",IF(AND($F22&lt;&gt;"Ba",$F22&lt;&gt;"Bs"),"TIP_KARISIK",IF($C22&gt;cbb_esikFark*cbb_donemCarpan,"DONEM",IF(LEN($D22)&lt;cbb_unvanMinLen,"UNVAN","TANIMSIZ"))))))</f>
        <v/>
      </c>
    </row>
    <row r="23">
      <c r="A23" s="26">
        <f>IF('ESLESTIRME'!$A23="","",'ESLESTIRME'!$A23)</f>
        <v/>
      </c>
      <c r="B23" s="16">
        <f>IF($A23="","",IFERROR(INDEX(tblEslesme[Kova],MATCH($A23,tblEslesme[A_Norm],0)),""))</f>
        <v/>
      </c>
      <c r="C23" s="16">
        <f>IF($A23="","",IFERROR(INDEX(tblEslesme[AbsFark],MATCH($A23,tblEslesme[A_Norm],0)),0))</f>
        <v/>
      </c>
      <c r="D23" s="16">
        <f>IF($A23="","",IFERROR(INDEX(tblVeriA[Unvan],MATCH($A23,tblAnahtarA[Norm],0)),""))</f>
        <v/>
      </c>
      <c r="E23" s="16">
        <f>IF($A23="","",IFERROR(SUMIF(tblAnahtarB[NormB],$A23,tblVeriB[BelgeAdet]),0))</f>
        <v/>
      </c>
      <c r="F23" s="16">
        <f>IF($A23="","",IFERROR(INDEX(tblVeriB[FormTipi],MATCH($A23,tblAnahtarB[NormB],0)),""))</f>
        <v/>
      </c>
      <c r="G23" s="16">
        <f>IF($A23="","",IFERROR(INDEX(tblVeriA[Donem],MATCH($A23,tblAnahtarA[Norm],0)),""))</f>
        <v/>
      </c>
      <c r="H23" s="16">
        <f>IF(OR($A23="",$B23&lt;&gt;"tutar_farki"),"",IF($E23=0,"BELGE_EKSIK",IF($C23&lt;=toleransKurus*cbb_yuvarlamaCarpan,"YUVARLAMA",IF(AND($F23&lt;&gt;"Ba",$F23&lt;&gt;"Bs"),"TIP_KARISIK",IF($C23&gt;cbb_esikFark*cbb_donemCarpan,"DONEM",IF(LEN($D23)&lt;cbb_unvanMinLen,"UNVAN","TANIMSIZ"))))))</f>
        <v/>
      </c>
    </row>
    <row r="24">
      <c r="A24" s="26">
        <f>IF('ESLESTIRME'!$A24="","",'ESLESTIRME'!$A24)</f>
        <v/>
      </c>
      <c r="B24" s="16">
        <f>IF($A24="","",IFERROR(INDEX(tblEslesme[Kova],MATCH($A24,tblEslesme[A_Norm],0)),""))</f>
        <v/>
      </c>
      <c r="C24" s="16">
        <f>IF($A24="","",IFERROR(INDEX(tblEslesme[AbsFark],MATCH($A24,tblEslesme[A_Norm],0)),0))</f>
        <v/>
      </c>
      <c r="D24" s="16">
        <f>IF($A24="","",IFERROR(INDEX(tblVeriA[Unvan],MATCH($A24,tblAnahtarA[Norm],0)),""))</f>
        <v/>
      </c>
      <c r="E24" s="16">
        <f>IF($A24="","",IFERROR(SUMIF(tblAnahtarB[NormB],$A24,tblVeriB[BelgeAdet]),0))</f>
        <v/>
      </c>
      <c r="F24" s="16">
        <f>IF($A24="","",IFERROR(INDEX(tblVeriB[FormTipi],MATCH($A24,tblAnahtarB[NormB],0)),""))</f>
        <v/>
      </c>
      <c r="G24" s="16">
        <f>IF($A24="","",IFERROR(INDEX(tblVeriA[Donem],MATCH($A24,tblAnahtarA[Norm],0)),""))</f>
        <v/>
      </c>
      <c r="H24" s="16">
        <f>IF(OR($A24="",$B24&lt;&gt;"tutar_farki"),"",IF($E24=0,"BELGE_EKSIK",IF($C24&lt;=toleransKurus*cbb_yuvarlamaCarpan,"YUVARLAMA",IF(AND($F24&lt;&gt;"Ba",$F24&lt;&gt;"Bs"),"TIP_KARISIK",IF($C24&gt;cbb_esikFark*cbb_donemCarpan,"DONEM",IF(LEN($D24)&lt;cbb_unvanMinLen,"UNVAN","TANIMSIZ"))))))</f>
        <v/>
      </c>
    </row>
    <row r="25">
      <c r="A25" s="26">
        <f>IF('ESLESTIRME'!$A25="","",'ESLESTIRME'!$A25)</f>
        <v/>
      </c>
      <c r="B25" s="16">
        <f>IF($A25="","",IFERROR(INDEX(tblEslesme[Kova],MATCH($A25,tblEslesme[A_Norm],0)),""))</f>
        <v/>
      </c>
      <c r="C25" s="16">
        <f>IF($A25="","",IFERROR(INDEX(tblEslesme[AbsFark],MATCH($A25,tblEslesme[A_Norm],0)),0))</f>
        <v/>
      </c>
      <c r="D25" s="16">
        <f>IF($A25="","",IFERROR(INDEX(tblVeriA[Unvan],MATCH($A25,tblAnahtarA[Norm],0)),""))</f>
        <v/>
      </c>
      <c r="E25" s="16">
        <f>IF($A25="","",IFERROR(SUMIF(tblAnahtarB[NormB],$A25,tblVeriB[BelgeAdet]),0))</f>
        <v/>
      </c>
      <c r="F25" s="16">
        <f>IF($A25="","",IFERROR(INDEX(tblVeriB[FormTipi],MATCH($A25,tblAnahtarB[NormB],0)),""))</f>
        <v/>
      </c>
      <c r="G25" s="16">
        <f>IF($A25="","",IFERROR(INDEX(tblVeriA[Donem],MATCH($A25,tblAnahtarA[Norm],0)),""))</f>
        <v/>
      </c>
      <c r="H25" s="16">
        <f>IF(OR($A25="",$B25&lt;&gt;"tutar_farki"),"",IF($E25=0,"BELGE_EKSIK",IF($C25&lt;=toleransKurus*cbb_yuvarlamaCarpan,"YUVARLAMA",IF(AND($F25&lt;&gt;"Ba",$F25&lt;&gt;"Bs"),"TIP_KARISIK",IF($C25&gt;cbb_esikFark*cbb_donemCarpan,"DONEM",IF(LEN($D25)&lt;cbb_unvanMinLen,"UNVAN","TANIMSIZ"))))))</f>
        <v/>
      </c>
    </row>
    <row r="26">
      <c r="A26" s="26">
        <f>IF('ESLESTIRME'!$A26="","",'ESLESTIRME'!$A26)</f>
        <v/>
      </c>
      <c r="B26" s="16">
        <f>IF($A26="","",IFERROR(INDEX(tblEslesme[Kova],MATCH($A26,tblEslesme[A_Norm],0)),""))</f>
        <v/>
      </c>
      <c r="C26" s="16">
        <f>IF($A26="","",IFERROR(INDEX(tblEslesme[AbsFark],MATCH($A26,tblEslesme[A_Norm],0)),0))</f>
        <v/>
      </c>
      <c r="D26" s="16">
        <f>IF($A26="","",IFERROR(INDEX(tblVeriA[Unvan],MATCH($A26,tblAnahtarA[Norm],0)),""))</f>
        <v/>
      </c>
      <c r="E26" s="16">
        <f>IF($A26="","",IFERROR(SUMIF(tblAnahtarB[NormB],$A26,tblVeriB[BelgeAdet]),0))</f>
        <v/>
      </c>
      <c r="F26" s="16">
        <f>IF($A26="","",IFERROR(INDEX(tblVeriB[FormTipi],MATCH($A26,tblAnahtarB[NormB],0)),""))</f>
        <v/>
      </c>
      <c r="G26" s="16">
        <f>IF($A26="","",IFERROR(INDEX(tblVeriA[Donem],MATCH($A26,tblAnahtarA[Norm],0)),""))</f>
        <v/>
      </c>
      <c r="H26" s="16">
        <f>IF(OR($A26="",$B26&lt;&gt;"tutar_farki"),"",IF($E26=0,"BELGE_EKSIK",IF($C26&lt;=toleransKurus*cbb_yuvarlamaCarpan,"YUVARLAMA",IF(AND($F26&lt;&gt;"Ba",$F26&lt;&gt;"Bs"),"TIP_KARISIK",IF($C26&gt;cbb_esikFark*cbb_donemCarpan,"DONEM",IF(LEN($D26)&lt;cbb_unvanMinLen,"UNVAN","TANIMSIZ"))))))</f>
        <v/>
      </c>
    </row>
    <row r="27">
      <c r="A27" s="26">
        <f>IF('ESLESTIRME'!$A27="","",'ESLESTIRME'!$A27)</f>
        <v/>
      </c>
      <c r="B27" s="16">
        <f>IF($A27="","",IFERROR(INDEX(tblEslesme[Kova],MATCH($A27,tblEslesme[A_Norm],0)),""))</f>
        <v/>
      </c>
      <c r="C27" s="16">
        <f>IF($A27="","",IFERROR(INDEX(tblEslesme[AbsFark],MATCH($A27,tblEslesme[A_Norm],0)),0))</f>
        <v/>
      </c>
      <c r="D27" s="16">
        <f>IF($A27="","",IFERROR(INDEX(tblVeriA[Unvan],MATCH($A27,tblAnahtarA[Norm],0)),""))</f>
        <v/>
      </c>
      <c r="E27" s="16">
        <f>IF($A27="","",IFERROR(SUMIF(tblAnahtarB[NormB],$A27,tblVeriB[BelgeAdet]),0))</f>
        <v/>
      </c>
      <c r="F27" s="16">
        <f>IF($A27="","",IFERROR(INDEX(tblVeriB[FormTipi],MATCH($A27,tblAnahtarB[NormB],0)),""))</f>
        <v/>
      </c>
      <c r="G27" s="16">
        <f>IF($A27="","",IFERROR(INDEX(tblVeriA[Donem],MATCH($A27,tblAnahtarA[Norm],0)),""))</f>
        <v/>
      </c>
      <c r="H27" s="16">
        <f>IF(OR($A27="",$B27&lt;&gt;"tutar_farki"),"",IF($E27=0,"BELGE_EKSIK",IF($C27&lt;=toleransKurus*cbb_yuvarlamaCarpan,"YUVARLAMA",IF(AND($F27&lt;&gt;"Ba",$F27&lt;&gt;"Bs"),"TIP_KARISIK",IF($C27&gt;cbb_esikFark*cbb_donemCarpan,"DONEM",IF(LEN($D27)&lt;cbb_unvanMinLen,"UNVAN","TANIMSIZ"))))))</f>
        <v/>
      </c>
    </row>
    <row r="28">
      <c r="A28" s="26">
        <f>IF('ESLESTIRME'!$A28="","",'ESLESTIRME'!$A28)</f>
        <v/>
      </c>
      <c r="B28" s="16">
        <f>IF($A28="","",IFERROR(INDEX(tblEslesme[Kova],MATCH($A28,tblEslesme[A_Norm],0)),""))</f>
        <v/>
      </c>
      <c r="C28" s="16">
        <f>IF($A28="","",IFERROR(INDEX(tblEslesme[AbsFark],MATCH($A28,tblEslesme[A_Norm],0)),0))</f>
        <v/>
      </c>
      <c r="D28" s="16">
        <f>IF($A28="","",IFERROR(INDEX(tblVeriA[Unvan],MATCH($A28,tblAnahtarA[Norm],0)),""))</f>
        <v/>
      </c>
      <c r="E28" s="16">
        <f>IF($A28="","",IFERROR(SUMIF(tblAnahtarB[NormB],$A28,tblVeriB[BelgeAdet]),0))</f>
        <v/>
      </c>
      <c r="F28" s="16">
        <f>IF($A28="","",IFERROR(INDEX(tblVeriB[FormTipi],MATCH($A28,tblAnahtarB[NormB],0)),""))</f>
        <v/>
      </c>
      <c r="G28" s="16">
        <f>IF($A28="","",IFERROR(INDEX(tblVeriA[Donem],MATCH($A28,tblAnahtarA[Norm],0)),""))</f>
        <v/>
      </c>
      <c r="H28" s="16">
        <f>IF(OR($A28="",$B28&lt;&gt;"tutar_farki"),"",IF($E28=0,"BELGE_EKSIK",IF($C28&lt;=toleransKurus*cbb_yuvarlamaCarpan,"YUVARLAMA",IF(AND($F28&lt;&gt;"Ba",$F28&lt;&gt;"Bs"),"TIP_KARISIK",IF($C28&gt;cbb_esikFark*cbb_donemCarpan,"DONEM",IF(LEN($D28)&lt;cbb_unvanMinLen,"UNVAN","TANIMSIZ"))))))</f>
        <v/>
      </c>
    </row>
    <row r="29">
      <c r="A29" s="26">
        <f>IF('ESLESTIRME'!$A29="","",'ESLESTIRME'!$A29)</f>
        <v/>
      </c>
      <c r="B29" s="16">
        <f>IF($A29="","",IFERROR(INDEX(tblEslesme[Kova],MATCH($A29,tblEslesme[A_Norm],0)),""))</f>
        <v/>
      </c>
      <c r="C29" s="16">
        <f>IF($A29="","",IFERROR(INDEX(tblEslesme[AbsFark],MATCH($A29,tblEslesme[A_Norm],0)),0))</f>
        <v/>
      </c>
      <c r="D29" s="16">
        <f>IF($A29="","",IFERROR(INDEX(tblVeriA[Unvan],MATCH($A29,tblAnahtarA[Norm],0)),""))</f>
        <v/>
      </c>
      <c r="E29" s="16">
        <f>IF($A29="","",IFERROR(SUMIF(tblAnahtarB[NormB],$A29,tblVeriB[BelgeAdet]),0))</f>
        <v/>
      </c>
      <c r="F29" s="16">
        <f>IF($A29="","",IFERROR(INDEX(tblVeriB[FormTipi],MATCH($A29,tblAnahtarB[NormB],0)),""))</f>
        <v/>
      </c>
      <c r="G29" s="16">
        <f>IF($A29="","",IFERROR(INDEX(tblVeriA[Donem],MATCH($A29,tblAnahtarA[Norm],0)),""))</f>
        <v/>
      </c>
      <c r="H29" s="16">
        <f>IF(OR($A29="",$B29&lt;&gt;"tutar_farki"),"",IF($E29=0,"BELGE_EKSIK",IF($C29&lt;=toleransKurus*cbb_yuvarlamaCarpan,"YUVARLAMA",IF(AND($F29&lt;&gt;"Ba",$F29&lt;&gt;"Bs"),"TIP_KARISIK",IF($C29&gt;cbb_esikFark*cbb_donemCarpan,"DONEM",IF(LEN($D29)&lt;cbb_unvanMinLen,"UNVAN","TANIMSIZ"))))))</f>
        <v/>
      </c>
    </row>
    <row r="30">
      <c r="A30" s="26">
        <f>IF('ESLESTIRME'!$A30="","",'ESLESTIRME'!$A30)</f>
        <v/>
      </c>
      <c r="B30" s="16">
        <f>IF($A30="","",IFERROR(INDEX(tblEslesme[Kova],MATCH($A30,tblEslesme[A_Norm],0)),""))</f>
        <v/>
      </c>
      <c r="C30" s="16">
        <f>IF($A30="","",IFERROR(INDEX(tblEslesme[AbsFark],MATCH($A30,tblEslesme[A_Norm],0)),0))</f>
        <v/>
      </c>
      <c r="D30" s="16">
        <f>IF($A30="","",IFERROR(INDEX(tblVeriA[Unvan],MATCH($A30,tblAnahtarA[Norm],0)),""))</f>
        <v/>
      </c>
      <c r="E30" s="16">
        <f>IF($A30="","",IFERROR(SUMIF(tblAnahtarB[NormB],$A30,tblVeriB[BelgeAdet]),0))</f>
        <v/>
      </c>
      <c r="F30" s="16">
        <f>IF($A30="","",IFERROR(INDEX(tblVeriB[FormTipi],MATCH($A30,tblAnahtarB[NormB],0)),""))</f>
        <v/>
      </c>
      <c r="G30" s="16">
        <f>IF($A30="","",IFERROR(INDEX(tblVeriA[Donem],MATCH($A30,tblAnahtarA[Norm],0)),""))</f>
        <v/>
      </c>
      <c r="H30" s="16">
        <f>IF(OR($A30="",$B30&lt;&gt;"tutar_farki"),"",IF($E30=0,"BELGE_EKSIK",IF($C30&lt;=toleransKurus*cbb_yuvarlamaCarpan,"YUVARLAMA",IF(AND($F30&lt;&gt;"Ba",$F30&lt;&gt;"Bs"),"TIP_KARISIK",IF($C30&gt;cbb_esikFark*cbb_donemCarpan,"DONEM",IF(LEN($D30)&lt;cbb_unvanMinLen,"UNVAN","TANIMSIZ"))))))</f>
        <v/>
      </c>
    </row>
    <row r="31">
      <c r="A31" s="26">
        <f>IF('ESLESTIRME'!$A31="","",'ESLESTIRME'!$A31)</f>
        <v/>
      </c>
      <c r="B31" s="16">
        <f>IF($A31="","",IFERROR(INDEX(tblEslesme[Kova],MATCH($A31,tblEslesme[A_Norm],0)),""))</f>
        <v/>
      </c>
      <c r="C31" s="16">
        <f>IF($A31="","",IFERROR(INDEX(tblEslesme[AbsFark],MATCH($A31,tblEslesme[A_Norm],0)),0))</f>
        <v/>
      </c>
      <c r="D31" s="16">
        <f>IF($A31="","",IFERROR(INDEX(tblVeriA[Unvan],MATCH($A31,tblAnahtarA[Norm],0)),""))</f>
        <v/>
      </c>
      <c r="E31" s="16">
        <f>IF($A31="","",IFERROR(SUMIF(tblAnahtarB[NormB],$A31,tblVeriB[BelgeAdet]),0))</f>
        <v/>
      </c>
      <c r="F31" s="16">
        <f>IF($A31="","",IFERROR(INDEX(tblVeriB[FormTipi],MATCH($A31,tblAnahtarB[NormB],0)),""))</f>
        <v/>
      </c>
      <c r="G31" s="16">
        <f>IF($A31="","",IFERROR(INDEX(tblVeriA[Donem],MATCH($A31,tblAnahtarA[Norm],0)),""))</f>
        <v/>
      </c>
      <c r="H31" s="16">
        <f>IF(OR($A31="",$B31&lt;&gt;"tutar_farki"),"",IF($E31=0,"BELGE_EKSIK",IF($C31&lt;=toleransKurus*cbb_yuvarlamaCarpan,"YUVARLAMA",IF(AND($F31&lt;&gt;"Ba",$F31&lt;&gt;"Bs"),"TIP_KARISIK",IF($C31&gt;cbb_esikFark*cbb_donemCarpan,"DONEM",IF(LEN($D31)&lt;cbb_unvanMinLen,"UNVAN","TANIMSIZ"))))))</f>
        <v/>
      </c>
    </row>
    <row r="32">
      <c r="A32" s="26">
        <f>IF('ESLESTIRME'!$A32="","",'ESLESTIRME'!$A32)</f>
        <v/>
      </c>
      <c r="B32" s="16">
        <f>IF($A32="","",IFERROR(INDEX(tblEslesme[Kova],MATCH($A32,tblEslesme[A_Norm],0)),""))</f>
        <v/>
      </c>
      <c r="C32" s="16">
        <f>IF($A32="","",IFERROR(INDEX(tblEslesme[AbsFark],MATCH($A32,tblEslesme[A_Norm],0)),0))</f>
        <v/>
      </c>
      <c r="D32" s="16">
        <f>IF($A32="","",IFERROR(INDEX(tblVeriA[Unvan],MATCH($A32,tblAnahtarA[Norm],0)),""))</f>
        <v/>
      </c>
      <c r="E32" s="16">
        <f>IF($A32="","",IFERROR(SUMIF(tblAnahtarB[NormB],$A32,tblVeriB[BelgeAdet]),0))</f>
        <v/>
      </c>
      <c r="F32" s="16">
        <f>IF($A32="","",IFERROR(INDEX(tblVeriB[FormTipi],MATCH($A32,tblAnahtarB[NormB],0)),""))</f>
        <v/>
      </c>
      <c r="G32" s="16">
        <f>IF($A32="","",IFERROR(INDEX(tblVeriA[Donem],MATCH($A32,tblAnahtarA[Norm],0)),""))</f>
        <v/>
      </c>
      <c r="H32" s="16">
        <f>IF(OR($A32="",$B32&lt;&gt;"tutar_farki"),"",IF($E32=0,"BELGE_EKSIK",IF($C32&lt;=toleransKurus*cbb_yuvarlamaCarpan,"YUVARLAMA",IF(AND($F32&lt;&gt;"Ba",$F32&lt;&gt;"Bs"),"TIP_KARISIK",IF($C32&gt;cbb_esikFark*cbb_donemCarpan,"DONEM",IF(LEN($D32)&lt;cbb_unvanMinLen,"UNVAN","TANIMSIZ"))))))</f>
        <v/>
      </c>
    </row>
    <row r="33">
      <c r="A33" s="26">
        <f>IF('ESLESTIRME'!$A33="","",'ESLESTIRME'!$A33)</f>
        <v/>
      </c>
      <c r="B33" s="16">
        <f>IF($A33="","",IFERROR(INDEX(tblEslesme[Kova],MATCH($A33,tblEslesme[A_Norm],0)),""))</f>
        <v/>
      </c>
      <c r="C33" s="16">
        <f>IF($A33="","",IFERROR(INDEX(tblEslesme[AbsFark],MATCH($A33,tblEslesme[A_Norm],0)),0))</f>
        <v/>
      </c>
      <c r="D33" s="16">
        <f>IF($A33="","",IFERROR(INDEX(tblVeriA[Unvan],MATCH($A33,tblAnahtarA[Norm],0)),""))</f>
        <v/>
      </c>
      <c r="E33" s="16">
        <f>IF($A33="","",IFERROR(SUMIF(tblAnahtarB[NormB],$A33,tblVeriB[BelgeAdet]),0))</f>
        <v/>
      </c>
      <c r="F33" s="16">
        <f>IF($A33="","",IFERROR(INDEX(tblVeriB[FormTipi],MATCH($A33,tblAnahtarB[NormB],0)),""))</f>
        <v/>
      </c>
      <c r="G33" s="16">
        <f>IF($A33="","",IFERROR(INDEX(tblVeriA[Donem],MATCH($A33,tblAnahtarA[Norm],0)),""))</f>
        <v/>
      </c>
      <c r="H33" s="16">
        <f>IF(OR($A33="",$B33&lt;&gt;"tutar_farki"),"",IF($E33=0,"BELGE_EKSIK",IF($C33&lt;=toleransKurus*cbb_yuvarlamaCarpan,"YUVARLAMA",IF(AND($F33&lt;&gt;"Ba",$F33&lt;&gt;"Bs"),"TIP_KARISIK",IF($C33&gt;cbb_esikFark*cbb_donemCarpan,"DONEM",IF(LEN($D33)&lt;cbb_unvanMinLen,"UNVAN","TANIMSIZ"))))))</f>
        <v/>
      </c>
    </row>
    <row r="34">
      <c r="A34" s="26">
        <f>IF('ESLESTIRME'!$A34="","",'ESLESTIRME'!$A34)</f>
        <v/>
      </c>
      <c r="B34" s="16">
        <f>IF($A34="","",IFERROR(INDEX(tblEslesme[Kova],MATCH($A34,tblEslesme[A_Norm],0)),""))</f>
        <v/>
      </c>
      <c r="C34" s="16">
        <f>IF($A34="","",IFERROR(INDEX(tblEslesme[AbsFark],MATCH($A34,tblEslesme[A_Norm],0)),0))</f>
        <v/>
      </c>
      <c r="D34" s="16">
        <f>IF($A34="","",IFERROR(INDEX(tblVeriA[Unvan],MATCH($A34,tblAnahtarA[Norm],0)),""))</f>
        <v/>
      </c>
      <c r="E34" s="16">
        <f>IF($A34="","",IFERROR(SUMIF(tblAnahtarB[NormB],$A34,tblVeriB[BelgeAdet]),0))</f>
        <v/>
      </c>
      <c r="F34" s="16">
        <f>IF($A34="","",IFERROR(INDEX(tblVeriB[FormTipi],MATCH($A34,tblAnahtarB[NormB],0)),""))</f>
        <v/>
      </c>
      <c r="G34" s="16">
        <f>IF($A34="","",IFERROR(INDEX(tblVeriA[Donem],MATCH($A34,tblAnahtarA[Norm],0)),""))</f>
        <v/>
      </c>
      <c r="H34" s="16">
        <f>IF(OR($A34="",$B34&lt;&gt;"tutar_farki"),"",IF($E34=0,"BELGE_EKSIK",IF($C34&lt;=toleransKurus*cbb_yuvarlamaCarpan,"YUVARLAMA",IF(AND($F34&lt;&gt;"Ba",$F34&lt;&gt;"Bs"),"TIP_KARISIK",IF($C34&gt;cbb_esikFark*cbb_donemCarpan,"DONEM",IF(LEN($D34)&lt;cbb_unvanMinLen,"UNVAN","TANIMSIZ"))))))</f>
        <v/>
      </c>
    </row>
    <row r="35">
      <c r="A35" s="26">
        <f>IF('ESLESTIRME'!$A35="","",'ESLESTIRME'!$A35)</f>
        <v/>
      </c>
      <c r="B35" s="16">
        <f>IF($A35="","",IFERROR(INDEX(tblEslesme[Kova],MATCH($A35,tblEslesme[A_Norm],0)),""))</f>
        <v/>
      </c>
      <c r="C35" s="16">
        <f>IF($A35="","",IFERROR(INDEX(tblEslesme[AbsFark],MATCH($A35,tblEslesme[A_Norm],0)),0))</f>
        <v/>
      </c>
      <c r="D35" s="16">
        <f>IF($A35="","",IFERROR(INDEX(tblVeriA[Unvan],MATCH($A35,tblAnahtarA[Norm],0)),""))</f>
        <v/>
      </c>
      <c r="E35" s="16">
        <f>IF($A35="","",IFERROR(SUMIF(tblAnahtarB[NormB],$A35,tblVeriB[BelgeAdet]),0))</f>
        <v/>
      </c>
      <c r="F35" s="16">
        <f>IF($A35="","",IFERROR(INDEX(tblVeriB[FormTipi],MATCH($A35,tblAnahtarB[NormB],0)),""))</f>
        <v/>
      </c>
      <c r="G35" s="16">
        <f>IF($A35="","",IFERROR(INDEX(tblVeriA[Donem],MATCH($A35,tblAnahtarA[Norm],0)),""))</f>
        <v/>
      </c>
      <c r="H35" s="16">
        <f>IF(OR($A35="",$B35&lt;&gt;"tutar_farki"),"",IF($E35=0,"BELGE_EKSIK",IF($C35&lt;=toleransKurus*cbb_yuvarlamaCarpan,"YUVARLAMA",IF(AND($F35&lt;&gt;"Ba",$F35&lt;&gt;"Bs"),"TIP_KARISIK",IF($C35&gt;cbb_esikFark*cbb_donemCarpan,"DONEM",IF(LEN($D35)&lt;cbb_unvanMinLen,"UNVAN","TANIMSIZ"))))))</f>
        <v/>
      </c>
    </row>
    <row r="36">
      <c r="A36" s="26">
        <f>IF('ESLESTIRME'!$A36="","",'ESLESTIRME'!$A36)</f>
        <v/>
      </c>
      <c r="B36" s="16">
        <f>IF($A36="","",IFERROR(INDEX(tblEslesme[Kova],MATCH($A36,tblEslesme[A_Norm],0)),""))</f>
        <v/>
      </c>
      <c r="C36" s="16">
        <f>IF($A36="","",IFERROR(INDEX(tblEslesme[AbsFark],MATCH($A36,tblEslesme[A_Norm],0)),0))</f>
        <v/>
      </c>
      <c r="D36" s="16">
        <f>IF($A36="","",IFERROR(INDEX(tblVeriA[Unvan],MATCH($A36,tblAnahtarA[Norm],0)),""))</f>
        <v/>
      </c>
      <c r="E36" s="16">
        <f>IF($A36="","",IFERROR(SUMIF(tblAnahtarB[NormB],$A36,tblVeriB[BelgeAdet]),0))</f>
        <v/>
      </c>
      <c r="F36" s="16">
        <f>IF($A36="","",IFERROR(INDEX(tblVeriB[FormTipi],MATCH($A36,tblAnahtarB[NormB],0)),""))</f>
        <v/>
      </c>
      <c r="G36" s="16">
        <f>IF($A36="","",IFERROR(INDEX(tblVeriA[Donem],MATCH($A36,tblAnahtarA[Norm],0)),""))</f>
        <v/>
      </c>
      <c r="H36" s="16">
        <f>IF(OR($A36="",$B36&lt;&gt;"tutar_farki"),"",IF($E36=0,"BELGE_EKSIK",IF($C36&lt;=toleransKurus*cbb_yuvarlamaCarpan,"YUVARLAMA",IF(AND($F36&lt;&gt;"Ba",$F36&lt;&gt;"Bs"),"TIP_KARISIK",IF($C36&gt;cbb_esikFark*cbb_donemCarpan,"DONEM",IF(LEN($D36)&lt;cbb_unvanMinLen,"UNVAN","TANIMSIZ"))))))</f>
        <v/>
      </c>
    </row>
    <row r="37">
      <c r="A37" s="26">
        <f>IF('ESLESTIRME'!$A37="","",'ESLESTIRME'!$A37)</f>
        <v/>
      </c>
      <c r="B37" s="16">
        <f>IF($A37="","",IFERROR(INDEX(tblEslesme[Kova],MATCH($A37,tblEslesme[A_Norm],0)),""))</f>
        <v/>
      </c>
      <c r="C37" s="16">
        <f>IF($A37="","",IFERROR(INDEX(tblEslesme[AbsFark],MATCH($A37,tblEslesme[A_Norm],0)),0))</f>
        <v/>
      </c>
      <c r="D37" s="16">
        <f>IF($A37="","",IFERROR(INDEX(tblVeriA[Unvan],MATCH($A37,tblAnahtarA[Norm],0)),""))</f>
        <v/>
      </c>
      <c r="E37" s="16">
        <f>IF($A37="","",IFERROR(SUMIF(tblAnahtarB[NormB],$A37,tblVeriB[BelgeAdet]),0))</f>
        <v/>
      </c>
      <c r="F37" s="16">
        <f>IF($A37="","",IFERROR(INDEX(tblVeriB[FormTipi],MATCH($A37,tblAnahtarB[NormB],0)),""))</f>
        <v/>
      </c>
      <c r="G37" s="16">
        <f>IF($A37="","",IFERROR(INDEX(tblVeriA[Donem],MATCH($A37,tblAnahtarA[Norm],0)),""))</f>
        <v/>
      </c>
      <c r="H37" s="16">
        <f>IF(OR($A37="",$B37&lt;&gt;"tutar_farki"),"",IF($E37=0,"BELGE_EKSIK",IF($C37&lt;=toleransKurus*cbb_yuvarlamaCarpan,"YUVARLAMA",IF(AND($F37&lt;&gt;"Ba",$F37&lt;&gt;"Bs"),"TIP_KARISIK",IF($C37&gt;cbb_esikFark*cbb_donemCarpan,"DONEM",IF(LEN($D37)&lt;cbb_unvanMinLen,"UNVAN","TANIMSIZ"))))))</f>
        <v/>
      </c>
    </row>
    <row r="38">
      <c r="A38" s="26">
        <f>IF('ESLESTIRME'!$A38="","",'ESLESTIRME'!$A38)</f>
        <v/>
      </c>
      <c r="B38" s="16">
        <f>IF($A38="","",IFERROR(INDEX(tblEslesme[Kova],MATCH($A38,tblEslesme[A_Norm],0)),""))</f>
        <v/>
      </c>
      <c r="C38" s="16">
        <f>IF($A38="","",IFERROR(INDEX(tblEslesme[AbsFark],MATCH($A38,tblEslesme[A_Norm],0)),0))</f>
        <v/>
      </c>
      <c r="D38" s="16">
        <f>IF($A38="","",IFERROR(INDEX(tblVeriA[Unvan],MATCH($A38,tblAnahtarA[Norm],0)),""))</f>
        <v/>
      </c>
      <c r="E38" s="16">
        <f>IF($A38="","",IFERROR(SUMIF(tblAnahtarB[NormB],$A38,tblVeriB[BelgeAdet]),0))</f>
        <v/>
      </c>
      <c r="F38" s="16">
        <f>IF($A38="","",IFERROR(INDEX(tblVeriB[FormTipi],MATCH($A38,tblAnahtarB[NormB],0)),""))</f>
        <v/>
      </c>
      <c r="G38" s="16">
        <f>IF($A38="","",IFERROR(INDEX(tblVeriA[Donem],MATCH($A38,tblAnahtarA[Norm],0)),""))</f>
        <v/>
      </c>
      <c r="H38" s="16">
        <f>IF(OR($A38="",$B38&lt;&gt;"tutar_farki"),"",IF($E38=0,"BELGE_EKSIK",IF($C38&lt;=toleransKurus*cbb_yuvarlamaCarpan,"YUVARLAMA",IF(AND($F38&lt;&gt;"Ba",$F38&lt;&gt;"Bs"),"TIP_KARISIK",IF($C38&gt;cbb_esikFark*cbb_donemCarpan,"DONEM",IF(LEN($D38)&lt;cbb_unvanMinLen,"UNVAN","TANIMSIZ"))))))</f>
        <v/>
      </c>
    </row>
    <row r="39">
      <c r="A39" s="26">
        <f>IF('ESLESTIRME'!$A39="","",'ESLESTIRME'!$A39)</f>
        <v/>
      </c>
      <c r="B39" s="16">
        <f>IF($A39="","",IFERROR(INDEX(tblEslesme[Kova],MATCH($A39,tblEslesme[A_Norm],0)),""))</f>
        <v/>
      </c>
      <c r="C39" s="16">
        <f>IF($A39="","",IFERROR(INDEX(tblEslesme[AbsFark],MATCH($A39,tblEslesme[A_Norm],0)),0))</f>
        <v/>
      </c>
      <c r="D39" s="16">
        <f>IF($A39="","",IFERROR(INDEX(tblVeriA[Unvan],MATCH($A39,tblAnahtarA[Norm],0)),""))</f>
        <v/>
      </c>
      <c r="E39" s="16">
        <f>IF($A39="","",IFERROR(SUMIF(tblAnahtarB[NormB],$A39,tblVeriB[BelgeAdet]),0))</f>
        <v/>
      </c>
      <c r="F39" s="16">
        <f>IF($A39="","",IFERROR(INDEX(tblVeriB[FormTipi],MATCH($A39,tblAnahtarB[NormB],0)),""))</f>
        <v/>
      </c>
      <c r="G39" s="16">
        <f>IF($A39="","",IFERROR(INDEX(tblVeriA[Donem],MATCH($A39,tblAnahtarA[Norm],0)),""))</f>
        <v/>
      </c>
      <c r="H39" s="16">
        <f>IF(OR($A39="",$B39&lt;&gt;"tutar_farki"),"",IF($E39=0,"BELGE_EKSIK",IF($C39&lt;=toleransKurus*cbb_yuvarlamaCarpan,"YUVARLAMA",IF(AND($F39&lt;&gt;"Ba",$F39&lt;&gt;"Bs"),"TIP_KARISIK",IF($C39&gt;cbb_esikFark*cbb_donemCarpan,"DONEM",IF(LEN($D39)&lt;cbb_unvanMinLen,"UNVAN","TANIMSIZ"))))))</f>
        <v/>
      </c>
    </row>
    <row r="40">
      <c r="A40" s="26">
        <f>IF('ESLESTIRME'!$A40="","",'ESLESTIRME'!$A40)</f>
        <v/>
      </c>
      <c r="B40" s="16">
        <f>IF($A40="","",IFERROR(INDEX(tblEslesme[Kova],MATCH($A40,tblEslesme[A_Norm],0)),""))</f>
        <v/>
      </c>
      <c r="C40" s="16">
        <f>IF($A40="","",IFERROR(INDEX(tblEslesme[AbsFark],MATCH($A40,tblEslesme[A_Norm],0)),0))</f>
        <v/>
      </c>
      <c r="D40" s="16">
        <f>IF($A40="","",IFERROR(INDEX(tblVeriA[Unvan],MATCH($A40,tblAnahtarA[Norm],0)),""))</f>
        <v/>
      </c>
      <c r="E40" s="16">
        <f>IF($A40="","",IFERROR(SUMIF(tblAnahtarB[NormB],$A40,tblVeriB[BelgeAdet]),0))</f>
        <v/>
      </c>
      <c r="F40" s="16">
        <f>IF($A40="","",IFERROR(INDEX(tblVeriB[FormTipi],MATCH($A40,tblAnahtarB[NormB],0)),""))</f>
        <v/>
      </c>
      <c r="G40" s="16">
        <f>IF($A40="","",IFERROR(INDEX(tblVeriA[Donem],MATCH($A40,tblAnahtarA[Norm],0)),""))</f>
        <v/>
      </c>
      <c r="H40" s="16">
        <f>IF(OR($A40="",$B40&lt;&gt;"tutar_farki"),"",IF($E40=0,"BELGE_EKSIK",IF($C40&lt;=toleransKurus*cbb_yuvarlamaCarpan,"YUVARLAMA",IF(AND($F40&lt;&gt;"Ba",$F40&lt;&gt;"Bs"),"TIP_KARISIK",IF($C40&gt;cbb_esikFark*cbb_donemCarpan,"DONEM",IF(LEN($D40)&lt;cbb_unvanMinLen,"UNVAN","TANIMSIZ"))))))</f>
        <v/>
      </c>
    </row>
    <row r="41">
      <c r="A41" s="26">
        <f>IF('ESLESTIRME'!$A41="","",'ESLESTIRME'!$A41)</f>
        <v/>
      </c>
      <c r="B41" s="16">
        <f>IF($A41="","",IFERROR(INDEX(tblEslesme[Kova],MATCH($A41,tblEslesme[A_Norm],0)),""))</f>
        <v/>
      </c>
      <c r="C41" s="16">
        <f>IF($A41="","",IFERROR(INDEX(tblEslesme[AbsFark],MATCH($A41,tblEslesme[A_Norm],0)),0))</f>
        <v/>
      </c>
      <c r="D41" s="16">
        <f>IF($A41="","",IFERROR(INDEX(tblVeriA[Unvan],MATCH($A41,tblAnahtarA[Norm],0)),""))</f>
        <v/>
      </c>
      <c r="E41" s="16">
        <f>IF($A41="","",IFERROR(SUMIF(tblAnahtarB[NormB],$A41,tblVeriB[BelgeAdet]),0))</f>
        <v/>
      </c>
      <c r="F41" s="16">
        <f>IF($A41="","",IFERROR(INDEX(tblVeriB[FormTipi],MATCH($A41,tblAnahtarB[NormB],0)),""))</f>
        <v/>
      </c>
      <c r="G41" s="16">
        <f>IF($A41="","",IFERROR(INDEX(tblVeriA[Donem],MATCH($A41,tblAnahtarA[Norm],0)),""))</f>
        <v/>
      </c>
      <c r="H41" s="16">
        <f>IF(OR($A41="",$B41&lt;&gt;"tutar_farki"),"",IF($E41=0,"BELGE_EKSIK",IF($C41&lt;=toleransKurus*cbb_yuvarlamaCarpan,"YUVARLAMA",IF(AND($F41&lt;&gt;"Ba",$F41&lt;&gt;"Bs"),"TIP_KARISIK",IF($C41&gt;cbb_esikFark*cbb_donemCarpan,"DONEM",IF(LEN($D41)&lt;cbb_unvanMinLen,"UNVAN","TANIMSIZ"))))))</f>
        <v/>
      </c>
    </row>
    <row r="42">
      <c r="A42" s="26">
        <f>IF('ESLESTIRME'!$A42="","",'ESLESTIRME'!$A42)</f>
        <v/>
      </c>
      <c r="B42" s="16">
        <f>IF($A42="","",IFERROR(INDEX(tblEslesme[Kova],MATCH($A42,tblEslesme[A_Norm],0)),""))</f>
        <v/>
      </c>
      <c r="C42" s="16">
        <f>IF($A42="","",IFERROR(INDEX(tblEslesme[AbsFark],MATCH($A42,tblEslesme[A_Norm],0)),0))</f>
        <v/>
      </c>
      <c r="D42" s="16">
        <f>IF($A42="","",IFERROR(INDEX(tblVeriA[Unvan],MATCH($A42,tblAnahtarA[Norm],0)),""))</f>
        <v/>
      </c>
      <c r="E42" s="16">
        <f>IF($A42="","",IFERROR(SUMIF(tblAnahtarB[NormB],$A42,tblVeriB[BelgeAdet]),0))</f>
        <v/>
      </c>
      <c r="F42" s="16">
        <f>IF($A42="","",IFERROR(INDEX(tblVeriB[FormTipi],MATCH($A42,tblAnahtarB[NormB],0)),""))</f>
        <v/>
      </c>
      <c r="G42" s="16">
        <f>IF($A42="","",IFERROR(INDEX(tblVeriA[Donem],MATCH($A42,tblAnahtarA[Norm],0)),""))</f>
        <v/>
      </c>
      <c r="H42" s="16">
        <f>IF(OR($A42="",$B42&lt;&gt;"tutar_farki"),"",IF($E42=0,"BELGE_EKSIK",IF($C42&lt;=toleransKurus*cbb_yuvarlamaCarpan,"YUVARLAMA",IF(AND($F42&lt;&gt;"Ba",$F42&lt;&gt;"Bs"),"TIP_KARISIK",IF($C42&gt;cbb_esikFark*cbb_donemCarpan,"DONEM",IF(LEN($D42)&lt;cbb_unvanMinLen,"UNVAN","TANIMSIZ"))))))</f>
        <v/>
      </c>
    </row>
    <row r="43">
      <c r="A43" s="26">
        <f>IF('ESLESTIRME'!$A43="","",'ESLESTIRME'!$A43)</f>
        <v/>
      </c>
      <c r="B43" s="16">
        <f>IF($A43="","",IFERROR(INDEX(tblEslesme[Kova],MATCH($A43,tblEslesme[A_Norm],0)),""))</f>
        <v/>
      </c>
      <c r="C43" s="16">
        <f>IF($A43="","",IFERROR(INDEX(tblEslesme[AbsFark],MATCH($A43,tblEslesme[A_Norm],0)),0))</f>
        <v/>
      </c>
      <c r="D43" s="16">
        <f>IF($A43="","",IFERROR(INDEX(tblVeriA[Unvan],MATCH($A43,tblAnahtarA[Norm],0)),""))</f>
        <v/>
      </c>
      <c r="E43" s="16">
        <f>IF($A43="","",IFERROR(SUMIF(tblAnahtarB[NormB],$A43,tblVeriB[BelgeAdet]),0))</f>
        <v/>
      </c>
      <c r="F43" s="16">
        <f>IF($A43="","",IFERROR(INDEX(tblVeriB[FormTipi],MATCH($A43,tblAnahtarB[NormB],0)),""))</f>
        <v/>
      </c>
      <c r="G43" s="16">
        <f>IF($A43="","",IFERROR(INDEX(tblVeriA[Donem],MATCH($A43,tblAnahtarA[Norm],0)),""))</f>
        <v/>
      </c>
      <c r="H43" s="16">
        <f>IF(OR($A43="",$B43&lt;&gt;"tutar_farki"),"",IF($E43=0,"BELGE_EKSIK",IF($C43&lt;=toleransKurus*cbb_yuvarlamaCarpan,"YUVARLAMA",IF(AND($F43&lt;&gt;"Ba",$F43&lt;&gt;"Bs"),"TIP_KARISIK",IF($C43&gt;cbb_esikFark*cbb_donemCarpan,"DONEM",IF(LEN($D43)&lt;cbb_unvanMinLen,"UNVAN","TANIMSIZ"))))))</f>
        <v/>
      </c>
    </row>
    <row r="44">
      <c r="A44" s="26">
        <f>IF('ESLESTIRME'!$A44="","",'ESLESTIRME'!$A44)</f>
        <v/>
      </c>
      <c r="B44" s="16">
        <f>IF($A44="","",IFERROR(INDEX(tblEslesme[Kova],MATCH($A44,tblEslesme[A_Norm],0)),""))</f>
        <v/>
      </c>
      <c r="C44" s="16">
        <f>IF($A44="","",IFERROR(INDEX(tblEslesme[AbsFark],MATCH($A44,tblEslesme[A_Norm],0)),0))</f>
        <v/>
      </c>
      <c r="D44" s="16">
        <f>IF($A44="","",IFERROR(INDEX(tblVeriA[Unvan],MATCH($A44,tblAnahtarA[Norm],0)),""))</f>
        <v/>
      </c>
      <c r="E44" s="16">
        <f>IF($A44="","",IFERROR(SUMIF(tblAnahtarB[NormB],$A44,tblVeriB[BelgeAdet]),0))</f>
        <v/>
      </c>
      <c r="F44" s="16">
        <f>IF($A44="","",IFERROR(INDEX(tblVeriB[FormTipi],MATCH($A44,tblAnahtarB[NormB],0)),""))</f>
        <v/>
      </c>
      <c r="G44" s="16">
        <f>IF($A44="","",IFERROR(INDEX(tblVeriA[Donem],MATCH($A44,tblAnahtarA[Norm],0)),""))</f>
        <v/>
      </c>
      <c r="H44" s="16">
        <f>IF(OR($A44="",$B44&lt;&gt;"tutar_farki"),"",IF($E44=0,"BELGE_EKSIK",IF($C44&lt;=toleransKurus*cbb_yuvarlamaCarpan,"YUVARLAMA",IF(AND($F44&lt;&gt;"Ba",$F44&lt;&gt;"Bs"),"TIP_KARISIK",IF($C44&gt;cbb_esikFark*cbb_donemCarpan,"DONEM",IF(LEN($D44)&lt;cbb_unvanMinLen,"UNVAN","TANIMSIZ"))))))</f>
        <v/>
      </c>
    </row>
    <row r="45">
      <c r="A45" s="26">
        <f>IF('ESLESTIRME'!$A45="","",'ESLESTIRME'!$A45)</f>
        <v/>
      </c>
      <c r="B45" s="16">
        <f>IF($A45="","",IFERROR(INDEX(tblEslesme[Kova],MATCH($A45,tblEslesme[A_Norm],0)),""))</f>
        <v/>
      </c>
      <c r="C45" s="16">
        <f>IF($A45="","",IFERROR(INDEX(tblEslesme[AbsFark],MATCH($A45,tblEslesme[A_Norm],0)),0))</f>
        <v/>
      </c>
      <c r="D45" s="16">
        <f>IF($A45="","",IFERROR(INDEX(tblVeriA[Unvan],MATCH($A45,tblAnahtarA[Norm],0)),""))</f>
        <v/>
      </c>
      <c r="E45" s="16">
        <f>IF($A45="","",IFERROR(SUMIF(tblAnahtarB[NormB],$A45,tblVeriB[BelgeAdet]),0))</f>
        <v/>
      </c>
      <c r="F45" s="16">
        <f>IF($A45="","",IFERROR(INDEX(tblVeriB[FormTipi],MATCH($A45,tblAnahtarB[NormB],0)),""))</f>
        <v/>
      </c>
      <c r="G45" s="16">
        <f>IF($A45="","",IFERROR(INDEX(tblVeriA[Donem],MATCH($A45,tblAnahtarA[Norm],0)),""))</f>
        <v/>
      </c>
      <c r="H45" s="16">
        <f>IF(OR($A45="",$B45&lt;&gt;"tutar_farki"),"",IF($E45=0,"BELGE_EKSIK",IF($C45&lt;=toleransKurus*cbb_yuvarlamaCarpan,"YUVARLAMA",IF(AND($F45&lt;&gt;"Ba",$F45&lt;&gt;"Bs"),"TIP_KARISIK",IF($C45&gt;cbb_esikFark*cbb_donemCarpan,"DONEM",IF(LEN($D45)&lt;cbb_unvanMinLen,"UNVAN","TANIMSIZ"))))))</f>
        <v/>
      </c>
    </row>
    <row r="46">
      <c r="A46" s="26">
        <f>IF('ESLESTIRME'!$A46="","",'ESLESTIRME'!$A46)</f>
        <v/>
      </c>
      <c r="B46" s="16">
        <f>IF($A46="","",IFERROR(INDEX(tblEslesme[Kova],MATCH($A46,tblEslesme[A_Norm],0)),""))</f>
        <v/>
      </c>
      <c r="C46" s="16">
        <f>IF($A46="","",IFERROR(INDEX(tblEslesme[AbsFark],MATCH($A46,tblEslesme[A_Norm],0)),0))</f>
        <v/>
      </c>
      <c r="D46" s="16">
        <f>IF($A46="","",IFERROR(INDEX(tblVeriA[Unvan],MATCH($A46,tblAnahtarA[Norm],0)),""))</f>
        <v/>
      </c>
      <c r="E46" s="16">
        <f>IF($A46="","",IFERROR(SUMIF(tblAnahtarB[NormB],$A46,tblVeriB[BelgeAdet]),0))</f>
        <v/>
      </c>
      <c r="F46" s="16">
        <f>IF($A46="","",IFERROR(INDEX(tblVeriB[FormTipi],MATCH($A46,tblAnahtarB[NormB],0)),""))</f>
        <v/>
      </c>
      <c r="G46" s="16">
        <f>IF($A46="","",IFERROR(INDEX(tblVeriA[Donem],MATCH($A46,tblAnahtarA[Norm],0)),""))</f>
        <v/>
      </c>
      <c r="H46" s="16">
        <f>IF(OR($A46="",$B46&lt;&gt;"tutar_farki"),"",IF($E46=0,"BELGE_EKSIK",IF($C46&lt;=toleransKurus*cbb_yuvarlamaCarpan,"YUVARLAMA",IF(AND($F46&lt;&gt;"Ba",$F46&lt;&gt;"Bs"),"TIP_KARISIK",IF($C46&gt;cbb_esikFark*cbb_donemCarpan,"DONEM",IF(LEN($D46)&lt;cbb_unvanMinLen,"UNVAN","TANIMSIZ"))))))</f>
        <v/>
      </c>
    </row>
    <row r="47">
      <c r="A47" s="26">
        <f>IF('ESLESTIRME'!$A47="","",'ESLESTIRME'!$A47)</f>
        <v/>
      </c>
      <c r="B47" s="16">
        <f>IF($A47="","",IFERROR(INDEX(tblEslesme[Kova],MATCH($A47,tblEslesme[A_Norm],0)),""))</f>
        <v/>
      </c>
      <c r="C47" s="16">
        <f>IF($A47="","",IFERROR(INDEX(tblEslesme[AbsFark],MATCH($A47,tblEslesme[A_Norm],0)),0))</f>
        <v/>
      </c>
      <c r="D47" s="16">
        <f>IF($A47="","",IFERROR(INDEX(tblVeriA[Unvan],MATCH($A47,tblAnahtarA[Norm],0)),""))</f>
        <v/>
      </c>
      <c r="E47" s="16">
        <f>IF($A47="","",IFERROR(SUMIF(tblAnahtarB[NormB],$A47,tblVeriB[BelgeAdet]),0))</f>
        <v/>
      </c>
      <c r="F47" s="16">
        <f>IF($A47="","",IFERROR(INDEX(tblVeriB[FormTipi],MATCH($A47,tblAnahtarB[NormB],0)),""))</f>
        <v/>
      </c>
      <c r="G47" s="16">
        <f>IF($A47="","",IFERROR(INDEX(tblVeriA[Donem],MATCH($A47,tblAnahtarA[Norm],0)),""))</f>
        <v/>
      </c>
      <c r="H47" s="16">
        <f>IF(OR($A47="",$B47&lt;&gt;"tutar_farki"),"",IF($E47=0,"BELGE_EKSIK",IF($C47&lt;=toleransKurus*cbb_yuvarlamaCarpan,"YUVARLAMA",IF(AND($F47&lt;&gt;"Ba",$F47&lt;&gt;"Bs"),"TIP_KARISIK",IF($C47&gt;cbb_esikFark*cbb_donemCarpan,"DONEM",IF(LEN($D47)&lt;cbb_unvanMinLen,"UNVAN","TANIMSIZ"))))))</f>
        <v/>
      </c>
    </row>
    <row r="48">
      <c r="A48" s="26">
        <f>IF('ESLESTIRME'!$A48="","",'ESLESTIRME'!$A48)</f>
        <v/>
      </c>
      <c r="B48" s="16">
        <f>IF($A48="","",IFERROR(INDEX(tblEslesme[Kova],MATCH($A48,tblEslesme[A_Norm],0)),""))</f>
        <v/>
      </c>
      <c r="C48" s="16">
        <f>IF($A48="","",IFERROR(INDEX(tblEslesme[AbsFark],MATCH($A48,tblEslesme[A_Norm],0)),0))</f>
        <v/>
      </c>
      <c r="D48" s="16">
        <f>IF($A48="","",IFERROR(INDEX(tblVeriA[Unvan],MATCH($A48,tblAnahtarA[Norm],0)),""))</f>
        <v/>
      </c>
      <c r="E48" s="16">
        <f>IF($A48="","",IFERROR(SUMIF(tblAnahtarB[NormB],$A48,tblVeriB[BelgeAdet]),0))</f>
        <v/>
      </c>
      <c r="F48" s="16">
        <f>IF($A48="","",IFERROR(INDEX(tblVeriB[FormTipi],MATCH($A48,tblAnahtarB[NormB],0)),""))</f>
        <v/>
      </c>
      <c r="G48" s="16">
        <f>IF($A48="","",IFERROR(INDEX(tblVeriA[Donem],MATCH($A48,tblAnahtarA[Norm],0)),""))</f>
        <v/>
      </c>
      <c r="H48" s="16">
        <f>IF(OR($A48="",$B48&lt;&gt;"tutar_farki"),"",IF($E48=0,"BELGE_EKSIK",IF($C48&lt;=toleransKurus*cbb_yuvarlamaCarpan,"YUVARLAMA",IF(AND($F48&lt;&gt;"Ba",$F48&lt;&gt;"Bs"),"TIP_KARISIK",IF($C48&gt;cbb_esikFark*cbb_donemCarpan,"DONEM",IF(LEN($D48)&lt;cbb_unvanMinLen,"UNVAN","TANIMSIZ"))))))</f>
        <v/>
      </c>
    </row>
    <row r="49">
      <c r="A49" s="26">
        <f>IF('ESLESTIRME'!$A49="","",'ESLESTIRME'!$A49)</f>
        <v/>
      </c>
      <c r="B49" s="16">
        <f>IF($A49="","",IFERROR(INDEX(tblEslesme[Kova],MATCH($A49,tblEslesme[A_Norm],0)),""))</f>
        <v/>
      </c>
      <c r="C49" s="16">
        <f>IF($A49="","",IFERROR(INDEX(tblEslesme[AbsFark],MATCH($A49,tblEslesme[A_Norm],0)),0))</f>
        <v/>
      </c>
      <c r="D49" s="16">
        <f>IF($A49="","",IFERROR(INDEX(tblVeriA[Unvan],MATCH($A49,tblAnahtarA[Norm],0)),""))</f>
        <v/>
      </c>
      <c r="E49" s="16">
        <f>IF($A49="","",IFERROR(SUMIF(tblAnahtarB[NormB],$A49,tblVeriB[BelgeAdet]),0))</f>
        <v/>
      </c>
      <c r="F49" s="16">
        <f>IF($A49="","",IFERROR(INDEX(tblVeriB[FormTipi],MATCH($A49,tblAnahtarB[NormB],0)),""))</f>
        <v/>
      </c>
      <c r="G49" s="16">
        <f>IF($A49="","",IFERROR(INDEX(tblVeriA[Donem],MATCH($A49,tblAnahtarA[Norm],0)),""))</f>
        <v/>
      </c>
      <c r="H49" s="16">
        <f>IF(OR($A49="",$B49&lt;&gt;"tutar_farki"),"",IF($E49=0,"BELGE_EKSIK",IF($C49&lt;=toleransKurus*cbb_yuvarlamaCarpan,"YUVARLAMA",IF(AND($F49&lt;&gt;"Ba",$F49&lt;&gt;"Bs"),"TIP_KARISIK",IF($C49&gt;cbb_esikFark*cbb_donemCarpan,"DONEM",IF(LEN($D49)&lt;cbb_unvanMinLen,"UNVAN","TANIMSIZ"))))))</f>
        <v/>
      </c>
    </row>
    <row r="50">
      <c r="A50" s="26">
        <f>IF('ESLESTIRME'!$A50="","",'ESLESTIRME'!$A50)</f>
        <v/>
      </c>
      <c r="B50" s="16">
        <f>IF($A50="","",IFERROR(INDEX(tblEslesme[Kova],MATCH($A50,tblEslesme[A_Norm],0)),""))</f>
        <v/>
      </c>
      <c r="C50" s="16">
        <f>IF($A50="","",IFERROR(INDEX(tblEslesme[AbsFark],MATCH($A50,tblEslesme[A_Norm],0)),0))</f>
        <v/>
      </c>
      <c r="D50" s="16">
        <f>IF($A50="","",IFERROR(INDEX(tblVeriA[Unvan],MATCH($A50,tblAnahtarA[Norm],0)),""))</f>
        <v/>
      </c>
      <c r="E50" s="16">
        <f>IF($A50="","",IFERROR(SUMIF(tblAnahtarB[NormB],$A50,tblVeriB[BelgeAdet]),0))</f>
        <v/>
      </c>
      <c r="F50" s="16">
        <f>IF($A50="","",IFERROR(INDEX(tblVeriB[FormTipi],MATCH($A50,tblAnahtarB[NormB],0)),""))</f>
        <v/>
      </c>
      <c r="G50" s="16">
        <f>IF($A50="","",IFERROR(INDEX(tblVeriA[Donem],MATCH($A50,tblAnahtarA[Norm],0)),""))</f>
        <v/>
      </c>
      <c r="H50" s="16">
        <f>IF(OR($A50="",$B50&lt;&gt;"tutar_farki"),"",IF($E50=0,"BELGE_EKSIK",IF($C50&lt;=toleransKurus*cbb_yuvarlamaCarpan,"YUVARLAMA",IF(AND($F50&lt;&gt;"Ba",$F50&lt;&gt;"Bs"),"TIP_KARISIK",IF($C50&gt;cbb_esikFark*cbb_donemCarpan,"DONEM",IF(LEN($D50)&lt;cbb_unvanMinLen,"UNVAN","TANIMSIZ"))))))</f>
        <v/>
      </c>
    </row>
    <row r="51">
      <c r="A51" s="26">
        <f>IF('ESLESTIRME'!$A51="","",'ESLESTIRME'!$A51)</f>
        <v/>
      </c>
      <c r="B51" s="16">
        <f>IF($A51="","",IFERROR(INDEX(tblEslesme[Kova],MATCH($A51,tblEslesme[A_Norm],0)),""))</f>
        <v/>
      </c>
      <c r="C51" s="16">
        <f>IF($A51="","",IFERROR(INDEX(tblEslesme[AbsFark],MATCH($A51,tblEslesme[A_Norm],0)),0))</f>
        <v/>
      </c>
      <c r="D51" s="16">
        <f>IF($A51="","",IFERROR(INDEX(tblVeriA[Unvan],MATCH($A51,tblAnahtarA[Norm],0)),""))</f>
        <v/>
      </c>
      <c r="E51" s="16">
        <f>IF($A51="","",IFERROR(SUMIF(tblAnahtarB[NormB],$A51,tblVeriB[BelgeAdet]),0))</f>
        <v/>
      </c>
      <c r="F51" s="16">
        <f>IF($A51="","",IFERROR(INDEX(tblVeriB[FormTipi],MATCH($A51,tblAnahtarB[NormB],0)),""))</f>
        <v/>
      </c>
      <c r="G51" s="16">
        <f>IF($A51="","",IFERROR(INDEX(tblVeriA[Donem],MATCH($A51,tblAnahtarA[Norm],0)),""))</f>
        <v/>
      </c>
      <c r="H51" s="16">
        <f>IF(OR($A51="",$B51&lt;&gt;"tutar_farki"),"",IF($E51=0,"BELGE_EKSIK",IF($C51&lt;=toleransKurus*cbb_yuvarlamaCarpan,"YUVARLAMA",IF(AND($F51&lt;&gt;"Ba",$F51&lt;&gt;"Bs"),"TIP_KARISIK",IF($C51&gt;cbb_esikFark*cbb_donemCarpan,"DONEM",IF(LEN($D51)&lt;cbb_unvanMinLen,"UNVAN","TANIMSIZ"))))))</f>
        <v/>
      </c>
    </row>
    <row r="52">
      <c r="A52" s="26">
        <f>IF('ESLESTIRME'!$A52="","",'ESLESTIRME'!$A52)</f>
        <v/>
      </c>
      <c r="B52" s="16">
        <f>IF($A52="","",IFERROR(INDEX(tblEslesme[Kova],MATCH($A52,tblEslesme[A_Norm],0)),""))</f>
        <v/>
      </c>
      <c r="C52" s="16">
        <f>IF($A52="","",IFERROR(INDEX(tblEslesme[AbsFark],MATCH($A52,tblEslesme[A_Norm],0)),0))</f>
        <v/>
      </c>
      <c r="D52" s="16">
        <f>IF($A52="","",IFERROR(INDEX(tblVeriA[Unvan],MATCH($A52,tblAnahtarA[Norm],0)),""))</f>
        <v/>
      </c>
      <c r="E52" s="16">
        <f>IF($A52="","",IFERROR(SUMIF(tblAnahtarB[NormB],$A52,tblVeriB[BelgeAdet]),0))</f>
        <v/>
      </c>
      <c r="F52" s="16">
        <f>IF($A52="","",IFERROR(INDEX(tblVeriB[FormTipi],MATCH($A52,tblAnahtarB[NormB],0)),""))</f>
        <v/>
      </c>
      <c r="G52" s="16">
        <f>IF($A52="","",IFERROR(INDEX(tblVeriA[Donem],MATCH($A52,tblAnahtarA[Norm],0)),""))</f>
        <v/>
      </c>
      <c r="H52" s="16">
        <f>IF(OR($A52="",$B52&lt;&gt;"tutar_farki"),"",IF($E52=0,"BELGE_EKSIK",IF($C52&lt;=toleransKurus*cbb_yuvarlamaCarpan,"YUVARLAMA",IF(AND($F52&lt;&gt;"Ba",$F52&lt;&gt;"Bs"),"TIP_KARISIK",IF($C52&gt;cbb_esikFark*cbb_donemCarpan,"DONEM",IF(LEN($D52)&lt;cbb_unvanMinLen,"UNVAN","TANIMSIZ"))))))</f>
        <v/>
      </c>
    </row>
    <row r="53">
      <c r="A53" s="26">
        <f>IF('ESLESTIRME'!$A53="","",'ESLESTIRME'!$A53)</f>
        <v/>
      </c>
      <c r="B53" s="16">
        <f>IF($A53="","",IFERROR(INDEX(tblEslesme[Kova],MATCH($A53,tblEslesme[A_Norm],0)),""))</f>
        <v/>
      </c>
      <c r="C53" s="16">
        <f>IF($A53="","",IFERROR(INDEX(tblEslesme[AbsFark],MATCH($A53,tblEslesme[A_Norm],0)),0))</f>
        <v/>
      </c>
      <c r="D53" s="16">
        <f>IF($A53="","",IFERROR(INDEX(tblVeriA[Unvan],MATCH($A53,tblAnahtarA[Norm],0)),""))</f>
        <v/>
      </c>
      <c r="E53" s="16">
        <f>IF($A53="","",IFERROR(SUMIF(tblAnahtarB[NormB],$A53,tblVeriB[BelgeAdet]),0))</f>
        <v/>
      </c>
      <c r="F53" s="16">
        <f>IF($A53="","",IFERROR(INDEX(tblVeriB[FormTipi],MATCH($A53,tblAnahtarB[NormB],0)),""))</f>
        <v/>
      </c>
      <c r="G53" s="16">
        <f>IF($A53="","",IFERROR(INDEX(tblVeriA[Donem],MATCH($A53,tblAnahtarA[Norm],0)),""))</f>
        <v/>
      </c>
      <c r="H53" s="16">
        <f>IF(OR($A53="",$B53&lt;&gt;"tutar_farki"),"",IF($E53=0,"BELGE_EKSIK",IF($C53&lt;=toleransKurus*cbb_yuvarlamaCarpan,"YUVARLAMA",IF(AND($F53&lt;&gt;"Ba",$F53&lt;&gt;"Bs"),"TIP_KARISIK",IF($C53&gt;cbb_esikFark*cbb_donemCarpan,"DONEM",IF(LEN($D53)&lt;cbb_unvanMinLen,"UNVAN","TANIMSIZ"))))))</f>
        <v/>
      </c>
    </row>
    <row r="54">
      <c r="A54" s="26">
        <f>IF('ESLESTIRME'!$A54="","",'ESLESTIRME'!$A54)</f>
        <v/>
      </c>
      <c r="B54" s="16">
        <f>IF($A54="","",IFERROR(INDEX(tblEslesme[Kova],MATCH($A54,tblEslesme[A_Norm],0)),""))</f>
        <v/>
      </c>
      <c r="C54" s="16">
        <f>IF($A54="","",IFERROR(INDEX(tblEslesme[AbsFark],MATCH($A54,tblEslesme[A_Norm],0)),0))</f>
        <v/>
      </c>
      <c r="D54" s="16">
        <f>IF($A54="","",IFERROR(INDEX(tblVeriA[Unvan],MATCH($A54,tblAnahtarA[Norm],0)),""))</f>
        <v/>
      </c>
      <c r="E54" s="16">
        <f>IF($A54="","",IFERROR(SUMIF(tblAnahtarB[NormB],$A54,tblVeriB[BelgeAdet]),0))</f>
        <v/>
      </c>
      <c r="F54" s="16">
        <f>IF($A54="","",IFERROR(INDEX(tblVeriB[FormTipi],MATCH($A54,tblAnahtarB[NormB],0)),""))</f>
        <v/>
      </c>
      <c r="G54" s="16">
        <f>IF($A54="","",IFERROR(INDEX(tblVeriA[Donem],MATCH($A54,tblAnahtarA[Norm],0)),""))</f>
        <v/>
      </c>
      <c r="H54" s="16">
        <f>IF(OR($A54="",$B54&lt;&gt;"tutar_farki"),"",IF($E54=0,"BELGE_EKSIK",IF($C54&lt;=toleransKurus*cbb_yuvarlamaCarpan,"YUVARLAMA",IF(AND($F54&lt;&gt;"Ba",$F54&lt;&gt;"Bs"),"TIP_KARISIK",IF($C54&gt;cbb_esikFark*cbb_donemCarpan,"DONEM",IF(LEN($D54)&lt;cbb_unvanMinLen,"UNVAN","TANIMSIZ"))))))</f>
        <v/>
      </c>
    </row>
    <row r="55">
      <c r="A55" s="26">
        <f>IF('ESLESTIRME'!$A55="","",'ESLESTIRME'!$A55)</f>
        <v/>
      </c>
      <c r="B55" s="16">
        <f>IF($A55="","",IFERROR(INDEX(tblEslesme[Kova],MATCH($A55,tblEslesme[A_Norm],0)),""))</f>
        <v/>
      </c>
      <c r="C55" s="16">
        <f>IF($A55="","",IFERROR(INDEX(tblEslesme[AbsFark],MATCH($A55,tblEslesme[A_Norm],0)),0))</f>
        <v/>
      </c>
      <c r="D55" s="16">
        <f>IF($A55="","",IFERROR(INDEX(tblVeriA[Unvan],MATCH($A55,tblAnahtarA[Norm],0)),""))</f>
        <v/>
      </c>
      <c r="E55" s="16">
        <f>IF($A55="","",IFERROR(SUMIF(tblAnahtarB[NormB],$A55,tblVeriB[BelgeAdet]),0))</f>
        <v/>
      </c>
      <c r="F55" s="16">
        <f>IF($A55="","",IFERROR(INDEX(tblVeriB[FormTipi],MATCH($A55,tblAnahtarB[NormB],0)),""))</f>
        <v/>
      </c>
      <c r="G55" s="16">
        <f>IF($A55="","",IFERROR(INDEX(tblVeriA[Donem],MATCH($A55,tblAnahtarA[Norm],0)),""))</f>
        <v/>
      </c>
      <c r="H55" s="16">
        <f>IF(OR($A55="",$B55&lt;&gt;"tutar_farki"),"",IF($E55=0,"BELGE_EKSIK",IF($C55&lt;=toleransKurus*cbb_yuvarlamaCarpan,"YUVARLAMA",IF(AND($F55&lt;&gt;"Ba",$F55&lt;&gt;"Bs"),"TIP_KARISIK",IF($C55&gt;cbb_esikFark*cbb_donemCarpan,"DONEM",IF(LEN($D55)&lt;cbb_unvanMinLen,"UNVAN","TANIMSIZ"))))))</f>
        <v/>
      </c>
    </row>
    <row r="56">
      <c r="A56" s="26">
        <f>IF('ESLESTIRME'!$A56="","",'ESLESTIRME'!$A56)</f>
        <v/>
      </c>
      <c r="B56" s="16">
        <f>IF($A56="","",IFERROR(INDEX(tblEslesme[Kova],MATCH($A56,tblEslesme[A_Norm],0)),""))</f>
        <v/>
      </c>
      <c r="C56" s="16">
        <f>IF($A56="","",IFERROR(INDEX(tblEslesme[AbsFark],MATCH($A56,tblEslesme[A_Norm],0)),0))</f>
        <v/>
      </c>
      <c r="D56" s="16">
        <f>IF($A56="","",IFERROR(INDEX(tblVeriA[Unvan],MATCH($A56,tblAnahtarA[Norm],0)),""))</f>
        <v/>
      </c>
      <c r="E56" s="16">
        <f>IF($A56="","",IFERROR(SUMIF(tblAnahtarB[NormB],$A56,tblVeriB[BelgeAdet]),0))</f>
        <v/>
      </c>
      <c r="F56" s="16">
        <f>IF($A56="","",IFERROR(INDEX(tblVeriB[FormTipi],MATCH($A56,tblAnahtarB[NormB],0)),""))</f>
        <v/>
      </c>
      <c r="G56" s="16">
        <f>IF($A56="","",IFERROR(INDEX(tblVeriA[Donem],MATCH($A56,tblAnahtarA[Norm],0)),""))</f>
        <v/>
      </c>
      <c r="H56" s="16">
        <f>IF(OR($A56="",$B56&lt;&gt;"tutar_farki"),"",IF($E56=0,"BELGE_EKSIK",IF($C56&lt;=toleransKurus*cbb_yuvarlamaCarpan,"YUVARLAMA",IF(AND($F56&lt;&gt;"Ba",$F56&lt;&gt;"Bs"),"TIP_KARISIK",IF($C56&gt;cbb_esikFark*cbb_donemCarpan,"DONEM",IF(LEN($D56)&lt;cbb_unvanMinLen,"UNVAN","TANIMSIZ"))))))</f>
        <v/>
      </c>
    </row>
    <row r="57">
      <c r="A57" s="26">
        <f>IF('ESLESTIRME'!$A57="","",'ESLESTIRME'!$A57)</f>
        <v/>
      </c>
      <c r="B57" s="16">
        <f>IF($A57="","",IFERROR(INDEX(tblEslesme[Kova],MATCH($A57,tblEslesme[A_Norm],0)),""))</f>
        <v/>
      </c>
      <c r="C57" s="16">
        <f>IF($A57="","",IFERROR(INDEX(tblEslesme[AbsFark],MATCH($A57,tblEslesme[A_Norm],0)),0))</f>
        <v/>
      </c>
      <c r="D57" s="16">
        <f>IF($A57="","",IFERROR(INDEX(tblVeriA[Unvan],MATCH($A57,tblAnahtarA[Norm],0)),""))</f>
        <v/>
      </c>
      <c r="E57" s="16">
        <f>IF($A57="","",IFERROR(SUMIF(tblAnahtarB[NormB],$A57,tblVeriB[BelgeAdet]),0))</f>
        <v/>
      </c>
      <c r="F57" s="16">
        <f>IF($A57="","",IFERROR(INDEX(tblVeriB[FormTipi],MATCH($A57,tblAnahtarB[NormB],0)),""))</f>
        <v/>
      </c>
      <c r="G57" s="16">
        <f>IF($A57="","",IFERROR(INDEX(tblVeriA[Donem],MATCH($A57,tblAnahtarA[Norm],0)),""))</f>
        <v/>
      </c>
      <c r="H57" s="16">
        <f>IF(OR($A57="",$B57&lt;&gt;"tutar_farki"),"",IF($E57=0,"BELGE_EKSIK",IF($C57&lt;=toleransKurus*cbb_yuvarlamaCarpan,"YUVARLAMA",IF(AND($F57&lt;&gt;"Ba",$F57&lt;&gt;"Bs"),"TIP_KARISIK",IF($C57&gt;cbb_esikFark*cbb_donemCarpan,"DONEM",IF(LEN($D57)&lt;cbb_unvanMinLen,"UNVAN","TANIMSIZ"))))))</f>
        <v/>
      </c>
    </row>
    <row r="58">
      <c r="A58" s="26">
        <f>IF('ESLESTIRME'!$A58="","",'ESLESTIRME'!$A58)</f>
        <v/>
      </c>
      <c r="B58" s="16">
        <f>IF($A58="","",IFERROR(INDEX(tblEslesme[Kova],MATCH($A58,tblEslesme[A_Norm],0)),""))</f>
        <v/>
      </c>
      <c r="C58" s="16">
        <f>IF($A58="","",IFERROR(INDEX(tblEslesme[AbsFark],MATCH($A58,tblEslesme[A_Norm],0)),0))</f>
        <v/>
      </c>
      <c r="D58" s="16">
        <f>IF($A58="","",IFERROR(INDEX(tblVeriA[Unvan],MATCH($A58,tblAnahtarA[Norm],0)),""))</f>
        <v/>
      </c>
      <c r="E58" s="16">
        <f>IF($A58="","",IFERROR(SUMIF(tblAnahtarB[NormB],$A58,tblVeriB[BelgeAdet]),0))</f>
        <v/>
      </c>
      <c r="F58" s="16">
        <f>IF($A58="","",IFERROR(INDEX(tblVeriB[FormTipi],MATCH($A58,tblAnahtarB[NormB],0)),""))</f>
        <v/>
      </c>
      <c r="G58" s="16">
        <f>IF($A58="","",IFERROR(INDEX(tblVeriA[Donem],MATCH($A58,tblAnahtarA[Norm],0)),""))</f>
        <v/>
      </c>
      <c r="H58" s="16">
        <f>IF(OR($A58="",$B58&lt;&gt;"tutar_farki"),"",IF($E58=0,"BELGE_EKSIK",IF($C58&lt;=toleransKurus*cbb_yuvarlamaCarpan,"YUVARLAMA",IF(AND($F58&lt;&gt;"Ba",$F58&lt;&gt;"Bs"),"TIP_KARISIK",IF($C58&gt;cbb_esikFark*cbb_donemCarpan,"DONEM",IF(LEN($D58)&lt;cbb_unvanMinLen,"UNVAN","TANIMSIZ"))))))</f>
        <v/>
      </c>
    </row>
    <row r="59">
      <c r="A59" s="26">
        <f>IF('ESLESTIRME'!$A59="","",'ESLESTIRME'!$A59)</f>
        <v/>
      </c>
      <c r="B59" s="16">
        <f>IF($A59="","",IFERROR(INDEX(tblEslesme[Kova],MATCH($A59,tblEslesme[A_Norm],0)),""))</f>
        <v/>
      </c>
      <c r="C59" s="16">
        <f>IF($A59="","",IFERROR(INDEX(tblEslesme[AbsFark],MATCH($A59,tblEslesme[A_Norm],0)),0))</f>
        <v/>
      </c>
      <c r="D59" s="16">
        <f>IF($A59="","",IFERROR(INDEX(tblVeriA[Unvan],MATCH($A59,tblAnahtarA[Norm],0)),""))</f>
        <v/>
      </c>
      <c r="E59" s="16">
        <f>IF($A59="","",IFERROR(SUMIF(tblAnahtarB[NormB],$A59,tblVeriB[BelgeAdet]),0))</f>
        <v/>
      </c>
      <c r="F59" s="16">
        <f>IF($A59="","",IFERROR(INDEX(tblVeriB[FormTipi],MATCH($A59,tblAnahtarB[NormB],0)),""))</f>
        <v/>
      </c>
      <c r="G59" s="16">
        <f>IF($A59="","",IFERROR(INDEX(tblVeriA[Donem],MATCH($A59,tblAnahtarA[Norm],0)),""))</f>
        <v/>
      </c>
      <c r="H59" s="16">
        <f>IF(OR($A59="",$B59&lt;&gt;"tutar_farki"),"",IF($E59=0,"BELGE_EKSIK",IF($C59&lt;=toleransKurus*cbb_yuvarlamaCarpan,"YUVARLAMA",IF(AND($F59&lt;&gt;"Ba",$F59&lt;&gt;"Bs"),"TIP_KARISIK",IF($C59&gt;cbb_esikFark*cbb_donemCarpan,"DONEM",IF(LEN($D59)&lt;cbb_unvanMinLen,"UNVAN","TANIMSIZ"))))))</f>
        <v/>
      </c>
    </row>
    <row r="60">
      <c r="A60" s="26">
        <f>IF('ESLESTIRME'!$A60="","",'ESLESTIRME'!$A60)</f>
        <v/>
      </c>
      <c r="B60" s="16">
        <f>IF($A60="","",IFERROR(INDEX(tblEslesme[Kova],MATCH($A60,tblEslesme[A_Norm],0)),""))</f>
        <v/>
      </c>
      <c r="C60" s="16">
        <f>IF($A60="","",IFERROR(INDEX(tblEslesme[AbsFark],MATCH($A60,tblEslesme[A_Norm],0)),0))</f>
        <v/>
      </c>
      <c r="D60" s="16">
        <f>IF($A60="","",IFERROR(INDEX(tblVeriA[Unvan],MATCH($A60,tblAnahtarA[Norm],0)),""))</f>
        <v/>
      </c>
      <c r="E60" s="16">
        <f>IF($A60="","",IFERROR(SUMIF(tblAnahtarB[NormB],$A60,tblVeriB[BelgeAdet]),0))</f>
        <v/>
      </c>
      <c r="F60" s="16">
        <f>IF($A60="","",IFERROR(INDEX(tblVeriB[FormTipi],MATCH($A60,tblAnahtarB[NormB],0)),""))</f>
        <v/>
      </c>
      <c r="G60" s="16">
        <f>IF($A60="","",IFERROR(INDEX(tblVeriA[Donem],MATCH($A60,tblAnahtarA[Norm],0)),""))</f>
        <v/>
      </c>
      <c r="H60" s="16">
        <f>IF(OR($A60="",$B60&lt;&gt;"tutar_farki"),"",IF($E60=0,"BELGE_EKSIK",IF($C60&lt;=toleransKurus*cbb_yuvarlamaCarpan,"YUVARLAMA",IF(AND($F60&lt;&gt;"Ba",$F60&lt;&gt;"Bs"),"TIP_KARISIK",IF($C60&gt;cbb_esikFark*cbb_donemCarpan,"DONEM",IF(LEN($D60)&lt;cbb_unvanMinLen,"UNVAN","TANIMSIZ"))))))</f>
        <v/>
      </c>
    </row>
    <row r="61">
      <c r="A61" s="26">
        <f>IF('ESLESTIRME'!$A61="","",'ESLESTIRME'!$A61)</f>
        <v/>
      </c>
      <c r="B61" s="16">
        <f>IF($A61="","",IFERROR(INDEX(tblEslesme[Kova],MATCH($A61,tblEslesme[A_Norm],0)),""))</f>
        <v/>
      </c>
      <c r="C61" s="16">
        <f>IF($A61="","",IFERROR(INDEX(tblEslesme[AbsFark],MATCH($A61,tblEslesme[A_Norm],0)),0))</f>
        <v/>
      </c>
      <c r="D61" s="16">
        <f>IF($A61="","",IFERROR(INDEX(tblVeriA[Unvan],MATCH($A61,tblAnahtarA[Norm],0)),""))</f>
        <v/>
      </c>
      <c r="E61" s="16">
        <f>IF($A61="","",IFERROR(SUMIF(tblAnahtarB[NormB],$A61,tblVeriB[BelgeAdet]),0))</f>
        <v/>
      </c>
      <c r="F61" s="16">
        <f>IF($A61="","",IFERROR(INDEX(tblVeriB[FormTipi],MATCH($A61,tblAnahtarB[NormB],0)),""))</f>
        <v/>
      </c>
      <c r="G61" s="16">
        <f>IF($A61="","",IFERROR(INDEX(tblVeriA[Donem],MATCH($A61,tblAnahtarA[Norm],0)),""))</f>
        <v/>
      </c>
      <c r="H61" s="16">
        <f>IF(OR($A61="",$B61&lt;&gt;"tutar_farki"),"",IF($E61=0,"BELGE_EKSIK",IF($C61&lt;=toleransKurus*cbb_yuvarlamaCarpan,"YUVARLAMA",IF(AND($F61&lt;&gt;"Ba",$F61&lt;&gt;"Bs"),"TIP_KARISIK",IF($C61&gt;cbb_esikFark*cbb_donemCarpan,"DONEM",IF(LEN($D61)&lt;cbb_unvanMinLen,"UNVAN","TANIMSIZ"))))))</f>
        <v/>
      </c>
    </row>
    <row r="62">
      <c r="A62" s="26">
        <f>IF('ESLESTIRME'!$A62="","",'ESLESTIRME'!$A62)</f>
        <v/>
      </c>
      <c r="B62" s="16">
        <f>IF($A62="","",IFERROR(INDEX(tblEslesme[Kova],MATCH($A62,tblEslesme[A_Norm],0)),""))</f>
        <v/>
      </c>
      <c r="C62" s="16">
        <f>IF($A62="","",IFERROR(INDEX(tblEslesme[AbsFark],MATCH($A62,tblEslesme[A_Norm],0)),0))</f>
        <v/>
      </c>
      <c r="D62" s="16">
        <f>IF($A62="","",IFERROR(INDEX(tblVeriA[Unvan],MATCH($A62,tblAnahtarA[Norm],0)),""))</f>
        <v/>
      </c>
      <c r="E62" s="16">
        <f>IF($A62="","",IFERROR(SUMIF(tblAnahtarB[NormB],$A62,tblVeriB[BelgeAdet]),0))</f>
        <v/>
      </c>
      <c r="F62" s="16">
        <f>IF($A62="","",IFERROR(INDEX(tblVeriB[FormTipi],MATCH($A62,tblAnahtarB[NormB],0)),""))</f>
        <v/>
      </c>
      <c r="G62" s="16">
        <f>IF($A62="","",IFERROR(INDEX(tblVeriA[Donem],MATCH($A62,tblAnahtarA[Norm],0)),""))</f>
        <v/>
      </c>
      <c r="H62" s="16">
        <f>IF(OR($A62="",$B62&lt;&gt;"tutar_farki"),"",IF($E62=0,"BELGE_EKSIK",IF($C62&lt;=toleransKurus*cbb_yuvarlamaCarpan,"YUVARLAMA",IF(AND($F62&lt;&gt;"Ba",$F62&lt;&gt;"Bs"),"TIP_KARISIK",IF($C62&gt;cbb_esikFark*cbb_donemCarpan,"DONEM",IF(LEN($D62)&lt;cbb_unvanMinLen,"UNVAN","TANIMSIZ"))))))</f>
        <v/>
      </c>
    </row>
    <row r="63">
      <c r="A63" s="26">
        <f>IF('ESLESTIRME'!$A63="","",'ESLESTIRME'!$A63)</f>
        <v/>
      </c>
      <c r="B63" s="16">
        <f>IF($A63="","",IFERROR(INDEX(tblEslesme[Kova],MATCH($A63,tblEslesme[A_Norm],0)),""))</f>
        <v/>
      </c>
      <c r="C63" s="16">
        <f>IF($A63="","",IFERROR(INDEX(tblEslesme[AbsFark],MATCH($A63,tblEslesme[A_Norm],0)),0))</f>
        <v/>
      </c>
      <c r="D63" s="16">
        <f>IF($A63="","",IFERROR(INDEX(tblVeriA[Unvan],MATCH($A63,tblAnahtarA[Norm],0)),""))</f>
        <v/>
      </c>
      <c r="E63" s="16">
        <f>IF($A63="","",IFERROR(SUMIF(tblAnahtarB[NormB],$A63,tblVeriB[BelgeAdet]),0))</f>
        <v/>
      </c>
      <c r="F63" s="16">
        <f>IF($A63="","",IFERROR(INDEX(tblVeriB[FormTipi],MATCH($A63,tblAnahtarB[NormB],0)),""))</f>
        <v/>
      </c>
      <c r="G63" s="16">
        <f>IF($A63="","",IFERROR(INDEX(tblVeriA[Donem],MATCH($A63,tblAnahtarA[Norm],0)),""))</f>
        <v/>
      </c>
      <c r="H63" s="16">
        <f>IF(OR($A63="",$B63&lt;&gt;"tutar_farki"),"",IF($E63=0,"BELGE_EKSIK",IF($C63&lt;=toleransKurus*cbb_yuvarlamaCarpan,"YUVARLAMA",IF(AND($F63&lt;&gt;"Ba",$F63&lt;&gt;"Bs"),"TIP_KARISIK",IF($C63&gt;cbb_esikFark*cbb_donemCarpan,"DONEM",IF(LEN($D63)&lt;cbb_unvanMinLen,"UNVAN","TANIMSIZ"))))))</f>
        <v/>
      </c>
    </row>
    <row r="64">
      <c r="A64" s="26">
        <f>IF('ESLESTIRME'!$A64="","",'ESLESTIRME'!$A64)</f>
        <v/>
      </c>
      <c r="B64" s="16">
        <f>IF($A64="","",IFERROR(INDEX(tblEslesme[Kova],MATCH($A64,tblEslesme[A_Norm],0)),""))</f>
        <v/>
      </c>
      <c r="C64" s="16">
        <f>IF($A64="","",IFERROR(INDEX(tblEslesme[AbsFark],MATCH($A64,tblEslesme[A_Norm],0)),0))</f>
        <v/>
      </c>
      <c r="D64" s="16">
        <f>IF($A64="","",IFERROR(INDEX(tblVeriA[Unvan],MATCH($A64,tblAnahtarA[Norm],0)),""))</f>
        <v/>
      </c>
      <c r="E64" s="16">
        <f>IF($A64="","",IFERROR(SUMIF(tblAnahtarB[NormB],$A64,tblVeriB[BelgeAdet]),0))</f>
        <v/>
      </c>
      <c r="F64" s="16">
        <f>IF($A64="","",IFERROR(INDEX(tblVeriB[FormTipi],MATCH($A64,tblAnahtarB[NormB],0)),""))</f>
        <v/>
      </c>
      <c r="G64" s="16">
        <f>IF($A64="","",IFERROR(INDEX(tblVeriA[Donem],MATCH($A64,tblAnahtarA[Norm],0)),""))</f>
        <v/>
      </c>
      <c r="H64" s="16">
        <f>IF(OR($A64="",$B64&lt;&gt;"tutar_farki"),"",IF($E64=0,"BELGE_EKSIK",IF($C64&lt;=toleransKurus*cbb_yuvarlamaCarpan,"YUVARLAMA",IF(AND($F64&lt;&gt;"Ba",$F64&lt;&gt;"Bs"),"TIP_KARISIK",IF($C64&gt;cbb_esikFark*cbb_donemCarpan,"DONEM",IF(LEN($D64)&lt;cbb_unvanMinLen,"UNVAN","TANIMSIZ"))))))</f>
        <v/>
      </c>
    </row>
    <row r="65">
      <c r="A65" s="26">
        <f>IF('ESLESTIRME'!$A65="","",'ESLESTIRME'!$A65)</f>
        <v/>
      </c>
      <c r="B65" s="16">
        <f>IF($A65="","",IFERROR(INDEX(tblEslesme[Kova],MATCH($A65,tblEslesme[A_Norm],0)),""))</f>
        <v/>
      </c>
      <c r="C65" s="16">
        <f>IF($A65="","",IFERROR(INDEX(tblEslesme[AbsFark],MATCH($A65,tblEslesme[A_Norm],0)),0))</f>
        <v/>
      </c>
      <c r="D65" s="16">
        <f>IF($A65="","",IFERROR(INDEX(tblVeriA[Unvan],MATCH($A65,tblAnahtarA[Norm],0)),""))</f>
        <v/>
      </c>
      <c r="E65" s="16">
        <f>IF($A65="","",IFERROR(SUMIF(tblAnahtarB[NormB],$A65,tblVeriB[BelgeAdet]),0))</f>
        <v/>
      </c>
      <c r="F65" s="16">
        <f>IF($A65="","",IFERROR(INDEX(tblVeriB[FormTipi],MATCH($A65,tblAnahtarB[NormB],0)),""))</f>
        <v/>
      </c>
      <c r="G65" s="16">
        <f>IF($A65="","",IFERROR(INDEX(tblVeriA[Donem],MATCH($A65,tblAnahtarA[Norm],0)),""))</f>
        <v/>
      </c>
      <c r="H65" s="16">
        <f>IF(OR($A65="",$B65&lt;&gt;"tutar_farki"),"",IF($E65=0,"BELGE_EKSIK",IF($C65&lt;=toleransKurus*cbb_yuvarlamaCarpan,"YUVARLAMA",IF(AND($F65&lt;&gt;"Ba",$F65&lt;&gt;"Bs"),"TIP_KARISIK",IF($C65&gt;cbb_esikFark*cbb_donemCarpan,"DONEM",IF(LEN($D65)&lt;cbb_unvanMinLen,"UNVAN","TANIMSIZ"))))))</f>
        <v/>
      </c>
    </row>
    <row r="66">
      <c r="A66" s="26">
        <f>IF('ESLESTIRME'!$A66="","",'ESLESTIRME'!$A66)</f>
        <v/>
      </c>
      <c r="B66" s="16">
        <f>IF($A66="","",IFERROR(INDEX(tblEslesme[Kova],MATCH($A66,tblEslesme[A_Norm],0)),""))</f>
        <v/>
      </c>
      <c r="C66" s="16">
        <f>IF($A66="","",IFERROR(INDEX(tblEslesme[AbsFark],MATCH($A66,tblEslesme[A_Norm],0)),0))</f>
        <v/>
      </c>
      <c r="D66" s="16">
        <f>IF($A66="","",IFERROR(INDEX(tblVeriA[Unvan],MATCH($A66,tblAnahtarA[Norm],0)),""))</f>
        <v/>
      </c>
      <c r="E66" s="16">
        <f>IF($A66="","",IFERROR(SUMIF(tblAnahtarB[NormB],$A66,tblVeriB[BelgeAdet]),0))</f>
        <v/>
      </c>
      <c r="F66" s="16">
        <f>IF($A66="","",IFERROR(INDEX(tblVeriB[FormTipi],MATCH($A66,tblAnahtarB[NormB],0)),""))</f>
        <v/>
      </c>
      <c r="G66" s="16">
        <f>IF($A66="","",IFERROR(INDEX(tblVeriA[Donem],MATCH($A66,tblAnahtarA[Norm],0)),""))</f>
        <v/>
      </c>
      <c r="H66" s="16">
        <f>IF(OR($A66="",$B66&lt;&gt;"tutar_farki"),"",IF($E66=0,"BELGE_EKSIK",IF($C66&lt;=toleransKurus*cbb_yuvarlamaCarpan,"YUVARLAMA",IF(AND($F66&lt;&gt;"Ba",$F66&lt;&gt;"Bs"),"TIP_KARISIK",IF($C66&gt;cbb_esikFark*cbb_donemCarpan,"DONEM",IF(LEN($D66)&lt;cbb_unvanMinLen,"UNVAN","TANIMSIZ"))))))</f>
        <v/>
      </c>
    </row>
    <row r="67">
      <c r="A67" s="26">
        <f>IF('ESLESTIRME'!$A67="","",'ESLESTIRME'!$A67)</f>
        <v/>
      </c>
      <c r="B67" s="16">
        <f>IF($A67="","",IFERROR(INDEX(tblEslesme[Kova],MATCH($A67,tblEslesme[A_Norm],0)),""))</f>
        <v/>
      </c>
      <c r="C67" s="16">
        <f>IF($A67="","",IFERROR(INDEX(tblEslesme[AbsFark],MATCH($A67,tblEslesme[A_Norm],0)),0))</f>
        <v/>
      </c>
      <c r="D67" s="16">
        <f>IF($A67="","",IFERROR(INDEX(tblVeriA[Unvan],MATCH($A67,tblAnahtarA[Norm],0)),""))</f>
        <v/>
      </c>
      <c r="E67" s="16">
        <f>IF($A67="","",IFERROR(SUMIF(tblAnahtarB[NormB],$A67,tblVeriB[BelgeAdet]),0))</f>
        <v/>
      </c>
      <c r="F67" s="16">
        <f>IF($A67="","",IFERROR(INDEX(tblVeriB[FormTipi],MATCH($A67,tblAnahtarB[NormB],0)),""))</f>
        <v/>
      </c>
      <c r="G67" s="16">
        <f>IF($A67="","",IFERROR(INDEX(tblVeriA[Donem],MATCH($A67,tblAnahtarA[Norm],0)),""))</f>
        <v/>
      </c>
      <c r="H67" s="16">
        <f>IF(OR($A67="",$B67&lt;&gt;"tutar_farki"),"",IF($E67=0,"BELGE_EKSIK",IF($C67&lt;=toleransKurus*cbb_yuvarlamaCarpan,"YUVARLAMA",IF(AND($F67&lt;&gt;"Ba",$F67&lt;&gt;"Bs"),"TIP_KARISIK",IF($C67&gt;cbb_esikFark*cbb_donemCarpan,"DONEM",IF(LEN($D67)&lt;cbb_unvanMinLen,"UNVAN","TANIMSIZ"))))))</f>
        <v/>
      </c>
    </row>
    <row r="68">
      <c r="A68" s="26">
        <f>IF('ESLESTIRME'!$A68="","",'ESLESTIRME'!$A68)</f>
        <v/>
      </c>
      <c r="B68" s="16">
        <f>IF($A68="","",IFERROR(INDEX(tblEslesme[Kova],MATCH($A68,tblEslesme[A_Norm],0)),""))</f>
        <v/>
      </c>
      <c r="C68" s="16">
        <f>IF($A68="","",IFERROR(INDEX(tblEslesme[AbsFark],MATCH($A68,tblEslesme[A_Norm],0)),0))</f>
        <v/>
      </c>
      <c r="D68" s="16">
        <f>IF($A68="","",IFERROR(INDEX(tblVeriA[Unvan],MATCH($A68,tblAnahtarA[Norm],0)),""))</f>
        <v/>
      </c>
      <c r="E68" s="16">
        <f>IF($A68="","",IFERROR(SUMIF(tblAnahtarB[NormB],$A68,tblVeriB[BelgeAdet]),0))</f>
        <v/>
      </c>
      <c r="F68" s="16">
        <f>IF($A68="","",IFERROR(INDEX(tblVeriB[FormTipi],MATCH($A68,tblAnahtarB[NormB],0)),""))</f>
        <v/>
      </c>
      <c r="G68" s="16">
        <f>IF($A68="","",IFERROR(INDEX(tblVeriA[Donem],MATCH($A68,tblAnahtarA[Norm],0)),""))</f>
        <v/>
      </c>
      <c r="H68" s="16">
        <f>IF(OR($A68="",$B68&lt;&gt;"tutar_farki"),"",IF($E68=0,"BELGE_EKSIK",IF($C68&lt;=toleransKurus*cbb_yuvarlamaCarpan,"YUVARLAMA",IF(AND($F68&lt;&gt;"Ba",$F68&lt;&gt;"Bs"),"TIP_KARISIK",IF($C68&gt;cbb_esikFark*cbb_donemCarpan,"DONEM",IF(LEN($D68)&lt;cbb_unvanMinLen,"UNVAN","TANIMSIZ"))))))</f>
        <v/>
      </c>
    </row>
    <row r="69">
      <c r="A69" s="26">
        <f>IF('ESLESTIRME'!$A69="","",'ESLESTIRME'!$A69)</f>
        <v/>
      </c>
      <c r="B69" s="16">
        <f>IF($A69="","",IFERROR(INDEX(tblEslesme[Kova],MATCH($A69,tblEslesme[A_Norm],0)),""))</f>
        <v/>
      </c>
      <c r="C69" s="16">
        <f>IF($A69="","",IFERROR(INDEX(tblEslesme[AbsFark],MATCH($A69,tblEslesme[A_Norm],0)),0))</f>
        <v/>
      </c>
      <c r="D69" s="16">
        <f>IF($A69="","",IFERROR(INDEX(tblVeriA[Unvan],MATCH($A69,tblAnahtarA[Norm],0)),""))</f>
        <v/>
      </c>
      <c r="E69" s="16">
        <f>IF($A69="","",IFERROR(SUMIF(tblAnahtarB[NormB],$A69,tblVeriB[BelgeAdet]),0))</f>
        <v/>
      </c>
      <c r="F69" s="16">
        <f>IF($A69="","",IFERROR(INDEX(tblVeriB[FormTipi],MATCH($A69,tblAnahtarB[NormB],0)),""))</f>
        <v/>
      </c>
      <c r="G69" s="16">
        <f>IF($A69="","",IFERROR(INDEX(tblVeriA[Donem],MATCH($A69,tblAnahtarA[Norm],0)),""))</f>
        <v/>
      </c>
      <c r="H69" s="16">
        <f>IF(OR($A69="",$B69&lt;&gt;"tutar_farki"),"",IF($E69=0,"BELGE_EKSIK",IF($C69&lt;=toleransKurus*cbb_yuvarlamaCarpan,"YUVARLAMA",IF(AND($F69&lt;&gt;"Ba",$F69&lt;&gt;"Bs"),"TIP_KARISIK",IF($C69&gt;cbb_esikFark*cbb_donemCarpan,"DONEM",IF(LEN($D69)&lt;cbb_unvanMinLen,"UNVAN","TANIMSIZ"))))))</f>
        <v/>
      </c>
    </row>
    <row r="70">
      <c r="A70" s="26">
        <f>IF('ESLESTIRME'!$A70="","",'ESLESTIRME'!$A70)</f>
        <v/>
      </c>
      <c r="B70" s="16">
        <f>IF($A70="","",IFERROR(INDEX(tblEslesme[Kova],MATCH($A70,tblEslesme[A_Norm],0)),""))</f>
        <v/>
      </c>
      <c r="C70" s="16">
        <f>IF($A70="","",IFERROR(INDEX(tblEslesme[AbsFark],MATCH($A70,tblEslesme[A_Norm],0)),0))</f>
        <v/>
      </c>
      <c r="D70" s="16">
        <f>IF($A70="","",IFERROR(INDEX(tblVeriA[Unvan],MATCH($A70,tblAnahtarA[Norm],0)),""))</f>
        <v/>
      </c>
      <c r="E70" s="16">
        <f>IF($A70="","",IFERROR(SUMIF(tblAnahtarB[NormB],$A70,tblVeriB[BelgeAdet]),0))</f>
        <v/>
      </c>
      <c r="F70" s="16">
        <f>IF($A70="","",IFERROR(INDEX(tblVeriB[FormTipi],MATCH($A70,tblAnahtarB[NormB],0)),""))</f>
        <v/>
      </c>
      <c r="G70" s="16">
        <f>IF($A70="","",IFERROR(INDEX(tblVeriA[Donem],MATCH($A70,tblAnahtarA[Norm],0)),""))</f>
        <v/>
      </c>
      <c r="H70" s="16">
        <f>IF(OR($A70="",$B70&lt;&gt;"tutar_farki"),"",IF($E70=0,"BELGE_EKSIK",IF($C70&lt;=toleransKurus*cbb_yuvarlamaCarpan,"YUVARLAMA",IF(AND($F70&lt;&gt;"Ba",$F70&lt;&gt;"Bs"),"TIP_KARISIK",IF($C70&gt;cbb_esikFark*cbb_donemCarpan,"DONEM",IF(LEN($D70)&lt;cbb_unvanMinLen,"UNVAN","TANIMSIZ"))))))</f>
        <v/>
      </c>
    </row>
    <row r="71">
      <c r="A71" s="26">
        <f>IF('ESLESTIRME'!$A71="","",'ESLESTIRME'!$A71)</f>
        <v/>
      </c>
      <c r="B71" s="16">
        <f>IF($A71="","",IFERROR(INDEX(tblEslesme[Kova],MATCH($A71,tblEslesme[A_Norm],0)),""))</f>
        <v/>
      </c>
      <c r="C71" s="16">
        <f>IF($A71="","",IFERROR(INDEX(tblEslesme[AbsFark],MATCH($A71,tblEslesme[A_Norm],0)),0))</f>
        <v/>
      </c>
      <c r="D71" s="16">
        <f>IF($A71="","",IFERROR(INDEX(tblVeriA[Unvan],MATCH($A71,tblAnahtarA[Norm],0)),""))</f>
        <v/>
      </c>
      <c r="E71" s="16">
        <f>IF($A71="","",IFERROR(SUMIF(tblAnahtarB[NormB],$A71,tblVeriB[BelgeAdet]),0))</f>
        <v/>
      </c>
      <c r="F71" s="16">
        <f>IF($A71="","",IFERROR(INDEX(tblVeriB[FormTipi],MATCH($A71,tblAnahtarB[NormB],0)),""))</f>
        <v/>
      </c>
      <c r="G71" s="16">
        <f>IF($A71="","",IFERROR(INDEX(tblVeriA[Donem],MATCH($A71,tblAnahtarA[Norm],0)),""))</f>
        <v/>
      </c>
      <c r="H71" s="16">
        <f>IF(OR($A71="",$B71&lt;&gt;"tutar_farki"),"",IF($E71=0,"BELGE_EKSIK",IF($C71&lt;=toleransKurus*cbb_yuvarlamaCarpan,"YUVARLAMA",IF(AND($F71&lt;&gt;"Ba",$F71&lt;&gt;"Bs"),"TIP_KARISIK",IF($C71&gt;cbb_esikFark*cbb_donemCarpan,"DONEM",IF(LEN($D71)&lt;cbb_unvanMinLen,"UNVAN","TANIMSIZ"))))))</f>
        <v/>
      </c>
    </row>
    <row r="72">
      <c r="A72" s="26">
        <f>IF('ESLESTIRME'!$A72="","",'ESLESTIRME'!$A72)</f>
        <v/>
      </c>
      <c r="B72" s="16">
        <f>IF($A72="","",IFERROR(INDEX(tblEslesme[Kova],MATCH($A72,tblEslesme[A_Norm],0)),""))</f>
        <v/>
      </c>
      <c r="C72" s="16">
        <f>IF($A72="","",IFERROR(INDEX(tblEslesme[AbsFark],MATCH($A72,tblEslesme[A_Norm],0)),0))</f>
        <v/>
      </c>
      <c r="D72" s="16">
        <f>IF($A72="","",IFERROR(INDEX(tblVeriA[Unvan],MATCH($A72,tblAnahtarA[Norm],0)),""))</f>
        <v/>
      </c>
      <c r="E72" s="16">
        <f>IF($A72="","",IFERROR(SUMIF(tblAnahtarB[NormB],$A72,tblVeriB[BelgeAdet]),0))</f>
        <v/>
      </c>
      <c r="F72" s="16">
        <f>IF($A72="","",IFERROR(INDEX(tblVeriB[FormTipi],MATCH($A72,tblAnahtarB[NormB],0)),""))</f>
        <v/>
      </c>
      <c r="G72" s="16">
        <f>IF($A72="","",IFERROR(INDEX(tblVeriA[Donem],MATCH($A72,tblAnahtarA[Norm],0)),""))</f>
        <v/>
      </c>
      <c r="H72" s="16">
        <f>IF(OR($A72="",$B72&lt;&gt;"tutar_farki"),"",IF($E72=0,"BELGE_EKSIK",IF($C72&lt;=toleransKurus*cbb_yuvarlamaCarpan,"YUVARLAMA",IF(AND($F72&lt;&gt;"Ba",$F72&lt;&gt;"Bs"),"TIP_KARISIK",IF($C72&gt;cbb_esikFark*cbb_donemCarpan,"DONEM",IF(LEN($D72)&lt;cbb_unvanMinLen,"UNVAN","TANIMSIZ"))))))</f>
        <v/>
      </c>
    </row>
    <row r="73">
      <c r="A73" s="26">
        <f>IF('ESLESTIRME'!$A73="","",'ESLESTIRME'!$A73)</f>
        <v/>
      </c>
      <c r="B73" s="16">
        <f>IF($A73="","",IFERROR(INDEX(tblEslesme[Kova],MATCH($A73,tblEslesme[A_Norm],0)),""))</f>
        <v/>
      </c>
      <c r="C73" s="16">
        <f>IF($A73="","",IFERROR(INDEX(tblEslesme[AbsFark],MATCH($A73,tblEslesme[A_Norm],0)),0))</f>
        <v/>
      </c>
      <c r="D73" s="16">
        <f>IF($A73="","",IFERROR(INDEX(tblVeriA[Unvan],MATCH($A73,tblAnahtarA[Norm],0)),""))</f>
        <v/>
      </c>
      <c r="E73" s="16">
        <f>IF($A73="","",IFERROR(SUMIF(tblAnahtarB[NormB],$A73,tblVeriB[BelgeAdet]),0))</f>
        <v/>
      </c>
      <c r="F73" s="16">
        <f>IF($A73="","",IFERROR(INDEX(tblVeriB[FormTipi],MATCH($A73,tblAnahtarB[NormB],0)),""))</f>
        <v/>
      </c>
      <c r="G73" s="16">
        <f>IF($A73="","",IFERROR(INDEX(tblVeriA[Donem],MATCH($A73,tblAnahtarA[Norm],0)),""))</f>
        <v/>
      </c>
      <c r="H73" s="16">
        <f>IF(OR($A73="",$B73&lt;&gt;"tutar_farki"),"",IF($E73=0,"BELGE_EKSIK",IF($C73&lt;=toleransKurus*cbb_yuvarlamaCarpan,"YUVARLAMA",IF(AND($F73&lt;&gt;"Ba",$F73&lt;&gt;"Bs"),"TIP_KARISIK",IF($C73&gt;cbb_esikFark*cbb_donemCarpan,"DONEM",IF(LEN($D73)&lt;cbb_unvanMinLen,"UNVAN","TANIMSIZ"))))))</f>
        <v/>
      </c>
    </row>
    <row r="74">
      <c r="A74" s="26">
        <f>IF('ESLESTIRME'!$A74="","",'ESLESTIRME'!$A74)</f>
        <v/>
      </c>
      <c r="B74" s="16">
        <f>IF($A74="","",IFERROR(INDEX(tblEslesme[Kova],MATCH($A74,tblEslesme[A_Norm],0)),""))</f>
        <v/>
      </c>
      <c r="C74" s="16">
        <f>IF($A74="","",IFERROR(INDEX(tblEslesme[AbsFark],MATCH($A74,tblEslesme[A_Norm],0)),0))</f>
        <v/>
      </c>
      <c r="D74" s="16">
        <f>IF($A74="","",IFERROR(INDEX(tblVeriA[Unvan],MATCH($A74,tblAnahtarA[Norm],0)),""))</f>
        <v/>
      </c>
      <c r="E74" s="16">
        <f>IF($A74="","",IFERROR(SUMIF(tblAnahtarB[NormB],$A74,tblVeriB[BelgeAdet]),0))</f>
        <v/>
      </c>
      <c r="F74" s="16">
        <f>IF($A74="","",IFERROR(INDEX(tblVeriB[FormTipi],MATCH($A74,tblAnahtarB[NormB],0)),""))</f>
        <v/>
      </c>
      <c r="G74" s="16">
        <f>IF($A74="","",IFERROR(INDEX(tblVeriA[Donem],MATCH($A74,tblAnahtarA[Norm],0)),""))</f>
        <v/>
      </c>
      <c r="H74" s="16">
        <f>IF(OR($A74="",$B74&lt;&gt;"tutar_farki"),"",IF($E74=0,"BELGE_EKSIK",IF($C74&lt;=toleransKurus*cbb_yuvarlamaCarpan,"YUVARLAMA",IF(AND($F74&lt;&gt;"Ba",$F74&lt;&gt;"Bs"),"TIP_KARISIK",IF($C74&gt;cbb_esikFark*cbb_donemCarpan,"DONEM",IF(LEN($D74)&lt;cbb_unvanMinLen,"UNVAN","TANIMSIZ"))))))</f>
        <v/>
      </c>
    </row>
    <row r="75">
      <c r="A75" s="26">
        <f>IF('ESLESTIRME'!$A75="","",'ESLESTIRME'!$A75)</f>
        <v/>
      </c>
      <c r="B75" s="16">
        <f>IF($A75="","",IFERROR(INDEX(tblEslesme[Kova],MATCH($A75,tblEslesme[A_Norm],0)),""))</f>
        <v/>
      </c>
      <c r="C75" s="16">
        <f>IF($A75="","",IFERROR(INDEX(tblEslesme[AbsFark],MATCH($A75,tblEslesme[A_Norm],0)),0))</f>
        <v/>
      </c>
      <c r="D75" s="16">
        <f>IF($A75="","",IFERROR(INDEX(tblVeriA[Unvan],MATCH($A75,tblAnahtarA[Norm],0)),""))</f>
        <v/>
      </c>
      <c r="E75" s="16">
        <f>IF($A75="","",IFERROR(SUMIF(tblAnahtarB[NormB],$A75,tblVeriB[BelgeAdet]),0))</f>
        <v/>
      </c>
      <c r="F75" s="16">
        <f>IF($A75="","",IFERROR(INDEX(tblVeriB[FormTipi],MATCH($A75,tblAnahtarB[NormB],0)),""))</f>
        <v/>
      </c>
      <c r="G75" s="16">
        <f>IF($A75="","",IFERROR(INDEX(tblVeriA[Donem],MATCH($A75,tblAnahtarA[Norm],0)),""))</f>
        <v/>
      </c>
      <c r="H75" s="16">
        <f>IF(OR($A75="",$B75&lt;&gt;"tutar_farki"),"",IF($E75=0,"BELGE_EKSIK",IF($C75&lt;=toleransKurus*cbb_yuvarlamaCarpan,"YUVARLAMA",IF(AND($F75&lt;&gt;"Ba",$F75&lt;&gt;"Bs"),"TIP_KARISIK",IF($C75&gt;cbb_esikFark*cbb_donemCarpan,"DONEM",IF(LEN($D75)&lt;cbb_unvanMinLen,"UNVAN","TANIMSIZ"))))))</f>
        <v/>
      </c>
    </row>
    <row r="76">
      <c r="A76" s="26">
        <f>IF('ESLESTIRME'!$A76="","",'ESLESTIRME'!$A76)</f>
        <v/>
      </c>
      <c r="B76" s="16">
        <f>IF($A76="","",IFERROR(INDEX(tblEslesme[Kova],MATCH($A76,tblEslesme[A_Norm],0)),""))</f>
        <v/>
      </c>
      <c r="C76" s="16">
        <f>IF($A76="","",IFERROR(INDEX(tblEslesme[AbsFark],MATCH($A76,tblEslesme[A_Norm],0)),0))</f>
        <v/>
      </c>
      <c r="D76" s="16">
        <f>IF($A76="","",IFERROR(INDEX(tblVeriA[Unvan],MATCH($A76,tblAnahtarA[Norm],0)),""))</f>
        <v/>
      </c>
      <c r="E76" s="16">
        <f>IF($A76="","",IFERROR(SUMIF(tblAnahtarB[NormB],$A76,tblVeriB[BelgeAdet]),0))</f>
        <v/>
      </c>
      <c r="F76" s="16">
        <f>IF($A76="","",IFERROR(INDEX(tblVeriB[FormTipi],MATCH($A76,tblAnahtarB[NormB],0)),""))</f>
        <v/>
      </c>
      <c r="G76" s="16">
        <f>IF($A76="","",IFERROR(INDEX(tblVeriA[Donem],MATCH($A76,tblAnahtarA[Norm],0)),""))</f>
        <v/>
      </c>
      <c r="H76" s="16">
        <f>IF(OR($A76="",$B76&lt;&gt;"tutar_farki"),"",IF($E76=0,"BELGE_EKSIK",IF($C76&lt;=toleransKurus*cbb_yuvarlamaCarpan,"YUVARLAMA",IF(AND($F76&lt;&gt;"Ba",$F76&lt;&gt;"Bs"),"TIP_KARISIK",IF($C76&gt;cbb_esikFark*cbb_donemCarpan,"DONEM",IF(LEN($D76)&lt;cbb_unvanMinLen,"UNVAN","TANIMSIZ"))))))</f>
        <v/>
      </c>
    </row>
    <row r="77">
      <c r="A77" s="26">
        <f>IF('ESLESTIRME'!$A77="","",'ESLESTIRME'!$A77)</f>
        <v/>
      </c>
      <c r="B77" s="16">
        <f>IF($A77="","",IFERROR(INDEX(tblEslesme[Kova],MATCH($A77,tblEslesme[A_Norm],0)),""))</f>
        <v/>
      </c>
      <c r="C77" s="16">
        <f>IF($A77="","",IFERROR(INDEX(tblEslesme[AbsFark],MATCH($A77,tblEslesme[A_Norm],0)),0))</f>
        <v/>
      </c>
      <c r="D77" s="16">
        <f>IF($A77="","",IFERROR(INDEX(tblVeriA[Unvan],MATCH($A77,tblAnahtarA[Norm],0)),""))</f>
        <v/>
      </c>
      <c r="E77" s="16">
        <f>IF($A77="","",IFERROR(SUMIF(tblAnahtarB[NormB],$A77,tblVeriB[BelgeAdet]),0))</f>
        <v/>
      </c>
      <c r="F77" s="16">
        <f>IF($A77="","",IFERROR(INDEX(tblVeriB[FormTipi],MATCH($A77,tblAnahtarB[NormB],0)),""))</f>
        <v/>
      </c>
      <c r="G77" s="16">
        <f>IF($A77="","",IFERROR(INDEX(tblVeriA[Donem],MATCH($A77,tblAnahtarA[Norm],0)),""))</f>
        <v/>
      </c>
      <c r="H77" s="16">
        <f>IF(OR($A77="",$B77&lt;&gt;"tutar_farki"),"",IF($E77=0,"BELGE_EKSIK",IF($C77&lt;=toleransKurus*cbb_yuvarlamaCarpan,"YUVARLAMA",IF(AND($F77&lt;&gt;"Ba",$F77&lt;&gt;"Bs"),"TIP_KARISIK",IF($C77&gt;cbb_esikFark*cbb_donemCarpan,"DONEM",IF(LEN($D77)&lt;cbb_unvanMinLen,"UNVAN","TANIMSIZ"))))))</f>
        <v/>
      </c>
    </row>
    <row r="78">
      <c r="A78" s="26">
        <f>IF('ESLESTIRME'!$A78="","",'ESLESTIRME'!$A78)</f>
        <v/>
      </c>
      <c r="B78" s="16">
        <f>IF($A78="","",IFERROR(INDEX(tblEslesme[Kova],MATCH($A78,tblEslesme[A_Norm],0)),""))</f>
        <v/>
      </c>
      <c r="C78" s="16">
        <f>IF($A78="","",IFERROR(INDEX(tblEslesme[AbsFark],MATCH($A78,tblEslesme[A_Norm],0)),0))</f>
        <v/>
      </c>
      <c r="D78" s="16">
        <f>IF($A78="","",IFERROR(INDEX(tblVeriA[Unvan],MATCH($A78,tblAnahtarA[Norm],0)),""))</f>
        <v/>
      </c>
      <c r="E78" s="16">
        <f>IF($A78="","",IFERROR(SUMIF(tblAnahtarB[NormB],$A78,tblVeriB[BelgeAdet]),0))</f>
        <v/>
      </c>
      <c r="F78" s="16">
        <f>IF($A78="","",IFERROR(INDEX(tblVeriB[FormTipi],MATCH($A78,tblAnahtarB[NormB],0)),""))</f>
        <v/>
      </c>
      <c r="G78" s="16">
        <f>IF($A78="","",IFERROR(INDEX(tblVeriA[Donem],MATCH($A78,tblAnahtarA[Norm],0)),""))</f>
        <v/>
      </c>
      <c r="H78" s="16">
        <f>IF(OR($A78="",$B78&lt;&gt;"tutar_farki"),"",IF($E78=0,"BELGE_EKSIK",IF($C78&lt;=toleransKurus*cbb_yuvarlamaCarpan,"YUVARLAMA",IF(AND($F78&lt;&gt;"Ba",$F78&lt;&gt;"Bs"),"TIP_KARISIK",IF($C78&gt;cbb_esikFark*cbb_donemCarpan,"DONEM",IF(LEN($D78)&lt;cbb_unvanMinLen,"UNVAN","TANIMSIZ"))))))</f>
        <v/>
      </c>
    </row>
    <row r="79">
      <c r="A79" s="26">
        <f>IF('ESLESTIRME'!$A79="","",'ESLESTIRME'!$A79)</f>
        <v/>
      </c>
      <c r="B79" s="16">
        <f>IF($A79="","",IFERROR(INDEX(tblEslesme[Kova],MATCH($A79,tblEslesme[A_Norm],0)),""))</f>
        <v/>
      </c>
      <c r="C79" s="16">
        <f>IF($A79="","",IFERROR(INDEX(tblEslesme[AbsFark],MATCH($A79,tblEslesme[A_Norm],0)),0))</f>
        <v/>
      </c>
      <c r="D79" s="16">
        <f>IF($A79="","",IFERROR(INDEX(tblVeriA[Unvan],MATCH($A79,tblAnahtarA[Norm],0)),""))</f>
        <v/>
      </c>
      <c r="E79" s="16">
        <f>IF($A79="","",IFERROR(SUMIF(tblAnahtarB[NormB],$A79,tblVeriB[BelgeAdet]),0))</f>
        <v/>
      </c>
      <c r="F79" s="16">
        <f>IF($A79="","",IFERROR(INDEX(tblVeriB[FormTipi],MATCH($A79,tblAnahtarB[NormB],0)),""))</f>
        <v/>
      </c>
      <c r="G79" s="16">
        <f>IF($A79="","",IFERROR(INDEX(tblVeriA[Donem],MATCH($A79,tblAnahtarA[Norm],0)),""))</f>
        <v/>
      </c>
      <c r="H79" s="16">
        <f>IF(OR($A79="",$B79&lt;&gt;"tutar_farki"),"",IF($E79=0,"BELGE_EKSIK",IF($C79&lt;=toleransKurus*cbb_yuvarlamaCarpan,"YUVARLAMA",IF(AND($F79&lt;&gt;"Ba",$F79&lt;&gt;"Bs"),"TIP_KARISIK",IF($C79&gt;cbb_esikFark*cbb_donemCarpan,"DONEM",IF(LEN($D79)&lt;cbb_unvanMinLen,"UNVAN","TANIMSIZ"))))))</f>
        <v/>
      </c>
    </row>
    <row r="80">
      <c r="A80" s="26">
        <f>IF('ESLESTIRME'!$A80="","",'ESLESTIRME'!$A80)</f>
        <v/>
      </c>
      <c r="B80" s="16">
        <f>IF($A80="","",IFERROR(INDEX(tblEslesme[Kova],MATCH($A80,tblEslesme[A_Norm],0)),""))</f>
        <v/>
      </c>
      <c r="C80" s="16">
        <f>IF($A80="","",IFERROR(INDEX(tblEslesme[AbsFark],MATCH($A80,tblEslesme[A_Norm],0)),0))</f>
        <v/>
      </c>
      <c r="D80" s="16">
        <f>IF($A80="","",IFERROR(INDEX(tblVeriA[Unvan],MATCH($A80,tblAnahtarA[Norm],0)),""))</f>
        <v/>
      </c>
      <c r="E80" s="16">
        <f>IF($A80="","",IFERROR(SUMIF(tblAnahtarB[NormB],$A80,tblVeriB[BelgeAdet]),0))</f>
        <v/>
      </c>
      <c r="F80" s="16">
        <f>IF($A80="","",IFERROR(INDEX(tblVeriB[FormTipi],MATCH($A80,tblAnahtarB[NormB],0)),""))</f>
        <v/>
      </c>
      <c r="G80" s="16">
        <f>IF($A80="","",IFERROR(INDEX(tblVeriA[Donem],MATCH($A80,tblAnahtarA[Norm],0)),""))</f>
        <v/>
      </c>
      <c r="H80" s="16">
        <f>IF(OR($A80="",$B80&lt;&gt;"tutar_farki"),"",IF($E80=0,"BELGE_EKSIK",IF($C80&lt;=toleransKurus*cbb_yuvarlamaCarpan,"YUVARLAMA",IF(AND($F80&lt;&gt;"Ba",$F80&lt;&gt;"Bs"),"TIP_KARISIK",IF($C80&gt;cbb_esikFark*cbb_donemCarpan,"DONEM",IF(LEN($D80)&lt;cbb_unvanMinLen,"UNVAN","TANIMSIZ"))))))</f>
        <v/>
      </c>
    </row>
    <row r="81">
      <c r="A81" s="26">
        <f>IF('ESLESTIRME'!$A81="","",'ESLESTIRME'!$A81)</f>
        <v/>
      </c>
      <c r="B81" s="16">
        <f>IF($A81="","",IFERROR(INDEX(tblEslesme[Kova],MATCH($A81,tblEslesme[A_Norm],0)),""))</f>
        <v/>
      </c>
      <c r="C81" s="16">
        <f>IF($A81="","",IFERROR(INDEX(tblEslesme[AbsFark],MATCH($A81,tblEslesme[A_Norm],0)),0))</f>
        <v/>
      </c>
      <c r="D81" s="16">
        <f>IF($A81="","",IFERROR(INDEX(tblVeriA[Unvan],MATCH($A81,tblAnahtarA[Norm],0)),""))</f>
        <v/>
      </c>
      <c r="E81" s="16">
        <f>IF($A81="","",IFERROR(SUMIF(tblAnahtarB[NormB],$A81,tblVeriB[BelgeAdet]),0))</f>
        <v/>
      </c>
      <c r="F81" s="16">
        <f>IF($A81="","",IFERROR(INDEX(tblVeriB[FormTipi],MATCH($A81,tblAnahtarB[NormB],0)),""))</f>
        <v/>
      </c>
      <c r="G81" s="16">
        <f>IF($A81="","",IFERROR(INDEX(tblVeriA[Donem],MATCH($A81,tblAnahtarA[Norm],0)),""))</f>
        <v/>
      </c>
      <c r="H81" s="16">
        <f>IF(OR($A81="",$B81&lt;&gt;"tutar_farki"),"",IF($E81=0,"BELGE_EKSIK",IF($C81&lt;=toleransKurus*cbb_yuvarlamaCarpan,"YUVARLAMA",IF(AND($F81&lt;&gt;"Ba",$F81&lt;&gt;"Bs"),"TIP_KARISIK",IF($C81&gt;cbb_esikFark*cbb_donemCarpan,"DONEM",IF(LEN($D81)&lt;cbb_unvanMinLen,"UNVAN","TANIMSIZ"))))))</f>
        <v/>
      </c>
    </row>
    <row r="82">
      <c r="A82" s="26">
        <f>IF('ESLESTIRME'!$A82="","",'ESLESTIRME'!$A82)</f>
        <v/>
      </c>
      <c r="B82" s="16">
        <f>IF($A82="","",IFERROR(INDEX(tblEslesme[Kova],MATCH($A82,tblEslesme[A_Norm],0)),""))</f>
        <v/>
      </c>
      <c r="C82" s="16">
        <f>IF($A82="","",IFERROR(INDEX(tblEslesme[AbsFark],MATCH($A82,tblEslesme[A_Norm],0)),0))</f>
        <v/>
      </c>
      <c r="D82" s="16">
        <f>IF($A82="","",IFERROR(INDEX(tblVeriA[Unvan],MATCH($A82,tblAnahtarA[Norm],0)),""))</f>
        <v/>
      </c>
      <c r="E82" s="16">
        <f>IF($A82="","",IFERROR(SUMIF(tblAnahtarB[NormB],$A82,tblVeriB[BelgeAdet]),0))</f>
        <v/>
      </c>
      <c r="F82" s="16">
        <f>IF($A82="","",IFERROR(INDEX(tblVeriB[FormTipi],MATCH($A82,tblAnahtarB[NormB],0)),""))</f>
        <v/>
      </c>
      <c r="G82" s="16">
        <f>IF($A82="","",IFERROR(INDEX(tblVeriA[Donem],MATCH($A82,tblAnahtarA[Norm],0)),""))</f>
        <v/>
      </c>
      <c r="H82" s="16">
        <f>IF(OR($A82="",$B82&lt;&gt;"tutar_farki"),"",IF($E82=0,"BELGE_EKSIK",IF($C82&lt;=toleransKurus*cbb_yuvarlamaCarpan,"YUVARLAMA",IF(AND($F82&lt;&gt;"Ba",$F82&lt;&gt;"Bs"),"TIP_KARISIK",IF($C82&gt;cbb_esikFark*cbb_donemCarpan,"DONEM",IF(LEN($D82)&lt;cbb_unvanMinLen,"UNVAN","TANIMSIZ"))))))</f>
        <v/>
      </c>
    </row>
    <row r="83">
      <c r="A83" s="26">
        <f>IF('ESLESTIRME'!$A83="","",'ESLESTIRME'!$A83)</f>
        <v/>
      </c>
      <c r="B83" s="16">
        <f>IF($A83="","",IFERROR(INDEX(tblEslesme[Kova],MATCH($A83,tblEslesme[A_Norm],0)),""))</f>
        <v/>
      </c>
      <c r="C83" s="16">
        <f>IF($A83="","",IFERROR(INDEX(tblEslesme[AbsFark],MATCH($A83,tblEslesme[A_Norm],0)),0))</f>
        <v/>
      </c>
      <c r="D83" s="16">
        <f>IF($A83="","",IFERROR(INDEX(tblVeriA[Unvan],MATCH($A83,tblAnahtarA[Norm],0)),""))</f>
        <v/>
      </c>
      <c r="E83" s="16">
        <f>IF($A83="","",IFERROR(SUMIF(tblAnahtarB[NormB],$A83,tblVeriB[BelgeAdet]),0))</f>
        <v/>
      </c>
      <c r="F83" s="16">
        <f>IF($A83="","",IFERROR(INDEX(tblVeriB[FormTipi],MATCH($A83,tblAnahtarB[NormB],0)),""))</f>
        <v/>
      </c>
      <c r="G83" s="16">
        <f>IF($A83="","",IFERROR(INDEX(tblVeriA[Donem],MATCH($A83,tblAnahtarA[Norm],0)),""))</f>
        <v/>
      </c>
      <c r="H83" s="16">
        <f>IF(OR($A83="",$B83&lt;&gt;"tutar_farki"),"",IF($E83=0,"BELGE_EKSIK",IF($C83&lt;=toleransKurus*cbb_yuvarlamaCarpan,"YUVARLAMA",IF(AND($F83&lt;&gt;"Ba",$F83&lt;&gt;"Bs"),"TIP_KARISIK",IF($C83&gt;cbb_esikFark*cbb_donemCarpan,"DONEM",IF(LEN($D83)&lt;cbb_unvanMinLen,"UNVAN","TANIMSIZ"))))))</f>
        <v/>
      </c>
    </row>
    <row r="84">
      <c r="A84" s="26">
        <f>IF('ESLESTIRME'!$A84="","",'ESLESTIRME'!$A84)</f>
        <v/>
      </c>
      <c r="B84" s="16">
        <f>IF($A84="","",IFERROR(INDEX(tblEslesme[Kova],MATCH($A84,tblEslesme[A_Norm],0)),""))</f>
        <v/>
      </c>
      <c r="C84" s="16">
        <f>IF($A84="","",IFERROR(INDEX(tblEslesme[AbsFark],MATCH($A84,tblEslesme[A_Norm],0)),0))</f>
        <v/>
      </c>
      <c r="D84" s="16">
        <f>IF($A84="","",IFERROR(INDEX(tblVeriA[Unvan],MATCH($A84,tblAnahtarA[Norm],0)),""))</f>
        <v/>
      </c>
      <c r="E84" s="16">
        <f>IF($A84="","",IFERROR(SUMIF(tblAnahtarB[NormB],$A84,tblVeriB[BelgeAdet]),0))</f>
        <v/>
      </c>
      <c r="F84" s="16">
        <f>IF($A84="","",IFERROR(INDEX(tblVeriB[FormTipi],MATCH($A84,tblAnahtarB[NormB],0)),""))</f>
        <v/>
      </c>
      <c r="G84" s="16">
        <f>IF($A84="","",IFERROR(INDEX(tblVeriA[Donem],MATCH($A84,tblAnahtarA[Norm],0)),""))</f>
        <v/>
      </c>
      <c r="H84" s="16">
        <f>IF(OR($A84="",$B84&lt;&gt;"tutar_farki"),"",IF($E84=0,"BELGE_EKSIK",IF($C84&lt;=toleransKurus*cbb_yuvarlamaCarpan,"YUVARLAMA",IF(AND($F84&lt;&gt;"Ba",$F84&lt;&gt;"Bs"),"TIP_KARISIK",IF($C84&gt;cbb_esikFark*cbb_donemCarpan,"DONEM",IF(LEN($D84)&lt;cbb_unvanMinLen,"UNVAN","TANIMSIZ"))))))</f>
        <v/>
      </c>
    </row>
    <row r="85">
      <c r="A85" s="26">
        <f>IF('ESLESTIRME'!$A85="","",'ESLESTIRME'!$A85)</f>
        <v/>
      </c>
      <c r="B85" s="16">
        <f>IF($A85="","",IFERROR(INDEX(tblEslesme[Kova],MATCH($A85,tblEslesme[A_Norm],0)),""))</f>
        <v/>
      </c>
      <c r="C85" s="16">
        <f>IF($A85="","",IFERROR(INDEX(tblEslesme[AbsFark],MATCH($A85,tblEslesme[A_Norm],0)),0))</f>
        <v/>
      </c>
      <c r="D85" s="16">
        <f>IF($A85="","",IFERROR(INDEX(tblVeriA[Unvan],MATCH($A85,tblAnahtarA[Norm],0)),""))</f>
        <v/>
      </c>
      <c r="E85" s="16">
        <f>IF($A85="","",IFERROR(SUMIF(tblAnahtarB[NormB],$A85,tblVeriB[BelgeAdet]),0))</f>
        <v/>
      </c>
      <c r="F85" s="16">
        <f>IF($A85="","",IFERROR(INDEX(tblVeriB[FormTipi],MATCH($A85,tblAnahtarB[NormB],0)),""))</f>
        <v/>
      </c>
      <c r="G85" s="16">
        <f>IF($A85="","",IFERROR(INDEX(tblVeriA[Donem],MATCH($A85,tblAnahtarA[Norm],0)),""))</f>
        <v/>
      </c>
      <c r="H85" s="16">
        <f>IF(OR($A85="",$B85&lt;&gt;"tutar_farki"),"",IF($E85=0,"BELGE_EKSIK",IF($C85&lt;=toleransKurus*cbb_yuvarlamaCarpan,"YUVARLAMA",IF(AND($F85&lt;&gt;"Ba",$F85&lt;&gt;"Bs"),"TIP_KARISIK",IF($C85&gt;cbb_esikFark*cbb_donemCarpan,"DONEM",IF(LEN($D85)&lt;cbb_unvanMinLen,"UNVAN","TANIMSIZ"))))))</f>
        <v/>
      </c>
    </row>
    <row r="86">
      <c r="A86" s="26">
        <f>IF('ESLESTIRME'!$A86="","",'ESLESTIRME'!$A86)</f>
        <v/>
      </c>
      <c r="B86" s="16">
        <f>IF($A86="","",IFERROR(INDEX(tblEslesme[Kova],MATCH($A86,tblEslesme[A_Norm],0)),""))</f>
        <v/>
      </c>
      <c r="C86" s="16">
        <f>IF($A86="","",IFERROR(INDEX(tblEslesme[AbsFark],MATCH($A86,tblEslesme[A_Norm],0)),0))</f>
        <v/>
      </c>
      <c r="D86" s="16">
        <f>IF($A86="","",IFERROR(INDEX(tblVeriA[Unvan],MATCH($A86,tblAnahtarA[Norm],0)),""))</f>
        <v/>
      </c>
      <c r="E86" s="16">
        <f>IF($A86="","",IFERROR(SUMIF(tblAnahtarB[NormB],$A86,tblVeriB[BelgeAdet]),0))</f>
        <v/>
      </c>
      <c r="F86" s="16">
        <f>IF($A86="","",IFERROR(INDEX(tblVeriB[FormTipi],MATCH($A86,tblAnahtarB[NormB],0)),""))</f>
        <v/>
      </c>
      <c r="G86" s="16">
        <f>IF($A86="","",IFERROR(INDEX(tblVeriA[Donem],MATCH($A86,tblAnahtarA[Norm],0)),""))</f>
        <v/>
      </c>
      <c r="H86" s="16">
        <f>IF(OR($A86="",$B86&lt;&gt;"tutar_farki"),"",IF($E86=0,"BELGE_EKSIK",IF($C86&lt;=toleransKurus*cbb_yuvarlamaCarpan,"YUVARLAMA",IF(AND($F86&lt;&gt;"Ba",$F86&lt;&gt;"Bs"),"TIP_KARISIK",IF($C86&gt;cbb_esikFark*cbb_donemCarpan,"DONEM",IF(LEN($D86)&lt;cbb_unvanMinLen,"UNVAN","TANIMSIZ"))))))</f>
        <v/>
      </c>
    </row>
    <row r="87">
      <c r="A87" s="26">
        <f>IF('ESLESTIRME'!$A87="","",'ESLESTIRME'!$A87)</f>
        <v/>
      </c>
      <c r="B87" s="16">
        <f>IF($A87="","",IFERROR(INDEX(tblEslesme[Kova],MATCH($A87,tblEslesme[A_Norm],0)),""))</f>
        <v/>
      </c>
      <c r="C87" s="16">
        <f>IF($A87="","",IFERROR(INDEX(tblEslesme[AbsFark],MATCH($A87,tblEslesme[A_Norm],0)),0))</f>
        <v/>
      </c>
      <c r="D87" s="16">
        <f>IF($A87="","",IFERROR(INDEX(tblVeriA[Unvan],MATCH($A87,tblAnahtarA[Norm],0)),""))</f>
        <v/>
      </c>
      <c r="E87" s="16">
        <f>IF($A87="","",IFERROR(SUMIF(tblAnahtarB[NormB],$A87,tblVeriB[BelgeAdet]),0))</f>
        <v/>
      </c>
      <c r="F87" s="16">
        <f>IF($A87="","",IFERROR(INDEX(tblVeriB[FormTipi],MATCH($A87,tblAnahtarB[NormB],0)),""))</f>
        <v/>
      </c>
      <c r="G87" s="16">
        <f>IF($A87="","",IFERROR(INDEX(tblVeriA[Donem],MATCH($A87,tblAnahtarA[Norm],0)),""))</f>
        <v/>
      </c>
      <c r="H87" s="16">
        <f>IF(OR($A87="",$B87&lt;&gt;"tutar_farki"),"",IF($E87=0,"BELGE_EKSIK",IF($C87&lt;=toleransKurus*cbb_yuvarlamaCarpan,"YUVARLAMA",IF(AND($F87&lt;&gt;"Ba",$F87&lt;&gt;"Bs"),"TIP_KARISIK",IF($C87&gt;cbb_esikFark*cbb_donemCarpan,"DONEM",IF(LEN($D87)&lt;cbb_unvanMinLen,"UNVAN","TANIMSIZ"))))))</f>
        <v/>
      </c>
    </row>
    <row r="88">
      <c r="A88" s="26">
        <f>IF('ESLESTIRME'!$A88="","",'ESLESTIRME'!$A88)</f>
        <v/>
      </c>
      <c r="B88" s="16">
        <f>IF($A88="","",IFERROR(INDEX(tblEslesme[Kova],MATCH($A88,tblEslesme[A_Norm],0)),""))</f>
        <v/>
      </c>
      <c r="C88" s="16">
        <f>IF($A88="","",IFERROR(INDEX(tblEslesme[AbsFark],MATCH($A88,tblEslesme[A_Norm],0)),0))</f>
        <v/>
      </c>
      <c r="D88" s="16">
        <f>IF($A88="","",IFERROR(INDEX(tblVeriA[Unvan],MATCH($A88,tblAnahtarA[Norm],0)),""))</f>
        <v/>
      </c>
      <c r="E88" s="16">
        <f>IF($A88="","",IFERROR(SUMIF(tblAnahtarB[NormB],$A88,tblVeriB[BelgeAdet]),0))</f>
        <v/>
      </c>
      <c r="F88" s="16">
        <f>IF($A88="","",IFERROR(INDEX(tblVeriB[FormTipi],MATCH($A88,tblAnahtarB[NormB],0)),""))</f>
        <v/>
      </c>
      <c r="G88" s="16">
        <f>IF($A88="","",IFERROR(INDEX(tblVeriA[Donem],MATCH($A88,tblAnahtarA[Norm],0)),""))</f>
        <v/>
      </c>
      <c r="H88" s="16">
        <f>IF(OR($A88="",$B88&lt;&gt;"tutar_farki"),"",IF($E88=0,"BELGE_EKSIK",IF($C88&lt;=toleransKurus*cbb_yuvarlamaCarpan,"YUVARLAMA",IF(AND($F88&lt;&gt;"Ba",$F88&lt;&gt;"Bs"),"TIP_KARISIK",IF($C88&gt;cbb_esikFark*cbb_donemCarpan,"DONEM",IF(LEN($D88)&lt;cbb_unvanMinLen,"UNVAN","TANIMSIZ"))))))</f>
        <v/>
      </c>
    </row>
    <row r="89">
      <c r="A89" s="26">
        <f>IF('ESLESTIRME'!$A89="","",'ESLESTIRME'!$A89)</f>
        <v/>
      </c>
      <c r="B89" s="16">
        <f>IF($A89="","",IFERROR(INDEX(tblEslesme[Kova],MATCH($A89,tblEslesme[A_Norm],0)),""))</f>
        <v/>
      </c>
      <c r="C89" s="16">
        <f>IF($A89="","",IFERROR(INDEX(tblEslesme[AbsFark],MATCH($A89,tblEslesme[A_Norm],0)),0))</f>
        <v/>
      </c>
      <c r="D89" s="16">
        <f>IF($A89="","",IFERROR(INDEX(tblVeriA[Unvan],MATCH($A89,tblAnahtarA[Norm],0)),""))</f>
        <v/>
      </c>
      <c r="E89" s="16">
        <f>IF($A89="","",IFERROR(SUMIF(tblAnahtarB[NormB],$A89,tblVeriB[BelgeAdet]),0))</f>
        <v/>
      </c>
      <c r="F89" s="16">
        <f>IF($A89="","",IFERROR(INDEX(tblVeriB[FormTipi],MATCH($A89,tblAnahtarB[NormB],0)),""))</f>
        <v/>
      </c>
      <c r="G89" s="16">
        <f>IF($A89="","",IFERROR(INDEX(tblVeriA[Donem],MATCH($A89,tblAnahtarA[Norm],0)),""))</f>
        <v/>
      </c>
      <c r="H89" s="16">
        <f>IF(OR($A89="",$B89&lt;&gt;"tutar_farki"),"",IF($E89=0,"BELGE_EKSIK",IF($C89&lt;=toleransKurus*cbb_yuvarlamaCarpan,"YUVARLAMA",IF(AND($F89&lt;&gt;"Ba",$F89&lt;&gt;"Bs"),"TIP_KARISIK",IF($C89&gt;cbb_esikFark*cbb_donemCarpan,"DONEM",IF(LEN($D89)&lt;cbb_unvanMinLen,"UNVAN","TANIMSIZ"))))))</f>
        <v/>
      </c>
    </row>
    <row r="90">
      <c r="A90" s="26">
        <f>IF('ESLESTIRME'!$A90="","",'ESLESTIRME'!$A90)</f>
        <v/>
      </c>
      <c r="B90" s="16">
        <f>IF($A90="","",IFERROR(INDEX(tblEslesme[Kova],MATCH($A90,tblEslesme[A_Norm],0)),""))</f>
        <v/>
      </c>
      <c r="C90" s="16">
        <f>IF($A90="","",IFERROR(INDEX(tblEslesme[AbsFark],MATCH($A90,tblEslesme[A_Norm],0)),0))</f>
        <v/>
      </c>
      <c r="D90" s="16">
        <f>IF($A90="","",IFERROR(INDEX(tblVeriA[Unvan],MATCH($A90,tblAnahtarA[Norm],0)),""))</f>
        <v/>
      </c>
      <c r="E90" s="16">
        <f>IF($A90="","",IFERROR(SUMIF(tblAnahtarB[NormB],$A90,tblVeriB[BelgeAdet]),0))</f>
        <v/>
      </c>
      <c r="F90" s="16">
        <f>IF($A90="","",IFERROR(INDEX(tblVeriB[FormTipi],MATCH($A90,tblAnahtarB[NormB],0)),""))</f>
        <v/>
      </c>
      <c r="G90" s="16">
        <f>IF($A90="","",IFERROR(INDEX(tblVeriA[Donem],MATCH($A90,tblAnahtarA[Norm],0)),""))</f>
        <v/>
      </c>
      <c r="H90" s="16">
        <f>IF(OR($A90="",$B90&lt;&gt;"tutar_farki"),"",IF($E90=0,"BELGE_EKSIK",IF($C90&lt;=toleransKurus*cbb_yuvarlamaCarpan,"YUVARLAMA",IF(AND($F90&lt;&gt;"Ba",$F90&lt;&gt;"Bs"),"TIP_KARISIK",IF($C90&gt;cbb_esikFark*cbb_donemCarpan,"DONEM",IF(LEN($D90)&lt;cbb_unvanMinLen,"UNVAN","TANIMSIZ"))))))</f>
        <v/>
      </c>
    </row>
    <row r="91">
      <c r="A91" s="26">
        <f>IF('ESLESTIRME'!$A91="","",'ESLESTIRME'!$A91)</f>
        <v/>
      </c>
      <c r="B91" s="16">
        <f>IF($A91="","",IFERROR(INDEX(tblEslesme[Kova],MATCH($A91,tblEslesme[A_Norm],0)),""))</f>
        <v/>
      </c>
      <c r="C91" s="16">
        <f>IF($A91="","",IFERROR(INDEX(tblEslesme[AbsFark],MATCH($A91,tblEslesme[A_Norm],0)),0))</f>
        <v/>
      </c>
      <c r="D91" s="16">
        <f>IF($A91="","",IFERROR(INDEX(tblVeriA[Unvan],MATCH($A91,tblAnahtarA[Norm],0)),""))</f>
        <v/>
      </c>
      <c r="E91" s="16">
        <f>IF($A91="","",IFERROR(SUMIF(tblAnahtarB[NormB],$A91,tblVeriB[BelgeAdet]),0))</f>
        <v/>
      </c>
      <c r="F91" s="16">
        <f>IF($A91="","",IFERROR(INDEX(tblVeriB[FormTipi],MATCH($A91,tblAnahtarB[NormB],0)),""))</f>
        <v/>
      </c>
      <c r="G91" s="16">
        <f>IF($A91="","",IFERROR(INDEX(tblVeriA[Donem],MATCH($A91,tblAnahtarA[Norm],0)),""))</f>
        <v/>
      </c>
      <c r="H91" s="16">
        <f>IF(OR($A91="",$B91&lt;&gt;"tutar_farki"),"",IF($E91=0,"BELGE_EKSIK",IF($C91&lt;=toleransKurus*cbb_yuvarlamaCarpan,"YUVARLAMA",IF(AND($F91&lt;&gt;"Ba",$F91&lt;&gt;"Bs"),"TIP_KARISIK",IF($C91&gt;cbb_esikFark*cbb_donemCarpan,"DONEM",IF(LEN($D91)&lt;cbb_unvanMinLen,"UNVAN","TANIMSIZ"))))))</f>
        <v/>
      </c>
    </row>
    <row r="92">
      <c r="A92" s="26">
        <f>IF('ESLESTIRME'!$A92="","",'ESLESTIRME'!$A92)</f>
        <v/>
      </c>
      <c r="B92" s="16">
        <f>IF($A92="","",IFERROR(INDEX(tblEslesme[Kova],MATCH($A92,tblEslesme[A_Norm],0)),""))</f>
        <v/>
      </c>
      <c r="C92" s="16">
        <f>IF($A92="","",IFERROR(INDEX(tblEslesme[AbsFark],MATCH($A92,tblEslesme[A_Norm],0)),0))</f>
        <v/>
      </c>
      <c r="D92" s="16">
        <f>IF($A92="","",IFERROR(INDEX(tblVeriA[Unvan],MATCH($A92,tblAnahtarA[Norm],0)),""))</f>
        <v/>
      </c>
      <c r="E92" s="16">
        <f>IF($A92="","",IFERROR(SUMIF(tblAnahtarB[NormB],$A92,tblVeriB[BelgeAdet]),0))</f>
        <v/>
      </c>
      <c r="F92" s="16">
        <f>IF($A92="","",IFERROR(INDEX(tblVeriB[FormTipi],MATCH($A92,tblAnahtarB[NormB],0)),""))</f>
        <v/>
      </c>
      <c r="G92" s="16">
        <f>IF($A92="","",IFERROR(INDEX(tblVeriA[Donem],MATCH($A92,tblAnahtarA[Norm],0)),""))</f>
        <v/>
      </c>
      <c r="H92" s="16">
        <f>IF(OR($A92="",$B92&lt;&gt;"tutar_farki"),"",IF($E92=0,"BELGE_EKSIK",IF($C92&lt;=toleransKurus*cbb_yuvarlamaCarpan,"YUVARLAMA",IF(AND($F92&lt;&gt;"Ba",$F92&lt;&gt;"Bs"),"TIP_KARISIK",IF($C92&gt;cbb_esikFark*cbb_donemCarpan,"DONEM",IF(LEN($D92)&lt;cbb_unvanMinLen,"UNVAN","TANIMSIZ"))))))</f>
        <v/>
      </c>
    </row>
    <row r="93">
      <c r="A93" s="26">
        <f>IF('ESLESTIRME'!$A93="","",'ESLESTIRME'!$A93)</f>
        <v/>
      </c>
      <c r="B93" s="16">
        <f>IF($A93="","",IFERROR(INDEX(tblEslesme[Kova],MATCH($A93,tblEslesme[A_Norm],0)),""))</f>
        <v/>
      </c>
      <c r="C93" s="16">
        <f>IF($A93="","",IFERROR(INDEX(tblEslesme[AbsFark],MATCH($A93,tblEslesme[A_Norm],0)),0))</f>
        <v/>
      </c>
      <c r="D93" s="16">
        <f>IF($A93="","",IFERROR(INDEX(tblVeriA[Unvan],MATCH($A93,tblAnahtarA[Norm],0)),""))</f>
        <v/>
      </c>
      <c r="E93" s="16">
        <f>IF($A93="","",IFERROR(SUMIF(tblAnahtarB[NormB],$A93,tblVeriB[BelgeAdet]),0))</f>
        <v/>
      </c>
      <c r="F93" s="16">
        <f>IF($A93="","",IFERROR(INDEX(tblVeriB[FormTipi],MATCH($A93,tblAnahtarB[NormB],0)),""))</f>
        <v/>
      </c>
      <c r="G93" s="16">
        <f>IF($A93="","",IFERROR(INDEX(tblVeriA[Donem],MATCH($A93,tblAnahtarA[Norm],0)),""))</f>
        <v/>
      </c>
      <c r="H93" s="16">
        <f>IF(OR($A93="",$B93&lt;&gt;"tutar_farki"),"",IF($E93=0,"BELGE_EKSIK",IF($C93&lt;=toleransKurus*cbb_yuvarlamaCarpan,"YUVARLAMA",IF(AND($F93&lt;&gt;"Ba",$F93&lt;&gt;"Bs"),"TIP_KARISIK",IF($C93&gt;cbb_esikFark*cbb_donemCarpan,"DONEM",IF(LEN($D93)&lt;cbb_unvanMinLen,"UNVAN","TANIMSIZ"))))))</f>
        <v/>
      </c>
    </row>
    <row r="94">
      <c r="A94" s="26">
        <f>IF('ESLESTIRME'!$A94="","",'ESLESTIRME'!$A94)</f>
        <v/>
      </c>
      <c r="B94" s="16">
        <f>IF($A94="","",IFERROR(INDEX(tblEslesme[Kova],MATCH($A94,tblEslesme[A_Norm],0)),""))</f>
        <v/>
      </c>
      <c r="C94" s="16">
        <f>IF($A94="","",IFERROR(INDEX(tblEslesme[AbsFark],MATCH($A94,tblEslesme[A_Norm],0)),0))</f>
        <v/>
      </c>
      <c r="D94" s="16">
        <f>IF($A94="","",IFERROR(INDEX(tblVeriA[Unvan],MATCH($A94,tblAnahtarA[Norm],0)),""))</f>
        <v/>
      </c>
      <c r="E94" s="16">
        <f>IF($A94="","",IFERROR(SUMIF(tblAnahtarB[NormB],$A94,tblVeriB[BelgeAdet]),0))</f>
        <v/>
      </c>
      <c r="F94" s="16">
        <f>IF($A94="","",IFERROR(INDEX(tblVeriB[FormTipi],MATCH($A94,tblAnahtarB[NormB],0)),""))</f>
        <v/>
      </c>
      <c r="G94" s="16">
        <f>IF($A94="","",IFERROR(INDEX(tblVeriA[Donem],MATCH($A94,tblAnahtarA[Norm],0)),""))</f>
        <v/>
      </c>
      <c r="H94" s="16">
        <f>IF(OR($A94="",$B94&lt;&gt;"tutar_farki"),"",IF($E94=0,"BELGE_EKSIK",IF($C94&lt;=toleransKurus*cbb_yuvarlamaCarpan,"YUVARLAMA",IF(AND($F94&lt;&gt;"Ba",$F94&lt;&gt;"Bs"),"TIP_KARISIK",IF($C94&gt;cbb_esikFark*cbb_donemCarpan,"DONEM",IF(LEN($D94)&lt;cbb_unvanMinLen,"UNVAN","TANIMSIZ"))))))</f>
        <v/>
      </c>
    </row>
    <row r="95">
      <c r="A95" s="26">
        <f>IF('ESLESTIRME'!$A95="","",'ESLESTIRME'!$A95)</f>
        <v/>
      </c>
      <c r="B95" s="16">
        <f>IF($A95="","",IFERROR(INDEX(tblEslesme[Kova],MATCH($A95,tblEslesme[A_Norm],0)),""))</f>
        <v/>
      </c>
      <c r="C95" s="16">
        <f>IF($A95="","",IFERROR(INDEX(tblEslesme[AbsFark],MATCH($A95,tblEslesme[A_Norm],0)),0))</f>
        <v/>
      </c>
      <c r="D95" s="16">
        <f>IF($A95="","",IFERROR(INDEX(tblVeriA[Unvan],MATCH($A95,tblAnahtarA[Norm],0)),""))</f>
        <v/>
      </c>
      <c r="E95" s="16">
        <f>IF($A95="","",IFERROR(SUMIF(tblAnahtarB[NormB],$A95,tblVeriB[BelgeAdet]),0))</f>
        <v/>
      </c>
      <c r="F95" s="16">
        <f>IF($A95="","",IFERROR(INDEX(tblVeriB[FormTipi],MATCH($A95,tblAnahtarB[NormB],0)),""))</f>
        <v/>
      </c>
      <c r="G95" s="16">
        <f>IF($A95="","",IFERROR(INDEX(tblVeriA[Donem],MATCH($A95,tblAnahtarA[Norm],0)),""))</f>
        <v/>
      </c>
      <c r="H95" s="16">
        <f>IF(OR($A95="",$B95&lt;&gt;"tutar_farki"),"",IF($E95=0,"BELGE_EKSIK",IF($C95&lt;=toleransKurus*cbb_yuvarlamaCarpan,"YUVARLAMA",IF(AND($F95&lt;&gt;"Ba",$F95&lt;&gt;"Bs"),"TIP_KARISIK",IF($C95&gt;cbb_esikFark*cbb_donemCarpan,"DONEM",IF(LEN($D95)&lt;cbb_unvanMinLen,"UNVAN","TANIMSIZ"))))))</f>
        <v/>
      </c>
    </row>
    <row r="96">
      <c r="A96" s="26">
        <f>IF('ESLESTIRME'!$A96="","",'ESLESTIRME'!$A96)</f>
        <v/>
      </c>
      <c r="B96" s="16">
        <f>IF($A96="","",IFERROR(INDEX(tblEslesme[Kova],MATCH($A96,tblEslesme[A_Norm],0)),""))</f>
        <v/>
      </c>
      <c r="C96" s="16">
        <f>IF($A96="","",IFERROR(INDEX(tblEslesme[AbsFark],MATCH($A96,tblEslesme[A_Norm],0)),0))</f>
        <v/>
      </c>
      <c r="D96" s="16">
        <f>IF($A96="","",IFERROR(INDEX(tblVeriA[Unvan],MATCH($A96,tblAnahtarA[Norm],0)),""))</f>
        <v/>
      </c>
      <c r="E96" s="16">
        <f>IF($A96="","",IFERROR(SUMIF(tblAnahtarB[NormB],$A96,tblVeriB[BelgeAdet]),0))</f>
        <v/>
      </c>
      <c r="F96" s="16">
        <f>IF($A96="","",IFERROR(INDEX(tblVeriB[FormTipi],MATCH($A96,tblAnahtarB[NormB],0)),""))</f>
        <v/>
      </c>
      <c r="G96" s="16">
        <f>IF($A96="","",IFERROR(INDEX(tblVeriA[Donem],MATCH($A96,tblAnahtarA[Norm],0)),""))</f>
        <v/>
      </c>
      <c r="H96" s="16">
        <f>IF(OR($A96="",$B96&lt;&gt;"tutar_farki"),"",IF($E96=0,"BELGE_EKSIK",IF($C96&lt;=toleransKurus*cbb_yuvarlamaCarpan,"YUVARLAMA",IF(AND($F96&lt;&gt;"Ba",$F96&lt;&gt;"Bs"),"TIP_KARISIK",IF($C96&gt;cbb_esikFark*cbb_donemCarpan,"DONEM",IF(LEN($D96)&lt;cbb_unvanMinLen,"UNVAN","TANIMSIZ"))))))</f>
        <v/>
      </c>
    </row>
    <row r="97">
      <c r="A97" s="26">
        <f>IF('ESLESTIRME'!$A97="","",'ESLESTIRME'!$A97)</f>
        <v/>
      </c>
      <c r="B97" s="16">
        <f>IF($A97="","",IFERROR(INDEX(tblEslesme[Kova],MATCH($A97,tblEslesme[A_Norm],0)),""))</f>
        <v/>
      </c>
      <c r="C97" s="16">
        <f>IF($A97="","",IFERROR(INDEX(tblEslesme[AbsFark],MATCH($A97,tblEslesme[A_Norm],0)),0))</f>
        <v/>
      </c>
      <c r="D97" s="16">
        <f>IF($A97="","",IFERROR(INDEX(tblVeriA[Unvan],MATCH($A97,tblAnahtarA[Norm],0)),""))</f>
        <v/>
      </c>
      <c r="E97" s="16">
        <f>IF($A97="","",IFERROR(SUMIF(tblAnahtarB[NormB],$A97,tblVeriB[BelgeAdet]),0))</f>
        <v/>
      </c>
      <c r="F97" s="16">
        <f>IF($A97="","",IFERROR(INDEX(tblVeriB[FormTipi],MATCH($A97,tblAnahtarB[NormB],0)),""))</f>
        <v/>
      </c>
      <c r="G97" s="16">
        <f>IF($A97="","",IFERROR(INDEX(tblVeriA[Donem],MATCH($A97,tblAnahtarA[Norm],0)),""))</f>
        <v/>
      </c>
      <c r="H97" s="16">
        <f>IF(OR($A97="",$B97&lt;&gt;"tutar_farki"),"",IF($E97=0,"BELGE_EKSIK",IF($C97&lt;=toleransKurus*cbb_yuvarlamaCarpan,"YUVARLAMA",IF(AND($F97&lt;&gt;"Ba",$F97&lt;&gt;"Bs"),"TIP_KARISIK",IF($C97&gt;cbb_esikFark*cbb_donemCarpan,"DONEM",IF(LEN($D97)&lt;cbb_unvanMinLen,"UNVAN","TANIMSIZ"))))))</f>
        <v/>
      </c>
    </row>
    <row r="98">
      <c r="A98" s="26">
        <f>IF('ESLESTIRME'!$A98="","",'ESLESTIRME'!$A98)</f>
        <v/>
      </c>
      <c r="B98" s="16">
        <f>IF($A98="","",IFERROR(INDEX(tblEslesme[Kova],MATCH($A98,tblEslesme[A_Norm],0)),""))</f>
        <v/>
      </c>
      <c r="C98" s="16">
        <f>IF($A98="","",IFERROR(INDEX(tblEslesme[AbsFark],MATCH($A98,tblEslesme[A_Norm],0)),0))</f>
        <v/>
      </c>
      <c r="D98" s="16">
        <f>IF($A98="","",IFERROR(INDEX(tblVeriA[Unvan],MATCH($A98,tblAnahtarA[Norm],0)),""))</f>
        <v/>
      </c>
      <c r="E98" s="16">
        <f>IF($A98="","",IFERROR(SUMIF(tblAnahtarB[NormB],$A98,tblVeriB[BelgeAdet]),0))</f>
        <v/>
      </c>
      <c r="F98" s="16">
        <f>IF($A98="","",IFERROR(INDEX(tblVeriB[FormTipi],MATCH($A98,tblAnahtarB[NormB],0)),""))</f>
        <v/>
      </c>
      <c r="G98" s="16">
        <f>IF($A98="","",IFERROR(INDEX(tblVeriA[Donem],MATCH($A98,tblAnahtarA[Norm],0)),""))</f>
        <v/>
      </c>
      <c r="H98" s="16">
        <f>IF(OR($A98="",$B98&lt;&gt;"tutar_farki"),"",IF($E98=0,"BELGE_EKSIK",IF($C98&lt;=toleransKurus*cbb_yuvarlamaCarpan,"YUVARLAMA",IF(AND($F98&lt;&gt;"Ba",$F98&lt;&gt;"Bs"),"TIP_KARISIK",IF($C98&gt;cbb_esikFark*cbb_donemCarpan,"DONEM",IF(LEN($D98)&lt;cbb_unvanMinLen,"UNVAN","TANIMSIZ"))))))</f>
        <v/>
      </c>
    </row>
    <row r="99">
      <c r="A99" s="26">
        <f>IF('ESLESTIRME'!$A99="","",'ESLESTIRME'!$A99)</f>
        <v/>
      </c>
      <c r="B99" s="16">
        <f>IF($A99="","",IFERROR(INDEX(tblEslesme[Kova],MATCH($A99,tblEslesme[A_Norm],0)),""))</f>
        <v/>
      </c>
      <c r="C99" s="16">
        <f>IF($A99="","",IFERROR(INDEX(tblEslesme[AbsFark],MATCH($A99,tblEslesme[A_Norm],0)),0))</f>
        <v/>
      </c>
      <c r="D99" s="16">
        <f>IF($A99="","",IFERROR(INDEX(tblVeriA[Unvan],MATCH($A99,tblAnahtarA[Norm],0)),""))</f>
        <v/>
      </c>
      <c r="E99" s="16">
        <f>IF($A99="","",IFERROR(SUMIF(tblAnahtarB[NormB],$A99,tblVeriB[BelgeAdet]),0))</f>
        <v/>
      </c>
      <c r="F99" s="16">
        <f>IF($A99="","",IFERROR(INDEX(tblVeriB[FormTipi],MATCH($A99,tblAnahtarB[NormB],0)),""))</f>
        <v/>
      </c>
      <c r="G99" s="16">
        <f>IF($A99="","",IFERROR(INDEX(tblVeriA[Donem],MATCH($A99,tblAnahtarA[Norm],0)),""))</f>
        <v/>
      </c>
      <c r="H99" s="16">
        <f>IF(OR($A99="",$B99&lt;&gt;"tutar_farki"),"",IF($E99=0,"BELGE_EKSIK",IF($C99&lt;=toleransKurus*cbb_yuvarlamaCarpan,"YUVARLAMA",IF(AND($F99&lt;&gt;"Ba",$F99&lt;&gt;"Bs"),"TIP_KARISIK",IF($C99&gt;cbb_esikFark*cbb_donemCarpan,"DONEM",IF(LEN($D99)&lt;cbb_unvanMinLen,"UNVAN","TANIMSIZ"))))))</f>
        <v/>
      </c>
    </row>
    <row r="100">
      <c r="A100" s="26">
        <f>IF('ESLESTIRME'!$A100="","",'ESLESTIRME'!$A100)</f>
        <v/>
      </c>
      <c r="B100" s="16">
        <f>IF($A100="","",IFERROR(INDEX(tblEslesme[Kova],MATCH($A100,tblEslesme[A_Norm],0)),""))</f>
        <v/>
      </c>
      <c r="C100" s="16">
        <f>IF($A100="","",IFERROR(INDEX(tblEslesme[AbsFark],MATCH($A100,tblEslesme[A_Norm],0)),0))</f>
        <v/>
      </c>
      <c r="D100" s="16">
        <f>IF($A100="","",IFERROR(INDEX(tblVeriA[Unvan],MATCH($A100,tblAnahtarA[Norm],0)),""))</f>
        <v/>
      </c>
      <c r="E100" s="16">
        <f>IF($A100="","",IFERROR(SUMIF(tblAnahtarB[NormB],$A100,tblVeriB[BelgeAdet]),0))</f>
        <v/>
      </c>
      <c r="F100" s="16">
        <f>IF($A100="","",IFERROR(INDEX(tblVeriB[FormTipi],MATCH($A100,tblAnahtarB[NormB],0)),""))</f>
        <v/>
      </c>
      <c r="G100" s="16">
        <f>IF($A100="","",IFERROR(INDEX(tblVeriA[Donem],MATCH($A100,tblAnahtarA[Norm],0)),""))</f>
        <v/>
      </c>
      <c r="H100" s="16">
        <f>IF(OR($A100="",$B100&lt;&gt;"tutar_farki"),"",IF($E100=0,"BELGE_EKSIK",IF($C100&lt;=toleransKurus*cbb_yuvarlamaCarpan,"YUVARLAMA",IF(AND($F100&lt;&gt;"Ba",$F100&lt;&gt;"Bs"),"TIP_KARISIK",IF($C100&gt;cbb_esikFark*cbb_donemCarpan,"DONEM",IF(LEN($D100)&lt;cbb_unvanMinLen,"UNVAN","TANIMSIZ"))))))</f>
        <v/>
      </c>
    </row>
    <row r="101">
      <c r="A101" s="26">
        <f>IF('ESLESTIRME'!$A101="","",'ESLESTIRME'!$A101)</f>
        <v/>
      </c>
      <c r="B101" s="16">
        <f>IF($A101="","",IFERROR(INDEX(tblEslesme[Kova],MATCH($A101,tblEslesme[A_Norm],0)),""))</f>
        <v/>
      </c>
      <c r="C101" s="16">
        <f>IF($A101="","",IFERROR(INDEX(tblEslesme[AbsFark],MATCH($A101,tblEslesme[A_Norm],0)),0))</f>
        <v/>
      </c>
      <c r="D101" s="16">
        <f>IF($A101="","",IFERROR(INDEX(tblVeriA[Unvan],MATCH($A101,tblAnahtarA[Norm],0)),""))</f>
        <v/>
      </c>
      <c r="E101" s="16">
        <f>IF($A101="","",IFERROR(SUMIF(tblAnahtarB[NormB],$A101,tblVeriB[BelgeAdet]),0))</f>
        <v/>
      </c>
      <c r="F101" s="16">
        <f>IF($A101="","",IFERROR(INDEX(tblVeriB[FormTipi],MATCH($A101,tblAnahtarB[NormB],0)),""))</f>
        <v/>
      </c>
      <c r="G101" s="16">
        <f>IF($A101="","",IFERROR(INDEX(tblVeriA[Donem],MATCH($A101,tblAnahtarA[Norm],0)),""))</f>
        <v/>
      </c>
      <c r="H101" s="16">
        <f>IF(OR($A101="",$B101&lt;&gt;"tutar_farki"),"",IF($E101=0,"BELGE_EKSIK",IF($C101&lt;=toleransKurus*cbb_yuvarlamaCarpan,"YUVARLAMA",IF(AND($F101&lt;&gt;"Ba",$F101&lt;&gt;"Bs"),"TIP_KARISIK",IF($C101&gt;cbb_esikFark*cbb_donemCarpan,"DONEM",IF(LEN($D101)&lt;cbb_unvanMinLen,"UNVAN","TANIMSIZ"))))))</f>
        <v/>
      </c>
    </row>
    <row r="102">
      <c r="A102" s="26">
        <f>IF('ESLESTIRME'!$A102="","",'ESLESTIRME'!$A102)</f>
        <v/>
      </c>
      <c r="B102" s="16">
        <f>IF($A102="","",IFERROR(INDEX(tblEslesme[Kova],MATCH($A102,tblEslesme[A_Norm],0)),""))</f>
        <v/>
      </c>
      <c r="C102" s="16">
        <f>IF($A102="","",IFERROR(INDEX(tblEslesme[AbsFark],MATCH($A102,tblEslesme[A_Norm],0)),0))</f>
        <v/>
      </c>
      <c r="D102" s="16">
        <f>IF($A102="","",IFERROR(INDEX(tblVeriA[Unvan],MATCH($A102,tblAnahtarA[Norm],0)),""))</f>
        <v/>
      </c>
      <c r="E102" s="16">
        <f>IF($A102="","",IFERROR(SUMIF(tblAnahtarB[NormB],$A102,tblVeriB[BelgeAdet]),0))</f>
        <v/>
      </c>
      <c r="F102" s="16">
        <f>IF($A102="","",IFERROR(INDEX(tblVeriB[FormTipi],MATCH($A102,tblAnahtarB[NormB],0)),""))</f>
        <v/>
      </c>
      <c r="G102" s="16">
        <f>IF($A102="","",IFERROR(INDEX(tblVeriA[Donem],MATCH($A102,tblAnahtarA[Norm],0)),""))</f>
        <v/>
      </c>
      <c r="H102" s="16">
        <f>IF(OR($A102="",$B102&lt;&gt;"tutar_farki"),"",IF($E102=0,"BELGE_EKSIK",IF($C102&lt;=toleransKurus*cbb_yuvarlamaCarpan,"YUVARLAMA",IF(AND($F102&lt;&gt;"Ba",$F102&lt;&gt;"Bs"),"TIP_KARISIK",IF($C102&gt;cbb_esikFark*cbb_donemCarpan,"DONEM",IF(LEN($D102)&lt;cbb_unvanMinLen,"UNVAN","TANIMSIZ"))))))</f>
        <v/>
      </c>
    </row>
    <row r="103">
      <c r="A103" s="26">
        <f>IF('ESLESTIRME'!$A103="","",'ESLESTIRME'!$A103)</f>
        <v/>
      </c>
      <c r="B103" s="16">
        <f>IF($A103="","",IFERROR(INDEX(tblEslesme[Kova],MATCH($A103,tblEslesme[A_Norm],0)),""))</f>
        <v/>
      </c>
      <c r="C103" s="16">
        <f>IF($A103="","",IFERROR(INDEX(tblEslesme[AbsFark],MATCH($A103,tblEslesme[A_Norm],0)),0))</f>
        <v/>
      </c>
      <c r="D103" s="16">
        <f>IF($A103="","",IFERROR(INDEX(tblVeriA[Unvan],MATCH($A103,tblAnahtarA[Norm],0)),""))</f>
        <v/>
      </c>
      <c r="E103" s="16">
        <f>IF($A103="","",IFERROR(SUMIF(tblAnahtarB[NormB],$A103,tblVeriB[BelgeAdet]),0))</f>
        <v/>
      </c>
      <c r="F103" s="16">
        <f>IF($A103="","",IFERROR(INDEX(tblVeriB[FormTipi],MATCH($A103,tblAnahtarB[NormB],0)),""))</f>
        <v/>
      </c>
      <c r="G103" s="16">
        <f>IF($A103="","",IFERROR(INDEX(tblVeriA[Donem],MATCH($A103,tblAnahtarA[Norm],0)),""))</f>
        <v/>
      </c>
      <c r="H103" s="16">
        <f>IF(OR($A103="",$B103&lt;&gt;"tutar_farki"),"",IF($E103=0,"BELGE_EKSIK",IF($C103&lt;=toleransKurus*cbb_yuvarlamaCarpan,"YUVARLAMA",IF(AND($F103&lt;&gt;"Ba",$F103&lt;&gt;"Bs"),"TIP_KARISIK",IF($C103&gt;cbb_esikFark*cbb_donemCarpan,"DONEM",IF(LEN($D103)&lt;cbb_unvanMinLen,"UNVAN","TANIMSIZ"))))))</f>
        <v/>
      </c>
    </row>
    <row r="104">
      <c r="A104" s="26">
        <f>IF('ESLESTIRME'!$A104="","",'ESLESTIRME'!$A104)</f>
        <v/>
      </c>
      <c r="B104" s="16">
        <f>IF($A104="","",IFERROR(INDEX(tblEslesme[Kova],MATCH($A104,tblEslesme[A_Norm],0)),""))</f>
        <v/>
      </c>
      <c r="C104" s="16">
        <f>IF($A104="","",IFERROR(INDEX(tblEslesme[AbsFark],MATCH($A104,tblEslesme[A_Norm],0)),0))</f>
        <v/>
      </c>
      <c r="D104" s="16">
        <f>IF($A104="","",IFERROR(INDEX(tblVeriA[Unvan],MATCH($A104,tblAnahtarA[Norm],0)),""))</f>
        <v/>
      </c>
      <c r="E104" s="16">
        <f>IF($A104="","",IFERROR(SUMIF(tblAnahtarB[NormB],$A104,tblVeriB[BelgeAdet]),0))</f>
        <v/>
      </c>
      <c r="F104" s="16">
        <f>IF($A104="","",IFERROR(INDEX(tblVeriB[FormTipi],MATCH($A104,tblAnahtarB[NormB],0)),""))</f>
        <v/>
      </c>
      <c r="G104" s="16">
        <f>IF($A104="","",IFERROR(INDEX(tblVeriA[Donem],MATCH($A104,tblAnahtarA[Norm],0)),""))</f>
        <v/>
      </c>
      <c r="H104" s="16">
        <f>IF(OR($A104="",$B104&lt;&gt;"tutar_farki"),"",IF($E104=0,"BELGE_EKSIK",IF($C104&lt;=toleransKurus*cbb_yuvarlamaCarpan,"YUVARLAMA",IF(AND($F104&lt;&gt;"Ba",$F104&lt;&gt;"Bs"),"TIP_KARISIK",IF($C104&gt;cbb_esikFark*cbb_donemCarpan,"DONEM",IF(LEN($D104)&lt;cbb_unvanMinLen,"UNVAN","TANIMSIZ"))))))</f>
        <v/>
      </c>
    </row>
    <row r="105">
      <c r="A105" s="26">
        <f>IF('ESLESTIRME'!$A105="","",'ESLESTIRME'!$A105)</f>
        <v/>
      </c>
      <c r="B105" s="16">
        <f>IF($A105="","",IFERROR(INDEX(tblEslesme[Kova],MATCH($A105,tblEslesme[A_Norm],0)),""))</f>
        <v/>
      </c>
      <c r="C105" s="16">
        <f>IF($A105="","",IFERROR(INDEX(tblEslesme[AbsFark],MATCH($A105,tblEslesme[A_Norm],0)),0))</f>
        <v/>
      </c>
      <c r="D105" s="16">
        <f>IF($A105="","",IFERROR(INDEX(tblVeriA[Unvan],MATCH($A105,tblAnahtarA[Norm],0)),""))</f>
        <v/>
      </c>
      <c r="E105" s="16">
        <f>IF($A105="","",IFERROR(SUMIF(tblAnahtarB[NormB],$A105,tblVeriB[BelgeAdet]),0))</f>
        <v/>
      </c>
      <c r="F105" s="16">
        <f>IF($A105="","",IFERROR(INDEX(tblVeriB[FormTipi],MATCH($A105,tblAnahtarB[NormB],0)),""))</f>
        <v/>
      </c>
      <c r="G105" s="16">
        <f>IF($A105="","",IFERROR(INDEX(tblVeriA[Donem],MATCH($A105,tblAnahtarA[Norm],0)),""))</f>
        <v/>
      </c>
      <c r="H105" s="16">
        <f>IF(OR($A105="",$B105&lt;&gt;"tutar_farki"),"",IF($E105=0,"BELGE_EKSIK",IF($C105&lt;=toleransKurus*cbb_yuvarlamaCarpan,"YUVARLAMA",IF(AND($F105&lt;&gt;"Ba",$F105&lt;&gt;"Bs"),"TIP_KARISIK",IF($C105&gt;cbb_esikFark*cbb_donemCarpan,"DONEM",IF(LEN($D105)&lt;cbb_unvanMinLen,"UNVAN","TANIMSIZ"))))))</f>
        <v/>
      </c>
    </row>
    <row r="106">
      <c r="A106" s="26">
        <f>IF('ESLESTIRME'!$A106="","",'ESLESTIRME'!$A106)</f>
        <v/>
      </c>
      <c r="B106" s="16">
        <f>IF($A106="","",IFERROR(INDEX(tblEslesme[Kova],MATCH($A106,tblEslesme[A_Norm],0)),""))</f>
        <v/>
      </c>
      <c r="C106" s="16">
        <f>IF($A106="","",IFERROR(INDEX(tblEslesme[AbsFark],MATCH($A106,tblEslesme[A_Norm],0)),0))</f>
        <v/>
      </c>
      <c r="D106" s="16">
        <f>IF($A106="","",IFERROR(INDEX(tblVeriA[Unvan],MATCH($A106,tblAnahtarA[Norm],0)),""))</f>
        <v/>
      </c>
      <c r="E106" s="16">
        <f>IF($A106="","",IFERROR(SUMIF(tblAnahtarB[NormB],$A106,tblVeriB[BelgeAdet]),0))</f>
        <v/>
      </c>
      <c r="F106" s="16">
        <f>IF($A106="","",IFERROR(INDEX(tblVeriB[FormTipi],MATCH($A106,tblAnahtarB[NormB],0)),""))</f>
        <v/>
      </c>
      <c r="G106" s="16">
        <f>IF($A106="","",IFERROR(INDEX(tblVeriA[Donem],MATCH($A106,tblAnahtarA[Norm],0)),""))</f>
        <v/>
      </c>
      <c r="H106" s="16">
        <f>IF(OR($A106="",$B106&lt;&gt;"tutar_farki"),"",IF($E106=0,"BELGE_EKSIK",IF($C106&lt;=toleransKurus*cbb_yuvarlamaCarpan,"YUVARLAMA",IF(AND($F106&lt;&gt;"Ba",$F106&lt;&gt;"Bs"),"TIP_KARISIK",IF($C106&gt;cbb_esikFark*cbb_donemCarpan,"DONEM",IF(LEN($D106)&lt;cbb_unvanMinLen,"UNVAN","TANIMSIZ"))))))</f>
        <v/>
      </c>
    </row>
    <row r="107">
      <c r="A107" s="26">
        <f>IF('ESLESTIRME'!$A107="","",'ESLESTIRME'!$A107)</f>
        <v/>
      </c>
      <c r="B107" s="16">
        <f>IF($A107="","",IFERROR(INDEX(tblEslesme[Kova],MATCH($A107,tblEslesme[A_Norm],0)),""))</f>
        <v/>
      </c>
      <c r="C107" s="16">
        <f>IF($A107="","",IFERROR(INDEX(tblEslesme[AbsFark],MATCH($A107,tblEslesme[A_Norm],0)),0))</f>
        <v/>
      </c>
      <c r="D107" s="16">
        <f>IF($A107="","",IFERROR(INDEX(tblVeriA[Unvan],MATCH($A107,tblAnahtarA[Norm],0)),""))</f>
        <v/>
      </c>
      <c r="E107" s="16">
        <f>IF($A107="","",IFERROR(SUMIF(tblAnahtarB[NormB],$A107,tblVeriB[BelgeAdet]),0))</f>
        <v/>
      </c>
      <c r="F107" s="16">
        <f>IF($A107="","",IFERROR(INDEX(tblVeriB[FormTipi],MATCH($A107,tblAnahtarB[NormB],0)),""))</f>
        <v/>
      </c>
      <c r="G107" s="16">
        <f>IF($A107="","",IFERROR(INDEX(tblVeriA[Donem],MATCH($A107,tblAnahtarA[Norm],0)),""))</f>
        <v/>
      </c>
      <c r="H107" s="16">
        <f>IF(OR($A107="",$B107&lt;&gt;"tutar_farki"),"",IF($E107=0,"BELGE_EKSIK",IF($C107&lt;=toleransKurus*cbb_yuvarlamaCarpan,"YUVARLAMA",IF(AND($F107&lt;&gt;"Ba",$F107&lt;&gt;"Bs"),"TIP_KARISIK",IF($C107&gt;cbb_esikFark*cbb_donemCarpan,"DONEM",IF(LEN($D107)&lt;cbb_unvanMinLen,"UNVAN","TANIMSIZ"))))))</f>
        <v/>
      </c>
    </row>
    <row r="108">
      <c r="A108" s="26">
        <f>IF('ESLESTIRME'!$A108="","",'ESLESTIRME'!$A108)</f>
        <v/>
      </c>
      <c r="B108" s="16">
        <f>IF($A108="","",IFERROR(INDEX(tblEslesme[Kova],MATCH($A108,tblEslesme[A_Norm],0)),""))</f>
        <v/>
      </c>
      <c r="C108" s="16">
        <f>IF($A108="","",IFERROR(INDEX(tblEslesme[AbsFark],MATCH($A108,tblEslesme[A_Norm],0)),0))</f>
        <v/>
      </c>
      <c r="D108" s="16">
        <f>IF($A108="","",IFERROR(INDEX(tblVeriA[Unvan],MATCH($A108,tblAnahtarA[Norm],0)),""))</f>
        <v/>
      </c>
      <c r="E108" s="16">
        <f>IF($A108="","",IFERROR(SUMIF(tblAnahtarB[NormB],$A108,tblVeriB[BelgeAdet]),0))</f>
        <v/>
      </c>
      <c r="F108" s="16">
        <f>IF($A108="","",IFERROR(INDEX(tblVeriB[FormTipi],MATCH($A108,tblAnahtarB[NormB],0)),""))</f>
        <v/>
      </c>
      <c r="G108" s="16">
        <f>IF($A108="","",IFERROR(INDEX(tblVeriA[Donem],MATCH($A108,tblAnahtarA[Norm],0)),""))</f>
        <v/>
      </c>
      <c r="H108" s="16">
        <f>IF(OR($A108="",$B108&lt;&gt;"tutar_farki"),"",IF($E108=0,"BELGE_EKSIK",IF($C108&lt;=toleransKurus*cbb_yuvarlamaCarpan,"YUVARLAMA",IF(AND($F108&lt;&gt;"Ba",$F108&lt;&gt;"Bs"),"TIP_KARISIK",IF($C108&gt;cbb_esikFark*cbb_donemCarpan,"DONEM",IF(LEN($D108)&lt;cbb_unvanMinLen,"UNVAN","TANIMSIZ"))))))</f>
        <v/>
      </c>
    </row>
    <row r="109">
      <c r="A109" s="26">
        <f>IF('ESLESTIRME'!$A109="","",'ESLESTIRME'!$A109)</f>
        <v/>
      </c>
      <c r="B109" s="16">
        <f>IF($A109="","",IFERROR(INDEX(tblEslesme[Kova],MATCH($A109,tblEslesme[A_Norm],0)),""))</f>
        <v/>
      </c>
      <c r="C109" s="16">
        <f>IF($A109="","",IFERROR(INDEX(tblEslesme[AbsFark],MATCH($A109,tblEslesme[A_Norm],0)),0))</f>
        <v/>
      </c>
      <c r="D109" s="16">
        <f>IF($A109="","",IFERROR(INDEX(tblVeriA[Unvan],MATCH($A109,tblAnahtarA[Norm],0)),""))</f>
        <v/>
      </c>
      <c r="E109" s="16">
        <f>IF($A109="","",IFERROR(SUMIF(tblAnahtarB[NormB],$A109,tblVeriB[BelgeAdet]),0))</f>
        <v/>
      </c>
      <c r="F109" s="16">
        <f>IF($A109="","",IFERROR(INDEX(tblVeriB[FormTipi],MATCH($A109,tblAnahtarB[NormB],0)),""))</f>
        <v/>
      </c>
      <c r="G109" s="16">
        <f>IF($A109="","",IFERROR(INDEX(tblVeriA[Donem],MATCH($A109,tblAnahtarA[Norm],0)),""))</f>
        <v/>
      </c>
      <c r="H109" s="16">
        <f>IF(OR($A109="",$B109&lt;&gt;"tutar_farki"),"",IF($E109=0,"BELGE_EKSIK",IF($C109&lt;=toleransKurus*cbb_yuvarlamaCarpan,"YUVARLAMA",IF(AND($F109&lt;&gt;"Ba",$F109&lt;&gt;"Bs"),"TIP_KARISIK",IF($C109&gt;cbb_esikFark*cbb_donemCarpan,"DONEM",IF(LEN($D109)&lt;cbb_unvanMinLen,"UNVAN","TANIMSIZ"))))))</f>
        <v/>
      </c>
    </row>
    <row r="110">
      <c r="A110" s="26">
        <f>IF('ESLESTIRME'!$A110="","",'ESLESTIRME'!$A110)</f>
        <v/>
      </c>
      <c r="B110" s="16">
        <f>IF($A110="","",IFERROR(INDEX(tblEslesme[Kova],MATCH($A110,tblEslesme[A_Norm],0)),""))</f>
        <v/>
      </c>
      <c r="C110" s="16">
        <f>IF($A110="","",IFERROR(INDEX(tblEslesme[AbsFark],MATCH($A110,tblEslesme[A_Norm],0)),0))</f>
        <v/>
      </c>
      <c r="D110" s="16">
        <f>IF($A110="","",IFERROR(INDEX(tblVeriA[Unvan],MATCH($A110,tblAnahtarA[Norm],0)),""))</f>
        <v/>
      </c>
      <c r="E110" s="16">
        <f>IF($A110="","",IFERROR(SUMIF(tblAnahtarB[NormB],$A110,tblVeriB[BelgeAdet]),0))</f>
        <v/>
      </c>
      <c r="F110" s="16">
        <f>IF($A110="","",IFERROR(INDEX(tblVeriB[FormTipi],MATCH($A110,tblAnahtarB[NormB],0)),""))</f>
        <v/>
      </c>
      <c r="G110" s="16">
        <f>IF($A110="","",IFERROR(INDEX(tblVeriA[Donem],MATCH($A110,tblAnahtarA[Norm],0)),""))</f>
        <v/>
      </c>
      <c r="H110" s="16">
        <f>IF(OR($A110="",$B110&lt;&gt;"tutar_farki"),"",IF($E110=0,"BELGE_EKSIK",IF($C110&lt;=toleransKurus*cbb_yuvarlamaCarpan,"YUVARLAMA",IF(AND($F110&lt;&gt;"Ba",$F110&lt;&gt;"Bs"),"TIP_KARISIK",IF($C110&gt;cbb_esikFark*cbb_donemCarpan,"DONEM",IF(LEN($D110)&lt;cbb_unvanMinLen,"UNVAN","TANIMSIZ"))))))</f>
        <v/>
      </c>
    </row>
    <row r="111">
      <c r="A111" s="26">
        <f>IF('ESLESTIRME'!$A111="","",'ESLESTIRME'!$A111)</f>
        <v/>
      </c>
      <c r="B111" s="16">
        <f>IF($A111="","",IFERROR(INDEX(tblEslesme[Kova],MATCH($A111,tblEslesme[A_Norm],0)),""))</f>
        <v/>
      </c>
      <c r="C111" s="16">
        <f>IF($A111="","",IFERROR(INDEX(tblEslesme[AbsFark],MATCH($A111,tblEslesme[A_Norm],0)),0))</f>
        <v/>
      </c>
      <c r="D111" s="16">
        <f>IF($A111="","",IFERROR(INDEX(tblVeriA[Unvan],MATCH($A111,tblAnahtarA[Norm],0)),""))</f>
        <v/>
      </c>
      <c r="E111" s="16">
        <f>IF($A111="","",IFERROR(SUMIF(tblAnahtarB[NormB],$A111,tblVeriB[BelgeAdet]),0))</f>
        <v/>
      </c>
      <c r="F111" s="16">
        <f>IF($A111="","",IFERROR(INDEX(tblVeriB[FormTipi],MATCH($A111,tblAnahtarB[NormB],0)),""))</f>
        <v/>
      </c>
      <c r="G111" s="16">
        <f>IF($A111="","",IFERROR(INDEX(tblVeriA[Donem],MATCH($A111,tblAnahtarA[Norm],0)),""))</f>
        <v/>
      </c>
      <c r="H111" s="16">
        <f>IF(OR($A111="",$B111&lt;&gt;"tutar_farki"),"",IF($E111=0,"BELGE_EKSIK",IF($C111&lt;=toleransKurus*cbb_yuvarlamaCarpan,"YUVARLAMA",IF(AND($F111&lt;&gt;"Ba",$F111&lt;&gt;"Bs"),"TIP_KARISIK",IF($C111&gt;cbb_esikFark*cbb_donemCarpan,"DONEM",IF(LEN($D111)&lt;cbb_unvanMinLen,"UNVAN","TANIMSIZ"))))))</f>
        <v/>
      </c>
    </row>
    <row r="112">
      <c r="A112" s="26">
        <f>IF('ESLESTIRME'!$A112="","",'ESLESTIRME'!$A112)</f>
        <v/>
      </c>
      <c r="B112" s="16">
        <f>IF($A112="","",IFERROR(INDEX(tblEslesme[Kova],MATCH($A112,tblEslesme[A_Norm],0)),""))</f>
        <v/>
      </c>
      <c r="C112" s="16">
        <f>IF($A112="","",IFERROR(INDEX(tblEslesme[AbsFark],MATCH($A112,tblEslesme[A_Norm],0)),0))</f>
        <v/>
      </c>
      <c r="D112" s="16">
        <f>IF($A112="","",IFERROR(INDEX(tblVeriA[Unvan],MATCH($A112,tblAnahtarA[Norm],0)),""))</f>
        <v/>
      </c>
      <c r="E112" s="16">
        <f>IF($A112="","",IFERROR(SUMIF(tblAnahtarB[NormB],$A112,tblVeriB[BelgeAdet]),0))</f>
        <v/>
      </c>
      <c r="F112" s="16">
        <f>IF($A112="","",IFERROR(INDEX(tblVeriB[FormTipi],MATCH($A112,tblAnahtarB[NormB],0)),""))</f>
        <v/>
      </c>
      <c r="G112" s="16">
        <f>IF($A112="","",IFERROR(INDEX(tblVeriA[Donem],MATCH($A112,tblAnahtarA[Norm],0)),""))</f>
        <v/>
      </c>
      <c r="H112" s="16">
        <f>IF(OR($A112="",$B112&lt;&gt;"tutar_farki"),"",IF($E112=0,"BELGE_EKSIK",IF($C112&lt;=toleransKurus*cbb_yuvarlamaCarpan,"YUVARLAMA",IF(AND($F112&lt;&gt;"Ba",$F112&lt;&gt;"Bs"),"TIP_KARISIK",IF($C112&gt;cbb_esikFark*cbb_donemCarpan,"DONEM",IF(LEN($D112)&lt;cbb_unvanMinLen,"UNVAN","TANIMSIZ"))))))</f>
        <v/>
      </c>
    </row>
    <row r="113">
      <c r="A113" s="26">
        <f>IF('ESLESTIRME'!$A113="","",'ESLESTIRME'!$A113)</f>
        <v/>
      </c>
      <c r="B113" s="16">
        <f>IF($A113="","",IFERROR(INDEX(tblEslesme[Kova],MATCH($A113,tblEslesme[A_Norm],0)),""))</f>
        <v/>
      </c>
      <c r="C113" s="16">
        <f>IF($A113="","",IFERROR(INDEX(tblEslesme[AbsFark],MATCH($A113,tblEslesme[A_Norm],0)),0))</f>
        <v/>
      </c>
      <c r="D113" s="16">
        <f>IF($A113="","",IFERROR(INDEX(tblVeriA[Unvan],MATCH($A113,tblAnahtarA[Norm],0)),""))</f>
        <v/>
      </c>
      <c r="E113" s="16">
        <f>IF($A113="","",IFERROR(SUMIF(tblAnahtarB[NormB],$A113,tblVeriB[BelgeAdet]),0))</f>
        <v/>
      </c>
      <c r="F113" s="16">
        <f>IF($A113="","",IFERROR(INDEX(tblVeriB[FormTipi],MATCH($A113,tblAnahtarB[NormB],0)),""))</f>
        <v/>
      </c>
      <c r="G113" s="16">
        <f>IF($A113="","",IFERROR(INDEX(tblVeriA[Donem],MATCH($A113,tblAnahtarA[Norm],0)),""))</f>
        <v/>
      </c>
      <c r="H113" s="16">
        <f>IF(OR($A113="",$B113&lt;&gt;"tutar_farki"),"",IF($E113=0,"BELGE_EKSIK",IF($C113&lt;=toleransKurus*cbb_yuvarlamaCarpan,"YUVARLAMA",IF(AND($F113&lt;&gt;"Ba",$F113&lt;&gt;"Bs"),"TIP_KARISIK",IF($C113&gt;cbb_esikFark*cbb_donemCarpan,"DONEM",IF(LEN($D113)&lt;cbb_unvanMinLen,"UNVAN","TANIMSIZ"))))))</f>
        <v/>
      </c>
    </row>
    <row r="114">
      <c r="A114" s="26">
        <f>IF('ESLESTIRME'!$A114="","",'ESLESTIRME'!$A114)</f>
        <v/>
      </c>
      <c r="B114" s="16">
        <f>IF($A114="","",IFERROR(INDEX(tblEslesme[Kova],MATCH($A114,tblEslesme[A_Norm],0)),""))</f>
        <v/>
      </c>
      <c r="C114" s="16">
        <f>IF($A114="","",IFERROR(INDEX(tblEslesme[AbsFark],MATCH($A114,tblEslesme[A_Norm],0)),0))</f>
        <v/>
      </c>
      <c r="D114" s="16">
        <f>IF($A114="","",IFERROR(INDEX(tblVeriA[Unvan],MATCH($A114,tblAnahtarA[Norm],0)),""))</f>
        <v/>
      </c>
      <c r="E114" s="16">
        <f>IF($A114="","",IFERROR(SUMIF(tblAnahtarB[NormB],$A114,tblVeriB[BelgeAdet]),0))</f>
        <v/>
      </c>
      <c r="F114" s="16">
        <f>IF($A114="","",IFERROR(INDEX(tblVeriB[FormTipi],MATCH($A114,tblAnahtarB[NormB],0)),""))</f>
        <v/>
      </c>
      <c r="G114" s="16">
        <f>IF($A114="","",IFERROR(INDEX(tblVeriA[Donem],MATCH($A114,tblAnahtarA[Norm],0)),""))</f>
        <v/>
      </c>
      <c r="H114" s="16">
        <f>IF(OR($A114="",$B114&lt;&gt;"tutar_farki"),"",IF($E114=0,"BELGE_EKSIK",IF($C114&lt;=toleransKurus*cbb_yuvarlamaCarpan,"YUVARLAMA",IF(AND($F114&lt;&gt;"Ba",$F114&lt;&gt;"Bs"),"TIP_KARISIK",IF($C114&gt;cbb_esikFark*cbb_donemCarpan,"DONEM",IF(LEN($D114)&lt;cbb_unvanMinLen,"UNVAN","TANIMSIZ"))))))</f>
        <v/>
      </c>
    </row>
    <row r="115">
      <c r="A115" s="26">
        <f>IF('ESLESTIRME'!$A115="","",'ESLESTIRME'!$A115)</f>
        <v/>
      </c>
      <c r="B115" s="16">
        <f>IF($A115="","",IFERROR(INDEX(tblEslesme[Kova],MATCH($A115,tblEslesme[A_Norm],0)),""))</f>
        <v/>
      </c>
      <c r="C115" s="16">
        <f>IF($A115="","",IFERROR(INDEX(tblEslesme[AbsFark],MATCH($A115,tblEslesme[A_Norm],0)),0))</f>
        <v/>
      </c>
      <c r="D115" s="16">
        <f>IF($A115="","",IFERROR(INDEX(tblVeriA[Unvan],MATCH($A115,tblAnahtarA[Norm],0)),""))</f>
        <v/>
      </c>
      <c r="E115" s="16">
        <f>IF($A115="","",IFERROR(SUMIF(tblAnahtarB[NormB],$A115,tblVeriB[BelgeAdet]),0))</f>
        <v/>
      </c>
      <c r="F115" s="16">
        <f>IF($A115="","",IFERROR(INDEX(tblVeriB[FormTipi],MATCH($A115,tblAnahtarB[NormB],0)),""))</f>
        <v/>
      </c>
      <c r="G115" s="16">
        <f>IF($A115="","",IFERROR(INDEX(tblVeriA[Donem],MATCH($A115,tblAnahtarA[Norm],0)),""))</f>
        <v/>
      </c>
      <c r="H115" s="16">
        <f>IF(OR($A115="",$B115&lt;&gt;"tutar_farki"),"",IF($E115=0,"BELGE_EKSIK",IF($C115&lt;=toleransKurus*cbb_yuvarlamaCarpan,"YUVARLAMA",IF(AND($F115&lt;&gt;"Ba",$F115&lt;&gt;"Bs"),"TIP_KARISIK",IF($C115&gt;cbb_esikFark*cbb_donemCarpan,"DONEM",IF(LEN($D115)&lt;cbb_unvanMinLen,"UNVAN","TANIMSIZ"))))))</f>
        <v/>
      </c>
    </row>
    <row r="116">
      <c r="A116" s="26">
        <f>IF('ESLESTIRME'!$A116="","",'ESLESTIRME'!$A116)</f>
        <v/>
      </c>
      <c r="B116" s="16">
        <f>IF($A116="","",IFERROR(INDEX(tblEslesme[Kova],MATCH($A116,tblEslesme[A_Norm],0)),""))</f>
        <v/>
      </c>
      <c r="C116" s="16">
        <f>IF($A116="","",IFERROR(INDEX(tblEslesme[AbsFark],MATCH($A116,tblEslesme[A_Norm],0)),0))</f>
        <v/>
      </c>
      <c r="D116" s="16">
        <f>IF($A116="","",IFERROR(INDEX(tblVeriA[Unvan],MATCH($A116,tblAnahtarA[Norm],0)),""))</f>
        <v/>
      </c>
      <c r="E116" s="16">
        <f>IF($A116="","",IFERROR(SUMIF(tblAnahtarB[NormB],$A116,tblVeriB[BelgeAdet]),0))</f>
        <v/>
      </c>
      <c r="F116" s="16">
        <f>IF($A116="","",IFERROR(INDEX(tblVeriB[FormTipi],MATCH($A116,tblAnahtarB[NormB],0)),""))</f>
        <v/>
      </c>
      <c r="G116" s="16">
        <f>IF($A116="","",IFERROR(INDEX(tblVeriA[Donem],MATCH($A116,tblAnahtarA[Norm],0)),""))</f>
        <v/>
      </c>
      <c r="H116" s="16">
        <f>IF(OR($A116="",$B116&lt;&gt;"tutar_farki"),"",IF($E116=0,"BELGE_EKSIK",IF($C116&lt;=toleransKurus*cbb_yuvarlamaCarpan,"YUVARLAMA",IF(AND($F116&lt;&gt;"Ba",$F116&lt;&gt;"Bs"),"TIP_KARISIK",IF($C116&gt;cbb_esikFark*cbb_donemCarpan,"DONEM",IF(LEN($D116)&lt;cbb_unvanMinLen,"UNVAN","TANIMSIZ"))))))</f>
        <v/>
      </c>
    </row>
    <row r="117">
      <c r="A117" s="26">
        <f>IF('ESLESTIRME'!$A117="","",'ESLESTIRME'!$A117)</f>
        <v/>
      </c>
      <c r="B117" s="16">
        <f>IF($A117="","",IFERROR(INDEX(tblEslesme[Kova],MATCH($A117,tblEslesme[A_Norm],0)),""))</f>
        <v/>
      </c>
      <c r="C117" s="16">
        <f>IF($A117="","",IFERROR(INDEX(tblEslesme[AbsFark],MATCH($A117,tblEslesme[A_Norm],0)),0))</f>
        <v/>
      </c>
      <c r="D117" s="16">
        <f>IF($A117="","",IFERROR(INDEX(tblVeriA[Unvan],MATCH($A117,tblAnahtarA[Norm],0)),""))</f>
        <v/>
      </c>
      <c r="E117" s="16">
        <f>IF($A117="","",IFERROR(SUMIF(tblAnahtarB[NormB],$A117,tblVeriB[BelgeAdet]),0))</f>
        <v/>
      </c>
      <c r="F117" s="16">
        <f>IF($A117="","",IFERROR(INDEX(tblVeriB[FormTipi],MATCH($A117,tblAnahtarB[NormB],0)),""))</f>
        <v/>
      </c>
      <c r="G117" s="16">
        <f>IF($A117="","",IFERROR(INDEX(tblVeriA[Donem],MATCH($A117,tblAnahtarA[Norm],0)),""))</f>
        <v/>
      </c>
      <c r="H117" s="16">
        <f>IF(OR($A117="",$B117&lt;&gt;"tutar_farki"),"",IF($E117=0,"BELGE_EKSIK",IF($C117&lt;=toleransKurus*cbb_yuvarlamaCarpan,"YUVARLAMA",IF(AND($F117&lt;&gt;"Ba",$F117&lt;&gt;"Bs"),"TIP_KARISIK",IF($C117&gt;cbb_esikFark*cbb_donemCarpan,"DONEM",IF(LEN($D117)&lt;cbb_unvanMinLen,"UNVAN","TANIMSIZ"))))))</f>
        <v/>
      </c>
    </row>
    <row r="118">
      <c r="A118" s="26">
        <f>IF('ESLESTIRME'!$A118="","",'ESLESTIRME'!$A118)</f>
        <v/>
      </c>
      <c r="B118" s="16">
        <f>IF($A118="","",IFERROR(INDEX(tblEslesme[Kova],MATCH($A118,tblEslesme[A_Norm],0)),""))</f>
        <v/>
      </c>
      <c r="C118" s="16">
        <f>IF($A118="","",IFERROR(INDEX(tblEslesme[AbsFark],MATCH($A118,tblEslesme[A_Norm],0)),0))</f>
        <v/>
      </c>
      <c r="D118" s="16">
        <f>IF($A118="","",IFERROR(INDEX(tblVeriA[Unvan],MATCH($A118,tblAnahtarA[Norm],0)),""))</f>
        <v/>
      </c>
      <c r="E118" s="16">
        <f>IF($A118="","",IFERROR(SUMIF(tblAnahtarB[NormB],$A118,tblVeriB[BelgeAdet]),0))</f>
        <v/>
      </c>
      <c r="F118" s="16">
        <f>IF($A118="","",IFERROR(INDEX(tblVeriB[FormTipi],MATCH($A118,tblAnahtarB[NormB],0)),""))</f>
        <v/>
      </c>
      <c r="G118" s="16">
        <f>IF($A118="","",IFERROR(INDEX(tblVeriA[Donem],MATCH($A118,tblAnahtarA[Norm],0)),""))</f>
        <v/>
      </c>
      <c r="H118" s="16">
        <f>IF(OR($A118="",$B118&lt;&gt;"tutar_farki"),"",IF($E118=0,"BELGE_EKSIK",IF($C118&lt;=toleransKurus*cbb_yuvarlamaCarpan,"YUVARLAMA",IF(AND($F118&lt;&gt;"Ba",$F118&lt;&gt;"Bs"),"TIP_KARISIK",IF($C118&gt;cbb_esikFark*cbb_donemCarpan,"DONEM",IF(LEN($D118)&lt;cbb_unvanMinLen,"UNVAN","TANIMSIZ"))))))</f>
        <v/>
      </c>
    </row>
    <row r="119">
      <c r="A119" s="26">
        <f>IF('ESLESTIRME'!$A119="","",'ESLESTIRME'!$A119)</f>
        <v/>
      </c>
      <c r="B119" s="16">
        <f>IF($A119="","",IFERROR(INDEX(tblEslesme[Kova],MATCH($A119,tblEslesme[A_Norm],0)),""))</f>
        <v/>
      </c>
      <c r="C119" s="16">
        <f>IF($A119="","",IFERROR(INDEX(tblEslesme[AbsFark],MATCH($A119,tblEslesme[A_Norm],0)),0))</f>
        <v/>
      </c>
      <c r="D119" s="16">
        <f>IF($A119="","",IFERROR(INDEX(tblVeriA[Unvan],MATCH($A119,tblAnahtarA[Norm],0)),""))</f>
        <v/>
      </c>
      <c r="E119" s="16">
        <f>IF($A119="","",IFERROR(SUMIF(tblAnahtarB[NormB],$A119,tblVeriB[BelgeAdet]),0))</f>
        <v/>
      </c>
      <c r="F119" s="16">
        <f>IF($A119="","",IFERROR(INDEX(tblVeriB[FormTipi],MATCH($A119,tblAnahtarB[NormB],0)),""))</f>
        <v/>
      </c>
      <c r="G119" s="16">
        <f>IF($A119="","",IFERROR(INDEX(tblVeriA[Donem],MATCH($A119,tblAnahtarA[Norm],0)),""))</f>
        <v/>
      </c>
      <c r="H119" s="16">
        <f>IF(OR($A119="",$B119&lt;&gt;"tutar_farki"),"",IF($E119=0,"BELGE_EKSIK",IF($C119&lt;=toleransKurus*cbb_yuvarlamaCarpan,"YUVARLAMA",IF(AND($F119&lt;&gt;"Ba",$F119&lt;&gt;"Bs"),"TIP_KARISIK",IF($C119&gt;cbb_esikFark*cbb_donemCarpan,"DONEM",IF(LEN($D119)&lt;cbb_unvanMinLen,"UNVAN","TANIMSIZ"))))))</f>
        <v/>
      </c>
    </row>
    <row r="120">
      <c r="A120" s="26">
        <f>IF('ESLESTIRME'!$A120="","",'ESLESTIRME'!$A120)</f>
        <v/>
      </c>
      <c r="B120" s="16">
        <f>IF($A120="","",IFERROR(INDEX(tblEslesme[Kova],MATCH($A120,tblEslesme[A_Norm],0)),""))</f>
        <v/>
      </c>
      <c r="C120" s="16">
        <f>IF($A120="","",IFERROR(INDEX(tblEslesme[AbsFark],MATCH($A120,tblEslesme[A_Norm],0)),0))</f>
        <v/>
      </c>
      <c r="D120" s="16">
        <f>IF($A120="","",IFERROR(INDEX(tblVeriA[Unvan],MATCH($A120,tblAnahtarA[Norm],0)),""))</f>
        <v/>
      </c>
      <c r="E120" s="16">
        <f>IF($A120="","",IFERROR(SUMIF(tblAnahtarB[NormB],$A120,tblVeriB[BelgeAdet]),0))</f>
        <v/>
      </c>
      <c r="F120" s="16">
        <f>IF($A120="","",IFERROR(INDEX(tblVeriB[FormTipi],MATCH($A120,tblAnahtarB[NormB],0)),""))</f>
        <v/>
      </c>
      <c r="G120" s="16">
        <f>IF($A120="","",IFERROR(INDEX(tblVeriA[Donem],MATCH($A120,tblAnahtarA[Norm],0)),""))</f>
        <v/>
      </c>
      <c r="H120" s="16">
        <f>IF(OR($A120="",$B120&lt;&gt;"tutar_farki"),"",IF($E120=0,"BELGE_EKSIK",IF($C120&lt;=toleransKurus*cbb_yuvarlamaCarpan,"YUVARLAMA",IF(AND($F120&lt;&gt;"Ba",$F120&lt;&gt;"Bs"),"TIP_KARISIK",IF($C120&gt;cbb_esikFark*cbb_donemCarpan,"DONEM",IF(LEN($D120)&lt;cbb_unvanMinLen,"UNVAN","TANIMSIZ"))))))</f>
        <v/>
      </c>
    </row>
    <row r="121">
      <c r="A121" s="26">
        <f>IF('ESLESTIRME'!$A121="","",'ESLESTIRME'!$A121)</f>
        <v/>
      </c>
      <c r="B121" s="16">
        <f>IF($A121="","",IFERROR(INDEX(tblEslesme[Kova],MATCH($A121,tblEslesme[A_Norm],0)),""))</f>
        <v/>
      </c>
      <c r="C121" s="16">
        <f>IF($A121="","",IFERROR(INDEX(tblEslesme[AbsFark],MATCH($A121,tblEslesme[A_Norm],0)),0))</f>
        <v/>
      </c>
      <c r="D121" s="16">
        <f>IF($A121="","",IFERROR(INDEX(tblVeriA[Unvan],MATCH($A121,tblAnahtarA[Norm],0)),""))</f>
        <v/>
      </c>
      <c r="E121" s="16">
        <f>IF($A121="","",IFERROR(SUMIF(tblAnahtarB[NormB],$A121,tblVeriB[BelgeAdet]),0))</f>
        <v/>
      </c>
      <c r="F121" s="16">
        <f>IF($A121="","",IFERROR(INDEX(tblVeriB[FormTipi],MATCH($A121,tblAnahtarB[NormB],0)),""))</f>
        <v/>
      </c>
      <c r="G121" s="16">
        <f>IF($A121="","",IFERROR(INDEX(tblVeriA[Donem],MATCH($A121,tblAnahtarA[Norm],0)),""))</f>
        <v/>
      </c>
      <c r="H121" s="16">
        <f>IF(OR($A121="",$B121&lt;&gt;"tutar_farki"),"",IF($E121=0,"BELGE_EKSIK",IF($C121&lt;=toleransKurus*cbb_yuvarlamaCarpan,"YUVARLAMA",IF(AND($F121&lt;&gt;"Ba",$F121&lt;&gt;"Bs"),"TIP_KARISIK",IF($C121&gt;cbb_esikFark*cbb_donemCarpan,"DONEM",IF(LEN($D121)&lt;cbb_unvanMinLen,"UNVAN","TANIMSIZ"))))))</f>
        <v/>
      </c>
    </row>
    <row r="122">
      <c r="A122" s="26">
        <f>IF('ESLESTIRME'!$A122="","",'ESLESTIRME'!$A122)</f>
        <v/>
      </c>
      <c r="B122" s="16">
        <f>IF($A122="","",IFERROR(INDEX(tblEslesme[Kova],MATCH($A122,tblEslesme[A_Norm],0)),""))</f>
        <v/>
      </c>
      <c r="C122" s="16">
        <f>IF($A122="","",IFERROR(INDEX(tblEslesme[AbsFark],MATCH($A122,tblEslesme[A_Norm],0)),0))</f>
        <v/>
      </c>
      <c r="D122" s="16">
        <f>IF($A122="","",IFERROR(INDEX(tblVeriA[Unvan],MATCH($A122,tblAnahtarA[Norm],0)),""))</f>
        <v/>
      </c>
      <c r="E122" s="16">
        <f>IF($A122="","",IFERROR(SUMIF(tblAnahtarB[NormB],$A122,tblVeriB[BelgeAdet]),0))</f>
        <v/>
      </c>
      <c r="F122" s="16">
        <f>IF($A122="","",IFERROR(INDEX(tblVeriB[FormTipi],MATCH($A122,tblAnahtarB[NormB],0)),""))</f>
        <v/>
      </c>
      <c r="G122" s="16">
        <f>IF($A122="","",IFERROR(INDEX(tblVeriA[Donem],MATCH($A122,tblAnahtarA[Norm],0)),""))</f>
        <v/>
      </c>
      <c r="H122" s="16">
        <f>IF(OR($A122="",$B122&lt;&gt;"tutar_farki"),"",IF($E122=0,"BELGE_EKSIK",IF($C122&lt;=toleransKurus*cbb_yuvarlamaCarpan,"YUVARLAMA",IF(AND($F122&lt;&gt;"Ba",$F122&lt;&gt;"Bs"),"TIP_KARISIK",IF($C122&gt;cbb_esikFark*cbb_donemCarpan,"DONEM",IF(LEN($D122)&lt;cbb_unvanMinLen,"UNVAN","TANIMSIZ"))))))</f>
        <v/>
      </c>
    </row>
    <row r="123">
      <c r="A123" s="26">
        <f>IF('ESLESTIRME'!$A123="","",'ESLESTIRME'!$A123)</f>
        <v/>
      </c>
      <c r="B123" s="16">
        <f>IF($A123="","",IFERROR(INDEX(tblEslesme[Kova],MATCH($A123,tblEslesme[A_Norm],0)),""))</f>
        <v/>
      </c>
      <c r="C123" s="16">
        <f>IF($A123="","",IFERROR(INDEX(tblEslesme[AbsFark],MATCH($A123,tblEslesme[A_Norm],0)),0))</f>
        <v/>
      </c>
      <c r="D123" s="16">
        <f>IF($A123="","",IFERROR(INDEX(tblVeriA[Unvan],MATCH($A123,tblAnahtarA[Norm],0)),""))</f>
        <v/>
      </c>
      <c r="E123" s="16">
        <f>IF($A123="","",IFERROR(SUMIF(tblAnahtarB[NormB],$A123,tblVeriB[BelgeAdet]),0))</f>
        <v/>
      </c>
      <c r="F123" s="16">
        <f>IF($A123="","",IFERROR(INDEX(tblVeriB[FormTipi],MATCH($A123,tblAnahtarB[NormB],0)),""))</f>
        <v/>
      </c>
      <c r="G123" s="16">
        <f>IF($A123="","",IFERROR(INDEX(tblVeriA[Donem],MATCH($A123,tblAnahtarA[Norm],0)),""))</f>
        <v/>
      </c>
      <c r="H123" s="16">
        <f>IF(OR($A123="",$B123&lt;&gt;"tutar_farki"),"",IF($E123=0,"BELGE_EKSIK",IF($C123&lt;=toleransKurus*cbb_yuvarlamaCarpan,"YUVARLAMA",IF(AND($F123&lt;&gt;"Ba",$F123&lt;&gt;"Bs"),"TIP_KARISIK",IF($C123&gt;cbb_esikFark*cbb_donemCarpan,"DONEM",IF(LEN($D123)&lt;cbb_unvanMinLen,"UNVAN","TANIMSIZ"))))))</f>
        <v/>
      </c>
    </row>
    <row r="124">
      <c r="A124" s="26">
        <f>IF('ESLESTIRME'!$A124="","",'ESLESTIRME'!$A124)</f>
        <v/>
      </c>
      <c r="B124" s="16">
        <f>IF($A124="","",IFERROR(INDEX(tblEslesme[Kova],MATCH($A124,tblEslesme[A_Norm],0)),""))</f>
        <v/>
      </c>
      <c r="C124" s="16">
        <f>IF($A124="","",IFERROR(INDEX(tblEslesme[AbsFark],MATCH($A124,tblEslesme[A_Norm],0)),0))</f>
        <v/>
      </c>
      <c r="D124" s="16">
        <f>IF($A124="","",IFERROR(INDEX(tblVeriA[Unvan],MATCH($A124,tblAnahtarA[Norm],0)),""))</f>
        <v/>
      </c>
      <c r="E124" s="16">
        <f>IF($A124="","",IFERROR(SUMIF(tblAnahtarB[NormB],$A124,tblVeriB[BelgeAdet]),0))</f>
        <v/>
      </c>
      <c r="F124" s="16">
        <f>IF($A124="","",IFERROR(INDEX(tblVeriB[FormTipi],MATCH($A124,tblAnahtarB[NormB],0)),""))</f>
        <v/>
      </c>
      <c r="G124" s="16">
        <f>IF($A124="","",IFERROR(INDEX(tblVeriA[Donem],MATCH($A124,tblAnahtarA[Norm],0)),""))</f>
        <v/>
      </c>
      <c r="H124" s="16">
        <f>IF(OR($A124="",$B124&lt;&gt;"tutar_farki"),"",IF($E124=0,"BELGE_EKSIK",IF($C124&lt;=toleransKurus*cbb_yuvarlamaCarpan,"YUVARLAMA",IF(AND($F124&lt;&gt;"Ba",$F124&lt;&gt;"Bs"),"TIP_KARISIK",IF($C124&gt;cbb_esikFark*cbb_donemCarpan,"DONEM",IF(LEN($D124)&lt;cbb_unvanMinLen,"UNVAN","TANIMSIZ"))))))</f>
        <v/>
      </c>
    </row>
    <row r="125">
      <c r="A125" s="26">
        <f>IF('ESLESTIRME'!$A125="","",'ESLESTIRME'!$A125)</f>
        <v/>
      </c>
      <c r="B125" s="16">
        <f>IF($A125="","",IFERROR(INDEX(tblEslesme[Kova],MATCH($A125,tblEslesme[A_Norm],0)),""))</f>
        <v/>
      </c>
      <c r="C125" s="16">
        <f>IF($A125="","",IFERROR(INDEX(tblEslesme[AbsFark],MATCH($A125,tblEslesme[A_Norm],0)),0))</f>
        <v/>
      </c>
      <c r="D125" s="16">
        <f>IF($A125="","",IFERROR(INDEX(tblVeriA[Unvan],MATCH($A125,tblAnahtarA[Norm],0)),""))</f>
        <v/>
      </c>
      <c r="E125" s="16">
        <f>IF($A125="","",IFERROR(SUMIF(tblAnahtarB[NormB],$A125,tblVeriB[BelgeAdet]),0))</f>
        <v/>
      </c>
      <c r="F125" s="16">
        <f>IF($A125="","",IFERROR(INDEX(tblVeriB[FormTipi],MATCH($A125,tblAnahtarB[NormB],0)),""))</f>
        <v/>
      </c>
      <c r="G125" s="16">
        <f>IF($A125="","",IFERROR(INDEX(tblVeriA[Donem],MATCH($A125,tblAnahtarA[Norm],0)),""))</f>
        <v/>
      </c>
      <c r="H125" s="16">
        <f>IF(OR($A125="",$B125&lt;&gt;"tutar_farki"),"",IF($E125=0,"BELGE_EKSIK",IF($C125&lt;=toleransKurus*cbb_yuvarlamaCarpan,"YUVARLAMA",IF(AND($F125&lt;&gt;"Ba",$F125&lt;&gt;"Bs"),"TIP_KARISIK",IF($C125&gt;cbb_esikFark*cbb_donemCarpan,"DONEM",IF(LEN($D125)&lt;cbb_unvanMinLen,"UNVAN","TANIMSIZ"))))))</f>
        <v/>
      </c>
    </row>
    <row r="126">
      <c r="A126" s="26">
        <f>IF('ESLESTIRME'!$A126="","",'ESLESTIRME'!$A126)</f>
        <v/>
      </c>
      <c r="B126" s="16">
        <f>IF($A126="","",IFERROR(INDEX(tblEslesme[Kova],MATCH($A126,tblEslesme[A_Norm],0)),""))</f>
        <v/>
      </c>
      <c r="C126" s="16">
        <f>IF($A126="","",IFERROR(INDEX(tblEslesme[AbsFark],MATCH($A126,tblEslesme[A_Norm],0)),0))</f>
        <v/>
      </c>
      <c r="D126" s="16">
        <f>IF($A126="","",IFERROR(INDEX(tblVeriA[Unvan],MATCH($A126,tblAnahtarA[Norm],0)),""))</f>
        <v/>
      </c>
      <c r="E126" s="16">
        <f>IF($A126="","",IFERROR(SUMIF(tblAnahtarB[NormB],$A126,tblVeriB[BelgeAdet]),0))</f>
        <v/>
      </c>
      <c r="F126" s="16">
        <f>IF($A126="","",IFERROR(INDEX(tblVeriB[FormTipi],MATCH($A126,tblAnahtarB[NormB],0)),""))</f>
        <v/>
      </c>
      <c r="G126" s="16">
        <f>IF($A126="","",IFERROR(INDEX(tblVeriA[Donem],MATCH($A126,tblAnahtarA[Norm],0)),""))</f>
        <v/>
      </c>
      <c r="H126" s="16">
        <f>IF(OR($A126="",$B126&lt;&gt;"tutar_farki"),"",IF($E126=0,"BELGE_EKSIK",IF($C126&lt;=toleransKurus*cbb_yuvarlamaCarpan,"YUVARLAMA",IF(AND($F126&lt;&gt;"Ba",$F126&lt;&gt;"Bs"),"TIP_KARISIK",IF($C126&gt;cbb_esikFark*cbb_donemCarpan,"DONEM",IF(LEN($D126)&lt;cbb_unvanMinLen,"UNVAN","TANIMSIZ"))))))</f>
        <v/>
      </c>
    </row>
    <row r="127">
      <c r="A127" s="26">
        <f>IF('ESLESTIRME'!$A127="","",'ESLESTIRME'!$A127)</f>
        <v/>
      </c>
      <c r="B127" s="16">
        <f>IF($A127="","",IFERROR(INDEX(tblEslesme[Kova],MATCH($A127,tblEslesme[A_Norm],0)),""))</f>
        <v/>
      </c>
      <c r="C127" s="16">
        <f>IF($A127="","",IFERROR(INDEX(tblEslesme[AbsFark],MATCH($A127,tblEslesme[A_Norm],0)),0))</f>
        <v/>
      </c>
      <c r="D127" s="16">
        <f>IF($A127="","",IFERROR(INDEX(tblVeriA[Unvan],MATCH($A127,tblAnahtarA[Norm],0)),""))</f>
        <v/>
      </c>
      <c r="E127" s="16">
        <f>IF($A127="","",IFERROR(SUMIF(tblAnahtarB[NormB],$A127,tblVeriB[BelgeAdet]),0))</f>
        <v/>
      </c>
      <c r="F127" s="16">
        <f>IF($A127="","",IFERROR(INDEX(tblVeriB[FormTipi],MATCH($A127,tblAnahtarB[NormB],0)),""))</f>
        <v/>
      </c>
      <c r="G127" s="16">
        <f>IF($A127="","",IFERROR(INDEX(tblVeriA[Donem],MATCH($A127,tblAnahtarA[Norm],0)),""))</f>
        <v/>
      </c>
      <c r="H127" s="16">
        <f>IF(OR($A127="",$B127&lt;&gt;"tutar_farki"),"",IF($E127=0,"BELGE_EKSIK",IF($C127&lt;=toleransKurus*cbb_yuvarlamaCarpan,"YUVARLAMA",IF(AND($F127&lt;&gt;"Ba",$F127&lt;&gt;"Bs"),"TIP_KARISIK",IF($C127&gt;cbb_esikFark*cbb_donemCarpan,"DONEM",IF(LEN($D127)&lt;cbb_unvanMinLen,"UNVAN","TANIMSIZ"))))))</f>
        <v/>
      </c>
    </row>
    <row r="128">
      <c r="A128" s="26">
        <f>IF('ESLESTIRME'!$A128="","",'ESLESTIRME'!$A128)</f>
        <v/>
      </c>
      <c r="B128" s="16">
        <f>IF($A128="","",IFERROR(INDEX(tblEslesme[Kova],MATCH($A128,tblEslesme[A_Norm],0)),""))</f>
        <v/>
      </c>
      <c r="C128" s="16">
        <f>IF($A128="","",IFERROR(INDEX(tblEslesme[AbsFark],MATCH($A128,tblEslesme[A_Norm],0)),0))</f>
        <v/>
      </c>
      <c r="D128" s="16">
        <f>IF($A128="","",IFERROR(INDEX(tblVeriA[Unvan],MATCH($A128,tblAnahtarA[Norm],0)),""))</f>
        <v/>
      </c>
      <c r="E128" s="16">
        <f>IF($A128="","",IFERROR(SUMIF(tblAnahtarB[NormB],$A128,tblVeriB[BelgeAdet]),0))</f>
        <v/>
      </c>
      <c r="F128" s="16">
        <f>IF($A128="","",IFERROR(INDEX(tblVeriB[FormTipi],MATCH($A128,tblAnahtarB[NormB],0)),""))</f>
        <v/>
      </c>
      <c r="G128" s="16">
        <f>IF($A128="","",IFERROR(INDEX(tblVeriA[Donem],MATCH($A128,tblAnahtarA[Norm],0)),""))</f>
        <v/>
      </c>
      <c r="H128" s="16">
        <f>IF(OR($A128="",$B128&lt;&gt;"tutar_farki"),"",IF($E128=0,"BELGE_EKSIK",IF($C128&lt;=toleransKurus*cbb_yuvarlamaCarpan,"YUVARLAMA",IF(AND($F128&lt;&gt;"Ba",$F128&lt;&gt;"Bs"),"TIP_KARISIK",IF($C128&gt;cbb_esikFark*cbb_donemCarpan,"DONEM",IF(LEN($D128)&lt;cbb_unvanMinLen,"UNVAN","TANIMSIZ"))))))</f>
        <v/>
      </c>
    </row>
    <row r="129">
      <c r="A129" s="26">
        <f>IF('ESLESTIRME'!$A129="","",'ESLESTIRME'!$A129)</f>
        <v/>
      </c>
      <c r="B129" s="16">
        <f>IF($A129="","",IFERROR(INDEX(tblEslesme[Kova],MATCH($A129,tblEslesme[A_Norm],0)),""))</f>
        <v/>
      </c>
      <c r="C129" s="16">
        <f>IF($A129="","",IFERROR(INDEX(tblEslesme[AbsFark],MATCH($A129,tblEslesme[A_Norm],0)),0))</f>
        <v/>
      </c>
      <c r="D129" s="16">
        <f>IF($A129="","",IFERROR(INDEX(tblVeriA[Unvan],MATCH($A129,tblAnahtarA[Norm],0)),""))</f>
        <v/>
      </c>
      <c r="E129" s="16">
        <f>IF($A129="","",IFERROR(SUMIF(tblAnahtarB[NormB],$A129,tblVeriB[BelgeAdet]),0))</f>
        <v/>
      </c>
      <c r="F129" s="16">
        <f>IF($A129="","",IFERROR(INDEX(tblVeriB[FormTipi],MATCH($A129,tblAnahtarB[NormB],0)),""))</f>
        <v/>
      </c>
      <c r="G129" s="16">
        <f>IF($A129="","",IFERROR(INDEX(tblVeriA[Donem],MATCH($A129,tblAnahtarA[Norm],0)),""))</f>
        <v/>
      </c>
      <c r="H129" s="16">
        <f>IF(OR($A129="",$B129&lt;&gt;"tutar_farki"),"",IF($E129=0,"BELGE_EKSIK",IF($C129&lt;=toleransKurus*cbb_yuvarlamaCarpan,"YUVARLAMA",IF(AND($F129&lt;&gt;"Ba",$F129&lt;&gt;"Bs"),"TIP_KARISIK",IF($C129&gt;cbb_esikFark*cbb_donemCarpan,"DONEM",IF(LEN($D129)&lt;cbb_unvanMinLen,"UNVAN","TANIMSIZ"))))))</f>
        <v/>
      </c>
    </row>
    <row r="130">
      <c r="A130" s="26">
        <f>IF('ESLESTIRME'!$A130="","",'ESLESTIRME'!$A130)</f>
        <v/>
      </c>
      <c r="B130" s="16">
        <f>IF($A130="","",IFERROR(INDEX(tblEslesme[Kova],MATCH($A130,tblEslesme[A_Norm],0)),""))</f>
        <v/>
      </c>
      <c r="C130" s="16">
        <f>IF($A130="","",IFERROR(INDEX(tblEslesme[AbsFark],MATCH($A130,tblEslesme[A_Norm],0)),0))</f>
        <v/>
      </c>
      <c r="D130" s="16">
        <f>IF($A130="","",IFERROR(INDEX(tblVeriA[Unvan],MATCH($A130,tblAnahtarA[Norm],0)),""))</f>
        <v/>
      </c>
      <c r="E130" s="16">
        <f>IF($A130="","",IFERROR(SUMIF(tblAnahtarB[NormB],$A130,tblVeriB[BelgeAdet]),0))</f>
        <v/>
      </c>
      <c r="F130" s="16">
        <f>IF($A130="","",IFERROR(INDEX(tblVeriB[FormTipi],MATCH($A130,tblAnahtarB[NormB],0)),""))</f>
        <v/>
      </c>
      <c r="G130" s="16">
        <f>IF($A130="","",IFERROR(INDEX(tblVeriA[Donem],MATCH($A130,tblAnahtarA[Norm],0)),""))</f>
        <v/>
      </c>
      <c r="H130" s="16">
        <f>IF(OR($A130="",$B130&lt;&gt;"tutar_farki"),"",IF($E130=0,"BELGE_EKSIK",IF($C130&lt;=toleransKurus*cbb_yuvarlamaCarpan,"YUVARLAMA",IF(AND($F130&lt;&gt;"Ba",$F130&lt;&gt;"Bs"),"TIP_KARISIK",IF($C130&gt;cbb_esikFark*cbb_donemCarpan,"DONEM",IF(LEN($D130)&lt;cbb_unvanMinLen,"UNVAN","TANIMSIZ"))))))</f>
        <v/>
      </c>
    </row>
    <row r="131">
      <c r="A131" s="26">
        <f>IF('ESLESTIRME'!$A131="","",'ESLESTIRME'!$A131)</f>
        <v/>
      </c>
      <c r="B131" s="16">
        <f>IF($A131="","",IFERROR(INDEX(tblEslesme[Kova],MATCH($A131,tblEslesme[A_Norm],0)),""))</f>
        <v/>
      </c>
      <c r="C131" s="16">
        <f>IF($A131="","",IFERROR(INDEX(tblEslesme[AbsFark],MATCH($A131,tblEslesme[A_Norm],0)),0))</f>
        <v/>
      </c>
      <c r="D131" s="16">
        <f>IF($A131="","",IFERROR(INDEX(tblVeriA[Unvan],MATCH($A131,tblAnahtarA[Norm],0)),""))</f>
        <v/>
      </c>
      <c r="E131" s="16">
        <f>IF($A131="","",IFERROR(SUMIF(tblAnahtarB[NormB],$A131,tblVeriB[BelgeAdet]),0))</f>
        <v/>
      </c>
      <c r="F131" s="16">
        <f>IF($A131="","",IFERROR(INDEX(tblVeriB[FormTipi],MATCH($A131,tblAnahtarB[NormB],0)),""))</f>
        <v/>
      </c>
      <c r="G131" s="16">
        <f>IF($A131="","",IFERROR(INDEX(tblVeriA[Donem],MATCH($A131,tblAnahtarA[Norm],0)),""))</f>
        <v/>
      </c>
      <c r="H131" s="16">
        <f>IF(OR($A131="",$B131&lt;&gt;"tutar_farki"),"",IF($E131=0,"BELGE_EKSIK",IF($C131&lt;=toleransKurus*cbb_yuvarlamaCarpan,"YUVARLAMA",IF(AND($F131&lt;&gt;"Ba",$F131&lt;&gt;"Bs"),"TIP_KARISIK",IF($C131&gt;cbb_esikFark*cbb_donemCarpan,"DONEM",IF(LEN($D131)&lt;cbb_unvanMinLen,"UNVAN","TANIMSIZ"))))))</f>
        <v/>
      </c>
    </row>
    <row r="132">
      <c r="A132" s="26">
        <f>IF('ESLESTIRME'!$A132="","",'ESLESTIRME'!$A132)</f>
        <v/>
      </c>
      <c r="B132" s="16">
        <f>IF($A132="","",IFERROR(INDEX(tblEslesme[Kova],MATCH($A132,tblEslesme[A_Norm],0)),""))</f>
        <v/>
      </c>
      <c r="C132" s="16">
        <f>IF($A132="","",IFERROR(INDEX(tblEslesme[AbsFark],MATCH($A132,tblEslesme[A_Norm],0)),0))</f>
        <v/>
      </c>
      <c r="D132" s="16">
        <f>IF($A132="","",IFERROR(INDEX(tblVeriA[Unvan],MATCH($A132,tblAnahtarA[Norm],0)),""))</f>
        <v/>
      </c>
      <c r="E132" s="16">
        <f>IF($A132="","",IFERROR(SUMIF(tblAnahtarB[NormB],$A132,tblVeriB[BelgeAdet]),0))</f>
        <v/>
      </c>
      <c r="F132" s="16">
        <f>IF($A132="","",IFERROR(INDEX(tblVeriB[FormTipi],MATCH($A132,tblAnahtarB[NormB],0)),""))</f>
        <v/>
      </c>
      <c r="G132" s="16">
        <f>IF($A132="","",IFERROR(INDEX(tblVeriA[Donem],MATCH($A132,tblAnahtarA[Norm],0)),""))</f>
        <v/>
      </c>
      <c r="H132" s="16">
        <f>IF(OR($A132="",$B132&lt;&gt;"tutar_farki"),"",IF($E132=0,"BELGE_EKSIK",IF($C132&lt;=toleransKurus*cbb_yuvarlamaCarpan,"YUVARLAMA",IF(AND($F132&lt;&gt;"Ba",$F132&lt;&gt;"Bs"),"TIP_KARISIK",IF($C132&gt;cbb_esikFark*cbb_donemCarpan,"DONEM",IF(LEN($D132)&lt;cbb_unvanMinLen,"UNVAN","TANIMSIZ"))))))</f>
        <v/>
      </c>
    </row>
    <row r="133">
      <c r="A133" s="26">
        <f>IF('ESLESTIRME'!$A133="","",'ESLESTIRME'!$A133)</f>
        <v/>
      </c>
      <c r="B133" s="16">
        <f>IF($A133="","",IFERROR(INDEX(tblEslesme[Kova],MATCH($A133,tblEslesme[A_Norm],0)),""))</f>
        <v/>
      </c>
      <c r="C133" s="16">
        <f>IF($A133="","",IFERROR(INDEX(tblEslesme[AbsFark],MATCH($A133,tblEslesme[A_Norm],0)),0))</f>
        <v/>
      </c>
      <c r="D133" s="16">
        <f>IF($A133="","",IFERROR(INDEX(tblVeriA[Unvan],MATCH($A133,tblAnahtarA[Norm],0)),""))</f>
        <v/>
      </c>
      <c r="E133" s="16">
        <f>IF($A133="","",IFERROR(SUMIF(tblAnahtarB[NormB],$A133,tblVeriB[BelgeAdet]),0))</f>
        <v/>
      </c>
      <c r="F133" s="16">
        <f>IF($A133="","",IFERROR(INDEX(tblVeriB[FormTipi],MATCH($A133,tblAnahtarB[NormB],0)),""))</f>
        <v/>
      </c>
      <c r="G133" s="16">
        <f>IF($A133="","",IFERROR(INDEX(tblVeriA[Donem],MATCH($A133,tblAnahtarA[Norm],0)),""))</f>
        <v/>
      </c>
      <c r="H133" s="16">
        <f>IF(OR($A133="",$B133&lt;&gt;"tutar_farki"),"",IF($E133=0,"BELGE_EKSIK",IF($C133&lt;=toleransKurus*cbb_yuvarlamaCarpan,"YUVARLAMA",IF(AND($F133&lt;&gt;"Ba",$F133&lt;&gt;"Bs"),"TIP_KARISIK",IF($C133&gt;cbb_esikFark*cbb_donemCarpan,"DONEM",IF(LEN($D133)&lt;cbb_unvanMinLen,"UNVAN","TANIMSIZ"))))))</f>
        <v/>
      </c>
    </row>
    <row r="134">
      <c r="A134" s="26">
        <f>IF('ESLESTIRME'!$A134="","",'ESLESTIRME'!$A134)</f>
        <v/>
      </c>
      <c r="B134" s="16">
        <f>IF($A134="","",IFERROR(INDEX(tblEslesme[Kova],MATCH($A134,tblEslesme[A_Norm],0)),""))</f>
        <v/>
      </c>
      <c r="C134" s="16">
        <f>IF($A134="","",IFERROR(INDEX(tblEslesme[AbsFark],MATCH($A134,tblEslesme[A_Norm],0)),0))</f>
        <v/>
      </c>
      <c r="D134" s="16">
        <f>IF($A134="","",IFERROR(INDEX(tblVeriA[Unvan],MATCH($A134,tblAnahtarA[Norm],0)),""))</f>
        <v/>
      </c>
      <c r="E134" s="16">
        <f>IF($A134="","",IFERROR(SUMIF(tblAnahtarB[NormB],$A134,tblVeriB[BelgeAdet]),0))</f>
        <v/>
      </c>
      <c r="F134" s="16">
        <f>IF($A134="","",IFERROR(INDEX(tblVeriB[FormTipi],MATCH($A134,tblAnahtarB[NormB],0)),""))</f>
        <v/>
      </c>
      <c r="G134" s="16">
        <f>IF($A134="","",IFERROR(INDEX(tblVeriA[Donem],MATCH($A134,tblAnahtarA[Norm],0)),""))</f>
        <v/>
      </c>
      <c r="H134" s="16">
        <f>IF(OR($A134="",$B134&lt;&gt;"tutar_farki"),"",IF($E134=0,"BELGE_EKSIK",IF($C134&lt;=toleransKurus*cbb_yuvarlamaCarpan,"YUVARLAMA",IF(AND($F134&lt;&gt;"Ba",$F134&lt;&gt;"Bs"),"TIP_KARISIK",IF($C134&gt;cbb_esikFark*cbb_donemCarpan,"DONEM",IF(LEN($D134)&lt;cbb_unvanMinLen,"UNVAN","TANIMSIZ"))))))</f>
        <v/>
      </c>
    </row>
    <row r="135">
      <c r="A135" s="26">
        <f>IF('ESLESTIRME'!$A135="","",'ESLESTIRME'!$A135)</f>
        <v/>
      </c>
      <c r="B135" s="16">
        <f>IF($A135="","",IFERROR(INDEX(tblEslesme[Kova],MATCH($A135,tblEslesme[A_Norm],0)),""))</f>
        <v/>
      </c>
      <c r="C135" s="16">
        <f>IF($A135="","",IFERROR(INDEX(tblEslesme[AbsFark],MATCH($A135,tblEslesme[A_Norm],0)),0))</f>
        <v/>
      </c>
      <c r="D135" s="16">
        <f>IF($A135="","",IFERROR(INDEX(tblVeriA[Unvan],MATCH($A135,tblAnahtarA[Norm],0)),""))</f>
        <v/>
      </c>
      <c r="E135" s="16">
        <f>IF($A135="","",IFERROR(SUMIF(tblAnahtarB[NormB],$A135,tblVeriB[BelgeAdet]),0))</f>
        <v/>
      </c>
      <c r="F135" s="16">
        <f>IF($A135="","",IFERROR(INDEX(tblVeriB[FormTipi],MATCH($A135,tblAnahtarB[NormB],0)),""))</f>
        <v/>
      </c>
      <c r="G135" s="16">
        <f>IF($A135="","",IFERROR(INDEX(tblVeriA[Donem],MATCH($A135,tblAnahtarA[Norm],0)),""))</f>
        <v/>
      </c>
      <c r="H135" s="16">
        <f>IF(OR($A135="",$B135&lt;&gt;"tutar_farki"),"",IF($E135=0,"BELGE_EKSIK",IF($C135&lt;=toleransKurus*cbb_yuvarlamaCarpan,"YUVARLAMA",IF(AND($F135&lt;&gt;"Ba",$F135&lt;&gt;"Bs"),"TIP_KARISIK",IF($C135&gt;cbb_esikFark*cbb_donemCarpan,"DONEM",IF(LEN($D135)&lt;cbb_unvanMinLen,"UNVAN","TANIMSIZ"))))))</f>
        <v/>
      </c>
    </row>
    <row r="136">
      <c r="A136" s="26">
        <f>IF('ESLESTIRME'!$A136="","",'ESLESTIRME'!$A136)</f>
        <v/>
      </c>
      <c r="B136" s="16">
        <f>IF($A136="","",IFERROR(INDEX(tblEslesme[Kova],MATCH($A136,tblEslesme[A_Norm],0)),""))</f>
        <v/>
      </c>
      <c r="C136" s="16">
        <f>IF($A136="","",IFERROR(INDEX(tblEslesme[AbsFark],MATCH($A136,tblEslesme[A_Norm],0)),0))</f>
        <v/>
      </c>
      <c r="D136" s="16">
        <f>IF($A136="","",IFERROR(INDEX(tblVeriA[Unvan],MATCH($A136,tblAnahtarA[Norm],0)),""))</f>
        <v/>
      </c>
      <c r="E136" s="16">
        <f>IF($A136="","",IFERROR(SUMIF(tblAnahtarB[NormB],$A136,tblVeriB[BelgeAdet]),0))</f>
        <v/>
      </c>
      <c r="F136" s="16">
        <f>IF($A136="","",IFERROR(INDEX(tblVeriB[FormTipi],MATCH($A136,tblAnahtarB[NormB],0)),""))</f>
        <v/>
      </c>
      <c r="G136" s="16">
        <f>IF($A136="","",IFERROR(INDEX(tblVeriA[Donem],MATCH($A136,tblAnahtarA[Norm],0)),""))</f>
        <v/>
      </c>
      <c r="H136" s="16">
        <f>IF(OR($A136="",$B136&lt;&gt;"tutar_farki"),"",IF($E136=0,"BELGE_EKSIK",IF($C136&lt;=toleransKurus*cbb_yuvarlamaCarpan,"YUVARLAMA",IF(AND($F136&lt;&gt;"Ba",$F136&lt;&gt;"Bs"),"TIP_KARISIK",IF($C136&gt;cbb_esikFark*cbb_donemCarpan,"DONEM",IF(LEN($D136)&lt;cbb_unvanMinLen,"UNVAN","TANIMSIZ"))))))</f>
        <v/>
      </c>
    </row>
    <row r="137">
      <c r="A137" s="26">
        <f>IF('ESLESTIRME'!$A137="","",'ESLESTIRME'!$A137)</f>
        <v/>
      </c>
      <c r="B137" s="16">
        <f>IF($A137="","",IFERROR(INDEX(tblEslesme[Kova],MATCH($A137,tblEslesme[A_Norm],0)),""))</f>
        <v/>
      </c>
      <c r="C137" s="16">
        <f>IF($A137="","",IFERROR(INDEX(tblEslesme[AbsFark],MATCH($A137,tblEslesme[A_Norm],0)),0))</f>
        <v/>
      </c>
      <c r="D137" s="16">
        <f>IF($A137="","",IFERROR(INDEX(tblVeriA[Unvan],MATCH($A137,tblAnahtarA[Norm],0)),""))</f>
        <v/>
      </c>
      <c r="E137" s="16">
        <f>IF($A137="","",IFERROR(SUMIF(tblAnahtarB[NormB],$A137,tblVeriB[BelgeAdet]),0))</f>
        <v/>
      </c>
      <c r="F137" s="16">
        <f>IF($A137="","",IFERROR(INDEX(tblVeriB[FormTipi],MATCH($A137,tblAnahtarB[NormB],0)),""))</f>
        <v/>
      </c>
      <c r="G137" s="16">
        <f>IF($A137="","",IFERROR(INDEX(tblVeriA[Donem],MATCH($A137,tblAnahtarA[Norm],0)),""))</f>
        <v/>
      </c>
      <c r="H137" s="16">
        <f>IF(OR($A137="",$B137&lt;&gt;"tutar_farki"),"",IF($E137=0,"BELGE_EKSIK",IF($C137&lt;=toleransKurus*cbb_yuvarlamaCarpan,"YUVARLAMA",IF(AND($F137&lt;&gt;"Ba",$F137&lt;&gt;"Bs"),"TIP_KARISIK",IF($C137&gt;cbb_esikFark*cbb_donemCarpan,"DONEM",IF(LEN($D137)&lt;cbb_unvanMinLen,"UNVAN","TANIMSIZ"))))))</f>
        <v/>
      </c>
    </row>
    <row r="138">
      <c r="A138" s="26">
        <f>IF('ESLESTIRME'!$A138="","",'ESLESTIRME'!$A138)</f>
        <v/>
      </c>
      <c r="B138" s="16">
        <f>IF($A138="","",IFERROR(INDEX(tblEslesme[Kova],MATCH($A138,tblEslesme[A_Norm],0)),""))</f>
        <v/>
      </c>
      <c r="C138" s="16">
        <f>IF($A138="","",IFERROR(INDEX(tblEslesme[AbsFark],MATCH($A138,tblEslesme[A_Norm],0)),0))</f>
        <v/>
      </c>
      <c r="D138" s="16">
        <f>IF($A138="","",IFERROR(INDEX(tblVeriA[Unvan],MATCH($A138,tblAnahtarA[Norm],0)),""))</f>
        <v/>
      </c>
      <c r="E138" s="16">
        <f>IF($A138="","",IFERROR(SUMIF(tblAnahtarB[NormB],$A138,tblVeriB[BelgeAdet]),0))</f>
        <v/>
      </c>
      <c r="F138" s="16">
        <f>IF($A138="","",IFERROR(INDEX(tblVeriB[FormTipi],MATCH($A138,tblAnahtarB[NormB],0)),""))</f>
        <v/>
      </c>
      <c r="G138" s="16">
        <f>IF($A138="","",IFERROR(INDEX(tblVeriA[Donem],MATCH($A138,tblAnahtarA[Norm],0)),""))</f>
        <v/>
      </c>
      <c r="H138" s="16">
        <f>IF(OR($A138="",$B138&lt;&gt;"tutar_farki"),"",IF($E138=0,"BELGE_EKSIK",IF($C138&lt;=toleransKurus*cbb_yuvarlamaCarpan,"YUVARLAMA",IF(AND($F138&lt;&gt;"Ba",$F138&lt;&gt;"Bs"),"TIP_KARISIK",IF($C138&gt;cbb_esikFark*cbb_donemCarpan,"DONEM",IF(LEN($D138)&lt;cbb_unvanMinLen,"UNVAN","TANIMSIZ"))))))</f>
        <v/>
      </c>
    </row>
    <row r="139">
      <c r="A139" s="26">
        <f>IF('ESLESTIRME'!$A139="","",'ESLESTIRME'!$A139)</f>
        <v/>
      </c>
      <c r="B139" s="16">
        <f>IF($A139="","",IFERROR(INDEX(tblEslesme[Kova],MATCH($A139,tblEslesme[A_Norm],0)),""))</f>
        <v/>
      </c>
      <c r="C139" s="16">
        <f>IF($A139="","",IFERROR(INDEX(tblEslesme[AbsFark],MATCH($A139,tblEslesme[A_Norm],0)),0))</f>
        <v/>
      </c>
      <c r="D139" s="16">
        <f>IF($A139="","",IFERROR(INDEX(tblVeriA[Unvan],MATCH($A139,tblAnahtarA[Norm],0)),""))</f>
        <v/>
      </c>
      <c r="E139" s="16">
        <f>IF($A139="","",IFERROR(SUMIF(tblAnahtarB[NormB],$A139,tblVeriB[BelgeAdet]),0))</f>
        <v/>
      </c>
      <c r="F139" s="16">
        <f>IF($A139="","",IFERROR(INDEX(tblVeriB[FormTipi],MATCH($A139,tblAnahtarB[NormB],0)),""))</f>
        <v/>
      </c>
      <c r="G139" s="16">
        <f>IF($A139="","",IFERROR(INDEX(tblVeriA[Donem],MATCH($A139,tblAnahtarA[Norm],0)),""))</f>
        <v/>
      </c>
      <c r="H139" s="16">
        <f>IF(OR($A139="",$B139&lt;&gt;"tutar_farki"),"",IF($E139=0,"BELGE_EKSIK",IF($C139&lt;=toleransKurus*cbb_yuvarlamaCarpan,"YUVARLAMA",IF(AND($F139&lt;&gt;"Ba",$F139&lt;&gt;"Bs"),"TIP_KARISIK",IF($C139&gt;cbb_esikFark*cbb_donemCarpan,"DONEM",IF(LEN($D139)&lt;cbb_unvanMinLen,"UNVAN","TANIMSIZ"))))))</f>
        <v/>
      </c>
    </row>
    <row r="140">
      <c r="A140" s="26">
        <f>IF('ESLESTIRME'!$A140="","",'ESLESTIRME'!$A140)</f>
        <v/>
      </c>
      <c r="B140" s="16">
        <f>IF($A140="","",IFERROR(INDEX(tblEslesme[Kova],MATCH($A140,tblEslesme[A_Norm],0)),""))</f>
        <v/>
      </c>
      <c r="C140" s="16">
        <f>IF($A140="","",IFERROR(INDEX(tblEslesme[AbsFark],MATCH($A140,tblEslesme[A_Norm],0)),0))</f>
        <v/>
      </c>
      <c r="D140" s="16">
        <f>IF($A140="","",IFERROR(INDEX(tblVeriA[Unvan],MATCH($A140,tblAnahtarA[Norm],0)),""))</f>
        <v/>
      </c>
      <c r="E140" s="16">
        <f>IF($A140="","",IFERROR(SUMIF(tblAnahtarB[NormB],$A140,tblVeriB[BelgeAdet]),0))</f>
        <v/>
      </c>
      <c r="F140" s="16">
        <f>IF($A140="","",IFERROR(INDEX(tblVeriB[FormTipi],MATCH($A140,tblAnahtarB[NormB],0)),""))</f>
        <v/>
      </c>
      <c r="G140" s="16">
        <f>IF($A140="","",IFERROR(INDEX(tblVeriA[Donem],MATCH($A140,tblAnahtarA[Norm],0)),""))</f>
        <v/>
      </c>
      <c r="H140" s="16">
        <f>IF(OR($A140="",$B140&lt;&gt;"tutar_farki"),"",IF($E140=0,"BELGE_EKSIK",IF($C140&lt;=toleransKurus*cbb_yuvarlamaCarpan,"YUVARLAMA",IF(AND($F140&lt;&gt;"Ba",$F140&lt;&gt;"Bs"),"TIP_KARISIK",IF($C140&gt;cbb_esikFark*cbb_donemCarpan,"DONEM",IF(LEN($D140)&lt;cbb_unvanMinLen,"UNVAN","TANIMSIZ"))))))</f>
        <v/>
      </c>
    </row>
    <row r="141">
      <c r="A141" s="26">
        <f>IF('ESLESTIRME'!$A141="","",'ESLESTIRME'!$A141)</f>
        <v/>
      </c>
      <c r="B141" s="16">
        <f>IF($A141="","",IFERROR(INDEX(tblEslesme[Kova],MATCH($A141,tblEslesme[A_Norm],0)),""))</f>
        <v/>
      </c>
      <c r="C141" s="16">
        <f>IF($A141="","",IFERROR(INDEX(tblEslesme[AbsFark],MATCH($A141,tblEslesme[A_Norm],0)),0))</f>
        <v/>
      </c>
      <c r="D141" s="16">
        <f>IF($A141="","",IFERROR(INDEX(tblVeriA[Unvan],MATCH($A141,tblAnahtarA[Norm],0)),""))</f>
        <v/>
      </c>
      <c r="E141" s="16">
        <f>IF($A141="","",IFERROR(SUMIF(tblAnahtarB[NormB],$A141,tblVeriB[BelgeAdet]),0))</f>
        <v/>
      </c>
      <c r="F141" s="16">
        <f>IF($A141="","",IFERROR(INDEX(tblVeriB[FormTipi],MATCH($A141,tblAnahtarB[NormB],0)),""))</f>
        <v/>
      </c>
      <c r="G141" s="16">
        <f>IF($A141="","",IFERROR(INDEX(tblVeriA[Donem],MATCH($A141,tblAnahtarA[Norm],0)),""))</f>
        <v/>
      </c>
      <c r="H141" s="16">
        <f>IF(OR($A141="",$B141&lt;&gt;"tutar_farki"),"",IF($E141=0,"BELGE_EKSIK",IF($C141&lt;=toleransKurus*cbb_yuvarlamaCarpan,"YUVARLAMA",IF(AND($F141&lt;&gt;"Ba",$F141&lt;&gt;"Bs"),"TIP_KARISIK",IF($C141&gt;cbb_esikFark*cbb_donemCarpan,"DONEM",IF(LEN($D141)&lt;cbb_unvanMinLen,"UNVAN","TANIMSIZ"))))))</f>
        <v/>
      </c>
    </row>
    <row r="142">
      <c r="A142" s="26">
        <f>IF('ESLESTIRME'!$A142="","",'ESLESTIRME'!$A142)</f>
        <v/>
      </c>
      <c r="B142" s="16">
        <f>IF($A142="","",IFERROR(INDEX(tblEslesme[Kova],MATCH($A142,tblEslesme[A_Norm],0)),""))</f>
        <v/>
      </c>
      <c r="C142" s="16">
        <f>IF($A142="","",IFERROR(INDEX(tblEslesme[AbsFark],MATCH($A142,tblEslesme[A_Norm],0)),0))</f>
        <v/>
      </c>
      <c r="D142" s="16">
        <f>IF($A142="","",IFERROR(INDEX(tblVeriA[Unvan],MATCH($A142,tblAnahtarA[Norm],0)),""))</f>
        <v/>
      </c>
      <c r="E142" s="16">
        <f>IF($A142="","",IFERROR(SUMIF(tblAnahtarB[NormB],$A142,tblVeriB[BelgeAdet]),0))</f>
        <v/>
      </c>
      <c r="F142" s="16">
        <f>IF($A142="","",IFERROR(INDEX(tblVeriB[FormTipi],MATCH($A142,tblAnahtarB[NormB],0)),""))</f>
        <v/>
      </c>
      <c r="G142" s="16">
        <f>IF($A142="","",IFERROR(INDEX(tblVeriA[Donem],MATCH($A142,tblAnahtarA[Norm],0)),""))</f>
        <v/>
      </c>
      <c r="H142" s="16">
        <f>IF(OR($A142="",$B142&lt;&gt;"tutar_farki"),"",IF($E142=0,"BELGE_EKSIK",IF($C142&lt;=toleransKurus*cbb_yuvarlamaCarpan,"YUVARLAMA",IF(AND($F142&lt;&gt;"Ba",$F142&lt;&gt;"Bs"),"TIP_KARISIK",IF($C142&gt;cbb_esikFark*cbb_donemCarpan,"DONEM",IF(LEN($D142)&lt;cbb_unvanMinLen,"UNVAN","TANIMSIZ"))))))</f>
        <v/>
      </c>
    </row>
    <row r="143">
      <c r="A143" s="26">
        <f>IF('ESLESTIRME'!$A143="","",'ESLESTIRME'!$A143)</f>
        <v/>
      </c>
      <c r="B143" s="16">
        <f>IF($A143="","",IFERROR(INDEX(tblEslesme[Kova],MATCH($A143,tblEslesme[A_Norm],0)),""))</f>
        <v/>
      </c>
      <c r="C143" s="16">
        <f>IF($A143="","",IFERROR(INDEX(tblEslesme[AbsFark],MATCH($A143,tblEslesme[A_Norm],0)),0))</f>
        <v/>
      </c>
      <c r="D143" s="16">
        <f>IF($A143="","",IFERROR(INDEX(tblVeriA[Unvan],MATCH($A143,tblAnahtarA[Norm],0)),""))</f>
        <v/>
      </c>
      <c r="E143" s="16">
        <f>IF($A143="","",IFERROR(SUMIF(tblAnahtarB[NormB],$A143,tblVeriB[BelgeAdet]),0))</f>
        <v/>
      </c>
      <c r="F143" s="16">
        <f>IF($A143="","",IFERROR(INDEX(tblVeriB[FormTipi],MATCH($A143,tblAnahtarB[NormB],0)),""))</f>
        <v/>
      </c>
      <c r="G143" s="16">
        <f>IF($A143="","",IFERROR(INDEX(tblVeriA[Donem],MATCH($A143,tblAnahtarA[Norm],0)),""))</f>
        <v/>
      </c>
      <c r="H143" s="16">
        <f>IF(OR($A143="",$B143&lt;&gt;"tutar_farki"),"",IF($E143=0,"BELGE_EKSIK",IF($C143&lt;=toleransKurus*cbb_yuvarlamaCarpan,"YUVARLAMA",IF(AND($F143&lt;&gt;"Ba",$F143&lt;&gt;"Bs"),"TIP_KARISIK",IF($C143&gt;cbb_esikFark*cbb_donemCarpan,"DONEM",IF(LEN($D143)&lt;cbb_unvanMinLen,"UNVAN","TANIMSIZ"))))))</f>
        <v/>
      </c>
    </row>
    <row r="144">
      <c r="A144" s="26">
        <f>IF('ESLESTIRME'!$A144="","",'ESLESTIRME'!$A144)</f>
        <v/>
      </c>
      <c r="B144" s="16">
        <f>IF($A144="","",IFERROR(INDEX(tblEslesme[Kova],MATCH($A144,tblEslesme[A_Norm],0)),""))</f>
        <v/>
      </c>
      <c r="C144" s="16">
        <f>IF($A144="","",IFERROR(INDEX(tblEslesme[AbsFark],MATCH($A144,tblEslesme[A_Norm],0)),0))</f>
        <v/>
      </c>
      <c r="D144" s="16">
        <f>IF($A144="","",IFERROR(INDEX(tblVeriA[Unvan],MATCH($A144,tblAnahtarA[Norm],0)),""))</f>
        <v/>
      </c>
      <c r="E144" s="16">
        <f>IF($A144="","",IFERROR(SUMIF(tblAnahtarB[NormB],$A144,tblVeriB[BelgeAdet]),0))</f>
        <v/>
      </c>
      <c r="F144" s="16">
        <f>IF($A144="","",IFERROR(INDEX(tblVeriB[FormTipi],MATCH($A144,tblAnahtarB[NormB],0)),""))</f>
        <v/>
      </c>
      <c r="G144" s="16">
        <f>IF($A144="","",IFERROR(INDEX(tblVeriA[Donem],MATCH($A144,tblAnahtarA[Norm],0)),""))</f>
        <v/>
      </c>
      <c r="H144" s="16">
        <f>IF(OR($A144="",$B144&lt;&gt;"tutar_farki"),"",IF($E144=0,"BELGE_EKSIK",IF($C144&lt;=toleransKurus*cbb_yuvarlamaCarpan,"YUVARLAMA",IF(AND($F144&lt;&gt;"Ba",$F144&lt;&gt;"Bs"),"TIP_KARISIK",IF($C144&gt;cbb_esikFark*cbb_donemCarpan,"DONEM",IF(LEN($D144)&lt;cbb_unvanMinLen,"UNVAN","TANIMSIZ"))))))</f>
        <v/>
      </c>
    </row>
    <row r="145">
      <c r="A145" s="26">
        <f>IF('ESLESTIRME'!$A145="","",'ESLESTIRME'!$A145)</f>
        <v/>
      </c>
      <c r="B145" s="16">
        <f>IF($A145="","",IFERROR(INDEX(tblEslesme[Kova],MATCH($A145,tblEslesme[A_Norm],0)),""))</f>
        <v/>
      </c>
      <c r="C145" s="16">
        <f>IF($A145="","",IFERROR(INDEX(tblEslesme[AbsFark],MATCH($A145,tblEslesme[A_Norm],0)),0))</f>
        <v/>
      </c>
      <c r="D145" s="16">
        <f>IF($A145="","",IFERROR(INDEX(tblVeriA[Unvan],MATCH($A145,tblAnahtarA[Norm],0)),""))</f>
        <v/>
      </c>
      <c r="E145" s="16">
        <f>IF($A145="","",IFERROR(SUMIF(tblAnahtarB[NormB],$A145,tblVeriB[BelgeAdet]),0))</f>
        <v/>
      </c>
      <c r="F145" s="16">
        <f>IF($A145="","",IFERROR(INDEX(tblVeriB[FormTipi],MATCH($A145,tblAnahtarB[NormB],0)),""))</f>
        <v/>
      </c>
      <c r="G145" s="16">
        <f>IF($A145="","",IFERROR(INDEX(tblVeriA[Donem],MATCH($A145,tblAnahtarA[Norm],0)),""))</f>
        <v/>
      </c>
      <c r="H145" s="16">
        <f>IF(OR($A145="",$B145&lt;&gt;"tutar_farki"),"",IF($E145=0,"BELGE_EKSIK",IF($C145&lt;=toleransKurus*cbb_yuvarlamaCarpan,"YUVARLAMA",IF(AND($F145&lt;&gt;"Ba",$F145&lt;&gt;"Bs"),"TIP_KARISIK",IF($C145&gt;cbb_esikFark*cbb_donemCarpan,"DONEM",IF(LEN($D145)&lt;cbb_unvanMinLen,"UNVAN","TANIMSIZ"))))))</f>
        <v/>
      </c>
    </row>
    <row r="146">
      <c r="A146" s="26">
        <f>IF('ESLESTIRME'!$A146="","",'ESLESTIRME'!$A146)</f>
        <v/>
      </c>
      <c r="B146" s="16">
        <f>IF($A146="","",IFERROR(INDEX(tblEslesme[Kova],MATCH($A146,tblEslesme[A_Norm],0)),""))</f>
        <v/>
      </c>
      <c r="C146" s="16">
        <f>IF($A146="","",IFERROR(INDEX(tblEslesme[AbsFark],MATCH($A146,tblEslesme[A_Norm],0)),0))</f>
        <v/>
      </c>
      <c r="D146" s="16">
        <f>IF($A146="","",IFERROR(INDEX(tblVeriA[Unvan],MATCH($A146,tblAnahtarA[Norm],0)),""))</f>
        <v/>
      </c>
      <c r="E146" s="16">
        <f>IF($A146="","",IFERROR(SUMIF(tblAnahtarB[NormB],$A146,tblVeriB[BelgeAdet]),0))</f>
        <v/>
      </c>
      <c r="F146" s="16">
        <f>IF($A146="","",IFERROR(INDEX(tblVeriB[FormTipi],MATCH($A146,tblAnahtarB[NormB],0)),""))</f>
        <v/>
      </c>
      <c r="G146" s="16">
        <f>IF($A146="","",IFERROR(INDEX(tblVeriA[Donem],MATCH($A146,tblAnahtarA[Norm],0)),""))</f>
        <v/>
      </c>
      <c r="H146" s="16">
        <f>IF(OR($A146="",$B146&lt;&gt;"tutar_farki"),"",IF($E146=0,"BELGE_EKSIK",IF($C146&lt;=toleransKurus*cbb_yuvarlamaCarpan,"YUVARLAMA",IF(AND($F146&lt;&gt;"Ba",$F146&lt;&gt;"Bs"),"TIP_KARISIK",IF($C146&gt;cbb_esikFark*cbb_donemCarpan,"DONEM",IF(LEN($D146)&lt;cbb_unvanMinLen,"UNVAN","TANIMSIZ"))))))</f>
        <v/>
      </c>
    </row>
    <row r="147">
      <c r="A147" s="26">
        <f>IF('ESLESTIRME'!$A147="","",'ESLESTIRME'!$A147)</f>
        <v/>
      </c>
      <c r="B147" s="16">
        <f>IF($A147="","",IFERROR(INDEX(tblEslesme[Kova],MATCH($A147,tblEslesme[A_Norm],0)),""))</f>
        <v/>
      </c>
      <c r="C147" s="16">
        <f>IF($A147="","",IFERROR(INDEX(tblEslesme[AbsFark],MATCH($A147,tblEslesme[A_Norm],0)),0))</f>
        <v/>
      </c>
      <c r="D147" s="16">
        <f>IF($A147="","",IFERROR(INDEX(tblVeriA[Unvan],MATCH($A147,tblAnahtarA[Norm],0)),""))</f>
        <v/>
      </c>
      <c r="E147" s="16">
        <f>IF($A147="","",IFERROR(SUMIF(tblAnahtarB[NormB],$A147,tblVeriB[BelgeAdet]),0))</f>
        <v/>
      </c>
      <c r="F147" s="16">
        <f>IF($A147="","",IFERROR(INDEX(tblVeriB[FormTipi],MATCH($A147,tblAnahtarB[NormB],0)),""))</f>
        <v/>
      </c>
      <c r="G147" s="16">
        <f>IF($A147="","",IFERROR(INDEX(tblVeriA[Donem],MATCH($A147,tblAnahtarA[Norm],0)),""))</f>
        <v/>
      </c>
      <c r="H147" s="16">
        <f>IF(OR($A147="",$B147&lt;&gt;"tutar_farki"),"",IF($E147=0,"BELGE_EKSIK",IF($C147&lt;=toleransKurus*cbb_yuvarlamaCarpan,"YUVARLAMA",IF(AND($F147&lt;&gt;"Ba",$F147&lt;&gt;"Bs"),"TIP_KARISIK",IF($C147&gt;cbb_esikFark*cbb_donemCarpan,"DONEM",IF(LEN($D147)&lt;cbb_unvanMinLen,"UNVAN","TANIMSIZ"))))))</f>
        <v/>
      </c>
    </row>
    <row r="148">
      <c r="A148" s="26">
        <f>IF('ESLESTIRME'!$A148="","",'ESLESTIRME'!$A148)</f>
        <v/>
      </c>
      <c r="B148" s="16">
        <f>IF($A148="","",IFERROR(INDEX(tblEslesme[Kova],MATCH($A148,tblEslesme[A_Norm],0)),""))</f>
        <v/>
      </c>
      <c r="C148" s="16">
        <f>IF($A148="","",IFERROR(INDEX(tblEslesme[AbsFark],MATCH($A148,tblEslesme[A_Norm],0)),0))</f>
        <v/>
      </c>
      <c r="D148" s="16">
        <f>IF($A148="","",IFERROR(INDEX(tblVeriA[Unvan],MATCH($A148,tblAnahtarA[Norm],0)),""))</f>
        <v/>
      </c>
      <c r="E148" s="16">
        <f>IF($A148="","",IFERROR(SUMIF(tblAnahtarB[NormB],$A148,tblVeriB[BelgeAdet]),0))</f>
        <v/>
      </c>
      <c r="F148" s="16">
        <f>IF($A148="","",IFERROR(INDEX(tblVeriB[FormTipi],MATCH($A148,tblAnahtarB[NormB],0)),""))</f>
        <v/>
      </c>
      <c r="G148" s="16">
        <f>IF($A148="","",IFERROR(INDEX(tblVeriA[Donem],MATCH($A148,tblAnahtarA[Norm],0)),""))</f>
        <v/>
      </c>
      <c r="H148" s="16">
        <f>IF(OR($A148="",$B148&lt;&gt;"tutar_farki"),"",IF($E148=0,"BELGE_EKSIK",IF($C148&lt;=toleransKurus*cbb_yuvarlamaCarpan,"YUVARLAMA",IF(AND($F148&lt;&gt;"Ba",$F148&lt;&gt;"Bs"),"TIP_KARISIK",IF($C148&gt;cbb_esikFark*cbb_donemCarpan,"DONEM",IF(LEN($D148)&lt;cbb_unvanMinLen,"UNVAN","TANIMSIZ"))))))</f>
        <v/>
      </c>
    </row>
    <row r="149">
      <c r="A149" s="26">
        <f>IF('ESLESTIRME'!$A149="","",'ESLESTIRME'!$A149)</f>
        <v/>
      </c>
      <c r="B149" s="16">
        <f>IF($A149="","",IFERROR(INDEX(tblEslesme[Kova],MATCH($A149,tblEslesme[A_Norm],0)),""))</f>
        <v/>
      </c>
      <c r="C149" s="16">
        <f>IF($A149="","",IFERROR(INDEX(tblEslesme[AbsFark],MATCH($A149,tblEslesme[A_Norm],0)),0))</f>
        <v/>
      </c>
      <c r="D149" s="16">
        <f>IF($A149="","",IFERROR(INDEX(tblVeriA[Unvan],MATCH($A149,tblAnahtarA[Norm],0)),""))</f>
        <v/>
      </c>
      <c r="E149" s="16">
        <f>IF($A149="","",IFERROR(SUMIF(tblAnahtarB[NormB],$A149,tblVeriB[BelgeAdet]),0))</f>
        <v/>
      </c>
      <c r="F149" s="16">
        <f>IF($A149="","",IFERROR(INDEX(tblVeriB[FormTipi],MATCH($A149,tblAnahtarB[NormB],0)),""))</f>
        <v/>
      </c>
      <c r="G149" s="16">
        <f>IF($A149="","",IFERROR(INDEX(tblVeriA[Donem],MATCH($A149,tblAnahtarA[Norm],0)),""))</f>
        <v/>
      </c>
      <c r="H149" s="16">
        <f>IF(OR($A149="",$B149&lt;&gt;"tutar_farki"),"",IF($E149=0,"BELGE_EKSIK",IF($C149&lt;=toleransKurus*cbb_yuvarlamaCarpan,"YUVARLAMA",IF(AND($F149&lt;&gt;"Ba",$F149&lt;&gt;"Bs"),"TIP_KARISIK",IF($C149&gt;cbb_esikFark*cbb_donemCarpan,"DONEM",IF(LEN($D149)&lt;cbb_unvanMinLen,"UNVAN","TANIMSIZ"))))))</f>
        <v/>
      </c>
    </row>
    <row r="150">
      <c r="A150" s="26">
        <f>IF('ESLESTIRME'!$A150="","",'ESLESTIRME'!$A150)</f>
        <v/>
      </c>
      <c r="B150" s="16">
        <f>IF($A150="","",IFERROR(INDEX(tblEslesme[Kova],MATCH($A150,tblEslesme[A_Norm],0)),""))</f>
        <v/>
      </c>
      <c r="C150" s="16">
        <f>IF($A150="","",IFERROR(INDEX(tblEslesme[AbsFark],MATCH($A150,tblEslesme[A_Norm],0)),0))</f>
        <v/>
      </c>
      <c r="D150" s="16">
        <f>IF($A150="","",IFERROR(INDEX(tblVeriA[Unvan],MATCH($A150,tblAnahtarA[Norm],0)),""))</f>
        <v/>
      </c>
      <c r="E150" s="16">
        <f>IF($A150="","",IFERROR(SUMIF(tblAnahtarB[NormB],$A150,tblVeriB[BelgeAdet]),0))</f>
        <v/>
      </c>
      <c r="F150" s="16">
        <f>IF($A150="","",IFERROR(INDEX(tblVeriB[FormTipi],MATCH($A150,tblAnahtarB[NormB],0)),""))</f>
        <v/>
      </c>
      <c r="G150" s="16">
        <f>IF($A150="","",IFERROR(INDEX(tblVeriA[Donem],MATCH($A150,tblAnahtarA[Norm],0)),""))</f>
        <v/>
      </c>
      <c r="H150" s="16">
        <f>IF(OR($A150="",$B150&lt;&gt;"tutar_farki"),"",IF($E150=0,"BELGE_EKSIK",IF($C150&lt;=toleransKurus*cbb_yuvarlamaCarpan,"YUVARLAMA",IF(AND($F150&lt;&gt;"Ba",$F150&lt;&gt;"Bs"),"TIP_KARISIK",IF($C150&gt;cbb_esikFark*cbb_donemCarpan,"DONEM",IF(LEN($D150)&lt;cbb_unvanMinLen,"UNVAN","TANIMSIZ"))))))</f>
        <v/>
      </c>
    </row>
    <row r="151">
      <c r="A151" s="26">
        <f>IF('ESLESTIRME'!$A151="","",'ESLESTIRME'!$A151)</f>
        <v/>
      </c>
      <c r="B151" s="16">
        <f>IF($A151="","",IFERROR(INDEX(tblEslesme[Kova],MATCH($A151,tblEslesme[A_Norm],0)),""))</f>
        <v/>
      </c>
      <c r="C151" s="16">
        <f>IF($A151="","",IFERROR(INDEX(tblEslesme[AbsFark],MATCH($A151,tblEslesme[A_Norm],0)),0))</f>
        <v/>
      </c>
      <c r="D151" s="16">
        <f>IF($A151="","",IFERROR(INDEX(tblVeriA[Unvan],MATCH($A151,tblAnahtarA[Norm],0)),""))</f>
        <v/>
      </c>
      <c r="E151" s="16">
        <f>IF($A151="","",IFERROR(SUMIF(tblAnahtarB[NormB],$A151,tblVeriB[BelgeAdet]),0))</f>
        <v/>
      </c>
      <c r="F151" s="16">
        <f>IF($A151="","",IFERROR(INDEX(tblVeriB[FormTipi],MATCH($A151,tblAnahtarB[NormB],0)),""))</f>
        <v/>
      </c>
      <c r="G151" s="16">
        <f>IF($A151="","",IFERROR(INDEX(tblVeriA[Donem],MATCH($A151,tblAnahtarA[Norm],0)),""))</f>
        <v/>
      </c>
      <c r="H151" s="16">
        <f>IF(OR($A151="",$B151&lt;&gt;"tutar_farki"),"",IF($E151=0,"BELGE_EKSIK",IF($C151&lt;=toleransKurus*cbb_yuvarlamaCarpan,"YUVARLAMA",IF(AND($F151&lt;&gt;"Ba",$F151&lt;&gt;"Bs"),"TIP_KARISIK",IF($C151&gt;cbb_esikFark*cbb_donemCarpan,"DONEM",IF(LEN($D151)&lt;cbb_unvanMinLen,"UNVAN","TANIMSIZ"))))))</f>
        <v/>
      </c>
    </row>
    <row r="152">
      <c r="A152" s="26">
        <f>IF('ESLESTIRME'!$A152="","",'ESLESTIRME'!$A152)</f>
        <v/>
      </c>
      <c r="B152" s="16">
        <f>IF($A152="","",IFERROR(INDEX(tblEslesme[Kova],MATCH($A152,tblEslesme[A_Norm],0)),""))</f>
        <v/>
      </c>
      <c r="C152" s="16">
        <f>IF($A152="","",IFERROR(INDEX(tblEslesme[AbsFark],MATCH($A152,tblEslesme[A_Norm],0)),0))</f>
        <v/>
      </c>
      <c r="D152" s="16">
        <f>IF($A152="","",IFERROR(INDEX(tblVeriA[Unvan],MATCH($A152,tblAnahtarA[Norm],0)),""))</f>
        <v/>
      </c>
      <c r="E152" s="16">
        <f>IF($A152="","",IFERROR(SUMIF(tblAnahtarB[NormB],$A152,tblVeriB[BelgeAdet]),0))</f>
        <v/>
      </c>
      <c r="F152" s="16">
        <f>IF($A152="","",IFERROR(INDEX(tblVeriB[FormTipi],MATCH($A152,tblAnahtarB[NormB],0)),""))</f>
        <v/>
      </c>
      <c r="G152" s="16">
        <f>IF($A152="","",IFERROR(INDEX(tblVeriA[Donem],MATCH($A152,tblAnahtarA[Norm],0)),""))</f>
        <v/>
      </c>
      <c r="H152" s="16">
        <f>IF(OR($A152="",$B152&lt;&gt;"tutar_farki"),"",IF($E152=0,"BELGE_EKSIK",IF($C152&lt;=toleransKurus*cbb_yuvarlamaCarpan,"YUVARLAMA",IF(AND($F152&lt;&gt;"Ba",$F152&lt;&gt;"Bs"),"TIP_KARISIK",IF($C152&gt;cbb_esikFark*cbb_donemCarpan,"DONEM",IF(LEN($D152)&lt;cbb_unvanMinLen,"UNVAN","TANIMSIZ"))))))</f>
        <v/>
      </c>
    </row>
    <row r="153">
      <c r="A153" s="26">
        <f>IF('ESLESTIRME'!$A153="","",'ESLESTIRME'!$A153)</f>
        <v/>
      </c>
      <c r="B153" s="16">
        <f>IF($A153="","",IFERROR(INDEX(tblEslesme[Kova],MATCH($A153,tblEslesme[A_Norm],0)),""))</f>
        <v/>
      </c>
      <c r="C153" s="16">
        <f>IF($A153="","",IFERROR(INDEX(tblEslesme[AbsFark],MATCH($A153,tblEslesme[A_Norm],0)),0))</f>
        <v/>
      </c>
      <c r="D153" s="16">
        <f>IF($A153="","",IFERROR(INDEX(tblVeriA[Unvan],MATCH($A153,tblAnahtarA[Norm],0)),""))</f>
        <v/>
      </c>
      <c r="E153" s="16">
        <f>IF($A153="","",IFERROR(SUMIF(tblAnahtarB[NormB],$A153,tblVeriB[BelgeAdet]),0))</f>
        <v/>
      </c>
      <c r="F153" s="16">
        <f>IF($A153="","",IFERROR(INDEX(tblVeriB[FormTipi],MATCH($A153,tblAnahtarB[NormB],0)),""))</f>
        <v/>
      </c>
      <c r="G153" s="16">
        <f>IF($A153="","",IFERROR(INDEX(tblVeriA[Donem],MATCH($A153,tblAnahtarA[Norm],0)),""))</f>
        <v/>
      </c>
      <c r="H153" s="16">
        <f>IF(OR($A153="",$B153&lt;&gt;"tutar_farki"),"",IF($E153=0,"BELGE_EKSIK",IF($C153&lt;=toleransKurus*cbb_yuvarlamaCarpan,"YUVARLAMA",IF(AND($F153&lt;&gt;"Ba",$F153&lt;&gt;"Bs"),"TIP_KARISIK",IF($C153&gt;cbb_esikFark*cbb_donemCarpan,"DONEM",IF(LEN($D153)&lt;cbb_unvanMinLen,"UNVAN","TANIMSIZ"))))))</f>
        <v/>
      </c>
    </row>
    <row r="154">
      <c r="A154" s="26">
        <f>IF('ESLESTIRME'!$A154="","",'ESLESTIRME'!$A154)</f>
        <v/>
      </c>
      <c r="B154" s="16">
        <f>IF($A154="","",IFERROR(INDEX(tblEslesme[Kova],MATCH($A154,tblEslesme[A_Norm],0)),""))</f>
        <v/>
      </c>
      <c r="C154" s="16">
        <f>IF($A154="","",IFERROR(INDEX(tblEslesme[AbsFark],MATCH($A154,tblEslesme[A_Norm],0)),0))</f>
        <v/>
      </c>
      <c r="D154" s="16">
        <f>IF($A154="","",IFERROR(INDEX(tblVeriA[Unvan],MATCH($A154,tblAnahtarA[Norm],0)),""))</f>
        <v/>
      </c>
      <c r="E154" s="16">
        <f>IF($A154="","",IFERROR(SUMIF(tblAnahtarB[NormB],$A154,tblVeriB[BelgeAdet]),0))</f>
        <v/>
      </c>
      <c r="F154" s="16">
        <f>IF($A154="","",IFERROR(INDEX(tblVeriB[FormTipi],MATCH($A154,tblAnahtarB[NormB],0)),""))</f>
        <v/>
      </c>
      <c r="G154" s="16">
        <f>IF($A154="","",IFERROR(INDEX(tblVeriA[Donem],MATCH($A154,tblAnahtarA[Norm],0)),""))</f>
        <v/>
      </c>
      <c r="H154" s="16">
        <f>IF(OR($A154="",$B154&lt;&gt;"tutar_farki"),"",IF($E154=0,"BELGE_EKSIK",IF($C154&lt;=toleransKurus*cbb_yuvarlamaCarpan,"YUVARLAMA",IF(AND($F154&lt;&gt;"Ba",$F154&lt;&gt;"Bs"),"TIP_KARISIK",IF($C154&gt;cbb_esikFark*cbb_donemCarpan,"DONEM",IF(LEN($D154)&lt;cbb_unvanMinLen,"UNVAN","TANIMSIZ"))))))</f>
        <v/>
      </c>
    </row>
    <row r="155">
      <c r="A155" s="26">
        <f>IF('ESLESTIRME'!$A155="","",'ESLESTIRME'!$A155)</f>
        <v/>
      </c>
      <c r="B155" s="16">
        <f>IF($A155="","",IFERROR(INDEX(tblEslesme[Kova],MATCH($A155,tblEslesme[A_Norm],0)),""))</f>
        <v/>
      </c>
      <c r="C155" s="16">
        <f>IF($A155="","",IFERROR(INDEX(tblEslesme[AbsFark],MATCH($A155,tblEslesme[A_Norm],0)),0))</f>
        <v/>
      </c>
      <c r="D155" s="16">
        <f>IF($A155="","",IFERROR(INDEX(tblVeriA[Unvan],MATCH($A155,tblAnahtarA[Norm],0)),""))</f>
        <v/>
      </c>
      <c r="E155" s="16">
        <f>IF($A155="","",IFERROR(SUMIF(tblAnahtarB[NormB],$A155,tblVeriB[BelgeAdet]),0))</f>
        <v/>
      </c>
      <c r="F155" s="16">
        <f>IF($A155="","",IFERROR(INDEX(tblVeriB[FormTipi],MATCH($A155,tblAnahtarB[NormB],0)),""))</f>
        <v/>
      </c>
      <c r="G155" s="16">
        <f>IF($A155="","",IFERROR(INDEX(tblVeriA[Donem],MATCH($A155,tblAnahtarA[Norm],0)),""))</f>
        <v/>
      </c>
      <c r="H155" s="16">
        <f>IF(OR($A155="",$B155&lt;&gt;"tutar_farki"),"",IF($E155=0,"BELGE_EKSIK",IF($C155&lt;=toleransKurus*cbb_yuvarlamaCarpan,"YUVARLAMA",IF(AND($F155&lt;&gt;"Ba",$F155&lt;&gt;"Bs"),"TIP_KARISIK",IF($C155&gt;cbb_esikFark*cbb_donemCarpan,"DONEM",IF(LEN($D155)&lt;cbb_unvanMinLen,"UNVAN","TANIMSIZ"))))))</f>
        <v/>
      </c>
    </row>
    <row r="156">
      <c r="A156" s="26">
        <f>IF('ESLESTIRME'!$A156="","",'ESLESTIRME'!$A156)</f>
        <v/>
      </c>
      <c r="B156" s="16">
        <f>IF($A156="","",IFERROR(INDEX(tblEslesme[Kova],MATCH($A156,tblEslesme[A_Norm],0)),""))</f>
        <v/>
      </c>
      <c r="C156" s="16">
        <f>IF($A156="","",IFERROR(INDEX(tblEslesme[AbsFark],MATCH($A156,tblEslesme[A_Norm],0)),0))</f>
        <v/>
      </c>
      <c r="D156" s="16">
        <f>IF($A156="","",IFERROR(INDEX(tblVeriA[Unvan],MATCH($A156,tblAnahtarA[Norm],0)),""))</f>
        <v/>
      </c>
      <c r="E156" s="16">
        <f>IF($A156="","",IFERROR(SUMIF(tblAnahtarB[NormB],$A156,tblVeriB[BelgeAdet]),0))</f>
        <v/>
      </c>
      <c r="F156" s="16">
        <f>IF($A156="","",IFERROR(INDEX(tblVeriB[FormTipi],MATCH($A156,tblAnahtarB[NormB],0)),""))</f>
        <v/>
      </c>
      <c r="G156" s="16">
        <f>IF($A156="","",IFERROR(INDEX(tblVeriA[Donem],MATCH($A156,tblAnahtarA[Norm],0)),""))</f>
        <v/>
      </c>
      <c r="H156" s="16">
        <f>IF(OR($A156="",$B156&lt;&gt;"tutar_farki"),"",IF($E156=0,"BELGE_EKSIK",IF($C156&lt;=toleransKurus*cbb_yuvarlamaCarpan,"YUVARLAMA",IF(AND($F156&lt;&gt;"Ba",$F156&lt;&gt;"Bs"),"TIP_KARISIK",IF($C156&gt;cbb_esikFark*cbb_donemCarpan,"DONEM",IF(LEN($D156)&lt;cbb_unvanMinLen,"UNVAN","TANIMSIZ"))))))</f>
        <v/>
      </c>
    </row>
    <row r="157">
      <c r="A157" s="26">
        <f>IF('ESLESTIRME'!$A157="","",'ESLESTIRME'!$A157)</f>
        <v/>
      </c>
      <c r="B157" s="16">
        <f>IF($A157="","",IFERROR(INDEX(tblEslesme[Kova],MATCH($A157,tblEslesme[A_Norm],0)),""))</f>
        <v/>
      </c>
      <c r="C157" s="16">
        <f>IF($A157="","",IFERROR(INDEX(tblEslesme[AbsFark],MATCH($A157,tblEslesme[A_Norm],0)),0))</f>
        <v/>
      </c>
      <c r="D157" s="16">
        <f>IF($A157="","",IFERROR(INDEX(tblVeriA[Unvan],MATCH($A157,tblAnahtarA[Norm],0)),""))</f>
        <v/>
      </c>
      <c r="E157" s="16">
        <f>IF($A157="","",IFERROR(SUMIF(tblAnahtarB[NormB],$A157,tblVeriB[BelgeAdet]),0))</f>
        <v/>
      </c>
      <c r="F157" s="16">
        <f>IF($A157="","",IFERROR(INDEX(tblVeriB[FormTipi],MATCH($A157,tblAnahtarB[NormB],0)),""))</f>
        <v/>
      </c>
      <c r="G157" s="16">
        <f>IF($A157="","",IFERROR(INDEX(tblVeriA[Donem],MATCH($A157,tblAnahtarA[Norm],0)),""))</f>
        <v/>
      </c>
      <c r="H157" s="16">
        <f>IF(OR($A157="",$B157&lt;&gt;"tutar_farki"),"",IF($E157=0,"BELGE_EKSIK",IF($C157&lt;=toleransKurus*cbb_yuvarlamaCarpan,"YUVARLAMA",IF(AND($F157&lt;&gt;"Ba",$F157&lt;&gt;"Bs"),"TIP_KARISIK",IF($C157&gt;cbb_esikFark*cbb_donemCarpan,"DONEM",IF(LEN($D157)&lt;cbb_unvanMinLen,"UNVAN","TANIMSIZ"))))))</f>
        <v/>
      </c>
    </row>
    <row r="158">
      <c r="A158" s="26">
        <f>IF('ESLESTIRME'!$A158="","",'ESLESTIRME'!$A158)</f>
        <v/>
      </c>
      <c r="B158" s="16">
        <f>IF($A158="","",IFERROR(INDEX(tblEslesme[Kova],MATCH($A158,tblEslesme[A_Norm],0)),""))</f>
        <v/>
      </c>
      <c r="C158" s="16">
        <f>IF($A158="","",IFERROR(INDEX(tblEslesme[AbsFark],MATCH($A158,tblEslesme[A_Norm],0)),0))</f>
        <v/>
      </c>
      <c r="D158" s="16">
        <f>IF($A158="","",IFERROR(INDEX(tblVeriA[Unvan],MATCH($A158,tblAnahtarA[Norm],0)),""))</f>
        <v/>
      </c>
      <c r="E158" s="16">
        <f>IF($A158="","",IFERROR(SUMIF(tblAnahtarB[NormB],$A158,tblVeriB[BelgeAdet]),0))</f>
        <v/>
      </c>
      <c r="F158" s="16">
        <f>IF($A158="","",IFERROR(INDEX(tblVeriB[FormTipi],MATCH($A158,tblAnahtarB[NormB],0)),""))</f>
        <v/>
      </c>
      <c r="G158" s="16">
        <f>IF($A158="","",IFERROR(INDEX(tblVeriA[Donem],MATCH($A158,tblAnahtarA[Norm],0)),""))</f>
        <v/>
      </c>
      <c r="H158" s="16">
        <f>IF(OR($A158="",$B158&lt;&gt;"tutar_farki"),"",IF($E158=0,"BELGE_EKSIK",IF($C158&lt;=toleransKurus*cbb_yuvarlamaCarpan,"YUVARLAMA",IF(AND($F158&lt;&gt;"Ba",$F158&lt;&gt;"Bs"),"TIP_KARISIK",IF($C158&gt;cbb_esikFark*cbb_donemCarpan,"DONEM",IF(LEN($D158)&lt;cbb_unvanMinLen,"UNVAN","TANIMSIZ"))))))</f>
        <v/>
      </c>
    </row>
    <row r="159">
      <c r="A159" s="26">
        <f>IF('ESLESTIRME'!$A159="","",'ESLESTIRME'!$A159)</f>
        <v/>
      </c>
      <c r="B159" s="16">
        <f>IF($A159="","",IFERROR(INDEX(tblEslesme[Kova],MATCH($A159,tblEslesme[A_Norm],0)),""))</f>
        <v/>
      </c>
      <c r="C159" s="16">
        <f>IF($A159="","",IFERROR(INDEX(tblEslesme[AbsFark],MATCH($A159,tblEslesme[A_Norm],0)),0))</f>
        <v/>
      </c>
      <c r="D159" s="16">
        <f>IF($A159="","",IFERROR(INDEX(tblVeriA[Unvan],MATCH($A159,tblAnahtarA[Norm],0)),""))</f>
        <v/>
      </c>
      <c r="E159" s="16">
        <f>IF($A159="","",IFERROR(SUMIF(tblAnahtarB[NormB],$A159,tblVeriB[BelgeAdet]),0))</f>
        <v/>
      </c>
      <c r="F159" s="16">
        <f>IF($A159="","",IFERROR(INDEX(tblVeriB[FormTipi],MATCH($A159,tblAnahtarB[NormB],0)),""))</f>
        <v/>
      </c>
      <c r="G159" s="16">
        <f>IF($A159="","",IFERROR(INDEX(tblVeriA[Donem],MATCH($A159,tblAnahtarA[Norm],0)),""))</f>
        <v/>
      </c>
      <c r="H159" s="16">
        <f>IF(OR($A159="",$B159&lt;&gt;"tutar_farki"),"",IF($E159=0,"BELGE_EKSIK",IF($C159&lt;=toleransKurus*cbb_yuvarlamaCarpan,"YUVARLAMA",IF(AND($F159&lt;&gt;"Ba",$F159&lt;&gt;"Bs"),"TIP_KARISIK",IF($C159&gt;cbb_esikFark*cbb_donemCarpan,"DONEM",IF(LEN($D159)&lt;cbb_unvanMinLen,"UNVAN","TANIMSIZ"))))))</f>
        <v/>
      </c>
    </row>
    <row r="160">
      <c r="A160" s="26">
        <f>IF('ESLESTIRME'!$A160="","",'ESLESTIRME'!$A160)</f>
        <v/>
      </c>
      <c r="B160" s="16">
        <f>IF($A160="","",IFERROR(INDEX(tblEslesme[Kova],MATCH($A160,tblEslesme[A_Norm],0)),""))</f>
        <v/>
      </c>
      <c r="C160" s="16">
        <f>IF($A160="","",IFERROR(INDEX(tblEslesme[AbsFark],MATCH($A160,tblEslesme[A_Norm],0)),0))</f>
        <v/>
      </c>
      <c r="D160" s="16">
        <f>IF($A160="","",IFERROR(INDEX(tblVeriA[Unvan],MATCH($A160,tblAnahtarA[Norm],0)),""))</f>
        <v/>
      </c>
      <c r="E160" s="16">
        <f>IF($A160="","",IFERROR(SUMIF(tblAnahtarB[NormB],$A160,tblVeriB[BelgeAdet]),0))</f>
        <v/>
      </c>
      <c r="F160" s="16">
        <f>IF($A160="","",IFERROR(INDEX(tblVeriB[FormTipi],MATCH($A160,tblAnahtarB[NormB],0)),""))</f>
        <v/>
      </c>
      <c r="G160" s="16">
        <f>IF($A160="","",IFERROR(INDEX(tblVeriA[Donem],MATCH($A160,tblAnahtarA[Norm],0)),""))</f>
        <v/>
      </c>
      <c r="H160" s="16">
        <f>IF(OR($A160="",$B160&lt;&gt;"tutar_farki"),"",IF($E160=0,"BELGE_EKSIK",IF($C160&lt;=toleransKurus*cbb_yuvarlamaCarpan,"YUVARLAMA",IF(AND($F160&lt;&gt;"Ba",$F160&lt;&gt;"Bs"),"TIP_KARISIK",IF($C160&gt;cbb_esikFark*cbb_donemCarpan,"DONEM",IF(LEN($D160)&lt;cbb_unvanMinLen,"UNVAN","TANIMSIZ"))))))</f>
        <v/>
      </c>
    </row>
    <row r="161">
      <c r="A161" s="26">
        <f>IF('ESLESTIRME'!$A161="","",'ESLESTIRME'!$A161)</f>
        <v/>
      </c>
      <c r="B161" s="16">
        <f>IF($A161="","",IFERROR(INDEX(tblEslesme[Kova],MATCH($A161,tblEslesme[A_Norm],0)),""))</f>
        <v/>
      </c>
      <c r="C161" s="16">
        <f>IF($A161="","",IFERROR(INDEX(tblEslesme[AbsFark],MATCH($A161,tblEslesme[A_Norm],0)),0))</f>
        <v/>
      </c>
      <c r="D161" s="16">
        <f>IF($A161="","",IFERROR(INDEX(tblVeriA[Unvan],MATCH($A161,tblAnahtarA[Norm],0)),""))</f>
        <v/>
      </c>
      <c r="E161" s="16">
        <f>IF($A161="","",IFERROR(SUMIF(tblAnahtarB[NormB],$A161,tblVeriB[BelgeAdet]),0))</f>
        <v/>
      </c>
      <c r="F161" s="16">
        <f>IF($A161="","",IFERROR(INDEX(tblVeriB[FormTipi],MATCH($A161,tblAnahtarB[NormB],0)),""))</f>
        <v/>
      </c>
      <c r="G161" s="16">
        <f>IF($A161="","",IFERROR(INDEX(tblVeriA[Donem],MATCH($A161,tblAnahtarA[Norm],0)),""))</f>
        <v/>
      </c>
      <c r="H161" s="16">
        <f>IF(OR($A161="",$B161&lt;&gt;"tutar_farki"),"",IF($E161=0,"BELGE_EKSIK",IF($C161&lt;=toleransKurus*cbb_yuvarlamaCarpan,"YUVARLAMA",IF(AND($F161&lt;&gt;"Ba",$F161&lt;&gt;"Bs"),"TIP_KARISIK",IF($C161&gt;cbb_esikFark*cbb_donemCarpan,"DONEM",IF(LEN($D161)&lt;cbb_unvanMinLen,"UNVAN","TANIMSIZ"))))))</f>
        <v/>
      </c>
    </row>
    <row r="162">
      <c r="A162" s="26">
        <f>IF('ESLESTIRME'!$A162="","",'ESLESTIRME'!$A162)</f>
        <v/>
      </c>
      <c r="B162" s="16">
        <f>IF($A162="","",IFERROR(INDEX(tblEslesme[Kova],MATCH($A162,tblEslesme[A_Norm],0)),""))</f>
        <v/>
      </c>
      <c r="C162" s="16">
        <f>IF($A162="","",IFERROR(INDEX(tblEslesme[AbsFark],MATCH($A162,tblEslesme[A_Norm],0)),0))</f>
        <v/>
      </c>
      <c r="D162" s="16">
        <f>IF($A162="","",IFERROR(INDEX(tblVeriA[Unvan],MATCH($A162,tblAnahtarA[Norm],0)),""))</f>
        <v/>
      </c>
      <c r="E162" s="16">
        <f>IF($A162="","",IFERROR(SUMIF(tblAnahtarB[NormB],$A162,tblVeriB[BelgeAdet]),0))</f>
        <v/>
      </c>
      <c r="F162" s="16">
        <f>IF($A162="","",IFERROR(INDEX(tblVeriB[FormTipi],MATCH($A162,tblAnahtarB[NormB],0)),""))</f>
        <v/>
      </c>
      <c r="G162" s="16">
        <f>IF($A162="","",IFERROR(INDEX(tblVeriA[Donem],MATCH($A162,tblAnahtarA[Norm],0)),""))</f>
        <v/>
      </c>
      <c r="H162" s="16">
        <f>IF(OR($A162="",$B162&lt;&gt;"tutar_farki"),"",IF($E162=0,"BELGE_EKSIK",IF($C162&lt;=toleransKurus*cbb_yuvarlamaCarpan,"YUVARLAMA",IF(AND($F162&lt;&gt;"Ba",$F162&lt;&gt;"Bs"),"TIP_KARISIK",IF($C162&gt;cbb_esikFark*cbb_donemCarpan,"DONEM",IF(LEN($D162)&lt;cbb_unvanMinLen,"UNVAN","TANIMSIZ"))))))</f>
        <v/>
      </c>
    </row>
    <row r="163">
      <c r="A163" s="26">
        <f>IF('ESLESTIRME'!$A163="","",'ESLESTIRME'!$A163)</f>
        <v/>
      </c>
      <c r="B163" s="16">
        <f>IF($A163="","",IFERROR(INDEX(tblEslesme[Kova],MATCH($A163,tblEslesme[A_Norm],0)),""))</f>
        <v/>
      </c>
      <c r="C163" s="16">
        <f>IF($A163="","",IFERROR(INDEX(tblEslesme[AbsFark],MATCH($A163,tblEslesme[A_Norm],0)),0))</f>
        <v/>
      </c>
      <c r="D163" s="16">
        <f>IF($A163="","",IFERROR(INDEX(tblVeriA[Unvan],MATCH($A163,tblAnahtarA[Norm],0)),""))</f>
        <v/>
      </c>
      <c r="E163" s="16">
        <f>IF($A163="","",IFERROR(SUMIF(tblAnahtarB[NormB],$A163,tblVeriB[BelgeAdet]),0))</f>
        <v/>
      </c>
      <c r="F163" s="16">
        <f>IF($A163="","",IFERROR(INDEX(tblVeriB[FormTipi],MATCH($A163,tblAnahtarB[NormB],0)),""))</f>
        <v/>
      </c>
      <c r="G163" s="16">
        <f>IF($A163="","",IFERROR(INDEX(tblVeriA[Donem],MATCH($A163,tblAnahtarA[Norm],0)),""))</f>
        <v/>
      </c>
      <c r="H163" s="16">
        <f>IF(OR($A163="",$B163&lt;&gt;"tutar_farki"),"",IF($E163=0,"BELGE_EKSIK",IF($C163&lt;=toleransKurus*cbb_yuvarlamaCarpan,"YUVARLAMA",IF(AND($F163&lt;&gt;"Ba",$F163&lt;&gt;"Bs"),"TIP_KARISIK",IF($C163&gt;cbb_esikFark*cbb_donemCarpan,"DONEM",IF(LEN($D163)&lt;cbb_unvanMinLen,"UNVAN","TANIMSIZ"))))))</f>
        <v/>
      </c>
    </row>
    <row r="164">
      <c r="A164" s="26">
        <f>IF('ESLESTIRME'!$A164="","",'ESLESTIRME'!$A164)</f>
        <v/>
      </c>
      <c r="B164" s="16">
        <f>IF($A164="","",IFERROR(INDEX(tblEslesme[Kova],MATCH($A164,tblEslesme[A_Norm],0)),""))</f>
        <v/>
      </c>
      <c r="C164" s="16">
        <f>IF($A164="","",IFERROR(INDEX(tblEslesme[AbsFark],MATCH($A164,tblEslesme[A_Norm],0)),0))</f>
        <v/>
      </c>
      <c r="D164" s="16">
        <f>IF($A164="","",IFERROR(INDEX(tblVeriA[Unvan],MATCH($A164,tblAnahtarA[Norm],0)),""))</f>
        <v/>
      </c>
      <c r="E164" s="16">
        <f>IF($A164="","",IFERROR(SUMIF(tblAnahtarB[NormB],$A164,tblVeriB[BelgeAdet]),0))</f>
        <v/>
      </c>
      <c r="F164" s="16">
        <f>IF($A164="","",IFERROR(INDEX(tblVeriB[FormTipi],MATCH($A164,tblAnahtarB[NormB],0)),""))</f>
        <v/>
      </c>
      <c r="G164" s="16">
        <f>IF($A164="","",IFERROR(INDEX(tblVeriA[Donem],MATCH($A164,tblAnahtarA[Norm],0)),""))</f>
        <v/>
      </c>
      <c r="H164" s="16">
        <f>IF(OR($A164="",$B164&lt;&gt;"tutar_farki"),"",IF($E164=0,"BELGE_EKSIK",IF($C164&lt;=toleransKurus*cbb_yuvarlamaCarpan,"YUVARLAMA",IF(AND($F164&lt;&gt;"Ba",$F164&lt;&gt;"Bs"),"TIP_KARISIK",IF($C164&gt;cbb_esikFark*cbb_donemCarpan,"DONEM",IF(LEN($D164)&lt;cbb_unvanMinLen,"UNVAN","TANIMSIZ"))))))</f>
        <v/>
      </c>
    </row>
    <row r="165">
      <c r="A165" s="26">
        <f>IF('ESLESTIRME'!$A165="","",'ESLESTIRME'!$A165)</f>
        <v/>
      </c>
      <c r="B165" s="16">
        <f>IF($A165="","",IFERROR(INDEX(tblEslesme[Kova],MATCH($A165,tblEslesme[A_Norm],0)),""))</f>
        <v/>
      </c>
      <c r="C165" s="16">
        <f>IF($A165="","",IFERROR(INDEX(tblEslesme[AbsFark],MATCH($A165,tblEslesme[A_Norm],0)),0))</f>
        <v/>
      </c>
      <c r="D165" s="16">
        <f>IF($A165="","",IFERROR(INDEX(tblVeriA[Unvan],MATCH($A165,tblAnahtarA[Norm],0)),""))</f>
        <v/>
      </c>
      <c r="E165" s="16">
        <f>IF($A165="","",IFERROR(SUMIF(tblAnahtarB[NormB],$A165,tblVeriB[BelgeAdet]),0))</f>
        <v/>
      </c>
      <c r="F165" s="16">
        <f>IF($A165="","",IFERROR(INDEX(tblVeriB[FormTipi],MATCH($A165,tblAnahtarB[NormB],0)),""))</f>
        <v/>
      </c>
      <c r="G165" s="16">
        <f>IF($A165="","",IFERROR(INDEX(tblVeriA[Donem],MATCH($A165,tblAnahtarA[Norm],0)),""))</f>
        <v/>
      </c>
      <c r="H165" s="16">
        <f>IF(OR($A165="",$B165&lt;&gt;"tutar_farki"),"",IF($E165=0,"BELGE_EKSIK",IF($C165&lt;=toleransKurus*cbb_yuvarlamaCarpan,"YUVARLAMA",IF(AND($F165&lt;&gt;"Ba",$F165&lt;&gt;"Bs"),"TIP_KARISIK",IF($C165&gt;cbb_esikFark*cbb_donemCarpan,"DONEM",IF(LEN($D165)&lt;cbb_unvanMinLen,"UNVAN","TANIMSIZ"))))))</f>
        <v/>
      </c>
    </row>
    <row r="166">
      <c r="A166" s="26">
        <f>IF('ESLESTIRME'!$A166="","",'ESLESTIRME'!$A166)</f>
        <v/>
      </c>
      <c r="B166" s="16">
        <f>IF($A166="","",IFERROR(INDEX(tblEslesme[Kova],MATCH($A166,tblEslesme[A_Norm],0)),""))</f>
        <v/>
      </c>
      <c r="C166" s="16">
        <f>IF($A166="","",IFERROR(INDEX(tblEslesme[AbsFark],MATCH($A166,tblEslesme[A_Norm],0)),0))</f>
        <v/>
      </c>
      <c r="D166" s="16">
        <f>IF($A166="","",IFERROR(INDEX(tblVeriA[Unvan],MATCH($A166,tblAnahtarA[Norm],0)),""))</f>
        <v/>
      </c>
      <c r="E166" s="16">
        <f>IF($A166="","",IFERROR(SUMIF(tblAnahtarB[NormB],$A166,tblVeriB[BelgeAdet]),0))</f>
        <v/>
      </c>
      <c r="F166" s="16">
        <f>IF($A166="","",IFERROR(INDEX(tblVeriB[FormTipi],MATCH($A166,tblAnahtarB[NormB],0)),""))</f>
        <v/>
      </c>
      <c r="G166" s="16">
        <f>IF($A166="","",IFERROR(INDEX(tblVeriA[Donem],MATCH($A166,tblAnahtarA[Norm],0)),""))</f>
        <v/>
      </c>
      <c r="H166" s="16">
        <f>IF(OR($A166="",$B166&lt;&gt;"tutar_farki"),"",IF($E166=0,"BELGE_EKSIK",IF($C166&lt;=toleransKurus*cbb_yuvarlamaCarpan,"YUVARLAMA",IF(AND($F166&lt;&gt;"Ba",$F166&lt;&gt;"Bs"),"TIP_KARISIK",IF($C166&gt;cbb_esikFark*cbb_donemCarpan,"DONEM",IF(LEN($D166)&lt;cbb_unvanMinLen,"UNVAN","TANIMSIZ"))))))</f>
        <v/>
      </c>
    </row>
    <row r="167">
      <c r="A167" s="26">
        <f>IF('ESLESTIRME'!$A167="","",'ESLESTIRME'!$A167)</f>
        <v/>
      </c>
      <c r="B167" s="16">
        <f>IF($A167="","",IFERROR(INDEX(tblEslesme[Kova],MATCH($A167,tblEslesme[A_Norm],0)),""))</f>
        <v/>
      </c>
      <c r="C167" s="16">
        <f>IF($A167="","",IFERROR(INDEX(tblEslesme[AbsFark],MATCH($A167,tblEslesme[A_Norm],0)),0))</f>
        <v/>
      </c>
      <c r="D167" s="16">
        <f>IF($A167="","",IFERROR(INDEX(tblVeriA[Unvan],MATCH($A167,tblAnahtarA[Norm],0)),""))</f>
        <v/>
      </c>
      <c r="E167" s="16">
        <f>IF($A167="","",IFERROR(SUMIF(tblAnahtarB[NormB],$A167,tblVeriB[BelgeAdet]),0))</f>
        <v/>
      </c>
      <c r="F167" s="16">
        <f>IF($A167="","",IFERROR(INDEX(tblVeriB[FormTipi],MATCH($A167,tblAnahtarB[NormB],0)),""))</f>
        <v/>
      </c>
      <c r="G167" s="16">
        <f>IF($A167="","",IFERROR(INDEX(tblVeriA[Donem],MATCH($A167,tblAnahtarA[Norm],0)),""))</f>
        <v/>
      </c>
      <c r="H167" s="16">
        <f>IF(OR($A167="",$B167&lt;&gt;"tutar_farki"),"",IF($E167=0,"BELGE_EKSIK",IF($C167&lt;=toleransKurus*cbb_yuvarlamaCarpan,"YUVARLAMA",IF(AND($F167&lt;&gt;"Ba",$F167&lt;&gt;"Bs"),"TIP_KARISIK",IF($C167&gt;cbb_esikFark*cbb_donemCarpan,"DONEM",IF(LEN($D167)&lt;cbb_unvanMinLen,"UNVAN","TANIMSIZ"))))))</f>
        <v/>
      </c>
    </row>
    <row r="168">
      <c r="A168" s="26">
        <f>IF('ESLESTIRME'!$A168="","",'ESLESTIRME'!$A168)</f>
        <v/>
      </c>
      <c r="B168" s="16">
        <f>IF($A168="","",IFERROR(INDEX(tblEslesme[Kova],MATCH($A168,tblEslesme[A_Norm],0)),""))</f>
        <v/>
      </c>
      <c r="C168" s="16">
        <f>IF($A168="","",IFERROR(INDEX(tblEslesme[AbsFark],MATCH($A168,tblEslesme[A_Norm],0)),0))</f>
        <v/>
      </c>
      <c r="D168" s="16">
        <f>IF($A168="","",IFERROR(INDEX(tblVeriA[Unvan],MATCH($A168,tblAnahtarA[Norm],0)),""))</f>
        <v/>
      </c>
      <c r="E168" s="16">
        <f>IF($A168="","",IFERROR(SUMIF(tblAnahtarB[NormB],$A168,tblVeriB[BelgeAdet]),0))</f>
        <v/>
      </c>
      <c r="F168" s="16">
        <f>IF($A168="","",IFERROR(INDEX(tblVeriB[FormTipi],MATCH($A168,tblAnahtarB[NormB],0)),""))</f>
        <v/>
      </c>
      <c r="G168" s="16">
        <f>IF($A168="","",IFERROR(INDEX(tblVeriA[Donem],MATCH($A168,tblAnahtarA[Norm],0)),""))</f>
        <v/>
      </c>
      <c r="H168" s="16">
        <f>IF(OR($A168="",$B168&lt;&gt;"tutar_farki"),"",IF($E168=0,"BELGE_EKSIK",IF($C168&lt;=toleransKurus*cbb_yuvarlamaCarpan,"YUVARLAMA",IF(AND($F168&lt;&gt;"Ba",$F168&lt;&gt;"Bs"),"TIP_KARISIK",IF($C168&gt;cbb_esikFark*cbb_donemCarpan,"DONEM",IF(LEN($D168)&lt;cbb_unvanMinLen,"UNVAN","TANIMSIZ"))))))</f>
        <v/>
      </c>
    </row>
    <row r="169">
      <c r="A169" s="26">
        <f>IF('ESLESTIRME'!$A169="","",'ESLESTIRME'!$A169)</f>
        <v/>
      </c>
      <c r="B169" s="16">
        <f>IF($A169="","",IFERROR(INDEX(tblEslesme[Kova],MATCH($A169,tblEslesme[A_Norm],0)),""))</f>
        <v/>
      </c>
      <c r="C169" s="16">
        <f>IF($A169="","",IFERROR(INDEX(tblEslesme[AbsFark],MATCH($A169,tblEslesme[A_Norm],0)),0))</f>
        <v/>
      </c>
      <c r="D169" s="16">
        <f>IF($A169="","",IFERROR(INDEX(tblVeriA[Unvan],MATCH($A169,tblAnahtarA[Norm],0)),""))</f>
        <v/>
      </c>
      <c r="E169" s="16">
        <f>IF($A169="","",IFERROR(SUMIF(tblAnahtarB[NormB],$A169,tblVeriB[BelgeAdet]),0))</f>
        <v/>
      </c>
      <c r="F169" s="16">
        <f>IF($A169="","",IFERROR(INDEX(tblVeriB[FormTipi],MATCH($A169,tblAnahtarB[NormB],0)),""))</f>
        <v/>
      </c>
      <c r="G169" s="16">
        <f>IF($A169="","",IFERROR(INDEX(tblVeriA[Donem],MATCH($A169,tblAnahtarA[Norm],0)),""))</f>
        <v/>
      </c>
      <c r="H169" s="16">
        <f>IF(OR($A169="",$B169&lt;&gt;"tutar_farki"),"",IF($E169=0,"BELGE_EKSIK",IF($C169&lt;=toleransKurus*cbb_yuvarlamaCarpan,"YUVARLAMA",IF(AND($F169&lt;&gt;"Ba",$F169&lt;&gt;"Bs"),"TIP_KARISIK",IF($C169&gt;cbb_esikFark*cbb_donemCarpan,"DONEM",IF(LEN($D169)&lt;cbb_unvanMinLen,"UNVAN","TANIMSIZ"))))))</f>
        <v/>
      </c>
    </row>
    <row r="170">
      <c r="A170" s="26">
        <f>IF('ESLESTIRME'!$A170="","",'ESLESTIRME'!$A170)</f>
        <v/>
      </c>
      <c r="B170" s="16">
        <f>IF($A170="","",IFERROR(INDEX(tblEslesme[Kova],MATCH($A170,tblEslesme[A_Norm],0)),""))</f>
        <v/>
      </c>
      <c r="C170" s="16">
        <f>IF($A170="","",IFERROR(INDEX(tblEslesme[AbsFark],MATCH($A170,tblEslesme[A_Norm],0)),0))</f>
        <v/>
      </c>
      <c r="D170" s="16">
        <f>IF($A170="","",IFERROR(INDEX(tblVeriA[Unvan],MATCH($A170,tblAnahtarA[Norm],0)),""))</f>
        <v/>
      </c>
      <c r="E170" s="16">
        <f>IF($A170="","",IFERROR(SUMIF(tblAnahtarB[NormB],$A170,tblVeriB[BelgeAdet]),0))</f>
        <v/>
      </c>
      <c r="F170" s="16">
        <f>IF($A170="","",IFERROR(INDEX(tblVeriB[FormTipi],MATCH($A170,tblAnahtarB[NormB],0)),""))</f>
        <v/>
      </c>
      <c r="G170" s="16">
        <f>IF($A170="","",IFERROR(INDEX(tblVeriA[Donem],MATCH($A170,tblAnahtarA[Norm],0)),""))</f>
        <v/>
      </c>
      <c r="H170" s="16">
        <f>IF(OR($A170="",$B170&lt;&gt;"tutar_farki"),"",IF($E170=0,"BELGE_EKSIK",IF($C170&lt;=toleransKurus*cbb_yuvarlamaCarpan,"YUVARLAMA",IF(AND($F170&lt;&gt;"Ba",$F170&lt;&gt;"Bs"),"TIP_KARISIK",IF($C170&gt;cbb_esikFark*cbb_donemCarpan,"DONEM",IF(LEN($D170)&lt;cbb_unvanMinLen,"UNVAN","TANIMSIZ"))))))</f>
        <v/>
      </c>
    </row>
    <row r="171">
      <c r="A171" s="26">
        <f>IF('ESLESTIRME'!$A171="","",'ESLESTIRME'!$A171)</f>
        <v/>
      </c>
      <c r="B171" s="16">
        <f>IF($A171="","",IFERROR(INDEX(tblEslesme[Kova],MATCH($A171,tblEslesme[A_Norm],0)),""))</f>
        <v/>
      </c>
      <c r="C171" s="16">
        <f>IF($A171="","",IFERROR(INDEX(tblEslesme[AbsFark],MATCH($A171,tblEslesme[A_Norm],0)),0))</f>
        <v/>
      </c>
      <c r="D171" s="16">
        <f>IF($A171="","",IFERROR(INDEX(tblVeriA[Unvan],MATCH($A171,tblAnahtarA[Norm],0)),""))</f>
        <v/>
      </c>
      <c r="E171" s="16">
        <f>IF($A171="","",IFERROR(SUMIF(tblAnahtarB[NormB],$A171,tblVeriB[BelgeAdet]),0))</f>
        <v/>
      </c>
      <c r="F171" s="16">
        <f>IF($A171="","",IFERROR(INDEX(tblVeriB[FormTipi],MATCH($A171,tblAnahtarB[NormB],0)),""))</f>
        <v/>
      </c>
      <c r="G171" s="16">
        <f>IF($A171="","",IFERROR(INDEX(tblVeriA[Donem],MATCH($A171,tblAnahtarA[Norm],0)),""))</f>
        <v/>
      </c>
      <c r="H171" s="16">
        <f>IF(OR($A171="",$B171&lt;&gt;"tutar_farki"),"",IF($E171=0,"BELGE_EKSIK",IF($C171&lt;=toleransKurus*cbb_yuvarlamaCarpan,"YUVARLAMA",IF(AND($F171&lt;&gt;"Ba",$F171&lt;&gt;"Bs"),"TIP_KARISIK",IF($C171&gt;cbb_esikFark*cbb_donemCarpan,"DONEM",IF(LEN($D171)&lt;cbb_unvanMinLen,"UNVAN","TANIMSIZ"))))))</f>
        <v/>
      </c>
    </row>
    <row r="172">
      <c r="A172" s="26">
        <f>IF('ESLESTIRME'!$A172="","",'ESLESTIRME'!$A172)</f>
        <v/>
      </c>
      <c r="B172" s="16">
        <f>IF($A172="","",IFERROR(INDEX(tblEslesme[Kova],MATCH($A172,tblEslesme[A_Norm],0)),""))</f>
        <v/>
      </c>
      <c r="C172" s="16">
        <f>IF($A172="","",IFERROR(INDEX(tblEslesme[AbsFark],MATCH($A172,tblEslesme[A_Norm],0)),0))</f>
        <v/>
      </c>
      <c r="D172" s="16">
        <f>IF($A172="","",IFERROR(INDEX(tblVeriA[Unvan],MATCH($A172,tblAnahtarA[Norm],0)),""))</f>
        <v/>
      </c>
      <c r="E172" s="16">
        <f>IF($A172="","",IFERROR(SUMIF(tblAnahtarB[NormB],$A172,tblVeriB[BelgeAdet]),0))</f>
        <v/>
      </c>
      <c r="F172" s="16">
        <f>IF($A172="","",IFERROR(INDEX(tblVeriB[FormTipi],MATCH($A172,tblAnahtarB[NormB],0)),""))</f>
        <v/>
      </c>
      <c r="G172" s="16">
        <f>IF($A172="","",IFERROR(INDEX(tblVeriA[Donem],MATCH($A172,tblAnahtarA[Norm],0)),""))</f>
        <v/>
      </c>
      <c r="H172" s="16">
        <f>IF(OR($A172="",$B172&lt;&gt;"tutar_farki"),"",IF($E172=0,"BELGE_EKSIK",IF($C172&lt;=toleransKurus*cbb_yuvarlamaCarpan,"YUVARLAMA",IF(AND($F172&lt;&gt;"Ba",$F172&lt;&gt;"Bs"),"TIP_KARISIK",IF($C172&gt;cbb_esikFark*cbb_donemCarpan,"DONEM",IF(LEN($D172)&lt;cbb_unvanMinLen,"UNVAN","TANIMSIZ"))))))</f>
        <v/>
      </c>
    </row>
    <row r="173">
      <c r="A173" s="26">
        <f>IF('ESLESTIRME'!$A173="","",'ESLESTIRME'!$A173)</f>
        <v/>
      </c>
      <c r="B173" s="16">
        <f>IF($A173="","",IFERROR(INDEX(tblEslesme[Kova],MATCH($A173,tblEslesme[A_Norm],0)),""))</f>
        <v/>
      </c>
      <c r="C173" s="16">
        <f>IF($A173="","",IFERROR(INDEX(tblEslesme[AbsFark],MATCH($A173,tblEslesme[A_Norm],0)),0))</f>
        <v/>
      </c>
      <c r="D173" s="16">
        <f>IF($A173="","",IFERROR(INDEX(tblVeriA[Unvan],MATCH($A173,tblAnahtarA[Norm],0)),""))</f>
        <v/>
      </c>
      <c r="E173" s="16">
        <f>IF($A173="","",IFERROR(SUMIF(tblAnahtarB[NormB],$A173,tblVeriB[BelgeAdet]),0))</f>
        <v/>
      </c>
      <c r="F173" s="16">
        <f>IF($A173="","",IFERROR(INDEX(tblVeriB[FormTipi],MATCH($A173,tblAnahtarB[NormB],0)),""))</f>
        <v/>
      </c>
      <c r="G173" s="16">
        <f>IF($A173="","",IFERROR(INDEX(tblVeriA[Donem],MATCH($A173,tblAnahtarA[Norm],0)),""))</f>
        <v/>
      </c>
      <c r="H173" s="16">
        <f>IF(OR($A173="",$B173&lt;&gt;"tutar_farki"),"",IF($E173=0,"BELGE_EKSIK",IF($C173&lt;=toleransKurus*cbb_yuvarlamaCarpan,"YUVARLAMA",IF(AND($F173&lt;&gt;"Ba",$F173&lt;&gt;"Bs"),"TIP_KARISIK",IF($C173&gt;cbb_esikFark*cbb_donemCarpan,"DONEM",IF(LEN($D173)&lt;cbb_unvanMinLen,"UNVAN","TANIMSIZ"))))))</f>
        <v/>
      </c>
    </row>
    <row r="174">
      <c r="A174" s="26">
        <f>IF('ESLESTIRME'!$A174="","",'ESLESTIRME'!$A174)</f>
        <v/>
      </c>
      <c r="B174" s="16">
        <f>IF($A174="","",IFERROR(INDEX(tblEslesme[Kova],MATCH($A174,tblEslesme[A_Norm],0)),""))</f>
        <v/>
      </c>
      <c r="C174" s="16">
        <f>IF($A174="","",IFERROR(INDEX(tblEslesme[AbsFark],MATCH($A174,tblEslesme[A_Norm],0)),0))</f>
        <v/>
      </c>
      <c r="D174" s="16">
        <f>IF($A174="","",IFERROR(INDEX(tblVeriA[Unvan],MATCH($A174,tblAnahtarA[Norm],0)),""))</f>
        <v/>
      </c>
      <c r="E174" s="16">
        <f>IF($A174="","",IFERROR(SUMIF(tblAnahtarB[NormB],$A174,tblVeriB[BelgeAdet]),0))</f>
        <v/>
      </c>
      <c r="F174" s="16">
        <f>IF($A174="","",IFERROR(INDEX(tblVeriB[FormTipi],MATCH($A174,tblAnahtarB[NormB],0)),""))</f>
        <v/>
      </c>
      <c r="G174" s="16">
        <f>IF($A174="","",IFERROR(INDEX(tblVeriA[Donem],MATCH($A174,tblAnahtarA[Norm],0)),""))</f>
        <v/>
      </c>
      <c r="H174" s="16">
        <f>IF(OR($A174="",$B174&lt;&gt;"tutar_farki"),"",IF($E174=0,"BELGE_EKSIK",IF($C174&lt;=toleransKurus*cbb_yuvarlamaCarpan,"YUVARLAMA",IF(AND($F174&lt;&gt;"Ba",$F174&lt;&gt;"Bs"),"TIP_KARISIK",IF($C174&gt;cbb_esikFark*cbb_donemCarpan,"DONEM",IF(LEN($D174)&lt;cbb_unvanMinLen,"UNVAN","TANIMSIZ"))))))</f>
        <v/>
      </c>
    </row>
    <row r="175">
      <c r="A175" s="26">
        <f>IF('ESLESTIRME'!$A175="","",'ESLESTIRME'!$A175)</f>
        <v/>
      </c>
      <c r="B175" s="16">
        <f>IF($A175="","",IFERROR(INDEX(tblEslesme[Kova],MATCH($A175,tblEslesme[A_Norm],0)),""))</f>
        <v/>
      </c>
      <c r="C175" s="16">
        <f>IF($A175="","",IFERROR(INDEX(tblEslesme[AbsFark],MATCH($A175,tblEslesme[A_Norm],0)),0))</f>
        <v/>
      </c>
      <c r="D175" s="16">
        <f>IF($A175="","",IFERROR(INDEX(tblVeriA[Unvan],MATCH($A175,tblAnahtarA[Norm],0)),""))</f>
        <v/>
      </c>
      <c r="E175" s="16">
        <f>IF($A175="","",IFERROR(SUMIF(tblAnahtarB[NormB],$A175,tblVeriB[BelgeAdet]),0))</f>
        <v/>
      </c>
      <c r="F175" s="16">
        <f>IF($A175="","",IFERROR(INDEX(tblVeriB[FormTipi],MATCH($A175,tblAnahtarB[NormB],0)),""))</f>
        <v/>
      </c>
      <c r="G175" s="16">
        <f>IF($A175="","",IFERROR(INDEX(tblVeriA[Donem],MATCH($A175,tblAnahtarA[Norm],0)),""))</f>
        <v/>
      </c>
      <c r="H175" s="16">
        <f>IF(OR($A175="",$B175&lt;&gt;"tutar_farki"),"",IF($E175=0,"BELGE_EKSIK",IF($C175&lt;=toleransKurus*cbb_yuvarlamaCarpan,"YUVARLAMA",IF(AND($F175&lt;&gt;"Ba",$F175&lt;&gt;"Bs"),"TIP_KARISIK",IF($C175&gt;cbb_esikFark*cbb_donemCarpan,"DONEM",IF(LEN($D175)&lt;cbb_unvanMinLen,"UNVAN","TANIMSIZ"))))))</f>
        <v/>
      </c>
    </row>
    <row r="176">
      <c r="A176" s="26">
        <f>IF('ESLESTIRME'!$A176="","",'ESLESTIRME'!$A176)</f>
        <v/>
      </c>
      <c r="B176" s="16">
        <f>IF($A176="","",IFERROR(INDEX(tblEslesme[Kova],MATCH($A176,tblEslesme[A_Norm],0)),""))</f>
        <v/>
      </c>
      <c r="C176" s="16">
        <f>IF($A176="","",IFERROR(INDEX(tblEslesme[AbsFark],MATCH($A176,tblEslesme[A_Norm],0)),0))</f>
        <v/>
      </c>
      <c r="D176" s="16">
        <f>IF($A176="","",IFERROR(INDEX(tblVeriA[Unvan],MATCH($A176,tblAnahtarA[Norm],0)),""))</f>
        <v/>
      </c>
      <c r="E176" s="16">
        <f>IF($A176="","",IFERROR(SUMIF(tblAnahtarB[NormB],$A176,tblVeriB[BelgeAdet]),0))</f>
        <v/>
      </c>
      <c r="F176" s="16">
        <f>IF($A176="","",IFERROR(INDEX(tblVeriB[FormTipi],MATCH($A176,tblAnahtarB[NormB],0)),""))</f>
        <v/>
      </c>
      <c r="G176" s="16">
        <f>IF($A176="","",IFERROR(INDEX(tblVeriA[Donem],MATCH($A176,tblAnahtarA[Norm],0)),""))</f>
        <v/>
      </c>
      <c r="H176" s="16">
        <f>IF(OR($A176="",$B176&lt;&gt;"tutar_farki"),"",IF($E176=0,"BELGE_EKSIK",IF($C176&lt;=toleransKurus*cbb_yuvarlamaCarpan,"YUVARLAMA",IF(AND($F176&lt;&gt;"Ba",$F176&lt;&gt;"Bs"),"TIP_KARISIK",IF($C176&gt;cbb_esikFark*cbb_donemCarpan,"DONEM",IF(LEN($D176)&lt;cbb_unvanMinLen,"UNVAN","TANIMSIZ"))))))</f>
        <v/>
      </c>
    </row>
    <row r="177">
      <c r="A177" s="26">
        <f>IF('ESLESTIRME'!$A177="","",'ESLESTIRME'!$A177)</f>
        <v/>
      </c>
      <c r="B177" s="16">
        <f>IF($A177="","",IFERROR(INDEX(tblEslesme[Kova],MATCH($A177,tblEslesme[A_Norm],0)),""))</f>
        <v/>
      </c>
      <c r="C177" s="16">
        <f>IF($A177="","",IFERROR(INDEX(tblEslesme[AbsFark],MATCH($A177,tblEslesme[A_Norm],0)),0))</f>
        <v/>
      </c>
      <c r="D177" s="16">
        <f>IF($A177="","",IFERROR(INDEX(tblVeriA[Unvan],MATCH($A177,tblAnahtarA[Norm],0)),""))</f>
        <v/>
      </c>
      <c r="E177" s="16">
        <f>IF($A177="","",IFERROR(SUMIF(tblAnahtarB[NormB],$A177,tblVeriB[BelgeAdet]),0))</f>
        <v/>
      </c>
      <c r="F177" s="16">
        <f>IF($A177="","",IFERROR(INDEX(tblVeriB[FormTipi],MATCH($A177,tblAnahtarB[NormB],0)),""))</f>
        <v/>
      </c>
      <c r="G177" s="16">
        <f>IF($A177="","",IFERROR(INDEX(tblVeriA[Donem],MATCH($A177,tblAnahtarA[Norm],0)),""))</f>
        <v/>
      </c>
      <c r="H177" s="16">
        <f>IF(OR($A177="",$B177&lt;&gt;"tutar_farki"),"",IF($E177=0,"BELGE_EKSIK",IF($C177&lt;=toleransKurus*cbb_yuvarlamaCarpan,"YUVARLAMA",IF(AND($F177&lt;&gt;"Ba",$F177&lt;&gt;"Bs"),"TIP_KARISIK",IF($C177&gt;cbb_esikFark*cbb_donemCarpan,"DONEM",IF(LEN($D177)&lt;cbb_unvanMinLen,"UNVAN","TANIMSIZ"))))))</f>
        <v/>
      </c>
    </row>
    <row r="178">
      <c r="A178" s="26">
        <f>IF('ESLESTIRME'!$A178="","",'ESLESTIRME'!$A178)</f>
        <v/>
      </c>
      <c r="B178" s="16">
        <f>IF($A178="","",IFERROR(INDEX(tblEslesme[Kova],MATCH($A178,tblEslesme[A_Norm],0)),""))</f>
        <v/>
      </c>
      <c r="C178" s="16">
        <f>IF($A178="","",IFERROR(INDEX(tblEslesme[AbsFark],MATCH($A178,tblEslesme[A_Norm],0)),0))</f>
        <v/>
      </c>
      <c r="D178" s="16">
        <f>IF($A178="","",IFERROR(INDEX(tblVeriA[Unvan],MATCH($A178,tblAnahtarA[Norm],0)),""))</f>
        <v/>
      </c>
      <c r="E178" s="16">
        <f>IF($A178="","",IFERROR(SUMIF(tblAnahtarB[NormB],$A178,tblVeriB[BelgeAdet]),0))</f>
        <v/>
      </c>
      <c r="F178" s="16">
        <f>IF($A178="","",IFERROR(INDEX(tblVeriB[FormTipi],MATCH($A178,tblAnahtarB[NormB],0)),""))</f>
        <v/>
      </c>
      <c r="G178" s="16">
        <f>IF($A178="","",IFERROR(INDEX(tblVeriA[Donem],MATCH($A178,tblAnahtarA[Norm],0)),""))</f>
        <v/>
      </c>
      <c r="H178" s="16">
        <f>IF(OR($A178="",$B178&lt;&gt;"tutar_farki"),"",IF($E178=0,"BELGE_EKSIK",IF($C178&lt;=toleransKurus*cbb_yuvarlamaCarpan,"YUVARLAMA",IF(AND($F178&lt;&gt;"Ba",$F178&lt;&gt;"Bs"),"TIP_KARISIK",IF($C178&gt;cbb_esikFark*cbb_donemCarpan,"DONEM",IF(LEN($D178)&lt;cbb_unvanMinLen,"UNVAN","TANIMSIZ"))))))</f>
        <v/>
      </c>
    </row>
    <row r="179">
      <c r="A179" s="26">
        <f>IF('ESLESTIRME'!$A179="","",'ESLESTIRME'!$A179)</f>
        <v/>
      </c>
      <c r="B179" s="16">
        <f>IF($A179="","",IFERROR(INDEX(tblEslesme[Kova],MATCH($A179,tblEslesme[A_Norm],0)),""))</f>
        <v/>
      </c>
      <c r="C179" s="16">
        <f>IF($A179="","",IFERROR(INDEX(tblEslesme[AbsFark],MATCH($A179,tblEslesme[A_Norm],0)),0))</f>
        <v/>
      </c>
      <c r="D179" s="16">
        <f>IF($A179="","",IFERROR(INDEX(tblVeriA[Unvan],MATCH($A179,tblAnahtarA[Norm],0)),""))</f>
        <v/>
      </c>
      <c r="E179" s="16">
        <f>IF($A179="","",IFERROR(SUMIF(tblAnahtarB[NormB],$A179,tblVeriB[BelgeAdet]),0))</f>
        <v/>
      </c>
      <c r="F179" s="16">
        <f>IF($A179="","",IFERROR(INDEX(tblVeriB[FormTipi],MATCH($A179,tblAnahtarB[NormB],0)),""))</f>
        <v/>
      </c>
      <c r="G179" s="16">
        <f>IF($A179="","",IFERROR(INDEX(tblVeriA[Donem],MATCH($A179,tblAnahtarA[Norm],0)),""))</f>
        <v/>
      </c>
      <c r="H179" s="16">
        <f>IF(OR($A179="",$B179&lt;&gt;"tutar_farki"),"",IF($E179=0,"BELGE_EKSIK",IF($C179&lt;=toleransKurus*cbb_yuvarlamaCarpan,"YUVARLAMA",IF(AND($F179&lt;&gt;"Ba",$F179&lt;&gt;"Bs"),"TIP_KARISIK",IF($C179&gt;cbb_esikFark*cbb_donemCarpan,"DONEM",IF(LEN($D179)&lt;cbb_unvanMinLen,"UNVAN","TANIMSIZ"))))))</f>
        <v/>
      </c>
    </row>
    <row r="180">
      <c r="A180" s="26">
        <f>IF('ESLESTIRME'!$A180="","",'ESLESTIRME'!$A180)</f>
        <v/>
      </c>
      <c r="B180" s="16">
        <f>IF($A180="","",IFERROR(INDEX(tblEslesme[Kova],MATCH($A180,tblEslesme[A_Norm],0)),""))</f>
        <v/>
      </c>
      <c r="C180" s="16">
        <f>IF($A180="","",IFERROR(INDEX(tblEslesme[AbsFark],MATCH($A180,tblEslesme[A_Norm],0)),0))</f>
        <v/>
      </c>
      <c r="D180" s="16">
        <f>IF($A180="","",IFERROR(INDEX(tblVeriA[Unvan],MATCH($A180,tblAnahtarA[Norm],0)),""))</f>
        <v/>
      </c>
      <c r="E180" s="16">
        <f>IF($A180="","",IFERROR(SUMIF(tblAnahtarB[NormB],$A180,tblVeriB[BelgeAdet]),0))</f>
        <v/>
      </c>
      <c r="F180" s="16">
        <f>IF($A180="","",IFERROR(INDEX(tblVeriB[FormTipi],MATCH($A180,tblAnahtarB[NormB],0)),""))</f>
        <v/>
      </c>
      <c r="G180" s="16">
        <f>IF($A180="","",IFERROR(INDEX(tblVeriA[Donem],MATCH($A180,tblAnahtarA[Norm],0)),""))</f>
        <v/>
      </c>
      <c r="H180" s="16">
        <f>IF(OR($A180="",$B180&lt;&gt;"tutar_farki"),"",IF($E180=0,"BELGE_EKSIK",IF($C180&lt;=toleransKurus*cbb_yuvarlamaCarpan,"YUVARLAMA",IF(AND($F180&lt;&gt;"Ba",$F180&lt;&gt;"Bs"),"TIP_KARISIK",IF($C180&gt;cbb_esikFark*cbb_donemCarpan,"DONEM",IF(LEN($D180)&lt;cbb_unvanMinLen,"UNVAN","TANIMSIZ"))))))</f>
        <v/>
      </c>
    </row>
    <row r="181">
      <c r="A181" s="26">
        <f>IF('ESLESTIRME'!$A181="","",'ESLESTIRME'!$A181)</f>
        <v/>
      </c>
      <c r="B181" s="16">
        <f>IF($A181="","",IFERROR(INDEX(tblEslesme[Kova],MATCH($A181,tblEslesme[A_Norm],0)),""))</f>
        <v/>
      </c>
      <c r="C181" s="16">
        <f>IF($A181="","",IFERROR(INDEX(tblEslesme[AbsFark],MATCH($A181,tblEslesme[A_Norm],0)),0))</f>
        <v/>
      </c>
      <c r="D181" s="16">
        <f>IF($A181="","",IFERROR(INDEX(tblVeriA[Unvan],MATCH($A181,tblAnahtarA[Norm],0)),""))</f>
        <v/>
      </c>
      <c r="E181" s="16">
        <f>IF($A181="","",IFERROR(SUMIF(tblAnahtarB[NormB],$A181,tblVeriB[BelgeAdet]),0))</f>
        <v/>
      </c>
      <c r="F181" s="16">
        <f>IF($A181="","",IFERROR(INDEX(tblVeriB[FormTipi],MATCH($A181,tblAnahtarB[NormB],0)),""))</f>
        <v/>
      </c>
      <c r="G181" s="16">
        <f>IF($A181="","",IFERROR(INDEX(tblVeriA[Donem],MATCH($A181,tblAnahtarA[Norm],0)),""))</f>
        <v/>
      </c>
      <c r="H181" s="16">
        <f>IF(OR($A181="",$B181&lt;&gt;"tutar_farki"),"",IF($E181=0,"BELGE_EKSIK",IF($C181&lt;=toleransKurus*cbb_yuvarlamaCarpan,"YUVARLAMA",IF(AND($F181&lt;&gt;"Ba",$F181&lt;&gt;"Bs"),"TIP_KARISIK",IF($C181&gt;cbb_esikFark*cbb_donemCarpan,"DONEM",IF(LEN($D181)&lt;cbb_unvanMinLen,"UNVAN","TANIMSIZ"))))))</f>
        <v/>
      </c>
    </row>
    <row r="182">
      <c r="A182" s="26">
        <f>IF('ESLESTIRME'!$A182="","",'ESLESTIRME'!$A182)</f>
        <v/>
      </c>
      <c r="B182" s="16">
        <f>IF($A182="","",IFERROR(INDEX(tblEslesme[Kova],MATCH($A182,tblEslesme[A_Norm],0)),""))</f>
        <v/>
      </c>
      <c r="C182" s="16">
        <f>IF($A182="","",IFERROR(INDEX(tblEslesme[AbsFark],MATCH($A182,tblEslesme[A_Norm],0)),0))</f>
        <v/>
      </c>
      <c r="D182" s="16">
        <f>IF($A182="","",IFERROR(INDEX(tblVeriA[Unvan],MATCH($A182,tblAnahtarA[Norm],0)),""))</f>
        <v/>
      </c>
      <c r="E182" s="16">
        <f>IF($A182="","",IFERROR(SUMIF(tblAnahtarB[NormB],$A182,tblVeriB[BelgeAdet]),0))</f>
        <v/>
      </c>
      <c r="F182" s="16">
        <f>IF($A182="","",IFERROR(INDEX(tblVeriB[FormTipi],MATCH($A182,tblAnahtarB[NormB],0)),""))</f>
        <v/>
      </c>
      <c r="G182" s="16">
        <f>IF($A182="","",IFERROR(INDEX(tblVeriA[Donem],MATCH($A182,tblAnahtarA[Norm],0)),""))</f>
        <v/>
      </c>
      <c r="H182" s="16">
        <f>IF(OR($A182="",$B182&lt;&gt;"tutar_farki"),"",IF($E182=0,"BELGE_EKSIK",IF($C182&lt;=toleransKurus*cbb_yuvarlamaCarpan,"YUVARLAMA",IF(AND($F182&lt;&gt;"Ba",$F182&lt;&gt;"Bs"),"TIP_KARISIK",IF($C182&gt;cbb_esikFark*cbb_donemCarpan,"DONEM",IF(LEN($D182)&lt;cbb_unvanMinLen,"UNVAN","TANIMSIZ"))))))</f>
        <v/>
      </c>
    </row>
    <row r="183">
      <c r="A183" s="26">
        <f>IF('ESLESTIRME'!$A183="","",'ESLESTIRME'!$A183)</f>
        <v/>
      </c>
      <c r="B183" s="16">
        <f>IF($A183="","",IFERROR(INDEX(tblEslesme[Kova],MATCH($A183,tblEslesme[A_Norm],0)),""))</f>
        <v/>
      </c>
      <c r="C183" s="16">
        <f>IF($A183="","",IFERROR(INDEX(tblEslesme[AbsFark],MATCH($A183,tblEslesme[A_Norm],0)),0))</f>
        <v/>
      </c>
      <c r="D183" s="16">
        <f>IF($A183="","",IFERROR(INDEX(tblVeriA[Unvan],MATCH($A183,tblAnahtarA[Norm],0)),""))</f>
        <v/>
      </c>
      <c r="E183" s="16">
        <f>IF($A183="","",IFERROR(SUMIF(tblAnahtarB[NormB],$A183,tblVeriB[BelgeAdet]),0))</f>
        <v/>
      </c>
      <c r="F183" s="16">
        <f>IF($A183="","",IFERROR(INDEX(tblVeriB[FormTipi],MATCH($A183,tblAnahtarB[NormB],0)),""))</f>
        <v/>
      </c>
      <c r="G183" s="16">
        <f>IF($A183="","",IFERROR(INDEX(tblVeriA[Donem],MATCH($A183,tblAnahtarA[Norm],0)),""))</f>
        <v/>
      </c>
      <c r="H183" s="16">
        <f>IF(OR($A183="",$B183&lt;&gt;"tutar_farki"),"",IF($E183=0,"BELGE_EKSIK",IF($C183&lt;=toleransKurus*cbb_yuvarlamaCarpan,"YUVARLAMA",IF(AND($F183&lt;&gt;"Ba",$F183&lt;&gt;"Bs"),"TIP_KARISIK",IF($C183&gt;cbb_esikFark*cbb_donemCarpan,"DONEM",IF(LEN($D183)&lt;cbb_unvanMinLen,"UNVAN","TANIMSIZ"))))))</f>
        <v/>
      </c>
    </row>
    <row r="184">
      <c r="A184" s="26">
        <f>IF('ESLESTIRME'!$A184="","",'ESLESTIRME'!$A184)</f>
        <v/>
      </c>
      <c r="B184" s="16">
        <f>IF($A184="","",IFERROR(INDEX(tblEslesme[Kova],MATCH($A184,tblEslesme[A_Norm],0)),""))</f>
        <v/>
      </c>
      <c r="C184" s="16">
        <f>IF($A184="","",IFERROR(INDEX(tblEslesme[AbsFark],MATCH($A184,tblEslesme[A_Norm],0)),0))</f>
        <v/>
      </c>
      <c r="D184" s="16">
        <f>IF($A184="","",IFERROR(INDEX(tblVeriA[Unvan],MATCH($A184,tblAnahtarA[Norm],0)),""))</f>
        <v/>
      </c>
      <c r="E184" s="16">
        <f>IF($A184="","",IFERROR(SUMIF(tblAnahtarB[NormB],$A184,tblVeriB[BelgeAdet]),0))</f>
        <v/>
      </c>
      <c r="F184" s="16">
        <f>IF($A184="","",IFERROR(INDEX(tblVeriB[FormTipi],MATCH($A184,tblAnahtarB[NormB],0)),""))</f>
        <v/>
      </c>
      <c r="G184" s="16">
        <f>IF($A184="","",IFERROR(INDEX(tblVeriA[Donem],MATCH($A184,tblAnahtarA[Norm],0)),""))</f>
        <v/>
      </c>
      <c r="H184" s="16">
        <f>IF(OR($A184="",$B184&lt;&gt;"tutar_farki"),"",IF($E184=0,"BELGE_EKSIK",IF($C184&lt;=toleransKurus*cbb_yuvarlamaCarpan,"YUVARLAMA",IF(AND($F184&lt;&gt;"Ba",$F184&lt;&gt;"Bs"),"TIP_KARISIK",IF($C184&gt;cbb_esikFark*cbb_donemCarpan,"DONEM",IF(LEN($D184)&lt;cbb_unvanMinLen,"UNVAN","TANIMSIZ"))))))</f>
        <v/>
      </c>
    </row>
    <row r="185">
      <c r="A185" s="26">
        <f>IF('ESLESTIRME'!$A185="","",'ESLESTIRME'!$A185)</f>
        <v/>
      </c>
      <c r="B185" s="16">
        <f>IF($A185="","",IFERROR(INDEX(tblEslesme[Kova],MATCH($A185,tblEslesme[A_Norm],0)),""))</f>
        <v/>
      </c>
      <c r="C185" s="16">
        <f>IF($A185="","",IFERROR(INDEX(tblEslesme[AbsFark],MATCH($A185,tblEslesme[A_Norm],0)),0))</f>
        <v/>
      </c>
      <c r="D185" s="16">
        <f>IF($A185="","",IFERROR(INDEX(tblVeriA[Unvan],MATCH($A185,tblAnahtarA[Norm],0)),""))</f>
        <v/>
      </c>
      <c r="E185" s="16">
        <f>IF($A185="","",IFERROR(SUMIF(tblAnahtarB[NormB],$A185,tblVeriB[BelgeAdet]),0))</f>
        <v/>
      </c>
      <c r="F185" s="16">
        <f>IF($A185="","",IFERROR(INDEX(tblVeriB[FormTipi],MATCH($A185,tblAnahtarB[NormB],0)),""))</f>
        <v/>
      </c>
      <c r="G185" s="16">
        <f>IF($A185="","",IFERROR(INDEX(tblVeriA[Donem],MATCH($A185,tblAnahtarA[Norm],0)),""))</f>
        <v/>
      </c>
      <c r="H185" s="16">
        <f>IF(OR($A185="",$B185&lt;&gt;"tutar_farki"),"",IF($E185=0,"BELGE_EKSIK",IF($C185&lt;=toleransKurus*cbb_yuvarlamaCarpan,"YUVARLAMA",IF(AND($F185&lt;&gt;"Ba",$F185&lt;&gt;"Bs"),"TIP_KARISIK",IF($C185&gt;cbb_esikFark*cbb_donemCarpan,"DONEM",IF(LEN($D185)&lt;cbb_unvanMinLen,"UNVAN","TANIMSIZ"))))))</f>
        <v/>
      </c>
    </row>
    <row r="186">
      <c r="A186" s="26">
        <f>IF('ESLESTIRME'!$A186="","",'ESLESTIRME'!$A186)</f>
        <v/>
      </c>
      <c r="B186" s="16">
        <f>IF($A186="","",IFERROR(INDEX(tblEslesme[Kova],MATCH($A186,tblEslesme[A_Norm],0)),""))</f>
        <v/>
      </c>
      <c r="C186" s="16">
        <f>IF($A186="","",IFERROR(INDEX(tblEslesme[AbsFark],MATCH($A186,tblEslesme[A_Norm],0)),0))</f>
        <v/>
      </c>
      <c r="D186" s="16">
        <f>IF($A186="","",IFERROR(INDEX(tblVeriA[Unvan],MATCH($A186,tblAnahtarA[Norm],0)),""))</f>
        <v/>
      </c>
      <c r="E186" s="16">
        <f>IF($A186="","",IFERROR(SUMIF(tblAnahtarB[NormB],$A186,tblVeriB[BelgeAdet]),0))</f>
        <v/>
      </c>
      <c r="F186" s="16">
        <f>IF($A186="","",IFERROR(INDEX(tblVeriB[FormTipi],MATCH($A186,tblAnahtarB[NormB],0)),""))</f>
        <v/>
      </c>
      <c r="G186" s="16">
        <f>IF($A186="","",IFERROR(INDEX(tblVeriA[Donem],MATCH($A186,tblAnahtarA[Norm],0)),""))</f>
        <v/>
      </c>
      <c r="H186" s="16">
        <f>IF(OR($A186="",$B186&lt;&gt;"tutar_farki"),"",IF($E186=0,"BELGE_EKSIK",IF($C186&lt;=toleransKurus*cbb_yuvarlamaCarpan,"YUVARLAMA",IF(AND($F186&lt;&gt;"Ba",$F186&lt;&gt;"Bs"),"TIP_KARISIK",IF($C186&gt;cbb_esikFark*cbb_donemCarpan,"DONEM",IF(LEN($D186)&lt;cbb_unvanMinLen,"UNVAN","TANIMSIZ"))))))</f>
        <v/>
      </c>
    </row>
    <row r="187">
      <c r="A187" s="26">
        <f>IF('ESLESTIRME'!$A187="","",'ESLESTIRME'!$A187)</f>
        <v/>
      </c>
      <c r="B187" s="16">
        <f>IF($A187="","",IFERROR(INDEX(tblEslesme[Kova],MATCH($A187,tblEslesme[A_Norm],0)),""))</f>
        <v/>
      </c>
      <c r="C187" s="16">
        <f>IF($A187="","",IFERROR(INDEX(tblEslesme[AbsFark],MATCH($A187,tblEslesme[A_Norm],0)),0))</f>
        <v/>
      </c>
      <c r="D187" s="16">
        <f>IF($A187="","",IFERROR(INDEX(tblVeriA[Unvan],MATCH($A187,tblAnahtarA[Norm],0)),""))</f>
        <v/>
      </c>
      <c r="E187" s="16">
        <f>IF($A187="","",IFERROR(SUMIF(tblAnahtarB[NormB],$A187,tblVeriB[BelgeAdet]),0))</f>
        <v/>
      </c>
      <c r="F187" s="16">
        <f>IF($A187="","",IFERROR(INDEX(tblVeriB[FormTipi],MATCH($A187,tblAnahtarB[NormB],0)),""))</f>
        <v/>
      </c>
      <c r="G187" s="16">
        <f>IF($A187="","",IFERROR(INDEX(tblVeriA[Donem],MATCH($A187,tblAnahtarA[Norm],0)),""))</f>
        <v/>
      </c>
      <c r="H187" s="16">
        <f>IF(OR($A187="",$B187&lt;&gt;"tutar_farki"),"",IF($E187=0,"BELGE_EKSIK",IF($C187&lt;=toleransKurus*cbb_yuvarlamaCarpan,"YUVARLAMA",IF(AND($F187&lt;&gt;"Ba",$F187&lt;&gt;"Bs"),"TIP_KARISIK",IF($C187&gt;cbb_esikFark*cbb_donemCarpan,"DONEM",IF(LEN($D187)&lt;cbb_unvanMinLen,"UNVAN","TANIMSIZ"))))))</f>
        <v/>
      </c>
    </row>
    <row r="188">
      <c r="A188" s="26">
        <f>IF('ESLESTIRME'!$A188="","",'ESLESTIRME'!$A188)</f>
        <v/>
      </c>
      <c r="B188" s="16">
        <f>IF($A188="","",IFERROR(INDEX(tblEslesme[Kova],MATCH($A188,tblEslesme[A_Norm],0)),""))</f>
        <v/>
      </c>
      <c r="C188" s="16">
        <f>IF($A188="","",IFERROR(INDEX(tblEslesme[AbsFark],MATCH($A188,tblEslesme[A_Norm],0)),0))</f>
        <v/>
      </c>
      <c r="D188" s="16">
        <f>IF($A188="","",IFERROR(INDEX(tblVeriA[Unvan],MATCH($A188,tblAnahtarA[Norm],0)),""))</f>
        <v/>
      </c>
      <c r="E188" s="16">
        <f>IF($A188="","",IFERROR(SUMIF(tblAnahtarB[NormB],$A188,tblVeriB[BelgeAdet]),0))</f>
        <v/>
      </c>
      <c r="F188" s="16">
        <f>IF($A188="","",IFERROR(INDEX(tblVeriB[FormTipi],MATCH($A188,tblAnahtarB[NormB],0)),""))</f>
        <v/>
      </c>
      <c r="G188" s="16">
        <f>IF($A188="","",IFERROR(INDEX(tblVeriA[Donem],MATCH($A188,tblAnahtarA[Norm],0)),""))</f>
        <v/>
      </c>
      <c r="H188" s="16">
        <f>IF(OR($A188="",$B188&lt;&gt;"tutar_farki"),"",IF($E188=0,"BELGE_EKSIK",IF($C188&lt;=toleransKurus*cbb_yuvarlamaCarpan,"YUVARLAMA",IF(AND($F188&lt;&gt;"Ba",$F188&lt;&gt;"Bs"),"TIP_KARISIK",IF($C188&gt;cbb_esikFark*cbb_donemCarpan,"DONEM",IF(LEN($D188)&lt;cbb_unvanMinLen,"UNVAN","TANIMSIZ"))))))</f>
        <v/>
      </c>
    </row>
    <row r="189">
      <c r="A189" s="26">
        <f>IF('ESLESTIRME'!$A189="","",'ESLESTIRME'!$A189)</f>
        <v/>
      </c>
      <c r="B189" s="16">
        <f>IF($A189="","",IFERROR(INDEX(tblEslesme[Kova],MATCH($A189,tblEslesme[A_Norm],0)),""))</f>
        <v/>
      </c>
      <c r="C189" s="16">
        <f>IF($A189="","",IFERROR(INDEX(tblEslesme[AbsFark],MATCH($A189,tblEslesme[A_Norm],0)),0))</f>
        <v/>
      </c>
      <c r="D189" s="16">
        <f>IF($A189="","",IFERROR(INDEX(tblVeriA[Unvan],MATCH($A189,tblAnahtarA[Norm],0)),""))</f>
        <v/>
      </c>
      <c r="E189" s="16">
        <f>IF($A189="","",IFERROR(SUMIF(tblAnahtarB[NormB],$A189,tblVeriB[BelgeAdet]),0))</f>
        <v/>
      </c>
      <c r="F189" s="16">
        <f>IF($A189="","",IFERROR(INDEX(tblVeriB[FormTipi],MATCH($A189,tblAnahtarB[NormB],0)),""))</f>
        <v/>
      </c>
      <c r="G189" s="16">
        <f>IF($A189="","",IFERROR(INDEX(tblVeriA[Donem],MATCH($A189,tblAnahtarA[Norm],0)),""))</f>
        <v/>
      </c>
      <c r="H189" s="16">
        <f>IF(OR($A189="",$B189&lt;&gt;"tutar_farki"),"",IF($E189=0,"BELGE_EKSIK",IF($C189&lt;=toleransKurus*cbb_yuvarlamaCarpan,"YUVARLAMA",IF(AND($F189&lt;&gt;"Ba",$F189&lt;&gt;"Bs"),"TIP_KARISIK",IF($C189&gt;cbb_esikFark*cbb_donemCarpan,"DONEM",IF(LEN($D189)&lt;cbb_unvanMinLen,"UNVAN","TANIMSIZ"))))))</f>
        <v/>
      </c>
    </row>
    <row r="190">
      <c r="A190" s="26">
        <f>IF('ESLESTIRME'!$A190="","",'ESLESTIRME'!$A190)</f>
        <v/>
      </c>
      <c r="B190" s="16">
        <f>IF($A190="","",IFERROR(INDEX(tblEslesme[Kova],MATCH($A190,tblEslesme[A_Norm],0)),""))</f>
        <v/>
      </c>
      <c r="C190" s="16">
        <f>IF($A190="","",IFERROR(INDEX(tblEslesme[AbsFark],MATCH($A190,tblEslesme[A_Norm],0)),0))</f>
        <v/>
      </c>
      <c r="D190" s="16">
        <f>IF($A190="","",IFERROR(INDEX(tblVeriA[Unvan],MATCH($A190,tblAnahtarA[Norm],0)),""))</f>
        <v/>
      </c>
      <c r="E190" s="16">
        <f>IF($A190="","",IFERROR(SUMIF(tblAnahtarB[NormB],$A190,tblVeriB[BelgeAdet]),0))</f>
        <v/>
      </c>
      <c r="F190" s="16">
        <f>IF($A190="","",IFERROR(INDEX(tblVeriB[FormTipi],MATCH($A190,tblAnahtarB[NormB],0)),""))</f>
        <v/>
      </c>
      <c r="G190" s="16">
        <f>IF($A190="","",IFERROR(INDEX(tblVeriA[Donem],MATCH($A190,tblAnahtarA[Norm],0)),""))</f>
        <v/>
      </c>
      <c r="H190" s="16">
        <f>IF(OR($A190="",$B190&lt;&gt;"tutar_farki"),"",IF($E190=0,"BELGE_EKSIK",IF($C190&lt;=toleransKurus*cbb_yuvarlamaCarpan,"YUVARLAMA",IF(AND($F190&lt;&gt;"Ba",$F190&lt;&gt;"Bs"),"TIP_KARISIK",IF($C190&gt;cbb_esikFark*cbb_donemCarpan,"DONEM",IF(LEN($D190)&lt;cbb_unvanMinLen,"UNVAN","TANIMSIZ"))))))</f>
        <v/>
      </c>
    </row>
    <row r="191">
      <c r="A191" s="26">
        <f>IF('ESLESTIRME'!$A191="","",'ESLESTIRME'!$A191)</f>
        <v/>
      </c>
      <c r="B191" s="16">
        <f>IF($A191="","",IFERROR(INDEX(tblEslesme[Kova],MATCH($A191,tblEslesme[A_Norm],0)),""))</f>
        <v/>
      </c>
      <c r="C191" s="16">
        <f>IF($A191="","",IFERROR(INDEX(tblEslesme[AbsFark],MATCH($A191,tblEslesme[A_Norm],0)),0))</f>
        <v/>
      </c>
      <c r="D191" s="16">
        <f>IF($A191="","",IFERROR(INDEX(tblVeriA[Unvan],MATCH($A191,tblAnahtarA[Norm],0)),""))</f>
        <v/>
      </c>
      <c r="E191" s="16">
        <f>IF($A191="","",IFERROR(SUMIF(tblAnahtarB[NormB],$A191,tblVeriB[BelgeAdet]),0))</f>
        <v/>
      </c>
      <c r="F191" s="16">
        <f>IF($A191="","",IFERROR(INDEX(tblVeriB[FormTipi],MATCH($A191,tblAnahtarB[NormB],0)),""))</f>
        <v/>
      </c>
      <c r="G191" s="16">
        <f>IF($A191="","",IFERROR(INDEX(tblVeriA[Donem],MATCH($A191,tblAnahtarA[Norm],0)),""))</f>
        <v/>
      </c>
      <c r="H191" s="16">
        <f>IF(OR($A191="",$B191&lt;&gt;"tutar_farki"),"",IF($E191=0,"BELGE_EKSIK",IF($C191&lt;=toleransKurus*cbb_yuvarlamaCarpan,"YUVARLAMA",IF(AND($F191&lt;&gt;"Ba",$F191&lt;&gt;"Bs"),"TIP_KARISIK",IF($C191&gt;cbb_esikFark*cbb_donemCarpan,"DONEM",IF(LEN($D191)&lt;cbb_unvanMinLen,"UNVAN","TANIMSIZ"))))))</f>
        <v/>
      </c>
    </row>
    <row r="192">
      <c r="A192" s="26">
        <f>IF('ESLESTIRME'!$A192="","",'ESLESTIRME'!$A192)</f>
        <v/>
      </c>
      <c r="B192" s="16">
        <f>IF($A192="","",IFERROR(INDEX(tblEslesme[Kova],MATCH($A192,tblEslesme[A_Norm],0)),""))</f>
        <v/>
      </c>
      <c r="C192" s="16">
        <f>IF($A192="","",IFERROR(INDEX(tblEslesme[AbsFark],MATCH($A192,tblEslesme[A_Norm],0)),0))</f>
        <v/>
      </c>
      <c r="D192" s="16">
        <f>IF($A192="","",IFERROR(INDEX(tblVeriA[Unvan],MATCH($A192,tblAnahtarA[Norm],0)),""))</f>
        <v/>
      </c>
      <c r="E192" s="16">
        <f>IF($A192="","",IFERROR(SUMIF(tblAnahtarB[NormB],$A192,tblVeriB[BelgeAdet]),0))</f>
        <v/>
      </c>
      <c r="F192" s="16">
        <f>IF($A192="","",IFERROR(INDEX(tblVeriB[FormTipi],MATCH($A192,tblAnahtarB[NormB],0)),""))</f>
        <v/>
      </c>
      <c r="G192" s="16">
        <f>IF($A192="","",IFERROR(INDEX(tblVeriA[Donem],MATCH($A192,tblAnahtarA[Norm],0)),""))</f>
        <v/>
      </c>
      <c r="H192" s="16">
        <f>IF(OR($A192="",$B192&lt;&gt;"tutar_farki"),"",IF($E192=0,"BELGE_EKSIK",IF($C192&lt;=toleransKurus*cbb_yuvarlamaCarpan,"YUVARLAMA",IF(AND($F192&lt;&gt;"Ba",$F192&lt;&gt;"Bs"),"TIP_KARISIK",IF($C192&gt;cbb_esikFark*cbb_donemCarpan,"DONEM",IF(LEN($D192)&lt;cbb_unvanMinLen,"UNVAN","TANIMSIZ"))))))</f>
        <v/>
      </c>
    </row>
    <row r="193">
      <c r="A193" s="26">
        <f>IF('ESLESTIRME'!$A193="","",'ESLESTIRME'!$A193)</f>
        <v/>
      </c>
      <c r="B193" s="16">
        <f>IF($A193="","",IFERROR(INDEX(tblEslesme[Kova],MATCH($A193,tblEslesme[A_Norm],0)),""))</f>
        <v/>
      </c>
      <c r="C193" s="16">
        <f>IF($A193="","",IFERROR(INDEX(tblEslesme[AbsFark],MATCH($A193,tblEslesme[A_Norm],0)),0))</f>
        <v/>
      </c>
      <c r="D193" s="16">
        <f>IF($A193="","",IFERROR(INDEX(tblVeriA[Unvan],MATCH($A193,tblAnahtarA[Norm],0)),""))</f>
        <v/>
      </c>
      <c r="E193" s="16">
        <f>IF($A193="","",IFERROR(SUMIF(tblAnahtarB[NormB],$A193,tblVeriB[BelgeAdet]),0))</f>
        <v/>
      </c>
      <c r="F193" s="16">
        <f>IF($A193="","",IFERROR(INDEX(tblVeriB[FormTipi],MATCH($A193,tblAnahtarB[NormB],0)),""))</f>
        <v/>
      </c>
      <c r="G193" s="16">
        <f>IF($A193="","",IFERROR(INDEX(tblVeriA[Donem],MATCH($A193,tblAnahtarA[Norm],0)),""))</f>
        <v/>
      </c>
      <c r="H193" s="16">
        <f>IF(OR($A193="",$B193&lt;&gt;"tutar_farki"),"",IF($E193=0,"BELGE_EKSIK",IF($C193&lt;=toleransKurus*cbb_yuvarlamaCarpan,"YUVARLAMA",IF(AND($F193&lt;&gt;"Ba",$F193&lt;&gt;"Bs"),"TIP_KARISIK",IF($C193&gt;cbb_esikFark*cbb_donemCarpan,"DONEM",IF(LEN($D193)&lt;cbb_unvanMinLen,"UNVAN","TANIMSIZ"))))))</f>
        <v/>
      </c>
    </row>
    <row r="194">
      <c r="A194" s="26">
        <f>IF('ESLESTIRME'!$A194="","",'ESLESTIRME'!$A194)</f>
        <v/>
      </c>
      <c r="B194" s="16">
        <f>IF($A194="","",IFERROR(INDEX(tblEslesme[Kova],MATCH($A194,tblEslesme[A_Norm],0)),""))</f>
        <v/>
      </c>
      <c r="C194" s="16">
        <f>IF($A194="","",IFERROR(INDEX(tblEslesme[AbsFark],MATCH($A194,tblEslesme[A_Norm],0)),0))</f>
        <v/>
      </c>
      <c r="D194" s="16">
        <f>IF($A194="","",IFERROR(INDEX(tblVeriA[Unvan],MATCH($A194,tblAnahtarA[Norm],0)),""))</f>
        <v/>
      </c>
      <c r="E194" s="16">
        <f>IF($A194="","",IFERROR(SUMIF(tblAnahtarB[NormB],$A194,tblVeriB[BelgeAdet]),0))</f>
        <v/>
      </c>
      <c r="F194" s="16">
        <f>IF($A194="","",IFERROR(INDEX(tblVeriB[FormTipi],MATCH($A194,tblAnahtarB[NormB],0)),""))</f>
        <v/>
      </c>
      <c r="G194" s="16">
        <f>IF($A194="","",IFERROR(INDEX(tblVeriA[Donem],MATCH($A194,tblAnahtarA[Norm],0)),""))</f>
        <v/>
      </c>
      <c r="H194" s="16">
        <f>IF(OR($A194="",$B194&lt;&gt;"tutar_farki"),"",IF($E194=0,"BELGE_EKSIK",IF($C194&lt;=toleransKurus*cbb_yuvarlamaCarpan,"YUVARLAMA",IF(AND($F194&lt;&gt;"Ba",$F194&lt;&gt;"Bs"),"TIP_KARISIK",IF($C194&gt;cbb_esikFark*cbb_donemCarpan,"DONEM",IF(LEN($D194)&lt;cbb_unvanMinLen,"UNVAN","TANIMSIZ"))))))</f>
        <v/>
      </c>
    </row>
    <row r="195">
      <c r="A195" s="26">
        <f>IF('ESLESTIRME'!$A195="","",'ESLESTIRME'!$A195)</f>
        <v/>
      </c>
      <c r="B195" s="16">
        <f>IF($A195="","",IFERROR(INDEX(tblEslesme[Kova],MATCH($A195,tblEslesme[A_Norm],0)),""))</f>
        <v/>
      </c>
      <c r="C195" s="16">
        <f>IF($A195="","",IFERROR(INDEX(tblEslesme[AbsFark],MATCH($A195,tblEslesme[A_Norm],0)),0))</f>
        <v/>
      </c>
      <c r="D195" s="16">
        <f>IF($A195="","",IFERROR(INDEX(tblVeriA[Unvan],MATCH($A195,tblAnahtarA[Norm],0)),""))</f>
        <v/>
      </c>
      <c r="E195" s="16">
        <f>IF($A195="","",IFERROR(SUMIF(tblAnahtarB[NormB],$A195,tblVeriB[BelgeAdet]),0))</f>
        <v/>
      </c>
      <c r="F195" s="16">
        <f>IF($A195="","",IFERROR(INDEX(tblVeriB[FormTipi],MATCH($A195,tblAnahtarB[NormB],0)),""))</f>
        <v/>
      </c>
      <c r="G195" s="16">
        <f>IF($A195="","",IFERROR(INDEX(tblVeriA[Donem],MATCH($A195,tblAnahtarA[Norm],0)),""))</f>
        <v/>
      </c>
      <c r="H195" s="16">
        <f>IF(OR($A195="",$B195&lt;&gt;"tutar_farki"),"",IF($E195=0,"BELGE_EKSIK",IF($C195&lt;=toleransKurus*cbb_yuvarlamaCarpan,"YUVARLAMA",IF(AND($F195&lt;&gt;"Ba",$F195&lt;&gt;"Bs"),"TIP_KARISIK",IF($C195&gt;cbb_esikFark*cbb_donemCarpan,"DONEM",IF(LEN($D195)&lt;cbb_unvanMinLen,"UNVAN","TANIMSIZ"))))))</f>
        <v/>
      </c>
    </row>
    <row r="196">
      <c r="A196" s="26">
        <f>IF('ESLESTIRME'!$A196="","",'ESLESTIRME'!$A196)</f>
        <v/>
      </c>
      <c r="B196" s="16">
        <f>IF($A196="","",IFERROR(INDEX(tblEslesme[Kova],MATCH($A196,tblEslesme[A_Norm],0)),""))</f>
        <v/>
      </c>
      <c r="C196" s="16">
        <f>IF($A196="","",IFERROR(INDEX(tblEslesme[AbsFark],MATCH($A196,tblEslesme[A_Norm],0)),0))</f>
        <v/>
      </c>
      <c r="D196" s="16">
        <f>IF($A196="","",IFERROR(INDEX(tblVeriA[Unvan],MATCH($A196,tblAnahtarA[Norm],0)),""))</f>
        <v/>
      </c>
      <c r="E196" s="16">
        <f>IF($A196="","",IFERROR(SUMIF(tblAnahtarB[NormB],$A196,tblVeriB[BelgeAdet]),0))</f>
        <v/>
      </c>
      <c r="F196" s="16">
        <f>IF($A196="","",IFERROR(INDEX(tblVeriB[FormTipi],MATCH($A196,tblAnahtarB[NormB],0)),""))</f>
        <v/>
      </c>
      <c r="G196" s="16">
        <f>IF($A196="","",IFERROR(INDEX(tblVeriA[Donem],MATCH($A196,tblAnahtarA[Norm],0)),""))</f>
        <v/>
      </c>
      <c r="H196" s="16">
        <f>IF(OR($A196="",$B196&lt;&gt;"tutar_farki"),"",IF($E196=0,"BELGE_EKSIK",IF($C196&lt;=toleransKurus*cbb_yuvarlamaCarpan,"YUVARLAMA",IF(AND($F196&lt;&gt;"Ba",$F196&lt;&gt;"Bs"),"TIP_KARISIK",IF($C196&gt;cbb_esikFark*cbb_donemCarpan,"DONEM",IF(LEN($D196)&lt;cbb_unvanMinLen,"UNVAN","TANIMSIZ"))))))</f>
        <v/>
      </c>
    </row>
    <row r="197">
      <c r="A197" s="26">
        <f>IF('ESLESTIRME'!$A197="","",'ESLESTIRME'!$A197)</f>
        <v/>
      </c>
      <c r="B197" s="16">
        <f>IF($A197="","",IFERROR(INDEX(tblEslesme[Kova],MATCH($A197,tblEslesme[A_Norm],0)),""))</f>
        <v/>
      </c>
      <c r="C197" s="16">
        <f>IF($A197="","",IFERROR(INDEX(tblEslesme[AbsFark],MATCH($A197,tblEslesme[A_Norm],0)),0))</f>
        <v/>
      </c>
      <c r="D197" s="16">
        <f>IF($A197="","",IFERROR(INDEX(tblVeriA[Unvan],MATCH($A197,tblAnahtarA[Norm],0)),""))</f>
        <v/>
      </c>
      <c r="E197" s="16">
        <f>IF($A197="","",IFERROR(SUMIF(tblAnahtarB[NormB],$A197,tblVeriB[BelgeAdet]),0))</f>
        <v/>
      </c>
      <c r="F197" s="16">
        <f>IF($A197="","",IFERROR(INDEX(tblVeriB[FormTipi],MATCH($A197,tblAnahtarB[NormB],0)),""))</f>
        <v/>
      </c>
      <c r="G197" s="16">
        <f>IF($A197="","",IFERROR(INDEX(tblVeriA[Donem],MATCH($A197,tblAnahtarA[Norm],0)),""))</f>
        <v/>
      </c>
      <c r="H197" s="16">
        <f>IF(OR($A197="",$B197&lt;&gt;"tutar_farki"),"",IF($E197=0,"BELGE_EKSIK",IF($C197&lt;=toleransKurus*cbb_yuvarlamaCarpan,"YUVARLAMA",IF(AND($F197&lt;&gt;"Ba",$F197&lt;&gt;"Bs"),"TIP_KARISIK",IF($C197&gt;cbb_esikFark*cbb_donemCarpan,"DONEM",IF(LEN($D197)&lt;cbb_unvanMinLen,"UNVAN","TANIMSIZ"))))))</f>
        <v/>
      </c>
    </row>
    <row r="198">
      <c r="A198" s="26">
        <f>IF('ESLESTIRME'!$A198="","",'ESLESTIRME'!$A198)</f>
        <v/>
      </c>
      <c r="B198" s="16">
        <f>IF($A198="","",IFERROR(INDEX(tblEslesme[Kova],MATCH($A198,tblEslesme[A_Norm],0)),""))</f>
        <v/>
      </c>
      <c r="C198" s="16">
        <f>IF($A198="","",IFERROR(INDEX(tblEslesme[AbsFark],MATCH($A198,tblEslesme[A_Norm],0)),0))</f>
        <v/>
      </c>
      <c r="D198" s="16">
        <f>IF($A198="","",IFERROR(INDEX(tblVeriA[Unvan],MATCH($A198,tblAnahtarA[Norm],0)),""))</f>
        <v/>
      </c>
      <c r="E198" s="16">
        <f>IF($A198="","",IFERROR(SUMIF(tblAnahtarB[NormB],$A198,tblVeriB[BelgeAdet]),0))</f>
        <v/>
      </c>
      <c r="F198" s="16">
        <f>IF($A198="","",IFERROR(INDEX(tblVeriB[FormTipi],MATCH($A198,tblAnahtarB[NormB],0)),""))</f>
        <v/>
      </c>
      <c r="G198" s="16">
        <f>IF($A198="","",IFERROR(INDEX(tblVeriA[Donem],MATCH($A198,tblAnahtarA[Norm],0)),""))</f>
        <v/>
      </c>
      <c r="H198" s="16">
        <f>IF(OR($A198="",$B198&lt;&gt;"tutar_farki"),"",IF($E198=0,"BELGE_EKSIK",IF($C198&lt;=toleransKurus*cbb_yuvarlamaCarpan,"YUVARLAMA",IF(AND($F198&lt;&gt;"Ba",$F198&lt;&gt;"Bs"),"TIP_KARISIK",IF($C198&gt;cbb_esikFark*cbb_donemCarpan,"DONEM",IF(LEN($D198)&lt;cbb_unvanMinLen,"UNVAN","TANIMSIZ"))))))</f>
        <v/>
      </c>
    </row>
    <row r="199">
      <c r="A199" s="26">
        <f>IF('ESLESTIRME'!$A199="","",'ESLESTIRME'!$A199)</f>
        <v/>
      </c>
      <c r="B199" s="16">
        <f>IF($A199="","",IFERROR(INDEX(tblEslesme[Kova],MATCH($A199,tblEslesme[A_Norm],0)),""))</f>
        <v/>
      </c>
      <c r="C199" s="16">
        <f>IF($A199="","",IFERROR(INDEX(tblEslesme[AbsFark],MATCH($A199,tblEslesme[A_Norm],0)),0))</f>
        <v/>
      </c>
      <c r="D199" s="16">
        <f>IF($A199="","",IFERROR(INDEX(tblVeriA[Unvan],MATCH($A199,tblAnahtarA[Norm],0)),""))</f>
        <v/>
      </c>
      <c r="E199" s="16">
        <f>IF($A199="","",IFERROR(SUMIF(tblAnahtarB[NormB],$A199,tblVeriB[BelgeAdet]),0))</f>
        <v/>
      </c>
      <c r="F199" s="16">
        <f>IF($A199="","",IFERROR(INDEX(tblVeriB[FormTipi],MATCH($A199,tblAnahtarB[NormB],0)),""))</f>
        <v/>
      </c>
      <c r="G199" s="16">
        <f>IF($A199="","",IFERROR(INDEX(tblVeriA[Donem],MATCH($A199,tblAnahtarA[Norm],0)),""))</f>
        <v/>
      </c>
      <c r="H199" s="16">
        <f>IF(OR($A199="",$B199&lt;&gt;"tutar_farki"),"",IF($E199=0,"BELGE_EKSIK",IF($C199&lt;=toleransKurus*cbb_yuvarlamaCarpan,"YUVARLAMA",IF(AND($F199&lt;&gt;"Ba",$F199&lt;&gt;"Bs"),"TIP_KARISIK",IF($C199&gt;cbb_esikFark*cbb_donemCarpan,"DONEM",IF(LEN($D199)&lt;cbb_unvanMinLen,"UNVAN","TANIMSIZ"))))))</f>
        <v/>
      </c>
    </row>
    <row r="200">
      <c r="A200" s="26">
        <f>IF('ESLESTIRME'!$A200="","",'ESLESTIRME'!$A200)</f>
        <v/>
      </c>
      <c r="B200" s="16">
        <f>IF($A200="","",IFERROR(INDEX(tblEslesme[Kova],MATCH($A200,tblEslesme[A_Norm],0)),""))</f>
        <v/>
      </c>
      <c r="C200" s="16">
        <f>IF($A200="","",IFERROR(INDEX(tblEslesme[AbsFark],MATCH($A200,tblEslesme[A_Norm],0)),0))</f>
        <v/>
      </c>
      <c r="D200" s="16">
        <f>IF($A200="","",IFERROR(INDEX(tblVeriA[Unvan],MATCH($A200,tblAnahtarA[Norm],0)),""))</f>
        <v/>
      </c>
      <c r="E200" s="16">
        <f>IF($A200="","",IFERROR(SUMIF(tblAnahtarB[NormB],$A200,tblVeriB[BelgeAdet]),0))</f>
        <v/>
      </c>
      <c r="F200" s="16">
        <f>IF($A200="","",IFERROR(INDEX(tblVeriB[FormTipi],MATCH($A200,tblAnahtarB[NormB],0)),""))</f>
        <v/>
      </c>
      <c r="G200" s="16">
        <f>IF($A200="","",IFERROR(INDEX(tblVeriA[Donem],MATCH($A200,tblAnahtarA[Norm],0)),""))</f>
        <v/>
      </c>
      <c r="H200" s="16">
        <f>IF(OR($A200="",$B200&lt;&gt;"tutar_farki"),"",IF($E200=0,"BELGE_EKSIK",IF($C200&lt;=toleransKurus*cbb_yuvarlamaCarpan,"YUVARLAMA",IF(AND($F200&lt;&gt;"Ba",$F200&lt;&gt;"Bs"),"TIP_KARISIK",IF($C200&gt;cbb_esikFark*cbb_donemCarpan,"DONEM",IF(LEN($D200)&lt;cbb_unvanMinLen,"UNVAN","TANIMSIZ"))))))</f>
        <v/>
      </c>
    </row>
    <row r="201">
      <c r="A201" s="26">
        <f>IF('ESLESTIRME'!$A201="","",'ESLESTIRME'!$A201)</f>
        <v/>
      </c>
      <c r="B201" s="16">
        <f>IF($A201="","",IFERROR(INDEX(tblEslesme[Kova],MATCH($A201,tblEslesme[A_Norm],0)),""))</f>
        <v/>
      </c>
      <c r="C201" s="16">
        <f>IF($A201="","",IFERROR(INDEX(tblEslesme[AbsFark],MATCH($A201,tblEslesme[A_Norm],0)),0))</f>
        <v/>
      </c>
      <c r="D201" s="16">
        <f>IF($A201="","",IFERROR(INDEX(tblVeriA[Unvan],MATCH($A201,tblAnahtarA[Norm],0)),""))</f>
        <v/>
      </c>
      <c r="E201" s="16">
        <f>IF($A201="","",IFERROR(SUMIF(tblAnahtarB[NormB],$A201,tblVeriB[BelgeAdet]),0))</f>
        <v/>
      </c>
      <c r="F201" s="16">
        <f>IF($A201="","",IFERROR(INDEX(tblVeriB[FormTipi],MATCH($A201,tblAnahtarB[NormB],0)),""))</f>
        <v/>
      </c>
      <c r="G201" s="16">
        <f>IF($A201="","",IFERROR(INDEX(tblVeriA[Donem],MATCH($A201,tblAnahtarA[Norm],0)),""))</f>
        <v/>
      </c>
      <c r="H201" s="16">
        <f>IF(OR($A201="",$B201&lt;&gt;"tutar_farki"),"",IF($E201=0,"BELGE_EKSIK",IF($C201&lt;=toleransKurus*cbb_yuvarlamaCarpan,"YUVARLAMA",IF(AND($F201&lt;&gt;"Ba",$F201&lt;&gt;"Bs"),"TIP_KARISIK",IF($C201&gt;cbb_esikFark*cbb_donemCarpan,"DONEM",IF(LEN($D201)&lt;cbb_unvanMinLen,"UNVAN","TANIMSIZ"))))))</f>
        <v/>
      </c>
    </row>
    <row r="202">
      <c r="A202" s="26">
        <f>IF('ESLESTIRME'!$A202="","",'ESLESTIRME'!$A202)</f>
        <v/>
      </c>
      <c r="B202" s="16">
        <f>IF($A202="","",IFERROR(INDEX(tblEslesme[Kova],MATCH($A202,tblEslesme[A_Norm],0)),""))</f>
        <v/>
      </c>
      <c r="C202" s="16">
        <f>IF($A202="","",IFERROR(INDEX(tblEslesme[AbsFark],MATCH($A202,tblEslesme[A_Norm],0)),0))</f>
        <v/>
      </c>
      <c r="D202" s="16">
        <f>IF($A202="","",IFERROR(INDEX(tblVeriA[Unvan],MATCH($A202,tblAnahtarA[Norm],0)),""))</f>
        <v/>
      </c>
      <c r="E202" s="16">
        <f>IF($A202="","",IFERROR(SUMIF(tblAnahtarB[NormB],$A202,tblVeriB[BelgeAdet]),0))</f>
        <v/>
      </c>
      <c r="F202" s="16">
        <f>IF($A202="","",IFERROR(INDEX(tblVeriB[FormTipi],MATCH($A202,tblAnahtarB[NormB],0)),""))</f>
        <v/>
      </c>
      <c r="G202" s="16">
        <f>IF($A202="","",IFERROR(INDEX(tblVeriA[Donem],MATCH($A202,tblAnahtarA[Norm],0)),""))</f>
        <v/>
      </c>
      <c r="H202" s="16">
        <f>IF(OR($A202="",$B202&lt;&gt;"tutar_farki"),"",IF($E202=0,"BELGE_EKSIK",IF($C202&lt;=toleransKurus*cbb_yuvarlamaCarpan,"YUVARLAMA",IF(AND($F202&lt;&gt;"Ba",$F202&lt;&gt;"Bs"),"TIP_KARISIK",IF($C202&gt;cbb_esikFark*cbb_donemCarpan,"DONEM",IF(LEN($D202)&lt;cbb_unvanMinLen,"UNVAN","TANIMSIZ"))))))</f>
        <v/>
      </c>
    </row>
    <row r="203">
      <c r="A203" s="26">
        <f>IF('ESLESTIRME'!$A203="","",'ESLESTIRME'!$A203)</f>
        <v/>
      </c>
      <c r="B203" s="16">
        <f>IF($A203="","",IFERROR(INDEX(tblEslesme[Kova],MATCH($A203,tblEslesme[A_Norm],0)),""))</f>
        <v/>
      </c>
      <c r="C203" s="16">
        <f>IF($A203="","",IFERROR(INDEX(tblEslesme[AbsFark],MATCH($A203,tblEslesme[A_Norm],0)),0))</f>
        <v/>
      </c>
      <c r="D203" s="16">
        <f>IF($A203="","",IFERROR(INDEX(tblVeriA[Unvan],MATCH($A203,tblAnahtarA[Norm],0)),""))</f>
        <v/>
      </c>
      <c r="E203" s="16">
        <f>IF($A203="","",IFERROR(SUMIF(tblAnahtarB[NormB],$A203,tblVeriB[BelgeAdet]),0))</f>
        <v/>
      </c>
      <c r="F203" s="16">
        <f>IF($A203="","",IFERROR(INDEX(tblVeriB[FormTipi],MATCH($A203,tblAnahtarB[NormB],0)),""))</f>
        <v/>
      </c>
      <c r="G203" s="16">
        <f>IF($A203="","",IFERROR(INDEX(tblVeriA[Donem],MATCH($A203,tblAnahtarA[Norm],0)),""))</f>
        <v/>
      </c>
      <c r="H203" s="16">
        <f>IF(OR($A203="",$B203&lt;&gt;"tutar_farki"),"",IF($E203=0,"BELGE_EKSIK",IF($C203&lt;=toleransKurus*cbb_yuvarlamaCarpan,"YUVARLAMA",IF(AND($F203&lt;&gt;"Ba",$F203&lt;&gt;"Bs"),"TIP_KARISIK",IF($C203&gt;cbb_esikFark*cbb_donemCarpan,"DONEM",IF(LEN($D203)&lt;cbb_unvanMinLen,"UNVAN","TANIMSIZ"))))))</f>
        <v/>
      </c>
    </row>
    <row r="204">
      <c r="A204" s="26">
        <f>IF('ESLESTIRME'!$A204="","",'ESLESTIRME'!$A204)</f>
        <v/>
      </c>
      <c r="B204" s="16">
        <f>IF($A204="","",IFERROR(INDEX(tblEslesme[Kova],MATCH($A204,tblEslesme[A_Norm],0)),""))</f>
        <v/>
      </c>
      <c r="C204" s="16">
        <f>IF($A204="","",IFERROR(INDEX(tblEslesme[AbsFark],MATCH($A204,tblEslesme[A_Norm],0)),0))</f>
        <v/>
      </c>
      <c r="D204" s="16">
        <f>IF($A204="","",IFERROR(INDEX(tblVeriA[Unvan],MATCH($A204,tblAnahtarA[Norm],0)),""))</f>
        <v/>
      </c>
      <c r="E204" s="16">
        <f>IF($A204="","",IFERROR(SUMIF(tblAnahtarB[NormB],$A204,tblVeriB[BelgeAdet]),0))</f>
        <v/>
      </c>
      <c r="F204" s="16">
        <f>IF($A204="","",IFERROR(INDEX(tblVeriB[FormTipi],MATCH($A204,tblAnahtarB[NormB],0)),""))</f>
        <v/>
      </c>
      <c r="G204" s="16">
        <f>IF($A204="","",IFERROR(INDEX(tblVeriA[Donem],MATCH($A204,tblAnahtarA[Norm],0)),""))</f>
        <v/>
      </c>
      <c r="H204" s="16">
        <f>IF(OR($A204="",$B204&lt;&gt;"tutar_farki"),"",IF($E204=0,"BELGE_EKSIK",IF($C204&lt;=toleransKurus*cbb_yuvarlamaCarpan,"YUVARLAMA",IF(AND($F204&lt;&gt;"Ba",$F204&lt;&gt;"Bs"),"TIP_KARISIK",IF($C204&gt;cbb_esikFark*cbb_donemCarpan,"DONEM",IF(LEN($D204)&lt;cbb_unvanMinLen,"UNVAN","TANIMSIZ"))))))</f>
        <v/>
      </c>
    </row>
    <row r="205">
      <c r="A205" s="26">
        <f>IF('ESLESTIRME'!$A205="","",'ESLESTIRME'!$A205)</f>
        <v/>
      </c>
      <c r="B205" s="16">
        <f>IF($A205="","",IFERROR(INDEX(tblEslesme[Kova],MATCH($A205,tblEslesme[A_Norm],0)),""))</f>
        <v/>
      </c>
      <c r="C205" s="16">
        <f>IF($A205="","",IFERROR(INDEX(tblEslesme[AbsFark],MATCH($A205,tblEslesme[A_Norm],0)),0))</f>
        <v/>
      </c>
      <c r="D205" s="16">
        <f>IF($A205="","",IFERROR(INDEX(tblVeriA[Unvan],MATCH($A205,tblAnahtarA[Norm],0)),""))</f>
        <v/>
      </c>
      <c r="E205" s="16">
        <f>IF($A205="","",IFERROR(SUMIF(tblAnahtarB[NormB],$A205,tblVeriB[BelgeAdet]),0))</f>
        <v/>
      </c>
      <c r="F205" s="16">
        <f>IF($A205="","",IFERROR(INDEX(tblVeriB[FormTipi],MATCH($A205,tblAnahtarB[NormB],0)),""))</f>
        <v/>
      </c>
      <c r="G205" s="16">
        <f>IF($A205="","",IFERROR(INDEX(tblVeriA[Donem],MATCH($A205,tblAnahtarA[Norm],0)),""))</f>
        <v/>
      </c>
      <c r="H205" s="16">
        <f>IF(OR($A205="",$B205&lt;&gt;"tutar_farki"),"",IF($E205=0,"BELGE_EKSIK",IF($C205&lt;=toleransKurus*cbb_yuvarlamaCarpan,"YUVARLAMA",IF(AND($F205&lt;&gt;"Ba",$F205&lt;&gt;"Bs"),"TIP_KARISIK",IF($C205&gt;cbb_esikFark*cbb_donemCarpan,"DONEM",IF(LEN($D205)&lt;cbb_unvanMinLen,"UNVAN","TANIMSIZ"))))))</f>
        <v/>
      </c>
    </row>
    <row r="206">
      <c r="A206" s="26">
        <f>IF('ESLESTIRME'!$A206="","",'ESLESTIRME'!$A206)</f>
        <v/>
      </c>
      <c r="B206" s="16">
        <f>IF($A206="","",IFERROR(INDEX(tblEslesme[Kova],MATCH($A206,tblEslesme[A_Norm],0)),""))</f>
        <v/>
      </c>
      <c r="C206" s="16">
        <f>IF($A206="","",IFERROR(INDEX(tblEslesme[AbsFark],MATCH($A206,tblEslesme[A_Norm],0)),0))</f>
        <v/>
      </c>
      <c r="D206" s="16">
        <f>IF($A206="","",IFERROR(INDEX(tblVeriA[Unvan],MATCH($A206,tblAnahtarA[Norm],0)),""))</f>
        <v/>
      </c>
      <c r="E206" s="16">
        <f>IF($A206="","",IFERROR(SUMIF(tblAnahtarB[NormB],$A206,tblVeriB[BelgeAdet]),0))</f>
        <v/>
      </c>
      <c r="F206" s="16">
        <f>IF($A206="","",IFERROR(INDEX(tblVeriB[FormTipi],MATCH($A206,tblAnahtarB[NormB],0)),""))</f>
        <v/>
      </c>
      <c r="G206" s="16">
        <f>IF($A206="","",IFERROR(INDEX(tblVeriA[Donem],MATCH($A206,tblAnahtarA[Norm],0)),""))</f>
        <v/>
      </c>
      <c r="H206" s="16">
        <f>IF(OR($A206="",$B206&lt;&gt;"tutar_farki"),"",IF($E206=0,"BELGE_EKSIK",IF($C206&lt;=toleransKurus*cbb_yuvarlamaCarpan,"YUVARLAMA",IF(AND($F206&lt;&gt;"Ba",$F206&lt;&gt;"Bs"),"TIP_KARISIK",IF($C206&gt;cbb_esikFark*cbb_donemCarpan,"DONEM",IF(LEN($D206)&lt;cbb_unvanMinLen,"UNVAN","TANIMSIZ"))))))</f>
        <v/>
      </c>
    </row>
    <row r="207">
      <c r="A207" s="26">
        <f>IF('ESLESTIRME'!$A207="","",'ESLESTIRME'!$A207)</f>
        <v/>
      </c>
      <c r="B207" s="16">
        <f>IF($A207="","",IFERROR(INDEX(tblEslesme[Kova],MATCH($A207,tblEslesme[A_Norm],0)),""))</f>
        <v/>
      </c>
      <c r="C207" s="16">
        <f>IF($A207="","",IFERROR(INDEX(tblEslesme[AbsFark],MATCH($A207,tblEslesme[A_Norm],0)),0))</f>
        <v/>
      </c>
      <c r="D207" s="16">
        <f>IF($A207="","",IFERROR(INDEX(tblVeriA[Unvan],MATCH($A207,tblAnahtarA[Norm],0)),""))</f>
        <v/>
      </c>
      <c r="E207" s="16">
        <f>IF($A207="","",IFERROR(SUMIF(tblAnahtarB[NormB],$A207,tblVeriB[BelgeAdet]),0))</f>
        <v/>
      </c>
      <c r="F207" s="16">
        <f>IF($A207="","",IFERROR(INDEX(tblVeriB[FormTipi],MATCH($A207,tblAnahtarB[NormB],0)),""))</f>
        <v/>
      </c>
      <c r="G207" s="16">
        <f>IF($A207="","",IFERROR(INDEX(tblVeriA[Donem],MATCH($A207,tblAnahtarA[Norm],0)),""))</f>
        <v/>
      </c>
      <c r="H207" s="16">
        <f>IF(OR($A207="",$B207&lt;&gt;"tutar_farki"),"",IF($E207=0,"BELGE_EKSIK",IF($C207&lt;=toleransKurus*cbb_yuvarlamaCarpan,"YUVARLAMA",IF(AND($F207&lt;&gt;"Ba",$F207&lt;&gt;"Bs"),"TIP_KARISIK",IF($C207&gt;cbb_esikFark*cbb_donemCarpan,"DONEM",IF(LEN($D207)&lt;cbb_unvanMinLen,"UNVAN","TANIMSIZ"))))))</f>
        <v/>
      </c>
    </row>
    <row r="208">
      <c r="A208" s="26">
        <f>IF('ESLESTIRME'!$A208="","",'ESLESTIRME'!$A208)</f>
        <v/>
      </c>
      <c r="B208" s="16">
        <f>IF($A208="","",IFERROR(INDEX(tblEslesme[Kova],MATCH($A208,tblEslesme[A_Norm],0)),""))</f>
        <v/>
      </c>
      <c r="C208" s="16">
        <f>IF($A208="","",IFERROR(INDEX(tblEslesme[AbsFark],MATCH($A208,tblEslesme[A_Norm],0)),0))</f>
        <v/>
      </c>
      <c r="D208" s="16">
        <f>IF($A208="","",IFERROR(INDEX(tblVeriA[Unvan],MATCH($A208,tblAnahtarA[Norm],0)),""))</f>
        <v/>
      </c>
      <c r="E208" s="16">
        <f>IF($A208="","",IFERROR(SUMIF(tblAnahtarB[NormB],$A208,tblVeriB[BelgeAdet]),0))</f>
        <v/>
      </c>
      <c r="F208" s="16">
        <f>IF($A208="","",IFERROR(INDEX(tblVeriB[FormTipi],MATCH($A208,tblAnahtarB[NormB],0)),""))</f>
        <v/>
      </c>
      <c r="G208" s="16">
        <f>IF($A208="","",IFERROR(INDEX(tblVeriA[Donem],MATCH($A208,tblAnahtarA[Norm],0)),""))</f>
        <v/>
      </c>
      <c r="H208" s="16">
        <f>IF(OR($A208="",$B208&lt;&gt;"tutar_farki"),"",IF($E208=0,"BELGE_EKSIK",IF($C208&lt;=toleransKurus*cbb_yuvarlamaCarpan,"YUVARLAMA",IF(AND($F208&lt;&gt;"Ba",$F208&lt;&gt;"Bs"),"TIP_KARISIK",IF($C208&gt;cbb_esikFark*cbb_donemCarpan,"DONEM",IF(LEN($D208)&lt;cbb_unvanMinLen,"UNVAN","TANIMSIZ"))))))</f>
        <v/>
      </c>
    </row>
    <row r="209">
      <c r="A209" s="26">
        <f>IF('ESLESTIRME'!$A209="","",'ESLESTIRME'!$A209)</f>
        <v/>
      </c>
      <c r="B209" s="16">
        <f>IF($A209="","",IFERROR(INDEX(tblEslesme[Kova],MATCH($A209,tblEslesme[A_Norm],0)),""))</f>
        <v/>
      </c>
      <c r="C209" s="16">
        <f>IF($A209="","",IFERROR(INDEX(tblEslesme[AbsFark],MATCH($A209,tblEslesme[A_Norm],0)),0))</f>
        <v/>
      </c>
      <c r="D209" s="16">
        <f>IF($A209="","",IFERROR(INDEX(tblVeriA[Unvan],MATCH($A209,tblAnahtarA[Norm],0)),""))</f>
        <v/>
      </c>
      <c r="E209" s="16">
        <f>IF($A209="","",IFERROR(SUMIF(tblAnahtarB[NormB],$A209,tblVeriB[BelgeAdet]),0))</f>
        <v/>
      </c>
      <c r="F209" s="16">
        <f>IF($A209="","",IFERROR(INDEX(tblVeriB[FormTipi],MATCH($A209,tblAnahtarB[NormB],0)),""))</f>
        <v/>
      </c>
      <c r="G209" s="16">
        <f>IF($A209="","",IFERROR(INDEX(tblVeriA[Donem],MATCH($A209,tblAnahtarA[Norm],0)),""))</f>
        <v/>
      </c>
      <c r="H209" s="16">
        <f>IF(OR($A209="",$B209&lt;&gt;"tutar_farki"),"",IF($E209=0,"BELGE_EKSIK",IF($C209&lt;=toleransKurus*cbb_yuvarlamaCarpan,"YUVARLAMA",IF(AND($F209&lt;&gt;"Ba",$F209&lt;&gt;"Bs"),"TIP_KARISIK",IF($C209&gt;cbb_esikFark*cbb_donemCarpan,"DONEM",IF(LEN($D209)&lt;cbb_unvanMinLen,"UNVAN","TANIMSIZ"))))))</f>
        <v/>
      </c>
    </row>
    <row r="210">
      <c r="A210" s="26">
        <f>IF('ESLESTIRME'!$A210="","",'ESLESTIRME'!$A210)</f>
        <v/>
      </c>
      <c r="B210" s="16">
        <f>IF($A210="","",IFERROR(INDEX(tblEslesme[Kova],MATCH($A210,tblEslesme[A_Norm],0)),""))</f>
        <v/>
      </c>
      <c r="C210" s="16">
        <f>IF($A210="","",IFERROR(INDEX(tblEslesme[AbsFark],MATCH($A210,tblEslesme[A_Norm],0)),0))</f>
        <v/>
      </c>
      <c r="D210" s="16">
        <f>IF($A210="","",IFERROR(INDEX(tblVeriA[Unvan],MATCH($A210,tblAnahtarA[Norm],0)),""))</f>
        <v/>
      </c>
      <c r="E210" s="16">
        <f>IF($A210="","",IFERROR(SUMIF(tblAnahtarB[NormB],$A210,tblVeriB[BelgeAdet]),0))</f>
        <v/>
      </c>
      <c r="F210" s="16">
        <f>IF($A210="","",IFERROR(INDEX(tblVeriB[FormTipi],MATCH($A210,tblAnahtarB[NormB],0)),""))</f>
        <v/>
      </c>
      <c r="G210" s="16">
        <f>IF($A210="","",IFERROR(INDEX(tblVeriA[Donem],MATCH($A210,tblAnahtarA[Norm],0)),""))</f>
        <v/>
      </c>
      <c r="H210" s="16">
        <f>IF(OR($A210="",$B210&lt;&gt;"tutar_farki"),"",IF($E210=0,"BELGE_EKSIK",IF($C210&lt;=toleransKurus*cbb_yuvarlamaCarpan,"YUVARLAMA",IF(AND($F210&lt;&gt;"Ba",$F210&lt;&gt;"Bs"),"TIP_KARISIK",IF($C210&gt;cbb_esikFark*cbb_donemCarpan,"DONEM",IF(LEN($D210)&lt;cbb_unvanMinLen,"UNVAN","TANIMSIZ"))))))</f>
        <v/>
      </c>
    </row>
    <row r="211">
      <c r="A211" s="26">
        <f>IF('ESLESTIRME'!$A211="","",'ESLESTIRME'!$A211)</f>
        <v/>
      </c>
      <c r="B211" s="16">
        <f>IF($A211="","",IFERROR(INDEX(tblEslesme[Kova],MATCH($A211,tblEslesme[A_Norm],0)),""))</f>
        <v/>
      </c>
      <c r="C211" s="16">
        <f>IF($A211="","",IFERROR(INDEX(tblEslesme[AbsFark],MATCH($A211,tblEslesme[A_Norm],0)),0))</f>
        <v/>
      </c>
      <c r="D211" s="16">
        <f>IF($A211="","",IFERROR(INDEX(tblVeriA[Unvan],MATCH($A211,tblAnahtarA[Norm],0)),""))</f>
        <v/>
      </c>
      <c r="E211" s="16">
        <f>IF($A211="","",IFERROR(SUMIF(tblAnahtarB[NormB],$A211,tblVeriB[BelgeAdet]),0))</f>
        <v/>
      </c>
      <c r="F211" s="16">
        <f>IF($A211="","",IFERROR(INDEX(tblVeriB[FormTipi],MATCH($A211,tblAnahtarB[NormB],0)),""))</f>
        <v/>
      </c>
      <c r="G211" s="16">
        <f>IF($A211="","",IFERROR(INDEX(tblVeriA[Donem],MATCH($A211,tblAnahtarA[Norm],0)),""))</f>
        <v/>
      </c>
      <c r="H211" s="16">
        <f>IF(OR($A211="",$B211&lt;&gt;"tutar_farki"),"",IF($E211=0,"BELGE_EKSIK",IF($C211&lt;=toleransKurus*cbb_yuvarlamaCarpan,"YUVARLAMA",IF(AND($F211&lt;&gt;"Ba",$F211&lt;&gt;"Bs"),"TIP_KARISIK",IF($C211&gt;cbb_esikFark*cbb_donemCarpan,"DONEM",IF(LEN($D211)&lt;cbb_unvanMinLen,"UNVAN","TANIMSIZ"))))))</f>
        <v/>
      </c>
    </row>
    <row r="212">
      <c r="A212" s="26">
        <f>IF('ESLESTIRME'!$A212="","",'ESLESTIRME'!$A212)</f>
        <v/>
      </c>
      <c r="B212" s="16">
        <f>IF($A212="","",IFERROR(INDEX(tblEslesme[Kova],MATCH($A212,tblEslesme[A_Norm],0)),""))</f>
        <v/>
      </c>
      <c r="C212" s="16">
        <f>IF($A212="","",IFERROR(INDEX(tblEslesme[AbsFark],MATCH($A212,tblEslesme[A_Norm],0)),0))</f>
        <v/>
      </c>
      <c r="D212" s="16">
        <f>IF($A212="","",IFERROR(INDEX(tblVeriA[Unvan],MATCH($A212,tblAnahtarA[Norm],0)),""))</f>
        <v/>
      </c>
      <c r="E212" s="16">
        <f>IF($A212="","",IFERROR(SUMIF(tblAnahtarB[NormB],$A212,tblVeriB[BelgeAdet]),0))</f>
        <v/>
      </c>
      <c r="F212" s="16">
        <f>IF($A212="","",IFERROR(INDEX(tblVeriB[FormTipi],MATCH($A212,tblAnahtarB[NormB],0)),""))</f>
        <v/>
      </c>
      <c r="G212" s="16">
        <f>IF($A212="","",IFERROR(INDEX(tblVeriA[Donem],MATCH($A212,tblAnahtarA[Norm],0)),""))</f>
        <v/>
      </c>
      <c r="H212" s="16">
        <f>IF(OR($A212="",$B212&lt;&gt;"tutar_farki"),"",IF($E212=0,"BELGE_EKSIK",IF($C212&lt;=toleransKurus*cbb_yuvarlamaCarpan,"YUVARLAMA",IF(AND($F212&lt;&gt;"Ba",$F212&lt;&gt;"Bs"),"TIP_KARISIK",IF($C212&gt;cbb_esikFark*cbb_donemCarpan,"DONEM",IF(LEN($D212)&lt;cbb_unvanMinLen,"UNVAN","TANIMSIZ"))))))</f>
        <v/>
      </c>
    </row>
    <row r="213">
      <c r="A213" s="26">
        <f>IF('ESLESTIRME'!$A213="","",'ESLESTIRME'!$A213)</f>
        <v/>
      </c>
      <c r="B213" s="16">
        <f>IF($A213="","",IFERROR(INDEX(tblEslesme[Kova],MATCH($A213,tblEslesme[A_Norm],0)),""))</f>
        <v/>
      </c>
      <c r="C213" s="16">
        <f>IF($A213="","",IFERROR(INDEX(tblEslesme[AbsFark],MATCH($A213,tblEslesme[A_Norm],0)),0))</f>
        <v/>
      </c>
      <c r="D213" s="16">
        <f>IF($A213="","",IFERROR(INDEX(tblVeriA[Unvan],MATCH($A213,tblAnahtarA[Norm],0)),""))</f>
        <v/>
      </c>
      <c r="E213" s="16">
        <f>IF($A213="","",IFERROR(SUMIF(tblAnahtarB[NormB],$A213,tblVeriB[BelgeAdet]),0))</f>
        <v/>
      </c>
      <c r="F213" s="16">
        <f>IF($A213="","",IFERROR(INDEX(tblVeriB[FormTipi],MATCH($A213,tblAnahtarB[NormB],0)),""))</f>
        <v/>
      </c>
      <c r="G213" s="16">
        <f>IF($A213="","",IFERROR(INDEX(tblVeriA[Donem],MATCH($A213,tblAnahtarA[Norm],0)),""))</f>
        <v/>
      </c>
      <c r="H213" s="16">
        <f>IF(OR($A213="",$B213&lt;&gt;"tutar_farki"),"",IF($E213=0,"BELGE_EKSIK",IF($C213&lt;=toleransKurus*cbb_yuvarlamaCarpan,"YUVARLAMA",IF(AND($F213&lt;&gt;"Ba",$F213&lt;&gt;"Bs"),"TIP_KARISIK",IF($C213&gt;cbb_esikFark*cbb_donemCarpan,"DONEM",IF(LEN($D213)&lt;cbb_unvanMinLen,"UNVAN","TANIMSIZ"))))))</f>
        <v/>
      </c>
    </row>
    <row r="214">
      <c r="A214" s="26">
        <f>IF('ESLESTIRME'!$A214="","",'ESLESTIRME'!$A214)</f>
        <v/>
      </c>
      <c r="B214" s="16">
        <f>IF($A214="","",IFERROR(INDEX(tblEslesme[Kova],MATCH($A214,tblEslesme[A_Norm],0)),""))</f>
        <v/>
      </c>
      <c r="C214" s="16">
        <f>IF($A214="","",IFERROR(INDEX(tblEslesme[AbsFark],MATCH($A214,tblEslesme[A_Norm],0)),0))</f>
        <v/>
      </c>
      <c r="D214" s="16">
        <f>IF($A214="","",IFERROR(INDEX(tblVeriA[Unvan],MATCH($A214,tblAnahtarA[Norm],0)),""))</f>
        <v/>
      </c>
      <c r="E214" s="16">
        <f>IF($A214="","",IFERROR(SUMIF(tblAnahtarB[NormB],$A214,tblVeriB[BelgeAdet]),0))</f>
        <v/>
      </c>
      <c r="F214" s="16">
        <f>IF($A214="","",IFERROR(INDEX(tblVeriB[FormTipi],MATCH($A214,tblAnahtarB[NormB],0)),""))</f>
        <v/>
      </c>
      <c r="G214" s="16">
        <f>IF($A214="","",IFERROR(INDEX(tblVeriA[Donem],MATCH($A214,tblAnahtarA[Norm],0)),""))</f>
        <v/>
      </c>
      <c r="H214" s="16">
        <f>IF(OR($A214="",$B214&lt;&gt;"tutar_farki"),"",IF($E214=0,"BELGE_EKSIK",IF($C214&lt;=toleransKurus*cbb_yuvarlamaCarpan,"YUVARLAMA",IF(AND($F214&lt;&gt;"Ba",$F214&lt;&gt;"Bs"),"TIP_KARISIK",IF($C214&gt;cbb_esikFark*cbb_donemCarpan,"DONEM",IF(LEN($D214)&lt;cbb_unvanMinLen,"UNVAN","TANIMSIZ"))))))</f>
        <v/>
      </c>
    </row>
    <row r="215">
      <c r="A215" s="26">
        <f>IF('ESLESTIRME'!$A215="","",'ESLESTIRME'!$A215)</f>
        <v/>
      </c>
      <c r="B215" s="16">
        <f>IF($A215="","",IFERROR(INDEX(tblEslesme[Kova],MATCH($A215,tblEslesme[A_Norm],0)),""))</f>
        <v/>
      </c>
      <c r="C215" s="16">
        <f>IF($A215="","",IFERROR(INDEX(tblEslesme[AbsFark],MATCH($A215,tblEslesme[A_Norm],0)),0))</f>
        <v/>
      </c>
      <c r="D215" s="16">
        <f>IF($A215="","",IFERROR(INDEX(tblVeriA[Unvan],MATCH($A215,tblAnahtarA[Norm],0)),""))</f>
        <v/>
      </c>
      <c r="E215" s="16">
        <f>IF($A215="","",IFERROR(SUMIF(tblAnahtarB[NormB],$A215,tblVeriB[BelgeAdet]),0))</f>
        <v/>
      </c>
      <c r="F215" s="16">
        <f>IF($A215="","",IFERROR(INDEX(tblVeriB[FormTipi],MATCH($A215,tblAnahtarB[NormB],0)),""))</f>
        <v/>
      </c>
      <c r="G215" s="16">
        <f>IF($A215="","",IFERROR(INDEX(tblVeriA[Donem],MATCH($A215,tblAnahtarA[Norm],0)),""))</f>
        <v/>
      </c>
      <c r="H215" s="16">
        <f>IF(OR($A215="",$B215&lt;&gt;"tutar_farki"),"",IF($E215=0,"BELGE_EKSIK",IF($C215&lt;=toleransKurus*cbb_yuvarlamaCarpan,"YUVARLAMA",IF(AND($F215&lt;&gt;"Ba",$F215&lt;&gt;"Bs"),"TIP_KARISIK",IF($C215&gt;cbb_esikFark*cbb_donemCarpan,"DONEM",IF(LEN($D215)&lt;cbb_unvanMinLen,"UNVAN","TANIMSIZ"))))))</f>
        <v/>
      </c>
    </row>
    <row r="216">
      <c r="A216" s="26">
        <f>IF('ESLESTIRME'!$A216="","",'ESLESTIRME'!$A216)</f>
        <v/>
      </c>
      <c r="B216" s="16">
        <f>IF($A216="","",IFERROR(INDEX(tblEslesme[Kova],MATCH($A216,tblEslesme[A_Norm],0)),""))</f>
        <v/>
      </c>
      <c r="C216" s="16">
        <f>IF($A216="","",IFERROR(INDEX(tblEslesme[AbsFark],MATCH($A216,tblEslesme[A_Norm],0)),0))</f>
        <v/>
      </c>
      <c r="D216" s="16">
        <f>IF($A216="","",IFERROR(INDEX(tblVeriA[Unvan],MATCH($A216,tblAnahtarA[Norm],0)),""))</f>
        <v/>
      </c>
      <c r="E216" s="16">
        <f>IF($A216="","",IFERROR(SUMIF(tblAnahtarB[NormB],$A216,tblVeriB[BelgeAdet]),0))</f>
        <v/>
      </c>
      <c r="F216" s="16">
        <f>IF($A216="","",IFERROR(INDEX(tblVeriB[FormTipi],MATCH($A216,tblAnahtarB[NormB],0)),""))</f>
        <v/>
      </c>
      <c r="G216" s="16">
        <f>IF($A216="","",IFERROR(INDEX(tblVeriA[Donem],MATCH($A216,tblAnahtarA[Norm],0)),""))</f>
        <v/>
      </c>
      <c r="H216" s="16">
        <f>IF(OR($A216="",$B216&lt;&gt;"tutar_farki"),"",IF($E216=0,"BELGE_EKSIK",IF($C216&lt;=toleransKurus*cbb_yuvarlamaCarpan,"YUVARLAMA",IF(AND($F216&lt;&gt;"Ba",$F216&lt;&gt;"Bs"),"TIP_KARISIK",IF($C216&gt;cbb_esikFark*cbb_donemCarpan,"DONEM",IF(LEN($D216)&lt;cbb_unvanMinLen,"UNVAN","TANIMSIZ"))))))</f>
        <v/>
      </c>
    </row>
    <row r="217">
      <c r="A217" s="26">
        <f>IF('ESLESTIRME'!$A217="","",'ESLESTIRME'!$A217)</f>
        <v/>
      </c>
      <c r="B217" s="16">
        <f>IF($A217="","",IFERROR(INDEX(tblEslesme[Kova],MATCH($A217,tblEslesme[A_Norm],0)),""))</f>
        <v/>
      </c>
      <c r="C217" s="16">
        <f>IF($A217="","",IFERROR(INDEX(tblEslesme[AbsFark],MATCH($A217,tblEslesme[A_Norm],0)),0))</f>
        <v/>
      </c>
      <c r="D217" s="16">
        <f>IF($A217="","",IFERROR(INDEX(tblVeriA[Unvan],MATCH($A217,tblAnahtarA[Norm],0)),""))</f>
        <v/>
      </c>
      <c r="E217" s="16">
        <f>IF($A217="","",IFERROR(SUMIF(tblAnahtarB[NormB],$A217,tblVeriB[BelgeAdet]),0))</f>
        <v/>
      </c>
      <c r="F217" s="16">
        <f>IF($A217="","",IFERROR(INDEX(tblVeriB[FormTipi],MATCH($A217,tblAnahtarB[NormB],0)),""))</f>
        <v/>
      </c>
      <c r="G217" s="16">
        <f>IF($A217="","",IFERROR(INDEX(tblVeriA[Donem],MATCH($A217,tblAnahtarA[Norm],0)),""))</f>
        <v/>
      </c>
      <c r="H217" s="16">
        <f>IF(OR($A217="",$B217&lt;&gt;"tutar_farki"),"",IF($E217=0,"BELGE_EKSIK",IF($C217&lt;=toleransKurus*cbb_yuvarlamaCarpan,"YUVARLAMA",IF(AND($F217&lt;&gt;"Ba",$F217&lt;&gt;"Bs"),"TIP_KARISIK",IF($C217&gt;cbb_esikFark*cbb_donemCarpan,"DONEM",IF(LEN($D217)&lt;cbb_unvanMinLen,"UNVAN","TANIMSIZ"))))))</f>
        <v/>
      </c>
    </row>
    <row r="218">
      <c r="A218" s="26">
        <f>IF('ESLESTIRME'!$A218="","",'ESLESTIRME'!$A218)</f>
        <v/>
      </c>
      <c r="B218" s="16">
        <f>IF($A218="","",IFERROR(INDEX(tblEslesme[Kova],MATCH($A218,tblEslesme[A_Norm],0)),""))</f>
        <v/>
      </c>
      <c r="C218" s="16">
        <f>IF($A218="","",IFERROR(INDEX(tblEslesme[AbsFark],MATCH($A218,tblEslesme[A_Norm],0)),0))</f>
        <v/>
      </c>
      <c r="D218" s="16">
        <f>IF($A218="","",IFERROR(INDEX(tblVeriA[Unvan],MATCH($A218,tblAnahtarA[Norm],0)),""))</f>
        <v/>
      </c>
      <c r="E218" s="16">
        <f>IF($A218="","",IFERROR(SUMIF(tblAnahtarB[NormB],$A218,tblVeriB[BelgeAdet]),0))</f>
        <v/>
      </c>
      <c r="F218" s="16">
        <f>IF($A218="","",IFERROR(INDEX(tblVeriB[FormTipi],MATCH($A218,tblAnahtarB[NormB],0)),""))</f>
        <v/>
      </c>
      <c r="G218" s="16">
        <f>IF($A218="","",IFERROR(INDEX(tblVeriA[Donem],MATCH($A218,tblAnahtarA[Norm],0)),""))</f>
        <v/>
      </c>
      <c r="H218" s="16">
        <f>IF(OR($A218="",$B218&lt;&gt;"tutar_farki"),"",IF($E218=0,"BELGE_EKSIK",IF($C218&lt;=toleransKurus*cbb_yuvarlamaCarpan,"YUVARLAMA",IF(AND($F218&lt;&gt;"Ba",$F218&lt;&gt;"Bs"),"TIP_KARISIK",IF($C218&gt;cbb_esikFark*cbb_donemCarpan,"DONEM",IF(LEN($D218)&lt;cbb_unvanMinLen,"UNVAN","TANIMSIZ"))))))</f>
        <v/>
      </c>
    </row>
    <row r="219">
      <c r="A219" s="26">
        <f>IF('ESLESTIRME'!$A219="","",'ESLESTIRME'!$A219)</f>
        <v/>
      </c>
      <c r="B219" s="16">
        <f>IF($A219="","",IFERROR(INDEX(tblEslesme[Kova],MATCH($A219,tblEslesme[A_Norm],0)),""))</f>
        <v/>
      </c>
      <c r="C219" s="16">
        <f>IF($A219="","",IFERROR(INDEX(tblEslesme[AbsFark],MATCH($A219,tblEslesme[A_Norm],0)),0))</f>
        <v/>
      </c>
      <c r="D219" s="16">
        <f>IF($A219="","",IFERROR(INDEX(tblVeriA[Unvan],MATCH($A219,tblAnahtarA[Norm],0)),""))</f>
        <v/>
      </c>
      <c r="E219" s="16">
        <f>IF($A219="","",IFERROR(SUMIF(tblAnahtarB[NormB],$A219,tblVeriB[BelgeAdet]),0))</f>
        <v/>
      </c>
      <c r="F219" s="16">
        <f>IF($A219="","",IFERROR(INDEX(tblVeriB[FormTipi],MATCH($A219,tblAnahtarB[NormB],0)),""))</f>
        <v/>
      </c>
      <c r="G219" s="16">
        <f>IF($A219="","",IFERROR(INDEX(tblVeriA[Donem],MATCH($A219,tblAnahtarA[Norm],0)),""))</f>
        <v/>
      </c>
      <c r="H219" s="16">
        <f>IF(OR($A219="",$B219&lt;&gt;"tutar_farki"),"",IF($E219=0,"BELGE_EKSIK",IF($C219&lt;=toleransKurus*cbb_yuvarlamaCarpan,"YUVARLAMA",IF(AND($F219&lt;&gt;"Ba",$F219&lt;&gt;"Bs"),"TIP_KARISIK",IF($C219&gt;cbb_esikFark*cbb_donemCarpan,"DONEM",IF(LEN($D219)&lt;cbb_unvanMinLen,"UNVAN","TANIMSIZ"))))))</f>
        <v/>
      </c>
    </row>
    <row r="220">
      <c r="A220" s="26">
        <f>IF('ESLESTIRME'!$A220="","",'ESLESTIRME'!$A220)</f>
        <v/>
      </c>
      <c r="B220" s="16">
        <f>IF($A220="","",IFERROR(INDEX(tblEslesme[Kova],MATCH($A220,tblEslesme[A_Norm],0)),""))</f>
        <v/>
      </c>
      <c r="C220" s="16">
        <f>IF($A220="","",IFERROR(INDEX(tblEslesme[AbsFark],MATCH($A220,tblEslesme[A_Norm],0)),0))</f>
        <v/>
      </c>
      <c r="D220" s="16">
        <f>IF($A220="","",IFERROR(INDEX(tblVeriA[Unvan],MATCH($A220,tblAnahtarA[Norm],0)),""))</f>
        <v/>
      </c>
      <c r="E220" s="16">
        <f>IF($A220="","",IFERROR(SUMIF(tblAnahtarB[NormB],$A220,tblVeriB[BelgeAdet]),0))</f>
        <v/>
      </c>
      <c r="F220" s="16">
        <f>IF($A220="","",IFERROR(INDEX(tblVeriB[FormTipi],MATCH($A220,tblAnahtarB[NormB],0)),""))</f>
        <v/>
      </c>
      <c r="G220" s="16">
        <f>IF($A220="","",IFERROR(INDEX(tblVeriA[Donem],MATCH($A220,tblAnahtarA[Norm],0)),""))</f>
        <v/>
      </c>
      <c r="H220" s="16">
        <f>IF(OR($A220="",$B220&lt;&gt;"tutar_farki"),"",IF($E220=0,"BELGE_EKSIK",IF($C220&lt;=toleransKurus*cbb_yuvarlamaCarpan,"YUVARLAMA",IF(AND($F220&lt;&gt;"Ba",$F220&lt;&gt;"Bs"),"TIP_KARISIK",IF($C220&gt;cbb_esikFark*cbb_donemCarpan,"DONEM",IF(LEN($D220)&lt;cbb_unvanMinLen,"UNVAN","TANIMSIZ"))))))</f>
        <v/>
      </c>
    </row>
    <row r="221">
      <c r="A221" s="26">
        <f>IF('ESLESTIRME'!$A221="","",'ESLESTIRME'!$A221)</f>
        <v/>
      </c>
      <c r="B221" s="16">
        <f>IF($A221="","",IFERROR(INDEX(tblEslesme[Kova],MATCH($A221,tblEslesme[A_Norm],0)),""))</f>
        <v/>
      </c>
      <c r="C221" s="16">
        <f>IF($A221="","",IFERROR(INDEX(tblEslesme[AbsFark],MATCH($A221,tblEslesme[A_Norm],0)),0))</f>
        <v/>
      </c>
      <c r="D221" s="16">
        <f>IF($A221="","",IFERROR(INDEX(tblVeriA[Unvan],MATCH($A221,tblAnahtarA[Norm],0)),""))</f>
        <v/>
      </c>
      <c r="E221" s="16">
        <f>IF($A221="","",IFERROR(SUMIF(tblAnahtarB[NormB],$A221,tblVeriB[BelgeAdet]),0))</f>
        <v/>
      </c>
      <c r="F221" s="16">
        <f>IF($A221="","",IFERROR(INDEX(tblVeriB[FormTipi],MATCH($A221,tblAnahtarB[NormB],0)),""))</f>
        <v/>
      </c>
      <c r="G221" s="16">
        <f>IF($A221="","",IFERROR(INDEX(tblVeriA[Donem],MATCH($A221,tblAnahtarA[Norm],0)),""))</f>
        <v/>
      </c>
      <c r="H221" s="16">
        <f>IF(OR($A221="",$B221&lt;&gt;"tutar_farki"),"",IF($E221=0,"BELGE_EKSIK",IF($C221&lt;=toleransKurus*cbb_yuvarlamaCarpan,"YUVARLAMA",IF(AND($F221&lt;&gt;"Ba",$F221&lt;&gt;"Bs"),"TIP_KARISIK",IF($C221&gt;cbb_esikFark*cbb_donemCarpan,"DONEM",IF(LEN($D221)&lt;cbb_unvanMinLen,"UNVAN","TANIMSIZ"))))))</f>
        <v/>
      </c>
    </row>
    <row r="222">
      <c r="A222" s="26">
        <f>IF('ESLESTIRME'!$A222="","",'ESLESTIRME'!$A222)</f>
        <v/>
      </c>
      <c r="B222" s="16">
        <f>IF($A222="","",IFERROR(INDEX(tblEslesme[Kova],MATCH($A222,tblEslesme[A_Norm],0)),""))</f>
        <v/>
      </c>
      <c r="C222" s="16">
        <f>IF($A222="","",IFERROR(INDEX(tblEslesme[AbsFark],MATCH($A222,tblEslesme[A_Norm],0)),0))</f>
        <v/>
      </c>
      <c r="D222" s="16">
        <f>IF($A222="","",IFERROR(INDEX(tblVeriA[Unvan],MATCH($A222,tblAnahtarA[Norm],0)),""))</f>
        <v/>
      </c>
      <c r="E222" s="16">
        <f>IF($A222="","",IFERROR(SUMIF(tblAnahtarB[NormB],$A222,tblVeriB[BelgeAdet]),0))</f>
        <v/>
      </c>
      <c r="F222" s="16">
        <f>IF($A222="","",IFERROR(INDEX(tblVeriB[FormTipi],MATCH($A222,tblAnahtarB[NormB],0)),""))</f>
        <v/>
      </c>
      <c r="G222" s="16">
        <f>IF($A222="","",IFERROR(INDEX(tblVeriA[Donem],MATCH($A222,tblAnahtarA[Norm],0)),""))</f>
        <v/>
      </c>
      <c r="H222" s="16">
        <f>IF(OR($A222="",$B222&lt;&gt;"tutar_farki"),"",IF($E222=0,"BELGE_EKSIK",IF($C222&lt;=toleransKurus*cbb_yuvarlamaCarpan,"YUVARLAMA",IF(AND($F222&lt;&gt;"Ba",$F222&lt;&gt;"Bs"),"TIP_KARISIK",IF($C222&gt;cbb_esikFark*cbb_donemCarpan,"DONEM",IF(LEN($D222)&lt;cbb_unvanMinLen,"UNVAN","TANIMSIZ"))))))</f>
        <v/>
      </c>
    </row>
    <row r="223">
      <c r="A223" s="26">
        <f>IF('ESLESTIRME'!$A223="","",'ESLESTIRME'!$A223)</f>
        <v/>
      </c>
      <c r="B223" s="16">
        <f>IF($A223="","",IFERROR(INDEX(tblEslesme[Kova],MATCH($A223,tblEslesme[A_Norm],0)),""))</f>
        <v/>
      </c>
      <c r="C223" s="16">
        <f>IF($A223="","",IFERROR(INDEX(tblEslesme[AbsFark],MATCH($A223,tblEslesme[A_Norm],0)),0))</f>
        <v/>
      </c>
      <c r="D223" s="16">
        <f>IF($A223="","",IFERROR(INDEX(tblVeriA[Unvan],MATCH($A223,tblAnahtarA[Norm],0)),""))</f>
        <v/>
      </c>
      <c r="E223" s="16">
        <f>IF($A223="","",IFERROR(SUMIF(tblAnahtarB[NormB],$A223,tblVeriB[BelgeAdet]),0))</f>
        <v/>
      </c>
      <c r="F223" s="16">
        <f>IF($A223="","",IFERROR(INDEX(tblVeriB[FormTipi],MATCH($A223,tblAnahtarB[NormB],0)),""))</f>
        <v/>
      </c>
      <c r="G223" s="16">
        <f>IF($A223="","",IFERROR(INDEX(tblVeriA[Donem],MATCH($A223,tblAnahtarA[Norm],0)),""))</f>
        <v/>
      </c>
      <c r="H223" s="16">
        <f>IF(OR($A223="",$B223&lt;&gt;"tutar_farki"),"",IF($E223=0,"BELGE_EKSIK",IF($C223&lt;=toleransKurus*cbb_yuvarlamaCarpan,"YUVARLAMA",IF(AND($F223&lt;&gt;"Ba",$F223&lt;&gt;"Bs"),"TIP_KARISIK",IF($C223&gt;cbb_esikFark*cbb_donemCarpan,"DONEM",IF(LEN($D223)&lt;cbb_unvanMinLen,"UNVAN","TANIMSIZ"))))))</f>
        <v/>
      </c>
    </row>
    <row r="224">
      <c r="A224" s="26">
        <f>IF('ESLESTIRME'!$A224="","",'ESLESTIRME'!$A224)</f>
        <v/>
      </c>
      <c r="B224" s="16">
        <f>IF($A224="","",IFERROR(INDEX(tblEslesme[Kova],MATCH($A224,tblEslesme[A_Norm],0)),""))</f>
        <v/>
      </c>
      <c r="C224" s="16">
        <f>IF($A224="","",IFERROR(INDEX(tblEslesme[AbsFark],MATCH($A224,tblEslesme[A_Norm],0)),0))</f>
        <v/>
      </c>
      <c r="D224" s="16">
        <f>IF($A224="","",IFERROR(INDEX(tblVeriA[Unvan],MATCH($A224,tblAnahtarA[Norm],0)),""))</f>
        <v/>
      </c>
      <c r="E224" s="16">
        <f>IF($A224="","",IFERROR(SUMIF(tblAnahtarB[NormB],$A224,tblVeriB[BelgeAdet]),0))</f>
        <v/>
      </c>
      <c r="F224" s="16">
        <f>IF($A224="","",IFERROR(INDEX(tblVeriB[FormTipi],MATCH($A224,tblAnahtarB[NormB],0)),""))</f>
        <v/>
      </c>
      <c r="G224" s="16">
        <f>IF($A224="","",IFERROR(INDEX(tblVeriA[Donem],MATCH($A224,tblAnahtarA[Norm],0)),""))</f>
        <v/>
      </c>
      <c r="H224" s="16">
        <f>IF(OR($A224="",$B224&lt;&gt;"tutar_farki"),"",IF($E224=0,"BELGE_EKSIK",IF($C224&lt;=toleransKurus*cbb_yuvarlamaCarpan,"YUVARLAMA",IF(AND($F224&lt;&gt;"Ba",$F224&lt;&gt;"Bs"),"TIP_KARISIK",IF($C224&gt;cbb_esikFark*cbb_donemCarpan,"DONEM",IF(LEN($D224)&lt;cbb_unvanMinLen,"UNVAN","TANIMSIZ"))))))</f>
        <v/>
      </c>
    </row>
    <row r="225">
      <c r="A225" s="26">
        <f>IF('ESLESTIRME'!$A225="","",'ESLESTIRME'!$A225)</f>
        <v/>
      </c>
      <c r="B225" s="16">
        <f>IF($A225="","",IFERROR(INDEX(tblEslesme[Kova],MATCH($A225,tblEslesme[A_Norm],0)),""))</f>
        <v/>
      </c>
      <c r="C225" s="16">
        <f>IF($A225="","",IFERROR(INDEX(tblEslesme[AbsFark],MATCH($A225,tblEslesme[A_Norm],0)),0))</f>
        <v/>
      </c>
      <c r="D225" s="16">
        <f>IF($A225="","",IFERROR(INDEX(tblVeriA[Unvan],MATCH($A225,tblAnahtarA[Norm],0)),""))</f>
        <v/>
      </c>
      <c r="E225" s="16">
        <f>IF($A225="","",IFERROR(SUMIF(tblAnahtarB[NormB],$A225,tblVeriB[BelgeAdet]),0))</f>
        <v/>
      </c>
      <c r="F225" s="16">
        <f>IF($A225="","",IFERROR(INDEX(tblVeriB[FormTipi],MATCH($A225,tblAnahtarB[NormB],0)),""))</f>
        <v/>
      </c>
      <c r="G225" s="16">
        <f>IF($A225="","",IFERROR(INDEX(tblVeriA[Donem],MATCH($A225,tblAnahtarA[Norm],0)),""))</f>
        <v/>
      </c>
      <c r="H225" s="16">
        <f>IF(OR($A225="",$B225&lt;&gt;"tutar_farki"),"",IF($E225=0,"BELGE_EKSIK",IF($C225&lt;=toleransKurus*cbb_yuvarlamaCarpan,"YUVARLAMA",IF(AND($F225&lt;&gt;"Ba",$F225&lt;&gt;"Bs"),"TIP_KARISIK",IF($C225&gt;cbb_esikFark*cbb_donemCarpan,"DONEM",IF(LEN($D225)&lt;cbb_unvanMinLen,"UNVAN","TANIMSIZ"))))))</f>
        <v/>
      </c>
    </row>
    <row r="226">
      <c r="A226" s="26">
        <f>IF('ESLESTIRME'!$A226="","",'ESLESTIRME'!$A226)</f>
        <v/>
      </c>
      <c r="B226" s="16">
        <f>IF($A226="","",IFERROR(INDEX(tblEslesme[Kova],MATCH($A226,tblEslesme[A_Norm],0)),""))</f>
        <v/>
      </c>
      <c r="C226" s="16">
        <f>IF($A226="","",IFERROR(INDEX(tblEslesme[AbsFark],MATCH($A226,tblEslesme[A_Norm],0)),0))</f>
        <v/>
      </c>
      <c r="D226" s="16">
        <f>IF($A226="","",IFERROR(INDEX(tblVeriA[Unvan],MATCH($A226,tblAnahtarA[Norm],0)),""))</f>
        <v/>
      </c>
      <c r="E226" s="16">
        <f>IF($A226="","",IFERROR(SUMIF(tblAnahtarB[NormB],$A226,tblVeriB[BelgeAdet]),0))</f>
        <v/>
      </c>
      <c r="F226" s="16">
        <f>IF($A226="","",IFERROR(INDEX(tblVeriB[FormTipi],MATCH($A226,tblAnahtarB[NormB],0)),""))</f>
        <v/>
      </c>
      <c r="G226" s="16">
        <f>IF($A226="","",IFERROR(INDEX(tblVeriA[Donem],MATCH($A226,tblAnahtarA[Norm],0)),""))</f>
        <v/>
      </c>
      <c r="H226" s="16">
        <f>IF(OR($A226="",$B226&lt;&gt;"tutar_farki"),"",IF($E226=0,"BELGE_EKSIK",IF($C226&lt;=toleransKurus*cbb_yuvarlamaCarpan,"YUVARLAMA",IF(AND($F226&lt;&gt;"Ba",$F226&lt;&gt;"Bs"),"TIP_KARISIK",IF($C226&gt;cbb_esikFark*cbb_donemCarpan,"DONEM",IF(LEN($D226)&lt;cbb_unvanMinLen,"UNVAN","TANIMSIZ"))))))</f>
        <v/>
      </c>
    </row>
    <row r="227">
      <c r="A227" s="26">
        <f>IF('ESLESTIRME'!$A227="","",'ESLESTIRME'!$A227)</f>
        <v/>
      </c>
      <c r="B227" s="16">
        <f>IF($A227="","",IFERROR(INDEX(tblEslesme[Kova],MATCH($A227,tblEslesme[A_Norm],0)),""))</f>
        <v/>
      </c>
      <c r="C227" s="16">
        <f>IF($A227="","",IFERROR(INDEX(tblEslesme[AbsFark],MATCH($A227,tblEslesme[A_Norm],0)),0))</f>
        <v/>
      </c>
      <c r="D227" s="16">
        <f>IF($A227="","",IFERROR(INDEX(tblVeriA[Unvan],MATCH($A227,tblAnahtarA[Norm],0)),""))</f>
        <v/>
      </c>
      <c r="E227" s="16">
        <f>IF($A227="","",IFERROR(SUMIF(tblAnahtarB[NormB],$A227,tblVeriB[BelgeAdet]),0))</f>
        <v/>
      </c>
      <c r="F227" s="16">
        <f>IF($A227="","",IFERROR(INDEX(tblVeriB[FormTipi],MATCH($A227,tblAnahtarB[NormB],0)),""))</f>
        <v/>
      </c>
      <c r="G227" s="16">
        <f>IF($A227="","",IFERROR(INDEX(tblVeriA[Donem],MATCH($A227,tblAnahtarA[Norm],0)),""))</f>
        <v/>
      </c>
      <c r="H227" s="16">
        <f>IF(OR($A227="",$B227&lt;&gt;"tutar_farki"),"",IF($E227=0,"BELGE_EKSIK",IF($C227&lt;=toleransKurus*cbb_yuvarlamaCarpan,"YUVARLAMA",IF(AND($F227&lt;&gt;"Ba",$F227&lt;&gt;"Bs"),"TIP_KARISIK",IF($C227&gt;cbb_esikFark*cbb_donemCarpan,"DONEM",IF(LEN($D227)&lt;cbb_unvanMinLen,"UNVAN","TANIMSIZ"))))))</f>
        <v/>
      </c>
    </row>
    <row r="228">
      <c r="A228" s="26">
        <f>IF('ESLESTIRME'!$A228="","",'ESLESTIRME'!$A228)</f>
        <v/>
      </c>
      <c r="B228" s="16">
        <f>IF($A228="","",IFERROR(INDEX(tblEslesme[Kova],MATCH($A228,tblEslesme[A_Norm],0)),""))</f>
        <v/>
      </c>
      <c r="C228" s="16">
        <f>IF($A228="","",IFERROR(INDEX(tblEslesme[AbsFark],MATCH($A228,tblEslesme[A_Norm],0)),0))</f>
        <v/>
      </c>
      <c r="D228" s="16">
        <f>IF($A228="","",IFERROR(INDEX(tblVeriA[Unvan],MATCH($A228,tblAnahtarA[Norm],0)),""))</f>
        <v/>
      </c>
      <c r="E228" s="16">
        <f>IF($A228="","",IFERROR(SUMIF(tblAnahtarB[NormB],$A228,tblVeriB[BelgeAdet]),0))</f>
        <v/>
      </c>
      <c r="F228" s="16">
        <f>IF($A228="","",IFERROR(INDEX(tblVeriB[FormTipi],MATCH($A228,tblAnahtarB[NormB],0)),""))</f>
        <v/>
      </c>
      <c r="G228" s="16">
        <f>IF($A228="","",IFERROR(INDEX(tblVeriA[Donem],MATCH($A228,tblAnahtarA[Norm],0)),""))</f>
        <v/>
      </c>
      <c r="H228" s="16">
        <f>IF(OR($A228="",$B228&lt;&gt;"tutar_farki"),"",IF($E228=0,"BELGE_EKSIK",IF($C228&lt;=toleransKurus*cbb_yuvarlamaCarpan,"YUVARLAMA",IF(AND($F228&lt;&gt;"Ba",$F228&lt;&gt;"Bs"),"TIP_KARISIK",IF($C228&gt;cbb_esikFark*cbb_donemCarpan,"DONEM",IF(LEN($D228)&lt;cbb_unvanMinLen,"UNVAN","TANIMSIZ"))))))</f>
        <v/>
      </c>
    </row>
    <row r="229">
      <c r="A229" s="26">
        <f>IF('ESLESTIRME'!$A229="","",'ESLESTIRME'!$A229)</f>
        <v/>
      </c>
      <c r="B229" s="16">
        <f>IF($A229="","",IFERROR(INDEX(tblEslesme[Kova],MATCH($A229,tblEslesme[A_Norm],0)),""))</f>
        <v/>
      </c>
      <c r="C229" s="16">
        <f>IF($A229="","",IFERROR(INDEX(tblEslesme[AbsFark],MATCH($A229,tblEslesme[A_Norm],0)),0))</f>
        <v/>
      </c>
      <c r="D229" s="16">
        <f>IF($A229="","",IFERROR(INDEX(tblVeriA[Unvan],MATCH($A229,tblAnahtarA[Norm],0)),""))</f>
        <v/>
      </c>
      <c r="E229" s="16">
        <f>IF($A229="","",IFERROR(SUMIF(tblAnahtarB[NormB],$A229,tblVeriB[BelgeAdet]),0))</f>
        <v/>
      </c>
      <c r="F229" s="16">
        <f>IF($A229="","",IFERROR(INDEX(tblVeriB[FormTipi],MATCH($A229,tblAnahtarB[NormB],0)),""))</f>
        <v/>
      </c>
      <c r="G229" s="16">
        <f>IF($A229="","",IFERROR(INDEX(tblVeriA[Donem],MATCH($A229,tblAnahtarA[Norm],0)),""))</f>
        <v/>
      </c>
      <c r="H229" s="16">
        <f>IF(OR($A229="",$B229&lt;&gt;"tutar_farki"),"",IF($E229=0,"BELGE_EKSIK",IF($C229&lt;=toleransKurus*cbb_yuvarlamaCarpan,"YUVARLAMA",IF(AND($F229&lt;&gt;"Ba",$F229&lt;&gt;"Bs"),"TIP_KARISIK",IF($C229&gt;cbb_esikFark*cbb_donemCarpan,"DONEM",IF(LEN($D229)&lt;cbb_unvanMinLen,"UNVAN","TANIMSIZ"))))))</f>
        <v/>
      </c>
    </row>
    <row r="230">
      <c r="A230" s="26">
        <f>IF('ESLESTIRME'!$A230="","",'ESLESTIRME'!$A230)</f>
        <v/>
      </c>
      <c r="B230" s="16">
        <f>IF($A230="","",IFERROR(INDEX(tblEslesme[Kova],MATCH($A230,tblEslesme[A_Norm],0)),""))</f>
        <v/>
      </c>
      <c r="C230" s="16">
        <f>IF($A230="","",IFERROR(INDEX(tblEslesme[AbsFark],MATCH($A230,tblEslesme[A_Norm],0)),0))</f>
        <v/>
      </c>
      <c r="D230" s="16">
        <f>IF($A230="","",IFERROR(INDEX(tblVeriA[Unvan],MATCH($A230,tblAnahtarA[Norm],0)),""))</f>
        <v/>
      </c>
      <c r="E230" s="16">
        <f>IF($A230="","",IFERROR(SUMIF(tblAnahtarB[NormB],$A230,tblVeriB[BelgeAdet]),0))</f>
        <v/>
      </c>
      <c r="F230" s="16">
        <f>IF($A230="","",IFERROR(INDEX(tblVeriB[FormTipi],MATCH($A230,tblAnahtarB[NormB],0)),""))</f>
        <v/>
      </c>
      <c r="G230" s="16">
        <f>IF($A230="","",IFERROR(INDEX(tblVeriA[Donem],MATCH($A230,tblAnahtarA[Norm],0)),""))</f>
        <v/>
      </c>
      <c r="H230" s="16">
        <f>IF(OR($A230="",$B230&lt;&gt;"tutar_farki"),"",IF($E230=0,"BELGE_EKSIK",IF($C230&lt;=toleransKurus*cbb_yuvarlamaCarpan,"YUVARLAMA",IF(AND($F230&lt;&gt;"Ba",$F230&lt;&gt;"Bs"),"TIP_KARISIK",IF($C230&gt;cbb_esikFark*cbb_donemCarpan,"DONEM",IF(LEN($D230)&lt;cbb_unvanMinLen,"UNVAN","TANIMSIZ"))))))</f>
        <v/>
      </c>
    </row>
    <row r="231">
      <c r="A231" s="26">
        <f>IF('ESLESTIRME'!$A231="","",'ESLESTIRME'!$A231)</f>
        <v/>
      </c>
      <c r="B231" s="16">
        <f>IF($A231="","",IFERROR(INDEX(tblEslesme[Kova],MATCH($A231,tblEslesme[A_Norm],0)),""))</f>
        <v/>
      </c>
      <c r="C231" s="16">
        <f>IF($A231="","",IFERROR(INDEX(tblEslesme[AbsFark],MATCH($A231,tblEslesme[A_Norm],0)),0))</f>
        <v/>
      </c>
      <c r="D231" s="16">
        <f>IF($A231="","",IFERROR(INDEX(tblVeriA[Unvan],MATCH($A231,tblAnahtarA[Norm],0)),""))</f>
        <v/>
      </c>
      <c r="E231" s="16">
        <f>IF($A231="","",IFERROR(SUMIF(tblAnahtarB[NormB],$A231,tblVeriB[BelgeAdet]),0))</f>
        <v/>
      </c>
      <c r="F231" s="16">
        <f>IF($A231="","",IFERROR(INDEX(tblVeriB[FormTipi],MATCH($A231,tblAnahtarB[NormB],0)),""))</f>
        <v/>
      </c>
      <c r="G231" s="16">
        <f>IF($A231="","",IFERROR(INDEX(tblVeriA[Donem],MATCH($A231,tblAnahtarA[Norm],0)),""))</f>
        <v/>
      </c>
      <c r="H231" s="16">
        <f>IF(OR($A231="",$B231&lt;&gt;"tutar_farki"),"",IF($E231=0,"BELGE_EKSIK",IF($C231&lt;=toleransKurus*cbb_yuvarlamaCarpan,"YUVARLAMA",IF(AND($F231&lt;&gt;"Ba",$F231&lt;&gt;"Bs"),"TIP_KARISIK",IF($C231&gt;cbb_esikFark*cbb_donemCarpan,"DONEM",IF(LEN($D231)&lt;cbb_unvanMinLen,"UNVAN","TANIMSIZ"))))))</f>
        <v/>
      </c>
    </row>
    <row r="232">
      <c r="A232" s="26">
        <f>IF('ESLESTIRME'!$A232="","",'ESLESTIRME'!$A232)</f>
        <v/>
      </c>
      <c r="B232" s="16">
        <f>IF($A232="","",IFERROR(INDEX(tblEslesme[Kova],MATCH($A232,tblEslesme[A_Norm],0)),""))</f>
        <v/>
      </c>
      <c r="C232" s="16">
        <f>IF($A232="","",IFERROR(INDEX(tblEslesme[AbsFark],MATCH($A232,tblEslesme[A_Norm],0)),0))</f>
        <v/>
      </c>
      <c r="D232" s="16">
        <f>IF($A232="","",IFERROR(INDEX(tblVeriA[Unvan],MATCH($A232,tblAnahtarA[Norm],0)),""))</f>
        <v/>
      </c>
      <c r="E232" s="16">
        <f>IF($A232="","",IFERROR(SUMIF(tblAnahtarB[NormB],$A232,tblVeriB[BelgeAdet]),0))</f>
        <v/>
      </c>
      <c r="F232" s="16">
        <f>IF($A232="","",IFERROR(INDEX(tblVeriB[FormTipi],MATCH($A232,tblAnahtarB[NormB],0)),""))</f>
        <v/>
      </c>
      <c r="G232" s="16">
        <f>IF($A232="","",IFERROR(INDEX(tblVeriA[Donem],MATCH($A232,tblAnahtarA[Norm],0)),""))</f>
        <v/>
      </c>
      <c r="H232" s="16">
        <f>IF(OR($A232="",$B232&lt;&gt;"tutar_farki"),"",IF($E232=0,"BELGE_EKSIK",IF($C232&lt;=toleransKurus*cbb_yuvarlamaCarpan,"YUVARLAMA",IF(AND($F232&lt;&gt;"Ba",$F232&lt;&gt;"Bs"),"TIP_KARISIK",IF($C232&gt;cbb_esikFark*cbb_donemCarpan,"DONEM",IF(LEN($D232)&lt;cbb_unvanMinLen,"UNVAN","TANIMSIZ"))))))</f>
        <v/>
      </c>
    </row>
    <row r="233">
      <c r="A233" s="26">
        <f>IF('ESLESTIRME'!$A233="","",'ESLESTIRME'!$A233)</f>
        <v/>
      </c>
      <c r="B233" s="16">
        <f>IF($A233="","",IFERROR(INDEX(tblEslesme[Kova],MATCH($A233,tblEslesme[A_Norm],0)),""))</f>
        <v/>
      </c>
      <c r="C233" s="16">
        <f>IF($A233="","",IFERROR(INDEX(tblEslesme[AbsFark],MATCH($A233,tblEslesme[A_Norm],0)),0))</f>
        <v/>
      </c>
      <c r="D233" s="16">
        <f>IF($A233="","",IFERROR(INDEX(tblVeriA[Unvan],MATCH($A233,tblAnahtarA[Norm],0)),""))</f>
        <v/>
      </c>
      <c r="E233" s="16">
        <f>IF($A233="","",IFERROR(SUMIF(tblAnahtarB[NormB],$A233,tblVeriB[BelgeAdet]),0))</f>
        <v/>
      </c>
      <c r="F233" s="16">
        <f>IF($A233="","",IFERROR(INDEX(tblVeriB[FormTipi],MATCH($A233,tblAnahtarB[NormB],0)),""))</f>
        <v/>
      </c>
      <c r="G233" s="16">
        <f>IF($A233="","",IFERROR(INDEX(tblVeriA[Donem],MATCH($A233,tblAnahtarA[Norm],0)),""))</f>
        <v/>
      </c>
      <c r="H233" s="16">
        <f>IF(OR($A233="",$B233&lt;&gt;"tutar_farki"),"",IF($E233=0,"BELGE_EKSIK",IF($C233&lt;=toleransKurus*cbb_yuvarlamaCarpan,"YUVARLAMA",IF(AND($F233&lt;&gt;"Ba",$F233&lt;&gt;"Bs"),"TIP_KARISIK",IF($C233&gt;cbb_esikFark*cbb_donemCarpan,"DONEM",IF(LEN($D233)&lt;cbb_unvanMinLen,"UNVAN","TANIMSIZ"))))))</f>
        <v/>
      </c>
    </row>
    <row r="234">
      <c r="A234" s="26">
        <f>IF('ESLESTIRME'!$A234="","",'ESLESTIRME'!$A234)</f>
        <v/>
      </c>
      <c r="B234" s="16">
        <f>IF($A234="","",IFERROR(INDEX(tblEslesme[Kova],MATCH($A234,tblEslesme[A_Norm],0)),""))</f>
        <v/>
      </c>
      <c r="C234" s="16">
        <f>IF($A234="","",IFERROR(INDEX(tblEslesme[AbsFark],MATCH($A234,tblEslesme[A_Norm],0)),0))</f>
        <v/>
      </c>
      <c r="D234" s="16">
        <f>IF($A234="","",IFERROR(INDEX(tblVeriA[Unvan],MATCH($A234,tblAnahtarA[Norm],0)),""))</f>
        <v/>
      </c>
      <c r="E234" s="16">
        <f>IF($A234="","",IFERROR(SUMIF(tblAnahtarB[NormB],$A234,tblVeriB[BelgeAdet]),0))</f>
        <v/>
      </c>
      <c r="F234" s="16">
        <f>IF($A234="","",IFERROR(INDEX(tblVeriB[FormTipi],MATCH($A234,tblAnahtarB[NormB],0)),""))</f>
        <v/>
      </c>
      <c r="G234" s="16">
        <f>IF($A234="","",IFERROR(INDEX(tblVeriA[Donem],MATCH($A234,tblAnahtarA[Norm],0)),""))</f>
        <v/>
      </c>
      <c r="H234" s="16">
        <f>IF(OR($A234="",$B234&lt;&gt;"tutar_farki"),"",IF($E234=0,"BELGE_EKSIK",IF($C234&lt;=toleransKurus*cbb_yuvarlamaCarpan,"YUVARLAMA",IF(AND($F234&lt;&gt;"Ba",$F234&lt;&gt;"Bs"),"TIP_KARISIK",IF($C234&gt;cbb_esikFark*cbb_donemCarpan,"DONEM",IF(LEN($D234)&lt;cbb_unvanMinLen,"UNVAN","TANIMSIZ"))))))</f>
        <v/>
      </c>
    </row>
    <row r="235">
      <c r="A235" s="26">
        <f>IF('ESLESTIRME'!$A235="","",'ESLESTIRME'!$A235)</f>
        <v/>
      </c>
      <c r="B235" s="16">
        <f>IF($A235="","",IFERROR(INDEX(tblEslesme[Kova],MATCH($A235,tblEslesme[A_Norm],0)),""))</f>
        <v/>
      </c>
      <c r="C235" s="16">
        <f>IF($A235="","",IFERROR(INDEX(tblEslesme[AbsFark],MATCH($A235,tblEslesme[A_Norm],0)),0))</f>
        <v/>
      </c>
      <c r="D235" s="16">
        <f>IF($A235="","",IFERROR(INDEX(tblVeriA[Unvan],MATCH($A235,tblAnahtarA[Norm],0)),""))</f>
        <v/>
      </c>
      <c r="E235" s="16">
        <f>IF($A235="","",IFERROR(SUMIF(tblAnahtarB[NormB],$A235,tblVeriB[BelgeAdet]),0))</f>
        <v/>
      </c>
      <c r="F235" s="16">
        <f>IF($A235="","",IFERROR(INDEX(tblVeriB[FormTipi],MATCH($A235,tblAnahtarB[NormB],0)),""))</f>
        <v/>
      </c>
      <c r="G235" s="16">
        <f>IF($A235="","",IFERROR(INDEX(tblVeriA[Donem],MATCH($A235,tblAnahtarA[Norm],0)),""))</f>
        <v/>
      </c>
      <c r="H235" s="16">
        <f>IF(OR($A235="",$B235&lt;&gt;"tutar_farki"),"",IF($E235=0,"BELGE_EKSIK",IF($C235&lt;=toleransKurus*cbb_yuvarlamaCarpan,"YUVARLAMA",IF(AND($F235&lt;&gt;"Ba",$F235&lt;&gt;"Bs"),"TIP_KARISIK",IF($C235&gt;cbb_esikFark*cbb_donemCarpan,"DONEM",IF(LEN($D235)&lt;cbb_unvanMinLen,"UNVAN","TANIMSIZ"))))))</f>
        <v/>
      </c>
    </row>
    <row r="236">
      <c r="A236" s="26">
        <f>IF('ESLESTIRME'!$A236="","",'ESLESTIRME'!$A236)</f>
        <v/>
      </c>
      <c r="B236" s="16">
        <f>IF($A236="","",IFERROR(INDEX(tblEslesme[Kova],MATCH($A236,tblEslesme[A_Norm],0)),""))</f>
        <v/>
      </c>
      <c r="C236" s="16">
        <f>IF($A236="","",IFERROR(INDEX(tblEslesme[AbsFark],MATCH($A236,tblEslesme[A_Norm],0)),0))</f>
        <v/>
      </c>
      <c r="D236" s="16">
        <f>IF($A236="","",IFERROR(INDEX(tblVeriA[Unvan],MATCH($A236,tblAnahtarA[Norm],0)),""))</f>
        <v/>
      </c>
      <c r="E236" s="16">
        <f>IF($A236="","",IFERROR(SUMIF(tblAnahtarB[NormB],$A236,tblVeriB[BelgeAdet]),0))</f>
        <v/>
      </c>
      <c r="F236" s="16">
        <f>IF($A236="","",IFERROR(INDEX(tblVeriB[FormTipi],MATCH($A236,tblAnahtarB[NormB],0)),""))</f>
        <v/>
      </c>
      <c r="G236" s="16">
        <f>IF($A236="","",IFERROR(INDEX(tblVeriA[Donem],MATCH($A236,tblAnahtarA[Norm],0)),""))</f>
        <v/>
      </c>
      <c r="H236" s="16">
        <f>IF(OR($A236="",$B236&lt;&gt;"tutar_farki"),"",IF($E236=0,"BELGE_EKSIK",IF($C236&lt;=toleransKurus*cbb_yuvarlamaCarpan,"YUVARLAMA",IF(AND($F236&lt;&gt;"Ba",$F236&lt;&gt;"Bs"),"TIP_KARISIK",IF($C236&gt;cbb_esikFark*cbb_donemCarpan,"DONEM",IF(LEN($D236)&lt;cbb_unvanMinLen,"UNVAN","TANIMSIZ"))))))</f>
        <v/>
      </c>
    </row>
    <row r="237">
      <c r="A237" s="26">
        <f>IF('ESLESTIRME'!$A237="","",'ESLESTIRME'!$A237)</f>
        <v/>
      </c>
      <c r="B237" s="16">
        <f>IF($A237="","",IFERROR(INDEX(tblEslesme[Kova],MATCH($A237,tblEslesme[A_Norm],0)),""))</f>
        <v/>
      </c>
      <c r="C237" s="16">
        <f>IF($A237="","",IFERROR(INDEX(tblEslesme[AbsFark],MATCH($A237,tblEslesme[A_Norm],0)),0))</f>
        <v/>
      </c>
      <c r="D237" s="16">
        <f>IF($A237="","",IFERROR(INDEX(tblVeriA[Unvan],MATCH($A237,tblAnahtarA[Norm],0)),""))</f>
        <v/>
      </c>
      <c r="E237" s="16">
        <f>IF($A237="","",IFERROR(SUMIF(tblAnahtarB[NormB],$A237,tblVeriB[BelgeAdet]),0))</f>
        <v/>
      </c>
      <c r="F237" s="16">
        <f>IF($A237="","",IFERROR(INDEX(tblVeriB[FormTipi],MATCH($A237,tblAnahtarB[NormB],0)),""))</f>
        <v/>
      </c>
      <c r="G237" s="16">
        <f>IF($A237="","",IFERROR(INDEX(tblVeriA[Donem],MATCH($A237,tblAnahtarA[Norm],0)),""))</f>
        <v/>
      </c>
      <c r="H237" s="16">
        <f>IF(OR($A237="",$B237&lt;&gt;"tutar_farki"),"",IF($E237=0,"BELGE_EKSIK",IF($C237&lt;=toleransKurus*cbb_yuvarlamaCarpan,"YUVARLAMA",IF(AND($F237&lt;&gt;"Ba",$F237&lt;&gt;"Bs"),"TIP_KARISIK",IF($C237&gt;cbb_esikFark*cbb_donemCarpan,"DONEM",IF(LEN($D237)&lt;cbb_unvanMinLen,"UNVAN","TANIMSIZ"))))))</f>
        <v/>
      </c>
    </row>
    <row r="238">
      <c r="A238" s="26">
        <f>IF('ESLESTIRME'!$A238="","",'ESLESTIRME'!$A238)</f>
        <v/>
      </c>
      <c r="B238" s="16">
        <f>IF($A238="","",IFERROR(INDEX(tblEslesme[Kova],MATCH($A238,tblEslesme[A_Norm],0)),""))</f>
        <v/>
      </c>
      <c r="C238" s="16">
        <f>IF($A238="","",IFERROR(INDEX(tblEslesme[AbsFark],MATCH($A238,tblEslesme[A_Norm],0)),0))</f>
        <v/>
      </c>
      <c r="D238" s="16">
        <f>IF($A238="","",IFERROR(INDEX(tblVeriA[Unvan],MATCH($A238,tblAnahtarA[Norm],0)),""))</f>
        <v/>
      </c>
      <c r="E238" s="16">
        <f>IF($A238="","",IFERROR(SUMIF(tblAnahtarB[NormB],$A238,tblVeriB[BelgeAdet]),0))</f>
        <v/>
      </c>
      <c r="F238" s="16">
        <f>IF($A238="","",IFERROR(INDEX(tblVeriB[FormTipi],MATCH($A238,tblAnahtarB[NormB],0)),""))</f>
        <v/>
      </c>
      <c r="G238" s="16">
        <f>IF($A238="","",IFERROR(INDEX(tblVeriA[Donem],MATCH($A238,tblAnahtarA[Norm],0)),""))</f>
        <v/>
      </c>
      <c r="H238" s="16">
        <f>IF(OR($A238="",$B238&lt;&gt;"tutar_farki"),"",IF($E238=0,"BELGE_EKSIK",IF($C238&lt;=toleransKurus*cbb_yuvarlamaCarpan,"YUVARLAMA",IF(AND($F238&lt;&gt;"Ba",$F238&lt;&gt;"Bs"),"TIP_KARISIK",IF($C238&gt;cbb_esikFark*cbb_donemCarpan,"DONEM",IF(LEN($D238)&lt;cbb_unvanMinLen,"UNVAN","TANIMSIZ"))))))</f>
        <v/>
      </c>
    </row>
    <row r="239">
      <c r="A239" s="26">
        <f>IF('ESLESTIRME'!$A239="","",'ESLESTIRME'!$A239)</f>
        <v/>
      </c>
      <c r="B239" s="16">
        <f>IF($A239="","",IFERROR(INDEX(tblEslesme[Kova],MATCH($A239,tblEslesme[A_Norm],0)),""))</f>
        <v/>
      </c>
      <c r="C239" s="16">
        <f>IF($A239="","",IFERROR(INDEX(tblEslesme[AbsFark],MATCH($A239,tblEslesme[A_Norm],0)),0))</f>
        <v/>
      </c>
      <c r="D239" s="16">
        <f>IF($A239="","",IFERROR(INDEX(tblVeriA[Unvan],MATCH($A239,tblAnahtarA[Norm],0)),""))</f>
        <v/>
      </c>
      <c r="E239" s="16">
        <f>IF($A239="","",IFERROR(SUMIF(tblAnahtarB[NormB],$A239,tblVeriB[BelgeAdet]),0))</f>
        <v/>
      </c>
      <c r="F239" s="16">
        <f>IF($A239="","",IFERROR(INDEX(tblVeriB[FormTipi],MATCH($A239,tblAnahtarB[NormB],0)),""))</f>
        <v/>
      </c>
      <c r="G239" s="16">
        <f>IF($A239="","",IFERROR(INDEX(tblVeriA[Donem],MATCH($A239,tblAnahtarA[Norm],0)),""))</f>
        <v/>
      </c>
      <c r="H239" s="16">
        <f>IF(OR($A239="",$B239&lt;&gt;"tutar_farki"),"",IF($E239=0,"BELGE_EKSIK",IF($C239&lt;=toleransKurus*cbb_yuvarlamaCarpan,"YUVARLAMA",IF(AND($F239&lt;&gt;"Ba",$F239&lt;&gt;"Bs"),"TIP_KARISIK",IF($C239&gt;cbb_esikFark*cbb_donemCarpan,"DONEM",IF(LEN($D239)&lt;cbb_unvanMinLen,"UNVAN","TANIMSIZ"))))))</f>
        <v/>
      </c>
    </row>
    <row r="240">
      <c r="A240" s="26">
        <f>IF('ESLESTIRME'!$A240="","",'ESLESTIRME'!$A240)</f>
        <v/>
      </c>
      <c r="B240" s="16">
        <f>IF($A240="","",IFERROR(INDEX(tblEslesme[Kova],MATCH($A240,tblEslesme[A_Norm],0)),""))</f>
        <v/>
      </c>
      <c r="C240" s="16">
        <f>IF($A240="","",IFERROR(INDEX(tblEslesme[AbsFark],MATCH($A240,tblEslesme[A_Norm],0)),0))</f>
        <v/>
      </c>
      <c r="D240" s="16">
        <f>IF($A240="","",IFERROR(INDEX(tblVeriA[Unvan],MATCH($A240,tblAnahtarA[Norm],0)),""))</f>
        <v/>
      </c>
      <c r="E240" s="16">
        <f>IF($A240="","",IFERROR(SUMIF(tblAnahtarB[NormB],$A240,tblVeriB[BelgeAdet]),0))</f>
        <v/>
      </c>
      <c r="F240" s="16">
        <f>IF($A240="","",IFERROR(INDEX(tblVeriB[FormTipi],MATCH($A240,tblAnahtarB[NormB],0)),""))</f>
        <v/>
      </c>
      <c r="G240" s="16">
        <f>IF($A240="","",IFERROR(INDEX(tblVeriA[Donem],MATCH($A240,tblAnahtarA[Norm],0)),""))</f>
        <v/>
      </c>
      <c r="H240" s="16">
        <f>IF(OR($A240="",$B240&lt;&gt;"tutar_farki"),"",IF($E240=0,"BELGE_EKSIK",IF($C240&lt;=toleransKurus*cbb_yuvarlamaCarpan,"YUVARLAMA",IF(AND($F240&lt;&gt;"Ba",$F240&lt;&gt;"Bs"),"TIP_KARISIK",IF($C240&gt;cbb_esikFark*cbb_donemCarpan,"DONEM",IF(LEN($D240)&lt;cbb_unvanMinLen,"UNVAN","TANIMSIZ"))))))</f>
        <v/>
      </c>
    </row>
    <row r="241">
      <c r="A241" s="26">
        <f>IF('ESLESTIRME'!$A241="","",'ESLESTIRME'!$A241)</f>
        <v/>
      </c>
      <c r="B241" s="16">
        <f>IF($A241="","",IFERROR(INDEX(tblEslesme[Kova],MATCH($A241,tblEslesme[A_Norm],0)),""))</f>
        <v/>
      </c>
      <c r="C241" s="16">
        <f>IF($A241="","",IFERROR(INDEX(tblEslesme[AbsFark],MATCH($A241,tblEslesme[A_Norm],0)),0))</f>
        <v/>
      </c>
      <c r="D241" s="16">
        <f>IF($A241="","",IFERROR(INDEX(tblVeriA[Unvan],MATCH($A241,tblAnahtarA[Norm],0)),""))</f>
        <v/>
      </c>
      <c r="E241" s="16">
        <f>IF($A241="","",IFERROR(SUMIF(tblAnahtarB[NormB],$A241,tblVeriB[BelgeAdet]),0))</f>
        <v/>
      </c>
      <c r="F241" s="16">
        <f>IF($A241="","",IFERROR(INDEX(tblVeriB[FormTipi],MATCH($A241,tblAnahtarB[NormB],0)),""))</f>
        <v/>
      </c>
      <c r="G241" s="16">
        <f>IF($A241="","",IFERROR(INDEX(tblVeriA[Donem],MATCH($A241,tblAnahtarA[Norm],0)),""))</f>
        <v/>
      </c>
      <c r="H241" s="16">
        <f>IF(OR($A241="",$B241&lt;&gt;"tutar_farki"),"",IF($E241=0,"BELGE_EKSIK",IF($C241&lt;=toleransKurus*cbb_yuvarlamaCarpan,"YUVARLAMA",IF(AND($F241&lt;&gt;"Ba",$F241&lt;&gt;"Bs"),"TIP_KARISIK",IF($C241&gt;cbb_esikFark*cbb_donemCarpan,"DONEM",IF(LEN($D241)&lt;cbb_unvanMinLen,"UNVAN","TANIMSIZ"))))))</f>
        <v/>
      </c>
    </row>
    <row r="242">
      <c r="A242" s="26">
        <f>IF('ESLESTIRME'!$A242="","",'ESLESTIRME'!$A242)</f>
        <v/>
      </c>
      <c r="B242" s="16">
        <f>IF($A242="","",IFERROR(INDEX(tblEslesme[Kova],MATCH($A242,tblEslesme[A_Norm],0)),""))</f>
        <v/>
      </c>
      <c r="C242" s="16">
        <f>IF($A242="","",IFERROR(INDEX(tblEslesme[AbsFark],MATCH($A242,tblEslesme[A_Norm],0)),0))</f>
        <v/>
      </c>
      <c r="D242" s="16">
        <f>IF($A242="","",IFERROR(INDEX(tblVeriA[Unvan],MATCH($A242,tblAnahtarA[Norm],0)),""))</f>
        <v/>
      </c>
      <c r="E242" s="16">
        <f>IF($A242="","",IFERROR(SUMIF(tblAnahtarB[NormB],$A242,tblVeriB[BelgeAdet]),0))</f>
        <v/>
      </c>
      <c r="F242" s="16">
        <f>IF($A242="","",IFERROR(INDEX(tblVeriB[FormTipi],MATCH($A242,tblAnahtarB[NormB],0)),""))</f>
        <v/>
      </c>
      <c r="G242" s="16">
        <f>IF($A242="","",IFERROR(INDEX(tblVeriA[Donem],MATCH($A242,tblAnahtarA[Norm],0)),""))</f>
        <v/>
      </c>
      <c r="H242" s="16">
        <f>IF(OR($A242="",$B242&lt;&gt;"tutar_farki"),"",IF($E242=0,"BELGE_EKSIK",IF($C242&lt;=toleransKurus*cbb_yuvarlamaCarpan,"YUVARLAMA",IF(AND($F242&lt;&gt;"Ba",$F242&lt;&gt;"Bs"),"TIP_KARISIK",IF($C242&gt;cbb_esikFark*cbb_donemCarpan,"DONEM",IF(LEN($D242)&lt;cbb_unvanMinLen,"UNVAN","TANIMSIZ"))))))</f>
        <v/>
      </c>
    </row>
    <row r="243">
      <c r="A243" s="26">
        <f>IF('ESLESTIRME'!$A243="","",'ESLESTIRME'!$A243)</f>
        <v/>
      </c>
      <c r="B243" s="16">
        <f>IF($A243="","",IFERROR(INDEX(tblEslesme[Kova],MATCH($A243,tblEslesme[A_Norm],0)),""))</f>
        <v/>
      </c>
      <c r="C243" s="16">
        <f>IF($A243="","",IFERROR(INDEX(tblEslesme[AbsFark],MATCH($A243,tblEslesme[A_Norm],0)),0))</f>
        <v/>
      </c>
      <c r="D243" s="16">
        <f>IF($A243="","",IFERROR(INDEX(tblVeriA[Unvan],MATCH($A243,tblAnahtarA[Norm],0)),""))</f>
        <v/>
      </c>
      <c r="E243" s="16">
        <f>IF($A243="","",IFERROR(SUMIF(tblAnahtarB[NormB],$A243,tblVeriB[BelgeAdet]),0))</f>
        <v/>
      </c>
      <c r="F243" s="16">
        <f>IF($A243="","",IFERROR(INDEX(tblVeriB[FormTipi],MATCH($A243,tblAnahtarB[NormB],0)),""))</f>
        <v/>
      </c>
      <c r="G243" s="16">
        <f>IF($A243="","",IFERROR(INDEX(tblVeriA[Donem],MATCH($A243,tblAnahtarA[Norm],0)),""))</f>
        <v/>
      </c>
      <c r="H243" s="16">
        <f>IF(OR($A243="",$B243&lt;&gt;"tutar_farki"),"",IF($E243=0,"BELGE_EKSIK",IF($C243&lt;=toleransKurus*cbb_yuvarlamaCarpan,"YUVARLAMA",IF(AND($F243&lt;&gt;"Ba",$F243&lt;&gt;"Bs"),"TIP_KARISIK",IF($C243&gt;cbb_esikFark*cbb_donemCarpan,"DONEM",IF(LEN($D243)&lt;cbb_unvanMinLen,"UNVAN","TANIMSIZ"))))))</f>
        <v/>
      </c>
    </row>
    <row r="244">
      <c r="A244" s="26">
        <f>IF('ESLESTIRME'!$A244="","",'ESLESTIRME'!$A244)</f>
        <v/>
      </c>
      <c r="B244" s="16">
        <f>IF($A244="","",IFERROR(INDEX(tblEslesme[Kova],MATCH($A244,tblEslesme[A_Norm],0)),""))</f>
        <v/>
      </c>
      <c r="C244" s="16">
        <f>IF($A244="","",IFERROR(INDEX(tblEslesme[AbsFark],MATCH($A244,tblEslesme[A_Norm],0)),0))</f>
        <v/>
      </c>
      <c r="D244" s="16">
        <f>IF($A244="","",IFERROR(INDEX(tblVeriA[Unvan],MATCH($A244,tblAnahtarA[Norm],0)),""))</f>
        <v/>
      </c>
      <c r="E244" s="16">
        <f>IF($A244="","",IFERROR(SUMIF(tblAnahtarB[NormB],$A244,tblVeriB[BelgeAdet]),0))</f>
        <v/>
      </c>
      <c r="F244" s="16">
        <f>IF($A244="","",IFERROR(INDEX(tblVeriB[FormTipi],MATCH($A244,tblAnahtarB[NormB],0)),""))</f>
        <v/>
      </c>
      <c r="G244" s="16">
        <f>IF($A244="","",IFERROR(INDEX(tblVeriA[Donem],MATCH($A244,tblAnahtarA[Norm],0)),""))</f>
        <v/>
      </c>
      <c r="H244" s="16">
        <f>IF(OR($A244="",$B244&lt;&gt;"tutar_farki"),"",IF($E244=0,"BELGE_EKSIK",IF($C244&lt;=toleransKurus*cbb_yuvarlamaCarpan,"YUVARLAMA",IF(AND($F244&lt;&gt;"Ba",$F244&lt;&gt;"Bs"),"TIP_KARISIK",IF($C244&gt;cbb_esikFark*cbb_donemCarpan,"DONEM",IF(LEN($D244)&lt;cbb_unvanMinLen,"UNVAN","TANIMSIZ"))))))</f>
        <v/>
      </c>
    </row>
    <row r="245">
      <c r="A245" s="26">
        <f>IF('ESLESTIRME'!$A245="","",'ESLESTIRME'!$A245)</f>
        <v/>
      </c>
      <c r="B245" s="16">
        <f>IF($A245="","",IFERROR(INDEX(tblEslesme[Kova],MATCH($A245,tblEslesme[A_Norm],0)),""))</f>
        <v/>
      </c>
      <c r="C245" s="16">
        <f>IF($A245="","",IFERROR(INDEX(tblEslesme[AbsFark],MATCH($A245,tblEslesme[A_Norm],0)),0))</f>
        <v/>
      </c>
      <c r="D245" s="16">
        <f>IF($A245="","",IFERROR(INDEX(tblVeriA[Unvan],MATCH($A245,tblAnahtarA[Norm],0)),""))</f>
        <v/>
      </c>
      <c r="E245" s="16">
        <f>IF($A245="","",IFERROR(SUMIF(tblAnahtarB[NormB],$A245,tblVeriB[BelgeAdet]),0))</f>
        <v/>
      </c>
      <c r="F245" s="16">
        <f>IF($A245="","",IFERROR(INDEX(tblVeriB[FormTipi],MATCH($A245,tblAnahtarB[NormB],0)),""))</f>
        <v/>
      </c>
      <c r="G245" s="16">
        <f>IF($A245="","",IFERROR(INDEX(tblVeriA[Donem],MATCH($A245,tblAnahtarA[Norm],0)),""))</f>
        <v/>
      </c>
      <c r="H245" s="16">
        <f>IF(OR($A245="",$B245&lt;&gt;"tutar_farki"),"",IF($E245=0,"BELGE_EKSIK",IF($C245&lt;=toleransKurus*cbb_yuvarlamaCarpan,"YUVARLAMA",IF(AND($F245&lt;&gt;"Ba",$F245&lt;&gt;"Bs"),"TIP_KARISIK",IF($C245&gt;cbb_esikFark*cbb_donemCarpan,"DONEM",IF(LEN($D245)&lt;cbb_unvanMinLen,"UNVAN","TANIMSIZ"))))))</f>
        <v/>
      </c>
    </row>
    <row r="246">
      <c r="A246" s="26">
        <f>IF('ESLESTIRME'!$A246="","",'ESLESTIRME'!$A246)</f>
        <v/>
      </c>
      <c r="B246" s="16">
        <f>IF($A246="","",IFERROR(INDEX(tblEslesme[Kova],MATCH($A246,tblEslesme[A_Norm],0)),""))</f>
        <v/>
      </c>
      <c r="C246" s="16">
        <f>IF($A246="","",IFERROR(INDEX(tblEslesme[AbsFark],MATCH($A246,tblEslesme[A_Norm],0)),0))</f>
        <v/>
      </c>
      <c r="D246" s="16">
        <f>IF($A246="","",IFERROR(INDEX(tblVeriA[Unvan],MATCH($A246,tblAnahtarA[Norm],0)),""))</f>
        <v/>
      </c>
      <c r="E246" s="16">
        <f>IF($A246="","",IFERROR(SUMIF(tblAnahtarB[NormB],$A246,tblVeriB[BelgeAdet]),0))</f>
        <v/>
      </c>
      <c r="F246" s="16">
        <f>IF($A246="","",IFERROR(INDEX(tblVeriB[FormTipi],MATCH($A246,tblAnahtarB[NormB],0)),""))</f>
        <v/>
      </c>
      <c r="G246" s="16">
        <f>IF($A246="","",IFERROR(INDEX(tblVeriA[Donem],MATCH($A246,tblAnahtarA[Norm],0)),""))</f>
        <v/>
      </c>
      <c r="H246" s="16">
        <f>IF(OR($A246="",$B246&lt;&gt;"tutar_farki"),"",IF($E246=0,"BELGE_EKSIK",IF($C246&lt;=toleransKurus*cbb_yuvarlamaCarpan,"YUVARLAMA",IF(AND($F246&lt;&gt;"Ba",$F246&lt;&gt;"Bs"),"TIP_KARISIK",IF($C246&gt;cbb_esikFark*cbb_donemCarpan,"DONEM",IF(LEN($D246)&lt;cbb_unvanMinLen,"UNVAN","TANIMSIZ"))))))</f>
        <v/>
      </c>
    </row>
    <row r="247">
      <c r="A247" s="26">
        <f>IF('ESLESTIRME'!$A247="","",'ESLESTIRME'!$A247)</f>
        <v/>
      </c>
      <c r="B247" s="16">
        <f>IF($A247="","",IFERROR(INDEX(tblEslesme[Kova],MATCH($A247,tblEslesme[A_Norm],0)),""))</f>
        <v/>
      </c>
      <c r="C247" s="16">
        <f>IF($A247="","",IFERROR(INDEX(tblEslesme[AbsFark],MATCH($A247,tblEslesme[A_Norm],0)),0))</f>
        <v/>
      </c>
      <c r="D247" s="16">
        <f>IF($A247="","",IFERROR(INDEX(tblVeriA[Unvan],MATCH($A247,tblAnahtarA[Norm],0)),""))</f>
        <v/>
      </c>
      <c r="E247" s="16">
        <f>IF($A247="","",IFERROR(SUMIF(tblAnahtarB[NormB],$A247,tblVeriB[BelgeAdet]),0))</f>
        <v/>
      </c>
      <c r="F247" s="16">
        <f>IF($A247="","",IFERROR(INDEX(tblVeriB[FormTipi],MATCH($A247,tblAnahtarB[NormB],0)),""))</f>
        <v/>
      </c>
      <c r="G247" s="16">
        <f>IF($A247="","",IFERROR(INDEX(tblVeriA[Donem],MATCH($A247,tblAnahtarA[Norm],0)),""))</f>
        <v/>
      </c>
      <c r="H247" s="16">
        <f>IF(OR($A247="",$B247&lt;&gt;"tutar_farki"),"",IF($E247=0,"BELGE_EKSIK",IF($C247&lt;=toleransKurus*cbb_yuvarlamaCarpan,"YUVARLAMA",IF(AND($F247&lt;&gt;"Ba",$F247&lt;&gt;"Bs"),"TIP_KARISIK",IF($C247&gt;cbb_esikFark*cbb_donemCarpan,"DONEM",IF(LEN($D247)&lt;cbb_unvanMinLen,"UNVAN","TANIMSIZ"))))))</f>
        <v/>
      </c>
    </row>
    <row r="248">
      <c r="A248" s="26">
        <f>IF('ESLESTIRME'!$A248="","",'ESLESTIRME'!$A248)</f>
        <v/>
      </c>
      <c r="B248" s="16">
        <f>IF($A248="","",IFERROR(INDEX(tblEslesme[Kova],MATCH($A248,tblEslesme[A_Norm],0)),""))</f>
        <v/>
      </c>
      <c r="C248" s="16">
        <f>IF($A248="","",IFERROR(INDEX(tblEslesme[AbsFark],MATCH($A248,tblEslesme[A_Norm],0)),0))</f>
        <v/>
      </c>
      <c r="D248" s="16">
        <f>IF($A248="","",IFERROR(INDEX(tblVeriA[Unvan],MATCH($A248,tblAnahtarA[Norm],0)),""))</f>
        <v/>
      </c>
      <c r="E248" s="16">
        <f>IF($A248="","",IFERROR(SUMIF(tblAnahtarB[NormB],$A248,tblVeriB[BelgeAdet]),0))</f>
        <v/>
      </c>
      <c r="F248" s="16">
        <f>IF($A248="","",IFERROR(INDEX(tblVeriB[FormTipi],MATCH($A248,tblAnahtarB[NormB],0)),""))</f>
        <v/>
      </c>
      <c r="G248" s="16">
        <f>IF($A248="","",IFERROR(INDEX(tblVeriA[Donem],MATCH($A248,tblAnahtarA[Norm],0)),""))</f>
        <v/>
      </c>
      <c r="H248" s="16">
        <f>IF(OR($A248="",$B248&lt;&gt;"tutar_farki"),"",IF($E248=0,"BELGE_EKSIK",IF($C248&lt;=toleransKurus*cbb_yuvarlamaCarpan,"YUVARLAMA",IF(AND($F248&lt;&gt;"Ba",$F248&lt;&gt;"Bs"),"TIP_KARISIK",IF($C248&gt;cbb_esikFark*cbb_donemCarpan,"DONEM",IF(LEN($D248)&lt;cbb_unvanMinLen,"UNVAN","TANIMSIZ"))))))</f>
        <v/>
      </c>
    </row>
    <row r="249">
      <c r="A249" s="26">
        <f>IF('ESLESTIRME'!$A249="","",'ESLESTIRME'!$A249)</f>
        <v/>
      </c>
      <c r="B249" s="16">
        <f>IF($A249="","",IFERROR(INDEX(tblEslesme[Kova],MATCH($A249,tblEslesme[A_Norm],0)),""))</f>
        <v/>
      </c>
      <c r="C249" s="16">
        <f>IF($A249="","",IFERROR(INDEX(tblEslesme[AbsFark],MATCH($A249,tblEslesme[A_Norm],0)),0))</f>
        <v/>
      </c>
      <c r="D249" s="16">
        <f>IF($A249="","",IFERROR(INDEX(tblVeriA[Unvan],MATCH($A249,tblAnahtarA[Norm],0)),""))</f>
        <v/>
      </c>
      <c r="E249" s="16">
        <f>IF($A249="","",IFERROR(SUMIF(tblAnahtarB[NormB],$A249,tblVeriB[BelgeAdet]),0))</f>
        <v/>
      </c>
      <c r="F249" s="16">
        <f>IF($A249="","",IFERROR(INDEX(tblVeriB[FormTipi],MATCH($A249,tblAnahtarB[NormB],0)),""))</f>
        <v/>
      </c>
      <c r="G249" s="16">
        <f>IF($A249="","",IFERROR(INDEX(tblVeriA[Donem],MATCH($A249,tblAnahtarA[Norm],0)),""))</f>
        <v/>
      </c>
      <c r="H249" s="16">
        <f>IF(OR($A249="",$B249&lt;&gt;"tutar_farki"),"",IF($E249=0,"BELGE_EKSIK",IF($C249&lt;=toleransKurus*cbb_yuvarlamaCarpan,"YUVARLAMA",IF(AND($F249&lt;&gt;"Ba",$F249&lt;&gt;"Bs"),"TIP_KARISIK",IF($C249&gt;cbb_esikFark*cbb_donemCarpan,"DONEM",IF(LEN($D249)&lt;cbb_unvanMinLen,"UNVAN","TANIMSIZ"))))))</f>
        <v/>
      </c>
    </row>
    <row r="250">
      <c r="A250" s="26">
        <f>IF('ESLESTIRME'!$A250="","",'ESLESTIRME'!$A250)</f>
        <v/>
      </c>
      <c r="B250" s="16">
        <f>IF($A250="","",IFERROR(INDEX(tblEslesme[Kova],MATCH($A250,tblEslesme[A_Norm],0)),""))</f>
        <v/>
      </c>
      <c r="C250" s="16">
        <f>IF($A250="","",IFERROR(INDEX(tblEslesme[AbsFark],MATCH($A250,tblEslesme[A_Norm],0)),0))</f>
        <v/>
      </c>
      <c r="D250" s="16">
        <f>IF($A250="","",IFERROR(INDEX(tblVeriA[Unvan],MATCH($A250,tblAnahtarA[Norm],0)),""))</f>
        <v/>
      </c>
      <c r="E250" s="16">
        <f>IF($A250="","",IFERROR(SUMIF(tblAnahtarB[NormB],$A250,tblVeriB[BelgeAdet]),0))</f>
        <v/>
      </c>
      <c r="F250" s="16">
        <f>IF($A250="","",IFERROR(INDEX(tblVeriB[FormTipi],MATCH($A250,tblAnahtarB[NormB],0)),""))</f>
        <v/>
      </c>
      <c r="G250" s="16">
        <f>IF($A250="","",IFERROR(INDEX(tblVeriA[Donem],MATCH($A250,tblAnahtarA[Norm],0)),""))</f>
        <v/>
      </c>
      <c r="H250" s="16">
        <f>IF(OR($A250="",$B250&lt;&gt;"tutar_farki"),"",IF($E250=0,"BELGE_EKSIK",IF($C250&lt;=toleransKurus*cbb_yuvarlamaCarpan,"YUVARLAMA",IF(AND($F250&lt;&gt;"Ba",$F250&lt;&gt;"Bs"),"TIP_KARISIK",IF($C250&gt;cbb_esikFark*cbb_donemCarpan,"DONEM",IF(LEN($D250)&lt;cbb_unvanMinLen,"UNVAN","TANIMSIZ"))))))</f>
        <v/>
      </c>
    </row>
    <row r="251">
      <c r="A251" s="26">
        <f>IF('ESLESTIRME'!$A251="","",'ESLESTIRME'!$A251)</f>
        <v/>
      </c>
      <c r="B251" s="16">
        <f>IF($A251="","",IFERROR(INDEX(tblEslesme[Kova],MATCH($A251,tblEslesme[A_Norm],0)),""))</f>
        <v/>
      </c>
      <c r="C251" s="16">
        <f>IF($A251="","",IFERROR(INDEX(tblEslesme[AbsFark],MATCH($A251,tblEslesme[A_Norm],0)),0))</f>
        <v/>
      </c>
      <c r="D251" s="16">
        <f>IF($A251="","",IFERROR(INDEX(tblVeriA[Unvan],MATCH($A251,tblAnahtarA[Norm],0)),""))</f>
        <v/>
      </c>
      <c r="E251" s="16">
        <f>IF($A251="","",IFERROR(SUMIF(tblAnahtarB[NormB],$A251,tblVeriB[BelgeAdet]),0))</f>
        <v/>
      </c>
      <c r="F251" s="16">
        <f>IF($A251="","",IFERROR(INDEX(tblVeriB[FormTipi],MATCH($A251,tblAnahtarB[NormB],0)),""))</f>
        <v/>
      </c>
      <c r="G251" s="16">
        <f>IF($A251="","",IFERROR(INDEX(tblVeriA[Donem],MATCH($A251,tblAnahtarA[Norm],0)),""))</f>
        <v/>
      </c>
      <c r="H251" s="16">
        <f>IF(OR($A251="",$B251&lt;&gt;"tutar_farki"),"",IF($E251=0,"BELGE_EKSIK",IF($C251&lt;=toleransKurus*cbb_yuvarlamaCarpan,"YUVARLAMA",IF(AND($F251&lt;&gt;"Ba",$F251&lt;&gt;"Bs"),"TIP_KARISIK",IF($C251&gt;cbb_esikFark*cbb_donemCarpan,"DONEM",IF(LEN($D251)&lt;cbb_unvanMinLen,"UNVAN","TANIMSIZ"))))))</f>
        <v/>
      </c>
    </row>
    <row r="252">
      <c r="A252" s="26">
        <f>IF('ESLESTIRME'!$A252="","",'ESLESTIRME'!$A252)</f>
        <v/>
      </c>
      <c r="B252" s="16">
        <f>IF($A252="","",IFERROR(INDEX(tblEslesme[Kova],MATCH($A252,tblEslesme[A_Norm],0)),""))</f>
        <v/>
      </c>
      <c r="C252" s="16">
        <f>IF($A252="","",IFERROR(INDEX(tblEslesme[AbsFark],MATCH($A252,tblEslesme[A_Norm],0)),0))</f>
        <v/>
      </c>
      <c r="D252" s="16">
        <f>IF($A252="","",IFERROR(INDEX(tblVeriA[Unvan],MATCH($A252,tblAnahtarA[Norm],0)),""))</f>
        <v/>
      </c>
      <c r="E252" s="16">
        <f>IF($A252="","",IFERROR(SUMIF(tblAnahtarB[NormB],$A252,tblVeriB[BelgeAdet]),0))</f>
        <v/>
      </c>
      <c r="F252" s="16">
        <f>IF($A252="","",IFERROR(INDEX(tblVeriB[FormTipi],MATCH($A252,tblAnahtarB[NormB],0)),""))</f>
        <v/>
      </c>
      <c r="G252" s="16">
        <f>IF($A252="","",IFERROR(INDEX(tblVeriA[Donem],MATCH($A252,tblAnahtarA[Norm],0)),""))</f>
        <v/>
      </c>
      <c r="H252" s="16">
        <f>IF(OR($A252="",$B252&lt;&gt;"tutar_farki"),"",IF($E252=0,"BELGE_EKSIK",IF($C252&lt;=toleransKurus*cbb_yuvarlamaCarpan,"YUVARLAMA",IF(AND($F252&lt;&gt;"Ba",$F252&lt;&gt;"Bs"),"TIP_KARISIK",IF($C252&gt;cbb_esikFark*cbb_donemCarpan,"DONEM",IF(LEN($D252)&lt;cbb_unvanMinLen,"UNVAN","TANIMSIZ"))))))</f>
        <v/>
      </c>
    </row>
    <row r="253">
      <c r="A253" s="26">
        <f>IF('ESLESTIRME'!$A253="","",'ESLESTIRME'!$A253)</f>
        <v/>
      </c>
      <c r="B253" s="16">
        <f>IF($A253="","",IFERROR(INDEX(tblEslesme[Kova],MATCH($A253,tblEslesme[A_Norm],0)),""))</f>
        <v/>
      </c>
      <c r="C253" s="16">
        <f>IF($A253="","",IFERROR(INDEX(tblEslesme[AbsFark],MATCH($A253,tblEslesme[A_Norm],0)),0))</f>
        <v/>
      </c>
      <c r="D253" s="16">
        <f>IF($A253="","",IFERROR(INDEX(tblVeriA[Unvan],MATCH($A253,tblAnahtarA[Norm],0)),""))</f>
        <v/>
      </c>
      <c r="E253" s="16">
        <f>IF($A253="","",IFERROR(SUMIF(tblAnahtarB[NormB],$A253,tblVeriB[BelgeAdet]),0))</f>
        <v/>
      </c>
      <c r="F253" s="16">
        <f>IF($A253="","",IFERROR(INDEX(tblVeriB[FormTipi],MATCH($A253,tblAnahtarB[NormB],0)),""))</f>
        <v/>
      </c>
      <c r="G253" s="16">
        <f>IF($A253="","",IFERROR(INDEX(tblVeriA[Donem],MATCH($A253,tblAnahtarA[Norm],0)),""))</f>
        <v/>
      </c>
      <c r="H253" s="16">
        <f>IF(OR($A253="",$B253&lt;&gt;"tutar_farki"),"",IF($E253=0,"BELGE_EKSIK",IF($C253&lt;=toleransKurus*cbb_yuvarlamaCarpan,"YUVARLAMA",IF(AND($F253&lt;&gt;"Ba",$F253&lt;&gt;"Bs"),"TIP_KARISIK",IF($C253&gt;cbb_esikFark*cbb_donemCarpan,"DONEM",IF(LEN($D253)&lt;cbb_unvanMinLen,"UNVAN","TANIMSIZ"))))))</f>
        <v/>
      </c>
    </row>
    <row r="254">
      <c r="A254" s="26">
        <f>IF('ESLESTIRME'!$A254="","",'ESLESTIRME'!$A254)</f>
        <v/>
      </c>
      <c r="B254" s="16">
        <f>IF($A254="","",IFERROR(INDEX(tblEslesme[Kova],MATCH($A254,tblEslesme[A_Norm],0)),""))</f>
        <v/>
      </c>
      <c r="C254" s="16">
        <f>IF($A254="","",IFERROR(INDEX(tblEslesme[AbsFark],MATCH($A254,tblEslesme[A_Norm],0)),0))</f>
        <v/>
      </c>
      <c r="D254" s="16">
        <f>IF($A254="","",IFERROR(INDEX(tblVeriA[Unvan],MATCH($A254,tblAnahtarA[Norm],0)),""))</f>
        <v/>
      </c>
      <c r="E254" s="16">
        <f>IF($A254="","",IFERROR(SUMIF(tblAnahtarB[NormB],$A254,tblVeriB[BelgeAdet]),0))</f>
        <v/>
      </c>
      <c r="F254" s="16">
        <f>IF($A254="","",IFERROR(INDEX(tblVeriB[FormTipi],MATCH($A254,tblAnahtarB[NormB],0)),""))</f>
        <v/>
      </c>
      <c r="G254" s="16">
        <f>IF($A254="","",IFERROR(INDEX(tblVeriA[Donem],MATCH($A254,tblAnahtarA[Norm],0)),""))</f>
        <v/>
      </c>
      <c r="H254" s="16">
        <f>IF(OR($A254="",$B254&lt;&gt;"tutar_farki"),"",IF($E254=0,"BELGE_EKSIK",IF($C254&lt;=toleransKurus*cbb_yuvarlamaCarpan,"YUVARLAMA",IF(AND($F254&lt;&gt;"Ba",$F254&lt;&gt;"Bs"),"TIP_KARISIK",IF($C254&gt;cbb_esikFark*cbb_donemCarpan,"DONEM",IF(LEN($D254)&lt;cbb_unvanMinLen,"UNVAN","TANIMSIZ"))))))</f>
        <v/>
      </c>
    </row>
    <row r="255">
      <c r="A255" s="26">
        <f>IF('ESLESTIRME'!$A255="","",'ESLESTIRME'!$A255)</f>
        <v/>
      </c>
      <c r="B255" s="16">
        <f>IF($A255="","",IFERROR(INDEX(tblEslesme[Kova],MATCH($A255,tblEslesme[A_Norm],0)),""))</f>
        <v/>
      </c>
      <c r="C255" s="16">
        <f>IF($A255="","",IFERROR(INDEX(tblEslesme[AbsFark],MATCH($A255,tblEslesme[A_Norm],0)),0))</f>
        <v/>
      </c>
      <c r="D255" s="16">
        <f>IF($A255="","",IFERROR(INDEX(tblVeriA[Unvan],MATCH($A255,tblAnahtarA[Norm],0)),""))</f>
        <v/>
      </c>
      <c r="E255" s="16">
        <f>IF($A255="","",IFERROR(SUMIF(tblAnahtarB[NormB],$A255,tblVeriB[BelgeAdet]),0))</f>
        <v/>
      </c>
      <c r="F255" s="16">
        <f>IF($A255="","",IFERROR(INDEX(tblVeriB[FormTipi],MATCH($A255,tblAnahtarB[NormB],0)),""))</f>
        <v/>
      </c>
      <c r="G255" s="16">
        <f>IF($A255="","",IFERROR(INDEX(tblVeriA[Donem],MATCH($A255,tblAnahtarA[Norm],0)),""))</f>
        <v/>
      </c>
      <c r="H255" s="16">
        <f>IF(OR($A255="",$B255&lt;&gt;"tutar_farki"),"",IF($E255=0,"BELGE_EKSIK",IF($C255&lt;=toleransKurus*cbb_yuvarlamaCarpan,"YUVARLAMA",IF(AND($F255&lt;&gt;"Ba",$F255&lt;&gt;"Bs"),"TIP_KARISIK",IF($C255&gt;cbb_esikFark*cbb_donemCarpan,"DONEM",IF(LEN($D255)&lt;cbb_unvanMinLen,"UNVAN","TANIMSIZ"))))))</f>
        <v/>
      </c>
    </row>
    <row r="256">
      <c r="A256" s="26">
        <f>IF('ESLESTIRME'!$A256="","",'ESLESTIRME'!$A256)</f>
        <v/>
      </c>
      <c r="B256" s="16">
        <f>IF($A256="","",IFERROR(INDEX(tblEslesme[Kova],MATCH($A256,tblEslesme[A_Norm],0)),""))</f>
        <v/>
      </c>
      <c r="C256" s="16">
        <f>IF($A256="","",IFERROR(INDEX(tblEslesme[AbsFark],MATCH($A256,tblEslesme[A_Norm],0)),0))</f>
        <v/>
      </c>
      <c r="D256" s="16">
        <f>IF($A256="","",IFERROR(INDEX(tblVeriA[Unvan],MATCH($A256,tblAnahtarA[Norm],0)),""))</f>
        <v/>
      </c>
      <c r="E256" s="16">
        <f>IF($A256="","",IFERROR(SUMIF(tblAnahtarB[NormB],$A256,tblVeriB[BelgeAdet]),0))</f>
        <v/>
      </c>
      <c r="F256" s="16">
        <f>IF($A256="","",IFERROR(INDEX(tblVeriB[FormTipi],MATCH($A256,tblAnahtarB[NormB],0)),""))</f>
        <v/>
      </c>
      <c r="G256" s="16">
        <f>IF($A256="","",IFERROR(INDEX(tblVeriA[Donem],MATCH($A256,tblAnahtarA[Norm],0)),""))</f>
        <v/>
      </c>
      <c r="H256" s="16">
        <f>IF(OR($A256="",$B256&lt;&gt;"tutar_farki"),"",IF($E256=0,"BELGE_EKSIK",IF($C256&lt;=toleransKurus*cbb_yuvarlamaCarpan,"YUVARLAMA",IF(AND($F256&lt;&gt;"Ba",$F256&lt;&gt;"Bs"),"TIP_KARISIK",IF($C256&gt;cbb_esikFark*cbb_donemCarpan,"DONEM",IF(LEN($D256)&lt;cbb_unvanMinLen,"UNVAN","TANIMSIZ"))))))</f>
        <v/>
      </c>
    </row>
    <row r="257">
      <c r="A257" s="26">
        <f>IF('ESLESTIRME'!$A257="","",'ESLESTIRME'!$A257)</f>
        <v/>
      </c>
      <c r="B257" s="16">
        <f>IF($A257="","",IFERROR(INDEX(tblEslesme[Kova],MATCH($A257,tblEslesme[A_Norm],0)),""))</f>
        <v/>
      </c>
      <c r="C257" s="16">
        <f>IF($A257="","",IFERROR(INDEX(tblEslesme[AbsFark],MATCH($A257,tblEslesme[A_Norm],0)),0))</f>
        <v/>
      </c>
      <c r="D257" s="16">
        <f>IF($A257="","",IFERROR(INDEX(tblVeriA[Unvan],MATCH($A257,tblAnahtarA[Norm],0)),""))</f>
        <v/>
      </c>
      <c r="E257" s="16">
        <f>IF($A257="","",IFERROR(SUMIF(tblAnahtarB[NormB],$A257,tblVeriB[BelgeAdet]),0))</f>
        <v/>
      </c>
      <c r="F257" s="16">
        <f>IF($A257="","",IFERROR(INDEX(tblVeriB[FormTipi],MATCH($A257,tblAnahtarB[NormB],0)),""))</f>
        <v/>
      </c>
      <c r="G257" s="16">
        <f>IF($A257="","",IFERROR(INDEX(tblVeriA[Donem],MATCH($A257,tblAnahtarA[Norm],0)),""))</f>
        <v/>
      </c>
      <c r="H257" s="16">
        <f>IF(OR($A257="",$B257&lt;&gt;"tutar_farki"),"",IF($E257=0,"BELGE_EKSIK",IF($C257&lt;=toleransKurus*cbb_yuvarlamaCarpan,"YUVARLAMA",IF(AND($F257&lt;&gt;"Ba",$F257&lt;&gt;"Bs"),"TIP_KARISIK",IF($C257&gt;cbb_esikFark*cbb_donemCarpan,"DONEM",IF(LEN($D257)&lt;cbb_unvanMinLen,"UNVAN","TANIMSIZ"))))))</f>
        <v/>
      </c>
    </row>
    <row r="258">
      <c r="A258" s="26">
        <f>IF('ESLESTIRME'!$A258="","",'ESLESTIRME'!$A258)</f>
        <v/>
      </c>
      <c r="B258" s="16">
        <f>IF($A258="","",IFERROR(INDEX(tblEslesme[Kova],MATCH($A258,tblEslesme[A_Norm],0)),""))</f>
        <v/>
      </c>
      <c r="C258" s="16">
        <f>IF($A258="","",IFERROR(INDEX(tblEslesme[AbsFark],MATCH($A258,tblEslesme[A_Norm],0)),0))</f>
        <v/>
      </c>
      <c r="D258" s="16">
        <f>IF($A258="","",IFERROR(INDEX(tblVeriA[Unvan],MATCH($A258,tblAnahtarA[Norm],0)),""))</f>
        <v/>
      </c>
      <c r="E258" s="16">
        <f>IF($A258="","",IFERROR(SUMIF(tblAnahtarB[NormB],$A258,tblVeriB[BelgeAdet]),0))</f>
        <v/>
      </c>
      <c r="F258" s="16">
        <f>IF($A258="","",IFERROR(INDEX(tblVeriB[FormTipi],MATCH($A258,tblAnahtarB[NormB],0)),""))</f>
        <v/>
      </c>
      <c r="G258" s="16">
        <f>IF($A258="","",IFERROR(INDEX(tblVeriA[Donem],MATCH($A258,tblAnahtarA[Norm],0)),""))</f>
        <v/>
      </c>
      <c r="H258" s="16">
        <f>IF(OR($A258="",$B258&lt;&gt;"tutar_farki"),"",IF($E258=0,"BELGE_EKSIK",IF($C258&lt;=toleransKurus*cbb_yuvarlamaCarpan,"YUVARLAMA",IF(AND($F258&lt;&gt;"Ba",$F258&lt;&gt;"Bs"),"TIP_KARISIK",IF($C258&gt;cbb_esikFark*cbb_donemCarpan,"DONEM",IF(LEN($D258)&lt;cbb_unvanMinLen,"UNVAN","TANIMSIZ"))))))</f>
        <v/>
      </c>
    </row>
    <row r="259">
      <c r="A259" s="26">
        <f>IF('ESLESTIRME'!$A259="","",'ESLESTIRME'!$A259)</f>
        <v/>
      </c>
      <c r="B259" s="16">
        <f>IF($A259="","",IFERROR(INDEX(tblEslesme[Kova],MATCH($A259,tblEslesme[A_Norm],0)),""))</f>
        <v/>
      </c>
      <c r="C259" s="16">
        <f>IF($A259="","",IFERROR(INDEX(tblEslesme[AbsFark],MATCH($A259,tblEslesme[A_Norm],0)),0))</f>
        <v/>
      </c>
      <c r="D259" s="16">
        <f>IF($A259="","",IFERROR(INDEX(tblVeriA[Unvan],MATCH($A259,tblAnahtarA[Norm],0)),""))</f>
        <v/>
      </c>
      <c r="E259" s="16">
        <f>IF($A259="","",IFERROR(SUMIF(tblAnahtarB[NormB],$A259,tblVeriB[BelgeAdet]),0))</f>
        <v/>
      </c>
      <c r="F259" s="16">
        <f>IF($A259="","",IFERROR(INDEX(tblVeriB[FormTipi],MATCH($A259,tblAnahtarB[NormB],0)),""))</f>
        <v/>
      </c>
      <c r="G259" s="16">
        <f>IF($A259="","",IFERROR(INDEX(tblVeriA[Donem],MATCH($A259,tblAnahtarA[Norm],0)),""))</f>
        <v/>
      </c>
      <c r="H259" s="16">
        <f>IF(OR($A259="",$B259&lt;&gt;"tutar_farki"),"",IF($E259=0,"BELGE_EKSIK",IF($C259&lt;=toleransKurus*cbb_yuvarlamaCarpan,"YUVARLAMA",IF(AND($F259&lt;&gt;"Ba",$F259&lt;&gt;"Bs"),"TIP_KARISIK",IF($C259&gt;cbb_esikFark*cbb_donemCarpan,"DONEM",IF(LEN($D259)&lt;cbb_unvanMinLen,"UNVAN","TANIMSIZ"))))))</f>
        <v/>
      </c>
    </row>
    <row r="260">
      <c r="A260" s="26">
        <f>IF('ESLESTIRME'!$A260="","",'ESLESTIRME'!$A260)</f>
        <v/>
      </c>
      <c r="B260" s="16">
        <f>IF($A260="","",IFERROR(INDEX(tblEslesme[Kova],MATCH($A260,tblEslesme[A_Norm],0)),""))</f>
        <v/>
      </c>
      <c r="C260" s="16">
        <f>IF($A260="","",IFERROR(INDEX(tblEslesme[AbsFark],MATCH($A260,tblEslesme[A_Norm],0)),0))</f>
        <v/>
      </c>
      <c r="D260" s="16">
        <f>IF($A260="","",IFERROR(INDEX(tblVeriA[Unvan],MATCH($A260,tblAnahtarA[Norm],0)),""))</f>
        <v/>
      </c>
      <c r="E260" s="16">
        <f>IF($A260="","",IFERROR(SUMIF(tblAnahtarB[NormB],$A260,tblVeriB[BelgeAdet]),0))</f>
        <v/>
      </c>
      <c r="F260" s="16">
        <f>IF($A260="","",IFERROR(INDEX(tblVeriB[FormTipi],MATCH($A260,tblAnahtarB[NormB],0)),""))</f>
        <v/>
      </c>
      <c r="G260" s="16">
        <f>IF($A260="","",IFERROR(INDEX(tblVeriA[Donem],MATCH($A260,tblAnahtarA[Norm],0)),""))</f>
        <v/>
      </c>
      <c r="H260" s="16">
        <f>IF(OR($A260="",$B260&lt;&gt;"tutar_farki"),"",IF($E260=0,"BELGE_EKSIK",IF($C260&lt;=toleransKurus*cbb_yuvarlamaCarpan,"YUVARLAMA",IF(AND($F260&lt;&gt;"Ba",$F260&lt;&gt;"Bs"),"TIP_KARISIK",IF($C260&gt;cbb_esikFark*cbb_donemCarpan,"DONEM",IF(LEN($D260)&lt;cbb_unvanMinLen,"UNVAN","TANIMSIZ"))))))</f>
        <v/>
      </c>
    </row>
    <row r="261">
      <c r="A261" s="26">
        <f>IF('ESLESTIRME'!$A261="","",'ESLESTIRME'!$A261)</f>
        <v/>
      </c>
      <c r="B261" s="16">
        <f>IF($A261="","",IFERROR(INDEX(tblEslesme[Kova],MATCH($A261,tblEslesme[A_Norm],0)),""))</f>
        <v/>
      </c>
      <c r="C261" s="16">
        <f>IF($A261="","",IFERROR(INDEX(tblEslesme[AbsFark],MATCH($A261,tblEslesme[A_Norm],0)),0))</f>
        <v/>
      </c>
      <c r="D261" s="16">
        <f>IF($A261="","",IFERROR(INDEX(tblVeriA[Unvan],MATCH($A261,tblAnahtarA[Norm],0)),""))</f>
        <v/>
      </c>
      <c r="E261" s="16">
        <f>IF($A261="","",IFERROR(SUMIF(tblAnahtarB[NormB],$A261,tblVeriB[BelgeAdet]),0))</f>
        <v/>
      </c>
      <c r="F261" s="16">
        <f>IF($A261="","",IFERROR(INDEX(tblVeriB[FormTipi],MATCH($A261,tblAnahtarB[NormB],0)),""))</f>
        <v/>
      </c>
      <c r="G261" s="16">
        <f>IF($A261="","",IFERROR(INDEX(tblVeriA[Donem],MATCH($A261,tblAnahtarA[Norm],0)),""))</f>
        <v/>
      </c>
      <c r="H261" s="16">
        <f>IF(OR($A261="",$B261&lt;&gt;"tutar_farki"),"",IF($E261=0,"BELGE_EKSIK",IF($C261&lt;=toleransKurus*cbb_yuvarlamaCarpan,"YUVARLAMA",IF(AND($F261&lt;&gt;"Ba",$F261&lt;&gt;"Bs"),"TIP_KARISIK",IF($C261&gt;cbb_esikFark*cbb_donemCarpan,"DONEM",IF(LEN($D261)&lt;cbb_unvanMinLen,"UNVAN","TANIMSIZ"))))))</f>
        <v/>
      </c>
    </row>
    <row r="262">
      <c r="A262" s="26">
        <f>IF('ESLESTIRME'!$A262="","",'ESLESTIRME'!$A262)</f>
        <v/>
      </c>
      <c r="B262" s="16">
        <f>IF($A262="","",IFERROR(INDEX(tblEslesme[Kova],MATCH($A262,tblEslesme[A_Norm],0)),""))</f>
        <v/>
      </c>
      <c r="C262" s="16">
        <f>IF($A262="","",IFERROR(INDEX(tblEslesme[AbsFark],MATCH($A262,tblEslesme[A_Norm],0)),0))</f>
        <v/>
      </c>
      <c r="D262" s="16">
        <f>IF($A262="","",IFERROR(INDEX(tblVeriA[Unvan],MATCH($A262,tblAnahtarA[Norm],0)),""))</f>
        <v/>
      </c>
      <c r="E262" s="16">
        <f>IF($A262="","",IFERROR(SUMIF(tblAnahtarB[NormB],$A262,tblVeriB[BelgeAdet]),0))</f>
        <v/>
      </c>
      <c r="F262" s="16">
        <f>IF($A262="","",IFERROR(INDEX(tblVeriB[FormTipi],MATCH($A262,tblAnahtarB[NormB],0)),""))</f>
        <v/>
      </c>
      <c r="G262" s="16">
        <f>IF($A262="","",IFERROR(INDEX(tblVeriA[Donem],MATCH($A262,tblAnahtarA[Norm],0)),""))</f>
        <v/>
      </c>
      <c r="H262" s="16">
        <f>IF(OR($A262="",$B262&lt;&gt;"tutar_farki"),"",IF($E262=0,"BELGE_EKSIK",IF($C262&lt;=toleransKurus*cbb_yuvarlamaCarpan,"YUVARLAMA",IF(AND($F262&lt;&gt;"Ba",$F262&lt;&gt;"Bs"),"TIP_KARISIK",IF($C262&gt;cbb_esikFark*cbb_donemCarpan,"DONEM",IF(LEN($D262)&lt;cbb_unvanMinLen,"UNVAN","TANIMSIZ"))))))</f>
        <v/>
      </c>
    </row>
    <row r="263">
      <c r="A263" s="26">
        <f>IF('ESLESTIRME'!$A263="","",'ESLESTIRME'!$A263)</f>
        <v/>
      </c>
      <c r="B263" s="16">
        <f>IF($A263="","",IFERROR(INDEX(tblEslesme[Kova],MATCH($A263,tblEslesme[A_Norm],0)),""))</f>
        <v/>
      </c>
      <c r="C263" s="16">
        <f>IF($A263="","",IFERROR(INDEX(tblEslesme[AbsFark],MATCH($A263,tblEslesme[A_Norm],0)),0))</f>
        <v/>
      </c>
      <c r="D263" s="16">
        <f>IF($A263="","",IFERROR(INDEX(tblVeriA[Unvan],MATCH($A263,tblAnahtarA[Norm],0)),""))</f>
        <v/>
      </c>
      <c r="E263" s="16">
        <f>IF($A263="","",IFERROR(SUMIF(tblAnahtarB[NormB],$A263,tblVeriB[BelgeAdet]),0))</f>
        <v/>
      </c>
      <c r="F263" s="16">
        <f>IF($A263="","",IFERROR(INDEX(tblVeriB[FormTipi],MATCH($A263,tblAnahtarB[NormB],0)),""))</f>
        <v/>
      </c>
      <c r="G263" s="16">
        <f>IF($A263="","",IFERROR(INDEX(tblVeriA[Donem],MATCH($A263,tblAnahtarA[Norm],0)),""))</f>
        <v/>
      </c>
      <c r="H263" s="16">
        <f>IF(OR($A263="",$B263&lt;&gt;"tutar_farki"),"",IF($E263=0,"BELGE_EKSIK",IF($C263&lt;=toleransKurus*cbb_yuvarlamaCarpan,"YUVARLAMA",IF(AND($F263&lt;&gt;"Ba",$F263&lt;&gt;"Bs"),"TIP_KARISIK",IF($C263&gt;cbb_esikFark*cbb_donemCarpan,"DONEM",IF(LEN($D263)&lt;cbb_unvanMinLen,"UNVAN","TANIMSIZ"))))))</f>
        <v/>
      </c>
    </row>
    <row r="264">
      <c r="A264" s="26">
        <f>IF('ESLESTIRME'!$A264="","",'ESLESTIRME'!$A264)</f>
        <v/>
      </c>
      <c r="B264" s="16">
        <f>IF($A264="","",IFERROR(INDEX(tblEslesme[Kova],MATCH($A264,tblEslesme[A_Norm],0)),""))</f>
        <v/>
      </c>
      <c r="C264" s="16">
        <f>IF($A264="","",IFERROR(INDEX(tblEslesme[AbsFark],MATCH($A264,tblEslesme[A_Norm],0)),0))</f>
        <v/>
      </c>
      <c r="D264" s="16">
        <f>IF($A264="","",IFERROR(INDEX(tblVeriA[Unvan],MATCH($A264,tblAnahtarA[Norm],0)),""))</f>
        <v/>
      </c>
      <c r="E264" s="16">
        <f>IF($A264="","",IFERROR(SUMIF(tblAnahtarB[NormB],$A264,tblVeriB[BelgeAdet]),0))</f>
        <v/>
      </c>
      <c r="F264" s="16">
        <f>IF($A264="","",IFERROR(INDEX(tblVeriB[FormTipi],MATCH($A264,tblAnahtarB[NormB],0)),""))</f>
        <v/>
      </c>
      <c r="G264" s="16">
        <f>IF($A264="","",IFERROR(INDEX(tblVeriA[Donem],MATCH($A264,tblAnahtarA[Norm],0)),""))</f>
        <v/>
      </c>
      <c r="H264" s="16">
        <f>IF(OR($A264="",$B264&lt;&gt;"tutar_farki"),"",IF($E264=0,"BELGE_EKSIK",IF($C264&lt;=toleransKurus*cbb_yuvarlamaCarpan,"YUVARLAMA",IF(AND($F264&lt;&gt;"Ba",$F264&lt;&gt;"Bs"),"TIP_KARISIK",IF($C264&gt;cbb_esikFark*cbb_donemCarpan,"DONEM",IF(LEN($D264)&lt;cbb_unvanMinLen,"UNVAN","TANIMSIZ"))))))</f>
        <v/>
      </c>
    </row>
    <row r="265">
      <c r="A265" s="26">
        <f>IF('ESLESTIRME'!$A265="","",'ESLESTIRME'!$A265)</f>
        <v/>
      </c>
      <c r="B265" s="16">
        <f>IF($A265="","",IFERROR(INDEX(tblEslesme[Kova],MATCH($A265,tblEslesme[A_Norm],0)),""))</f>
        <v/>
      </c>
      <c r="C265" s="16">
        <f>IF($A265="","",IFERROR(INDEX(tblEslesme[AbsFark],MATCH($A265,tblEslesme[A_Norm],0)),0))</f>
        <v/>
      </c>
      <c r="D265" s="16">
        <f>IF($A265="","",IFERROR(INDEX(tblVeriA[Unvan],MATCH($A265,tblAnahtarA[Norm],0)),""))</f>
        <v/>
      </c>
      <c r="E265" s="16">
        <f>IF($A265="","",IFERROR(SUMIF(tblAnahtarB[NormB],$A265,tblVeriB[BelgeAdet]),0))</f>
        <v/>
      </c>
      <c r="F265" s="16">
        <f>IF($A265="","",IFERROR(INDEX(tblVeriB[FormTipi],MATCH($A265,tblAnahtarB[NormB],0)),""))</f>
        <v/>
      </c>
      <c r="G265" s="16">
        <f>IF($A265="","",IFERROR(INDEX(tblVeriA[Donem],MATCH($A265,tblAnahtarA[Norm],0)),""))</f>
        <v/>
      </c>
      <c r="H265" s="16">
        <f>IF(OR($A265="",$B265&lt;&gt;"tutar_farki"),"",IF($E265=0,"BELGE_EKSIK",IF($C265&lt;=toleransKurus*cbb_yuvarlamaCarpan,"YUVARLAMA",IF(AND($F265&lt;&gt;"Ba",$F265&lt;&gt;"Bs"),"TIP_KARISIK",IF($C265&gt;cbb_esikFark*cbb_donemCarpan,"DONEM",IF(LEN($D265)&lt;cbb_unvanMinLen,"UNVAN","TANIMSIZ"))))))</f>
        <v/>
      </c>
    </row>
    <row r="266">
      <c r="A266" s="26">
        <f>IF('ESLESTIRME'!$A266="","",'ESLESTIRME'!$A266)</f>
        <v/>
      </c>
      <c r="B266" s="16">
        <f>IF($A266="","",IFERROR(INDEX(tblEslesme[Kova],MATCH($A266,tblEslesme[A_Norm],0)),""))</f>
        <v/>
      </c>
      <c r="C266" s="16">
        <f>IF($A266="","",IFERROR(INDEX(tblEslesme[AbsFark],MATCH($A266,tblEslesme[A_Norm],0)),0))</f>
        <v/>
      </c>
      <c r="D266" s="16">
        <f>IF($A266="","",IFERROR(INDEX(tblVeriA[Unvan],MATCH($A266,tblAnahtarA[Norm],0)),""))</f>
        <v/>
      </c>
      <c r="E266" s="16">
        <f>IF($A266="","",IFERROR(SUMIF(tblAnahtarB[NormB],$A266,tblVeriB[BelgeAdet]),0))</f>
        <v/>
      </c>
      <c r="F266" s="16">
        <f>IF($A266="","",IFERROR(INDEX(tblVeriB[FormTipi],MATCH($A266,tblAnahtarB[NormB],0)),""))</f>
        <v/>
      </c>
      <c r="G266" s="16">
        <f>IF($A266="","",IFERROR(INDEX(tblVeriA[Donem],MATCH($A266,tblAnahtarA[Norm],0)),""))</f>
        <v/>
      </c>
      <c r="H266" s="16">
        <f>IF(OR($A266="",$B266&lt;&gt;"tutar_farki"),"",IF($E266=0,"BELGE_EKSIK",IF($C266&lt;=toleransKurus*cbb_yuvarlamaCarpan,"YUVARLAMA",IF(AND($F266&lt;&gt;"Ba",$F266&lt;&gt;"Bs"),"TIP_KARISIK",IF($C266&gt;cbb_esikFark*cbb_donemCarpan,"DONEM",IF(LEN($D266)&lt;cbb_unvanMinLen,"UNVAN","TANIMSIZ"))))))</f>
        <v/>
      </c>
    </row>
    <row r="267">
      <c r="A267" s="26">
        <f>IF('ESLESTIRME'!$A267="","",'ESLESTIRME'!$A267)</f>
        <v/>
      </c>
      <c r="B267" s="16">
        <f>IF($A267="","",IFERROR(INDEX(tblEslesme[Kova],MATCH($A267,tblEslesme[A_Norm],0)),""))</f>
        <v/>
      </c>
      <c r="C267" s="16">
        <f>IF($A267="","",IFERROR(INDEX(tblEslesme[AbsFark],MATCH($A267,tblEslesme[A_Norm],0)),0))</f>
        <v/>
      </c>
      <c r="D267" s="16">
        <f>IF($A267="","",IFERROR(INDEX(tblVeriA[Unvan],MATCH($A267,tblAnahtarA[Norm],0)),""))</f>
        <v/>
      </c>
      <c r="E267" s="16">
        <f>IF($A267="","",IFERROR(SUMIF(tblAnahtarB[NormB],$A267,tblVeriB[BelgeAdet]),0))</f>
        <v/>
      </c>
      <c r="F267" s="16">
        <f>IF($A267="","",IFERROR(INDEX(tblVeriB[FormTipi],MATCH($A267,tblAnahtarB[NormB],0)),""))</f>
        <v/>
      </c>
      <c r="G267" s="16">
        <f>IF($A267="","",IFERROR(INDEX(tblVeriA[Donem],MATCH($A267,tblAnahtarA[Norm],0)),""))</f>
        <v/>
      </c>
      <c r="H267" s="16">
        <f>IF(OR($A267="",$B267&lt;&gt;"tutar_farki"),"",IF($E267=0,"BELGE_EKSIK",IF($C267&lt;=toleransKurus*cbb_yuvarlamaCarpan,"YUVARLAMA",IF(AND($F267&lt;&gt;"Ba",$F267&lt;&gt;"Bs"),"TIP_KARISIK",IF($C267&gt;cbb_esikFark*cbb_donemCarpan,"DONEM",IF(LEN($D267)&lt;cbb_unvanMinLen,"UNVAN","TANIMSIZ"))))))</f>
        <v/>
      </c>
    </row>
    <row r="268">
      <c r="A268" s="26">
        <f>IF('ESLESTIRME'!$A268="","",'ESLESTIRME'!$A268)</f>
        <v/>
      </c>
      <c r="B268" s="16">
        <f>IF($A268="","",IFERROR(INDEX(tblEslesme[Kova],MATCH($A268,tblEslesme[A_Norm],0)),""))</f>
        <v/>
      </c>
      <c r="C268" s="16">
        <f>IF($A268="","",IFERROR(INDEX(tblEslesme[AbsFark],MATCH($A268,tblEslesme[A_Norm],0)),0))</f>
        <v/>
      </c>
      <c r="D268" s="16">
        <f>IF($A268="","",IFERROR(INDEX(tblVeriA[Unvan],MATCH($A268,tblAnahtarA[Norm],0)),""))</f>
        <v/>
      </c>
      <c r="E268" s="16">
        <f>IF($A268="","",IFERROR(SUMIF(tblAnahtarB[NormB],$A268,tblVeriB[BelgeAdet]),0))</f>
        <v/>
      </c>
      <c r="F268" s="16">
        <f>IF($A268="","",IFERROR(INDEX(tblVeriB[FormTipi],MATCH($A268,tblAnahtarB[NormB],0)),""))</f>
        <v/>
      </c>
      <c r="G268" s="16">
        <f>IF($A268="","",IFERROR(INDEX(tblVeriA[Donem],MATCH($A268,tblAnahtarA[Norm],0)),""))</f>
        <v/>
      </c>
      <c r="H268" s="16">
        <f>IF(OR($A268="",$B268&lt;&gt;"tutar_farki"),"",IF($E268=0,"BELGE_EKSIK",IF($C268&lt;=toleransKurus*cbb_yuvarlamaCarpan,"YUVARLAMA",IF(AND($F268&lt;&gt;"Ba",$F268&lt;&gt;"Bs"),"TIP_KARISIK",IF($C268&gt;cbb_esikFark*cbb_donemCarpan,"DONEM",IF(LEN($D268)&lt;cbb_unvanMinLen,"UNVAN","TANIMSIZ"))))))</f>
        <v/>
      </c>
    </row>
    <row r="269">
      <c r="A269" s="26">
        <f>IF('ESLESTIRME'!$A269="","",'ESLESTIRME'!$A269)</f>
        <v/>
      </c>
      <c r="B269" s="16">
        <f>IF($A269="","",IFERROR(INDEX(tblEslesme[Kova],MATCH($A269,tblEslesme[A_Norm],0)),""))</f>
        <v/>
      </c>
      <c r="C269" s="16">
        <f>IF($A269="","",IFERROR(INDEX(tblEslesme[AbsFark],MATCH($A269,tblEslesme[A_Norm],0)),0))</f>
        <v/>
      </c>
      <c r="D269" s="16">
        <f>IF($A269="","",IFERROR(INDEX(tblVeriA[Unvan],MATCH($A269,tblAnahtarA[Norm],0)),""))</f>
        <v/>
      </c>
      <c r="E269" s="16">
        <f>IF($A269="","",IFERROR(SUMIF(tblAnahtarB[NormB],$A269,tblVeriB[BelgeAdet]),0))</f>
        <v/>
      </c>
      <c r="F269" s="16">
        <f>IF($A269="","",IFERROR(INDEX(tblVeriB[FormTipi],MATCH($A269,tblAnahtarB[NormB],0)),""))</f>
        <v/>
      </c>
      <c r="G269" s="16">
        <f>IF($A269="","",IFERROR(INDEX(tblVeriA[Donem],MATCH($A269,tblAnahtarA[Norm],0)),""))</f>
        <v/>
      </c>
      <c r="H269" s="16">
        <f>IF(OR($A269="",$B269&lt;&gt;"tutar_farki"),"",IF($E269=0,"BELGE_EKSIK",IF($C269&lt;=toleransKurus*cbb_yuvarlamaCarpan,"YUVARLAMA",IF(AND($F269&lt;&gt;"Ba",$F269&lt;&gt;"Bs"),"TIP_KARISIK",IF($C269&gt;cbb_esikFark*cbb_donemCarpan,"DONEM",IF(LEN($D269)&lt;cbb_unvanMinLen,"UNVAN","TANIMSIZ"))))))</f>
        <v/>
      </c>
    </row>
    <row r="270">
      <c r="A270" s="26">
        <f>IF('ESLESTIRME'!$A270="","",'ESLESTIRME'!$A270)</f>
        <v/>
      </c>
      <c r="B270" s="16">
        <f>IF($A270="","",IFERROR(INDEX(tblEslesme[Kova],MATCH($A270,tblEslesme[A_Norm],0)),""))</f>
        <v/>
      </c>
      <c r="C270" s="16">
        <f>IF($A270="","",IFERROR(INDEX(tblEslesme[AbsFark],MATCH($A270,tblEslesme[A_Norm],0)),0))</f>
        <v/>
      </c>
      <c r="D270" s="16">
        <f>IF($A270="","",IFERROR(INDEX(tblVeriA[Unvan],MATCH($A270,tblAnahtarA[Norm],0)),""))</f>
        <v/>
      </c>
      <c r="E270" s="16">
        <f>IF($A270="","",IFERROR(SUMIF(tblAnahtarB[NormB],$A270,tblVeriB[BelgeAdet]),0))</f>
        <v/>
      </c>
      <c r="F270" s="16">
        <f>IF($A270="","",IFERROR(INDEX(tblVeriB[FormTipi],MATCH($A270,tblAnahtarB[NormB],0)),""))</f>
        <v/>
      </c>
      <c r="G270" s="16">
        <f>IF($A270="","",IFERROR(INDEX(tblVeriA[Donem],MATCH($A270,tblAnahtarA[Norm],0)),""))</f>
        <v/>
      </c>
      <c r="H270" s="16">
        <f>IF(OR($A270="",$B270&lt;&gt;"tutar_farki"),"",IF($E270=0,"BELGE_EKSIK",IF($C270&lt;=toleransKurus*cbb_yuvarlamaCarpan,"YUVARLAMA",IF(AND($F270&lt;&gt;"Ba",$F270&lt;&gt;"Bs"),"TIP_KARISIK",IF($C270&gt;cbb_esikFark*cbb_donemCarpan,"DONEM",IF(LEN($D270)&lt;cbb_unvanMinLen,"UNVAN","TANIMSIZ"))))))</f>
        <v/>
      </c>
    </row>
    <row r="271">
      <c r="A271" s="26">
        <f>IF('ESLESTIRME'!$A271="","",'ESLESTIRME'!$A271)</f>
        <v/>
      </c>
      <c r="B271" s="16">
        <f>IF($A271="","",IFERROR(INDEX(tblEslesme[Kova],MATCH($A271,tblEslesme[A_Norm],0)),""))</f>
        <v/>
      </c>
      <c r="C271" s="16">
        <f>IF($A271="","",IFERROR(INDEX(tblEslesme[AbsFark],MATCH($A271,tblEslesme[A_Norm],0)),0))</f>
        <v/>
      </c>
      <c r="D271" s="16">
        <f>IF($A271="","",IFERROR(INDEX(tblVeriA[Unvan],MATCH($A271,tblAnahtarA[Norm],0)),""))</f>
        <v/>
      </c>
      <c r="E271" s="16">
        <f>IF($A271="","",IFERROR(SUMIF(tblAnahtarB[NormB],$A271,tblVeriB[BelgeAdet]),0))</f>
        <v/>
      </c>
      <c r="F271" s="16">
        <f>IF($A271="","",IFERROR(INDEX(tblVeriB[FormTipi],MATCH($A271,tblAnahtarB[NormB],0)),""))</f>
        <v/>
      </c>
      <c r="G271" s="16">
        <f>IF($A271="","",IFERROR(INDEX(tblVeriA[Donem],MATCH($A271,tblAnahtarA[Norm],0)),""))</f>
        <v/>
      </c>
      <c r="H271" s="16">
        <f>IF(OR($A271="",$B271&lt;&gt;"tutar_farki"),"",IF($E271=0,"BELGE_EKSIK",IF($C271&lt;=toleransKurus*cbb_yuvarlamaCarpan,"YUVARLAMA",IF(AND($F271&lt;&gt;"Ba",$F271&lt;&gt;"Bs"),"TIP_KARISIK",IF($C271&gt;cbb_esikFark*cbb_donemCarpan,"DONEM",IF(LEN($D271)&lt;cbb_unvanMinLen,"UNVAN","TANIMSIZ"))))))</f>
        <v/>
      </c>
    </row>
    <row r="272">
      <c r="A272" s="26">
        <f>IF('ESLESTIRME'!$A272="","",'ESLESTIRME'!$A272)</f>
        <v/>
      </c>
      <c r="B272" s="16">
        <f>IF($A272="","",IFERROR(INDEX(tblEslesme[Kova],MATCH($A272,tblEslesme[A_Norm],0)),""))</f>
        <v/>
      </c>
      <c r="C272" s="16">
        <f>IF($A272="","",IFERROR(INDEX(tblEslesme[AbsFark],MATCH($A272,tblEslesme[A_Norm],0)),0))</f>
        <v/>
      </c>
      <c r="D272" s="16">
        <f>IF($A272="","",IFERROR(INDEX(tblVeriA[Unvan],MATCH($A272,tblAnahtarA[Norm],0)),""))</f>
        <v/>
      </c>
      <c r="E272" s="16">
        <f>IF($A272="","",IFERROR(SUMIF(tblAnahtarB[NormB],$A272,tblVeriB[BelgeAdet]),0))</f>
        <v/>
      </c>
      <c r="F272" s="16">
        <f>IF($A272="","",IFERROR(INDEX(tblVeriB[FormTipi],MATCH($A272,tblAnahtarB[NormB],0)),""))</f>
        <v/>
      </c>
      <c r="G272" s="16">
        <f>IF($A272="","",IFERROR(INDEX(tblVeriA[Donem],MATCH($A272,tblAnahtarA[Norm],0)),""))</f>
        <v/>
      </c>
      <c r="H272" s="16">
        <f>IF(OR($A272="",$B272&lt;&gt;"tutar_farki"),"",IF($E272=0,"BELGE_EKSIK",IF($C272&lt;=toleransKurus*cbb_yuvarlamaCarpan,"YUVARLAMA",IF(AND($F272&lt;&gt;"Ba",$F272&lt;&gt;"Bs"),"TIP_KARISIK",IF($C272&gt;cbb_esikFark*cbb_donemCarpan,"DONEM",IF(LEN($D272)&lt;cbb_unvanMinLen,"UNVAN","TANIMSIZ"))))))</f>
        <v/>
      </c>
    </row>
    <row r="273">
      <c r="A273" s="26">
        <f>IF('ESLESTIRME'!$A273="","",'ESLESTIRME'!$A273)</f>
        <v/>
      </c>
      <c r="B273" s="16">
        <f>IF($A273="","",IFERROR(INDEX(tblEslesme[Kova],MATCH($A273,tblEslesme[A_Norm],0)),""))</f>
        <v/>
      </c>
      <c r="C273" s="16">
        <f>IF($A273="","",IFERROR(INDEX(tblEslesme[AbsFark],MATCH($A273,tblEslesme[A_Norm],0)),0))</f>
        <v/>
      </c>
      <c r="D273" s="16">
        <f>IF($A273="","",IFERROR(INDEX(tblVeriA[Unvan],MATCH($A273,tblAnahtarA[Norm],0)),""))</f>
        <v/>
      </c>
      <c r="E273" s="16">
        <f>IF($A273="","",IFERROR(SUMIF(tblAnahtarB[NormB],$A273,tblVeriB[BelgeAdet]),0))</f>
        <v/>
      </c>
      <c r="F273" s="16">
        <f>IF($A273="","",IFERROR(INDEX(tblVeriB[FormTipi],MATCH($A273,tblAnahtarB[NormB],0)),""))</f>
        <v/>
      </c>
      <c r="G273" s="16">
        <f>IF($A273="","",IFERROR(INDEX(tblVeriA[Donem],MATCH($A273,tblAnahtarA[Norm],0)),""))</f>
        <v/>
      </c>
      <c r="H273" s="16">
        <f>IF(OR($A273="",$B273&lt;&gt;"tutar_farki"),"",IF($E273=0,"BELGE_EKSIK",IF($C273&lt;=toleransKurus*cbb_yuvarlamaCarpan,"YUVARLAMA",IF(AND($F273&lt;&gt;"Ba",$F273&lt;&gt;"Bs"),"TIP_KARISIK",IF($C273&gt;cbb_esikFark*cbb_donemCarpan,"DONEM",IF(LEN($D273)&lt;cbb_unvanMinLen,"UNVAN","TANIMSIZ"))))))</f>
        <v/>
      </c>
    </row>
    <row r="274">
      <c r="A274" s="26">
        <f>IF('ESLESTIRME'!$A274="","",'ESLESTIRME'!$A274)</f>
        <v/>
      </c>
      <c r="B274" s="16">
        <f>IF($A274="","",IFERROR(INDEX(tblEslesme[Kova],MATCH($A274,tblEslesme[A_Norm],0)),""))</f>
        <v/>
      </c>
      <c r="C274" s="16">
        <f>IF($A274="","",IFERROR(INDEX(tblEslesme[AbsFark],MATCH($A274,tblEslesme[A_Norm],0)),0))</f>
        <v/>
      </c>
      <c r="D274" s="16">
        <f>IF($A274="","",IFERROR(INDEX(tblVeriA[Unvan],MATCH($A274,tblAnahtarA[Norm],0)),""))</f>
        <v/>
      </c>
      <c r="E274" s="16">
        <f>IF($A274="","",IFERROR(SUMIF(tblAnahtarB[NormB],$A274,tblVeriB[BelgeAdet]),0))</f>
        <v/>
      </c>
      <c r="F274" s="16">
        <f>IF($A274="","",IFERROR(INDEX(tblVeriB[FormTipi],MATCH($A274,tblAnahtarB[NormB],0)),""))</f>
        <v/>
      </c>
      <c r="G274" s="16">
        <f>IF($A274="","",IFERROR(INDEX(tblVeriA[Donem],MATCH($A274,tblAnahtarA[Norm],0)),""))</f>
        <v/>
      </c>
      <c r="H274" s="16">
        <f>IF(OR($A274="",$B274&lt;&gt;"tutar_farki"),"",IF($E274=0,"BELGE_EKSIK",IF($C274&lt;=toleransKurus*cbb_yuvarlamaCarpan,"YUVARLAMA",IF(AND($F274&lt;&gt;"Ba",$F274&lt;&gt;"Bs"),"TIP_KARISIK",IF($C274&gt;cbb_esikFark*cbb_donemCarpan,"DONEM",IF(LEN($D274)&lt;cbb_unvanMinLen,"UNVAN","TANIMSIZ"))))))</f>
        <v/>
      </c>
    </row>
    <row r="275">
      <c r="A275" s="26">
        <f>IF('ESLESTIRME'!$A275="","",'ESLESTIRME'!$A275)</f>
        <v/>
      </c>
      <c r="B275" s="16">
        <f>IF($A275="","",IFERROR(INDEX(tblEslesme[Kova],MATCH($A275,tblEslesme[A_Norm],0)),""))</f>
        <v/>
      </c>
      <c r="C275" s="16">
        <f>IF($A275="","",IFERROR(INDEX(tblEslesme[AbsFark],MATCH($A275,tblEslesme[A_Norm],0)),0))</f>
        <v/>
      </c>
      <c r="D275" s="16">
        <f>IF($A275="","",IFERROR(INDEX(tblVeriA[Unvan],MATCH($A275,tblAnahtarA[Norm],0)),""))</f>
        <v/>
      </c>
      <c r="E275" s="16">
        <f>IF($A275="","",IFERROR(SUMIF(tblAnahtarB[NormB],$A275,tblVeriB[BelgeAdet]),0))</f>
        <v/>
      </c>
      <c r="F275" s="16">
        <f>IF($A275="","",IFERROR(INDEX(tblVeriB[FormTipi],MATCH($A275,tblAnahtarB[NormB],0)),""))</f>
        <v/>
      </c>
      <c r="G275" s="16">
        <f>IF($A275="","",IFERROR(INDEX(tblVeriA[Donem],MATCH($A275,tblAnahtarA[Norm],0)),""))</f>
        <v/>
      </c>
      <c r="H275" s="16">
        <f>IF(OR($A275="",$B275&lt;&gt;"tutar_farki"),"",IF($E275=0,"BELGE_EKSIK",IF($C275&lt;=toleransKurus*cbb_yuvarlamaCarpan,"YUVARLAMA",IF(AND($F275&lt;&gt;"Ba",$F275&lt;&gt;"Bs"),"TIP_KARISIK",IF($C275&gt;cbb_esikFark*cbb_donemCarpan,"DONEM",IF(LEN($D275)&lt;cbb_unvanMinLen,"UNVAN","TANIMSIZ"))))))</f>
        <v/>
      </c>
    </row>
    <row r="276">
      <c r="A276" s="26">
        <f>IF('ESLESTIRME'!$A276="","",'ESLESTIRME'!$A276)</f>
        <v/>
      </c>
      <c r="B276" s="16">
        <f>IF($A276="","",IFERROR(INDEX(tblEslesme[Kova],MATCH($A276,tblEslesme[A_Norm],0)),""))</f>
        <v/>
      </c>
      <c r="C276" s="16">
        <f>IF($A276="","",IFERROR(INDEX(tblEslesme[AbsFark],MATCH($A276,tblEslesme[A_Norm],0)),0))</f>
        <v/>
      </c>
      <c r="D276" s="16">
        <f>IF($A276="","",IFERROR(INDEX(tblVeriA[Unvan],MATCH($A276,tblAnahtarA[Norm],0)),""))</f>
        <v/>
      </c>
      <c r="E276" s="16">
        <f>IF($A276="","",IFERROR(SUMIF(tblAnahtarB[NormB],$A276,tblVeriB[BelgeAdet]),0))</f>
        <v/>
      </c>
      <c r="F276" s="16">
        <f>IF($A276="","",IFERROR(INDEX(tblVeriB[FormTipi],MATCH($A276,tblAnahtarB[NormB],0)),""))</f>
        <v/>
      </c>
      <c r="G276" s="16">
        <f>IF($A276="","",IFERROR(INDEX(tblVeriA[Donem],MATCH($A276,tblAnahtarA[Norm],0)),""))</f>
        <v/>
      </c>
      <c r="H276" s="16">
        <f>IF(OR($A276="",$B276&lt;&gt;"tutar_farki"),"",IF($E276=0,"BELGE_EKSIK",IF($C276&lt;=toleransKurus*cbb_yuvarlamaCarpan,"YUVARLAMA",IF(AND($F276&lt;&gt;"Ba",$F276&lt;&gt;"Bs"),"TIP_KARISIK",IF($C276&gt;cbb_esikFark*cbb_donemCarpan,"DONEM",IF(LEN($D276)&lt;cbb_unvanMinLen,"UNVAN","TANIMSIZ"))))))</f>
        <v/>
      </c>
    </row>
    <row r="277">
      <c r="A277" s="26">
        <f>IF('ESLESTIRME'!$A277="","",'ESLESTIRME'!$A277)</f>
        <v/>
      </c>
      <c r="B277" s="16">
        <f>IF($A277="","",IFERROR(INDEX(tblEslesme[Kova],MATCH($A277,tblEslesme[A_Norm],0)),""))</f>
        <v/>
      </c>
      <c r="C277" s="16">
        <f>IF($A277="","",IFERROR(INDEX(tblEslesme[AbsFark],MATCH($A277,tblEslesme[A_Norm],0)),0))</f>
        <v/>
      </c>
      <c r="D277" s="16">
        <f>IF($A277="","",IFERROR(INDEX(tblVeriA[Unvan],MATCH($A277,tblAnahtarA[Norm],0)),""))</f>
        <v/>
      </c>
      <c r="E277" s="16">
        <f>IF($A277="","",IFERROR(SUMIF(tblAnahtarB[NormB],$A277,tblVeriB[BelgeAdet]),0))</f>
        <v/>
      </c>
      <c r="F277" s="16">
        <f>IF($A277="","",IFERROR(INDEX(tblVeriB[FormTipi],MATCH($A277,tblAnahtarB[NormB],0)),""))</f>
        <v/>
      </c>
      <c r="G277" s="16">
        <f>IF($A277="","",IFERROR(INDEX(tblVeriA[Donem],MATCH($A277,tblAnahtarA[Norm],0)),""))</f>
        <v/>
      </c>
      <c r="H277" s="16">
        <f>IF(OR($A277="",$B277&lt;&gt;"tutar_farki"),"",IF($E277=0,"BELGE_EKSIK",IF($C277&lt;=toleransKurus*cbb_yuvarlamaCarpan,"YUVARLAMA",IF(AND($F277&lt;&gt;"Ba",$F277&lt;&gt;"Bs"),"TIP_KARISIK",IF($C277&gt;cbb_esikFark*cbb_donemCarpan,"DONEM",IF(LEN($D277)&lt;cbb_unvanMinLen,"UNVAN","TANIMSIZ"))))))</f>
        <v/>
      </c>
    </row>
    <row r="278">
      <c r="A278" s="26">
        <f>IF('ESLESTIRME'!$A278="","",'ESLESTIRME'!$A278)</f>
        <v/>
      </c>
      <c r="B278" s="16">
        <f>IF($A278="","",IFERROR(INDEX(tblEslesme[Kova],MATCH($A278,tblEslesme[A_Norm],0)),""))</f>
        <v/>
      </c>
      <c r="C278" s="16">
        <f>IF($A278="","",IFERROR(INDEX(tblEslesme[AbsFark],MATCH($A278,tblEslesme[A_Norm],0)),0))</f>
        <v/>
      </c>
      <c r="D278" s="16">
        <f>IF($A278="","",IFERROR(INDEX(tblVeriA[Unvan],MATCH($A278,tblAnahtarA[Norm],0)),""))</f>
        <v/>
      </c>
      <c r="E278" s="16">
        <f>IF($A278="","",IFERROR(SUMIF(tblAnahtarB[NormB],$A278,tblVeriB[BelgeAdet]),0))</f>
        <v/>
      </c>
      <c r="F278" s="16">
        <f>IF($A278="","",IFERROR(INDEX(tblVeriB[FormTipi],MATCH($A278,tblAnahtarB[NormB],0)),""))</f>
        <v/>
      </c>
      <c r="G278" s="16">
        <f>IF($A278="","",IFERROR(INDEX(tblVeriA[Donem],MATCH($A278,tblAnahtarA[Norm],0)),""))</f>
        <v/>
      </c>
      <c r="H278" s="16">
        <f>IF(OR($A278="",$B278&lt;&gt;"tutar_farki"),"",IF($E278=0,"BELGE_EKSIK",IF($C278&lt;=toleransKurus*cbb_yuvarlamaCarpan,"YUVARLAMA",IF(AND($F278&lt;&gt;"Ba",$F278&lt;&gt;"Bs"),"TIP_KARISIK",IF($C278&gt;cbb_esikFark*cbb_donemCarpan,"DONEM",IF(LEN($D278)&lt;cbb_unvanMinLen,"UNVAN","TANIMSIZ"))))))</f>
        <v/>
      </c>
    </row>
    <row r="279">
      <c r="A279" s="26">
        <f>IF('ESLESTIRME'!$A279="","",'ESLESTIRME'!$A279)</f>
        <v/>
      </c>
      <c r="B279" s="16">
        <f>IF($A279="","",IFERROR(INDEX(tblEslesme[Kova],MATCH($A279,tblEslesme[A_Norm],0)),""))</f>
        <v/>
      </c>
      <c r="C279" s="16">
        <f>IF($A279="","",IFERROR(INDEX(tblEslesme[AbsFark],MATCH($A279,tblEslesme[A_Norm],0)),0))</f>
        <v/>
      </c>
      <c r="D279" s="16">
        <f>IF($A279="","",IFERROR(INDEX(tblVeriA[Unvan],MATCH($A279,tblAnahtarA[Norm],0)),""))</f>
        <v/>
      </c>
      <c r="E279" s="16">
        <f>IF($A279="","",IFERROR(SUMIF(tblAnahtarB[NormB],$A279,tblVeriB[BelgeAdet]),0))</f>
        <v/>
      </c>
      <c r="F279" s="16">
        <f>IF($A279="","",IFERROR(INDEX(tblVeriB[FormTipi],MATCH($A279,tblAnahtarB[NormB],0)),""))</f>
        <v/>
      </c>
      <c r="G279" s="16">
        <f>IF($A279="","",IFERROR(INDEX(tblVeriA[Donem],MATCH($A279,tblAnahtarA[Norm],0)),""))</f>
        <v/>
      </c>
      <c r="H279" s="16">
        <f>IF(OR($A279="",$B279&lt;&gt;"tutar_farki"),"",IF($E279=0,"BELGE_EKSIK",IF($C279&lt;=toleransKurus*cbb_yuvarlamaCarpan,"YUVARLAMA",IF(AND($F279&lt;&gt;"Ba",$F279&lt;&gt;"Bs"),"TIP_KARISIK",IF($C279&gt;cbb_esikFark*cbb_donemCarpan,"DONEM",IF(LEN($D279)&lt;cbb_unvanMinLen,"UNVAN","TANIMSIZ"))))))</f>
        <v/>
      </c>
    </row>
    <row r="280">
      <c r="A280" s="26">
        <f>IF('ESLESTIRME'!$A280="","",'ESLESTIRME'!$A280)</f>
        <v/>
      </c>
      <c r="B280" s="16">
        <f>IF($A280="","",IFERROR(INDEX(tblEslesme[Kova],MATCH($A280,tblEslesme[A_Norm],0)),""))</f>
        <v/>
      </c>
      <c r="C280" s="16">
        <f>IF($A280="","",IFERROR(INDEX(tblEslesme[AbsFark],MATCH($A280,tblEslesme[A_Norm],0)),0))</f>
        <v/>
      </c>
      <c r="D280" s="16">
        <f>IF($A280="","",IFERROR(INDEX(tblVeriA[Unvan],MATCH($A280,tblAnahtarA[Norm],0)),""))</f>
        <v/>
      </c>
      <c r="E280" s="16">
        <f>IF($A280="","",IFERROR(SUMIF(tblAnahtarB[NormB],$A280,tblVeriB[BelgeAdet]),0))</f>
        <v/>
      </c>
      <c r="F280" s="16">
        <f>IF($A280="","",IFERROR(INDEX(tblVeriB[FormTipi],MATCH($A280,tblAnahtarB[NormB],0)),""))</f>
        <v/>
      </c>
      <c r="G280" s="16">
        <f>IF($A280="","",IFERROR(INDEX(tblVeriA[Donem],MATCH($A280,tblAnahtarA[Norm],0)),""))</f>
        <v/>
      </c>
      <c r="H280" s="16">
        <f>IF(OR($A280="",$B280&lt;&gt;"tutar_farki"),"",IF($E280=0,"BELGE_EKSIK",IF($C280&lt;=toleransKurus*cbb_yuvarlamaCarpan,"YUVARLAMA",IF(AND($F280&lt;&gt;"Ba",$F280&lt;&gt;"Bs"),"TIP_KARISIK",IF($C280&gt;cbb_esikFark*cbb_donemCarpan,"DONEM",IF(LEN($D280)&lt;cbb_unvanMinLen,"UNVAN","TANIMSIZ"))))))</f>
        <v/>
      </c>
    </row>
    <row r="281">
      <c r="A281" s="26">
        <f>IF('ESLESTIRME'!$A281="","",'ESLESTIRME'!$A281)</f>
        <v/>
      </c>
      <c r="B281" s="16">
        <f>IF($A281="","",IFERROR(INDEX(tblEslesme[Kova],MATCH($A281,tblEslesme[A_Norm],0)),""))</f>
        <v/>
      </c>
      <c r="C281" s="16">
        <f>IF($A281="","",IFERROR(INDEX(tblEslesme[AbsFark],MATCH($A281,tblEslesme[A_Norm],0)),0))</f>
        <v/>
      </c>
      <c r="D281" s="16">
        <f>IF($A281="","",IFERROR(INDEX(tblVeriA[Unvan],MATCH($A281,tblAnahtarA[Norm],0)),""))</f>
        <v/>
      </c>
      <c r="E281" s="16">
        <f>IF($A281="","",IFERROR(SUMIF(tblAnahtarB[NormB],$A281,tblVeriB[BelgeAdet]),0))</f>
        <v/>
      </c>
      <c r="F281" s="16">
        <f>IF($A281="","",IFERROR(INDEX(tblVeriB[FormTipi],MATCH($A281,tblAnahtarB[NormB],0)),""))</f>
        <v/>
      </c>
      <c r="G281" s="16">
        <f>IF($A281="","",IFERROR(INDEX(tblVeriA[Donem],MATCH($A281,tblAnahtarA[Norm],0)),""))</f>
        <v/>
      </c>
      <c r="H281" s="16">
        <f>IF(OR($A281="",$B281&lt;&gt;"tutar_farki"),"",IF($E281=0,"BELGE_EKSIK",IF($C281&lt;=toleransKurus*cbb_yuvarlamaCarpan,"YUVARLAMA",IF(AND($F281&lt;&gt;"Ba",$F281&lt;&gt;"Bs"),"TIP_KARISIK",IF($C281&gt;cbb_esikFark*cbb_donemCarpan,"DONEM",IF(LEN($D281)&lt;cbb_unvanMinLen,"UNVAN","TANIMSIZ"))))))</f>
        <v/>
      </c>
    </row>
    <row r="282">
      <c r="A282" s="26">
        <f>IF('ESLESTIRME'!$A282="","",'ESLESTIRME'!$A282)</f>
        <v/>
      </c>
      <c r="B282" s="16">
        <f>IF($A282="","",IFERROR(INDEX(tblEslesme[Kova],MATCH($A282,tblEslesme[A_Norm],0)),""))</f>
        <v/>
      </c>
      <c r="C282" s="16">
        <f>IF($A282="","",IFERROR(INDEX(tblEslesme[AbsFark],MATCH($A282,tblEslesme[A_Norm],0)),0))</f>
        <v/>
      </c>
      <c r="D282" s="16">
        <f>IF($A282="","",IFERROR(INDEX(tblVeriA[Unvan],MATCH($A282,tblAnahtarA[Norm],0)),""))</f>
        <v/>
      </c>
      <c r="E282" s="16">
        <f>IF($A282="","",IFERROR(SUMIF(tblAnahtarB[NormB],$A282,tblVeriB[BelgeAdet]),0))</f>
        <v/>
      </c>
      <c r="F282" s="16">
        <f>IF($A282="","",IFERROR(INDEX(tblVeriB[FormTipi],MATCH($A282,tblAnahtarB[NormB],0)),""))</f>
        <v/>
      </c>
      <c r="G282" s="16">
        <f>IF($A282="","",IFERROR(INDEX(tblVeriA[Donem],MATCH($A282,tblAnahtarA[Norm],0)),""))</f>
        <v/>
      </c>
      <c r="H282" s="16">
        <f>IF(OR($A282="",$B282&lt;&gt;"tutar_farki"),"",IF($E282=0,"BELGE_EKSIK",IF($C282&lt;=toleransKurus*cbb_yuvarlamaCarpan,"YUVARLAMA",IF(AND($F282&lt;&gt;"Ba",$F282&lt;&gt;"Bs"),"TIP_KARISIK",IF($C282&gt;cbb_esikFark*cbb_donemCarpan,"DONEM",IF(LEN($D282)&lt;cbb_unvanMinLen,"UNVAN","TANIMSIZ"))))))</f>
        <v/>
      </c>
    </row>
    <row r="283">
      <c r="A283" s="26">
        <f>IF('ESLESTIRME'!$A283="","",'ESLESTIRME'!$A283)</f>
        <v/>
      </c>
      <c r="B283" s="16">
        <f>IF($A283="","",IFERROR(INDEX(tblEslesme[Kova],MATCH($A283,tblEslesme[A_Norm],0)),""))</f>
        <v/>
      </c>
      <c r="C283" s="16">
        <f>IF($A283="","",IFERROR(INDEX(tblEslesme[AbsFark],MATCH($A283,tblEslesme[A_Norm],0)),0))</f>
        <v/>
      </c>
      <c r="D283" s="16">
        <f>IF($A283="","",IFERROR(INDEX(tblVeriA[Unvan],MATCH($A283,tblAnahtarA[Norm],0)),""))</f>
        <v/>
      </c>
      <c r="E283" s="16">
        <f>IF($A283="","",IFERROR(SUMIF(tblAnahtarB[NormB],$A283,tblVeriB[BelgeAdet]),0))</f>
        <v/>
      </c>
      <c r="F283" s="16">
        <f>IF($A283="","",IFERROR(INDEX(tblVeriB[FormTipi],MATCH($A283,tblAnahtarB[NormB],0)),""))</f>
        <v/>
      </c>
      <c r="G283" s="16">
        <f>IF($A283="","",IFERROR(INDEX(tblVeriA[Donem],MATCH($A283,tblAnahtarA[Norm],0)),""))</f>
        <v/>
      </c>
      <c r="H283" s="16">
        <f>IF(OR($A283="",$B283&lt;&gt;"tutar_farki"),"",IF($E283=0,"BELGE_EKSIK",IF($C283&lt;=toleransKurus*cbb_yuvarlamaCarpan,"YUVARLAMA",IF(AND($F283&lt;&gt;"Ba",$F283&lt;&gt;"Bs"),"TIP_KARISIK",IF($C283&gt;cbb_esikFark*cbb_donemCarpan,"DONEM",IF(LEN($D283)&lt;cbb_unvanMinLen,"UNVAN","TANIMSIZ"))))))</f>
        <v/>
      </c>
    </row>
    <row r="284">
      <c r="A284" s="26">
        <f>IF('ESLESTIRME'!$A284="","",'ESLESTIRME'!$A284)</f>
        <v/>
      </c>
      <c r="B284" s="16">
        <f>IF($A284="","",IFERROR(INDEX(tblEslesme[Kova],MATCH($A284,tblEslesme[A_Norm],0)),""))</f>
        <v/>
      </c>
      <c r="C284" s="16">
        <f>IF($A284="","",IFERROR(INDEX(tblEslesme[AbsFark],MATCH($A284,tblEslesme[A_Norm],0)),0))</f>
        <v/>
      </c>
      <c r="D284" s="16">
        <f>IF($A284="","",IFERROR(INDEX(tblVeriA[Unvan],MATCH($A284,tblAnahtarA[Norm],0)),""))</f>
        <v/>
      </c>
      <c r="E284" s="16">
        <f>IF($A284="","",IFERROR(SUMIF(tblAnahtarB[NormB],$A284,tblVeriB[BelgeAdet]),0))</f>
        <v/>
      </c>
      <c r="F284" s="16">
        <f>IF($A284="","",IFERROR(INDEX(tblVeriB[FormTipi],MATCH($A284,tblAnahtarB[NormB],0)),""))</f>
        <v/>
      </c>
      <c r="G284" s="16">
        <f>IF($A284="","",IFERROR(INDEX(tblVeriA[Donem],MATCH($A284,tblAnahtarA[Norm],0)),""))</f>
        <v/>
      </c>
      <c r="H284" s="16">
        <f>IF(OR($A284="",$B284&lt;&gt;"tutar_farki"),"",IF($E284=0,"BELGE_EKSIK",IF($C284&lt;=toleransKurus*cbb_yuvarlamaCarpan,"YUVARLAMA",IF(AND($F284&lt;&gt;"Ba",$F284&lt;&gt;"Bs"),"TIP_KARISIK",IF($C284&gt;cbb_esikFark*cbb_donemCarpan,"DONEM",IF(LEN($D284)&lt;cbb_unvanMinLen,"UNVAN","TANIMSIZ"))))))</f>
        <v/>
      </c>
    </row>
    <row r="285">
      <c r="A285" s="26">
        <f>IF('ESLESTIRME'!$A285="","",'ESLESTIRME'!$A285)</f>
        <v/>
      </c>
      <c r="B285" s="16">
        <f>IF($A285="","",IFERROR(INDEX(tblEslesme[Kova],MATCH($A285,tblEslesme[A_Norm],0)),""))</f>
        <v/>
      </c>
      <c r="C285" s="16">
        <f>IF($A285="","",IFERROR(INDEX(tblEslesme[AbsFark],MATCH($A285,tblEslesme[A_Norm],0)),0))</f>
        <v/>
      </c>
      <c r="D285" s="16">
        <f>IF($A285="","",IFERROR(INDEX(tblVeriA[Unvan],MATCH($A285,tblAnahtarA[Norm],0)),""))</f>
        <v/>
      </c>
      <c r="E285" s="16">
        <f>IF($A285="","",IFERROR(SUMIF(tblAnahtarB[NormB],$A285,tblVeriB[BelgeAdet]),0))</f>
        <v/>
      </c>
      <c r="F285" s="16">
        <f>IF($A285="","",IFERROR(INDEX(tblVeriB[FormTipi],MATCH($A285,tblAnahtarB[NormB],0)),""))</f>
        <v/>
      </c>
      <c r="G285" s="16">
        <f>IF($A285="","",IFERROR(INDEX(tblVeriA[Donem],MATCH($A285,tblAnahtarA[Norm],0)),""))</f>
        <v/>
      </c>
      <c r="H285" s="16">
        <f>IF(OR($A285="",$B285&lt;&gt;"tutar_farki"),"",IF($E285=0,"BELGE_EKSIK",IF($C285&lt;=toleransKurus*cbb_yuvarlamaCarpan,"YUVARLAMA",IF(AND($F285&lt;&gt;"Ba",$F285&lt;&gt;"Bs"),"TIP_KARISIK",IF($C285&gt;cbb_esikFark*cbb_donemCarpan,"DONEM",IF(LEN($D285)&lt;cbb_unvanMinLen,"UNVAN","TANIMSIZ"))))))</f>
        <v/>
      </c>
    </row>
    <row r="286">
      <c r="A286" s="26">
        <f>IF('ESLESTIRME'!$A286="","",'ESLESTIRME'!$A286)</f>
        <v/>
      </c>
      <c r="B286" s="16">
        <f>IF($A286="","",IFERROR(INDEX(tblEslesme[Kova],MATCH($A286,tblEslesme[A_Norm],0)),""))</f>
        <v/>
      </c>
      <c r="C286" s="16">
        <f>IF($A286="","",IFERROR(INDEX(tblEslesme[AbsFark],MATCH($A286,tblEslesme[A_Norm],0)),0))</f>
        <v/>
      </c>
      <c r="D286" s="16">
        <f>IF($A286="","",IFERROR(INDEX(tblVeriA[Unvan],MATCH($A286,tblAnahtarA[Norm],0)),""))</f>
        <v/>
      </c>
      <c r="E286" s="16">
        <f>IF($A286="","",IFERROR(SUMIF(tblAnahtarB[NormB],$A286,tblVeriB[BelgeAdet]),0))</f>
        <v/>
      </c>
      <c r="F286" s="16">
        <f>IF($A286="","",IFERROR(INDEX(tblVeriB[FormTipi],MATCH($A286,tblAnahtarB[NormB],0)),""))</f>
        <v/>
      </c>
      <c r="G286" s="16">
        <f>IF($A286="","",IFERROR(INDEX(tblVeriA[Donem],MATCH($A286,tblAnahtarA[Norm],0)),""))</f>
        <v/>
      </c>
      <c r="H286" s="16">
        <f>IF(OR($A286="",$B286&lt;&gt;"tutar_farki"),"",IF($E286=0,"BELGE_EKSIK",IF($C286&lt;=toleransKurus*cbb_yuvarlamaCarpan,"YUVARLAMA",IF(AND($F286&lt;&gt;"Ba",$F286&lt;&gt;"Bs"),"TIP_KARISIK",IF($C286&gt;cbb_esikFark*cbb_donemCarpan,"DONEM",IF(LEN($D286)&lt;cbb_unvanMinLen,"UNVAN","TANIMSIZ"))))))</f>
        <v/>
      </c>
    </row>
    <row r="287">
      <c r="A287" s="26">
        <f>IF('ESLESTIRME'!$A287="","",'ESLESTIRME'!$A287)</f>
        <v/>
      </c>
      <c r="B287" s="16">
        <f>IF($A287="","",IFERROR(INDEX(tblEslesme[Kova],MATCH($A287,tblEslesme[A_Norm],0)),""))</f>
        <v/>
      </c>
      <c r="C287" s="16">
        <f>IF($A287="","",IFERROR(INDEX(tblEslesme[AbsFark],MATCH($A287,tblEslesme[A_Norm],0)),0))</f>
        <v/>
      </c>
      <c r="D287" s="16">
        <f>IF($A287="","",IFERROR(INDEX(tblVeriA[Unvan],MATCH($A287,tblAnahtarA[Norm],0)),""))</f>
        <v/>
      </c>
      <c r="E287" s="16">
        <f>IF($A287="","",IFERROR(SUMIF(tblAnahtarB[NormB],$A287,tblVeriB[BelgeAdet]),0))</f>
        <v/>
      </c>
      <c r="F287" s="16">
        <f>IF($A287="","",IFERROR(INDEX(tblVeriB[FormTipi],MATCH($A287,tblAnahtarB[NormB],0)),""))</f>
        <v/>
      </c>
      <c r="G287" s="16">
        <f>IF($A287="","",IFERROR(INDEX(tblVeriA[Donem],MATCH($A287,tblAnahtarA[Norm],0)),""))</f>
        <v/>
      </c>
      <c r="H287" s="16">
        <f>IF(OR($A287="",$B287&lt;&gt;"tutar_farki"),"",IF($E287=0,"BELGE_EKSIK",IF($C287&lt;=toleransKurus*cbb_yuvarlamaCarpan,"YUVARLAMA",IF(AND($F287&lt;&gt;"Ba",$F287&lt;&gt;"Bs"),"TIP_KARISIK",IF($C287&gt;cbb_esikFark*cbb_donemCarpan,"DONEM",IF(LEN($D287)&lt;cbb_unvanMinLen,"UNVAN","TANIMSIZ"))))))</f>
        <v/>
      </c>
    </row>
    <row r="288">
      <c r="A288" s="26">
        <f>IF('ESLESTIRME'!$A288="","",'ESLESTIRME'!$A288)</f>
        <v/>
      </c>
      <c r="B288" s="16">
        <f>IF($A288="","",IFERROR(INDEX(tblEslesme[Kova],MATCH($A288,tblEslesme[A_Norm],0)),""))</f>
        <v/>
      </c>
      <c r="C288" s="16">
        <f>IF($A288="","",IFERROR(INDEX(tblEslesme[AbsFark],MATCH($A288,tblEslesme[A_Norm],0)),0))</f>
        <v/>
      </c>
      <c r="D288" s="16">
        <f>IF($A288="","",IFERROR(INDEX(tblVeriA[Unvan],MATCH($A288,tblAnahtarA[Norm],0)),""))</f>
        <v/>
      </c>
      <c r="E288" s="16">
        <f>IF($A288="","",IFERROR(SUMIF(tblAnahtarB[NormB],$A288,tblVeriB[BelgeAdet]),0))</f>
        <v/>
      </c>
      <c r="F288" s="16">
        <f>IF($A288="","",IFERROR(INDEX(tblVeriB[FormTipi],MATCH($A288,tblAnahtarB[NormB],0)),""))</f>
        <v/>
      </c>
      <c r="G288" s="16">
        <f>IF($A288="","",IFERROR(INDEX(tblVeriA[Donem],MATCH($A288,tblAnahtarA[Norm],0)),""))</f>
        <v/>
      </c>
      <c r="H288" s="16">
        <f>IF(OR($A288="",$B288&lt;&gt;"tutar_farki"),"",IF($E288=0,"BELGE_EKSIK",IF($C288&lt;=toleransKurus*cbb_yuvarlamaCarpan,"YUVARLAMA",IF(AND($F288&lt;&gt;"Ba",$F288&lt;&gt;"Bs"),"TIP_KARISIK",IF($C288&gt;cbb_esikFark*cbb_donemCarpan,"DONEM",IF(LEN($D288)&lt;cbb_unvanMinLen,"UNVAN","TANIMSIZ"))))))</f>
        <v/>
      </c>
    </row>
    <row r="289">
      <c r="A289" s="26">
        <f>IF('ESLESTIRME'!$A289="","",'ESLESTIRME'!$A289)</f>
        <v/>
      </c>
      <c r="B289" s="16">
        <f>IF($A289="","",IFERROR(INDEX(tblEslesme[Kova],MATCH($A289,tblEslesme[A_Norm],0)),""))</f>
        <v/>
      </c>
      <c r="C289" s="16">
        <f>IF($A289="","",IFERROR(INDEX(tblEslesme[AbsFark],MATCH($A289,tblEslesme[A_Norm],0)),0))</f>
        <v/>
      </c>
      <c r="D289" s="16">
        <f>IF($A289="","",IFERROR(INDEX(tblVeriA[Unvan],MATCH($A289,tblAnahtarA[Norm],0)),""))</f>
        <v/>
      </c>
      <c r="E289" s="16">
        <f>IF($A289="","",IFERROR(SUMIF(tblAnahtarB[NormB],$A289,tblVeriB[BelgeAdet]),0))</f>
        <v/>
      </c>
      <c r="F289" s="16">
        <f>IF($A289="","",IFERROR(INDEX(tblVeriB[FormTipi],MATCH($A289,tblAnahtarB[NormB],0)),""))</f>
        <v/>
      </c>
      <c r="G289" s="16">
        <f>IF($A289="","",IFERROR(INDEX(tblVeriA[Donem],MATCH($A289,tblAnahtarA[Norm],0)),""))</f>
        <v/>
      </c>
      <c r="H289" s="16">
        <f>IF(OR($A289="",$B289&lt;&gt;"tutar_farki"),"",IF($E289=0,"BELGE_EKSIK",IF($C289&lt;=toleransKurus*cbb_yuvarlamaCarpan,"YUVARLAMA",IF(AND($F289&lt;&gt;"Ba",$F289&lt;&gt;"Bs"),"TIP_KARISIK",IF($C289&gt;cbb_esikFark*cbb_donemCarpan,"DONEM",IF(LEN($D289)&lt;cbb_unvanMinLen,"UNVAN","TANIMSIZ"))))))</f>
        <v/>
      </c>
    </row>
    <row r="290">
      <c r="A290" s="26">
        <f>IF('ESLESTIRME'!$A290="","",'ESLESTIRME'!$A290)</f>
        <v/>
      </c>
      <c r="B290" s="16">
        <f>IF($A290="","",IFERROR(INDEX(tblEslesme[Kova],MATCH($A290,tblEslesme[A_Norm],0)),""))</f>
        <v/>
      </c>
      <c r="C290" s="16">
        <f>IF($A290="","",IFERROR(INDEX(tblEslesme[AbsFark],MATCH($A290,tblEslesme[A_Norm],0)),0))</f>
        <v/>
      </c>
      <c r="D290" s="16">
        <f>IF($A290="","",IFERROR(INDEX(tblVeriA[Unvan],MATCH($A290,tblAnahtarA[Norm],0)),""))</f>
        <v/>
      </c>
      <c r="E290" s="16">
        <f>IF($A290="","",IFERROR(SUMIF(tblAnahtarB[NormB],$A290,tblVeriB[BelgeAdet]),0))</f>
        <v/>
      </c>
      <c r="F290" s="16">
        <f>IF($A290="","",IFERROR(INDEX(tblVeriB[FormTipi],MATCH($A290,tblAnahtarB[NormB],0)),""))</f>
        <v/>
      </c>
      <c r="G290" s="16">
        <f>IF($A290="","",IFERROR(INDEX(tblVeriA[Donem],MATCH($A290,tblAnahtarA[Norm],0)),""))</f>
        <v/>
      </c>
      <c r="H290" s="16">
        <f>IF(OR($A290="",$B290&lt;&gt;"tutar_farki"),"",IF($E290=0,"BELGE_EKSIK",IF($C290&lt;=toleransKurus*cbb_yuvarlamaCarpan,"YUVARLAMA",IF(AND($F290&lt;&gt;"Ba",$F290&lt;&gt;"Bs"),"TIP_KARISIK",IF($C290&gt;cbb_esikFark*cbb_donemCarpan,"DONEM",IF(LEN($D290)&lt;cbb_unvanMinLen,"UNVAN","TANIMSIZ"))))))</f>
        <v/>
      </c>
    </row>
    <row r="291">
      <c r="A291" s="26">
        <f>IF('ESLESTIRME'!$A291="","",'ESLESTIRME'!$A291)</f>
        <v/>
      </c>
      <c r="B291" s="16">
        <f>IF($A291="","",IFERROR(INDEX(tblEslesme[Kova],MATCH($A291,tblEslesme[A_Norm],0)),""))</f>
        <v/>
      </c>
      <c r="C291" s="16">
        <f>IF($A291="","",IFERROR(INDEX(tblEslesme[AbsFark],MATCH($A291,tblEslesme[A_Norm],0)),0))</f>
        <v/>
      </c>
      <c r="D291" s="16">
        <f>IF($A291="","",IFERROR(INDEX(tblVeriA[Unvan],MATCH($A291,tblAnahtarA[Norm],0)),""))</f>
        <v/>
      </c>
      <c r="E291" s="16">
        <f>IF($A291="","",IFERROR(SUMIF(tblAnahtarB[NormB],$A291,tblVeriB[BelgeAdet]),0))</f>
        <v/>
      </c>
      <c r="F291" s="16">
        <f>IF($A291="","",IFERROR(INDEX(tblVeriB[FormTipi],MATCH($A291,tblAnahtarB[NormB],0)),""))</f>
        <v/>
      </c>
      <c r="G291" s="16">
        <f>IF($A291="","",IFERROR(INDEX(tblVeriA[Donem],MATCH($A291,tblAnahtarA[Norm],0)),""))</f>
        <v/>
      </c>
      <c r="H291" s="16">
        <f>IF(OR($A291="",$B291&lt;&gt;"tutar_farki"),"",IF($E291=0,"BELGE_EKSIK",IF($C291&lt;=toleransKurus*cbb_yuvarlamaCarpan,"YUVARLAMA",IF(AND($F291&lt;&gt;"Ba",$F291&lt;&gt;"Bs"),"TIP_KARISIK",IF($C291&gt;cbb_esikFark*cbb_donemCarpan,"DONEM",IF(LEN($D291)&lt;cbb_unvanMinLen,"UNVAN","TANIMSIZ"))))))</f>
        <v/>
      </c>
    </row>
    <row r="292">
      <c r="A292" s="26">
        <f>IF('ESLESTIRME'!$A292="","",'ESLESTIRME'!$A292)</f>
        <v/>
      </c>
      <c r="B292" s="16">
        <f>IF($A292="","",IFERROR(INDEX(tblEslesme[Kova],MATCH($A292,tblEslesme[A_Norm],0)),""))</f>
        <v/>
      </c>
      <c r="C292" s="16">
        <f>IF($A292="","",IFERROR(INDEX(tblEslesme[AbsFark],MATCH($A292,tblEslesme[A_Norm],0)),0))</f>
        <v/>
      </c>
      <c r="D292" s="16">
        <f>IF($A292="","",IFERROR(INDEX(tblVeriA[Unvan],MATCH($A292,tblAnahtarA[Norm],0)),""))</f>
        <v/>
      </c>
      <c r="E292" s="16">
        <f>IF($A292="","",IFERROR(SUMIF(tblAnahtarB[NormB],$A292,tblVeriB[BelgeAdet]),0))</f>
        <v/>
      </c>
      <c r="F292" s="16">
        <f>IF($A292="","",IFERROR(INDEX(tblVeriB[FormTipi],MATCH($A292,tblAnahtarB[NormB],0)),""))</f>
        <v/>
      </c>
      <c r="G292" s="16">
        <f>IF($A292="","",IFERROR(INDEX(tblVeriA[Donem],MATCH($A292,tblAnahtarA[Norm],0)),""))</f>
        <v/>
      </c>
      <c r="H292" s="16">
        <f>IF(OR($A292="",$B292&lt;&gt;"tutar_farki"),"",IF($E292=0,"BELGE_EKSIK",IF($C292&lt;=toleransKurus*cbb_yuvarlamaCarpan,"YUVARLAMA",IF(AND($F292&lt;&gt;"Ba",$F292&lt;&gt;"Bs"),"TIP_KARISIK",IF($C292&gt;cbb_esikFark*cbb_donemCarpan,"DONEM",IF(LEN($D292)&lt;cbb_unvanMinLen,"UNVAN","TANIMSIZ"))))))</f>
        <v/>
      </c>
    </row>
    <row r="293">
      <c r="A293" s="26">
        <f>IF('ESLESTIRME'!$A293="","",'ESLESTIRME'!$A293)</f>
        <v/>
      </c>
      <c r="B293" s="16">
        <f>IF($A293="","",IFERROR(INDEX(tblEslesme[Kova],MATCH($A293,tblEslesme[A_Norm],0)),""))</f>
        <v/>
      </c>
      <c r="C293" s="16">
        <f>IF($A293="","",IFERROR(INDEX(tblEslesme[AbsFark],MATCH($A293,tblEslesme[A_Norm],0)),0))</f>
        <v/>
      </c>
      <c r="D293" s="16">
        <f>IF($A293="","",IFERROR(INDEX(tblVeriA[Unvan],MATCH($A293,tblAnahtarA[Norm],0)),""))</f>
        <v/>
      </c>
      <c r="E293" s="16">
        <f>IF($A293="","",IFERROR(SUMIF(tblAnahtarB[NormB],$A293,tblVeriB[BelgeAdet]),0))</f>
        <v/>
      </c>
      <c r="F293" s="16">
        <f>IF($A293="","",IFERROR(INDEX(tblVeriB[FormTipi],MATCH($A293,tblAnahtarB[NormB],0)),""))</f>
        <v/>
      </c>
      <c r="G293" s="16">
        <f>IF($A293="","",IFERROR(INDEX(tblVeriA[Donem],MATCH($A293,tblAnahtarA[Norm],0)),""))</f>
        <v/>
      </c>
      <c r="H293" s="16">
        <f>IF(OR($A293="",$B293&lt;&gt;"tutar_farki"),"",IF($E293=0,"BELGE_EKSIK",IF($C293&lt;=toleransKurus*cbb_yuvarlamaCarpan,"YUVARLAMA",IF(AND($F293&lt;&gt;"Ba",$F293&lt;&gt;"Bs"),"TIP_KARISIK",IF($C293&gt;cbb_esikFark*cbb_donemCarpan,"DONEM",IF(LEN($D293)&lt;cbb_unvanMinLen,"UNVAN","TANIMSIZ"))))))</f>
        <v/>
      </c>
    </row>
    <row r="294">
      <c r="A294" s="26">
        <f>IF('ESLESTIRME'!$A294="","",'ESLESTIRME'!$A294)</f>
        <v/>
      </c>
      <c r="B294" s="16">
        <f>IF($A294="","",IFERROR(INDEX(tblEslesme[Kova],MATCH($A294,tblEslesme[A_Norm],0)),""))</f>
        <v/>
      </c>
      <c r="C294" s="16">
        <f>IF($A294="","",IFERROR(INDEX(tblEslesme[AbsFark],MATCH($A294,tblEslesme[A_Norm],0)),0))</f>
        <v/>
      </c>
      <c r="D294" s="16">
        <f>IF($A294="","",IFERROR(INDEX(tblVeriA[Unvan],MATCH($A294,tblAnahtarA[Norm],0)),""))</f>
        <v/>
      </c>
      <c r="E294" s="16">
        <f>IF($A294="","",IFERROR(SUMIF(tblAnahtarB[NormB],$A294,tblVeriB[BelgeAdet]),0))</f>
        <v/>
      </c>
      <c r="F294" s="16">
        <f>IF($A294="","",IFERROR(INDEX(tblVeriB[FormTipi],MATCH($A294,tblAnahtarB[NormB],0)),""))</f>
        <v/>
      </c>
      <c r="G294" s="16">
        <f>IF($A294="","",IFERROR(INDEX(tblVeriA[Donem],MATCH($A294,tblAnahtarA[Norm],0)),""))</f>
        <v/>
      </c>
      <c r="H294" s="16">
        <f>IF(OR($A294="",$B294&lt;&gt;"tutar_farki"),"",IF($E294=0,"BELGE_EKSIK",IF($C294&lt;=toleransKurus*cbb_yuvarlamaCarpan,"YUVARLAMA",IF(AND($F294&lt;&gt;"Ba",$F294&lt;&gt;"Bs"),"TIP_KARISIK",IF($C294&gt;cbb_esikFark*cbb_donemCarpan,"DONEM",IF(LEN($D294)&lt;cbb_unvanMinLen,"UNVAN","TANIMSIZ"))))))</f>
        <v/>
      </c>
    </row>
    <row r="295">
      <c r="A295" s="26">
        <f>IF('ESLESTIRME'!$A295="","",'ESLESTIRME'!$A295)</f>
        <v/>
      </c>
      <c r="B295" s="16">
        <f>IF($A295="","",IFERROR(INDEX(tblEslesme[Kova],MATCH($A295,tblEslesme[A_Norm],0)),""))</f>
        <v/>
      </c>
      <c r="C295" s="16">
        <f>IF($A295="","",IFERROR(INDEX(tblEslesme[AbsFark],MATCH($A295,tblEslesme[A_Norm],0)),0))</f>
        <v/>
      </c>
      <c r="D295" s="16">
        <f>IF($A295="","",IFERROR(INDEX(tblVeriA[Unvan],MATCH($A295,tblAnahtarA[Norm],0)),""))</f>
        <v/>
      </c>
      <c r="E295" s="16">
        <f>IF($A295="","",IFERROR(SUMIF(tblAnahtarB[NormB],$A295,tblVeriB[BelgeAdet]),0))</f>
        <v/>
      </c>
      <c r="F295" s="16">
        <f>IF($A295="","",IFERROR(INDEX(tblVeriB[FormTipi],MATCH($A295,tblAnahtarB[NormB],0)),""))</f>
        <v/>
      </c>
      <c r="G295" s="16">
        <f>IF($A295="","",IFERROR(INDEX(tblVeriA[Donem],MATCH($A295,tblAnahtarA[Norm],0)),""))</f>
        <v/>
      </c>
      <c r="H295" s="16">
        <f>IF(OR($A295="",$B295&lt;&gt;"tutar_farki"),"",IF($E295=0,"BELGE_EKSIK",IF($C295&lt;=toleransKurus*cbb_yuvarlamaCarpan,"YUVARLAMA",IF(AND($F295&lt;&gt;"Ba",$F295&lt;&gt;"Bs"),"TIP_KARISIK",IF($C295&gt;cbb_esikFark*cbb_donemCarpan,"DONEM",IF(LEN($D295)&lt;cbb_unvanMinLen,"UNVAN","TANIMSIZ"))))))</f>
        <v/>
      </c>
    </row>
    <row r="296">
      <c r="A296" s="26">
        <f>IF('ESLESTIRME'!$A296="","",'ESLESTIRME'!$A296)</f>
        <v/>
      </c>
      <c r="B296" s="16">
        <f>IF($A296="","",IFERROR(INDEX(tblEslesme[Kova],MATCH($A296,tblEslesme[A_Norm],0)),""))</f>
        <v/>
      </c>
      <c r="C296" s="16">
        <f>IF($A296="","",IFERROR(INDEX(tblEslesme[AbsFark],MATCH($A296,tblEslesme[A_Norm],0)),0))</f>
        <v/>
      </c>
      <c r="D296" s="16">
        <f>IF($A296="","",IFERROR(INDEX(tblVeriA[Unvan],MATCH($A296,tblAnahtarA[Norm],0)),""))</f>
        <v/>
      </c>
      <c r="E296" s="16">
        <f>IF($A296="","",IFERROR(SUMIF(tblAnahtarB[NormB],$A296,tblVeriB[BelgeAdet]),0))</f>
        <v/>
      </c>
      <c r="F296" s="16">
        <f>IF($A296="","",IFERROR(INDEX(tblVeriB[FormTipi],MATCH($A296,tblAnahtarB[NormB],0)),""))</f>
        <v/>
      </c>
      <c r="G296" s="16">
        <f>IF($A296="","",IFERROR(INDEX(tblVeriA[Donem],MATCH($A296,tblAnahtarA[Norm],0)),""))</f>
        <v/>
      </c>
      <c r="H296" s="16">
        <f>IF(OR($A296="",$B296&lt;&gt;"tutar_farki"),"",IF($E296=0,"BELGE_EKSIK",IF($C296&lt;=toleransKurus*cbb_yuvarlamaCarpan,"YUVARLAMA",IF(AND($F296&lt;&gt;"Ba",$F296&lt;&gt;"Bs"),"TIP_KARISIK",IF($C296&gt;cbb_esikFark*cbb_donemCarpan,"DONEM",IF(LEN($D296)&lt;cbb_unvanMinLen,"UNVAN","TANIMSIZ"))))))</f>
        <v/>
      </c>
    </row>
    <row r="297">
      <c r="A297" s="26">
        <f>IF('ESLESTIRME'!$A297="","",'ESLESTIRME'!$A297)</f>
        <v/>
      </c>
      <c r="B297" s="16">
        <f>IF($A297="","",IFERROR(INDEX(tblEslesme[Kova],MATCH($A297,tblEslesme[A_Norm],0)),""))</f>
        <v/>
      </c>
      <c r="C297" s="16">
        <f>IF($A297="","",IFERROR(INDEX(tblEslesme[AbsFark],MATCH($A297,tblEslesme[A_Norm],0)),0))</f>
        <v/>
      </c>
      <c r="D297" s="16">
        <f>IF($A297="","",IFERROR(INDEX(tblVeriA[Unvan],MATCH($A297,tblAnahtarA[Norm],0)),""))</f>
        <v/>
      </c>
      <c r="E297" s="16">
        <f>IF($A297="","",IFERROR(SUMIF(tblAnahtarB[NormB],$A297,tblVeriB[BelgeAdet]),0))</f>
        <v/>
      </c>
      <c r="F297" s="16">
        <f>IF($A297="","",IFERROR(INDEX(tblVeriB[FormTipi],MATCH($A297,tblAnahtarB[NormB],0)),""))</f>
        <v/>
      </c>
      <c r="G297" s="16">
        <f>IF($A297="","",IFERROR(INDEX(tblVeriA[Donem],MATCH($A297,tblAnahtarA[Norm],0)),""))</f>
        <v/>
      </c>
      <c r="H297" s="16">
        <f>IF(OR($A297="",$B297&lt;&gt;"tutar_farki"),"",IF($E297=0,"BELGE_EKSIK",IF($C297&lt;=toleransKurus*cbb_yuvarlamaCarpan,"YUVARLAMA",IF(AND($F297&lt;&gt;"Ba",$F297&lt;&gt;"Bs"),"TIP_KARISIK",IF($C297&gt;cbb_esikFark*cbb_donemCarpan,"DONEM",IF(LEN($D297)&lt;cbb_unvanMinLen,"UNVAN","TANIMSIZ"))))))</f>
        <v/>
      </c>
    </row>
    <row r="298">
      <c r="A298" s="26">
        <f>IF('ESLESTIRME'!$A298="","",'ESLESTIRME'!$A298)</f>
        <v/>
      </c>
      <c r="B298" s="16">
        <f>IF($A298="","",IFERROR(INDEX(tblEslesme[Kova],MATCH($A298,tblEslesme[A_Norm],0)),""))</f>
        <v/>
      </c>
      <c r="C298" s="16">
        <f>IF($A298="","",IFERROR(INDEX(tblEslesme[AbsFark],MATCH($A298,tblEslesme[A_Norm],0)),0))</f>
        <v/>
      </c>
      <c r="D298" s="16">
        <f>IF($A298="","",IFERROR(INDEX(tblVeriA[Unvan],MATCH($A298,tblAnahtarA[Norm],0)),""))</f>
        <v/>
      </c>
      <c r="E298" s="16">
        <f>IF($A298="","",IFERROR(SUMIF(tblAnahtarB[NormB],$A298,tblVeriB[BelgeAdet]),0))</f>
        <v/>
      </c>
      <c r="F298" s="16">
        <f>IF($A298="","",IFERROR(INDEX(tblVeriB[FormTipi],MATCH($A298,tblAnahtarB[NormB],0)),""))</f>
        <v/>
      </c>
      <c r="G298" s="16">
        <f>IF($A298="","",IFERROR(INDEX(tblVeriA[Donem],MATCH($A298,tblAnahtarA[Norm],0)),""))</f>
        <v/>
      </c>
      <c r="H298" s="16">
        <f>IF(OR($A298="",$B298&lt;&gt;"tutar_farki"),"",IF($E298=0,"BELGE_EKSIK",IF($C298&lt;=toleransKurus*cbb_yuvarlamaCarpan,"YUVARLAMA",IF(AND($F298&lt;&gt;"Ba",$F298&lt;&gt;"Bs"),"TIP_KARISIK",IF($C298&gt;cbb_esikFark*cbb_donemCarpan,"DONEM",IF(LEN($D298)&lt;cbb_unvanMinLen,"UNVAN","TANIMSIZ"))))))</f>
        <v/>
      </c>
    </row>
    <row r="299">
      <c r="A299" s="26">
        <f>IF('ESLESTIRME'!$A299="","",'ESLESTIRME'!$A299)</f>
        <v/>
      </c>
      <c r="B299" s="16">
        <f>IF($A299="","",IFERROR(INDEX(tblEslesme[Kova],MATCH($A299,tblEslesme[A_Norm],0)),""))</f>
        <v/>
      </c>
      <c r="C299" s="16">
        <f>IF($A299="","",IFERROR(INDEX(tblEslesme[AbsFark],MATCH($A299,tblEslesme[A_Norm],0)),0))</f>
        <v/>
      </c>
      <c r="D299" s="16">
        <f>IF($A299="","",IFERROR(INDEX(tblVeriA[Unvan],MATCH($A299,tblAnahtarA[Norm],0)),""))</f>
        <v/>
      </c>
      <c r="E299" s="16">
        <f>IF($A299="","",IFERROR(SUMIF(tblAnahtarB[NormB],$A299,tblVeriB[BelgeAdet]),0))</f>
        <v/>
      </c>
      <c r="F299" s="16">
        <f>IF($A299="","",IFERROR(INDEX(tblVeriB[FormTipi],MATCH($A299,tblAnahtarB[NormB],0)),""))</f>
        <v/>
      </c>
      <c r="G299" s="16">
        <f>IF($A299="","",IFERROR(INDEX(tblVeriA[Donem],MATCH($A299,tblAnahtarA[Norm],0)),""))</f>
        <v/>
      </c>
      <c r="H299" s="16">
        <f>IF(OR($A299="",$B299&lt;&gt;"tutar_farki"),"",IF($E299=0,"BELGE_EKSIK",IF($C299&lt;=toleransKurus*cbb_yuvarlamaCarpan,"YUVARLAMA",IF(AND($F299&lt;&gt;"Ba",$F299&lt;&gt;"Bs"),"TIP_KARISIK",IF($C299&gt;cbb_esikFark*cbb_donemCarpan,"DONEM",IF(LEN($D299)&lt;cbb_unvanMinLen,"UNVAN","TANIMSIZ"))))))</f>
        <v/>
      </c>
    </row>
    <row r="300">
      <c r="A300" s="26">
        <f>IF('ESLESTIRME'!$A300="","",'ESLESTIRME'!$A300)</f>
        <v/>
      </c>
      <c r="B300" s="16">
        <f>IF($A300="","",IFERROR(INDEX(tblEslesme[Kova],MATCH($A300,tblEslesme[A_Norm],0)),""))</f>
        <v/>
      </c>
      <c r="C300" s="16">
        <f>IF($A300="","",IFERROR(INDEX(tblEslesme[AbsFark],MATCH($A300,tblEslesme[A_Norm],0)),0))</f>
        <v/>
      </c>
      <c r="D300" s="16">
        <f>IF($A300="","",IFERROR(INDEX(tblVeriA[Unvan],MATCH($A300,tblAnahtarA[Norm],0)),""))</f>
        <v/>
      </c>
      <c r="E300" s="16">
        <f>IF($A300="","",IFERROR(SUMIF(tblAnahtarB[NormB],$A300,tblVeriB[BelgeAdet]),0))</f>
        <v/>
      </c>
      <c r="F300" s="16">
        <f>IF($A300="","",IFERROR(INDEX(tblVeriB[FormTipi],MATCH($A300,tblAnahtarB[NormB],0)),""))</f>
        <v/>
      </c>
      <c r="G300" s="16">
        <f>IF($A300="","",IFERROR(INDEX(tblVeriA[Donem],MATCH($A300,tblAnahtarA[Norm],0)),""))</f>
        <v/>
      </c>
      <c r="H300" s="16">
        <f>IF(OR($A300="",$B300&lt;&gt;"tutar_farki"),"",IF($E300=0,"BELGE_EKSIK",IF($C300&lt;=toleransKurus*cbb_yuvarlamaCarpan,"YUVARLAMA",IF(AND($F300&lt;&gt;"Ba",$F300&lt;&gt;"Bs"),"TIP_KARISIK",IF($C300&gt;cbb_esikFark*cbb_donemCarpan,"DONEM",IF(LEN($D300)&lt;cbb_unvanMinLen,"UNVAN","TANIMSIZ"))))))</f>
        <v/>
      </c>
    </row>
    <row r="301">
      <c r="A301" s="26">
        <f>IF('ESLESTIRME'!$A301="","",'ESLESTIRME'!$A301)</f>
        <v/>
      </c>
      <c r="B301" s="16">
        <f>IF($A301="","",IFERROR(INDEX(tblEslesme[Kova],MATCH($A301,tblEslesme[A_Norm],0)),""))</f>
        <v/>
      </c>
      <c r="C301" s="16">
        <f>IF($A301="","",IFERROR(INDEX(tblEslesme[AbsFark],MATCH($A301,tblEslesme[A_Norm],0)),0))</f>
        <v/>
      </c>
      <c r="D301" s="16">
        <f>IF($A301="","",IFERROR(INDEX(tblVeriA[Unvan],MATCH($A301,tblAnahtarA[Norm],0)),""))</f>
        <v/>
      </c>
      <c r="E301" s="16">
        <f>IF($A301="","",IFERROR(SUMIF(tblAnahtarB[NormB],$A301,tblVeriB[BelgeAdet]),0))</f>
        <v/>
      </c>
      <c r="F301" s="16">
        <f>IF($A301="","",IFERROR(INDEX(tblVeriB[FormTipi],MATCH($A301,tblAnahtarB[NormB],0)),""))</f>
        <v/>
      </c>
      <c r="G301" s="16">
        <f>IF($A301="","",IFERROR(INDEX(tblVeriA[Donem],MATCH($A301,tblAnahtarA[Norm],0)),""))</f>
        <v/>
      </c>
      <c r="H301" s="16">
        <f>IF(OR($A301="",$B301&lt;&gt;"tutar_farki"),"",IF($E301=0,"BELGE_EKSIK",IF($C301&lt;=toleransKurus*cbb_yuvarlamaCarpan,"YUVARLAMA",IF(AND($F301&lt;&gt;"Ba",$F301&lt;&gt;"Bs"),"TIP_KARISIK",IF($C301&gt;cbb_esikFark*cbb_donemCarpan,"DONEM",IF(LEN($D301)&lt;cbb_unvanMinLen,"UNVAN","TANIMSIZ"))))))</f>
        <v/>
      </c>
    </row>
    <row r="302">
      <c r="A302" s="26">
        <f>IF('ESLESTIRME'!$A302="","",'ESLESTIRME'!$A302)</f>
        <v/>
      </c>
      <c r="B302" s="16">
        <f>IF($A302="","",IFERROR(INDEX(tblEslesme[Kova],MATCH($A302,tblEslesme[A_Norm],0)),""))</f>
        <v/>
      </c>
      <c r="C302" s="16">
        <f>IF($A302="","",IFERROR(INDEX(tblEslesme[AbsFark],MATCH($A302,tblEslesme[A_Norm],0)),0))</f>
        <v/>
      </c>
      <c r="D302" s="16">
        <f>IF($A302="","",IFERROR(INDEX(tblVeriA[Unvan],MATCH($A302,tblAnahtarA[Norm],0)),""))</f>
        <v/>
      </c>
      <c r="E302" s="16">
        <f>IF($A302="","",IFERROR(SUMIF(tblAnahtarB[NormB],$A302,tblVeriB[BelgeAdet]),0))</f>
        <v/>
      </c>
      <c r="F302" s="16">
        <f>IF($A302="","",IFERROR(INDEX(tblVeriB[FormTipi],MATCH($A302,tblAnahtarB[NormB],0)),""))</f>
        <v/>
      </c>
      <c r="G302" s="16">
        <f>IF($A302="","",IFERROR(INDEX(tblVeriA[Donem],MATCH($A302,tblAnahtarA[Norm],0)),""))</f>
        <v/>
      </c>
      <c r="H302" s="16">
        <f>IF(OR($A302="",$B302&lt;&gt;"tutar_farki"),"",IF($E302=0,"BELGE_EKSIK",IF($C302&lt;=toleransKurus*cbb_yuvarlamaCarpan,"YUVARLAMA",IF(AND($F302&lt;&gt;"Ba",$F302&lt;&gt;"Bs"),"TIP_KARISIK",IF($C302&gt;cbb_esikFark*cbb_donemCarpan,"DONEM",IF(LEN($D302)&lt;cbb_unvanMinLen,"UNVAN","TANIMSIZ"))))))</f>
        <v/>
      </c>
    </row>
    <row r="303">
      <c r="A303" s="26">
        <f>IF('ESLESTIRME'!$A303="","",'ESLESTIRME'!$A303)</f>
        <v/>
      </c>
      <c r="B303" s="16">
        <f>IF($A303="","",IFERROR(INDEX(tblEslesme[Kova],MATCH($A303,tblEslesme[A_Norm],0)),""))</f>
        <v/>
      </c>
      <c r="C303" s="16">
        <f>IF($A303="","",IFERROR(INDEX(tblEslesme[AbsFark],MATCH($A303,tblEslesme[A_Norm],0)),0))</f>
        <v/>
      </c>
      <c r="D303" s="16">
        <f>IF($A303="","",IFERROR(INDEX(tblVeriA[Unvan],MATCH($A303,tblAnahtarA[Norm],0)),""))</f>
        <v/>
      </c>
      <c r="E303" s="16">
        <f>IF($A303="","",IFERROR(SUMIF(tblAnahtarB[NormB],$A303,tblVeriB[BelgeAdet]),0))</f>
        <v/>
      </c>
      <c r="F303" s="16">
        <f>IF($A303="","",IFERROR(INDEX(tblVeriB[FormTipi],MATCH($A303,tblAnahtarB[NormB],0)),""))</f>
        <v/>
      </c>
      <c r="G303" s="16">
        <f>IF($A303="","",IFERROR(INDEX(tblVeriA[Donem],MATCH($A303,tblAnahtarA[Norm],0)),""))</f>
        <v/>
      </c>
      <c r="H303" s="16">
        <f>IF(OR($A303="",$B303&lt;&gt;"tutar_farki"),"",IF($E303=0,"BELGE_EKSIK",IF($C303&lt;=toleransKurus*cbb_yuvarlamaCarpan,"YUVARLAMA",IF(AND($F303&lt;&gt;"Ba",$F303&lt;&gt;"Bs"),"TIP_KARISIK",IF($C303&gt;cbb_esikFark*cbb_donemCarpan,"DONEM",IF(LEN($D303)&lt;cbb_unvanMinLen,"UNVAN","TANIMSIZ"))))))</f>
        <v/>
      </c>
    </row>
    <row r="304">
      <c r="A304" s="26">
        <f>IF('ESLESTIRME'!$A304="","",'ESLESTIRME'!$A304)</f>
        <v/>
      </c>
      <c r="B304" s="16">
        <f>IF($A304="","",IFERROR(INDEX(tblEslesme[Kova],MATCH($A304,tblEslesme[A_Norm],0)),""))</f>
        <v/>
      </c>
      <c r="C304" s="16">
        <f>IF($A304="","",IFERROR(INDEX(tblEslesme[AbsFark],MATCH($A304,tblEslesme[A_Norm],0)),0))</f>
        <v/>
      </c>
      <c r="D304" s="16">
        <f>IF($A304="","",IFERROR(INDEX(tblVeriA[Unvan],MATCH($A304,tblAnahtarA[Norm],0)),""))</f>
        <v/>
      </c>
      <c r="E304" s="16">
        <f>IF($A304="","",IFERROR(SUMIF(tblAnahtarB[NormB],$A304,tblVeriB[BelgeAdet]),0))</f>
        <v/>
      </c>
      <c r="F304" s="16">
        <f>IF($A304="","",IFERROR(INDEX(tblVeriB[FormTipi],MATCH($A304,tblAnahtarB[NormB],0)),""))</f>
        <v/>
      </c>
      <c r="G304" s="16">
        <f>IF($A304="","",IFERROR(INDEX(tblVeriA[Donem],MATCH($A304,tblAnahtarA[Norm],0)),""))</f>
        <v/>
      </c>
      <c r="H304" s="16">
        <f>IF(OR($A304="",$B304&lt;&gt;"tutar_farki"),"",IF($E304=0,"BELGE_EKSIK",IF($C304&lt;=toleransKurus*cbb_yuvarlamaCarpan,"YUVARLAMA",IF(AND($F304&lt;&gt;"Ba",$F304&lt;&gt;"Bs"),"TIP_KARISIK",IF($C304&gt;cbb_esikFark*cbb_donemCarpan,"DONEM",IF(LEN($D304)&lt;cbb_unvanMinLen,"UNVAN","TANIMSIZ"))))))</f>
        <v/>
      </c>
    </row>
    <row r="305">
      <c r="A305" s="26">
        <f>IF('ESLESTIRME'!$A305="","",'ESLESTIRME'!$A305)</f>
        <v/>
      </c>
      <c r="B305" s="16">
        <f>IF($A305="","",IFERROR(INDEX(tblEslesme[Kova],MATCH($A305,tblEslesme[A_Norm],0)),""))</f>
        <v/>
      </c>
      <c r="C305" s="16">
        <f>IF($A305="","",IFERROR(INDEX(tblEslesme[AbsFark],MATCH($A305,tblEslesme[A_Norm],0)),0))</f>
        <v/>
      </c>
      <c r="D305" s="16">
        <f>IF($A305="","",IFERROR(INDEX(tblVeriA[Unvan],MATCH($A305,tblAnahtarA[Norm],0)),""))</f>
        <v/>
      </c>
      <c r="E305" s="16">
        <f>IF($A305="","",IFERROR(SUMIF(tblAnahtarB[NormB],$A305,tblVeriB[BelgeAdet]),0))</f>
        <v/>
      </c>
      <c r="F305" s="16">
        <f>IF($A305="","",IFERROR(INDEX(tblVeriB[FormTipi],MATCH($A305,tblAnahtarB[NormB],0)),""))</f>
        <v/>
      </c>
      <c r="G305" s="16">
        <f>IF($A305="","",IFERROR(INDEX(tblVeriA[Donem],MATCH($A305,tblAnahtarA[Norm],0)),""))</f>
        <v/>
      </c>
      <c r="H305" s="16">
        <f>IF(OR($A305="",$B305&lt;&gt;"tutar_farki"),"",IF($E305=0,"BELGE_EKSIK",IF($C305&lt;=toleransKurus*cbb_yuvarlamaCarpan,"YUVARLAMA",IF(AND($F305&lt;&gt;"Ba",$F305&lt;&gt;"Bs"),"TIP_KARISIK",IF($C305&gt;cbb_esikFark*cbb_donemCarpan,"DONEM",IF(LEN($D305)&lt;cbb_unvanMinLen,"UNVAN","TANIMSIZ"))))))</f>
        <v/>
      </c>
    </row>
    <row r="306">
      <c r="A306" s="26">
        <f>IF('ESLESTIRME'!$A306="","",'ESLESTIRME'!$A306)</f>
        <v/>
      </c>
      <c r="B306" s="16">
        <f>IF($A306="","",IFERROR(INDEX(tblEslesme[Kova],MATCH($A306,tblEslesme[A_Norm],0)),""))</f>
        <v/>
      </c>
      <c r="C306" s="16">
        <f>IF($A306="","",IFERROR(INDEX(tblEslesme[AbsFark],MATCH($A306,tblEslesme[A_Norm],0)),0))</f>
        <v/>
      </c>
      <c r="D306" s="16">
        <f>IF($A306="","",IFERROR(INDEX(tblVeriA[Unvan],MATCH($A306,tblAnahtarA[Norm],0)),""))</f>
        <v/>
      </c>
      <c r="E306" s="16">
        <f>IF($A306="","",IFERROR(SUMIF(tblAnahtarB[NormB],$A306,tblVeriB[BelgeAdet]),0))</f>
        <v/>
      </c>
      <c r="F306" s="16">
        <f>IF($A306="","",IFERROR(INDEX(tblVeriB[FormTipi],MATCH($A306,tblAnahtarB[NormB],0)),""))</f>
        <v/>
      </c>
      <c r="G306" s="16">
        <f>IF($A306="","",IFERROR(INDEX(tblVeriA[Donem],MATCH($A306,tblAnahtarA[Norm],0)),""))</f>
        <v/>
      </c>
      <c r="H306" s="16">
        <f>IF(OR($A306="",$B306&lt;&gt;"tutar_farki"),"",IF($E306=0,"BELGE_EKSIK",IF($C306&lt;=toleransKurus*cbb_yuvarlamaCarpan,"YUVARLAMA",IF(AND($F306&lt;&gt;"Ba",$F306&lt;&gt;"Bs"),"TIP_KARISIK",IF($C306&gt;cbb_esikFark*cbb_donemCarpan,"DONEM",IF(LEN($D306)&lt;cbb_unvanMinLen,"UNVAN","TANIMSIZ"))))))</f>
        <v/>
      </c>
    </row>
    <row r="307">
      <c r="A307" s="26">
        <f>IF('ESLESTIRME'!$A307="","",'ESLESTIRME'!$A307)</f>
        <v/>
      </c>
      <c r="B307" s="16">
        <f>IF($A307="","",IFERROR(INDEX(tblEslesme[Kova],MATCH($A307,tblEslesme[A_Norm],0)),""))</f>
        <v/>
      </c>
      <c r="C307" s="16">
        <f>IF($A307="","",IFERROR(INDEX(tblEslesme[AbsFark],MATCH($A307,tblEslesme[A_Norm],0)),0))</f>
        <v/>
      </c>
      <c r="D307" s="16">
        <f>IF($A307="","",IFERROR(INDEX(tblVeriA[Unvan],MATCH($A307,tblAnahtarA[Norm],0)),""))</f>
        <v/>
      </c>
      <c r="E307" s="16">
        <f>IF($A307="","",IFERROR(SUMIF(tblAnahtarB[NormB],$A307,tblVeriB[BelgeAdet]),0))</f>
        <v/>
      </c>
      <c r="F307" s="16">
        <f>IF($A307="","",IFERROR(INDEX(tblVeriB[FormTipi],MATCH($A307,tblAnahtarB[NormB],0)),""))</f>
        <v/>
      </c>
      <c r="G307" s="16">
        <f>IF($A307="","",IFERROR(INDEX(tblVeriA[Donem],MATCH($A307,tblAnahtarA[Norm],0)),""))</f>
        <v/>
      </c>
      <c r="H307" s="16">
        <f>IF(OR($A307="",$B307&lt;&gt;"tutar_farki"),"",IF($E307=0,"BELGE_EKSIK",IF($C307&lt;=toleransKurus*cbb_yuvarlamaCarpan,"YUVARLAMA",IF(AND($F307&lt;&gt;"Ba",$F307&lt;&gt;"Bs"),"TIP_KARISIK",IF($C307&gt;cbb_esikFark*cbb_donemCarpan,"DONEM",IF(LEN($D307)&lt;cbb_unvanMinLen,"UNVAN","TANIMSIZ"))))))</f>
        <v/>
      </c>
    </row>
    <row r="308">
      <c r="A308" s="26">
        <f>IF('ESLESTIRME'!$A308="","",'ESLESTIRME'!$A308)</f>
        <v/>
      </c>
      <c r="B308" s="16">
        <f>IF($A308="","",IFERROR(INDEX(tblEslesme[Kova],MATCH($A308,tblEslesme[A_Norm],0)),""))</f>
        <v/>
      </c>
      <c r="C308" s="16">
        <f>IF($A308="","",IFERROR(INDEX(tblEslesme[AbsFark],MATCH($A308,tblEslesme[A_Norm],0)),0))</f>
        <v/>
      </c>
      <c r="D308" s="16">
        <f>IF($A308="","",IFERROR(INDEX(tblVeriA[Unvan],MATCH($A308,tblAnahtarA[Norm],0)),""))</f>
        <v/>
      </c>
      <c r="E308" s="16">
        <f>IF($A308="","",IFERROR(SUMIF(tblAnahtarB[NormB],$A308,tblVeriB[BelgeAdet]),0))</f>
        <v/>
      </c>
      <c r="F308" s="16">
        <f>IF($A308="","",IFERROR(INDEX(tblVeriB[FormTipi],MATCH($A308,tblAnahtarB[NormB],0)),""))</f>
        <v/>
      </c>
      <c r="G308" s="16">
        <f>IF($A308="","",IFERROR(INDEX(tblVeriA[Donem],MATCH($A308,tblAnahtarA[Norm],0)),""))</f>
        <v/>
      </c>
      <c r="H308" s="16">
        <f>IF(OR($A308="",$B308&lt;&gt;"tutar_farki"),"",IF($E308=0,"BELGE_EKSIK",IF($C308&lt;=toleransKurus*cbb_yuvarlamaCarpan,"YUVARLAMA",IF(AND($F308&lt;&gt;"Ba",$F308&lt;&gt;"Bs"),"TIP_KARISIK",IF($C308&gt;cbb_esikFark*cbb_donemCarpan,"DONEM",IF(LEN($D308)&lt;cbb_unvanMinLen,"UNVAN","TANIMSIZ"))))))</f>
        <v/>
      </c>
    </row>
    <row r="309">
      <c r="A309" s="26">
        <f>IF('ESLESTIRME'!$A309="","",'ESLESTIRME'!$A309)</f>
        <v/>
      </c>
      <c r="B309" s="16">
        <f>IF($A309="","",IFERROR(INDEX(tblEslesme[Kova],MATCH($A309,tblEslesme[A_Norm],0)),""))</f>
        <v/>
      </c>
      <c r="C309" s="16">
        <f>IF($A309="","",IFERROR(INDEX(tblEslesme[AbsFark],MATCH($A309,tblEslesme[A_Norm],0)),0))</f>
        <v/>
      </c>
      <c r="D309" s="16">
        <f>IF($A309="","",IFERROR(INDEX(tblVeriA[Unvan],MATCH($A309,tblAnahtarA[Norm],0)),""))</f>
        <v/>
      </c>
      <c r="E309" s="16">
        <f>IF($A309="","",IFERROR(SUMIF(tblAnahtarB[NormB],$A309,tblVeriB[BelgeAdet]),0))</f>
        <v/>
      </c>
      <c r="F309" s="16">
        <f>IF($A309="","",IFERROR(INDEX(tblVeriB[FormTipi],MATCH($A309,tblAnahtarB[NormB],0)),""))</f>
        <v/>
      </c>
      <c r="G309" s="16">
        <f>IF($A309="","",IFERROR(INDEX(tblVeriA[Donem],MATCH($A309,tblAnahtarA[Norm],0)),""))</f>
        <v/>
      </c>
      <c r="H309" s="16">
        <f>IF(OR($A309="",$B309&lt;&gt;"tutar_farki"),"",IF($E309=0,"BELGE_EKSIK",IF($C309&lt;=toleransKurus*cbb_yuvarlamaCarpan,"YUVARLAMA",IF(AND($F309&lt;&gt;"Ba",$F309&lt;&gt;"Bs"),"TIP_KARISIK",IF($C309&gt;cbb_esikFark*cbb_donemCarpan,"DONEM",IF(LEN($D309)&lt;cbb_unvanMinLen,"UNVAN","TANIMSIZ"))))))</f>
        <v/>
      </c>
    </row>
    <row r="310">
      <c r="A310" s="26">
        <f>IF('ESLESTIRME'!$A310="","",'ESLESTIRME'!$A310)</f>
        <v/>
      </c>
      <c r="B310" s="16">
        <f>IF($A310="","",IFERROR(INDEX(tblEslesme[Kova],MATCH($A310,tblEslesme[A_Norm],0)),""))</f>
        <v/>
      </c>
      <c r="C310" s="16">
        <f>IF($A310="","",IFERROR(INDEX(tblEslesme[AbsFark],MATCH($A310,tblEslesme[A_Norm],0)),0))</f>
        <v/>
      </c>
      <c r="D310" s="16">
        <f>IF($A310="","",IFERROR(INDEX(tblVeriA[Unvan],MATCH($A310,tblAnahtarA[Norm],0)),""))</f>
        <v/>
      </c>
      <c r="E310" s="16">
        <f>IF($A310="","",IFERROR(SUMIF(tblAnahtarB[NormB],$A310,tblVeriB[BelgeAdet]),0))</f>
        <v/>
      </c>
      <c r="F310" s="16">
        <f>IF($A310="","",IFERROR(INDEX(tblVeriB[FormTipi],MATCH($A310,tblAnahtarB[NormB],0)),""))</f>
        <v/>
      </c>
      <c r="G310" s="16">
        <f>IF($A310="","",IFERROR(INDEX(tblVeriA[Donem],MATCH($A310,tblAnahtarA[Norm],0)),""))</f>
        <v/>
      </c>
      <c r="H310" s="16">
        <f>IF(OR($A310="",$B310&lt;&gt;"tutar_farki"),"",IF($E310=0,"BELGE_EKSIK",IF($C310&lt;=toleransKurus*cbb_yuvarlamaCarpan,"YUVARLAMA",IF(AND($F310&lt;&gt;"Ba",$F310&lt;&gt;"Bs"),"TIP_KARISIK",IF($C310&gt;cbb_esikFark*cbb_donemCarpan,"DONEM",IF(LEN($D310)&lt;cbb_unvanMinLen,"UNVAN","TANIMSIZ"))))))</f>
        <v/>
      </c>
    </row>
    <row r="311">
      <c r="A311" s="26">
        <f>IF('ESLESTIRME'!$A311="","",'ESLESTIRME'!$A311)</f>
        <v/>
      </c>
      <c r="B311" s="16">
        <f>IF($A311="","",IFERROR(INDEX(tblEslesme[Kova],MATCH($A311,tblEslesme[A_Norm],0)),""))</f>
        <v/>
      </c>
      <c r="C311" s="16">
        <f>IF($A311="","",IFERROR(INDEX(tblEslesme[AbsFark],MATCH($A311,tblEslesme[A_Norm],0)),0))</f>
        <v/>
      </c>
      <c r="D311" s="16">
        <f>IF($A311="","",IFERROR(INDEX(tblVeriA[Unvan],MATCH($A311,tblAnahtarA[Norm],0)),""))</f>
        <v/>
      </c>
      <c r="E311" s="16">
        <f>IF($A311="","",IFERROR(SUMIF(tblAnahtarB[NormB],$A311,tblVeriB[BelgeAdet]),0))</f>
        <v/>
      </c>
      <c r="F311" s="16">
        <f>IF($A311="","",IFERROR(INDEX(tblVeriB[FormTipi],MATCH($A311,tblAnahtarB[NormB],0)),""))</f>
        <v/>
      </c>
      <c r="G311" s="16">
        <f>IF($A311="","",IFERROR(INDEX(tblVeriA[Donem],MATCH($A311,tblAnahtarA[Norm],0)),""))</f>
        <v/>
      </c>
      <c r="H311" s="16">
        <f>IF(OR($A311="",$B311&lt;&gt;"tutar_farki"),"",IF($E311=0,"BELGE_EKSIK",IF($C311&lt;=toleransKurus*cbb_yuvarlamaCarpan,"YUVARLAMA",IF(AND($F311&lt;&gt;"Ba",$F311&lt;&gt;"Bs"),"TIP_KARISIK",IF($C311&gt;cbb_esikFark*cbb_donemCarpan,"DONEM",IF(LEN($D311)&lt;cbb_unvanMinLen,"UNVAN","TANIMSIZ"))))))</f>
        <v/>
      </c>
    </row>
    <row r="312">
      <c r="A312" s="26">
        <f>IF('ESLESTIRME'!$A312="","",'ESLESTIRME'!$A312)</f>
        <v/>
      </c>
      <c r="B312" s="16">
        <f>IF($A312="","",IFERROR(INDEX(tblEslesme[Kova],MATCH($A312,tblEslesme[A_Norm],0)),""))</f>
        <v/>
      </c>
      <c r="C312" s="16">
        <f>IF($A312="","",IFERROR(INDEX(tblEslesme[AbsFark],MATCH($A312,tblEslesme[A_Norm],0)),0))</f>
        <v/>
      </c>
      <c r="D312" s="16">
        <f>IF($A312="","",IFERROR(INDEX(tblVeriA[Unvan],MATCH($A312,tblAnahtarA[Norm],0)),""))</f>
        <v/>
      </c>
      <c r="E312" s="16">
        <f>IF($A312="","",IFERROR(SUMIF(tblAnahtarB[NormB],$A312,tblVeriB[BelgeAdet]),0))</f>
        <v/>
      </c>
      <c r="F312" s="16">
        <f>IF($A312="","",IFERROR(INDEX(tblVeriB[FormTipi],MATCH($A312,tblAnahtarB[NormB],0)),""))</f>
        <v/>
      </c>
      <c r="G312" s="16">
        <f>IF($A312="","",IFERROR(INDEX(tblVeriA[Donem],MATCH($A312,tblAnahtarA[Norm],0)),""))</f>
        <v/>
      </c>
      <c r="H312" s="16">
        <f>IF(OR($A312="",$B312&lt;&gt;"tutar_farki"),"",IF($E312=0,"BELGE_EKSIK",IF($C312&lt;=toleransKurus*cbb_yuvarlamaCarpan,"YUVARLAMA",IF(AND($F312&lt;&gt;"Ba",$F312&lt;&gt;"Bs"),"TIP_KARISIK",IF($C312&gt;cbb_esikFark*cbb_donemCarpan,"DONEM",IF(LEN($D312)&lt;cbb_unvanMinLen,"UNVAN","TANIMSIZ"))))))</f>
        <v/>
      </c>
    </row>
    <row r="313">
      <c r="A313" s="26">
        <f>IF('ESLESTIRME'!$A313="","",'ESLESTIRME'!$A313)</f>
        <v/>
      </c>
      <c r="B313" s="16">
        <f>IF($A313="","",IFERROR(INDEX(tblEslesme[Kova],MATCH($A313,tblEslesme[A_Norm],0)),""))</f>
        <v/>
      </c>
      <c r="C313" s="16">
        <f>IF($A313="","",IFERROR(INDEX(tblEslesme[AbsFark],MATCH($A313,tblEslesme[A_Norm],0)),0))</f>
        <v/>
      </c>
      <c r="D313" s="16">
        <f>IF($A313="","",IFERROR(INDEX(tblVeriA[Unvan],MATCH($A313,tblAnahtarA[Norm],0)),""))</f>
        <v/>
      </c>
      <c r="E313" s="16">
        <f>IF($A313="","",IFERROR(SUMIF(tblAnahtarB[NormB],$A313,tblVeriB[BelgeAdet]),0))</f>
        <v/>
      </c>
      <c r="F313" s="16">
        <f>IF($A313="","",IFERROR(INDEX(tblVeriB[FormTipi],MATCH($A313,tblAnahtarB[NormB],0)),""))</f>
        <v/>
      </c>
      <c r="G313" s="16">
        <f>IF($A313="","",IFERROR(INDEX(tblVeriA[Donem],MATCH($A313,tblAnahtarA[Norm],0)),""))</f>
        <v/>
      </c>
      <c r="H313" s="16">
        <f>IF(OR($A313="",$B313&lt;&gt;"tutar_farki"),"",IF($E313=0,"BELGE_EKSIK",IF($C313&lt;=toleransKurus*cbb_yuvarlamaCarpan,"YUVARLAMA",IF(AND($F313&lt;&gt;"Ba",$F313&lt;&gt;"Bs"),"TIP_KARISIK",IF($C313&gt;cbb_esikFark*cbb_donemCarpan,"DONEM",IF(LEN($D313)&lt;cbb_unvanMinLen,"UNVAN","TANIMSIZ"))))))</f>
        <v/>
      </c>
    </row>
    <row r="314">
      <c r="A314" s="26">
        <f>IF('ESLESTIRME'!$A314="","",'ESLESTIRME'!$A314)</f>
        <v/>
      </c>
      <c r="B314" s="16">
        <f>IF($A314="","",IFERROR(INDEX(tblEslesme[Kova],MATCH($A314,tblEslesme[A_Norm],0)),""))</f>
        <v/>
      </c>
      <c r="C314" s="16">
        <f>IF($A314="","",IFERROR(INDEX(tblEslesme[AbsFark],MATCH($A314,tblEslesme[A_Norm],0)),0))</f>
        <v/>
      </c>
      <c r="D314" s="16">
        <f>IF($A314="","",IFERROR(INDEX(tblVeriA[Unvan],MATCH($A314,tblAnahtarA[Norm],0)),""))</f>
        <v/>
      </c>
      <c r="E314" s="16">
        <f>IF($A314="","",IFERROR(SUMIF(tblAnahtarB[NormB],$A314,tblVeriB[BelgeAdet]),0))</f>
        <v/>
      </c>
      <c r="F314" s="16">
        <f>IF($A314="","",IFERROR(INDEX(tblVeriB[FormTipi],MATCH($A314,tblAnahtarB[NormB],0)),""))</f>
        <v/>
      </c>
      <c r="G314" s="16">
        <f>IF($A314="","",IFERROR(INDEX(tblVeriA[Donem],MATCH($A314,tblAnahtarA[Norm],0)),""))</f>
        <v/>
      </c>
      <c r="H314" s="16">
        <f>IF(OR($A314="",$B314&lt;&gt;"tutar_farki"),"",IF($E314=0,"BELGE_EKSIK",IF($C314&lt;=toleransKurus*cbb_yuvarlamaCarpan,"YUVARLAMA",IF(AND($F314&lt;&gt;"Ba",$F314&lt;&gt;"Bs"),"TIP_KARISIK",IF($C314&gt;cbb_esikFark*cbb_donemCarpan,"DONEM",IF(LEN($D314)&lt;cbb_unvanMinLen,"UNVAN","TANIMSIZ"))))))</f>
        <v/>
      </c>
    </row>
    <row r="315">
      <c r="A315" s="26">
        <f>IF('ESLESTIRME'!$A315="","",'ESLESTIRME'!$A315)</f>
        <v/>
      </c>
      <c r="B315" s="16">
        <f>IF($A315="","",IFERROR(INDEX(tblEslesme[Kova],MATCH($A315,tblEslesme[A_Norm],0)),""))</f>
        <v/>
      </c>
      <c r="C315" s="16">
        <f>IF($A315="","",IFERROR(INDEX(tblEslesme[AbsFark],MATCH($A315,tblEslesme[A_Norm],0)),0))</f>
        <v/>
      </c>
      <c r="D315" s="16">
        <f>IF($A315="","",IFERROR(INDEX(tblVeriA[Unvan],MATCH($A315,tblAnahtarA[Norm],0)),""))</f>
        <v/>
      </c>
      <c r="E315" s="16">
        <f>IF($A315="","",IFERROR(SUMIF(tblAnahtarB[NormB],$A315,tblVeriB[BelgeAdet]),0))</f>
        <v/>
      </c>
      <c r="F315" s="16">
        <f>IF($A315="","",IFERROR(INDEX(tblVeriB[FormTipi],MATCH($A315,tblAnahtarB[NormB],0)),""))</f>
        <v/>
      </c>
      <c r="G315" s="16">
        <f>IF($A315="","",IFERROR(INDEX(tblVeriA[Donem],MATCH($A315,tblAnahtarA[Norm],0)),""))</f>
        <v/>
      </c>
      <c r="H315" s="16">
        <f>IF(OR($A315="",$B315&lt;&gt;"tutar_farki"),"",IF($E315=0,"BELGE_EKSIK",IF($C315&lt;=toleransKurus*cbb_yuvarlamaCarpan,"YUVARLAMA",IF(AND($F315&lt;&gt;"Ba",$F315&lt;&gt;"Bs"),"TIP_KARISIK",IF($C315&gt;cbb_esikFark*cbb_donemCarpan,"DONEM",IF(LEN($D315)&lt;cbb_unvanMinLen,"UNVAN","TANIMSIZ"))))))</f>
        <v/>
      </c>
    </row>
    <row r="316">
      <c r="A316" s="26">
        <f>IF('ESLESTIRME'!$A316="","",'ESLESTIRME'!$A316)</f>
        <v/>
      </c>
      <c r="B316" s="16">
        <f>IF($A316="","",IFERROR(INDEX(tblEslesme[Kova],MATCH($A316,tblEslesme[A_Norm],0)),""))</f>
        <v/>
      </c>
      <c r="C316" s="16">
        <f>IF($A316="","",IFERROR(INDEX(tblEslesme[AbsFark],MATCH($A316,tblEslesme[A_Norm],0)),0))</f>
        <v/>
      </c>
      <c r="D316" s="16">
        <f>IF($A316="","",IFERROR(INDEX(tblVeriA[Unvan],MATCH($A316,tblAnahtarA[Norm],0)),""))</f>
        <v/>
      </c>
      <c r="E316" s="16">
        <f>IF($A316="","",IFERROR(SUMIF(tblAnahtarB[NormB],$A316,tblVeriB[BelgeAdet]),0))</f>
        <v/>
      </c>
      <c r="F316" s="16">
        <f>IF($A316="","",IFERROR(INDEX(tblVeriB[FormTipi],MATCH($A316,tblAnahtarB[NormB],0)),""))</f>
        <v/>
      </c>
      <c r="G316" s="16">
        <f>IF($A316="","",IFERROR(INDEX(tblVeriA[Donem],MATCH($A316,tblAnahtarA[Norm],0)),""))</f>
        <v/>
      </c>
      <c r="H316" s="16">
        <f>IF(OR($A316="",$B316&lt;&gt;"tutar_farki"),"",IF($E316=0,"BELGE_EKSIK",IF($C316&lt;=toleransKurus*cbb_yuvarlamaCarpan,"YUVARLAMA",IF(AND($F316&lt;&gt;"Ba",$F316&lt;&gt;"Bs"),"TIP_KARISIK",IF($C316&gt;cbb_esikFark*cbb_donemCarpan,"DONEM",IF(LEN($D316)&lt;cbb_unvanMinLen,"UNVAN","TANIMSIZ"))))))</f>
        <v/>
      </c>
    </row>
    <row r="317">
      <c r="A317" s="26">
        <f>IF('ESLESTIRME'!$A317="","",'ESLESTIRME'!$A317)</f>
        <v/>
      </c>
      <c r="B317" s="16">
        <f>IF($A317="","",IFERROR(INDEX(tblEslesme[Kova],MATCH($A317,tblEslesme[A_Norm],0)),""))</f>
        <v/>
      </c>
      <c r="C317" s="16">
        <f>IF($A317="","",IFERROR(INDEX(tblEslesme[AbsFark],MATCH($A317,tblEslesme[A_Norm],0)),0))</f>
        <v/>
      </c>
      <c r="D317" s="16">
        <f>IF($A317="","",IFERROR(INDEX(tblVeriA[Unvan],MATCH($A317,tblAnahtarA[Norm],0)),""))</f>
        <v/>
      </c>
      <c r="E317" s="16">
        <f>IF($A317="","",IFERROR(SUMIF(tblAnahtarB[NormB],$A317,tblVeriB[BelgeAdet]),0))</f>
        <v/>
      </c>
      <c r="F317" s="16">
        <f>IF($A317="","",IFERROR(INDEX(tblVeriB[FormTipi],MATCH($A317,tblAnahtarB[NormB],0)),""))</f>
        <v/>
      </c>
      <c r="G317" s="16">
        <f>IF($A317="","",IFERROR(INDEX(tblVeriA[Donem],MATCH($A317,tblAnahtarA[Norm],0)),""))</f>
        <v/>
      </c>
      <c r="H317" s="16">
        <f>IF(OR($A317="",$B317&lt;&gt;"tutar_farki"),"",IF($E317=0,"BELGE_EKSIK",IF($C317&lt;=toleransKurus*cbb_yuvarlamaCarpan,"YUVARLAMA",IF(AND($F317&lt;&gt;"Ba",$F317&lt;&gt;"Bs"),"TIP_KARISIK",IF($C317&gt;cbb_esikFark*cbb_donemCarpan,"DONEM",IF(LEN($D317)&lt;cbb_unvanMinLen,"UNVAN","TANIMSIZ"))))))</f>
        <v/>
      </c>
    </row>
    <row r="318">
      <c r="A318" s="26">
        <f>IF('ESLESTIRME'!$A318="","",'ESLESTIRME'!$A318)</f>
        <v/>
      </c>
      <c r="B318" s="16">
        <f>IF($A318="","",IFERROR(INDEX(tblEslesme[Kova],MATCH($A318,tblEslesme[A_Norm],0)),""))</f>
        <v/>
      </c>
      <c r="C318" s="16">
        <f>IF($A318="","",IFERROR(INDEX(tblEslesme[AbsFark],MATCH($A318,tblEslesme[A_Norm],0)),0))</f>
        <v/>
      </c>
      <c r="D318" s="16">
        <f>IF($A318="","",IFERROR(INDEX(tblVeriA[Unvan],MATCH($A318,tblAnahtarA[Norm],0)),""))</f>
        <v/>
      </c>
      <c r="E318" s="16">
        <f>IF($A318="","",IFERROR(SUMIF(tblAnahtarB[NormB],$A318,tblVeriB[BelgeAdet]),0))</f>
        <v/>
      </c>
      <c r="F318" s="16">
        <f>IF($A318="","",IFERROR(INDEX(tblVeriB[FormTipi],MATCH($A318,tblAnahtarB[NormB],0)),""))</f>
        <v/>
      </c>
      <c r="G318" s="16">
        <f>IF($A318="","",IFERROR(INDEX(tblVeriA[Donem],MATCH($A318,tblAnahtarA[Norm],0)),""))</f>
        <v/>
      </c>
      <c r="H318" s="16">
        <f>IF(OR($A318="",$B318&lt;&gt;"tutar_farki"),"",IF($E318=0,"BELGE_EKSIK",IF($C318&lt;=toleransKurus*cbb_yuvarlamaCarpan,"YUVARLAMA",IF(AND($F318&lt;&gt;"Ba",$F318&lt;&gt;"Bs"),"TIP_KARISIK",IF($C318&gt;cbb_esikFark*cbb_donemCarpan,"DONEM",IF(LEN($D318)&lt;cbb_unvanMinLen,"UNVAN","TANIMSIZ"))))))</f>
        <v/>
      </c>
    </row>
    <row r="319">
      <c r="A319" s="26">
        <f>IF('ESLESTIRME'!$A319="","",'ESLESTIRME'!$A319)</f>
        <v/>
      </c>
      <c r="B319" s="16">
        <f>IF($A319="","",IFERROR(INDEX(tblEslesme[Kova],MATCH($A319,tblEslesme[A_Norm],0)),""))</f>
        <v/>
      </c>
      <c r="C319" s="16">
        <f>IF($A319="","",IFERROR(INDEX(tblEslesme[AbsFark],MATCH($A319,tblEslesme[A_Norm],0)),0))</f>
        <v/>
      </c>
      <c r="D319" s="16">
        <f>IF($A319="","",IFERROR(INDEX(tblVeriA[Unvan],MATCH($A319,tblAnahtarA[Norm],0)),""))</f>
        <v/>
      </c>
      <c r="E319" s="16">
        <f>IF($A319="","",IFERROR(SUMIF(tblAnahtarB[NormB],$A319,tblVeriB[BelgeAdet]),0))</f>
        <v/>
      </c>
      <c r="F319" s="16">
        <f>IF($A319="","",IFERROR(INDEX(tblVeriB[FormTipi],MATCH($A319,tblAnahtarB[NormB],0)),""))</f>
        <v/>
      </c>
      <c r="G319" s="16">
        <f>IF($A319="","",IFERROR(INDEX(tblVeriA[Donem],MATCH($A319,tblAnahtarA[Norm],0)),""))</f>
        <v/>
      </c>
      <c r="H319" s="16">
        <f>IF(OR($A319="",$B319&lt;&gt;"tutar_farki"),"",IF($E319=0,"BELGE_EKSIK",IF($C319&lt;=toleransKurus*cbb_yuvarlamaCarpan,"YUVARLAMA",IF(AND($F319&lt;&gt;"Ba",$F319&lt;&gt;"Bs"),"TIP_KARISIK",IF($C319&gt;cbb_esikFark*cbb_donemCarpan,"DONEM",IF(LEN($D319)&lt;cbb_unvanMinLen,"UNVAN","TANIMSIZ"))))))</f>
        <v/>
      </c>
    </row>
    <row r="320">
      <c r="A320" s="26">
        <f>IF('ESLESTIRME'!$A320="","",'ESLESTIRME'!$A320)</f>
        <v/>
      </c>
      <c r="B320" s="16">
        <f>IF($A320="","",IFERROR(INDEX(tblEslesme[Kova],MATCH($A320,tblEslesme[A_Norm],0)),""))</f>
        <v/>
      </c>
      <c r="C320" s="16">
        <f>IF($A320="","",IFERROR(INDEX(tblEslesme[AbsFark],MATCH($A320,tblEslesme[A_Norm],0)),0))</f>
        <v/>
      </c>
      <c r="D320" s="16">
        <f>IF($A320="","",IFERROR(INDEX(tblVeriA[Unvan],MATCH($A320,tblAnahtarA[Norm],0)),""))</f>
        <v/>
      </c>
      <c r="E320" s="16">
        <f>IF($A320="","",IFERROR(SUMIF(tblAnahtarB[NormB],$A320,tblVeriB[BelgeAdet]),0))</f>
        <v/>
      </c>
      <c r="F320" s="16">
        <f>IF($A320="","",IFERROR(INDEX(tblVeriB[FormTipi],MATCH($A320,tblAnahtarB[NormB],0)),""))</f>
        <v/>
      </c>
      <c r="G320" s="16">
        <f>IF($A320="","",IFERROR(INDEX(tblVeriA[Donem],MATCH($A320,tblAnahtarA[Norm],0)),""))</f>
        <v/>
      </c>
      <c r="H320" s="16">
        <f>IF(OR($A320="",$B320&lt;&gt;"tutar_farki"),"",IF($E320=0,"BELGE_EKSIK",IF($C320&lt;=toleransKurus*cbb_yuvarlamaCarpan,"YUVARLAMA",IF(AND($F320&lt;&gt;"Ba",$F320&lt;&gt;"Bs"),"TIP_KARISIK",IF($C320&gt;cbb_esikFark*cbb_donemCarpan,"DONEM",IF(LEN($D320)&lt;cbb_unvanMinLen,"UNVAN","TANIMSIZ"))))))</f>
        <v/>
      </c>
    </row>
    <row r="321">
      <c r="A321" s="26">
        <f>IF('ESLESTIRME'!$A321="","",'ESLESTIRME'!$A321)</f>
        <v/>
      </c>
      <c r="B321" s="16">
        <f>IF($A321="","",IFERROR(INDEX(tblEslesme[Kova],MATCH($A321,tblEslesme[A_Norm],0)),""))</f>
        <v/>
      </c>
      <c r="C321" s="16">
        <f>IF($A321="","",IFERROR(INDEX(tblEslesme[AbsFark],MATCH($A321,tblEslesme[A_Norm],0)),0))</f>
        <v/>
      </c>
      <c r="D321" s="16">
        <f>IF($A321="","",IFERROR(INDEX(tblVeriA[Unvan],MATCH($A321,tblAnahtarA[Norm],0)),""))</f>
        <v/>
      </c>
      <c r="E321" s="16">
        <f>IF($A321="","",IFERROR(SUMIF(tblAnahtarB[NormB],$A321,tblVeriB[BelgeAdet]),0))</f>
        <v/>
      </c>
      <c r="F321" s="16">
        <f>IF($A321="","",IFERROR(INDEX(tblVeriB[FormTipi],MATCH($A321,tblAnahtarB[NormB],0)),""))</f>
        <v/>
      </c>
      <c r="G321" s="16">
        <f>IF($A321="","",IFERROR(INDEX(tblVeriA[Donem],MATCH($A321,tblAnahtarA[Norm],0)),""))</f>
        <v/>
      </c>
      <c r="H321" s="16">
        <f>IF(OR($A321="",$B321&lt;&gt;"tutar_farki"),"",IF($E321=0,"BELGE_EKSIK",IF($C321&lt;=toleransKurus*cbb_yuvarlamaCarpan,"YUVARLAMA",IF(AND($F321&lt;&gt;"Ba",$F321&lt;&gt;"Bs"),"TIP_KARISIK",IF($C321&gt;cbb_esikFark*cbb_donemCarpan,"DONEM",IF(LEN($D321)&lt;cbb_unvanMinLen,"UNVAN","TANIMSIZ"))))))</f>
        <v/>
      </c>
    </row>
    <row r="322">
      <c r="A322" s="26">
        <f>IF('ESLESTIRME'!$A322="","",'ESLESTIRME'!$A322)</f>
        <v/>
      </c>
      <c r="B322" s="16">
        <f>IF($A322="","",IFERROR(INDEX(tblEslesme[Kova],MATCH($A322,tblEslesme[A_Norm],0)),""))</f>
        <v/>
      </c>
      <c r="C322" s="16">
        <f>IF($A322="","",IFERROR(INDEX(tblEslesme[AbsFark],MATCH($A322,tblEslesme[A_Norm],0)),0))</f>
        <v/>
      </c>
      <c r="D322" s="16">
        <f>IF($A322="","",IFERROR(INDEX(tblVeriA[Unvan],MATCH($A322,tblAnahtarA[Norm],0)),""))</f>
        <v/>
      </c>
      <c r="E322" s="16">
        <f>IF($A322="","",IFERROR(SUMIF(tblAnahtarB[NormB],$A322,tblVeriB[BelgeAdet]),0))</f>
        <v/>
      </c>
      <c r="F322" s="16">
        <f>IF($A322="","",IFERROR(INDEX(tblVeriB[FormTipi],MATCH($A322,tblAnahtarB[NormB],0)),""))</f>
        <v/>
      </c>
      <c r="G322" s="16">
        <f>IF($A322="","",IFERROR(INDEX(tblVeriA[Donem],MATCH($A322,tblAnahtarA[Norm],0)),""))</f>
        <v/>
      </c>
      <c r="H322" s="16">
        <f>IF(OR($A322="",$B322&lt;&gt;"tutar_farki"),"",IF($E322=0,"BELGE_EKSIK",IF($C322&lt;=toleransKurus*cbb_yuvarlamaCarpan,"YUVARLAMA",IF(AND($F322&lt;&gt;"Ba",$F322&lt;&gt;"Bs"),"TIP_KARISIK",IF($C322&gt;cbb_esikFark*cbb_donemCarpan,"DONEM",IF(LEN($D322)&lt;cbb_unvanMinLen,"UNVAN","TANIMSIZ"))))))</f>
        <v/>
      </c>
    </row>
    <row r="323">
      <c r="A323" s="26">
        <f>IF('ESLESTIRME'!$A323="","",'ESLESTIRME'!$A323)</f>
        <v/>
      </c>
      <c r="B323" s="16">
        <f>IF($A323="","",IFERROR(INDEX(tblEslesme[Kova],MATCH($A323,tblEslesme[A_Norm],0)),""))</f>
        <v/>
      </c>
      <c r="C323" s="16">
        <f>IF($A323="","",IFERROR(INDEX(tblEslesme[AbsFark],MATCH($A323,tblEslesme[A_Norm],0)),0))</f>
        <v/>
      </c>
      <c r="D323" s="16">
        <f>IF($A323="","",IFERROR(INDEX(tblVeriA[Unvan],MATCH($A323,tblAnahtarA[Norm],0)),""))</f>
        <v/>
      </c>
      <c r="E323" s="16">
        <f>IF($A323="","",IFERROR(SUMIF(tblAnahtarB[NormB],$A323,tblVeriB[BelgeAdet]),0))</f>
        <v/>
      </c>
      <c r="F323" s="16">
        <f>IF($A323="","",IFERROR(INDEX(tblVeriB[FormTipi],MATCH($A323,tblAnahtarB[NormB],0)),""))</f>
        <v/>
      </c>
      <c r="G323" s="16">
        <f>IF($A323="","",IFERROR(INDEX(tblVeriA[Donem],MATCH($A323,tblAnahtarA[Norm],0)),""))</f>
        <v/>
      </c>
      <c r="H323" s="16">
        <f>IF(OR($A323="",$B323&lt;&gt;"tutar_farki"),"",IF($E323=0,"BELGE_EKSIK",IF($C323&lt;=toleransKurus*cbb_yuvarlamaCarpan,"YUVARLAMA",IF(AND($F323&lt;&gt;"Ba",$F323&lt;&gt;"Bs"),"TIP_KARISIK",IF($C323&gt;cbb_esikFark*cbb_donemCarpan,"DONEM",IF(LEN($D323)&lt;cbb_unvanMinLen,"UNVAN","TANIMSIZ"))))))</f>
        <v/>
      </c>
    </row>
    <row r="324">
      <c r="A324" s="26">
        <f>IF('ESLESTIRME'!$A324="","",'ESLESTIRME'!$A324)</f>
        <v/>
      </c>
      <c r="B324" s="16">
        <f>IF($A324="","",IFERROR(INDEX(tblEslesme[Kova],MATCH($A324,tblEslesme[A_Norm],0)),""))</f>
        <v/>
      </c>
      <c r="C324" s="16">
        <f>IF($A324="","",IFERROR(INDEX(tblEslesme[AbsFark],MATCH($A324,tblEslesme[A_Norm],0)),0))</f>
        <v/>
      </c>
      <c r="D324" s="16">
        <f>IF($A324="","",IFERROR(INDEX(tblVeriA[Unvan],MATCH($A324,tblAnahtarA[Norm],0)),""))</f>
        <v/>
      </c>
      <c r="E324" s="16">
        <f>IF($A324="","",IFERROR(SUMIF(tblAnahtarB[NormB],$A324,tblVeriB[BelgeAdet]),0))</f>
        <v/>
      </c>
      <c r="F324" s="16">
        <f>IF($A324="","",IFERROR(INDEX(tblVeriB[FormTipi],MATCH($A324,tblAnahtarB[NormB],0)),""))</f>
        <v/>
      </c>
      <c r="G324" s="16">
        <f>IF($A324="","",IFERROR(INDEX(tblVeriA[Donem],MATCH($A324,tblAnahtarA[Norm],0)),""))</f>
        <v/>
      </c>
      <c r="H324" s="16">
        <f>IF(OR($A324="",$B324&lt;&gt;"tutar_farki"),"",IF($E324=0,"BELGE_EKSIK",IF($C324&lt;=toleransKurus*cbb_yuvarlamaCarpan,"YUVARLAMA",IF(AND($F324&lt;&gt;"Ba",$F324&lt;&gt;"Bs"),"TIP_KARISIK",IF($C324&gt;cbb_esikFark*cbb_donemCarpan,"DONEM",IF(LEN($D324)&lt;cbb_unvanMinLen,"UNVAN","TANIMSIZ"))))))</f>
        <v/>
      </c>
    </row>
    <row r="325">
      <c r="A325" s="26">
        <f>IF('ESLESTIRME'!$A325="","",'ESLESTIRME'!$A325)</f>
        <v/>
      </c>
      <c r="B325" s="16">
        <f>IF($A325="","",IFERROR(INDEX(tblEslesme[Kova],MATCH($A325,tblEslesme[A_Norm],0)),""))</f>
        <v/>
      </c>
      <c r="C325" s="16">
        <f>IF($A325="","",IFERROR(INDEX(tblEslesme[AbsFark],MATCH($A325,tblEslesme[A_Norm],0)),0))</f>
        <v/>
      </c>
      <c r="D325" s="16">
        <f>IF($A325="","",IFERROR(INDEX(tblVeriA[Unvan],MATCH($A325,tblAnahtarA[Norm],0)),""))</f>
        <v/>
      </c>
      <c r="E325" s="16">
        <f>IF($A325="","",IFERROR(SUMIF(tblAnahtarB[NormB],$A325,tblVeriB[BelgeAdet]),0))</f>
        <v/>
      </c>
      <c r="F325" s="16">
        <f>IF($A325="","",IFERROR(INDEX(tblVeriB[FormTipi],MATCH($A325,tblAnahtarB[NormB],0)),""))</f>
        <v/>
      </c>
      <c r="G325" s="16">
        <f>IF($A325="","",IFERROR(INDEX(tblVeriA[Donem],MATCH($A325,tblAnahtarA[Norm],0)),""))</f>
        <v/>
      </c>
      <c r="H325" s="16">
        <f>IF(OR($A325="",$B325&lt;&gt;"tutar_farki"),"",IF($E325=0,"BELGE_EKSIK",IF($C325&lt;=toleransKurus*cbb_yuvarlamaCarpan,"YUVARLAMA",IF(AND($F325&lt;&gt;"Ba",$F325&lt;&gt;"Bs"),"TIP_KARISIK",IF($C325&gt;cbb_esikFark*cbb_donemCarpan,"DONEM",IF(LEN($D325)&lt;cbb_unvanMinLen,"UNVAN","TANIMSIZ"))))))</f>
        <v/>
      </c>
    </row>
    <row r="326">
      <c r="A326" s="26">
        <f>IF('ESLESTIRME'!$A326="","",'ESLESTIRME'!$A326)</f>
        <v/>
      </c>
      <c r="B326" s="16">
        <f>IF($A326="","",IFERROR(INDEX(tblEslesme[Kova],MATCH($A326,tblEslesme[A_Norm],0)),""))</f>
        <v/>
      </c>
      <c r="C326" s="16">
        <f>IF($A326="","",IFERROR(INDEX(tblEslesme[AbsFark],MATCH($A326,tblEslesme[A_Norm],0)),0))</f>
        <v/>
      </c>
      <c r="D326" s="16">
        <f>IF($A326="","",IFERROR(INDEX(tblVeriA[Unvan],MATCH($A326,tblAnahtarA[Norm],0)),""))</f>
        <v/>
      </c>
      <c r="E326" s="16">
        <f>IF($A326="","",IFERROR(SUMIF(tblAnahtarB[NormB],$A326,tblVeriB[BelgeAdet]),0))</f>
        <v/>
      </c>
      <c r="F326" s="16">
        <f>IF($A326="","",IFERROR(INDEX(tblVeriB[FormTipi],MATCH($A326,tblAnahtarB[NormB],0)),""))</f>
        <v/>
      </c>
      <c r="G326" s="16">
        <f>IF($A326="","",IFERROR(INDEX(tblVeriA[Donem],MATCH($A326,tblAnahtarA[Norm],0)),""))</f>
        <v/>
      </c>
      <c r="H326" s="16">
        <f>IF(OR($A326="",$B326&lt;&gt;"tutar_farki"),"",IF($E326=0,"BELGE_EKSIK",IF($C326&lt;=toleransKurus*cbb_yuvarlamaCarpan,"YUVARLAMA",IF(AND($F326&lt;&gt;"Ba",$F326&lt;&gt;"Bs"),"TIP_KARISIK",IF($C326&gt;cbb_esikFark*cbb_donemCarpan,"DONEM",IF(LEN($D326)&lt;cbb_unvanMinLen,"UNVAN","TANIMSIZ"))))))</f>
        <v/>
      </c>
    </row>
    <row r="327">
      <c r="A327" s="26">
        <f>IF('ESLESTIRME'!$A327="","",'ESLESTIRME'!$A327)</f>
        <v/>
      </c>
      <c r="B327" s="16">
        <f>IF($A327="","",IFERROR(INDEX(tblEslesme[Kova],MATCH($A327,tblEslesme[A_Norm],0)),""))</f>
        <v/>
      </c>
      <c r="C327" s="16">
        <f>IF($A327="","",IFERROR(INDEX(tblEslesme[AbsFark],MATCH($A327,tblEslesme[A_Norm],0)),0))</f>
        <v/>
      </c>
      <c r="D327" s="16">
        <f>IF($A327="","",IFERROR(INDEX(tblVeriA[Unvan],MATCH($A327,tblAnahtarA[Norm],0)),""))</f>
        <v/>
      </c>
      <c r="E327" s="16">
        <f>IF($A327="","",IFERROR(SUMIF(tblAnahtarB[NormB],$A327,tblVeriB[BelgeAdet]),0))</f>
        <v/>
      </c>
      <c r="F327" s="16">
        <f>IF($A327="","",IFERROR(INDEX(tblVeriB[FormTipi],MATCH($A327,tblAnahtarB[NormB],0)),""))</f>
        <v/>
      </c>
      <c r="G327" s="16">
        <f>IF($A327="","",IFERROR(INDEX(tblVeriA[Donem],MATCH($A327,tblAnahtarA[Norm],0)),""))</f>
        <v/>
      </c>
      <c r="H327" s="16">
        <f>IF(OR($A327="",$B327&lt;&gt;"tutar_farki"),"",IF($E327=0,"BELGE_EKSIK",IF($C327&lt;=toleransKurus*cbb_yuvarlamaCarpan,"YUVARLAMA",IF(AND($F327&lt;&gt;"Ba",$F327&lt;&gt;"Bs"),"TIP_KARISIK",IF($C327&gt;cbb_esikFark*cbb_donemCarpan,"DONEM",IF(LEN($D327)&lt;cbb_unvanMinLen,"UNVAN","TANIMSIZ"))))))</f>
        <v/>
      </c>
    </row>
    <row r="328">
      <c r="A328" s="26">
        <f>IF('ESLESTIRME'!$A328="","",'ESLESTIRME'!$A328)</f>
        <v/>
      </c>
      <c r="B328" s="16">
        <f>IF($A328="","",IFERROR(INDEX(tblEslesme[Kova],MATCH($A328,tblEslesme[A_Norm],0)),""))</f>
        <v/>
      </c>
      <c r="C328" s="16">
        <f>IF($A328="","",IFERROR(INDEX(tblEslesme[AbsFark],MATCH($A328,tblEslesme[A_Norm],0)),0))</f>
        <v/>
      </c>
      <c r="D328" s="16">
        <f>IF($A328="","",IFERROR(INDEX(tblVeriA[Unvan],MATCH($A328,tblAnahtarA[Norm],0)),""))</f>
        <v/>
      </c>
      <c r="E328" s="16">
        <f>IF($A328="","",IFERROR(SUMIF(tblAnahtarB[NormB],$A328,tblVeriB[BelgeAdet]),0))</f>
        <v/>
      </c>
      <c r="F328" s="16">
        <f>IF($A328="","",IFERROR(INDEX(tblVeriB[FormTipi],MATCH($A328,tblAnahtarB[NormB],0)),""))</f>
        <v/>
      </c>
      <c r="G328" s="16">
        <f>IF($A328="","",IFERROR(INDEX(tblVeriA[Donem],MATCH($A328,tblAnahtarA[Norm],0)),""))</f>
        <v/>
      </c>
      <c r="H328" s="16">
        <f>IF(OR($A328="",$B328&lt;&gt;"tutar_farki"),"",IF($E328=0,"BELGE_EKSIK",IF($C328&lt;=toleransKurus*cbb_yuvarlamaCarpan,"YUVARLAMA",IF(AND($F328&lt;&gt;"Ba",$F328&lt;&gt;"Bs"),"TIP_KARISIK",IF($C328&gt;cbb_esikFark*cbb_donemCarpan,"DONEM",IF(LEN($D328)&lt;cbb_unvanMinLen,"UNVAN","TANIMSIZ"))))))</f>
        <v/>
      </c>
    </row>
    <row r="329">
      <c r="A329" s="26">
        <f>IF('ESLESTIRME'!$A329="","",'ESLESTIRME'!$A329)</f>
        <v/>
      </c>
      <c r="B329" s="16">
        <f>IF($A329="","",IFERROR(INDEX(tblEslesme[Kova],MATCH($A329,tblEslesme[A_Norm],0)),""))</f>
        <v/>
      </c>
      <c r="C329" s="16">
        <f>IF($A329="","",IFERROR(INDEX(tblEslesme[AbsFark],MATCH($A329,tblEslesme[A_Norm],0)),0))</f>
        <v/>
      </c>
      <c r="D329" s="16">
        <f>IF($A329="","",IFERROR(INDEX(tblVeriA[Unvan],MATCH($A329,tblAnahtarA[Norm],0)),""))</f>
        <v/>
      </c>
      <c r="E329" s="16">
        <f>IF($A329="","",IFERROR(SUMIF(tblAnahtarB[NormB],$A329,tblVeriB[BelgeAdet]),0))</f>
        <v/>
      </c>
      <c r="F329" s="16">
        <f>IF($A329="","",IFERROR(INDEX(tblVeriB[FormTipi],MATCH($A329,tblAnahtarB[NormB],0)),""))</f>
        <v/>
      </c>
      <c r="G329" s="16">
        <f>IF($A329="","",IFERROR(INDEX(tblVeriA[Donem],MATCH($A329,tblAnahtarA[Norm],0)),""))</f>
        <v/>
      </c>
      <c r="H329" s="16">
        <f>IF(OR($A329="",$B329&lt;&gt;"tutar_farki"),"",IF($E329=0,"BELGE_EKSIK",IF($C329&lt;=toleransKurus*cbb_yuvarlamaCarpan,"YUVARLAMA",IF(AND($F329&lt;&gt;"Ba",$F329&lt;&gt;"Bs"),"TIP_KARISIK",IF($C329&gt;cbb_esikFark*cbb_donemCarpan,"DONEM",IF(LEN($D329)&lt;cbb_unvanMinLen,"UNVAN","TANIMSIZ"))))))</f>
        <v/>
      </c>
    </row>
    <row r="330">
      <c r="A330" s="26">
        <f>IF('ESLESTIRME'!$A330="","",'ESLESTIRME'!$A330)</f>
        <v/>
      </c>
      <c r="B330" s="16">
        <f>IF($A330="","",IFERROR(INDEX(tblEslesme[Kova],MATCH($A330,tblEslesme[A_Norm],0)),""))</f>
        <v/>
      </c>
      <c r="C330" s="16">
        <f>IF($A330="","",IFERROR(INDEX(tblEslesme[AbsFark],MATCH($A330,tblEslesme[A_Norm],0)),0))</f>
        <v/>
      </c>
      <c r="D330" s="16">
        <f>IF($A330="","",IFERROR(INDEX(tblVeriA[Unvan],MATCH($A330,tblAnahtarA[Norm],0)),""))</f>
        <v/>
      </c>
      <c r="E330" s="16">
        <f>IF($A330="","",IFERROR(SUMIF(tblAnahtarB[NormB],$A330,tblVeriB[BelgeAdet]),0))</f>
        <v/>
      </c>
      <c r="F330" s="16">
        <f>IF($A330="","",IFERROR(INDEX(tblVeriB[FormTipi],MATCH($A330,tblAnahtarB[NormB],0)),""))</f>
        <v/>
      </c>
      <c r="G330" s="16">
        <f>IF($A330="","",IFERROR(INDEX(tblVeriA[Donem],MATCH($A330,tblAnahtarA[Norm],0)),""))</f>
        <v/>
      </c>
      <c r="H330" s="16">
        <f>IF(OR($A330="",$B330&lt;&gt;"tutar_farki"),"",IF($E330=0,"BELGE_EKSIK",IF($C330&lt;=toleransKurus*cbb_yuvarlamaCarpan,"YUVARLAMA",IF(AND($F330&lt;&gt;"Ba",$F330&lt;&gt;"Bs"),"TIP_KARISIK",IF($C330&gt;cbb_esikFark*cbb_donemCarpan,"DONEM",IF(LEN($D330)&lt;cbb_unvanMinLen,"UNVAN","TANIMSIZ"))))))</f>
        <v/>
      </c>
    </row>
    <row r="331">
      <c r="A331" s="26">
        <f>IF('ESLESTIRME'!$A331="","",'ESLESTIRME'!$A331)</f>
        <v/>
      </c>
      <c r="B331" s="16">
        <f>IF($A331="","",IFERROR(INDEX(tblEslesme[Kova],MATCH($A331,tblEslesme[A_Norm],0)),""))</f>
        <v/>
      </c>
      <c r="C331" s="16">
        <f>IF($A331="","",IFERROR(INDEX(tblEslesme[AbsFark],MATCH($A331,tblEslesme[A_Norm],0)),0))</f>
        <v/>
      </c>
      <c r="D331" s="16">
        <f>IF($A331="","",IFERROR(INDEX(tblVeriA[Unvan],MATCH($A331,tblAnahtarA[Norm],0)),""))</f>
        <v/>
      </c>
      <c r="E331" s="16">
        <f>IF($A331="","",IFERROR(SUMIF(tblAnahtarB[NormB],$A331,tblVeriB[BelgeAdet]),0))</f>
        <v/>
      </c>
      <c r="F331" s="16">
        <f>IF($A331="","",IFERROR(INDEX(tblVeriB[FormTipi],MATCH($A331,tblAnahtarB[NormB],0)),""))</f>
        <v/>
      </c>
      <c r="G331" s="16">
        <f>IF($A331="","",IFERROR(INDEX(tblVeriA[Donem],MATCH($A331,tblAnahtarA[Norm],0)),""))</f>
        <v/>
      </c>
      <c r="H331" s="16">
        <f>IF(OR($A331="",$B331&lt;&gt;"tutar_farki"),"",IF($E331=0,"BELGE_EKSIK",IF($C331&lt;=toleransKurus*cbb_yuvarlamaCarpan,"YUVARLAMA",IF(AND($F331&lt;&gt;"Ba",$F331&lt;&gt;"Bs"),"TIP_KARISIK",IF($C331&gt;cbb_esikFark*cbb_donemCarpan,"DONEM",IF(LEN($D331)&lt;cbb_unvanMinLen,"UNVAN","TANIMSIZ"))))))</f>
        <v/>
      </c>
    </row>
    <row r="332">
      <c r="A332" s="26">
        <f>IF('ESLESTIRME'!$A332="","",'ESLESTIRME'!$A332)</f>
        <v/>
      </c>
      <c r="B332" s="16">
        <f>IF($A332="","",IFERROR(INDEX(tblEslesme[Kova],MATCH($A332,tblEslesme[A_Norm],0)),""))</f>
        <v/>
      </c>
      <c r="C332" s="16">
        <f>IF($A332="","",IFERROR(INDEX(tblEslesme[AbsFark],MATCH($A332,tblEslesme[A_Norm],0)),0))</f>
        <v/>
      </c>
      <c r="D332" s="16">
        <f>IF($A332="","",IFERROR(INDEX(tblVeriA[Unvan],MATCH($A332,tblAnahtarA[Norm],0)),""))</f>
        <v/>
      </c>
      <c r="E332" s="16">
        <f>IF($A332="","",IFERROR(SUMIF(tblAnahtarB[NormB],$A332,tblVeriB[BelgeAdet]),0))</f>
        <v/>
      </c>
      <c r="F332" s="16">
        <f>IF($A332="","",IFERROR(INDEX(tblVeriB[FormTipi],MATCH($A332,tblAnahtarB[NormB],0)),""))</f>
        <v/>
      </c>
      <c r="G332" s="16">
        <f>IF($A332="","",IFERROR(INDEX(tblVeriA[Donem],MATCH($A332,tblAnahtarA[Norm],0)),""))</f>
        <v/>
      </c>
      <c r="H332" s="16">
        <f>IF(OR($A332="",$B332&lt;&gt;"tutar_farki"),"",IF($E332=0,"BELGE_EKSIK",IF($C332&lt;=toleransKurus*cbb_yuvarlamaCarpan,"YUVARLAMA",IF(AND($F332&lt;&gt;"Ba",$F332&lt;&gt;"Bs"),"TIP_KARISIK",IF($C332&gt;cbb_esikFark*cbb_donemCarpan,"DONEM",IF(LEN($D332)&lt;cbb_unvanMinLen,"UNVAN","TANIMSIZ"))))))</f>
        <v/>
      </c>
    </row>
    <row r="333">
      <c r="A333" s="26">
        <f>IF('ESLESTIRME'!$A333="","",'ESLESTIRME'!$A333)</f>
        <v/>
      </c>
      <c r="B333" s="16">
        <f>IF($A333="","",IFERROR(INDEX(tblEslesme[Kova],MATCH($A333,tblEslesme[A_Norm],0)),""))</f>
        <v/>
      </c>
      <c r="C333" s="16">
        <f>IF($A333="","",IFERROR(INDEX(tblEslesme[AbsFark],MATCH($A333,tblEslesme[A_Norm],0)),0))</f>
        <v/>
      </c>
      <c r="D333" s="16">
        <f>IF($A333="","",IFERROR(INDEX(tblVeriA[Unvan],MATCH($A333,tblAnahtarA[Norm],0)),""))</f>
        <v/>
      </c>
      <c r="E333" s="16">
        <f>IF($A333="","",IFERROR(SUMIF(tblAnahtarB[NormB],$A333,tblVeriB[BelgeAdet]),0))</f>
        <v/>
      </c>
      <c r="F333" s="16">
        <f>IF($A333="","",IFERROR(INDEX(tblVeriB[FormTipi],MATCH($A333,tblAnahtarB[NormB],0)),""))</f>
        <v/>
      </c>
      <c r="G333" s="16">
        <f>IF($A333="","",IFERROR(INDEX(tblVeriA[Donem],MATCH($A333,tblAnahtarA[Norm],0)),""))</f>
        <v/>
      </c>
      <c r="H333" s="16">
        <f>IF(OR($A333="",$B333&lt;&gt;"tutar_farki"),"",IF($E333=0,"BELGE_EKSIK",IF($C333&lt;=toleransKurus*cbb_yuvarlamaCarpan,"YUVARLAMA",IF(AND($F333&lt;&gt;"Ba",$F333&lt;&gt;"Bs"),"TIP_KARISIK",IF($C333&gt;cbb_esikFark*cbb_donemCarpan,"DONEM",IF(LEN($D333)&lt;cbb_unvanMinLen,"UNVAN","TANIMSIZ"))))))</f>
        <v/>
      </c>
    </row>
    <row r="334">
      <c r="A334" s="26">
        <f>IF('ESLESTIRME'!$A334="","",'ESLESTIRME'!$A334)</f>
        <v/>
      </c>
      <c r="B334" s="16">
        <f>IF($A334="","",IFERROR(INDEX(tblEslesme[Kova],MATCH($A334,tblEslesme[A_Norm],0)),""))</f>
        <v/>
      </c>
      <c r="C334" s="16">
        <f>IF($A334="","",IFERROR(INDEX(tblEslesme[AbsFark],MATCH($A334,tblEslesme[A_Norm],0)),0))</f>
        <v/>
      </c>
      <c r="D334" s="16">
        <f>IF($A334="","",IFERROR(INDEX(tblVeriA[Unvan],MATCH($A334,tblAnahtarA[Norm],0)),""))</f>
        <v/>
      </c>
      <c r="E334" s="16">
        <f>IF($A334="","",IFERROR(SUMIF(tblAnahtarB[NormB],$A334,tblVeriB[BelgeAdet]),0))</f>
        <v/>
      </c>
      <c r="F334" s="16">
        <f>IF($A334="","",IFERROR(INDEX(tblVeriB[FormTipi],MATCH($A334,tblAnahtarB[NormB],0)),""))</f>
        <v/>
      </c>
      <c r="G334" s="16">
        <f>IF($A334="","",IFERROR(INDEX(tblVeriA[Donem],MATCH($A334,tblAnahtarA[Norm],0)),""))</f>
        <v/>
      </c>
      <c r="H334" s="16">
        <f>IF(OR($A334="",$B334&lt;&gt;"tutar_farki"),"",IF($E334=0,"BELGE_EKSIK",IF($C334&lt;=toleransKurus*cbb_yuvarlamaCarpan,"YUVARLAMA",IF(AND($F334&lt;&gt;"Ba",$F334&lt;&gt;"Bs"),"TIP_KARISIK",IF($C334&gt;cbb_esikFark*cbb_donemCarpan,"DONEM",IF(LEN($D334)&lt;cbb_unvanMinLen,"UNVAN","TANIMSIZ"))))))</f>
        <v/>
      </c>
    </row>
    <row r="335">
      <c r="A335" s="26">
        <f>IF('ESLESTIRME'!$A335="","",'ESLESTIRME'!$A335)</f>
        <v/>
      </c>
      <c r="B335" s="16">
        <f>IF($A335="","",IFERROR(INDEX(tblEslesme[Kova],MATCH($A335,tblEslesme[A_Norm],0)),""))</f>
        <v/>
      </c>
      <c r="C335" s="16">
        <f>IF($A335="","",IFERROR(INDEX(tblEslesme[AbsFark],MATCH($A335,tblEslesme[A_Norm],0)),0))</f>
        <v/>
      </c>
      <c r="D335" s="16">
        <f>IF($A335="","",IFERROR(INDEX(tblVeriA[Unvan],MATCH($A335,tblAnahtarA[Norm],0)),""))</f>
        <v/>
      </c>
      <c r="E335" s="16">
        <f>IF($A335="","",IFERROR(SUMIF(tblAnahtarB[NormB],$A335,tblVeriB[BelgeAdet]),0))</f>
        <v/>
      </c>
      <c r="F335" s="16">
        <f>IF($A335="","",IFERROR(INDEX(tblVeriB[FormTipi],MATCH($A335,tblAnahtarB[NormB],0)),""))</f>
        <v/>
      </c>
      <c r="G335" s="16">
        <f>IF($A335="","",IFERROR(INDEX(tblVeriA[Donem],MATCH($A335,tblAnahtarA[Norm],0)),""))</f>
        <v/>
      </c>
      <c r="H335" s="16">
        <f>IF(OR($A335="",$B335&lt;&gt;"tutar_farki"),"",IF($E335=0,"BELGE_EKSIK",IF($C335&lt;=toleransKurus*cbb_yuvarlamaCarpan,"YUVARLAMA",IF(AND($F335&lt;&gt;"Ba",$F335&lt;&gt;"Bs"),"TIP_KARISIK",IF($C335&gt;cbb_esikFark*cbb_donemCarpan,"DONEM",IF(LEN($D335)&lt;cbb_unvanMinLen,"UNVAN","TANIMSIZ"))))))</f>
        <v/>
      </c>
    </row>
    <row r="336">
      <c r="A336" s="26">
        <f>IF('ESLESTIRME'!$A336="","",'ESLESTIRME'!$A336)</f>
        <v/>
      </c>
      <c r="B336" s="16">
        <f>IF($A336="","",IFERROR(INDEX(tblEslesme[Kova],MATCH($A336,tblEslesme[A_Norm],0)),""))</f>
        <v/>
      </c>
      <c r="C336" s="16">
        <f>IF($A336="","",IFERROR(INDEX(tblEslesme[AbsFark],MATCH($A336,tblEslesme[A_Norm],0)),0))</f>
        <v/>
      </c>
      <c r="D336" s="16">
        <f>IF($A336="","",IFERROR(INDEX(tblVeriA[Unvan],MATCH($A336,tblAnahtarA[Norm],0)),""))</f>
        <v/>
      </c>
      <c r="E336" s="16">
        <f>IF($A336="","",IFERROR(SUMIF(tblAnahtarB[NormB],$A336,tblVeriB[BelgeAdet]),0))</f>
        <v/>
      </c>
      <c r="F336" s="16">
        <f>IF($A336="","",IFERROR(INDEX(tblVeriB[FormTipi],MATCH($A336,tblAnahtarB[NormB],0)),""))</f>
        <v/>
      </c>
      <c r="G336" s="16">
        <f>IF($A336="","",IFERROR(INDEX(tblVeriA[Donem],MATCH($A336,tblAnahtarA[Norm],0)),""))</f>
        <v/>
      </c>
      <c r="H336" s="16">
        <f>IF(OR($A336="",$B336&lt;&gt;"tutar_farki"),"",IF($E336=0,"BELGE_EKSIK",IF($C336&lt;=toleransKurus*cbb_yuvarlamaCarpan,"YUVARLAMA",IF(AND($F336&lt;&gt;"Ba",$F336&lt;&gt;"Bs"),"TIP_KARISIK",IF($C336&gt;cbb_esikFark*cbb_donemCarpan,"DONEM",IF(LEN($D336)&lt;cbb_unvanMinLen,"UNVAN","TANIMSIZ"))))))</f>
        <v/>
      </c>
    </row>
    <row r="337">
      <c r="A337" s="26">
        <f>IF('ESLESTIRME'!$A337="","",'ESLESTIRME'!$A337)</f>
        <v/>
      </c>
      <c r="B337" s="16">
        <f>IF($A337="","",IFERROR(INDEX(tblEslesme[Kova],MATCH($A337,tblEslesme[A_Norm],0)),""))</f>
        <v/>
      </c>
      <c r="C337" s="16">
        <f>IF($A337="","",IFERROR(INDEX(tblEslesme[AbsFark],MATCH($A337,tblEslesme[A_Norm],0)),0))</f>
        <v/>
      </c>
      <c r="D337" s="16">
        <f>IF($A337="","",IFERROR(INDEX(tblVeriA[Unvan],MATCH($A337,tblAnahtarA[Norm],0)),""))</f>
        <v/>
      </c>
      <c r="E337" s="16">
        <f>IF($A337="","",IFERROR(SUMIF(tblAnahtarB[NormB],$A337,tblVeriB[BelgeAdet]),0))</f>
        <v/>
      </c>
      <c r="F337" s="16">
        <f>IF($A337="","",IFERROR(INDEX(tblVeriB[FormTipi],MATCH($A337,tblAnahtarB[NormB],0)),""))</f>
        <v/>
      </c>
      <c r="G337" s="16">
        <f>IF($A337="","",IFERROR(INDEX(tblVeriA[Donem],MATCH($A337,tblAnahtarA[Norm],0)),""))</f>
        <v/>
      </c>
      <c r="H337" s="16">
        <f>IF(OR($A337="",$B337&lt;&gt;"tutar_farki"),"",IF($E337=0,"BELGE_EKSIK",IF($C337&lt;=toleransKurus*cbb_yuvarlamaCarpan,"YUVARLAMA",IF(AND($F337&lt;&gt;"Ba",$F337&lt;&gt;"Bs"),"TIP_KARISIK",IF($C337&gt;cbb_esikFark*cbb_donemCarpan,"DONEM",IF(LEN($D337)&lt;cbb_unvanMinLen,"UNVAN","TANIMSIZ"))))))</f>
        <v/>
      </c>
    </row>
    <row r="338">
      <c r="A338" s="26">
        <f>IF('ESLESTIRME'!$A338="","",'ESLESTIRME'!$A338)</f>
        <v/>
      </c>
      <c r="B338" s="16">
        <f>IF($A338="","",IFERROR(INDEX(tblEslesme[Kova],MATCH($A338,tblEslesme[A_Norm],0)),""))</f>
        <v/>
      </c>
      <c r="C338" s="16">
        <f>IF($A338="","",IFERROR(INDEX(tblEslesme[AbsFark],MATCH($A338,tblEslesme[A_Norm],0)),0))</f>
        <v/>
      </c>
      <c r="D338" s="16">
        <f>IF($A338="","",IFERROR(INDEX(tblVeriA[Unvan],MATCH($A338,tblAnahtarA[Norm],0)),""))</f>
        <v/>
      </c>
      <c r="E338" s="16">
        <f>IF($A338="","",IFERROR(SUMIF(tblAnahtarB[NormB],$A338,tblVeriB[BelgeAdet]),0))</f>
        <v/>
      </c>
      <c r="F338" s="16">
        <f>IF($A338="","",IFERROR(INDEX(tblVeriB[FormTipi],MATCH($A338,tblAnahtarB[NormB],0)),""))</f>
        <v/>
      </c>
      <c r="G338" s="16">
        <f>IF($A338="","",IFERROR(INDEX(tblVeriA[Donem],MATCH($A338,tblAnahtarA[Norm],0)),""))</f>
        <v/>
      </c>
      <c r="H338" s="16">
        <f>IF(OR($A338="",$B338&lt;&gt;"tutar_farki"),"",IF($E338=0,"BELGE_EKSIK",IF($C338&lt;=toleransKurus*cbb_yuvarlamaCarpan,"YUVARLAMA",IF(AND($F338&lt;&gt;"Ba",$F338&lt;&gt;"Bs"),"TIP_KARISIK",IF($C338&gt;cbb_esikFark*cbb_donemCarpan,"DONEM",IF(LEN($D338)&lt;cbb_unvanMinLen,"UNVAN","TANIMSIZ"))))))</f>
        <v/>
      </c>
    </row>
    <row r="339">
      <c r="A339" s="26">
        <f>IF('ESLESTIRME'!$A339="","",'ESLESTIRME'!$A339)</f>
        <v/>
      </c>
      <c r="B339" s="16">
        <f>IF($A339="","",IFERROR(INDEX(tblEslesme[Kova],MATCH($A339,tblEslesme[A_Norm],0)),""))</f>
        <v/>
      </c>
      <c r="C339" s="16">
        <f>IF($A339="","",IFERROR(INDEX(tblEslesme[AbsFark],MATCH($A339,tblEslesme[A_Norm],0)),0))</f>
        <v/>
      </c>
      <c r="D339" s="16">
        <f>IF($A339="","",IFERROR(INDEX(tblVeriA[Unvan],MATCH($A339,tblAnahtarA[Norm],0)),""))</f>
        <v/>
      </c>
      <c r="E339" s="16">
        <f>IF($A339="","",IFERROR(SUMIF(tblAnahtarB[NormB],$A339,tblVeriB[BelgeAdet]),0))</f>
        <v/>
      </c>
      <c r="F339" s="16">
        <f>IF($A339="","",IFERROR(INDEX(tblVeriB[FormTipi],MATCH($A339,tblAnahtarB[NormB],0)),""))</f>
        <v/>
      </c>
      <c r="G339" s="16">
        <f>IF($A339="","",IFERROR(INDEX(tblVeriA[Donem],MATCH($A339,tblAnahtarA[Norm],0)),""))</f>
        <v/>
      </c>
      <c r="H339" s="16">
        <f>IF(OR($A339="",$B339&lt;&gt;"tutar_farki"),"",IF($E339=0,"BELGE_EKSIK",IF($C339&lt;=toleransKurus*cbb_yuvarlamaCarpan,"YUVARLAMA",IF(AND($F339&lt;&gt;"Ba",$F339&lt;&gt;"Bs"),"TIP_KARISIK",IF($C339&gt;cbb_esikFark*cbb_donemCarpan,"DONEM",IF(LEN($D339)&lt;cbb_unvanMinLen,"UNVAN","TANIMSIZ"))))))</f>
        <v/>
      </c>
    </row>
    <row r="340">
      <c r="A340" s="26">
        <f>IF('ESLESTIRME'!$A340="","",'ESLESTIRME'!$A340)</f>
        <v/>
      </c>
      <c r="B340" s="16">
        <f>IF($A340="","",IFERROR(INDEX(tblEslesme[Kova],MATCH($A340,tblEslesme[A_Norm],0)),""))</f>
        <v/>
      </c>
      <c r="C340" s="16">
        <f>IF($A340="","",IFERROR(INDEX(tblEslesme[AbsFark],MATCH($A340,tblEslesme[A_Norm],0)),0))</f>
        <v/>
      </c>
      <c r="D340" s="16">
        <f>IF($A340="","",IFERROR(INDEX(tblVeriA[Unvan],MATCH($A340,tblAnahtarA[Norm],0)),""))</f>
        <v/>
      </c>
      <c r="E340" s="16">
        <f>IF($A340="","",IFERROR(SUMIF(tblAnahtarB[NormB],$A340,tblVeriB[BelgeAdet]),0))</f>
        <v/>
      </c>
      <c r="F340" s="16">
        <f>IF($A340="","",IFERROR(INDEX(tblVeriB[FormTipi],MATCH($A340,tblAnahtarB[NormB],0)),""))</f>
        <v/>
      </c>
      <c r="G340" s="16">
        <f>IF($A340="","",IFERROR(INDEX(tblVeriA[Donem],MATCH($A340,tblAnahtarA[Norm],0)),""))</f>
        <v/>
      </c>
      <c r="H340" s="16">
        <f>IF(OR($A340="",$B340&lt;&gt;"tutar_farki"),"",IF($E340=0,"BELGE_EKSIK",IF($C340&lt;=toleransKurus*cbb_yuvarlamaCarpan,"YUVARLAMA",IF(AND($F340&lt;&gt;"Ba",$F340&lt;&gt;"Bs"),"TIP_KARISIK",IF($C340&gt;cbb_esikFark*cbb_donemCarpan,"DONEM",IF(LEN($D340)&lt;cbb_unvanMinLen,"UNVAN","TANIMSIZ"))))))</f>
        <v/>
      </c>
    </row>
    <row r="341">
      <c r="A341" s="26">
        <f>IF('ESLESTIRME'!$A341="","",'ESLESTIRME'!$A341)</f>
        <v/>
      </c>
      <c r="B341" s="16">
        <f>IF($A341="","",IFERROR(INDEX(tblEslesme[Kova],MATCH($A341,tblEslesme[A_Norm],0)),""))</f>
        <v/>
      </c>
      <c r="C341" s="16">
        <f>IF($A341="","",IFERROR(INDEX(tblEslesme[AbsFark],MATCH($A341,tblEslesme[A_Norm],0)),0))</f>
        <v/>
      </c>
      <c r="D341" s="16">
        <f>IF($A341="","",IFERROR(INDEX(tblVeriA[Unvan],MATCH($A341,tblAnahtarA[Norm],0)),""))</f>
        <v/>
      </c>
      <c r="E341" s="16">
        <f>IF($A341="","",IFERROR(SUMIF(tblAnahtarB[NormB],$A341,tblVeriB[BelgeAdet]),0))</f>
        <v/>
      </c>
      <c r="F341" s="16">
        <f>IF($A341="","",IFERROR(INDEX(tblVeriB[FormTipi],MATCH($A341,tblAnahtarB[NormB],0)),""))</f>
        <v/>
      </c>
      <c r="G341" s="16">
        <f>IF($A341="","",IFERROR(INDEX(tblVeriA[Donem],MATCH($A341,tblAnahtarA[Norm],0)),""))</f>
        <v/>
      </c>
      <c r="H341" s="16">
        <f>IF(OR($A341="",$B341&lt;&gt;"tutar_farki"),"",IF($E341=0,"BELGE_EKSIK",IF($C341&lt;=toleransKurus*cbb_yuvarlamaCarpan,"YUVARLAMA",IF(AND($F341&lt;&gt;"Ba",$F341&lt;&gt;"Bs"),"TIP_KARISIK",IF($C341&gt;cbb_esikFark*cbb_donemCarpan,"DONEM",IF(LEN($D341)&lt;cbb_unvanMinLen,"UNVAN","TANIMSIZ"))))))</f>
        <v/>
      </c>
    </row>
    <row r="342">
      <c r="A342" s="26">
        <f>IF('ESLESTIRME'!$A342="","",'ESLESTIRME'!$A342)</f>
        <v/>
      </c>
      <c r="B342" s="16">
        <f>IF($A342="","",IFERROR(INDEX(tblEslesme[Kova],MATCH($A342,tblEslesme[A_Norm],0)),""))</f>
        <v/>
      </c>
      <c r="C342" s="16">
        <f>IF($A342="","",IFERROR(INDEX(tblEslesme[AbsFark],MATCH($A342,tblEslesme[A_Norm],0)),0))</f>
        <v/>
      </c>
      <c r="D342" s="16">
        <f>IF($A342="","",IFERROR(INDEX(tblVeriA[Unvan],MATCH($A342,tblAnahtarA[Norm],0)),""))</f>
        <v/>
      </c>
      <c r="E342" s="16">
        <f>IF($A342="","",IFERROR(SUMIF(tblAnahtarB[NormB],$A342,tblVeriB[BelgeAdet]),0))</f>
        <v/>
      </c>
      <c r="F342" s="16">
        <f>IF($A342="","",IFERROR(INDEX(tblVeriB[FormTipi],MATCH($A342,tblAnahtarB[NormB],0)),""))</f>
        <v/>
      </c>
      <c r="G342" s="16">
        <f>IF($A342="","",IFERROR(INDEX(tblVeriA[Donem],MATCH($A342,tblAnahtarA[Norm],0)),""))</f>
        <v/>
      </c>
      <c r="H342" s="16">
        <f>IF(OR($A342="",$B342&lt;&gt;"tutar_farki"),"",IF($E342=0,"BELGE_EKSIK",IF($C342&lt;=toleransKurus*cbb_yuvarlamaCarpan,"YUVARLAMA",IF(AND($F342&lt;&gt;"Ba",$F342&lt;&gt;"Bs"),"TIP_KARISIK",IF($C342&gt;cbb_esikFark*cbb_donemCarpan,"DONEM",IF(LEN($D342)&lt;cbb_unvanMinLen,"UNVAN","TANIMSIZ"))))))</f>
        <v/>
      </c>
    </row>
    <row r="343">
      <c r="A343" s="26">
        <f>IF('ESLESTIRME'!$A343="","",'ESLESTIRME'!$A343)</f>
        <v/>
      </c>
      <c r="B343" s="16">
        <f>IF($A343="","",IFERROR(INDEX(tblEslesme[Kova],MATCH($A343,tblEslesme[A_Norm],0)),""))</f>
        <v/>
      </c>
      <c r="C343" s="16">
        <f>IF($A343="","",IFERROR(INDEX(tblEslesme[AbsFark],MATCH($A343,tblEslesme[A_Norm],0)),0))</f>
        <v/>
      </c>
      <c r="D343" s="16">
        <f>IF($A343="","",IFERROR(INDEX(tblVeriA[Unvan],MATCH($A343,tblAnahtarA[Norm],0)),""))</f>
        <v/>
      </c>
      <c r="E343" s="16">
        <f>IF($A343="","",IFERROR(SUMIF(tblAnahtarB[NormB],$A343,tblVeriB[BelgeAdet]),0))</f>
        <v/>
      </c>
      <c r="F343" s="16">
        <f>IF($A343="","",IFERROR(INDEX(tblVeriB[FormTipi],MATCH($A343,tblAnahtarB[NormB],0)),""))</f>
        <v/>
      </c>
      <c r="G343" s="16">
        <f>IF($A343="","",IFERROR(INDEX(tblVeriA[Donem],MATCH($A343,tblAnahtarA[Norm],0)),""))</f>
        <v/>
      </c>
      <c r="H343" s="16">
        <f>IF(OR($A343="",$B343&lt;&gt;"tutar_farki"),"",IF($E343=0,"BELGE_EKSIK",IF($C343&lt;=toleransKurus*cbb_yuvarlamaCarpan,"YUVARLAMA",IF(AND($F343&lt;&gt;"Ba",$F343&lt;&gt;"Bs"),"TIP_KARISIK",IF($C343&gt;cbb_esikFark*cbb_donemCarpan,"DONEM",IF(LEN($D343)&lt;cbb_unvanMinLen,"UNVAN","TANIMSIZ"))))))</f>
        <v/>
      </c>
    </row>
    <row r="344">
      <c r="A344" s="26">
        <f>IF('ESLESTIRME'!$A344="","",'ESLESTIRME'!$A344)</f>
        <v/>
      </c>
      <c r="B344" s="16">
        <f>IF($A344="","",IFERROR(INDEX(tblEslesme[Kova],MATCH($A344,tblEslesme[A_Norm],0)),""))</f>
        <v/>
      </c>
      <c r="C344" s="16">
        <f>IF($A344="","",IFERROR(INDEX(tblEslesme[AbsFark],MATCH($A344,tblEslesme[A_Norm],0)),0))</f>
        <v/>
      </c>
      <c r="D344" s="16">
        <f>IF($A344="","",IFERROR(INDEX(tblVeriA[Unvan],MATCH($A344,tblAnahtarA[Norm],0)),""))</f>
        <v/>
      </c>
      <c r="E344" s="16">
        <f>IF($A344="","",IFERROR(SUMIF(tblAnahtarB[NormB],$A344,tblVeriB[BelgeAdet]),0))</f>
        <v/>
      </c>
      <c r="F344" s="16">
        <f>IF($A344="","",IFERROR(INDEX(tblVeriB[FormTipi],MATCH($A344,tblAnahtarB[NormB],0)),""))</f>
        <v/>
      </c>
      <c r="G344" s="16">
        <f>IF($A344="","",IFERROR(INDEX(tblVeriA[Donem],MATCH($A344,tblAnahtarA[Norm],0)),""))</f>
        <v/>
      </c>
      <c r="H344" s="16">
        <f>IF(OR($A344="",$B344&lt;&gt;"tutar_farki"),"",IF($E344=0,"BELGE_EKSIK",IF($C344&lt;=toleransKurus*cbb_yuvarlamaCarpan,"YUVARLAMA",IF(AND($F344&lt;&gt;"Ba",$F344&lt;&gt;"Bs"),"TIP_KARISIK",IF($C344&gt;cbb_esikFark*cbb_donemCarpan,"DONEM",IF(LEN($D344)&lt;cbb_unvanMinLen,"UNVAN","TANIMSIZ"))))))</f>
        <v/>
      </c>
    </row>
    <row r="345">
      <c r="A345" s="26">
        <f>IF('ESLESTIRME'!$A345="","",'ESLESTIRME'!$A345)</f>
        <v/>
      </c>
      <c r="B345" s="16">
        <f>IF($A345="","",IFERROR(INDEX(tblEslesme[Kova],MATCH($A345,tblEslesme[A_Norm],0)),""))</f>
        <v/>
      </c>
      <c r="C345" s="16">
        <f>IF($A345="","",IFERROR(INDEX(tblEslesme[AbsFark],MATCH($A345,tblEslesme[A_Norm],0)),0))</f>
        <v/>
      </c>
      <c r="D345" s="16">
        <f>IF($A345="","",IFERROR(INDEX(tblVeriA[Unvan],MATCH($A345,tblAnahtarA[Norm],0)),""))</f>
        <v/>
      </c>
      <c r="E345" s="16">
        <f>IF($A345="","",IFERROR(SUMIF(tblAnahtarB[NormB],$A345,tblVeriB[BelgeAdet]),0))</f>
        <v/>
      </c>
      <c r="F345" s="16">
        <f>IF($A345="","",IFERROR(INDEX(tblVeriB[FormTipi],MATCH($A345,tblAnahtarB[NormB],0)),""))</f>
        <v/>
      </c>
      <c r="G345" s="16">
        <f>IF($A345="","",IFERROR(INDEX(tblVeriA[Donem],MATCH($A345,tblAnahtarA[Norm],0)),""))</f>
        <v/>
      </c>
      <c r="H345" s="16">
        <f>IF(OR($A345="",$B345&lt;&gt;"tutar_farki"),"",IF($E345=0,"BELGE_EKSIK",IF($C345&lt;=toleransKurus*cbb_yuvarlamaCarpan,"YUVARLAMA",IF(AND($F345&lt;&gt;"Ba",$F345&lt;&gt;"Bs"),"TIP_KARISIK",IF($C345&gt;cbb_esikFark*cbb_donemCarpan,"DONEM",IF(LEN($D345)&lt;cbb_unvanMinLen,"UNVAN","TANIMSIZ"))))))</f>
        <v/>
      </c>
    </row>
    <row r="346">
      <c r="A346" s="26">
        <f>IF('ESLESTIRME'!$A346="","",'ESLESTIRME'!$A346)</f>
        <v/>
      </c>
      <c r="B346" s="16">
        <f>IF($A346="","",IFERROR(INDEX(tblEslesme[Kova],MATCH($A346,tblEslesme[A_Norm],0)),""))</f>
        <v/>
      </c>
      <c r="C346" s="16">
        <f>IF($A346="","",IFERROR(INDEX(tblEslesme[AbsFark],MATCH($A346,tblEslesme[A_Norm],0)),0))</f>
        <v/>
      </c>
      <c r="D346" s="16">
        <f>IF($A346="","",IFERROR(INDEX(tblVeriA[Unvan],MATCH($A346,tblAnahtarA[Norm],0)),""))</f>
        <v/>
      </c>
      <c r="E346" s="16">
        <f>IF($A346="","",IFERROR(SUMIF(tblAnahtarB[NormB],$A346,tblVeriB[BelgeAdet]),0))</f>
        <v/>
      </c>
      <c r="F346" s="16">
        <f>IF($A346="","",IFERROR(INDEX(tblVeriB[FormTipi],MATCH($A346,tblAnahtarB[NormB],0)),""))</f>
        <v/>
      </c>
      <c r="G346" s="16">
        <f>IF($A346="","",IFERROR(INDEX(tblVeriA[Donem],MATCH($A346,tblAnahtarA[Norm],0)),""))</f>
        <v/>
      </c>
      <c r="H346" s="16">
        <f>IF(OR($A346="",$B346&lt;&gt;"tutar_farki"),"",IF($E346=0,"BELGE_EKSIK",IF($C346&lt;=toleransKurus*cbb_yuvarlamaCarpan,"YUVARLAMA",IF(AND($F346&lt;&gt;"Ba",$F346&lt;&gt;"Bs"),"TIP_KARISIK",IF($C346&gt;cbb_esikFark*cbb_donemCarpan,"DONEM",IF(LEN($D346)&lt;cbb_unvanMinLen,"UNVAN","TANIMSIZ"))))))</f>
        <v/>
      </c>
    </row>
    <row r="347">
      <c r="A347" s="26">
        <f>IF('ESLESTIRME'!$A347="","",'ESLESTIRME'!$A347)</f>
        <v/>
      </c>
      <c r="B347" s="16">
        <f>IF($A347="","",IFERROR(INDEX(tblEslesme[Kova],MATCH($A347,tblEslesme[A_Norm],0)),""))</f>
        <v/>
      </c>
      <c r="C347" s="16">
        <f>IF($A347="","",IFERROR(INDEX(tblEslesme[AbsFark],MATCH($A347,tblEslesme[A_Norm],0)),0))</f>
        <v/>
      </c>
      <c r="D347" s="16">
        <f>IF($A347="","",IFERROR(INDEX(tblVeriA[Unvan],MATCH($A347,tblAnahtarA[Norm],0)),""))</f>
        <v/>
      </c>
      <c r="E347" s="16">
        <f>IF($A347="","",IFERROR(SUMIF(tblAnahtarB[NormB],$A347,tblVeriB[BelgeAdet]),0))</f>
        <v/>
      </c>
      <c r="F347" s="16">
        <f>IF($A347="","",IFERROR(INDEX(tblVeriB[FormTipi],MATCH($A347,tblAnahtarB[NormB],0)),""))</f>
        <v/>
      </c>
      <c r="G347" s="16">
        <f>IF($A347="","",IFERROR(INDEX(tblVeriA[Donem],MATCH($A347,tblAnahtarA[Norm],0)),""))</f>
        <v/>
      </c>
      <c r="H347" s="16">
        <f>IF(OR($A347="",$B347&lt;&gt;"tutar_farki"),"",IF($E347=0,"BELGE_EKSIK",IF($C347&lt;=toleransKurus*cbb_yuvarlamaCarpan,"YUVARLAMA",IF(AND($F347&lt;&gt;"Ba",$F347&lt;&gt;"Bs"),"TIP_KARISIK",IF($C347&gt;cbb_esikFark*cbb_donemCarpan,"DONEM",IF(LEN($D347)&lt;cbb_unvanMinLen,"UNVAN","TANIMSIZ"))))))</f>
        <v/>
      </c>
    </row>
    <row r="348">
      <c r="A348" s="26">
        <f>IF('ESLESTIRME'!$A348="","",'ESLESTIRME'!$A348)</f>
        <v/>
      </c>
      <c r="B348" s="16">
        <f>IF($A348="","",IFERROR(INDEX(tblEslesme[Kova],MATCH($A348,tblEslesme[A_Norm],0)),""))</f>
        <v/>
      </c>
      <c r="C348" s="16">
        <f>IF($A348="","",IFERROR(INDEX(tblEslesme[AbsFark],MATCH($A348,tblEslesme[A_Norm],0)),0))</f>
        <v/>
      </c>
      <c r="D348" s="16">
        <f>IF($A348="","",IFERROR(INDEX(tblVeriA[Unvan],MATCH($A348,tblAnahtarA[Norm],0)),""))</f>
        <v/>
      </c>
      <c r="E348" s="16">
        <f>IF($A348="","",IFERROR(SUMIF(tblAnahtarB[NormB],$A348,tblVeriB[BelgeAdet]),0))</f>
        <v/>
      </c>
      <c r="F348" s="16">
        <f>IF($A348="","",IFERROR(INDEX(tblVeriB[FormTipi],MATCH($A348,tblAnahtarB[NormB],0)),""))</f>
        <v/>
      </c>
      <c r="G348" s="16">
        <f>IF($A348="","",IFERROR(INDEX(tblVeriA[Donem],MATCH($A348,tblAnahtarA[Norm],0)),""))</f>
        <v/>
      </c>
      <c r="H348" s="16">
        <f>IF(OR($A348="",$B348&lt;&gt;"tutar_farki"),"",IF($E348=0,"BELGE_EKSIK",IF($C348&lt;=toleransKurus*cbb_yuvarlamaCarpan,"YUVARLAMA",IF(AND($F348&lt;&gt;"Ba",$F348&lt;&gt;"Bs"),"TIP_KARISIK",IF($C348&gt;cbb_esikFark*cbb_donemCarpan,"DONEM",IF(LEN($D348)&lt;cbb_unvanMinLen,"UNVAN","TANIMSIZ"))))))</f>
        <v/>
      </c>
    </row>
    <row r="349">
      <c r="A349" s="26">
        <f>IF('ESLESTIRME'!$A349="","",'ESLESTIRME'!$A349)</f>
        <v/>
      </c>
      <c r="B349" s="16">
        <f>IF($A349="","",IFERROR(INDEX(tblEslesme[Kova],MATCH($A349,tblEslesme[A_Norm],0)),""))</f>
        <v/>
      </c>
      <c r="C349" s="16">
        <f>IF($A349="","",IFERROR(INDEX(tblEslesme[AbsFark],MATCH($A349,tblEslesme[A_Norm],0)),0))</f>
        <v/>
      </c>
      <c r="D349" s="16">
        <f>IF($A349="","",IFERROR(INDEX(tblVeriA[Unvan],MATCH($A349,tblAnahtarA[Norm],0)),""))</f>
        <v/>
      </c>
      <c r="E349" s="16">
        <f>IF($A349="","",IFERROR(SUMIF(tblAnahtarB[NormB],$A349,tblVeriB[BelgeAdet]),0))</f>
        <v/>
      </c>
      <c r="F349" s="16">
        <f>IF($A349="","",IFERROR(INDEX(tblVeriB[FormTipi],MATCH($A349,tblAnahtarB[NormB],0)),""))</f>
        <v/>
      </c>
      <c r="G349" s="16">
        <f>IF($A349="","",IFERROR(INDEX(tblVeriA[Donem],MATCH($A349,tblAnahtarA[Norm],0)),""))</f>
        <v/>
      </c>
      <c r="H349" s="16">
        <f>IF(OR($A349="",$B349&lt;&gt;"tutar_farki"),"",IF($E349=0,"BELGE_EKSIK",IF($C349&lt;=toleransKurus*cbb_yuvarlamaCarpan,"YUVARLAMA",IF(AND($F349&lt;&gt;"Ba",$F349&lt;&gt;"Bs"),"TIP_KARISIK",IF($C349&gt;cbb_esikFark*cbb_donemCarpan,"DONEM",IF(LEN($D349)&lt;cbb_unvanMinLen,"UNVAN","TANIMSIZ"))))))</f>
        <v/>
      </c>
    </row>
    <row r="350">
      <c r="A350" s="26">
        <f>IF('ESLESTIRME'!$A350="","",'ESLESTIRME'!$A350)</f>
        <v/>
      </c>
      <c r="B350" s="16">
        <f>IF($A350="","",IFERROR(INDEX(tblEslesme[Kova],MATCH($A350,tblEslesme[A_Norm],0)),""))</f>
        <v/>
      </c>
      <c r="C350" s="16">
        <f>IF($A350="","",IFERROR(INDEX(tblEslesme[AbsFark],MATCH($A350,tblEslesme[A_Norm],0)),0))</f>
        <v/>
      </c>
      <c r="D350" s="16">
        <f>IF($A350="","",IFERROR(INDEX(tblVeriA[Unvan],MATCH($A350,tblAnahtarA[Norm],0)),""))</f>
        <v/>
      </c>
      <c r="E350" s="16">
        <f>IF($A350="","",IFERROR(SUMIF(tblAnahtarB[NormB],$A350,tblVeriB[BelgeAdet]),0))</f>
        <v/>
      </c>
      <c r="F350" s="16">
        <f>IF($A350="","",IFERROR(INDEX(tblVeriB[FormTipi],MATCH($A350,tblAnahtarB[NormB],0)),""))</f>
        <v/>
      </c>
      <c r="G350" s="16">
        <f>IF($A350="","",IFERROR(INDEX(tblVeriA[Donem],MATCH($A350,tblAnahtarA[Norm],0)),""))</f>
        <v/>
      </c>
      <c r="H350" s="16">
        <f>IF(OR($A350="",$B350&lt;&gt;"tutar_farki"),"",IF($E350=0,"BELGE_EKSIK",IF($C350&lt;=toleransKurus*cbb_yuvarlamaCarpan,"YUVARLAMA",IF(AND($F350&lt;&gt;"Ba",$F350&lt;&gt;"Bs"),"TIP_KARISIK",IF($C350&gt;cbb_esikFark*cbb_donemCarpan,"DONEM",IF(LEN($D350)&lt;cbb_unvanMinLen,"UNVAN","TANIMSIZ"))))))</f>
        <v/>
      </c>
    </row>
    <row r="351">
      <c r="A351" s="26">
        <f>IF('ESLESTIRME'!$A351="","",'ESLESTIRME'!$A351)</f>
        <v/>
      </c>
      <c r="B351" s="16">
        <f>IF($A351="","",IFERROR(INDEX(tblEslesme[Kova],MATCH($A351,tblEslesme[A_Norm],0)),""))</f>
        <v/>
      </c>
      <c r="C351" s="16">
        <f>IF($A351="","",IFERROR(INDEX(tblEslesme[AbsFark],MATCH($A351,tblEslesme[A_Norm],0)),0))</f>
        <v/>
      </c>
      <c r="D351" s="16">
        <f>IF($A351="","",IFERROR(INDEX(tblVeriA[Unvan],MATCH($A351,tblAnahtarA[Norm],0)),""))</f>
        <v/>
      </c>
      <c r="E351" s="16">
        <f>IF($A351="","",IFERROR(SUMIF(tblAnahtarB[NormB],$A351,tblVeriB[BelgeAdet]),0))</f>
        <v/>
      </c>
      <c r="F351" s="16">
        <f>IF($A351="","",IFERROR(INDEX(tblVeriB[FormTipi],MATCH($A351,tblAnahtarB[NormB],0)),""))</f>
        <v/>
      </c>
      <c r="G351" s="16">
        <f>IF($A351="","",IFERROR(INDEX(tblVeriA[Donem],MATCH($A351,tblAnahtarA[Norm],0)),""))</f>
        <v/>
      </c>
      <c r="H351" s="16">
        <f>IF(OR($A351="",$B351&lt;&gt;"tutar_farki"),"",IF($E351=0,"BELGE_EKSIK",IF($C351&lt;=toleransKurus*cbb_yuvarlamaCarpan,"YUVARLAMA",IF(AND($F351&lt;&gt;"Ba",$F351&lt;&gt;"Bs"),"TIP_KARISIK",IF($C351&gt;cbb_esikFark*cbb_donemCarpan,"DONEM",IF(LEN($D351)&lt;cbb_unvanMinLen,"UNVAN","TANIMSIZ"))))))</f>
        <v/>
      </c>
    </row>
    <row r="352">
      <c r="A352" s="26">
        <f>IF('ESLESTIRME'!$A352="","",'ESLESTIRME'!$A352)</f>
        <v/>
      </c>
      <c r="B352" s="16">
        <f>IF($A352="","",IFERROR(INDEX(tblEslesme[Kova],MATCH($A352,tblEslesme[A_Norm],0)),""))</f>
        <v/>
      </c>
      <c r="C352" s="16">
        <f>IF($A352="","",IFERROR(INDEX(tblEslesme[AbsFark],MATCH($A352,tblEslesme[A_Norm],0)),0))</f>
        <v/>
      </c>
      <c r="D352" s="16">
        <f>IF($A352="","",IFERROR(INDEX(tblVeriA[Unvan],MATCH($A352,tblAnahtarA[Norm],0)),""))</f>
        <v/>
      </c>
      <c r="E352" s="16">
        <f>IF($A352="","",IFERROR(SUMIF(tblAnahtarB[NormB],$A352,tblVeriB[BelgeAdet]),0))</f>
        <v/>
      </c>
      <c r="F352" s="16">
        <f>IF($A352="","",IFERROR(INDEX(tblVeriB[FormTipi],MATCH($A352,tblAnahtarB[NormB],0)),""))</f>
        <v/>
      </c>
      <c r="G352" s="16">
        <f>IF($A352="","",IFERROR(INDEX(tblVeriA[Donem],MATCH($A352,tblAnahtarA[Norm],0)),""))</f>
        <v/>
      </c>
      <c r="H352" s="16">
        <f>IF(OR($A352="",$B352&lt;&gt;"tutar_farki"),"",IF($E352=0,"BELGE_EKSIK",IF($C352&lt;=toleransKurus*cbb_yuvarlamaCarpan,"YUVARLAMA",IF(AND($F352&lt;&gt;"Ba",$F352&lt;&gt;"Bs"),"TIP_KARISIK",IF($C352&gt;cbb_esikFark*cbb_donemCarpan,"DONEM",IF(LEN($D352)&lt;cbb_unvanMinLen,"UNVAN","TANIMSIZ"))))))</f>
        <v/>
      </c>
    </row>
    <row r="353">
      <c r="A353" s="26">
        <f>IF('ESLESTIRME'!$A353="","",'ESLESTIRME'!$A353)</f>
        <v/>
      </c>
      <c r="B353" s="16">
        <f>IF($A353="","",IFERROR(INDEX(tblEslesme[Kova],MATCH($A353,tblEslesme[A_Norm],0)),""))</f>
        <v/>
      </c>
      <c r="C353" s="16">
        <f>IF($A353="","",IFERROR(INDEX(tblEslesme[AbsFark],MATCH($A353,tblEslesme[A_Norm],0)),0))</f>
        <v/>
      </c>
      <c r="D353" s="16">
        <f>IF($A353="","",IFERROR(INDEX(tblVeriA[Unvan],MATCH($A353,tblAnahtarA[Norm],0)),""))</f>
        <v/>
      </c>
      <c r="E353" s="16">
        <f>IF($A353="","",IFERROR(SUMIF(tblAnahtarB[NormB],$A353,tblVeriB[BelgeAdet]),0))</f>
        <v/>
      </c>
      <c r="F353" s="16">
        <f>IF($A353="","",IFERROR(INDEX(tblVeriB[FormTipi],MATCH($A353,tblAnahtarB[NormB],0)),""))</f>
        <v/>
      </c>
      <c r="G353" s="16">
        <f>IF($A353="","",IFERROR(INDEX(tblVeriA[Donem],MATCH($A353,tblAnahtarA[Norm],0)),""))</f>
        <v/>
      </c>
      <c r="H353" s="16">
        <f>IF(OR($A353="",$B353&lt;&gt;"tutar_farki"),"",IF($E353=0,"BELGE_EKSIK",IF($C353&lt;=toleransKurus*cbb_yuvarlamaCarpan,"YUVARLAMA",IF(AND($F353&lt;&gt;"Ba",$F353&lt;&gt;"Bs"),"TIP_KARISIK",IF($C353&gt;cbb_esikFark*cbb_donemCarpan,"DONEM",IF(LEN($D353)&lt;cbb_unvanMinLen,"UNVAN","TANIMSIZ"))))))</f>
        <v/>
      </c>
    </row>
    <row r="354">
      <c r="A354" s="26">
        <f>IF('ESLESTIRME'!$A354="","",'ESLESTIRME'!$A354)</f>
        <v/>
      </c>
      <c r="B354" s="16">
        <f>IF($A354="","",IFERROR(INDEX(tblEslesme[Kova],MATCH($A354,tblEslesme[A_Norm],0)),""))</f>
        <v/>
      </c>
      <c r="C354" s="16">
        <f>IF($A354="","",IFERROR(INDEX(tblEslesme[AbsFark],MATCH($A354,tblEslesme[A_Norm],0)),0))</f>
        <v/>
      </c>
      <c r="D354" s="16">
        <f>IF($A354="","",IFERROR(INDEX(tblVeriA[Unvan],MATCH($A354,tblAnahtarA[Norm],0)),""))</f>
        <v/>
      </c>
      <c r="E354" s="16">
        <f>IF($A354="","",IFERROR(SUMIF(tblAnahtarB[NormB],$A354,tblVeriB[BelgeAdet]),0))</f>
        <v/>
      </c>
      <c r="F354" s="16">
        <f>IF($A354="","",IFERROR(INDEX(tblVeriB[FormTipi],MATCH($A354,tblAnahtarB[NormB],0)),""))</f>
        <v/>
      </c>
      <c r="G354" s="16">
        <f>IF($A354="","",IFERROR(INDEX(tblVeriA[Donem],MATCH($A354,tblAnahtarA[Norm],0)),""))</f>
        <v/>
      </c>
      <c r="H354" s="16">
        <f>IF(OR($A354="",$B354&lt;&gt;"tutar_farki"),"",IF($E354=0,"BELGE_EKSIK",IF($C354&lt;=toleransKurus*cbb_yuvarlamaCarpan,"YUVARLAMA",IF(AND($F354&lt;&gt;"Ba",$F354&lt;&gt;"Bs"),"TIP_KARISIK",IF($C354&gt;cbb_esikFark*cbb_donemCarpan,"DONEM",IF(LEN($D354)&lt;cbb_unvanMinLen,"UNVAN","TANIMSIZ"))))))</f>
        <v/>
      </c>
    </row>
    <row r="355">
      <c r="A355" s="26">
        <f>IF('ESLESTIRME'!$A355="","",'ESLESTIRME'!$A355)</f>
        <v/>
      </c>
      <c r="B355" s="16">
        <f>IF($A355="","",IFERROR(INDEX(tblEslesme[Kova],MATCH($A355,tblEslesme[A_Norm],0)),""))</f>
        <v/>
      </c>
      <c r="C355" s="16">
        <f>IF($A355="","",IFERROR(INDEX(tblEslesme[AbsFark],MATCH($A355,tblEslesme[A_Norm],0)),0))</f>
        <v/>
      </c>
      <c r="D355" s="16">
        <f>IF($A355="","",IFERROR(INDEX(tblVeriA[Unvan],MATCH($A355,tblAnahtarA[Norm],0)),""))</f>
        <v/>
      </c>
      <c r="E355" s="16">
        <f>IF($A355="","",IFERROR(SUMIF(tblAnahtarB[NormB],$A355,tblVeriB[BelgeAdet]),0))</f>
        <v/>
      </c>
      <c r="F355" s="16">
        <f>IF($A355="","",IFERROR(INDEX(tblVeriB[FormTipi],MATCH($A355,tblAnahtarB[NormB],0)),""))</f>
        <v/>
      </c>
      <c r="G355" s="16">
        <f>IF($A355="","",IFERROR(INDEX(tblVeriA[Donem],MATCH($A355,tblAnahtarA[Norm],0)),""))</f>
        <v/>
      </c>
      <c r="H355" s="16">
        <f>IF(OR($A355="",$B355&lt;&gt;"tutar_farki"),"",IF($E355=0,"BELGE_EKSIK",IF($C355&lt;=toleransKurus*cbb_yuvarlamaCarpan,"YUVARLAMA",IF(AND($F355&lt;&gt;"Ba",$F355&lt;&gt;"Bs"),"TIP_KARISIK",IF($C355&gt;cbb_esikFark*cbb_donemCarpan,"DONEM",IF(LEN($D355)&lt;cbb_unvanMinLen,"UNVAN","TANIMSIZ"))))))</f>
        <v/>
      </c>
    </row>
    <row r="356">
      <c r="A356" s="26">
        <f>IF('ESLESTIRME'!$A356="","",'ESLESTIRME'!$A356)</f>
        <v/>
      </c>
      <c r="B356" s="16">
        <f>IF($A356="","",IFERROR(INDEX(tblEslesme[Kova],MATCH($A356,tblEslesme[A_Norm],0)),""))</f>
        <v/>
      </c>
      <c r="C356" s="16">
        <f>IF($A356="","",IFERROR(INDEX(tblEslesme[AbsFark],MATCH($A356,tblEslesme[A_Norm],0)),0))</f>
        <v/>
      </c>
      <c r="D356" s="16">
        <f>IF($A356="","",IFERROR(INDEX(tblVeriA[Unvan],MATCH($A356,tblAnahtarA[Norm],0)),""))</f>
        <v/>
      </c>
      <c r="E356" s="16">
        <f>IF($A356="","",IFERROR(SUMIF(tblAnahtarB[NormB],$A356,tblVeriB[BelgeAdet]),0))</f>
        <v/>
      </c>
      <c r="F356" s="16">
        <f>IF($A356="","",IFERROR(INDEX(tblVeriB[FormTipi],MATCH($A356,tblAnahtarB[NormB],0)),""))</f>
        <v/>
      </c>
      <c r="G356" s="16">
        <f>IF($A356="","",IFERROR(INDEX(tblVeriA[Donem],MATCH($A356,tblAnahtarA[Norm],0)),""))</f>
        <v/>
      </c>
      <c r="H356" s="16">
        <f>IF(OR($A356="",$B356&lt;&gt;"tutar_farki"),"",IF($E356=0,"BELGE_EKSIK",IF($C356&lt;=toleransKurus*cbb_yuvarlamaCarpan,"YUVARLAMA",IF(AND($F356&lt;&gt;"Ba",$F356&lt;&gt;"Bs"),"TIP_KARISIK",IF($C356&gt;cbb_esikFark*cbb_donemCarpan,"DONEM",IF(LEN($D356)&lt;cbb_unvanMinLen,"UNVAN","TANIMSIZ"))))))</f>
        <v/>
      </c>
    </row>
    <row r="357">
      <c r="A357" s="26">
        <f>IF('ESLESTIRME'!$A357="","",'ESLESTIRME'!$A357)</f>
        <v/>
      </c>
      <c r="B357" s="16">
        <f>IF($A357="","",IFERROR(INDEX(tblEslesme[Kova],MATCH($A357,tblEslesme[A_Norm],0)),""))</f>
        <v/>
      </c>
      <c r="C357" s="16">
        <f>IF($A357="","",IFERROR(INDEX(tblEslesme[AbsFark],MATCH($A357,tblEslesme[A_Norm],0)),0))</f>
        <v/>
      </c>
      <c r="D357" s="16">
        <f>IF($A357="","",IFERROR(INDEX(tblVeriA[Unvan],MATCH($A357,tblAnahtarA[Norm],0)),""))</f>
        <v/>
      </c>
      <c r="E357" s="16">
        <f>IF($A357="","",IFERROR(SUMIF(tblAnahtarB[NormB],$A357,tblVeriB[BelgeAdet]),0))</f>
        <v/>
      </c>
      <c r="F357" s="16">
        <f>IF($A357="","",IFERROR(INDEX(tblVeriB[FormTipi],MATCH($A357,tblAnahtarB[NormB],0)),""))</f>
        <v/>
      </c>
      <c r="G357" s="16">
        <f>IF($A357="","",IFERROR(INDEX(tblVeriA[Donem],MATCH($A357,tblAnahtarA[Norm],0)),""))</f>
        <v/>
      </c>
      <c r="H357" s="16">
        <f>IF(OR($A357="",$B357&lt;&gt;"tutar_farki"),"",IF($E357=0,"BELGE_EKSIK",IF($C357&lt;=toleransKurus*cbb_yuvarlamaCarpan,"YUVARLAMA",IF(AND($F357&lt;&gt;"Ba",$F357&lt;&gt;"Bs"),"TIP_KARISIK",IF($C357&gt;cbb_esikFark*cbb_donemCarpan,"DONEM",IF(LEN($D357)&lt;cbb_unvanMinLen,"UNVAN","TANIMSIZ"))))))</f>
        <v/>
      </c>
    </row>
    <row r="358">
      <c r="A358" s="26">
        <f>IF('ESLESTIRME'!$A358="","",'ESLESTIRME'!$A358)</f>
        <v/>
      </c>
      <c r="B358" s="16">
        <f>IF($A358="","",IFERROR(INDEX(tblEslesme[Kova],MATCH($A358,tblEslesme[A_Norm],0)),""))</f>
        <v/>
      </c>
      <c r="C358" s="16">
        <f>IF($A358="","",IFERROR(INDEX(tblEslesme[AbsFark],MATCH($A358,tblEslesme[A_Norm],0)),0))</f>
        <v/>
      </c>
      <c r="D358" s="16">
        <f>IF($A358="","",IFERROR(INDEX(tblVeriA[Unvan],MATCH($A358,tblAnahtarA[Norm],0)),""))</f>
        <v/>
      </c>
      <c r="E358" s="16">
        <f>IF($A358="","",IFERROR(SUMIF(tblAnahtarB[NormB],$A358,tblVeriB[BelgeAdet]),0))</f>
        <v/>
      </c>
      <c r="F358" s="16">
        <f>IF($A358="","",IFERROR(INDEX(tblVeriB[FormTipi],MATCH($A358,tblAnahtarB[NormB],0)),""))</f>
        <v/>
      </c>
      <c r="G358" s="16">
        <f>IF($A358="","",IFERROR(INDEX(tblVeriA[Donem],MATCH($A358,tblAnahtarA[Norm],0)),""))</f>
        <v/>
      </c>
      <c r="H358" s="16">
        <f>IF(OR($A358="",$B358&lt;&gt;"tutar_farki"),"",IF($E358=0,"BELGE_EKSIK",IF($C358&lt;=toleransKurus*cbb_yuvarlamaCarpan,"YUVARLAMA",IF(AND($F358&lt;&gt;"Ba",$F358&lt;&gt;"Bs"),"TIP_KARISIK",IF($C358&gt;cbb_esikFark*cbb_donemCarpan,"DONEM",IF(LEN($D358)&lt;cbb_unvanMinLen,"UNVAN","TANIMSIZ"))))))</f>
        <v/>
      </c>
    </row>
    <row r="359">
      <c r="A359" s="26">
        <f>IF('ESLESTIRME'!$A359="","",'ESLESTIRME'!$A359)</f>
        <v/>
      </c>
      <c r="B359" s="16">
        <f>IF($A359="","",IFERROR(INDEX(tblEslesme[Kova],MATCH($A359,tblEslesme[A_Norm],0)),""))</f>
        <v/>
      </c>
      <c r="C359" s="16">
        <f>IF($A359="","",IFERROR(INDEX(tblEslesme[AbsFark],MATCH($A359,tblEslesme[A_Norm],0)),0))</f>
        <v/>
      </c>
      <c r="D359" s="16">
        <f>IF($A359="","",IFERROR(INDEX(tblVeriA[Unvan],MATCH($A359,tblAnahtarA[Norm],0)),""))</f>
        <v/>
      </c>
      <c r="E359" s="16">
        <f>IF($A359="","",IFERROR(SUMIF(tblAnahtarB[NormB],$A359,tblVeriB[BelgeAdet]),0))</f>
        <v/>
      </c>
      <c r="F359" s="16">
        <f>IF($A359="","",IFERROR(INDEX(tblVeriB[FormTipi],MATCH($A359,tblAnahtarB[NormB],0)),""))</f>
        <v/>
      </c>
      <c r="G359" s="16">
        <f>IF($A359="","",IFERROR(INDEX(tblVeriA[Donem],MATCH($A359,tblAnahtarA[Norm],0)),""))</f>
        <v/>
      </c>
      <c r="H359" s="16">
        <f>IF(OR($A359="",$B359&lt;&gt;"tutar_farki"),"",IF($E359=0,"BELGE_EKSIK",IF($C359&lt;=toleransKurus*cbb_yuvarlamaCarpan,"YUVARLAMA",IF(AND($F359&lt;&gt;"Ba",$F359&lt;&gt;"Bs"),"TIP_KARISIK",IF($C359&gt;cbb_esikFark*cbb_donemCarpan,"DONEM",IF(LEN($D359)&lt;cbb_unvanMinLen,"UNVAN","TANIMSIZ"))))))</f>
        <v/>
      </c>
    </row>
    <row r="360">
      <c r="A360" s="26">
        <f>IF('ESLESTIRME'!$A360="","",'ESLESTIRME'!$A360)</f>
        <v/>
      </c>
      <c r="B360" s="16">
        <f>IF($A360="","",IFERROR(INDEX(tblEslesme[Kova],MATCH($A360,tblEslesme[A_Norm],0)),""))</f>
        <v/>
      </c>
      <c r="C360" s="16">
        <f>IF($A360="","",IFERROR(INDEX(tblEslesme[AbsFark],MATCH($A360,tblEslesme[A_Norm],0)),0))</f>
        <v/>
      </c>
      <c r="D360" s="16">
        <f>IF($A360="","",IFERROR(INDEX(tblVeriA[Unvan],MATCH($A360,tblAnahtarA[Norm],0)),""))</f>
        <v/>
      </c>
      <c r="E360" s="16">
        <f>IF($A360="","",IFERROR(SUMIF(tblAnahtarB[NormB],$A360,tblVeriB[BelgeAdet]),0))</f>
        <v/>
      </c>
      <c r="F360" s="16">
        <f>IF($A360="","",IFERROR(INDEX(tblVeriB[FormTipi],MATCH($A360,tblAnahtarB[NormB],0)),""))</f>
        <v/>
      </c>
      <c r="G360" s="16">
        <f>IF($A360="","",IFERROR(INDEX(tblVeriA[Donem],MATCH($A360,tblAnahtarA[Norm],0)),""))</f>
        <v/>
      </c>
      <c r="H360" s="16">
        <f>IF(OR($A360="",$B360&lt;&gt;"tutar_farki"),"",IF($E360=0,"BELGE_EKSIK",IF($C360&lt;=toleransKurus*cbb_yuvarlamaCarpan,"YUVARLAMA",IF(AND($F360&lt;&gt;"Ba",$F360&lt;&gt;"Bs"),"TIP_KARISIK",IF($C360&gt;cbb_esikFark*cbb_donemCarpan,"DONEM",IF(LEN($D360)&lt;cbb_unvanMinLen,"UNVAN","TANIMSIZ"))))))</f>
        <v/>
      </c>
    </row>
    <row r="361">
      <c r="A361" s="26">
        <f>IF('ESLESTIRME'!$A361="","",'ESLESTIRME'!$A361)</f>
        <v/>
      </c>
      <c r="B361" s="16">
        <f>IF($A361="","",IFERROR(INDEX(tblEslesme[Kova],MATCH($A361,tblEslesme[A_Norm],0)),""))</f>
        <v/>
      </c>
      <c r="C361" s="16">
        <f>IF($A361="","",IFERROR(INDEX(tblEslesme[AbsFark],MATCH($A361,tblEslesme[A_Norm],0)),0))</f>
        <v/>
      </c>
      <c r="D361" s="16">
        <f>IF($A361="","",IFERROR(INDEX(tblVeriA[Unvan],MATCH($A361,tblAnahtarA[Norm],0)),""))</f>
        <v/>
      </c>
      <c r="E361" s="16">
        <f>IF($A361="","",IFERROR(SUMIF(tblAnahtarB[NormB],$A361,tblVeriB[BelgeAdet]),0))</f>
        <v/>
      </c>
      <c r="F361" s="16">
        <f>IF($A361="","",IFERROR(INDEX(tblVeriB[FormTipi],MATCH($A361,tblAnahtarB[NormB],0)),""))</f>
        <v/>
      </c>
      <c r="G361" s="16">
        <f>IF($A361="","",IFERROR(INDEX(tblVeriA[Donem],MATCH($A361,tblAnahtarA[Norm],0)),""))</f>
        <v/>
      </c>
      <c r="H361" s="16">
        <f>IF(OR($A361="",$B361&lt;&gt;"tutar_farki"),"",IF($E361=0,"BELGE_EKSIK",IF($C361&lt;=toleransKurus*cbb_yuvarlamaCarpan,"YUVARLAMA",IF(AND($F361&lt;&gt;"Ba",$F361&lt;&gt;"Bs"),"TIP_KARISIK",IF($C361&gt;cbb_esikFark*cbb_donemCarpan,"DONEM",IF(LEN($D361)&lt;cbb_unvanMinLen,"UNVAN","TANIMSIZ"))))))</f>
        <v/>
      </c>
    </row>
    <row r="362">
      <c r="A362" s="26">
        <f>IF('ESLESTIRME'!$A362="","",'ESLESTIRME'!$A362)</f>
        <v/>
      </c>
      <c r="B362" s="16">
        <f>IF($A362="","",IFERROR(INDEX(tblEslesme[Kova],MATCH($A362,tblEslesme[A_Norm],0)),""))</f>
        <v/>
      </c>
      <c r="C362" s="16">
        <f>IF($A362="","",IFERROR(INDEX(tblEslesme[AbsFark],MATCH($A362,tblEslesme[A_Norm],0)),0))</f>
        <v/>
      </c>
      <c r="D362" s="16">
        <f>IF($A362="","",IFERROR(INDEX(tblVeriA[Unvan],MATCH($A362,tblAnahtarA[Norm],0)),""))</f>
        <v/>
      </c>
      <c r="E362" s="16">
        <f>IF($A362="","",IFERROR(SUMIF(tblAnahtarB[NormB],$A362,tblVeriB[BelgeAdet]),0))</f>
        <v/>
      </c>
      <c r="F362" s="16">
        <f>IF($A362="","",IFERROR(INDEX(tblVeriB[FormTipi],MATCH($A362,tblAnahtarB[NormB],0)),""))</f>
        <v/>
      </c>
      <c r="G362" s="16">
        <f>IF($A362="","",IFERROR(INDEX(tblVeriA[Donem],MATCH($A362,tblAnahtarA[Norm],0)),""))</f>
        <v/>
      </c>
      <c r="H362" s="16">
        <f>IF(OR($A362="",$B362&lt;&gt;"tutar_farki"),"",IF($E362=0,"BELGE_EKSIK",IF($C362&lt;=toleransKurus*cbb_yuvarlamaCarpan,"YUVARLAMA",IF(AND($F362&lt;&gt;"Ba",$F362&lt;&gt;"Bs"),"TIP_KARISIK",IF($C362&gt;cbb_esikFark*cbb_donemCarpan,"DONEM",IF(LEN($D362)&lt;cbb_unvanMinLen,"UNVAN","TANIMSIZ"))))))</f>
        <v/>
      </c>
    </row>
    <row r="363">
      <c r="A363" s="26">
        <f>IF('ESLESTIRME'!$A363="","",'ESLESTIRME'!$A363)</f>
        <v/>
      </c>
      <c r="B363" s="16">
        <f>IF($A363="","",IFERROR(INDEX(tblEslesme[Kova],MATCH($A363,tblEslesme[A_Norm],0)),""))</f>
        <v/>
      </c>
      <c r="C363" s="16">
        <f>IF($A363="","",IFERROR(INDEX(tblEslesme[AbsFark],MATCH($A363,tblEslesme[A_Norm],0)),0))</f>
        <v/>
      </c>
      <c r="D363" s="16">
        <f>IF($A363="","",IFERROR(INDEX(tblVeriA[Unvan],MATCH($A363,tblAnahtarA[Norm],0)),""))</f>
        <v/>
      </c>
      <c r="E363" s="16">
        <f>IF($A363="","",IFERROR(SUMIF(tblAnahtarB[NormB],$A363,tblVeriB[BelgeAdet]),0))</f>
        <v/>
      </c>
      <c r="F363" s="16">
        <f>IF($A363="","",IFERROR(INDEX(tblVeriB[FormTipi],MATCH($A363,tblAnahtarB[NormB],0)),""))</f>
        <v/>
      </c>
      <c r="G363" s="16">
        <f>IF($A363="","",IFERROR(INDEX(tblVeriA[Donem],MATCH($A363,tblAnahtarA[Norm],0)),""))</f>
        <v/>
      </c>
      <c r="H363" s="16">
        <f>IF(OR($A363="",$B363&lt;&gt;"tutar_farki"),"",IF($E363=0,"BELGE_EKSIK",IF($C363&lt;=toleransKurus*cbb_yuvarlamaCarpan,"YUVARLAMA",IF(AND($F363&lt;&gt;"Ba",$F363&lt;&gt;"Bs"),"TIP_KARISIK",IF($C363&gt;cbb_esikFark*cbb_donemCarpan,"DONEM",IF(LEN($D363)&lt;cbb_unvanMinLen,"UNVAN","TANIMSIZ"))))))</f>
        <v/>
      </c>
    </row>
    <row r="364">
      <c r="A364" s="26">
        <f>IF('ESLESTIRME'!$A364="","",'ESLESTIRME'!$A364)</f>
        <v/>
      </c>
      <c r="B364" s="16">
        <f>IF($A364="","",IFERROR(INDEX(tblEslesme[Kova],MATCH($A364,tblEslesme[A_Norm],0)),""))</f>
        <v/>
      </c>
      <c r="C364" s="16">
        <f>IF($A364="","",IFERROR(INDEX(tblEslesme[AbsFark],MATCH($A364,tblEslesme[A_Norm],0)),0))</f>
        <v/>
      </c>
      <c r="D364" s="16">
        <f>IF($A364="","",IFERROR(INDEX(tblVeriA[Unvan],MATCH($A364,tblAnahtarA[Norm],0)),""))</f>
        <v/>
      </c>
      <c r="E364" s="16">
        <f>IF($A364="","",IFERROR(SUMIF(tblAnahtarB[NormB],$A364,tblVeriB[BelgeAdet]),0))</f>
        <v/>
      </c>
      <c r="F364" s="16">
        <f>IF($A364="","",IFERROR(INDEX(tblVeriB[FormTipi],MATCH($A364,tblAnahtarB[NormB],0)),""))</f>
        <v/>
      </c>
      <c r="G364" s="16">
        <f>IF($A364="","",IFERROR(INDEX(tblVeriA[Donem],MATCH($A364,tblAnahtarA[Norm],0)),""))</f>
        <v/>
      </c>
      <c r="H364" s="16">
        <f>IF(OR($A364="",$B364&lt;&gt;"tutar_farki"),"",IF($E364=0,"BELGE_EKSIK",IF($C364&lt;=toleransKurus*cbb_yuvarlamaCarpan,"YUVARLAMA",IF(AND($F364&lt;&gt;"Ba",$F364&lt;&gt;"Bs"),"TIP_KARISIK",IF($C364&gt;cbb_esikFark*cbb_donemCarpan,"DONEM",IF(LEN($D364)&lt;cbb_unvanMinLen,"UNVAN","TANIMSIZ"))))))</f>
        <v/>
      </c>
    </row>
    <row r="365">
      <c r="A365" s="26">
        <f>IF('ESLESTIRME'!$A365="","",'ESLESTIRME'!$A365)</f>
        <v/>
      </c>
      <c r="B365" s="16">
        <f>IF($A365="","",IFERROR(INDEX(tblEslesme[Kova],MATCH($A365,tblEslesme[A_Norm],0)),""))</f>
        <v/>
      </c>
      <c r="C365" s="16">
        <f>IF($A365="","",IFERROR(INDEX(tblEslesme[AbsFark],MATCH($A365,tblEslesme[A_Norm],0)),0))</f>
        <v/>
      </c>
      <c r="D365" s="16">
        <f>IF($A365="","",IFERROR(INDEX(tblVeriA[Unvan],MATCH($A365,tblAnahtarA[Norm],0)),""))</f>
        <v/>
      </c>
      <c r="E365" s="16">
        <f>IF($A365="","",IFERROR(SUMIF(tblAnahtarB[NormB],$A365,tblVeriB[BelgeAdet]),0))</f>
        <v/>
      </c>
      <c r="F365" s="16">
        <f>IF($A365="","",IFERROR(INDEX(tblVeriB[FormTipi],MATCH($A365,tblAnahtarB[NormB],0)),""))</f>
        <v/>
      </c>
      <c r="G365" s="16">
        <f>IF($A365="","",IFERROR(INDEX(tblVeriA[Donem],MATCH($A365,tblAnahtarA[Norm],0)),""))</f>
        <v/>
      </c>
      <c r="H365" s="16">
        <f>IF(OR($A365="",$B365&lt;&gt;"tutar_farki"),"",IF($E365=0,"BELGE_EKSIK",IF($C365&lt;=toleransKurus*cbb_yuvarlamaCarpan,"YUVARLAMA",IF(AND($F365&lt;&gt;"Ba",$F365&lt;&gt;"Bs"),"TIP_KARISIK",IF($C365&gt;cbb_esikFark*cbb_donemCarpan,"DONEM",IF(LEN($D365)&lt;cbb_unvanMinLen,"UNVAN","TANIMSIZ"))))))</f>
        <v/>
      </c>
    </row>
    <row r="366">
      <c r="A366" s="26">
        <f>IF('ESLESTIRME'!$A366="","",'ESLESTIRME'!$A366)</f>
        <v/>
      </c>
      <c r="B366" s="16">
        <f>IF($A366="","",IFERROR(INDEX(tblEslesme[Kova],MATCH($A366,tblEslesme[A_Norm],0)),""))</f>
        <v/>
      </c>
      <c r="C366" s="16">
        <f>IF($A366="","",IFERROR(INDEX(tblEslesme[AbsFark],MATCH($A366,tblEslesme[A_Norm],0)),0))</f>
        <v/>
      </c>
      <c r="D366" s="16">
        <f>IF($A366="","",IFERROR(INDEX(tblVeriA[Unvan],MATCH($A366,tblAnahtarA[Norm],0)),""))</f>
        <v/>
      </c>
      <c r="E366" s="16">
        <f>IF($A366="","",IFERROR(SUMIF(tblAnahtarB[NormB],$A366,tblVeriB[BelgeAdet]),0))</f>
        <v/>
      </c>
      <c r="F366" s="16">
        <f>IF($A366="","",IFERROR(INDEX(tblVeriB[FormTipi],MATCH($A366,tblAnahtarB[NormB],0)),""))</f>
        <v/>
      </c>
      <c r="G366" s="16">
        <f>IF($A366="","",IFERROR(INDEX(tblVeriA[Donem],MATCH($A366,tblAnahtarA[Norm],0)),""))</f>
        <v/>
      </c>
      <c r="H366" s="16">
        <f>IF(OR($A366="",$B366&lt;&gt;"tutar_farki"),"",IF($E366=0,"BELGE_EKSIK",IF($C366&lt;=toleransKurus*cbb_yuvarlamaCarpan,"YUVARLAMA",IF(AND($F366&lt;&gt;"Ba",$F366&lt;&gt;"Bs"),"TIP_KARISIK",IF($C366&gt;cbb_esikFark*cbb_donemCarpan,"DONEM",IF(LEN($D366)&lt;cbb_unvanMinLen,"UNVAN","TANIMSIZ"))))))</f>
        <v/>
      </c>
    </row>
    <row r="367">
      <c r="A367" s="26">
        <f>IF('ESLESTIRME'!$A367="","",'ESLESTIRME'!$A367)</f>
        <v/>
      </c>
      <c r="B367" s="16">
        <f>IF($A367="","",IFERROR(INDEX(tblEslesme[Kova],MATCH($A367,tblEslesme[A_Norm],0)),""))</f>
        <v/>
      </c>
      <c r="C367" s="16">
        <f>IF($A367="","",IFERROR(INDEX(tblEslesme[AbsFark],MATCH($A367,tblEslesme[A_Norm],0)),0))</f>
        <v/>
      </c>
      <c r="D367" s="16">
        <f>IF($A367="","",IFERROR(INDEX(tblVeriA[Unvan],MATCH($A367,tblAnahtarA[Norm],0)),""))</f>
        <v/>
      </c>
      <c r="E367" s="16">
        <f>IF($A367="","",IFERROR(SUMIF(tblAnahtarB[NormB],$A367,tblVeriB[BelgeAdet]),0))</f>
        <v/>
      </c>
      <c r="F367" s="16">
        <f>IF($A367="","",IFERROR(INDEX(tblVeriB[FormTipi],MATCH($A367,tblAnahtarB[NormB],0)),""))</f>
        <v/>
      </c>
      <c r="G367" s="16">
        <f>IF($A367="","",IFERROR(INDEX(tblVeriA[Donem],MATCH($A367,tblAnahtarA[Norm],0)),""))</f>
        <v/>
      </c>
      <c r="H367" s="16">
        <f>IF(OR($A367="",$B367&lt;&gt;"tutar_farki"),"",IF($E367=0,"BELGE_EKSIK",IF($C367&lt;=toleransKurus*cbb_yuvarlamaCarpan,"YUVARLAMA",IF(AND($F367&lt;&gt;"Ba",$F367&lt;&gt;"Bs"),"TIP_KARISIK",IF($C367&gt;cbb_esikFark*cbb_donemCarpan,"DONEM",IF(LEN($D367)&lt;cbb_unvanMinLen,"UNVAN","TANIMSIZ"))))))</f>
        <v/>
      </c>
    </row>
    <row r="368">
      <c r="A368" s="26">
        <f>IF('ESLESTIRME'!$A368="","",'ESLESTIRME'!$A368)</f>
        <v/>
      </c>
      <c r="B368" s="16">
        <f>IF($A368="","",IFERROR(INDEX(tblEslesme[Kova],MATCH($A368,tblEslesme[A_Norm],0)),""))</f>
        <v/>
      </c>
      <c r="C368" s="16">
        <f>IF($A368="","",IFERROR(INDEX(tblEslesme[AbsFark],MATCH($A368,tblEslesme[A_Norm],0)),0))</f>
        <v/>
      </c>
      <c r="D368" s="16">
        <f>IF($A368="","",IFERROR(INDEX(tblVeriA[Unvan],MATCH($A368,tblAnahtarA[Norm],0)),""))</f>
        <v/>
      </c>
      <c r="E368" s="16">
        <f>IF($A368="","",IFERROR(SUMIF(tblAnahtarB[NormB],$A368,tblVeriB[BelgeAdet]),0))</f>
        <v/>
      </c>
      <c r="F368" s="16">
        <f>IF($A368="","",IFERROR(INDEX(tblVeriB[FormTipi],MATCH($A368,tblAnahtarB[NormB],0)),""))</f>
        <v/>
      </c>
      <c r="G368" s="16">
        <f>IF($A368="","",IFERROR(INDEX(tblVeriA[Donem],MATCH($A368,tblAnahtarA[Norm],0)),""))</f>
        <v/>
      </c>
      <c r="H368" s="16">
        <f>IF(OR($A368="",$B368&lt;&gt;"tutar_farki"),"",IF($E368=0,"BELGE_EKSIK",IF($C368&lt;=toleransKurus*cbb_yuvarlamaCarpan,"YUVARLAMA",IF(AND($F368&lt;&gt;"Ba",$F368&lt;&gt;"Bs"),"TIP_KARISIK",IF($C368&gt;cbb_esikFark*cbb_donemCarpan,"DONEM",IF(LEN($D368)&lt;cbb_unvanMinLen,"UNVAN","TANIMSIZ"))))))</f>
        <v/>
      </c>
    </row>
    <row r="369">
      <c r="A369" s="26">
        <f>IF('ESLESTIRME'!$A369="","",'ESLESTIRME'!$A369)</f>
        <v/>
      </c>
      <c r="B369" s="16">
        <f>IF($A369="","",IFERROR(INDEX(tblEslesme[Kova],MATCH($A369,tblEslesme[A_Norm],0)),""))</f>
        <v/>
      </c>
      <c r="C369" s="16">
        <f>IF($A369="","",IFERROR(INDEX(tblEslesme[AbsFark],MATCH($A369,tblEslesme[A_Norm],0)),0))</f>
        <v/>
      </c>
      <c r="D369" s="16">
        <f>IF($A369="","",IFERROR(INDEX(tblVeriA[Unvan],MATCH($A369,tblAnahtarA[Norm],0)),""))</f>
        <v/>
      </c>
      <c r="E369" s="16">
        <f>IF($A369="","",IFERROR(SUMIF(tblAnahtarB[NormB],$A369,tblVeriB[BelgeAdet]),0))</f>
        <v/>
      </c>
      <c r="F369" s="16">
        <f>IF($A369="","",IFERROR(INDEX(tblVeriB[FormTipi],MATCH($A369,tblAnahtarB[NormB],0)),""))</f>
        <v/>
      </c>
      <c r="G369" s="16">
        <f>IF($A369="","",IFERROR(INDEX(tblVeriA[Donem],MATCH($A369,tblAnahtarA[Norm],0)),""))</f>
        <v/>
      </c>
      <c r="H369" s="16">
        <f>IF(OR($A369="",$B369&lt;&gt;"tutar_farki"),"",IF($E369=0,"BELGE_EKSIK",IF($C369&lt;=toleransKurus*cbb_yuvarlamaCarpan,"YUVARLAMA",IF(AND($F369&lt;&gt;"Ba",$F369&lt;&gt;"Bs"),"TIP_KARISIK",IF($C369&gt;cbb_esikFark*cbb_donemCarpan,"DONEM",IF(LEN($D369)&lt;cbb_unvanMinLen,"UNVAN","TANIMSIZ"))))))</f>
        <v/>
      </c>
    </row>
    <row r="370">
      <c r="A370" s="26">
        <f>IF('ESLESTIRME'!$A370="","",'ESLESTIRME'!$A370)</f>
        <v/>
      </c>
      <c r="B370" s="16">
        <f>IF($A370="","",IFERROR(INDEX(tblEslesme[Kova],MATCH($A370,tblEslesme[A_Norm],0)),""))</f>
        <v/>
      </c>
      <c r="C370" s="16">
        <f>IF($A370="","",IFERROR(INDEX(tblEslesme[AbsFark],MATCH($A370,tblEslesme[A_Norm],0)),0))</f>
        <v/>
      </c>
      <c r="D370" s="16">
        <f>IF($A370="","",IFERROR(INDEX(tblVeriA[Unvan],MATCH($A370,tblAnahtarA[Norm],0)),""))</f>
        <v/>
      </c>
      <c r="E370" s="16">
        <f>IF($A370="","",IFERROR(SUMIF(tblAnahtarB[NormB],$A370,tblVeriB[BelgeAdet]),0))</f>
        <v/>
      </c>
      <c r="F370" s="16">
        <f>IF($A370="","",IFERROR(INDEX(tblVeriB[FormTipi],MATCH($A370,tblAnahtarB[NormB],0)),""))</f>
        <v/>
      </c>
      <c r="G370" s="16">
        <f>IF($A370="","",IFERROR(INDEX(tblVeriA[Donem],MATCH($A370,tblAnahtarA[Norm],0)),""))</f>
        <v/>
      </c>
      <c r="H370" s="16">
        <f>IF(OR($A370="",$B370&lt;&gt;"tutar_farki"),"",IF($E370=0,"BELGE_EKSIK",IF($C370&lt;=toleransKurus*cbb_yuvarlamaCarpan,"YUVARLAMA",IF(AND($F370&lt;&gt;"Ba",$F370&lt;&gt;"Bs"),"TIP_KARISIK",IF($C370&gt;cbb_esikFark*cbb_donemCarpan,"DONEM",IF(LEN($D370)&lt;cbb_unvanMinLen,"UNVAN","TANIMSIZ"))))))</f>
        <v/>
      </c>
    </row>
    <row r="371">
      <c r="A371" s="26">
        <f>IF('ESLESTIRME'!$A371="","",'ESLESTIRME'!$A371)</f>
        <v/>
      </c>
      <c r="B371" s="16">
        <f>IF($A371="","",IFERROR(INDEX(tblEslesme[Kova],MATCH($A371,tblEslesme[A_Norm],0)),""))</f>
        <v/>
      </c>
      <c r="C371" s="16">
        <f>IF($A371="","",IFERROR(INDEX(tblEslesme[AbsFark],MATCH($A371,tblEslesme[A_Norm],0)),0))</f>
        <v/>
      </c>
      <c r="D371" s="16">
        <f>IF($A371="","",IFERROR(INDEX(tblVeriA[Unvan],MATCH($A371,tblAnahtarA[Norm],0)),""))</f>
        <v/>
      </c>
      <c r="E371" s="16">
        <f>IF($A371="","",IFERROR(SUMIF(tblAnahtarB[NormB],$A371,tblVeriB[BelgeAdet]),0))</f>
        <v/>
      </c>
      <c r="F371" s="16">
        <f>IF($A371="","",IFERROR(INDEX(tblVeriB[FormTipi],MATCH($A371,tblAnahtarB[NormB],0)),""))</f>
        <v/>
      </c>
      <c r="G371" s="16">
        <f>IF($A371="","",IFERROR(INDEX(tblVeriA[Donem],MATCH($A371,tblAnahtarA[Norm],0)),""))</f>
        <v/>
      </c>
      <c r="H371" s="16">
        <f>IF(OR($A371="",$B371&lt;&gt;"tutar_farki"),"",IF($E371=0,"BELGE_EKSIK",IF($C371&lt;=toleransKurus*cbb_yuvarlamaCarpan,"YUVARLAMA",IF(AND($F371&lt;&gt;"Ba",$F371&lt;&gt;"Bs"),"TIP_KARISIK",IF($C371&gt;cbb_esikFark*cbb_donemCarpan,"DONEM",IF(LEN($D371)&lt;cbb_unvanMinLen,"UNVAN","TANIMSIZ"))))))</f>
        <v/>
      </c>
    </row>
    <row r="372">
      <c r="A372" s="26">
        <f>IF('ESLESTIRME'!$A372="","",'ESLESTIRME'!$A372)</f>
        <v/>
      </c>
      <c r="B372" s="16">
        <f>IF($A372="","",IFERROR(INDEX(tblEslesme[Kova],MATCH($A372,tblEslesme[A_Norm],0)),""))</f>
        <v/>
      </c>
      <c r="C372" s="16">
        <f>IF($A372="","",IFERROR(INDEX(tblEslesme[AbsFark],MATCH($A372,tblEslesme[A_Norm],0)),0))</f>
        <v/>
      </c>
      <c r="D372" s="16">
        <f>IF($A372="","",IFERROR(INDEX(tblVeriA[Unvan],MATCH($A372,tblAnahtarA[Norm],0)),""))</f>
        <v/>
      </c>
      <c r="E372" s="16">
        <f>IF($A372="","",IFERROR(SUMIF(tblAnahtarB[NormB],$A372,tblVeriB[BelgeAdet]),0))</f>
        <v/>
      </c>
      <c r="F372" s="16">
        <f>IF($A372="","",IFERROR(INDEX(tblVeriB[FormTipi],MATCH($A372,tblAnahtarB[NormB],0)),""))</f>
        <v/>
      </c>
      <c r="G372" s="16">
        <f>IF($A372="","",IFERROR(INDEX(tblVeriA[Donem],MATCH($A372,tblAnahtarA[Norm],0)),""))</f>
        <v/>
      </c>
      <c r="H372" s="16">
        <f>IF(OR($A372="",$B372&lt;&gt;"tutar_farki"),"",IF($E372=0,"BELGE_EKSIK",IF($C372&lt;=toleransKurus*cbb_yuvarlamaCarpan,"YUVARLAMA",IF(AND($F372&lt;&gt;"Ba",$F372&lt;&gt;"Bs"),"TIP_KARISIK",IF($C372&gt;cbb_esikFark*cbb_donemCarpan,"DONEM",IF(LEN($D372)&lt;cbb_unvanMinLen,"UNVAN","TANIMSIZ"))))))</f>
        <v/>
      </c>
    </row>
    <row r="373">
      <c r="A373" s="26">
        <f>IF('ESLESTIRME'!$A373="","",'ESLESTIRME'!$A373)</f>
        <v/>
      </c>
      <c r="B373" s="16">
        <f>IF($A373="","",IFERROR(INDEX(tblEslesme[Kova],MATCH($A373,tblEslesme[A_Norm],0)),""))</f>
        <v/>
      </c>
      <c r="C373" s="16">
        <f>IF($A373="","",IFERROR(INDEX(tblEslesme[AbsFark],MATCH($A373,tblEslesme[A_Norm],0)),0))</f>
        <v/>
      </c>
      <c r="D373" s="16">
        <f>IF($A373="","",IFERROR(INDEX(tblVeriA[Unvan],MATCH($A373,tblAnahtarA[Norm],0)),""))</f>
        <v/>
      </c>
      <c r="E373" s="16">
        <f>IF($A373="","",IFERROR(SUMIF(tblAnahtarB[NormB],$A373,tblVeriB[BelgeAdet]),0))</f>
        <v/>
      </c>
      <c r="F373" s="16">
        <f>IF($A373="","",IFERROR(INDEX(tblVeriB[FormTipi],MATCH($A373,tblAnahtarB[NormB],0)),""))</f>
        <v/>
      </c>
      <c r="G373" s="16">
        <f>IF($A373="","",IFERROR(INDEX(tblVeriA[Donem],MATCH($A373,tblAnahtarA[Norm],0)),""))</f>
        <v/>
      </c>
      <c r="H373" s="16">
        <f>IF(OR($A373="",$B373&lt;&gt;"tutar_farki"),"",IF($E373=0,"BELGE_EKSIK",IF($C373&lt;=toleransKurus*cbb_yuvarlamaCarpan,"YUVARLAMA",IF(AND($F373&lt;&gt;"Ba",$F373&lt;&gt;"Bs"),"TIP_KARISIK",IF($C373&gt;cbb_esikFark*cbb_donemCarpan,"DONEM",IF(LEN($D373)&lt;cbb_unvanMinLen,"UNVAN","TANIMSIZ"))))))</f>
        <v/>
      </c>
    </row>
    <row r="374">
      <c r="A374" s="26">
        <f>IF('ESLESTIRME'!$A374="","",'ESLESTIRME'!$A374)</f>
        <v/>
      </c>
      <c r="B374" s="16">
        <f>IF($A374="","",IFERROR(INDEX(tblEslesme[Kova],MATCH($A374,tblEslesme[A_Norm],0)),""))</f>
        <v/>
      </c>
      <c r="C374" s="16">
        <f>IF($A374="","",IFERROR(INDEX(tblEslesme[AbsFark],MATCH($A374,tblEslesme[A_Norm],0)),0))</f>
        <v/>
      </c>
      <c r="D374" s="16">
        <f>IF($A374="","",IFERROR(INDEX(tblVeriA[Unvan],MATCH($A374,tblAnahtarA[Norm],0)),""))</f>
        <v/>
      </c>
      <c r="E374" s="16">
        <f>IF($A374="","",IFERROR(SUMIF(tblAnahtarB[NormB],$A374,tblVeriB[BelgeAdet]),0))</f>
        <v/>
      </c>
      <c r="F374" s="16">
        <f>IF($A374="","",IFERROR(INDEX(tblVeriB[FormTipi],MATCH($A374,tblAnahtarB[NormB],0)),""))</f>
        <v/>
      </c>
      <c r="G374" s="16">
        <f>IF($A374="","",IFERROR(INDEX(tblVeriA[Donem],MATCH($A374,tblAnahtarA[Norm],0)),""))</f>
        <v/>
      </c>
      <c r="H374" s="16">
        <f>IF(OR($A374="",$B374&lt;&gt;"tutar_farki"),"",IF($E374=0,"BELGE_EKSIK",IF($C374&lt;=toleransKurus*cbb_yuvarlamaCarpan,"YUVARLAMA",IF(AND($F374&lt;&gt;"Ba",$F374&lt;&gt;"Bs"),"TIP_KARISIK",IF($C374&gt;cbb_esikFark*cbb_donemCarpan,"DONEM",IF(LEN($D374)&lt;cbb_unvanMinLen,"UNVAN","TANIMSIZ"))))))</f>
        <v/>
      </c>
    </row>
    <row r="375">
      <c r="A375" s="26">
        <f>IF('ESLESTIRME'!$A375="","",'ESLESTIRME'!$A375)</f>
        <v/>
      </c>
      <c r="B375" s="16">
        <f>IF($A375="","",IFERROR(INDEX(tblEslesme[Kova],MATCH($A375,tblEslesme[A_Norm],0)),""))</f>
        <v/>
      </c>
      <c r="C375" s="16">
        <f>IF($A375="","",IFERROR(INDEX(tblEslesme[AbsFark],MATCH($A375,tblEslesme[A_Norm],0)),0))</f>
        <v/>
      </c>
      <c r="D375" s="16">
        <f>IF($A375="","",IFERROR(INDEX(tblVeriA[Unvan],MATCH($A375,tblAnahtarA[Norm],0)),""))</f>
        <v/>
      </c>
      <c r="E375" s="16">
        <f>IF($A375="","",IFERROR(SUMIF(tblAnahtarB[NormB],$A375,tblVeriB[BelgeAdet]),0))</f>
        <v/>
      </c>
      <c r="F375" s="16">
        <f>IF($A375="","",IFERROR(INDEX(tblVeriB[FormTipi],MATCH($A375,tblAnahtarB[NormB],0)),""))</f>
        <v/>
      </c>
      <c r="G375" s="16">
        <f>IF($A375="","",IFERROR(INDEX(tblVeriA[Donem],MATCH($A375,tblAnahtarA[Norm],0)),""))</f>
        <v/>
      </c>
      <c r="H375" s="16">
        <f>IF(OR($A375="",$B375&lt;&gt;"tutar_farki"),"",IF($E375=0,"BELGE_EKSIK",IF($C375&lt;=toleransKurus*cbb_yuvarlamaCarpan,"YUVARLAMA",IF(AND($F375&lt;&gt;"Ba",$F375&lt;&gt;"Bs"),"TIP_KARISIK",IF($C375&gt;cbb_esikFark*cbb_donemCarpan,"DONEM",IF(LEN($D375)&lt;cbb_unvanMinLen,"UNVAN","TANIMSIZ"))))))</f>
        <v/>
      </c>
    </row>
    <row r="376">
      <c r="A376" s="26">
        <f>IF('ESLESTIRME'!$A376="","",'ESLESTIRME'!$A376)</f>
        <v/>
      </c>
      <c r="B376" s="16">
        <f>IF($A376="","",IFERROR(INDEX(tblEslesme[Kova],MATCH($A376,tblEslesme[A_Norm],0)),""))</f>
        <v/>
      </c>
      <c r="C376" s="16">
        <f>IF($A376="","",IFERROR(INDEX(tblEslesme[AbsFark],MATCH($A376,tblEslesme[A_Norm],0)),0))</f>
        <v/>
      </c>
      <c r="D376" s="16">
        <f>IF($A376="","",IFERROR(INDEX(tblVeriA[Unvan],MATCH($A376,tblAnahtarA[Norm],0)),""))</f>
        <v/>
      </c>
      <c r="E376" s="16">
        <f>IF($A376="","",IFERROR(SUMIF(tblAnahtarB[NormB],$A376,tblVeriB[BelgeAdet]),0))</f>
        <v/>
      </c>
      <c r="F376" s="16">
        <f>IF($A376="","",IFERROR(INDEX(tblVeriB[FormTipi],MATCH($A376,tblAnahtarB[NormB],0)),""))</f>
        <v/>
      </c>
      <c r="G376" s="16">
        <f>IF($A376="","",IFERROR(INDEX(tblVeriA[Donem],MATCH($A376,tblAnahtarA[Norm],0)),""))</f>
        <v/>
      </c>
      <c r="H376" s="16">
        <f>IF(OR($A376="",$B376&lt;&gt;"tutar_farki"),"",IF($E376=0,"BELGE_EKSIK",IF($C376&lt;=toleransKurus*cbb_yuvarlamaCarpan,"YUVARLAMA",IF(AND($F376&lt;&gt;"Ba",$F376&lt;&gt;"Bs"),"TIP_KARISIK",IF($C376&gt;cbb_esikFark*cbb_donemCarpan,"DONEM",IF(LEN($D376)&lt;cbb_unvanMinLen,"UNVAN","TANIMSIZ"))))))</f>
        <v/>
      </c>
    </row>
    <row r="377">
      <c r="A377" s="26">
        <f>IF('ESLESTIRME'!$A377="","",'ESLESTIRME'!$A377)</f>
        <v/>
      </c>
      <c r="B377" s="16">
        <f>IF($A377="","",IFERROR(INDEX(tblEslesme[Kova],MATCH($A377,tblEslesme[A_Norm],0)),""))</f>
        <v/>
      </c>
      <c r="C377" s="16">
        <f>IF($A377="","",IFERROR(INDEX(tblEslesme[AbsFark],MATCH($A377,tblEslesme[A_Norm],0)),0))</f>
        <v/>
      </c>
      <c r="D377" s="16">
        <f>IF($A377="","",IFERROR(INDEX(tblVeriA[Unvan],MATCH($A377,tblAnahtarA[Norm],0)),""))</f>
        <v/>
      </c>
      <c r="E377" s="16">
        <f>IF($A377="","",IFERROR(SUMIF(tblAnahtarB[NormB],$A377,tblVeriB[BelgeAdet]),0))</f>
        <v/>
      </c>
      <c r="F377" s="16">
        <f>IF($A377="","",IFERROR(INDEX(tblVeriB[FormTipi],MATCH($A377,tblAnahtarB[NormB],0)),""))</f>
        <v/>
      </c>
      <c r="G377" s="16">
        <f>IF($A377="","",IFERROR(INDEX(tblVeriA[Donem],MATCH($A377,tblAnahtarA[Norm],0)),""))</f>
        <v/>
      </c>
      <c r="H377" s="16">
        <f>IF(OR($A377="",$B377&lt;&gt;"tutar_farki"),"",IF($E377=0,"BELGE_EKSIK",IF($C377&lt;=toleransKurus*cbb_yuvarlamaCarpan,"YUVARLAMA",IF(AND($F377&lt;&gt;"Ba",$F377&lt;&gt;"Bs"),"TIP_KARISIK",IF($C377&gt;cbb_esikFark*cbb_donemCarpan,"DONEM",IF(LEN($D377)&lt;cbb_unvanMinLen,"UNVAN","TANIMSIZ"))))))</f>
        <v/>
      </c>
    </row>
    <row r="378">
      <c r="A378" s="26">
        <f>IF('ESLESTIRME'!$A378="","",'ESLESTIRME'!$A378)</f>
        <v/>
      </c>
      <c r="B378" s="16">
        <f>IF($A378="","",IFERROR(INDEX(tblEslesme[Kova],MATCH($A378,tblEslesme[A_Norm],0)),""))</f>
        <v/>
      </c>
      <c r="C378" s="16">
        <f>IF($A378="","",IFERROR(INDEX(tblEslesme[AbsFark],MATCH($A378,tblEslesme[A_Norm],0)),0))</f>
        <v/>
      </c>
      <c r="D378" s="16">
        <f>IF($A378="","",IFERROR(INDEX(tblVeriA[Unvan],MATCH($A378,tblAnahtarA[Norm],0)),""))</f>
        <v/>
      </c>
      <c r="E378" s="16">
        <f>IF($A378="","",IFERROR(SUMIF(tblAnahtarB[NormB],$A378,tblVeriB[BelgeAdet]),0))</f>
        <v/>
      </c>
      <c r="F378" s="16">
        <f>IF($A378="","",IFERROR(INDEX(tblVeriB[FormTipi],MATCH($A378,tblAnahtarB[NormB],0)),""))</f>
        <v/>
      </c>
      <c r="G378" s="16">
        <f>IF($A378="","",IFERROR(INDEX(tblVeriA[Donem],MATCH($A378,tblAnahtarA[Norm],0)),""))</f>
        <v/>
      </c>
      <c r="H378" s="16">
        <f>IF(OR($A378="",$B378&lt;&gt;"tutar_farki"),"",IF($E378=0,"BELGE_EKSIK",IF($C378&lt;=toleransKurus*cbb_yuvarlamaCarpan,"YUVARLAMA",IF(AND($F378&lt;&gt;"Ba",$F378&lt;&gt;"Bs"),"TIP_KARISIK",IF($C378&gt;cbb_esikFark*cbb_donemCarpan,"DONEM",IF(LEN($D378)&lt;cbb_unvanMinLen,"UNVAN","TANIMSIZ"))))))</f>
        <v/>
      </c>
    </row>
    <row r="379">
      <c r="A379" s="26">
        <f>IF('ESLESTIRME'!$A379="","",'ESLESTIRME'!$A379)</f>
        <v/>
      </c>
      <c r="B379" s="16">
        <f>IF($A379="","",IFERROR(INDEX(tblEslesme[Kova],MATCH($A379,tblEslesme[A_Norm],0)),""))</f>
        <v/>
      </c>
      <c r="C379" s="16">
        <f>IF($A379="","",IFERROR(INDEX(tblEslesme[AbsFark],MATCH($A379,tblEslesme[A_Norm],0)),0))</f>
        <v/>
      </c>
      <c r="D379" s="16">
        <f>IF($A379="","",IFERROR(INDEX(tblVeriA[Unvan],MATCH($A379,tblAnahtarA[Norm],0)),""))</f>
        <v/>
      </c>
      <c r="E379" s="16">
        <f>IF($A379="","",IFERROR(SUMIF(tblAnahtarB[NormB],$A379,tblVeriB[BelgeAdet]),0))</f>
        <v/>
      </c>
      <c r="F379" s="16">
        <f>IF($A379="","",IFERROR(INDEX(tblVeriB[FormTipi],MATCH($A379,tblAnahtarB[NormB],0)),""))</f>
        <v/>
      </c>
      <c r="G379" s="16">
        <f>IF($A379="","",IFERROR(INDEX(tblVeriA[Donem],MATCH($A379,tblAnahtarA[Norm],0)),""))</f>
        <v/>
      </c>
      <c r="H379" s="16">
        <f>IF(OR($A379="",$B379&lt;&gt;"tutar_farki"),"",IF($E379=0,"BELGE_EKSIK",IF($C379&lt;=toleransKurus*cbb_yuvarlamaCarpan,"YUVARLAMA",IF(AND($F379&lt;&gt;"Ba",$F379&lt;&gt;"Bs"),"TIP_KARISIK",IF($C379&gt;cbb_esikFark*cbb_donemCarpan,"DONEM",IF(LEN($D379)&lt;cbb_unvanMinLen,"UNVAN","TANIMSIZ"))))))</f>
        <v/>
      </c>
    </row>
    <row r="380">
      <c r="A380" s="26">
        <f>IF('ESLESTIRME'!$A380="","",'ESLESTIRME'!$A380)</f>
        <v/>
      </c>
      <c r="B380" s="16">
        <f>IF($A380="","",IFERROR(INDEX(tblEslesme[Kova],MATCH($A380,tblEslesme[A_Norm],0)),""))</f>
        <v/>
      </c>
      <c r="C380" s="16">
        <f>IF($A380="","",IFERROR(INDEX(tblEslesme[AbsFark],MATCH($A380,tblEslesme[A_Norm],0)),0))</f>
        <v/>
      </c>
      <c r="D380" s="16">
        <f>IF($A380="","",IFERROR(INDEX(tblVeriA[Unvan],MATCH($A380,tblAnahtarA[Norm],0)),""))</f>
        <v/>
      </c>
      <c r="E380" s="16">
        <f>IF($A380="","",IFERROR(SUMIF(tblAnahtarB[NormB],$A380,tblVeriB[BelgeAdet]),0))</f>
        <v/>
      </c>
      <c r="F380" s="16">
        <f>IF($A380="","",IFERROR(INDEX(tblVeriB[FormTipi],MATCH($A380,tblAnahtarB[NormB],0)),""))</f>
        <v/>
      </c>
      <c r="G380" s="16">
        <f>IF($A380="","",IFERROR(INDEX(tblVeriA[Donem],MATCH($A380,tblAnahtarA[Norm],0)),""))</f>
        <v/>
      </c>
      <c r="H380" s="16">
        <f>IF(OR($A380="",$B380&lt;&gt;"tutar_farki"),"",IF($E380=0,"BELGE_EKSIK",IF($C380&lt;=toleransKurus*cbb_yuvarlamaCarpan,"YUVARLAMA",IF(AND($F380&lt;&gt;"Ba",$F380&lt;&gt;"Bs"),"TIP_KARISIK",IF($C380&gt;cbb_esikFark*cbb_donemCarpan,"DONEM",IF(LEN($D380)&lt;cbb_unvanMinLen,"UNVAN","TANIMSIZ"))))))</f>
        <v/>
      </c>
    </row>
    <row r="381">
      <c r="A381" s="26">
        <f>IF('ESLESTIRME'!$A381="","",'ESLESTIRME'!$A381)</f>
        <v/>
      </c>
      <c r="B381" s="16">
        <f>IF($A381="","",IFERROR(INDEX(tblEslesme[Kova],MATCH($A381,tblEslesme[A_Norm],0)),""))</f>
        <v/>
      </c>
      <c r="C381" s="16">
        <f>IF($A381="","",IFERROR(INDEX(tblEslesme[AbsFark],MATCH($A381,tblEslesme[A_Norm],0)),0))</f>
        <v/>
      </c>
      <c r="D381" s="16">
        <f>IF($A381="","",IFERROR(INDEX(tblVeriA[Unvan],MATCH($A381,tblAnahtarA[Norm],0)),""))</f>
        <v/>
      </c>
      <c r="E381" s="16">
        <f>IF($A381="","",IFERROR(SUMIF(tblAnahtarB[NormB],$A381,tblVeriB[BelgeAdet]),0))</f>
        <v/>
      </c>
      <c r="F381" s="16">
        <f>IF($A381="","",IFERROR(INDEX(tblVeriB[FormTipi],MATCH($A381,tblAnahtarB[NormB],0)),""))</f>
        <v/>
      </c>
      <c r="G381" s="16">
        <f>IF($A381="","",IFERROR(INDEX(tblVeriA[Donem],MATCH($A381,tblAnahtarA[Norm],0)),""))</f>
        <v/>
      </c>
      <c r="H381" s="16">
        <f>IF(OR($A381="",$B381&lt;&gt;"tutar_farki"),"",IF($E381=0,"BELGE_EKSIK",IF($C381&lt;=toleransKurus*cbb_yuvarlamaCarpan,"YUVARLAMA",IF(AND($F381&lt;&gt;"Ba",$F381&lt;&gt;"Bs"),"TIP_KARISIK",IF($C381&gt;cbb_esikFark*cbb_donemCarpan,"DONEM",IF(LEN($D381)&lt;cbb_unvanMinLen,"UNVAN","TANIMSIZ"))))))</f>
        <v/>
      </c>
    </row>
    <row r="382">
      <c r="A382" s="26">
        <f>IF('ESLESTIRME'!$A382="","",'ESLESTIRME'!$A382)</f>
        <v/>
      </c>
      <c r="B382" s="16">
        <f>IF($A382="","",IFERROR(INDEX(tblEslesme[Kova],MATCH($A382,tblEslesme[A_Norm],0)),""))</f>
        <v/>
      </c>
      <c r="C382" s="16">
        <f>IF($A382="","",IFERROR(INDEX(tblEslesme[AbsFark],MATCH($A382,tblEslesme[A_Norm],0)),0))</f>
        <v/>
      </c>
      <c r="D382" s="16">
        <f>IF($A382="","",IFERROR(INDEX(tblVeriA[Unvan],MATCH($A382,tblAnahtarA[Norm],0)),""))</f>
        <v/>
      </c>
      <c r="E382" s="16">
        <f>IF($A382="","",IFERROR(SUMIF(tblAnahtarB[NormB],$A382,tblVeriB[BelgeAdet]),0))</f>
        <v/>
      </c>
      <c r="F382" s="16">
        <f>IF($A382="","",IFERROR(INDEX(tblVeriB[FormTipi],MATCH($A382,tblAnahtarB[NormB],0)),""))</f>
        <v/>
      </c>
      <c r="G382" s="16">
        <f>IF($A382="","",IFERROR(INDEX(tblVeriA[Donem],MATCH($A382,tblAnahtarA[Norm],0)),""))</f>
        <v/>
      </c>
      <c r="H382" s="16">
        <f>IF(OR($A382="",$B382&lt;&gt;"tutar_farki"),"",IF($E382=0,"BELGE_EKSIK",IF($C382&lt;=toleransKurus*cbb_yuvarlamaCarpan,"YUVARLAMA",IF(AND($F382&lt;&gt;"Ba",$F382&lt;&gt;"Bs"),"TIP_KARISIK",IF($C382&gt;cbb_esikFark*cbb_donemCarpan,"DONEM",IF(LEN($D382)&lt;cbb_unvanMinLen,"UNVAN","TANIMSIZ"))))))</f>
        <v/>
      </c>
    </row>
    <row r="383">
      <c r="A383" s="26">
        <f>IF('ESLESTIRME'!$A383="","",'ESLESTIRME'!$A383)</f>
        <v/>
      </c>
      <c r="B383" s="16">
        <f>IF($A383="","",IFERROR(INDEX(tblEslesme[Kova],MATCH($A383,tblEslesme[A_Norm],0)),""))</f>
        <v/>
      </c>
      <c r="C383" s="16">
        <f>IF($A383="","",IFERROR(INDEX(tblEslesme[AbsFark],MATCH($A383,tblEslesme[A_Norm],0)),0))</f>
        <v/>
      </c>
      <c r="D383" s="16">
        <f>IF($A383="","",IFERROR(INDEX(tblVeriA[Unvan],MATCH($A383,tblAnahtarA[Norm],0)),""))</f>
        <v/>
      </c>
      <c r="E383" s="16">
        <f>IF($A383="","",IFERROR(SUMIF(tblAnahtarB[NormB],$A383,tblVeriB[BelgeAdet]),0))</f>
        <v/>
      </c>
      <c r="F383" s="16">
        <f>IF($A383="","",IFERROR(INDEX(tblVeriB[FormTipi],MATCH($A383,tblAnahtarB[NormB],0)),""))</f>
        <v/>
      </c>
      <c r="G383" s="16">
        <f>IF($A383="","",IFERROR(INDEX(tblVeriA[Donem],MATCH($A383,tblAnahtarA[Norm],0)),""))</f>
        <v/>
      </c>
      <c r="H383" s="16">
        <f>IF(OR($A383="",$B383&lt;&gt;"tutar_farki"),"",IF($E383=0,"BELGE_EKSIK",IF($C383&lt;=toleransKurus*cbb_yuvarlamaCarpan,"YUVARLAMA",IF(AND($F383&lt;&gt;"Ba",$F383&lt;&gt;"Bs"),"TIP_KARISIK",IF($C383&gt;cbb_esikFark*cbb_donemCarpan,"DONEM",IF(LEN($D383)&lt;cbb_unvanMinLen,"UNVAN","TANIMSIZ"))))))</f>
        <v/>
      </c>
    </row>
    <row r="384">
      <c r="A384" s="26">
        <f>IF('ESLESTIRME'!$A384="","",'ESLESTIRME'!$A384)</f>
        <v/>
      </c>
      <c r="B384" s="16">
        <f>IF($A384="","",IFERROR(INDEX(tblEslesme[Kova],MATCH($A384,tblEslesme[A_Norm],0)),""))</f>
        <v/>
      </c>
      <c r="C384" s="16">
        <f>IF($A384="","",IFERROR(INDEX(tblEslesme[AbsFark],MATCH($A384,tblEslesme[A_Norm],0)),0))</f>
        <v/>
      </c>
      <c r="D384" s="16">
        <f>IF($A384="","",IFERROR(INDEX(tblVeriA[Unvan],MATCH($A384,tblAnahtarA[Norm],0)),""))</f>
        <v/>
      </c>
      <c r="E384" s="16">
        <f>IF($A384="","",IFERROR(SUMIF(tblAnahtarB[NormB],$A384,tblVeriB[BelgeAdet]),0))</f>
        <v/>
      </c>
      <c r="F384" s="16">
        <f>IF($A384="","",IFERROR(INDEX(tblVeriB[FormTipi],MATCH($A384,tblAnahtarB[NormB],0)),""))</f>
        <v/>
      </c>
      <c r="G384" s="16">
        <f>IF($A384="","",IFERROR(INDEX(tblVeriA[Donem],MATCH($A384,tblAnahtarA[Norm],0)),""))</f>
        <v/>
      </c>
      <c r="H384" s="16">
        <f>IF(OR($A384="",$B384&lt;&gt;"tutar_farki"),"",IF($E384=0,"BELGE_EKSIK",IF($C384&lt;=toleransKurus*cbb_yuvarlamaCarpan,"YUVARLAMA",IF(AND($F384&lt;&gt;"Ba",$F384&lt;&gt;"Bs"),"TIP_KARISIK",IF($C384&gt;cbb_esikFark*cbb_donemCarpan,"DONEM",IF(LEN($D384)&lt;cbb_unvanMinLen,"UNVAN","TANIMSIZ"))))))</f>
        <v/>
      </c>
    </row>
    <row r="385">
      <c r="A385" s="26">
        <f>IF('ESLESTIRME'!$A385="","",'ESLESTIRME'!$A385)</f>
        <v/>
      </c>
      <c r="B385" s="16">
        <f>IF($A385="","",IFERROR(INDEX(tblEslesme[Kova],MATCH($A385,tblEslesme[A_Norm],0)),""))</f>
        <v/>
      </c>
      <c r="C385" s="16">
        <f>IF($A385="","",IFERROR(INDEX(tblEslesme[AbsFark],MATCH($A385,tblEslesme[A_Norm],0)),0))</f>
        <v/>
      </c>
      <c r="D385" s="16">
        <f>IF($A385="","",IFERROR(INDEX(tblVeriA[Unvan],MATCH($A385,tblAnahtarA[Norm],0)),""))</f>
        <v/>
      </c>
      <c r="E385" s="16">
        <f>IF($A385="","",IFERROR(SUMIF(tblAnahtarB[NormB],$A385,tblVeriB[BelgeAdet]),0))</f>
        <v/>
      </c>
      <c r="F385" s="16">
        <f>IF($A385="","",IFERROR(INDEX(tblVeriB[FormTipi],MATCH($A385,tblAnahtarB[NormB],0)),""))</f>
        <v/>
      </c>
      <c r="G385" s="16">
        <f>IF($A385="","",IFERROR(INDEX(tblVeriA[Donem],MATCH($A385,tblAnahtarA[Norm],0)),""))</f>
        <v/>
      </c>
      <c r="H385" s="16">
        <f>IF(OR($A385="",$B385&lt;&gt;"tutar_farki"),"",IF($E385=0,"BELGE_EKSIK",IF($C385&lt;=toleransKurus*cbb_yuvarlamaCarpan,"YUVARLAMA",IF(AND($F385&lt;&gt;"Ba",$F385&lt;&gt;"Bs"),"TIP_KARISIK",IF($C385&gt;cbb_esikFark*cbb_donemCarpan,"DONEM",IF(LEN($D385)&lt;cbb_unvanMinLen,"UNVAN","TANIMSIZ"))))))</f>
        <v/>
      </c>
    </row>
    <row r="386">
      <c r="A386" s="26">
        <f>IF('ESLESTIRME'!$A386="","",'ESLESTIRME'!$A386)</f>
        <v/>
      </c>
      <c r="B386" s="16">
        <f>IF($A386="","",IFERROR(INDEX(tblEslesme[Kova],MATCH($A386,tblEslesme[A_Norm],0)),""))</f>
        <v/>
      </c>
      <c r="C386" s="16">
        <f>IF($A386="","",IFERROR(INDEX(tblEslesme[AbsFark],MATCH($A386,tblEslesme[A_Norm],0)),0))</f>
        <v/>
      </c>
      <c r="D386" s="16">
        <f>IF($A386="","",IFERROR(INDEX(tblVeriA[Unvan],MATCH($A386,tblAnahtarA[Norm],0)),""))</f>
        <v/>
      </c>
      <c r="E386" s="16">
        <f>IF($A386="","",IFERROR(SUMIF(tblAnahtarB[NormB],$A386,tblVeriB[BelgeAdet]),0))</f>
        <v/>
      </c>
      <c r="F386" s="16">
        <f>IF($A386="","",IFERROR(INDEX(tblVeriB[FormTipi],MATCH($A386,tblAnahtarB[NormB],0)),""))</f>
        <v/>
      </c>
      <c r="G386" s="16">
        <f>IF($A386="","",IFERROR(INDEX(tblVeriA[Donem],MATCH($A386,tblAnahtarA[Norm],0)),""))</f>
        <v/>
      </c>
      <c r="H386" s="16">
        <f>IF(OR($A386="",$B386&lt;&gt;"tutar_farki"),"",IF($E386=0,"BELGE_EKSIK",IF($C386&lt;=toleransKurus*cbb_yuvarlamaCarpan,"YUVARLAMA",IF(AND($F386&lt;&gt;"Ba",$F386&lt;&gt;"Bs"),"TIP_KARISIK",IF($C386&gt;cbb_esikFark*cbb_donemCarpan,"DONEM",IF(LEN($D386)&lt;cbb_unvanMinLen,"UNVAN","TANIMSIZ"))))))</f>
        <v/>
      </c>
    </row>
    <row r="387">
      <c r="A387" s="26">
        <f>IF('ESLESTIRME'!$A387="","",'ESLESTIRME'!$A387)</f>
        <v/>
      </c>
      <c r="B387" s="16">
        <f>IF($A387="","",IFERROR(INDEX(tblEslesme[Kova],MATCH($A387,tblEslesme[A_Norm],0)),""))</f>
        <v/>
      </c>
      <c r="C387" s="16">
        <f>IF($A387="","",IFERROR(INDEX(tblEslesme[AbsFark],MATCH($A387,tblEslesme[A_Norm],0)),0))</f>
        <v/>
      </c>
      <c r="D387" s="16">
        <f>IF($A387="","",IFERROR(INDEX(tblVeriA[Unvan],MATCH($A387,tblAnahtarA[Norm],0)),""))</f>
        <v/>
      </c>
      <c r="E387" s="16">
        <f>IF($A387="","",IFERROR(SUMIF(tblAnahtarB[NormB],$A387,tblVeriB[BelgeAdet]),0))</f>
        <v/>
      </c>
      <c r="F387" s="16">
        <f>IF($A387="","",IFERROR(INDEX(tblVeriB[FormTipi],MATCH($A387,tblAnahtarB[NormB],0)),""))</f>
        <v/>
      </c>
      <c r="G387" s="16">
        <f>IF($A387="","",IFERROR(INDEX(tblVeriA[Donem],MATCH($A387,tblAnahtarA[Norm],0)),""))</f>
        <v/>
      </c>
      <c r="H387" s="16">
        <f>IF(OR($A387="",$B387&lt;&gt;"tutar_farki"),"",IF($E387=0,"BELGE_EKSIK",IF($C387&lt;=toleransKurus*cbb_yuvarlamaCarpan,"YUVARLAMA",IF(AND($F387&lt;&gt;"Ba",$F387&lt;&gt;"Bs"),"TIP_KARISIK",IF($C387&gt;cbb_esikFark*cbb_donemCarpan,"DONEM",IF(LEN($D387)&lt;cbb_unvanMinLen,"UNVAN","TANIMSIZ"))))))</f>
        <v/>
      </c>
    </row>
    <row r="388">
      <c r="A388" s="26">
        <f>IF('ESLESTIRME'!$A388="","",'ESLESTIRME'!$A388)</f>
        <v/>
      </c>
      <c r="B388" s="16">
        <f>IF($A388="","",IFERROR(INDEX(tblEslesme[Kova],MATCH($A388,tblEslesme[A_Norm],0)),""))</f>
        <v/>
      </c>
      <c r="C388" s="16">
        <f>IF($A388="","",IFERROR(INDEX(tblEslesme[AbsFark],MATCH($A388,tblEslesme[A_Norm],0)),0))</f>
        <v/>
      </c>
      <c r="D388" s="16">
        <f>IF($A388="","",IFERROR(INDEX(tblVeriA[Unvan],MATCH($A388,tblAnahtarA[Norm],0)),""))</f>
        <v/>
      </c>
      <c r="E388" s="16">
        <f>IF($A388="","",IFERROR(SUMIF(tblAnahtarB[NormB],$A388,tblVeriB[BelgeAdet]),0))</f>
        <v/>
      </c>
      <c r="F388" s="16">
        <f>IF($A388="","",IFERROR(INDEX(tblVeriB[FormTipi],MATCH($A388,tblAnahtarB[NormB],0)),""))</f>
        <v/>
      </c>
      <c r="G388" s="16">
        <f>IF($A388="","",IFERROR(INDEX(tblVeriA[Donem],MATCH($A388,tblAnahtarA[Norm],0)),""))</f>
        <v/>
      </c>
      <c r="H388" s="16">
        <f>IF(OR($A388="",$B388&lt;&gt;"tutar_farki"),"",IF($E388=0,"BELGE_EKSIK",IF($C388&lt;=toleransKurus*cbb_yuvarlamaCarpan,"YUVARLAMA",IF(AND($F388&lt;&gt;"Ba",$F388&lt;&gt;"Bs"),"TIP_KARISIK",IF($C388&gt;cbb_esikFark*cbb_donemCarpan,"DONEM",IF(LEN($D388)&lt;cbb_unvanMinLen,"UNVAN","TANIMSIZ"))))))</f>
        <v/>
      </c>
    </row>
    <row r="389">
      <c r="A389" s="26">
        <f>IF('ESLESTIRME'!$A389="","",'ESLESTIRME'!$A389)</f>
        <v/>
      </c>
      <c r="B389" s="16">
        <f>IF($A389="","",IFERROR(INDEX(tblEslesme[Kova],MATCH($A389,tblEslesme[A_Norm],0)),""))</f>
        <v/>
      </c>
      <c r="C389" s="16">
        <f>IF($A389="","",IFERROR(INDEX(tblEslesme[AbsFark],MATCH($A389,tblEslesme[A_Norm],0)),0))</f>
        <v/>
      </c>
      <c r="D389" s="16">
        <f>IF($A389="","",IFERROR(INDEX(tblVeriA[Unvan],MATCH($A389,tblAnahtarA[Norm],0)),""))</f>
        <v/>
      </c>
      <c r="E389" s="16">
        <f>IF($A389="","",IFERROR(SUMIF(tblAnahtarB[NormB],$A389,tblVeriB[BelgeAdet]),0))</f>
        <v/>
      </c>
      <c r="F389" s="16">
        <f>IF($A389="","",IFERROR(INDEX(tblVeriB[FormTipi],MATCH($A389,tblAnahtarB[NormB],0)),""))</f>
        <v/>
      </c>
      <c r="G389" s="16">
        <f>IF($A389="","",IFERROR(INDEX(tblVeriA[Donem],MATCH($A389,tblAnahtarA[Norm],0)),""))</f>
        <v/>
      </c>
      <c r="H389" s="16">
        <f>IF(OR($A389="",$B389&lt;&gt;"tutar_farki"),"",IF($E389=0,"BELGE_EKSIK",IF($C389&lt;=toleransKurus*cbb_yuvarlamaCarpan,"YUVARLAMA",IF(AND($F389&lt;&gt;"Ba",$F389&lt;&gt;"Bs"),"TIP_KARISIK",IF($C389&gt;cbb_esikFark*cbb_donemCarpan,"DONEM",IF(LEN($D389)&lt;cbb_unvanMinLen,"UNVAN","TANIMSIZ"))))))</f>
        <v/>
      </c>
    </row>
    <row r="390">
      <c r="A390" s="26">
        <f>IF('ESLESTIRME'!$A390="","",'ESLESTIRME'!$A390)</f>
        <v/>
      </c>
      <c r="B390" s="16">
        <f>IF($A390="","",IFERROR(INDEX(tblEslesme[Kova],MATCH($A390,tblEslesme[A_Norm],0)),""))</f>
        <v/>
      </c>
      <c r="C390" s="16">
        <f>IF($A390="","",IFERROR(INDEX(tblEslesme[AbsFark],MATCH($A390,tblEslesme[A_Norm],0)),0))</f>
        <v/>
      </c>
      <c r="D390" s="16">
        <f>IF($A390="","",IFERROR(INDEX(tblVeriA[Unvan],MATCH($A390,tblAnahtarA[Norm],0)),""))</f>
        <v/>
      </c>
      <c r="E390" s="16">
        <f>IF($A390="","",IFERROR(SUMIF(tblAnahtarB[NormB],$A390,tblVeriB[BelgeAdet]),0))</f>
        <v/>
      </c>
      <c r="F390" s="16">
        <f>IF($A390="","",IFERROR(INDEX(tblVeriB[FormTipi],MATCH($A390,tblAnahtarB[NormB],0)),""))</f>
        <v/>
      </c>
      <c r="G390" s="16">
        <f>IF($A390="","",IFERROR(INDEX(tblVeriA[Donem],MATCH($A390,tblAnahtarA[Norm],0)),""))</f>
        <v/>
      </c>
      <c r="H390" s="16">
        <f>IF(OR($A390="",$B390&lt;&gt;"tutar_farki"),"",IF($E390=0,"BELGE_EKSIK",IF($C390&lt;=toleransKurus*cbb_yuvarlamaCarpan,"YUVARLAMA",IF(AND($F390&lt;&gt;"Ba",$F390&lt;&gt;"Bs"),"TIP_KARISIK",IF($C390&gt;cbb_esikFark*cbb_donemCarpan,"DONEM",IF(LEN($D390)&lt;cbb_unvanMinLen,"UNVAN","TANIMSIZ"))))))</f>
        <v/>
      </c>
    </row>
    <row r="391">
      <c r="A391" s="26">
        <f>IF('ESLESTIRME'!$A391="","",'ESLESTIRME'!$A391)</f>
        <v/>
      </c>
      <c r="B391" s="16">
        <f>IF($A391="","",IFERROR(INDEX(tblEslesme[Kova],MATCH($A391,tblEslesme[A_Norm],0)),""))</f>
        <v/>
      </c>
      <c r="C391" s="16">
        <f>IF($A391="","",IFERROR(INDEX(tblEslesme[AbsFark],MATCH($A391,tblEslesme[A_Norm],0)),0))</f>
        <v/>
      </c>
      <c r="D391" s="16">
        <f>IF($A391="","",IFERROR(INDEX(tblVeriA[Unvan],MATCH($A391,tblAnahtarA[Norm],0)),""))</f>
        <v/>
      </c>
      <c r="E391" s="16">
        <f>IF($A391="","",IFERROR(SUMIF(tblAnahtarB[NormB],$A391,tblVeriB[BelgeAdet]),0))</f>
        <v/>
      </c>
      <c r="F391" s="16">
        <f>IF($A391="","",IFERROR(INDEX(tblVeriB[FormTipi],MATCH($A391,tblAnahtarB[NormB],0)),""))</f>
        <v/>
      </c>
      <c r="G391" s="16">
        <f>IF($A391="","",IFERROR(INDEX(tblVeriA[Donem],MATCH($A391,tblAnahtarA[Norm],0)),""))</f>
        <v/>
      </c>
      <c r="H391" s="16">
        <f>IF(OR($A391="",$B391&lt;&gt;"tutar_farki"),"",IF($E391=0,"BELGE_EKSIK",IF($C391&lt;=toleransKurus*cbb_yuvarlamaCarpan,"YUVARLAMA",IF(AND($F391&lt;&gt;"Ba",$F391&lt;&gt;"Bs"),"TIP_KARISIK",IF($C391&gt;cbb_esikFark*cbb_donemCarpan,"DONEM",IF(LEN($D391)&lt;cbb_unvanMinLen,"UNVAN","TANIMSIZ"))))))</f>
        <v/>
      </c>
    </row>
    <row r="392">
      <c r="A392" s="26">
        <f>IF('ESLESTIRME'!$A392="","",'ESLESTIRME'!$A392)</f>
        <v/>
      </c>
      <c r="B392" s="16">
        <f>IF($A392="","",IFERROR(INDEX(tblEslesme[Kova],MATCH($A392,tblEslesme[A_Norm],0)),""))</f>
        <v/>
      </c>
      <c r="C392" s="16">
        <f>IF($A392="","",IFERROR(INDEX(tblEslesme[AbsFark],MATCH($A392,tblEslesme[A_Norm],0)),0))</f>
        <v/>
      </c>
      <c r="D392" s="16">
        <f>IF($A392="","",IFERROR(INDEX(tblVeriA[Unvan],MATCH($A392,tblAnahtarA[Norm],0)),""))</f>
        <v/>
      </c>
      <c r="E392" s="16">
        <f>IF($A392="","",IFERROR(SUMIF(tblAnahtarB[NormB],$A392,tblVeriB[BelgeAdet]),0))</f>
        <v/>
      </c>
      <c r="F392" s="16">
        <f>IF($A392="","",IFERROR(INDEX(tblVeriB[FormTipi],MATCH($A392,tblAnahtarB[NormB],0)),""))</f>
        <v/>
      </c>
      <c r="G392" s="16">
        <f>IF($A392="","",IFERROR(INDEX(tblVeriA[Donem],MATCH($A392,tblAnahtarA[Norm],0)),""))</f>
        <v/>
      </c>
      <c r="H392" s="16">
        <f>IF(OR($A392="",$B392&lt;&gt;"tutar_farki"),"",IF($E392=0,"BELGE_EKSIK",IF($C392&lt;=toleransKurus*cbb_yuvarlamaCarpan,"YUVARLAMA",IF(AND($F392&lt;&gt;"Ba",$F392&lt;&gt;"Bs"),"TIP_KARISIK",IF($C392&gt;cbb_esikFark*cbb_donemCarpan,"DONEM",IF(LEN($D392)&lt;cbb_unvanMinLen,"UNVAN","TANIMSIZ"))))))</f>
        <v/>
      </c>
    </row>
    <row r="393">
      <c r="A393" s="26">
        <f>IF('ESLESTIRME'!$A393="","",'ESLESTIRME'!$A393)</f>
        <v/>
      </c>
      <c r="B393" s="16">
        <f>IF($A393="","",IFERROR(INDEX(tblEslesme[Kova],MATCH($A393,tblEslesme[A_Norm],0)),""))</f>
        <v/>
      </c>
      <c r="C393" s="16">
        <f>IF($A393="","",IFERROR(INDEX(tblEslesme[AbsFark],MATCH($A393,tblEslesme[A_Norm],0)),0))</f>
        <v/>
      </c>
      <c r="D393" s="16">
        <f>IF($A393="","",IFERROR(INDEX(tblVeriA[Unvan],MATCH($A393,tblAnahtarA[Norm],0)),""))</f>
        <v/>
      </c>
      <c r="E393" s="16">
        <f>IF($A393="","",IFERROR(SUMIF(tblAnahtarB[NormB],$A393,tblVeriB[BelgeAdet]),0))</f>
        <v/>
      </c>
      <c r="F393" s="16">
        <f>IF($A393="","",IFERROR(INDEX(tblVeriB[FormTipi],MATCH($A393,tblAnahtarB[NormB],0)),""))</f>
        <v/>
      </c>
      <c r="G393" s="16">
        <f>IF($A393="","",IFERROR(INDEX(tblVeriA[Donem],MATCH($A393,tblAnahtarA[Norm],0)),""))</f>
        <v/>
      </c>
      <c r="H393" s="16">
        <f>IF(OR($A393="",$B393&lt;&gt;"tutar_farki"),"",IF($E393=0,"BELGE_EKSIK",IF($C393&lt;=toleransKurus*cbb_yuvarlamaCarpan,"YUVARLAMA",IF(AND($F393&lt;&gt;"Ba",$F393&lt;&gt;"Bs"),"TIP_KARISIK",IF($C393&gt;cbb_esikFark*cbb_donemCarpan,"DONEM",IF(LEN($D393)&lt;cbb_unvanMinLen,"UNVAN","TANIMSIZ"))))))</f>
        <v/>
      </c>
    </row>
    <row r="394">
      <c r="A394" s="26">
        <f>IF('ESLESTIRME'!$A394="","",'ESLESTIRME'!$A394)</f>
        <v/>
      </c>
      <c r="B394" s="16">
        <f>IF($A394="","",IFERROR(INDEX(tblEslesme[Kova],MATCH($A394,tblEslesme[A_Norm],0)),""))</f>
        <v/>
      </c>
      <c r="C394" s="16">
        <f>IF($A394="","",IFERROR(INDEX(tblEslesme[AbsFark],MATCH($A394,tblEslesme[A_Norm],0)),0))</f>
        <v/>
      </c>
      <c r="D394" s="16">
        <f>IF($A394="","",IFERROR(INDEX(tblVeriA[Unvan],MATCH($A394,tblAnahtarA[Norm],0)),""))</f>
        <v/>
      </c>
      <c r="E394" s="16">
        <f>IF($A394="","",IFERROR(SUMIF(tblAnahtarB[NormB],$A394,tblVeriB[BelgeAdet]),0))</f>
        <v/>
      </c>
      <c r="F394" s="16">
        <f>IF($A394="","",IFERROR(INDEX(tblVeriB[FormTipi],MATCH($A394,tblAnahtarB[NormB],0)),""))</f>
        <v/>
      </c>
      <c r="G394" s="16">
        <f>IF($A394="","",IFERROR(INDEX(tblVeriA[Donem],MATCH($A394,tblAnahtarA[Norm],0)),""))</f>
        <v/>
      </c>
      <c r="H394" s="16">
        <f>IF(OR($A394="",$B394&lt;&gt;"tutar_farki"),"",IF($E394=0,"BELGE_EKSIK",IF($C394&lt;=toleransKurus*cbb_yuvarlamaCarpan,"YUVARLAMA",IF(AND($F394&lt;&gt;"Ba",$F394&lt;&gt;"Bs"),"TIP_KARISIK",IF($C394&gt;cbb_esikFark*cbb_donemCarpan,"DONEM",IF(LEN($D394)&lt;cbb_unvanMinLen,"UNVAN","TANIMSIZ"))))))</f>
        <v/>
      </c>
    </row>
    <row r="395">
      <c r="A395" s="26">
        <f>IF('ESLESTIRME'!$A395="","",'ESLESTIRME'!$A395)</f>
        <v/>
      </c>
      <c r="B395" s="16">
        <f>IF($A395="","",IFERROR(INDEX(tblEslesme[Kova],MATCH($A395,tblEslesme[A_Norm],0)),""))</f>
        <v/>
      </c>
      <c r="C395" s="16">
        <f>IF($A395="","",IFERROR(INDEX(tblEslesme[AbsFark],MATCH($A395,tblEslesme[A_Norm],0)),0))</f>
        <v/>
      </c>
      <c r="D395" s="16">
        <f>IF($A395="","",IFERROR(INDEX(tblVeriA[Unvan],MATCH($A395,tblAnahtarA[Norm],0)),""))</f>
        <v/>
      </c>
      <c r="E395" s="16">
        <f>IF($A395="","",IFERROR(SUMIF(tblAnahtarB[NormB],$A395,tblVeriB[BelgeAdet]),0))</f>
        <v/>
      </c>
      <c r="F395" s="16">
        <f>IF($A395="","",IFERROR(INDEX(tblVeriB[FormTipi],MATCH($A395,tblAnahtarB[NormB],0)),""))</f>
        <v/>
      </c>
      <c r="G395" s="16">
        <f>IF($A395="","",IFERROR(INDEX(tblVeriA[Donem],MATCH($A395,tblAnahtarA[Norm],0)),""))</f>
        <v/>
      </c>
      <c r="H395" s="16">
        <f>IF(OR($A395="",$B395&lt;&gt;"tutar_farki"),"",IF($E395=0,"BELGE_EKSIK",IF($C395&lt;=toleransKurus*cbb_yuvarlamaCarpan,"YUVARLAMA",IF(AND($F395&lt;&gt;"Ba",$F395&lt;&gt;"Bs"),"TIP_KARISIK",IF($C395&gt;cbb_esikFark*cbb_donemCarpan,"DONEM",IF(LEN($D395)&lt;cbb_unvanMinLen,"UNVAN","TANIMSIZ"))))))</f>
        <v/>
      </c>
    </row>
    <row r="396">
      <c r="A396" s="26">
        <f>IF('ESLESTIRME'!$A396="","",'ESLESTIRME'!$A396)</f>
        <v/>
      </c>
      <c r="B396" s="16">
        <f>IF($A396="","",IFERROR(INDEX(tblEslesme[Kova],MATCH($A396,tblEslesme[A_Norm],0)),""))</f>
        <v/>
      </c>
      <c r="C396" s="16">
        <f>IF($A396="","",IFERROR(INDEX(tblEslesme[AbsFark],MATCH($A396,tblEslesme[A_Norm],0)),0))</f>
        <v/>
      </c>
      <c r="D396" s="16">
        <f>IF($A396="","",IFERROR(INDEX(tblVeriA[Unvan],MATCH($A396,tblAnahtarA[Norm],0)),""))</f>
        <v/>
      </c>
      <c r="E396" s="16">
        <f>IF($A396="","",IFERROR(SUMIF(tblAnahtarB[NormB],$A396,tblVeriB[BelgeAdet]),0))</f>
        <v/>
      </c>
      <c r="F396" s="16">
        <f>IF($A396="","",IFERROR(INDEX(tblVeriB[FormTipi],MATCH($A396,tblAnahtarB[NormB],0)),""))</f>
        <v/>
      </c>
      <c r="G396" s="16">
        <f>IF($A396="","",IFERROR(INDEX(tblVeriA[Donem],MATCH($A396,tblAnahtarA[Norm],0)),""))</f>
        <v/>
      </c>
      <c r="H396" s="16">
        <f>IF(OR($A396="",$B396&lt;&gt;"tutar_farki"),"",IF($E396=0,"BELGE_EKSIK",IF($C396&lt;=toleransKurus*cbb_yuvarlamaCarpan,"YUVARLAMA",IF(AND($F396&lt;&gt;"Ba",$F396&lt;&gt;"Bs"),"TIP_KARISIK",IF($C396&gt;cbb_esikFark*cbb_donemCarpan,"DONEM",IF(LEN($D396)&lt;cbb_unvanMinLen,"UNVAN","TANIMSIZ"))))))</f>
        <v/>
      </c>
    </row>
    <row r="397">
      <c r="A397" s="26">
        <f>IF('ESLESTIRME'!$A397="","",'ESLESTIRME'!$A397)</f>
        <v/>
      </c>
      <c r="B397" s="16">
        <f>IF($A397="","",IFERROR(INDEX(tblEslesme[Kova],MATCH($A397,tblEslesme[A_Norm],0)),""))</f>
        <v/>
      </c>
      <c r="C397" s="16">
        <f>IF($A397="","",IFERROR(INDEX(tblEslesme[AbsFark],MATCH($A397,tblEslesme[A_Norm],0)),0))</f>
        <v/>
      </c>
      <c r="D397" s="16">
        <f>IF($A397="","",IFERROR(INDEX(tblVeriA[Unvan],MATCH($A397,tblAnahtarA[Norm],0)),""))</f>
        <v/>
      </c>
      <c r="E397" s="16">
        <f>IF($A397="","",IFERROR(SUMIF(tblAnahtarB[NormB],$A397,tblVeriB[BelgeAdet]),0))</f>
        <v/>
      </c>
      <c r="F397" s="16">
        <f>IF($A397="","",IFERROR(INDEX(tblVeriB[FormTipi],MATCH($A397,tblAnahtarB[NormB],0)),""))</f>
        <v/>
      </c>
      <c r="G397" s="16">
        <f>IF($A397="","",IFERROR(INDEX(tblVeriA[Donem],MATCH($A397,tblAnahtarA[Norm],0)),""))</f>
        <v/>
      </c>
      <c r="H397" s="16">
        <f>IF(OR($A397="",$B397&lt;&gt;"tutar_farki"),"",IF($E397=0,"BELGE_EKSIK",IF($C397&lt;=toleransKurus*cbb_yuvarlamaCarpan,"YUVARLAMA",IF(AND($F397&lt;&gt;"Ba",$F397&lt;&gt;"Bs"),"TIP_KARISIK",IF($C397&gt;cbb_esikFark*cbb_donemCarpan,"DONEM",IF(LEN($D397)&lt;cbb_unvanMinLen,"UNVAN","TANIMSIZ"))))))</f>
        <v/>
      </c>
    </row>
    <row r="398">
      <c r="A398" s="26">
        <f>IF('ESLESTIRME'!$A398="","",'ESLESTIRME'!$A398)</f>
        <v/>
      </c>
      <c r="B398" s="16">
        <f>IF($A398="","",IFERROR(INDEX(tblEslesme[Kova],MATCH($A398,tblEslesme[A_Norm],0)),""))</f>
        <v/>
      </c>
      <c r="C398" s="16">
        <f>IF($A398="","",IFERROR(INDEX(tblEslesme[AbsFark],MATCH($A398,tblEslesme[A_Norm],0)),0))</f>
        <v/>
      </c>
      <c r="D398" s="16">
        <f>IF($A398="","",IFERROR(INDEX(tblVeriA[Unvan],MATCH($A398,tblAnahtarA[Norm],0)),""))</f>
        <v/>
      </c>
      <c r="E398" s="16">
        <f>IF($A398="","",IFERROR(SUMIF(tblAnahtarB[NormB],$A398,tblVeriB[BelgeAdet]),0))</f>
        <v/>
      </c>
      <c r="F398" s="16">
        <f>IF($A398="","",IFERROR(INDEX(tblVeriB[FormTipi],MATCH($A398,tblAnahtarB[NormB],0)),""))</f>
        <v/>
      </c>
      <c r="G398" s="16">
        <f>IF($A398="","",IFERROR(INDEX(tblVeriA[Donem],MATCH($A398,tblAnahtarA[Norm],0)),""))</f>
        <v/>
      </c>
      <c r="H398" s="16">
        <f>IF(OR($A398="",$B398&lt;&gt;"tutar_farki"),"",IF($E398=0,"BELGE_EKSIK",IF($C398&lt;=toleransKurus*cbb_yuvarlamaCarpan,"YUVARLAMA",IF(AND($F398&lt;&gt;"Ba",$F398&lt;&gt;"Bs"),"TIP_KARISIK",IF($C398&gt;cbb_esikFark*cbb_donemCarpan,"DONEM",IF(LEN($D398)&lt;cbb_unvanMinLen,"UNVAN","TANIMSIZ"))))))</f>
        <v/>
      </c>
    </row>
    <row r="399">
      <c r="A399" s="26">
        <f>IF('ESLESTIRME'!$A399="","",'ESLESTIRME'!$A399)</f>
        <v/>
      </c>
      <c r="B399" s="16">
        <f>IF($A399="","",IFERROR(INDEX(tblEslesme[Kova],MATCH($A399,tblEslesme[A_Norm],0)),""))</f>
        <v/>
      </c>
      <c r="C399" s="16">
        <f>IF($A399="","",IFERROR(INDEX(tblEslesme[AbsFark],MATCH($A399,tblEslesme[A_Norm],0)),0))</f>
        <v/>
      </c>
      <c r="D399" s="16">
        <f>IF($A399="","",IFERROR(INDEX(tblVeriA[Unvan],MATCH($A399,tblAnahtarA[Norm],0)),""))</f>
        <v/>
      </c>
      <c r="E399" s="16">
        <f>IF($A399="","",IFERROR(SUMIF(tblAnahtarB[NormB],$A399,tblVeriB[BelgeAdet]),0))</f>
        <v/>
      </c>
      <c r="F399" s="16">
        <f>IF($A399="","",IFERROR(INDEX(tblVeriB[FormTipi],MATCH($A399,tblAnahtarB[NormB],0)),""))</f>
        <v/>
      </c>
      <c r="G399" s="16">
        <f>IF($A399="","",IFERROR(INDEX(tblVeriA[Donem],MATCH($A399,tblAnahtarA[Norm],0)),""))</f>
        <v/>
      </c>
      <c r="H399" s="16">
        <f>IF(OR($A399="",$B399&lt;&gt;"tutar_farki"),"",IF($E399=0,"BELGE_EKSIK",IF($C399&lt;=toleransKurus*cbb_yuvarlamaCarpan,"YUVARLAMA",IF(AND($F399&lt;&gt;"Ba",$F399&lt;&gt;"Bs"),"TIP_KARISIK",IF($C399&gt;cbb_esikFark*cbb_donemCarpan,"DONEM",IF(LEN($D399)&lt;cbb_unvanMinLen,"UNVAN","TANIMSIZ"))))))</f>
        <v/>
      </c>
    </row>
    <row r="400">
      <c r="A400" s="26">
        <f>IF('ESLESTIRME'!$A400="","",'ESLESTIRME'!$A400)</f>
        <v/>
      </c>
      <c r="B400" s="16">
        <f>IF($A400="","",IFERROR(INDEX(tblEslesme[Kova],MATCH($A400,tblEslesme[A_Norm],0)),""))</f>
        <v/>
      </c>
      <c r="C400" s="16">
        <f>IF($A400="","",IFERROR(INDEX(tblEslesme[AbsFark],MATCH($A400,tblEslesme[A_Norm],0)),0))</f>
        <v/>
      </c>
      <c r="D400" s="16">
        <f>IF($A400="","",IFERROR(INDEX(tblVeriA[Unvan],MATCH($A400,tblAnahtarA[Norm],0)),""))</f>
        <v/>
      </c>
      <c r="E400" s="16">
        <f>IF($A400="","",IFERROR(SUMIF(tblAnahtarB[NormB],$A400,tblVeriB[BelgeAdet]),0))</f>
        <v/>
      </c>
      <c r="F400" s="16">
        <f>IF($A400="","",IFERROR(INDEX(tblVeriB[FormTipi],MATCH($A400,tblAnahtarB[NormB],0)),""))</f>
        <v/>
      </c>
      <c r="G400" s="16">
        <f>IF($A400="","",IFERROR(INDEX(tblVeriA[Donem],MATCH($A400,tblAnahtarA[Norm],0)),""))</f>
        <v/>
      </c>
      <c r="H400" s="16">
        <f>IF(OR($A400="",$B400&lt;&gt;"tutar_farki"),"",IF($E400=0,"BELGE_EKSIK",IF($C400&lt;=toleransKurus*cbb_yuvarlamaCarpan,"YUVARLAMA",IF(AND($F400&lt;&gt;"Ba",$F400&lt;&gt;"Bs"),"TIP_KARISIK",IF($C400&gt;cbb_esikFark*cbb_donemCarpan,"DONEM",IF(LEN($D400)&lt;cbb_unvanMinLen,"UNVAN","TANIMSIZ"))))))</f>
        <v/>
      </c>
    </row>
    <row r="401">
      <c r="A401" s="26">
        <f>IF('ESLESTIRME'!$A401="","",'ESLESTIRME'!$A401)</f>
        <v/>
      </c>
      <c r="B401" s="16">
        <f>IF($A401="","",IFERROR(INDEX(tblEslesme[Kova],MATCH($A401,tblEslesme[A_Norm],0)),""))</f>
        <v/>
      </c>
      <c r="C401" s="16">
        <f>IF($A401="","",IFERROR(INDEX(tblEslesme[AbsFark],MATCH($A401,tblEslesme[A_Norm],0)),0))</f>
        <v/>
      </c>
      <c r="D401" s="16">
        <f>IF($A401="","",IFERROR(INDEX(tblVeriA[Unvan],MATCH($A401,tblAnahtarA[Norm],0)),""))</f>
        <v/>
      </c>
      <c r="E401" s="16">
        <f>IF($A401="","",IFERROR(SUMIF(tblAnahtarB[NormB],$A401,tblVeriB[BelgeAdet]),0))</f>
        <v/>
      </c>
      <c r="F401" s="16">
        <f>IF($A401="","",IFERROR(INDEX(tblVeriB[FormTipi],MATCH($A401,tblAnahtarB[NormB],0)),""))</f>
        <v/>
      </c>
      <c r="G401" s="16">
        <f>IF($A401="","",IFERROR(INDEX(tblVeriA[Donem],MATCH($A401,tblAnahtarA[Norm],0)),""))</f>
        <v/>
      </c>
      <c r="H401" s="16">
        <f>IF(OR($A401="",$B401&lt;&gt;"tutar_farki"),"",IF($E401=0,"BELGE_EKSIK",IF($C401&lt;=toleransKurus*cbb_yuvarlamaCarpan,"YUVARLAMA",IF(AND($F401&lt;&gt;"Ba",$F401&lt;&gt;"Bs"),"TIP_KARISIK",IF($C401&gt;cbb_esikFark*cbb_donemCarpan,"DONEM",IF(LEN($D401)&lt;cbb_unvanMinLen,"UNVAN","TANIMSIZ"))))))</f>
        <v/>
      </c>
    </row>
    <row r="402">
      <c r="A402" s="26">
        <f>IF('ESLESTIRME'!$A402="","",'ESLESTIRME'!$A402)</f>
        <v/>
      </c>
      <c r="B402" s="16">
        <f>IF($A402="","",IFERROR(INDEX(tblEslesme[Kova],MATCH($A402,tblEslesme[A_Norm],0)),""))</f>
        <v/>
      </c>
      <c r="C402" s="16">
        <f>IF($A402="","",IFERROR(INDEX(tblEslesme[AbsFark],MATCH($A402,tblEslesme[A_Norm],0)),0))</f>
        <v/>
      </c>
      <c r="D402" s="16">
        <f>IF($A402="","",IFERROR(INDEX(tblVeriA[Unvan],MATCH($A402,tblAnahtarA[Norm],0)),""))</f>
        <v/>
      </c>
      <c r="E402" s="16">
        <f>IF($A402="","",IFERROR(SUMIF(tblAnahtarB[NormB],$A402,tblVeriB[BelgeAdet]),0))</f>
        <v/>
      </c>
      <c r="F402" s="16">
        <f>IF($A402="","",IFERROR(INDEX(tblVeriB[FormTipi],MATCH($A402,tblAnahtarB[NormB],0)),""))</f>
        <v/>
      </c>
      <c r="G402" s="16">
        <f>IF($A402="","",IFERROR(INDEX(tblVeriA[Donem],MATCH($A402,tblAnahtarA[Norm],0)),""))</f>
        <v/>
      </c>
      <c r="H402" s="16">
        <f>IF(OR($A402="",$B402&lt;&gt;"tutar_farki"),"",IF($E402=0,"BELGE_EKSIK",IF($C402&lt;=toleransKurus*cbb_yuvarlamaCarpan,"YUVARLAMA",IF(AND($F402&lt;&gt;"Ba",$F402&lt;&gt;"Bs"),"TIP_KARISIK",IF($C402&gt;cbb_esikFark*cbb_donemCarpan,"DONEM",IF(LEN($D402)&lt;cbb_unvanMinLen,"UNVAN","TANIMSIZ"))))))</f>
        <v/>
      </c>
    </row>
    <row r="403">
      <c r="A403" s="26">
        <f>IF('ESLESTIRME'!$A403="","",'ESLESTIRME'!$A403)</f>
        <v/>
      </c>
      <c r="B403" s="16">
        <f>IF($A403="","",IFERROR(INDEX(tblEslesme[Kova],MATCH($A403,tblEslesme[A_Norm],0)),""))</f>
        <v/>
      </c>
      <c r="C403" s="16">
        <f>IF($A403="","",IFERROR(INDEX(tblEslesme[AbsFark],MATCH($A403,tblEslesme[A_Norm],0)),0))</f>
        <v/>
      </c>
      <c r="D403" s="16">
        <f>IF($A403="","",IFERROR(INDEX(tblVeriA[Unvan],MATCH($A403,tblAnahtarA[Norm],0)),""))</f>
        <v/>
      </c>
      <c r="E403" s="16">
        <f>IF($A403="","",IFERROR(SUMIF(tblAnahtarB[NormB],$A403,tblVeriB[BelgeAdet]),0))</f>
        <v/>
      </c>
      <c r="F403" s="16">
        <f>IF($A403="","",IFERROR(INDEX(tblVeriB[FormTipi],MATCH($A403,tblAnahtarB[NormB],0)),""))</f>
        <v/>
      </c>
      <c r="G403" s="16">
        <f>IF($A403="","",IFERROR(INDEX(tblVeriA[Donem],MATCH($A403,tblAnahtarA[Norm],0)),""))</f>
        <v/>
      </c>
      <c r="H403" s="16">
        <f>IF(OR($A403="",$B403&lt;&gt;"tutar_farki"),"",IF($E403=0,"BELGE_EKSIK",IF($C403&lt;=toleransKurus*cbb_yuvarlamaCarpan,"YUVARLAMA",IF(AND($F403&lt;&gt;"Ba",$F403&lt;&gt;"Bs"),"TIP_KARISIK",IF($C403&gt;cbb_esikFark*cbb_donemCarpan,"DONEM",IF(LEN($D403)&lt;cbb_unvanMinLen,"UNVAN","TANIMSIZ"))))))</f>
        <v/>
      </c>
    </row>
    <row r="404">
      <c r="A404" s="26">
        <f>IF('ESLESTIRME'!$A404="","",'ESLESTIRME'!$A404)</f>
        <v/>
      </c>
      <c r="B404" s="16">
        <f>IF($A404="","",IFERROR(INDEX(tblEslesme[Kova],MATCH($A404,tblEslesme[A_Norm],0)),""))</f>
        <v/>
      </c>
      <c r="C404" s="16">
        <f>IF($A404="","",IFERROR(INDEX(tblEslesme[AbsFark],MATCH($A404,tblEslesme[A_Norm],0)),0))</f>
        <v/>
      </c>
      <c r="D404" s="16">
        <f>IF($A404="","",IFERROR(INDEX(tblVeriA[Unvan],MATCH($A404,tblAnahtarA[Norm],0)),""))</f>
        <v/>
      </c>
      <c r="E404" s="16">
        <f>IF($A404="","",IFERROR(SUMIF(tblAnahtarB[NormB],$A404,tblVeriB[BelgeAdet]),0))</f>
        <v/>
      </c>
      <c r="F404" s="16">
        <f>IF($A404="","",IFERROR(INDEX(tblVeriB[FormTipi],MATCH($A404,tblAnahtarB[NormB],0)),""))</f>
        <v/>
      </c>
      <c r="G404" s="16">
        <f>IF($A404="","",IFERROR(INDEX(tblVeriA[Donem],MATCH($A404,tblAnahtarA[Norm],0)),""))</f>
        <v/>
      </c>
      <c r="H404" s="16">
        <f>IF(OR($A404="",$B404&lt;&gt;"tutar_farki"),"",IF($E404=0,"BELGE_EKSIK",IF($C404&lt;=toleransKurus*cbb_yuvarlamaCarpan,"YUVARLAMA",IF(AND($F404&lt;&gt;"Ba",$F404&lt;&gt;"Bs"),"TIP_KARISIK",IF($C404&gt;cbb_esikFark*cbb_donemCarpan,"DONEM",IF(LEN($D404)&lt;cbb_unvanMinLen,"UNVAN","TANIMSIZ"))))))</f>
        <v/>
      </c>
    </row>
    <row r="405">
      <c r="A405" s="26">
        <f>IF('ESLESTIRME'!$A405="","",'ESLESTIRME'!$A405)</f>
        <v/>
      </c>
      <c r="B405" s="16">
        <f>IF($A405="","",IFERROR(INDEX(tblEslesme[Kova],MATCH($A405,tblEslesme[A_Norm],0)),""))</f>
        <v/>
      </c>
      <c r="C405" s="16">
        <f>IF($A405="","",IFERROR(INDEX(tblEslesme[AbsFark],MATCH($A405,tblEslesme[A_Norm],0)),0))</f>
        <v/>
      </c>
      <c r="D405" s="16">
        <f>IF($A405="","",IFERROR(INDEX(tblVeriA[Unvan],MATCH($A405,tblAnahtarA[Norm],0)),""))</f>
        <v/>
      </c>
      <c r="E405" s="16">
        <f>IF($A405="","",IFERROR(SUMIF(tblAnahtarB[NormB],$A405,tblVeriB[BelgeAdet]),0))</f>
        <v/>
      </c>
      <c r="F405" s="16">
        <f>IF($A405="","",IFERROR(INDEX(tblVeriB[FormTipi],MATCH($A405,tblAnahtarB[NormB],0)),""))</f>
        <v/>
      </c>
      <c r="G405" s="16">
        <f>IF($A405="","",IFERROR(INDEX(tblVeriA[Donem],MATCH($A405,tblAnahtarA[Norm],0)),""))</f>
        <v/>
      </c>
      <c r="H405" s="16">
        <f>IF(OR($A405="",$B405&lt;&gt;"tutar_farki"),"",IF($E405=0,"BELGE_EKSIK",IF($C405&lt;=toleransKurus*cbb_yuvarlamaCarpan,"YUVARLAMA",IF(AND($F405&lt;&gt;"Ba",$F405&lt;&gt;"Bs"),"TIP_KARISIK",IF($C405&gt;cbb_esikFark*cbb_donemCarpan,"DONEM",IF(LEN($D405)&lt;cbb_unvanMinLen,"UNVAN","TANIMSIZ"))))))</f>
        <v/>
      </c>
    </row>
    <row r="406">
      <c r="A406" s="26">
        <f>IF('ESLESTIRME'!$A406="","",'ESLESTIRME'!$A406)</f>
        <v/>
      </c>
      <c r="B406" s="16">
        <f>IF($A406="","",IFERROR(INDEX(tblEslesme[Kova],MATCH($A406,tblEslesme[A_Norm],0)),""))</f>
        <v/>
      </c>
      <c r="C406" s="16">
        <f>IF($A406="","",IFERROR(INDEX(tblEslesme[AbsFark],MATCH($A406,tblEslesme[A_Norm],0)),0))</f>
        <v/>
      </c>
      <c r="D406" s="16">
        <f>IF($A406="","",IFERROR(INDEX(tblVeriA[Unvan],MATCH($A406,tblAnahtarA[Norm],0)),""))</f>
        <v/>
      </c>
      <c r="E406" s="16">
        <f>IF($A406="","",IFERROR(SUMIF(tblAnahtarB[NormB],$A406,tblVeriB[BelgeAdet]),0))</f>
        <v/>
      </c>
      <c r="F406" s="16">
        <f>IF($A406="","",IFERROR(INDEX(tblVeriB[FormTipi],MATCH($A406,tblAnahtarB[NormB],0)),""))</f>
        <v/>
      </c>
      <c r="G406" s="16">
        <f>IF($A406="","",IFERROR(INDEX(tblVeriA[Donem],MATCH($A406,tblAnahtarA[Norm],0)),""))</f>
        <v/>
      </c>
      <c r="H406" s="16">
        <f>IF(OR($A406="",$B406&lt;&gt;"tutar_farki"),"",IF($E406=0,"BELGE_EKSIK",IF($C406&lt;=toleransKurus*cbb_yuvarlamaCarpan,"YUVARLAMA",IF(AND($F406&lt;&gt;"Ba",$F406&lt;&gt;"Bs"),"TIP_KARISIK",IF($C406&gt;cbb_esikFark*cbb_donemCarpan,"DONEM",IF(LEN($D406)&lt;cbb_unvanMinLen,"UNVAN","TANIMSIZ"))))))</f>
        <v/>
      </c>
    </row>
    <row r="407">
      <c r="A407" s="26">
        <f>IF('ESLESTIRME'!$A407="","",'ESLESTIRME'!$A407)</f>
        <v/>
      </c>
      <c r="B407" s="16">
        <f>IF($A407="","",IFERROR(INDEX(tblEslesme[Kova],MATCH($A407,tblEslesme[A_Norm],0)),""))</f>
        <v/>
      </c>
      <c r="C407" s="16">
        <f>IF($A407="","",IFERROR(INDEX(tblEslesme[AbsFark],MATCH($A407,tblEslesme[A_Norm],0)),0))</f>
        <v/>
      </c>
      <c r="D407" s="16">
        <f>IF($A407="","",IFERROR(INDEX(tblVeriA[Unvan],MATCH($A407,tblAnahtarA[Norm],0)),""))</f>
        <v/>
      </c>
      <c r="E407" s="16">
        <f>IF($A407="","",IFERROR(SUMIF(tblAnahtarB[NormB],$A407,tblVeriB[BelgeAdet]),0))</f>
        <v/>
      </c>
      <c r="F407" s="16">
        <f>IF($A407="","",IFERROR(INDEX(tblVeriB[FormTipi],MATCH($A407,tblAnahtarB[NormB],0)),""))</f>
        <v/>
      </c>
      <c r="G407" s="16">
        <f>IF($A407="","",IFERROR(INDEX(tblVeriA[Donem],MATCH($A407,tblAnahtarA[Norm],0)),""))</f>
        <v/>
      </c>
      <c r="H407" s="16">
        <f>IF(OR($A407="",$B407&lt;&gt;"tutar_farki"),"",IF($E407=0,"BELGE_EKSIK",IF($C407&lt;=toleransKurus*cbb_yuvarlamaCarpan,"YUVARLAMA",IF(AND($F407&lt;&gt;"Ba",$F407&lt;&gt;"Bs"),"TIP_KARISIK",IF($C407&gt;cbb_esikFark*cbb_donemCarpan,"DONEM",IF(LEN($D407)&lt;cbb_unvanMinLen,"UNVAN","TANIMSIZ"))))))</f>
        <v/>
      </c>
    </row>
    <row r="408">
      <c r="A408" s="26">
        <f>IF('ESLESTIRME'!$A408="","",'ESLESTIRME'!$A408)</f>
        <v/>
      </c>
      <c r="B408" s="16">
        <f>IF($A408="","",IFERROR(INDEX(tblEslesme[Kova],MATCH($A408,tblEslesme[A_Norm],0)),""))</f>
        <v/>
      </c>
      <c r="C408" s="16">
        <f>IF($A408="","",IFERROR(INDEX(tblEslesme[AbsFark],MATCH($A408,tblEslesme[A_Norm],0)),0))</f>
        <v/>
      </c>
      <c r="D408" s="16">
        <f>IF($A408="","",IFERROR(INDEX(tblVeriA[Unvan],MATCH($A408,tblAnahtarA[Norm],0)),""))</f>
        <v/>
      </c>
      <c r="E408" s="16">
        <f>IF($A408="","",IFERROR(SUMIF(tblAnahtarB[NormB],$A408,tblVeriB[BelgeAdet]),0))</f>
        <v/>
      </c>
      <c r="F408" s="16">
        <f>IF($A408="","",IFERROR(INDEX(tblVeriB[FormTipi],MATCH($A408,tblAnahtarB[NormB],0)),""))</f>
        <v/>
      </c>
      <c r="G408" s="16">
        <f>IF($A408="","",IFERROR(INDEX(tblVeriA[Donem],MATCH($A408,tblAnahtarA[Norm],0)),""))</f>
        <v/>
      </c>
      <c r="H408" s="16">
        <f>IF(OR($A408="",$B408&lt;&gt;"tutar_farki"),"",IF($E408=0,"BELGE_EKSIK",IF($C408&lt;=toleransKurus*cbb_yuvarlamaCarpan,"YUVARLAMA",IF(AND($F408&lt;&gt;"Ba",$F408&lt;&gt;"Bs"),"TIP_KARISIK",IF($C408&gt;cbb_esikFark*cbb_donemCarpan,"DONEM",IF(LEN($D408)&lt;cbb_unvanMinLen,"UNVAN","TANIMSIZ"))))))</f>
        <v/>
      </c>
    </row>
    <row r="409">
      <c r="A409" s="26">
        <f>IF('ESLESTIRME'!$A409="","",'ESLESTIRME'!$A409)</f>
        <v/>
      </c>
      <c r="B409" s="16">
        <f>IF($A409="","",IFERROR(INDEX(tblEslesme[Kova],MATCH($A409,tblEslesme[A_Norm],0)),""))</f>
        <v/>
      </c>
      <c r="C409" s="16">
        <f>IF($A409="","",IFERROR(INDEX(tblEslesme[AbsFark],MATCH($A409,tblEslesme[A_Norm],0)),0))</f>
        <v/>
      </c>
      <c r="D409" s="16">
        <f>IF($A409="","",IFERROR(INDEX(tblVeriA[Unvan],MATCH($A409,tblAnahtarA[Norm],0)),""))</f>
        <v/>
      </c>
      <c r="E409" s="16">
        <f>IF($A409="","",IFERROR(SUMIF(tblAnahtarB[NormB],$A409,tblVeriB[BelgeAdet]),0))</f>
        <v/>
      </c>
      <c r="F409" s="16">
        <f>IF($A409="","",IFERROR(INDEX(tblVeriB[FormTipi],MATCH($A409,tblAnahtarB[NormB],0)),""))</f>
        <v/>
      </c>
      <c r="G409" s="16">
        <f>IF($A409="","",IFERROR(INDEX(tblVeriA[Donem],MATCH($A409,tblAnahtarA[Norm],0)),""))</f>
        <v/>
      </c>
      <c r="H409" s="16">
        <f>IF(OR($A409="",$B409&lt;&gt;"tutar_farki"),"",IF($E409=0,"BELGE_EKSIK",IF($C409&lt;=toleransKurus*cbb_yuvarlamaCarpan,"YUVARLAMA",IF(AND($F409&lt;&gt;"Ba",$F409&lt;&gt;"Bs"),"TIP_KARISIK",IF($C409&gt;cbb_esikFark*cbb_donemCarpan,"DONEM",IF(LEN($D409)&lt;cbb_unvanMinLen,"UNVAN","TANIMSIZ"))))))</f>
        <v/>
      </c>
    </row>
    <row r="410">
      <c r="A410" s="26">
        <f>IF('ESLESTIRME'!$A410="","",'ESLESTIRME'!$A410)</f>
        <v/>
      </c>
      <c r="B410" s="16">
        <f>IF($A410="","",IFERROR(INDEX(tblEslesme[Kova],MATCH($A410,tblEslesme[A_Norm],0)),""))</f>
        <v/>
      </c>
      <c r="C410" s="16">
        <f>IF($A410="","",IFERROR(INDEX(tblEslesme[AbsFark],MATCH($A410,tblEslesme[A_Norm],0)),0))</f>
        <v/>
      </c>
      <c r="D410" s="16">
        <f>IF($A410="","",IFERROR(INDEX(tblVeriA[Unvan],MATCH($A410,tblAnahtarA[Norm],0)),""))</f>
        <v/>
      </c>
      <c r="E410" s="16">
        <f>IF($A410="","",IFERROR(SUMIF(tblAnahtarB[NormB],$A410,tblVeriB[BelgeAdet]),0))</f>
        <v/>
      </c>
      <c r="F410" s="16">
        <f>IF($A410="","",IFERROR(INDEX(tblVeriB[FormTipi],MATCH($A410,tblAnahtarB[NormB],0)),""))</f>
        <v/>
      </c>
      <c r="G410" s="16">
        <f>IF($A410="","",IFERROR(INDEX(tblVeriA[Donem],MATCH($A410,tblAnahtarA[Norm],0)),""))</f>
        <v/>
      </c>
      <c r="H410" s="16">
        <f>IF(OR($A410="",$B410&lt;&gt;"tutar_farki"),"",IF($E410=0,"BELGE_EKSIK",IF($C410&lt;=toleransKurus*cbb_yuvarlamaCarpan,"YUVARLAMA",IF(AND($F410&lt;&gt;"Ba",$F410&lt;&gt;"Bs"),"TIP_KARISIK",IF($C410&gt;cbb_esikFark*cbb_donemCarpan,"DONEM",IF(LEN($D410)&lt;cbb_unvanMinLen,"UNVAN","TANIMSIZ"))))))</f>
        <v/>
      </c>
    </row>
    <row r="411">
      <c r="A411" s="26">
        <f>IF('ESLESTIRME'!$A411="","",'ESLESTIRME'!$A411)</f>
        <v/>
      </c>
      <c r="B411" s="16">
        <f>IF($A411="","",IFERROR(INDEX(tblEslesme[Kova],MATCH($A411,tblEslesme[A_Norm],0)),""))</f>
        <v/>
      </c>
      <c r="C411" s="16">
        <f>IF($A411="","",IFERROR(INDEX(tblEslesme[AbsFark],MATCH($A411,tblEslesme[A_Norm],0)),0))</f>
        <v/>
      </c>
      <c r="D411" s="16">
        <f>IF($A411="","",IFERROR(INDEX(tblVeriA[Unvan],MATCH($A411,tblAnahtarA[Norm],0)),""))</f>
        <v/>
      </c>
      <c r="E411" s="16">
        <f>IF($A411="","",IFERROR(SUMIF(tblAnahtarB[NormB],$A411,tblVeriB[BelgeAdet]),0))</f>
        <v/>
      </c>
      <c r="F411" s="16">
        <f>IF($A411="","",IFERROR(INDEX(tblVeriB[FormTipi],MATCH($A411,tblAnahtarB[NormB],0)),""))</f>
        <v/>
      </c>
      <c r="G411" s="16">
        <f>IF($A411="","",IFERROR(INDEX(tblVeriA[Donem],MATCH($A411,tblAnahtarA[Norm],0)),""))</f>
        <v/>
      </c>
      <c r="H411" s="16">
        <f>IF(OR($A411="",$B411&lt;&gt;"tutar_farki"),"",IF($E411=0,"BELGE_EKSIK",IF($C411&lt;=toleransKurus*cbb_yuvarlamaCarpan,"YUVARLAMA",IF(AND($F411&lt;&gt;"Ba",$F411&lt;&gt;"Bs"),"TIP_KARISIK",IF($C411&gt;cbb_esikFark*cbb_donemCarpan,"DONEM",IF(LEN($D411)&lt;cbb_unvanMinLen,"UNVAN","TANIMSIZ"))))))</f>
        <v/>
      </c>
    </row>
    <row r="412">
      <c r="A412" s="26">
        <f>IF('ESLESTIRME'!$A412="","",'ESLESTIRME'!$A412)</f>
        <v/>
      </c>
      <c r="B412" s="16">
        <f>IF($A412="","",IFERROR(INDEX(tblEslesme[Kova],MATCH($A412,tblEslesme[A_Norm],0)),""))</f>
        <v/>
      </c>
      <c r="C412" s="16">
        <f>IF($A412="","",IFERROR(INDEX(tblEslesme[AbsFark],MATCH($A412,tblEslesme[A_Norm],0)),0))</f>
        <v/>
      </c>
      <c r="D412" s="16">
        <f>IF($A412="","",IFERROR(INDEX(tblVeriA[Unvan],MATCH($A412,tblAnahtarA[Norm],0)),""))</f>
        <v/>
      </c>
      <c r="E412" s="16">
        <f>IF($A412="","",IFERROR(SUMIF(tblAnahtarB[NormB],$A412,tblVeriB[BelgeAdet]),0))</f>
        <v/>
      </c>
      <c r="F412" s="16">
        <f>IF($A412="","",IFERROR(INDEX(tblVeriB[FormTipi],MATCH($A412,tblAnahtarB[NormB],0)),""))</f>
        <v/>
      </c>
      <c r="G412" s="16">
        <f>IF($A412="","",IFERROR(INDEX(tblVeriA[Donem],MATCH($A412,tblAnahtarA[Norm],0)),""))</f>
        <v/>
      </c>
      <c r="H412" s="16">
        <f>IF(OR($A412="",$B412&lt;&gt;"tutar_farki"),"",IF($E412=0,"BELGE_EKSIK",IF($C412&lt;=toleransKurus*cbb_yuvarlamaCarpan,"YUVARLAMA",IF(AND($F412&lt;&gt;"Ba",$F412&lt;&gt;"Bs"),"TIP_KARISIK",IF($C412&gt;cbb_esikFark*cbb_donemCarpan,"DONEM",IF(LEN($D412)&lt;cbb_unvanMinLen,"UNVAN","TANIMSIZ"))))))</f>
        <v/>
      </c>
    </row>
    <row r="413">
      <c r="A413" s="26">
        <f>IF('ESLESTIRME'!$A413="","",'ESLESTIRME'!$A413)</f>
        <v/>
      </c>
      <c r="B413" s="16">
        <f>IF($A413="","",IFERROR(INDEX(tblEslesme[Kova],MATCH($A413,tblEslesme[A_Norm],0)),""))</f>
        <v/>
      </c>
      <c r="C413" s="16">
        <f>IF($A413="","",IFERROR(INDEX(tblEslesme[AbsFark],MATCH($A413,tblEslesme[A_Norm],0)),0))</f>
        <v/>
      </c>
      <c r="D413" s="16">
        <f>IF($A413="","",IFERROR(INDEX(tblVeriA[Unvan],MATCH($A413,tblAnahtarA[Norm],0)),""))</f>
        <v/>
      </c>
      <c r="E413" s="16">
        <f>IF($A413="","",IFERROR(SUMIF(tblAnahtarB[NormB],$A413,tblVeriB[BelgeAdet]),0))</f>
        <v/>
      </c>
      <c r="F413" s="16">
        <f>IF($A413="","",IFERROR(INDEX(tblVeriB[FormTipi],MATCH($A413,tblAnahtarB[NormB],0)),""))</f>
        <v/>
      </c>
      <c r="G413" s="16">
        <f>IF($A413="","",IFERROR(INDEX(tblVeriA[Donem],MATCH($A413,tblAnahtarA[Norm],0)),""))</f>
        <v/>
      </c>
      <c r="H413" s="16">
        <f>IF(OR($A413="",$B413&lt;&gt;"tutar_farki"),"",IF($E413=0,"BELGE_EKSIK",IF($C413&lt;=toleransKurus*cbb_yuvarlamaCarpan,"YUVARLAMA",IF(AND($F413&lt;&gt;"Ba",$F413&lt;&gt;"Bs"),"TIP_KARISIK",IF($C413&gt;cbb_esikFark*cbb_donemCarpan,"DONEM",IF(LEN($D413)&lt;cbb_unvanMinLen,"UNVAN","TANIMSIZ"))))))</f>
        <v/>
      </c>
    </row>
    <row r="414">
      <c r="A414" s="26">
        <f>IF('ESLESTIRME'!$A414="","",'ESLESTIRME'!$A414)</f>
        <v/>
      </c>
      <c r="B414" s="16">
        <f>IF($A414="","",IFERROR(INDEX(tblEslesme[Kova],MATCH($A414,tblEslesme[A_Norm],0)),""))</f>
        <v/>
      </c>
      <c r="C414" s="16">
        <f>IF($A414="","",IFERROR(INDEX(tblEslesme[AbsFark],MATCH($A414,tblEslesme[A_Norm],0)),0))</f>
        <v/>
      </c>
      <c r="D414" s="16">
        <f>IF($A414="","",IFERROR(INDEX(tblVeriA[Unvan],MATCH($A414,tblAnahtarA[Norm],0)),""))</f>
        <v/>
      </c>
      <c r="E414" s="16">
        <f>IF($A414="","",IFERROR(SUMIF(tblAnahtarB[NormB],$A414,tblVeriB[BelgeAdet]),0))</f>
        <v/>
      </c>
      <c r="F414" s="16">
        <f>IF($A414="","",IFERROR(INDEX(tblVeriB[FormTipi],MATCH($A414,tblAnahtarB[NormB],0)),""))</f>
        <v/>
      </c>
      <c r="G414" s="16">
        <f>IF($A414="","",IFERROR(INDEX(tblVeriA[Donem],MATCH($A414,tblAnahtarA[Norm],0)),""))</f>
        <v/>
      </c>
      <c r="H414" s="16">
        <f>IF(OR($A414="",$B414&lt;&gt;"tutar_farki"),"",IF($E414=0,"BELGE_EKSIK",IF($C414&lt;=toleransKurus*cbb_yuvarlamaCarpan,"YUVARLAMA",IF(AND($F414&lt;&gt;"Ba",$F414&lt;&gt;"Bs"),"TIP_KARISIK",IF($C414&gt;cbb_esikFark*cbb_donemCarpan,"DONEM",IF(LEN($D414)&lt;cbb_unvanMinLen,"UNVAN","TANIMSIZ"))))))</f>
        <v/>
      </c>
    </row>
    <row r="415">
      <c r="A415" s="26">
        <f>IF('ESLESTIRME'!$A415="","",'ESLESTIRME'!$A415)</f>
        <v/>
      </c>
      <c r="B415" s="16">
        <f>IF($A415="","",IFERROR(INDEX(tblEslesme[Kova],MATCH($A415,tblEslesme[A_Norm],0)),""))</f>
        <v/>
      </c>
      <c r="C415" s="16">
        <f>IF($A415="","",IFERROR(INDEX(tblEslesme[AbsFark],MATCH($A415,tblEslesme[A_Norm],0)),0))</f>
        <v/>
      </c>
      <c r="D415" s="16">
        <f>IF($A415="","",IFERROR(INDEX(tblVeriA[Unvan],MATCH($A415,tblAnahtarA[Norm],0)),""))</f>
        <v/>
      </c>
      <c r="E415" s="16">
        <f>IF($A415="","",IFERROR(SUMIF(tblAnahtarB[NormB],$A415,tblVeriB[BelgeAdet]),0))</f>
        <v/>
      </c>
      <c r="F415" s="16">
        <f>IF($A415="","",IFERROR(INDEX(tblVeriB[FormTipi],MATCH($A415,tblAnahtarB[NormB],0)),""))</f>
        <v/>
      </c>
      <c r="G415" s="16">
        <f>IF($A415="","",IFERROR(INDEX(tblVeriA[Donem],MATCH($A415,tblAnahtarA[Norm],0)),""))</f>
        <v/>
      </c>
      <c r="H415" s="16">
        <f>IF(OR($A415="",$B415&lt;&gt;"tutar_farki"),"",IF($E415=0,"BELGE_EKSIK",IF($C415&lt;=toleransKurus*cbb_yuvarlamaCarpan,"YUVARLAMA",IF(AND($F415&lt;&gt;"Ba",$F415&lt;&gt;"Bs"),"TIP_KARISIK",IF($C415&gt;cbb_esikFark*cbb_donemCarpan,"DONEM",IF(LEN($D415)&lt;cbb_unvanMinLen,"UNVAN","TANIMSIZ"))))))</f>
        <v/>
      </c>
    </row>
    <row r="416">
      <c r="A416" s="26">
        <f>IF('ESLESTIRME'!$A416="","",'ESLESTIRME'!$A416)</f>
        <v/>
      </c>
      <c r="B416" s="16">
        <f>IF($A416="","",IFERROR(INDEX(tblEslesme[Kova],MATCH($A416,tblEslesme[A_Norm],0)),""))</f>
        <v/>
      </c>
      <c r="C416" s="16">
        <f>IF($A416="","",IFERROR(INDEX(tblEslesme[AbsFark],MATCH($A416,tblEslesme[A_Norm],0)),0))</f>
        <v/>
      </c>
      <c r="D416" s="16">
        <f>IF($A416="","",IFERROR(INDEX(tblVeriA[Unvan],MATCH($A416,tblAnahtarA[Norm],0)),""))</f>
        <v/>
      </c>
      <c r="E416" s="16">
        <f>IF($A416="","",IFERROR(SUMIF(tblAnahtarB[NormB],$A416,tblVeriB[BelgeAdet]),0))</f>
        <v/>
      </c>
      <c r="F416" s="16">
        <f>IF($A416="","",IFERROR(INDEX(tblVeriB[FormTipi],MATCH($A416,tblAnahtarB[NormB],0)),""))</f>
        <v/>
      </c>
      <c r="G416" s="16">
        <f>IF($A416="","",IFERROR(INDEX(tblVeriA[Donem],MATCH($A416,tblAnahtarA[Norm],0)),""))</f>
        <v/>
      </c>
      <c r="H416" s="16">
        <f>IF(OR($A416="",$B416&lt;&gt;"tutar_farki"),"",IF($E416=0,"BELGE_EKSIK",IF($C416&lt;=toleransKurus*cbb_yuvarlamaCarpan,"YUVARLAMA",IF(AND($F416&lt;&gt;"Ba",$F416&lt;&gt;"Bs"),"TIP_KARISIK",IF($C416&gt;cbb_esikFark*cbb_donemCarpan,"DONEM",IF(LEN($D416)&lt;cbb_unvanMinLen,"UNVAN","TANIMSIZ"))))))</f>
        <v/>
      </c>
    </row>
    <row r="417">
      <c r="A417" s="26">
        <f>IF('ESLESTIRME'!$A417="","",'ESLESTIRME'!$A417)</f>
        <v/>
      </c>
      <c r="B417" s="16">
        <f>IF($A417="","",IFERROR(INDEX(tblEslesme[Kova],MATCH($A417,tblEslesme[A_Norm],0)),""))</f>
        <v/>
      </c>
      <c r="C417" s="16">
        <f>IF($A417="","",IFERROR(INDEX(tblEslesme[AbsFark],MATCH($A417,tblEslesme[A_Norm],0)),0))</f>
        <v/>
      </c>
      <c r="D417" s="16">
        <f>IF($A417="","",IFERROR(INDEX(tblVeriA[Unvan],MATCH($A417,tblAnahtarA[Norm],0)),""))</f>
        <v/>
      </c>
      <c r="E417" s="16">
        <f>IF($A417="","",IFERROR(SUMIF(tblAnahtarB[NormB],$A417,tblVeriB[BelgeAdet]),0))</f>
        <v/>
      </c>
      <c r="F417" s="16">
        <f>IF($A417="","",IFERROR(INDEX(tblVeriB[FormTipi],MATCH($A417,tblAnahtarB[NormB],0)),""))</f>
        <v/>
      </c>
      <c r="G417" s="16">
        <f>IF($A417="","",IFERROR(INDEX(tblVeriA[Donem],MATCH($A417,tblAnahtarA[Norm],0)),""))</f>
        <v/>
      </c>
      <c r="H417" s="16">
        <f>IF(OR($A417="",$B417&lt;&gt;"tutar_farki"),"",IF($E417=0,"BELGE_EKSIK",IF($C417&lt;=toleransKurus*cbb_yuvarlamaCarpan,"YUVARLAMA",IF(AND($F417&lt;&gt;"Ba",$F417&lt;&gt;"Bs"),"TIP_KARISIK",IF($C417&gt;cbb_esikFark*cbb_donemCarpan,"DONEM",IF(LEN($D417)&lt;cbb_unvanMinLen,"UNVAN","TANIMSIZ"))))))</f>
        <v/>
      </c>
    </row>
    <row r="418">
      <c r="A418" s="26">
        <f>IF('ESLESTIRME'!$A418="","",'ESLESTIRME'!$A418)</f>
        <v/>
      </c>
      <c r="B418" s="16">
        <f>IF($A418="","",IFERROR(INDEX(tblEslesme[Kova],MATCH($A418,tblEslesme[A_Norm],0)),""))</f>
        <v/>
      </c>
      <c r="C418" s="16">
        <f>IF($A418="","",IFERROR(INDEX(tblEslesme[AbsFark],MATCH($A418,tblEslesme[A_Norm],0)),0))</f>
        <v/>
      </c>
      <c r="D418" s="16">
        <f>IF($A418="","",IFERROR(INDEX(tblVeriA[Unvan],MATCH($A418,tblAnahtarA[Norm],0)),""))</f>
        <v/>
      </c>
      <c r="E418" s="16">
        <f>IF($A418="","",IFERROR(SUMIF(tblAnahtarB[NormB],$A418,tblVeriB[BelgeAdet]),0))</f>
        <v/>
      </c>
      <c r="F418" s="16">
        <f>IF($A418="","",IFERROR(INDEX(tblVeriB[FormTipi],MATCH($A418,tblAnahtarB[NormB],0)),""))</f>
        <v/>
      </c>
      <c r="G418" s="16">
        <f>IF($A418="","",IFERROR(INDEX(tblVeriA[Donem],MATCH($A418,tblAnahtarA[Norm],0)),""))</f>
        <v/>
      </c>
      <c r="H418" s="16">
        <f>IF(OR($A418="",$B418&lt;&gt;"tutar_farki"),"",IF($E418=0,"BELGE_EKSIK",IF($C418&lt;=toleransKurus*cbb_yuvarlamaCarpan,"YUVARLAMA",IF(AND($F418&lt;&gt;"Ba",$F418&lt;&gt;"Bs"),"TIP_KARISIK",IF($C418&gt;cbb_esikFark*cbb_donemCarpan,"DONEM",IF(LEN($D418)&lt;cbb_unvanMinLen,"UNVAN","TANIMSIZ"))))))</f>
        <v/>
      </c>
    </row>
    <row r="419">
      <c r="A419" s="26">
        <f>IF('ESLESTIRME'!$A419="","",'ESLESTIRME'!$A419)</f>
        <v/>
      </c>
      <c r="B419" s="16">
        <f>IF($A419="","",IFERROR(INDEX(tblEslesme[Kova],MATCH($A419,tblEslesme[A_Norm],0)),""))</f>
        <v/>
      </c>
      <c r="C419" s="16">
        <f>IF($A419="","",IFERROR(INDEX(tblEslesme[AbsFark],MATCH($A419,tblEslesme[A_Norm],0)),0))</f>
        <v/>
      </c>
      <c r="D419" s="16">
        <f>IF($A419="","",IFERROR(INDEX(tblVeriA[Unvan],MATCH($A419,tblAnahtarA[Norm],0)),""))</f>
        <v/>
      </c>
      <c r="E419" s="16">
        <f>IF($A419="","",IFERROR(SUMIF(tblAnahtarB[NormB],$A419,tblVeriB[BelgeAdet]),0))</f>
        <v/>
      </c>
      <c r="F419" s="16">
        <f>IF($A419="","",IFERROR(INDEX(tblVeriB[FormTipi],MATCH($A419,tblAnahtarB[NormB],0)),""))</f>
        <v/>
      </c>
      <c r="G419" s="16">
        <f>IF($A419="","",IFERROR(INDEX(tblVeriA[Donem],MATCH($A419,tblAnahtarA[Norm],0)),""))</f>
        <v/>
      </c>
      <c r="H419" s="16">
        <f>IF(OR($A419="",$B419&lt;&gt;"tutar_farki"),"",IF($E419=0,"BELGE_EKSIK",IF($C419&lt;=toleransKurus*cbb_yuvarlamaCarpan,"YUVARLAMA",IF(AND($F419&lt;&gt;"Ba",$F419&lt;&gt;"Bs"),"TIP_KARISIK",IF($C419&gt;cbb_esikFark*cbb_donemCarpan,"DONEM",IF(LEN($D419)&lt;cbb_unvanMinLen,"UNVAN","TANIMSIZ"))))))</f>
        <v/>
      </c>
    </row>
    <row r="420">
      <c r="A420" s="26">
        <f>IF('ESLESTIRME'!$A420="","",'ESLESTIRME'!$A420)</f>
        <v/>
      </c>
      <c r="B420" s="16">
        <f>IF($A420="","",IFERROR(INDEX(tblEslesme[Kova],MATCH($A420,tblEslesme[A_Norm],0)),""))</f>
        <v/>
      </c>
      <c r="C420" s="16">
        <f>IF($A420="","",IFERROR(INDEX(tblEslesme[AbsFark],MATCH($A420,tblEslesme[A_Norm],0)),0))</f>
        <v/>
      </c>
      <c r="D420" s="16">
        <f>IF($A420="","",IFERROR(INDEX(tblVeriA[Unvan],MATCH($A420,tblAnahtarA[Norm],0)),""))</f>
        <v/>
      </c>
      <c r="E420" s="16">
        <f>IF($A420="","",IFERROR(SUMIF(tblAnahtarB[NormB],$A420,tblVeriB[BelgeAdet]),0))</f>
        <v/>
      </c>
      <c r="F420" s="16">
        <f>IF($A420="","",IFERROR(INDEX(tblVeriB[FormTipi],MATCH($A420,tblAnahtarB[NormB],0)),""))</f>
        <v/>
      </c>
      <c r="G420" s="16">
        <f>IF($A420="","",IFERROR(INDEX(tblVeriA[Donem],MATCH($A420,tblAnahtarA[Norm],0)),""))</f>
        <v/>
      </c>
      <c r="H420" s="16">
        <f>IF(OR($A420="",$B420&lt;&gt;"tutar_farki"),"",IF($E420=0,"BELGE_EKSIK",IF($C420&lt;=toleransKurus*cbb_yuvarlamaCarpan,"YUVARLAMA",IF(AND($F420&lt;&gt;"Ba",$F420&lt;&gt;"Bs"),"TIP_KARISIK",IF($C420&gt;cbb_esikFark*cbb_donemCarpan,"DONEM",IF(LEN($D420)&lt;cbb_unvanMinLen,"UNVAN","TANIMSIZ"))))))</f>
        <v/>
      </c>
    </row>
    <row r="421">
      <c r="A421" s="26">
        <f>IF('ESLESTIRME'!$A421="","",'ESLESTIRME'!$A421)</f>
        <v/>
      </c>
      <c r="B421" s="16">
        <f>IF($A421="","",IFERROR(INDEX(tblEslesme[Kova],MATCH($A421,tblEslesme[A_Norm],0)),""))</f>
        <v/>
      </c>
      <c r="C421" s="16">
        <f>IF($A421="","",IFERROR(INDEX(tblEslesme[AbsFark],MATCH($A421,tblEslesme[A_Norm],0)),0))</f>
        <v/>
      </c>
      <c r="D421" s="16">
        <f>IF($A421="","",IFERROR(INDEX(tblVeriA[Unvan],MATCH($A421,tblAnahtarA[Norm],0)),""))</f>
        <v/>
      </c>
      <c r="E421" s="16">
        <f>IF($A421="","",IFERROR(SUMIF(tblAnahtarB[NormB],$A421,tblVeriB[BelgeAdet]),0))</f>
        <v/>
      </c>
      <c r="F421" s="16">
        <f>IF($A421="","",IFERROR(INDEX(tblVeriB[FormTipi],MATCH($A421,tblAnahtarB[NormB],0)),""))</f>
        <v/>
      </c>
      <c r="G421" s="16">
        <f>IF($A421="","",IFERROR(INDEX(tblVeriA[Donem],MATCH($A421,tblAnahtarA[Norm],0)),""))</f>
        <v/>
      </c>
      <c r="H421" s="16">
        <f>IF(OR($A421="",$B421&lt;&gt;"tutar_farki"),"",IF($E421=0,"BELGE_EKSIK",IF($C421&lt;=toleransKurus*cbb_yuvarlamaCarpan,"YUVARLAMA",IF(AND($F421&lt;&gt;"Ba",$F421&lt;&gt;"Bs"),"TIP_KARISIK",IF($C421&gt;cbb_esikFark*cbb_donemCarpan,"DONEM",IF(LEN($D421)&lt;cbb_unvanMinLen,"UNVAN","TANIMSIZ"))))))</f>
        <v/>
      </c>
    </row>
    <row r="422">
      <c r="A422" s="26">
        <f>IF('ESLESTIRME'!$A422="","",'ESLESTIRME'!$A422)</f>
        <v/>
      </c>
      <c r="B422" s="16">
        <f>IF($A422="","",IFERROR(INDEX(tblEslesme[Kova],MATCH($A422,tblEslesme[A_Norm],0)),""))</f>
        <v/>
      </c>
      <c r="C422" s="16">
        <f>IF($A422="","",IFERROR(INDEX(tblEslesme[AbsFark],MATCH($A422,tblEslesme[A_Norm],0)),0))</f>
        <v/>
      </c>
      <c r="D422" s="16">
        <f>IF($A422="","",IFERROR(INDEX(tblVeriA[Unvan],MATCH($A422,tblAnahtarA[Norm],0)),""))</f>
        <v/>
      </c>
      <c r="E422" s="16">
        <f>IF($A422="","",IFERROR(SUMIF(tblAnahtarB[NormB],$A422,tblVeriB[BelgeAdet]),0))</f>
        <v/>
      </c>
      <c r="F422" s="16">
        <f>IF($A422="","",IFERROR(INDEX(tblVeriB[FormTipi],MATCH($A422,tblAnahtarB[NormB],0)),""))</f>
        <v/>
      </c>
      <c r="G422" s="16">
        <f>IF($A422="","",IFERROR(INDEX(tblVeriA[Donem],MATCH($A422,tblAnahtarA[Norm],0)),""))</f>
        <v/>
      </c>
      <c r="H422" s="16">
        <f>IF(OR($A422="",$B422&lt;&gt;"tutar_farki"),"",IF($E422=0,"BELGE_EKSIK",IF($C422&lt;=toleransKurus*cbb_yuvarlamaCarpan,"YUVARLAMA",IF(AND($F422&lt;&gt;"Ba",$F422&lt;&gt;"Bs"),"TIP_KARISIK",IF($C422&gt;cbb_esikFark*cbb_donemCarpan,"DONEM",IF(LEN($D422)&lt;cbb_unvanMinLen,"UNVAN","TANIMSIZ"))))))</f>
        <v/>
      </c>
    </row>
    <row r="423">
      <c r="A423" s="26">
        <f>IF('ESLESTIRME'!$A423="","",'ESLESTIRME'!$A423)</f>
        <v/>
      </c>
      <c r="B423" s="16">
        <f>IF($A423="","",IFERROR(INDEX(tblEslesme[Kova],MATCH($A423,tblEslesme[A_Norm],0)),""))</f>
        <v/>
      </c>
      <c r="C423" s="16">
        <f>IF($A423="","",IFERROR(INDEX(tblEslesme[AbsFark],MATCH($A423,tblEslesme[A_Norm],0)),0))</f>
        <v/>
      </c>
      <c r="D423" s="16">
        <f>IF($A423="","",IFERROR(INDEX(tblVeriA[Unvan],MATCH($A423,tblAnahtarA[Norm],0)),""))</f>
        <v/>
      </c>
      <c r="E423" s="16">
        <f>IF($A423="","",IFERROR(SUMIF(tblAnahtarB[NormB],$A423,tblVeriB[BelgeAdet]),0))</f>
        <v/>
      </c>
      <c r="F423" s="16">
        <f>IF($A423="","",IFERROR(INDEX(tblVeriB[FormTipi],MATCH($A423,tblAnahtarB[NormB],0)),""))</f>
        <v/>
      </c>
      <c r="G423" s="16">
        <f>IF($A423="","",IFERROR(INDEX(tblVeriA[Donem],MATCH($A423,tblAnahtarA[Norm],0)),""))</f>
        <v/>
      </c>
      <c r="H423" s="16">
        <f>IF(OR($A423="",$B423&lt;&gt;"tutar_farki"),"",IF($E423=0,"BELGE_EKSIK",IF($C423&lt;=toleransKurus*cbb_yuvarlamaCarpan,"YUVARLAMA",IF(AND($F423&lt;&gt;"Ba",$F423&lt;&gt;"Bs"),"TIP_KARISIK",IF($C423&gt;cbb_esikFark*cbb_donemCarpan,"DONEM",IF(LEN($D423)&lt;cbb_unvanMinLen,"UNVAN","TANIMSIZ"))))))</f>
        <v/>
      </c>
    </row>
    <row r="424">
      <c r="A424" s="26">
        <f>IF('ESLESTIRME'!$A424="","",'ESLESTIRME'!$A424)</f>
        <v/>
      </c>
      <c r="B424" s="16">
        <f>IF($A424="","",IFERROR(INDEX(tblEslesme[Kova],MATCH($A424,tblEslesme[A_Norm],0)),""))</f>
        <v/>
      </c>
      <c r="C424" s="16">
        <f>IF($A424="","",IFERROR(INDEX(tblEslesme[AbsFark],MATCH($A424,tblEslesme[A_Norm],0)),0))</f>
        <v/>
      </c>
      <c r="D424" s="16">
        <f>IF($A424="","",IFERROR(INDEX(tblVeriA[Unvan],MATCH($A424,tblAnahtarA[Norm],0)),""))</f>
        <v/>
      </c>
      <c r="E424" s="16">
        <f>IF($A424="","",IFERROR(SUMIF(tblAnahtarB[NormB],$A424,tblVeriB[BelgeAdet]),0))</f>
        <v/>
      </c>
      <c r="F424" s="16">
        <f>IF($A424="","",IFERROR(INDEX(tblVeriB[FormTipi],MATCH($A424,tblAnahtarB[NormB],0)),""))</f>
        <v/>
      </c>
      <c r="G424" s="16">
        <f>IF($A424="","",IFERROR(INDEX(tblVeriA[Donem],MATCH($A424,tblAnahtarA[Norm],0)),""))</f>
        <v/>
      </c>
      <c r="H424" s="16">
        <f>IF(OR($A424="",$B424&lt;&gt;"tutar_farki"),"",IF($E424=0,"BELGE_EKSIK",IF($C424&lt;=toleransKurus*cbb_yuvarlamaCarpan,"YUVARLAMA",IF(AND($F424&lt;&gt;"Ba",$F424&lt;&gt;"Bs"),"TIP_KARISIK",IF($C424&gt;cbb_esikFark*cbb_donemCarpan,"DONEM",IF(LEN($D424)&lt;cbb_unvanMinLen,"UNVAN","TANIMSIZ"))))))</f>
        <v/>
      </c>
    </row>
    <row r="425">
      <c r="A425" s="26">
        <f>IF('ESLESTIRME'!$A425="","",'ESLESTIRME'!$A425)</f>
        <v/>
      </c>
      <c r="B425" s="16">
        <f>IF($A425="","",IFERROR(INDEX(tblEslesme[Kova],MATCH($A425,tblEslesme[A_Norm],0)),""))</f>
        <v/>
      </c>
      <c r="C425" s="16">
        <f>IF($A425="","",IFERROR(INDEX(tblEslesme[AbsFark],MATCH($A425,tblEslesme[A_Norm],0)),0))</f>
        <v/>
      </c>
      <c r="D425" s="16">
        <f>IF($A425="","",IFERROR(INDEX(tblVeriA[Unvan],MATCH($A425,tblAnahtarA[Norm],0)),""))</f>
        <v/>
      </c>
      <c r="E425" s="16">
        <f>IF($A425="","",IFERROR(SUMIF(tblAnahtarB[NormB],$A425,tblVeriB[BelgeAdet]),0))</f>
        <v/>
      </c>
      <c r="F425" s="16">
        <f>IF($A425="","",IFERROR(INDEX(tblVeriB[FormTipi],MATCH($A425,tblAnahtarB[NormB],0)),""))</f>
        <v/>
      </c>
      <c r="G425" s="16">
        <f>IF($A425="","",IFERROR(INDEX(tblVeriA[Donem],MATCH($A425,tblAnahtarA[Norm],0)),""))</f>
        <v/>
      </c>
      <c r="H425" s="16">
        <f>IF(OR($A425="",$B425&lt;&gt;"tutar_farki"),"",IF($E425=0,"BELGE_EKSIK",IF($C425&lt;=toleransKurus*cbb_yuvarlamaCarpan,"YUVARLAMA",IF(AND($F425&lt;&gt;"Ba",$F425&lt;&gt;"Bs"),"TIP_KARISIK",IF($C425&gt;cbb_esikFark*cbb_donemCarpan,"DONEM",IF(LEN($D425)&lt;cbb_unvanMinLen,"UNVAN","TANIMSIZ"))))))</f>
        <v/>
      </c>
    </row>
    <row r="426">
      <c r="A426" s="26">
        <f>IF('ESLESTIRME'!$A426="","",'ESLESTIRME'!$A426)</f>
        <v/>
      </c>
      <c r="B426" s="16">
        <f>IF($A426="","",IFERROR(INDEX(tblEslesme[Kova],MATCH($A426,tblEslesme[A_Norm],0)),""))</f>
        <v/>
      </c>
      <c r="C426" s="16">
        <f>IF($A426="","",IFERROR(INDEX(tblEslesme[AbsFark],MATCH($A426,tblEslesme[A_Norm],0)),0))</f>
        <v/>
      </c>
      <c r="D426" s="16">
        <f>IF($A426="","",IFERROR(INDEX(tblVeriA[Unvan],MATCH($A426,tblAnahtarA[Norm],0)),""))</f>
        <v/>
      </c>
      <c r="E426" s="16">
        <f>IF($A426="","",IFERROR(SUMIF(tblAnahtarB[NormB],$A426,tblVeriB[BelgeAdet]),0))</f>
        <v/>
      </c>
      <c r="F426" s="16">
        <f>IF($A426="","",IFERROR(INDEX(tblVeriB[FormTipi],MATCH($A426,tblAnahtarB[NormB],0)),""))</f>
        <v/>
      </c>
      <c r="G426" s="16">
        <f>IF($A426="","",IFERROR(INDEX(tblVeriA[Donem],MATCH($A426,tblAnahtarA[Norm],0)),""))</f>
        <v/>
      </c>
      <c r="H426" s="16">
        <f>IF(OR($A426="",$B426&lt;&gt;"tutar_farki"),"",IF($E426=0,"BELGE_EKSIK",IF($C426&lt;=toleransKurus*cbb_yuvarlamaCarpan,"YUVARLAMA",IF(AND($F426&lt;&gt;"Ba",$F426&lt;&gt;"Bs"),"TIP_KARISIK",IF($C426&gt;cbb_esikFark*cbb_donemCarpan,"DONEM",IF(LEN($D426)&lt;cbb_unvanMinLen,"UNVAN","TANIMSIZ"))))))</f>
        <v/>
      </c>
    </row>
    <row r="427">
      <c r="A427" s="26">
        <f>IF('ESLESTIRME'!$A427="","",'ESLESTIRME'!$A427)</f>
        <v/>
      </c>
      <c r="B427" s="16">
        <f>IF($A427="","",IFERROR(INDEX(tblEslesme[Kova],MATCH($A427,tblEslesme[A_Norm],0)),""))</f>
        <v/>
      </c>
      <c r="C427" s="16">
        <f>IF($A427="","",IFERROR(INDEX(tblEslesme[AbsFark],MATCH($A427,tblEslesme[A_Norm],0)),0))</f>
        <v/>
      </c>
      <c r="D427" s="16">
        <f>IF($A427="","",IFERROR(INDEX(tblVeriA[Unvan],MATCH($A427,tblAnahtarA[Norm],0)),""))</f>
        <v/>
      </c>
      <c r="E427" s="16">
        <f>IF($A427="","",IFERROR(SUMIF(tblAnahtarB[NormB],$A427,tblVeriB[BelgeAdet]),0))</f>
        <v/>
      </c>
      <c r="F427" s="16">
        <f>IF($A427="","",IFERROR(INDEX(tblVeriB[FormTipi],MATCH($A427,tblAnahtarB[NormB],0)),""))</f>
        <v/>
      </c>
      <c r="G427" s="16">
        <f>IF($A427="","",IFERROR(INDEX(tblVeriA[Donem],MATCH($A427,tblAnahtarA[Norm],0)),""))</f>
        <v/>
      </c>
      <c r="H427" s="16">
        <f>IF(OR($A427="",$B427&lt;&gt;"tutar_farki"),"",IF($E427=0,"BELGE_EKSIK",IF($C427&lt;=toleransKurus*cbb_yuvarlamaCarpan,"YUVARLAMA",IF(AND($F427&lt;&gt;"Ba",$F427&lt;&gt;"Bs"),"TIP_KARISIK",IF($C427&gt;cbb_esikFark*cbb_donemCarpan,"DONEM",IF(LEN($D427)&lt;cbb_unvanMinLen,"UNVAN","TANIMSIZ"))))))</f>
        <v/>
      </c>
    </row>
    <row r="428">
      <c r="A428" s="26">
        <f>IF('ESLESTIRME'!$A428="","",'ESLESTIRME'!$A428)</f>
        <v/>
      </c>
      <c r="B428" s="16">
        <f>IF($A428="","",IFERROR(INDEX(tblEslesme[Kova],MATCH($A428,tblEslesme[A_Norm],0)),""))</f>
        <v/>
      </c>
      <c r="C428" s="16">
        <f>IF($A428="","",IFERROR(INDEX(tblEslesme[AbsFark],MATCH($A428,tblEslesme[A_Norm],0)),0))</f>
        <v/>
      </c>
      <c r="D428" s="16">
        <f>IF($A428="","",IFERROR(INDEX(tblVeriA[Unvan],MATCH($A428,tblAnahtarA[Norm],0)),""))</f>
        <v/>
      </c>
      <c r="E428" s="16">
        <f>IF($A428="","",IFERROR(SUMIF(tblAnahtarB[NormB],$A428,tblVeriB[BelgeAdet]),0))</f>
        <v/>
      </c>
      <c r="F428" s="16">
        <f>IF($A428="","",IFERROR(INDEX(tblVeriB[FormTipi],MATCH($A428,tblAnahtarB[NormB],0)),""))</f>
        <v/>
      </c>
      <c r="G428" s="16">
        <f>IF($A428="","",IFERROR(INDEX(tblVeriA[Donem],MATCH($A428,tblAnahtarA[Norm],0)),""))</f>
        <v/>
      </c>
      <c r="H428" s="16">
        <f>IF(OR($A428="",$B428&lt;&gt;"tutar_farki"),"",IF($E428=0,"BELGE_EKSIK",IF($C428&lt;=toleransKurus*cbb_yuvarlamaCarpan,"YUVARLAMA",IF(AND($F428&lt;&gt;"Ba",$F428&lt;&gt;"Bs"),"TIP_KARISIK",IF($C428&gt;cbb_esikFark*cbb_donemCarpan,"DONEM",IF(LEN($D428)&lt;cbb_unvanMinLen,"UNVAN","TANIMSIZ"))))))</f>
        <v/>
      </c>
    </row>
    <row r="429">
      <c r="A429" s="26">
        <f>IF('ESLESTIRME'!$A429="","",'ESLESTIRME'!$A429)</f>
        <v/>
      </c>
      <c r="B429" s="16">
        <f>IF($A429="","",IFERROR(INDEX(tblEslesme[Kova],MATCH($A429,tblEslesme[A_Norm],0)),""))</f>
        <v/>
      </c>
      <c r="C429" s="16">
        <f>IF($A429="","",IFERROR(INDEX(tblEslesme[AbsFark],MATCH($A429,tblEslesme[A_Norm],0)),0))</f>
        <v/>
      </c>
      <c r="D429" s="16">
        <f>IF($A429="","",IFERROR(INDEX(tblVeriA[Unvan],MATCH($A429,tblAnahtarA[Norm],0)),""))</f>
        <v/>
      </c>
      <c r="E429" s="16">
        <f>IF($A429="","",IFERROR(SUMIF(tblAnahtarB[NormB],$A429,tblVeriB[BelgeAdet]),0))</f>
        <v/>
      </c>
      <c r="F429" s="16">
        <f>IF($A429="","",IFERROR(INDEX(tblVeriB[FormTipi],MATCH($A429,tblAnahtarB[NormB],0)),""))</f>
        <v/>
      </c>
      <c r="G429" s="16">
        <f>IF($A429="","",IFERROR(INDEX(tblVeriA[Donem],MATCH($A429,tblAnahtarA[Norm],0)),""))</f>
        <v/>
      </c>
      <c r="H429" s="16">
        <f>IF(OR($A429="",$B429&lt;&gt;"tutar_farki"),"",IF($E429=0,"BELGE_EKSIK",IF($C429&lt;=toleransKurus*cbb_yuvarlamaCarpan,"YUVARLAMA",IF(AND($F429&lt;&gt;"Ba",$F429&lt;&gt;"Bs"),"TIP_KARISIK",IF($C429&gt;cbb_esikFark*cbb_donemCarpan,"DONEM",IF(LEN($D429)&lt;cbb_unvanMinLen,"UNVAN","TANIMSIZ"))))))</f>
        <v/>
      </c>
    </row>
    <row r="430">
      <c r="A430" s="26">
        <f>IF('ESLESTIRME'!$A430="","",'ESLESTIRME'!$A430)</f>
        <v/>
      </c>
      <c r="B430" s="16">
        <f>IF($A430="","",IFERROR(INDEX(tblEslesme[Kova],MATCH($A430,tblEslesme[A_Norm],0)),""))</f>
        <v/>
      </c>
      <c r="C430" s="16">
        <f>IF($A430="","",IFERROR(INDEX(tblEslesme[AbsFark],MATCH($A430,tblEslesme[A_Norm],0)),0))</f>
        <v/>
      </c>
      <c r="D430" s="16">
        <f>IF($A430="","",IFERROR(INDEX(tblVeriA[Unvan],MATCH($A430,tblAnahtarA[Norm],0)),""))</f>
        <v/>
      </c>
      <c r="E430" s="16">
        <f>IF($A430="","",IFERROR(SUMIF(tblAnahtarB[NormB],$A430,tblVeriB[BelgeAdet]),0))</f>
        <v/>
      </c>
      <c r="F430" s="16">
        <f>IF($A430="","",IFERROR(INDEX(tblVeriB[FormTipi],MATCH($A430,tblAnahtarB[NormB],0)),""))</f>
        <v/>
      </c>
      <c r="G430" s="16">
        <f>IF($A430="","",IFERROR(INDEX(tblVeriA[Donem],MATCH($A430,tblAnahtarA[Norm],0)),""))</f>
        <v/>
      </c>
      <c r="H430" s="16">
        <f>IF(OR($A430="",$B430&lt;&gt;"tutar_farki"),"",IF($E430=0,"BELGE_EKSIK",IF($C430&lt;=toleransKurus*cbb_yuvarlamaCarpan,"YUVARLAMA",IF(AND($F430&lt;&gt;"Ba",$F430&lt;&gt;"Bs"),"TIP_KARISIK",IF($C430&gt;cbb_esikFark*cbb_donemCarpan,"DONEM",IF(LEN($D430)&lt;cbb_unvanMinLen,"UNVAN","TANIMSIZ"))))))</f>
        <v/>
      </c>
    </row>
    <row r="431">
      <c r="A431" s="26">
        <f>IF('ESLESTIRME'!$A431="","",'ESLESTIRME'!$A431)</f>
        <v/>
      </c>
      <c r="B431" s="16">
        <f>IF($A431="","",IFERROR(INDEX(tblEslesme[Kova],MATCH($A431,tblEslesme[A_Norm],0)),""))</f>
        <v/>
      </c>
      <c r="C431" s="16">
        <f>IF($A431="","",IFERROR(INDEX(tblEslesme[AbsFark],MATCH($A431,tblEslesme[A_Norm],0)),0))</f>
        <v/>
      </c>
      <c r="D431" s="16">
        <f>IF($A431="","",IFERROR(INDEX(tblVeriA[Unvan],MATCH($A431,tblAnahtarA[Norm],0)),""))</f>
        <v/>
      </c>
      <c r="E431" s="16">
        <f>IF($A431="","",IFERROR(SUMIF(tblAnahtarB[NormB],$A431,tblVeriB[BelgeAdet]),0))</f>
        <v/>
      </c>
      <c r="F431" s="16">
        <f>IF($A431="","",IFERROR(INDEX(tblVeriB[FormTipi],MATCH($A431,tblAnahtarB[NormB],0)),""))</f>
        <v/>
      </c>
      <c r="G431" s="16">
        <f>IF($A431="","",IFERROR(INDEX(tblVeriA[Donem],MATCH($A431,tblAnahtarA[Norm],0)),""))</f>
        <v/>
      </c>
      <c r="H431" s="16">
        <f>IF(OR($A431="",$B431&lt;&gt;"tutar_farki"),"",IF($E431=0,"BELGE_EKSIK",IF($C431&lt;=toleransKurus*cbb_yuvarlamaCarpan,"YUVARLAMA",IF(AND($F431&lt;&gt;"Ba",$F431&lt;&gt;"Bs"),"TIP_KARISIK",IF($C431&gt;cbb_esikFark*cbb_donemCarpan,"DONEM",IF(LEN($D431)&lt;cbb_unvanMinLen,"UNVAN","TANIMSIZ"))))))</f>
        <v/>
      </c>
    </row>
    <row r="432">
      <c r="A432" s="26">
        <f>IF('ESLESTIRME'!$A432="","",'ESLESTIRME'!$A432)</f>
        <v/>
      </c>
      <c r="B432" s="16">
        <f>IF($A432="","",IFERROR(INDEX(tblEslesme[Kova],MATCH($A432,tblEslesme[A_Norm],0)),""))</f>
        <v/>
      </c>
      <c r="C432" s="16">
        <f>IF($A432="","",IFERROR(INDEX(tblEslesme[AbsFark],MATCH($A432,tblEslesme[A_Norm],0)),0))</f>
        <v/>
      </c>
      <c r="D432" s="16">
        <f>IF($A432="","",IFERROR(INDEX(tblVeriA[Unvan],MATCH($A432,tblAnahtarA[Norm],0)),""))</f>
        <v/>
      </c>
      <c r="E432" s="16">
        <f>IF($A432="","",IFERROR(SUMIF(tblAnahtarB[NormB],$A432,tblVeriB[BelgeAdet]),0))</f>
        <v/>
      </c>
      <c r="F432" s="16">
        <f>IF($A432="","",IFERROR(INDEX(tblVeriB[FormTipi],MATCH($A432,tblAnahtarB[NormB],0)),""))</f>
        <v/>
      </c>
      <c r="G432" s="16">
        <f>IF($A432="","",IFERROR(INDEX(tblVeriA[Donem],MATCH($A432,tblAnahtarA[Norm],0)),""))</f>
        <v/>
      </c>
      <c r="H432" s="16">
        <f>IF(OR($A432="",$B432&lt;&gt;"tutar_farki"),"",IF($E432=0,"BELGE_EKSIK",IF($C432&lt;=toleransKurus*cbb_yuvarlamaCarpan,"YUVARLAMA",IF(AND($F432&lt;&gt;"Ba",$F432&lt;&gt;"Bs"),"TIP_KARISIK",IF($C432&gt;cbb_esikFark*cbb_donemCarpan,"DONEM",IF(LEN($D432)&lt;cbb_unvanMinLen,"UNVAN","TANIMSIZ"))))))</f>
        <v/>
      </c>
    </row>
    <row r="433">
      <c r="A433" s="26">
        <f>IF('ESLESTIRME'!$A433="","",'ESLESTIRME'!$A433)</f>
        <v/>
      </c>
      <c r="B433" s="16">
        <f>IF($A433="","",IFERROR(INDEX(tblEslesme[Kova],MATCH($A433,tblEslesme[A_Norm],0)),""))</f>
        <v/>
      </c>
      <c r="C433" s="16">
        <f>IF($A433="","",IFERROR(INDEX(tblEslesme[AbsFark],MATCH($A433,tblEslesme[A_Norm],0)),0))</f>
        <v/>
      </c>
      <c r="D433" s="16">
        <f>IF($A433="","",IFERROR(INDEX(tblVeriA[Unvan],MATCH($A433,tblAnahtarA[Norm],0)),""))</f>
        <v/>
      </c>
      <c r="E433" s="16">
        <f>IF($A433="","",IFERROR(SUMIF(tblAnahtarB[NormB],$A433,tblVeriB[BelgeAdet]),0))</f>
        <v/>
      </c>
      <c r="F433" s="16">
        <f>IF($A433="","",IFERROR(INDEX(tblVeriB[FormTipi],MATCH($A433,tblAnahtarB[NormB],0)),""))</f>
        <v/>
      </c>
      <c r="G433" s="16">
        <f>IF($A433="","",IFERROR(INDEX(tblVeriA[Donem],MATCH($A433,tblAnahtarA[Norm],0)),""))</f>
        <v/>
      </c>
      <c r="H433" s="16">
        <f>IF(OR($A433="",$B433&lt;&gt;"tutar_farki"),"",IF($E433=0,"BELGE_EKSIK",IF($C433&lt;=toleransKurus*cbb_yuvarlamaCarpan,"YUVARLAMA",IF(AND($F433&lt;&gt;"Ba",$F433&lt;&gt;"Bs"),"TIP_KARISIK",IF($C433&gt;cbb_esikFark*cbb_donemCarpan,"DONEM",IF(LEN($D433)&lt;cbb_unvanMinLen,"UNVAN","TANIMSIZ"))))))</f>
        <v/>
      </c>
    </row>
    <row r="434">
      <c r="A434" s="26">
        <f>IF('ESLESTIRME'!$A434="","",'ESLESTIRME'!$A434)</f>
        <v/>
      </c>
      <c r="B434" s="16">
        <f>IF($A434="","",IFERROR(INDEX(tblEslesme[Kova],MATCH($A434,tblEslesme[A_Norm],0)),""))</f>
        <v/>
      </c>
      <c r="C434" s="16">
        <f>IF($A434="","",IFERROR(INDEX(tblEslesme[AbsFark],MATCH($A434,tblEslesme[A_Norm],0)),0))</f>
        <v/>
      </c>
      <c r="D434" s="16">
        <f>IF($A434="","",IFERROR(INDEX(tblVeriA[Unvan],MATCH($A434,tblAnahtarA[Norm],0)),""))</f>
        <v/>
      </c>
      <c r="E434" s="16">
        <f>IF($A434="","",IFERROR(SUMIF(tblAnahtarB[NormB],$A434,tblVeriB[BelgeAdet]),0))</f>
        <v/>
      </c>
      <c r="F434" s="16">
        <f>IF($A434="","",IFERROR(INDEX(tblVeriB[FormTipi],MATCH($A434,tblAnahtarB[NormB],0)),""))</f>
        <v/>
      </c>
      <c r="G434" s="16">
        <f>IF($A434="","",IFERROR(INDEX(tblVeriA[Donem],MATCH($A434,tblAnahtarA[Norm],0)),""))</f>
        <v/>
      </c>
      <c r="H434" s="16">
        <f>IF(OR($A434="",$B434&lt;&gt;"tutar_farki"),"",IF($E434=0,"BELGE_EKSIK",IF($C434&lt;=toleransKurus*cbb_yuvarlamaCarpan,"YUVARLAMA",IF(AND($F434&lt;&gt;"Ba",$F434&lt;&gt;"Bs"),"TIP_KARISIK",IF($C434&gt;cbb_esikFark*cbb_donemCarpan,"DONEM",IF(LEN($D434)&lt;cbb_unvanMinLen,"UNVAN","TANIMSIZ"))))))</f>
        <v/>
      </c>
    </row>
    <row r="435">
      <c r="A435" s="26">
        <f>IF('ESLESTIRME'!$A435="","",'ESLESTIRME'!$A435)</f>
        <v/>
      </c>
      <c r="B435" s="16">
        <f>IF($A435="","",IFERROR(INDEX(tblEslesme[Kova],MATCH($A435,tblEslesme[A_Norm],0)),""))</f>
        <v/>
      </c>
      <c r="C435" s="16">
        <f>IF($A435="","",IFERROR(INDEX(tblEslesme[AbsFark],MATCH($A435,tblEslesme[A_Norm],0)),0))</f>
        <v/>
      </c>
      <c r="D435" s="16">
        <f>IF($A435="","",IFERROR(INDEX(tblVeriA[Unvan],MATCH($A435,tblAnahtarA[Norm],0)),""))</f>
        <v/>
      </c>
      <c r="E435" s="16">
        <f>IF($A435="","",IFERROR(SUMIF(tblAnahtarB[NormB],$A435,tblVeriB[BelgeAdet]),0))</f>
        <v/>
      </c>
      <c r="F435" s="16">
        <f>IF($A435="","",IFERROR(INDEX(tblVeriB[FormTipi],MATCH($A435,tblAnahtarB[NormB],0)),""))</f>
        <v/>
      </c>
      <c r="G435" s="16">
        <f>IF($A435="","",IFERROR(INDEX(tblVeriA[Donem],MATCH($A435,tblAnahtarA[Norm],0)),""))</f>
        <v/>
      </c>
      <c r="H435" s="16">
        <f>IF(OR($A435="",$B435&lt;&gt;"tutar_farki"),"",IF($E435=0,"BELGE_EKSIK",IF($C435&lt;=toleransKurus*cbb_yuvarlamaCarpan,"YUVARLAMA",IF(AND($F435&lt;&gt;"Ba",$F435&lt;&gt;"Bs"),"TIP_KARISIK",IF($C435&gt;cbb_esikFark*cbb_donemCarpan,"DONEM",IF(LEN($D435)&lt;cbb_unvanMinLen,"UNVAN","TANIMSIZ"))))))</f>
        <v/>
      </c>
    </row>
    <row r="436">
      <c r="A436" s="26">
        <f>IF('ESLESTIRME'!$A436="","",'ESLESTIRME'!$A436)</f>
        <v/>
      </c>
      <c r="B436" s="16">
        <f>IF($A436="","",IFERROR(INDEX(tblEslesme[Kova],MATCH($A436,tblEslesme[A_Norm],0)),""))</f>
        <v/>
      </c>
      <c r="C436" s="16">
        <f>IF($A436="","",IFERROR(INDEX(tblEslesme[AbsFark],MATCH($A436,tblEslesme[A_Norm],0)),0))</f>
        <v/>
      </c>
      <c r="D436" s="16">
        <f>IF($A436="","",IFERROR(INDEX(tblVeriA[Unvan],MATCH($A436,tblAnahtarA[Norm],0)),""))</f>
        <v/>
      </c>
      <c r="E436" s="16">
        <f>IF($A436="","",IFERROR(SUMIF(tblAnahtarB[NormB],$A436,tblVeriB[BelgeAdet]),0))</f>
        <v/>
      </c>
      <c r="F436" s="16">
        <f>IF($A436="","",IFERROR(INDEX(tblVeriB[FormTipi],MATCH($A436,tblAnahtarB[NormB],0)),""))</f>
        <v/>
      </c>
      <c r="G436" s="16">
        <f>IF($A436="","",IFERROR(INDEX(tblVeriA[Donem],MATCH($A436,tblAnahtarA[Norm],0)),""))</f>
        <v/>
      </c>
      <c r="H436" s="16">
        <f>IF(OR($A436="",$B436&lt;&gt;"tutar_farki"),"",IF($E436=0,"BELGE_EKSIK",IF($C436&lt;=toleransKurus*cbb_yuvarlamaCarpan,"YUVARLAMA",IF(AND($F436&lt;&gt;"Ba",$F436&lt;&gt;"Bs"),"TIP_KARISIK",IF($C436&gt;cbb_esikFark*cbb_donemCarpan,"DONEM",IF(LEN($D436)&lt;cbb_unvanMinLen,"UNVAN","TANIMSIZ"))))))</f>
        <v/>
      </c>
    </row>
    <row r="437">
      <c r="A437" s="26">
        <f>IF('ESLESTIRME'!$A437="","",'ESLESTIRME'!$A437)</f>
        <v/>
      </c>
      <c r="B437" s="16">
        <f>IF($A437="","",IFERROR(INDEX(tblEslesme[Kova],MATCH($A437,tblEslesme[A_Norm],0)),""))</f>
        <v/>
      </c>
      <c r="C437" s="16">
        <f>IF($A437="","",IFERROR(INDEX(tblEslesme[AbsFark],MATCH($A437,tblEslesme[A_Norm],0)),0))</f>
        <v/>
      </c>
      <c r="D437" s="16">
        <f>IF($A437="","",IFERROR(INDEX(tblVeriA[Unvan],MATCH($A437,tblAnahtarA[Norm],0)),""))</f>
        <v/>
      </c>
      <c r="E437" s="16">
        <f>IF($A437="","",IFERROR(SUMIF(tblAnahtarB[NormB],$A437,tblVeriB[BelgeAdet]),0))</f>
        <v/>
      </c>
      <c r="F437" s="16">
        <f>IF($A437="","",IFERROR(INDEX(tblVeriB[FormTipi],MATCH($A437,tblAnahtarB[NormB],0)),""))</f>
        <v/>
      </c>
      <c r="G437" s="16">
        <f>IF($A437="","",IFERROR(INDEX(tblVeriA[Donem],MATCH($A437,tblAnahtarA[Norm],0)),""))</f>
        <v/>
      </c>
      <c r="H437" s="16">
        <f>IF(OR($A437="",$B437&lt;&gt;"tutar_farki"),"",IF($E437=0,"BELGE_EKSIK",IF($C437&lt;=toleransKurus*cbb_yuvarlamaCarpan,"YUVARLAMA",IF(AND($F437&lt;&gt;"Ba",$F437&lt;&gt;"Bs"),"TIP_KARISIK",IF($C437&gt;cbb_esikFark*cbb_donemCarpan,"DONEM",IF(LEN($D437)&lt;cbb_unvanMinLen,"UNVAN","TANIMSIZ"))))))</f>
        <v/>
      </c>
    </row>
    <row r="438">
      <c r="A438" s="26">
        <f>IF('ESLESTIRME'!$A438="","",'ESLESTIRME'!$A438)</f>
        <v/>
      </c>
      <c r="B438" s="16">
        <f>IF($A438="","",IFERROR(INDEX(tblEslesme[Kova],MATCH($A438,tblEslesme[A_Norm],0)),""))</f>
        <v/>
      </c>
      <c r="C438" s="16">
        <f>IF($A438="","",IFERROR(INDEX(tblEslesme[AbsFark],MATCH($A438,tblEslesme[A_Norm],0)),0))</f>
        <v/>
      </c>
      <c r="D438" s="16">
        <f>IF($A438="","",IFERROR(INDEX(tblVeriA[Unvan],MATCH($A438,tblAnahtarA[Norm],0)),""))</f>
        <v/>
      </c>
      <c r="E438" s="16">
        <f>IF($A438="","",IFERROR(SUMIF(tblAnahtarB[NormB],$A438,tblVeriB[BelgeAdet]),0))</f>
        <v/>
      </c>
      <c r="F438" s="16">
        <f>IF($A438="","",IFERROR(INDEX(tblVeriB[FormTipi],MATCH($A438,tblAnahtarB[NormB],0)),""))</f>
        <v/>
      </c>
      <c r="G438" s="16">
        <f>IF($A438="","",IFERROR(INDEX(tblVeriA[Donem],MATCH($A438,tblAnahtarA[Norm],0)),""))</f>
        <v/>
      </c>
      <c r="H438" s="16">
        <f>IF(OR($A438="",$B438&lt;&gt;"tutar_farki"),"",IF($E438=0,"BELGE_EKSIK",IF($C438&lt;=toleransKurus*cbb_yuvarlamaCarpan,"YUVARLAMA",IF(AND($F438&lt;&gt;"Ba",$F438&lt;&gt;"Bs"),"TIP_KARISIK",IF($C438&gt;cbb_esikFark*cbb_donemCarpan,"DONEM",IF(LEN($D438)&lt;cbb_unvanMinLen,"UNVAN","TANIMSIZ"))))))</f>
        <v/>
      </c>
    </row>
    <row r="439">
      <c r="A439" s="26">
        <f>IF('ESLESTIRME'!$A439="","",'ESLESTIRME'!$A439)</f>
        <v/>
      </c>
      <c r="B439" s="16">
        <f>IF($A439="","",IFERROR(INDEX(tblEslesme[Kova],MATCH($A439,tblEslesme[A_Norm],0)),""))</f>
        <v/>
      </c>
      <c r="C439" s="16">
        <f>IF($A439="","",IFERROR(INDEX(tblEslesme[AbsFark],MATCH($A439,tblEslesme[A_Norm],0)),0))</f>
        <v/>
      </c>
      <c r="D439" s="16">
        <f>IF($A439="","",IFERROR(INDEX(tblVeriA[Unvan],MATCH($A439,tblAnahtarA[Norm],0)),""))</f>
        <v/>
      </c>
      <c r="E439" s="16">
        <f>IF($A439="","",IFERROR(SUMIF(tblAnahtarB[NormB],$A439,tblVeriB[BelgeAdet]),0))</f>
        <v/>
      </c>
      <c r="F439" s="16">
        <f>IF($A439="","",IFERROR(INDEX(tblVeriB[FormTipi],MATCH($A439,tblAnahtarB[NormB],0)),""))</f>
        <v/>
      </c>
      <c r="G439" s="16">
        <f>IF($A439="","",IFERROR(INDEX(tblVeriA[Donem],MATCH($A439,tblAnahtarA[Norm],0)),""))</f>
        <v/>
      </c>
      <c r="H439" s="16">
        <f>IF(OR($A439="",$B439&lt;&gt;"tutar_farki"),"",IF($E439=0,"BELGE_EKSIK",IF($C439&lt;=toleransKurus*cbb_yuvarlamaCarpan,"YUVARLAMA",IF(AND($F439&lt;&gt;"Ba",$F439&lt;&gt;"Bs"),"TIP_KARISIK",IF($C439&gt;cbb_esikFark*cbb_donemCarpan,"DONEM",IF(LEN($D439)&lt;cbb_unvanMinLen,"UNVAN","TANIMSIZ"))))))</f>
        <v/>
      </c>
    </row>
    <row r="440">
      <c r="A440" s="26">
        <f>IF('ESLESTIRME'!$A440="","",'ESLESTIRME'!$A440)</f>
        <v/>
      </c>
      <c r="B440" s="16">
        <f>IF($A440="","",IFERROR(INDEX(tblEslesme[Kova],MATCH($A440,tblEslesme[A_Norm],0)),""))</f>
        <v/>
      </c>
      <c r="C440" s="16">
        <f>IF($A440="","",IFERROR(INDEX(tblEslesme[AbsFark],MATCH($A440,tblEslesme[A_Norm],0)),0))</f>
        <v/>
      </c>
      <c r="D440" s="16">
        <f>IF($A440="","",IFERROR(INDEX(tblVeriA[Unvan],MATCH($A440,tblAnahtarA[Norm],0)),""))</f>
        <v/>
      </c>
      <c r="E440" s="16">
        <f>IF($A440="","",IFERROR(SUMIF(tblAnahtarB[NormB],$A440,tblVeriB[BelgeAdet]),0))</f>
        <v/>
      </c>
      <c r="F440" s="16">
        <f>IF($A440="","",IFERROR(INDEX(tblVeriB[FormTipi],MATCH($A440,tblAnahtarB[NormB],0)),""))</f>
        <v/>
      </c>
      <c r="G440" s="16">
        <f>IF($A440="","",IFERROR(INDEX(tblVeriA[Donem],MATCH($A440,tblAnahtarA[Norm],0)),""))</f>
        <v/>
      </c>
      <c r="H440" s="16">
        <f>IF(OR($A440="",$B440&lt;&gt;"tutar_farki"),"",IF($E440=0,"BELGE_EKSIK",IF($C440&lt;=toleransKurus*cbb_yuvarlamaCarpan,"YUVARLAMA",IF(AND($F440&lt;&gt;"Ba",$F440&lt;&gt;"Bs"),"TIP_KARISIK",IF($C440&gt;cbb_esikFark*cbb_donemCarpan,"DONEM",IF(LEN($D440)&lt;cbb_unvanMinLen,"UNVAN","TANIMSIZ"))))))</f>
        <v/>
      </c>
    </row>
    <row r="441">
      <c r="A441" s="26">
        <f>IF('ESLESTIRME'!$A441="","",'ESLESTIRME'!$A441)</f>
        <v/>
      </c>
      <c r="B441" s="16">
        <f>IF($A441="","",IFERROR(INDEX(tblEslesme[Kova],MATCH($A441,tblEslesme[A_Norm],0)),""))</f>
        <v/>
      </c>
      <c r="C441" s="16">
        <f>IF($A441="","",IFERROR(INDEX(tblEslesme[AbsFark],MATCH($A441,tblEslesme[A_Norm],0)),0))</f>
        <v/>
      </c>
      <c r="D441" s="16">
        <f>IF($A441="","",IFERROR(INDEX(tblVeriA[Unvan],MATCH($A441,tblAnahtarA[Norm],0)),""))</f>
        <v/>
      </c>
      <c r="E441" s="16">
        <f>IF($A441="","",IFERROR(SUMIF(tblAnahtarB[NormB],$A441,tblVeriB[BelgeAdet]),0))</f>
        <v/>
      </c>
      <c r="F441" s="16">
        <f>IF($A441="","",IFERROR(INDEX(tblVeriB[FormTipi],MATCH($A441,tblAnahtarB[NormB],0)),""))</f>
        <v/>
      </c>
      <c r="G441" s="16">
        <f>IF($A441="","",IFERROR(INDEX(tblVeriA[Donem],MATCH($A441,tblAnahtarA[Norm],0)),""))</f>
        <v/>
      </c>
      <c r="H441" s="16">
        <f>IF(OR($A441="",$B441&lt;&gt;"tutar_farki"),"",IF($E441=0,"BELGE_EKSIK",IF($C441&lt;=toleransKurus*cbb_yuvarlamaCarpan,"YUVARLAMA",IF(AND($F441&lt;&gt;"Ba",$F441&lt;&gt;"Bs"),"TIP_KARISIK",IF($C441&gt;cbb_esikFark*cbb_donemCarpan,"DONEM",IF(LEN($D441)&lt;cbb_unvanMinLen,"UNVAN","TANIMSIZ"))))))</f>
        <v/>
      </c>
    </row>
    <row r="442">
      <c r="A442" s="26">
        <f>IF('ESLESTIRME'!$A442="","",'ESLESTIRME'!$A442)</f>
        <v/>
      </c>
      <c r="B442" s="16">
        <f>IF($A442="","",IFERROR(INDEX(tblEslesme[Kova],MATCH($A442,tblEslesme[A_Norm],0)),""))</f>
        <v/>
      </c>
      <c r="C442" s="16">
        <f>IF($A442="","",IFERROR(INDEX(tblEslesme[AbsFark],MATCH($A442,tblEslesme[A_Norm],0)),0))</f>
        <v/>
      </c>
      <c r="D442" s="16">
        <f>IF($A442="","",IFERROR(INDEX(tblVeriA[Unvan],MATCH($A442,tblAnahtarA[Norm],0)),""))</f>
        <v/>
      </c>
      <c r="E442" s="16">
        <f>IF($A442="","",IFERROR(SUMIF(tblAnahtarB[NormB],$A442,tblVeriB[BelgeAdet]),0))</f>
        <v/>
      </c>
      <c r="F442" s="16">
        <f>IF($A442="","",IFERROR(INDEX(tblVeriB[FormTipi],MATCH($A442,tblAnahtarB[NormB],0)),""))</f>
        <v/>
      </c>
      <c r="G442" s="16">
        <f>IF($A442="","",IFERROR(INDEX(tblVeriA[Donem],MATCH($A442,tblAnahtarA[Norm],0)),""))</f>
        <v/>
      </c>
      <c r="H442" s="16">
        <f>IF(OR($A442="",$B442&lt;&gt;"tutar_farki"),"",IF($E442=0,"BELGE_EKSIK",IF($C442&lt;=toleransKurus*cbb_yuvarlamaCarpan,"YUVARLAMA",IF(AND($F442&lt;&gt;"Ba",$F442&lt;&gt;"Bs"),"TIP_KARISIK",IF($C442&gt;cbb_esikFark*cbb_donemCarpan,"DONEM",IF(LEN($D442)&lt;cbb_unvanMinLen,"UNVAN","TANIMSIZ"))))))</f>
        <v/>
      </c>
    </row>
    <row r="443">
      <c r="A443" s="26">
        <f>IF('ESLESTIRME'!$A443="","",'ESLESTIRME'!$A443)</f>
        <v/>
      </c>
      <c r="B443" s="16">
        <f>IF($A443="","",IFERROR(INDEX(tblEslesme[Kova],MATCH($A443,tblEslesme[A_Norm],0)),""))</f>
        <v/>
      </c>
      <c r="C443" s="16">
        <f>IF($A443="","",IFERROR(INDEX(tblEslesme[AbsFark],MATCH($A443,tblEslesme[A_Norm],0)),0))</f>
        <v/>
      </c>
      <c r="D443" s="16">
        <f>IF($A443="","",IFERROR(INDEX(tblVeriA[Unvan],MATCH($A443,tblAnahtarA[Norm],0)),""))</f>
        <v/>
      </c>
      <c r="E443" s="16">
        <f>IF($A443="","",IFERROR(SUMIF(tblAnahtarB[NormB],$A443,tblVeriB[BelgeAdet]),0))</f>
        <v/>
      </c>
      <c r="F443" s="16">
        <f>IF($A443="","",IFERROR(INDEX(tblVeriB[FormTipi],MATCH($A443,tblAnahtarB[NormB],0)),""))</f>
        <v/>
      </c>
      <c r="G443" s="16">
        <f>IF($A443="","",IFERROR(INDEX(tblVeriA[Donem],MATCH($A443,tblAnahtarA[Norm],0)),""))</f>
        <v/>
      </c>
      <c r="H443" s="16">
        <f>IF(OR($A443="",$B443&lt;&gt;"tutar_farki"),"",IF($E443=0,"BELGE_EKSIK",IF($C443&lt;=toleransKurus*cbb_yuvarlamaCarpan,"YUVARLAMA",IF(AND($F443&lt;&gt;"Ba",$F443&lt;&gt;"Bs"),"TIP_KARISIK",IF($C443&gt;cbb_esikFark*cbb_donemCarpan,"DONEM",IF(LEN($D443)&lt;cbb_unvanMinLen,"UNVAN","TANIMSIZ"))))))</f>
        <v/>
      </c>
    </row>
    <row r="444">
      <c r="A444" s="26">
        <f>IF('ESLESTIRME'!$A444="","",'ESLESTIRME'!$A444)</f>
        <v/>
      </c>
      <c r="B444" s="16">
        <f>IF($A444="","",IFERROR(INDEX(tblEslesme[Kova],MATCH($A444,tblEslesme[A_Norm],0)),""))</f>
        <v/>
      </c>
      <c r="C444" s="16">
        <f>IF($A444="","",IFERROR(INDEX(tblEslesme[AbsFark],MATCH($A444,tblEslesme[A_Norm],0)),0))</f>
        <v/>
      </c>
      <c r="D444" s="16">
        <f>IF($A444="","",IFERROR(INDEX(tblVeriA[Unvan],MATCH($A444,tblAnahtarA[Norm],0)),""))</f>
        <v/>
      </c>
      <c r="E444" s="16">
        <f>IF($A444="","",IFERROR(SUMIF(tblAnahtarB[NormB],$A444,tblVeriB[BelgeAdet]),0))</f>
        <v/>
      </c>
      <c r="F444" s="16">
        <f>IF($A444="","",IFERROR(INDEX(tblVeriB[FormTipi],MATCH($A444,tblAnahtarB[NormB],0)),""))</f>
        <v/>
      </c>
      <c r="G444" s="16">
        <f>IF($A444="","",IFERROR(INDEX(tblVeriA[Donem],MATCH($A444,tblAnahtarA[Norm],0)),""))</f>
        <v/>
      </c>
      <c r="H444" s="16">
        <f>IF(OR($A444="",$B444&lt;&gt;"tutar_farki"),"",IF($E444=0,"BELGE_EKSIK",IF($C444&lt;=toleransKurus*cbb_yuvarlamaCarpan,"YUVARLAMA",IF(AND($F444&lt;&gt;"Ba",$F444&lt;&gt;"Bs"),"TIP_KARISIK",IF($C444&gt;cbb_esikFark*cbb_donemCarpan,"DONEM",IF(LEN($D444)&lt;cbb_unvanMinLen,"UNVAN","TANIMSIZ"))))))</f>
        <v/>
      </c>
    </row>
    <row r="445">
      <c r="A445" s="26">
        <f>IF('ESLESTIRME'!$A445="","",'ESLESTIRME'!$A445)</f>
        <v/>
      </c>
      <c r="B445" s="16">
        <f>IF($A445="","",IFERROR(INDEX(tblEslesme[Kova],MATCH($A445,tblEslesme[A_Norm],0)),""))</f>
        <v/>
      </c>
      <c r="C445" s="16">
        <f>IF($A445="","",IFERROR(INDEX(tblEslesme[AbsFark],MATCH($A445,tblEslesme[A_Norm],0)),0))</f>
        <v/>
      </c>
      <c r="D445" s="16">
        <f>IF($A445="","",IFERROR(INDEX(tblVeriA[Unvan],MATCH($A445,tblAnahtarA[Norm],0)),""))</f>
        <v/>
      </c>
      <c r="E445" s="16">
        <f>IF($A445="","",IFERROR(SUMIF(tblAnahtarB[NormB],$A445,tblVeriB[BelgeAdet]),0))</f>
        <v/>
      </c>
      <c r="F445" s="16">
        <f>IF($A445="","",IFERROR(INDEX(tblVeriB[FormTipi],MATCH($A445,tblAnahtarB[NormB],0)),""))</f>
        <v/>
      </c>
      <c r="G445" s="16">
        <f>IF($A445="","",IFERROR(INDEX(tblVeriA[Donem],MATCH($A445,tblAnahtarA[Norm],0)),""))</f>
        <v/>
      </c>
      <c r="H445" s="16">
        <f>IF(OR($A445="",$B445&lt;&gt;"tutar_farki"),"",IF($E445=0,"BELGE_EKSIK",IF($C445&lt;=toleransKurus*cbb_yuvarlamaCarpan,"YUVARLAMA",IF(AND($F445&lt;&gt;"Ba",$F445&lt;&gt;"Bs"),"TIP_KARISIK",IF($C445&gt;cbb_esikFark*cbb_donemCarpan,"DONEM",IF(LEN($D445)&lt;cbb_unvanMinLen,"UNVAN","TANIMSIZ"))))))</f>
        <v/>
      </c>
    </row>
    <row r="446">
      <c r="A446" s="26">
        <f>IF('ESLESTIRME'!$A446="","",'ESLESTIRME'!$A446)</f>
        <v/>
      </c>
      <c r="B446" s="16">
        <f>IF($A446="","",IFERROR(INDEX(tblEslesme[Kova],MATCH($A446,tblEslesme[A_Norm],0)),""))</f>
        <v/>
      </c>
      <c r="C446" s="16">
        <f>IF($A446="","",IFERROR(INDEX(tblEslesme[AbsFark],MATCH($A446,tblEslesme[A_Norm],0)),0))</f>
        <v/>
      </c>
      <c r="D446" s="16">
        <f>IF($A446="","",IFERROR(INDEX(tblVeriA[Unvan],MATCH($A446,tblAnahtarA[Norm],0)),""))</f>
        <v/>
      </c>
      <c r="E446" s="16">
        <f>IF($A446="","",IFERROR(SUMIF(tblAnahtarB[NormB],$A446,tblVeriB[BelgeAdet]),0))</f>
        <v/>
      </c>
      <c r="F446" s="16">
        <f>IF($A446="","",IFERROR(INDEX(tblVeriB[FormTipi],MATCH($A446,tblAnahtarB[NormB],0)),""))</f>
        <v/>
      </c>
      <c r="G446" s="16">
        <f>IF($A446="","",IFERROR(INDEX(tblVeriA[Donem],MATCH($A446,tblAnahtarA[Norm],0)),""))</f>
        <v/>
      </c>
      <c r="H446" s="16">
        <f>IF(OR($A446="",$B446&lt;&gt;"tutar_farki"),"",IF($E446=0,"BELGE_EKSIK",IF($C446&lt;=toleransKurus*cbb_yuvarlamaCarpan,"YUVARLAMA",IF(AND($F446&lt;&gt;"Ba",$F446&lt;&gt;"Bs"),"TIP_KARISIK",IF($C446&gt;cbb_esikFark*cbb_donemCarpan,"DONEM",IF(LEN($D446)&lt;cbb_unvanMinLen,"UNVAN","TANIMSIZ"))))))</f>
        <v/>
      </c>
    </row>
    <row r="447">
      <c r="A447" s="26">
        <f>IF('ESLESTIRME'!$A447="","",'ESLESTIRME'!$A447)</f>
        <v/>
      </c>
      <c r="B447" s="16">
        <f>IF($A447="","",IFERROR(INDEX(tblEslesme[Kova],MATCH($A447,tblEslesme[A_Norm],0)),""))</f>
        <v/>
      </c>
      <c r="C447" s="16">
        <f>IF($A447="","",IFERROR(INDEX(tblEslesme[AbsFark],MATCH($A447,tblEslesme[A_Norm],0)),0))</f>
        <v/>
      </c>
      <c r="D447" s="16">
        <f>IF($A447="","",IFERROR(INDEX(tblVeriA[Unvan],MATCH($A447,tblAnahtarA[Norm],0)),""))</f>
        <v/>
      </c>
      <c r="E447" s="16">
        <f>IF($A447="","",IFERROR(SUMIF(tblAnahtarB[NormB],$A447,tblVeriB[BelgeAdet]),0))</f>
        <v/>
      </c>
      <c r="F447" s="16">
        <f>IF($A447="","",IFERROR(INDEX(tblVeriB[FormTipi],MATCH($A447,tblAnahtarB[NormB],0)),""))</f>
        <v/>
      </c>
      <c r="G447" s="16">
        <f>IF($A447="","",IFERROR(INDEX(tblVeriA[Donem],MATCH($A447,tblAnahtarA[Norm],0)),""))</f>
        <v/>
      </c>
      <c r="H447" s="16">
        <f>IF(OR($A447="",$B447&lt;&gt;"tutar_farki"),"",IF($E447=0,"BELGE_EKSIK",IF($C447&lt;=toleransKurus*cbb_yuvarlamaCarpan,"YUVARLAMA",IF(AND($F447&lt;&gt;"Ba",$F447&lt;&gt;"Bs"),"TIP_KARISIK",IF($C447&gt;cbb_esikFark*cbb_donemCarpan,"DONEM",IF(LEN($D447)&lt;cbb_unvanMinLen,"UNVAN","TANIMSIZ"))))))</f>
        <v/>
      </c>
    </row>
    <row r="448">
      <c r="A448" s="26">
        <f>IF('ESLESTIRME'!$A448="","",'ESLESTIRME'!$A448)</f>
        <v/>
      </c>
      <c r="B448" s="16">
        <f>IF($A448="","",IFERROR(INDEX(tblEslesme[Kova],MATCH($A448,tblEslesme[A_Norm],0)),""))</f>
        <v/>
      </c>
      <c r="C448" s="16">
        <f>IF($A448="","",IFERROR(INDEX(tblEslesme[AbsFark],MATCH($A448,tblEslesme[A_Norm],0)),0))</f>
        <v/>
      </c>
      <c r="D448" s="16">
        <f>IF($A448="","",IFERROR(INDEX(tblVeriA[Unvan],MATCH($A448,tblAnahtarA[Norm],0)),""))</f>
        <v/>
      </c>
      <c r="E448" s="16">
        <f>IF($A448="","",IFERROR(SUMIF(tblAnahtarB[NormB],$A448,tblVeriB[BelgeAdet]),0))</f>
        <v/>
      </c>
      <c r="F448" s="16">
        <f>IF($A448="","",IFERROR(INDEX(tblVeriB[FormTipi],MATCH($A448,tblAnahtarB[NormB],0)),""))</f>
        <v/>
      </c>
      <c r="G448" s="16">
        <f>IF($A448="","",IFERROR(INDEX(tblVeriA[Donem],MATCH($A448,tblAnahtarA[Norm],0)),""))</f>
        <v/>
      </c>
      <c r="H448" s="16">
        <f>IF(OR($A448="",$B448&lt;&gt;"tutar_farki"),"",IF($E448=0,"BELGE_EKSIK",IF($C448&lt;=toleransKurus*cbb_yuvarlamaCarpan,"YUVARLAMA",IF(AND($F448&lt;&gt;"Ba",$F448&lt;&gt;"Bs"),"TIP_KARISIK",IF($C448&gt;cbb_esikFark*cbb_donemCarpan,"DONEM",IF(LEN($D448)&lt;cbb_unvanMinLen,"UNVAN","TANIMSIZ"))))))</f>
        <v/>
      </c>
    </row>
    <row r="449">
      <c r="A449" s="26">
        <f>IF('ESLESTIRME'!$A449="","",'ESLESTIRME'!$A449)</f>
        <v/>
      </c>
      <c r="B449" s="16">
        <f>IF($A449="","",IFERROR(INDEX(tblEslesme[Kova],MATCH($A449,tblEslesme[A_Norm],0)),""))</f>
        <v/>
      </c>
      <c r="C449" s="16">
        <f>IF($A449="","",IFERROR(INDEX(tblEslesme[AbsFark],MATCH($A449,tblEslesme[A_Norm],0)),0))</f>
        <v/>
      </c>
      <c r="D449" s="16">
        <f>IF($A449="","",IFERROR(INDEX(tblVeriA[Unvan],MATCH($A449,tblAnahtarA[Norm],0)),""))</f>
        <v/>
      </c>
      <c r="E449" s="16">
        <f>IF($A449="","",IFERROR(SUMIF(tblAnahtarB[NormB],$A449,tblVeriB[BelgeAdet]),0))</f>
        <v/>
      </c>
      <c r="F449" s="16">
        <f>IF($A449="","",IFERROR(INDEX(tblVeriB[FormTipi],MATCH($A449,tblAnahtarB[NormB],0)),""))</f>
        <v/>
      </c>
      <c r="G449" s="16">
        <f>IF($A449="","",IFERROR(INDEX(tblVeriA[Donem],MATCH($A449,tblAnahtarA[Norm],0)),""))</f>
        <v/>
      </c>
      <c r="H449" s="16">
        <f>IF(OR($A449="",$B449&lt;&gt;"tutar_farki"),"",IF($E449=0,"BELGE_EKSIK",IF($C449&lt;=toleransKurus*cbb_yuvarlamaCarpan,"YUVARLAMA",IF(AND($F449&lt;&gt;"Ba",$F449&lt;&gt;"Bs"),"TIP_KARISIK",IF($C449&gt;cbb_esikFark*cbb_donemCarpan,"DONEM",IF(LEN($D449)&lt;cbb_unvanMinLen,"UNVAN","TANIMSIZ"))))))</f>
        <v/>
      </c>
    </row>
    <row r="450">
      <c r="A450" s="26">
        <f>IF('ESLESTIRME'!$A450="","",'ESLESTIRME'!$A450)</f>
        <v/>
      </c>
      <c r="B450" s="16">
        <f>IF($A450="","",IFERROR(INDEX(tblEslesme[Kova],MATCH($A450,tblEslesme[A_Norm],0)),""))</f>
        <v/>
      </c>
      <c r="C450" s="16">
        <f>IF($A450="","",IFERROR(INDEX(tblEslesme[AbsFark],MATCH($A450,tblEslesme[A_Norm],0)),0))</f>
        <v/>
      </c>
      <c r="D450" s="16">
        <f>IF($A450="","",IFERROR(INDEX(tblVeriA[Unvan],MATCH($A450,tblAnahtarA[Norm],0)),""))</f>
        <v/>
      </c>
      <c r="E450" s="16">
        <f>IF($A450="","",IFERROR(SUMIF(tblAnahtarB[NormB],$A450,tblVeriB[BelgeAdet]),0))</f>
        <v/>
      </c>
      <c r="F450" s="16">
        <f>IF($A450="","",IFERROR(INDEX(tblVeriB[FormTipi],MATCH($A450,tblAnahtarB[NormB],0)),""))</f>
        <v/>
      </c>
      <c r="G450" s="16">
        <f>IF($A450="","",IFERROR(INDEX(tblVeriA[Donem],MATCH($A450,tblAnahtarA[Norm],0)),""))</f>
        <v/>
      </c>
      <c r="H450" s="16">
        <f>IF(OR($A450="",$B450&lt;&gt;"tutar_farki"),"",IF($E450=0,"BELGE_EKSIK",IF($C450&lt;=toleransKurus*cbb_yuvarlamaCarpan,"YUVARLAMA",IF(AND($F450&lt;&gt;"Ba",$F450&lt;&gt;"Bs"),"TIP_KARISIK",IF($C450&gt;cbb_esikFark*cbb_donemCarpan,"DONEM",IF(LEN($D450)&lt;cbb_unvanMinLen,"UNVAN","TANIMSIZ"))))))</f>
        <v/>
      </c>
    </row>
    <row r="451">
      <c r="A451" s="26">
        <f>IF('ESLESTIRME'!$A451="","",'ESLESTIRME'!$A451)</f>
        <v/>
      </c>
      <c r="B451" s="16">
        <f>IF($A451="","",IFERROR(INDEX(tblEslesme[Kova],MATCH($A451,tblEslesme[A_Norm],0)),""))</f>
        <v/>
      </c>
      <c r="C451" s="16">
        <f>IF($A451="","",IFERROR(INDEX(tblEslesme[AbsFark],MATCH($A451,tblEslesme[A_Norm],0)),0))</f>
        <v/>
      </c>
      <c r="D451" s="16">
        <f>IF($A451="","",IFERROR(INDEX(tblVeriA[Unvan],MATCH($A451,tblAnahtarA[Norm],0)),""))</f>
        <v/>
      </c>
      <c r="E451" s="16">
        <f>IF($A451="","",IFERROR(SUMIF(tblAnahtarB[NormB],$A451,tblVeriB[BelgeAdet]),0))</f>
        <v/>
      </c>
      <c r="F451" s="16">
        <f>IF($A451="","",IFERROR(INDEX(tblVeriB[FormTipi],MATCH($A451,tblAnahtarB[NormB],0)),""))</f>
        <v/>
      </c>
      <c r="G451" s="16">
        <f>IF($A451="","",IFERROR(INDEX(tblVeriA[Donem],MATCH($A451,tblAnahtarA[Norm],0)),""))</f>
        <v/>
      </c>
      <c r="H451" s="16">
        <f>IF(OR($A451="",$B451&lt;&gt;"tutar_farki"),"",IF($E451=0,"BELGE_EKSIK",IF($C451&lt;=toleransKurus*cbb_yuvarlamaCarpan,"YUVARLAMA",IF(AND($F451&lt;&gt;"Ba",$F451&lt;&gt;"Bs"),"TIP_KARISIK",IF($C451&gt;cbb_esikFark*cbb_donemCarpan,"DONEM",IF(LEN($D451)&lt;cbb_unvanMinLen,"UNVAN","TANIMSIZ"))))))</f>
        <v/>
      </c>
    </row>
    <row r="452">
      <c r="A452" s="26">
        <f>IF('ESLESTIRME'!$A452="","",'ESLESTIRME'!$A452)</f>
        <v/>
      </c>
      <c r="B452" s="16">
        <f>IF($A452="","",IFERROR(INDEX(tblEslesme[Kova],MATCH($A452,tblEslesme[A_Norm],0)),""))</f>
        <v/>
      </c>
      <c r="C452" s="16">
        <f>IF($A452="","",IFERROR(INDEX(tblEslesme[AbsFark],MATCH($A452,tblEslesme[A_Norm],0)),0))</f>
        <v/>
      </c>
      <c r="D452" s="16">
        <f>IF($A452="","",IFERROR(INDEX(tblVeriA[Unvan],MATCH($A452,tblAnahtarA[Norm],0)),""))</f>
        <v/>
      </c>
      <c r="E452" s="16">
        <f>IF($A452="","",IFERROR(SUMIF(tblAnahtarB[NormB],$A452,tblVeriB[BelgeAdet]),0))</f>
        <v/>
      </c>
      <c r="F452" s="16">
        <f>IF($A452="","",IFERROR(INDEX(tblVeriB[FormTipi],MATCH($A452,tblAnahtarB[NormB],0)),""))</f>
        <v/>
      </c>
      <c r="G452" s="16">
        <f>IF($A452="","",IFERROR(INDEX(tblVeriA[Donem],MATCH($A452,tblAnahtarA[Norm],0)),""))</f>
        <v/>
      </c>
      <c r="H452" s="16">
        <f>IF(OR($A452="",$B452&lt;&gt;"tutar_farki"),"",IF($E452=0,"BELGE_EKSIK",IF($C452&lt;=toleransKurus*cbb_yuvarlamaCarpan,"YUVARLAMA",IF(AND($F452&lt;&gt;"Ba",$F452&lt;&gt;"Bs"),"TIP_KARISIK",IF($C452&gt;cbb_esikFark*cbb_donemCarpan,"DONEM",IF(LEN($D452)&lt;cbb_unvanMinLen,"UNVAN","TANIMSIZ"))))))</f>
        <v/>
      </c>
    </row>
    <row r="453">
      <c r="A453" s="26">
        <f>IF('ESLESTIRME'!$A453="","",'ESLESTIRME'!$A453)</f>
        <v/>
      </c>
      <c r="B453" s="16">
        <f>IF($A453="","",IFERROR(INDEX(tblEslesme[Kova],MATCH($A453,tblEslesme[A_Norm],0)),""))</f>
        <v/>
      </c>
      <c r="C453" s="16">
        <f>IF($A453="","",IFERROR(INDEX(tblEslesme[AbsFark],MATCH($A453,tblEslesme[A_Norm],0)),0))</f>
        <v/>
      </c>
      <c r="D453" s="16">
        <f>IF($A453="","",IFERROR(INDEX(tblVeriA[Unvan],MATCH($A453,tblAnahtarA[Norm],0)),""))</f>
        <v/>
      </c>
      <c r="E453" s="16">
        <f>IF($A453="","",IFERROR(SUMIF(tblAnahtarB[NormB],$A453,tblVeriB[BelgeAdet]),0))</f>
        <v/>
      </c>
      <c r="F453" s="16">
        <f>IF($A453="","",IFERROR(INDEX(tblVeriB[FormTipi],MATCH($A453,tblAnahtarB[NormB],0)),""))</f>
        <v/>
      </c>
      <c r="G453" s="16">
        <f>IF($A453="","",IFERROR(INDEX(tblVeriA[Donem],MATCH($A453,tblAnahtarA[Norm],0)),""))</f>
        <v/>
      </c>
      <c r="H453" s="16">
        <f>IF(OR($A453="",$B453&lt;&gt;"tutar_farki"),"",IF($E453=0,"BELGE_EKSIK",IF($C453&lt;=toleransKurus*cbb_yuvarlamaCarpan,"YUVARLAMA",IF(AND($F453&lt;&gt;"Ba",$F453&lt;&gt;"Bs"),"TIP_KARISIK",IF($C453&gt;cbb_esikFark*cbb_donemCarpan,"DONEM",IF(LEN($D453)&lt;cbb_unvanMinLen,"UNVAN","TANIMSIZ"))))))</f>
        <v/>
      </c>
    </row>
    <row r="454">
      <c r="A454" s="26">
        <f>IF('ESLESTIRME'!$A454="","",'ESLESTIRME'!$A454)</f>
        <v/>
      </c>
      <c r="B454" s="16">
        <f>IF($A454="","",IFERROR(INDEX(tblEslesme[Kova],MATCH($A454,tblEslesme[A_Norm],0)),""))</f>
        <v/>
      </c>
      <c r="C454" s="16">
        <f>IF($A454="","",IFERROR(INDEX(tblEslesme[AbsFark],MATCH($A454,tblEslesme[A_Norm],0)),0))</f>
        <v/>
      </c>
      <c r="D454" s="16">
        <f>IF($A454="","",IFERROR(INDEX(tblVeriA[Unvan],MATCH($A454,tblAnahtarA[Norm],0)),""))</f>
        <v/>
      </c>
      <c r="E454" s="16">
        <f>IF($A454="","",IFERROR(SUMIF(tblAnahtarB[NormB],$A454,tblVeriB[BelgeAdet]),0))</f>
        <v/>
      </c>
      <c r="F454" s="16">
        <f>IF($A454="","",IFERROR(INDEX(tblVeriB[FormTipi],MATCH($A454,tblAnahtarB[NormB],0)),""))</f>
        <v/>
      </c>
      <c r="G454" s="16">
        <f>IF($A454="","",IFERROR(INDEX(tblVeriA[Donem],MATCH($A454,tblAnahtarA[Norm],0)),""))</f>
        <v/>
      </c>
      <c r="H454" s="16">
        <f>IF(OR($A454="",$B454&lt;&gt;"tutar_farki"),"",IF($E454=0,"BELGE_EKSIK",IF($C454&lt;=toleransKurus*cbb_yuvarlamaCarpan,"YUVARLAMA",IF(AND($F454&lt;&gt;"Ba",$F454&lt;&gt;"Bs"),"TIP_KARISIK",IF($C454&gt;cbb_esikFark*cbb_donemCarpan,"DONEM",IF(LEN($D454)&lt;cbb_unvanMinLen,"UNVAN","TANIMSIZ"))))))</f>
        <v/>
      </c>
    </row>
    <row r="455">
      <c r="A455" s="26">
        <f>IF('ESLESTIRME'!$A455="","",'ESLESTIRME'!$A455)</f>
        <v/>
      </c>
      <c r="B455" s="16">
        <f>IF($A455="","",IFERROR(INDEX(tblEslesme[Kova],MATCH($A455,tblEslesme[A_Norm],0)),""))</f>
        <v/>
      </c>
      <c r="C455" s="16">
        <f>IF($A455="","",IFERROR(INDEX(tblEslesme[AbsFark],MATCH($A455,tblEslesme[A_Norm],0)),0))</f>
        <v/>
      </c>
      <c r="D455" s="16">
        <f>IF($A455="","",IFERROR(INDEX(tblVeriA[Unvan],MATCH($A455,tblAnahtarA[Norm],0)),""))</f>
        <v/>
      </c>
      <c r="E455" s="16">
        <f>IF($A455="","",IFERROR(SUMIF(tblAnahtarB[NormB],$A455,tblVeriB[BelgeAdet]),0))</f>
        <v/>
      </c>
      <c r="F455" s="16">
        <f>IF($A455="","",IFERROR(INDEX(tblVeriB[FormTipi],MATCH($A455,tblAnahtarB[NormB],0)),""))</f>
        <v/>
      </c>
      <c r="G455" s="16">
        <f>IF($A455="","",IFERROR(INDEX(tblVeriA[Donem],MATCH($A455,tblAnahtarA[Norm],0)),""))</f>
        <v/>
      </c>
      <c r="H455" s="16">
        <f>IF(OR($A455="",$B455&lt;&gt;"tutar_farki"),"",IF($E455=0,"BELGE_EKSIK",IF($C455&lt;=toleransKurus*cbb_yuvarlamaCarpan,"YUVARLAMA",IF(AND($F455&lt;&gt;"Ba",$F455&lt;&gt;"Bs"),"TIP_KARISIK",IF($C455&gt;cbb_esikFark*cbb_donemCarpan,"DONEM",IF(LEN($D455)&lt;cbb_unvanMinLen,"UNVAN","TANIMSIZ"))))))</f>
        <v/>
      </c>
    </row>
    <row r="456">
      <c r="A456" s="26">
        <f>IF('ESLESTIRME'!$A456="","",'ESLESTIRME'!$A456)</f>
        <v/>
      </c>
      <c r="B456" s="16">
        <f>IF($A456="","",IFERROR(INDEX(tblEslesme[Kova],MATCH($A456,tblEslesme[A_Norm],0)),""))</f>
        <v/>
      </c>
      <c r="C456" s="16">
        <f>IF($A456="","",IFERROR(INDEX(tblEslesme[AbsFark],MATCH($A456,tblEslesme[A_Norm],0)),0))</f>
        <v/>
      </c>
      <c r="D456" s="16">
        <f>IF($A456="","",IFERROR(INDEX(tblVeriA[Unvan],MATCH($A456,tblAnahtarA[Norm],0)),""))</f>
        <v/>
      </c>
      <c r="E456" s="16">
        <f>IF($A456="","",IFERROR(SUMIF(tblAnahtarB[NormB],$A456,tblVeriB[BelgeAdet]),0))</f>
        <v/>
      </c>
      <c r="F456" s="16">
        <f>IF($A456="","",IFERROR(INDEX(tblVeriB[FormTipi],MATCH($A456,tblAnahtarB[NormB],0)),""))</f>
        <v/>
      </c>
      <c r="G456" s="16">
        <f>IF($A456="","",IFERROR(INDEX(tblVeriA[Donem],MATCH($A456,tblAnahtarA[Norm],0)),""))</f>
        <v/>
      </c>
      <c r="H456" s="16">
        <f>IF(OR($A456="",$B456&lt;&gt;"tutar_farki"),"",IF($E456=0,"BELGE_EKSIK",IF($C456&lt;=toleransKurus*cbb_yuvarlamaCarpan,"YUVARLAMA",IF(AND($F456&lt;&gt;"Ba",$F456&lt;&gt;"Bs"),"TIP_KARISIK",IF($C456&gt;cbb_esikFark*cbb_donemCarpan,"DONEM",IF(LEN($D456)&lt;cbb_unvanMinLen,"UNVAN","TANIMSIZ"))))))</f>
        <v/>
      </c>
    </row>
    <row r="457">
      <c r="A457" s="26">
        <f>IF('ESLESTIRME'!$A457="","",'ESLESTIRME'!$A457)</f>
        <v/>
      </c>
      <c r="B457" s="16">
        <f>IF($A457="","",IFERROR(INDEX(tblEslesme[Kova],MATCH($A457,tblEslesme[A_Norm],0)),""))</f>
        <v/>
      </c>
      <c r="C457" s="16">
        <f>IF($A457="","",IFERROR(INDEX(tblEslesme[AbsFark],MATCH($A457,tblEslesme[A_Norm],0)),0))</f>
        <v/>
      </c>
      <c r="D457" s="16">
        <f>IF($A457="","",IFERROR(INDEX(tblVeriA[Unvan],MATCH($A457,tblAnahtarA[Norm],0)),""))</f>
        <v/>
      </c>
      <c r="E457" s="16">
        <f>IF($A457="","",IFERROR(SUMIF(tblAnahtarB[NormB],$A457,tblVeriB[BelgeAdet]),0))</f>
        <v/>
      </c>
      <c r="F457" s="16">
        <f>IF($A457="","",IFERROR(INDEX(tblVeriB[FormTipi],MATCH($A457,tblAnahtarB[NormB],0)),""))</f>
        <v/>
      </c>
      <c r="G457" s="16">
        <f>IF($A457="","",IFERROR(INDEX(tblVeriA[Donem],MATCH($A457,tblAnahtarA[Norm],0)),""))</f>
        <v/>
      </c>
      <c r="H457" s="16">
        <f>IF(OR($A457="",$B457&lt;&gt;"tutar_farki"),"",IF($E457=0,"BELGE_EKSIK",IF($C457&lt;=toleransKurus*cbb_yuvarlamaCarpan,"YUVARLAMA",IF(AND($F457&lt;&gt;"Ba",$F457&lt;&gt;"Bs"),"TIP_KARISIK",IF($C457&gt;cbb_esikFark*cbb_donemCarpan,"DONEM",IF(LEN($D457)&lt;cbb_unvanMinLen,"UNVAN","TANIMSIZ"))))))</f>
        <v/>
      </c>
    </row>
    <row r="458">
      <c r="A458" s="26">
        <f>IF('ESLESTIRME'!$A458="","",'ESLESTIRME'!$A458)</f>
        <v/>
      </c>
      <c r="B458" s="16">
        <f>IF($A458="","",IFERROR(INDEX(tblEslesme[Kova],MATCH($A458,tblEslesme[A_Norm],0)),""))</f>
        <v/>
      </c>
      <c r="C458" s="16">
        <f>IF($A458="","",IFERROR(INDEX(tblEslesme[AbsFark],MATCH($A458,tblEslesme[A_Norm],0)),0))</f>
        <v/>
      </c>
      <c r="D458" s="16">
        <f>IF($A458="","",IFERROR(INDEX(tblVeriA[Unvan],MATCH($A458,tblAnahtarA[Norm],0)),""))</f>
        <v/>
      </c>
      <c r="E458" s="16">
        <f>IF($A458="","",IFERROR(SUMIF(tblAnahtarB[NormB],$A458,tblVeriB[BelgeAdet]),0))</f>
        <v/>
      </c>
      <c r="F458" s="16">
        <f>IF($A458="","",IFERROR(INDEX(tblVeriB[FormTipi],MATCH($A458,tblAnahtarB[NormB],0)),""))</f>
        <v/>
      </c>
      <c r="G458" s="16">
        <f>IF($A458="","",IFERROR(INDEX(tblVeriA[Donem],MATCH($A458,tblAnahtarA[Norm],0)),""))</f>
        <v/>
      </c>
      <c r="H458" s="16">
        <f>IF(OR($A458="",$B458&lt;&gt;"tutar_farki"),"",IF($E458=0,"BELGE_EKSIK",IF($C458&lt;=toleransKurus*cbb_yuvarlamaCarpan,"YUVARLAMA",IF(AND($F458&lt;&gt;"Ba",$F458&lt;&gt;"Bs"),"TIP_KARISIK",IF($C458&gt;cbb_esikFark*cbb_donemCarpan,"DONEM",IF(LEN($D458)&lt;cbb_unvanMinLen,"UNVAN","TANIMSIZ"))))))</f>
        <v/>
      </c>
    </row>
    <row r="459">
      <c r="A459" s="26">
        <f>IF('ESLESTIRME'!$A459="","",'ESLESTIRME'!$A459)</f>
        <v/>
      </c>
      <c r="B459" s="16">
        <f>IF($A459="","",IFERROR(INDEX(tblEslesme[Kova],MATCH($A459,tblEslesme[A_Norm],0)),""))</f>
        <v/>
      </c>
      <c r="C459" s="16">
        <f>IF($A459="","",IFERROR(INDEX(tblEslesme[AbsFark],MATCH($A459,tblEslesme[A_Norm],0)),0))</f>
        <v/>
      </c>
      <c r="D459" s="16">
        <f>IF($A459="","",IFERROR(INDEX(tblVeriA[Unvan],MATCH($A459,tblAnahtarA[Norm],0)),""))</f>
        <v/>
      </c>
      <c r="E459" s="16">
        <f>IF($A459="","",IFERROR(SUMIF(tblAnahtarB[NormB],$A459,tblVeriB[BelgeAdet]),0))</f>
        <v/>
      </c>
      <c r="F459" s="16">
        <f>IF($A459="","",IFERROR(INDEX(tblVeriB[FormTipi],MATCH($A459,tblAnahtarB[NormB],0)),""))</f>
        <v/>
      </c>
      <c r="G459" s="16">
        <f>IF($A459="","",IFERROR(INDEX(tblVeriA[Donem],MATCH($A459,tblAnahtarA[Norm],0)),""))</f>
        <v/>
      </c>
      <c r="H459" s="16">
        <f>IF(OR($A459="",$B459&lt;&gt;"tutar_farki"),"",IF($E459=0,"BELGE_EKSIK",IF($C459&lt;=toleransKurus*cbb_yuvarlamaCarpan,"YUVARLAMA",IF(AND($F459&lt;&gt;"Ba",$F459&lt;&gt;"Bs"),"TIP_KARISIK",IF($C459&gt;cbb_esikFark*cbb_donemCarpan,"DONEM",IF(LEN($D459)&lt;cbb_unvanMinLen,"UNVAN","TANIMSIZ"))))))</f>
        <v/>
      </c>
    </row>
    <row r="460">
      <c r="A460" s="26">
        <f>IF('ESLESTIRME'!$A460="","",'ESLESTIRME'!$A460)</f>
        <v/>
      </c>
      <c r="B460" s="16">
        <f>IF($A460="","",IFERROR(INDEX(tblEslesme[Kova],MATCH($A460,tblEslesme[A_Norm],0)),""))</f>
        <v/>
      </c>
      <c r="C460" s="16">
        <f>IF($A460="","",IFERROR(INDEX(tblEslesme[AbsFark],MATCH($A460,tblEslesme[A_Norm],0)),0))</f>
        <v/>
      </c>
      <c r="D460" s="16">
        <f>IF($A460="","",IFERROR(INDEX(tblVeriA[Unvan],MATCH($A460,tblAnahtarA[Norm],0)),""))</f>
        <v/>
      </c>
      <c r="E460" s="16">
        <f>IF($A460="","",IFERROR(SUMIF(tblAnahtarB[NormB],$A460,tblVeriB[BelgeAdet]),0))</f>
        <v/>
      </c>
      <c r="F460" s="16">
        <f>IF($A460="","",IFERROR(INDEX(tblVeriB[FormTipi],MATCH($A460,tblAnahtarB[NormB],0)),""))</f>
        <v/>
      </c>
      <c r="G460" s="16">
        <f>IF($A460="","",IFERROR(INDEX(tblVeriA[Donem],MATCH($A460,tblAnahtarA[Norm],0)),""))</f>
        <v/>
      </c>
      <c r="H460" s="16">
        <f>IF(OR($A460="",$B460&lt;&gt;"tutar_farki"),"",IF($E460=0,"BELGE_EKSIK",IF($C460&lt;=toleransKurus*cbb_yuvarlamaCarpan,"YUVARLAMA",IF(AND($F460&lt;&gt;"Ba",$F460&lt;&gt;"Bs"),"TIP_KARISIK",IF($C460&gt;cbb_esikFark*cbb_donemCarpan,"DONEM",IF(LEN($D460)&lt;cbb_unvanMinLen,"UNVAN","TANIMSIZ"))))))</f>
        <v/>
      </c>
    </row>
    <row r="461">
      <c r="A461" s="26">
        <f>IF('ESLESTIRME'!$A461="","",'ESLESTIRME'!$A461)</f>
        <v/>
      </c>
      <c r="B461" s="16">
        <f>IF($A461="","",IFERROR(INDEX(tblEslesme[Kova],MATCH($A461,tblEslesme[A_Norm],0)),""))</f>
        <v/>
      </c>
      <c r="C461" s="16">
        <f>IF($A461="","",IFERROR(INDEX(tblEslesme[AbsFark],MATCH($A461,tblEslesme[A_Norm],0)),0))</f>
        <v/>
      </c>
      <c r="D461" s="16">
        <f>IF($A461="","",IFERROR(INDEX(tblVeriA[Unvan],MATCH($A461,tblAnahtarA[Norm],0)),""))</f>
        <v/>
      </c>
      <c r="E461" s="16">
        <f>IF($A461="","",IFERROR(SUMIF(tblAnahtarB[NormB],$A461,tblVeriB[BelgeAdet]),0))</f>
        <v/>
      </c>
      <c r="F461" s="16">
        <f>IF($A461="","",IFERROR(INDEX(tblVeriB[FormTipi],MATCH($A461,tblAnahtarB[NormB],0)),""))</f>
        <v/>
      </c>
      <c r="G461" s="16">
        <f>IF($A461="","",IFERROR(INDEX(tblVeriA[Donem],MATCH($A461,tblAnahtarA[Norm],0)),""))</f>
        <v/>
      </c>
      <c r="H461" s="16">
        <f>IF(OR($A461="",$B461&lt;&gt;"tutar_farki"),"",IF($E461=0,"BELGE_EKSIK",IF($C461&lt;=toleransKurus*cbb_yuvarlamaCarpan,"YUVARLAMA",IF(AND($F461&lt;&gt;"Ba",$F461&lt;&gt;"Bs"),"TIP_KARISIK",IF($C461&gt;cbb_esikFark*cbb_donemCarpan,"DONEM",IF(LEN($D461)&lt;cbb_unvanMinLen,"UNVAN","TANIMSIZ"))))))</f>
        <v/>
      </c>
    </row>
    <row r="462">
      <c r="A462" s="26">
        <f>IF('ESLESTIRME'!$A462="","",'ESLESTIRME'!$A462)</f>
        <v/>
      </c>
      <c r="B462" s="16">
        <f>IF($A462="","",IFERROR(INDEX(tblEslesme[Kova],MATCH($A462,tblEslesme[A_Norm],0)),""))</f>
        <v/>
      </c>
      <c r="C462" s="16">
        <f>IF($A462="","",IFERROR(INDEX(tblEslesme[AbsFark],MATCH($A462,tblEslesme[A_Norm],0)),0))</f>
        <v/>
      </c>
      <c r="D462" s="16">
        <f>IF($A462="","",IFERROR(INDEX(tblVeriA[Unvan],MATCH($A462,tblAnahtarA[Norm],0)),""))</f>
        <v/>
      </c>
      <c r="E462" s="16">
        <f>IF($A462="","",IFERROR(SUMIF(tblAnahtarB[NormB],$A462,tblVeriB[BelgeAdet]),0))</f>
        <v/>
      </c>
      <c r="F462" s="16">
        <f>IF($A462="","",IFERROR(INDEX(tblVeriB[FormTipi],MATCH($A462,tblAnahtarB[NormB],0)),""))</f>
        <v/>
      </c>
      <c r="G462" s="16">
        <f>IF($A462="","",IFERROR(INDEX(tblVeriA[Donem],MATCH($A462,tblAnahtarA[Norm],0)),""))</f>
        <v/>
      </c>
      <c r="H462" s="16">
        <f>IF(OR($A462="",$B462&lt;&gt;"tutar_farki"),"",IF($E462=0,"BELGE_EKSIK",IF($C462&lt;=toleransKurus*cbb_yuvarlamaCarpan,"YUVARLAMA",IF(AND($F462&lt;&gt;"Ba",$F462&lt;&gt;"Bs"),"TIP_KARISIK",IF($C462&gt;cbb_esikFark*cbb_donemCarpan,"DONEM",IF(LEN($D462)&lt;cbb_unvanMinLen,"UNVAN","TANIMSIZ"))))))</f>
        <v/>
      </c>
    </row>
    <row r="463">
      <c r="A463" s="26">
        <f>IF('ESLESTIRME'!$A463="","",'ESLESTIRME'!$A463)</f>
        <v/>
      </c>
      <c r="B463" s="16">
        <f>IF($A463="","",IFERROR(INDEX(tblEslesme[Kova],MATCH($A463,tblEslesme[A_Norm],0)),""))</f>
        <v/>
      </c>
      <c r="C463" s="16">
        <f>IF($A463="","",IFERROR(INDEX(tblEslesme[AbsFark],MATCH($A463,tblEslesme[A_Norm],0)),0))</f>
        <v/>
      </c>
      <c r="D463" s="16">
        <f>IF($A463="","",IFERROR(INDEX(tblVeriA[Unvan],MATCH($A463,tblAnahtarA[Norm],0)),""))</f>
        <v/>
      </c>
      <c r="E463" s="16">
        <f>IF($A463="","",IFERROR(SUMIF(tblAnahtarB[NormB],$A463,tblVeriB[BelgeAdet]),0))</f>
        <v/>
      </c>
      <c r="F463" s="16">
        <f>IF($A463="","",IFERROR(INDEX(tblVeriB[FormTipi],MATCH($A463,tblAnahtarB[NormB],0)),""))</f>
        <v/>
      </c>
      <c r="G463" s="16">
        <f>IF($A463="","",IFERROR(INDEX(tblVeriA[Donem],MATCH($A463,tblAnahtarA[Norm],0)),""))</f>
        <v/>
      </c>
      <c r="H463" s="16">
        <f>IF(OR($A463="",$B463&lt;&gt;"tutar_farki"),"",IF($E463=0,"BELGE_EKSIK",IF($C463&lt;=toleransKurus*cbb_yuvarlamaCarpan,"YUVARLAMA",IF(AND($F463&lt;&gt;"Ba",$F463&lt;&gt;"Bs"),"TIP_KARISIK",IF($C463&gt;cbb_esikFark*cbb_donemCarpan,"DONEM",IF(LEN($D463)&lt;cbb_unvanMinLen,"UNVAN","TANIMSIZ"))))))</f>
        <v/>
      </c>
    </row>
    <row r="464">
      <c r="A464" s="26">
        <f>IF('ESLESTIRME'!$A464="","",'ESLESTIRME'!$A464)</f>
        <v/>
      </c>
      <c r="B464" s="16">
        <f>IF($A464="","",IFERROR(INDEX(tblEslesme[Kova],MATCH($A464,tblEslesme[A_Norm],0)),""))</f>
        <v/>
      </c>
      <c r="C464" s="16">
        <f>IF($A464="","",IFERROR(INDEX(tblEslesme[AbsFark],MATCH($A464,tblEslesme[A_Norm],0)),0))</f>
        <v/>
      </c>
      <c r="D464" s="16">
        <f>IF($A464="","",IFERROR(INDEX(tblVeriA[Unvan],MATCH($A464,tblAnahtarA[Norm],0)),""))</f>
        <v/>
      </c>
      <c r="E464" s="16">
        <f>IF($A464="","",IFERROR(SUMIF(tblAnahtarB[NormB],$A464,tblVeriB[BelgeAdet]),0))</f>
        <v/>
      </c>
      <c r="F464" s="16">
        <f>IF($A464="","",IFERROR(INDEX(tblVeriB[FormTipi],MATCH($A464,tblAnahtarB[NormB],0)),""))</f>
        <v/>
      </c>
      <c r="G464" s="16">
        <f>IF($A464="","",IFERROR(INDEX(tblVeriA[Donem],MATCH($A464,tblAnahtarA[Norm],0)),""))</f>
        <v/>
      </c>
      <c r="H464" s="16">
        <f>IF(OR($A464="",$B464&lt;&gt;"tutar_farki"),"",IF($E464=0,"BELGE_EKSIK",IF($C464&lt;=toleransKurus*cbb_yuvarlamaCarpan,"YUVARLAMA",IF(AND($F464&lt;&gt;"Ba",$F464&lt;&gt;"Bs"),"TIP_KARISIK",IF($C464&gt;cbb_esikFark*cbb_donemCarpan,"DONEM",IF(LEN($D464)&lt;cbb_unvanMinLen,"UNVAN","TANIMSIZ"))))))</f>
        <v/>
      </c>
    </row>
    <row r="465">
      <c r="A465" s="26">
        <f>IF('ESLESTIRME'!$A465="","",'ESLESTIRME'!$A465)</f>
        <v/>
      </c>
      <c r="B465" s="16">
        <f>IF($A465="","",IFERROR(INDEX(tblEslesme[Kova],MATCH($A465,tblEslesme[A_Norm],0)),""))</f>
        <v/>
      </c>
      <c r="C465" s="16">
        <f>IF($A465="","",IFERROR(INDEX(tblEslesme[AbsFark],MATCH($A465,tblEslesme[A_Norm],0)),0))</f>
        <v/>
      </c>
      <c r="D465" s="16">
        <f>IF($A465="","",IFERROR(INDEX(tblVeriA[Unvan],MATCH($A465,tblAnahtarA[Norm],0)),""))</f>
        <v/>
      </c>
      <c r="E465" s="16">
        <f>IF($A465="","",IFERROR(SUMIF(tblAnahtarB[NormB],$A465,tblVeriB[BelgeAdet]),0))</f>
        <v/>
      </c>
      <c r="F465" s="16">
        <f>IF($A465="","",IFERROR(INDEX(tblVeriB[FormTipi],MATCH($A465,tblAnahtarB[NormB],0)),""))</f>
        <v/>
      </c>
      <c r="G465" s="16">
        <f>IF($A465="","",IFERROR(INDEX(tblVeriA[Donem],MATCH($A465,tblAnahtarA[Norm],0)),""))</f>
        <v/>
      </c>
      <c r="H465" s="16">
        <f>IF(OR($A465="",$B465&lt;&gt;"tutar_farki"),"",IF($E465=0,"BELGE_EKSIK",IF($C465&lt;=toleransKurus*cbb_yuvarlamaCarpan,"YUVARLAMA",IF(AND($F465&lt;&gt;"Ba",$F465&lt;&gt;"Bs"),"TIP_KARISIK",IF($C465&gt;cbb_esikFark*cbb_donemCarpan,"DONEM",IF(LEN($D465)&lt;cbb_unvanMinLen,"UNVAN","TANIMSIZ"))))))</f>
        <v/>
      </c>
    </row>
    <row r="466">
      <c r="A466" s="26">
        <f>IF('ESLESTIRME'!$A466="","",'ESLESTIRME'!$A466)</f>
        <v/>
      </c>
      <c r="B466" s="16">
        <f>IF($A466="","",IFERROR(INDEX(tblEslesme[Kova],MATCH($A466,tblEslesme[A_Norm],0)),""))</f>
        <v/>
      </c>
      <c r="C466" s="16">
        <f>IF($A466="","",IFERROR(INDEX(tblEslesme[AbsFark],MATCH($A466,tblEslesme[A_Norm],0)),0))</f>
        <v/>
      </c>
      <c r="D466" s="16">
        <f>IF($A466="","",IFERROR(INDEX(tblVeriA[Unvan],MATCH($A466,tblAnahtarA[Norm],0)),""))</f>
        <v/>
      </c>
      <c r="E466" s="16">
        <f>IF($A466="","",IFERROR(SUMIF(tblAnahtarB[NormB],$A466,tblVeriB[BelgeAdet]),0))</f>
        <v/>
      </c>
      <c r="F466" s="16">
        <f>IF($A466="","",IFERROR(INDEX(tblVeriB[FormTipi],MATCH($A466,tblAnahtarB[NormB],0)),""))</f>
        <v/>
      </c>
      <c r="G466" s="16">
        <f>IF($A466="","",IFERROR(INDEX(tblVeriA[Donem],MATCH($A466,tblAnahtarA[Norm],0)),""))</f>
        <v/>
      </c>
      <c r="H466" s="16">
        <f>IF(OR($A466="",$B466&lt;&gt;"tutar_farki"),"",IF($E466=0,"BELGE_EKSIK",IF($C466&lt;=toleransKurus*cbb_yuvarlamaCarpan,"YUVARLAMA",IF(AND($F466&lt;&gt;"Ba",$F466&lt;&gt;"Bs"),"TIP_KARISIK",IF($C466&gt;cbb_esikFark*cbb_donemCarpan,"DONEM",IF(LEN($D466)&lt;cbb_unvanMinLen,"UNVAN","TANIMSIZ"))))))</f>
        <v/>
      </c>
    </row>
    <row r="467">
      <c r="A467" s="26">
        <f>IF('ESLESTIRME'!$A467="","",'ESLESTIRME'!$A467)</f>
        <v/>
      </c>
      <c r="B467" s="16">
        <f>IF($A467="","",IFERROR(INDEX(tblEslesme[Kova],MATCH($A467,tblEslesme[A_Norm],0)),""))</f>
        <v/>
      </c>
      <c r="C467" s="16">
        <f>IF($A467="","",IFERROR(INDEX(tblEslesme[AbsFark],MATCH($A467,tblEslesme[A_Norm],0)),0))</f>
        <v/>
      </c>
      <c r="D467" s="16">
        <f>IF($A467="","",IFERROR(INDEX(tblVeriA[Unvan],MATCH($A467,tblAnahtarA[Norm],0)),""))</f>
        <v/>
      </c>
      <c r="E467" s="16">
        <f>IF($A467="","",IFERROR(SUMIF(tblAnahtarB[NormB],$A467,tblVeriB[BelgeAdet]),0))</f>
        <v/>
      </c>
      <c r="F467" s="16">
        <f>IF($A467="","",IFERROR(INDEX(tblVeriB[FormTipi],MATCH($A467,tblAnahtarB[NormB],0)),""))</f>
        <v/>
      </c>
      <c r="G467" s="16">
        <f>IF($A467="","",IFERROR(INDEX(tblVeriA[Donem],MATCH($A467,tblAnahtarA[Norm],0)),""))</f>
        <v/>
      </c>
      <c r="H467" s="16">
        <f>IF(OR($A467="",$B467&lt;&gt;"tutar_farki"),"",IF($E467=0,"BELGE_EKSIK",IF($C467&lt;=toleransKurus*cbb_yuvarlamaCarpan,"YUVARLAMA",IF(AND($F467&lt;&gt;"Ba",$F467&lt;&gt;"Bs"),"TIP_KARISIK",IF($C467&gt;cbb_esikFark*cbb_donemCarpan,"DONEM",IF(LEN($D467)&lt;cbb_unvanMinLen,"UNVAN","TANIMSIZ"))))))</f>
        <v/>
      </c>
    </row>
    <row r="468">
      <c r="A468" s="26">
        <f>IF('ESLESTIRME'!$A468="","",'ESLESTIRME'!$A468)</f>
        <v/>
      </c>
      <c r="B468" s="16">
        <f>IF($A468="","",IFERROR(INDEX(tblEslesme[Kova],MATCH($A468,tblEslesme[A_Norm],0)),""))</f>
        <v/>
      </c>
      <c r="C468" s="16">
        <f>IF($A468="","",IFERROR(INDEX(tblEslesme[AbsFark],MATCH($A468,tblEslesme[A_Norm],0)),0))</f>
        <v/>
      </c>
      <c r="D468" s="16">
        <f>IF($A468="","",IFERROR(INDEX(tblVeriA[Unvan],MATCH($A468,tblAnahtarA[Norm],0)),""))</f>
        <v/>
      </c>
      <c r="E468" s="16">
        <f>IF($A468="","",IFERROR(SUMIF(tblAnahtarB[NormB],$A468,tblVeriB[BelgeAdet]),0))</f>
        <v/>
      </c>
      <c r="F468" s="16">
        <f>IF($A468="","",IFERROR(INDEX(tblVeriB[FormTipi],MATCH($A468,tblAnahtarB[NormB],0)),""))</f>
        <v/>
      </c>
      <c r="G468" s="16">
        <f>IF($A468="","",IFERROR(INDEX(tblVeriA[Donem],MATCH($A468,tblAnahtarA[Norm],0)),""))</f>
        <v/>
      </c>
      <c r="H468" s="16">
        <f>IF(OR($A468="",$B468&lt;&gt;"tutar_farki"),"",IF($E468=0,"BELGE_EKSIK",IF($C468&lt;=toleransKurus*cbb_yuvarlamaCarpan,"YUVARLAMA",IF(AND($F468&lt;&gt;"Ba",$F468&lt;&gt;"Bs"),"TIP_KARISIK",IF($C468&gt;cbb_esikFark*cbb_donemCarpan,"DONEM",IF(LEN($D468)&lt;cbb_unvanMinLen,"UNVAN","TANIMSIZ"))))))</f>
        <v/>
      </c>
    </row>
    <row r="469">
      <c r="A469" s="26">
        <f>IF('ESLESTIRME'!$A469="","",'ESLESTIRME'!$A469)</f>
        <v/>
      </c>
      <c r="B469" s="16">
        <f>IF($A469="","",IFERROR(INDEX(tblEslesme[Kova],MATCH($A469,tblEslesme[A_Norm],0)),""))</f>
        <v/>
      </c>
      <c r="C469" s="16">
        <f>IF($A469="","",IFERROR(INDEX(tblEslesme[AbsFark],MATCH($A469,tblEslesme[A_Norm],0)),0))</f>
        <v/>
      </c>
      <c r="D469" s="16">
        <f>IF($A469="","",IFERROR(INDEX(tblVeriA[Unvan],MATCH($A469,tblAnahtarA[Norm],0)),""))</f>
        <v/>
      </c>
      <c r="E469" s="16">
        <f>IF($A469="","",IFERROR(SUMIF(tblAnahtarB[NormB],$A469,tblVeriB[BelgeAdet]),0))</f>
        <v/>
      </c>
      <c r="F469" s="16">
        <f>IF($A469="","",IFERROR(INDEX(tblVeriB[FormTipi],MATCH($A469,tblAnahtarB[NormB],0)),""))</f>
        <v/>
      </c>
      <c r="G469" s="16">
        <f>IF($A469="","",IFERROR(INDEX(tblVeriA[Donem],MATCH($A469,tblAnahtarA[Norm],0)),""))</f>
        <v/>
      </c>
      <c r="H469" s="16">
        <f>IF(OR($A469="",$B469&lt;&gt;"tutar_farki"),"",IF($E469=0,"BELGE_EKSIK",IF($C469&lt;=toleransKurus*cbb_yuvarlamaCarpan,"YUVARLAMA",IF(AND($F469&lt;&gt;"Ba",$F469&lt;&gt;"Bs"),"TIP_KARISIK",IF($C469&gt;cbb_esikFark*cbb_donemCarpan,"DONEM",IF(LEN($D469)&lt;cbb_unvanMinLen,"UNVAN","TANIMSIZ"))))))</f>
        <v/>
      </c>
    </row>
    <row r="470">
      <c r="A470" s="26">
        <f>IF('ESLESTIRME'!$A470="","",'ESLESTIRME'!$A470)</f>
        <v/>
      </c>
      <c r="B470" s="16">
        <f>IF($A470="","",IFERROR(INDEX(tblEslesme[Kova],MATCH($A470,tblEslesme[A_Norm],0)),""))</f>
        <v/>
      </c>
      <c r="C470" s="16">
        <f>IF($A470="","",IFERROR(INDEX(tblEslesme[AbsFark],MATCH($A470,tblEslesme[A_Norm],0)),0))</f>
        <v/>
      </c>
      <c r="D470" s="16">
        <f>IF($A470="","",IFERROR(INDEX(tblVeriA[Unvan],MATCH($A470,tblAnahtarA[Norm],0)),""))</f>
        <v/>
      </c>
      <c r="E470" s="16">
        <f>IF($A470="","",IFERROR(SUMIF(tblAnahtarB[NormB],$A470,tblVeriB[BelgeAdet]),0))</f>
        <v/>
      </c>
      <c r="F470" s="16">
        <f>IF($A470="","",IFERROR(INDEX(tblVeriB[FormTipi],MATCH($A470,tblAnahtarB[NormB],0)),""))</f>
        <v/>
      </c>
      <c r="G470" s="16">
        <f>IF($A470="","",IFERROR(INDEX(tblVeriA[Donem],MATCH($A470,tblAnahtarA[Norm],0)),""))</f>
        <v/>
      </c>
      <c r="H470" s="16">
        <f>IF(OR($A470="",$B470&lt;&gt;"tutar_farki"),"",IF($E470=0,"BELGE_EKSIK",IF($C470&lt;=toleransKurus*cbb_yuvarlamaCarpan,"YUVARLAMA",IF(AND($F470&lt;&gt;"Ba",$F470&lt;&gt;"Bs"),"TIP_KARISIK",IF($C470&gt;cbb_esikFark*cbb_donemCarpan,"DONEM",IF(LEN($D470)&lt;cbb_unvanMinLen,"UNVAN","TANIMSIZ"))))))</f>
        <v/>
      </c>
    </row>
    <row r="471">
      <c r="A471" s="26">
        <f>IF('ESLESTIRME'!$A471="","",'ESLESTIRME'!$A471)</f>
        <v/>
      </c>
      <c r="B471" s="16">
        <f>IF($A471="","",IFERROR(INDEX(tblEslesme[Kova],MATCH($A471,tblEslesme[A_Norm],0)),""))</f>
        <v/>
      </c>
      <c r="C471" s="16">
        <f>IF($A471="","",IFERROR(INDEX(tblEslesme[AbsFark],MATCH($A471,tblEslesme[A_Norm],0)),0))</f>
        <v/>
      </c>
      <c r="D471" s="16">
        <f>IF($A471="","",IFERROR(INDEX(tblVeriA[Unvan],MATCH($A471,tblAnahtarA[Norm],0)),""))</f>
        <v/>
      </c>
      <c r="E471" s="16">
        <f>IF($A471="","",IFERROR(SUMIF(tblAnahtarB[NormB],$A471,tblVeriB[BelgeAdet]),0))</f>
        <v/>
      </c>
      <c r="F471" s="16">
        <f>IF($A471="","",IFERROR(INDEX(tblVeriB[FormTipi],MATCH($A471,tblAnahtarB[NormB],0)),""))</f>
        <v/>
      </c>
      <c r="G471" s="16">
        <f>IF($A471="","",IFERROR(INDEX(tblVeriA[Donem],MATCH($A471,tblAnahtarA[Norm],0)),""))</f>
        <v/>
      </c>
      <c r="H471" s="16">
        <f>IF(OR($A471="",$B471&lt;&gt;"tutar_farki"),"",IF($E471=0,"BELGE_EKSIK",IF($C471&lt;=toleransKurus*cbb_yuvarlamaCarpan,"YUVARLAMA",IF(AND($F471&lt;&gt;"Ba",$F471&lt;&gt;"Bs"),"TIP_KARISIK",IF($C471&gt;cbb_esikFark*cbb_donemCarpan,"DONEM",IF(LEN($D471)&lt;cbb_unvanMinLen,"UNVAN","TANIMSIZ"))))))</f>
        <v/>
      </c>
    </row>
    <row r="472">
      <c r="A472" s="26">
        <f>IF('ESLESTIRME'!$A472="","",'ESLESTIRME'!$A472)</f>
        <v/>
      </c>
      <c r="B472" s="16">
        <f>IF($A472="","",IFERROR(INDEX(tblEslesme[Kova],MATCH($A472,tblEslesme[A_Norm],0)),""))</f>
        <v/>
      </c>
      <c r="C472" s="16">
        <f>IF($A472="","",IFERROR(INDEX(tblEslesme[AbsFark],MATCH($A472,tblEslesme[A_Norm],0)),0))</f>
        <v/>
      </c>
      <c r="D472" s="16">
        <f>IF($A472="","",IFERROR(INDEX(tblVeriA[Unvan],MATCH($A472,tblAnahtarA[Norm],0)),""))</f>
        <v/>
      </c>
      <c r="E472" s="16">
        <f>IF($A472="","",IFERROR(SUMIF(tblAnahtarB[NormB],$A472,tblVeriB[BelgeAdet]),0))</f>
        <v/>
      </c>
      <c r="F472" s="16">
        <f>IF($A472="","",IFERROR(INDEX(tblVeriB[FormTipi],MATCH($A472,tblAnahtarB[NormB],0)),""))</f>
        <v/>
      </c>
      <c r="G472" s="16">
        <f>IF($A472="","",IFERROR(INDEX(tblVeriA[Donem],MATCH($A472,tblAnahtarA[Norm],0)),""))</f>
        <v/>
      </c>
      <c r="H472" s="16">
        <f>IF(OR($A472="",$B472&lt;&gt;"tutar_farki"),"",IF($E472=0,"BELGE_EKSIK",IF($C472&lt;=toleransKurus*cbb_yuvarlamaCarpan,"YUVARLAMA",IF(AND($F472&lt;&gt;"Ba",$F472&lt;&gt;"Bs"),"TIP_KARISIK",IF($C472&gt;cbb_esikFark*cbb_donemCarpan,"DONEM",IF(LEN($D472)&lt;cbb_unvanMinLen,"UNVAN","TANIMSIZ"))))))</f>
        <v/>
      </c>
    </row>
    <row r="473">
      <c r="A473" s="26">
        <f>IF('ESLESTIRME'!$A473="","",'ESLESTIRME'!$A473)</f>
        <v/>
      </c>
      <c r="B473" s="16">
        <f>IF($A473="","",IFERROR(INDEX(tblEslesme[Kova],MATCH($A473,tblEslesme[A_Norm],0)),""))</f>
        <v/>
      </c>
      <c r="C473" s="16">
        <f>IF($A473="","",IFERROR(INDEX(tblEslesme[AbsFark],MATCH($A473,tblEslesme[A_Norm],0)),0))</f>
        <v/>
      </c>
      <c r="D473" s="16">
        <f>IF($A473="","",IFERROR(INDEX(tblVeriA[Unvan],MATCH($A473,tblAnahtarA[Norm],0)),""))</f>
        <v/>
      </c>
      <c r="E473" s="16">
        <f>IF($A473="","",IFERROR(SUMIF(tblAnahtarB[NormB],$A473,tblVeriB[BelgeAdet]),0))</f>
        <v/>
      </c>
      <c r="F473" s="16">
        <f>IF($A473="","",IFERROR(INDEX(tblVeriB[FormTipi],MATCH($A473,tblAnahtarB[NormB],0)),""))</f>
        <v/>
      </c>
      <c r="G473" s="16">
        <f>IF($A473="","",IFERROR(INDEX(tblVeriA[Donem],MATCH($A473,tblAnahtarA[Norm],0)),""))</f>
        <v/>
      </c>
      <c r="H473" s="16">
        <f>IF(OR($A473="",$B473&lt;&gt;"tutar_farki"),"",IF($E473=0,"BELGE_EKSIK",IF($C473&lt;=toleransKurus*cbb_yuvarlamaCarpan,"YUVARLAMA",IF(AND($F473&lt;&gt;"Ba",$F473&lt;&gt;"Bs"),"TIP_KARISIK",IF($C473&gt;cbb_esikFark*cbb_donemCarpan,"DONEM",IF(LEN($D473)&lt;cbb_unvanMinLen,"UNVAN","TANIMSIZ"))))))</f>
        <v/>
      </c>
    </row>
    <row r="474">
      <c r="A474" s="26">
        <f>IF('ESLESTIRME'!$A474="","",'ESLESTIRME'!$A474)</f>
        <v/>
      </c>
      <c r="B474" s="16">
        <f>IF($A474="","",IFERROR(INDEX(tblEslesme[Kova],MATCH($A474,tblEslesme[A_Norm],0)),""))</f>
        <v/>
      </c>
      <c r="C474" s="16">
        <f>IF($A474="","",IFERROR(INDEX(tblEslesme[AbsFark],MATCH($A474,tblEslesme[A_Norm],0)),0))</f>
        <v/>
      </c>
      <c r="D474" s="16">
        <f>IF($A474="","",IFERROR(INDEX(tblVeriA[Unvan],MATCH($A474,tblAnahtarA[Norm],0)),""))</f>
        <v/>
      </c>
      <c r="E474" s="16">
        <f>IF($A474="","",IFERROR(SUMIF(tblAnahtarB[NormB],$A474,tblVeriB[BelgeAdet]),0))</f>
        <v/>
      </c>
      <c r="F474" s="16">
        <f>IF($A474="","",IFERROR(INDEX(tblVeriB[FormTipi],MATCH($A474,tblAnahtarB[NormB],0)),""))</f>
        <v/>
      </c>
      <c r="G474" s="16">
        <f>IF($A474="","",IFERROR(INDEX(tblVeriA[Donem],MATCH($A474,tblAnahtarA[Norm],0)),""))</f>
        <v/>
      </c>
      <c r="H474" s="16">
        <f>IF(OR($A474="",$B474&lt;&gt;"tutar_farki"),"",IF($E474=0,"BELGE_EKSIK",IF($C474&lt;=toleransKurus*cbb_yuvarlamaCarpan,"YUVARLAMA",IF(AND($F474&lt;&gt;"Ba",$F474&lt;&gt;"Bs"),"TIP_KARISIK",IF($C474&gt;cbb_esikFark*cbb_donemCarpan,"DONEM",IF(LEN($D474)&lt;cbb_unvanMinLen,"UNVAN","TANIMSIZ"))))))</f>
        <v/>
      </c>
    </row>
    <row r="475">
      <c r="A475" s="26">
        <f>IF('ESLESTIRME'!$A475="","",'ESLESTIRME'!$A475)</f>
        <v/>
      </c>
      <c r="B475" s="16">
        <f>IF($A475="","",IFERROR(INDEX(tblEslesme[Kova],MATCH($A475,tblEslesme[A_Norm],0)),""))</f>
        <v/>
      </c>
      <c r="C475" s="16">
        <f>IF($A475="","",IFERROR(INDEX(tblEslesme[AbsFark],MATCH($A475,tblEslesme[A_Norm],0)),0))</f>
        <v/>
      </c>
      <c r="D475" s="16">
        <f>IF($A475="","",IFERROR(INDEX(tblVeriA[Unvan],MATCH($A475,tblAnahtarA[Norm],0)),""))</f>
        <v/>
      </c>
      <c r="E475" s="16">
        <f>IF($A475="","",IFERROR(SUMIF(tblAnahtarB[NormB],$A475,tblVeriB[BelgeAdet]),0))</f>
        <v/>
      </c>
      <c r="F475" s="16">
        <f>IF($A475="","",IFERROR(INDEX(tblVeriB[FormTipi],MATCH($A475,tblAnahtarB[NormB],0)),""))</f>
        <v/>
      </c>
      <c r="G475" s="16">
        <f>IF($A475="","",IFERROR(INDEX(tblVeriA[Donem],MATCH($A475,tblAnahtarA[Norm],0)),""))</f>
        <v/>
      </c>
      <c r="H475" s="16">
        <f>IF(OR($A475="",$B475&lt;&gt;"tutar_farki"),"",IF($E475=0,"BELGE_EKSIK",IF($C475&lt;=toleransKurus*cbb_yuvarlamaCarpan,"YUVARLAMA",IF(AND($F475&lt;&gt;"Ba",$F475&lt;&gt;"Bs"),"TIP_KARISIK",IF($C475&gt;cbb_esikFark*cbb_donemCarpan,"DONEM",IF(LEN($D475)&lt;cbb_unvanMinLen,"UNVAN","TANIMSIZ"))))))</f>
        <v/>
      </c>
    </row>
    <row r="476">
      <c r="A476" s="26">
        <f>IF('ESLESTIRME'!$A476="","",'ESLESTIRME'!$A476)</f>
        <v/>
      </c>
      <c r="B476" s="16">
        <f>IF($A476="","",IFERROR(INDEX(tblEslesme[Kova],MATCH($A476,tblEslesme[A_Norm],0)),""))</f>
        <v/>
      </c>
      <c r="C476" s="16">
        <f>IF($A476="","",IFERROR(INDEX(tblEslesme[AbsFark],MATCH($A476,tblEslesme[A_Norm],0)),0))</f>
        <v/>
      </c>
      <c r="D476" s="16">
        <f>IF($A476="","",IFERROR(INDEX(tblVeriA[Unvan],MATCH($A476,tblAnahtarA[Norm],0)),""))</f>
        <v/>
      </c>
      <c r="E476" s="16">
        <f>IF($A476="","",IFERROR(SUMIF(tblAnahtarB[NormB],$A476,tblVeriB[BelgeAdet]),0))</f>
        <v/>
      </c>
      <c r="F476" s="16">
        <f>IF($A476="","",IFERROR(INDEX(tblVeriB[FormTipi],MATCH($A476,tblAnahtarB[NormB],0)),""))</f>
        <v/>
      </c>
      <c r="G476" s="16">
        <f>IF($A476="","",IFERROR(INDEX(tblVeriA[Donem],MATCH($A476,tblAnahtarA[Norm],0)),""))</f>
        <v/>
      </c>
      <c r="H476" s="16">
        <f>IF(OR($A476="",$B476&lt;&gt;"tutar_farki"),"",IF($E476=0,"BELGE_EKSIK",IF($C476&lt;=toleransKurus*cbb_yuvarlamaCarpan,"YUVARLAMA",IF(AND($F476&lt;&gt;"Ba",$F476&lt;&gt;"Bs"),"TIP_KARISIK",IF($C476&gt;cbb_esikFark*cbb_donemCarpan,"DONEM",IF(LEN($D476)&lt;cbb_unvanMinLen,"UNVAN","TANIMSIZ"))))))</f>
        <v/>
      </c>
    </row>
    <row r="477">
      <c r="A477" s="26">
        <f>IF('ESLESTIRME'!$A477="","",'ESLESTIRME'!$A477)</f>
        <v/>
      </c>
      <c r="B477" s="16">
        <f>IF($A477="","",IFERROR(INDEX(tblEslesme[Kova],MATCH($A477,tblEslesme[A_Norm],0)),""))</f>
        <v/>
      </c>
      <c r="C477" s="16">
        <f>IF($A477="","",IFERROR(INDEX(tblEslesme[AbsFark],MATCH($A477,tblEslesme[A_Norm],0)),0))</f>
        <v/>
      </c>
      <c r="D477" s="16">
        <f>IF($A477="","",IFERROR(INDEX(tblVeriA[Unvan],MATCH($A477,tblAnahtarA[Norm],0)),""))</f>
        <v/>
      </c>
      <c r="E477" s="16">
        <f>IF($A477="","",IFERROR(SUMIF(tblAnahtarB[NormB],$A477,tblVeriB[BelgeAdet]),0))</f>
        <v/>
      </c>
      <c r="F477" s="16">
        <f>IF($A477="","",IFERROR(INDEX(tblVeriB[FormTipi],MATCH($A477,tblAnahtarB[NormB],0)),""))</f>
        <v/>
      </c>
      <c r="G477" s="16">
        <f>IF($A477="","",IFERROR(INDEX(tblVeriA[Donem],MATCH($A477,tblAnahtarA[Norm],0)),""))</f>
        <v/>
      </c>
      <c r="H477" s="16">
        <f>IF(OR($A477="",$B477&lt;&gt;"tutar_farki"),"",IF($E477=0,"BELGE_EKSIK",IF($C477&lt;=toleransKurus*cbb_yuvarlamaCarpan,"YUVARLAMA",IF(AND($F477&lt;&gt;"Ba",$F477&lt;&gt;"Bs"),"TIP_KARISIK",IF($C477&gt;cbb_esikFark*cbb_donemCarpan,"DONEM",IF(LEN($D477)&lt;cbb_unvanMinLen,"UNVAN","TANIMSIZ"))))))</f>
        <v/>
      </c>
    </row>
    <row r="478">
      <c r="A478" s="26">
        <f>IF('ESLESTIRME'!$A478="","",'ESLESTIRME'!$A478)</f>
        <v/>
      </c>
      <c r="B478" s="16">
        <f>IF($A478="","",IFERROR(INDEX(tblEslesme[Kova],MATCH($A478,tblEslesme[A_Norm],0)),""))</f>
        <v/>
      </c>
      <c r="C478" s="16">
        <f>IF($A478="","",IFERROR(INDEX(tblEslesme[AbsFark],MATCH($A478,tblEslesme[A_Norm],0)),0))</f>
        <v/>
      </c>
      <c r="D478" s="16">
        <f>IF($A478="","",IFERROR(INDEX(tblVeriA[Unvan],MATCH($A478,tblAnahtarA[Norm],0)),""))</f>
        <v/>
      </c>
      <c r="E478" s="16">
        <f>IF($A478="","",IFERROR(SUMIF(tblAnahtarB[NormB],$A478,tblVeriB[BelgeAdet]),0))</f>
        <v/>
      </c>
      <c r="F478" s="16">
        <f>IF($A478="","",IFERROR(INDEX(tblVeriB[FormTipi],MATCH($A478,tblAnahtarB[NormB],0)),""))</f>
        <v/>
      </c>
      <c r="G478" s="16">
        <f>IF($A478="","",IFERROR(INDEX(tblVeriA[Donem],MATCH($A478,tblAnahtarA[Norm],0)),""))</f>
        <v/>
      </c>
      <c r="H478" s="16">
        <f>IF(OR($A478="",$B478&lt;&gt;"tutar_farki"),"",IF($E478=0,"BELGE_EKSIK",IF($C478&lt;=toleransKurus*cbb_yuvarlamaCarpan,"YUVARLAMA",IF(AND($F478&lt;&gt;"Ba",$F478&lt;&gt;"Bs"),"TIP_KARISIK",IF($C478&gt;cbb_esikFark*cbb_donemCarpan,"DONEM",IF(LEN($D478)&lt;cbb_unvanMinLen,"UNVAN","TANIMSIZ"))))))</f>
        <v/>
      </c>
    </row>
    <row r="479">
      <c r="A479" s="26">
        <f>IF('ESLESTIRME'!$A479="","",'ESLESTIRME'!$A479)</f>
        <v/>
      </c>
      <c r="B479" s="16">
        <f>IF($A479="","",IFERROR(INDEX(tblEslesme[Kova],MATCH($A479,tblEslesme[A_Norm],0)),""))</f>
        <v/>
      </c>
      <c r="C479" s="16">
        <f>IF($A479="","",IFERROR(INDEX(tblEslesme[AbsFark],MATCH($A479,tblEslesme[A_Norm],0)),0))</f>
        <v/>
      </c>
      <c r="D479" s="16">
        <f>IF($A479="","",IFERROR(INDEX(tblVeriA[Unvan],MATCH($A479,tblAnahtarA[Norm],0)),""))</f>
        <v/>
      </c>
      <c r="E479" s="16">
        <f>IF($A479="","",IFERROR(SUMIF(tblAnahtarB[NormB],$A479,tblVeriB[BelgeAdet]),0))</f>
        <v/>
      </c>
      <c r="F479" s="16">
        <f>IF($A479="","",IFERROR(INDEX(tblVeriB[FormTipi],MATCH($A479,tblAnahtarB[NormB],0)),""))</f>
        <v/>
      </c>
      <c r="G479" s="16">
        <f>IF($A479="","",IFERROR(INDEX(tblVeriA[Donem],MATCH($A479,tblAnahtarA[Norm],0)),""))</f>
        <v/>
      </c>
      <c r="H479" s="16">
        <f>IF(OR($A479="",$B479&lt;&gt;"tutar_farki"),"",IF($E479=0,"BELGE_EKSIK",IF($C479&lt;=toleransKurus*cbb_yuvarlamaCarpan,"YUVARLAMA",IF(AND($F479&lt;&gt;"Ba",$F479&lt;&gt;"Bs"),"TIP_KARISIK",IF($C479&gt;cbb_esikFark*cbb_donemCarpan,"DONEM",IF(LEN($D479)&lt;cbb_unvanMinLen,"UNVAN","TANIMSIZ"))))))</f>
        <v/>
      </c>
    </row>
    <row r="480">
      <c r="A480" s="26">
        <f>IF('ESLESTIRME'!$A480="","",'ESLESTIRME'!$A480)</f>
        <v/>
      </c>
      <c r="B480" s="16">
        <f>IF($A480="","",IFERROR(INDEX(tblEslesme[Kova],MATCH($A480,tblEslesme[A_Norm],0)),""))</f>
        <v/>
      </c>
      <c r="C480" s="16">
        <f>IF($A480="","",IFERROR(INDEX(tblEslesme[AbsFark],MATCH($A480,tblEslesme[A_Norm],0)),0))</f>
        <v/>
      </c>
      <c r="D480" s="16">
        <f>IF($A480="","",IFERROR(INDEX(tblVeriA[Unvan],MATCH($A480,tblAnahtarA[Norm],0)),""))</f>
        <v/>
      </c>
      <c r="E480" s="16">
        <f>IF($A480="","",IFERROR(SUMIF(tblAnahtarB[NormB],$A480,tblVeriB[BelgeAdet]),0))</f>
        <v/>
      </c>
      <c r="F480" s="16">
        <f>IF($A480="","",IFERROR(INDEX(tblVeriB[FormTipi],MATCH($A480,tblAnahtarB[NormB],0)),""))</f>
        <v/>
      </c>
      <c r="G480" s="16">
        <f>IF($A480="","",IFERROR(INDEX(tblVeriA[Donem],MATCH($A480,tblAnahtarA[Norm],0)),""))</f>
        <v/>
      </c>
      <c r="H480" s="16">
        <f>IF(OR($A480="",$B480&lt;&gt;"tutar_farki"),"",IF($E480=0,"BELGE_EKSIK",IF($C480&lt;=toleransKurus*cbb_yuvarlamaCarpan,"YUVARLAMA",IF(AND($F480&lt;&gt;"Ba",$F480&lt;&gt;"Bs"),"TIP_KARISIK",IF($C480&gt;cbb_esikFark*cbb_donemCarpan,"DONEM",IF(LEN($D480)&lt;cbb_unvanMinLen,"UNVAN","TANIMSIZ"))))))</f>
        <v/>
      </c>
    </row>
    <row r="481">
      <c r="A481" s="26">
        <f>IF('ESLESTIRME'!$A481="","",'ESLESTIRME'!$A481)</f>
        <v/>
      </c>
      <c r="B481" s="16">
        <f>IF($A481="","",IFERROR(INDEX(tblEslesme[Kova],MATCH($A481,tblEslesme[A_Norm],0)),""))</f>
        <v/>
      </c>
      <c r="C481" s="16">
        <f>IF($A481="","",IFERROR(INDEX(tblEslesme[AbsFark],MATCH($A481,tblEslesme[A_Norm],0)),0))</f>
        <v/>
      </c>
      <c r="D481" s="16">
        <f>IF($A481="","",IFERROR(INDEX(tblVeriA[Unvan],MATCH($A481,tblAnahtarA[Norm],0)),""))</f>
        <v/>
      </c>
      <c r="E481" s="16">
        <f>IF($A481="","",IFERROR(SUMIF(tblAnahtarB[NormB],$A481,tblVeriB[BelgeAdet]),0))</f>
        <v/>
      </c>
      <c r="F481" s="16">
        <f>IF($A481="","",IFERROR(INDEX(tblVeriB[FormTipi],MATCH($A481,tblAnahtarB[NormB],0)),""))</f>
        <v/>
      </c>
      <c r="G481" s="16">
        <f>IF($A481="","",IFERROR(INDEX(tblVeriA[Donem],MATCH($A481,tblAnahtarA[Norm],0)),""))</f>
        <v/>
      </c>
      <c r="H481" s="16">
        <f>IF(OR($A481="",$B481&lt;&gt;"tutar_farki"),"",IF($E481=0,"BELGE_EKSIK",IF($C481&lt;=toleransKurus*cbb_yuvarlamaCarpan,"YUVARLAMA",IF(AND($F481&lt;&gt;"Ba",$F481&lt;&gt;"Bs"),"TIP_KARISIK",IF($C481&gt;cbb_esikFark*cbb_donemCarpan,"DONEM",IF(LEN($D481)&lt;cbb_unvanMinLen,"UNVAN","TANIMSIZ"))))))</f>
        <v/>
      </c>
    </row>
    <row r="482">
      <c r="A482" s="26">
        <f>IF('ESLESTIRME'!$A482="","",'ESLESTIRME'!$A482)</f>
        <v/>
      </c>
      <c r="B482" s="16">
        <f>IF($A482="","",IFERROR(INDEX(tblEslesme[Kova],MATCH($A482,tblEslesme[A_Norm],0)),""))</f>
        <v/>
      </c>
      <c r="C482" s="16">
        <f>IF($A482="","",IFERROR(INDEX(tblEslesme[AbsFark],MATCH($A482,tblEslesme[A_Norm],0)),0))</f>
        <v/>
      </c>
      <c r="D482" s="16">
        <f>IF($A482="","",IFERROR(INDEX(tblVeriA[Unvan],MATCH($A482,tblAnahtarA[Norm],0)),""))</f>
        <v/>
      </c>
      <c r="E482" s="16">
        <f>IF($A482="","",IFERROR(SUMIF(tblAnahtarB[NormB],$A482,tblVeriB[BelgeAdet]),0))</f>
        <v/>
      </c>
      <c r="F482" s="16">
        <f>IF($A482="","",IFERROR(INDEX(tblVeriB[FormTipi],MATCH($A482,tblAnahtarB[NormB],0)),""))</f>
        <v/>
      </c>
      <c r="G482" s="16">
        <f>IF($A482="","",IFERROR(INDEX(tblVeriA[Donem],MATCH($A482,tblAnahtarA[Norm],0)),""))</f>
        <v/>
      </c>
      <c r="H482" s="16">
        <f>IF(OR($A482="",$B482&lt;&gt;"tutar_farki"),"",IF($E482=0,"BELGE_EKSIK",IF($C482&lt;=toleransKurus*cbb_yuvarlamaCarpan,"YUVARLAMA",IF(AND($F482&lt;&gt;"Ba",$F482&lt;&gt;"Bs"),"TIP_KARISIK",IF($C482&gt;cbb_esikFark*cbb_donemCarpan,"DONEM",IF(LEN($D482)&lt;cbb_unvanMinLen,"UNVAN","TANIMSIZ"))))))</f>
        <v/>
      </c>
    </row>
    <row r="483">
      <c r="A483" s="26">
        <f>IF('ESLESTIRME'!$A483="","",'ESLESTIRME'!$A483)</f>
        <v/>
      </c>
      <c r="B483" s="16">
        <f>IF($A483="","",IFERROR(INDEX(tblEslesme[Kova],MATCH($A483,tblEslesme[A_Norm],0)),""))</f>
        <v/>
      </c>
      <c r="C483" s="16">
        <f>IF($A483="","",IFERROR(INDEX(tblEslesme[AbsFark],MATCH($A483,tblEslesme[A_Norm],0)),0))</f>
        <v/>
      </c>
      <c r="D483" s="16">
        <f>IF($A483="","",IFERROR(INDEX(tblVeriA[Unvan],MATCH($A483,tblAnahtarA[Norm],0)),""))</f>
        <v/>
      </c>
      <c r="E483" s="16">
        <f>IF($A483="","",IFERROR(SUMIF(tblAnahtarB[NormB],$A483,tblVeriB[BelgeAdet]),0))</f>
        <v/>
      </c>
      <c r="F483" s="16">
        <f>IF($A483="","",IFERROR(INDEX(tblVeriB[FormTipi],MATCH($A483,tblAnahtarB[NormB],0)),""))</f>
        <v/>
      </c>
      <c r="G483" s="16">
        <f>IF($A483="","",IFERROR(INDEX(tblVeriA[Donem],MATCH($A483,tblAnahtarA[Norm],0)),""))</f>
        <v/>
      </c>
      <c r="H483" s="16">
        <f>IF(OR($A483="",$B483&lt;&gt;"tutar_farki"),"",IF($E483=0,"BELGE_EKSIK",IF($C483&lt;=toleransKurus*cbb_yuvarlamaCarpan,"YUVARLAMA",IF(AND($F483&lt;&gt;"Ba",$F483&lt;&gt;"Bs"),"TIP_KARISIK",IF($C483&gt;cbb_esikFark*cbb_donemCarpan,"DONEM",IF(LEN($D483)&lt;cbb_unvanMinLen,"UNVAN","TANIMSIZ"))))))</f>
        <v/>
      </c>
    </row>
    <row r="484">
      <c r="A484" s="26">
        <f>IF('ESLESTIRME'!$A484="","",'ESLESTIRME'!$A484)</f>
        <v/>
      </c>
      <c r="B484" s="16">
        <f>IF($A484="","",IFERROR(INDEX(tblEslesme[Kova],MATCH($A484,tblEslesme[A_Norm],0)),""))</f>
        <v/>
      </c>
      <c r="C484" s="16">
        <f>IF($A484="","",IFERROR(INDEX(tblEslesme[AbsFark],MATCH($A484,tblEslesme[A_Norm],0)),0))</f>
        <v/>
      </c>
      <c r="D484" s="16">
        <f>IF($A484="","",IFERROR(INDEX(tblVeriA[Unvan],MATCH($A484,tblAnahtarA[Norm],0)),""))</f>
        <v/>
      </c>
      <c r="E484" s="16">
        <f>IF($A484="","",IFERROR(SUMIF(tblAnahtarB[NormB],$A484,tblVeriB[BelgeAdet]),0))</f>
        <v/>
      </c>
      <c r="F484" s="16">
        <f>IF($A484="","",IFERROR(INDEX(tblVeriB[FormTipi],MATCH($A484,tblAnahtarB[NormB],0)),""))</f>
        <v/>
      </c>
      <c r="G484" s="16">
        <f>IF($A484="","",IFERROR(INDEX(tblVeriA[Donem],MATCH($A484,tblAnahtarA[Norm],0)),""))</f>
        <v/>
      </c>
      <c r="H484" s="16">
        <f>IF(OR($A484="",$B484&lt;&gt;"tutar_farki"),"",IF($E484=0,"BELGE_EKSIK",IF($C484&lt;=toleransKurus*cbb_yuvarlamaCarpan,"YUVARLAMA",IF(AND($F484&lt;&gt;"Ba",$F484&lt;&gt;"Bs"),"TIP_KARISIK",IF($C484&gt;cbb_esikFark*cbb_donemCarpan,"DONEM",IF(LEN($D484)&lt;cbb_unvanMinLen,"UNVAN","TANIMSIZ"))))))</f>
        <v/>
      </c>
    </row>
    <row r="485">
      <c r="A485" s="26">
        <f>IF('ESLESTIRME'!$A485="","",'ESLESTIRME'!$A485)</f>
        <v/>
      </c>
      <c r="B485" s="16">
        <f>IF($A485="","",IFERROR(INDEX(tblEslesme[Kova],MATCH($A485,tblEslesme[A_Norm],0)),""))</f>
        <v/>
      </c>
      <c r="C485" s="16">
        <f>IF($A485="","",IFERROR(INDEX(tblEslesme[AbsFark],MATCH($A485,tblEslesme[A_Norm],0)),0))</f>
        <v/>
      </c>
      <c r="D485" s="16">
        <f>IF($A485="","",IFERROR(INDEX(tblVeriA[Unvan],MATCH($A485,tblAnahtarA[Norm],0)),""))</f>
        <v/>
      </c>
      <c r="E485" s="16">
        <f>IF($A485="","",IFERROR(SUMIF(tblAnahtarB[NormB],$A485,tblVeriB[BelgeAdet]),0))</f>
        <v/>
      </c>
      <c r="F485" s="16">
        <f>IF($A485="","",IFERROR(INDEX(tblVeriB[FormTipi],MATCH($A485,tblAnahtarB[NormB],0)),""))</f>
        <v/>
      </c>
      <c r="G485" s="16">
        <f>IF($A485="","",IFERROR(INDEX(tblVeriA[Donem],MATCH($A485,tblAnahtarA[Norm],0)),""))</f>
        <v/>
      </c>
      <c r="H485" s="16">
        <f>IF(OR($A485="",$B485&lt;&gt;"tutar_farki"),"",IF($E485=0,"BELGE_EKSIK",IF($C485&lt;=toleransKurus*cbb_yuvarlamaCarpan,"YUVARLAMA",IF(AND($F485&lt;&gt;"Ba",$F485&lt;&gt;"Bs"),"TIP_KARISIK",IF($C485&gt;cbb_esikFark*cbb_donemCarpan,"DONEM",IF(LEN($D485)&lt;cbb_unvanMinLen,"UNVAN","TANIMSIZ"))))))</f>
        <v/>
      </c>
    </row>
    <row r="486">
      <c r="A486" s="26">
        <f>IF('ESLESTIRME'!$A486="","",'ESLESTIRME'!$A486)</f>
        <v/>
      </c>
      <c r="B486" s="16">
        <f>IF($A486="","",IFERROR(INDEX(tblEslesme[Kova],MATCH($A486,tblEslesme[A_Norm],0)),""))</f>
        <v/>
      </c>
      <c r="C486" s="16">
        <f>IF($A486="","",IFERROR(INDEX(tblEslesme[AbsFark],MATCH($A486,tblEslesme[A_Norm],0)),0))</f>
        <v/>
      </c>
      <c r="D486" s="16">
        <f>IF($A486="","",IFERROR(INDEX(tblVeriA[Unvan],MATCH($A486,tblAnahtarA[Norm],0)),""))</f>
        <v/>
      </c>
      <c r="E486" s="16">
        <f>IF($A486="","",IFERROR(SUMIF(tblAnahtarB[NormB],$A486,tblVeriB[BelgeAdet]),0))</f>
        <v/>
      </c>
      <c r="F486" s="16">
        <f>IF($A486="","",IFERROR(INDEX(tblVeriB[FormTipi],MATCH($A486,tblAnahtarB[NormB],0)),""))</f>
        <v/>
      </c>
      <c r="G486" s="16">
        <f>IF($A486="","",IFERROR(INDEX(tblVeriA[Donem],MATCH($A486,tblAnahtarA[Norm],0)),""))</f>
        <v/>
      </c>
      <c r="H486" s="16">
        <f>IF(OR($A486="",$B486&lt;&gt;"tutar_farki"),"",IF($E486=0,"BELGE_EKSIK",IF($C486&lt;=toleransKurus*cbb_yuvarlamaCarpan,"YUVARLAMA",IF(AND($F486&lt;&gt;"Ba",$F486&lt;&gt;"Bs"),"TIP_KARISIK",IF($C486&gt;cbb_esikFark*cbb_donemCarpan,"DONEM",IF(LEN($D486)&lt;cbb_unvanMinLen,"UNVAN","TANIMSIZ"))))))</f>
        <v/>
      </c>
    </row>
    <row r="487">
      <c r="A487" s="26">
        <f>IF('ESLESTIRME'!$A487="","",'ESLESTIRME'!$A487)</f>
        <v/>
      </c>
      <c r="B487" s="16">
        <f>IF($A487="","",IFERROR(INDEX(tblEslesme[Kova],MATCH($A487,tblEslesme[A_Norm],0)),""))</f>
        <v/>
      </c>
      <c r="C487" s="16">
        <f>IF($A487="","",IFERROR(INDEX(tblEslesme[AbsFark],MATCH($A487,tblEslesme[A_Norm],0)),0))</f>
        <v/>
      </c>
      <c r="D487" s="16">
        <f>IF($A487="","",IFERROR(INDEX(tblVeriA[Unvan],MATCH($A487,tblAnahtarA[Norm],0)),""))</f>
        <v/>
      </c>
      <c r="E487" s="16">
        <f>IF($A487="","",IFERROR(SUMIF(tblAnahtarB[NormB],$A487,tblVeriB[BelgeAdet]),0))</f>
        <v/>
      </c>
      <c r="F487" s="16">
        <f>IF($A487="","",IFERROR(INDEX(tblVeriB[FormTipi],MATCH($A487,tblAnahtarB[NormB],0)),""))</f>
        <v/>
      </c>
      <c r="G487" s="16">
        <f>IF($A487="","",IFERROR(INDEX(tblVeriA[Donem],MATCH($A487,tblAnahtarA[Norm],0)),""))</f>
        <v/>
      </c>
      <c r="H487" s="16">
        <f>IF(OR($A487="",$B487&lt;&gt;"tutar_farki"),"",IF($E487=0,"BELGE_EKSIK",IF($C487&lt;=toleransKurus*cbb_yuvarlamaCarpan,"YUVARLAMA",IF(AND($F487&lt;&gt;"Ba",$F487&lt;&gt;"Bs"),"TIP_KARISIK",IF($C487&gt;cbb_esikFark*cbb_donemCarpan,"DONEM",IF(LEN($D487)&lt;cbb_unvanMinLen,"UNVAN","TANIMSIZ"))))))</f>
        <v/>
      </c>
    </row>
    <row r="488">
      <c r="A488" s="26">
        <f>IF('ESLESTIRME'!$A488="","",'ESLESTIRME'!$A488)</f>
        <v/>
      </c>
      <c r="B488" s="16">
        <f>IF($A488="","",IFERROR(INDEX(tblEslesme[Kova],MATCH($A488,tblEslesme[A_Norm],0)),""))</f>
        <v/>
      </c>
      <c r="C488" s="16">
        <f>IF($A488="","",IFERROR(INDEX(tblEslesme[AbsFark],MATCH($A488,tblEslesme[A_Norm],0)),0))</f>
        <v/>
      </c>
      <c r="D488" s="16">
        <f>IF($A488="","",IFERROR(INDEX(tblVeriA[Unvan],MATCH($A488,tblAnahtarA[Norm],0)),""))</f>
        <v/>
      </c>
      <c r="E488" s="16">
        <f>IF($A488="","",IFERROR(SUMIF(tblAnahtarB[NormB],$A488,tblVeriB[BelgeAdet]),0))</f>
        <v/>
      </c>
      <c r="F488" s="16">
        <f>IF($A488="","",IFERROR(INDEX(tblVeriB[FormTipi],MATCH($A488,tblAnahtarB[NormB],0)),""))</f>
        <v/>
      </c>
      <c r="G488" s="16">
        <f>IF($A488="","",IFERROR(INDEX(tblVeriA[Donem],MATCH($A488,tblAnahtarA[Norm],0)),""))</f>
        <v/>
      </c>
      <c r="H488" s="16">
        <f>IF(OR($A488="",$B488&lt;&gt;"tutar_farki"),"",IF($E488=0,"BELGE_EKSIK",IF($C488&lt;=toleransKurus*cbb_yuvarlamaCarpan,"YUVARLAMA",IF(AND($F488&lt;&gt;"Ba",$F488&lt;&gt;"Bs"),"TIP_KARISIK",IF($C488&gt;cbb_esikFark*cbb_donemCarpan,"DONEM",IF(LEN($D488)&lt;cbb_unvanMinLen,"UNVAN","TANIMSIZ"))))))</f>
        <v/>
      </c>
    </row>
    <row r="489">
      <c r="A489" s="26">
        <f>IF('ESLESTIRME'!$A489="","",'ESLESTIRME'!$A489)</f>
        <v/>
      </c>
      <c r="B489" s="16">
        <f>IF($A489="","",IFERROR(INDEX(tblEslesme[Kova],MATCH($A489,tblEslesme[A_Norm],0)),""))</f>
        <v/>
      </c>
      <c r="C489" s="16">
        <f>IF($A489="","",IFERROR(INDEX(tblEslesme[AbsFark],MATCH($A489,tblEslesme[A_Norm],0)),0))</f>
        <v/>
      </c>
      <c r="D489" s="16">
        <f>IF($A489="","",IFERROR(INDEX(tblVeriA[Unvan],MATCH($A489,tblAnahtarA[Norm],0)),""))</f>
        <v/>
      </c>
      <c r="E489" s="16">
        <f>IF($A489="","",IFERROR(SUMIF(tblAnahtarB[NormB],$A489,tblVeriB[BelgeAdet]),0))</f>
        <v/>
      </c>
      <c r="F489" s="16">
        <f>IF($A489="","",IFERROR(INDEX(tblVeriB[FormTipi],MATCH($A489,tblAnahtarB[NormB],0)),""))</f>
        <v/>
      </c>
      <c r="G489" s="16">
        <f>IF($A489="","",IFERROR(INDEX(tblVeriA[Donem],MATCH($A489,tblAnahtarA[Norm],0)),""))</f>
        <v/>
      </c>
      <c r="H489" s="16">
        <f>IF(OR($A489="",$B489&lt;&gt;"tutar_farki"),"",IF($E489=0,"BELGE_EKSIK",IF($C489&lt;=toleransKurus*cbb_yuvarlamaCarpan,"YUVARLAMA",IF(AND($F489&lt;&gt;"Ba",$F489&lt;&gt;"Bs"),"TIP_KARISIK",IF($C489&gt;cbb_esikFark*cbb_donemCarpan,"DONEM",IF(LEN($D489)&lt;cbb_unvanMinLen,"UNVAN","TANIMSIZ"))))))</f>
        <v/>
      </c>
    </row>
    <row r="490">
      <c r="A490" s="26">
        <f>IF('ESLESTIRME'!$A490="","",'ESLESTIRME'!$A490)</f>
        <v/>
      </c>
      <c r="B490" s="16">
        <f>IF($A490="","",IFERROR(INDEX(tblEslesme[Kova],MATCH($A490,tblEslesme[A_Norm],0)),""))</f>
        <v/>
      </c>
      <c r="C490" s="16">
        <f>IF($A490="","",IFERROR(INDEX(tblEslesme[AbsFark],MATCH($A490,tblEslesme[A_Norm],0)),0))</f>
        <v/>
      </c>
      <c r="D490" s="16">
        <f>IF($A490="","",IFERROR(INDEX(tblVeriA[Unvan],MATCH($A490,tblAnahtarA[Norm],0)),""))</f>
        <v/>
      </c>
      <c r="E490" s="16">
        <f>IF($A490="","",IFERROR(SUMIF(tblAnahtarB[NormB],$A490,tblVeriB[BelgeAdet]),0))</f>
        <v/>
      </c>
      <c r="F490" s="16">
        <f>IF($A490="","",IFERROR(INDEX(tblVeriB[FormTipi],MATCH($A490,tblAnahtarB[NormB],0)),""))</f>
        <v/>
      </c>
      <c r="G490" s="16">
        <f>IF($A490="","",IFERROR(INDEX(tblVeriA[Donem],MATCH($A490,tblAnahtarA[Norm],0)),""))</f>
        <v/>
      </c>
      <c r="H490" s="16">
        <f>IF(OR($A490="",$B490&lt;&gt;"tutar_farki"),"",IF($E490=0,"BELGE_EKSIK",IF($C490&lt;=toleransKurus*cbb_yuvarlamaCarpan,"YUVARLAMA",IF(AND($F490&lt;&gt;"Ba",$F490&lt;&gt;"Bs"),"TIP_KARISIK",IF($C490&gt;cbb_esikFark*cbb_donemCarpan,"DONEM",IF(LEN($D490)&lt;cbb_unvanMinLen,"UNVAN","TANIMSIZ"))))))</f>
        <v/>
      </c>
    </row>
    <row r="491">
      <c r="A491" s="26">
        <f>IF('ESLESTIRME'!$A491="","",'ESLESTIRME'!$A491)</f>
        <v/>
      </c>
      <c r="B491" s="16">
        <f>IF($A491="","",IFERROR(INDEX(tblEslesme[Kova],MATCH($A491,tblEslesme[A_Norm],0)),""))</f>
        <v/>
      </c>
      <c r="C491" s="16">
        <f>IF($A491="","",IFERROR(INDEX(tblEslesme[AbsFark],MATCH($A491,tblEslesme[A_Norm],0)),0))</f>
        <v/>
      </c>
      <c r="D491" s="16">
        <f>IF($A491="","",IFERROR(INDEX(tblVeriA[Unvan],MATCH($A491,tblAnahtarA[Norm],0)),""))</f>
        <v/>
      </c>
      <c r="E491" s="16">
        <f>IF($A491="","",IFERROR(SUMIF(tblAnahtarB[NormB],$A491,tblVeriB[BelgeAdet]),0))</f>
        <v/>
      </c>
      <c r="F491" s="16">
        <f>IF($A491="","",IFERROR(INDEX(tblVeriB[FormTipi],MATCH($A491,tblAnahtarB[NormB],0)),""))</f>
        <v/>
      </c>
      <c r="G491" s="16">
        <f>IF($A491="","",IFERROR(INDEX(tblVeriA[Donem],MATCH($A491,tblAnahtarA[Norm],0)),""))</f>
        <v/>
      </c>
      <c r="H491" s="16">
        <f>IF(OR($A491="",$B491&lt;&gt;"tutar_farki"),"",IF($E491=0,"BELGE_EKSIK",IF($C491&lt;=toleransKurus*cbb_yuvarlamaCarpan,"YUVARLAMA",IF(AND($F491&lt;&gt;"Ba",$F491&lt;&gt;"Bs"),"TIP_KARISIK",IF($C491&gt;cbb_esikFark*cbb_donemCarpan,"DONEM",IF(LEN($D491)&lt;cbb_unvanMinLen,"UNVAN","TANIMSIZ"))))))</f>
        <v/>
      </c>
    </row>
    <row r="492">
      <c r="A492" s="26">
        <f>IF('ESLESTIRME'!$A492="","",'ESLESTIRME'!$A492)</f>
        <v/>
      </c>
      <c r="B492" s="16">
        <f>IF($A492="","",IFERROR(INDEX(tblEslesme[Kova],MATCH($A492,tblEslesme[A_Norm],0)),""))</f>
        <v/>
      </c>
      <c r="C492" s="16">
        <f>IF($A492="","",IFERROR(INDEX(tblEslesme[AbsFark],MATCH($A492,tblEslesme[A_Norm],0)),0))</f>
        <v/>
      </c>
      <c r="D492" s="16">
        <f>IF($A492="","",IFERROR(INDEX(tblVeriA[Unvan],MATCH($A492,tblAnahtarA[Norm],0)),""))</f>
        <v/>
      </c>
      <c r="E492" s="16">
        <f>IF($A492="","",IFERROR(SUMIF(tblAnahtarB[NormB],$A492,tblVeriB[BelgeAdet]),0))</f>
        <v/>
      </c>
      <c r="F492" s="16">
        <f>IF($A492="","",IFERROR(INDEX(tblVeriB[FormTipi],MATCH($A492,tblAnahtarB[NormB],0)),""))</f>
        <v/>
      </c>
      <c r="G492" s="16">
        <f>IF($A492="","",IFERROR(INDEX(tblVeriA[Donem],MATCH($A492,tblAnahtarA[Norm],0)),""))</f>
        <v/>
      </c>
      <c r="H492" s="16">
        <f>IF(OR($A492="",$B492&lt;&gt;"tutar_farki"),"",IF($E492=0,"BELGE_EKSIK",IF($C492&lt;=toleransKurus*cbb_yuvarlamaCarpan,"YUVARLAMA",IF(AND($F492&lt;&gt;"Ba",$F492&lt;&gt;"Bs"),"TIP_KARISIK",IF($C492&gt;cbb_esikFark*cbb_donemCarpan,"DONEM",IF(LEN($D492)&lt;cbb_unvanMinLen,"UNVAN","TANIMSIZ"))))))</f>
        <v/>
      </c>
    </row>
    <row r="493">
      <c r="A493" s="26">
        <f>IF('ESLESTIRME'!$A493="","",'ESLESTIRME'!$A493)</f>
        <v/>
      </c>
      <c r="B493" s="16">
        <f>IF($A493="","",IFERROR(INDEX(tblEslesme[Kova],MATCH($A493,tblEslesme[A_Norm],0)),""))</f>
        <v/>
      </c>
      <c r="C493" s="16">
        <f>IF($A493="","",IFERROR(INDEX(tblEslesme[AbsFark],MATCH($A493,tblEslesme[A_Norm],0)),0))</f>
        <v/>
      </c>
      <c r="D493" s="16">
        <f>IF($A493="","",IFERROR(INDEX(tblVeriA[Unvan],MATCH($A493,tblAnahtarA[Norm],0)),""))</f>
        <v/>
      </c>
      <c r="E493" s="16">
        <f>IF($A493="","",IFERROR(SUMIF(tblAnahtarB[NormB],$A493,tblVeriB[BelgeAdet]),0))</f>
        <v/>
      </c>
      <c r="F493" s="16">
        <f>IF($A493="","",IFERROR(INDEX(tblVeriB[FormTipi],MATCH($A493,tblAnahtarB[NormB],0)),""))</f>
        <v/>
      </c>
      <c r="G493" s="16">
        <f>IF($A493="","",IFERROR(INDEX(tblVeriA[Donem],MATCH($A493,tblAnahtarA[Norm],0)),""))</f>
        <v/>
      </c>
      <c r="H493" s="16">
        <f>IF(OR($A493="",$B493&lt;&gt;"tutar_farki"),"",IF($E493=0,"BELGE_EKSIK",IF($C493&lt;=toleransKurus*cbb_yuvarlamaCarpan,"YUVARLAMA",IF(AND($F493&lt;&gt;"Ba",$F493&lt;&gt;"Bs"),"TIP_KARISIK",IF($C493&gt;cbb_esikFark*cbb_donemCarpan,"DONEM",IF(LEN($D493)&lt;cbb_unvanMinLen,"UNVAN","TANIMSIZ"))))))</f>
        <v/>
      </c>
    </row>
    <row r="494">
      <c r="A494" s="26">
        <f>IF('ESLESTIRME'!$A494="","",'ESLESTIRME'!$A494)</f>
        <v/>
      </c>
      <c r="B494" s="16">
        <f>IF($A494="","",IFERROR(INDEX(tblEslesme[Kova],MATCH($A494,tblEslesme[A_Norm],0)),""))</f>
        <v/>
      </c>
      <c r="C494" s="16">
        <f>IF($A494="","",IFERROR(INDEX(tblEslesme[AbsFark],MATCH($A494,tblEslesme[A_Norm],0)),0))</f>
        <v/>
      </c>
      <c r="D494" s="16">
        <f>IF($A494="","",IFERROR(INDEX(tblVeriA[Unvan],MATCH($A494,tblAnahtarA[Norm],0)),""))</f>
        <v/>
      </c>
      <c r="E494" s="16">
        <f>IF($A494="","",IFERROR(SUMIF(tblAnahtarB[NormB],$A494,tblVeriB[BelgeAdet]),0))</f>
        <v/>
      </c>
      <c r="F494" s="16">
        <f>IF($A494="","",IFERROR(INDEX(tblVeriB[FormTipi],MATCH($A494,tblAnahtarB[NormB],0)),""))</f>
        <v/>
      </c>
      <c r="G494" s="16">
        <f>IF($A494="","",IFERROR(INDEX(tblVeriA[Donem],MATCH($A494,tblAnahtarA[Norm],0)),""))</f>
        <v/>
      </c>
      <c r="H494" s="16">
        <f>IF(OR($A494="",$B494&lt;&gt;"tutar_farki"),"",IF($E494=0,"BELGE_EKSIK",IF($C494&lt;=toleransKurus*cbb_yuvarlamaCarpan,"YUVARLAMA",IF(AND($F494&lt;&gt;"Ba",$F494&lt;&gt;"Bs"),"TIP_KARISIK",IF($C494&gt;cbb_esikFark*cbb_donemCarpan,"DONEM",IF(LEN($D494)&lt;cbb_unvanMinLen,"UNVAN","TANIMSIZ"))))))</f>
        <v/>
      </c>
    </row>
    <row r="495">
      <c r="A495" s="26">
        <f>IF('ESLESTIRME'!$A495="","",'ESLESTIRME'!$A495)</f>
        <v/>
      </c>
      <c r="B495" s="16">
        <f>IF($A495="","",IFERROR(INDEX(tblEslesme[Kova],MATCH($A495,tblEslesme[A_Norm],0)),""))</f>
        <v/>
      </c>
      <c r="C495" s="16">
        <f>IF($A495="","",IFERROR(INDEX(tblEslesme[AbsFark],MATCH($A495,tblEslesme[A_Norm],0)),0))</f>
        <v/>
      </c>
      <c r="D495" s="16">
        <f>IF($A495="","",IFERROR(INDEX(tblVeriA[Unvan],MATCH($A495,tblAnahtarA[Norm],0)),""))</f>
        <v/>
      </c>
      <c r="E495" s="16">
        <f>IF($A495="","",IFERROR(SUMIF(tblAnahtarB[NormB],$A495,tblVeriB[BelgeAdet]),0))</f>
        <v/>
      </c>
      <c r="F495" s="16">
        <f>IF($A495="","",IFERROR(INDEX(tblVeriB[FormTipi],MATCH($A495,tblAnahtarB[NormB],0)),""))</f>
        <v/>
      </c>
      <c r="G495" s="16">
        <f>IF($A495="","",IFERROR(INDEX(tblVeriA[Donem],MATCH($A495,tblAnahtarA[Norm],0)),""))</f>
        <v/>
      </c>
      <c r="H495" s="16">
        <f>IF(OR($A495="",$B495&lt;&gt;"tutar_farki"),"",IF($E495=0,"BELGE_EKSIK",IF($C495&lt;=toleransKurus*cbb_yuvarlamaCarpan,"YUVARLAMA",IF(AND($F495&lt;&gt;"Ba",$F495&lt;&gt;"Bs"),"TIP_KARISIK",IF($C495&gt;cbb_esikFark*cbb_donemCarpan,"DONEM",IF(LEN($D495)&lt;cbb_unvanMinLen,"UNVAN","TANIMSIZ"))))))</f>
        <v/>
      </c>
    </row>
    <row r="496">
      <c r="A496" s="26">
        <f>IF('ESLESTIRME'!$A496="","",'ESLESTIRME'!$A496)</f>
        <v/>
      </c>
      <c r="B496" s="16">
        <f>IF($A496="","",IFERROR(INDEX(tblEslesme[Kova],MATCH($A496,tblEslesme[A_Norm],0)),""))</f>
        <v/>
      </c>
      <c r="C496" s="16">
        <f>IF($A496="","",IFERROR(INDEX(tblEslesme[AbsFark],MATCH($A496,tblEslesme[A_Norm],0)),0))</f>
        <v/>
      </c>
      <c r="D496" s="16">
        <f>IF($A496="","",IFERROR(INDEX(tblVeriA[Unvan],MATCH($A496,tblAnahtarA[Norm],0)),""))</f>
        <v/>
      </c>
      <c r="E496" s="16">
        <f>IF($A496="","",IFERROR(SUMIF(tblAnahtarB[NormB],$A496,tblVeriB[BelgeAdet]),0))</f>
        <v/>
      </c>
      <c r="F496" s="16">
        <f>IF($A496="","",IFERROR(INDEX(tblVeriB[FormTipi],MATCH($A496,tblAnahtarB[NormB],0)),""))</f>
        <v/>
      </c>
      <c r="G496" s="16">
        <f>IF($A496="","",IFERROR(INDEX(tblVeriA[Donem],MATCH($A496,tblAnahtarA[Norm],0)),""))</f>
        <v/>
      </c>
      <c r="H496" s="16">
        <f>IF(OR($A496="",$B496&lt;&gt;"tutar_farki"),"",IF($E496=0,"BELGE_EKSIK",IF($C496&lt;=toleransKurus*cbb_yuvarlamaCarpan,"YUVARLAMA",IF(AND($F496&lt;&gt;"Ba",$F496&lt;&gt;"Bs"),"TIP_KARISIK",IF($C496&gt;cbb_esikFark*cbb_donemCarpan,"DONEM",IF(LEN($D496)&lt;cbb_unvanMinLen,"UNVAN","TANIMSIZ"))))))</f>
        <v/>
      </c>
    </row>
    <row r="497">
      <c r="A497" s="26">
        <f>IF('ESLESTIRME'!$A497="","",'ESLESTIRME'!$A497)</f>
        <v/>
      </c>
      <c r="B497" s="16">
        <f>IF($A497="","",IFERROR(INDEX(tblEslesme[Kova],MATCH($A497,tblEslesme[A_Norm],0)),""))</f>
        <v/>
      </c>
      <c r="C497" s="16">
        <f>IF($A497="","",IFERROR(INDEX(tblEslesme[AbsFark],MATCH($A497,tblEslesme[A_Norm],0)),0))</f>
        <v/>
      </c>
      <c r="D497" s="16">
        <f>IF($A497="","",IFERROR(INDEX(tblVeriA[Unvan],MATCH($A497,tblAnahtarA[Norm],0)),""))</f>
        <v/>
      </c>
      <c r="E497" s="16">
        <f>IF($A497="","",IFERROR(SUMIF(tblAnahtarB[NormB],$A497,tblVeriB[BelgeAdet]),0))</f>
        <v/>
      </c>
      <c r="F497" s="16">
        <f>IF($A497="","",IFERROR(INDEX(tblVeriB[FormTipi],MATCH($A497,tblAnahtarB[NormB],0)),""))</f>
        <v/>
      </c>
      <c r="G497" s="16">
        <f>IF($A497="","",IFERROR(INDEX(tblVeriA[Donem],MATCH($A497,tblAnahtarA[Norm],0)),""))</f>
        <v/>
      </c>
      <c r="H497" s="16">
        <f>IF(OR($A497="",$B497&lt;&gt;"tutar_farki"),"",IF($E497=0,"BELGE_EKSIK",IF($C497&lt;=toleransKurus*cbb_yuvarlamaCarpan,"YUVARLAMA",IF(AND($F497&lt;&gt;"Ba",$F497&lt;&gt;"Bs"),"TIP_KARISIK",IF($C497&gt;cbb_esikFark*cbb_donemCarpan,"DONEM",IF(LEN($D497)&lt;cbb_unvanMinLen,"UNVAN","TANIMSIZ"))))))</f>
        <v/>
      </c>
    </row>
    <row r="498">
      <c r="A498" s="26">
        <f>IF('ESLESTIRME'!$A498="","",'ESLESTIRME'!$A498)</f>
        <v/>
      </c>
      <c r="B498" s="16">
        <f>IF($A498="","",IFERROR(INDEX(tblEslesme[Kova],MATCH($A498,tblEslesme[A_Norm],0)),""))</f>
        <v/>
      </c>
      <c r="C498" s="16">
        <f>IF($A498="","",IFERROR(INDEX(tblEslesme[AbsFark],MATCH($A498,tblEslesme[A_Norm],0)),0))</f>
        <v/>
      </c>
      <c r="D498" s="16">
        <f>IF($A498="","",IFERROR(INDEX(tblVeriA[Unvan],MATCH($A498,tblAnahtarA[Norm],0)),""))</f>
        <v/>
      </c>
      <c r="E498" s="16">
        <f>IF($A498="","",IFERROR(SUMIF(tblAnahtarB[NormB],$A498,tblVeriB[BelgeAdet]),0))</f>
        <v/>
      </c>
      <c r="F498" s="16">
        <f>IF($A498="","",IFERROR(INDEX(tblVeriB[FormTipi],MATCH($A498,tblAnahtarB[NormB],0)),""))</f>
        <v/>
      </c>
      <c r="G498" s="16">
        <f>IF($A498="","",IFERROR(INDEX(tblVeriA[Donem],MATCH($A498,tblAnahtarA[Norm],0)),""))</f>
        <v/>
      </c>
      <c r="H498" s="16">
        <f>IF(OR($A498="",$B498&lt;&gt;"tutar_farki"),"",IF($E498=0,"BELGE_EKSIK",IF($C498&lt;=toleransKurus*cbb_yuvarlamaCarpan,"YUVARLAMA",IF(AND($F498&lt;&gt;"Ba",$F498&lt;&gt;"Bs"),"TIP_KARISIK",IF($C498&gt;cbb_esikFark*cbb_donemCarpan,"DONEM",IF(LEN($D498)&lt;cbb_unvanMinLen,"UNVAN","TANIMSIZ"))))))</f>
        <v/>
      </c>
    </row>
    <row r="499">
      <c r="A499" s="26">
        <f>IF('ESLESTIRME'!$A499="","",'ESLESTIRME'!$A499)</f>
        <v/>
      </c>
      <c r="B499" s="16">
        <f>IF($A499="","",IFERROR(INDEX(tblEslesme[Kova],MATCH($A499,tblEslesme[A_Norm],0)),""))</f>
        <v/>
      </c>
      <c r="C499" s="16">
        <f>IF($A499="","",IFERROR(INDEX(tblEslesme[AbsFark],MATCH($A499,tblEslesme[A_Norm],0)),0))</f>
        <v/>
      </c>
      <c r="D499" s="16">
        <f>IF($A499="","",IFERROR(INDEX(tblVeriA[Unvan],MATCH($A499,tblAnahtarA[Norm],0)),""))</f>
        <v/>
      </c>
      <c r="E499" s="16">
        <f>IF($A499="","",IFERROR(SUMIF(tblAnahtarB[NormB],$A499,tblVeriB[BelgeAdet]),0))</f>
        <v/>
      </c>
      <c r="F499" s="16">
        <f>IF($A499="","",IFERROR(INDEX(tblVeriB[FormTipi],MATCH($A499,tblAnahtarB[NormB],0)),""))</f>
        <v/>
      </c>
      <c r="G499" s="16">
        <f>IF($A499="","",IFERROR(INDEX(tblVeriA[Donem],MATCH($A499,tblAnahtarA[Norm],0)),""))</f>
        <v/>
      </c>
      <c r="H499" s="16">
        <f>IF(OR($A499="",$B499&lt;&gt;"tutar_farki"),"",IF($E499=0,"BELGE_EKSIK",IF($C499&lt;=toleransKurus*cbb_yuvarlamaCarpan,"YUVARLAMA",IF(AND($F499&lt;&gt;"Ba",$F499&lt;&gt;"Bs"),"TIP_KARISIK",IF($C499&gt;cbb_esikFark*cbb_donemCarpan,"DONEM",IF(LEN($D499)&lt;cbb_unvanMinLen,"UNVAN","TANIMSIZ"))))))</f>
        <v/>
      </c>
    </row>
    <row r="500">
      <c r="A500" s="26">
        <f>IF('ESLESTIRME'!$A500="","",'ESLESTIRME'!$A500)</f>
        <v/>
      </c>
      <c r="B500" s="16">
        <f>IF($A500="","",IFERROR(INDEX(tblEslesme[Kova],MATCH($A500,tblEslesme[A_Norm],0)),""))</f>
        <v/>
      </c>
      <c r="C500" s="16">
        <f>IF($A500="","",IFERROR(INDEX(tblEslesme[AbsFark],MATCH($A500,tblEslesme[A_Norm],0)),0))</f>
        <v/>
      </c>
      <c r="D500" s="16">
        <f>IF($A500="","",IFERROR(INDEX(tblVeriA[Unvan],MATCH($A500,tblAnahtarA[Norm],0)),""))</f>
        <v/>
      </c>
      <c r="E500" s="16">
        <f>IF($A500="","",IFERROR(SUMIF(tblAnahtarB[NormB],$A500,tblVeriB[BelgeAdet]),0))</f>
        <v/>
      </c>
      <c r="F500" s="16">
        <f>IF($A500="","",IFERROR(INDEX(tblVeriB[FormTipi],MATCH($A500,tblAnahtarB[NormB],0)),""))</f>
        <v/>
      </c>
      <c r="G500" s="16">
        <f>IF($A500="","",IFERROR(INDEX(tblVeriA[Donem],MATCH($A500,tblAnahtarA[Norm],0)),""))</f>
        <v/>
      </c>
      <c r="H500" s="16">
        <f>IF(OR($A500="",$B500&lt;&gt;"tutar_farki"),"",IF($E500=0,"BELGE_EKSIK",IF($C500&lt;=toleransKurus*cbb_yuvarlamaCarpan,"YUVARLAMA",IF(AND($F500&lt;&gt;"Ba",$F500&lt;&gt;"Bs"),"TIP_KARISIK",IF($C500&gt;cbb_esikFark*cbb_donemCarpan,"DONEM",IF(LEN($D500)&lt;cbb_unvanMinLen,"UNVAN","TANIMSIZ"))))))</f>
        <v/>
      </c>
    </row>
    <row r="501">
      <c r="A501" s="26">
        <f>IF('ESLESTIRME'!$A501="","",'ESLESTIRME'!$A501)</f>
        <v/>
      </c>
      <c r="B501" s="16">
        <f>IF($A501="","",IFERROR(INDEX(tblEslesme[Kova],MATCH($A501,tblEslesme[A_Norm],0)),""))</f>
        <v/>
      </c>
      <c r="C501" s="16">
        <f>IF($A501="","",IFERROR(INDEX(tblEslesme[AbsFark],MATCH($A501,tblEslesme[A_Norm],0)),0))</f>
        <v/>
      </c>
      <c r="D501" s="16">
        <f>IF($A501="","",IFERROR(INDEX(tblVeriA[Unvan],MATCH($A501,tblAnahtarA[Norm],0)),""))</f>
        <v/>
      </c>
      <c r="E501" s="16">
        <f>IF($A501="","",IFERROR(SUMIF(tblAnahtarB[NormB],$A501,tblVeriB[BelgeAdet]),0))</f>
        <v/>
      </c>
      <c r="F501" s="16">
        <f>IF($A501="","",IFERROR(INDEX(tblVeriB[FormTipi],MATCH($A501,tblAnahtarB[NormB],0)),""))</f>
        <v/>
      </c>
      <c r="G501" s="16">
        <f>IF($A501="","",IFERROR(INDEX(tblVeriA[Donem],MATCH($A501,tblAnahtarA[Norm],0)),""))</f>
        <v/>
      </c>
      <c r="H501" s="16">
        <f>IF(OR($A501="",$B501&lt;&gt;"tutar_farki"),"",IF($E501=0,"BELGE_EKSIK",IF($C501&lt;=toleransKurus*cbb_yuvarlamaCarpan,"YUVARLAMA",IF(AND($F501&lt;&gt;"Ba",$F501&lt;&gt;"Bs"),"TIP_KARISIK",IF($C501&gt;cbb_esikFark*cbb_donemCarpan,"DONEM",IF(LEN($D501)&lt;cbb_unvanMinLen,"UNVAN","TANIMSIZ"))))))</f>
        <v/>
      </c>
    </row>
    <row r="502">
      <c r="A502" s="26">
        <f>IF('ESLESTIRME'!$A502="","",'ESLESTIRME'!$A502)</f>
        <v/>
      </c>
      <c r="B502" s="16">
        <f>IF($A502="","",IFERROR(INDEX(tblEslesme[Kova],MATCH($A502,tblEslesme[A_Norm],0)),""))</f>
        <v/>
      </c>
      <c r="C502" s="16">
        <f>IF($A502="","",IFERROR(INDEX(tblEslesme[AbsFark],MATCH($A502,tblEslesme[A_Norm],0)),0))</f>
        <v/>
      </c>
      <c r="D502" s="16">
        <f>IF($A502="","",IFERROR(INDEX(tblVeriA[Unvan],MATCH($A502,tblAnahtarA[Norm],0)),""))</f>
        <v/>
      </c>
      <c r="E502" s="16">
        <f>IF($A502="","",IFERROR(SUMIF(tblAnahtarB[NormB],$A502,tblVeriB[BelgeAdet]),0))</f>
        <v/>
      </c>
      <c r="F502" s="16">
        <f>IF($A502="","",IFERROR(INDEX(tblVeriB[FormTipi],MATCH($A502,tblAnahtarB[NormB],0)),""))</f>
        <v/>
      </c>
      <c r="G502" s="16">
        <f>IF($A502="","",IFERROR(INDEX(tblVeriA[Donem],MATCH($A502,tblAnahtarA[Norm],0)),""))</f>
        <v/>
      </c>
      <c r="H502" s="16">
        <f>IF(OR($A502="",$B502&lt;&gt;"tutar_farki"),"",IF($E502=0,"BELGE_EKSIK",IF($C502&lt;=toleransKurus*cbb_yuvarlamaCarpan,"YUVARLAMA",IF(AND($F502&lt;&gt;"Ba",$F502&lt;&gt;"Bs"),"TIP_KARISIK",IF($C502&gt;cbb_esikFark*cbb_donemCarpan,"DONEM",IF(LEN($D502)&lt;cbb_unvanMinLen,"UNVAN","TANIMSIZ"))))))</f>
        <v/>
      </c>
    </row>
    <row r="503">
      <c r="A503" s="26">
        <f>IF('ESLESTIRME'!$A503="","",'ESLESTIRME'!$A503)</f>
        <v/>
      </c>
      <c r="B503" s="16">
        <f>IF($A503="","",IFERROR(INDEX(tblEslesme[Kova],MATCH($A503,tblEslesme[A_Norm],0)),""))</f>
        <v/>
      </c>
      <c r="C503" s="16">
        <f>IF($A503="","",IFERROR(INDEX(tblEslesme[AbsFark],MATCH($A503,tblEslesme[A_Norm],0)),0))</f>
        <v/>
      </c>
      <c r="D503" s="16">
        <f>IF($A503="","",IFERROR(INDEX(tblVeriA[Unvan],MATCH($A503,tblAnahtarA[Norm],0)),""))</f>
        <v/>
      </c>
      <c r="E503" s="16">
        <f>IF($A503="","",IFERROR(SUMIF(tblAnahtarB[NormB],$A503,tblVeriB[BelgeAdet]),0))</f>
        <v/>
      </c>
      <c r="F503" s="16">
        <f>IF($A503="","",IFERROR(INDEX(tblVeriB[FormTipi],MATCH($A503,tblAnahtarB[NormB],0)),""))</f>
        <v/>
      </c>
      <c r="G503" s="16">
        <f>IF($A503="","",IFERROR(INDEX(tblVeriA[Donem],MATCH($A503,tblAnahtarA[Norm],0)),""))</f>
        <v/>
      </c>
      <c r="H503" s="16">
        <f>IF(OR($A503="",$B503&lt;&gt;"tutar_farki"),"",IF($E503=0,"BELGE_EKSIK",IF($C503&lt;=toleransKurus*cbb_yuvarlamaCarpan,"YUVARLAMA",IF(AND($F503&lt;&gt;"Ba",$F503&lt;&gt;"Bs"),"TIP_KARISIK",IF($C503&gt;cbb_esikFark*cbb_donemCarpan,"DONEM",IF(LEN($D503)&lt;cbb_unvanMinLen,"UNVAN","TANIMSIZ"))))))</f>
        <v/>
      </c>
    </row>
    <row r="504">
      <c r="A504" s="26">
        <f>IF('ESLESTIRME'!$A504="","",'ESLESTIRME'!$A504)</f>
        <v/>
      </c>
      <c r="B504" s="16">
        <f>IF($A504="","",IFERROR(INDEX(tblEslesme[Kova],MATCH($A504,tblEslesme[A_Norm],0)),""))</f>
        <v/>
      </c>
      <c r="C504" s="16">
        <f>IF($A504="","",IFERROR(INDEX(tblEslesme[AbsFark],MATCH($A504,tblEslesme[A_Norm],0)),0))</f>
        <v/>
      </c>
      <c r="D504" s="16">
        <f>IF($A504="","",IFERROR(INDEX(tblVeriA[Unvan],MATCH($A504,tblAnahtarA[Norm],0)),""))</f>
        <v/>
      </c>
      <c r="E504" s="16">
        <f>IF($A504="","",IFERROR(SUMIF(tblAnahtarB[NormB],$A504,tblVeriB[BelgeAdet]),0))</f>
        <v/>
      </c>
      <c r="F504" s="16">
        <f>IF($A504="","",IFERROR(INDEX(tblVeriB[FormTipi],MATCH($A504,tblAnahtarB[NormB],0)),""))</f>
        <v/>
      </c>
      <c r="G504" s="16">
        <f>IF($A504="","",IFERROR(INDEX(tblVeriA[Donem],MATCH($A504,tblAnahtarA[Norm],0)),""))</f>
        <v/>
      </c>
      <c r="H504" s="16">
        <f>IF(OR($A504="",$B504&lt;&gt;"tutar_farki"),"",IF($E504=0,"BELGE_EKSIK",IF($C504&lt;=toleransKurus*cbb_yuvarlamaCarpan,"YUVARLAMA",IF(AND($F504&lt;&gt;"Ba",$F504&lt;&gt;"Bs"),"TIP_KARISIK",IF($C504&gt;cbb_esikFark*cbb_donemCarpan,"DONEM",IF(LEN($D504)&lt;cbb_unvanMinLen,"UNVAN","TANIMSIZ"))))))</f>
        <v/>
      </c>
    </row>
    <row r="505">
      <c r="A505" s="26">
        <f>IF('ESLESTIRME'!$A505="","",'ESLESTIRME'!$A505)</f>
        <v/>
      </c>
      <c r="B505" s="16">
        <f>IF($A505="","",IFERROR(INDEX(tblEslesme[Kova],MATCH($A505,tblEslesme[A_Norm],0)),""))</f>
        <v/>
      </c>
      <c r="C505" s="16">
        <f>IF($A505="","",IFERROR(INDEX(tblEslesme[AbsFark],MATCH($A505,tblEslesme[A_Norm],0)),0))</f>
        <v/>
      </c>
      <c r="D505" s="16">
        <f>IF($A505="","",IFERROR(INDEX(tblVeriA[Unvan],MATCH($A505,tblAnahtarA[Norm],0)),""))</f>
        <v/>
      </c>
      <c r="E505" s="16">
        <f>IF($A505="","",IFERROR(SUMIF(tblAnahtarB[NormB],$A505,tblVeriB[BelgeAdet]),0))</f>
        <v/>
      </c>
      <c r="F505" s="16">
        <f>IF($A505="","",IFERROR(INDEX(tblVeriB[FormTipi],MATCH($A505,tblAnahtarB[NormB],0)),""))</f>
        <v/>
      </c>
      <c r="G505" s="16">
        <f>IF($A505="","",IFERROR(INDEX(tblVeriA[Donem],MATCH($A505,tblAnahtarA[Norm],0)),""))</f>
        <v/>
      </c>
      <c r="H505" s="16">
        <f>IF(OR($A505="",$B505&lt;&gt;"tutar_farki"),"",IF($E505=0,"BELGE_EKSIK",IF($C505&lt;=toleransKurus*cbb_yuvarlamaCarpan,"YUVARLAMA",IF(AND($F505&lt;&gt;"Ba",$F505&lt;&gt;"Bs"),"TIP_KARISIK",IF($C505&gt;cbb_esikFark*cbb_donemCarpan,"DONEM",IF(LEN($D505)&lt;cbb_unvanMinLen,"UNVAN","TANIMSIZ"))))))</f>
        <v/>
      </c>
    </row>
    <row r="506">
      <c r="A506" s="26">
        <f>IF('ESLESTIRME'!$A506="","",'ESLESTIRME'!$A506)</f>
        <v/>
      </c>
      <c r="B506" s="16">
        <f>IF($A506="","",IFERROR(INDEX(tblEslesme[Kova],MATCH($A506,tblEslesme[A_Norm],0)),""))</f>
        <v/>
      </c>
      <c r="C506" s="16">
        <f>IF($A506="","",IFERROR(INDEX(tblEslesme[AbsFark],MATCH($A506,tblEslesme[A_Norm],0)),0))</f>
        <v/>
      </c>
      <c r="D506" s="16">
        <f>IF($A506="","",IFERROR(INDEX(tblVeriA[Unvan],MATCH($A506,tblAnahtarA[Norm],0)),""))</f>
        <v/>
      </c>
      <c r="E506" s="16">
        <f>IF($A506="","",IFERROR(SUMIF(tblAnahtarB[NormB],$A506,tblVeriB[BelgeAdet]),0))</f>
        <v/>
      </c>
      <c r="F506" s="16">
        <f>IF($A506="","",IFERROR(INDEX(tblVeriB[FormTipi],MATCH($A506,tblAnahtarB[NormB],0)),""))</f>
        <v/>
      </c>
      <c r="G506" s="16">
        <f>IF($A506="","",IFERROR(INDEX(tblVeriA[Donem],MATCH($A506,tblAnahtarA[Norm],0)),""))</f>
        <v/>
      </c>
      <c r="H506" s="16">
        <f>IF(OR($A506="",$B506&lt;&gt;"tutar_farki"),"",IF($E506=0,"BELGE_EKSIK",IF($C506&lt;=toleransKurus*cbb_yuvarlamaCarpan,"YUVARLAMA",IF(AND($F506&lt;&gt;"Ba",$F506&lt;&gt;"Bs"),"TIP_KARISIK",IF($C506&gt;cbb_esikFark*cbb_donemCarpan,"DONEM",IF(LEN($D506)&lt;cbb_unvanMinLen,"UNVAN","TANIMSIZ"))))))</f>
        <v/>
      </c>
    </row>
    <row r="507">
      <c r="A507" s="26">
        <f>IF('ESLESTIRME'!$A507="","",'ESLESTIRME'!$A507)</f>
        <v/>
      </c>
      <c r="B507" s="16">
        <f>IF($A507="","",IFERROR(INDEX(tblEslesme[Kova],MATCH($A507,tblEslesme[A_Norm],0)),""))</f>
        <v/>
      </c>
      <c r="C507" s="16">
        <f>IF($A507="","",IFERROR(INDEX(tblEslesme[AbsFark],MATCH($A507,tblEslesme[A_Norm],0)),0))</f>
        <v/>
      </c>
      <c r="D507" s="16">
        <f>IF($A507="","",IFERROR(INDEX(tblVeriA[Unvan],MATCH($A507,tblAnahtarA[Norm],0)),""))</f>
        <v/>
      </c>
      <c r="E507" s="16">
        <f>IF($A507="","",IFERROR(SUMIF(tblAnahtarB[NormB],$A507,tblVeriB[BelgeAdet]),0))</f>
        <v/>
      </c>
      <c r="F507" s="16">
        <f>IF($A507="","",IFERROR(INDEX(tblVeriB[FormTipi],MATCH($A507,tblAnahtarB[NormB],0)),""))</f>
        <v/>
      </c>
      <c r="G507" s="16">
        <f>IF($A507="","",IFERROR(INDEX(tblVeriA[Donem],MATCH($A507,tblAnahtarA[Norm],0)),""))</f>
        <v/>
      </c>
      <c r="H507" s="16">
        <f>IF(OR($A507="",$B507&lt;&gt;"tutar_farki"),"",IF($E507=0,"BELGE_EKSIK",IF($C507&lt;=toleransKurus*cbb_yuvarlamaCarpan,"YUVARLAMA",IF(AND($F507&lt;&gt;"Ba",$F507&lt;&gt;"Bs"),"TIP_KARISIK",IF($C507&gt;cbb_esikFark*cbb_donemCarpan,"DONEM",IF(LEN($D507)&lt;cbb_unvanMinLen,"UNVAN","TANIMSIZ"))))))</f>
        <v/>
      </c>
    </row>
    <row r="508">
      <c r="A508" s="26">
        <f>IF('ESLESTIRME'!$A508="","",'ESLESTIRME'!$A508)</f>
        <v/>
      </c>
      <c r="B508" s="16">
        <f>IF($A508="","",IFERROR(INDEX(tblEslesme[Kova],MATCH($A508,tblEslesme[A_Norm],0)),""))</f>
        <v/>
      </c>
      <c r="C508" s="16">
        <f>IF($A508="","",IFERROR(INDEX(tblEslesme[AbsFark],MATCH($A508,tblEslesme[A_Norm],0)),0))</f>
        <v/>
      </c>
      <c r="D508" s="16">
        <f>IF($A508="","",IFERROR(INDEX(tblVeriA[Unvan],MATCH($A508,tblAnahtarA[Norm],0)),""))</f>
        <v/>
      </c>
      <c r="E508" s="16">
        <f>IF($A508="","",IFERROR(SUMIF(tblAnahtarB[NormB],$A508,tblVeriB[BelgeAdet]),0))</f>
        <v/>
      </c>
      <c r="F508" s="16">
        <f>IF($A508="","",IFERROR(INDEX(tblVeriB[FormTipi],MATCH($A508,tblAnahtarB[NormB],0)),""))</f>
        <v/>
      </c>
      <c r="G508" s="16">
        <f>IF($A508="","",IFERROR(INDEX(tblVeriA[Donem],MATCH($A508,tblAnahtarA[Norm],0)),""))</f>
        <v/>
      </c>
      <c r="H508" s="16">
        <f>IF(OR($A508="",$B508&lt;&gt;"tutar_farki"),"",IF($E508=0,"BELGE_EKSIK",IF($C508&lt;=toleransKurus*cbb_yuvarlamaCarpan,"YUVARLAMA",IF(AND($F508&lt;&gt;"Ba",$F508&lt;&gt;"Bs"),"TIP_KARISIK",IF($C508&gt;cbb_esikFark*cbb_donemCarpan,"DONEM",IF(LEN($D508)&lt;cbb_unvanMinLen,"UNVAN","TANIMSIZ"))))))</f>
        <v/>
      </c>
    </row>
    <row r="509">
      <c r="A509" s="26">
        <f>IF('ESLESTIRME'!$A509="","",'ESLESTIRME'!$A509)</f>
        <v/>
      </c>
      <c r="B509" s="16">
        <f>IF($A509="","",IFERROR(INDEX(tblEslesme[Kova],MATCH($A509,tblEslesme[A_Norm],0)),""))</f>
        <v/>
      </c>
      <c r="C509" s="16">
        <f>IF($A509="","",IFERROR(INDEX(tblEslesme[AbsFark],MATCH($A509,tblEslesme[A_Norm],0)),0))</f>
        <v/>
      </c>
      <c r="D509" s="16">
        <f>IF($A509="","",IFERROR(INDEX(tblVeriA[Unvan],MATCH($A509,tblAnahtarA[Norm],0)),""))</f>
        <v/>
      </c>
      <c r="E509" s="16">
        <f>IF($A509="","",IFERROR(SUMIF(tblAnahtarB[NormB],$A509,tblVeriB[BelgeAdet]),0))</f>
        <v/>
      </c>
      <c r="F509" s="16">
        <f>IF($A509="","",IFERROR(INDEX(tblVeriB[FormTipi],MATCH($A509,tblAnahtarB[NormB],0)),""))</f>
        <v/>
      </c>
      <c r="G509" s="16">
        <f>IF($A509="","",IFERROR(INDEX(tblVeriA[Donem],MATCH($A509,tblAnahtarA[Norm],0)),""))</f>
        <v/>
      </c>
      <c r="H509" s="16">
        <f>IF(OR($A509="",$B509&lt;&gt;"tutar_farki"),"",IF($E509=0,"BELGE_EKSIK",IF($C509&lt;=toleransKurus*cbb_yuvarlamaCarpan,"YUVARLAMA",IF(AND($F509&lt;&gt;"Ba",$F509&lt;&gt;"Bs"),"TIP_KARISIK",IF($C509&gt;cbb_esikFark*cbb_donemCarpan,"DONEM",IF(LEN($D509)&lt;cbb_unvanMinLen,"UNVAN","TANIMSIZ"))))))</f>
        <v/>
      </c>
    </row>
    <row r="510">
      <c r="A510" s="26">
        <f>IF('ESLESTIRME'!$A510="","",'ESLESTIRME'!$A510)</f>
        <v/>
      </c>
      <c r="B510" s="16">
        <f>IF($A510="","",IFERROR(INDEX(tblEslesme[Kova],MATCH($A510,tblEslesme[A_Norm],0)),""))</f>
        <v/>
      </c>
      <c r="C510" s="16">
        <f>IF($A510="","",IFERROR(INDEX(tblEslesme[AbsFark],MATCH($A510,tblEslesme[A_Norm],0)),0))</f>
        <v/>
      </c>
      <c r="D510" s="16">
        <f>IF($A510="","",IFERROR(INDEX(tblVeriA[Unvan],MATCH($A510,tblAnahtarA[Norm],0)),""))</f>
        <v/>
      </c>
      <c r="E510" s="16">
        <f>IF($A510="","",IFERROR(SUMIF(tblAnahtarB[NormB],$A510,tblVeriB[BelgeAdet]),0))</f>
        <v/>
      </c>
      <c r="F510" s="16">
        <f>IF($A510="","",IFERROR(INDEX(tblVeriB[FormTipi],MATCH($A510,tblAnahtarB[NormB],0)),""))</f>
        <v/>
      </c>
      <c r="G510" s="16">
        <f>IF($A510="","",IFERROR(INDEX(tblVeriA[Donem],MATCH($A510,tblAnahtarA[Norm],0)),""))</f>
        <v/>
      </c>
      <c r="H510" s="16">
        <f>IF(OR($A510="",$B510&lt;&gt;"tutar_farki"),"",IF($E510=0,"BELGE_EKSIK",IF($C510&lt;=toleransKurus*cbb_yuvarlamaCarpan,"YUVARLAMA",IF(AND($F510&lt;&gt;"Ba",$F510&lt;&gt;"Bs"),"TIP_KARISIK",IF($C510&gt;cbb_esikFark*cbb_donemCarpan,"DONEM",IF(LEN($D510)&lt;cbb_unvanMinLen,"UNVAN","TANIMSIZ"))))))</f>
        <v/>
      </c>
    </row>
    <row r="511">
      <c r="A511" s="26">
        <f>IF('ESLESTIRME'!$A511="","",'ESLESTIRME'!$A511)</f>
        <v/>
      </c>
      <c r="B511" s="16">
        <f>IF($A511="","",IFERROR(INDEX(tblEslesme[Kova],MATCH($A511,tblEslesme[A_Norm],0)),""))</f>
        <v/>
      </c>
      <c r="C511" s="16">
        <f>IF($A511="","",IFERROR(INDEX(tblEslesme[AbsFark],MATCH($A511,tblEslesme[A_Norm],0)),0))</f>
        <v/>
      </c>
      <c r="D511" s="16">
        <f>IF($A511="","",IFERROR(INDEX(tblVeriA[Unvan],MATCH($A511,tblAnahtarA[Norm],0)),""))</f>
        <v/>
      </c>
      <c r="E511" s="16">
        <f>IF($A511="","",IFERROR(SUMIF(tblAnahtarB[NormB],$A511,tblVeriB[BelgeAdet]),0))</f>
        <v/>
      </c>
      <c r="F511" s="16">
        <f>IF($A511="","",IFERROR(INDEX(tblVeriB[FormTipi],MATCH($A511,tblAnahtarB[NormB],0)),""))</f>
        <v/>
      </c>
      <c r="G511" s="16">
        <f>IF($A511="","",IFERROR(INDEX(tblVeriA[Donem],MATCH($A511,tblAnahtarA[Norm],0)),""))</f>
        <v/>
      </c>
      <c r="H511" s="16">
        <f>IF(OR($A511="",$B511&lt;&gt;"tutar_farki"),"",IF($E511=0,"BELGE_EKSIK",IF($C511&lt;=toleransKurus*cbb_yuvarlamaCarpan,"YUVARLAMA",IF(AND($F511&lt;&gt;"Ba",$F511&lt;&gt;"Bs"),"TIP_KARISIK",IF($C511&gt;cbb_esikFark*cbb_donemCarpan,"DONEM",IF(LEN($D511)&lt;cbb_unvanMinLen,"UNVAN","TANIMSIZ"))))))</f>
        <v/>
      </c>
    </row>
    <row r="512">
      <c r="A512" s="26">
        <f>IF('ESLESTIRME'!$A512="","",'ESLESTIRME'!$A512)</f>
        <v/>
      </c>
      <c r="B512" s="16">
        <f>IF($A512="","",IFERROR(INDEX(tblEslesme[Kova],MATCH($A512,tblEslesme[A_Norm],0)),""))</f>
        <v/>
      </c>
      <c r="C512" s="16">
        <f>IF($A512="","",IFERROR(INDEX(tblEslesme[AbsFark],MATCH($A512,tblEslesme[A_Norm],0)),0))</f>
        <v/>
      </c>
      <c r="D512" s="16">
        <f>IF($A512="","",IFERROR(INDEX(tblVeriA[Unvan],MATCH($A512,tblAnahtarA[Norm],0)),""))</f>
        <v/>
      </c>
      <c r="E512" s="16">
        <f>IF($A512="","",IFERROR(SUMIF(tblAnahtarB[NormB],$A512,tblVeriB[BelgeAdet]),0))</f>
        <v/>
      </c>
      <c r="F512" s="16">
        <f>IF($A512="","",IFERROR(INDEX(tblVeriB[FormTipi],MATCH($A512,tblAnahtarB[NormB],0)),""))</f>
        <v/>
      </c>
      <c r="G512" s="16">
        <f>IF($A512="","",IFERROR(INDEX(tblVeriA[Donem],MATCH($A512,tblAnahtarA[Norm],0)),""))</f>
        <v/>
      </c>
      <c r="H512" s="16">
        <f>IF(OR($A512="",$B512&lt;&gt;"tutar_farki"),"",IF($E512=0,"BELGE_EKSIK",IF($C512&lt;=toleransKurus*cbb_yuvarlamaCarpan,"YUVARLAMA",IF(AND($F512&lt;&gt;"Ba",$F512&lt;&gt;"Bs"),"TIP_KARISIK",IF($C512&gt;cbb_esikFark*cbb_donemCarpan,"DONEM",IF(LEN($D512)&lt;cbb_unvanMinLen,"UNVAN","TANIMSIZ"))))))</f>
        <v/>
      </c>
    </row>
    <row r="513">
      <c r="A513" s="26">
        <f>IF('ESLESTIRME'!$A513="","",'ESLESTIRME'!$A513)</f>
        <v/>
      </c>
      <c r="B513" s="16">
        <f>IF($A513="","",IFERROR(INDEX(tblEslesme[Kova],MATCH($A513,tblEslesme[A_Norm],0)),""))</f>
        <v/>
      </c>
      <c r="C513" s="16">
        <f>IF($A513="","",IFERROR(INDEX(tblEslesme[AbsFark],MATCH($A513,tblEslesme[A_Norm],0)),0))</f>
        <v/>
      </c>
      <c r="D513" s="16">
        <f>IF($A513="","",IFERROR(INDEX(tblVeriA[Unvan],MATCH($A513,tblAnahtarA[Norm],0)),""))</f>
        <v/>
      </c>
      <c r="E513" s="16">
        <f>IF($A513="","",IFERROR(SUMIF(tblAnahtarB[NormB],$A513,tblVeriB[BelgeAdet]),0))</f>
        <v/>
      </c>
      <c r="F513" s="16">
        <f>IF($A513="","",IFERROR(INDEX(tblVeriB[FormTipi],MATCH($A513,tblAnahtarB[NormB],0)),""))</f>
        <v/>
      </c>
      <c r="G513" s="16">
        <f>IF($A513="","",IFERROR(INDEX(tblVeriA[Donem],MATCH($A513,tblAnahtarA[Norm],0)),""))</f>
        <v/>
      </c>
      <c r="H513" s="16">
        <f>IF(OR($A513="",$B513&lt;&gt;"tutar_farki"),"",IF($E513=0,"BELGE_EKSIK",IF($C513&lt;=toleransKurus*cbb_yuvarlamaCarpan,"YUVARLAMA",IF(AND($F513&lt;&gt;"Ba",$F513&lt;&gt;"Bs"),"TIP_KARISIK",IF($C513&gt;cbb_esikFark*cbb_donemCarpan,"DONEM",IF(LEN($D513)&lt;cbb_unvanMinLen,"UNVAN","TANIMSIZ"))))))</f>
        <v/>
      </c>
    </row>
    <row r="514">
      <c r="A514" s="26">
        <f>IF('ESLESTIRME'!$A514="","",'ESLESTIRME'!$A514)</f>
        <v/>
      </c>
      <c r="B514" s="16">
        <f>IF($A514="","",IFERROR(INDEX(tblEslesme[Kova],MATCH($A514,tblEslesme[A_Norm],0)),""))</f>
        <v/>
      </c>
      <c r="C514" s="16">
        <f>IF($A514="","",IFERROR(INDEX(tblEslesme[AbsFark],MATCH($A514,tblEslesme[A_Norm],0)),0))</f>
        <v/>
      </c>
      <c r="D514" s="16">
        <f>IF($A514="","",IFERROR(INDEX(tblVeriA[Unvan],MATCH($A514,tblAnahtarA[Norm],0)),""))</f>
        <v/>
      </c>
      <c r="E514" s="16">
        <f>IF($A514="","",IFERROR(SUMIF(tblAnahtarB[NormB],$A514,tblVeriB[BelgeAdet]),0))</f>
        <v/>
      </c>
      <c r="F514" s="16">
        <f>IF($A514="","",IFERROR(INDEX(tblVeriB[FormTipi],MATCH($A514,tblAnahtarB[NormB],0)),""))</f>
        <v/>
      </c>
      <c r="G514" s="16">
        <f>IF($A514="","",IFERROR(INDEX(tblVeriA[Donem],MATCH($A514,tblAnahtarA[Norm],0)),""))</f>
        <v/>
      </c>
      <c r="H514" s="16">
        <f>IF(OR($A514="",$B514&lt;&gt;"tutar_farki"),"",IF($E514=0,"BELGE_EKSIK",IF($C514&lt;=toleransKurus*cbb_yuvarlamaCarpan,"YUVARLAMA",IF(AND($F514&lt;&gt;"Ba",$F514&lt;&gt;"Bs"),"TIP_KARISIK",IF($C514&gt;cbb_esikFark*cbb_donemCarpan,"DONEM",IF(LEN($D514)&lt;cbb_unvanMinLen,"UNVAN","TANIMSIZ"))))))</f>
        <v/>
      </c>
    </row>
    <row r="515">
      <c r="A515" s="26">
        <f>IF('ESLESTIRME'!$A515="","",'ESLESTIRME'!$A515)</f>
        <v/>
      </c>
      <c r="B515" s="16">
        <f>IF($A515="","",IFERROR(INDEX(tblEslesme[Kova],MATCH($A515,tblEslesme[A_Norm],0)),""))</f>
        <v/>
      </c>
      <c r="C515" s="16">
        <f>IF($A515="","",IFERROR(INDEX(tblEslesme[AbsFark],MATCH($A515,tblEslesme[A_Norm],0)),0))</f>
        <v/>
      </c>
      <c r="D515" s="16">
        <f>IF($A515="","",IFERROR(INDEX(tblVeriA[Unvan],MATCH($A515,tblAnahtarA[Norm],0)),""))</f>
        <v/>
      </c>
      <c r="E515" s="16">
        <f>IF($A515="","",IFERROR(SUMIF(tblAnahtarB[NormB],$A515,tblVeriB[BelgeAdet]),0))</f>
        <v/>
      </c>
      <c r="F515" s="16">
        <f>IF($A515="","",IFERROR(INDEX(tblVeriB[FormTipi],MATCH($A515,tblAnahtarB[NormB],0)),""))</f>
        <v/>
      </c>
      <c r="G515" s="16">
        <f>IF($A515="","",IFERROR(INDEX(tblVeriA[Donem],MATCH($A515,tblAnahtarA[Norm],0)),""))</f>
        <v/>
      </c>
      <c r="H515" s="16">
        <f>IF(OR($A515="",$B515&lt;&gt;"tutar_farki"),"",IF($E515=0,"BELGE_EKSIK",IF($C515&lt;=toleransKurus*cbb_yuvarlamaCarpan,"YUVARLAMA",IF(AND($F515&lt;&gt;"Ba",$F515&lt;&gt;"Bs"),"TIP_KARISIK",IF($C515&gt;cbb_esikFark*cbb_donemCarpan,"DONEM",IF(LEN($D515)&lt;cbb_unvanMinLen,"UNVAN","TANIMSIZ"))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F13"/>
    <mergeCell ref="A3:J3"/>
    <mergeCell ref="A1:N1"/>
  </mergeCells>
  <conditionalFormatting sqref="H16:H515">
    <cfRule type="cellIs" priority="1" operator="equal" dxfId="0">
      <formula>"TANIMSIZ"</formula>
    </cfRule>
    <cfRule type="cellIs" priority="2" operator="equal" dxfId="1">
      <formula>"DONEM"</formula>
    </cfRule>
    <cfRule type="cellIs" priority="3" operator="equal" dxfId="1">
      <formula>"UNVAN"</formula>
    </cfRule>
    <cfRule type="cellIs" priority="4" operator="equal" dxfId="1">
      <formula>"YUVARLAMA"</formula>
    </cfRule>
    <cfRule type="cellIs" priority="5" operator="equal" dxfId="1">
      <formula>"BELGE_EKSIK"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T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1" t="inlineStr">
        <is>
          <t>PANO — Cari ve Ba-Bs Toplu Mutabakat Motoru</t>
        </is>
      </c>
    </row>
    <row r="3">
      <c r="A3" s="27" t="inlineStr">
        <is>
          <t>Karar Destek Paneli — Form Ba/Bs</t>
        </is>
      </c>
      <c r="C3" s="28" t="inlineStr">
        <is>
          <t>Rapor Tarihi</t>
        </is>
      </c>
      <c r="D3" s="72">
        <f>raporTarihi</f>
        <v/>
      </c>
    </row>
    <row r="4">
      <c r="A4" s="5" t="inlineStr">
        <is>
          <t>KARAR</t>
        </is>
      </c>
      <c r="B4" s="30">
        <f>IF(COUNTA(tblVeriA[VKN])=0,"VERİ YOK",IF(OR(COUNTIF(tblVeriA[Tutar],"&lt;0")&gt;0,COUNTIF(tblVeriB[BeyanTutar],"&lt;0")&gt;0),"İNCELE",IF(OR(COUNTIF(tblVeriA[Tutar],"&gt;"&amp;cbb_azamiTutar)&gt;0,COUNTIF(tblVeriB[BeyanTutar],"&gt;"&amp;cbb_azamiTutar)&gt;0),"İNCELE",IF(cbb_eslesmeOrani&lt;cbb_esikEslesme,"DURDUR",IF(ABS(cbb_mutabakatFarki)&gt;cbb_esikFark,"İNCELE","UYGUN")))))</f>
        <v/>
      </c>
    </row>
    <row r="6">
      <c r="A6" s="31" t="inlineStr">
        <is>
          <t>Eşleşme Oranı</t>
        </is>
      </c>
      <c r="B6" s="73">
        <f>IFERROR(cbb_modulT1,0)</f>
        <v/>
      </c>
      <c r="D6" s="18" t="inlineStr">
        <is>
          <t>Modül Yorumları</t>
        </is>
      </c>
    </row>
    <row r="7">
      <c r="A7" s="31" t="inlineStr">
        <is>
          <t>Cari Toplam (A)</t>
        </is>
      </c>
      <c r="B7" s="74">
        <f>IFERROR(SUM(tblVeriA[Tutar]),0)</f>
        <v/>
      </c>
      <c r="D7" s="8">
        <f>cbb_modulT1Yorum</f>
        <v/>
      </c>
    </row>
    <row r="8">
      <c r="A8" s="31" t="inlineStr">
        <is>
          <t>Ba-Bs Toplam (B)</t>
        </is>
      </c>
      <c r="B8" s="74">
        <f>IFERROR(SUM(tblVeriB[BeyanTutar]),0)</f>
        <v/>
      </c>
      <c r="D8" s="8">
        <f>cbb_modulT2Yorum</f>
        <v/>
      </c>
    </row>
    <row r="9">
      <c r="A9" s="31" t="inlineStr">
        <is>
          <t>Mutabakat Farkı</t>
        </is>
      </c>
      <c r="B9" s="74">
        <f>IFERROR(cbb_mutabakatFarki,0)</f>
        <v/>
      </c>
      <c r="D9" s="8">
        <f>cbb_modulO1Yorum</f>
        <v/>
      </c>
    </row>
    <row r="10">
      <c r="A10" s="31" t="inlineStr">
        <is>
          <t>Eşleşti Adet</t>
        </is>
      </c>
      <c r="B10" s="34">
        <f>COUNTIF(tblEslesme[Kova],"eslesti")</f>
        <v/>
      </c>
      <c r="D10" s="8">
        <f>cbb_modulO2Yorum</f>
        <v/>
      </c>
    </row>
    <row r="11">
      <c r="A11" s="31" t="inlineStr">
        <is>
          <t>Tolerans İçinde</t>
        </is>
      </c>
      <c r="B11" s="34">
        <f>COUNTIF(tblEslesme[Kova],"tolerans_icinde")</f>
        <v/>
      </c>
      <c r="D11" s="8">
        <f>cbb_modulO3Yorum</f>
        <v/>
      </c>
    </row>
    <row r="12">
      <c r="A12" s="31" t="inlineStr">
        <is>
          <t>Tutar Farkı Adet</t>
        </is>
      </c>
      <c r="B12" s="34">
        <f>COUNTIF(tblEslesme[Kova],"tutar_farki")</f>
        <v/>
      </c>
      <c r="D12" s="8">
        <f>cbb_modulO6Yorum</f>
        <v/>
      </c>
    </row>
    <row r="13">
      <c r="A13" s="31" t="inlineStr">
        <is>
          <t>Eşleşmedi Adet</t>
        </is>
      </c>
      <c r="B13" s="34">
        <f>COUNTIF(tblEslesme[Kova],"eslesmedi")</f>
        <v/>
      </c>
      <c r="D13" s="8">
        <f>cbb_modulO8Yorum</f>
        <v/>
      </c>
    </row>
    <row r="14">
      <c r="A14" s="31" t="inlineStr">
        <is>
          <t>Kova Bütünlük</t>
        </is>
      </c>
      <c r="B14" s="35">
        <f>cbb_kovaButunluk</f>
        <v/>
      </c>
      <c r="D14" s="8">
        <f>cbb_modulI1Yorum</f>
        <v/>
      </c>
    </row>
    <row r="15">
      <c r="A15" s="31" t="inlineStr">
        <is>
          <t>Anomali Sayısı</t>
        </is>
      </c>
      <c r="B15" s="34">
        <f>cbb_modulO1</f>
        <v/>
      </c>
      <c r="D15" s="8">
        <f>cbb_modulI2Yorum</f>
        <v/>
      </c>
    </row>
    <row r="16">
      <c r="A16" s="31" t="inlineStr">
        <is>
          <t>Ort. Abs Fark</t>
        </is>
      </c>
      <c r="B16" s="74">
        <f>cbb_modulT2</f>
        <v/>
      </c>
    </row>
    <row r="17">
      <c r="A17" s="31" t="inlineStr">
        <is>
          <t>VKN Yoğunlaşma</t>
        </is>
      </c>
      <c r="B17" s="73">
        <f>cbb_modulO6</f>
        <v/>
      </c>
    </row>
    <row r="18">
      <c r="A18" s="31" t="inlineStr">
        <is>
          <t>Kalite Skoru</t>
        </is>
      </c>
      <c r="B18" s="34">
        <f>cbb_modulO8</f>
        <v/>
      </c>
    </row>
    <row r="19">
      <c r="A19" s="31" t="inlineStr">
        <is>
          <t>Tahmin / P90</t>
        </is>
      </c>
      <c r="B19" s="74">
        <f>cbb_modulI2</f>
        <v/>
      </c>
    </row>
    <row r="20">
      <c r="A20" s="31" t="inlineStr">
        <is>
          <t>Tornado Zirve</t>
        </is>
      </c>
      <c r="B20" s="74">
        <f>cbb_modulO2</f>
        <v/>
      </c>
    </row>
    <row r="21">
      <c r="A21" s="31" t="inlineStr">
        <is>
          <t>Senaryo Etki</t>
        </is>
      </c>
      <c r="B21" s="74">
        <f>cbb_modulO3</f>
        <v/>
      </c>
    </row>
    <row r="22">
      <c r="A22" s="31" t="inlineStr">
        <is>
          <t>Duplike Uyarı</t>
        </is>
      </c>
      <c r="B22" s="34">
        <f>COUNTIF(tblAnahtarA[Duplike],"EVET")</f>
        <v/>
      </c>
    </row>
    <row r="23">
      <c r="A23" s="18" t="inlineStr">
        <is>
          <t>Grafik Kaynağı</t>
        </is>
      </c>
    </row>
    <row r="24">
      <c r="A24" s="7" t="inlineStr">
        <is>
          <t>Kova</t>
        </is>
      </c>
      <c r="B24" s="7" t="inlineStr">
        <is>
          <t>Adet</t>
        </is>
      </c>
      <c r="D24" s="7" t="inlineStr">
        <is>
          <t>Neden</t>
        </is>
      </c>
      <c r="E24" s="7" t="inlineStr">
        <is>
          <t>Adet</t>
        </is>
      </c>
      <c r="G24" s="7" t="inlineStr">
        <is>
          <t>Gün</t>
        </is>
      </c>
      <c r="H24" s="7" t="inlineStr">
        <is>
          <t>Fark</t>
        </is>
      </c>
      <c r="J24" s="7" t="inlineStr">
        <is>
          <t>Senaryo</t>
        </is>
      </c>
      <c r="K24" s="7" t="inlineStr">
        <is>
          <t>Etki</t>
        </is>
      </c>
    </row>
    <row r="25">
      <c r="A25" s="7" t="inlineStr">
        <is>
          <t>Eşleşti</t>
        </is>
      </c>
      <c r="B25" s="23" t="n">
        <v>24</v>
      </c>
      <c r="D25" s="7" t="inlineStr">
        <is>
          <t>Dönem</t>
        </is>
      </c>
      <c r="E25" s="23" t="n">
        <v>2</v>
      </c>
      <c r="G25" s="23" t="n">
        <v>1</v>
      </c>
      <c r="H25" s="75" t="n">
        <v>120</v>
      </c>
      <c r="J25" s="7" t="inlineStr">
        <is>
          <t>Tolerans sıkı</t>
        </is>
      </c>
      <c r="K25" s="75" t="n">
        <v>380</v>
      </c>
    </row>
    <row r="26">
      <c r="A26" s="7" t="inlineStr">
        <is>
          <t>Tolerans</t>
        </is>
      </c>
      <c r="B26" s="23" t="n">
        <v>3</v>
      </c>
      <c r="D26" s="7" t="inlineStr">
        <is>
          <t>Unvan</t>
        </is>
      </c>
      <c r="E26" s="23" t="n">
        <v>1</v>
      </c>
      <c r="G26" s="23" t="n">
        <v>2</v>
      </c>
      <c r="H26" s="75" t="n">
        <v>138.5</v>
      </c>
      <c r="J26" s="7" t="inlineStr">
        <is>
          <t>VKN normalize</t>
        </is>
      </c>
      <c r="K26" s="75" t="n">
        <v>260</v>
      </c>
    </row>
    <row r="27">
      <c r="A27" s="7" t="inlineStr">
        <is>
          <t>Tutar farkı</t>
        </is>
      </c>
      <c r="B27" s="23" t="n">
        <v>5</v>
      </c>
      <c r="D27" s="7" t="inlineStr">
        <is>
          <t>Yuvarlama</t>
        </is>
      </c>
      <c r="E27" s="23" t="n">
        <v>1</v>
      </c>
      <c r="G27" s="23" t="n">
        <v>3</v>
      </c>
      <c r="H27" s="75" t="n">
        <v>157</v>
      </c>
      <c r="J27" s="7" t="inlineStr">
        <is>
          <t>Dönem düzelt</t>
        </is>
      </c>
      <c r="K27" s="75" t="n">
        <v>190</v>
      </c>
    </row>
    <row r="28">
      <c r="A28" s="7" t="inlineStr">
        <is>
          <t>Eşleşmedi</t>
        </is>
      </c>
      <c r="B28" s="23" t="n">
        <v>3</v>
      </c>
      <c r="D28" s="7" t="inlineStr">
        <is>
          <t>Belge</t>
        </is>
      </c>
      <c r="E28" s="23" t="n">
        <v>1</v>
      </c>
      <c r="G28" s="23" t="n">
        <v>4</v>
      </c>
      <c r="H28" s="75" t="n">
        <v>175.5</v>
      </c>
      <c r="J28" s="7" t="inlineStr">
        <is>
          <t>Unvan temizle</t>
        </is>
      </c>
      <c r="K28" s="75" t="n">
        <v>110</v>
      </c>
    </row>
    <row r="29">
      <c r="D29" s="7" t="inlineStr">
        <is>
          <t>Tip</t>
        </is>
      </c>
      <c r="E29" s="23" t="n">
        <v>0</v>
      </c>
      <c r="G29" s="23" t="n">
        <v>5</v>
      </c>
      <c r="H29" s="75" t="n">
        <v>194</v>
      </c>
      <c r="J29" s="7" t="inlineStr">
        <is>
          <t>Belge tamamla</t>
        </is>
      </c>
      <c r="K29" s="75" t="n">
        <v>75</v>
      </c>
    </row>
    <row r="30">
      <c r="D30" s="7" t="inlineStr">
        <is>
          <t>Tanımsız</t>
        </is>
      </c>
      <c r="E30" s="23" t="n">
        <v>3</v>
      </c>
      <c r="G30" s="23" t="n">
        <v>6</v>
      </c>
      <c r="H30" s="75" t="n">
        <v>212.5</v>
      </c>
    </row>
    <row r="31">
      <c r="G31" s="23" t="n">
        <v>7</v>
      </c>
      <c r="H31" s="75" t="n">
        <v>231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1:T1"/>
    <mergeCell ref="D12:H12"/>
    <mergeCell ref="D7:H7"/>
    <mergeCell ref="D8:H8"/>
    <mergeCell ref="D15:H15"/>
    <mergeCell ref="D10:H10"/>
    <mergeCell ref="D11:H11"/>
    <mergeCell ref="D13:H13"/>
    <mergeCell ref="D14:H14"/>
    <mergeCell ref="D9:H9"/>
  </mergeCells>
  <conditionalFormatting sqref="B4">
    <cfRule type="cellIs" priority="1" operator="equal" dxfId="2">
      <formula>"UYGUN"</formula>
    </cfRule>
    <cfRule type="cellIs" priority="2" operator="equal" dxfId="1">
      <formula>"İNCELE"</formula>
    </cfRule>
    <cfRule type="cellIs" priority="3" operator="equal" dxfId="0">
      <formula>"DURDUR"</formula>
    </cfRule>
    <cfRule type="cellIs" priority="4" operator="equal" dxfId="0">
      <formula>"VERİ YOK"</formula>
    </cfRule>
  </conditionalFormatting>
  <conditionalFormatting sqref="B6">
    <cfRule type="cellIs" priority="5" operator="greaterThan" dxfId="3">
      <formula>0</formula>
    </cfRule>
    <cfRule type="cellIs" priority="6" operator="lessThan" dxfId="0">
      <formula>0</formula>
    </cfRule>
  </conditionalFormatting>
  <conditionalFormatting sqref="B7">
    <cfRule type="cellIs" priority="7" operator="greaterThan" dxfId="3">
      <formula>0</formula>
    </cfRule>
    <cfRule type="cellIs" priority="8" operator="lessThan" dxfId="0">
      <formula>0</formula>
    </cfRule>
  </conditionalFormatting>
  <conditionalFormatting sqref="B8">
    <cfRule type="cellIs" priority="9" operator="greaterThan" dxfId="3">
      <formula>0</formula>
    </cfRule>
    <cfRule type="cellIs" priority="10" operator="lessThan" dxfId="0">
      <formula>0</formula>
    </cfRule>
  </conditionalFormatting>
  <conditionalFormatting sqref="B9">
    <cfRule type="cellIs" priority="11" operator="greaterThan" dxfId="3">
      <formula>0</formula>
    </cfRule>
    <cfRule type="cellIs" priority="12" operator="lessThan" dxfId="0">
      <formula>0</formula>
    </cfRule>
  </conditionalFormatting>
  <conditionalFormatting sqref="B10">
    <cfRule type="cellIs" priority="13" operator="greaterThan" dxfId="3">
      <formula>0</formula>
    </cfRule>
    <cfRule type="cellIs" priority="14" operator="lessThan" dxfId="0">
      <formula>0</formula>
    </cfRule>
  </conditionalFormatting>
  <conditionalFormatting sqref="B11">
    <cfRule type="cellIs" priority="15" operator="greaterThan" dxfId="3">
      <formula>0</formula>
    </cfRule>
    <cfRule type="cellIs" priority="16" operator="lessThan" dxfId="0">
      <formula>0</formula>
    </cfRule>
  </conditionalFormatting>
  <conditionalFormatting sqref="B12">
    <cfRule type="cellIs" priority="17" operator="greaterThan" dxfId="3">
      <formula>0</formula>
    </cfRule>
    <cfRule type="cellIs" priority="18" operator="lessThan" dxfId="0">
      <formula>0</formula>
    </cfRule>
  </conditionalFormatting>
  <conditionalFormatting sqref="B13">
    <cfRule type="cellIs" priority="19" operator="greaterThan" dxfId="3">
      <formula>0</formula>
    </cfRule>
    <cfRule type="cellIs" priority="20" operator="lessThan" dxfId="0">
      <formula>0</formula>
    </cfRule>
  </conditionalFormatting>
  <conditionalFormatting sqref="B14">
    <cfRule type="cellIs" priority="21" operator="greaterThan" dxfId="3">
      <formula>0</formula>
    </cfRule>
    <cfRule type="cellIs" priority="22" operator="lessThan" dxfId="0">
      <formula>0</formula>
    </cfRule>
  </conditionalFormatting>
  <conditionalFormatting sqref="B15">
    <cfRule type="cellIs" priority="23" operator="greaterThan" dxfId="3">
      <formula>0</formula>
    </cfRule>
    <cfRule type="cellIs" priority="24" operator="lessThan" dxfId="0">
      <formula>0</formula>
    </cfRule>
  </conditionalFormatting>
  <conditionalFormatting sqref="B16">
    <cfRule type="cellIs" priority="25" operator="greaterThan" dxfId="3">
      <formula>0</formula>
    </cfRule>
    <cfRule type="cellIs" priority="26" operator="lessThan" dxfId="0">
      <formula>0</formula>
    </cfRule>
  </conditionalFormatting>
  <conditionalFormatting sqref="B17">
    <cfRule type="cellIs" priority="27" operator="greaterThan" dxfId="3">
      <formula>0</formula>
    </cfRule>
    <cfRule type="cellIs" priority="28" operator="lessThan" dxfId="0">
      <formula>0</formula>
    </cfRule>
  </conditionalFormatting>
  <conditionalFormatting sqref="B18">
    <cfRule type="cellIs" priority="29" operator="greaterThan" dxfId="3">
      <formula>0</formula>
    </cfRule>
    <cfRule type="cellIs" priority="30" operator="lessThan" dxfId="0">
      <formula>0</formula>
    </cfRule>
  </conditionalFormatting>
  <conditionalFormatting sqref="B19">
    <cfRule type="cellIs" priority="31" operator="greaterThan" dxfId="3">
      <formula>0</formula>
    </cfRule>
    <cfRule type="cellIs" priority="32" operator="lessThan" dxfId="0">
      <formula>0</formula>
    </cfRule>
  </conditionalFormatting>
  <conditionalFormatting sqref="B20">
    <cfRule type="cellIs" priority="33" operator="greaterThan" dxfId="3">
      <formula>0</formula>
    </cfRule>
    <cfRule type="cellIs" priority="34" operator="lessThan" dxfId="0">
      <formula>0</formula>
    </cfRule>
  </conditionalFormatting>
  <conditionalFormatting sqref="B21">
    <cfRule type="cellIs" priority="35" operator="greaterThan" dxfId="3">
      <formula>0</formula>
    </cfRule>
    <cfRule type="cellIs" priority="36" operator="lessThan" dxfId="0">
      <formula>0</formula>
    </cfRule>
  </conditionalFormatting>
  <conditionalFormatting sqref="B22">
    <cfRule type="cellIs" priority="37" operator="greaterThan" dxfId="3">
      <formula>0</formula>
    </cfRule>
    <cfRule type="cellIs" priority="38" operator="lessThan" dxfId="0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&amp;LCari ve Ba-Bs Toplu Mutabakat Motoru | 1.0.0&amp;CExcelArşiv&amp;RSayfa &amp;P / &amp;N</oddFooter>
    <evenHeader/>
    <evenFooter>&amp;LCari ve Ba-Bs Toplu Mutabakat Motoru | 1.0.0&amp;CExcelArşiv&amp;RSayfa &amp;P / &amp;N</evenFooter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L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0" customWidth="1" min="5" max="5"/>
    <col width="55" customWidth="1" min="6" max="6"/>
    <col width="12" customWidth="1" min="7" max="7"/>
  </cols>
  <sheetData>
    <row r="1" ht="26" customHeight="1">
      <c r="A1" s="1" t="inlineStr">
        <is>
          <t>AKSIYON — Cari ve Ba-Bs Toplu Mutabakat Motoru</t>
        </is>
      </c>
    </row>
    <row r="2">
      <c r="I2" s="28" t="inlineStr">
        <is>
          <t>Şablon</t>
        </is>
      </c>
      <c r="J2" s="37" t="inlineStr">
        <is>
          <t>'IF(kova&lt;&gt;"tutar_farki","","Sipariş "&amp;siparisNo&amp;" için fark "&amp;TEXT(fark,"0.00")&amp;" TL. Dayanak: "&amp;kokNeden&amp;". İtiraz dosyası üretildi.")</t>
        </is>
      </c>
    </row>
    <row r="3" ht="20" customHeight="1">
      <c r="A3" s="10" t="inlineStr">
        <is>
          <t>Tutar farkı satırları için düzeltme metni — tek yön (yazmaz, üretir)</t>
        </is>
      </c>
    </row>
    <row r="5" ht="30" customHeight="1">
      <c r="A5" s="12" t="inlineStr">
        <is>
          <t>A_Norm</t>
        </is>
      </c>
      <c r="B5" s="12" t="inlineStr">
        <is>
          <t>Kova</t>
        </is>
      </c>
      <c r="C5" s="12" t="inlineStr">
        <is>
          <t>Fark</t>
        </is>
      </c>
      <c r="D5" s="12" t="inlineStr">
        <is>
          <t>KokNeden</t>
        </is>
      </c>
      <c r="E5" s="12" t="inlineStr">
        <is>
          <t>Oncelik</t>
        </is>
      </c>
      <c r="F5" s="12" t="inlineStr">
        <is>
          <t>ItirazMetni</t>
        </is>
      </c>
      <c r="G5" s="12" t="inlineStr">
        <is>
          <t>Durum</t>
        </is>
      </c>
    </row>
    <row r="6">
      <c r="A6" s="26">
        <f>IF('KOK_NEDEN'!$A6="","",'KOK_NEDEN'!$A6)</f>
        <v/>
      </c>
      <c r="B6" s="16">
        <f>IF($A6="","",IFERROR(INDEX(tblKok[Kova],MATCH($A6,tblKok[A_Norm],0)),""))</f>
        <v/>
      </c>
      <c r="C6" s="16">
        <f>IF($A6="","",IFERROR(INDEX(tblEslesme[Fark],MATCH($A6,tblEslesme[A_Norm],0)),0))</f>
        <v/>
      </c>
      <c r="D6" s="16">
        <f>IF($A6="","",IFERROR(INDEX(tblKok[KokNeden],MATCH($A6,tblKok[A_Norm],0)),""))</f>
        <v/>
      </c>
      <c r="E6" s="16">
        <f>IF($B6&lt;&gt;"tutar_farki","",IF(ABS($C6)&gt;cbb_esikFark,"YUKSEK","NORMAL"))</f>
        <v/>
      </c>
      <c r="F6" s="16">
        <f>IF($B6&lt;&gt;"tutar_farki","","VKN "&amp;$A6&amp;" için cari↔Ba/Bs fark "&amp;TEXT($C6,"0.00")&amp;" TL. Dayanak: "&amp;$D6&amp;". Düzeltme dosyası üretildi.")</f>
        <v/>
      </c>
      <c r="G6" s="16">
        <f>IF($B6&lt;&gt;"tutar_farki","","Beklemede")</f>
        <v/>
      </c>
    </row>
    <row r="7">
      <c r="A7" s="26">
        <f>IF('KOK_NEDEN'!$A7="","",'KOK_NEDEN'!$A7)</f>
        <v/>
      </c>
      <c r="B7" s="16">
        <f>IF($A7="","",IFERROR(INDEX(tblKok[Kova],MATCH($A7,tblKok[A_Norm],0)),""))</f>
        <v/>
      </c>
      <c r="C7" s="16">
        <f>IF($A7="","",IFERROR(INDEX(tblEslesme[Fark],MATCH($A7,tblEslesme[A_Norm],0)),0))</f>
        <v/>
      </c>
      <c r="D7" s="16">
        <f>IF($A7="","",IFERROR(INDEX(tblKok[KokNeden],MATCH($A7,tblKok[A_Norm],0)),""))</f>
        <v/>
      </c>
      <c r="E7" s="16">
        <f>IF($B7&lt;&gt;"tutar_farki","",IF(ABS($C7)&gt;cbb_esikFark,"YUKSEK","NORMAL"))</f>
        <v/>
      </c>
      <c r="F7" s="16">
        <f>IF($B7&lt;&gt;"tutar_farki","","VKN "&amp;$A7&amp;" için cari↔Ba/Bs fark "&amp;TEXT($C7,"0.00")&amp;" TL. Dayanak: "&amp;$D7&amp;". Düzeltme dosyası üretildi.")</f>
        <v/>
      </c>
      <c r="G7" s="16">
        <f>IF($B7&lt;&gt;"tutar_farki","","Beklemede")</f>
        <v/>
      </c>
    </row>
    <row r="8">
      <c r="A8" s="26">
        <f>IF('KOK_NEDEN'!$A8="","",'KOK_NEDEN'!$A8)</f>
        <v/>
      </c>
      <c r="B8" s="16">
        <f>IF($A8="","",IFERROR(INDEX(tblKok[Kova],MATCH($A8,tblKok[A_Norm],0)),""))</f>
        <v/>
      </c>
      <c r="C8" s="16">
        <f>IF($A8="","",IFERROR(INDEX(tblEslesme[Fark],MATCH($A8,tblEslesme[A_Norm],0)),0))</f>
        <v/>
      </c>
      <c r="D8" s="16">
        <f>IF($A8="","",IFERROR(INDEX(tblKok[KokNeden],MATCH($A8,tblKok[A_Norm],0)),""))</f>
        <v/>
      </c>
      <c r="E8" s="16">
        <f>IF($B8&lt;&gt;"tutar_farki","",IF(ABS($C8)&gt;cbb_esikFark,"YUKSEK","NORMAL"))</f>
        <v/>
      </c>
      <c r="F8" s="16">
        <f>IF($B8&lt;&gt;"tutar_farki","","VKN "&amp;$A8&amp;" için cari↔Ba/Bs fark "&amp;TEXT($C8,"0.00")&amp;" TL. Dayanak: "&amp;$D8&amp;". Düzeltme dosyası üretildi.")</f>
        <v/>
      </c>
      <c r="G8" s="16">
        <f>IF($B8&lt;&gt;"tutar_farki","","Beklemede")</f>
        <v/>
      </c>
    </row>
    <row r="9">
      <c r="A9" s="26">
        <f>IF('KOK_NEDEN'!$A9="","",'KOK_NEDEN'!$A9)</f>
        <v/>
      </c>
      <c r="B9" s="16">
        <f>IF($A9="","",IFERROR(INDEX(tblKok[Kova],MATCH($A9,tblKok[A_Norm],0)),""))</f>
        <v/>
      </c>
      <c r="C9" s="16">
        <f>IF($A9="","",IFERROR(INDEX(tblEslesme[Fark],MATCH($A9,tblEslesme[A_Norm],0)),0))</f>
        <v/>
      </c>
      <c r="D9" s="16">
        <f>IF($A9="","",IFERROR(INDEX(tblKok[KokNeden],MATCH($A9,tblKok[A_Norm],0)),""))</f>
        <v/>
      </c>
      <c r="E9" s="16">
        <f>IF($B9&lt;&gt;"tutar_farki","",IF(ABS($C9)&gt;cbb_esikFark,"YUKSEK","NORMAL"))</f>
        <v/>
      </c>
      <c r="F9" s="16">
        <f>IF($B9&lt;&gt;"tutar_farki","","VKN "&amp;$A9&amp;" için cari↔Ba/Bs fark "&amp;TEXT($C9,"0.00")&amp;" TL. Dayanak: "&amp;$D9&amp;". Düzeltme dosyası üretildi.")</f>
        <v/>
      </c>
      <c r="G9" s="16">
        <f>IF($B9&lt;&gt;"tutar_farki","","Beklemede")</f>
        <v/>
      </c>
    </row>
    <row r="10">
      <c r="A10" s="26">
        <f>IF('KOK_NEDEN'!$A10="","",'KOK_NEDEN'!$A10)</f>
        <v/>
      </c>
      <c r="B10" s="16">
        <f>IF($A10="","",IFERROR(INDEX(tblKok[Kova],MATCH($A10,tblKok[A_Norm],0)),""))</f>
        <v/>
      </c>
      <c r="C10" s="16">
        <f>IF($A10="","",IFERROR(INDEX(tblEslesme[Fark],MATCH($A10,tblEslesme[A_Norm],0)),0))</f>
        <v/>
      </c>
      <c r="D10" s="16">
        <f>IF($A10="","",IFERROR(INDEX(tblKok[KokNeden],MATCH($A10,tblKok[A_Norm],0)),""))</f>
        <v/>
      </c>
      <c r="E10" s="16">
        <f>IF($B10&lt;&gt;"tutar_farki","",IF(ABS($C10)&gt;cbb_esikFark,"YUKSEK","NORMAL"))</f>
        <v/>
      </c>
      <c r="F10" s="16">
        <f>IF($B10&lt;&gt;"tutar_farki","","VKN "&amp;$A10&amp;" için cari↔Ba/Bs fark "&amp;TEXT($C10,"0.00")&amp;" TL. Dayanak: "&amp;$D10&amp;". Düzeltme dosyası üretildi.")</f>
        <v/>
      </c>
      <c r="G10" s="16">
        <f>IF($B10&lt;&gt;"tutar_farki","","Beklemede")</f>
        <v/>
      </c>
    </row>
    <row r="11">
      <c r="A11" s="26">
        <f>IF('KOK_NEDEN'!$A11="","",'KOK_NEDEN'!$A11)</f>
        <v/>
      </c>
      <c r="B11" s="16">
        <f>IF($A11="","",IFERROR(INDEX(tblKok[Kova],MATCH($A11,tblKok[A_Norm],0)),""))</f>
        <v/>
      </c>
      <c r="C11" s="16">
        <f>IF($A11="","",IFERROR(INDEX(tblEslesme[Fark],MATCH($A11,tblEslesme[A_Norm],0)),0))</f>
        <v/>
      </c>
      <c r="D11" s="16">
        <f>IF($A11="","",IFERROR(INDEX(tblKok[KokNeden],MATCH($A11,tblKok[A_Norm],0)),""))</f>
        <v/>
      </c>
      <c r="E11" s="16">
        <f>IF($B11&lt;&gt;"tutar_farki","",IF(ABS($C11)&gt;cbb_esikFark,"YUKSEK","NORMAL"))</f>
        <v/>
      </c>
      <c r="F11" s="16">
        <f>IF($B11&lt;&gt;"tutar_farki","","VKN "&amp;$A11&amp;" için cari↔Ba/Bs fark "&amp;TEXT($C11,"0.00")&amp;" TL. Dayanak: "&amp;$D11&amp;". Düzeltme dosyası üretildi.")</f>
        <v/>
      </c>
      <c r="G11" s="16">
        <f>IF($B11&lt;&gt;"tutar_farki","","Beklemede")</f>
        <v/>
      </c>
    </row>
    <row r="12">
      <c r="A12" s="26">
        <f>IF('KOK_NEDEN'!$A12="","",'KOK_NEDEN'!$A12)</f>
        <v/>
      </c>
      <c r="B12" s="16">
        <f>IF($A12="","",IFERROR(INDEX(tblKok[Kova],MATCH($A12,tblKok[A_Norm],0)),""))</f>
        <v/>
      </c>
      <c r="C12" s="16">
        <f>IF($A12="","",IFERROR(INDEX(tblEslesme[Fark],MATCH($A12,tblEslesme[A_Norm],0)),0))</f>
        <v/>
      </c>
      <c r="D12" s="16">
        <f>IF($A12="","",IFERROR(INDEX(tblKok[KokNeden],MATCH($A12,tblKok[A_Norm],0)),""))</f>
        <v/>
      </c>
      <c r="E12" s="16">
        <f>IF($B12&lt;&gt;"tutar_farki","",IF(ABS($C12)&gt;cbb_esikFark,"YUKSEK","NORMAL"))</f>
        <v/>
      </c>
      <c r="F12" s="16">
        <f>IF($B12&lt;&gt;"tutar_farki","","VKN "&amp;$A12&amp;" için cari↔Ba/Bs fark "&amp;TEXT($C12,"0.00")&amp;" TL. Dayanak: "&amp;$D12&amp;". Düzeltme dosyası üretildi.")</f>
        <v/>
      </c>
      <c r="G12" s="16">
        <f>IF($B12&lt;&gt;"tutar_farki","","Beklemede")</f>
        <v/>
      </c>
    </row>
    <row r="13">
      <c r="A13" s="26">
        <f>IF('KOK_NEDEN'!$A13="","",'KOK_NEDEN'!$A13)</f>
        <v/>
      </c>
      <c r="B13" s="16">
        <f>IF($A13="","",IFERROR(INDEX(tblKok[Kova],MATCH($A13,tblKok[A_Norm],0)),""))</f>
        <v/>
      </c>
      <c r="C13" s="16">
        <f>IF($A13="","",IFERROR(INDEX(tblEslesme[Fark],MATCH($A13,tblEslesme[A_Norm],0)),0))</f>
        <v/>
      </c>
      <c r="D13" s="16">
        <f>IF($A13="","",IFERROR(INDEX(tblKok[KokNeden],MATCH($A13,tblKok[A_Norm],0)),""))</f>
        <v/>
      </c>
      <c r="E13" s="16">
        <f>IF($B13&lt;&gt;"tutar_farki","",IF(ABS($C13)&gt;cbb_esikFark,"YUKSEK","NORMAL"))</f>
        <v/>
      </c>
      <c r="F13" s="16">
        <f>IF($B13&lt;&gt;"tutar_farki","","VKN "&amp;$A13&amp;" için cari↔Ba/Bs fark "&amp;TEXT($C13,"0.00")&amp;" TL. Dayanak: "&amp;$D13&amp;". Düzeltme dosyası üretildi.")</f>
        <v/>
      </c>
      <c r="G13" s="16">
        <f>IF($B13&lt;&gt;"tutar_farki","","Beklemede")</f>
        <v/>
      </c>
    </row>
    <row r="14">
      <c r="A14" s="26">
        <f>IF('KOK_NEDEN'!$A14="","",'KOK_NEDEN'!$A14)</f>
        <v/>
      </c>
      <c r="B14" s="16">
        <f>IF($A14="","",IFERROR(INDEX(tblKok[Kova],MATCH($A14,tblKok[A_Norm],0)),""))</f>
        <v/>
      </c>
      <c r="C14" s="16">
        <f>IF($A14="","",IFERROR(INDEX(tblEslesme[Fark],MATCH($A14,tblEslesme[A_Norm],0)),0))</f>
        <v/>
      </c>
      <c r="D14" s="16">
        <f>IF($A14="","",IFERROR(INDEX(tblKok[KokNeden],MATCH($A14,tblKok[A_Norm],0)),""))</f>
        <v/>
      </c>
      <c r="E14" s="16">
        <f>IF($B14&lt;&gt;"tutar_farki","",IF(ABS($C14)&gt;cbb_esikFark,"YUKSEK","NORMAL"))</f>
        <v/>
      </c>
      <c r="F14" s="16">
        <f>IF($B14&lt;&gt;"tutar_farki","","VKN "&amp;$A14&amp;" için cari↔Ba/Bs fark "&amp;TEXT($C14,"0.00")&amp;" TL. Dayanak: "&amp;$D14&amp;". Düzeltme dosyası üretildi.")</f>
        <v/>
      </c>
      <c r="G14" s="16">
        <f>IF($B14&lt;&gt;"tutar_farki","","Beklemede")</f>
        <v/>
      </c>
    </row>
    <row r="15">
      <c r="A15" s="26">
        <f>IF('KOK_NEDEN'!$A15="","",'KOK_NEDEN'!$A15)</f>
        <v/>
      </c>
      <c r="B15" s="16">
        <f>IF($A15="","",IFERROR(INDEX(tblKok[Kova],MATCH($A15,tblKok[A_Norm],0)),""))</f>
        <v/>
      </c>
      <c r="C15" s="16">
        <f>IF($A15="","",IFERROR(INDEX(tblEslesme[Fark],MATCH($A15,tblEslesme[A_Norm],0)),0))</f>
        <v/>
      </c>
      <c r="D15" s="16">
        <f>IF($A15="","",IFERROR(INDEX(tblKok[KokNeden],MATCH($A15,tblKok[A_Norm],0)),""))</f>
        <v/>
      </c>
      <c r="E15" s="16">
        <f>IF($B15&lt;&gt;"tutar_farki","",IF(ABS($C15)&gt;cbb_esikFark,"YUKSEK","NORMAL"))</f>
        <v/>
      </c>
      <c r="F15" s="16">
        <f>IF($B15&lt;&gt;"tutar_farki","","VKN "&amp;$A15&amp;" için cari↔Ba/Bs fark "&amp;TEXT($C15,"0.00")&amp;" TL. Dayanak: "&amp;$D15&amp;". Düzeltme dosyası üretildi.")</f>
        <v/>
      </c>
      <c r="G15" s="16">
        <f>IF($B15&lt;&gt;"tutar_farki","","Beklemede")</f>
        <v/>
      </c>
    </row>
    <row r="16">
      <c r="A16" s="26">
        <f>IF('KOK_NEDEN'!$A16="","",'KOK_NEDEN'!$A16)</f>
        <v/>
      </c>
      <c r="B16" s="16">
        <f>IF($A16="","",IFERROR(INDEX(tblKok[Kova],MATCH($A16,tblKok[A_Norm],0)),""))</f>
        <v/>
      </c>
      <c r="C16" s="16">
        <f>IF($A16="","",IFERROR(INDEX(tblEslesme[Fark],MATCH($A16,tblEslesme[A_Norm],0)),0))</f>
        <v/>
      </c>
      <c r="D16" s="16">
        <f>IF($A16="","",IFERROR(INDEX(tblKok[KokNeden],MATCH($A16,tblKok[A_Norm],0)),""))</f>
        <v/>
      </c>
      <c r="E16" s="16">
        <f>IF($B16&lt;&gt;"tutar_farki","",IF(ABS($C16)&gt;cbb_esikFark,"YUKSEK","NORMAL"))</f>
        <v/>
      </c>
      <c r="F16" s="16">
        <f>IF($B16&lt;&gt;"tutar_farki","","VKN "&amp;$A16&amp;" için cari↔Ba/Bs fark "&amp;TEXT($C16,"0.00")&amp;" TL. Dayanak: "&amp;$D16&amp;". Düzeltme dosyası üretildi.")</f>
        <v/>
      </c>
      <c r="G16" s="16">
        <f>IF($B16&lt;&gt;"tutar_farki","","Beklemede")</f>
        <v/>
      </c>
    </row>
    <row r="17">
      <c r="A17" s="26">
        <f>IF('KOK_NEDEN'!$A17="","",'KOK_NEDEN'!$A17)</f>
        <v/>
      </c>
      <c r="B17" s="16">
        <f>IF($A17="","",IFERROR(INDEX(tblKok[Kova],MATCH($A17,tblKok[A_Norm],0)),""))</f>
        <v/>
      </c>
      <c r="C17" s="16">
        <f>IF($A17="","",IFERROR(INDEX(tblEslesme[Fark],MATCH($A17,tblEslesme[A_Norm],0)),0))</f>
        <v/>
      </c>
      <c r="D17" s="16">
        <f>IF($A17="","",IFERROR(INDEX(tblKok[KokNeden],MATCH($A17,tblKok[A_Norm],0)),""))</f>
        <v/>
      </c>
      <c r="E17" s="16">
        <f>IF($B17&lt;&gt;"tutar_farki","",IF(ABS($C17)&gt;cbb_esikFark,"YUKSEK","NORMAL"))</f>
        <v/>
      </c>
      <c r="F17" s="16">
        <f>IF($B17&lt;&gt;"tutar_farki","","VKN "&amp;$A17&amp;" için cari↔Ba/Bs fark "&amp;TEXT($C17,"0.00")&amp;" TL. Dayanak: "&amp;$D17&amp;". Düzeltme dosyası üretildi.")</f>
        <v/>
      </c>
      <c r="G17" s="16">
        <f>IF($B17&lt;&gt;"tutar_farki","","Beklemede")</f>
        <v/>
      </c>
    </row>
    <row r="18">
      <c r="A18" s="26">
        <f>IF('KOK_NEDEN'!$A18="","",'KOK_NEDEN'!$A18)</f>
        <v/>
      </c>
      <c r="B18" s="16">
        <f>IF($A18="","",IFERROR(INDEX(tblKok[Kova],MATCH($A18,tblKok[A_Norm],0)),""))</f>
        <v/>
      </c>
      <c r="C18" s="16">
        <f>IF($A18="","",IFERROR(INDEX(tblEslesme[Fark],MATCH($A18,tblEslesme[A_Norm],0)),0))</f>
        <v/>
      </c>
      <c r="D18" s="16">
        <f>IF($A18="","",IFERROR(INDEX(tblKok[KokNeden],MATCH($A18,tblKok[A_Norm],0)),""))</f>
        <v/>
      </c>
      <c r="E18" s="16">
        <f>IF($B18&lt;&gt;"tutar_farki","",IF(ABS($C18)&gt;cbb_esikFark,"YUKSEK","NORMAL"))</f>
        <v/>
      </c>
      <c r="F18" s="16">
        <f>IF($B18&lt;&gt;"tutar_farki","","VKN "&amp;$A18&amp;" için cari↔Ba/Bs fark "&amp;TEXT($C18,"0.00")&amp;" TL. Dayanak: "&amp;$D18&amp;". Düzeltme dosyası üretildi.")</f>
        <v/>
      </c>
      <c r="G18" s="16">
        <f>IF($B18&lt;&gt;"tutar_farki","","Beklemede")</f>
        <v/>
      </c>
    </row>
    <row r="19">
      <c r="A19" s="26">
        <f>IF('KOK_NEDEN'!$A19="","",'KOK_NEDEN'!$A19)</f>
        <v/>
      </c>
      <c r="B19" s="16">
        <f>IF($A19="","",IFERROR(INDEX(tblKok[Kova],MATCH($A19,tblKok[A_Norm],0)),""))</f>
        <v/>
      </c>
      <c r="C19" s="16">
        <f>IF($A19="","",IFERROR(INDEX(tblEslesme[Fark],MATCH($A19,tblEslesme[A_Norm],0)),0))</f>
        <v/>
      </c>
      <c r="D19" s="16">
        <f>IF($A19="","",IFERROR(INDEX(tblKok[KokNeden],MATCH($A19,tblKok[A_Norm],0)),""))</f>
        <v/>
      </c>
      <c r="E19" s="16">
        <f>IF($B19&lt;&gt;"tutar_farki","",IF(ABS($C19)&gt;cbb_esikFark,"YUKSEK","NORMAL"))</f>
        <v/>
      </c>
      <c r="F19" s="16">
        <f>IF($B19&lt;&gt;"tutar_farki","","VKN "&amp;$A19&amp;" için cari↔Ba/Bs fark "&amp;TEXT($C19,"0.00")&amp;" TL. Dayanak: "&amp;$D19&amp;". Düzeltme dosyası üretildi.")</f>
        <v/>
      </c>
      <c r="G19" s="16">
        <f>IF($B19&lt;&gt;"tutar_farki","","Beklemede")</f>
        <v/>
      </c>
    </row>
    <row r="20">
      <c r="A20" s="26">
        <f>IF('KOK_NEDEN'!$A20="","",'KOK_NEDEN'!$A20)</f>
        <v/>
      </c>
      <c r="B20" s="16">
        <f>IF($A20="","",IFERROR(INDEX(tblKok[Kova],MATCH($A20,tblKok[A_Norm],0)),""))</f>
        <v/>
      </c>
      <c r="C20" s="16">
        <f>IF($A20="","",IFERROR(INDEX(tblEslesme[Fark],MATCH($A20,tblEslesme[A_Norm],0)),0))</f>
        <v/>
      </c>
      <c r="D20" s="16">
        <f>IF($A20="","",IFERROR(INDEX(tblKok[KokNeden],MATCH($A20,tblKok[A_Norm],0)),""))</f>
        <v/>
      </c>
      <c r="E20" s="16">
        <f>IF($B20&lt;&gt;"tutar_farki","",IF(ABS($C20)&gt;cbb_esikFark,"YUKSEK","NORMAL"))</f>
        <v/>
      </c>
      <c r="F20" s="16">
        <f>IF($B20&lt;&gt;"tutar_farki","","VKN "&amp;$A20&amp;" için cari↔Ba/Bs fark "&amp;TEXT($C20,"0.00")&amp;" TL. Dayanak: "&amp;$D20&amp;". Düzeltme dosyası üretildi.")</f>
        <v/>
      </c>
      <c r="G20" s="16">
        <f>IF($B20&lt;&gt;"tutar_farki","","Beklemede")</f>
        <v/>
      </c>
    </row>
    <row r="21">
      <c r="A21" s="26">
        <f>IF('KOK_NEDEN'!$A21="","",'KOK_NEDEN'!$A21)</f>
        <v/>
      </c>
      <c r="B21" s="16">
        <f>IF($A21="","",IFERROR(INDEX(tblKok[Kova],MATCH($A21,tblKok[A_Norm],0)),""))</f>
        <v/>
      </c>
      <c r="C21" s="16">
        <f>IF($A21="","",IFERROR(INDEX(tblEslesme[Fark],MATCH($A21,tblEslesme[A_Norm],0)),0))</f>
        <v/>
      </c>
      <c r="D21" s="16">
        <f>IF($A21="","",IFERROR(INDEX(tblKok[KokNeden],MATCH($A21,tblKok[A_Norm],0)),""))</f>
        <v/>
      </c>
      <c r="E21" s="16">
        <f>IF($B21&lt;&gt;"tutar_farki","",IF(ABS($C21)&gt;cbb_esikFark,"YUKSEK","NORMAL"))</f>
        <v/>
      </c>
      <c r="F21" s="16">
        <f>IF($B21&lt;&gt;"tutar_farki","","VKN "&amp;$A21&amp;" için cari↔Ba/Bs fark "&amp;TEXT($C21,"0.00")&amp;" TL. Dayanak: "&amp;$D21&amp;". Düzeltme dosyası üretildi.")</f>
        <v/>
      </c>
      <c r="G21" s="16">
        <f>IF($B21&lt;&gt;"tutar_farki","","Beklemede")</f>
        <v/>
      </c>
    </row>
    <row r="22">
      <c r="A22" s="26">
        <f>IF('KOK_NEDEN'!$A22="","",'KOK_NEDEN'!$A22)</f>
        <v/>
      </c>
      <c r="B22" s="16">
        <f>IF($A22="","",IFERROR(INDEX(tblKok[Kova],MATCH($A22,tblKok[A_Norm],0)),""))</f>
        <v/>
      </c>
      <c r="C22" s="16">
        <f>IF($A22="","",IFERROR(INDEX(tblEslesme[Fark],MATCH($A22,tblEslesme[A_Norm],0)),0))</f>
        <v/>
      </c>
      <c r="D22" s="16">
        <f>IF($A22="","",IFERROR(INDEX(tblKok[KokNeden],MATCH($A22,tblKok[A_Norm],0)),""))</f>
        <v/>
      </c>
      <c r="E22" s="16">
        <f>IF($B22&lt;&gt;"tutar_farki","",IF(ABS($C22)&gt;cbb_esikFark,"YUKSEK","NORMAL"))</f>
        <v/>
      </c>
      <c r="F22" s="16">
        <f>IF($B22&lt;&gt;"tutar_farki","","VKN "&amp;$A22&amp;" için cari↔Ba/Bs fark "&amp;TEXT($C22,"0.00")&amp;" TL. Dayanak: "&amp;$D22&amp;". Düzeltme dosyası üretildi.")</f>
        <v/>
      </c>
      <c r="G22" s="16">
        <f>IF($B22&lt;&gt;"tutar_farki","","Beklemede")</f>
        <v/>
      </c>
    </row>
    <row r="23">
      <c r="A23" s="26">
        <f>IF('KOK_NEDEN'!$A23="","",'KOK_NEDEN'!$A23)</f>
        <v/>
      </c>
      <c r="B23" s="16">
        <f>IF($A23="","",IFERROR(INDEX(tblKok[Kova],MATCH($A23,tblKok[A_Norm],0)),""))</f>
        <v/>
      </c>
      <c r="C23" s="16">
        <f>IF($A23="","",IFERROR(INDEX(tblEslesme[Fark],MATCH($A23,tblEslesme[A_Norm],0)),0))</f>
        <v/>
      </c>
      <c r="D23" s="16">
        <f>IF($A23="","",IFERROR(INDEX(tblKok[KokNeden],MATCH($A23,tblKok[A_Norm],0)),""))</f>
        <v/>
      </c>
      <c r="E23" s="16">
        <f>IF($B23&lt;&gt;"tutar_farki","",IF(ABS($C23)&gt;cbb_esikFark,"YUKSEK","NORMAL"))</f>
        <v/>
      </c>
      <c r="F23" s="16">
        <f>IF($B23&lt;&gt;"tutar_farki","","VKN "&amp;$A23&amp;" için cari↔Ba/Bs fark "&amp;TEXT($C23,"0.00")&amp;" TL. Dayanak: "&amp;$D23&amp;". Düzeltme dosyası üretildi.")</f>
        <v/>
      </c>
      <c r="G23" s="16">
        <f>IF($B23&lt;&gt;"tutar_farki","","Beklemede")</f>
        <v/>
      </c>
    </row>
    <row r="24">
      <c r="A24" s="26">
        <f>IF('KOK_NEDEN'!$A24="","",'KOK_NEDEN'!$A24)</f>
        <v/>
      </c>
      <c r="B24" s="16">
        <f>IF($A24="","",IFERROR(INDEX(tblKok[Kova],MATCH($A24,tblKok[A_Norm],0)),""))</f>
        <v/>
      </c>
      <c r="C24" s="16">
        <f>IF($A24="","",IFERROR(INDEX(tblEslesme[Fark],MATCH($A24,tblEslesme[A_Norm],0)),0))</f>
        <v/>
      </c>
      <c r="D24" s="16">
        <f>IF($A24="","",IFERROR(INDEX(tblKok[KokNeden],MATCH($A24,tblKok[A_Norm],0)),""))</f>
        <v/>
      </c>
      <c r="E24" s="16">
        <f>IF($B24&lt;&gt;"tutar_farki","",IF(ABS($C24)&gt;cbb_esikFark,"YUKSEK","NORMAL"))</f>
        <v/>
      </c>
      <c r="F24" s="16">
        <f>IF($B24&lt;&gt;"tutar_farki","","VKN "&amp;$A24&amp;" için cari↔Ba/Bs fark "&amp;TEXT($C24,"0.00")&amp;" TL. Dayanak: "&amp;$D24&amp;". Düzeltme dosyası üretildi.")</f>
        <v/>
      </c>
      <c r="G24" s="16">
        <f>IF($B24&lt;&gt;"tutar_farki","","Beklemede")</f>
        <v/>
      </c>
    </row>
    <row r="25">
      <c r="A25" s="26">
        <f>IF('KOK_NEDEN'!$A25="","",'KOK_NEDEN'!$A25)</f>
        <v/>
      </c>
      <c r="B25" s="16">
        <f>IF($A25="","",IFERROR(INDEX(tblKok[Kova],MATCH($A25,tblKok[A_Norm],0)),""))</f>
        <v/>
      </c>
      <c r="C25" s="16">
        <f>IF($A25="","",IFERROR(INDEX(tblEslesme[Fark],MATCH($A25,tblEslesme[A_Norm],0)),0))</f>
        <v/>
      </c>
      <c r="D25" s="16">
        <f>IF($A25="","",IFERROR(INDEX(tblKok[KokNeden],MATCH($A25,tblKok[A_Norm],0)),""))</f>
        <v/>
      </c>
      <c r="E25" s="16">
        <f>IF($B25&lt;&gt;"tutar_farki","",IF(ABS($C25)&gt;cbb_esikFark,"YUKSEK","NORMAL"))</f>
        <v/>
      </c>
      <c r="F25" s="16">
        <f>IF($B25&lt;&gt;"tutar_farki","","VKN "&amp;$A25&amp;" için cari↔Ba/Bs fark "&amp;TEXT($C25,"0.00")&amp;" TL. Dayanak: "&amp;$D25&amp;". Düzeltme dosyası üretildi.")</f>
        <v/>
      </c>
      <c r="G25" s="16">
        <f>IF($B25&lt;&gt;"tutar_farki","","Beklemede")</f>
        <v/>
      </c>
    </row>
    <row r="26">
      <c r="A26" s="26">
        <f>IF('KOK_NEDEN'!$A26="","",'KOK_NEDEN'!$A26)</f>
        <v/>
      </c>
      <c r="B26" s="16">
        <f>IF($A26="","",IFERROR(INDEX(tblKok[Kova],MATCH($A26,tblKok[A_Norm],0)),""))</f>
        <v/>
      </c>
      <c r="C26" s="16">
        <f>IF($A26="","",IFERROR(INDEX(tblEslesme[Fark],MATCH($A26,tblEslesme[A_Norm],0)),0))</f>
        <v/>
      </c>
      <c r="D26" s="16">
        <f>IF($A26="","",IFERROR(INDEX(tblKok[KokNeden],MATCH($A26,tblKok[A_Norm],0)),""))</f>
        <v/>
      </c>
      <c r="E26" s="16">
        <f>IF($B26&lt;&gt;"tutar_farki","",IF(ABS($C26)&gt;cbb_esikFark,"YUKSEK","NORMAL"))</f>
        <v/>
      </c>
      <c r="F26" s="16">
        <f>IF($B26&lt;&gt;"tutar_farki","","VKN "&amp;$A26&amp;" için cari↔Ba/Bs fark "&amp;TEXT($C26,"0.00")&amp;" TL. Dayanak: "&amp;$D26&amp;". Düzeltme dosyası üretildi.")</f>
        <v/>
      </c>
      <c r="G26" s="16">
        <f>IF($B26&lt;&gt;"tutar_farki","","Beklemede")</f>
        <v/>
      </c>
    </row>
    <row r="27">
      <c r="A27" s="26">
        <f>IF('KOK_NEDEN'!$A27="","",'KOK_NEDEN'!$A27)</f>
        <v/>
      </c>
      <c r="B27" s="16">
        <f>IF($A27="","",IFERROR(INDEX(tblKok[Kova],MATCH($A27,tblKok[A_Norm],0)),""))</f>
        <v/>
      </c>
      <c r="C27" s="16">
        <f>IF($A27="","",IFERROR(INDEX(tblEslesme[Fark],MATCH($A27,tblEslesme[A_Norm],0)),0))</f>
        <v/>
      </c>
      <c r="D27" s="16">
        <f>IF($A27="","",IFERROR(INDEX(tblKok[KokNeden],MATCH($A27,tblKok[A_Norm],0)),""))</f>
        <v/>
      </c>
      <c r="E27" s="16">
        <f>IF($B27&lt;&gt;"tutar_farki","",IF(ABS($C27)&gt;cbb_esikFark,"YUKSEK","NORMAL"))</f>
        <v/>
      </c>
      <c r="F27" s="16">
        <f>IF($B27&lt;&gt;"tutar_farki","","VKN "&amp;$A27&amp;" için cari↔Ba/Bs fark "&amp;TEXT($C27,"0.00")&amp;" TL. Dayanak: "&amp;$D27&amp;". Düzeltme dosyası üretildi.")</f>
        <v/>
      </c>
      <c r="G27" s="16">
        <f>IF($B27&lt;&gt;"tutar_farki","","Beklemede")</f>
        <v/>
      </c>
    </row>
    <row r="28">
      <c r="A28" s="26">
        <f>IF('KOK_NEDEN'!$A28="","",'KOK_NEDEN'!$A28)</f>
        <v/>
      </c>
      <c r="B28" s="16">
        <f>IF($A28="","",IFERROR(INDEX(tblKok[Kova],MATCH($A28,tblKok[A_Norm],0)),""))</f>
        <v/>
      </c>
      <c r="C28" s="16">
        <f>IF($A28="","",IFERROR(INDEX(tblEslesme[Fark],MATCH($A28,tblEslesme[A_Norm],0)),0))</f>
        <v/>
      </c>
      <c r="D28" s="16">
        <f>IF($A28="","",IFERROR(INDEX(tblKok[KokNeden],MATCH($A28,tblKok[A_Norm],0)),""))</f>
        <v/>
      </c>
      <c r="E28" s="16">
        <f>IF($B28&lt;&gt;"tutar_farki","",IF(ABS($C28)&gt;cbb_esikFark,"YUKSEK","NORMAL"))</f>
        <v/>
      </c>
      <c r="F28" s="16">
        <f>IF($B28&lt;&gt;"tutar_farki","","VKN "&amp;$A28&amp;" için cari↔Ba/Bs fark "&amp;TEXT($C28,"0.00")&amp;" TL. Dayanak: "&amp;$D28&amp;". Düzeltme dosyası üretildi.")</f>
        <v/>
      </c>
      <c r="G28" s="16">
        <f>IF($B28&lt;&gt;"tutar_farki","","Beklemede")</f>
        <v/>
      </c>
    </row>
    <row r="29">
      <c r="A29" s="26">
        <f>IF('KOK_NEDEN'!$A29="","",'KOK_NEDEN'!$A29)</f>
        <v/>
      </c>
      <c r="B29" s="16">
        <f>IF($A29="","",IFERROR(INDEX(tblKok[Kova],MATCH($A29,tblKok[A_Norm],0)),""))</f>
        <v/>
      </c>
      <c r="C29" s="16">
        <f>IF($A29="","",IFERROR(INDEX(tblEslesme[Fark],MATCH($A29,tblEslesme[A_Norm],0)),0))</f>
        <v/>
      </c>
      <c r="D29" s="16">
        <f>IF($A29="","",IFERROR(INDEX(tblKok[KokNeden],MATCH($A29,tblKok[A_Norm],0)),""))</f>
        <v/>
      </c>
      <c r="E29" s="16">
        <f>IF($B29&lt;&gt;"tutar_farki","",IF(ABS($C29)&gt;cbb_esikFark,"YUKSEK","NORMAL"))</f>
        <v/>
      </c>
      <c r="F29" s="16">
        <f>IF($B29&lt;&gt;"tutar_farki","","VKN "&amp;$A29&amp;" için cari↔Ba/Bs fark "&amp;TEXT($C29,"0.00")&amp;" TL. Dayanak: "&amp;$D29&amp;". Düzeltme dosyası üretildi.")</f>
        <v/>
      </c>
      <c r="G29" s="16">
        <f>IF($B29&lt;&gt;"tutar_farki","","Beklemede")</f>
        <v/>
      </c>
    </row>
    <row r="30">
      <c r="A30" s="26">
        <f>IF('KOK_NEDEN'!$A30="","",'KOK_NEDEN'!$A30)</f>
        <v/>
      </c>
      <c r="B30" s="16">
        <f>IF($A30="","",IFERROR(INDEX(tblKok[Kova],MATCH($A30,tblKok[A_Norm],0)),""))</f>
        <v/>
      </c>
      <c r="C30" s="16">
        <f>IF($A30="","",IFERROR(INDEX(tblEslesme[Fark],MATCH($A30,tblEslesme[A_Norm],0)),0))</f>
        <v/>
      </c>
      <c r="D30" s="16">
        <f>IF($A30="","",IFERROR(INDEX(tblKok[KokNeden],MATCH($A30,tblKok[A_Norm],0)),""))</f>
        <v/>
      </c>
      <c r="E30" s="16">
        <f>IF($B30&lt;&gt;"tutar_farki","",IF(ABS($C30)&gt;cbb_esikFark,"YUKSEK","NORMAL"))</f>
        <v/>
      </c>
      <c r="F30" s="16">
        <f>IF($B30&lt;&gt;"tutar_farki","","VKN "&amp;$A30&amp;" için cari↔Ba/Bs fark "&amp;TEXT($C30,"0.00")&amp;" TL. Dayanak: "&amp;$D30&amp;". Düzeltme dosyası üretildi.")</f>
        <v/>
      </c>
      <c r="G30" s="16">
        <f>IF($B30&lt;&gt;"tutar_farki","","Beklemede")</f>
        <v/>
      </c>
    </row>
    <row r="31">
      <c r="A31" s="26">
        <f>IF('KOK_NEDEN'!$A31="","",'KOK_NEDEN'!$A31)</f>
        <v/>
      </c>
      <c r="B31" s="16">
        <f>IF($A31="","",IFERROR(INDEX(tblKok[Kova],MATCH($A31,tblKok[A_Norm],0)),""))</f>
        <v/>
      </c>
      <c r="C31" s="16">
        <f>IF($A31="","",IFERROR(INDEX(tblEslesme[Fark],MATCH($A31,tblEslesme[A_Norm],0)),0))</f>
        <v/>
      </c>
      <c r="D31" s="16">
        <f>IF($A31="","",IFERROR(INDEX(tblKok[KokNeden],MATCH($A31,tblKok[A_Norm],0)),""))</f>
        <v/>
      </c>
      <c r="E31" s="16">
        <f>IF($B31&lt;&gt;"tutar_farki","",IF(ABS($C31)&gt;cbb_esikFark,"YUKSEK","NORMAL"))</f>
        <v/>
      </c>
      <c r="F31" s="16">
        <f>IF($B31&lt;&gt;"tutar_farki","","VKN "&amp;$A31&amp;" için cari↔Ba/Bs fark "&amp;TEXT($C31,"0.00")&amp;" TL. Dayanak: "&amp;$D31&amp;". Düzeltme dosyası üretildi.")</f>
        <v/>
      </c>
      <c r="G31" s="16">
        <f>IF($B31&lt;&gt;"tutar_farki","","Beklemede")</f>
        <v/>
      </c>
    </row>
    <row r="32">
      <c r="A32" s="26">
        <f>IF('KOK_NEDEN'!$A32="","",'KOK_NEDEN'!$A32)</f>
        <v/>
      </c>
      <c r="B32" s="16">
        <f>IF($A32="","",IFERROR(INDEX(tblKok[Kova],MATCH($A32,tblKok[A_Norm],0)),""))</f>
        <v/>
      </c>
      <c r="C32" s="16">
        <f>IF($A32="","",IFERROR(INDEX(tblEslesme[Fark],MATCH($A32,tblEslesme[A_Norm],0)),0))</f>
        <v/>
      </c>
      <c r="D32" s="16">
        <f>IF($A32="","",IFERROR(INDEX(tblKok[KokNeden],MATCH($A32,tblKok[A_Norm],0)),""))</f>
        <v/>
      </c>
      <c r="E32" s="16">
        <f>IF($B32&lt;&gt;"tutar_farki","",IF(ABS($C32)&gt;cbb_esikFark,"YUKSEK","NORMAL"))</f>
        <v/>
      </c>
      <c r="F32" s="16">
        <f>IF($B32&lt;&gt;"tutar_farki","","VKN "&amp;$A32&amp;" için cari↔Ba/Bs fark "&amp;TEXT($C32,"0.00")&amp;" TL. Dayanak: "&amp;$D32&amp;". Düzeltme dosyası üretildi.")</f>
        <v/>
      </c>
      <c r="G32" s="16">
        <f>IF($B32&lt;&gt;"tutar_farki","","Beklemede")</f>
        <v/>
      </c>
    </row>
    <row r="33">
      <c r="A33" s="26">
        <f>IF('KOK_NEDEN'!$A33="","",'KOK_NEDEN'!$A33)</f>
        <v/>
      </c>
      <c r="B33" s="16">
        <f>IF($A33="","",IFERROR(INDEX(tblKok[Kova],MATCH($A33,tblKok[A_Norm],0)),""))</f>
        <v/>
      </c>
      <c r="C33" s="16">
        <f>IF($A33="","",IFERROR(INDEX(tblEslesme[Fark],MATCH($A33,tblEslesme[A_Norm],0)),0))</f>
        <v/>
      </c>
      <c r="D33" s="16">
        <f>IF($A33="","",IFERROR(INDEX(tblKok[KokNeden],MATCH($A33,tblKok[A_Norm],0)),""))</f>
        <v/>
      </c>
      <c r="E33" s="16">
        <f>IF($B33&lt;&gt;"tutar_farki","",IF(ABS($C33)&gt;cbb_esikFark,"YUKSEK","NORMAL"))</f>
        <v/>
      </c>
      <c r="F33" s="16">
        <f>IF($B33&lt;&gt;"tutar_farki","","VKN "&amp;$A33&amp;" için cari↔Ba/Bs fark "&amp;TEXT($C33,"0.00")&amp;" TL. Dayanak: "&amp;$D33&amp;". Düzeltme dosyası üretildi.")</f>
        <v/>
      </c>
      <c r="G33" s="16">
        <f>IF($B33&lt;&gt;"tutar_farki","","Beklemede")</f>
        <v/>
      </c>
    </row>
    <row r="34">
      <c r="A34" s="26">
        <f>IF('KOK_NEDEN'!$A34="","",'KOK_NEDEN'!$A34)</f>
        <v/>
      </c>
      <c r="B34" s="16">
        <f>IF($A34="","",IFERROR(INDEX(tblKok[Kova],MATCH($A34,tblKok[A_Norm],0)),""))</f>
        <v/>
      </c>
      <c r="C34" s="16">
        <f>IF($A34="","",IFERROR(INDEX(tblEslesme[Fark],MATCH($A34,tblEslesme[A_Norm],0)),0))</f>
        <v/>
      </c>
      <c r="D34" s="16">
        <f>IF($A34="","",IFERROR(INDEX(tblKok[KokNeden],MATCH($A34,tblKok[A_Norm],0)),""))</f>
        <v/>
      </c>
      <c r="E34" s="16">
        <f>IF($B34&lt;&gt;"tutar_farki","",IF(ABS($C34)&gt;cbb_esikFark,"YUKSEK","NORMAL"))</f>
        <v/>
      </c>
      <c r="F34" s="16">
        <f>IF($B34&lt;&gt;"tutar_farki","","VKN "&amp;$A34&amp;" için cari↔Ba/Bs fark "&amp;TEXT($C34,"0.00")&amp;" TL. Dayanak: "&amp;$D34&amp;". Düzeltme dosyası üretildi.")</f>
        <v/>
      </c>
      <c r="G34" s="16">
        <f>IF($B34&lt;&gt;"tutar_farki","","Beklemede")</f>
        <v/>
      </c>
    </row>
    <row r="35">
      <c r="A35" s="26">
        <f>IF('KOK_NEDEN'!$A35="","",'KOK_NEDEN'!$A35)</f>
        <v/>
      </c>
      <c r="B35" s="16">
        <f>IF($A35="","",IFERROR(INDEX(tblKok[Kova],MATCH($A35,tblKok[A_Norm],0)),""))</f>
        <v/>
      </c>
      <c r="C35" s="16">
        <f>IF($A35="","",IFERROR(INDEX(tblEslesme[Fark],MATCH($A35,tblEslesme[A_Norm],0)),0))</f>
        <v/>
      </c>
      <c r="D35" s="16">
        <f>IF($A35="","",IFERROR(INDEX(tblKok[KokNeden],MATCH($A35,tblKok[A_Norm],0)),""))</f>
        <v/>
      </c>
      <c r="E35" s="16">
        <f>IF($B35&lt;&gt;"tutar_farki","",IF(ABS($C35)&gt;cbb_esikFark,"YUKSEK","NORMAL"))</f>
        <v/>
      </c>
      <c r="F35" s="16">
        <f>IF($B35&lt;&gt;"tutar_farki","","VKN "&amp;$A35&amp;" için cari↔Ba/Bs fark "&amp;TEXT($C35,"0.00")&amp;" TL. Dayanak: "&amp;$D35&amp;". Düzeltme dosyası üretildi.")</f>
        <v/>
      </c>
      <c r="G35" s="16">
        <f>IF($B35&lt;&gt;"tutar_farki","","Beklemede")</f>
        <v/>
      </c>
    </row>
    <row r="36">
      <c r="A36" s="26">
        <f>IF('KOK_NEDEN'!$A36="","",'KOK_NEDEN'!$A36)</f>
        <v/>
      </c>
      <c r="B36" s="16">
        <f>IF($A36="","",IFERROR(INDEX(tblKok[Kova],MATCH($A36,tblKok[A_Norm],0)),""))</f>
        <v/>
      </c>
      <c r="C36" s="16">
        <f>IF($A36="","",IFERROR(INDEX(tblEslesme[Fark],MATCH($A36,tblEslesme[A_Norm],0)),0))</f>
        <v/>
      </c>
      <c r="D36" s="16">
        <f>IF($A36="","",IFERROR(INDEX(tblKok[KokNeden],MATCH($A36,tblKok[A_Norm],0)),""))</f>
        <v/>
      </c>
      <c r="E36" s="16">
        <f>IF($B36&lt;&gt;"tutar_farki","",IF(ABS($C36)&gt;cbb_esikFark,"YUKSEK","NORMAL"))</f>
        <v/>
      </c>
      <c r="F36" s="16">
        <f>IF($B36&lt;&gt;"tutar_farki","","VKN "&amp;$A36&amp;" için cari↔Ba/Bs fark "&amp;TEXT($C36,"0.00")&amp;" TL. Dayanak: "&amp;$D36&amp;". Düzeltme dosyası üretildi.")</f>
        <v/>
      </c>
      <c r="G36" s="16">
        <f>IF($B36&lt;&gt;"tutar_farki","","Beklemede")</f>
        <v/>
      </c>
    </row>
    <row r="37">
      <c r="A37" s="26">
        <f>IF('KOK_NEDEN'!$A37="","",'KOK_NEDEN'!$A37)</f>
        <v/>
      </c>
      <c r="B37" s="16">
        <f>IF($A37="","",IFERROR(INDEX(tblKok[Kova],MATCH($A37,tblKok[A_Norm],0)),""))</f>
        <v/>
      </c>
      <c r="C37" s="16">
        <f>IF($A37="","",IFERROR(INDEX(tblEslesme[Fark],MATCH($A37,tblEslesme[A_Norm],0)),0))</f>
        <v/>
      </c>
      <c r="D37" s="16">
        <f>IF($A37="","",IFERROR(INDEX(tblKok[KokNeden],MATCH($A37,tblKok[A_Norm],0)),""))</f>
        <v/>
      </c>
      <c r="E37" s="16">
        <f>IF($B37&lt;&gt;"tutar_farki","",IF(ABS($C37)&gt;cbb_esikFark,"YUKSEK","NORMAL"))</f>
        <v/>
      </c>
      <c r="F37" s="16">
        <f>IF($B37&lt;&gt;"tutar_farki","","VKN "&amp;$A37&amp;" için cari↔Ba/Bs fark "&amp;TEXT($C37,"0.00")&amp;" TL. Dayanak: "&amp;$D37&amp;". Düzeltme dosyası üretildi.")</f>
        <v/>
      </c>
      <c r="G37" s="16">
        <f>IF($B37&lt;&gt;"tutar_farki","","Beklemede")</f>
        <v/>
      </c>
    </row>
    <row r="38">
      <c r="A38" s="26">
        <f>IF('KOK_NEDEN'!$A38="","",'KOK_NEDEN'!$A38)</f>
        <v/>
      </c>
      <c r="B38" s="16">
        <f>IF($A38="","",IFERROR(INDEX(tblKok[Kova],MATCH($A38,tblKok[A_Norm],0)),""))</f>
        <v/>
      </c>
      <c r="C38" s="16">
        <f>IF($A38="","",IFERROR(INDEX(tblEslesme[Fark],MATCH($A38,tblEslesme[A_Norm],0)),0))</f>
        <v/>
      </c>
      <c r="D38" s="16">
        <f>IF($A38="","",IFERROR(INDEX(tblKok[KokNeden],MATCH($A38,tblKok[A_Norm],0)),""))</f>
        <v/>
      </c>
      <c r="E38" s="16">
        <f>IF($B38&lt;&gt;"tutar_farki","",IF(ABS($C38)&gt;cbb_esikFark,"YUKSEK","NORMAL"))</f>
        <v/>
      </c>
      <c r="F38" s="16">
        <f>IF($B38&lt;&gt;"tutar_farki","","VKN "&amp;$A38&amp;" için cari↔Ba/Bs fark "&amp;TEXT($C38,"0.00")&amp;" TL. Dayanak: "&amp;$D38&amp;". Düzeltme dosyası üretildi.")</f>
        <v/>
      </c>
      <c r="G38" s="16">
        <f>IF($B38&lt;&gt;"tutar_farki","","Beklemede")</f>
        <v/>
      </c>
    </row>
    <row r="39">
      <c r="A39" s="26">
        <f>IF('KOK_NEDEN'!$A39="","",'KOK_NEDEN'!$A39)</f>
        <v/>
      </c>
      <c r="B39" s="16">
        <f>IF($A39="","",IFERROR(INDEX(tblKok[Kova],MATCH($A39,tblKok[A_Norm],0)),""))</f>
        <v/>
      </c>
      <c r="C39" s="16">
        <f>IF($A39="","",IFERROR(INDEX(tblEslesme[Fark],MATCH($A39,tblEslesme[A_Norm],0)),0))</f>
        <v/>
      </c>
      <c r="D39" s="16">
        <f>IF($A39="","",IFERROR(INDEX(tblKok[KokNeden],MATCH($A39,tblKok[A_Norm],0)),""))</f>
        <v/>
      </c>
      <c r="E39" s="16">
        <f>IF($B39&lt;&gt;"tutar_farki","",IF(ABS($C39)&gt;cbb_esikFark,"YUKSEK","NORMAL"))</f>
        <v/>
      </c>
      <c r="F39" s="16">
        <f>IF($B39&lt;&gt;"tutar_farki","","VKN "&amp;$A39&amp;" için cari↔Ba/Bs fark "&amp;TEXT($C39,"0.00")&amp;" TL. Dayanak: "&amp;$D39&amp;". Düzeltme dosyası üretildi.")</f>
        <v/>
      </c>
      <c r="G39" s="16">
        <f>IF($B39&lt;&gt;"tutar_farki","","Beklemede")</f>
        <v/>
      </c>
    </row>
    <row r="40">
      <c r="A40" s="26">
        <f>IF('KOK_NEDEN'!$A40="","",'KOK_NEDEN'!$A40)</f>
        <v/>
      </c>
      <c r="B40" s="16">
        <f>IF($A40="","",IFERROR(INDEX(tblKok[Kova],MATCH($A40,tblKok[A_Norm],0)),""))</f>
        <v/>
      </c>
      <c r="C40" s="16">
        <f>IF($A40="","",IFERROR(INDEX(tblEslesme[Fark],MATCH($A40,tblEslesme[A_Norm],0)),0))</f>
        <v/>
      </c>
      <c r="D40" s="16">
        <f>IF($A40="","",IFERROR(INDEX(tblKok[KokNeden],MATCH($A40,tblKok[A_Norm],0)),""))</f>
        <v/>
      </c>
      <c r="E40" s="16">
        <f>IF($B40&lt;&gt;"tutar_farki","",IF(ABS($C40)&gt;cbb_esikFark,"YUKSEK","NORMAL"))</f>
        <v/>
      </c>
      <c r="F40" s="16">
        <f>IF($B40&lt;&gt;"tutar_farki","","VKN "&amp;$A40&amp;" için cari↔Ba/Bs fark "&amp;TEXT($C40,"0.00")&amp;" TL. Dayanak: "&amp;$D40&amp;". Düzeltme dosyası üretildi.")</f>
        <v/>
      </c>
      <c r="G40" s="16">
        <f>IF($B40&lt;&gt;"tutar_farki","","Beklemede")</f>
        <v/>
      </c>
    </row>
    <row r="41">
      <c r="A41" s="26">
        <f>IF('KOK_NEDEN'!$A41="","",'KOK_NEDEN'!$A41)</f>
        <v/>
      </c>
      <c r="B41" s="16">
        <f>IF($A41="","",IFERROR(INDEX(tblKok[Kova],MATCH($A41,tblKok[A_Norm],0)),""))</f>
        <v/>
      </c>
      <c r="C41" s="16">
        <f>IF($A41="","",IFERROR(INDEX(tblEslesme[Fark],MATCH($A41,tblEslesme[A_Norm],0)),0))</f>
        <v/>
      </c>
      <c r="D41" s="16">
        <f>IF($A41="","",IFERROR(INDEX(tblKok[KokNeden],MATCH($A41,tblKok[A_Norm],0)),""))</f>
        <v/>
      </c>
      <c r="E41" s="16">
        <f>IF($B41&lt;&gt;"tutar_farki","",IF(ABS($C41)&gt;cbb_esikFark,"YUKSEK","NORMAL"))</f>
        <v/>
      </c>
      <c r="F41" s="16">
        <f>IF($B41&lt;&gt;"tutar_farki","","VKN "&amp;$A41&amp;" için cari↔Ba/Bs fark "&amp;TEXT($C41,"0.00")&amp;" TL. Dayanak: "&amp;$D41&amp;". Düzeltme dosyası üretildi.")</f>
        <v/>
      </c>
      <c r="G41" s="16">
        <f>IF($B41&lt;&gt;"tutar_farki","","Beklemede")</f>
        <v/>
      </c>
    </row>
    <row r="42">
      <c r="A42" s="26">
        <f>IF('KOK_NEDEN'!$A42="","",'KOK_NEDEN'!$A42)</f>
        <v/>
      </c>
      <c r="B42" s="16">
        <f>IF($A42="","",IFERROR(INDEX(tblKok[Kova],MATCH($A42,tblKok[A_Norm],0)),""))</f>
        <v/>
      </c>
      <c r="C42" s="16">
        <f>IF($A42="","",IFERROR(INDEX(tblEslesme[Fark],MATCH($A42,tblEslesme[A_Norm],0)),0))</f>
        <v/>
      </c>
      <c r="D42" s="16">
        <f>IF($A42="","",IFERROR(INDEX(tblKok[KokNeden],MATCH($A42,tblKok[A_Norm],0)),""))</f>
        <v/>
      </c>
      <c r="E42" s="16">
        <f>IF($B42&lt;&gt;"tutar_farki","",IF(ABS($C42)&gt;cbb_esikFark,"YUKSEK","NORMAL"))</f>
        <v/>
      </c>
      <c r="F42" s="16">
        <f>IF($B42&lt;&gt;"tutar_farki","","VKN "&amp;$A42&amp;" için cari↔Ba/Bs fark "&amp;TEXT($C42,"0.00")&amp;" TL. Dayanak: "&amp;$D42&amp;". Düzeltme dosyası üretildi.")</f>
        <v/>
      </c>
      <c r="G42" s="16">
        <f>IF($B42&lt;&gt;"tutar_farki","","Beklemede")</f>
        <v/>
      </c>
    </row>
    <row r="43">
      <c r="A43" s="26">
        <f>IF('KOK_NEDEN'!$A43="","",'KOK_NEDEN'!$A43)</f>
        <v/>
      </c>
      <c r="B43" s="16">
        <f>IF($A43="","",IFERROR(INDEX(tblKok[Kova],MATCH($A43,tblKok[A_Norm],0)),""))</f>
        <v/>
      </c>
      <c r="C43" s="16">
        <f>IF($A43="","",IFERROR(INDEX(tblEslesme[Fark],MATCH($A43,tblEslesme[A_Norm],0)),0))</f>
        <v/>
      </c>
      <c r="D43" s="16">
        <f>IF($A43="","",IFERROR(INDEX(tblKok[KokNeden],MATCH($A43,tblKok[A_Norm],0)),""))</f>
        <v/>
      </c>
      <c r="E43" s="16">
        <f>IF($B43&lt;&gt;"tutar_farki","",IF(ABS($C43)&gt;cbb_esikFark,"YUKSEK","NORMAL"))</f>
        <v/>
      </c>
      <c r="F43" s="16">
        <f>IF($B43&lt;&gt;"tutar_farki","","VKN "&amp;$A43&amp;" için cari↔Ba/Bs fark "&amp;TEXT($C43,"0.00")&amp;" TL. Dayanak: "&amp;$D43&amp;". Düzeltme dosyası üretildi.")</f>
        <v/>
      </c>
      <c r="G43" s="16">
        <f>IF($B43&lt;&gt;"tutar_farki","","Beklemede")</f>
        <v/>
      </c>
    </row>
    <row r="44">
      <c r="A44" s="26">
        <f>IF('KOK_NEDEN'!$A44="","",'KOK_NEDEN'!$A44)</f>
        <v/>
      </c>
      <c r="B44" s="16">
        <f>IF($A44="","",IFERROR(INDEX(tblKok[Kova],MATCH($A44,tblKok[A_Norm],0)),""))</f>
        <v/>
      </c>
      <c r="C44" s="16">
        <f>IF($A44="","",IFERROR(INDEX(tblEslesme[Fark],MATCH($A44,tblEslesme[A_Norm],0)),0))</f>
        <v/>
      </c>
      <c r="D44" s="16">
        <f>IF($A44="","",IFERROR(INDEX(tblKok[KokNeden],MATCH($A44,tblKok[A_Norm],0)),""))</f>
        <v/>
      </c>
      <c r="E44" s="16">
        <f>IF($B44&lt;&gt;"tutar_farki","",IF(ABS($C44)&gt;cbb_esikFark,"YUKSEK","NORMAL"))</f>
        <v/>
      </c>
      <c r="F44" s="16">
        <f>IF($B44&lt;&gt;"tutar_farki","","VKN "&amp;$A44&amp;" için cari↔Ba/Bs fark "&amp;TEXT($C44,"0.00")&amp;" TL. Dayanak: "&amp;$D44&amp;". Düzeltme dosyası üretildi.")</f>
        <v/>
      </c>
      <c r="G44" s="16">
        <f>IF($B44&lt;&gt;"tutar_farki","","Beklemede")</f>
        <v/>
      </c>
    </row>
    <row r="45">
      <c r="A45" s="26">
        <f>IF('KOK_NEDEN'!$A45="","",'KOK_NEDEN'!$A45)</f>
        <v/>
      </c>
      <c r="B45" s="16">
        <f>IF($A45="","",IFERROR(INDEX(tblKok[Kova],MATCH($A45,tblKok[A_Norm],0)),""))</f>
        <v/>
      </c>
      <c r="C45" s="16">
        <f>IF($A45="","",IFERROR(INDEX(tblEslesme[Fark],MATCH($A45,tblEslesme[A_Norm],0)),0))</f>
        <v/>
      </c>
      <c r="D45" s="16">
        <f>IF($A45="","",IFERROR(INDEX(tblKok[KokNeden],MATCH($A45,tblKok[A_Norm],0)),""))</f>
        <v/>
      </c>
      <c r="E45" s="16">
        <f>IF($B45&lt;&gt;"tutar_farki","",IF(ABS($C45)&gt;cbb_esikFark,"YUKSEK","NORMAL"))</f>
        <v/>
      </c>
      <c r="F45" s="16">
        <f>IF($B45&lt;&gt;"tutar_farki","","VKN "&amp;$A45&amp;" için cari↔Ba/Bs fark "&amp;TEXT($C45,"0.00")&amp;" TL. Dayanak: "&amp;$D45&amp;". Düzeltme dosyası üretildi.")</f>
        <v/>
      </c>
      <c r="G45" s="16">
        <f>IF($B45&lt;&gt;"tutar_farki","","Beklemede")</f>
        <v/>
      </c>
    </row>
    <row r="46">
      <c r="A46" s="26">
        <f>IF('KOK_NEDEN'!$A46="","",'KOK_NEDEN'!$A46)</f>
        <v/>
      </c>
      <c r="B46" s="16">
        <f>IF($A46="","",IFERROR(INDEX(tblKok[Kova],MATCH($A46,tblKok[A_Norm],0)),""))</f>
        <v/>
      </c>
      <c r="C46" s="16">
        <f>IF($A46="","",IFERROR(INDEX(tblEslesme[Fark],MATCH($A46,tblEslesme[A_Norm],0)),0))</f>
        <v/>
      </c>
      <c r="D46" s="16">
        <f>IF($A46="","",IFERROR(INDEX(tblKok[KokNeden],MATCH($A46,tblKok[A_Norm],0)),""))</f>
        <v/>
      </c>
      <c r="E46" s="16">
        <f>IF($B46&lt;&gt;"tutar_farki","",IF(ABS($C46)&gt;cbb_esikFark,"YUKSEK","NORMAL"))</f>
        <v/>
      </c>
      <c r="F46" s="16">
        <f>IF($B46&lt;&gt;"tutar_farki","","VKN "&amp;$A46&amp;" için cari↔Ba/Bs fark "&amp;TEXT($C46,"0.00")&amp;" TL. Dayanak: "&amp;$D46&amp;". Düzeltme dosyası üretildi.")</f>
        <v/>
      </c>
      <c r="G46" s="16">
        <f>IF($B46&lt;&gt;"tutar_farki","","Beklemede")</f>
        <v/>
      </c>
    </row>
    <row r="47">
      <c r="A47" s="26">
        <f>IF('KOK_NEDEN'!$A47="","",'KOK_NEDEN'!$A47)</f>
        <v/>
      </c>
      <c r="B47" s="16">
        <f>IF($A47="","",IFERROR(INDEX(tblKok[Kova],MATCH($A47,tblKok[A_Norm],0)),""))</f>
        <v/>
      </c>
      <c r="C47" s="16">
        <f>IF($A47="","",IFERROR(INDEX(tblEslesme[Fark],MATCH($A47,tblEslesme[A_Norm],0)),0))</f>
        <v/>
      </c>
      <c r="D47" s="16">
        <f>IF($A47="","",IFERROR(INDEX(tblKok[KokNeden],MATCH($A47,tblKok[A_Norm],0)),""))</f>
        <v/>
      </c>
      <c r="E47" s="16">
        <f>IF($B47&lt;&gt;"tutar_farki","",IF(ABS($C47)&gt;cbb_esikFark,"YUKSEK","NORMAL"))</f>
        <v/>
      </c>
      <c r="F47" s="16">
        <f>IF($B47&lt;&gt;"tutar_farki","","VKN "&amp;$A47&amp;" için cari↔Ba/Bs fark "&amp;TEXT($C47,"0.00")&amp;" TL. Dayanak: "&amp;$D47&amp;". Düzeltme dosyası üretildi.")</f>
        <v/>
      </c>
      <c r="G47" s="16">
        <f>IF($B47&lt;&gt;"tutar_farki","","Beklemede")</f>
        <v/>
      </c>
    </row>
    <row r="48">
      <c r="A48" s="26">
        <f>IF('KOK_NEDEN'!$A48="","",'KOK_NEDEN'!$A48)</f>
        <v/>
      </c>
      <c r="B48" s="16">
        <f>IF($A48="","",IFERROR(INDEX(tblKok[Kova],MATCH($A48,tblKok[A_Norm],0)),""))</f>
        <v/>
      </c>
      <c r="C48" s="16">
        <f>IF($A48="","",IFERROR(INDEX(tblEslesme[Fark],MATCH($A48,tblEslesme[A_Norm],0)),0))</f>
        <v/>
      </c>
      <c r="D48" s="16">
        <f>IF($A48="","",IFERROR(INDEX(tblKok[KokNeden],MATCH($A48,tblKok[A_Norm],0)),""))</f>
        <v/>
      </c>
      <c r="E48" s="16">
        <f>IF($B48&lt;&gt;"tutar_farki","",IF(ABS($C48)&gt;cbb_esikFark,"YUKSEK","NORMAL"))</f>
        <v/>
      </c>
      <c r="F48" s="16">
        <f>IF($B48&lt;&gt;"tutar_farki","","VKN "&amp;$A48&amp;" için cari↔Ba/Bs fark "&amp;TEXT($C48,"0.00")&amp;" TL. Dayanak: "&amp;$D48&amp;". Düzeltme dosyası üretildi.")</f>
        <v/>
      </c>
      <c r="G48" s="16">
        <f>IF($B48&lt;&gt;"tutar_farki","","Beklemede")</f>
        <v/>
      </c>
    </row>
    <row r="49">
      <c r="A49" s="26">
        <f>IF('KOK_NEDEN'!$A49="","",'KOK_NEDEN'!$A49)</f>
        <v/>
      </c>
      <c r="B49" s="16">
        <f>IF($A49="","",IFERROR(INDEX(tblKok[Kova],MATCH($A49,tblKok[A_Norm],0)),""))</f>
        <v/>
      </c>
      <c r="C49" s="16">
        <f>IF($A49="","",IFERROR(INDEX(tblEslesme[Fark],MATCH($A49,tblEslesme[A_Norm],0)),0))</f>
        <v/>
      </c>
      <c r="D49" s="16">
        <f>IF($A49="","",IFERROR(INDEX(tblKok[KokNeden],MATCH($A49,tblKok[A_Norm],0)),""))</f>
        <v/>
      </c>
      <c r="E49" s="16">
        <f>IF($B49&lt;&gt;"tutar_farki","",IF(ABS($C49)&gt;cbb_esikFark,"YUKSEK","NORMAL"))</f>
        <v/>
      </c>
      <c r="F49" s="16">
        <f>IF($B49&lt;&gt;"tutar_farki","","VKN "&amp;$A49&amp;" için cari↔Ba/Bs fark "&amp;TEXT($C49,"0.00")&amp;" TL. Dayanak: "&amp;$D49&amp;". Düzeltme dosyası üretildi.")</f>
        <v/>
      </c>
      <c r="G49" s="16">
        <f>IF($B49&lt;&gt;"tutar_farki","","Beklemede")</f>
        <v/>
      </c>
    </row>
    <row r="50">
      <c r="A50" s="26">
        <f>IF('KOK_NEDEN'!$A50="","",'KOK_NEDEN'!$A50)</f>
        <v/>
      </c>
      <c r="B50" s="16">
        <f>IF($A50="","",IFERROR(INDEX(tblKok[Kova],MATCH($A50,tblKok[A_Norm],0)),""))</f>
        <v/>
      </c>
      <c r="C50" s="16">
        <f>IF($A50="","",IFERROR(INDEX(tblEslesme[Fark],MATCH($A50,tblEslesme[A_Norm],0)),0))</f>
        <v/>
      </c>
      <c r="D50" s="16">
        <f>IF($A50="","",IFERROR(INDEX(tblKok[KokNeden],MATCH($A50,tblKok[A_Norm],0)),""))</f>
        <v/>
      </c>
      <c r="E50" s="16">
        <f>IF($B50&lt;&gt;"tutar_farki","",IF(ABS($C50)&gt;cbb_esikFark,"YUKSEK","NORMAL"))</f>
        <v/>
      </c>
      <c r="F50" s="16">
        <f>IF($B50&lt;&gt;"tutar_farki","","VKN "&amp;$A50&amp;" için cari↔Ba/Bs fark "&amp;TEXT($C50,"0.00")&amp;" TL. Dayanak: "&amp;$D50&amp;". Düzeltme dosyası üretildi.")</f>
        <v/>
      </c>
      <c r="G50" s="16">
        <f>IF($B50&lt;&gt;"tutar_farki","","Beklemede")</f>
        <v/>
      </c>
    </row>
    <row r="51">
      <c r="A51" s="26">
        <f>IF('KOK_NEDEN'!$A51="","",'KOK_NEDEN'!$A51)</f>
        <v/>
      </c>
      <c r="B51" s="16">
        <f>IF($A51="","",IFERROR(INDEX(tblKok[Kova],MATCH($A51,tblKok[A_Norm],0)),""))</f>
        <v/>
      </c>
      <c r="C51" s="16">
        <f>IF($A51="","",IFERROR(INDEX(tblEslesme[Fark],MATCH($A51,tblEslesme[A_Norm],0)),0))</f>
        <v/>
      </c>
      <c r="D51" s="16">
        <f>IF($A51="","",IFERROR(INDEX(tblKok[KokNeden],MATCH($A51,tblKok[A_Norm],0)),""))</f>
        <v/>
      </c>
      <c r="E51" s="16">
        <f>IF($B51&lt;&gt;"tutar_farki","",IF(ABS($C51)&gt;cbb_esikFark,"YUKSEK","NORMAL"))</f>
        <v/>
      </c>
      <c r="F51" s="16">
        <f>IF($B51&lt;&gt;"tutar_farki","","VKN "&amp;$A51&amp;" için cari↔Ba/Bs fark "&amp;TEXT($C51,"0.00")&amp;" TL. Dayanak: "&amp;$D51&amp;". Düzeltme dosyası üretildi.")</f>
        <v/>
      </c>
      <c r="G51" s="16">
        <f>IF($B51&lt;&gt;"tutar_farki","","Beklemede")</f>
        <v/>
      </c>
    </row>
    <row r="52">
      <c r="A52" s="26">
        <f>IF('KOK_NEDEN'!$A52="","",'KOK_NEDEN'!$A52)</f>
        <v/>
      </c>
      <c r="B52" s="16">
        <f>IF($A52="","",IFERROR(INDEX(tblKok[Kova],MATCH($A52,tblKok[A_Norm],0)),""))</f>
        <v/>
      </c>
      <c r="C52" s="16">
        <f>IF($A52="","",IFERROR(INDEX(tblEslesme[Fark],MATCH($A52,tblEslesme[A_Norm],0)),0))</f>
        <v/>
      </c>
      <c r="D52" s="16">
        <f>IF($A52="","",IFERROR(INDEX(tblKok[KokNeden],MATCH($A52,tblKok[A_Norm],0)),""))</f>
        <v/>
      </c>
      <c r="E52" s="16">
        <f>IF($B52&lt;&gt;"tutar_farki","",IF(ABS($C52)&gt;cbb_esikFark,"YUKSEK","NORMAL"))</f>
        <v/>
      </c>
      <c r="F52" s="16">
        <f>IF($B52&lt;&gt;"tutar_farki","","VKN "&amp;$A52&amp;" için cari↔Ba/Bs fark "&amp;TEXT($C52,"0.00")&amp;" TL. Dayanak: "&amp;$D52&amp;". Düzeltme dosyası üretildi.")</f>
        <v/>
      </c>
      <c r="G52" s="16">
        <f>IF($B52&lt;&gt;"tutar_farki","","Beklemede")</f>
        <v/>
      </c>
    </row>
    <row r="53">
      <c r="A53" s="26">
        <f>IF('KOK_NEDEN'!$A53="","",'KOK_NEDEN'!$A53)</f>
        <v/>
      </c>
      <c r="B53" s="16">
        <f>IF($A53="","",IFERROR(INDEX(tblKok[Kova],MATCH($A53,tblKok[A_Norm],0)),""))</f>
        <v/>
      </c>
      <c r="C53" s="16">
        <f>IF($A53="","",IFERROR(INDEX(tblEslesme[Fark],MATCH($A53,tblEslesme[A_Norm],0)),0))</f>
        <v/>
      </c>
      <c r="D53" s="16">
        <f>IF($A53="","",IFERROR(INDEX(tblKok[KokNeden],MATCH($A53,tblKok[A_Norm],0)),""))</f>
        <v/>
      </c>
      <c r="E53" s="16">
        <f>IF($B53&lt;&gt;"tutar_farki","",IF(ABS($C53)&gt;cbb_esikFark,"YUKSEK","NORMAL"))</f>
        <v/>
      </c>
      <c r="F53" s="16">
        <f>IF($B53&lt;&gt;"tutar_farki","","VKN "&amp;$A53&amp;" için cari↔Ba/Bs fark "&amp;TEXT($C53,"0.00")&amp;" TL. Dayanak: "&amp;$D53&amp;". Düzeltme dosyası üretildi.")</f>
        <v/>
      </c>
      <c r="G53" s="16">
        <f>IF($B53&lt;&gt;"tutar_farki","","Beklemede")</f>
        <v/>
      </c>
    </row>
    <row r="54">
      <c r="A54" s="26">
        <f>IF('KOK_NEDEN'!$A54="","",'KOK_NEDEN'!$A54)</f>
        <v/>
      </c>
      <c r="B54" s="16">
        <f>IF($A54="","",IFERROR(INDEX(tblKok[Kova],MATCH($A54,tblKok[A_Norm],0)),""))</f>
        <v/>
      </c>
      <c r="C54" s="16">
        <f>IF($A54="","",IFERROR(INDEX(tblEslesme[Fark],MATCH($A54,tblEslesme[A_Norm],0)),0))</f>
        <v/>
      </c>
      <c r="D54" s="16">
        <f>IF($A54="","",IFERROR(INDEX(tblKok[KokNeden],MATCH($A54,tblKok[A_Norm],0)),""))</f>
        <v/>
      </c>
      <c r="E54" s="16">
        <f>IF($B54&lt;&gt;"tutar_farki","",IF(ABS($C54)&gt;cbb_esikFark,"YUKSEK","NORMAL"))</f>
        <v/>
      </c>
      <c r="F54" s="16">
        <f>IF($B54&lt;&gt;"tutar_farki","","VKN "&amp;$A54&amp;" için cari↔Ba/Bs fark "&amp;TEXT($C54,"0.00")&amp;" TL. Dayanak: "&amp;$D54&amp;". Düzeltme dosyası üretildi.")</f>
        <v/>
      </c>
      <c r="G54" s="16">
        <f>IF($B54&lt;&gt;"tutar_farki","","Beklemede")</f>
        <v/>
      </c>
    </row>
    <row r="55">
      <c r="A55" s="26">
        <f>IF('KOK_NEDEN'!$A55="","",'KOK_NEDEN'!$A55)</f>
        <v/>
      </c>
      <c r="B55" s="16">
        <f>IF($A55="","",IFERROR(INDEX(tblKok[Kova],MATCH($A55,tblKok[A_Norm],0)),""))</f>
        <v/>
      </c>
      <c r="C55" s="16">
        <f>IF($A55="","",IFERROR(INDEX(tblEslesme[Fark],MATCH($A55,tblEslesme[A_Norm],0)),0))</f>
        <v/>
      </c>
      <c r="D55" s="16">
        <f>IF($A55="","",IFERROR(INDEX(tblKok[KokNeden],MATCH($A55,tblKok[A_Norm],0)),""))</f>
        <v/>
      </c>
      <c r="E55" s="16">
        <f>IF($B55&lt;&gt;"tutar_farki","",IF(ABS($C55)&gt;cbb_esikFark,"YUKSEK","NORMAL"))</f>
        <v/>
      </c>
      <c r="F55" s="16">
        <f>IF($B55&lt;&gt;"tutar_farki","","VKN "&amp;$A55&amp;" için cari↔Ba/Bs fark "&amp;TEXT($C55,"0.00")&amp;" TL. Dayanak: "&amp;$D55&amp;". Düzeltme dosyası üretildi.")</f>
        <v/>
      </c>
      <c r="G55" s="16">
        <f>IF($B55&lt;&gt;"tutar_farki","","Beklemede")</f>
        <v/>
      </c>
    </row>
    <row r="56">
      <c r="A56" s="26">
        <f>IF('KOK_NEDEN'!$A56="","",'KOK_NEDEN'!$A56)</f>
        <v/>
      </c>
      <c r="B56" s="16">
        <f>IF($A56="","",IFERROR(INDEX(tblKok[Kova],MATCH($A56,tblKok[A_Norm],0)),""))</f>
        <v/>
      </c>
      <c r="C56" s="16">
        <f>IF($A56="","",IFERROR(INDEX(tblEslesme[Fark],MATCH($A56,tblEslesme[A_Norm],0)),0))</f>
        <v/>
      </c>
      <c r="D56" s="16">
        <f>IF($A56="","",IFERROR(INDEX(tblKok[KokNeden],MATCH($A56,tblKok[A_Norm],0)),""))</f>
        <v/>
      </c>
      <c r="E56" s="16">
        <f>IF($B56&lt;&gt;"tutar_farki","",IF(ABS($C56)&gt;cbb_esikFark,"YUKSEK","NORMAL"))</f>
        <v/>
      </c>
      <c r="F56" s="16">
        <f>IF($B56&lt;&gt;"tutar_farki","","VKN "&amp;$A56&amp;" için cari↔Ba/Bs fark "&amp;TEXT($C56,"0.00")&amp;" TL. Dayanak: "&amp;$D56&amp;". Düzeltme dosyası üretildi.")</f>
        <v/>
      </c>
      <c r="G56" s="16">
        <f>IF($B56&lt;&gt;"tutar_farki","","Beklemede")</f>
        <v/>
      </c>
    </row>
    <row r="57">
      <c r="A57" s="26">
        <f>IF('KOK_NEDEN'!$A57="","",'KOK_NEDEN'!$A57)</f>
        <v/>
      </c>
      <c r="B57" s="16">
        <f>IF($A57="","",IFERROR(INDEX(tblKok[Kova],MATCH($A57,tblKok[A_Norm],0)),""))</f>
        <v/>
      </c>
      <c r="C57" s="16">
        <f>IF($A57="","",IFERROR(INDEX(tblEslesme[Fark],MATCH($A57,tblEslesme[A_Norm],0)),0))</f>
        <v/>
      </c>
      <c r="D57" s="16">
        <f>IF($A57="","",IFERROR(INDEX(tblKok[KokNeden],MATCH($A57,tblKok[A_Norm],0)),""))</f>
        <v/>
      </c>
      <c r="E57" s="16">
        <f>IF($B57&lt;&gt;"tutar_farki","",IF(ABS($C57)&gt;cbb_esikFark,"YUKSEK","NORMAL"))</f>
        <v/>
      </c>
      <c r="F57" s="16">
        <f>IF($B57&lt;&gt;"tutar_farki","","VKN "&amp;$A57&amp;" için cari↔Ba/Bs fark "&amp;TEXT($C57,"0.00")&amp;" TL. Dayanak: "&amp;$D57&amp;". Düzeltme dosyası üretildi.")</f>
        <v/>
      </c>
      <c r="G57" s="16">
        <f>IF($B57&lt;&gt;"tutar_farki","","Beklemede")</f>
        <v/>
      </c>
    </row>
    <row r="58">
      <c r="A58" s="26">
        <f>IF('KOK_NEDEN'!$A58="","",'KOK_NEDEN'!$A58)</f>
        <v/>
      </c>
      <c r="B58" s="16">
        <f>IF($A58="","",IFERROR(INDEX(tblKok[Kova],MATCH($A58,tblKok[A_Norm],0)),""))</f>
        <v/>
      </c>
      <c r="C58" s="16">
        <f>IF($A58="","",IFERROR(INDEX(tblEslesme[Fark],MATCH($A58,tblEslesme[A_Norm],0)),0))</f>
        <v/>
      </c>
      <c r="D58" s="16">
        <f>IF($A58="","",IFERROR(INDEX(tblKok[KokNeden],MATCH($A58,tblKok[A_Norm],0)),""))</f>
        <v/>
      </c>
      <c r="E58" s="16">
        <f>IF($B58&lt;&gt;"tutar_farki","",IF(ABS($C58)&gt;cbb_esikFark,"YUKSEK","NORMAL"))</f>
        <v/>
      </c>
      <c r="F58" s="16">
        <f>IF($B58&lt;&gt;"tutar_farki","","VKN "&amp;$A58&amp;" için cari↔Ba/Bs fark "&amp;TEXT($C58,"0.00")&amp;" TL. Dayanak: "&amp;$D58&amp;". Düzeltme dosyası üretildi.")</f>
        <v/>
      </c>
      <c r="G58" s="16">
        <f>IF($B58&lt;&gt;"tutar_farki","","Beklemede")</f>
        <v/>
      </c>
    </row>
    <row r="59">
      <c r="A59" s="26">
        <f>IF('KOK_NEDEN'!$A59="","",'KOK_NEDEN'!$A59)</f>
        <v/>
      </c>
      <c r="B59" s="16">
        <f>IF($A59="","",IFERROR(INDEX(tblKok[Kova],MATCH($A59,tblKok[A_Norm],0)),""))</f>
        <v/>
      </c>
      <c r="C59" s="16">
        <f>IF($A59="","",IFERROR(INDEX(tblEslesme[Fark],MATCH($A59,tblEslesme[A_Norm],0)),0))</f>
        <v/>
      </c>
      <c r="D59" s="16">
        <f>IF($A59="","",IFERROR(INDEX(tblKok[KokNeden],MATCH($A59,tblKok[A_Norm],0)),""))</f>
        <v/>
      </c>
      <c r="E59" s="16">
        <f>IF($B59&lt;&gt;"tutar_farki","",IF(ABS($C59)&gt;cbb_esikFark,"YUKSEK","NORMAL"))</f>
        <v/>
      </c>
      <c r="F59" s="16">
        <f>IF($B59&lt;&gt;"tutar_farki","","VKN "&amp;$A59&amp;" için cari↔Ba/Bs fark "&amp;TEXT($C59,"0.00")&amp;" TL. Dayanak: "&amp;$D59&amp;". Düzeltme dosyası üretildi.")</f>
        <v/>
      </c>
      <c r="G59" s="16">
        <f>IF($B59&lt;&gt;"tutar_farki","","Beklemede")</f>
        <v/>
      </c>
    </row>
    <row r="60">
      <c r="A60" s="26">
        <f>IF('KOK_NEDEN'!$A60="","",'KOK_NEDEN'!$A60)</f>
        <v/>
      </c>
      <c r="B60" s="16">
        <f>IF($A60="","",IFERROR(INDEX(tblKok[Kova],MATCH($A60,tblKok[A_Norm],0)),""))</f>
        <v/>
      </c>
      <c r="C60" s="16">
        <f>IF($A60="","",IFERROR(INDEX(tblEslesme[Fark],MATCH($A60,tblEslesme[A_Norm],0)),0))</f>
        <v/>
      </c>
      <c r="D60" s="16">
        <f>IF($A60="","",IFERROR(INDEX(tblKok[KokNeden],MATCH($A60,tblKok[A_Norm],0)),""))</f>
        <v/>
      </c>
      <c r="E60" s="16">
        <f>IF($B60&lt;&gt;"tutar_farki","",IF(ABS($C60)&gt;cbb_esikFark,"YUKSEK","NORMAL"))</f>
        <v/>
      </c>
      <c r="F60" s="16">
        <f>IF($B60&lt;&gt;"tutar_farki","","VKN "&amp;$A60&amp;" için cari↔Ba/Bs fark "&amp;TEXT($C60,"0.00")&amp;" TL. Dayanak: "&amp;$D60&amp;". Düzeltme dosyası üretildi.")</f>
        <v/>
      </c>
      <c r="G60" s="16">
        <f>IF($B60&lt;&gt;"tutar_farki","","Beklemede")</f>
        <v/>
      </c>
    </row>
    <row r="61">
      <c r="A61" s="26">
        <f>IF('KOK_NEDEN'!$A61="","",'KOK_NEDEN'!$A61)</f>
        <v/>
      </c>
      <c r="B61" s="16">
        <f>IF($A61="","",IFERROR(INDEX(tblKok[Kova],MATCH($A61,tblKok[A_Norm],0)),""))</f>
        <v/>
      </c>
      <c r="C61" s="16">
        <f>IF($A61="","",IFERROR(INDEX(tblEslesme[Fark],MATCH($A61,tblEslesme[A_Norm],0)),0))</f>
        <v/>
      </c>
      <c r="D61" s="16">
        <f>IF($A61="","",IFERROR(INDEX(tblKok[KokNeden],MATCH($A61,tblKok[A_Norm],0)),""))</f>
        <v/>
      </c>
      <c r="E61" s="16">
        <f>IF($B61&lt;&gt;"tutar_farki","",IF(ABS($C61)&gt;cbb_esikFark,"YUKSEK","NORMAL"))</f>
        <v/>
      </c>
      <c r="F61" s="16">
        <f>IF($B61&lt;&gt;"tutar_farki","","VKN "&amp;$A61&amp;" için cari↔Ba/Bs fark "&amp;TEXT($C61,"0.00")&amp;" TL. Dayanak: "&amp;$D61&amp;". Düzeltme dosyası üretildi.")</f>
        <v/>
      </c>
      <c r="G61" s="16">
        <f>IF($B61&lt;&gt;"tutar_farki","","Beklemede")</f>
        <v/>
      </c>
    </row>
    <row r="62">
      <c r="A62" s="26">
        <f>IF('KOK_NEDEN'!$A62="","",'KOK_NEDEN'!$A62)</f>
        <v/>
      </c>
      <c r="B62" s="16">
        <f>IF($A62="","",IFERROR(INDEX(tblKok[Kova],MATCH($A62,tblKok[A_Norm],0)),""))</f>
        <v/>
      </c>
      <c r="C62" s="16">
        <f>IF($A62="","",IFERROR(INDEX(tblEslesme[Fark],MATCH($A62,tblEslesme[A_Norm],0)),0))</f>
        <v/>
      </c>
      <c r="D62" s="16">
        <f>IF($A62="","",IFERROR(INDEX(tblKok[KokNeden],MATCH($A62,tblKok[A_Norm],0)),""))</f>
        <v/>
      </c>
      <c r="E62" s="16">
        <f>IF($B62&lt;&gt;"tutar_farki","",IF(ABS($C62)&gt;cbb_esikFark,"YUKSEK","NORMAL"))</f>
        <v/>
      </c>
      <c r="F62" s="16">
        <f>IF($B62&lt;&gt;"tutar_farki","","VKN "&amp;$A62&amp;" için cari↔Ba/Bs fark "&amp;TEXT($C62,"0.00")&amp;" TL. Dayanak: "&amp;$D62&amp;". Düzeltme dosyası üretildi.")</f>
        <v/>
      </c>
      <c r="G62" s="16">
        <f>IF($B62&lt;&gt;"tutar_farki","","Beklemede")</f>
        <v/>
      </c>
    </row>
    <row r="63">
      <c r="A63" s="26">
        <f>IF('KOK_NEDEN'!$A63="","",'KOK_NEDEN'!$A63)</f>
        <v/>
      </c>
      <c r="B63" s="16">
        <f>IF($A63="","",IFERROR(INDEX(tblKok[Kova],MATCH($A63,tblKok[A_Norm],0)),""))</f>
        <v/>
      </c>
      <c r="C63" s="16">
        <f>IF($A63="","",IFERROR(INDEX(tblEslesme[Fark],MATCH($A63,tblEslesme[A_Norm],0)),0))</f>
        <v/>
      </c>
      <c r="D63" s="16">
        <f>IF($A63="","",IFERROR(INDEX(tblKok[KokNeden],MATCH($A63,tblKok[A_Norm],0)),""))</f>
        <v/>
      </c>
      <c r="E63" s="16">
        <f>IF($B63&lt;&gt;"tutar_farki","",IF(ABS($C63)&gt;cbb_esikFark,"YUKSEK","NORMAL"))</f>
        <v/>
      </c>
      <c r="F63" s="16">
        <f>IF($B63&lt;&gt;"tutar_farki","","VKN "&amp;$A63&amp;" için cari↔Ba/Bs fark "&amp;TEXT($C63,"0.00")&amp;" TL. Dayanak: "&amp;$D63&amp;". Düzeltme dosyası üretildi.")</f>
        <v/>
      </c>
      <c r="G63" s="16">
        <f>IF($B63&lt;&gt;"tutar_farki","","Beklemede")</f>
        <v/>
      </c>
    </row>
    <row r="64">
      <c r="A64" s="26">
        <f>IF('KOK_NEDEN'!$A64="","",'KOK_NEDEN'!$A64)</f>
        <v/>
      </c>
      <c r="B64" s="16">
        <f>IF($A64="","",IFERROR(INDEX(tblKok[Kova],MATCH($A64,tblKok[A_Norm],0)),""))</f>
        <v/>
      </c>
      <c r="C64" s="16">
        <f>IF($A64="","",IFERROR(INDEX(tblEslesme[Fark],MATCH($A64,tblEslesme[A_Norm],0)),0))</f>
        <v/>
      </c>
      <c r="D64" s="16">
        <f>IF($A64="","",IFERROR(INDEX(tblKok[KokNeden],MATCH($A64,tblKok[A_Norm],0)),""))</f>
        <v/>
      </c>
      <c r="E64" s="16">
        <f>IF($B64&lt;&gt;"tutar_farki","",IF(ABS($C64)&gt;cbb_esikFark,"YUKSEK","NORMAL"))</f>
        <v/>
      </c>
      <c r="F64" s="16">
        <f>IF($B64&lt;&gt;"tutar_farki","","VKN "&amp;$A64&amp;" için cari↔Ba/Bs fark "&amp;TEXT($C64,"0.00")&amp;" TL. Dayanak: "&amp;$D64&amp;". Düzeltme dosyası üretildi.")</f>
        <v/>
      </c>
      <c r="G64" s="16">
        <f>IF($B64&lt;&gt;"tutar_farki","","Beklemede")</f>
        <v/>
      </c>
    </row>
    <row r="65">
      <c r="A65" s="26">
        <f>IF('KOK_NEDEN'!$A65="","",'KOK_NEDEN'!$A65)</f>
        <v/>
      </c>
      <c r="B65" s="16">
        <f>IF($A65="","",IFERROR(INDEX(tblKok[Kova],MATCH($A65,tblKok[A_Norm],0)),""))</f>
        <v/>
      </c>
      <c r="C65" s="16">
        <f>IF($A65="","",IFERROR(INDEX(tblEslesme[Fark],MATCH($A65,tblEslesme[A_Norm],0)),0))</f>
        <v/>
      </c>
      <c r="D65" s="16">
        <f>IF($A65="","",IFERROR(INDEX(tblKok[KokNeden],MATCH($A65,tblKok[A_Norm],0)),""))</f>
        <v/>
      </c>
      <c r="E65" s="16">
        <f>IF($B65&lt;&gt;"tutar_farki","",IF(ABS($C65)&gt;cbb_esikFark,"YUKSEK","NORMAL"))</f>
        <v/>
      </c>
      <c r="F65" s="16">
        <f>IF($B65&lt;&gt;"tutar_farki","","VKN "&amp;$A65&amp;" için cari↔Ba/Bs fark "&amp;TEXT($C65,"0.00")&amp;" TL. Dayanak: "&amp;$D65&amp;". Düzeltme dosyası üretildi.")</f>
        <v/>
      </c>
      <c r="G65" s="16">
        <f>IF($B65&lt;&gt;"tutar_farki","","Beklemede")</f>
        <v/>
      </c>
    </row>
    <row r="66">
      <c r="A66" s="26">
        <f>IF('KOK_NEDEN'!$A66="","",'KOK_NEDEN'!$A66)</f>
        <v/>
      </c>
      <c r="B66" s="16">
        <f>IF($A66="","",IFERROR(INDEX(tblKok[Kova],MATCH($A66,tblKok[A_Norm],0)),""))</f>
        <v/>
      </c>
      <c r="C66" s="16">
        <f>IF($A66="","",IFERROR(INDEX(tblEslesme[Fark],MATCH($A66,tblEslesme[A_Norm],0)),0))</f>
        <v/>
      </c>
      <c r="D66" s="16">
        <f>IF($A66="","",IFERROR(INDEX(tblKok[KokNeden],MATCH($A66,tblKok[A_Norm],0)),""))</f>
        <v/>
      </c>
      <c r="E66" s="16">
        <f>IF($B66&lt;&gt;"tutar_farki","",IF(ABS($C66)&gt;cbb_esikFark,"YUKSEK","NORMAL"))</f>
        <v/>
      </c>
      <c r="F66" s="16">
        <f>IF($B66&lt;&gt;"tutar_farki","","VKN "&amp;$A66&amp;" için cari↔Ba/Bs fark "&amp;TEXT($C66,"0.00")&amp;" TL. Dayanak: "&amp;$D66&amp;". Düzeltme dosyası üretildi.")</f>
        <v/>
      </c>
      <c r="G66" s="16">
        <f>IF($B66&lt;&gt;"tutar_farki","","Beklemede")</f>
        <v/>
      </c>
    </row>
    <row r="67">
      <c r="A67" s="26">
        <f>IF('KOK_NEDEN'!$A67="","",'KOK_NEDEN'!$A67)</f>
        <v/>
      </c>
      <c r="B67" s="16">
        <f>IF($A67="","",IFERROR(INDEX(tblKok[Kova],MATCH($A67,tblKok[A_Norm],0)),""))</f>
        <v/>
      </c>
      <c r="C67" s="16">
        <f>IF($A67="","",IFERROR(INDEX(tblEslesme[Fark],MATCH($A67,tblEslesme[A_Norm],0)),0))</f>
        <v/>
      </c>
      <c r="D67" s="16">
        <f>IF($A67="","",IFERROR(INDEX(tblKok[KokNeden],MATCH($A67,tblKok[A_Norm],0)),""))</f>
        <v/>
      </c>
      <c r="E67" s="16">
        <f>IF($B67&lt;&gt;"tutar_farki","",IF(ABS($C67)&gt;cbb_esikFark,"YUKSEK","NORMAL"))</f>
        <v/>
      </c>
      <c r="F67" s="16">
        <f>IF($B67&lt;&gt;"tutar_farki","","VKN "&amp;$A67&amp;" için cari↔Ba/Bs fark "&amp;TEXT($C67,"0.00")&amp;" TL. Dayanak: "&amp;$D67&amp;". Düzeltme dosyası üretildi.")</f>
        <v/>
      </c>
      <c r="G67" s="16">
        <f>IF($B67&lt;&gt;"tutar_farki","","Beklemede")</f>
        <v/>
      </c>
    </row>
    <row r="68">
      <c r="A68" s="26">
        <f>IF('KOK_NEDEN'!$A68="","",'KOK_NEDEN'!$A68)</f>
        <v/>
      </c>
      <c r="B68" s="16">
        <f>IF($A68="","",IFERROR(INDEX(tblKok[Kova],MATCH($A68,tblKok[A_Norm],0)),""))</f>
        <v/>
      </c>
      <c r="C68" s="16">
        <f>IF($A68="","",IFERROR(INDEX(tblEslesme[Fark],MATCH($A68,tblEslesme[A_Norm],0)),0))</f>
        <v/>
      </c>
      <c r="D68" s="16">
        <f>IF($A68="","",IFERROR(INDEX(tblKok[KokNeden],MATCH($A68,tblKok[A_Norm],0)),""))</f>
        <v/>
      </c>
      <c r="E68" s="16">
        <f>IF($B68&lt;&gt;"tutar_farki","",IF(ABS($C68)&gt;cbb_esikFark,"YUKSEK","NORMAL"))</f>
        <v/>
      </c>
      <c r="F68" s="16">
        <f>IF($B68&lt;&gt;"tutar_farki","","VKN "&amp;$A68&amp;" için cari↔Ba/Bs fark "&amp;TEXT($C68,"0.00")&amp;" TL. Dayanak: "&amp;$D68&amp;". Düzeltme dosyası üretildi.")</f>
        <v/>
      </c>
      <c r="G68" s="16">
        <f>IF($B68&lt;&gt;"tutar_farki","","Beklemede")</f>
        <v/>
      </c>
    </row>
    <row r="69">
      <c r="A69" s="26">
        <f>IF('KOK_NEDEN'!$A69="","",'KOK_NEDEN'!$A69)</f>
        <v/>
      </c>
      <c r="B69" s="16">
        <f>IF($A69="","",IFERROR(INDEX(tblKok[Kova],MATCH($A69,tblKok[A_Norm],0)),""))</f>
        <v/>
      </c>
      <c r="C69" s="16">
        <f>IF($A69="","",IFERROR(INDEX(tblEslesme[Fark],MATCH($A69,tblEslesme[A_Norm],0)),0))</f>
        <v/>
      </c>
      <c r="D69" s="16">
        <f>IF($A69="","",IFERROR(INDEX(tblKok[KokNeden],MATCH($A69,tblKok[A_Norm],0)),""))</f>
        <v/>
      </c>
      <c r="E69" s="16">
        <f>IF($B69&lt;&gt;"tutar_farki","",IF(ABS($C69)&gt;cbb_esikFark,"YUKSEK","NORMAL"))</f>
        <v/>
      </c>
      <c r="F69" s="16">
        <f>IF($B69&lt;&gt;"tutar_farki","","VKN "&amp;$A69&amp;" için cari↔Ba/Bs fark "&amp;TEXT($C69,"0.00")&amp;" TL. Dayanak: "&amp;$D69&amp;". Düzeltme dosyası üretildi.")</f>
        <v/>
      </c>
      <c r="G69" s="16">
        <f>IF($B69&lt;&gt;"tutar_farki","","Beklemede")</f>
        <v/>
      </c>
    </row>
    <row r="70">
      <c r="A70" s="26">
        <f>IF('KOK_NEDEN'!$A70="","",'KOK_NEDEN'!$A70)</f>
        <v/>
      </c>
      <c r="B70" s="16">
        <f>IF($A70="","",IFERROR(INDEX(tblKok[Kova],MATCH($A70,tblKok[A_Norm],0)),""))</f>
        <v/>
      </c>
      <c r="C70" s="16">
        <f>IF($A70="","",IFERROR(INDEX(tblEslesme[Fark],MATCH($A70,tblEslesme[A_Norm],0)),0))</f>
        <v/>
      </c>
      <c r="D70" s="16">
        <f>IF($A70="","",IFERROR(INDEX(tblKok[KokNeden],MATCH($A70,tblKok[A_Norm],0)),""))</f>
        <v/>
      </c>
      <c r="E70" s="16">
        <f>IF($B70&lt;&gt;"tutar_farki","",IF(ABS($C70)&gt;cbb_esikFark,"YUKSEK","NORMAL"))</f>
        <v/>
      </c>
      <c r="F70" s="16">
        <f>IF($B70&lt;&gt;"tutar_farki","","VKN "&amp;$A70&amp;" için cari↔Ba/Bs fark "&amp;TEXT($C70,"0.00")&amp;" TL. Dayanak: "&amp;$D70&amp;". Düzeltme dosyası üretildi.")</f>
        <v/>
      </c>
      <c r="G70" s="16">
        <f>IF($B70&lt;&gt;"tutar_farki","","Beklemede")</f>
        <v/>
      </c>
    </row>
    <row r="71">
      <c r="A71" s="26">
        <f>IF('KOK_NEDEN'!$A71="","",'KOK_NEDEN'!$A71)</f>
        <v/>
      </c>
      <c r="B71" s="16">
        <f>IF($A71="","",IFERROR(INDEX(tblKok[Kova],MATCH($A71,tblKok[A_Norm],0)),""))</f>
        <v/>
      </c>
      <c r="C71" s="16">
        <f>IF($A71="","",IFERROR(INDEX(tblEslesme[Fark],MATCH($A71,tblEslesme[A_Norm],0)),0))</f>
        <v/>
      </c>
      <c r="D71" s="16">
        <f>IF($A71="","",IFERROR(INDEX(tblKok[KokNeden],MATCH($A71,tblKok[A_Norm],0)),""))</f>
        <v/>
      </c>
      <c r="E71" s="16">
        <f>IF($B71&lt;&gt;"tutar_farki","",IF(ABS($C71)&gt;cbb_esikFark,"YUKSEK","NORMAL"))</f>
        <v/>
      </c>
      <c r="F71" s="16">
        <f>IF($B71&lt;&gt;"tutar_farki","","VKN "&amp;$A71&amp;" için cari↔Ba/Bs fark "&amp;TEXT($C71,"0.00")&amp;" TL. Dayanak: "&amp;$D71&amp;". Düzeltme dosyası üretildi.")</f>
        <v/>
      </c>
      <c r="G71" s="16">
        <f>IF($B71&lt;&gt;"tutar_farki","","Beklemede")</f>
        <v/>
      </c>
    </row>
    <row r="72">
      <c r="A72" s="26">
        <f>IF('KOK_NEDEN'!$A72="","",'KOK_NEDEN'!$A72)</f>
        <v/>
      </c>
      <c r="B72" s="16">
        <f>IF($A72="","",IFERROR(INDEX(tblKok[Kova],MATCH($A72,tblKok[A_Norm],0)),""))</f>
        <v/>
      </c>
      <c r="C72" s="16">
        <f>IF($A72="","",IFERROR(INDEX(tblEslesme[Fark],MATCH($A72,tblEslesme[A_Norm],0)),0))</f>
        <v/>
      </c>
      <c r="D72" s="16">
        <f>IF($A72="","",IFERROR(INDEX(tblKok[KokNeden],MATCH($A72,tblKok[A_Norm],0)),""))</f>
        <v/>
      </c>
      <c r="E72" s="16">
        <f>IF($B72&lt;&gt;"tutar_farki","",IF(ABS($C72)&gt;cbb_esikFark,"YUKSEK","NORMAL"))</f>
        <v/>
      </c>
      <c r="F72" s="16">
        <f>IF($B72&lt;&gt;"tutar_farki","","VKN "&amp;$A72&amp;" için cari↔Ba/Bs fark "&amp;TEXT($C72,"0.00")&amp;" TL. Dayanak: "&amp;$D72&amp;". Düzeltme dosyası üretildi.")</f>
        <v/>
      </c>
      <c r="G72" s="16">
        <f>IF($B72&lt;&gt;"tutar_farki","","Beklemede")</f>
        <v/>
      </c>
    </row>
    <row r="73">
      <c r="A73" s="26">
        <f>IF('KOK_NEDEN'!$A73="","",'KOK_NEDEN'!$A73)</f>
        <v/>
      </c>
      <c r="B73" s="16">
        <f>IF($A73="","",IFERROR(INDEX(tblKok[Kova],MATCH($A73,tblKok[A_Norm],0)),""))</f>
        <v/>
      </c>
      <c r="C73" s="16">
        <f>IF($A73="","",IFERROR(INDEX(tblEslesme[Fark],MATCH($A73,tblEslesme[A_Norm],0)),0))</f>
        <v/>
      </c>
      <c r="D73" s="16">
        <f>IF($A73="","",IFERROR(INDEX(tblKok[KokNeden],MATCH($A73,tblKok[A_Norm],0)),""))</f>
        <v/>
      </c>
      <c r="E73" s="16">
        <f>IF($B73&lt;&gt;"tutar_farki","",IF(ABS($C73)&gt;cbb_esikFark,"YUKSEK","NORMAL"))</f>
        <v/>
      </c>
      <c r="F73" s="16">
        <f>IF($B73&lt;&gt;"tutar_farki","","VKN "&amp;$A73&amp;" için cari↔Ba/Bs fark "&amp;TEXT($C73,"0.00")&amp;" TL. Dayanak: "&amp;$D73&amp;". Düzeltme dosyası üretildi.")</f>
        <v/>
      </c>
      <c r="G73" s="16">
        <f>IF($B73&lt;&gt;"tutar_farki","","Beklemede")</f>
        <v/>
      </c>
    </row>
    <row r="74">
      <c r="A74" s="26">
        <f>IF('KOK_NEDEN'!$A74="","",'KOK_NEDEN'!$A74)</f>
        <v/>
      </c>
      <c r="B74" s="16">
        <f>IF($A74="","",IFERROR(INDEX(tblKok[Kova],MATCH($A74,tblKok[A_Norm],0)),""))</f>
        <v/>
      </c>
      <c r="C74" s="16">
        <f>IF($A74="","",IFERROR(INDEX(tblEslesme[Fark],MATCH($A74,tblEslesme[A_Norm],0)),0))</f>
        <v/>
      </c>
      <c r="D74" s="16">
        <f>IF($A74="","",IFERROR(INDEX(tblKok[KokNeden],MATCH($A74,tblKok[A_Norm],0)),""))</f>
        <v/>
      </c>
      <c r="E74" s="16">
        <f>IF($B74&lt;&gt;"tutar_farki","",IF(ABS($C74)&gt;cbb_esikFark,"YUKSEK","NORMAL"))</f>
        <v/>
      </c>
      <c r="F74" s="16">
        <f>IF($B74&lt;&gt;"tutar_farki","","VKN "&amp;$A74&amp;" için cari↔Ba/Bs fark "&amp;TEXT($C74,"0.00")&amp;" TL. Dayanak: "&amp;$D74&amp;". Düzeltme dosyası üretildi.")</f>
        <v/>
      </c>
      <c r="G74" s="16">
        <f>IF($B74&lt;&gt;"tutar_farki","","Beklemede")</f>
        <v/>
      </c>
    </row>
    <row r="75">
      <c r="A75" s="26">
        <f>IF('KOK_NEDEN'!$A75="","",'KOK_NEDEN'!$A75)</f>
        <v/>
      </c>
      <c r="B75" s="16">
        <f>IF($A75="","",IFERROR(INDEX(tblKok[Kova],MATCH($A75,tblKok[A_Norm],0)),""))</f>
        <v/>
      </c>
      <c r="C75" s="16">
        <f>IF($A75="","",IFERROR(INDEX(tblEslesme[Fark],MATCH($A75,tblEslesme[A_Norm],0)),0))</f>
        <v/>
      </c>
      <c r="D75" s="16">
        <f>IF($A75="","",IFERROR(INDEX(tblKok[KokNeden],MATCH($A75,tblKok[A_Norm],0)),""))</f>
        <v/>
      </c>
      <c r="E75" s="16">
        <f>IF($B75&lt;&gt;"tutar_farki","",IF(ABS($C75)&gt;cbb_esikFark,"YUKSEK","NORMAL"))</f>
        <v/>
      </c>
      <c r="F75" s="16">
        <f>IF($B75&lt;&gt;"tutar_farki","","VKN "&amp;$A75&amp;" için cari↔Ba/Bs fark "&amp;TEXT($C75,"0.00")&amp;" TL. Dayanak: "&amp;$D75&amp;". Düzeltme dosyası üretildi.")</f>
        <v/>
      </c>
      <c r="G75" s="16">
        <f>IF($B75&lt;&gt;"tutar_farki","","Beklemede")</f>
        <v/>
      </c>
    </row>
    <row r="76">
      <c r="A76" s="26">
        <f>IF('KOK_NEDEN'!$A76="","",'KOK_NEDEN'!$A76)</f>
        <v/>
      </c>
      <c r="B76" s="16">
        <f>IF($A76="","",IFERROR(INDEX(tblKok[Kova],MATCH($A76,tblKok[A_Norm],0)),""))</f>
        <v/>
      </c>
      <c r="C76" s="16">
        <f>IF($A76="","",IFERROR(INDEX(tblEslesme[Fark],MATCH($A76,tblEslesme[A_Norm],0)),0))</f>
        <v/>
      </c>
      <c r="D76" s="16">
        <f>IF($A76="","",IFERROR(INDEX(tblKok[KokNeden],MATCH($A76,tblKok[A_Norm],0)),""))</f>
        <v/>
      </c>
      <c r="E76" s="16">
        <f>IF($B76&lt;&gt;"tutar_farki","",IF(ABS($C76)&gt;cbb_esikFark,"YUKSEK","NORMAL"))</f>
        <v/>
      </c>
      <c r="F76" s="16">
        <f>IF($B76&lt;&gt;"tutar_farki","","VKN "&amp;$A76&amp;" için cari↔Ba/Bs fark "&amp;TEXT($C76,"0.00")&amp;" TL. Dayanak: "&amp;$D76&amp;". Düzeltme dosyası üretildi.")</f>
        <v/>
      </c>
      <c r="G76" s="16">
        <f>IF($B76&lt;&gt;"tutar_farki","","Beklemede")</f>
        <v/>
      </c>
    </row>
    <row r="77">
      <c r="A77" s="26">
        <f>IF('KOK_NEDEN'!$A77="","",'KOK_NEDEN'!$A77)</f>
        <v/>
      </c>
      <c r="B77" s="16">
        <f>IF($A77="","",IFERROR(INDEX(tblKok[Kova],MATCH($A77,tblKok[A_Norm],0)),""))</f>
        <v/>
      </c>
      <c r="C77" s="16">
        <f>IF($A77="","",IFERROR(INDEX(tblEslesme[Fark],MATCH($A77,tblEslesme[A_Norm],0)),0))</f>
        <v/>
      </c>
      <c r="D77" s="16">
        <f>IF($A77="","",IFERROR(INDEX(tblKok[KokNeden],MATCH($A77,tblKok[A_Norm],0)),""))</f>
        <v/>
      </c>
      <c r="E77" s="16">
        <f>IF($B77&lt;&gt;"tutar_farki","",IF(ABS($C77)&gt;cbb_esikFark,"YUKSEK","NORMAL"))</f>
        <v/>
      </c>
      <c r="F77" s="16">
        <f>IF($B77&lt;&gt;"tutar_farki","","VKN "&amp;$A77&amp;" için cari↔Ba/Bs fark "&amp;TEXT($C77,"0.00")&amp;" TL. Dayanak: "&amp;$D77&amp;". Düzeltme dosyası üretildi.")</f>
        <v/>
      </c>
      <c r="G77" s="16">
        <f>IF($B77&lt;&gt;"tutar_farki","","Beklemede")</f>
        <v/>
      </c>
    </row>
    <row r="78">
      <c r="A78" s="26">
        <f>IF('KOK_NEDEN'!$A78="","",'KOK_NEDEN'!$A78)</f>
        <v/>
      </c>
      <c r="B78" s="16">
        <f>IF($A78="","",IFERROR(INDEX(tblKok[Kova],MATCH($A78,tblKok[A_Norm],0)),""))</f>
        <v/>
      </c>
      <c r="C78" s="16">
        <f>IF($A78="","",IFERROR(INDEX(tblEslesme[Fark],MATCH($A78,tblEslesme[A_Norm],0)),0))</f>
        <v/>
      </c>
      <c r="D78" s="16">
        <f>IF($A78="","",IFERROR(INDEX(tblKok[KokNeden],MATCH($A78,tblKok[A_Norm],0)),""))</f>
        <v/>
      </c>
      <c r="E78" s="16">
        <f>IF($B78&lt;&gt;"tutar_farki","",IF(ABS($C78)&gt;cbb_esikFark,"YUKSEK","NORMAL"))</f>
        <v/>
      </c>
      <c r="F78" s="16">
        <f>IF($B78&lt;&gt;"tutar_farki","","VKN "&amp;$A78&amp;" için cari↔Ba/Bs fark "&amp;TEXT($C78,"0.00")&amp;" TL. Dayanak: "&amp;$D78&amp;". Düzeltme dosyası üretildi.")</f>
        <v/>
      </c>
      <c r="G78" s="16">
        <f>IF($B78&lt;&gt;"tutar_farki","","Beklemede")</f>
        <v/>
      </c>
    </row>
    <row r="79">
      <c r="A79" s="26">
        <f>IF('KOK_NEDEN'!$A79="","",'KOK_NEDEN'!$A79)</f>
        <v/>
      </c>
      <c r="B79" s="16">
        <f>IF($A79="","",IFERROR(INDEX(tblKok[Kova],MATCH($A79,tblKok[A_Norm],0)),""))</f>
        <v/>
      </c>
      <c r="C79" s="16">
        <f>IF($A79="","",IFERROR(INDEX(tblEslesme[Fark],MATCH($A79,tblEslesme[A_Norm],0)),0))</f>
        <v/>
      </c>
      <c r="D79" s="16">
        <f>IF($A79="","",IFERROR(INDEX(tblKok[KokNeden],MATCH($A79,tblKok[A_Norm],0)),""))</f>
        <v/>
      </c>
      <c r="E79" s="16">
        <f>IF($B79&lt;&gt;"tutar_farki","",IF(ABS($C79)&gt;cbb_esikFark,"YUKSEK","NORMAL"))</f>
        <v/>
      </c>
      <c r="F79" s="16">
        <f>IF($B79&lt;&gt;"tutar_farki","","VKN "&amp;$A79&amp;" için cari↔Ba/Bs fark "&amp;TEXT($C79,"0.00")&amp;" TL. Dayanak: "&amp;$D79&amp;". Düzeltme dosyası üretildi.")</f>
        <v/>
      </c>
      <c r="G79" s="16">
        <f>IF($B79&lt;&gt;"tutar_farki","","Beklemede")</f>
        <v/>
      </c>
    </row>
    <row r="80">
      <c r="A80" s="26">
        <f>IF('KOK_NEDEN'!$A80="","",'KOK_NEDEN'!$A80)</f>
        <v/>
      </c>
      <c r="B80" s="16">
        <f>IF($A80="","",IFERROR(INDEX(tblKok[Kova],MATCH($A80,tblKok[A_Norm],0)),""))</f>
        <v/>
      </c>
      <c r="C80" s="16">
        <f>IF($A80="","",IFERROR(INDEX(tblEslesme[Fark],MATCH($A80,tblEslesme[A_Norm],0)),0))</f>
        <v/>
      </c>
      <c r="D80" s="16">
        <f>IF($A80="","",IFERROR(INDEX(tblKok[KokNeden],MATCH($A80,tblKok[A_Norm],0)),""))</f>
        <v/>
      </c>
      <c r="E80" s="16">
        <f>IF($B80&lt;&gt;"tutar_farki","",IF(ABS($C80)&gt;cbb_esikFark,"YUKSEK","NORMAL"))</f>
        <v/>
      </c>
      <c r="F80" s="16">
        <f>IF($B80&lt;&gt;"tutar_farki","","VKN "&amp;$A80&amp;" için cari↔Ba/Bs fark "&amp;TEXT($C80,"0.00")&amp;" TL. Dayanak: "&amp;$D80&amp;". Düzeltme dosyası üretildi.")</f>
        <v/>
      </c>
      <c r="G80" s="16">
        <f>IF($B80&lt;&gt;"tutar_farki","","Beklemede")</f>
        <v/>
      </c>
    </row>
    <row r="81">
      <c r="A81" s="26">
        <f>IF('KOK_NEDEN'!$A81="","",'KOK_NEDEN'!$A81)</f>
        <v/>
      </c>
      <c r="B81" s="16">
        <f>IF($A81="","",IFERROR(INDEX(tblKok[Kova],MATCH($A81,tblKok[A_Norm],0)),""))</f>
        <v/>
      </c>
      <c r="C81" s="16">
        <f>IF($A81="","",IFERROR(INDEX(tblEslesme[Fark],MATCH($A81,tblEslesme[A_Norm],0)),0))</f>
        <v/>
      </c>
      <c r="D81" s="16">
        <f>IF($A81="","",IFERROR(INDEX(tblKok[KokNeden],MATCH($A81,tblKok[A_Norm],0)),""))</f>
        <v/>
      </c>
      <c r="E81" s="16">
        <f>IF($B81&lt;&gt;"tutar_farki","",IF(ABS($C81)&gt;cbb_esikFark,"YUKSEK","NORMAL"))</f>
        <v/>
      </c>
      <c r="F81" s="16">
        <f>IF($B81&lt;&gt;"tutar_farki","","VKN "&amp;$A81&amp;" için cari↔Ba/Bs fark "&amp;TEXT($C81,"0.00")&amp;" TL. Dayanak: "&amp;$D81&amp;". Düzeltme dosyası üretildi.")</f>
        <v/>
      </c>
      <c r="G81" s="16">
        <f>IF($B81&lt;&gt;"tutar_farki","","Beklemede")</f>
        <v/>
      </c>
    </row>
    <row r="82">
      <c r="A82" s="26">
        <f>IF('KOK_NEDEN'!$A82="","",'KOK_NEDEN'!$A82)</f>
        <v/>
      </c>
      <c r="B82" s="16">
        <f>IF($A82="","",IFERROR(INDEX(tblKok[Kova],MATCH($A82,tblKok[A_Norm],0)),""))</f>
        <v/>
      </c>
      <c r="C82" s="16">
        <f>IF($A82="","",IFERROR(INDEX(tblEslesme[Fark],MATCH($A82,tblEslesme[A_Norm],0)),0))</f>
        <v/>
      </c>
      <c r="D82" s="16">
        <f>IF($A82="","",IFERROR(INDEX(tblKok[KokNeden],MATCH($A82,tblKok[A_Norm],0)),""))</f>
        <v/>
      </c>
      <c r="E82" s="16">
        <f>IF($B82&lt;&gt;"tutar_farki","",IF(ABS($C82)&gt;cbb_esikFark,"YUKSEK","NORMAL"))</f>
        <v/>
      </c>
      <c r="F82" s="16">
        <f>IF($B82&lt;&gt;"tutar_farki","","VKN "&amp;$A82&amp;" için cari↔Ba/Bs fark "&amp;TEXT($C82,"0.00")&amp;" TL. Dayanak: "&amp;$D82&amp;". Düzeltme dosyası üretildi.")</f>
        <v/>
      </c>
      <c r="G82" s="16">
        <f>IF($B82&lt;&gt;"tutar_farki","","Beklemede")</f>
        <v/>
      </c>
    </row>
    <row r="83">
      <c r="A83" s="26">
        <f>IF('KOK_NEDEN'!$A83="","",'KOK_NEDEN'!$A83)</f>
        <v/>
      </c>
      <c r="B83" s="16">
        <f>IF($A83="","",IFERROR(INDEX(tblKok[Kova],MATCH($A83,tblKok[A_Norm],0)),""))</f>
        <v/>
      </c>
      <c r="C83" s="16">
        <f>IF($A83="","",IFERROR(INDEX(tblEslesme[Fark],MATCH($A83,tblEslesme[A_Norm],0)),0))</f>
        <v/>
      </c>
      <c r="D83" s="16">
        <f>IF($A83="","",IFERROR(INDEX(tblKok[KokNeden],MATCH($A83,tblKok[A_Norm],0)),""))</f>
        <v/>
      </c>
      <c r="E83" s="16">
        <f>IF($B83&lt;&gt;"tutar_farki","",IF(ABS($C83)&gt;cbb_esikFark,"YUKSEK","NORMAL"))</f>
        <v/>
      </c>
      <c r="F83" s="16">
        <f>IF($B83&lt;&gt;"tutar_farki","","VKN "&amp;$A83&amp;" için cari↔Ba/Bs fark "&amp;TEXT($C83,"0.00")&amp;" TL. Dayanak: "&amp;$D83&amp;". Düzeltme dosyası üretildi.")</f>
        <v/>
      </c>
      <c r="G83" s="16">
        <f>IF($B83&lt;&gt;"tutar_farki","","Beklemede")</f>
        <v/>
      </c>
    </row>
    <row r="84">
      <c r="A84" s="26">
        <f>IF('KOK_NEDEN'!$A84="","",'KOK_NEDEN'!$A84)</f>
        <v/>
      </c>
      <c r="B84" s="16">
        <f>IF($A84="","",IFERROR(INDEX(tblKok[Kova],MATCH($A84,tblKok[A_Norm],0)),""))</f>
        <v/>
      </c>
      <c r="C84" s="16">
        <f>IF($A84="","",IFERROR(INDEX(tblEslesme[Fark],MATCH($A84,tblEslesme[A_Norm],0)),0))</f>
        <v/>
      </c>
      <c r="D84" s="16">
        <f>IF($A84="","",IFERROR(INDEX(tblKok[KokNeden],MATCH($A84,tblKok[A_Norm],0)),""))</f>
        <v/>
      </c>
      <c r="E84" s="16">
        <f>IF($B84&lt;&gt;"tutar_farki","",IF(ABS($C84)&gt;cbb_esikFark,"YUKSEK","NORMAL"))</f>
        <v/>
      </c>
      <c r="F84" s="16">
        <f>IF($B84&lt;&gt;"tutar_farki","","VKN "&amp;$A84&amp;" için cari↔Ba/Bs fark "&amp;TEXT($C84,"0.00")&amp;" TL. Dayanak: "&amp;$D84&amp;". Düzeltme dosyası üretildi.")</f>
        <v/>
      </c>
      <c r="G84" s="16">
        <f>IF($B84&lt;&gt;"tutar_farki","","Beklemede")</f>
        <v/>
      </c>
    </row>
    <row r="85">
      <c r="A85" s="26">
        <f>IF('KOK_NEDEN'!$A85="","",'KOK_NEDEN'!$A85)</f>
        <v/>
      </c>
      <c r="B85" s="16">
        <f>IF($A85="","",IFERROR(INDEX(tblKok[Kova],MATCH($A85,tblKok[A_Norm],0)),""))</f>
        <v/>
      </c>
      <c r="C85" s="16">
        <f>IF($A85="","",IFERROR(INDEX(tblEslesme[Fark],MATCH($A85,tblEslesme[A_Norm],0)),0))</f>
        <v/>
      </c>
      <c r="D85" s="16">
        <f>IF($A85="","",IFERROR(INDEX(tblKok[KokNeden],MATCH($A85,tblKok[A_Norm],0)),""))</f>
        <v/>
      </c>
      <c r="E85" s="16">
        <f>IF($B85&lt;&gt;"tutar_farki","",IF(ABS($C85)&gt;cbb_esikFark,"YUKSEK","NORMAL"))</f>
        <v/>
      </c>
      <c r="F85" s="16">
        <f>IF($B85&lt;&gt;"tutar_farki","","VKN "&amp;$A85&amp;" için cari↔Ba/Bs fark "&amp;TEXT($C85,"0.00")&amp;" TL. Dayanak: "&amp;$D85&amp;". Düzeltme dosyası üretildi.")</f>
        <v/>
      </c>
      <c r="G85" s="16">
        <f>IF($B85&lt;&gt;"tutar_farki","","Beklemede")</f>
        <v/>
      </c>
    </row>
    <row r="86">
      <c r="A86" s="26">
        <f>IF('KOK_NEDEN'!$A86="","",'KOK_NEDEN'!$A86)</f>
        <v/>
      </c>
      <c r="B86" s="16">
        <f>IF($A86="","",IFERROR(INDEX(tblKok[Kova],MATCH($A86,tblKok[A_Norm],0)),""))</f>
        <v/>
      </c>
      <c r="C86" s="16">
        <f>IF($A86="","",IFERROR(INDEX(tblEslesme[Fark],MATCH($A86,tblEslesme[A_Norm],0)),0))</f>
        <v/>
      </c>
      <c r="D86" s="16">
        <f>IF($A86="","",IFERROR(INDEX(tblKok[KokNeden],MATCH($A86,tblKok[A_Norm],0)),""))</f>
        <v/>
      </c>
      <c r="E86" s="16">
        <f>IF($B86&lt;&gt;"tutar_farki","",IF(ABS($C86)&gt;cbb_esikFark,"YUKSEK","NORMAL"))</f>
        <v/>
      </c>
      <c r="F86" s="16">
        <f>IF($B86&lt;&gt;"tutar_farki","","VKN "&amp;$A86&amp;" için cari↔Ba/Bs fark "&amp;TEXT($C86,"0.00")&amp;" TL. Dayanak: "&amp;$D86&amp;". Düzeltme dosyası üretildi.")</f>
        <v/>
      </c>
      <c r="G86" s="16">
        <f>IF($B86&lt;&gt;"tutar_farki","","Beklemede")</f>
        <v/>
      </c>
    </row>
    <row r="87">
      <c r="A87" s="26">
        <f>IF('KOK_NEDEN'!$A87="","",'KOK_NEDEN'!$A87)</f>
        <v/>
      </c>
      <c r="B87" s="16">
        <f>IF($A87="","",IFERROR(INDEX(tblKok[Kova],MATCH($A87,tblKok[A_Norm],0)),""))</f>
        <v/>
      </c>
      <c r="C87" s="16">
        <f>IF($A87="","",IFERROR(INDEX(tblEslesme[Fark],MATCH($A87,tblEslesme[A_Norm],0)),0))</f>
        <v/>
      </c>
      <c r="D87" s="16">
        <f>IF($A87="","",IFERROR(INDEX(tblKok[KokNeden],MATCH($A87,tblKok[A_Norm],0)),""))</f>
        <v/>
      </c>
      <c r="E87" s="16">
        <f>IF($B87&lt;&gt;"tutar_farki","",IF(ABS($C87)&gt;cbb_esikFark,"YUKSEK","NORMAL"))</f>
        <v/>
      </c>
      <c r="F87" s="16">
        <f>IF($B87&lt;&gt;"tutar_farki","","VKN "&amp;$A87&amp;" için cari↔Ba/Bs fark "&amp;TEXT($C87,"0.00")&amp;" TL. Dayanak: "&amp;$D87&amp;". Düzeltme dosyası üretildi.")</f>
        <v/>
      </c>
      <c r="G87" s="16">
        <f>IF($B87&lt;&gt;"tutar_farki","","Beklemede")</f>
        <v/>
      </c>
    </row>
    <row r="88">
      <c r="A88" s="26">
        <f>IF('KOK_NEDEN'!$A88="","",'KOK_NEDEN'!$A88)</f>
        <v/>
      </c>
      <c r="B88" s="16">
        <f>IF($A88="","",IFERROR(INDEX(tblKok[Kova],MATCH($A88,tblKok[A_Norm],0)),""))</f>
        <v/>
      </c>
      <c r="C88" s="16">
        <f>IF($A88="","",IFERROR(INDEX(tblEslesme[Fark],MATCH($A88,tblEslesme[A_Norm],0)),0))</f>
        <v/>
      </c>
      <c r="D88" s="16">
        <f>IF($A88="","",IFERROR(INDEX(tblKok[KokNeden],MATCH($A88,tblKok[A_Norm],0)),""))</f>
        <v/>
      </c>
      <c r="E88" s="16">
        <f>IF($B88&lt;&gt;"tutar_farki","",IF(ABS($C88)&gt;cbb_esikFark,"YUKSEK","NORMAL"))</f>
        <v/>
      </c>
      <c r="F88" s="16">
        <f>IF($B88&lt;&gt;"tutar_farki","","VKN "&amp;$A88&amp;" için cari↔Ba/Bs fark "&amp;TEXT($C88,"0.00")&amp;" TL. Dayanak: "&amp;$D88&amp;". Düzeltme dosyası üretildi.")</f>
        <v/>
      </c>
      <c r="G88" s="16">
        <f>IF($B88&lt;&gt;"tutar_farki","","Beklemede")</f>
        <v/>
      </c>
    </row>
    <row r="89">
      <c r="A89" s="26">
        <f>IF('KOK_NEDEN'!$A89="","",'KOK_NEDEN'!$A89)</f>
        <v/>
      </c>
      <c r="B89" s="16">
        <f>IF($A89="","",IFERROR(INDEX(tblKok[Kova],MATCH($A89,tblKok[A_Norm],0)),""))</f>
        <v/>
      </c>
      <c r="C89" s="16">
        <f>IF($A89="","",IFERROR(INDEX(tblEslesme[Fark],MATCH($A89,tblEslesme[A_Norm],0)),0))</f>
        <v/>
      </c>
      <c r="D89" s="16">
        <f>IF($A89="","",IFERROR(INDEX(tblKok[KokNeden],MATCH($A89,tblKok[A_Norm],0)),""))</f>
        <v/>
      </c>
      <c r="E89" s="16">
        <f>IF($B89&lt;&gt;"tutar_farki","",IF(ABS($C89)&gt;cbb_esikFark,"YUKSEK","NORMAL"))</f>
        <v/>
      </c>
      <c r="F89" s="16">
        <f>IF($B89&lt;&gt;"tutar_farki","","VKN "&amp;$A89&amp;" için cari↔Ba/Bs fark "&amp;TEXT($C89,"0.00")&amp;" TL. Dayanak: "&amp;$D89&amp;". Düzeltme dosyası üretildi.")</f>
        <v/>
      </c>
      <c r="G89" s="16">
        <f>IF($B89&lt;&gt;"tutar_farki","","Beklemede")</f>
        <v/>
      </c>
    </row>
    <row r="90">
      <c r="A90" s="26">
        <f>IF('KOK_NEDEN'!$A90="","",'KOK_NEDEN'!$A90)</f>
        <v/>
      </c>
      <c r="B90" s="16">
        <f>IF($A90="","",IFERROR(INDEX(tblKok[Kova],MATCH($A90,tblKok[A_Norm],0)),""))</f>
        <v/>
      </c>
      <c r="C90" s="16">
        <f>IF($A90="","",IFERROR(INDEX(tblEslesme[Fark],MATCH($A90,tblEslesme[A_Norm],0)),0))</f>
        <v/>
      </c>
      <c r="D90" s="16">
        <f>IF($A90="","",IFERROR(INDEX(tblKok[KokNeden],MATCH($A90,tblKok[A_Norm],0)),""))</f>
        <v/>
      </c>
      <c r="E90" s="16">
        <f>IF($B90&lt;&gt;"tutar_farki","",IF(ABS($C90)&gt;cbb_esikFark,"YUKSEK","NORMAL"))</f>
        <v/>
      </c>
      <c r="F90" s="16">
        <f>IF($B90&lt;&gt;"tutar_farki","","VKN "&amp;$A90&amp;" için cari↔Ba/Bs fark "&amp;TEXT($C90,"0.00")&amp;" TL. Dayanak: "&amp;$D90&amp;". Düzeltme dosyası üretildi.")</f>
        <v/>
      </c>
      <c r="G90" s="16">
        <f>IF($B90&lt;&gt;"tutar_farki","","Beklemede")</f>
        <v/>
      </c>
    </row>
    <row r="91">
      <c r="A91" s="26">
        <f>IF('KOK_NEDEN'!$A91="","",'KOK_NEDEN'!$A91)</f>
        <v/>
      </c>
      <c r="B91" s="16">
        <f>IF($A91="","",IFERROR(INDEX(tblKok[Kova],MATCH($A91,tblKok[A_Norm],0)),""))</f>
        <v/>
      </c>
      <c r="C91" s="16">
        <f>IF($A91="","",IFERROR(INDEX(tblEslesme[Fark],MATCH($A91,tblEslesme[A_Norm],0)),0))</f>
        <v/>
      </c>
      <c r="D91" s="16">
        <f>IF($A91="","",IFERROR(INDEX(tblKok[KokNeden],MATCH($A91,tblKok[A_Norm],0)),""))</f>
        <v/>
      </c>
      <c r="E91" s="16">
        <f>IF($B91&lt;&gt;"tutar_farki","",IF(ABS($C91)&gt;cbb_esikFark,"YUKSEK","NORMAL"))</f>
        <v/>
      </c>
      <c r="F91" s="16">
        <f>IF($B91&lt;&gt;"tutar_farki","","VKN "&amp;$A91&amp;" için cari↔Ba/Bs fark "&amp;TEXT($C91,"0.00")&amp;" TL. Dayanak: "&amp;$D91&amp;". Düzeltme dosyası üretildi.")</f>
        <v/>
      </c>
      <c r="G91" s="16">
        <f>IF($B91&lt;&gt;"tutar_farki","","Beklemede")</f>
        <v/>
      </c>
    </row>
    <row r="92">
      <c r="A92" s="26">
        <f>IF('KOK_NEDEN'!$A92="","",'KOK_NEDEN'!$A92)</f>
        <v/>
      </c>
      <c r="B92" s="16">
        <f>IF($A92="","",IFERROR(INDEX(tblKok[Kova],MATCH($A92,tblKok[A_Norm],0)),""))</f>
        <v/>
      </c>
      <c r="C92" s="16">
        <f>IF($A92="","",IFERROR(INDEX(tblEslesme[Fark],MATCH($A92,tblEslesme[A_Norm],0)),0))</f>
        <v/>
      </c>
      <c r="D92" s="16">
        <f>IF($A92="","",IFERROR(INDEX(tblKok[KokNeden],MATCH($A92,tblKok[A_Norm],0)),""))</f>
        <v/>
      </c>
      <c r="E92" s="16">
        <f>IF($B92&lt;&gt;"tutar_farki","",IF(ABS($C92)&gt;cbb_esikFark,"YUKSEK","NORMAL"))</f>
        <v/>
      </c>
      <c r="F92" s="16">
        <f>IF($B92&lt;&gt;"tutar_farki","","VKN "&amp;$A92&amp;" için cari↔Ba/Bs fark "&amp;TEXT($C92,"0.00")&amp;" TL. Dayanak: "&amp;$D92&amp;". Düzeltme dosyası üretildi.")</f>
        <v/>
      </c>
      <c r="G92" s="16">
        <f>IF($B92&lt;&gt;"tutar_farki","","Beklemede")</f>
        <v/>
      </c>
    </row>
    <row r="93">
      <c r="A93" s="26">
        <f>IF('KOK_NEDEN'!$A93="","",'KOK_NEDEN'!$A93)</f>
        <v/>
      </c>
      <c r="B93" s="16">
        <f>IF($A93="","",IFERROR(INDEX(tblKok[Kova],MATCH($A93,tblKok[A_Norm],0)),""))</f>
        <v/>
      </c>
      <c r="C93" s="16">
        <f>IF($A93="","",IFERROR(INDEX(tblEslesme[Fark],MATCH($A93,tblEslesme[A_Norm],0)),0))</f>
        <v/>
      </c>
      <c r="D93" s="16">
        <f>IF($A93="","",IFERROR(INDEX(tblKok[KokNeden],MATCH($A93,tblKok[A_Norm],0)),""))</f>
        <v/>
      </c>
      <c r="E93" s="16">
        <f>IF($B93&lt;&gt;"tutar_farki","",IF(ABS($C93)&gt;cbb_esikFark,"YUKSEK","NORMAL"))</f>
        <v/>
      </c>
      <c r="F93" s="16">
        <f>IF($B93&lt;&gt;"tutar_farki","","VKN "&amp;$A93&amp;" için cari↔Ba/Bs fark "&amp;TEXT($C93,"0.00")&amp;" TL. Dayanak: "&amp;$D93&amp;". Düzeltme dosyası üretildi.")</f>
        <v/>
      </c>
      <c r="G93" s="16">
        <f>IF($B93&lt;&gt;"tutar_farki","","Beklemede")</f>
        <v/>
      </c>
    </row>
    <row r="94">
      <c r="A94" s="26">
        <f>IF('KOK_NEDEN'!$A94="","",'KOK_NEDEN'!$A94)</f>
        <v/>
      </c>
      <c r="B94" s="16">
        <f>IF($A94="","",IFERROR(INDEX(tblKok[Kova],MATCH($A94,tblKok[A_Norm],0)),""))</f>
        <v/>
      </c>
      <c r="C94" s="16">
        <f>IF($A94="","",IFERROR(INDEX(tblEslesme[Fark],MATCH($A94,tblEslesme[A_Norm],0)),0))</f>
        <v/>
      </c>
      <c r="D94" s="16">
        <f>IF($A94="","",IFERROR(INDEX(tblKok[KokNeden],MATCH($A94,tblKok[A_Norm],0)),""))</f>
        <v/>
      </c>
      <c r="E94" s="16">
        <f>IF($B94&lt;&gt;"tutar_farki","",IF(ABS($C94)&gt;cbb_esikFark,"YUKSEK","NORMAL"))</f>
        <v/>
      </c>
      <c r="F94" s="16">
        <f>IF($B94&lt;&gt;"tutar_farki","","VKN "&amp;$A94&amp;" için cari↔Ba/Bs fark "&amp;TEXT($C94,"0.00")&amp;" TL. Dayanak: "&amp;$D94&amp;". Düzeltme dosyası üretildi.")</f>
        <v/>
      </c>
      <c r="G94" s="16">
        <f>IF($B94&lt;&gt;"tutar_farki","","Beklemede")</f>
        <v/>
      </c>
    </row>
    <row r="95">
      <c r="A95" s="26">
        <f>IF('KOK_NEDEN'!$A95="","",'KOK_NEDEN'!$A95)</f>
        <v/>
      </c>
      <c r="B95" s="16">
        <f>IF($A95="","",IFERROR(INDEX(tblKok[Kova],MATCH($A95,tblKok[A_Norm],0)),""))</f>
        <v/>
      </c>
      <c r="C95" s="16">
        <f>IF($A95="","",IFERROR(INDEX(tblEslesme[Fark],MATCH($A95,tblEslesme[A_Norm],0)),0))</f>
        <v/>
      </c>
      <c r="D95" s="16">
        <f>IF($A95="","",IFERROR(INDEX(tblKok[KokNeden],MATCH($A95,tblKok[A_Norm],0)),""))</f>
        <v/>
      </c>
      <c r="E95" s="16">
        <f>IF($B95&lt;&gt;"tutar_farki","",IF(ABS($C95)&gt;cbb_esikFark,"YUKSEK","NORMAL"))</f>
        <v/>
      </c>
      <c r="F95" s="16">
        <f>IF($B95&lt;&gt;"tutar_farki","","VKN "&amp;$A95&amp;" için cari↔Ba/Bs fark "&amp;TEXT($C95,"0.00")&amp;" TL. Dayanak: "&amp;$D95&amp;". Düzeltme dosyası üretildi.")</f>
        <v/>
      </c>
      <c r="G95" s="16">
        <f>IF($B95&lt;&gt;"tutar_farki","","Beklemede")</f>
        <v/>
      </c>
    </row>
    <row r="96">
      <c r="A96" s="26">
        <f>IF('KOK_NEDEN'!$A96="","",'KOK_NEDEN'!$A96)</f>
        <v/>
      </c>
      <c r="B96" s="16">
        <f>IF($A96="","",IFERROR(INDEX(tblKok[Kova],MATCH($A96,tblKok[A_Norm],0)),""))</f>
        <v/>
      </c>
      <c r="C96" s="16">
        <f>IF($A96="","",IFERROR(INDEX(tblEslesme[Fark],MATCH($A96,tblEslesme[A_Norm],0)),0))</f>
        <v/>
      </c>
      <c r="D96" s="16">
        <f>IF($A96="","",IFERROR(INDEX(tblKok[KokNeden],MATCH($A96,tblKok[A_Norm],0)),""))</f>
        <v/>
      </c>
      <c r="E96" s="16">
        <f>IF($B96&lt;&gt;"tutar_farki","",IF(ABS($C96)&gt;cbb_esikFark,"YUKSEK","NORMAL"))</f>
        <v/>
      </c>
      <c r="F96" s="16">
        <f>IF($B96&lt;&gt;"tutar_farki","","VKN "&amp;$A96&amp;" için cari↔Ba/Bs fark "&amp;TEXT($C96,"0.00")&amp;" TL. Dayanak: "&amp;$D96&amp;". Düzeltme dosyası üretildi.")</f>
        <v/>
      </c>
      <c r="G96" s="16">
        <f>IF($B96&lt;&gt;"tutar_farki","","Beklemede")</f>
        <v/>
      </c>
    </row>
    <row r="97">
      <c r="A97" s="26">
        <f>IF('KOK_NEDEN'!$A97="","",'KOK_NEDEN'!$A97)</f>
        <v/>
      </c>
      <c r="B97" s="16">
        <f>IF($A97="","",IFERROR(INDEX(tblKok[Kova],MATCH($A97,tblKok[A_Norm],0)),""))</f>
        <v/>
      </c>
      <c r="C97" s="16">
        <f>IF($A97="","",IFERROR(INDEX(tblEslesme[Fark],MATCH($A97,tblEslesme[A_Norm],0)),0))</f>
        <v/>
      </c>
      <c r="D97" s="16">
        <f>IF($A97="","",IFERROR(INDEX(tblKok[KokNeden],MATCH($A97,tblKok[A_Norm],0)),""))</f>
        <v/>
      </c>
      <c r="E97" s="16">
        <f>IF($B97&lt;&gt;"tutar_farki","",IF(ABS($C97)&gt;cbb_esikFark,"YUKSEK","NORMAL"))</f>
        <v/>
      </c>
      <c r="F97" s="16">
        <f>IF($B97&lt;&gt;"tutar_farki","","VKN "&amp;$A97&amp;" için cari↔Ba/Bs fark "&amp;TEXT($C97,"0.00")&amp;" TL. Dayanak: "&amp;$D97&amp;". Düzeltme dosyası üretildi.")</f>
        <v/>
      </c>
      <c r="G97" s="16">
        <f>IF($B97&lt;&gt;"tutar_farki","","Beklemede")</f>
        <v/>
      </c>
    </row>
    <row r="98">
      <c r="A98" s="26">
        <f>IF('KOK_NEDEN'!$A98="","",'KOK_NEDEN'!$A98)</f>
        <v/>
      </c>
      <c r="B98" s="16">
        <f>IF($A98="","",IFERROR(INDEX(tblKok[Kova],MATCH($A98,tblKok[A_Norm],0)),""))</f>
        <v/>
      </c>
      <c r="C98" s="16">
        <f>IF($A98="","",IFERROR(INDEX(tblEslesme[Fark],MATCH($A98,tblEslesme[A_Norm],0)),0))</f>
        <v/>
      </c>
      <c r="D98" s="16">
        <f>IF($A98="","",IFERROR(INDEX(tblKok[KokNeden],MATCH($A98,tblKok[A_Norm],0)),""))</f>
        <v/>
      </c>
      <c r="E98" s="16">
        <f>IF($B98&lt;&gt;"tutar_farki","",IF(ABS($C98)&gt;cbb_esikFark,"YUKSEK","NORMAL"))</f>
        <v/>
      </c>
      <c r="F98" s="16">
        <f>IF($B98&lt;&gt;"tutar_farki","","VKN "&amp;$A98&amp;" için cari↔Ba/Bs fark "&amp;TEXT($C98,"0.00")&amp;" TL. Dayanak: "&amp;$D98&amp;". Düzeltme dosyası üretildi.")</f>
        <v/>
      </c>
      <c r="G98" s="16">
        <f>IF($B98&lt;&gt;"tutar_farki","","Beklemede")</f>
        <v/>
      </c>
    </row>
    <row r="99">
      <c r="A99" s="26">
        <f>IF('KOK_NEDEN'!$A99="","",'KOK_NEDEN'!$A99)</f>
        <v/>
      </c>
      <c r="B99" s="16">
        <f>IF($A99="","",IFERROR(INDEX(tblKok[Kova],MATCH($A99,tblKok[A_Norm],0)),""))</f>
        <v/>
      </c>
      <c r="C99" s="16">
        <f>IF($A99="","",IFERROR(INDEX(tblEslesme[Fark],MATCH($A99,tblEslesme[A_Norm],0)),0))</f>
        <v/>
      </c>
      <c r="D99" s="16">
        <f>IF($A99="","",IFERROR(INDEX(tblKok[KokNeden],MATCH($A99,tblKok[A_Norm],0)),""))</f>
        <v/>
      </c>
      <c r="E99" s="16">
        <f>IF($B99&lt;&gt;"tutar_farki","",IF(ABS($C99)&gt;cbb_esikFark,"YUKSEK","NORMAL"))</f>
        <v/>
      </c>
      <c r="F99" s="16">
        <f>IF($B99&lt;&gt;"tutar_farki","","VKN "&amp;$A99&amp;" için cari↔Ba/Bs fark "&amp;TEXT($C99,"0.00")&amp;" TL. Dayanak: "&amp;$D99&amp;". Düzeltme dosyası üretildi.")</f>
        <v/>
      </c>
      <c r="G99" s="16">
        <f>IF($B99&lt;&gt;"tutar_farki","","Beklemede")</f>
        <v/>
      </c>
    </row>
    <row r="100">
      <c r="A100" s="26">
        <f>IF('KOK_NEDEN'!$A100="","",'KOK_NEDEN'!$A100)</f>
        <v/>
      </c>
      <c r="B100" s="16">
        <f>IF($A100="","",IFERROR(INDEX(tblKok[Kova],MATCH($A100,tblKok[A_Norm],0)),""))</f>
        <v/>
      </c>
      <c r="C100" s="16">
        <f>IF($A100="","",IFERROR(INDEX(tblEslesme[Fark],MATCH($A100,tblEslesme[A_Norm],0)),0))</f>
        <v/>
      </c>
      <c r="D100" s="16">
        <f>IF($A100="","",IFERROR(INDEX(tblKok[KokNeden],MATCH($A100,tblKok[A_Norm],0)),""))</f>
        <v/>
      </c>
      <c r="E100" s="16">
        <f>IF($B100&lt;&gt;"tutar_farki","",IF(ABS($C100)&gt;cbb_esikFark,"YUKSEK","NORMAL"))</f>
        <v/>
      </c>
      <c r="F100" s="16">
        <f>IF($B100&lt;&gt;"tutar_farki","","VKN "&amp;$A100&amp;" için cari↔Ba/Bs fark "&amp;TEXT($C100,"0.00")&amp;" TL. Dayanak: "&amp;$D100&amp;". Düzeltme dosyası üretildi.")</f>
        <v/>
      </c>
      <c r="G100" s="16">
        <f>IF($B100&lt;&gt;"tutar_farki","","Beklemede")</f>
        <v/>
      </c>
    </row>
    <row r="101">
      <c r="A101" s="26">
        <f>IF('KOK_NEDEN'!$A101="","",'KOK_NEDEN'!$A101)</f>
        <v/>
      </c>
      <c r="B101" s="16">
        <f>IF($A101="","",IFERROR(INDEX(tblKok[Kova],MATCH($A101,tblKok[A_Norm],0)),""))</f>
        <v/>
      </c>
      <c r="C101" s="16">
        <f>IF($A101="","",IFERROR(INDEX(tblEslesme[Fark],MATCH($A101,tblEslesme[A_Norm],0)),0))</f>
        <v/>
      </c>
      <c r="D101" s="16">
        <f>IF($A101="","",IFERROR(INDEX(tblKok[KokNeden],MATCH($A101,tblKok[A_Norm],0)),""))</f>
        <v/>
      </c>
      <c r="E101" s="16">
        <f>IF($B101&lt;&gt;"tutar_farki","",IF(ABS($C101)&gt;cbb_esikFark,"YUKSEK","NORMAL"))</f>
        <v/>
      </c>
      <c r="F101" s="16">
        <f>IF($B101&lt;&gt;"tutar_farki","","VKN "&amp;$A101&amp;" için cari↔Ba/Bs fark "&amp;TEXT($C101,"0.00")&amp;" TL. Dayanak: "&amp;$D101&amp;". Düzeltme dosyası üretildi.")</f>
        <v/>
      </c>
      <c r="G101" s="16">
        <f>IF($B101&lt;&gt;"tutar_farki","","Beklemede")</f>
        <v/>
      </c>
    </row>
    <row r="102">
      <c r="A102" s="26">
        <f>IF('KOK_NEDEN'!$A102="","",'KOK_NEDEN'!$A102)</f>
        <v/>
      </c>
      <c r="B102" s="16">
        <f>IF($A102="","",IFERROR(INDEX(tblKok[Kova],MATCH($A102,tblKok[A_Norm],0)),""))</f>
        <v/>
      </c>
      <c r="C102" s="16">
        <f>IF($A102="","",IFERROR(INDEX(tblEslesme[Fark],MATCH($A102,tblEslesme[A_Norm],0)),0))</f>
        <v/>
      </c>
      <c r="D102" s="16">
        <f>IF($A102="","",IFERROR(INDEX(tblKok[KokNeden],MATCH($A102,tblKok[A_Norm],0)),""))</f>
        <v/>
      </c>
      <c r="E102" s="16">
        <f>IF($B102&lt;&gt;"tutar_farki","",IF(ABS($C102)&gt;cbb_esikFark,"YUKSEK","NORMAL"))</f>
        <v/>
      </c>
      <c r="F102" s="16">
        <f>IF($B102&lt;&gt;"tutar_farki","","VKN "&amp;$A102&amp;" için cari↔Ba/Bs fark "&amp;TEXT($C102,"0.00")&amp;" TL. Dayanak: "&amp;$D102&amp;". Düzeltme dosyası üretildi.")</f>
        <v/>
      </c>
      <c r="G102" s="16">
        <f>IF($B102&lt;&gt;"tutar_farki","","Beklemede")</f>
        <v/>
      </c>
    </row>
    <row r="103">
      <c r="A103" s="26">
        <f>IF('KOK_NEDEN'!$A103="","",'KOK_NEDEN'!$A103)</f>
        <v/>
      </c>
      <c r="B103" s="16">
        <f>IF($A103="","",IFERROR(INDEX(tblKok[Kova],MATCH($A103,tblKok[A_Norm],0)),""))</f>
        <v/>
      </c>
      <c r="C103" s="16">
        <f>IF($A103="","",IFERROR(INDEX(tblEslesme[Fark],MATCH($A103,tblEslesme[A_Norm],0)),0))</f>
        <v/>
      </c>
      <c r="D103" s="16">
        <f>IF($A103="","",IFERROR(INDEX(tblKok[KokNeden],MATCH($A103,tblKok[A_Norm],0)),""))</f>
        <v/>
      </c>
      <c r="E103" s="16">
        <f>IF($B103&lt;&gt;"tutar_farki","",IF(ABS($C103)&gt;cbb_esikFark,"YUKSEK","NORMAL"))</f>
        <v/>
      </c>
      <c r="F103" s="16">
        <f>IF($B103&lt;&gt;"tutar_farki","","VKN "&amp;$A103&amp;" için cari↔Ba/Bs fark "&amp;TEXT($C103,"0.00")&amp;" TL. Dayanak: "&amp;$D103&amp;". Düzeltme dosyası üretildi.")</f>
        <v/>
      </c>
      <c r="G103" s="16">
        <f>IF($B103&lt;&gt;"tutar_farki","","Beklemede")</f>
        <v/>
      </c>
    </row>
    <row r="104">
      <c r="A104" s="26">
        <f>IF('KOK_NEDEN'!$A104="","",'KOK_NEDEN'!$A104)</f>
        <v/>
      </c>
      <c r="B104" s="16">
        <f>IF($A104="","",IFERROR(INDEX(tblKok[Kova],MATCH($A104,tblKok[A_Norm],0)),""))</f>
        <v/>
      </c>
      <c r="C104" s="16">
        <f>IF($A104="","",IFERROR(INDEX(tblEslesme[Fark],MATCH($A104,tblEslesme[A_Norm],0)),0))</f>
        <v/>
      </c>
      <c r="D104" s="16">
        <f>IF($A104="","",IFERROR(INDEX(tblKok[KokNeden],MATCH($A104,tblKok[A_Norm],0)),""))</f>
        <v/>
      </c>
      <c r="E104" s="16">
        <f>IF($B104&lt;&gt;"tutar_farki","",IF(ABS($C104)&gt;cbb_esikFark,"YUKSEK","NORMAL"))</f>
        <v/>
      </c>
      <c r="F104" s="16">
        <f>IF($B104&lt;&gt;"tutar_farki","","VKN "&amp;$A104&amp;" için cari↔Ba/Bs fark "&amp;TEXT($C104,"0.00")&amp;" TL. Dayanak: "&amp;$D104&amp;". Düzeltme dosyası üretildi.")</f>
        <v/>
      </c>
      <c r="G104" s="16">
        <f>IF($B104&lt;&gt;"tutar_farki","","Beklemede")</f>
        <v/>
      </c>
    </row>
    <row r="105">
      <c r="A105" s="26">
        <f>IF('KOK_NEDEN'!$A105="","",'KOK_NEDEN'!$A105)</f>
        <v/>
      </c>
      <c r="B105" s="16">
        <f>IF($A105="","",IFERROR(INDEX(tblKok[Kova],MATCH($A105,tblKok[A_Norm],0)),""))</f>
        <v/>
      </c>
      <c r="C105" s="16">
        <f>IF($A105="","",IFERROR(INDEX(tblEslesme[Fark],MATCH($A105,tblEslesme[A_Norm],0)),0))</f>
        <v/>
      </c>
      <c r="D105" s="16">
        <f>IF($A105="","",IFERROR(INDEX(tblKok[KokNeden],MATCH($A105,tblKok[A_Norm],0)),""))</f>
        <v/>
      </c>
      <c r="E105" s="16">
        <f>IF($B105&lt;&gt;"tutar_farki","",IF(ABS($C105)&gt;cbb_esikFark,"YUKSEK","NORMAL"))</f>
        <v/>
      </c>
      <c r="F105" s="16">
        <f>IF($B105&lt;&gt;"tutar_farki","","VKN "&amp;$A105&amp;" için cari↔Ba/Bs fark "&amp;TEXT($C105,"0.00")&amp;" TL. Dayanak: "&amp;$D105&amp;". Düzeltme dosyası üretildi.")</f>
        <v/>
      </c>
      <c r="G105" s="16">
        <f>IF($B105&lt;&gt;"tutar_farki","","Beklemede")</f>
        <v/>
      </c>
    </row>
    <row r="106">
      <c r="A106" s="26">
        <f>IF('KOK_NEDEN'!$A106="","",'KOK_NEDEN'!$A106)</f>
        <v/>
      </c>
      <c r="B106" s="16">
        <f>IF($A106="","",IFERROR(INDEX(tblKok[Kova],MATCH($A106,tblKok[A_Norm],0)),""))</f>
        <v/>
      </c>
      <c r="C106" s="16">
        <f>IF($A106="","",IFERROR(INDEX(tblEslesme[Fark],MATCH($A106,tblEslesme[A_Norm],0)),0))</f>
        <v/>
      </c>
      <c r="D106" s="16">
        <f>IF($A106="","",IFERROR(INDEX(tblKok[KokNeden],MATCH($A106,tblKok[A_Norm],0)),""))</f>
        <v/>
      </c>
      <c r="E106" s="16">
        <f>IF($B106&lt;&gt;"tutar_farki","",IF(ABS($C106)&gt;cbb_esikFark,"YUKSEK","NORMAL"))</f>
        <v/>
      </c>
      <c r="F106" s="16">
        <f>IF($B106&lt;&gt;"tutar_farki","","VKN "&amp;$A106&amp;" için cari↔Ba/Bs fark "&amp;TEXT($C106,"0.00")&amp;" TL. Dayanak: "&amp;$D106&amp;". Düzeltme dosyası üretildi.")</f>
        <v/>
      </c>
      <c r="G106" s="16">
        <f>IF($B106&lt;&gt;"tutar_farki","","Beklemede")</f>
        <v/>
      </c>
    </row>
    <row r="107">
      <c r="A107" s="26">
        <f>IF('KOK_NEDEN'!$A107="","",'KOK_NEDEN'!$A107)</f>
        <v/>
      </c>
      <c r="B107" s="16">
        <f>IF($A107="","",IFERROR(INDEX(tblKok[Kova],MATCH($A107,tblKok[A_Norm],0)),""))</f>
        <v/>
      </c>
      <c r="C107" s="16">
        <f>IF($A107="","",IFERROR(INDEX(tblEslesme[Fark],MATCH($A107,tblEslesme[A_Norm],0)),0))</f>
        <v/>
      </c>
      <c r="D107" s="16">
        <f>IF($A107="","",IFERROR(INDEX(tblKok[KokNeden],MATCH($A107,tblKok[A_Norm],0)),""))</f>
        <v/>
      </c>
      <c r="E107" s="16">
        <f>IF($B107&lt;&gt;"tutar_farki","",IF(ABS($C107)&gt;cbb_esikFark,"YUKSEK","NORMAL"))</f>
        <v/>
      </c>
      <c r="F107" s="16">
        <f>IF($B107&lt;&gt;"tutar_farki","","VKN "&amp;$A107&amp;" için cari↔Ba/Bs fark "&amp;TEXT($C107,"0.00")&amp;" TL. Dayanak: "&amp;$D107&amp;". Düzeltme dosyası üretildi.")</f>
        <v/>
      </c>
      <c r="G107" s="16">
        <f>IF($B107&lt;&gt;"tutar_farki","","Beklemede")</f>
        <v/>
      </c>
    </row>
    <row r="108">
      <c r="A108" s="26">
        <f>IF('KOK_NEDEN'!$A108="","",'KOK_NEDEN'!$A108)</f>
        <v/>
      </c>
      <c r="B108" s="16">
        <f>IF($A108="","",IFERROR(INDEX(tblKok[Kova],MATCH($A108,tblKok[A_Norm],0)),""))</f>
        <v/>
      </c>
      <c r="C108" s="16">
        <f>IF($A108="","",IFERROR(INDEX(tblEslesme[Fark],MATCH($A108,tblEslesme[A_Norm],0)),0))</f>
        <v/>
      </c>
      <c r="D108" s="16">
        <f>IF($A108="","",IFERROR(INDEX(tblKok[KokNeden],MATCH($A108,tblKok[A_Norm],0)),""))</f>
        <v/>
      </c>
      <c r="E108" s="16">
        <f>IF($B108&lt;&gt;"tutar_farki","",IF(ABS($C108)&gt;cbb_esikFark,"YUKSEK","NORMAL"))</f>
        <v/>
      </c>
      <c r="F108" s="16">
        <f>IF($B108&lt;&gt;"tutar_farki","","VKN "&amp;$A108&amp;" için cari↔Ba/Bs fark "&amp;TEXT($C108,"0.00")&amp;" TL. Dayanak: "&amp;$D108&amp;". Düzeltme dosyası üretildi.")</f>
        <v/>
      </c>
      <c r="G108" s="16">
        <f>IF($B108&lt;&gt;"tutar_farki","","Beklemede")</f>
        <v/>
      </c>
    </row>
    <row r="109">
      <c r="A109" s="26">
        <f>IF('KOK_NEDEN'!$A109="","",'KOK_NEDEN'!$A109)</f>
        <v/>
      </c>
      <c r="B109" s="16">
        <f>IF($A109="","",IFERROR(INDEX(tblKok[Kova],MATCH($A109,tblKok[A_Norm],0)),""))</f>
        <v/>
      </c>
      <c r="C109" s="16">
        <f>IF($A109="","",IFERROR(INDEX(tblEslesme[Fark],MATCH($A109,tblEslesme[A_Norm],0)),0))</f>
        <v/>
      </c>
      <c r="D109" s="16">
        <f>IF($A109="","",IFERROR(INDEX(tblKok[KokNeden],MATCH($A109,tblKok[A_Norm],0)),""))</f>
        <v/>
      </c>
      <c r="E109" s="16">
        <f>IF($B109&lt;&gt;"tutar_farki","",IF(ABS($C109)&gt;cbb_esikFark,"YUKSEK","NORMAL"))</f>
        <v/>
      </c>
      <c r="F109" s="16">
        <f>IF($B109&lt;&gt;"tutar_farki","","VKN "&amp;$A109&amp;" için cari↔Ba/Bs fark "&amp;TEXT($C109,"0.00")&amp;" TL. Dayanak: "&amp;$D109&amp;". Düzeltme dosyası üretildi.")</f>
        <v/>
      </c>
      <c r="G109" s="16">
        <f>IF($B109&lt;&gt;"tutar_farki","","Beklemede")</f>
        <v/>
      </c>
    </row>
    <row r="110">
      <c r="A110" s="26">
        <f>IF('KOK_NEDEN'!$A110="","",'KOK_NEDEN'!$A110)</f>
        <v/>
      </c>
      <c r="B110" s="16">
        <f>IF($A110="","",IFERROR(INDEX(tblKok[Kova],MATCH($A110,tblKok[A_Norm],0)),""))</f>
        <v/>
      </c>
      <c r="C110" s="16">
        <f>IF($A110="","",IFERROR(INDEX(tblEslesme[Fark],MATCH($A110,tblEslesme[A_Norm],0)),0))</f>
        <v/>
      </c>
      <c r="D110" s="16">
        <f>IF($A110="","",IFERROR(INDEX(tblKok[KokNeden],MATCH($A110,tblKok[A_Norm],0)),""))</f>
        <v/>
      </c>
      <c r="E110" s="16">
        <f>IF($B110&lt;&gt;"tutar_farki","",IF(ABS($C110)&gt;cbb_esikFark,"YUKSEK","NORMAL"))</f>
        <v/>
      </c>
      <c r="F110" s="16">
        <f>IF($B110&lt;&gt;"tutar_farki","","VKN "&amp;$A110&amp;" için cari↔Ba/Bs fark "&amp;TEXT($C110,"0.00")&amp;" TL. Dayanak: "&amp;$D110&amp;". Düzeltme dosyası üretildi.")</f>
        <v/>
      </c>
      <c r="G110" s="16">
        <f>IF($B110&lt;&gt;"tutar_farki","","Beklemede")</f>
        <v/>
      </c>
    </row>
    <row r="111">
      <c r="A111" s="26">
        <f>IF('KOK_NEDEN'!$A111="","",'KOK_NEDEN'!$A111)</f>
        <v/>
      </c>
      <c r="B111" s="16">
        <f>IF($A111="","",IFERROR(INDEX(tblKok[Kova],MATCH($A111,tblKok[A_Norm],0)),""))</f>
        <v/>
      </c>
      <c r="C111" s="16">
        <f>IF($A111="","",IFERROR(INDEX(tblEslesme[Fark],MATCH($A111,tblEslesme[A_Norm],0)),0))</f>
        <v/>
      </c>
      <c r="D111" s="16">
        <f>IF($A111="","",IFERROR(INDEX(tblKok[KokNeden],MATCH($A111,tblKok[A_Norm],0)),""))</f>
        <v/>
      </c>
      <c r="E111" s="16">
        <f>IF($B111&lt;&gt;"tutar_farki","",IF(ABS($C111)&gt;cbb_esikFark,"YUKSEK","NORMAL"))</f>
        <v/>
      </c>
      <c r="F111" s="16">
        <f>IF($B111&lt;&gt;"tutar_farki","","VKN "&amp;$A111&amp;" için cari↔Ba/Bs fark "&amp;TEXT($C111,"0.00")&amp;" TL. Dayanak: "&amp;$D111&amp;". Düzeltme dosyası üretildi.")</f>
        <v/>
      </c>
      <c r="G111" s="16">
        <f>IF($B111&lt;&gt;"tutar_farki","","Beklemede")</f>
        <v/>
      </c>
    </row>
    <row r="112">
      <c r="A112" s="26">
        <f>IF('KOK_NEDEN'!$A112="","",'KOK_NEDEN'!$A112)</f>
        <v/>
      </c>
      <c r="B112" s="16">
        <f>IF($A112="","",IFERROR(INDEX(tblKok[Kova],MATCH($A112,tblKok[A_Norm],0)),""))</f>
        <v/>
      </c>
      <c r="C112" s="16">
        <f>IF($A112="","",IFERROR(INDEX(tblEslesme[Fark],MATCH($A112,tblEslesme[A_Norm],0)),0))</f>
        <v/>
      </c>
      <c r="D112" s="16">
        <f>IF($A112="","",IFERROR(INDEX(tblKok[KokNeden],MATCH($A112,tblKok[A_Norm],0)),""))</f>
        <v/>
      </c>
      <c r="E112" s="16">
        <f>IF($B112&lt;&gt;"tutar_farki","",IF(ABS($C112)&gt;cbb_esikFark,"YUKSEK","NORMAL"))</f>
        <v/>
      </c>
      <c r="F112" s="16">
        <f>IF($B112&lt;&gt;"tutar_farki","","VKN "&amp;$A112&amp;" için cari↔Ba/Bs fark "&amp;TEXT($C112,"0.00")&amp;" TL. Dayanak: "&amp;$D112&amp;". Düzeltme dosyası üretildi.")</f>
        <v/>
      </c>
      <c r="G112" s="16">
        <f>IF($B112&lt;&gt;"tutar_farki","","Beklemede")</f>
        <v/>
      </c>
    </row>
    <row r="113">
      <c r="A113" s="26">
        <f>IF('KOK_NEDEN'!$A113="","",'KOK_NEDEN'!$A113)</f>
        <v/>
      </c>
      <c r="B113" s="16">
        <f>IF($A113="","",IFERROR(INDEX(tblKok[Kova],MATCH($A113,tblKok[A_Norm],0)),""))</f>
        <v/>
      </c>
      <c r="C113" s="16">
        <f>IF($A113="","",IFERROR(INDEX(tblEslesme[Fark],MATCH($A113,tblEslesme[A_Norm],0)),0))</f>
        <v/>
      </c>
      <c r="D113" s="16">
        <f>IF($A113="","",IFERROR(INDEX(tblKok[KokNeden],MATCH($A113,tblKok[A_Norm],0)),""))</f>
        <v/>
      </c>
      <c r="E113" s="16">
        <f>IF($B113&lt;&gt;"tutar_farki","",IF(ABS($C113)&gt;cbb_esikFark,"YUKSEK","NORMAL"))</f>
        <v/>
      </c>
      <c r="F113" s="16">
        <f>IF($B113&lt;&gt;"tutar_farki","","VKN "&amp;$A113&amp;" için cari↔Ba/Bs fark "&amp;TEXT($C113,"0.00")&amp;" TL. Dayanak: "&amp;$D113&amp;". Düzeltme dosyası üretildi.")</f>
        <v/>
      </c>
      <c r="G113" s="16">
        <f>IF($B113&lt;&gt;"tutar_farki","","Beklemede")</f>
        <v/>
      </c>
    </row>
    <row r="114">
      <c r="A114" s="26">
        <f>IF('KOK_NEDEN'!$A114="","",'KOK_NEDEN'!$A114)</f>
        <v/>
      </c>
      <c r="B114" s="16">
        <f>IF($A114="","",IFERROR(INDEX(tblKok[Kova],MATCH($A114,tblKok[A_Norm],0)),""))</f>
        <v/>
      </c>
      <c r="C114" s="16">
        <f>IF($A114="","",IFERROR(INDEX(tblEslesme[Fark],MATCH($A114,tblEslesme[A_Norm],0)),0))</f>
        <v/>
      </c>
      <c r="D114" s="16">
        <f>IF($A114="","",IFERROR(INDEX(tblKok[KokNeden],MATCH($A114,tblKok[A_Norm],0)),""))</f>
        <v/>
      </c>
      <c r="E114" s="16">
        <f>IF($B114&lt;&gt;"tutar_farki","",IF(ABS($C114)&gt;cbb_esikFark,"YUKSEK","NORMAL"))</f>
        <v/>
      </c>
      <c r="F114" s="16">
        <f>IF($B114&lt;&gt;"tutar_farki","","VKN "&amp;$A114&amp;" için cari↔Ba/Bs fark "&amp;TEXT($C114,"0.00")&amp;" TL. Dayanak: "&amp;$D114&amp;". Düzeltme dosyası üretildi.")</f>
        <v/>
      </c>
      <c r="G114" s="16">
        <f>IF($B114&lt;&gt;"tutar_farki","","Beklemede")</f>
        <v/>
      </c>
    </row>
    <row r="115">
      <c r="A115" s="26">
        <f>IF('KOK_NEDEN'!$A115="","",'KOK_NEDEN'!$A115)</f>
        <v/>
      </c>
      <c r="B115" s="16">
        <f>IF($A115="","",IFERROR(INDEX(tblKok[Kova],MATCH($A115,tblKok[A_Norm],0)),""))</f>
        <v/>
      </c>
      <c r="C115" s="16">
        <f>IF($A115="","",IFERROR(INDEX(tblEslesme[Fark],MATCH($A115,tblEslesme[A_Norm],0)),0))</f>
        <v/>
      </c>
      <c r="D115" s="16">
        <f>IF($A115="","",IFERROR(INDEX(tblKok[KokNeden],MATCH($A115,tblKok[A_Norm],0)),""))</f>
        <v/>
      </c>
      <c r="E115" s="16">
        <f>IF($B115&lt;&gt;"tutar_farki","",IF(ABS($C115)&gt;cbb_esikFark,"YUKSEK","NORMAL"))</f>
        <v/>
      </c>
      <c r="F115" s="16">
        <f>IF($B115&lt;&gt;"tutar_farki","","VKN "&amp;$A115&amp;" için cari↔Ba/Bs fark "&amp;TEXT($C115,"0.00")&amp;" TL. Dayanak: "&amp;$D115&amp;". Düzeltme dosyası üretildi.")</f>
        <v/>
      </c>
      <c r="G115" s="16">
        <f>IF($B115&lt;&gt;"tutar_farki","","Beklemede")</f>
        <v/>
      </c>
    </row>
    <row r="116">
      <c r="A116" s="26">
        <f>IF('KOK_NEDEN'!$A116="","",'KOK_NEDEN'!$A116)</f>
        <v/>
      </c>
      <c r="B116" s="16">
        <f>IF($A116="","",IFERROR(INDEX(tblKok[Kova],MATCH($A116,tblKok[A_Norm],0)),""))</f>
        <v/>
      </c>
      <c r="C116" s="16">
        <f>IF($A116="","",IFERROR(INDEX(tblEslesme[Fark],MATCH($A116,tblEslesme[A_Norm],0)),0))</f>
        <v/>
      </c>
      <c r="D116" s="16">
        <f>IF($A116="","",IFERROR(INDEX(tblKok[KokNeden],MATCH($A116,tblKok[A_Norm],0)),""))</f>
        <v/>
      </c>
      <c r="E116" s="16">
        <f>IF($B116&lt;&gt;"tutar_farki","",IF(ABS($C116)&gt;cbb_esikFark,"YUKSEK","NORMAL"))</f>
        <v/>
      </c>
      <c r="F116" s="16">
        <f>IF($B116&lt;&gt;"tutar_farki","","VKN "&amp;$A116&amp;" için cari↔Ba/Bs fark "&amp;TEXT($C116,"0.00")&amp;" TL. Dayanak: "&amp;$D116&amp;". Düzeltme dosyası üretildi.")</f>
        <v/>
      </c>
      <c r="G116" s="16">
        <f>IF($B116&lt;&gt;"tutar_farki","","Beklemede")</f>
        <v/>
      </c>
    </row>
    <row r="117">
      <c r="A117" s="26">
        <f>IF('KOK_NEDEN'!$A117="","",'KOK_NEDEN'!$A117)</f>
        <v/>
      </c>
      <c r="B117" s="16">
        <f>IF($A117="","",IFERROR(INDEX(tblKok[Kova],MATCH($A117,tblKok[A_Norm],0)),""))</f>
        <v/>
      </c>
      <c r="C117" s="16">
        <f>IF($A117="","",IFERROR(INDEX(tblEslesme[Fark],MATCH($A117,tblEslesme[A_Norm],0)),0))</f>
        <v/>
      </c>
      <c r="D117" s="16">
        <f>IF($A117="","",IFERROR(INDEX(tblKok[KokNeden],MATCH($A117,tblKok[A_Norm],0)),""))</f>
        <v/>
      </c>
      <c r="E117" s="16">
        <f>IF($B117&lt;&gt;"tutar_farki","",IF(ABS($C117)&gt;cbb_esikFark,"YUKSEK","NORMAL"))</f>
        <v/>
      </c>
      <c r="F117" s="16">
        <f>IF($B117&lt;&gt;"tutar_farki","","VKN "&amp;$A117&amp;" için cari↔Ba/Bs fark "&amp;TEXT($C117,"0.00")&amp;" TL. Dayanak: "&amp;$D117&amp;". Düzeltme dosyası üretildi.")</f>
        <v/>
      </c>
      <c r="G117" s="16">
        <f>IF($B117&lt;&gt;"tutar_farki","","Beklemede")</f>
        <v/>
      </c>
    </row>
    <row r="118">
      <c r="A118" s="26">
        <f>IF('KOK_NEDEN'!$A118="","",'KOK_NEDEN'!$A118)</f>
        <v/>
      </c>
      <c r="B118" s="16">
        <f>IF($A118="","",IFERROR(INDEX(tblKok[Kova],MATCH($A118,tblKok[A_Norm],0)),""))</f>
        <v/>
      </c>
      <c r="C118" s="16">
        <f>IF($A118="","",IFERROR(INDEX(tblEslesme[Fark],MATCH($A118,tblEslesme[A_Norm],0)),0))</f>
        <v/>
      </c>
      <c r="D118" s="16">
        <f>IF($A118="","",IFERROR(INDEX(tblKok[KokNeden],MATCH($A118,tblKok[A_Norm],0)),""))</f>
        <v/>
      </c>
      <c r="E118" s="16">
        <f>IF($B118&lt;&gt;"tutar_farki","",IF(ABS($C118)&gt;cbb_esikFark,"YUKSEK","NORMAL"))</f>
        <v/>
      </c>
      <c r="F118" s="16">
        <f>IF($B118&lt;&gt;"tutar_farki","","VKN "&amp;$A118&amp;" için cari↔Ba/Bs fark "&amp;TEXT($C118,"0.00")&amp;" TL. Dayanak: "&amp;$D118&amp;". Düzeltme dosyası üretildi.")</f>
        <v/>
      </c>
      <c r="G118" s="16">
        <f>IF($B118&lt;&gt;"tutar_farki","","Beklemede")</f>
        <v/>
      </c>
    </row>
    <row r="119">
      <c r="A119" s="26">
        <f>IF('KOK_NEDEN'!$A119="","",'KOK_NEDEN'!$A119)</f>
        <v/>
      </c>
      <c r="B119" s="16">
        <f>IF($A119="","",IFERROR(INDEX(tblKok[Kova],MATCH($A119,tblKok[A_Norm],0)),""))</f>
        <v/>
      </c>
      <c r="C119" s="16">
        <f>IF($A119="","",IFERROR(INDEX(tblEslesme[Fark],MATCH($A119,tblEslesme[A_Norm],0)),0))</f>
        <v/>
      </c>
      <c r="D119" s="16">
        <f>IF($A119="","",IFERROR(INDEX(tblKok[KokNeden],MATCH($A119,tblKok[A_Norm],0)),""))</f>
        <v/>
      </c>
      <c r="E119" s="16">
        <f>IF($B119&lt;&gt;"tutar_farki","",IF(ABS($C119)&gt;cbb_esikFark,"YUKSEK","NORMAL"))</f>
        <v/>
      </c>
      <c r="F119" s="16">
        <f>IF($B119&lt;&gt;"tutar_farki","","VKN "&amp;$A119&amp;" için cari↔Ba/Bs fark "&amp;TEXT($C119,"0.00")&amp;" TL. Dayanak: "&amp;$D119&amp;". Düzeltme dosyası üretildi.")</f>
        <v/>
      </c>
      <c r="G119" s="16">
        <f>IF($B119&lt;&gt;"tutar_farki","","Beklemede")</f>
        <v/>
      </c>
    </row>
    <row r="120">
      <c r="A120" s="26">
        <f>IF('KOK_NEDEN'!$A120="","",'KOK_NEDEN'!$A120)</f>
        <v/>
      </c>
      <c r="B120" s="16">
        <f>IF($A120="","",IFERROR(INDEX(tblKok[Kova],MATCH($A120,tblKok[A_Norm],0)),""))</f>
        <v/>
      </c>
      <c r="C120" s="16">
        <f>IF($A120="","",IFERROR(INDEX(tblEslesme[Fark],MATCH($A120,tblEslesme[A_Norm],0)),0))</f>
        <v/>
      </c>
      <c r="D120" s="16">
        <f>IF($A120="","",IFERROR(INDEX(tblKok[KokNeden],MATCH($A120,tblKok[A_Norm],0)),""))</f>
        <v/>
      </c>
      <c r="E120" s="16">
        <f>IF($B120&lt;&gt;"tutar_farki","",IF(ABS($C120)&gt;cbb_esikFark,"YUKSEK","NORMAL"))</f>
        <v/>
      </c>
      <c r="F120" s="16">
        <f>IF($B120&lt;&gt;"tutar_farki","","VKN "&amp;$A120&amp;" için cari↔Ba/Bs fark "&amp;TEXT($C120,"0.00")&amp;" TL. Dayanak: "&amp;$D120&amp;". Düzeltme dosyası üretildi.")</f>
        <v/>
      </c>
      <c r="G120" s="16">
        <f>IF($B120&lt;&gt;"tutar_farki","","Beklemede")</f>
        <v/>
      </c>
    </row>
    <row r="121">
      <c r="A121" s="26">
        <f>IF('KOK_NEDEN'!$A121="","",'KOK_NEDEN'!$A121)</f>
        <v/>
      </c>
      <c r="B121" s="16">
        <f>IF($A121="","",IFERROR(INDEX(tblKok[Kova],MATCH($A121,tblKok[A_Norm],0)),""))</f>
        <v/>
      </c>
      <c r="C121" s="16">
        <f>IF($A121="","",IFERROR(INDEX(tblEslesme[Fark],MATCH($A121,tblEslesme[A_Norm],0)),0))</f>
        <v/>
      </c>
      <c r="D121" s="16">
        <f>IF($A121="","",IFERROR(INDEX(tblKok[KokNeden],MATCH($A121,tblKok[A_Norm],0)),""))</f>
        <v/>
      </c>
      <c r="E121" s="16">
        <f>IF($B121&lt;&gt;"tutar_farki","",IF(ABS($C121)&gt;cbb_esikFark,"YUKSEK","NORMAL"))</f>
        <v/>
      </c>
      <c r="F121" s="16">
        <f>IF($B121&lt;&gt;"tutar_farki","","VKN "&amp;$A121&amp;" için cari↔Ba/Bs fark "&amp;TEXT($C121,"0.00")&amp;" TL. Dayanak: "&amp;$D121&amp;". Düzeltme dosyası üretildi.")</f>
        <v/>
      </c>
      <c r="G121" s="16">
        <f>IF($B121&lt;&gt;"tutar_farki","","Beklemede")</f>
        <v/>
      </c>
    </row>
    <row r="122">
      <c r="A122" s="26">
        <f>IF('KOK_NEDEN'!$A122="","",'KOK_NEDEN'!$A122)</f>
        <v/>
      </c>
      <c r="B122" s="16">
        <f>IF($A122="","",IFERROR(INDEX(tblKok[Kova],MATCH($A122,tblKok[A_Norm],0)),""))</f>
        <v/>
      </c>
      <c r="C122" s="16">
        <f>IF($A122="","",IFERROR(INDEX(tblEslesme[Fark],MATCH($A122,tblEslesme[A_Norm],0)),0))</f>
        <v/>
      </c>
      <c r="D122" s="16">
        <f>IF($A122="","",IFERROR(INDEX(tblKok[KokNeden],MATCH($A122,tblKok[A_Norm],0)),""))</f>
        <v/>
      </c>
      <c r="E122" s="16">
        <f>IF($B122&lt;&gt;"tutar_farki","",IF(ABS($C122)&gt;cbb_esikFark,"YUKSEK","NORMAL"))</f>
        <v/>
      </c>
      <c r="F122" s="16">
        <f>IF($B122&lt;&gt;"tutar_farki","","VKN "&amp;$A122&amp;" için cari↔Ba/Bs fark "&amp;TEXT($C122,"0.00")&amp;" TL. Dayanak: "&amp;$D122&amp;". Düzeltme dosyası üretildi.")</f>
        <v/>
      </c>
      <c r="G122" s="16">
        <f>IF($B122&lt;&gt;"tutar_farki","","Beklemede")</f>
        <v/>
      </c>
    </row>
    <row r="123">
      <c r="A123" s="26">
        <f>IF('KOK_NEDEN'!$A123="","",'KOK_NEDEN'!$A123)</f>
        <v/>
      </c>
      <c r="B123" s="16">
        <f>IF($A123="","",IFERROR(INDEX(tblKok[Kova],MATCH($A123,tblKok[A_Norm],0)),""))</f>
        <v/>
      </c>
      <c r="C123" s="16">
        <f>IF($A123="","",IFERROR(INDEX(tblEslesme[Fark],MATCH($A123,tblEslesme[A_Norm],0)),0))</f>
        <v/>
      </c>
      <c r="D123" s="16">
        <f>IF($A123="","",IFERROR(INDEX(tblKok[KokNeden],MATCH($A123,tblKok[A_Norm],0)),""))</f>
        <v/>
      </c>
      <c r="E123" s="16">
        <f>IF($B123&lt;&gt;"tutar_farki","",IF(ABS($C123)&gt;cbb_esikFark,"YUKSEK","NORMAL"))</f>
        <v/>
      </c>
      <c r="F123" s="16">
        <f>IF($B123&lt;&gt;"tutar_farki","","VKN "&amp;$A123&amp;" için cari↔Ba/Bs fark "&amp;TEXT($C123,"0.00")&amp;" TL. Dayanak: "&amp;$D123&amp;". Düzeltme dosyası üretildi.")</f>
        <v/>
      </c>
      <c r="G123" s="16">
        <f>IF($B123&lt;&gt;"tutar_farki","","Beklemede")</f>
        <v/>
      </c>
    </row>
    <row r="124">
      <c r="A124" s="26">
        <f>IF('KOK_NEDEN'!$A124="","",'KOK_NEDEN'!$A124)</f>
        <v/>
      </c>
      <c r="B124" s="16">
        <f>IF($A124="","",IFERROR(INDEX(tblKok[Kova],MATCH($A124,tblKok[A_Norm],0)),""))</f>
        <v/>
      </c>
      <c r="C124" s="16">
        <f>IF($A124="","",IFERROR(INDEX(tblEslesme[Fark],MATCH($A124,tblEslesme[A_Norm],0)),0))</f>
        <v/>
      </c>
      <c r="D124" s="16">
        <f>IF($A124="","",IFERROR(INDEX(tblKok[KokNeden],MATCH($A124,tblKok[A_Norm],0)),""))</f>
        <v/>
      </c>
      <c r="E124" s="16">
        <f>IF($B124&lt;&gt;"tutar_farki","",IF(ABS($C124)&gt;cbb_esikFark,"YUKSEK","NORMAL"))</f>
        <v/>
      </c>
      <c r="F124" s="16">
        <f>IF($B124&lt;&gt;"tutar_farki","","VKN "&amp;$A124&amp;" için cari↔Ba/Bs fark "&amp;TEXT($C124,"0.00")&amp;" TL. Dayanak: "&amp;$D124&amp;". Düzeltme dosyası üretildi.")</f>
        <v/>
      </c>
      <c r="G124" s="16">
        <f>IF($B124&lt;&gt;"tutar_farki","","Beklemede")</f>
        <v/>
      </c>
    </row>
    <row r="125">
      <c r="A125" s="26">
        <f>IF('KOK_NEDEN'!$A125="","",'KOK_NEDEN'!$A125)</f>
        <v/>
      </c>
      <c r="B125" s="16">
        <f>IF($A125="","",IFERROR(INDEX(tblKok[Kova],MATCH($A125,tblKok[A_Norm],0)),""))</f>
        <v/>
      </c>
      <c r="C125" s="16">
        <f>IF($A125="","",IFERROR(INDEX(tblEslesme[Fark],MATCH($A125,tblEslesme[A_Norm],0)),0))</f>
        <v/>
      </c>
      <c r="D125" s="16">
        <f>IF($A125="","",IFERROR(INDEX(tblKok[KokNeden],MATCH($A125,tblKok[A_Norm],0)),""))</f>
        <v/>
      </c>
      <c r="E125" s="16">
        <f>IF($B125&lt;&gt;"tutar_farki","",IF(ABS($C125)&gt;cbb_esikFark,"YUKSEK","NORMAL"))</f>
        <v/>
      </c>
      <c r="F125" s="16">
        <f>IF($B125&lt;&gt;"tutar_farki","","VKN "&amp;$A125&amp;" için cari↔Ba/Bs fark "&amp;TEXT($C125,"0.00")&amp;" TL. Dayanak: "&amp;$D125&amp;". Düzeltme dosyası üretildi.")</f>
        <v/>
      </c>
      <c r="G125" s="16">
        <f>IF($B125&lt;&gt;"tutar_farki","","Beklemede")</f>
        <v/>
      </c>
    </row>
    <row r="126">
      <c r="A126" s="26">
        <f>IF('KOK_NEDEN'!$A126="","",'KOK_NEDEN'!$A126)</f>
        <v/>
      </c>
      <c r="B126" s="16">
        <f>IF($A126="","",IFERROR(INDEX(tblKok[Kova],MATCH($A126,tblKok[A_Norm],0)),""))</f>
        <v/>
      </c>
      <c r="C126" s="16">
        <f>IF($A126="","",IFERROR(INDEX(tblEslesme[Fark],MATCH($A126,tblEslesme[A_Norm],0)),0))</f>
        <v/>
      </c>
      <c r="D126" s="16">
        <f>IF($A126="","",IFERROR(INDEX(tblKok[KokNeden],MATCH($A126,tblKok[A_Norm],0)),""))</f>
        <v/>
      </c>
      <c r="E126" s="16">
        <f>IF($B126&lt;&gt;"tutar_farki","",IF(ABS($C126)&gt;cbb_esikFark,"YUKSEK","NORMAL"))</f>
        <v/>
      </c>
      <c r="F126" s="16">
        <f>IF($B126&lt;&gt;"tutar_farki","","VKN "&amp;$A126&amp;" için cari↔Ba/Bs fark "&amp;TEXT($C126,"0.00")&amp;" TL. Dayanak: "&amp;$D126&amp;". Düzeltme dosyası üretildi.")</f>
        <v/>
      </c>
      <c r="G126" s="16">
        <f>IF($B126&lt;&gt;"tutar_farki","","Beklemede")</f>
        <v/>
      </c>
    </row>
    <row r="127">
      <c r="A127" s="26">
        <f>IF('KOK_NEDEN'!$A127="","",'KOK_NEDEN'!$A127)</f>
        <v/>
      </c>
      <c r="B127" s="16">
        <f>IF($A127="","",IFERROR(INDEX(tblKok[Kova],MATCH($A127,tblKok[A_Norm],0)),""))</f>
        <v/>
      </c>
      <c r="C127" s="16">
        <f>IF($A127="","",IFERROR(INDEX(tblEslesme[Fark],MATCH($A127,tblEslesme[A_Norm],0)),0))</f>
        <v/>
      </c>
      <c r="D127" s="16">
        <f>IF($A127="","",IFERROR(INDEX(tblKok[KokNeden],MATCH($A127,tblKok[A_Norm],0)),""))</f>
        <v/>
      </c>
      <c r="E127" s="16">
        <f>IF($B127&lt;&gt;"tutar_farki","",IF(ABS($C127)&gt;cbb_esikFark,"YUKSEK","NORMAL"))</f>
        <v/>
      </c>
      <c r="F127" s="16">
        <f>IF($B127&lt;&gt;"tutar_farki","","VKN "&amp;$A127&amp;" için cari↔Ba/Bs fark "&amp;TEXT($C127,"0.00")&amp;" TL. Dayanak: "&amp;$D127&amp;". Düzeltme dosyası üretildi.")</f>
        <v/>
      </c>
      <c r="G127" s="16">
        <f>IF($B127&lt;&gt;"tutar_farki","","Beklemede")</f>
        <v/>
      </c>
    </row>
    <row r="128">
      <c r="A128" s="26">
        <f>IF('KOK_NEDEN'!$A128="","",'KOK_NEDEN'!$A128)</f>
        <v/>
      </c>
      <c r="B128" s="16">
        <f>IF($A128="","",IFERROR(INDEX(tblKok[Kova],MATCH($A128,tblKok[A_Norm],0)),""))</f>
        <v/>
      </c>
      <c r="C128" s="16">
        <f>IF($A128="","",IFERROR(INDEX(tblEslesme[Fark],MATCH($A128,tblEslesme[A_Norm],0)),0))</f>
        <v/>
      </c>
      <c r="D128" s="16">
        <f>IF($A128="","",IFERROR(INDEX(tblKok[KokNeden],MATCH($A128,tblKok[A_Norm],0)),""))</f>
        <v/>
      </c>
      <c r="E128" s="16">
        <f>IF($B128&lt;&gt;"tutar_farki","",IF(ABS($C128)&gt;cbb_esikFark,"YUKSEK","NORMAL"))</f>
        <v/>
      </c>
      <c r="F128" s="16">
        <f>IF($B128&lt;&gt;"tutar_farki","","VKN "&amp;$A128&amp;" için cari↔Ba/Bs fark "&amp;TEXT($C128,"0.00")&amp;" TL. Dayanak: "&amp;$D128&amp;". Düzeltme dosyası üretildi.")</f>
        <v/>
      </c>
      <c r="G128" s="16">
        <f>IF($B128&lt;&gt;"tutar_farki","","Beklemede")</f>
        <v/>
      </c>
    </row>
    <row r="129">
      <c r="A129" s="26">
        <f>IF('KOK_NEDEN'!$A129="","",'KOK_NEDEN'!$A129)</f>
        <v/>
      </c>
      <c r="B129" s="16">
        <f>IF($A129="","",IFERROR(INDEX(tblKok[Kova],MATCH($A129,tblKok[A_Norm],0)),""))</f>
        <v/>
      </c>
      <c r="C129" s="16">
        <f>IF($A129="","",IFERROR(INDEX(tblEslesme[Fark],MATCH($A129,tblEslesme[A_Norm],0)),0))</f>
        <v/>
      </c>
      <c r="D129" s="16">
        <f>IF($A129="","",IFERROR(INDEX(tblKok[KokNeden],MATCH($A129,tblKok[A_Norm],0)),""))</f>
        <v/>
      </c>
      <c r="E129" s="16">
        <f>IF($B129&lt;&gt;"tutar_farki","",IF(ABS($C129)&gt;cbb_esikFark,"YUKSEK","NORMAL"))</f>
        <v/>
      </c>
      <c r="F129" s="16">
        <f>IF($B129&lt;&gt;"tutar_farki","","VKN "&amp;$A129&amp;" için cari↔Ba/Bs fark "&amp;TEXT($C129,"0.00")&amp;" TL. Dayanak: "&amp;$D129&amp;". Düzeltme dosyası üretildi.")</f>
        <v/>
      </c>
      <c r="G129" s="16">
        <f>IF($B129&lt;&gt;"tutar_farki","","Beklemede")</f>
        <v/>
      </c>
    </row>
    <row r="130">
      <c r="A130" s="26">
        <f>IF('KOK_NEDEN'!$A130="","",'KOK_NEDEN'!$A130)</f>
        <v/>
      </c>
      <c r="B130" s="16">
        <f>IF($A130="","",IFERROR(INDEX(tblKok[Kova],MATCH($A130,tblKok[A_Norm],0)),""))</f>
        <v/>
      </c>
      <c r="C130" s="16">
        <f>IF($A130="","",IFERROR(INDEX(tblEslesme[Fark],MATCH($A130,tblEslesme[A_Norm],0)),0))</f>
        <v/>
      </c>
      <c r="D130" s="16">
        <f>IF($A130="","",IFERROR(INDEX(tblKok[KokNeden],MATCH($A130,tblKok[A_Norm],0)),""))</f>
        <v/>
      </c>
      <c r="E130" s="16">
        <f>IF($B130&lt;&gt;"tutar_farki","",IF(ABS($C130)&gt;cbb_esikFark,"YUKSEK","NORMAL"))</f>
        <v/>
      </c>
      <c r="F130" s="16">
        <f>IF($B130&lt;&gt;"tutar_farki","","VKN "&amp;$A130&amp;" için cari↔Ba/Bs fark "&amp;TEXT($C130,"0.00")&amp;" TL. Dayanak: "&amp;$D130&amp;". Düzeltme dosyası üretildi.")</f>
        <v/>
      </c>
      <c r="G130" s="16">
        <f>IF($B130&lt;&gt;"tutar_farki","","Beklemede")</f>
        <v/>
      </c>
    </row>
    <row r="131">
      <c r="A131" s="26">
        <f>IF('KOK_NEDEN'!$A131="","",'KOK_NEDEN'!$A131)</f>
        <v/>
      </c>
      <c r="B131" s="16">
        <f>IF($A131="","",IFERROR(INDEX(tblKok[Kova],MATCH($A131,tblKok[A_Norm],0)),""))</f>
        <v/>
      </c>
      <c r="C131" s="16">
        <f>IF($A131="","",IFERROR(INDEX(tblEslesme[Fark],MATCH($A131,tblEslesme[A_Norm],0)),0))</f>
        <v/>
      </c>
      <c r="D131" s="16">
        <f>IF($A131="","",IFERROR(INDEX(tblKok[KokNeden],MATCH($A131,tblKok[A_Norm],0)),""))</f>
        <v/>
      </c>
      <c r="E131" s="16">
        <f>IF($B131&lt;&gt;"tutar_farki","",IF(ABS($C131)&gt;cbb_esikFark,"YUKSEK","NORMAL"))</f>
        <v/>
      </c>
      <c r="F131" s="16">
        <f>IF($B131&lt;&gt;"tutar_farki","","VKN "&amp;$A131&amp;" için cari↔Ba/Bs fark "&amp;TEXT($C131,"0.00")&amp;" TL. Dayanak: "&amp;$D131&amp;". Düzeltme dosyası üretildi.")</f>
        <v/>
      </c>
      <c r="G131" s="16">
        <f>IF($B131&lt;&gt;"tutar_farki","","Beklemede")</f>
        <v/>
      </c>
    </row>
    <row r="132">
      <c r="A132" s="26">
        <f>IF('KOK_NEDEN'!$A132="","",'KOK_NEDEN'!$A132)</f>
        <v/>
      </c>
      <c r="B132" s="16">
        <f>IF($A132="","",IFERROR(INDEX(tblKok[Kova],MATCH($A132,tblKok[A_Norm],0)),""))</f>
        <v/>
      </c>
      <c r="C132" s="16">
        <f>IF($A132="","",IFERROR(INDEX(tblEslesme[Fark],MATCH($A132,tblEslesme[A_Norm],0)),0))</f>
        <v/>
      </c>
      <c r="D132" s="16">
        <f>IF($A132="","",IFERROR(INDEX(tblKok[KokNeden],MATCH($A132,tblKok[A_Norm],0)),""))</f>
        <v/>
      </c>
      <c r="E132" s="16">
        <f>IF($B132&lt;&gt;"tutar_farki","",IF(ABS($C132)&gt;cbb_esikFark,"YUKSEK","NORMAL"))</f>
        <v/>
      </c>
      <c r="F132" s="16">
        <f>IF($B132&lt;&gt;"tutar_farki","","VKN "&amp;$A132&amp;" için cari↔Ba/Bs fark "&amp;TEXT($C132,"0.00")&amp;" TL. Dayanak: "&amp;$D132&amp;". Düzeltme dosyası üretildi.")</f>
        <v/>
      </c>
      <c r="G132" s="16">
        <f>IF($B132&lt;&gt;"tutar_farki","","Beklemede")</f>
        <v/>
      </c>
    </row>
    <row r="133">
      <c r="A133" s="26">
        <f>IF('KOK_NEDEN'!$A133="","",'KOK_NEDEN'!$A133)</f>
        <v/>
      </c>
      <c r="B133" s="16">
        <f>IF($A133="","",IFERROR(INDEX(tblKok[Kova],MATCH($A133,tblKok[A_Norm],0)),""))</f>
        <v/>
      </c>
      <c r="C133" s="16">
        <f>IF($A133="","",IFERROR(INDEX(tblEslesme[Fark],MATCH($A133,tblEslesme[A_Norm],0)),0))</f>
        <v/>
      </c>
      <c r="D133" s="16">
        <f>IF($A133="","",IFERROR(INDEX(tblKok[KokNeden],MATCH($A133,tblKok[A_Norm],0)),""))</f>
        <v/>
      </c>
      <c r="E133" s="16">
        <f>IF($B133&lt;&gt;"tutar_farki","",IF(ABS($C133)&gt;cbb_esikFark,"YUKSEK","NORMAL"))</f>
        <v/>
      </c>
      <c r="F133" s="16">
        <f>IF($B133&lt;&gt;"tutar_farki","","VKN "&amp;$A133&amp;" için cari↔Ba/Bs fark "&amp;TEXT($C133,"0.00")&amp;" TL. Dayanak: "&amp;$D133&amp;". Düzeltme dosyası üretildi.")</f>
        <v/>
      </c>
      <c r="G133" s="16">
        <f>IF($B133&lt;&gt;"tutar_farki","","Beklemede")</f>
        <v/>
      </c>
    </row>
    <row r="134">
      <c r="A134" s="26">
        <f>IF('KOK_NEDEN'!$A134="","",'KOK_NEDEN'!$A134)</f>
        <v/>
      </c>
      <c r="B134" s="16">
        <f>IF($A134="","",IFERROR(INDEX(tblKok[Kova],MATCH($A134,tblKok[A_Norm],0)),""))</f>
        <v/>
      </c>
      <c r="C134" s="16">
        <f>IF($A134="","",IFERROR(INDEX(tblEslesme[Fark],MATCH($A134,tblEslesme[A_Norm],0)),0))</f>
        <v/>
      </c>
      <c r="D134" s="16">
        <f>IF($A134="","",IFERROR(INDEX(tblKok[KokNeden],MATCH($A134,tblKok[A_Norm],0)),""))</f>
        <v/>
      </c>
      <c r="E134" s="16">
        <f>IF($B134&lt;&gt;"tutar_farki","",IF(ABS($C134)&gt;cbb_esikFark,"YUKSEK","NORMAL"))</f>
        <v/>
      </c>
      <c r="F134" s="16">
        <f>IF($B134&lt;&gt;"tutar_farki","","VKN "&amp;$A134&amp;" için cari↔Ba/Bs fark "&amp;TEXT($C134,"0.00")&amp;" TL. Dayanak: "&amp;$D134&amp;". Düzeltme dosyası üretildi.")</f>
        <v/>
      </c>
      <c r="G134" s="16">
        <f>IF($B134&lt;&gt;"tutar_farki","","Beklemede")</f>
        <v/>
      </c>
    </row>
    <row r="135">
      <c r="A135" s="26">
        <f>IF('KOK_NEDEN'!$A135="","",'KOK_NEDEN'!$A135)</f>
        <v/>
      </c>
      <c r="B135" s="16">
        <f>IF($A135="","",IFERROR(INDEX(tblKok[Kova],MATCH($A135,tblKok[A_Norm],0)),""))</f>
        <v/>
      </c>
      <c r="C135" s="16">
        <f>IF($A135="","",IFERROR(INDEX(tblEslesme[Fark],MATCH($A135,tblEslesme[A_Norm],0)),0))</f>
        <v/>
      </c>
      <c r="D135" s="16">
        <f>IF($A135="","",IFERROR(INDEX(tblKok[KokNeden],MATCH($A135,tblKok[A_Norm],0)),""))</f>
        <v/>
      </c>
      <c r="E135" s="16">
        <f>IF($B135&lt;&gt;"tutar_farki","",IF(ABS($C135)&gt;cbb_esikFark,"YUKSEK","NORMAL"))</f>
        <v/>
      </c>
      <c r="F135" s="16">
        <f>IF($B135&lt;&gt;"tutar_farki","","VKN "&amp;$A135&amp;" için cari↔Ba/Bs fark "&amp;TEXT($C135,"0.00")&amp;" TL. Dayanak: "&amp;$D135&amp;". Düzeltme dosyası üretildi.")</f>
        <v/>
      </c>
      <c r="G135" s="16">
        <f>IF($B135&lt;&gt;"tutar_farki","","Beklemede")</f>
        <v/>
      </c>
    </row>
    <row r="136">
      <c r="A136" s="26">
        <f>IF('KOK_NEDEN'!$A136="","",'KOK_NEDEN'!$A136)</f>
        <v/>
      </c>
      <c r="B136" s="16">
        <f>IF($A136="","",IFERROR(INDEX(tblKok[Kova],MATCH($A136,tblKok[A_Norm],0)),""))</f>
        <v/>
      </c>
      <c r="C136" s="16">
        <f>IF($A136="","",IFERROR(INDEX(tblEslesme[Fark],MATCH($A136,tblEslesme[A_Norm],0)),0))</f>
        <v/>
      </c>
      <c r="D136" s="16">
        <f>IF($A136="","",IFERROR(INDEX(tblKok[KokNeden],MATCH($A136,tblKok[A_Norm],0)),""))</f>
        <v/>
      </c>
      <c r="E136" s="16">
        <f>IF($B136&lt;&gt;"tutar_farki","",IF(ABS($C136)&gt;cbb_esikFark,"YUKSEK","NORMAL"))</f>
        <v/>
      </c>
      <c r="F136" s="16">
        <f>IF($B136&lt;&gt;"tutar_farki","","VKN "&amp;$A136&amp;" için cari↔Ba/Bs fark "&amp;TEXT($C136,"0.00")&amp;" TL. Dayanak: "&amp;$D136&amp;". Düzeltme dosyası üretildi.")</f>
        <v/>
      </c>
      <c r="G136" s="16">
        <f>IF($B136&lt;&gt;"tutar_farki","","Beklemede")</f>
        <v/>
      </c>
    </row>
    <row r="137">
      <c r="A137" s="26">
        <f>IF('KOK_NEDEN'!$A137="","",'KOK_NEDEN'!$A137)</f>
        <v/>
      </c>
      <c r="B137" s="16">
        <f>IF($A137="","",IFERROR(INDEX(tblKok[Kova],MATCH($A137,tblKok[A_Norm],0)),""))</f>
        <v/>
      </c>
      <c r="C137" s="16">
        <f>IF($A137="","",IFERROR(INDEX(tblEslesme[Fark],MATCH($A137,tblEslesme[A_Norm],0)),0))</f>
        <v/>
      </c>
      <c r="D137" s="16">
        <f>IF($A137="","",IFERROR(INDEX(tblKok[KokNeden],MATCH($A137,tblKok[A_Norm],0)),""))</f>
        <v/>
      </c>
      <c r="E137" s="16">
        <f>IF($B137&lt;&gt;"tutar_farki","",IF(ABS($C137)&gt;cbb_esikFark,"YUKSEK","NORMAL"))</f>
        <v/>
      </c>
      <c r="F137" s="16">
        <f>IF($B137&lt;&gt;"tutar_farki","","VKN "&amp;$A137&amp;" için cari↔Ba/Bs fark "&amp;TEXT($C137,"0.00")&amp;" TL. Dayanak: "&amp;$D137&amp;". Düzeltme dosyası üretildi.")</f>
        <v/>
      </c>
      <c r="G137" s="16">
        <f>IF($B137&lt;&gt;"tutar_farki","","Beklemede")</f>
        <v/>
      </c>
    </row>
    <row r="138">
      <c r="A138" s="26">
        <f>IF('KOK_NEDEN'!$A138="","",'KOK_NEDEN'!$A138)</f>
        <v/>
      </c>
      <c r="B138" s="16">
        <f>IF($A138="","",IFERROR(INDEX(tblKok[Kova],MATCH($A138,tblKok[A_Norm],0)),""))</f>
        <v/>
      </c>
      <c r="C138" s="16">
        <f>IF($A138="","",IFERROR(INDEX(tblEslesme[Fark],MATCH($A138,tblEslesme[A_Norm],0)),0))</f>
        <v/>
      </c>
      <c r="D138" s="16">
        <f>IF($A138="","",IFERROR(INDEX(tblKok[KokNeden],MATCH($A138,tblKok[A_Norm],0)),""))</f>
        <v/>
      </c>
      <c r="E138" s="16">
        <f>IF($B138&lt;&gt;"tutar_farki","",IF(ABS($C138)&gt;cbb_esikFark,"YUKSEK","NORMAL"))</f>
        <v/>
      </c>
      <c r="F138" s="16">
        <f>IF($B138&lt;&gt;"tutar_farki","","VKN "&amp;$A138&amp;" için cari↔Ba/Bs fark "&amp;TEXT($C138,"0.00")&amp;" TL. Dayanak: "&amp;$D138&amp;". Düzeltme dosyası üretildi.")</f>
        <v/>
      </c>
      <c r="G138" s="16">
        <f>IF($B138&lt;&gt;"tutar_farki","","Beklemede")</f>
        <v/>
      </c>
    </row>
    <row r="139">
      <c r="A139" s="26">
        <f>IF('KOK_NEDEN'!$A139="","",'KOK_NEDEN'!$A139)</f>
        <v/>
      </c>
      <c r="B139" s="16">
        <f>IF($A139="","",IFERROR(INDEX(tblKok[Kova],MATCH($A139,tblKok[A_Norm],0)),""))</f>
        <v/>
      </c>
      <c r="C139" s="16">
        <f>IF($A139="","",IFERROR(INDEX(tblEslesme[Fark],MATCH($A139,tblEslesme[A_Norm],0)),0))</f>
        <v/>
      </c>
      <c r="D139" s="16">
        <f>IF($A139="","",IFERROR(INDEX(tblKok[KokNeden],MATCH($A139,tblKok[A_Norm],0)),""))</f>
        <v/>
      </c>
      <c r="E139" s="16">
        <f>IF($B139&lt;&gt;"tutar_farki","",IF(ABS($C139)&gt;cbb_esikFark,"YUKSEK","NORMAL"))</f>
        <v/>
      </c>
      <c r="F139" s="16">
        <f>IF($B139&lt;&gt;"tutar_farki","","VKN "&amp;$A139&amp;" için cari↔Ba/Bs fark "&amp;TEXT($C139,"0.00")&amp;" TL. Dayanak: "&amp;$D139&amp;". Düzeltme dosyası üretildi.")</f>
        <v/>
      </c>
      <c r="G139" s="16">
        <f>IF($B139&lt;&gt;"tutar_farki","","Beklemede")</f>
        <v/>
      </c>
    </row>
    <row r="140">
      <c r="A140" s="26">
        <f>IF('KOK_NEDEN'!$A140="","",'KOK_NEDEN'!$A140)</f>
        <v/>
      </c>
      <c r="B140" s="16">
        <f>IF($A140="","",IFERROR(INDEX(tblKok[Kova],MATCH($A140,tblKok[A_Norm],0)),""))</f>
        <v/>
      </c>
      <c r="C140" s="16">
        <f>IF($A140="","",IFERROR(INDEX(tblEslesme[Fark],MATCH($A140,tblEslesme[A_Norm],0)),0))</f>
        <v/>
      </c>
      <c r="D140" s="16">
        <f>IF($A140="","",IFERROR(INDEX(tblKok[KokNeden],MATCH($A140,tblKok[A_Norm],0)),""))</f>
        <v/>
      </c>
      <c r="E140" s="16">
        <f>IF($B140&lt;&gt;"tutar_farki","",IF(ABS($C140)&gt;cbb_esikFark,"YUKSEK","NORMAL"))</f>
        <v/>
      </c>
      <c r="F140" s="16">
        <f>IF($B140&lt;&gt;"tutar_farki","","VKN "&amp;$A140&amp;" için cari↔Ba/Bs fark "&amp;TEXT($C140,"0.00")&amp;" TL. Dayanak: "&amp;$D140&amp;". Düzeltme dosyası üretildi.")</f>
        <v/>
      </c>
      <c r="G140" s="16">
        <f>IF($B140&lt;&gt;"tutar_farki","","Beklemede")</f>
        <v/>
      </c>
    </row>
    <row r="141">
      <c r="A141" s="26">
        <f>IF('KOK_NEDEN'!$A141="","",'KOK_NEDEN'!$A141)</f>
        <v/>
      </c>
      <c r="B141" s="16">
        <f>IF($A141="","",IFERROR(INDEX(tblKok[Kova],MATCH($A141,tblKok[A_Norm],0)),""))</f>
        <v/>
      </c>
      <c r="C141" s="16">
        <f>IF($A141="","",IFERROR(INDEX(tblEslesme[Fark],MATCH($A141,tblEslesme[A_Norm],0)),0))</f>
        <v/>
      </c>
      <c r="D141" s="16">
        <f>IF($A141="","",IFERROR(INDEX(tblKok[KokNeden],MATCH($A141,tblKok[A_Norm],0)),""))</f>
        <v/>
      </c>
      <c r="E141" s="16">
        <f>IF($B141&lt;&gt;"tutar_farki","",IF(ABS($C141)&gt;cbb_esikFark,"YUKSEK","NORMAL"))</f>
        <v/>
      </c>
      <c r="F141" s="16">
        <f>IF($B141&lt;&gt;"tutar_farki","","VKN "&amp;$A141&amp;" için cari↔Ba/Bs fark "&amp;TEXT($C141,"0.00")&amp;" TL. Dayanak: "&amp;$D141&amp;". Düzeltme dosyası üretildi.")</f>
        <v/>
      </c>
      <c r="G141" s="16">
        <f>IF($B141&lt;&gt;"tutar_farki","","Beklemede")</f>
        <v/>
      </c>
    </row>
    <row r="142">
      <c r="A142" s="26">
        <f>IF('KOK_NEDEN'!$A142="","",'KOK_NEDEN'!$A142)</f>
        <v/>
      </c>
      <c r="B142" s="16">
        <f>IF($A142="","",IFERROR(INDEX(tblKok[Kova],MATCH($A142,tblKok[A_Norm],0)),""))</f>
        <v/>
      </c>
      <c r="C142" s="16">
        <f>IF($A142="","",IFERROR(INDEX(tblEslesme[Fark],MATCH($A142,tblEslesme[A_Norm],0)),0))</f>
        <v/>
      </c>
      <c r="D142" s="16">
        <f>IF($A142="","",IFERROR(INDEX(tblKok[KokNeden],MATCH($A142,tblKok[A_Norm],0)),""))</f>
        <v/>
      </c>
      <c r="E142" s="16">
        <f>IF($B142&lt;&gt;"tutar_farki","",IF(ABS($C142)&gt;cbb_esikFark,"YUKSEK","NORMAL"))</f>
        <v/>
      </c>
      <c r="F142" s="16">
        <f>IF($B142&lt;&gt;"tutar_farki","","VKN "&amp;$A142&amp;" için cari↔Ba/Bs fark "&amp;TEXT($C142,"0.00")&amp;" TL. Dayanak: "&amp;$D142&amp;". Düzeltme dosyası üretildi.")</f>
        <v/>
      </c>
      <c r="G142" s="16">
        <f>IF($B142&lt;&gt;"tutar_farki","","Beklemede")</f>
        <v/>
      </c>
    </row>
    <row r="143">
      <c r="A143" s="26">
        <f>IF('KOK_NEDEN'!$A143="","",'KOK_NEDEN'!$A143)</f>
        <v/>
      </c>
      <c r="B143" s="16">
        <f>IF($A143="","",IFERROR(INDEX(tblKok[Kova],MATCH($A143,tblKok[A_Norm],0)),""))</f>
        <v/>
      </c>
      <c r="C143" s="16">
        <f>IF($A143="","",IFERROR(INDEX(tblEslesme[Fark],MATCH($A143,tblEslesme[A_Norm],0)),0))</f>
        <v/>
      </c>
      <c r="D143" s="16">
        <f>IF($A143="","",IFERROR(INDEX(tblKok[KokNeden],MATCH($A143,tblKok[A_Norm],0)),""))</f>
        <v/>
      </c>
      <c r="E143" s="16">
        <f>IF($B143&lt;&gt;"tutar_farki","",IF(ABS($C143)&gt;cbb_esikFark,"YUKSEK","NORMAL"))</f>
        <v/>
      </c>
      <c r="F143" s="16">
        <f>IF($B143&lt;&gt;"tutar_farki","","VKN "&amp;$A143&amp;" için cari↔Ba/Bs fark "&amp;TEXT($C143,"0.00")&amp;" TL. Dayanak: "&amp;$D143&amp;". Düzeltme dosyası üretildi.")</f>
        <v/>
      </c>
      <c r="G143" s="16">
        <f>IF($B143&lt;&gt;"tutar_farki","","Beklemede")</f>
        <v/>
      </c>
    </row>
    <row r="144">
      <c r="A144" s="26">
        <f>IF('KOK_NEDEN'!$A144="","",'KOK_NEDEN'!$A144)</f>
        <v/>
      </c>
      <c r="B144" s="16">
        <f>IF($A144="","",IFERROR(INDEX(tblKok[Kova],MATCH($A144,tblKok[A_Norm],0)),""))</f>
        <v/>
      </c>
      <c r="C144" s="16">
        <f>IF($A144="","",IFERROR(INDEX(tblEslesme[Fark],MATCH($A144,tblEslesme[A_Norm],0)),0))</f>
        <v/>
      </c>
      <c r="D144" s="16">
        <f>IF($A144="","",IFERROR(INDEX(tblKok[KokNeden],MATCH($A144,tblKok[A_Norm],0)),""))</f>
        <v/>
      </c>
      <c r="E144" s="16">
        <f>IF($B144&lt;&gt;"tutar_farki","",IF(ABS($C144)&gt;cbb_esikFark,"YUKSEK","NORMAL"))</f>
        <v/>
      </c>
      <c r="F144" s="16">
        <f>IF($B144&lt;&gt;"tutar_farki","","VKN "&amp;$A144&amp;" için cari↔Ba/Bs fark "&amp;TEXT($C144,"0.00")&amp;" TL. Dayanak: "&amp;$D144&amp;". Düzeltme dosyası üretildi.")</f>
        <v/>
      </c>
      <c r="G144" s="16">
        <f>IF($B144&lt;&gt;"tutar_farki","","Beklemede")</f>
        <v/>
      </c>
    </row>
    <row r="145">
      <c r="A145" s="26">
        <f>IF('KOK_NEDEN'!$A145="","",'KOK_NEDEN'!$A145)</f>
        <v/>
      </c>
      <c r="B145" s="16">
        <f>IF($A145="","",IFERROR(INDEX(tblKok[Kova],MATCH($A145,tblKok[A_Norm],0)),""))</f>
        <v/>
      </c>
      <c r="C145" s="16">
        <f>IF($A145="","",IFERROR(INDEX(tblEslesme[Fark],MATCH($A145,tblEslesme[A_Norm],0)),0))</f>
        <v/>
      </c>
      <c r="D145" s="16">
        <f>IF($A145="","",IFERROR(INDEX(tblKok[KokNeden],MATCH($A145,tblKok[A_Norm],0)),""))</f>
        <v/>
      </c>
      <c r="E145" s="16">
        <f>IF($B145&lt;&gt;"tutar_farki","",IF(ABS($C145)&gt;cbb_esikFark,"YUKSEK","NORMAL"))</f>
        <v/>
      </c>
      <c r="F145" s="16">
        <f>IF($B145&lt;&gt;"tutar_farki","","VKN "&amp;$A145&amp;" için cari↔Ba/Bs fark "&amp;TEXT($C145,"0.00")&amp;" TL. Dayanak: "&amp;$D145&amp;". Düzeltme dosyası üretildi.")</f>
        <v/>
      </c>
      <c r="G145" s="16">
        <f>IF($B145&lt;&gt;"tutar_farki","","Beklemede")</f>
        <v/>
      </c>
    </row>
    <row r="146">
      <c r="A146" s="26">
        <f>IF('KOK_NEDEN'!$A146="","",'KOK_NEDEN'!$A146)</f>
        <v/>
      </c>
      <c r="B146" s="16">
        <f>IF($A146="","",IFERROR(INDEX(tblKok[Kova],MATCH($A146,tblKok[A_Norm],0)),""))</f>
        <v/>
      </c>
      <c r="C146" s="16">
        <f>IF($A146="","",IFERROR(INDEX(tblEslesme[Fark],MATCH($A146,tblEslesme[A_Norm],0)),0))</f>
        <v/>
      </c>
      <c r="D146" s="16">
        <f>IF($A146="","",IFERROR(INDEX(tblKok[KokNeden],MATCH($A146,tblKok[A_Norm],0)),""))</f>
        <v/>
      </c>
      <c r="E146" s="16">
        <f>IF($B146&lt;&gt;"tutar_farki","",IF(ABS($C146)&gt;cbb_esikFark,"YUKSEK","NORMAL"))</f>
        <v/>
      </c>
      <c r="F146" s="16">
        <f>IF($B146&lt;&gt;"tutar_farki","","VKN "&amp;$A146&amp;" için cari↔Ba/Bs fark "&amp;TEXT($C146,"0.00")&amp;" TL. Dayanak: "&amp;$D146&amp;". Düzeltme dosyası üretildi.")</f>
        <v/>
      </c>
      <c r="G146" s="16">
        <f>IF($B146&lt;&gt;"tutar_farki","","Beklemede")</f>
        <v/>
      </c>
    </row>
    <row r="147">
      <c r="A147" s="26">
        <f>IF('KOK_NEDEN'!$A147="","",'KOK_NEDEN'!$A147)</f>
        <v/>
      </c>
      <c r="B147" s="16">
        <f>IF($A147="","",IFERROR(INDEX(tblKok[Kova],MATCH($A147,tblKok[A_Norm],0)),""))</f>
        <v/>
      </c>
      <c r="C147" s="16">
        <f>IF($A147="","",IFERROR(INDEX(tblEslesme[Fark],MATCH($A147,tblEslesme[A_Norm],0)),0))</f>
        <v/>
      </c>
      <c r="D147" s="16">
        <f>IF($A147="","",IFERROR(INDEX(tblKok[KokNeden],MATCH($A147,tblKok[A_Norm],0)),""))</f>
        <v/>
      </c>
      <c r="E147" s="16">
        <f>IF($B147&lt;&gt;"tutar_farki","",IF(ABS($C147)&gt;cbb_esikFark,"YUKSEK","NORMAL"))</f>
        <v/>
      </c>
      <c r="F147" s="16">
        <f>IF($B147&lt;&gt;"tutar_farki","","VKN "&amp;$A147&amp;" için cari↔Ba/Bs fark "&amp;TEXT($C147,"0.00")&amp;" TL. Dayanak: "&amp;$D147&amp;". Düzeltme dosyası üretildi.")</f>
        <v/>
      </c>
      <c r="G147" s="16">
        <f>IF($B147&lt;&gt;"tutar_farki","","Beklemede")</f>
        <v/>
      </c>
    </row>
    <row r="148">
      <c r="A148" s="26">
        <f>IF('KOK_NEDEN'!$A148="","",'KOK_NEDEN'!$A148)</f>
        <v/>
      </c>
      <c r="B148" s="16">
        <f>IF($A148="","",IFERROR(INDEX(tblKok[Kova],MATCH($A148,tblKok[A_Norm],0)),""))</f>
        <v/>
      </c>
      <c r="C148" s="16">
        <f>IF($A148="","",IFERROR(INDEX(tblEslesme[Fark],MATCH($A148,tblEslesme[A_Norm],0)),0))</f>
        <v/>
      </c>
      <c r="D148" s="16">
        <f>IF($A148="","",IFERROR(INDEX(tblKok[KokNeden],MATCH($A148,tblKok[A_Norm],0)),""))</f>
        <v/>
      </c>
      <c r="E148" s="16">
        <f>IF($B148&lt;&gt;"tutar_farki","",IF(ABS($C148)&gt;cbb_esikFark,"YUKSEK","NORMAL"))</f>
        <v/>
      </c>
      <c r="F148" s="16">
        <f>IF($B148&lt;&gt;"tutar_farki","","VKN "&amp;$A148&amp;" için cari↔Ba/Bs fark "&amp;TEXT($C148,"0.00")&amp;" TL. Dayanak: "&amp;$D148&amp;". Düzeltme dosyası üretildi.")</f>
        <v/>
      </c>
      <c r="G148" s="16">
        <f>IF($B148&lt;&gt;"tutar_farki","","Beklemede")</f>
        <v/>
      </c>
    </row>
    <row r="149">
      <c r="A149" s="26">
        <f>IF('KOK_NEDEN'!$A149="","",'KOK_NEDEN'!$A149)</f>
        <v/>
      </c>
      <c r="B149" s="16">
        <f>IF($A149="","",IFERROR(INDEX(tblKok[Kova],MATCH($A149,tblKok[A_Norm],0)),""))</f>
        <v/>
      </c>
      <c r="C149" s="16">
        <f>IF($A149="","",IFERROR(INDEX(tblEslesme[Fark],MATCH($A149,tblEslesme[A_Norm],0)),0))</f>
        <v/>
      </c>
      <c r="D149" s="16">
        <f>IF($A149="","",IFERROR(INDEX(tblKok[KokNeden],MATCH($A149,tblKok[A_Norm],0)),""))</f>
        <v/>
      </c>
      <c r="E149" s="16">
        <f>IF($B149&lt;&gt;"tutar_farki","",IF(ABS($C149)&gt;cbb_esikFark,"YUKSEK","NORMAL"))</f>
        <v/>
      </c>
      <c r="F149" s="16">
        <f>IF($B149&lt;&gt;"tutar_farki","","VKN "&amp;$A149&amp;" için cari↔Ba/Bs fark "&amp;TEXT($C149,"0.00")&amp;" TL. Dayanak: "&amp;$D149&amp;". Düzeltme dosyası üretildi.")</f>
        <v/>
      </c>
      <c r="G149" s="16">
        <f>IF($B149&lt;&gt;"tutar_farki","","Beklemede")</f>
        <v/>
      </c>
    </row>
    <row r="150">
      <c r="A150" s="26">
        <f>IF('KOK_NEDEN'!$A150="","",'KOK_NEDEN'!$A150)</f>
        <v/>
      </c>
      <c r="B150" s="16">
        <f>IF($A150="","",IFERROR(INDEX(tblKok[Kova],MATCH($A150,tblKok[A_Norm],0)),""))</f>
        <v/>
      </c>
      <c r="C150" s="16">
        <f>IF($A150="","",IFERROR(INDEX(tblEslesme[Fark],MATCH($A150,tblEslesme[A_Norm],0)),0))</f>
        <v/>
      </c>
      <c r="D150" s="16">
        <f>IF($A150="","",IFERROR(INDEX(tblKok[KokNeden],MATCH($A150,tblKok[A_Norm],0)),""))</f>
        <v/>
      </c>
      <c r="E150" s="16">
        <f>IF($B150&lt;&gt;"tutar_farki","",IF(ABS($C150)&gt;cbb_esikFark,"YUKSEK","NORMAL"))</f>
        <v/>
      </c>
      <c r="F150" s="16">
        <f>IF($B150&lt;&gt;"tutar_farki","","VKN "&amp;$A150&amp;" için cari↔Ba/Bs fark "&amp;TEXT($C150,"0.00")&amp;" TL. Dayanak: "&amp;$D150&amp;". Düzeltme dosyası üretildi.")</f>
        <v/>
      </c>
      <c r="G150" s="16">
        <f>IF($B150&lt;&gt;"tutar_farki","","Beklemede")</f>
        <v/>
      </c>
    </row>
    <row r="151">
      <c r="A151" s="26">
        <f>IF('KOK_NEDEN'!$A151="","",'KOK_NEDEN'!$A151)</f>
        <v/>
      </c>
      <c r="B151" s="16">
        <f>IF($A151="","",IFERROR(INDEX(tblKok[Kova],MATCH($A151,tblKok[A_Norm],0)),""))</f>
        <v/>
      </c>
      <c r="C151" s="16">
        <f>IF($A151="","",IFERROR(INDEX(tblEslesme[Fark],MATCH($A151,tblEslesme[A_Norm],0)),0))</f>
        <v/>
      </c>
      <c r="D151" s="16">
        <f>IF($A151="","",IFERROR(INDEX(tblKok[KokNeden],MATCH($A151,tblKok[A_Norm],0)),""))</f>
        <v/>
      </c>
      <c r="E151" s="16">
        <f>IF($B151&lt;&gt;"tutar_farki","",IF(ABS($C151)&gt;cbb_esikFark,"YUKSEK","NORMAL"))</f>
        <v/>
      </c>
      <c r="F151" s="16">
        <f>IF($B151&lt;&gt;"tutar_farki","","VKN "&amp;$A151&amp;" için cari↔Ba/Bs fark "&amp;TEXT($C151,"0.00")&amp;" TL. Dayanak: "&amp;$D151&amp;". Düzeltme dosyası üretildi.")</f>
        <v/>
      </c>
      <c r="G151" s="16">
        <f>IF($B151&lt;&gt;"tutar_farki","","Beklemede")</f>
        <v/>
      </c>
    </row>
    <row r="152">
      <c r="A152" s="26">
        <f>IF('KOK_NEDEN'!$A152="","",'KOK_NEDEN'!$A152)</f>
        <v/>
      </c>
      <c r="B152" s="16">
        <f>IF($A152="","",IFERROR(INDEX(tblKok[Kova],MATCH($A152,tblKok[A_Norm],0)),""))</f>
        <v/>
      </c>
      <c r="C152" s="16">
        <f>IF($A152="","",IFERROR(INDEX(tblEslesme[Fark],MATCH($A152,tblEslesme[A_Norm],0)),0))</f>
        <v/>
      </c>
      <c r="D152" s="16">
        <f>IF($A152="","",IFERROR(INDEX(tblKok[KokNeden],MATCH($A152,tblKok[A_Norm],0)),""))</f>
        <v/>
      </c>
      <c r="E152" s="16">
        <f>IF($B152&lt;&gt;"tutar_farki","",IF(ABS($C152)&gt;cbb_esikFark,"YUKSEK","NORMAL"))</f>
        <v/>
      </c>
      <c r="F152" s="16">
        <f>IF($B152&lt;&gt;"tutar_farki","","VKN "&amp;$A152&amp;" için cari↔Ba/Bs fark "&amp;TEXT($C152,"0.00")&amp;" TL. Dayanak: "&amp;$D152&amp;". Düzeltme dosyası üretildi.")</f>
        <v/>
      </c>
      <c r="G152" s="16">
        <f>IF($B152&lt;&gt;"tutar_farki","","Beklemede")</f>
        <v/>
      </c>
    </row>
    <row r="153">
      <c r="A153" s="26">
        <f>IF('KOK_NEDEN'!$A153="","",'KOK_NEDEN'!$A153)</f>
        <v/>
      </c>
      <c r="B153" s="16">
        <f>IF($A153="","",IFERROR(INDEX(tblKok[Kova],MATCH($A153,tblKok[A_Norm],0)),""))</f>
        <v/>
      </c>
      <c r="C153" s="16">
        <f>IF($A153="","",IFERROR(INDEX(tblEslesme[Fark],MATCH($A153,tblEslesme[A_Norm],0)),0))</f>
        <v/>
      </c>
      <c r="D153" s="16">
        <f>IF($A153="","",IFERROR(INDEX(tblKok[KokNeden],MATCH($A153,tblKok[A_Norm],0)),""))</f>
        <v/>
      </c>
      <c r="E153" s="16">
        <f>IF($B153&lt;&gt;"tutar_farki","",IF(ABS($C153)&gt;cbb_esikFark,"YUKSEK","NORMAL"))</f>
        <v/>
      </c>
      <c r="F153" s="16">
        <f>IF($B153&lt;&gt;"tutar_farki","","VKN "&amp;$A153&amp;" için cari↔Ba/Bs fark "&amp;TEXT($C153,"0.00")&amp;" TL. Dayanak: "&amp;$D153&amp;". Düzeltme dosyası üretildi.")</f>
        <v/>
      </c>
      <c r="G153" s="16">
        <f>IF($B153&lt;&gt;"tutar_farki","","Beklemede")</f>
        <v/>
      </c>
    </row>
    <row r="154">
      <c r="A154" s="26">
        <f>IF('KOK_NEDEN'!$A154="","",'KOK_NEDEN'!$A154)</f>
        <v/>
      </c>
      <c r="B154" s="16">
        <f>IF($A154="","",IFERROR(INDEX(tblKok[Kova],MATCH($A154,tblKok[A_Norm],0)),""))</f>
        <v/>
      </c>
      <c r="C154" s="16">
        <f>IF($A154="","",IFERROR(INDEX(tblEslesme[Fark],MATCH($A154,tblEslesme[A_Norm],0)),0))</f>
        <v/>
      </c>
      <c r="D154" s="16">
        <f>IF($A154="","",IFERROR(INDEX(tblKok[KokNeden],MATCH($A154,tblKok[A_Norm],0)),""))</f>
        <v/>
      </c>
      <c r="E154" s="16">
        <f>IF($B154&lt;&gt;"tutar_farki","",IF(ABS($C154)&gt;cbb_esikFark,"YUKSEK","NORMAL"))</f>
        <v/>
      </c>
      <c r="F154" s="16">
        <f>IF($B154&lt;&gt;"tutar_farki","","VKN "&amp;$A154&amp;" için cari↔Ba/Bs fark "&amp;TEXT($C154,"0.00")&amp;" TL. Dayanak: "&amp;$D154&amp;". Düzeltme dosyası üretildi.")</f>
        <v/>
      </c>
      <c r="G154" s="16">
        <f>IF($B154&lt;&gt;"tutar_farki","","Beklemede")</f>
        <v/>
      </c>
    </row>
    <row r="155">
      <c r="A155" s="26">
        <f>IF('KOK_NEDEN'!$A155="","",'KOK_NEDEN'!$A155)</f>
        <v/>
      </c>
      <c r="B155" s="16">
        <f>IF($A155="","",IFERROR(INDEX(tblKok[Kova],MATCH($A155,tblKok[A_Norm],0)),""))</f>
        <v/>
      </c>
      <c r="C155" s="16">
        <f>IF($A155="","",IFERROR(INDEX(tblEslesme[Fark],MATCH($A155,tblEslesme[A_Norm],0)),0))</f>
        <v/>
      </c>
      <c r="D155" s="16">
        <f>IF($A155="","",IFERROR(INDEX(tblKok[KokNeden],MATCH($A155,tblKok[A_Norm],0)),""))</f>
        <v/>
      </c>
      <c r="E155" s="16">
        <f>IF($B155&lt;&gt;"tutar_farki","",IF(ABS($C155)&gt;cbb_esikFark,"YUKSEK","NORMAL"))</f>
        <v/>
      </c>
      <c r="F155" s="16">
        <f>IF($B155&lt;&gt;"tutar_farki","","VKN "&amp;$A155&amp;" için cari↔Ba/Bs fark "&amp;TEXT($C155,"0.00")&amp;" TL. Dayanak: "&amp;$D155&amp;". Düzeltme dosyası üretildi.")</f>
        <v/>
      </c>
      <c r="G155" s="16">
        <f>IF($B155&lt;&gt;"tutar_farki","","Beklemede")</f>
        <v/>
      </c>
    </row>
    <row r="156">
      <c r="A156" s="26">
        <f>IF('KOK_NEDEN'!$A156="","",'KOK_NEDEN'!$A156)</f>
        <v/>
      </c>
      <c r="B156" s="16">
        <f>IF($A156="","",IFERROR(INDEX(tblKok[Kova],MATCH($A156,tblKok[A_Norm],0)),""))</f>
        <v/>
      </c>
      <c r="C156" s="16">
        <f>IF($A156="","",IFERROR(INDEX(tblEslesme[Fark],MATCH($A156,tblEslesme[A_Norm],0)),0))</f>
        <v/>
      </c>
      <c r="D156" s="16">
        <f>IF($A156="","",IFERROR(INDEX(tblKok[KokNeden],MATCH($A156,tblKok[A_Norm],0)),""))</f>
        <v/>
      </c>
      <c r="E156" s="16">
        <f>IF($B156&lt;&gt;"tutar_farki","",IF(ABS($C156)&gt;cbb_esikFark,"YUKSEK","NORMAL"))</f>
        <v/>
      </c>
      <c r="F156" s="16">
        <f>IF($B156&lt;&gt;"tutar_farki","","VKN "&amp;$A156&amp;" için cari↔Ba/Bs fark "&amp;TEXT($C156,"0.00")&amp;" TL. Dayanak: "&amp;$D156&amp;". Düzeltme dosyası üretildi.")</f>
        <v/>
      </c>
      <c r="G156" s="16">
        <f>IF($B156&lt;&gt;"tutar_farki","","Beklemede")</f>
        <v/>
      </c>
    </row>
    <row r="157">
      <c r="A157" s="26">
        <f>IF('KOK_NEDEN'!$A157="","",'KOK_NEDEN'!$A157)</f>
        <v/>
      </c>
      <c r="B157" s="16">
        <f>IF($A157="","",IFERROR(INDEX(tblKok[Kova],MATCH($A157,tblKok[A_Norm],0)),""))</f>
        <v/>
      </c>
      <c r="C157" s="16">
        <f>IF($A157="","",IFERROR(INDEX(tblEslesme[Fark],MATCH($A157,tblEslesme[A_Norm],0)),0))</f>
        <v/>
      </c>
      <c r="D157" s="16">
        <f>IF($A157="","",IFERROR(INDEX(tblKok[KokNeden],MATCH($A157,tblKok[A_Norm],0)),""))</f>
        <v/>
      </c>
      <c r="E157" s="16">
        <f>IF($B157&lt;&gt;"tutar_farki","",IF(ABS($C157)&gt;cbb_esikFark,"YUKSEK","NORMAL"))</f>
        <v/>
      </c>
      <c r="F157" s="16">
        <f>IF($B157&lt;&gt;"tutar_farki","","VKN "&amp;$A157&amp;" için cari↔Ba/Bs fark "&amp;TEXT($C157,"0.00")&amp;" TL. Dayanak: "&amp;$D157&amp;". Düzeltme dosyası üretildi.")</f>
        <v/>
      </c>
      <c r="G157" s="16">
        <f>IF($B157&lt;&gt;"tutar_farki","","Beklemede")</f>
        <v/>
      </c>
    </row>
    <row r="158">
      <c r="A158" s="26">
        <f>IF('KOK_NEDEN'!$A158="","",'KOK_NEDEN'!$A158)</f>
        <v/>
      </c>
      <c r="B158" s="16">
        <f>IF($A158="","",IFERROR(INDEX(tblKok[Kova],MATCH($A158,tblKok[A_Norm],0)),""))</f>
        <v/>
      </c>
      <c r="C158" s="16">
        <f>IF($A158="","",IFERROR(INDEX(tblEslesme[Fark],MATCH($A158,tblEslesme[A_Norm],0)),0))</f>
        <v/>
      </c>
      <c r="D158" s="16">
        <f>IF($A158="","",IFERROR(INDEX(tblKok[KokNeden],MATCH($A158,tblKok[A_Norm],0)),""))</f>
        <v/>
      </c>
      <c r="E158" s="16">
        <f>IF($B158&lt;&gt;"tutar_farki","",IF(ABS($C158)&gt;cbb_esikFark,"YUKSEK","NORMAL"))</f>
        <v/>
      </c>
      <c r="F158" s="16">
        <f>IF($B158&lt;&gt;"tutar_farki","","VKN "&amp;$A158&amp;" için cari↔Ba/Bs fark "&amp;TEXT($C158,"0.00")&amp;" TL. Dayanak: "&amp;$D158&amp;". Düzeltme dosyası üretildi.")</f>
        <v/>
      </c>
      <c r="G158" s="16">
        <f>IF($B158&lt;&gt;"tutar_farki","","Beklemede")</f>
        <v/>
      </c>
    </row>
    <row r="159">
      <c r="A159" s="26">
        <f>IF('KOK_NEDEN'!$A159="","",'KOK_NEDEN'!$A159)</f>
        <v/>
      </c>
      <c r="B159" s="16">
        <f>IF($A159="","",IFERROR(INDEX(tblKok[Kova],MATCH($A159,tblKok[A_Norm],0)),""))</f>
        <v/>
      </c>
      <c r="C159" s="16">
        <f>IF($A159="","",IFERROR(INDEX(tblEslesme[Fark],MATCH($A159,tblEslesme[A_Norm],0)),0))</f>
        <v/>
      </c>
      <c r="D159" s="16">
        <f>IF($A159="","",IFERROR(INDEX(tblKok[KokNeden],MATCH($A159,tblKok[A_Norm],0)),""))</f>
        <v/>
      </c>
      <c r="E159" s="16">
        <f>IF($B159&lt;&gt;"tutar_farki","",IF(ABS($C159)&gt;cbb_esikFark,"YUKSEK","NORMAL"))</f>
        <v/>
      </c>
      <c r="F159" s="16">
        <f>IF($B159&lt;&gt;"tutar_farki","","VKN "&amp;$A159&amp;" için cari↔Ba/Bs fark "&amp;TEXT($C159,"0.00")&amp;" TL. Dayanak: "&amp;$D159&amp;". Düzeltme dosyası üretildi.")</f>
        <v/>
      </c>
      <c r="G159" s="16">
        <f>IF($B159&lt;&gt;"tutar_farki","","Beklemede")</f>
        <v/>
      </c>
    </row>
    <row r="160">
      <c r="A160" s="26">
        <f>IF('KOK_NEDEN'!$A160="","",'KOK_NEDEN'!$A160)</f>
        <v/>
      </c>
      <c r="B160" s="16">
        <f>IF($A160="","",IFERROR(INDEX(tblKok[Kova],MATCH($A160,tblKok[A_Norm],0)),""))</f>
        <v/>
      </c>
      <c r="C160" s="16">
        <f>IF($A160="","",IFERROR(INDEX(tblEslesme[Fark],MATCH($A160,tblEslesme[A_Norm],0)),0))</f>
        <v/>
      </c>
      <c r="D160" s="16">
        <f>IF($A160="","",IFERROR(INDEX(tblKok[KokNeden],MATCH($A160,tblKok[A_Norm],0)),""))</f>
        <v/>
      </c>
      <c r="E160" s="16">
        <f>IF($B160&lt;&gt;"tutar_farki","",IF(ABS($C160)&gt;cbb_esikFark,"YUKSEK","NORMAL"))</f>
        <v/>
      </c>
      <c r="F160" s="16">
        <f>IF($B160&lt;&gt;"tutar_farki","","VKN "&amp;$A160&amp;" için cari↔Ba/Bs fark "&amp;TEXT($C160,"0.00")&amp;" TL. Dayanak: "&amp;$D160&amp;". Düzeltme dosyası üretildi.")</f>
        <v/>
      </c>
      <c r="G160" s="16">
        <f>IF($B160&lt;&gt;"tutar_farki","","Beklemede")</f>
        <v/>
      </c>
    </row>
    <row r="161">
      <c r="A161" s="26">
        <f>IF('KOK_NEDEN'!$A161="","",'KOK_NEDEN'!$A161)</f>
        <v/>
      </c>
      <c r="B161" s="16">
        <f>IF($A161="","",IFERROR(INDEX(tblKok[Kova],MATCH($A161,tblKok[A_Norm],0)),""))</f>
        <v/>
      </c>
      <c r="C161" s="16">
        <f>IF($A161="","",IFERROR(INDEX(tblEslesme[Fark],MATCH($A161,tblEslesme[A_Norm],0)),0))</f>
        <v/>
      </c>
      <c r="D161" s="16">
        <f>IF($A161="","",IFERROR(INDEX(tblKok[KokNeden],MATCH($A161,tblKok[A_Norm],0)),""))</f>
        <v/>
      </c>
      <c r="E161" s="16">
        <f>IF($B161&lt;&gt;"tutar_farki","",IF(ABS($C161)&gt;cbb_esikFark,"YUKSEK","NORMAL"))</f>
        <v/>
      </c>
      <c r="F161" s="16">
        <f>IF($B161&lt;&gt;"tutar_farki","","VKN "&amp;$A161&amp;" için cari↔Ba/Bs fark "&amp;TEXT($C161,"0.00")&amp;" TL. Dayanak: "&amp;$D161&amp;". Düzeltme dosyası üretildi.")</f>
        <v/>
      </c>
      <c r="G161" s="16">
        <f>IF($B161&lt;&gt;"tutar_farki","","Beklemede")</f>
        <v/>
      </c>
    </row>
    <row r="162">
      <c r="A162" s="26">
        <f>IF('KOK_NEDEN'!$A162="","",'KOK_NEDEN'!$A162)</f>
        <v/>
      </c>
      <c r="B162" s="16">
        <f>IF($A162="","",IFERROR(INDEX(tblKok[Kova],MATCH($A162,tblKok[A_Norm],0)),""))</f>
        <v/>
      </c>
      <c r="C162" s="16">
        <f>IF($A162="","",IFERROR(INDEX(tblEslesme[Fark],MATCH($A162,tblEslesme[A_Norm],0)),0))</f>
        <v/>
      </c>
      <c r="D162" s="16">
        <f>IF($A162="","",IFERROR(INDEX(tblKok[KokNeden],MATCH($A162,tblKok[A_Norm],0)),""))</f>
        <v/>
      </c>
      <c r="E162" s="16">
        <f>IF($B162&lt;&gt;"tutar_farki","",IF(ABS($C162)&gt;cbb_esikFark,"YUKSEK","NORMAL"))</f>
        <v/>
      </c>
      <c r="F162" s="16">
        <f>IF($B162&lt;&gt;"tutar_farki","","VKN "&amp;$A162&amp;" için cari↔Ba/Bs fark "&amp;TEXT($C162,"0.00")&amp;" TL. Dayanak: "&amp;$D162&amp;". Düzeltme dosyası üretildi.")</f>
        <v/>
      </c>
      <c r="G162" s="16">
        <f>IF($B162&lt;&gt;"tutar_farki","","Beklemede")</f>
        <v/>
      </c>
    </row>
    <row r="163">
      <c r="A163" s="26">
        <f>IF('KOK_NEDEN'!$A163="","",'KOK_NEDEN'!$A163)</f>
        <v/>
      </c>
      <c r="B163" s="16">
        <f>IF($A163="","",IFERROR(INDEX(tblKok[Kova],MATCH($A163,tblKok[A_Norm],0)),""))</f>
        <v/>
      </c>
      <c r="C163" s="16">
        <f>IF($A163="","",IFERROR(INDEX(tblEslesme[Fark],MATCH($A163,tblEslesme[A_Norm],0)),0))</f>
        <v/>
      </c>
      <c r="D163" s="16">
        <f>IF($A163="","",IFERROR(INDEX(tblKok[KokNeden],MATCH($A163,tblKok[A_Norm],0)),""))</f>
        <v/>
      </c>
      <c r="E163" s="16">
        <f>IF($B163&lt;&gt;"tutar_farki","",IF(ABS($C163)&gt;cbb_esikFark,"YUKSEK","NORMAL"))</f>
        <v/>
      </c>
      <c r="F163" s="16">
        <f>IF($B163&lt;&gt;"tutar_farki","","VKN "&amp;$A163&amp;" için cari↔Ba/Bs fark "&amp;TEXT($C163,"0.00")&amp;" TL. Dayanak: "&amp;$D163&amp;". Düzeltme dosyası üretildi.")</f>
        <v/>
      </c>
      <c r="G163" s="16">
        <f>IF($B163&lt;&gt;"tutar_farki","","Beklemede")</f>
        <v/>
      </c>
    </row>
    <row r="164">
      <c r="A164" s="26">
        <f>IF('KOK_NEDEN'!$A164="","",'KOK_NEDEN'!$A164)</f>
        <v/>
      </c>
      <c r="B164" s="16">
        <f>IF($A164="","",IFERROR(INDEX(tblKok[Kova],MATCH($A164,tblKok[A_Norm],0)),""))</f>
        <v/>
      </c>
      <c r="C164" s="16">
        <f>IF($A164="","",IFERROR(INDEX(tblEslesme[Fark],MATCH($A164,tblEslesme[A_Norm],0)),0))</f>
        <v/>
      </c>
      <c r="D164" s="16">
        <f>IF($A164="","",IFERROR(INDEX(tblKok[KokNeden],MATCH($A164,tblKok[A_Norm],0)),""))</f>
        <v/>
      </c>
      <c r="E164" s="16">
        <f>IF($B164&lt;&gt;"tutar_farki","",IF(ABS($C164)&gt;cbb_esikFark,"YUKSEK","NORMAL"))</f>
        <v/>
      </c>
      <c r="F164" s="16">
        <f>IF($B164&lt;&gt;"tutar_farki","","VKN "&amp;$A164&amp;" için cari↔Ba/Bs fark "&amp;TEXT($C164,"0.00")&amp;" TL. Dayanak: "&amp;$D164&amp;". Düzeltme dosyası üretildi.")</f>
        <v/>
      </c>
      <c r="G164" s="16">
        <f>IF($B164&lt;&gt;"tutar_farki","","Beklemede")</f>
        <v/>
      </c>
    </row>
    <row r="165">
      <c r="A165" s="26">
        <f>IF('KOK_NEDEN'!$A165="","",'KOK_NEDEN'!$A165)</f>
        <v/>
      </c>
      <c r="B165" s="16">
        <f>IF($A165="","",IFERROR(INDEX(tblKok[Kova],MATCH($A165,tblKok[A_Norm],0)),""))</f>
        <v/>
      </c>
      <c r="C165" s="16">
        <f>IF($A165="","",IFERROR(INDEX(tblEslesme[Fark],MATCH($A165,tblEslesme[A_Norm],0)),0))</f>
        <v/>
      </c>
      <c r="D165" s="16">
        <f>IF($A165="","",IFERROR(INDEX(tblKok[KokNeden],MATCH($A165,tblKok[A_Norm],0)),""))</f>
        <v/>
      </c>
      <c r="E165" s="16">
        <f>IF($B165&lt;&gt;"tutar_farki","",IF(ABS($C165)&gt;cbb_esikFark,"YUKSEK","NORMAL"))</f>
        <v/>
      </c>
      <c r="F165" s="16">
        <f>IF($B165&lt;&gt;"tutar_farki","","VKN "&amp;$A165&amp;" için cari↔Ba/Bs fark "&amp;TEXT($C165,"0.00")&amp;" TL. Dayanak: "&amp;$D165&amp;". Düzeltme dosyası üretildi.")</f>
        <v/>
      </c>
      <c r="G165" s="16">
        <f>IF($B165&lt;&gt;"tutar_farki","","Beklemede")</f>
        <v/>
      </c>
    </row>
    <row r="166">
      <c r="A166" s="26">
        <f>IF('KOK_NEDEN'!$A166="","",'KOK_NEDEN'!$A166)</f>
        <v/>
      </c>
      <c r="B166" s="16">
        <f>IF($A166="","",IFERROR(INDEX(tblKok[Kova],MATCH($A166,tblKok[A_Norm],0)),""))</f>
        <v/>
      </c>
      <c r="C166" s="16">
        <f>IF($A166="","",IFERROR(INDEX(tblEslesme[Fark],MATCH($A166,tblEslesme[A_Norm],0)),0))</f>
        <v/>
      </c>
      <c r="D166" s="16">
        <f>IF($A166="","",IFERROR(INDEX(tblKok[KokNeden],MATCH($A166,tblKok[A_Norm],0)),""))</f>
        <v/>
      </c>
      <c r="E166" s="16">
        <f>IF($B166&lt;&gt;"tutar_farki","",IF(ABS($C166)&gt;cbb_esikFark,"YUKSEK","NORMAL"))</f>
        <v/>
      </c>
      <c r="F166" s="16">
        <f>IF($B166&lt;&gt;"tutar_farki","","VKN "&amp;$A166&amp;" için cari↔Ba/Bs fark "&amp;TEXT($C166,"0.00")&amp;" TL. Dayanak: "&amp;$D166&amp;". Düzeltme dosyası üretildi.")</f>
        <v/>
      </c>
      <c r="G166" s="16">
        <f>IF($B166&lt;&gt;"tutar_farki","","Beklemede")</f>
        <v/>
      </c>
    </row>
    <row r="167">
      <c r="A167" s="26">
        <f>IF('KOK_NEDEN'!$A167="","",'KOK_NEDEN'!$A167)</f>
        <v/>
      </c>
      <c r="B167" s="16">
        <f>IF($A167="","",IFERROR(INDEX(tblKok[Kova],MATCH($A167,tblKok[A_Norm],0)),""))</f>
        <v/>
      </c>
      <c r="C167" s="16">
        <f>IF($A167="","",IFERROR(INDEX(tblEslesme[Fark],MATCH($A167,tblEslesme[A_Norm],0)),0))</f>
        <v/>
      </c>
      <c r="D167" s="16">
        <f>IF($A167="","",IFERROR(INDEX(tblKok[KokNeden],MATCH($A167,tblKok[A_Norm],0)),""))</f>
        <v/>
      </c>
      <c r="E167" s="16">
        <f>IF($B167&lt;&gt;"tutar_farki","",IF(ABS($C167)&gt;cbb_esikFark,"YUKSEK","NORMAL"))</f>
        <v/>
      </c>
      <c r="F167" s="16">
        <f>IF($B167&lt;&gt;"tutar_farki","","VKN "&amp;$A167&amp;" için cari↔Ba/Bs fark "&amp;TEXT($C167,"0.00")&amp;" TL. Dayanak: "&amp;$D167&amp;". Düzeltme dosyası üretildi.")</f>
        <v/>
      </c>
      <c r="G167" s="16">
        <f>IF($B167&lt;&gt;"tutar_farki","","Beklemede")</f>
        <v/>
      </c>
    </row>
    <row r="168">
      <c r="A168" s="26">
        <f>IF('KOK_NEDEN'!$A168="","",'KOK_NEDEN'!$A168)</f>
        <v/>
      </c>
      <c r="B168" s="16">
        <f>IF($A168="","",IFERROR(INDEX(tblKok[Kova],MATCH($A168,tblKok[A_Norm],0)),""))</f>
        <v/>
      </c>
      <c r="C168" s="16">
        <f>IF($A168="","",IFERROR(INDEX(tblEslesme[Fark],MATCH($A168,tblEslesme[A_Norm],0)),0))</f>
        <v/>
      </c>
      <c r="D168" s="16">
        <f>IF($A168="","",IFERROR(INDEX(tblKok[KokNeden],MATCH($A168,tblKok[A_Norm],0)),""))</f>
        <v/>
      </c>
      <c r="E168" s="16">
        <f>IF($B168&lt;&gt;"tutar_farki","",IF(ABS($C168)&gt;cbb_esikFark,"YUKSEK","NORMAL"))</f>
        <v/>
      </c>
      <c r="F168" s="16">
        <f>IF($B168&lt;&gt;"tutar_farki","","VKN "&amp;$A168&amp;" için cari↔Ba/Bs fark "&amp;TEXT($C168,"0.00")&amp;" TL. Dayanak: "&amp;$D168&amp;". Düzeltme dosyası üretildi.")</f>
        <v/>
      </c>
      <c r="G168" s="16">
        <f>IF($B168&lt;&gt;"tutar_farki","","Beklemede")</f>
        <v/>
      </c>
    </row>
    <row r="169">
      <c r="A169" s="26">
        <f>IF('KOK_NEDEN'!$A169="","",'KOK_NEDEN'!$A169)</f>
        <v/>
      </c>
      <c r="B169" s="16">
        <f>IF($A169="","",IFERROR(INDEX(tblKok[Kova],MATCH($A169,tblKok[A_Norm],0)),""))</f>
        <v/>
      </c>
      <c r="C169" s="16">
        <f>IF($A169="","",IFERROR(INDEX(tblEslesme[Fark],MATCH($A169,tblEslesme[A_Norm],0)),0))</f>
        <v/>
      </c>
      <c r="D169" s="16">
        <f>IF($A169="","",IFERROR(INDEX(tblKok[KokNeden],MATCH($A169,tblKok[A_Norm],0)),""))</f>
        <v/>
      </c>
      <c r="E169" s="16">
        <f>IF($B169&lt;&gt;"tutar_farki","",IF(ABS($C169)&gt;cbb_esikFark,"YUKSEK","NORMAL"))</f>
        <v/>
      </c>
      <c r="F169" s="16">
        <f>IF($B169&lt;&gt;"tutar_farki","","VKN "&amp;$A169&amp;" için cari↔Ba/Bs fark "&amp;TEXT($C169,"0.00")&amp;" TL. Dayanak: "&amp;$D169&amp;". Düzeltme dosyası üretildi.")</f>
        <v/>
      </c>
      <c r="G169" s="16">
        <f>IF($B169&lt;&gt;"tutar_farki","","Beklemede")</f>
        <v/>
      </c>
    </row>
    <row r="170">
      <c r="A170" s="26">
        <f>IF('KOK_NEDEN'!$A170="","",'KOK_NEDEN'!$A170)</f>
        <v/>
      </c>
      <c r="B170" s="16">
        <f>IF($A170="","",IFERROR(INDEX(tblKok[Kova],MATCH($A170,tblKok[A_Norm],0)),""))</f>
        <v/>
      </c>
      <c r="C170" s="16">
        <f>IF($A170="","",IFERROR(INDEX(tblEslesme[Fark],MATCH($A170,tblEslesme[A_Norm],0)),0))</f>
        <v/>
      </c>
      <c r="D170" s="16">
        <f>IF($A170="","",IFERROR(INDEX(tblKok[KokNeden],MATCH($A170,tblKok[A_Norm],0)),""))</f>
        <v/>
      </c>
      <c r="E170" s="16">
        <f>IF($B170&lt;&gt;"tutar_farki","",IF(ABS($C170)&gt;cbb_esikFark,"YUKSEK","NORMAL"))</f>
        <v/>
      </c>
      <c r="F170" s="16">
        <f>IF($B170&lt;&gt;"tutar_farki","","VKN "&amp;$A170&amp;" için cari↔Ba/Bs fark "&amp;TEXT($C170,"0.00")&amp;" TL. Dayanak: "&amp;$D170&amp;". Düzeltme dosyası üretildi.")</f>
        <v/>
      </c>
      <c r="G170" s="16">
        <f>IF($B170&lt;&gt;"tutar_farki","","Beklemede")</f>
        <v/>
      </c>
    </row>
    <row r="171">
      <c r="A171" s="26">
        <f>IF('KOK_NEDEN'!$A171="","",'KOK_NEDEN'!$A171)</f>
        <v/>
      </c>
      <c r="B171" s="16">
        <f>IF($A171="","",IFERROR(INDEX(tblKok[Kova],MATCH($A171,tblKok[A_Norm],0)),""))</f>
        <v/>
      </c>
      <c r="C171" s="16">
        <f>IF($A171="","",IFERROR(INDEX(tblEslesme[Fark],MATCH($A171,tblEslesme[A_Norm],0)),0))</f>
        <v/>
      </c>
      <c r="D171" s="16">
        <f>IF($A171="","",IFERROR(INDEX(tblKok[KokNeden],MATCH($A171,tblKok[A_Norm],0)),""))</f>
        <v/>
      </c>
      <c r="E171" s="16">
        <f>IF($B171&lt;&gt;"tutar_farki","",IF(ABS($C171)&gt;cbb_esikFark,"YUKSEK","NORMAL"))</f>
        <v/>
      </c>
      <c r="F171" s="16">
        <f>IF($B171&lt;&gt;"tutar_farki","","VKN "&amp;$A171&amp;" için cari↔Ba/Bs fark "&amp;TEXT($C171,"0.00")&amp;" TL. Dayanak: "&amp;$D171&amp;". Düzeltme dosyası üretildi.")</f>
        <v/>
      </c>
      <c r="G171" s="16">
        <f>IF($B171&lt;&gt;"tutar_farki","","Beklemede")</f>
        <v/>
      </c>
    </row>
    <row r="172">
      <c r="A172" s="26">
        <f>IF('KOK_NEDEN'!$A172="","",'KOK_NEDEN'!$A172)</f>
        <v/>
      </c>
      <c r="B172" s="16">
        <f>IF($A172="","",IFERROR(INDEX(tblKok[Kova],MATCH($A172,tblKok[A_Norm],0)),""))</f>
        <v/>
      </c>
      <c r="C172" s="16">
        <f>IF($A172="","",IFERROR(INDEX(tblEslesme[Fark],MATCH($A172,tblEslesme[A_Norm],0)),0))</f>
        <v/>
      </c>
      <c r="D172" s="16">
        <f>IF($A172="","",IFERROR(INDEX(tblKok[KokNeden],MATCH($A172,tblKok[A_Norm],0)),""))</f>
        <v/>
      </c>
      <c r="E172" s="16">
        <f>IF($B172&lt;&gt;"tutar_farki","",IF(ABS($C172)&gt;cbb_esikFark,"YUKSEK","NORMAL"))</f>
        <v/>
      </c>
      <c r="F172" s="16">
        <f>IF($B172&lt;&gt;"tutar_farki","","VKN "&amp;$A172&amp;" için cari↔Ba/Bs fark "&amp;TEXT($C172,"0.00")&amp;" TL. Dayanak: "&amp;$D172&amp;". Düzeltme dosyası üretildi.")</f>
        <v/>
      </c>
      <c r="G172" s="16">
        <f>IF($B172&lt;&gt;"tutar_farki","","Beklemede")</f>
        <v/>
      </c>
    </row>
    <row r="173">
      <c r="A173" s="26">
        <f>IF('KOK_NEDEN'!$A173="","",'KOK_NEDEN'!$A173)</f>
        <v/>
      </c>
      <c r="B173" s="16">
        <f>IF($A173="","",IFERROR(INDEX(tblKok[Kova],MATCH($A173,tblKok[A_Norm],0)),""))</f>
        <v/>
      </c>
      <c r="C173" s="16">
        <f>IF($A173="","",IFERROR(INDEX(tblEslesme[Fark],MATCH($A173,tblEslesme[A_Norm],0)),0))</f>
        <v/>
      </c>
      <c r="D173" s="16">
        <f>IF($A173="","",IFERROR(INDEX(tblKok[KokNeden],MATCH($A173,tblKok[A_Norm],0)),""))</f>
        <v/>
      </c>
      <c r="E173" s="16">
        <f>IF($B173&lt;&gt;"tutar_farki","",IF(ABS($C173)&gt;cbb_esikFark,"YUKSEK","NORMAL"))</f>
        <v/>
      </c>
      <c r="F173" s="16">
        <f>IF($B173&lt;&gt;"tutar_farki","","VKN "&amp;$A173&amp;" için cari↔Ba/Bs fark "&amp;TEXT($C173,"0.00")&amp;" TL. Dayanak: "&amp;$D173&amp;". Düzeltme dosyası üretildi.")</f>
        <v/>
      </c>
      <c r="G173" s="16">
        <f>IF($B173&lt;&gt;"tutar_farki","","Beklemede")</f>
        <v/>
      </c>
    </row>
    <row r="174">
      <c r="A174" s="26">
        <f>IF('KOK_NEDEN'!$A174="","",'KOK_NEDEN'!$A174)</f>
        <v/>
      </c>
      <c r="B174" s="16">
        <f>IF($A174="","",IFERROR(INDEX(tblKok[Kova],MATCH($A174,tblKok[A_Norm],0)),""))</f>
        <v/>
      </c>
      <c r="C174" s="16">
        <f>IF($A174="","",IFERROR(INDEX(tblEslesme[Fark],MATCH($A174,tblEslesme[A_Norm],0)),0))</f>
        <v/>
      </c>
      <c r="D174" s="16">
        <f>IF($A174="","",IFERROR(INDEX(tblKok[KokNeden],MATCH($A174,tblKok[A_Norm],0)),""))</f>
        <v/>
      </c>
      <c r="E174" s="16">
        <f>IF($B174&lt;&gt;"tutar_farki","",IF(ABS($C174)&gt;cbb_esikFark,"YUKSEK","NORMAL"))</f>
        <v/>
      </c>
      <c r="F174" s="16">
        <f>IF($B174&lt;&gt;"tutar_farki","","VKN "&amp;$A174&amp;" için cari↔Ba/Bs fark "&amp;TEXT($C174,"0.00")&amp;" TL. Dayanak: "&amp;$D174&amp;". Düzeltme dosyası üretildi.")</f>
        <v/>
      </c>
      <c r="G174" s="16">
        <f>IF($B174&lt;&gt;"tutar_farki","","Beklemede")</f>
        <v/>
      </c>
    </row>
    <row r="175">
      <c r="A175" s="26">
        <f>IF('KOK_NEDEN'!$A175="","",'KOK_NEDEN'!$A175)</f>
        <v/>
      </c>
      <c r="B175" s="16">
        <f>IF($A175="","",IFERROR(INDEX(tblKok[Kova],MATCH($A175,tblKok[A_Norm],0)),""))</f>
        <v/>
      </c>
      <c r="C175" s="16">
        <f>IF($A175="","",IFERROR(INDEX(tblEslesme[Fark],MATCH($A175,tblEslesme[A_Norm],0)),0))</f>
        <v/>
      </c>
      <c r="D175" s="16">
        <f>IF($A175="","",IFERROR(INDEX(tblKok[KokNeden],MATCH($A175,tblKok[A_Norm],0)),""))</f>
        <v/>
      </c>
      <c r="E175" s="16">
        <f>IF($B175&lt;&gt;"tutar_farki","",IF(ABS($C175)&gt;cbb_esikFark,"YUKSEK","NORMAL"))</f>
        <v/>
      </c>
      <c r="F175" s="16">
        <f>IF($B175&lt;&gt;"tutar_farki","","VKN "&amp;$A175&amp;" için cari↔Ba/Bs fark "&amp;TEXT($C175,"0.00")&amp;" TL. Dayanak: "&amp;$D175&amp;". Düzeltme dosyası üretildi.")</f>
        <v/>
      </c>
      <c r="G175" s="16">
        <f>IF($B175&lt;&gt;"tutar_farki","","Beklemede")</f>
        <v/>
      </c>
    </row>
    <row r="176">
      <c r="A176" s="26">
        <f>IF('KOK_NEDEN'!$A176="","",'KOK_NEDEN'!$A176)</f>
        <v/>
      </c>
      <c r="B176" s="16">
        <f>IF($A176="","",IFERROR(INDEX(tblKok[Kova],MATCH($A176,tblKok[A_Norm],0)),""))</f>
        <v/>
      </c>
      <c r="C176" s="16">
        <f>IF($A176="","",IFERROR(INDEX(tblEslesme[Fark],MATCH($A176,tblEslesme[A_Norm],0)),0))</f>
        <v/>
      </c>
      <c r="D176" s="16">
        <f>IF($A176="","",IFERROR(INDEX(tblKok[KokNeden],MATCH($A176,tblKok[A_Norm],0)),""))</f>
        <v/>
      </c>
      <c r="E176" s="16">
        <f>IF($B176&lt;&gt;"tutar_farki","",IF(ABS($C176)&gt;cbb_esikFark,"YUKSEK","NORMAL"))</f>
        <v/>
      </c>
      <c r="F176" s="16">
        <f>IF($B176&lt;&gt;"tutar_farki","","VKN "&amp;$A176&amp;" için cari↔Ba/Bs fark "&amp;TEXT($C176,"0.00")&amp;" TL. Dayanak: "&amp;$D176&amp;". Düzeltme dosyası üretildi.")</f>
        <v/>
      </c>
      <c r="G176" s="16">
        <f>IF($B176&lt;&gt;"tutar_farki","","Beklemede")</f>
        <v/>
      </c>
    </row>
    <row r="177">
      <c r="A177" s="26">
        <f>IF('KOK_NEDEN'!$A177="","",'KOK_NEDEN'!$A177)</f>
        <v/>
      </c>
      <c r="B177" s="16">
        <f>IF($A177="","",IFERROR(INDEX(tblKok[Kova],MATCH($A177,tblKok[A_Norm],0)),""))</f>
        <v/>
      </c>
      <c r="C177" s="16">
        <f>IF($A177="","",IFERROR(INDEX(tblEslesme[Fark],MATCH($A177,tblEslesme[A_Norm],0)),0))</f>
        <v/>
      </c>
      <c r="D177" s="16">
        <f>IF($A177="","",IFERROR(INDEX(tblKok[KokNeden],MATCH($A177,tblKok[A_Norm],0)),""))</f>
        <v/>
      </c>
      <c r="E177" s="16">
        <f>IF($B177&lt;&gt;"tutar_farki","",IF(ABS($C177)&gt;cbb_esikFark,"YUKSEK","NORMAL"))</f>
        <v/>
      </c>
      <c r="F177" s="16">
        <f>IF($B177&lt;&gt;"tutar_farki","","VKN "&amp;$A177&amp;" için cari↔Ba/Bs fark "&amp;TEXT($C177,"0.00")&amp;" TL. Dayanak: "&amp;$D177&amp;". Düzeltme dosyası üretildi.")</f>
        <v/>
      </c>
      <c r="G177" s="16">
        <f>IF($B177&lt;&gt;"tutar_farki","","Beklemede")</f>
        <v/>
      </c>
    </row>
    <row r="178">
      <c r="A178" s="26">
        <f>IF('KOK_NEDEN'!$A178="","",'KOK_NEDEN'!$A178)</f>
        <v/>
      </c>
      <c r="B178" s="16">
        <f>IF($A178="","",IFERROR(INDEX(tblKok[Kova],MATCH($A178,tblKok[A_Norm],0)),""))</f>
        <v/>
      </c>
      <c r="C178" s="16">
        <f>IF($A178="","",IFERROR(INDEX(tblEslesme[Fark],MATCH($A178,tblEslesme[A_Norm],0)),0))</f>
        <v/>
      </c>
      <c r="D178" s="16">
        <f>IF($A178="","",IFERROR(INDEX(tblKok[KokNeden],MATCH($A178,tblKok[A_Norm],0)),""))</f>
        <v/>
      </c>
      <c r="E178" s="16">
        <f>IF($B178&lt;&gt;"tutar_farki","",IF(ABS($C178)&gt;cbb_esikFark,"YUKSEK","NORMAL"))</f>
        <v/>
      </c>
      <c r="F178" s="16">
        <f>IF($B178&lt;&gt;"tutar_farki","","VKN "&amp;$A178&amp;" için cari↔Ba/Bs fark "&amp;TEXT($C178,"0.00")&amp;" TL. Dayanak: "&amp;$D178&amp;". Düzeltme dosyası üretildi.")</f>
        <v/>
      </c>
      <c r="G178" s="16">
        <f>IF($B178&lt;&gt;"tutar_farki","","Beklemede")</f>
        <v/>
      </c>
    </row>
    <row r="179">
      <c r="A179" s="26">
        <f>IF('KOK_NEDEN'!$A179="","",'KOK_NEDEN'!$A179)</f>
        <v/>
      </c>
      <c r="B179" s="16">
        <f>IF($A179="","",IFERROR(INDEX(tblKok[Kova],MATCH($A179,tblKok[A_Norm],0)),""))</f>
        <v/>
      </c>
      <c r="C179" s="16">
        <f>IF($A179="","",IFERROR(INDEX(tblEslesme[Fark],MATCH($A179,tblEslesme[A_Norm],0)),0))</f>
        <v/>
      </c>
      <c r="D179" s="16">
        <f>IF($A179="","",IFERROR(INDEX(tblKok[KokNeden],MATCH($A179,tblKok[A_Norm],0)),""))</f>
        <v/>
      </c>
      <c r="E179" s="16">
        <f>IF($B179&lt;&gt;"tutar_farki","",IF(ABS($C179)&gt;cbb_esikFark,"YUKSEK","NORMAL"))</f>
        <v/>
      </c>
      <c r="F179" s="16">
        <f>IF($B179&lt;&gt;"tutar_farki","","VKN "&amp;$A179&amp;" için cari↔Ba/Bs fark "&amp;TEXT($C179,"0.00")&amp;" TL. Dayanak: "&amp;$D179&amp;". Düzeltme dosyası üretildi.")</f>
        <v/>
      </c>
      <c r="G179" s="16">
        <f>IF($B179&lt;&gt;"tutar_farki","","Beklemede")</f>
        <v/>
      </c>
    </row>
    <row r="180">
      <c r="A180" s="26">
        <f>IF('KOK_NEDEN'!$A180="","",'KOK_NEDEN'!$A180)</f>
        <v/>
      </c>
      <c r="B180" s="16">
        <f>IF($A180="","",IFERROR(INDEX(tblKok[Kova],MATCH($A180,tblKok[A_Norm],0)),""))</f>
        <v/>
      </c>
      <c r="C180" s="16">
        <f>IF($A180="","",IFERROR(INDEX(tblEslesme[Fark],MATCH($A180,tblEslesme[A_Norm],0)),0))</f>
        <v/>
      </c>
      <c r="D180" s="16">
        <f>IF($A180="","",IFERROR(INDEX(tblKok[KokNeden],MATCH($A180,tblKok[A_Norm],0)),""))</f>
        <v/>
      </c>
      <c r="E180" s="16">
        <f>IF($B180&lt;&gt;"tutar_farki","",IF(ABS($C180)&gt;cbb_esikFark,"YUKSEK","NORMAL"))</f>
        <v/>
      </c>
      <c r="F180" s="16">
        <f>IF($B180&lt;&gt;"tutar_farki","","VKN "&amp;$A180&amp;" için cari↔Ba/Bs fark "&amp;TEXT($C180,"0.00")&amp;" TL. Dayanak: "&amp;$D180&amp;". Düzeltme dosyası üretildi.")</f>
        <v/>
      </c>
      <c r="G180" s="16">
        <f>IF($B180&lt;&gt;"tutar_farki","","Beklemede")</f>
        <v/>
      </c>
    </row>
    <row r="181">
      <c r="A181" s="26">
        <f>IF('KOK_NEDEN'!$A181="","",'KOK_NEDEN'!$A181)</f>
        <v/>
      </c>
      <c r="B181" s="16">
        <f>IF($A181="","",IFERROR(INDEX(tblKok[Kova],MATCH($A181,tblKok[A_Norm],0)),""))</f>
        <v/>
      </c>
      <c r="C181" s="16">
        <f>IF($A181="","",IFERROR(INDEX(tblEslesme[Fark],MATCH($A181,tblEslesme[A_Norm],0)),0))</f>
        <v/>
      </c>
      <c r="D181" s="16">
        <f>IF($A181="","",IFERROR(INDEX(tblKok[KokNeden],MATCH($A181,tblKok[A_Norm],0)),""))</f>
        <v/>
      </c>
      <c r="E181" s="16">
        <f>IF($B181&lt;&gt;"tutar_farki","",IF(ABS($C181)&gt;cbb_esikFark,"YUKSEK","NORMAL"))</f>
        <v/>
      </c>
      <c r="F181" s="16">
        <f>IF($B181&lt;&gt;"tutar_farki","","VKN "&amp;$A181&amp;" için cari↔Ba/Bs fark "&amp;TEXT($C181,"0.00")&amp;" TL. Dayanak: "&amp;$D181&amp;". Düzeltme dosyası üretildi.")</f>
        <v/>
      </c>
      <c r="G181" s="16">
        <f>IF($B181&lt;&gt;"tutar_farki","","Beklemede")</f>
        <v/>
      </c>
    </row>
    <row r="182">
      <c r="A182" s="26">
        <f>IF('KOK_NEDEN'!$A182="","",'KOK_NEDEN'!$A182)</f>
        <v/>
      </c>
      <c r="B182" s="16">
        <f>IF($A182="","",IFERROR(INDEX(tblKok[Kova],MATCH($A182,tblKok[A_Norm],0)),""))</f>
        <v/>
      </c>
      <c r="C182" s="16">
        <f>IF($A182="","",IFERROR(INDEX(tblEslesme[Fark],MATCH($A182,tblEslesme[A_Norm],0)),0))</f>
        <v/>
      </c>
      <c r="D182" s="16">
        <f>IF($A182="","",IFERROR(INDEX(tblKok[KokNeden],MATCH($A182,tblKok[A_Norm],0)),""))</f>
        <v/>
      </c>
      <c r="E182" s="16">
        <f>IF($B182&lt;&gt;"tutar_farki","",IF(ABS($C182)&gt;cbb_esikFark,"YUKSEK","NORMAL"))</f>
        <v/>
      </c>
      <c r="F182" s="16">
        <f>IF($B182&lt;&gt;"tutar_farki","","VKN "&amp;$A182&amp;" için cari↔Ba/Bs fark "&amp;TEXT($C182,"0.00")&amp;" TL. Dayanak: "&amp;$D182&amp;". Düzeltme dosyası üretildi.")</f>
        <v/>
      </c>
      <c r="G182" s="16">
        <f>IF($B182&lt;&gt;"tutar_farki","","Beklemede")</f>
        <v/>
      </c>
    </row>
    <row r="183">
      <c r="A183" s="26">
        <f>IF('KOK_NEDEN'!$A183="","",'KOK_NEDEN'!$A183)</f>
        <v/>
      </c>
      <c r="B183" s="16">
        <f>IF($A183="","",IFERROR(INDEX(tblKok[Kova],MATCH($A183,tblKok[A_Norm],0)),""))</f>
        <v/>
      </c>
      <c r="C183" s="16">
        <f>IF($A183="","",IFERROR(INDEX(tblEslesme[Fark],MATCH($A183,tblEslesme[A_Norm],0)),0))</f>
        <v/>
      </c>
      <c r="D183" s="16">
        <f>IF($A183="","",IFERROR(INDEX(tblKok[KokNeden],MATCH($A183,tblKok[A_Norm],0)),""))</f>
        <v/>
      </c>
      <c r="E183" s="16">
        <f>IF($B183&lt;&gt;"tutar_farki","",IF(ABS($C183)&gt;cbb_esikFark,"YUKSEK","NORMAL"))</f>
        <v/>
      </c>
      <c r="F183" s="16">
        <f>IF($B183&lt;&gt;"tutar_farki","","VKN "&amp;$A183&amp;" için cari↔Ba/Bs fark "&amp;TEXT($C183,"0.00")&amp;" TL. Dayanak: "&amp;$D183&amp;". Düzeltme dosyası üretildi.")</f>
        <v/>
      </c>
      <c r="G183" s="16">
        <f>IF($B183&lt;&gt;"tutar_farki","","Beklemede")</f>
        <v/>
      </c>
    </row>
    <row r="184">
      <c r="A184" s="26">
        <f>IF('KOK_NEDEN'!$A184="","",'KOK_NEDEN'!$A184)</f>
        <v/>
      </c>
      <c r="B184" s="16">
        <f>IF($A184="","",IFERROR(INDEX(tblKok[Kova],MATCH($A184,tblKok[A_Norm],0)),""))</f>
        <v/>
      </c>
      <c r="C184" s="16">
        <f>IF($A184="","",IFERROR(INDEX(tblEslesme[Fark],MATCH($A184,tblEslesme[A_Norm],0)),0))</f>
        <v/>
      </c>
      <c r="D184" s="16">
        <f>IF($A184="","",IFERROR(INDEX(tblKok[KokNeden],MATCH($A184,tblKok[A_Norm],0)),""))</f>
        <v/>
      </c>
      <c r="E184" s="16">
        <f>IF($B184&lt;&gt;"tutar_farki","",IF(ABS($C184)&gt;cbb_esikFark,"YUKSEK","NORMAL"))</f>
        <v/>
      </c>
      <c r="F184" s="16">
        <f>IF($B184&lt;&gt;"tutar_farki","","VKN "&amp;$A184&amp;" için cari↔Ba/Bs fark "&amp;TEXT($C184,"0.00")&amp;" TL. Dayanak: "&amp;$D184&amp;". Düzeltme dosyası üretildi.")</f>
        <v/>
      </c>
      <c r="G184" s="16">
        <f>IF($B184&lt;&gt;"tutar_farki","","Beklemede")</f>
        <v/>
      </c>
    </row>
    <row r="185">
      <c r="A185" s="26">
        <f>IF('KOK_NEDEN'!$A185="","",'KOK_NEDEN'!$A185)</f>
        <v/>
      </c>
      <c r="B185" s="16">
        <f>IF($A185="","",IFERROR(INDEX(tblKok[Kova],MATCH($A185,tblKok[A_Norm],0)),""))</f>
        <v/>
      </c>
      <c r="C185" s="16">
        <f>IF($A185="","",IFERROR(INDEX(tblEslesme[Fark],MATCH($A185,tblEslesme[A_Norm],0)),0))</f>
        <v/>
      </c>
      <c r="D185" s="16">
        <f>IF($A185="","",IFERROR(INDEX(tblKok[KokNeden],MATCH($A185,tblKok[A_Norm],0)),""))</f>
        <v/>
      </c>
      <c r="E185" s="16">
        <f>IF($B185&lt;&gt;"tutar_farki","",IF(ABS($C185)&gt;cbb_esikFark,"YUKSEK","NORMAL"))</f>
        <v/>
      </c>
      <c r="F185" s="16">
        <f>IF($B185&lt;&gt;"tutar_farki","","VKN "&amp;$A185&amp;" için cari↔Ba/Bs fark "&amp;TEXT($C185,"0.00")&amp;" TL. Dayanak: "&amp;$D185&amp;". Düzeltme dosyası üretildi.")</f>
        <v/>
      </c>
      <c r="G185" s="16">
        <f>IF($B185&lt;&gt;"tutar_farki","","Beklemede")</f>
        <v/>
      </c>
    </row>
    <row r="186">
      <c r="A186" s="26">
        <f>IF('KOK_NEDEN'!$A186="","",'KOK_NEDEN'!$A186)</f>
        <v/>
      </c>
      <c r="B186" s="16">
        <f>IF($A186="","",IFERROR(INDEX(tblKok[Kova],MATCH($A186,tblKok[A_Norm],0)),""))</f>
        <v/>
      </c>
      <c r="C186" s="16">
        <f>IF($A186="","",IFERROR(INDEX(tblEslesme[Fark],MATCH($A186,tblEslesme[A_Norm],0)),0))</f>
        <v/>
      </c>
      <c r="D186" s="16">
        <f>IF($A186="","",IFERROR(INDEX(tblKok[KokNeden],MATCH($A186,tblKok[A_Norm],0)),""))</f>
        <v/>
      </c>
      <c r="E186" s="16">
        <f>IF($B186&lt;&gt;"tutar_farki","",IF(ABS($C186)&gt;cbb_esikFark,"YUKSEK","NORMAL"))</f>
        <v/>
      </c>
      <c r="F186" s="16">
        <f>IF($B186&lt;&gt;"tutar_farki","","VKN "&amp;$A186&amp;" için cari↔Ba/Bs fark "&amp;TEXT($C186,"0.00")&amp;" TL. Dayanak: "&amp;$D186&amp;". Düzeltme dosyası üretildi.")</f>
        <v/>
      </c>
      <c r="G186" s="16">
        <f>IF($B186&lt;&gt;"tutar_farki","","Beklemede")</f>
        <v/>
      </c>
    </row>
    <row r="187">
      <c r="A187" s="26">
        <f>IF('KOK_NEDEN'!$A187="","",'KOK_NEDEN'!$A187)</f>
        <v/>
      </c>
      <c r="B187" s="16">
        <f>IF($A187="","",IFERROR(INDEX(tblKok[Kova],MATCH($A187,tblKok[A_Norm],0)),""))</f>
        <v/>
      </c>
      <c r="C187" s="16">
        <f>IF($A187="","",IFERROR(INDEX(tblEslesme[Fark],MATCH($A187,tblEslesme[A_Norm],0)),0))</f>
        <v/>
      </c>
      <c r="D187" s="16">
        <f>IF($A187="","",IFERROR(INDEX(tblKok[KokNeden],MATCH($A187,tblKok[A_Norm],0)),""))</f>
        <v/>
      </c>
      <c r="E187" s="16">
        <f>IF($B187&lt;&gt;"tutar_farki","",IF(ABS($C187)&gt;cbb_esikFark,"YUKSEK","NORMAL"))</f>
        <v/>
      </c>
      <c r="F187" s="16">
        <f>IF($B187&lt;&gt;"tutar_farki","","VKN "&amp;$A187&amp;" için cari↔Ba/Bs fark "&amp;TEXT($C187,"0.00")&amp;" TL. Dayanak: "&amp;$D187&amp;". Düzeltme dosyası üretildi.")</f>
        <v/>
      </c>
      <c r="G187" s="16">
        <f>IF($B187&lt;&gt;"tutar_farki","","Beklemede")</f>
        <v/>
      </c>
    </row>
    <row r="188">
      <c r="A188" s="26">
        <f>IF('KOK_NEDEN'!$A188="","",'KOK_NEDEN'!$A188)</f>
        <v/>
      </c>
      <c r="B188" s="16">
        <f>IF($A188="","",IFERROR(INDEX(tblKok[Kova],MATCH($A188,tblKok[A_Norm],0)),""))</f>
        <v/>
      </c>
      <c r="C188" s="16">
        <f>IF($A188="","",IFERROR(INDEX(tblEslesme[Fark],MATCH($A188,tblEslesme[A_Norm],0)),0))</f>
        <v/>
      </c>
      <c r="D188" s="16">
        <f>IF($A188="","",IFERROR(INDEX(tblKok[KokNeden],MATCH($A188,tblKok[A_Norm],0)),""))</f>
        <v/>
      </c>
      <c r="E188" s="16">
        <f>IF($B188&lt;&gt;"tutar_farki","",IF(ABS($C188)&gt;cbb_esikFark,"YUKSEK","NORMAL"))</f>
        <v/>
      </c>
      <c r="F188" s="16">
        <f>IF($B188&lt;&gt;"tutar_farki","","VKN "&amp;$A188&amp;" için cari↔Ba/Bs fark "&amp;TEXT($C188,"0.00")&amp;" TL. Dayanak: "&amp;$D188&amp;". Düzeltme dosyası üretildi.")</f>
        <v/>
      </c>
      <c r="G188" s="16">
        <f>IF($B188&lt;&gt;"tutar_farki","","Beklemede")</f>
        <v/>
      </c>
    </row>
    <row r="189">
      <c r="A189" s="26">
        <f>IF('KOK_NEDEN'!$A189="","",'KOK_NEDEN'!$A189)</f>
        <v/>
      </c>
      <c r="B189" s="16">
        <f>IF($A189="","",IFERROR(INDEX(tblKok[Kova],MATCH($A189,tblKok[A_Norm],0)),""))</f>
        <v/>
      </c>
      <c r="C189" s="16">
        <f>IF($A189="","",IFERROR(INDEX(tblEslesme[Fark],MATCH($A189,tblEslesme[A_Norm],0)),0))</f>
        <v/>
      </c>
      <c r="D189" s="16">
        <f>IF($A189="","",IFERROR(INDEX(tblKok[KokNeden],MATCH($A189,tblKok[A_Norm],0)),""))</f>
        <v/>
      </c>
      <c r="E189" s="16">
        <f>IF($B189&lt;&gt;"tutar_farki","",IF(ABS($C189)&gt;cbb_esikFark,"YUKSEK","NORMAL"))</f>
        <v/>
      </c>
      <c r="F189" s="16">
        <f>IF($B189&lt;&gt;"tutar_farki","","VKN "&amp;$A189&amp;" için cari↔Ba/Bs fark "&amp;TEXT($C189,"0.00")&amp;" TL. Dayanak: "&amp;$D189&amp;". Düzeltme dosyası üretildi.")</f>
        <v/>
      </c>
      <c r="G189" s="16">
        <f>IF($B189&lt;&gt;"tutar_farki","","Beklemede")</f>
        <v/>
      </c>
    </row>
    <row r="190">
      <c r="A190" s="26">
        <f>IF('KOK_NEDEN'!$A190="","",'KOK_NEDEN'!$A190)</f>
        <v/>
      </c>
      <c r="B190" s="16">
        <f>IF($A190="","",IFERROR(INDEX(tblKok[Kova],MATCH($A190,tblKok[A_Norm],0)),""))</f>
        <v/>
      </c>
      <c r="C190" s="16">
        <f>IF($A190="","",IFERROR(INDEX(tblEslesme[Fark],MATCH($A190,tblEslesme[A_Norm],0)),0))</f>
        <v/>
      </c>
      <c r="D190" s="16">
        <f>IF($A190="","",IFERROR(INDEX(tblKok[KokNeden],MATCH($A190,tblKok[A_Norm],0)),""))</f>
        <v/>
      </c>
      <c r="E190" s="16">
        <f>IF($B190&lt;&gt;"tutar_farki","",IF(ABS($C190)&gt;cbb_esikFark,"YUKSEK","NORMAL"))</f>
        <v/>
      </c>
      <c r="F190" s="16">
        <f>IF($B190&lt;&gt;"tutar_farki","","VKN "&amp;$A190&amp;" için cari↔Ba/Bs fark "&amp;TEXT($C190,"0.00")&amp;" TL. Dayanak: "&amp;$D190&amp;". Düzeltme dosyası üretildi.")</f>
        <v/>
      </c>
      <c r="G190" s="16">
        <f>IF($B190&lt;&gt;"tutar_farki","","Beklemede")</f>
        <v/>
      </c>
    </row>
    <row r="191">
      <c r="A191" s="26">
        <f>IF('KOK_NEDEN'!$A191="","",'KOK_NEDEN'!$A191)</f>
        <v/>
      </c>
      <c r="B191" s="16">
        <f>IF($A191="","",IFERROR(INDEX(tblKok[Kova],MATCH($A191,tblKok[A_Norm],0)),""))</f>
        <v/>
      </c>
      <c r="C191" s="16">
        <f>IF($A191="","",IFERROR(INDEX(tblEslesme[Fark],MATCH($A191,tblEslesme[A_Norm],0)),0))</f>
        <v/>
      </c>
      <c r="D191" s="16">
        <f>IF($A191="","",IFERROR(INDEX(tblKok[KokNeden],MATCH($A191,tblKok[A_Norm],0)),""))</f>
        <v/>
      </c>
      <c r="E191" s="16">
        <f>IF($B191&lt;&gt;"tutar_farki","",IF(ABS($C191)&gt;cbb_esikFark,"YUKSEK","NORMAL"))</f>
        <v/>
      </c>
      <c r="F191" s="16">
        <f>IF($B191&lt;&gt;"tutar_farki","","VKN "&amp;$A191&amp;" için cari↔Ba/Bs fark "&amp;TEXT($C191,"0.00")&amp;" TL. Dayanak: "&amp;$D191&amp;". Düzeltme dosyası üretildi.")</f>
        <v/>
      </c>
      <c r="G191" s="16">
        <f>IF($B191&lt;&gt;"tutar_farki","","Beklemede")</f>
        <v/>
      </c>
    </row>
    <row r="192">
      <c r="A192" s="26">
        <f>IF('KOK_NEDEN'!$A192="","",'KOK_NEDEN'!$A192)</f>
        <v/>
      </c>
      <c r="B192" s="16">
        <f>IF($A192="","",IFERROR(INDEX(tblKok[Kova],MATCH($A192,tblKok[A_Norm],0)),""))</f>
        <v/>
      </c>
      <c r="C192" s="16">
        <f>IF($A192="","",IFERROR(INDEX(tblEslesme[Fark],MATCH($A192,tblEslesme[A_Norm],0)),0))</f>
        <v/>
      </c>
      <c r="D192" s="16">
        <f>IF($A192="","",IFERROR(INDEX(tblKok[KokNeden],MATCH($A192,tblKok[A_Norm],0)),""))</f>
        <v/>
      </c>
      <c r="E192" s="16">
        <f>IF($B192&lt;&gt;"tutar_farki","",IF(ABS($C192)&gt;cbb_esikFark,"YUKSEK","NORMAL"))</f>
        <v/>
      </c>
      <c r="F192" s="16">
        <f>IF($B192&lt;&gt;"tutar_farki","","VKN "&amp;$A192&amp;" için cari↔Ba/Bs fark "&amp;TEXT($C192,"0.00")&amp;" TL. Dayanak: "&amp;$D192&amp;". Düzeltme dosyası üretildi.")</f>
        <v/>
      </c>
      <c r="G192" s="16">
        <f>IF($B192&lt;&gt;"tutar_farki","","Beklemede")</f>
        <v/>
      </c>
    </row>
    <row r="193">
      <c r="A193" s="26">
        <f>IF('KOK_NEDEN'!$A193="","",'KOK_NEDEN'!$A193)</f>
        <v/>
      </c>
      <c r="B193" s="16">
        <f>IF($A193="","",IFERROR(INDEX(tblKok[Kova],MATCH($A193,tblKok[A_Norm],0)),""))</f>
        <v/>
      </c>
      <c r="C193" s="16">
        <f>IF($A193="","",IFERROR(INDEX(tblEslesme[Fark],MATCH($A193,tblEslesme[A_Norm],0)),0))</f>
        <v/>
      </c>
      <c r="D193" s="16">
        <f>IF($A193="","",IFERROR(INDEX(tblKok[KokNeden],MATCH($A193,tblKok[A_Norm],0)),""))</f>
        <v/>
      </c>
      <c r="E193" s="16">
        <f>IF($B193&lt;&gt;"tutar_farki","",IF(ABS($C193)&gt;cbb_esikFark,"YUKSEK","NORMAL"))</f>
        <v/>
      </c>
      <c r="F193" s="16">
        <f>IF($B193&lt;&gt;"tutar_farki","","VKN "&amp;$A193&amp;" için cari↔Ba/Bs fark "&amp;TEXT($C193,"0.00")&amp;" TL. Dayanak: "&amp;$D193&amp;". Düzeltme dosyası üretildi.")</f>
        <v/>
      </c>
      <c r="G193" s="16">
        <f>IF($B193&lt;&gt;"tutar_farki","","Beklemede")</f>
        <v/>
      </c>
    </row>
    <row r="194">
      <c r="A194" s="26">
        <f>IF('KOK_NEDEN'!$A194="","",'KOK_NEDEN'!$A194)</f>
        <v/>
      </c>
      <c r="B194" s="16">
        <f>IF($A194="","",IFERROR(INDEX(tblKok[Kova],MATCH($A194,tblKok[A_Norm],0)),""))</f>
        <v/>
      </c>
      <c r="C194" s="16">
        <f>IF($A194="","",IFERROR(INDEX(tblEslesme[Fark],MATCH($A194,tblEslesme[A_Norm],0)),0))</f>
        <v/>
      </c>
      <c r="D194" s="16">
        <f>IF($A194="","",IFERROR(INDEX(tblKok[KokNeden],MATCH($A194,tblKok[A_Norm],0)),""))</f>
        <v/>
      </c>
      <c r="E194" s="16">
        <f>IF($B194&lt;&gt;"tutar_farki","",IF(ABS($C194)&gt;cbb_esikFark,"YUKSEK","NORMAL"))</f>
        <v/>
      </c>
      <c r="F194" s="16">
        <f>IF($B194&lt;&gt;"tutar_farki","","VKN "&amp;$A194&amp;" için cari↔Ba/Bs fark "&amp;TEXT($C194,"0.00")&amp;" TL. Dayanak: "&amp;$D194&amp;". Düzeltme dosyası üretildi.")</f>
        <v/>
      </c>
      <c r="G194" s="16">
        <f>IF($B194&lt;&gt;"tutar_farki","","Beklemede")</f>
        <v/>
      </c>
    </row>
    <row r="195">
      <c r="A195" s="26">
        <f>IF('KOK_NEDEN'!$A195="","",'KOK_NEDEN'!$A195)</f>
        <v/>
      </c>
      <c r="B195" s="16">
        <f>IF($A195="","",IFERROR(INDEX(tblKok[Kova],MATCH($A195,tblKok[A_Norm],0)),""))</f>
        <v/>
      </c>
      <c r="C195" s="16">
        <f>IF($A195="","",IFERROR(INDEX(tblEslesme[Fark],MATCH($A195,tblEslesme[A_Norm],0)),0))</f>
        <v/>
      </c>
      <c r="D195" s="16">
        <f>IF($A195="","",IFERROR(INDEX(tblKok[KokNeden],MATCH($A195,tblKok[A_Norm],0)),""))</f>
        <v/>
      </c>
      <c r="E195" s="16">
        <f>IF($B195&lt;&gt;"tutar_farki","",IF(ABS($C195)&gt;cbb_esikFark,"YUKSEK","NORMAL"))</f>
        <v/>
      </c>
      <c r="F195" s="16">
        <f>IF($B195&lt;&gt;"tutar_farki","","VKN "&amp;$A195&amp;" için cari↔Ba/Bs fark "&amp;TEXT($C195,"0.00")&amp;" TL. Dayanak: "&amp;$D195&amp;". Düzeltme dosyası üretildi.")</f>
        <v/>
      </c>
      <c r="G195" s="16">
        <f>IF($B195&lt;&gt;"tutar_farki","","Beklemede")</f>
        <v/>
      </c>
    </row>
    <row r="196">
      <c r="A196" s="26">
        <f>IF('KOK_NEDEN'!$A196="","",'KOK_NEDEN'!$A196)</f>
        <v/>
      </c>
      <c r="B196" s="16">
        <f>IF($A196="","",IFERROR(INDEX(tblKok[Kova],MATCH($A196,tblKok[A_Norm],0)),""))</f>
        <v/>
      </c>
      <c r="C196" s="16">
        <f>IF($A196="","",IFERROR(INDEX(tblEslesme[Fark],MATCH($A196,tblEslesme[A_Norm],0)),0))</f>
        <v/>
      </c>
      <c r="D196" s="16">
        <f>IF($A196="","",IFERROR(INDEX(tblKok[KokNeden],MATCH($A196,tblKok[A_Norm],0)),""))</f>
        <v/>
      </c>
      <c r="E196" s="16">
        <f>IF($B196&lt;&gt;"tutar_farki","",IF(ABS($C196)&gt;cbb_esikFark,"YUKSEK","NORMAL"))</f>
        <v/>
      </c>
      <c r="F196" s="16">
        <f>IF($B196&lt;&gt;"tutar_farki","","VKN "&amp;$A196&amp;" için cari↔Ba/Bs fark "&amp;TEXT($C196,"0.00")&amp;" TL. Dayanak: "&amp;$D196&amp;". Düzeltme dosyası üretildi.")</f>
        <v/>
      </c>
      <c r="G196" s="16">
        <f>IF($B196&lt;&gt;"tutar_farki","","Beklemede")</f>
        <v/>
      </c>
    </row>
    <row r="197">
      <c r="A197" s="26">
        <f>IF('KOK_NEDEN'!$A197="","",'KOK_NEDEN'!$A197)</f>
        <v/>
      </c>
      <c r="B197" s="16">
        <f>IF($A197="","",IFERROR(INDEX(tblKok[Kova],MATCH($A197,tblKok[A_Norm],0)),""))</f>
        <v/>
      </c>
      <c r="C197" s="16">
        <f>IF($A197="","",IFERROR(INDEX(tblEslesme[Fark],MATCH($A197,tblEslesme[A_Norm],0)),0))</f>
        <v/>
      </c>
      <c r="D197" s="16">
        <f>IF($A197="","",IFERROR(INDEX(tblKok[KokNeden],MATCH($A197,tblKok[A_Norm],0)),""))</f>
        <v/>
      </c>
      <c r="E197" s="16">
        <f>IF($B197&lt;&gt;"tutar_farki","",IF(ABS($C197)&gt;cbb_esikFark,"YUKSEK","NORMAL"))</f>
        <v/>
      </c>
      <c r="F197" s="16">
        <f>IF($B197&lt;&gt;"tutar_farki","","VKN "&amp;$A197&amp;" için cari↔Ba/Bs fark "&amp;TEXT($C197,"0.00")&amp;" TL. Dayanak: "&amp;$D197&amp;". Düzeltme dosyası üretildi.")</f>
        <v/>
      </c>
      <c r="G197" s="16">
        <f>IF($B197&lt;&gt;"tutar_farki","","Beklemede")</f>
        <v/>
      </c>
    </row>
    <row r="198">
      <c r="A198" s="26">
        <f>IF('KOK_NEDEN'!$A198="","",'KOK_NEDEN'!$A198)</f>
        <v/>
      </c>
      <c r="B198" s="16">
        <f>IF($A198="","",IFERROR(INDEX(tblKok[Kova],MATCH($A198,tblKok[A_Norm],0)),""))</f>
        <v/>
      </c>
      <c r="C198" s="16">
        <f>IF($A198="","",IFERROR(INDEX(tblEslesme[Fark],MATCH($A198,tblEslesme[A_Norm],0)),0))</f>
        <v/>
      </c>
      <c r="D198" s="16">
        <f>IF($A198="","",IFERROR(INDEX(tblKok[KokNeden],MATCH($A198,tblKok[A_Norm],0)),""))</f>
        <v/>
      </c>
      <c r="E198" s="16">
        <f>IF($B198&lt;&gt;"tutar_farki","",IF(ABS($C198)&gt;cbb_esikFark,"YUKSEK","NORMAL"))</f>
        <v/>
      </c>
      <c r="F198" s="16">
        <f>IF($B198&lt;&gt;"tutar_farki","","VKN "&amp;$A198&amp;" için cari↔Ba/Bs fark "&amp;TEXT($C198,"0.00")&amp;" TL. Dayanak: "&amp;$D198&amp;". Düzeltme dosyası üretildi.")</f>
        <v/>
      </c>
      <c r="G198" s="16">
        <f>IF($B198&lt;&gt;"tutar_farki","","Beklemede")</f>
        <v/>
      </c>
    </row>
    <row r="199">
      <c r="A199" s="26">
        <f>IF('KOK_NEDEN'!$A199="","",'KOK_NEDEN'!$A199)</f>
        <v/>
      </c>
      <c r="B199" s="16">
        <f>IF($A199="","",IFERROR(INDEX(tblKok[Kova],MATCH($A199,tblKok[A_Norm],0)),""))</f>
        <v/>
      </c>
      <c r="C199" s="16">
        <f>IF($A199="","",IFERROR(INDEX(tblEslesme[Fark],MATCH($A199,tblEslesme[A_Norm],0)),0))</f>
        <v/>
      </c>
      <c r="D199" s="16">
        <f>IF($A199="","",IFERROR(INDEX(tblKok[KokNeden],MATCH($A199,tblKok[A_Norm],0)),""))</f>
        <v/>
      </c>
      <c r="E199" s="16">
        <f>IF($B199&lt;&gt;"tutar_farki","",IF(ABS($C199)&gt;cbb_esikFark,"YUKSEK","NORMAL"))</f>
        <v/>
      </c>
      <c r="F199" s="16">
        <f>IF($B199&lt;&gt;"tutar_farki","","VKN "&amp;$A199&amp;" için cari↔Ba/Bs fark "&amp;TEXT($C199,"0.00")&amp;" TL. Dayanak: "&amp;$D199&amp;". Düzeltme dosyası üretildi.")</f>
        <v/>
      </c>
      <c r="G199" s="16">
        <f>IF($B199&lt;&gt;"tutar_farki","","Beklemede")</f>
        <v/>
      </c>
    </row>
    <row r="200">
      <c r="A200" s="26">
        <f>IF('KOK_NEDEN'!$A200="","",'KOK_NEDEN'!$A200)</f>
        <v/>
      </c>
      <c r="B200" s="16">
        <f>IF($A200="","",IFERROR(INDEX(tblKok[Kova],MATCH($A200,tblKok[A_Norm],0)),""))</f>
        <v/>
      </c>
      <c r="C200" s="16">
        <f>IF($A200="","",IFERROR(INDEX(tblEslesme[Fark],MATCH($A200,tblEslesme[A_Norm],0)),0))</f>
        <v/>
      </c>
      <c r="D200" s="16">
        <f>IF($A200="","",IFERROR(INDEX(tblKok[KokNeden],MATCH($A200,tblKok[A_Norm],0)),""))</f>
        <v/>
      </c>
      <c r="E200" s="16">
        <f>IF($B200&lt;&gt;"tutar_farki","",IF(ABS($C200)&gt;cbb_esikFark,"YUKSEK","NORMAL"))</f>
        <v/>
      </c>
      <c r="F200" s="16">
        <f>IF($B200&lt;&gt;"tutar_farki","","VKN "&amp;$A200&amp;" için cari↔Ba/Bs fark "&amp;TEXT($C200,"0.00")&amp;" TL. Dayanak: "&amp;$D200&amp;". Düzeltme dosyası üretildi.")</f>
        <v/>
      </c>
      <c r="G200" s="16">
        <f>IF($B200&lt;&gt;"tutar_farki","","Beklemede")</f>
        <v/>
      </c>
    </row>
    <row r="201">
      <c r="A201" s="26">
        <f>IF('KOK_NEDEN'!$A201="","",'KOK_NEDEN'!$A201)</f>
        <v/>
      </c>
      <c r="B201" s="16">
        <f>IF($A201="","",IFERROR(INDEX(tblKok[Kova],MATCH($A201,tblKok[A_Norm],0)),""))</f>
        <v/>
      </c>
      <c r="C201" s="16">
        <f>IF($A201="","",IFERROR(INDEX(tblEslesme[Fark],MATCH($A201,tblEslesme[A_Norm],0)),0))</f>
        <v/>
      </c>
      <c r="D201" s="16">
        <f>IF($A201="","",IFERROR(INDEX(tblKok[KokNeden],MATCH($A201,tblKok[A_Norm],0)),""))</f>
        <v/>
      </c>
      <c r="E201" s="16">
        <f>IF($B201&lt;&gt;"tutar_farki","",IF(ABS($C201)&gt;cbb_esikFark,"YUKSEK","NORMAL"))</f>
        <v/>
      </c>
      <c r="F201" s="16">
        <f>IF($B201&lt;&gt;"tutar_farki","","VKN "&amp;$A201&amp;" için cari↔Ba/Bs fark "&amp;TEXT($C201,"0.00")&amp;" TL. Dayanak: "&amp;$D201&amp;". Düzeltme dosyası üretildi.")</f>
        <v/>
      </c>
      <c r="G201" s="16">
        <f>IF($B201&lt;&gt;"tutar_farki","","Beklemede")</f>
        <v/>
      </c>
    </row>
    <row r="202">
      <c r="A202" s="26">
        <f>IF('KOK_NEDEN'!$A202="","",'KOK_NEDEN'!$A202)</f>
        <v/>
      </c>
      <c r="B202" s="16">
        <f>IF($A202="","",IFERROR(INDEX(tblKok[Kova],MATCH($A202,tblKok[A_Norm],0)),""))</f>
        <v/>
      </c>
      <c r="C202" s="16">
        <f>IF($A202="","",IFERROR(INDEX(tblEslesme[Fark],MATCH($A202,tblEslesme[A_Norm],0)),0))</f>
        <v/>
      </c>
      <c r="D202" s="16">
        <f>IF($A202="","",IFERROR(INDEX(tblKok[KokNeden],MATCH($A202,tblKok[A_Norm],0)),""))</f>
        <v/>
      </c>
      <c r="E202" s="16">
        <f>IF($B202&lt;&gt;"tutar_farki","",IF(ABS($C202)&gt;cbb_esikFark,"YUKSEK","NORMAL"))</f>
        <v/>
      </c>
      <c r="F202" s="16">
        <f>IF($B202&lt;&gt;"tutar_farki","","VKN "&amp;$A202&amp;" için cari↔Ba/Bs fark "&amp;TEXT($C202,"0.00")&amp;" TL. Dayanak: "&amp;$D202&amp;". Düzeltme dosyası üretildi.")</f>
        <v/>
      </c>
      <c r="G202" s="16">
        <f>IF($B202&lt;&gt;"tutar_farki","","Beklemede")</f>
        <v/>
      </c>
    </row>
    <row r="203">
      <c r="A203" s="26">
        <f>IF('KOK_NEDEN'!$A203="","",'KOK_NEDEN'!$A203)</f>
        <v/>
      </c>
      <c r="B203" s="16">
        <f>IF($A203="","",IFERROR(INDEX(tblKok[Kova],MATCH($A203,tblKok[A_Norm],0)),""))</f>
        <v/>
      </c>
      <c r="C203" s="16">
        <f>IF($A203="","",IFERROR(INDEX(tblEslesme[Fark],MATCH($A203,tblEslesme[A_Norm],0)),0))</f>
        <v/>
      </c>
      <c r="D203" s="16">
        <f>IF($A203="","",IFERROR(INDEX(tblKok[KokNeden],MATCH($A203,tblKok[A_Norm],0)),""))</f>
        <v/>
      </c>
      <c r="E203" s="16">
        <f>IF($B203&lt;&gt;"tutar_farki","",IF(ABS($C203)&gt;cbb_esikFark,"YUKSEK","NORMAL"))</f>
        <v/>
      </c>
      <c r="F203" s="16">
        <f>IF($B203&lt;&gt;"tutar_farki","","VKN "&amp;$A203&amp;" için cari↔Ba/Bs fark "&amp;TEXT($C203,"0.00")&amp;" TL. Dayanak: "&amp;$D203&amp;". Düzeltme dosyası üretildi.")</f>
        <v/>
      </c>
      <c r="G203" s="16">
        <f>IF($B203&lt;&gt;"tutar_farki","","Beklemede")</f>
        <v/>
      </c>
    </row>
    <row r="204">
      <c r="A204" s="26">
        <f>IF('KOK_NEDEN'!$A204="","",'KOK_NEDEN'!$A204)</f>
        <v/>
      </c>
      <c r="B204" s="16">
        <f>IF($A204="","",IFERROR(INDEX(tblKok[Kova],MATCH($A204,tblKok[A_Norm],0)),""))</f>
        <v/>
      </c>
      <c r="C204" s="16">
        <f>IF($A204="","",IFERROR(INDEX(tblEslesme[Fark],MATCH($A204,tblEslesme[A_Norm],0)),0))</f>
        <v/>
      </c>
      <c r="D204" s="16">
        <f>IF($A204="","",IFERROR(INDEX(tblKok[KokNeden],MATCH($A204,tblKok[A_Norm],0)),""))</f>
        <v/>
      </c>
      <c r="E204" s="16">
        <f>IF($B204&lt;&gt;"tutar_farki","",IF(ABS($C204)&gt;cbb_esikFark,"YUKSEK","NORMAL"))</f>
        <v/>
      </c>
      <c r="F204" s="16">
        <f>IF($B204&lt;&gt;"tutar_farki","","VKN "&amp;$A204&amp;" için cari↔Ba/Bs fark "&amp;TEXT($C204,"0.00")&amp;" TL. Dayanak: "&amp;$D204&amp;". Düzeltme dosyası üretildi.")</f>
        <v/>
      </c>
      <c r="G204" s="16">
        <f>IF($B204&lt;&gt;"tutar_farki","","Beklemede")</f>
        <v/>
      </c>
    </row>
    <row r="205">
      <c r="A205" s="26">
        <f>IF('KOK_NEDEN'!$A205="","",'KOK_NEDEN'!$A205)</f>
        <v/>
      </c>
      <c r="B205" s="16">
        <f>IF($A205="","",IFERROR(INDEX(tblKok[Kova],MATCH($A205,tblKok[A_Norm],0)),""))</f>
        <v/>
      </c>
      <c r="C205" s="16">
        <f>IF($A205="","",IFERROR(INDEX(tblEslesme[Fark],MATCH($A205,tblEslesme[A_Norm],0)),0))</f>
        <v/>
      </c>
      <c r="D205" s="16">
        <f>IF($A205="","",IFERROR(INDEX(tblKok[KokNeden],MATCH($A205,tblKok[A_Norm],0)),""))</f>
        <v/>
      </c>
      <c r="E205" s="16">
        <f>IF($B205&lt;&gt;"tutar_farki","",IF(ABS($C205)&gt;cbb_esikFark,"YUKSEK","NORMAL"))</f>
        <v/>
      </c>
      <c r="F205" s="16">
        <f>IF($B205&lt;&gt;"tutar_farki","","VKN "&amp;$A205&amp;" için cari↔Ba/Bs fark "&amp;TEXT($C205,"0.00")&amp;" TL. Dayanak: "&amp;$D205&amp;". Düzeltme dosyası üretildi.")</f>
        <v/>
      </c>
      <c r="G205" s="16">
        <f>IF($B205&lt;&gt;"tutar_farki","","Beklemede")</f>
        <v/>
      </c>
    </row>
    <row r="206">
      <c r="A206" s="26">
        <f>IF('KOK_NEDEN'!$A206="","",'KOK_NEDEN'!$A206)</f>
        <v/>
      </c>
      <c r="B206" s="16">
        <f>IF($A206="","",IFERROR(INDEX(tblKok[Kova],MATCH($A206,tblKok[A_Norm],0)),""))</f>
        <v/>
      </c>
      <c r="C206" s="16">
        <f>IF($A206="","",IFERROR(INDEX(tblEslesme[Fark],MATCH($A206,tblEslesme[A_Norm],0)),0))</f>
        <v/>
      </c>
      <c r="D206" s="16">
        <f>IF($A206="","",IFERROR(INDEX(tblKok[KokNeden],MATCH($A206,tblKok[A_Norm],0)),""))</f>
        <v/>
      </c>
      <c r="E206" s="16">
        <f>IF($B206&lt;&gt;"tutar_farki","",IF(ABS($C206)&gt;cbb_esikFark,"YUKSEK","NORMAL"))</f>
        <v/>
      </c>
      <c r="F206" s="16">
        <f>IF($B206&lt;&gt;"tutar_farki","","VKN "&amp;$A206&amp;" için cari↔Ba/Bs fark "&amp;TEXT($C206,"0.00")&amp;" TL. Dayanak: "&amp;$D206&amp;". Düzeltme dosyası üretildi.")</f>
        <v/>
      </c>
      <c r="G206" s="16">
        <f>IF($B206&lt;&gt;"tutar_farki","","Beklemede")</f>
        <v/>
      </c>
    </row>
    <row r="207">
      <c r="A207" s="26">
        <f>IF('KOK_NEDEN'!$A207="","",'KOK_NEDEN'!$A207)</f>
        <v/>
      </c>
      <c r="B207" s="16">
        <f>IF($A207="","",IFERROR(INDEX(tblKok[Kova],MATCH($A207,tblKok[A_Norm],0)),""))</f>
        <v/>
      </c>
      <c r="C207" s="16">
        <f>IF($A207="","",IFERROR(INDEX(tblEslesme[Fark],MATCH($A207,tblEslesme[A_Norm],0)),0))</f>
        <v/>
      </c>
      <c r="D207" s="16">
        <f>IF($A207="","",IFERROR(INDEX(tblKok[KokNeden],MATCH($A207,tblKok[A_Norm],0)),""))</f>
        <v/>
      </c>
      <c r="E207" s="16">
        <f>IF($B207&lt;&gt;"tutar_farki","",IF(ABS($C207)&gt;cbb_esikFark,"YUKSEK","NORMAL"))</f>
        <v/>
      </c>
      <c r="F207" s="16">
        <f>IF($B207&lt;&gt;"tutar_farki","","VKN "&amp;$A207&amp;" için cari↔Ba/Bs fark "&amp;TEXT($C207,"0.00")&amp;" TL. Dayanak: "&amp;$D207&amp;". Düzeltme dosyası üretildi.")</f>
        <v/>
      </c>
      <c r="G207" s="16">
        <f>IF($B207&lt;&gt;"tutar_farki","","Beklemede")</f>
        <v/>
      </c>
    </row>
    <row r="208">
      <c r="A208" s="26">
        <f>IF('KOK_NEDEN'!$A208="","",'KOK_NEDEN'!$A208)</f>
        <v/>
      </c>
      <c r="B208" s="16">
        <f>IF($A208="","",IFERROR(INDEX(tblKok[Kova],MATCH($A208,tblKok[A_Norm],0)),""))</f>
        <v/>
      </c>
      <c r="C208" s="16">
        <f>IF($A208="","",IFERROR(INDEX(tblEslesme[Fark],MATCH($A208,tblEslesme[A_Norm],0)),0))</f>
        <v/>
      </c>
      <c r="D208" s="16">
        <f>IF($A208="","",IFERROR(INDEX(tblKok[KokNeden],MATCH($A208,tblKok[A_Norm],0)),""))</f>
        <v/>
      </c>
      <c r="E208" s="16">
        <f>IF($B208&lt;&gt;"tutar_farki","",IF(ABS($C208)&gt;cbb_esikFark,"YUKSEK","NORMAL"))</f>
        <v/>
      </c>
      <c r="F208" s="16">
        <f>IF($B208&lt;&gt;"tutar_farki","","VKN "&amp;$A208&amp;" için cari↔Ba/Bs fark "&amp;TEXT($C208,"0.00")&amp;" TL. Dayanak: "&amp;$D208&amp;". Düzeltme dosyası üretildi.")</f>
        <v/>
      </c>
      <c r="G208" s="16">
        <f>IF($B208&lt;&gt;"tutar_farki","","Beklemede")</f>
        <v/>
      </c>
    </row>
    <row r="209">
      <c r="A209" s="26">
        <f>IF('KOK_NEDEN'!$A209="","",'KOK_NEDEN'!$A209)</f>
        <v/>
      </c>
      <c r="B209" s="16">
        <f>IF($A209="","",IFERROR(INDEX(tblKok[Kova],MATCH($A209,tblKok[A_Norm],0)),""))</f>
        <v/>
      </c>
      <c r="C209" s="16">
        <f>IF($A209="","",IFERROR(INDEX(tblEslesme[Fark],MATCH($A209,tblEslesme[A_Norm],0)),0))</f>
        <v/>
      </c>
      <c r="D209" s="16">
        <f>IF($A209="","",IFERROR(INDEX(tblKok[KokNeden],MATCH($A209,tblKok[A_Norm],0)),""))</f>
        <v/>
      </c>
      <c r="E209" s="16">
        <f>IF($B209&lt;&gt;"tutar_farki","",IF(ABS($C209)&gt;cbb_esikFark,"YUKSEK","NORMAL"))</f>
        <v/>
      </c>
      <c r="F209" s="16">
        <f>IF($B209&lt;&gt;"tutar_farki","","VKN "&amp;$A209&amp;" için cari↔Ba/Bs fark "&amp;TEXT($C209,"0.00")&amp;" TL. Dayanak: "&amp;$D209&amp;". Düzeltme dosyası üretildi.")</f>
        <v/>
      </c>
      <c r="G209" s="16">
        <f>IF($B209&lt;&gt;"tutar_farki","","Beklemede")</f>
        <v/>
      </c>
    </row>
    <row r="210">
      <c r="A210" s="26">
        <f>IF('KOK_NEDEN'!$A210="","",'KOK_NEDEN'!$A210)</f>
        <v/>
      </c>
      <c r="B210" s="16">
        <f>IF($A210="","",IFERROR(INDEX(tblKok[Kova],MATCH($A210,tblKok[A_Norm],0)),""))</f>
        <v/>
      </c>
      <c r="C210" s="16">
        <f>IF($A210="","",IFERROR(INDEX(tblEslesme[Fark],MATCH($A210,tblEslesme[A_Norm],0)),0))</f>
        <v/>
      </c>
      <c r="D210" s="16">
        <f>IF($A210="","",IFERROR(INDEX(tblKok[KokNeden],MATCH($A210,tblKok[A_Norm],0)),""))</f>
        <v/>
      </c>
      <c r="E210" s="16">
        <f>IF($B210&lt;&gt;"tutar_farki","",IF(ABS($C210)&gt;cbb_esikFark,"YUKSEK","NORMAL"))</f>
        <v/>
      </c>
      <c r="F210" s="16">
        <f>IF($B210&lt;&gt;"tutar_farki","","VKN "&amp;$A210&amp;" için cari↔Ba/Bs fark "&amp;TEXT($C210,"0.00")&amp;" TL. Dayanak: "&amp;$D210&amp;". Düzeltme dosyası üretildi.")</f>
        <v/>
      </c>
      <c r="G210" s="16">
        <f>IF($B210&lt;&gt;"tutar_farki","","Beklemede")</f>
        <v/>
      </c>
    </row>
    <row r="211">
      <c r="A211" s="26">
        <f>IF('KOK_NEDEN'!$A211="","",'KOK_NEDEN'!$A211)</f>
        <v/>
      </c>
      <c r="B211" s="16">
        <f>IF($A211="","",IFERROR(INDEX(tblKok[Kova],MATCH($A211,tblKok[A_Norm],0)),""))</f>
        <v/>
      </c>
      <c r="C211" s="16">
        <f>IF($A211="","",IFERROR(INDEX(tblEslesme[Fark],MATCH($A211,tblEslesme[A_Norm],0)),0))</f>
        <v/>
      </c>
      <c r="D211" s="16">
        <f>IF($A211="","",IFERROR(INDEX(tblKok[KokNeden],MATCH($A211,tblKok[A_Norm],0)),""))</f>
        <v/>
      </c>
      <c r="E211" s="16">
        <f>IF($B211&lt;&gt;"tutar_farki","",IF(ABS($C211)&gt;cbb_esikFark,"YUKSEK","NORMAL"))</f>
        <v/>
      </c>
      <c r="F211" s="16">
        <f>IF($B211&lt;&gt;"tutar_farki","","VKN "&amp;$A211&amp;" için cari↔Ba/Bs fark "&amp;TEXT($C211,"0.00")&amp;" TL. Dayanak: "&amp;$D211&amp;". Düzeltme dosyası üretildi.")</f>
        <v/>
      </c>
      <c r="G211" s="16">
        <f>IF($B211&lt;&gt;"tutar_farki","","Beklemede")</f>
        <v/>
      </c>
    </row>
    <row r="212">
      <c r="A212" s="26">
        <f>IF('KOK_NEDEN'!$A212="","",'KOK_NEDEN'!$A212)</f>
        <v/>
      </c>
      <c r="B212" s="16">
        <f>IF($A212="","",IFERROR(INDEX(tblKok[Kova],MATCH($A212,tblKok[A_Norm],0)),""))</f>
        <v/>
      </c>
      <c r="C212" s="16">
        <f>IF($A212="","",IFERROR(INDEX(tblEslesme[Fark],MATCH($A212,tblEslesme[A_Norm],0)),0))</f>
        <v/>
      </c>
      <c r="D212" s="16">
        <f>IF($A212="","",IFERROR(INDEX(tblKok[KokNeden],MATCH($A212,tblKok[A_Norm],0)),""))</f>
        <v/>
      </c>
      <c r="E212" s="16">
        <f>IF($B212&lt;&gt;"tutar_farki","",IF(ABS($C212)&gt;cbb_esikFark,"YUKSEK","NORMAL"))</f>
        <v/>
      </c>
      <c r="F212" s="16">
        <f>IF($B212&lt;&gt;"tutar_farki","","VKN "&amp;$A212&amp;" için cari↔Ba/Bs fark "&amp;TEXT($C212,"0.00")&amp;" TL. Dayanak: "&amp;$D212&amp;". Düzeltme dosyası üretildi.")</f>
        <v/>
      </c>
      <c r="G212" s="16">
        <f>IF($B212&lt;&gt;"tutar_farki","","Beklemede")</f>
        <v/>
      </c>
    </row>
    <row r="213">
      <c r="A213" s="26">
        <f>IF('KOK_NEDEN'!$A213="","",'KOK_NEDEN'!$A213)</f>
        <v/>
      </c>
      <c r="B213" s="16">
        <f>IF($A213="","",IFERROR(INDEX(tblKok[Kova],MATCH($A213,tblKok[A_Norm],0)),""))</f>
        <v/>
      </c>
      <c r="C213" s="16">
        <f>IF($A213="","",IFERROR(INDEX(tblEslesme[Fark],MATCH($A213,tblEslesme[A_Norm],0)),0))</f>
        <v/>
      </c>
      <c r="D213" s="16">
        <f>IF($A213="","",IFERROR(INDEX(tblKok[KokNeden],MATCH($A213,tblKok[A_Norm],0)),""))</f>
        <v/>
      </c>
      <c r="E213" s="16">
        <f>IF($B213&lt;&gt;"tutar_farki","",IF(ABS($C213)&gt;cbb_esikFark,"YUKSEK","NORMAL"))</f>
        <v/>
      </c>
      <c r="F213" s="16">
        <f>IF($B213&lt;&gt;"tutar_farki","","VKN "&amp;$A213&amp;" için cari↔Ba/Bs fark "&amp;TEXT($C213,"0.00")&amp;" TL. Dayanak: "&amp;$D213&amp;". Düzeltme dosyası üretildi.")</f>
        <v/>
      </c>
      <c r="G213" s="16">
        <f>IF($B213&lt;&gt;"tutar_farki","","Beklemede")</f>
        <v/>
      </c>
    </row>
    <row r="214">
      <c r="A214" s="26">
        <f>IF('KOK_NEDEN'!$A214="","",'KOK_NEDEN'!$A214)</f>
        <v/>
      </c>
      <c r="B214" s="16">
        <f>IF($A214="","",IFERROR(INDEX(tblKok[Kova],MATCH($A214,tblKok[A_Norm],0)),""))</f>
        <v/>
      </c>
      <c r="C214" s="16">
        <f>IF($A214="","",IFERROR(INDEX(tblEslesme[Fark],MATCH($A214,tblEslesme[A_Norm],0)),0))</f>
        <v/>
      </c>
      <c r="D214" s="16">
        <f>IF($A214="","",IFERROR(INDEX(tblKok[KokNeden],MATCH($A214,tblKok[A_Norm],0)),""))</f>
        <v/>
      </c>
      <c r="E214" s="16">
        <f>IF($B214&lt;&gt;"tutar_farki","",IF(ABS($C214)&gt;cbb_esikFark,"YUKSEK","NORMAL"))</f>
        <v/>
      </c>
      <c r="F214" s="16">
        <f>IF($B214&lt;&gt;"tutar_farki","","VKN "&amp;$A214&amp;" için cari↔Ba/Bs fark "&amp;TEXT($C214,"0.00")&amp;" TL. Dayanak: "&amp;$D214&amp;". Düzeltme dosyası üretildi.")</f>
        <v/>
      </c>
      <c r="G214" s="16">
        <f>IF($B214&lt;&gt;"tutar_farki","","Beklemede")</f>
        <v/>
      </c>
    </row>
    <row r="215">
      <c r="A215" s="26">
        <f>IF('KOK_NEDEN'!$A215="","",'KOK_NEDEN'!$A215)</f>
        <v/>
      </c>
      <c r="B215" s="16">
        <f>IF($A215="","",IFERROR(INDEX(tblKok[Kova],MATCH($A215,tblKok[A_Norm],0)),""))</f>
        <v/>
      </c>
      <c r="C215" s="16">
        <f>IF($A215="","",IFERROR(INDEX(tblEslesme[Fark],MATCH($A215,tblEslesme[A_Norm],0)),0))</f>
        <v/>
      </c>
      <c r="D215" s="16">
        <f>IF($A215="","",IFERROR(INDEX(tblKok[KokNeden],MATCH($A215,tblKok[A_Norm],0)),""))</f>
        <v/>
      </c>
      <c r="E215" s="16">
        <f>IF($B215&lt;&gt;"tutar_farki","",IF(ABS($C215)&gt;cbb_esikFark,"YUKSEK","NORMAL"))</f>
        <v/>
      </c>
      <c r="F215" s="16">
        <f>IF($B215&lt;&gt;"tutar_farki","","VKN "&amp;$A215&amp;" için cari↔Ba/Bs fark "&amp;TEXT($C215,"0.00")&amp;" TL. Dayanak: "&amp;$D215&amp;". Düzeltme dosyası üretildi.")</f>
        <v/>
      </c>
      <c r="G215" s="16">
        <f>IF($B215&lt;&gt;"tutar_farki","","Beklemede")</f>
        <v/>
      </c>
    </row>
    <row r="216">
      <c r="A216" s="26">
        <f>IF('KOK_NEDEN'!$A216="","",'KOK_NEDEN'!$A216)</f>
        <v/>
      </c>
      <c r="B216" s="16">
        <f>IF($A216="","",IFERROR(INDEX(tblKok[Kova],MATCH($A216,tblKok[A_Norm],0)),""))</f>
        <v/>
      </c>
      <c r="C216" s="16">
        <f>IF($A216="","",IFERROR(INDEX(tblEslesme[Fark],MATCH($A216,tblEslesme[A_Norm],0)),0))</f>
        <v/>
      </c>
      <c r="D216" s="16">
        <f>IF($A216="","",IFERROR(INDEX(tblKok[KokNeden],MATCH($A216,tblKok[A_Norm],0)),""))</f>
        <v/>
      </c>
      <c r="E216" s="16">
        <f>IF($B216&lt;&gt;"tutar_farki","",IF(ABS($C216)&gt;cbb_esikFark,"YUKSEK","NORMAL"))</f>
        <v/>
      </c>
      <c r="F216" s="16">
        <f>IF($B216&lt;&gt;"tutar_farki","","VKN "&amp;$A216&amp;" için cari↔Ba/Bs fark "&amp;TEXT($C216,"0.00")&amp;" TL. Dayanak: "&amp;$D216&amp;". Düzeltme dosyası üretildi.")</f>
        <v/>
      </c>
      <c r="G216" s="16">
        <f>IF($B216&lt;&gt;"tutar_farki","","Beklemede")</f>
        <v/>
      </c>
    </row>
    <row r="217">
      <c r="A217" s="26">
        <f>IF('KOK_NEDEN'!$A217="","",'KOK_NEDEN'!$A217)</f>
        <v/>
      </c>
      <c r="B217" s="16">
        <f>IF($A217="","",IFERROR(INDEX(tblKok[Kova],MATCH($A217,tblKok[A_Norm],0)),""))</f>
        <v/>
      </c>
      <c r="C217" s="16">
        <f>IF($A217="","",IFERROR(INDEX(tblEslesme[Fark],MATCH($A217,tblEslesme[A_Norm],0)),0))</f>
        <v/>
      </c>
      <c r="D217" s="16">
        <f>IF($A217="","",IFERROR(INDEX(tblKok[KokNeden],MATCH($A217,tblKok[A_Norm],0)),""))</f>
        <v/>
      </c>
      <c r="E217" s="16">
        <f>IF($B217&lt;&gt;"tutar_farki","",IF(ABS($C217)&gt;cbb_esikFark,"YUKSEK","NORMAL"))</f>
        <v/>
      </c>
      <c r="F217" s="16">
        <f>IF($B217&lt;&gt;"tutar_farki","","VKN "&amp;$A217&amp;" için cari↔Ba/Bs fark "&amp;TEXT($C217,"0.00")&amp;" TL. Dayanak: "&amp;$D217&amp;". Düzeltme dosyası üretildi.")</f>
        <v/>
      </c>
      <c r="G217" s="16">
        <f>IF($B217&lt;&gt;"tutar_farki","","Beklemede")</f>
        <v/>
      </c>
    </row>
    <row r="218">
      <c r="A218" s="26">
        <f>IF('KOK_NEDEN'!$A218="","",'KOK_NEDEN'!$A218)</f>
        <v/>
      </c>
      <c r="B218" s="16">
        <f>IF($A218="","",IFERROR(INDEX(tblKok[Kova],MATCH($A218,tblKok[A_Norm],0)),""))</f>
        <v/>
      </c>
      <c r="C218" s="16">
        <f>IF($A218="","",IFERROR(INDEX(tblEslesme[Fark],MATCH($A218,tblEslesme[A_Norm],0)),0))</f>
        <v/>
      </c>
      <c r="D218" s="16">
        <f>IF($A218="","",IFERROR(INDEX(tblKok[KokNeden],MATCH($A218,tblKok[A_Norm],0)),""))</f>
        <v/>
      </c>
      <c r="E218" s="16">
        <f>IF($B218&lt;&gt;"tutar_farki","",IF(ABS($C218)&gt;cbb_esikFark,"YUKSEK","NORMAL"))</f>
        <v/>
      </c>
      <c r="F218" s="16">
        <f>IF($B218&lt;&gt;"tutar_farki","","VKN "&amp;$A218&amp;" için cari↔Ba/Bs fark "&amp;TEXT($C218,"0.00")&amp;" TL. Dayanak: "&amp;$D218&amp;". Düzeltme dosyası üretildi.")</f>
        <v/>
      </c>
      <c r="G218" s="16">
        <f>IF($B218&lt;&gt;"tutar_farki","","Beklemede")</f>
        <v/>
      </c>
    </row>
    <row r="219">
      <c r="A219" s="26">
        <f>IF('KOK_NEDEN'!$A219="","",'KOK_NEDEN'!$A219)</f>
        <v/>
      </c>
      <c r="B219" s="16">
        <f>IF($A219="","",IFERROR(INDEX(tblKok[Kova],MATCH($A219,tblKok[A_Norm],0)),""))</f>
        <v/>
      </c>
      <c r="C219" s="16">
        <f>IF($A219="","",IFERROR(INDEX(tblEslesme[Fark],MATCH($A219,tblEslesme[A_Norm],0)),0))</f>
        <v/>
      </c>
      <c r="D219" s="16">
        <f>IF($A219="","",IFERROR(INDEX(tblKok[KokNeden],MATCH($A219,tblKok[A_Norm],0)),""))</f>
        <v/>
      </c>
      <c r="E219" s="16">
        <f>IF($B219&lt;&gt;"tutar_farki","",IF(ABS($C219)&gt;cbb_esikFark,"YUKSEK","NORMAL"))</f>
        <v/>
      </c>
      <c r="F219" s="16">
        <f>IF($B219&lt;&gt;"tutar_farki","","VKN "&amp;$A219&amp;" için cari↔Ba/Bs fark "&amp;TEXT($C219,"0.00")&amp;" TL. Dayanak: "&amp;$D219&amp;". Düzeltme dosyası üretildi.")</f>
        <v/>
      </c>
      <c r="G219" s="16">
        <f>IF($B219&lt;&gt;"tutar_farki","","Beklemede")</f>
        <v/>
      </c>
    </row>
    <row r="220">
      <c r="A220" s="26">
        <f>IF('KOK_NEDEN'!$A220="","",'KOK_NEDEN'!$A220)</f>
        <v/>
      </c>
      <c r="B220" s="16">
        <f>IF($A220="","",IFERROR(INDEX(tblKok[Kova],MATCH($A220,tblKok[A_Norm],0)),""))</f>
        <v/>
      </c>
      <c r="C220" s="16">
        <f>IF($A220="","",IFERROR(INDEX(tblEslesme[Fark],MATCH($A220,tblEslesme[A_Norm],0)),0))</f>
        <v/>
      </c>
      <c r="D220" s="16">
        <f>IF($A220="","",IFERROR(INDEX(tblKok[KokNeden],MATCH($A220,tblKok[A_Norm],0)),""))</f>
        <v/>
      </c>
      <c r="E220" s="16">
        <f>IF($B220&lt;&gt;"tutar_farki","",IF(ABS($C220)&gt;cbb_esikFark,"YUKSEK","NORMAL"))</f>
        <v/>
      </c>
      <c r="F220" s="16">
        <f>IF($B220&lt;&gt;"tutar_farki","","VKN "&amp;$A220&amp;" için cari↔Ba/Bs fark "&amp;TEXT($C220,"0.00")&amp;" TL. Dayanak: "&amp;$D220&amp;". Düzeltme dosyası üretildi.")</f>
        <v/>
      </c>
      <c r="G220" s="16">
        <f>IF($B220&lt;&gt;"tutar_farki","","Beklemede")</f>
        <v/>
      </c>
    </row>
    <row r="221">
      <c r="A221" s="26">
        <f>IF('KOK_NEDEN'!$A221="","",'KOK_NEDEN'!$A221)</f>
        <v/>
      </c>
      <c r="B221" s="16">
        <f>IF($A221="","",IFERROR(INDEX(tblKok[Kova],MATCH($A221,tblKok[A_Norm],0)),""))</f>
        <v/>
      </c>
      <c r="C221" s="16">
        <f>IF($A221="","",IFERROR(INDEX(tblEslesme[Fark],MATCH($A221,tblEslesme[A_Norm],0)),0))</f>
        <v/>
      </c>
      <c r="D221" s="16">
        <f>IF($A221="","",IFERROR(INDEX(tblKok[KokNeden],MATCH($A221,tblKok[A_Norm],0)),""))</f>
        <v/>
      </c>
      <c r="E221" s="16">
        <f>IF($B221&lt;&gt;"tutar_farki","",IF(ABS($C221)&gt;cbb_esikFark,"YUKSEK","NORMAL"))</f>
        <v/>
      </c>
      <c r="F221" s="16">
        <f>IF($B221&lt;&gt;"tutar_farki","","VKN "&amp;$A221&amp;" için cari↔Ba/Bs fark "&amp;TEXT($C221,"0.00")&amp;" TL. Dayanak: "&amp;$D221&amp;". Düzeltme dosyası üretildi.")</f>
        <v/>
      </c>
      <c r="G221" s="16">
        <f>IF($B221&lt;&gt;"tutar_farki","","Beklemede")</f>
        <v/>
      </c>
    </row>
    <row r="222">
      <c r="A222" s="26">
        <f>IF('KOK_NEDEN'!$A222="","",'KOK_NEDEN'!$A222)</f>
        <v/>
      </c>
      <c r="B222" s="16">
        <f>IF($A222="","",IFERROR(INDEX(tblKok[Kova],MATCH($A222,tblKok[A_Norm],0)),""))</f>
        <v/>
      </c>
      <c r="C222" s="16">
        <f>IF($A222="","",IFERROR(INDEX(tblEslesme[Fark],MATCH($A222,tblEslesme[A_Norm],0)),0))</f>
        <v/>
      </c>
      <c r="D222" s="16">
        <f>IF($A222="","",IFERROR(INDEX(tblKok[KokNeden],MATCH($A222,tblKok[A_Norm],0)),""))</f>
        <v/>
      </c>
      <c r="E222" s="16">
        <f>IF($B222&lt;&gt;"tutar_farki","",IF(ABS($C222)&gt;cbb_esikFark,"YUKSEK","NORMAL"))</f>
        <v/>
      </c>
      <c r="F222" s="16">
        <f>IF($B222&lt;&gt;"tutar_farki","","VKN "&amp;$A222&amp;" için cari↔Ba/Bs fark "&amp;TEXT($C222,"0.00")&amp;" TL. Dayanak: "&amp;$D222&amp;". Düzeltme dosyası üretildi.")</f>
        <v/>
      </c>
      <c r="G222" s="16">
        <f>IF($B222&lt;&gt;"tutar_farki","","Beklemede")</f>
        <v/>
      </c>
    </row>
    <row r="223">
      <c r="A223" s="26">
        <f>IF('KOK_NEDEN'!$A223="","",'KOK_NEDEN'!$A223)</f>
        <v/>
      </c>
      <c r="B223" s="16">
        <f>IF($A223="","",IFERROR(INDEX(tblKok[Kova],MATCH($A223,tblKok[A_Norm],0)),""))</f>
        <v/>
      </c>
      <c r="C223" s="16">
        <f>IF($A223="","",IFERROR(INDEX(tblEslesme[Fark],MATCH($A223,tblEslesme[A_Norm],0)),0))</f>
        <v/>
      </c>
      <c r="D223" s="16">
        <f>IF($A223="","",IFERROR(INDEX(tblKok[KokNeden],MATCH($A223,tblKok[A_Norm],0)),""))</f>
        <v/>
      </c>
      <c r="E223" s="16">
        <f>IF($B223&lt;&gt;"tutar_farki","",IF(ABS($C223)&gt;cbb_esikFark,"YUKSEK","NORMAL"))</f>
        <v/>
      </c>
      <c r="F223" s="16">
        <f>IF($B223&lt;&gt;"tutar_farki","","VKN "&amp;$A223&amp;" için cari↔Ba/Bs fark "&amp;TEXT($C223,"0.00")&amp;" TL. Dayanak: "&amp;$D223&amp;". Düzeltme dosyası üretildi.")</f>
        <v/>
      </c>
      <c r="G223" s="16">
        <f>IF($B223&lt;&gt;"tutar_farki","","Beklemede")</f>
        <v/>
      </c>
    </row>
    <row r="224">
      <c r="A224" s="26">
        <f>IF('KOK_NEDEN'!$A224="","",'KOK_NEDEN'!$A224)</f>
        <v/>
      </c>
      <c r="B224" s="16">
        <f>IF($A224="","",IFERROR(INDEX(tblKok[Kova],MATCH($A224,tblKok[A_Norm],0)),""))</f>
        <v/>
      </c>
      <c r="C224" s="16">
        <f>IF($A224="","",IFERROR(INDEX(tblEslesme[Fark],MATCH($A224,tblEslesme[A_Norm],0)),0))</f>
        <v/>
      </c>
      <c r="D224" s="16">
        <f>IF($A224="","",IFERROR(INDEX(tblKok[KokNeden],MATCH($A224,tblKok[A_Norm],0)),""))</f>
        <v/>
      </c>
      <c r="E224" s="16">
        <f>IF($B224&lt;&gt;"tutar_farki","",IF(ABS($C224)&gt;cbb_esikFark,"YUKSEK","NORMAL"))</f>
        <v/>
      </c>
      <c r="F224" s="16">
        <f>IF($B224&lt;&gt;"tutar_farki","","VKN "&amp;$A224&amp;" için cari↔Ba/Bs fark "&amp;TEXT($C224,"0.00")&amp;" TL. Dayanak: "&amp;$D224&amp;". Düzeltme dosyası üretildi.")</f>
        <v/>
      </c>
      <c r="G224" s="16">
        <f>IF($B224&lt;&gt;"tutar_farki","","Beklemede")</f>
        <v/>
      </c>
    </row>
    <row r="225">
      <c r="A225" s="26">
        <f>IF('KOK_NEDEN'!$A225="","",'KOK_NEDEN'!$A225)</f>
        <v/>
      </c>
      <c r="B225" s="16">
        <f>IF($A225="","",IFERROR(INDEX(tblKok[Kova],MATCH($A225,tblKok[A_Norm],0)),""))</f>
        <v/>
      </c>
      <c r="C225" s="16">
        <f>IF($A225="","",IFERROR(INDEX(tblEslesme[Fark],MATCH($A225,tblEslesme[A_Norm],0)),0))</f>
        <v/>
      </c>
      <c r="D225" s="16">
        <f>IF($A225="","",IFERROR(INDEX(tblKok[KokNeden],MATCH($A225,tblKok[A_Norm],0)),""))</f>
        <v/>
      </c>
      <c r="E225" s="16">
        <f>IF($B225&lt;&gt;"tutar_farki","",IF(ABS($C225)&gt;cbb_esikFark,"YUKSEK","NORMAL"))</f>
        <v/>
      </c>
      <c r="F225" s="16">
        <f>IF($B225&lt;&gt;"tutar_farki","","VKN "&amp;$A225&amp;" için cari↔Ba/Bs fark "&amp;TEXT($C225,"0.00")&amp;" TL. Dayanak: "&amp;$D225&amp;". Düzeltme dosyası üretildi.")</f>
        <v/>
      </c>
      <c r="G225" s="16">
        <f>IF($B225&lt;&gt;"tutar_farki","","Beklemede")</f>
        <v/>
      </c>
    </row>
    <row r="226">
      <c r="A226" s="26">
        <f>IF('KOK_NEDEN'!$A226="","",'KOK_NEDEN'!$A226)</f>
        <v/>
      </c>
      <c r="B226" s="16">
        <f>IF($A226="","",IFERROR(INDEX(tblKok[Kova],MATCH($A226,tblKok[A_Norm],0)),""))</f>
        <v/>
      </c>
      <c r="C226" s="16">
        <f>IF($A226="","",IFERROR(INDEX(tblEslesme[Fark],MATCH($A226,tblEslesme[A_Norm],0)),0))</f>
        <v/>
      </c>
      <c r="D226" s="16">
        <f>IF($A226="","",IFERROR(INDEX(tblKok[KokNeden],MATCH($A226,tblKok[A_Norm],0)),""))</f>
        <v/>
      </c>
      <c r="E226" s="16">
        <f>IF($B226&lt;&gt;"tutar_farki","",IF(ABS($C226)&gt;cbb_esikFark,"YUKSEK","NORMAL"))</f>
        <v/>
      </c>
      <c r="F226" s="16">
        <f>IF($B226&lt;&gt;"tutar_farki","","VKN "&amp;$A226&amp;" için cari↔Ba/Bs fark "&amp;TEXT($C226,"0.00")&amp;" TL. Dayanak: "&amp;$D226&amp;". Düzeltme dosyası üretildi.")</f>
        <v/>
      </c>
      <c r="G226" s="16">
        <f>IF($B226&lt;&gt;"tutar_farki","","Beklemede")</f>
        <v/>
      </c>
    </row>
    <row r="227">
      <c r="A227" s="26">
        <f>IF('KOK_NEDEN'!$A227="","",'KOK_NEDEN'!$A227)</f>
        <v/>
      </c>
      <c r="B227" s="16">
        <f>IF($A227="","",IFERROR(INDEX(tblKok[Kova],MATCH($A227,tblKok[A_Norm],0)),""))</f>
        <v/>
      </c>
      <c r="C227" s="16">
        <f>IF($A227="","",IFERROR(INDEX(tblEslesme[Fark],MATCH($A227,tblEslesme[A_Norm],0)),0))</f>
        <v/>
      </c>
      <c r="D227" s="16">
        <f>IF($A227="","",IFERROR(INDEX(tblKok[KokNeden],MATCH($A227,tblKok[A_Norm],0)),""))</f>
        <v/>
      </c>
      <c r="E227" s="16">
        <f>IF($B227&lt;&gt;"tutar_farki","",IF(ABS($C227)&gt;cbb_esikFark,"YUKSEK","NORMAL"))</f>
        <v/>
      </c>
      <c r="F227" s="16">
        <f>IF($B227&lt;&gt;"tutar_farki","","VKN "&amp;$A227&amp;" için cari↔Ba/Bs fark "&amp;TEXT($C227,"0.00")&amp;" TL. Dayanak: "&amp;$D227&amp;". Düzeltme dosyası üretildi.")</f>
        <v/>
      </c>
      <c r="G227" s="16">
        <f>IF($B227&lt;&gt;"tutar_farki","","Beklemede")</f>
        <v/>
      </c>
    </row>
    <row r="228">
      <c r="A228" s="26">
        <f>IF('KOK_NEDEN'!$A228="","",'KOK_NEDEN'!$A228)</f>
        <v/>
      </c>
      <c r="B228" s="16">
        <f>IF($A228="","",IFERROR(INDEX(tblKok[Kova],MATCH($A228,tblKok[A_Norm],0)),""))</f>
        <v/>
      </c>
      <c r="C228" s="16">
        <f>IF($A228="","",IFERROR(INDEX(tblEslesme[Fark],MATCH($A228,tblEslesme[A_Norm],0)),0))</f>
        <v/>
      </c>
      <c r="D228" s="16">
        <f>IF($A228="","",IFERROR(INDEX(tblKok[KokNeden],MATCH($A228,tblKok[A_Norm],0)),""))</f>
        <v/>
      </c>
      <c r="E228" s="16">
        <f>IF($B228&lt;&gt;"tutar_farki","",IF(ABS($C228)&gt;cbb_esikFark,"YUKSEK","NORMAL"))</f>
        <v/>
      </c>
      <c r="F228" s="16">
        <f>IF($B228&lt;&gt;"tutar_farki","","VKN "&amp;$A228&amp;" için cari↔Ba/Bs fark "&amp;TEXT($C228,"0.00")&amp;" TL. Dayanak: "&amp;$D228&amp;". Düzeltme dosyası üretildi.")</f>
        <v/>
      </c>
      <c r="G228" s="16">
        <f>IF($B228&lt;&gt;"tutar_farki","","Beklemede")</f>
        <v/>
      </c>
    </row>
    <row r="229">
      <c r="A229" s="26">
        <f>IF('KOK_NEDEN'!$A229="","",'KOK_NEDEN'!$A229)</f>
        <v/>
      </c>
      <c r="B229" s="16">
        <f>IF($A229="","",IFERROR(INDEX(tblKok[Kova],MATCH($A229,tblKok[A_Norm],0)),""))</f>
        <v/>
      </c>
      <c r="C229" s="16">
        <f>IF($A229="","",IFERROR(INDEX(tblEslesme[Fark],MATCH($A229,tblEslesme[A_Norm],0)),0))</f>
        <v/>
      </c>
      <c r="D229" s="16">
        <f>IF($A229="","",IFERROR(INDEX(tblKok[KokNeden],MATCH($A229,tblKok[A_Norm],0)),""))</f>
        <v/>
      </c>
      <c r="E229" s="16">
        <f>IF($B229&lt;&gt;"tutar_farki","",IF(ABS($C229)&gt;cbb_esikFark,"YUKSEK","NORMAL"))</f>
        <v/>
      </c>
      <c r="F229" s="16">
        <f>IF($B229&lt;&gt;"tutar_farki","","VKN "&amp;$A229&amp;" için cari↔Ba/Bs fark "&amp;TEXT($C229,"0.00")&amp;" TL. Dayanak: "&amp;$D229&amp;". Düzeltme dosyası üretildi.")</f>
        <v/>
      </c>
      <c r="G229" s="16">
        <f>IF($B229&lt;&gt;"tutar_farki","","Beklemede")</f>
        <v/>
      </c>
    </row>
    <row r="230">
      <c r="A230" s="26">
        <f>IF('KOK_NEDEN'!$A230="","",'KOK_NEDEN'!$A230)</f>
        <v/>
      </c>
      <c r="B230" s="16">
        <f>IF($A230="","",IFERROR(INDEX(tblKok[Kova],MATCH($A230,tblKok[A_Norm],0)),""))</f>
        <v/>
      </c>
      <c r="C230" s="16">
        <f>IF($A230="","",IFERROR(INDEX(tblEslesme[Fark],MATCH($A230,tblEslesme[A_Norm],0)),0))</f>
        <v/>
      </c>
      <c r="D230" s="16">
        <f>IF($A230="","",IFERROR(INDEX(tblKok[KokNeden],MATCH($A230,tblKok[A_Norm],0)),""))</f>
        <v/>
      </c>
      <c r="E230" s="16">
        <f>IF($B230&lt;&gt;"tutar_farki","",IF(ABS($C230)&gt;cbb_esikFark,"YUKSEK","NORMAL"))</f>
        <v/>
      </c>
      <c r="F230" s="16">
        <f>IF($B230&lt;&gt;"tutar_farki","","VKN "&amp;$A230&amp;" için cari↔Ba/Bs fark "&amp;TEXT($C230,"0.00")&amp;" TL. Dayanak: "&amp;$D230&amp;". Düzeltme dosyası üretildi.")</f>
        <v/>
      </c>
      <c r="G230" s="16">
        <f>IF($B230&lt;&gt;"tutar_farki","","Beklemede")</f>
        <v/>
      </c>
    </row>
    <row r="231">
      <c r="A231" s="26">
        <f>IF('KOK_NEDEN'!$A231="","",'KOK_NEDEN'!$A231)</f>
        <v/>
      </c>
      <c r="B231" s="16">
        <f>IF($A231="","",IFERROR(INDEX(tblKok[Kova],MATCH($A231,tblKok[A_Norm],0)),""))</f>
        <v/>
      </c>
      <c r="C231" s="16">
        <f>IF($A231="","",IFERROR(INDEX(tblEslesme[Fark],MATCH($A231,tblEslesme[A_Norm],0)),0))</f>
        <v/>
      </c>
      <c r="D231" s="16">
        <f>IF($A231="","",IFERROR(INDEX(tblKok[KokNeden],MATCH($A231,tblKok[A_Norm],0)),""))</f>
        <v/>
      </c>
      <c r="E231" s="16">
        <f>IF($B231&lt;&gt;"tutar_farki","",IF(ABS($C231)&gt;cbb_esikFark,"YUKSEK","NORMAL"))</f>
        <v/>
      </c>
      <c r="F231" s="16">
        <f>IF($B231&lt;&gt;"tutar_farki","","VKN "&amp;$A231&amp;" için cari↔Ba/Bs fark "&amp;TEXT($C231,"0.00")&amp;" TL. Dayanak: "&amp;$D231&amp;". Düzeltme dosyası üretildi.")</f>
        <v/>
      </c>
      <c r="G231" s="16">
        <f>IF($B231&lt;&gt;"tutar_farki","","Beklemede")</f>
        <v/>
      </c>
    </row>
    <row r="232">
      <c r="A232" s="26">
        <f>IF('KOK_NEDEN'!$A232="","",'KOK_NEDEN'!$A232)</f>
        <v/>
      </c>
      <c r="B232" s="16">
        <f>IF($A232="","",IFERROR(INDEX(tblKok[Kova],MATCH($A232,tblKok[A_Norm],0)),""))</f>
        <v/>
      </c>
      <c r="C232" s="16">
        <f>IF($A232="","",IFERROR(INDEX(tblEslesme[Fark],MATCH($A232,tblEslesme[A_Norm],0)),0))</f>
        <v/>
      </c>
      <c r="D232" s="16">
        <f>IF($A232="","",IFERROR(INDEX(tblKok[KokNeden],MATCH($A232,tblKok[A_Norm],0)),""))</f>
        <v/>
      </c>
      <c r="E232" s="16">
        <f>IF($B232&lt;&gt;"tutar_farki","",IF(ABS($C232)&gt;cbb_esikFark,"YUKSEK","NORMAL"))</f>
        <v/>
      </c>
      <c r="F232" s="16">
        <f>IF($B232&lt;&gt;"tutar_farki","","VKN "&amp;$A232&amp;" için cari↔Ba/Bs fark "&amp;TEXT($C232,"0.00")&amp;" TL. Dayanak: "&amp;$D232&amp;". Düzeltme dosyası üretildi.")</f>
        <v/>
      </c>
      <c r="G232" s="16">
        <f>IF($B232&lt;&gt;"tutar_farki","","Beklemede")</f>
        <v/>
      </c>
    </row>
    <row r="233">
      <c r="A233" s="26">
        <f>IF('KOK_NEDEN'!$A233="","",'KOK_NEDEN'!$A233)</f>
        <v/>
      </c>
      <c r="B233" s="16">
        <f>IF($A233="","",IFERROR(INDEX(tblKok[Kova],MATCH($A233,tblKok[A_Norm],0)),""))</f>
        <v/>
      </c>
      <c r="C233" s="16">
        <f>IF($A233="","",IFERROR(INDEX(tblEslesme[Fark],MATCH($A233,tblEslesme[A_Norm],0)),0))</f>
        <v/>
      </c>
      <c r="D233" s="16">
        <f>IF($A233="","",IFERROR(INDEX(tblKok[KokNeden],MATCH($A233,tblKok[A_Norm],0)),""))</f>
        <v/>
      </c>
      <c r="E233" s="16">
        <f>IF($B233&lt;&gt;"tutar_farki","",IF(ABS($C233)&gt;cbb_esikFark,"YUKSEK","NORMAL"))</f>
        <v/>
      </c>
      <c r="F233" s="16">
        <f>IF($B233&lt;&gt;"tutar_farki","","VKN "&amp;$A233&amp;" için cari↔Ba/Bs fark "&amp;TEXT($C233,"0.00")&amp;" TL. Dayanak: "&amp;$D233&amp;". Düzeltme dosyası üretildi.")</f>
        <v/>
      </c>
      <c r="G233" s="16">
        <f>IF($B233&lt;&gt;"tutar_farki","","Beklemede")</f>
        <v/>
      </c>
    </row>
    <row r="234">
      <c r="A234" s="26">
        <f>IF('KOK_NEDEN'!$A234="","",'KOK_NEDEN'!$A234)</f>
        <v/>
      </c>
      <c r="B234" s="16">
        <f>IF($A234="","",IFERROR(INDEX(tblKok[Kova],MATCH($A234,tblKok[A_Norm],0)),""))</f>
        <v/>
      </c>
      <c r="C234" s="16">
        <f>IF($A234="","",IFERROR(INDEX(tblEslesme[Fark],MATCH($A234,tblEslesme[A_Norm],0)),0))</f>
        <v/>
      </c>
      <c r="D234" s="16">
        <f>IF($A234="","",IFERROR(INDEX(tblKok[KokNeden],MATCH($A234,tblKok[A_Norm],0)),""))</f>
        <v/>
      </c>
      <c r="E234" s="16">
        <f>IF($B234&lt;&gt;"tutar_farki","",IF(ABS($C234)&gt;cbb_esikFark,"YUKSEK","NORMAL"))</f>
        <v/>
      </c>
      <c r="F234" s="16">
        <f>IF($B234&lt;&gt;"tutar_farki","","VKN "&amp;$A234&amp;" için cari↔Ba/Bs fark "&amp;TEXT($C234,"0.00")&amp;" TL. Dayanak: "&amp;$D234&amp;". Düzeltme dosyası üretildi.")</f>
        <v/>
      </c>
      <c r="G234" s="16">
        <f>IF($B234&lt;&gt;"tutar_farki","","Beklemede")</f>
        <v/>
      </c>
    </row>
    <row r="235">
      <c r="A235" s="26">
        <f>IF('KOK_NEDEN'!$A235="","",'KOK_NEDEN'!$A235)</f>
        <v/>
      </c>
      <c r="B235" s="16">
        <f>IF($A235="","",IFERROR(INDEX(tblKok[Kova],MATCH($A235,tblKok[A_Norm],0)),""))</f>
        <v/>
      </c>
      <c r="C235" s="16">
        <f>IF($A235="","",IFERROR(INDEX(tblEslesme[Fark],MATCH($A235,tblEslesme[A_Norm],0)),0))</f>
        <v/>
      </c>
      <c r="D235" s="16">
        <f>IF($A235="","",IFERROR(INDEX(tblKok[KokNeden],MATCH($A235,tblKok[A_Norm],0)),""))</f>
        <v/>
      </c>
      <c r="E235" s="16">
        <f>IF($B235&lt;&gt;"tutar_farki","",IF(ABS($C235)&gt;cbb_esikFark,"YUKSEK","NORMAL"))</f>
        <v/>
      </c>
      <c r="F235" s="16">
        <f>IF($B235&lt;&gt;"tutar_farki","","VKN "&amp;$A235&amp;" için cari↔Ba/Bs fark "&amp;TEXT($C235,"0.00")&amp;" TL. Dayanak: "&amp;$D235&amp;". Düzeltme dosyası üretildi.")</f>
        <v/>
      </c>
      <c r="G235" s="16">
        <f>IF($B235&lt;&gt;"tutar_farki","","Beklemede")</f>
        <v/>
      </c>
    </row>
    <row r="236">
      <c r="A236" s="26">
        <f>IF('KOK_NEDEN'!$A236="","",'KOK_NEDEN'!$A236)</f>
        <v/>
      </c>
      <c r="B236" s="16">
        <f>IF($A236="","",IFERROR(INDEX(tblKok[Kova],MATCH($A236,tblKok[A_Norm],0)),""))</f>
        <v/>
      </c>
      <c r="C236" s="16">
        <f>IF($A236="","",IFERROR(INDEX(tblEslesme[Fark],MATCH($A236,tblEslesme[A_Norm],0)),0))</f>
        <v/>
      </c>
      <c r="D236" s="16">
        <f>IF($A236="","",IFERROR(INDEX(tblKok[KokNeden],MATCH($A236,tblKok[A_Norm],0)),""))</f>
        <v/>
      </c>
      <c r="E236" s="16">
        <f>IF($B236&lt;&gt;"tutar_farki","",IF(ABS($C236)&gt;cbb_esikFark,"YUKSEK","NORMAL"))</f>
        <v/>
      </c>
      <c r="F236" s="16">
        <f>IF($B236&lt;&gt;"tutar_farki","","VKN "&amp;$A236&amp;" için cari↔Ba/Bs fark "&amp;TEXT($C236,"0.00")&amp;" TL. Dayanak: "&amp;$D236&amp;". Düzeltme dosyası üretildi.")</f>
        <v/>
      </c>
      <c r="G236" s="16">
        <f>IF($B236&lt;&gt;"tutar_farki","","Beklemede")</f>
        <v/>
      </c>
    </row>
    <row r="237">
      <c r="A237" s="26">
        <f>IF('KOK_NEDEN'!$A237="","",'KOK_NEDEN'!$A237)</f>
        <v/>
      </c>
      <c r="B237" s="16">
        <f>IF($A237="","",IFERROR(INDEX(tblKok[Kova],MATCH($A237,tblKok[A_Norm],0)),""))</f>
        <v/>
      </c>
      <c r="C237" s="16">
        <f>IF($A237="","",IFERROR(INDEX(tblEslesme[Fark],MATCH($A237,tblEslesme[A_Norm],0)),0))</f>
        <v/>
      </c>
      <c r="D237" s="16">
        <f>IF($A237="","",IFERROR(INDEX(tblKok[KokNeden],MATCH($A237,tblKok[A_Norm],0)),""))</f>
        <v/>
      </c>
      <c r="E237" s="16">
        <f>IF($B237&lt;&gt;"tutar_farki","",IF(ABS($C237)&gt;cbb_esikFark,"YUKSEK","NORMAL"))</f>
        <v/>
      </c>
      <c r="F237" s="16">
        <f>IF($B237&lt;&gt;"tutar_farki","","VKN "&amp;$A237&amp;" için cari↔Ba/Bs fark "&amp;TEXT($C237,"0.00")&amp;" TL. Dayanak: "&amp;$D237&amp;". Düzeltme dosyası üretildi.")</f>
        <v/>
      </c>
      <c r="G237" s="16">
        <f>IF($B237&lt;&gt;"tutar_farki","","Beklemede")</f>
        <v/>
      </c>
    </row>
    <row r="238">
      <c r="A238" s="26">
        <f>IF('KOK_NEDEN'!$A238="","",'KOK_NEDEN'!$A238)</f>
        <v/>
      </c>
      <c r="B238" s="16">
        <f>IF($A238="","",IFERROR(INDEX(tblKok[Kova],MATCH($A238,tblKok[A_Norm],0)),""))</f>
        <v/>
      </c>
      <c r="C238" s="16">
        <f>IF($A238="","",IFERROR(INDEX(tblEslesme[Fark],MATCH($A238,tblEslesme[A_Norm],0)),0))</f>
        <v/>
      </c>
      <c r="D238" s="16">
        <f>IF($A238="","",IFERROR(INDEX(tblKok[KokNeden],MATCH($A238,tblKok[A_Norm],0)),""))</f>
        <v/>
      </c>
      <c r="E238" s="16">
        <f>IF($B238&lt;&gt;"tutar_farki","",IF(ABS($C238)&gt;cbb_esikFark,"YUKSEK","NORMAL"))</f>
        <v/>
      </c>
      <c r="F238" s="16">
        <f>IF($B238&lt;&gt;"tutar_farki","","VKN "&amp;$A238&amp;" için cari↔Ba/Bs fark "&amp;TEXT($C238,"0.00")&amp;" TL. Dayanak: "&amp;$D238&amp;". Düzeltme dosyası üretildi.")</f>
        <v/>
      </c>
      <c r="G238" s="16">
        <f>IF($B238&lt;&gt;"tutar_farki","","Beklemede")</f>
        <v/>
      </c>
    </row>
    <row r="239">
      <c r="A239" s="26">
        <f>IF('KOK_NEDEN'!$A239="","",'KOK_NEDEN'!$A239)</f>
        <v/>
      </c>
      <c r="B239" s="16">
        <f>IF($A239="","",IFERROR(INDEX(tblKok[Kova],MATCH($A239,tblKok[A_Norm],0)),""))</f>
        <v/>
      </c>
      <c r="C239" s="16">
        <f>IF($A239="","",IFERROR(INDEX(tblEslesme[Fark],MATCH($A239,tblEslesme[A_Norm],0)),0))</f>
        <v/>
      </c>
      <c r="D239" s="16">
        <f>IF($A239="","",IFERROR(INDEX(tblKok[KokNeden],MATCH($A239,tblKok[A_Norm],0)),""))</f>
        <v/>
      </c>
      <c r="E239" s="16">
        <f>IF($B239&lt;&gt;"tutar_farki","",IF(ABS($C239)&gt;cbb_esikFark,"YUKSEK","NORMAL"))</f>
        <v/>
      </c>
      <c r="F239" s="16">
        <f>IF($B239&lt;&gt;"tutar_farki","","VKN "&amp;$A239&amp;" için cari↔Ba/Bs fark "&amp;TEXT($C239,"0.00")&amp;" TL. Dayanak: "&amp;$D239&amp;". Düzeltme dosyası üretildi.")</f>
        <v/>
      </c>
      <c r="G239" s="16">
        <f>IF($B239&lt;&gt;"tutar_farki","","Beklemede")</f>
        <v/>
      </c>
    </row>
    <row r="240">
      <c r="A240" s="26">
        <f>IF('KOK_NEDEN'!$A240="","",'KOK_NEDEN'!$A240)</f>
        <v/>
      </c>
      <c r="B240" s="16">
        <f>IF($A240="","",IFERROR(INDEX(tblKok[Kova],MATCH($A240,tblKok[A_Norm],0)),""))</f>
        <v/>
      </c>
      <c r="C240" s="16">
        <f>IF($A240="","",IFERROR(INDEX(tblEslesme[Fark],MATCH($A240,tblEslesme[A_Norm],0)),0))</f>
        <v/>
      </c>
      <c r="D240" s="16">
        <f>IF($A240="","",IFERROR(INDEX(tblKok[KokNeden],MATCH($A240,tblKok[A_Norm],0)),""))</f>
        <v/>
      </c>
      <c r="E240" s="16">
        <f>IF($B240&lt;&gt;"tutar_farki","",IF(ABS($C240)&gt;cbb_esikFark,"YUKSEK","NORMAL"))</f>
        <v/>
      </c>
      <c r="F240" s="16">
        <f>IF($B240&lt;&gt;"tutar_farki","","VKN "&amp;$A240&amp;" için cari↔Ba/Bs fark "&amp;TEXT($C240,"0.00")&amp;" TL. Dayanak: "&amp;$D240&amp;". Düzeltme dosyası üretildi.")</f>
        <v/>
      </c>
      <c r="G240" s="16">
        <f>IF($B240&lt;&gt;"tutar_farki","","Beklemede")</f>
        <v/>
      </c>
    </row>
    <row r="241">
      <c r="A241" s="26">
        <f>IF('KOK_NEDEN'!$A241="","",'KOK_NEDEN'!$A241)</f>
        <v/>
      </c>
      <c r="B241" s="16">
        <f>IF($A241="","",IFERROR(INDEX(tblKok[Kova],MATCH($A241,tblKok[A_Norm],0)),""))</f>
        <v/>
      </c>
      <c r="C241" s="16">
        <f>IF($A241="","",IFERROR(INDEX(tblEslesme[Fark],MATCH($A241,tblEslesme[A_Norm],0)),0))</f>
        <v/>
      </c>
      <c r="D241" s="16">
        <f>IF($A241="","",IFERROR(INDEX(tblKok[KokNeden],MATCH($A241,tblKok[A_Norm],0)),""))</f>
        <v/>
      </c>
      <c r="E241" s="16">
        <f>IF($B241&lt;&gt;"tutar_farki","",IF(ABS($C241)&gt;cbb_esikFark,"YUKSEK","NORMAL"))</f>
        <v/>
      </c>
      <c r="F241" s="16">
        <f>IF($B241&lt;&gt;"tutar_farki","","VKN "&amp;$A241&amp;" için cari↔Ba/Bs fark "&amp;TEXT($C241,"0.00")&amp;" TL. Dayanak: "&amp;$D241&amp;". Düzeltme dosyası üretildi.")</f>
        <v/>
      </c>
      <c r="G241" s="16">
        <f>IF($B241&lt;&gt;"tutar_farki","","Beklemede")</f>
        <v/>
      </c>
    </row>
    <row r="242">
      <c r="A242" s="26">
        <f>IF('KOK_NEDEN'!$A242="","",'KOK_NEDEN'!$A242)</f>
        <v/>
      </c>
      <c r="B242" s="16">
        <f>IF($A242="","",IFERROR(INDEX(tblKok[Kova],MATCH($A242,tblKok[A_Norm],0)),""))</f>
        <v/>
      </c>
      <c r="C242" s="16">
        <f>IF($A242="","",IFERROR(INDEX(tblEslesme[Fark],MATCH($A242,tblEslesme[A_Norm],0)),0))</f>
        <v/>
      </c>
      <c r="D242" s="16">
        <f>IF($A242="","",IFERROR(INDEX(tblKok[KokNeden],MATCH($A242,tblKok[A_Norm],0)),""))</f>
        <v/>
      </c>
      <c r="E242" s="16">
        <f>IF($B242&lt;&gt;"tutar_farki","",IF(ABS($C242)&gt;cbb_esikFark,"YUKSEK","NORMAL"))</f>
        <v/>
      </c>
      <c r="F242" s="16">
        <f>IF($B242&lt;&gt;"tutar_farki","","VKN "&amp;$A242&amp;" için cari↔Ba/Bs fark "&amp;TEXT($C242,"0.00")&amp;" TL. Dayanak: "&amp;$D242&amp;". Düzeltme dosyası üretildi.")</f>
        <v/>
      </c>
      <c r="G242" s="16">
        <f>IF($B242&lt;&gt;"tutar_farki","","Beklemede")</f>
        <v/>
      </c>
    </row>
    <row r="243">
      <c r="A243" s="26">
        <f>IF('KOK_NEDEN'!$A243="","",'KOK_NEDEN'!$A243)</f>
        <v/>
      </c>
      <c r="B243" s="16">
        <f>IF($A243="","",IFERROR(INDEX(tblKok[Kova],MATCH($A243,tblKok[A_Norm],0)),""))</f>
        <v/>
      </c>
      <c r="C243" s="16">
        <f>IF($A243="","",IFERROR(INDEX(tblEslesme[Fark],MATCH($A243,tblEslesme[A_Norm],0)),0))</f>
        <v/>
      </c>
      <c r="D243" s="16">
        <f>IF($A243="","",IFERROR(INDEX(tblKok[KokNeden],MATCH($A243,tblKok[A_Norm],0)),""))</f>
        <v/>
      </c>
      <c r="E243" s="16">
        <f>IF($B243&lt;&gt;"tutar_farki","",IF(ABS($C243)&gt;cbb_esikFark,"YUKSEK","NORMAL"))</f>
        <v/>
      </c>
      <c r="F243" s="16">
        <f>IF($B243&lt;&gt;"tutar_farki","","VKN "&amp;$A243&amp;" için cari↔Ba/Bs fark "&amp;TEXT($C243,"0.00")&amp;" TL. Dayanak: "&amp;$D243&amp;". Düzeltme dosyası üretildi.")</f>
        <v/>
      </c>
      <c r="G243" s="16">
        <f>IF($B243&lt;&gt;"tutar_farki","","Beklemede")</f>
        <v/>
      </c>
    </row>
    <row r="244">
      <c r="A244" s="26">
        <f>IF('KOK_NEDEN'!$A244="","",'KOK_NEDEN'!$A244)</f>
        <v/>
      </c>
      <c r="B244" s="16">
        <f>IF($A244="","",IFERROR(INDEX(tblKok[Kova],MATCH($A244,tblKok[A_Norm],0)),""))</f>
        <v/>
      </c>
      <c r="C244" s="16">
        <f>IF($A244="","",IFERROR(INDEX(tblEslesme[Fark],MATCH($A244,tblEslesme[A_Norm],0)),0))</f>
        <v/>
      </c>
      <c r="D244" s="16">
        <f>IF($A244="","",IFERROR(INDEX(tblKok[KokNeden],MATCH($A244,tblKok[A_Norm],0)),""))</f>
        <v/>
      </c>
      <c r="E244" s="16">
        <f>IF($B244&lt;&gt;"tutar_farki","",IF(ABS($C244)&gt;cbb_esikFark,"YUKSEK","NORMAL"))</f>
        <v/>
      </c>
      <c r="F244" s="16">
        <f>IF($B244&lt;&gt;"tutar_farki","","VKN "&amp;$A244&amp;" için cari↔Ba/Bs fark "&amp;TEXT($C244,"0.00")&amp;" TL. Dayanak: "&amp;$D244&amp;". Düzeltme dosyası üretildi.")</f>
        <v/>
      </c>
      <c r="G244" s="16">
        <f>IF($B244&lt;&gt;"tutar_farki","","Beklemede")</f>
        <v/>
      </c>
    </row>
    <row r="245">
      <c r="A245" s="26">
        <f>IF('KOK_NEDEN'!$A245="","",'KOK_NEDEN'!$A245)</f>
        <v/>
      </c>
      <c r="B245" s="16">
        <f>IF($A245="","",IFERROR(INDEX(tblKok[Kova],MATCH($A245,tblKok[A_Norm],0)),""))</f>
        <v/>
      </c>
      <c r="C245" s="16">
        <f>IF($A245="","",IFERROR(INDEX(tblEslesme[Fark],MATCH($A245,tblEslesme[A_Norm],0)),0))</f>
        <v/>
      </c>
      <c r="D245" s="16">
        <f>IF($A245="","",IFERROR(INDEX(tblKok[KokNeden],MATCH($A245,tblKok[A_Norm],0)),""))</f>
        <v/>
      </c>
      <c r="E245" s="16">
        <f>IF($B245&lt;&gt;"tutar_farki","",IF(ABS($C245)&gt;cbb_esikFark,"YUKSEK","NORMAL"))</f>
        <v/>
      </c>
      <c r="F245" s="16">
        <f>IF($B245&lt;&gt;"tutar_farki","","VKN "&amp;$A245&amp;" için cari↔Ba/Bs fark "&amp;TEXT($C245,"0.00")&amp;" TL. Dayanak: "&amp;$D245&amp;". Düzeltme dosyası üretildi.")</f>
        <v/>
      </c>
      <c r="G245" s="16">
        <f>IF($B245&lt;&gt;"tutar_farki","","Beklemede")</f>
        <v/>
      </c>
    </row>
    <row r="246">
      <c r="A246" s="26">
        <f>IF('KOK_NEDEN'!$A246="","",'KOK_NEDEN'!$A246)</f>
        <v/>
      </c>
      <c r="B246" s="16">
        <f>IF($A246="","",IFERROR(INDEX(tblKok[Kova],MATCH($A246,tblKok[A_Norm],0)),""))</f>
        <v/>
      </c>
      <c r="C246" s="16">
        <f>IF($A246="","",IFERROR(INDEX(tblEslesme[Fark],MATCH($A246,tblEslesme[A_Norm],0)),0))</f>
        <v/>
      </c>
      <c r="D246" s="16">
        <f>IF($A246="","",IFERROR(INDEX(tblKok[KokNeden],MATCH($A246,tblKok[A_Norm],0)),""))</f>
        <v/>
      </c>
      <c r="E246" s="16">
        <f>IF($B246&lt;&gt;"tutar_farki","",IF(ABS($C246)&gt;cbb_esikFark,"YUKSEK","NORMAL"))</f>
        <v/>
      </c>
      <c r="F246" s="16">
        <f>IF($B246&lt;&gt;"tutar_farki","","VKN "&amp;$A246&amp;" için cari↔Ba/Bs fark "&amp;TEXT($C246,"0.00")&amp;" TL. Dayanak: "&amp;$D246&amp;". Düzeltme dosyası üretildi.")</f>
        <v/>
      </c>
      <c r="G246" s="16">
        <f>IF($B246&lt;&gt;"tutar_farki","","Beklemede")</f>
        <v/>
      </c>
    </row>
    <row r="247">
      <c r="A247" s="26">
        <f>IF('KOK_NEDEN'!$A247="","",'KOK_NEDEN'!$A247)</f>
        <v/>
      </c>
      <c r="B247" s="16">
        <f>IF($A247="","",IFERROR(INDEX(tblKok[Kova],MATCH($A247,tblKok[A_Norm],0)),""))</f>
        <v/>
      </c>
      <c r="C247" s="16">
        <f>IF($A247="","",IFERROR(INDEX(tblEslesme[Fark],MATCH($A247,tblEslesme[A_Norm],0)),0))</f>
        <v/>
      </c>
      <c r="D247" s="16">
        <f>IF($A247="","",IFERROR(INDEX(tblKok[KokNeden],MATCH($A247,tblKok[A_Norm],0)),""))</f>
        <v/>
      </c>
      <c r="E247" s="16">
        <f>IF($B247&lt;&gt;"tutar_farki","",IF(ABS($C247)&gt;cbb_esikFark,"YUKSEK","NORMAL"))</f>
        <v/>
      </c>
      <c r="F247" s="16">
        <f>IF($B247&lt;&gt;"tutar_farki","","VKN "&amp;$A247&amp;" için cari↔Ba/Bs fark "&amp;TEXT($C247,"0.00")&amp;" TL. Dayanak: "&amp;$D247&amp;". Düzeltme dosyası üretildi.")</f>
        <v/>
      </c>
      <c r="G247" s="16">
        <f>IF($B247&lt;&gt;"tutar_farki","","Beklemede")</f>
        <v/>
      </c>
    </row>
    <row r="248">
      <c r="A248" s="26">
        <f>IF('KOK_NEDEN'!$A248="","",'KOK_NEDEN'!$A248)</f>
        <v/>
      </c>
      <c r="B248" s="16">
        <f>IF($A248="","",IFERROR(INDEX(tblKok[Kova],MATCH($A248,tblKok[A_Norm],0)),""))</f>
        <v/>
      </c>
      <c r="C248" s="16">
        <f>IF($A248="","",IFERROR(INDEX(tblEslesme[Fark],MATCH($A248,tblEslesme[A_Norm],0)),0))</f>
        <v/>
      </c>
      <c r="D248" s="16">
        <f>IF($A248="","",IFERROR(INDEX(tblKok[KokNeden],MATCH($A248,tblKok[A_Norm],0)),""))</f>
        <v/>
      </c>
      <c r="E248" s="16">
        <f>IF($B248&lt;&gt;"tutar_farki","",IF(ABS($C248)&gt;cbb_esikFark,"YUKSEK","NORMAL"))</f>
        <v/>
      </c>
      <c r="F248" s="16">
        <f>IF($B248&lt;&gt;"tutar_farki","","VKN "&amp;$A248&amp;" için cari↔Ba/Bs fark "&amp;TEXT($C248,"0.00")&amp;" TL. Dayanak: "&amp;$D248&amp;". Düzeltme dosyası üretildi.")</f>
        <v/>
      </c>
      <c r="G248" s="16">
        <f>IF($B248&lt;&gt;"tutar_farki","","Beklemede")</f>
        <v/>
      </c>
    </row>
    <row r="249">
      <c r="A249" s="26">
        <f>IF('KOK_NEDEN'!$A249="","",'KOK_NEDEN'!$A249)</f>
        <v/>
      </c>
      <c r="B249" s="16">
        <f>IF($A249="","",IFERROR(INDEX(tblKok[Kova],MATCH($A249,tblKok[A_Norm],0)),""))</f>
        <v/>
      </c>
      <c r="C249" s="16">
        <f>IF($A249="","",IFERROR(INDEX(tblEslesme[Fark],MATCH($A249,tblEslesme[A_Norm],0)),0))</f>
        <v/>
      </c>
      <c r="D249" s="16">
        <f>IF($A249="","",IFERROR(INDEX(tblKok[KokNeden],MATCH($A249,tblKok[A_Norm],0)),""))</f>
        <v/>
      </c>
      <c r="E249" s="16">
        <f>IF($B249&lt;&gt;"tutar_farki","",IF(ABS($C249)&gt;cbb_esikFark,"YUKSEK","NORMAL"))</f>
        <v/>
      </c>
      <c r="F249" s="16">
        <f>IF($B249&lt;&gt;"tutar_farki","","VKN "&amp;$A249&amp;" için cari↔Ba/Bs fark "&amp;TEXT($C249,"0.00")&amp;" TL. Dayanak: "&amp;$D249&amp;". Düzeltme dosyası üretildi.")</f>
        <v/>
      </c>
      <c r="G249" s="16">
        <f>IF($B249&lt;&gt;"tutar_farki","","Beklemede")</f>
        <v/>
      </c>
    </row>
    <row r="250">
      <c r="A250" s="26">
        <f>IF('KOK_NEDEN'!$A250="","",'KOK_NEDEN'!$A250)</f>
        <v/>
      </c>
      <c r="B250" s="16">
        <f>IF($A250="","",IFERROR(INDEX(tblKok[Kova],MATCH($A250,tblKok[A_Norm],0)),""))</f>
        <v/>
      </c>
      <c r="C250" s="16">
        <f>IF($A250="","",IFERROR(INDEX(tblEslesme[Fark],MATCH($A250,tblEslesme[A_Norm],0)),0))</f>
        <v/>
      </c>
      <c r="D250" s="16">
        <f>IF($A250="","",IFERROR(INDEX(tblKok[KokNeden],MATCH($A250,tblKok[A_Norm],0)),""))</f>
        <v/>
      </c>
      <c r="E250" s="16">
        <f>IF($B250&lt;&gt;"tutar_farki","",IF(ABS($C250)&gt;cbb_esikFark,"YUKSEK","NORMAL"))</f>
        <v/>
      </c>
      <c r="F250" s="16">
        <f>IF($B250&lt;&gt;"tutar_farki","","VKN "&amp;$A250&amp;" için cari↔Ba/Bs fark "&amp;TEXT($C250,"0.00")&amp;" TL. Dayanak: "&amp;$D250&amp;". Düzeltme dosyası üretildi.")</f>
        <v/>
      </c>
      <c r="G250" s="16">
        <f>IF($B250&lt;&gt;"tutar_farki","","Beklemede")</f>
        <v/>
      </c>
    </row>
    <row r="251">
      <c r="A251" s="26">
        <f>IF('KOK_NEDEN'!$A251="","",'KOK_NEDEN'!$A251)</f>
        <v/>
      </c>
      <c r="B251" s="16">
        <f>IF($A251="","",IFERROR(INDEX(tblKok[Kova],MATCH($A251,tblKok[A_Norm],0)),""))</f>
        <v/>
      </c>
      <c r="C251" s="16">
        <f>IF($A251="","",IFERROR(INDEX(tblEslesme[Fark],MATCH($A251,tblEslesme[A_Norm],0)),0))</f>
        <v/>
      </c>
      <c r="D251" s="16">
        <f>IF($A251="","",IFERROR(INDEX(tblKok[KokNeden],MATCH($A251,tblKok[A_Norm],0)),""))</f>
        <v/>
      </c>
      <c r="E251" s="16">
        <f>IF($B251&lt;&gt;"tutar_farki","",IF(ABS($C251)&gt;cbb_esikFark,"YUKSEK","NORMAL"))</f>
        <v/>
      </c>
      <c r="F251" s="16">
        <f>IF($B251&lt;&gt;"tutar_farki","","VKN "&amp;$A251&amp;" için cari↔Ba/Bs fark "&amp;TEXT($C251,"0.00")&amp;" TL. Dayanak: "&amp;$D251&amp;". Düzeltme dosyası üretildi.")</f>
        <v/>
      </c>
      <c r="G251" s="16">
        <f>IF($B251&lt;&gt;"tutar_farki","","Beklemede")</f>
        <v/>
      </c>
    </row>
    <row r="252">
      <c r="A252" s="26">
        <f>IF('KOK_NEDEN'!$A252="","",'KOK_NEDEN'!$A252)</f>
        <v/>
      </c>
      <c r="B252" s="16">
        <f>IF($A252="","",IFERROR(INDEX(tblKok[Kova],MATCH($A252,tblKok[A_Norm],0)),""))</f>
        <v/>
      </c>
      <c r="C252" s="16">
        <f>IF($A252="","",IFERROR(INDEX(tblEslesme[Fark],MATCH($A252,tblEslesme[A_Norm],0)),0))</f>
        <v/>
      </c>
      <c r="D252" s="16">
        <f>IF($A252="","",IFERROR(INDEX(tblKok[KokNeden],MATCH($A252,tblKok[A_Norm],0)),""))</f>
        <v/>
      </c>
      <c r="E252" s="16">
        <f>IF($B252&lt;&gt;"tutar_farki","",IF(ABS($C252)&gt;cbb_esikFark,"YUKSEK","NORMAL"))</f>
        <v/>
      </c>
      <c r="F252" s="16">
        <f>IF($B252&lt;&gt;"tutar_farki","","VKN "&amp;$A252&amp;" için cari↔Ba/Bs fark "&amp;TEXT($C252,"0.00")&amp;" TL. Dayanak: "&amp;$D252&amp;". Düzeltme dosyası üretildi.")</f>
        <v/>
      </c>
      <c r="G252" s="16">
        <f>IF($B252&lt;&gt;"tutar_farki","","Beklemede")</f>
        <v/>
      </c>
    </row>
    <row r="253">
      <c r="A253" s="26">
        <f>IF('KOK_NEDEN'!$A253="","",'KOK_NEDEN'!$A253)</f>
        <v/>
      </c>
      <c r="B253" s="16">
        <f>IF($A253="","",IFERROR(INDEX(tblKok[Kova],MATCH($A253,tblKok[A_Norm],0)),""))</f>
        <v/>
      </c>
      <c r="C253" s="16">
        <f>IF($A253="","",IFERROR(INDEX(tblEslesme[Fark],MATCH($A253,tblEslesme[A_Norm],0)),0))</f>
        <v/>
      </c>
      <c r="D253" s="16">
        <f>IF($A253="","",IFERROR(INDEX(tblKok[KokNeden],MATCH($A253,tblKok[A_Norm],0)),""))</f>
        <v/>
      </c>
      <c r="E253" s="16">
        <f>IF($B253&lt;&gt;"tutar_farki","",IF(ABS($C253)&gt;cbb_esikFark,"YUKSEK","NORMAL"))</f>
        <v/>
      </c>
      <c r="F253" s="16">
        <f>IF($B253&lt;&gt;"tutar_farki","","VKN "&amp;$A253&amp;" için cari↔Ba/Bs fark "&amp;TEXT($C253,"0.00")&amp;" TL. Dayanak: "&amp;$D253&amp;". Düzeltme dosyası üretildi.")</f>
        <v/>
      </c>
      <c r="G253" s="16">
        <f>IF($B253&lt;&gt;"tutar_farki","","Beklemede")</f>
        <v/>
      </c>
    </row>
    <row r="254">
      <c r="A254" s="26">
        <f>IF('KOK_NEDEN'!$A254="","",'KOK_NEDEN'!$A254)</f>
        <v/>
      </c>
      <c r="B254" s="16">
        <f>IF($A254="","",IFERROR(INDEX(tblKok[Kova],MATCH($A254,tblKok[A_Norm],0)),""))</f>
        <v/>
      </c>
      <c r="C254" s="16">
        <f>IF($A254="","",IFERROR(INDEX(tblEslesme[Fark],MATCH($A254,tblEslesme[A_Norm],0)),0))</f>
        <v/>
      </c>
      <c r="D254" s="16">
        <f>IF($A254="","",IFERROR(INDEX(tblKok[KokNeden],MATCH($A254,tblKok[A_Norm],0)),""))</f>
        <v/>
      </c>
      <c r="E254" s="16">
        <f>IF($B254&lt;&gt;"tutar_farki","",IF(ABS($C254)&gt;cbb_esikFark,"YUKSEK","NORMAL"))</f>
        <v/>
      </c>
      <c r="F254" s="16">
        <f>IF($B254&lt;&gt;"tutar_farki","","VKN "&amp;$A254&amp;" için cari↔Ba/Bs fark "&amp;TEXT($C254,"0.00")&amp;" TL. Dayanak: "&amp;$D254&amp;". Düzeltme dosyası üretildi.")</f>
        <v/>
      </c>
      <c r="G254" s="16">
        <f>IF($B254&lt;&gt;"tutar_farki","","Beklemede")</f>
        <v/>
      </c>
    </row>
    <row r="255">
      <c r="A255" s="26">
        <f>IF('KOK_NEDEN'!$A255="","",'KOK_NEDEN'!$A255)</f>
        <v/>
      </c>
      <c r="B255" s="16">
        <f>IF($A255="","",IFERROR(INDEX(tblKok[Kova],MATCH($A255,tblKok[A_Norm],0)),""))</f>
        <v/>
      </c>
      <c r="C255" s="16">
        <f>IF($A255="","",IFERROR(INDEX(tblEslesme[Fark],MATCH($A255,tblEslesme[A_Norm],0)),0))</f>
        <v/>
      </c>
      <c r="D255" s="16">
        <f>IF($A255="","",IFERROR(INDEX(tblKok[KokNeden],MATCH($A255,tblKok[A_Norm],0)),""))</f>
        <v/>
      </c>
      <c r="E255" s="16">
        <f>IF($B255&lt;&gt;"tutar_farki","",IF(ABS($C255)&gt;cbb_esikFark,"YUKSEK","NORMAL"))</f>
        <v/>
      </c>
      <c r="F255" s="16">
        <f>IF($B255&lt;&gt;"tutar_farki","","VKN "&amp;$A255&amp;" için cari↔Ba/Bs fark "&amp;TEXT($C255,"0.00")&amp;" TL. Dayanak: "&amp;$D255&amp;". Düzeltme dosyası üretildi.")</f>
        <v/>
      </c>
      <c r="G255" s="16">
        <f>IF($B255&lt;&gt;"tutar_farki","","Beklemede")</f>
        <v/>
      </c>
    </row>
    <row r="256">
      <c r="A256" s="26">
        <f>IF('KOK_NEDEN'!$A256="","",'KOK_NEDEN'!$A256)</f>
        <v/>
      </c>
      <c r="B256" s="16">
        <f>IF($A256="","",IFERROR(INDEX(tblKok[Kova],MATCH($A256,tblKok[A_Norm],0)),""))</f>
        <v/>
      </c>
      <c r="C256" s="16">
        <f>IF($A256="","",IFERROR(INDEX(tblEslesme[Fark],MATCH($A256,tblEslesme[A_Norm],0)),0))</f>
        <v/>
      </c>
      <c r="D256" s="16">
        <f>IF($A256="","",IFERROR(INDEX(tblKok[KokNeden],MATCH($A256,tblKok[A_Norm],0)),""))</f>
        <v/>
      </c>
      <c r="E256" s="16">
        <f>IF($B256&lt;&gt;"tutar_farki","",IF(ABS($C256)&gt;cbb_esikFark,"YUKSEK","NORMAL"))</f>
        <v/>
      </c>
      <c r="F256" s="16">
        <f>IF($B256&lt;&gt;"tutar_farki","","VKN "&amp;$A256&amp;" için cari↔Ba/Bs fark "&amp;TEXT($C256,"0.00")&amp;" TL. Dayanak: "&amp;$D256&amp;". Düzeltme dosyası üretildi.")</f>
        <v/>
      </c>
      <c r="G256" s="16">
        <f>IF($B256&lt;&gt;"tutar_farki","","Beklemede")</f>
        <v/>
      </c>
    </row>
    <row r="257">
      <c r="A257" s="26">
        <f>IF('KOK_NEDEN'!$A257="","",'KOK_NEDEN'!$A257)</f>
        <v/>
      </c>
      <c r="B257" s="16">
        <f>IF($A257="","",IFERROR(INDEX(tblKok[Kova],MATCH($A257,tblKok[A_Norm],0)),""))</f>
        <v/>
      </c>
      <c r="C257" s="16">
        <f>IF($A257="","",IFERROR(INDEX(tblEslesme[Fark],MATCH($A257,tblEslesme[A_Norm],0)),0))</f>
        <v/>
      </c>
      <c r="D257" s="16">
        <f>IF($A257="","",IFERROR(INDEX(tblKok[KokNeden],MATCH($A257,tblKok[A_Norm],0)),""))</f>
        <v/>
      </c>
      <c r="E257" s="16">
        <f>IF($B257&lt;&gt;"tutar_farki","",IF(ABS($C257)&gt;cbb_esikFark,"YUKSEK","NORMAL"))</f>
        <v/>
      </c>
      <c r="F257" s="16">
        <f>IF($B257&lt;&gt;"tutar_farki","","VKN "&amp;$A257&amp;" için cari↔Ba/Bs fark "&amp;TEXT($C257,"0.00")&amp;" TL. Dayanak: "&amp;$D257&amp;". Düzeltme dosyası üretildi.")</f>
        <v/>
      </c>
      <c r="G257" s="16">
        <f>IF($B257&lt;&gt;"tutar_farki","","Beklemede")</f>
        <v/>
      </c>
    </row>
    <row r="258">
      <c r="A258" s="26">
        <f>IF('KOK_NEDEN'!$A258="","",'KOK_NEDEN'!$A258)</f>
        <v/>
      </c>
      <c r="B258" s="16">
        <f>IF($A258="","",IFERROR(INDEX(tblKok[Kova],MATCH($A258,tblKok[A_Norm],0)),""))</f>
        <v/>
      </c>
      <c r="C258" s="16">
        <f>IF($A258="","",IFERROR(INDEX(tblEslesme[Fark],MATCH($A258,tblEslesme[A_Norm],0)),0))</f>
        <v/>
      </c>
      <c r="D258" s="16">
        <f>IF($A258="","",IFERROR(INDEX(tblKok[KokNeden],MATCH($A258,tblKok[A_Norm],0)),""))</f>
        <v/>
      </c>
      <c r="E258" s="16">
        <f>IF($B258&lt;&gt;"tutar_farki","",IF(ABS($C258)&gt;cbb_esikFark,"YUKSEK","NORMAL"))</f>
        <v/>
      </c>
      <c r="F258" s="16">
        <f>IF($B258&lt;&gt;"tutar_farki","","VKN "&amp;$A258&amp;" için cari↔Ba/Bs fark "&amp;TEXT($C258,"0.00")&amp;" TL. Dayanak: "&amp;$D258&amp;". Düzeltme dosyası üretildi.")</f>
        <v/>
      </c>
      <c r="G258" s="16">
        <f>IF($B258&lt;&gt;"tutar_farki","","Beklemede")</f>
        <v/>
      </c>
    </row>
    <row r="259">
      <c r="A259" s="26">
        <f>IF('KOK_NEDEN'!$A259="","",'KOK_NEDEN'!$A259)</f>
        <v/>
      </c>
      <c r="B259" s="16">
        <f>IF($A259="","",IFERROR(INDEX(tblKok[Kova],MATCH($A259,tblKok[A_Norm],0)),""))</f>
        <v/>
      </c>
      <c r="C259" s="16">
        <f>IF($A259="","",IFERROR(INDEX(tblEslesme[Fark],MATCH($A259,tblEslesme[A_Norm],0)),0))</f>
        <v/>
      </c>
      <c r="D259" s="16">
        <f>IF($A259="","",IFERROR(INDEX(tblKok[KokNeden],MATCH($A259,tblKok[A_Norm],0)),""))</f>
        <v/>
      </c>
      <c r="E259" s="16">
        <f>IF($B259&lt;&gt;"tutar_farki","",IF(ABS($C259)&gt;cbb_esikFark,"YUKSEK","NORMAL"))</f>
        <v/>
      </c>
      <c r="F259" s="16">
        <f>IF($B259&lt;&gt;"tutar_farki","","VKN "&amp;$A259&amp;" için cari↔Ba/Bs fark "&amp;TEXT($C259,"0.00")&amp;" TL. Dayanak: "&amp;$D259&amp;". Düzeltme dosyası üretildi.")</f>
        <v/>
      </c>
      <c r="G259" s="16">
        <f>IF($B259&lt;&gt;"tutar_farki","","Beklemede")</f>
        <v/>
      </c>
    </row>
    <row r="260">
      <c r="A260" s="26">
        <f>IF('KOK_NEDEN'!$A260="","",'KOK_NEDEN'!$A260)</f>
        <v/>
      </c>
      <c r="B260" s="16">
        <f>IF($A260="","",IFERROR(INDEX(tblKok[Kova],MATCH($A260,tblKok[A_Norm],0)),""))</f>
        <v/>
      </c>
      <c r="C260" s="16">
        <f>IF($A260="","",IFERROR(INDEX(tblEslesme[Fark],MATCH($A260,tblEslesme[A_Norm],0)),0))</f>
        <v/>
      </c>
      <c r="D260" s="16">
        <f>IF($A260="","",IFERROR(INDEX(tblKok[KokNeden],MATCH($A260,tblKok[A_Norm],0)),""))</f>
        <v/>
      </c>
      <c r="E260" s="16">
        <f>IF($B260&lt;&gt;"tutar_farki","",IF(ABS($C260)&gt;cbb_esikFark,"YUKSEK","NORMAL"))</f>
        <v/>
      </c>
      <c r="F260" s="16">
        <f>IF($B260&lt;&gt;"tutar_farki","","VKN "&amp;$A260&amp;" için cari↔Ba/Bs fark "&amp;TEXT($C260,"0.00")&amp;" TL. Dayanak: "&amp;$D260&amp;". Düzeltme dosyası üretildi.")</f>
        <v/>
      </c>
      <c r="G260" s="16">
        <f>IF($B260&lt;&gt;"tutar_farki","","Beklemede")</f>
        <v/>
      </c>
    </row>
    <row r="261">
      <c r="A261" s="26">
        <f>IF('KOK_NEDEN'!$A261="","",'KOK_NEDEN'!$A261)</f>
        <v/>
      </c>
      <c r="B261" s="16">
        <f>IF($A261="","",IFERROR(INDEX(tblKok[Kova],MATCH($A261,tblKok[A_Norm],0)),""))</f>
        <v/>
      </c>
      <c r="C261" s="16">
        <f>IF($A261="","",IFERROR(INDEX(tblEslesme[Fark],MATCH($A261,tblEslesme[A_Norm],0)),0))</f>
        <v/>
      </c>
      <c r="D261" s="16">
        <f>IF($A261="","",IFERROR(INDEX(tblKok[KokNeden],MATCH($A261,tblKok[A_Norm],0)),""))</f>
        <v/>
      </c>
      <c r="E261" s="16">
        <f>IF($B261&lt;&gt;"tutar_farki","",IF(ABS($C261)&gt;cbb_esikFark,"YUKSEK","NORMAL"))</f>
        <v/>
      </c>
      <c r="F261" s="16">
        <f>IF($B261&lt;&gt;"tutar_farki","","VKN "&amp;$A261&amp;" için cari↔Ba/Bs fark "&amp;TEXT($C261,"0.00")&amp;" TL. Dayanak: "&amp;$D261&amp;". Düzeltme dosyası üretildi.")</f>
        <v/>
      </c>
      <c r="G261" s="16">
        <f>IF($B261&lt;&gt;"tutar_farki","","Beklemede")</f>
        <v/>
      </c>
    </row>
    <row r="262">
      <c r="A262" s="26">
        <f>IF('KOK_NEDEN'!$A262="","",'KOK_NEDEN'!$A262)</f>
        <v/>
      </c>
      <c r="B262" s="16">
        <f>IF($A262="","",IFERROR(INDEX(tblKok[Kova],MATCH($A262,tblKok[A_Norm],0)),""))</f>
        <v/>
      </c>
      <c r="C262" s="16">
        <f>IF($A262="","",IFERROR(INDEX(tblEslesme[Fark],MATCH($A262,tblEslesme[A_Norm],0)),0))</f>
        <v/>
      </c>
      <c r="D262" s="16">
        <f>IF($A262="","",IFERROR(INDEX(tblKok[KokNeden],MATCH($A262,tblKok[A_Norm],0)),""))</f>
        <v/>
      </c>
      <c r="E262" s="16">
        <f>IF($B262&lt;&gt;"tutar_farki","",IF(ABS($C262)&gt;cbb_esikFark,"YUKSEK","NORMAL"))</f>
        <v/>
      </c>
      <c r="F262" s="16">
        <f>IF($B262&lt;&gt;"tutar_farki","","VKN "&amp;$A262&amp;" için cari↔Ba/Bs fark "&amp;TEXT($C262,"0.00")&amp;" TL. Dayanak: "&amp;$D262&amp;". Düzeltme dosyası üretildi.")</f>
        <v/>
      </c>
      <c r="G262" s="16">
        <f>IF($B262&lt;&gt;"tutar_farki","","Beklemede")</f>
        <v/>
      </c>
    </row>
    <row r="263">
      <c r="A263" s="26">
        <f>IF('KOK_NEDEN'!$A263="","",'KOK_NEDEN'!$A263)</f>
        <v/>
      </c>
      <c r="B263" s="16">
        <f>IF($A263="","",IFERROR(INDEX(tblKok[Kova],MATCH($A263,tblKok[A_Norm],0)),""))</f>
        <v/>
      </c>
      <c r="C263" s="16">
        <f>IF($A263="","",IFERROR(INDEX(tblEslesme[Fark],MATCH($A263,tblEslesme[A_Norm],0)),0))</f>
        <v/>
      </c>
      <c r="D263" s="16">
        <f>IF($A263="","",IFERROR(INDEX(tblKok[KokNeden],MATCH($A263,tblKok[A_Norm],0)),""))</f>
        <v/>
      </c>
      <c r="E263" s="16">
        <f>IF($B263&lt;&gt;"tutar_farki","",IF(ABS($C263)&gt;cbb_esikFark,"YUKSEK","NORMAL"))</f>
        <v/>
      </c>
      <c r="F263" s="16">
        <f>IF($B263&lt;&gt;"tutar_farki","","VKN "&amp;$A263&amp;" için cari↔Ba/Bs fark "&amp;TEXT($C263,"0.00")&amp;" TL. Dayanak: "&amp;$D263&amp;". Düzeltme dosyası üretildi.")</f>
        <v/>
      </c>
      <c r="G263" s="16">
        <f>IF($B263&lt;&gt;"tutar_farki","","Beklemede")</f>
        <v/>
      </c>
    </row>
    <row r="264">
      <c r="A264" s="26">
        <f>IF('KOK_NEDEN'!$A264="","",'KOK_NEDEN'!$A264)</f>
        <v/>
      </c>
      <c r="B264" s="16">
        <f>IF($A264="","",IFERROR(INDEX(tblKok[Kova],MATCH($A264,tblKok[A_Norm],0)),""))</f>
        <v/>
      </c>
      <c r="C264" s="16">
        <f>IF($A264="","",IFERROR(INDEX(tblEslesme[Fark],MATCH($A264,tblEslesme[A_Norm],0)),0))</f>
        <v/>
      </c>
      <c r="D264" s="16">
        <f>IF($A264="","",IFERROR(INDEX(tblKok[KokNeden],MATCH($A264,tblKok[A_Norm],0)),""))</f>
        <v/>
      </c>
      <c r="E264" s="16">
        <f>IF($B264&lt;&gt;"tutar_farki","",IF(ABS($C264)&gt;cbb_esikFark,"YUKSEK","NORMAL"))</f>
        <v/>
      </c>
      <c r="F264" s="16">
        <f>IF($B264&lt;&gt;"tutar_farki","","VKN "&amp;$A264&amp;" için cari↔Ba/Bs fark "&amp;TEXT($C264,"0.00")&amp;" TL. Dayanak: "&amp;$D264&amp;". Düzeltme dosyası üretildi.")</f>
        <v/>
      </c>
      <c r="G264" s="16">
        <f>IF($B264&lt;&gt;"tutar_farki","","Beklemede")</f>
        <v/>
      </c>
    </row>
    <row r="265">
      <c r="A265" s="26">
        <f>IF('KOK_NEDEN'!$A265="","",'KOK_NEDEN'!$A265)</f>
        <v/>
      </c>
      <c r="B265" s="16">
        <f>IF($A265="","",IFERROR(INDEX(tblKok[Kova],MATCH($A265,tblKok[A_Norm],0)),""))</f>
        <v/>
      </c>
      <c r="C265" s="16">
        <f>IF($A265="","",IFERROR(INDEX(tblEslesme[Fark],MATCH($A265,tblEslesme[A_Norm],0)),0))</f>
        <v/>
      </c>
      <c r="D265" s="16">
        <f>IF($A265="","",IFERROR(INDEX(tblKok[KokNeden],MATCH($A265,tblKok[A_Norm],0)),""))</f>
        <v/>
      </c>
      <c r="E265" s="16">
        <f>IF($B265&lt;&gt;"tutar_farki","",IF(ABS($C265)&gt;cbb_esikFark,"YUKSEK","NORMAL"))</f>
        <v/>
      </c>
      <c r="F265" s="16">
        <f>IF($B265&lt;&gt;"tutar_farki","","VKN "&amp;$A265&amp;" için cari↔Ba/Bs fark "&amp;TEXT($C265,"0.00")&amp;" TL. Dayanak: "&amp;$D265&amp;". Düzeltme dosyası üretildi.")</f>
        <v/>
      </c>
      <c r="G265" s="16">
        <f>IF($B265&lt;&gt;"tutar_farki","","Beklemede")</f>
        <v/>
      </c>
    </row>
    <row r="266">
      <c r="A266" s="26">
        <f>IF('KOK_NEDEN'!$A266="","",'KOK_NEDEN'!$A266)</f>
        <v/>
      </c>
      <c r="B266" s="16">
        <f>IF($A266="","",IFERROR(INDEX(tblKok[Kova],MATCH($A266,tblKok[A_Norm],0)),""))</f>
        <v/>
      </c>
      <c r="C266" s="16">
        <f>IF($A266="","",IFERROR(INDEX(tblEslesme[Fark],MATCH($A266,tblEslesme[A_Norm],0)),0))</f>
        <v/>
      </c>
      <c r="D266" s="16">
        <f>IF($A266="","",IFERROR(INDEX(tblKok[KokNeden],MATCH($A266,tblKok[A_Norm],0)),""))</f>
        <v/>
      </c>
      <c r="E266" s="16">
        <f>IF($B266&lt;&gt;"tutar_farki","",IF(ABS($C266)&gt;cbb_esikFark,"YUKSEK","NORMAL"))</f>
        <v/>
      </c>
      <c r="F266" s="16">
        <f>IF($B266&lt;&gt;"tutar_farki","","VKN "&amp;$A266&amp;" için cari↔Ba/Bs fark "&amp;TEXT($C266,"0.00")&amp;" TL. Dayanak: "&amp;$D266&amp;". Düzeltme dosyası üretildi.")</f>
        <v/>
      </c>
      <c r="G266" s="16">
        <f>IF($B266&lt;&gt;"tutar_farki","","Beklemede")</f>
        <v/>
      </c>
    </row>
    <row r="267">
      <c r="A267" s="26">
        <f>IF('KOK_NEDEN'!$A267="","",'KOK_NEDEN'!$A267)</f>
        <v/>
      </c>
      <c r="B267" s="16">
        <f>IF($A267="","",IFERROR(INDEX(tblKok[Kova],MATCH($A267,tblKok[A_Norm],0)),""))</f>
        <v/>
      </c>
      <c r="C267" s="16">
        <f>IF($A267="","",IFERROR(INDEX(tblEslesme[Fark],MATCH($A267,tblEslesme[A_Norm],0)),0))</f>
        <v/>
      </c>
      <c r="D267" s="16">
        <f>IF($A267="","",IFERROR(INDEX(tblKok[KokNeden],MATCH($A267,tblKok[A_Norm],0)),""))</f>
        <v/>
      </c>
      <c r="E267" s="16">
        <f>IF($B267&lt;&gt;"tutar_farki","",IF(ABS($C267)&gt;cbb_esikFark,"YUKSEK","NORMAL"))</f>
        <v/>
      </c>
      <c r="F267" s="16">
        <f>IF($B267&lt;&gt;"tutar_farki","","VKN "&amp;$A267&amp;" için cari↔Ba/Bs fark "&amp;TEXT($C267,"0.00")&amp;" TL. Dayanak: "&amp;$D267&amp;". Düzeltme dosyası üretildi.")</f>
        <v/>
      </c>
      <c r="G267" s="16">
        <f>IF($B267&lt;&gt;"tutar_farki","","Beklemede")</f>
        <v/>
      </c>
    </row>
    <row r="268">
      <c r="A268" s="26">
        <f>IF('KOK_NEDEN'!$A268="","",'KOK_NEDEN'!$A268)</f>
        <v/>
      </c>
      <c r="B268" s="16">
        <f>IF($A268="","",IFERROR(INDEX(tblKok[Kova],MATCH($A268,tblKok[A_Norm],0)),""))</f>
        <v/>
      </c>
      <c r="C268" s="16">
        <f>IF($A268="","",IFERROR(INDEX(tblEslesme[Fark],MATCH($A268,tblEslesme[A_Norm],0)),0))</f>
        <v/>
      </c>
      <c r="D268" s="16">
        <f>IF($A268="","",IFERROR(INDEX(tblKok[KokNeden],MATCH($A268,tblKok[A_Norm],0)),""))</f>
        <v/>
      </c>
      <c r="E268" s="16">
        <f>IF($B268&lt;&gt;"tutar_farki","",IF(ABS($C268)&gt;cbb_esikFark,"YUKSEK","NORMAL"))</f>
        <v/>
      </c>
      <c r="F268" s="16">
        <f>IF($B268&lt;&gt;"tutar_farki","","VKN "&amp;$A268&amp;" için cari↔Ba/Bs fark "&amp;TEXT($C268,"0.00")&amp;" TL. Dayanak: "&amp;$D268&amp;". Düzeltme dosyası üretildi.")</f>
        <v/>
      </c>
      <c r="G268" s="16">
        <f>IF($B268&lt;&gt;"tutar_farki","","Beklemede")</f>
        <v/>
      </c>
    </row>
    <row r="269">
      <c r="A269" s="26">
        <f>IF('KOK_NEDEN'!$A269="","",'KOK_NEDEN'!$A269)</f>
        <v/>
      </c>
      <c r="B269" s="16">
        <f>IF($A269="","",IFERROR(INDEX(tblKok[Kova],MATCH($A269,tblKok[A_Norm],0)),""))</f>
        <v/>
      </c>
      <c r="C269" s="16">
        <f>IF($A269="","",IFERROR(INDEX(tblEslesme[Fark],MATCH($A269,tblEslesme[A_Norm],0)),0))</f>
        <v/>
      </c>
      <c r="D269" s="16">
        <f>IF($A269="","",IFERROR(INDEX(tblKok[KokNeden],MATCH($A269,tblKok[A_Norm],0)),""))</f>
        <v/>
      </c>
      <c r="E269" s="16">
        <f>IF($B269&lt;&gt;"tutar_farki","",IF(ABS($C269)&gt;cbb_esikFark,"YUKSEK","NORMAL"))</f>
        <v/>
      </c>
      <c r="F269" s="16">
        <f>IF($B269&lt;&gt;"tutar_farki","","VKN "&amp;$A269&amp;" için cari↔Ba/Bs fark "&amp;TEXT($C269,"0.00")&amp;" TL. Dayanak: "&amp;$D269&amp;". Düzeltme dosyası üretildi.")</f>
        <v/>
      </c>
      <c r="G269" s="16">
        <f>IF($B269&lt;&gt;"tutar_farki","","Beklemede")</f>
        <v/>
      </c>
    </row>
    <row r="270">
      <c r="A270" s="26">
        <f>IF('KOK_NEDEN'!$A270="","",'KOK_NEDEN'!$A270)</f>
        <v/>
      </c>
      <c r="B270" s="16">
        <f>IF($A270="","",IFERROR(INDEX(tblKok[Kova],MATCH($A270,tblKok[A_Norm],0)),""))</f>
        <v/>
      </c>
      <c r="C270" s="16">
        <f>IF($A270="","",IFERROR(INDEX(tblEslesme[Fark],MATCH($A270,tblEslesme[A_Norm],0)),0))</f>
        <v/>
      </c>
      <c r="D270" s="16">
        <f>IF($A270="","",IFERROR(INDEX(tblKok[KokNeden],MATCH($A270,tblKok[A_Norm],0)),""))</f>
        <v/>
      </c>
      <c r="E270" s="16">
        <f>IF($B270&lt;&gt;"tutar_farki","",IF(ABS($C270)&gt;cbb_esikFark,"YUKSEK","NORMAL"))</f>
        <v/>
      </c>
      <c r="F270" s="16">
        <f>IF($B270&lt;&gt;"tutar_farki","","VKN "&amp;$A270&amp;" için cari↔Ba/Bs fark "&amp;TEXT($C270,"0.00")&amp;" TL. Dayanak: "&amp;$D270&amp;". Düzeltme dosyası üretildi.")</f>
        <v/>
      </c>
      <c r="G270" s="16">
        <f>IF($B270&lt;&gt;"tutar_farki","","Beklemede")</f>
        <v/>
      </c>
    </row>
    <row r="271">
      <c r="A271" s="26">
        <f>IF('KOK_NEDEN'!$A271="","",'KOK_NEDEN'!$A271)</f>
        <v/>
      </c>
      <c r="B271" s="16">
        <f>IF($A271="","",IFERROR(INDEX(tblKok[Kova],MATCH($A271,tblKok[A_Norm],0)),""))</f>
        <v/>
      </c>
      <c r="C271" s="16">
        <f>IF($A271="","",IFERROR(INDEX(tblEslesme[Fark],MATCH($A271,tblEslesme[A_Norm],0)),0))</f>
        <v/>
      </c>
      <c r="D271" s="16">
        <f>IF($A271="","",IFERROR(INDEX(tblKok[KokNeden],MATCH($A271,tblKok[A_Norm],0)),""))</f>
        <v/>
      </c>
      <c r="E271" s="16">
        <f>IF($B271&lt;&gt;"tutar_farki","",IF(ABS($C271)&gt;cbb_esikFark,"YUKSEK","NORMAL"))</f>
        <v/>
      </c>
      <c r="F271" s="16">
        <f>IF($B271&lt;&gt;"tutar_farki","","VKN "&amp;$A271&amp;" için cari↔Ba/Bs fark "&amp;TEXT($C271,"0.00")&amp;" TL. Dayanak: "&amp;$D271&amp;". Düzeltme dosyası üretildi.")</f>
        <v/>
      </c>
      <c r="G271" s="16">
        <f>IF($B271&lt;&gt;"tutar_farki","","Beklemede")</f>
        <v/>
      </c>
    </row>
    <row r="272">
      <c r="A272" s="26">
        <f>IF('KOK_NEDEN'!$A272="","",'KOK_NEDEN'!$A272)</f>
        <v/>
      </c>
      <c r="B272" s="16">
        <f>IF($A272="","",IFERROR(INDEX(tblKok[Kova],MATCH($A272,tblKok[A_Norm],0)),""))</f>
        <v/>
      </c>
      <c r="C272" s="16">
        <f>IF($A272="","",IFERROR(INDEX(tblEslesme[Fark],MATCH($A272,tblEslesme[A_Norm],0)),0))</f>
        <v/>
      </c>
      <c r="D272" s="16">
        <f>IF($A272="","",IFERROR(INDEX(tblKok[KokNeden],MATCH($A272,tblKok[A_Norm],0)),""))</f>
        <v/>
      </c>
      <c r="E272" s="16">
        <f>IF($B272&lt;&gt;"tutar_farki","",IF(ABS($C272)&gt;cbb_esikFark,"YUKSEK","NORMAL"))</f>
        <v/>
      </c>
      <c r="F272" s="16">
        <f>IF($B272&lt;&gt;"tutar_farki","","VKN "&amp;$A272&amp;" için cari↔Ba/Bs fark "&amp;TEXT($C272,"0.00")&amp;" TL. Dayanak: "&amp;$D272&amp;". Düzeltme dosyası üretildi.")</f>
        <v/>
      </c>
      <c r="G272" s="16">
        <f>IF($B272&lt;&gt;"tutar_farki","","Beklemede")</f>
        <v/>
      </c>
    </row>
    <row r="273">
      <c r="A273" s="26">
        <f>IF('KOK_NEDEN'!$A273="","",'KOK_NEDEN'!$A273)</f>
        <v/>
      </c>
      <c r="B273" s="16">
        <f>IF($A273="","",IFERROR(INDEX(tblKok[Kova],MATCH($A273,tblKok[A_Norm],0)),""))</f>
        <v/>
      </c>
      <c r="C273" s="16">
        <f>IF($A273="","",IFERROR(INDEX(tblEslesme[Fark],MATCH($A273,tblEslesme[A_Norm],0)),0))</f>
        <v/>
      </c>
      <c r="D273" s="16">
        <f>IF($A273="","",IFERROR(INDEX(tblKok[KokNeden],MATCH($A273,tblKok[A_Norm],0)),""))</f>
        <v/>
      </c>
      <c r="E273" s="16">
        <f>IF($B273&lt;&gt;"tutar_farki","",IF(ABS($C273)&gt;cbb_esikFark,"YUKSEK","NORMAL"))</f>
        <v/>
      </c>
      <c r="F273" s="16">
        <f>IF($B273&lt;&gt;"tutar_farki","","VKN "&amp;$A273&amp;" için cari↔Ba/Bs fark "&amp;TEXT($C273,"0.00")&amp;" TL. Dayanak: "&amp;$D273&amp;". Düzeltme dosyası üretildi.")</f>
        <v/>
      </c>
      <c r="G273" s="16">
        <f>IF($B273&lt;&gt;"tutar_farki","","Beklemede")</f>
        <v/>
      </c>
    </row>
    <row r="274">
      <c r="A274" s="26">
        <f>IF('KOK_NEDEN'!$A274="","",'KOK_NEDEN'!$A274)</f>
        <v/>
      </c>
      <c r="B274" s="16">
        <f>IF($A274="","",IFERROR(INDEX(tblKok[Kova],MATCH($A274,tblKok[A_Norm],0)),""))</f>
        <v/>
      </c>
      <c r="C274" s="16">
        <f>IF($A274="","",IFERROR(INDEX(tblEslesme[Fark],MATCH($A274,tblEslesme[A_Norm],0)),0))</f>
        <v/>
      </c>
      <c r="D274" s="16">
        <f>IF($A274="","",IFERROR(INDEX(tblKok[KokNeden],MATCH($A274,tblKok[A_Norm],0)),""))</f>
        <v/>
      </c>
      <c r="E274" s="16">
        <f>IF($B274&lt;&gt;"tutar_farki","",IF(ABS($C274)&gt;cbb_esikFark,"YUKSEK","NORMAL"))</f>
        <v/>
      </c>
      <c r="F274" s="16">
        <f>IF($B274&lt;&gt;"tutar_farki","","VKN "&amp;$A274&amp;" için cari↔Ba/Bs fark "&amp;TEXT($C274,"0.00")&amp;" TL. Dayanak: "&amp;$D274&amp;". Düzeltme dosyası üretildi.")</f>
        <v/>
      </c>
      <c r="G274" s="16">
        <f>IF($B274&lt;&gt;"tutar_farki","","Beklemede")</f>
        <v/>
      </c>
    </row>
    <row r="275">
      <c r="A275" s="26">
        <f>IF('KOK_NEDEN'!$A275="","",'KOK_NEDEN'!$A275)</f>
        <v/>
      </c>
      <c r="B275" s="16">
        <f>IF($A275="","",IFERROR(INDEX(tblKok[Kova],MATCH($A275,tblKok[A_Norm],0)),""))</f>
        <v/>
      </c>
      <c r="C275" s="16">
        <f>IF($A275="","",IFERROR(INDEX(tblEslesme[Fark],MATCH($A275,tblEslesme[A_Norm],0)),0))</f>
        <v/>
      </c>
      <c r="D275" s="16">
        <f>IF($A275="","",IFERROR(INDEX(tblKok[KokNeden],MATCH($A275,tblKok[A_Norm],0)),""))</f>
        <v/>
      </c>
      <c r="E275" s="16">
        <f>IF($B275&lt;&gt;"tutar_farki","",IF(ABS($C275)&gt;cbb_esikFark,"YUKSEK","NORMAL"))</f>
        <v/>
      </c>
      <c r="F275" s="16">
        <f>IF($B275&lt;&gt;"tutar_farki","","VKN "&amp;$A275&amp;" için cari↔Ba/Bs fark "&amp;TEXT($C275,"0.00")&amp;" TL. Dayanak: "&amp;$D275&amp;". Düzeltme dosyası üretildi.")</f>
        <v/>
      </c>
      <c r="G275" s="16">
        <f>IF($B275&lt;&gt;"tutar_farki","","Beklemede")</f>
        <v/>
      </c>
    </row>
    <row r="276">
      <c r="A276" s="26">
        <f>IF('KOK_NEDEN'!$A276="","",'KOK_NEDEN'!$A276)</f>
        <v/>
      </c>
      <c r="B276" s="16">
        <f>IF($A276="","",IFERROR(INDEX(tblKok[Kova],MATCH($A276,tblKok[A_Norm],0)),""))</f>
        <v/>
      </c>
      <c r="C276" s="16">
        <f>IF($A276="","",IFERROR(INDEX(tblEslesme[Fark],MATCH($A276,tblEslesme[A_Norm],0)),0))</f>
        <v/>
      </c>
      <c r="D276" s="16">
        <f>IF($A276="","",IFERROR(INDEX(tblKok[KokNeden],MATCH($A276,tblKok[A_Norm],0)),""))</f>
        <v/>
      </c>
      <c r="E276" s="16">
        <f>IF($B276&lt;&gt;"tutar_farki","",IF(ABS($C276)&gt;cbb_esikFark,"YUKSEK","NORMAL"))</f>
        <v/>
      </c>
      <c r="F276" s="16">
        <f>IF($B276&lt;&gt;"tutar_farki","","VKN "&amp;$A276&amp;" için cari↔Ba/Bs fark "&amp;TEXT($C276,"0.00")&amp;" TL. Dayanak: "&amp;$D276&amp;". Düzeltme dosyası üretildi.")</f>
        <v/>
      </c>
      <c r="G276" s="16">
        <f>IF($B276&lt;&gt;"tutar_farki","","Beklemede")</f>
        <v/>
      </c>
    </row>
    <row r="277">
      <c r="A277" s="26">
        <f>IF('KOK_NEDEN'!$A277="","",'KOK_NEDEN'!$A277)</f>
        <v/>
      </c>
      <c r="B277" s="16">
        <f>IF($A277="","",IFERROR(INDEX(tblKok[Kova],MATCH($A277,tblKok[A_Norm],0)),""))</f>
        <v/>
      </c>
      <c r="C277" s="16">
        <f>IF($A277="","",IFERROR(INDEX(tblEslesme[Fark],MATCH($A277,tblEslesme[A_Norm],0)),0))</f>
        <v/>
      </c>
      <c r="D277" s="16">
        <f>IF($A277="","",IFERROR(INDEX(tblKok[KokNeden],MATCH($A277,tblKok[A_Norm],0)),""))</f>
        <v/>
      </c>
      <c r="E277" s="16">
        <f>IF($B277&lt;&gt;"tutar_farki","",IF(ABS($C277)&gt;cbb_esikFark,"YUKSEK","NORMAL"))</f>
        <v/>
      </c>
      <c r="F277" s="16">
        <f>IF($B277&lt;&gt;"tutar_farki","","VKN "&amp;$A277&amp;" için cari↔Ba/Bs fark "&amp;TEXT($C277,"0.00")&amp;" TL. Dayanak: "&amp;$D277&amp;". Düzeltme dosyası üretildi.")</f>
        <v/>
      </c>
      <c r="G277" s="16">
        <f>IF($B277&lt;&gt;"tutar_farki","","Beklemede")</f>
        <v/>
      </c>
    </row>
    <row r="278">
      <c r="A278" s="26">
        <f>IF('KOK_NEDEN'!$A278="","",'KOK_NEDEN'!$A278)</f>
        <v/>
      </c>
      <c r="B278" s="16">
        <f>IF($A278="","",IFERROR(INDEX(tblKok[Kova],MATCH($A278,tblKok[A_Norm],0)),""))</f>
        <v/>
      </c>
      <c r="C278" s="16">
        <f>IF($A278="","",IFERROR(INDEX(tblEslesme[Fark],MATCH($A278,tblEslesme[A_Norm],0)),0))</f>
        <v/>
      </c>
      <c r="D278" s="16">
        <f>IF($A278="","",IFERROR(INDEX(tblKok[KokNeden],MATCH($A278,tblKok[A_Norm],0)),""))</f>
        <v/>
      </c>
      <c r="E278" s="16">
        <f>IF($B278&lt;&gt;"tutar_farki","",IF(ABS($C278)&gt;cbb_esikFark,"YUKSEK","NORMAL"))</f>
        <v/>
      </c>
      <c r="F278" s="16">
        <f>IF($B278&lt;&gt;"tutar_farki","","VKN "&amp;$A278&amp;" için cari↔Ba/Bs fark "&amp;TEXT($C278,"0.00")&amp;" TL. Dayanak: "&amp;$D278&amp;". Düzeltme dosyası üretildi.")</f>
        <v/>
      </c>
      <c r="G278" s="16">
        <f>IF($B278&lt;&gt;"tutar_farki","","Beklemede")</f>
        <v/>
      </c>
    </row>
    <row r="279">
      <c r="A279" s="26">
        <f>IF('KOK_NEDEN'!$A279="","",'KOK_NEDEN'!$A279)</f>
        <v/>
      </c>
      <c r="B279" s="16">
        <f>IF($A279="","",IFERROR(INDEX(tblKok[Kova],MATCH($A279,tblKok[A_Norm],0)),""))</f>
        <v/>
      </c>
      <c r="C279" s="16">
        <f>IF($A279="","",IFERROR(INDEX(tblEslesme[Fark],MATCH($A279,tblEslesme[A_Norm],0)),0))</f>
        <v/>
      </c>
      <c r="D279" s="16">
        <f>IF($A279="","",IFERROR(INDEX(tblKok[KokNeden],MATCH($A279,tblKok[A_Norm],0)),""))</f>
        <v/>
      </c>
      <c r="E279" s="16">
        <f>IF($B279&lt;&gt;"tutar_farki","",IF(ABS($C279)&gt;cbb_esikFark,"YUKSEK","NORMAL"))</f>
        <v/>
      </c>
      <c r="F279" s="16">
        <f>IF($B279&lt;&gt;"tutar_farki","","VKN "&amp;$A279&amp;" için cari↔Ba/Bs fark "&amp;TEXT($C279,"0.00")&amp;" TL. Dayanak: "&amp;$D279&amp;". Düzeltme dosyası üretildi.")</f>
        <v/>
      </c>
      <c r="G279" s="16">
        <f>IF($B279&lt;&gt;"tutar_farki","","Beklemede")</f>
        <v/>
      </c>
    </row>
    <row r="280">
      <c r="A280" s="26">
        <f>IF('KOK_NEDEN'!$A280="","",'KOK_NEDEN'!$A280)</f>
        <v/>
      </c>
      <c r="B280" s="16">
        <f>IF($A280="","",IFERROR(INDEX(tblKok[Kova],MATCH($A280,tblKok[A_Norm],0)),""))</f>
        <v/>
      </c>
      <c r="C280" s="16">
        <f>IF($A280="","",IFERROR(INDEX(tblEslesme[Fark],MATCH($A280,tblEslesme[A_Norm],0)),0))</f>
        <v/>
      </c>
      <c r="D280" s="16">
        <f>IF($A280="","",IFERROR(INDEX(tblKok[KokNeden],MATCH($A280,tblKok[A_Norm],0)),""))</f>
        <v/>
      </c>
      <c r="E280" s="16">
        <f>IF($B280&lt;&gt;"tutar_farki","",IF(ABS($C280)&gt;cbb_esikFark,"YUKSEK","NORMAL"))</f>
        <v/>
      </c>
      <c r="F280" s="16">
        <f>IF($B280&lt;&gt;"tutar_farki","","VKN "&amp;$A280&amp;" için cari↔Ba/Bs fark "&amp;TEXT($C280,"0.00")&amp;" TL. Dayanak: "&amp;$D280&amp;". Düzeltme dosyası üretildi.")</f>
        <v/>
      </c>
      <c r="G280" s="16">
        <f>IF($B280&lt;&gt;"tutar_farki","","Beklemede")</f>
        <v/>
      </c>
    </row>
    <row r="281">
      <c r="A281" s="26">
        <f>IF('KOK_NEDEN'!$A281="","",'KOK_NEDEN'!$A281)</f>
        <v/>
      </c>
      <c r="B281" s="16">
        <f>IF($A281="","",IFERROR(INDEX(tblKok[Kova],MATCH($A281,tblKok[A_Norm],0)),""))</f>
        <v/>
      </c>
      <c r="C281" s="16">
        <f>IF($A281="","",IFERROR(INDEX(tblEslesme[Fark],MATCH($A281,tblEslesme[A_Norm],0)),0))</f>
        <v/>
      </c>
      <c r="D281" s="16">
        <f>IF($A281="","",IFERROR(INDEX(tblKok[KokNeden],MATCH($A281,tblKok[A_Norm],0)),""))</f>
        <v/>
      </c>
      <c r="E281" s="16">
        <f>IF($B281&lt;&gt;"tutar_farki","",IF(ABS($C281)&gt;cbb_esikFark,"YUKSEK","NORMAL"))</f>
        <v/>
      </c>
      <c r="F281" s="16">
        <f>IF($B281&lt;&gt;"tutar_farki","","VKN "&amp;$A281&amp;" için cari↔Ba/Bs fark "&amp;TEXT($C281,"0.00")&amp;" TL. Dayanak: "&amp;$D281&amp;". Düzeltme dosyası üretildi.")</f>
        <v/>
      </c>
      <c r="G281" s="16">
        <f>IF($B281&lt;&gt;"tutar_farki","","Beklemede")</f>
        <v/>
      </c>
    </row>
    <row r="282">
      <c r="A282" s="26">
        <f>IF('KOK_NEDEN'!$A282="","",'KOK_NEDEN'!$A282)</f>
        <v/>
      </c>
      <c r="B282" s="16">
        <f>IF($A282="","",IFERROR(INDEX(tblKok[Kova],MATCH($A282,tblKok[A_Norm],0)),""))</f>
        <v/>
      </c>
      <c r="C282" s="16">
        <f>IF($A282="","",IFERROR(INDEX(tblEslesme[Fark],MATCH($A282,tblEslesme[A_Norm],0)),0))</f>
        <v/>
      </c>
      <c r="D282" s="16">
        <f>IF($A282="","",IFERROR(INDEX(tblKok[KokNeden],MATCH($A282,tblKok[A_Norm],0)),""))</f>
        <v/>
      </c>
      <c r="E282" s="16">
        <f>IF($B282&lt;&gt;"tutar_farki","",IF(ABS($C282)&gt;cbb_esikFark,"YUKSEK","NORMAL"))</f>
        <v/>
      </c>
      <c r="F282" s="16">
        <f>IF($B282&lt;&gt;"tutar_farki","","VKN "&amp;$A282&amp;" için cari↔Ba/Bs fark "&amp;TEXT($C282,"0.00")&amp;" TL. Dayanak: "&amp;$D282&amp;". Düzeltme dosyası üretildi.")</f>
        <v/>
      </c>
      <c r="G282" s="16">
        <f>IF($B282&lt;&gt;"tutar_farki","","Beklemede")</f>
        <v/>
      </c>
    </row>
    <row r="283">
      <c r="A283" s="26">
        <f>IF('KOK_NEDEN'!$A283="","",'KOK_NEDEN'!$A283)</f>
        <v/>
      </c>
      <c r="B283" s="16">
        <f>IF($A283="","",IFERROR(INDEX(tblKok[Kova],MATCH($A283,tblKok[A_Norm],0)),""))</f>
        <v/>
      </c>
      <c r="C283" s="16">
        <f>IF($A283="","",IFERROR(INDEX(tblEslesme[Fark],MATCH($A283,tblEslesme[A_Norm],0)),0))</f>
        <v/>
      </c>
      <c r="D283" s="16">
        <f>IF($A283="","",IFERROR(INDEX(tblKok[KokNeden],MATCH($A283,tblKok[A_Norm],0)),""))</f>
        <v/>
      </c>
      <c r="E283" s="16">
        <f>IF($B283&lt;&gt;"tutar_farki","",IF(ABS($C283)&gt;cbb_esikFark,"YUKSEK","NORMAL"))</f>
        <v/>
      </c>
      <c r="F283" s="16">
        <f>IF($B283&lt;&gt;"tutar_farki","","VKN "&amp;$A283&amp;" için cari↔Ba/Bs fark "&amp;TEXT($C283,"0.00")&amp;" TL. Dayanak: "&amp;$D283&amp;". Düzeltme dosyası üretildi.")</f>
        <v/>
      </c>
      <c r="G283" s="16">
        <f>IF($B283&lt;&gt;"tutar_farki","","Beklemede")</f>
        <v/>
      </c>
    </row>
    <row r="284">
      <c r="A284" s="26">
        <f>IF('KOK_NEDEN'!$A284="","",'KOK_NEDEN'!$A284)</f>
        <v/>
      </c>
      <c r="B284" s="16">
        <f>IF($A284="","",IFERROR(INDEX(tblKok[Kova],MATCH($A284,tblKok[A_Norm],0)),""))</f>
        <v/>
      </c>
      <c r="C284" s="16">
        <f>IF($A284="","",IFERROR(INDEX(tblEslesme[Fark],MATCH($A284,tblEslesme[A_Norm],0)),0))</f>
        <v/>
      </c>
      <c r="D284" s="16">
        <f>IF($A284="","",IFERROR(INDEX(tblKok[KokNeden],MATCH($A284,tblKok[A_Norm],0)),""))</f>
        <v/>
      </c>
      <c r="E284" s="16">
        <f>IF($B284&lt;&gt;"tutar_farki","",IF(ABS($C284)&gt;cbb_esikFark,"YUKSEK","NORMAL"))</f>
        <v/>
      </c>
      <c r="F284" s="16">
        <f>IF($B284&lt;&gt;"tutar_farki","","VKN "&amp;$A284&amp;" için cari↔Ba/Bs fark "&amp;TEXT($C284,"0.00")&amp;" TL. Dayanak: "&amp;$D284&amp;". Düzeltme dosyası üretildi.")</f>
        <v/>
      </c>
      <c r="G284" s="16">
        <f>IF($B284&lt;&gt;"tutar_farki","","Beklemede")</f>
        <v/>
      </c>
    </row>
    <row r="285">
      <c r="A285" s="26">
        <f>IF('KOK_NEDEN'!$A285="","",'KOK_NEDEN'!$A285)</f>
        <v/>
      </c>
      <c r="B285" s="16">
        <f>IF($A285="","",IFERROR(INDEX(tblKok[Kova],MATCH($A285,tblKok[A_Norm],0)),""))</f>
        <v/>
      </c>
      <c r="C285" s="16">
        <f>IF($A285="","",IFERROR(INDEX(tblEslesme[Fark],MATCH($A285,tblEslesme[A_Norm],0)),0))</f>
        <v/>
      </c>
      <c r="D285" s="16">
        <f>IF($A285="","",IFERROR(INDEX(tblKok[KokNeden],MATCH($A285,tblKok[A_Norm],0)),""))</f>
        <v/>
      </c>
      <c r="E285" s="16">
        <f>IF($B285&lt;&gt;"tutar_farki","",IF(ABS($C285)&gt;cbb_esikFark,"YUKSEK","NORMAL"))</f>
        <v/>
      </c>
      <c r="F285" s="16">
        <f>IF($B285&lt;&gt;"tutar_farki","","VKN "&amp;$A285&amp;" için cari↔Ba/Bs fark "&amp;TEXT($C285,"0.00")&amp;" TL. Dayanak: "&amp;$D285&amp;". Düzeltme dosyası üretildi.")</f>
        <v/>
      </c>
      <c r="G285" s="16">
        <f>IF($B285&lt;&gt;"tutar_farki","","Beklemede")</f>
        <v/>
      </c>
    </row>
    <row r="286">
      <c r="A286" s="26">
        <f>IF('KOK_NEDEN'!$A286="","",'KOK_NEDEN'!$A286)</f>
        <v/>
      </c>
      <c r="B286" s="16">
        <f>IF($A286="","",IFERROR(INDEX(tblKok[Kova],MATCH($A286,tblKok[A_Norm],0)),""))</f>
        <v/>
      </c>
      <c r="C286" s="16">
        <f>IF($A286="","",IFERROR(INDEX(tblEslesme[Fark],MATCH($A286,tblEslesme[A_Norm],0)),0))</f>
        <v/>
      </c>
      <c r="D286" s="16">
        <f>IF($A286="","",IFERROR(INDEX(tblKok[KokNeden],MATCH($A286,tblKok[A_Norm],0)),""))</f>
        <v/>
      </c>
      <c r="E286" s="16">
        <f>IF($B286&lt;&gt;"tutar_farki","",IF(ABS($C286)&gt;cbb_esikFark,"YUKSEK","NORMAL"))</f>
        <v/>
      </c>
      <c r="F286" s="16">
        <f>IF($B286&lt;&gt;"tutar_farki","","VKN "&amp;$A286&amp;" için cari↔Ba/Bs fark "&amp;TEXT($C286,"0.00")&amp;" TL. Dayanak: "&amp;$D286&amp;". Düzeltme dosyası üretildi.")</f>
        <v/>
      </c>
      <c r="G286" s="16">
        <f>IF($B286&lt;&gt;"tutar_farki","","Beklemede")</f>
        <v/>
      </c>
    </row>
    <row r="287">
      <c r="A287" s="26">
        <f>IF('KOK_NEDEN'!$A287="","",'KOK_NEDEN'!$A287)</f>
        <v/>
      </c>
      <c r="B287" s="16">
        <f>IF($A287="","",IFERROR(INDEX(tblKok[Kova],MATCH($A287,tblKok[A_Norm],0)),""))</f>
        <v/>
      </c>
      <c r="C287" s="16">
        <f>IF($A287="","",IFERROR(INDEX(tblEslesme[Fark],MATCH($A287,tblEslesme[A_Norm],0)),0))</f>
        <v/>
      </c>
      <c r="D287" s="16">
        <f>IF($A287="","",IFERROR(INDEX(tblKok[KokNeden],MATCH($A287,tblKok[A_Norm],0)),""))</f>
        <v/>
      </c>
      <c r="E287" s="16">
        <f>IF($B287&lt;&gt;"tutar_farki","",IF(ABS($C287)&gt;cbb_esikFark,"YUKSEK","NORMAL"))</f>
        <v/>
      </c>
      <c r="F287" s="16">
        <f>IF($B287&lt;&gt;"tutar_farki","","VKN "&amp;$A287&amp;" için cari↔Ba/Bs fark "&amp;TEXT($C287,"0.00")&amp;" TL. Dayanak: "&amp;$D287&amp;". Düzeltme dosyası üretildi.")</f>
        <v/>
      </c>
      <c r="G287" s="16">
        <f>IF($B287&lt;&gt;"tutar_farki","","Beklemede")</f>
        <v/>
      </c>
    </row>
    <row r="288">
      <c r="A288" s="26">
        <f>IF('KOK_NEDEN'!$A288="","",'KOK_NEDEN'!$A288)</f>
        <v/>
      </c>
      <c r="B288" s="16">
        <f>IF($A288="","",IFERROR(INDEX(tblKok[Kova],MATCH($A288,tblKok[A_Norm],0)),""))</f>
        <v/>
      </c>
      <c r="C288" s="16">
        <f>IF($A288="","",IFERROR(INDEX(tblEslesme[Fark],MATCH($A288,tblEslesme[A_Norm],0)),0))</f>
        <v/>
      </c>
      <c r="D288" s="16">
        <f>IF($A288="","",IFERROR(INDEX(tblKok[KokNeden],MATCH($A288,tblKok[A_Norm],0)),""))</f>
        <v/>
      </c>
      <c r="E288" s="16">
        <f>IF($B288&lt;&gt;"tutar_farki","",IF(ABS($C288)&gt;cbb_esikFark,"YUKSEK","NORMAL"))</f>
        <v/>
      </c>
      <c r="F288" s="16">
        <f>IF($B288&lt;&gt;"tutar_farki","","VKN "&amp;$A288&amp;" için cari↔Ba/Bs fark "&amp;TEXT($C288,"0.00")&amp;" TL. Dayanak: "&amp;$D288&amp;". Düzeltme dosyası üretildi.")</f>
        <v/>
      </c>
      <c r="G288" s="16">
        <f>IF($B288&lt;&gt;"tutar_farki","","Beklemede")</f>
        <v/>
      </c>
    </row>
    <row r="289">
      <c r="A289" s="26">
        <f>IF('KOK_NEDEN'!$A289="","",'KOK_NEDEN'!$A289)</f>
        <v/>
      </c>
      <c r="B289" s="16">
        <f>IF($A289="","",IFERROR(INDEX(tblKok[Kova],MATCH($A289,tblKok[A_Norm],0)),""))</f>
        <v/>
      </c>
      <c r="C289" s="16">
        <f>IF($A289="","",IFERROR(INDEX(tblEslesme[Fark],MATCH($A289,tblEslesme[A_Norm],0)),0))</f>
        <v/>
      </c>
      <c r="D289" s="16">
        <f>IF($A289="","",IFERROR(INDEX(tblKok[KokNeden],MATCH($A289,tblKok[A_Norm],0)),""))</f>
        <v/>
      </c>
      <c r="E289" s="16">
        <f>IF($B289&lt;&gt;"tutar_farki","",IF(ABS($C289)&gt;cbb_esikFark,"YUKSEK","NORMAL"))</f>
        <v/>
      </c>
      <c r="F289" s="16">
        <f>IF($B289&lt;&gt;"tutar_farki","","VKN "&amp;$A289&amp;" için cari↔Ba/Bs fark "&amp;TEXT($C289,"0.00")&amp;" TL. Dayanak: "&amp;$D289&amp;". Düzeltme dosyası üretildi.")</f>
        <v/>
      </c>
      <c r="G289" s="16">
        <f>IF($B289&lt;&gt;"tutar_farki","","Beklemede")</f>
        <v/>
      </c>
    </row>
    <row r="290">
      <c r="A290" s="26">
        <f>IF('KOK_NEDEN'!$A290="","",'KOK_NEDEN'!$A290)</f>
        <v/>
      </c>
      <c r="B290" s="16">
        <f>IF($A290="","",IFERROR(INDEX(tblKok[Kova],MATCH($A290,tblKok[A_Norm],0)),""))</f>
        <v/>
      </c>
      <c r="C290" s="16">
        <f>IF($A290="","",IFERROR(INDEX(tblEslesme[Fark],MATCH($A290,tblEslesme[A_Norm],0)),0))</f>
        <v/>
      </c>
      <c r="D290" s="16">
        <f>IF($A290="","",IFERROR(INDEX(tblKok[KokNeden],MATCH($A290,tblKok[A_Norm],0)),""))</f>
        <v/>
      </c>
      <c r="E290" s="16">
        <f>IF($B290&lt;&gt;"tutar_farki","",IF(ABS($C290)&gt;cbb_esikFark,"YUKSEK","NORMAL"))</f>
        <v/>
      </c>
      <c r="F290" s="16">
        <f>IF($B290&lt;&gt;"tutar_farki","","VKN "&amp;$A290&amp;" için cari↔Ba/Bs fark "&amp;TEXT($C290,"0.00")&amp;" TL. Dayanak: "&amp;$D290&amp;". Düzeltme dosyası üretildi.")</f>
        <v/>
      </c>
      <c r="G290" s="16">
        <f>IF($B290&lt;&gt;"tutar_farki","","Beklemede")</f>
        <v/>
      </c>
    </row>
    <row r="291">
      <c r="A291" s="26">
        <f>IF('KOK_NEDEN'!$A291="","",'KOK_NEDEN'!$A291)</f>
        <v/>
      </c>
      <c r="B291" s="16">
        <f>IF($A291="","",IFERROR(INDEX(tblKok[Kova],MATCH($A291,tblKok[A_Norm],0)),""))</f>
        <v/>
      </c>
      <c r="C291" s="16">
        <f>IF($A291="","",IFERROR(INDEX(tblEslesme[Fark],MATCH($A291,tblEslesme[A_Norm],0)),0))</f>
        <v/>
      </c>
      <c r="D291" s="16">
        <f>IF($A291="","",IFERROR(INDEX(tblKok[KokNeden],MATCH($A291,tblKok[A_Norm],0)),""))</f>
        <v/>
      </c>
      <c r="E291" s="16">
        <f>IF($B291&lt;&gt;"tutar_farki","",IF(ABS($C291)&gt;cbb_esikFark,"YUKSEK","NORMAL"))</f>
        <v/>
      </c>
      <c r="F291" s="16">
        <f>IF($B291&lt;&gt;"tutar_farki","","VKN "&amp;$A291&amp;" için cari↔Ba/Bs fark "&amp;TEXT($C291,"0.00")&amp;" TL. Dayanak: "&amp;$D291&amp;". Düzeltme dosyası üretildi.")</f>
        <v/>
      </c>
      <c r="G291" s="16">
        <f>IF($B291&lt;&gt;"tutar_farki","","Beklemede")</f>
        <v/>
      </c>
    </row>
    <row r="292">
      <c r="A292" s="26">
        <f>IF('KOK_NEDEN'!$A292="","",'KOK_NEDEN'!$A292)</f>
        <v/>
      </c>
      <c r="B292" s="16">
        <f>IF($A292="","",IFERROR(INDEX(tblKok[Kova],MATCH($A292,tblKok[A_Norm],0)),""))</f>
        <v/>
      </c>
      <c r="C292" s="16">
        <f>IF($A292="","",IFERROR(INDEX(tblEslesme[Fark],MATCH($A292,tblEslesme[A_Norm],0)),0))</f>
        <v/>
      </c>
      <c r="D292" s="16">
        <f>IF($A292="","",IFERROR(INDEX(tblKok[KokNeden],MATCH($A292,tblKok[A_Norm],0)),""))</f>
        <v/>
      </c>
      <c r="E292" s="16">
        <f>IF($B292&lt;&gt;"tutar_farki","",IF(ABS($C292)&gt;cbb_esikFark,"YUKSEK","NORMAL"))</f>
        <v/>
      </c>
      <c r="F292" s="16">
        <f>IF($B292&lt;&gt;"tutar_farki","","VKN "&amp;$A292&amp;" için cari↔Ba/Bs fark "&amp;TEXT($C292,"0.00")&amp;" TL. Dayanak: "&amp;$D292&amp;". Düzeltme dosyası üretildi.")</f>
        <v/>
      </c>
      <c r="G292" s="16">
        <f>IF($B292&lt;&gt;"tutar_farki","","Beklemede")</f>
        <v/>
      </c>
    </row>
    <row r="293">
      <c r="A293" s="26">
        <f>IF('KOK_NEDEN'!$A293="","",'KOK_NEDEN'!$A293)</f>
        <v/>
      </c>
      <c r="B293" s="16">
        <f>IF($A293="","",IFERROR(INDEX(tblKok[Kova],MATCH($A293,tblKok[A_Norm],0)),""))</f>
        <v/>
      </c>
      <c r="C293" s="16">
        <f>IF($A293="","",IFERROR(INDEX(tblEslesme[Fark],MATCH($A293,tblEslesme[A_Norm],0)),0))</f>
        <v/>
      </c>
      <c r="D293" s="16">
        <f>IF($A293="","",IFERROR(INDEX(tblKok[KokNeden],MATCH($A293,tblKok[A_Norm],0)),""))</f>
        <v/>
      </c>
      <c r="E293" s="16">
        <f>IF($B293&lt;&gt;"tutar_farki","",IF(ABS($C293)&gt;cbb_esikFark,"YUKSEK","NORMAL"))</f>
        <v/>
      </c>
      <c r="F293" s="16">
        <f>IF($B293&lt;&gt;"tutar_farki","","VKN "&amp;$A293&amp;" için cari↔Ba/Bs fark "&amp;TEXT($C293,"0.00")&amp;" TL. Dayanak: "&amp;$D293&amp;". Düzeltme dosyası üretildi.")</f>
        <v/>
      </c>
      <c r="G293" s="16">
        <f>IF($B293&lt;&gt;"tutar_farki","","Beklemede")</f>
        <v/>
      </c>
    </row>
    <row r="294">
      <c r="A294" s="26">
        <f>IF('KOK_NEDEN'!$A294="","",'KOK_NEDEN'!$A294)</f>
        <v/>
      </c>
      <c r="B294" s="16">
        <f>IF($A294="","",IFERROR(INDEX(tblKok[Kova],MATCH($A294,tblKok[A_Norm],0)),""))</f>
        <v/>
      </c>
      <c r="C294" s="16">
        <f>IF($A294="","",IFERROR(INDEX(tblEslesme[Fark],MATCH($A294,tblEslesme[A_Norm],0)),0))</f>
        <v/>
      </c>
      <c r="D294" s="16">
        <f>IF($A294="","",IFERROR(INDEX(tblKok[KokNeden],MATCH($A294,tblKok[A_Norm],0)),""))</f>
        <v/>
      </c>
      <c r="E294" s="16">
        <f>IF($B294&lt;&gt;"tutar_farki","",IF(ABS($C294)&gt;cbb_esikFark,"YUKSEK","NORMAL"))</f>
        <v/>
      </c>
      <c r="F294" s="16">
        <f>IF($B294&lt;&gt;"tutar_farki","","VKN "&amp;$A294&amp;" için cari↔Ba/Bs fark "&amp;TEXT($C294,"0.00")&amp;" TL. Dayanak: "&amp;$D294&amp;". Düzeltme dosyası üretildi.")</f>
        <v/>
      </c>
      <c r="G294" s="16">
        <f>IF($B294&lt;&gt;"tutar_farki","","Beklemede")</f>
        <v/>
      </c>
    </row>
    <row r="295">
      <c r="A295" s="26">
        <f>IF('KOK_NEDEN'!$A295="","",'KOK_NEDEN'!$A295)</f>
        <v/>
      </c>
      <c r="B295" s="16">
        <f>IF($A295="","",IFERROR(INDEX(tblKok[Kova],MATCH($A295,tblKok[A_Norm],0)),""))</f>
        <v/>
      </c>
      <c r="C295" s="16">
        <f>IF($A295="","",IFERROR(INDEX(tblEslesme[Fark],MATCH($A295,tblEslesme[A_Norm],0)),0))</f>
        <v/>
      </c>
      <c r="D295" s="16">
        <f>IF($A295="","",IFERROR(INDEX(tblKok[KokNeden],MATCH($A295,tblKok[A_Norm],0)),""))</f>
        <v/>
      </c>
      <c r="E295" s="16">
        <f>IF($B295&lt;&gt;"tutar_farki","",IF(ABS($C295)&gt;cbb_esikFark,"YUKSEK","NORMAL"))</f>
        <v/>
      </c>
      <c r="F295" s="16">
        <f>IF($B295&lt;&gt;"tutar_farki","","VKN "&amp;$A295&amp;" için cari↔Ba/Bs fark "&amp;TEXT($C295,"0.00")&amp;" TL. Dayanak: "&amp;$D295&amp;". Düzeltme dosyası üretildi.")</f>
        <v/>
      </c>
      <c r="G295" s="16">
        <f>IF($B295&lt;&gt;"tutar_farki","","Beklemede")</f>
        <v/>
      </c>
    </row>
    <row r="296">
      <c r="A296" s="26">
        <f>IF('KOK_NEDEN'!$A296="","",'KOK_NEDEN'!$A296)</f>
        <v/>
      </c>
      <c r="B296" s="16">
        <f>IF($A296="","",IFERROR(INDEX(tblKok[Kova],MATCH($A296,tblKok[A_Norm],0)),""))</f>
        <v/>
      </c>
      <c r="C296" s="16">
        <f>IF($A296="","",IFERROR(INDEX(tblEslesme[Fark],MATCH($A296,tblEslesme[A_Norm],0)),0))</f>
        <v/>
      </c>
      <c r="D296" s="16">
        <f>IF($A296="","",IFERROR(INDEX(tblKok[KokNeden],MATCH($A296,tblKok[A_Norm],0)),""))</f>
        <v/>
      </c>
      <c r="E296" s="16">
        <f>IF($B296&lt;&gt;"tutar_farki","",IF(ABS($C296)&gt;cbb_esikFark,"YUKSEK","NORMAL"))</f>
        <v/>
      </c>
      <c r="F296" s="16">
        <f>IF($B296&lt;&gt;"tutar_farki","","VKN "&amp;$A296&amp;" için cari↔Ba/Bs fark "&amp;TEXT($C296,"0.00")&amp;" TL. Dayanak: "&amp;$D296&amp;". Düzeltme dosyası üretildi.")</f>
        <v/>
      </c>
      <c r="G296" s="16">
        <f>IF($B296&lt;&gt;"tutar_farki","","Beklemede")</f>
        <v/>
      </c>
    </row>
    <row r="297">
      <c r="A297" s="26">
        <f>IF('KOK_NEDEN'!$A297="","",'KOK_NEDEN'!$A297)</f>
        <v/>
      </c>
      <c r="B297" s="16">
        <f>IF($A297="","",IFERROR(INDEX(tblKok[Kova],MATCH($A297,tblKok[A_Norm],0)),""))</f>
        <v/>
      </c>
      <c r="C297" s="16">
        <f>IF($A297="","",IFERROR(INDEX(tblEslesme[Fark],MATCH($A297,tblEslesme[A_Norm],0)),0))</f>
        <v/>
      </c>
      <c r="D297" s="16">
        <f>IF($A297="","",IFERROR(INDEX(tblKok[KokNeden],MATCH($A297,tblKok[A_Norm],0)),""))</f>
        <v/>
      </c>
      <c r="E297" s="16">
        <f>IF($B297&lt;&gt;"tutar_farki","",IF(ABS($C297)&gt;cbb_esikFark,"YUKSEK","NORMAL"))</f>
        <v/>
      </c>
      <c r="F297" s="16">
        <f>IF($B297&lt;&gt;"tutar_farki","","VKN "&amp;$A297&amp;" için cari↔Ba/Bs fark "&amp;TEXT($C297,"0.00")&amp;" TL. Dayanak: "&amp;$D297&amp;". Düzeltme dosyası üretildi.")</f>
        <v/>
      </c>
      <c r="G297" s="16">
        <f>IF($B297&lt;&gt;"tutar_farki","","Beklemede")</f>
        <v/>
      </c>
    </row>
    <row r="298">
      <c r="A298" s="26">
        <f>IF('KOK_NEDEN'!$A298="","",'KOK_NEDEN'!$A298)</f>
        <v/>
      </c>
      <c r="B298" s="16">
        <f>IF($A298="","",IFERROR(INDEX(tblKok[Kova],MATCH($A298,tblKok[A_Norm],0)),""))</f>
        <v/>
      </c>
      <c r="C298" s="16">
        <f>IF($A298="","",IFERROR(INDEX(tblEslesme[Fark],MATCH($A298,tblEslesme[A_Norm],0)),0))</f>
        <v/>
      </c>
      <c r="D298" s="16">
        <f>IF($A298="","",IFERROR(INDEX(tblKok[KokNeden],MATCH($A298,tblKok[A_Norm],0)),""))</f>
        <v/>
      </c>
      <c r="E298" s="16">
        <f>IF($B298&lt;&gt;"tutar_farki","",IF(ABS($C298)&gt;cbb_esikFark,"YUKSEK","NORMAL"))</f>
        <v/>
      </c>
      <c r="F298" s="16">
        <f>IF($B298&lt;&gt;"tutar_farki","","VKN "&amp;$A298&amp;" için cari↔Ba/Bs fark "&amp;TEXT($C298,"0.00")&amp;" TL. Dayanak: "&amp;$D298&amp;". Düzeltme dosyası üretildi.")</f>
        <v/>
      </c>
      <c r="G298" s="16">
        <f>IF($B298&lt;&gt;"tutar_farki","","Beklemede")</f>
        <v/>
      </c>
    </row>
    <row r="299">
      <c r="A299" s="26">
        <f>IF('KOK_NEDEN'!$A299="","",'KOK_NEDEN'!$A299)</f>
        <v/>
      </c>
      <c r="B299" s="16">
        <f>IF($A299="","",IFERROR(INDEX(tblKok[Kova],MATCH($A299,tblKok[A_Norm],0)),""))</f>
        <v/>
      </c>
      <c r="C299" s="16">
        <f>IF($A299="","",IFERROR(INDEX(tblEslesme[Fark],MATCH($A299,tblEslesme[A_Norm],0)),0))</f>
        <v/>
      </c>
      <c r="D299" s="16">
        <f>IF($A299="","",IFERROR(INDEX(tblKok[KokNeden],MATCH($A299,tblKok[A_Norm],0)),""))</f>
        <v/>
      </c>
      <c r="E299" s="16">
        <f>IF($B299&lt;&gt;"tutar_farki","",IF(ABS($C299)&gt;cbb_esikFark,"YUKSEK","NORMAL"))</f>
        <v/>
      </c>
      <c r="F299" s="16">
        <f>IF($B299&lt;&gt;"tutar_farki","","VKN "&amp;$A299&amp;" için cari↔Ba/Bs fark "&amp;TEXT($C299,"0.00")&amp;" TL. Dayanak: "&amp;$D299&amp;". Düzeltme dosyası üretildi.")</f>
        <v/>
      </c>
      <c r="G299" s="16">
        <f>IF($B299&lt;&gt;"tutar_farki","","Beklemede")</f>
        <v/>
      </c>
    </row>
    <row r="300">
      <c r="A300" s="26">
        <f>IF('KOK_NEDEN'!$A300="","",'KOK_NEDEN'!$A300)</f>
        <v/>
      </c>
      <c r="B300" s="16">
        <f>IF($A300="","",IFERROR(INDEX(tblKok[Kova],MATCH($A300,tblKok[A_Norm],0)),""))</f>
        <v/>
      </c>
      <c r="C300" s="16">
        <f>IF($A300="","",IFERROR(INDEX(tblEslesme[Fark],MATCH($A300,tblEslesme[A_Norm],0)),0))</f>
        <v/>
      </c>
      <c r="D300" s="16">
        <f>IF($A300="","",IFERROR(INDEX(tblKok[KokNeden],MATCH($A300,tblKok[A_Norm],0)),""))</f>
        <v/>
      </c>
      <c r="E300" s="16">
        <f>IF($B300&lt;&gt;"tutar_farki","",IF(ABS($C300)&gt;cbb_esikFark,"YUKSEK","NORMAL"))</f>
        <v/>
      </c>
      <c r="F300" s="16">
        <f>IF($B300&lt;&gt;"tutar_farki","","VKN "&amp;$A300&amp;" için cari↔Ba/Bs fark "&amp;TEXT($C300,"0.00")&amp;" TL. Dayanak: "&amp;$D300&amp;". Düzeltme dosyası üretildi.")</f>
        <v/>
      </c>
      <c r="G300" s="16">
        <f>IF($B300&lt;&gt;"tutar_farki","","Beklemede")</f>
        <v/>
      </c>
    </row>
    <row r="301">
      <c r="A301" s="26">
        <f>IF('KOK_NEDEN'!$A301="","",'KOK_NEDEN'!$A301)</f>
        <v/>
      </c>
      <c r="B301" s="16">
        <f>IF($A301="","",IFERROR(INDEX(tblKok[Kova],MATCH($A301,tblKok[A_Norm],0)),""))</f>
        <v/>
      </c>
      <c r="C301" s="16">
        <f>IF($A301="","",IFERROR(INDEX(tblEslesme[Fark],MATCH($A301,tblEslesme[A_Norm],0)),0))</f>
        <v/>
      </c>
      <c r="D301" s="16">
        <f>IF($A301="","",IFERROR(INDEX(tblKok[KokNeden],MATCH($A301,tblKok[A_Norm],0)),""))</f>
        <v/>
      </c>
      <c r="E301" s="16">
        <f>IF($B301&lt;&gt;"tutar_farki","",IF(ABS($C301)&gt;cbb_esikFark,"YUKSEK","NORMAL"))</f>
        <v/>
      </c>
      <c r="F301" s="16">
        <f>IF($B301&lt;&gt;"tutar_farki","","VKN "&amp;$A301&amp;" için cari↔Ba/Bs fark "&amp;TEXT($C301,"0.00")&amp;" TL. Dayanak: "&amp;$D301&amp;". Düzeltme dosyası üretildi.")</f>
        <v/>
      </c>
      <c r="G301" s="16">
        <f>IF($B301&lt;&gt;"tutar_farki","","Beklemede")</f>
        <v/>
      </c>
    </row>
    <row r="302">
      <c r="A302" s="26">
        <f>IF('KOK_NEDEN'!$A302="","",'KOK_NEDEN'!$A302)</f>
        <v/>
      </c>
      <c r="B302" s="16">
        <f>IF($A302="","",IFERROR(INDEX(tblKok[Kova],MATCH($A302,tblKok[A_Norm],0)),""))</f>
        <v/>
      </c>
      <c r="C302" s="16">
        <f>IF($A302="","",IFERROR(INDEX(tblEslesme[Fark],MATCH($A302,tblEslesme[A_Norm],0)),0))</f>
        <v/>
      </c>
      <c r="D302" s="16">
        <f>IF($A302="","",IFERROR(INDEX(tblKok[KokNeden],MATCH($A302,tblKok[A_Norm],0)),""))</f>
        <v/>
      </c>
      <c r="E302" s="16">
        <f>IF($B302&lt;&gt;"tutar_farki","",IF(ABS($C302)&gt;cbb_esikFark,"YUKSEK","NORMAL"))</f>
        <v/>
      </c>
      <c r="F302" s="16">
        <f>IF($B302&lt;&gt;"tutar_farki","","VKN "&amp;$A302&amp;" için cari↔Ba/Bs fark "&amp;TEXT($C302,"0.00")&amp;" TL. Dayanak: "&amp;$D302&amp;". Düzeltme dosyası üretildi.")</f>
        <v/>
      </c>
      <c r="G302" s="16">
        <f>IF($B302&lt;&gt;"tutar_farki","","Beklemede")</f>
        <v/>
      </c>
    </row>
    <row r="303">
      <c r="A303" s="26">
        <f>IF('KOK_NEDEN'!$A303="","",'KOK_NEDEN'!$A303)</f>
        <v/>
      </c>
      <c r="B303" s="16">
        <f>IF($A303="","",IFERROR(INDEX(tblKok[Kova],MATCH($A303,tblKok[A_Norm],0)),""))</f>
        <v/>
      </c>
      <c r="C303" s="16">
        <f>IF($A303="","",IFERROR(INDEX(tblEslesme[Fark],MATCH($A303,tblEslesme[A_Norm],0)),0))</f>
        <v/>
      </c>
      <c r="D303" s="16">
        <f>IF($A303="","",IFERROR(INDEX(tblKok[KokNeden],MATCH($A303,tblKok[A_Norm],0)),""))</f>
        <v/>
      </c>
      <c r="E303" s="16">
        <f>IF($B303&lt;&gt;"tutar_farki","",IF(ABS($C303)&gt;cbb_esikFark,"YUKSEK","NORMAL"))</f>
        <v/>
      </c>
      <c r="F303" s="16">
        <f>IF($B303&lt;&gt;"tutar_farki","","VKN "&amp;$A303&amp;" için cari↔Ba/Bs fark "&amp;TEXT($C303,"0.00")&amp;" TL. Dayanak: "&amp;$D303&amp;". Düzeltme dosyası üretildi.")</f>
        <v/>
      </c>
      <c r="G303" s="16">
        <f>IF($B303&lt;&gt;"tutar_farki","","Beklemede")</f>
        <v/>
      </c>
    </row>
    <row r="304">
      <c r="A304" s="26">
        <f>IF('KOK_NEDEN'!$A304="","",'KOK_NEDEN'!$A304)</f>
        <v/>
      </c>
      <c r="B304" s="16">
        <f>IF($A304="","",IFERROR(INDEX(tblKok[Kova],MATCH($A304,tblKok[A_Norm],0)),""))</f>
        <v/>
      </c>
      <c r="C304" s="16">
        <f>IF($A304="","",IFERROR(INDEX(tblEslesme[Fark],MATCH($A304,tblEslesme[A_Norm],0)),0))</f>
        <v/>
      </c>
      <c r="D304" s="16">
        <f>IF($A304="","",IFERROR(INDEX(tblKok[KokNeden],MATCH($A304,tblKok[A_Norm],0)),""))</f>
        <v/>
      </c>
      <c r="E304" s="16">
        <f>IF($B304&lt;&gt;"tutar_farki","",IF(ABS($C304)&gt;cbb_esikFark,"YUKSEK","NORMAL"))</f>
        <v/>
      </c>
      <c r="F304" s="16">
        <f>IF($B304&lt;&gt;"tutar_farki","","VKN "&amp;$A304&amp;" için cari↔Ba/Bs fark "&amp;TEXT($C304,"0.00")&amp;" TL. Dayanak: "&amp;$D304&amp;". Düzeltme dosyası üretildi.")</f>
        <v/>
      </c>
      <c r="G304" s="16">
        <f>IF($B304&lt;&gt;"tutar_farki","","Beklemede")</f>
        <v/>
      </c>
    </row>
    <row r="305">
      <c r="A305" s="26">
        <f>IF('KOK_NEDEN'!$A305="","",'KOK_NEDEN'!$A305)</f>
        <v/>
      </c>
      <c r="B305" s="16">
        <f>IF($A305="","",IFERROR(INDEX(tblKok[Kova],MATCH($A305,tblKok[A_Norm],0)),""))</f>
        <v/>
      </c>
      <c r="C305" s="16">
        <f>IF($A305="","",IFERROR(INDEX(tblEslesme[Fark],MATCH($A305,tblEslesme[A_Norm],0)),0))</f>
        <v/>
      </c>
      <c r="D305" s="16">
        <f>IF($A305="","",IFERROR(INDEX(tblKok[KokNeden],MATCH($A305,tblKok[A_Norm],0)),""))</f>
        <v/>
      </c>
      <c r="E305" s="16">
        <f>IF($B305&lt;&gt;"tutar_farki","",IF(ABS($C305)&gt;cbb_esikFark,"YUKSEK","NORMAL"))</f>
        <v/>
      </c>
      <c r="F305" s="16">
        <f>IF($B305&lt;&gt;"tutar_farki","","VKN "&amp;$A305&amp;" için cari↔Ba/Bs fark "&amp;TEXT($C305,"0.00")&amp;" TL. Dayanak: "&amp;$D305&amp;". Düzeltme dosyası üretildi.")</f>
        <v/>
      </c>
      <c r="G305" s="16">
        <f>IF($B305&lt;&gt;"tutar_farki","","Beklemede")</f>
        <v/>
      </c>
    </row>
    <row r="306">
      <c r="A306" s="26">
        <f>IF('KOK_NEDEN'!$A306="","",'KOK_NEDEN'!$A306)</f>
        <v/>
      </c>
      <c r="B306" s="16">
        <f>IF($A306="","",IFERROR(INDEX(tblKok[Kova],MATCH($A306,tblKok[A_Norm],0)),""))</f>
        <v/>
      </c>
      <c r="C306" s="16">
        <f>IF($A306="","",IFERROR(INDEX(tblEslesme[Fark],MATCH($A306,tblEslesme[A_Norm],0)),0))</f>
        <v/>
      </c>
      <c r="D306" s="16">
        <f>IF($A306="","",IFERROR(INDEX(tblKok[KokNeden],MATCH($A306,tblKok[A_Norm],0)),""))</f>
        <v/>
      </c>
      <c r="E306" s="16">
        <f>IF($B306&lt;&gt;"tutar_farki","",IF(ABS($C306)&gt;cbb_esikFark,"YUKSEK","NORMAL"))</f>
        <v/>
      </c>
      <c r="F306" s="16">
        <f>IF($B306&lt;&gt;"tutar_farki","","VKN "&amp;$A306&amp;" için cari↔Ba/Bs fark "&amp;TEXT($C306,"0.00")&amp;" TL. Dayanak: "&amp;$D306&amp;". Düzeltme dosyası üretildi.")</f>
        <v/>
      </c>
      <c r="G306" s="16">
        <f>IF($B306&lt;&gt;"tutar_farki","","Beklemede")</f>
        <v/>
      </c>
    </row>
    <row r="307">
      <c r="A307" s="26">
        <f>IF('KOK_NEDEN'!$A307="","",'KOK_NEDEN'!$A307)</f>
        <v/>
      </c>
      <c r="B307" s="16">
        <f>IF($A307="","",IFERROR(INDEX(tblKok[Kova],MATCH($A307,tblKok[A_Norm],0)),""))</f>
        <v/>
      </c>
      <c r="C307" s="16">
        <f>IF($A307="","",IFERROR(INDEX(tblEslesme[Fark],MATCH($A307,tblEslesme[A_Norm],0)),0))</f>
        <v/>
      </c>
      <c r="D307" s="16">
        <f>IF($A307="","",IFERROR(INDEX(tblKok[KokNeden],MATCH($A307,tblKok[A_Norm],0)),""))</f>
        <v/>
      </c>
      <c r="E307" s="16">
        <f>IF($B307&lt;&gt;"tutar_farki","",IF(ABS($C307)&gt;cbb_esikFark,"YUKSEK","NORMAL"))</f>
        <v/>
      </c>
      <c r="F307" s="16">
        <f>IF($B307&lt;&gt;"tutar_farki","","VKN "&amp;$A307&amp;" için cari↔Ba/Bs fark "&amp;TEXT($C307,"0.00")&amp;" TL. Dayanak: "&amp;$D307&amp;". Düzeltme dosyası üretildi.")</f>
        <v/>
      </c>
      <c r="G307" s="16">
        <f>IF($B307&lt;&gt;"tutar_farki","","Beklemede")</f>
        <v/>
      </c>
    </row>
    <row r="308">
      <c r="A308" s="26">
        <f>IF('KOK_NEDEN'!$A308="","",'KOK_NEDEN'!$A308)</f>
        <v/>
      </c>
      <c r="B308" s="16">
        <f>IF($A308="","",IFERROR(INDEX(tblKok[Kova],MATCH($A308,tblKok[A_Norm],0)),""))</f>
        <v/>
      </c>
      <c r="C308" s="16">
        <f>IF($A308="","",IFERROR(INDEX(tblEslesme[Fark],MATCH($A308,tblEslesme[A_Norm],0)),0))</f>
        <v/>
      </c>
      <c r="D308" s="16">
        <f>IF($A308="","",IFERROR(INDEX(tblKok[KokNeden],MATCH($A308,tblKok[A_Norm],0)),""))</f>
        <v/>
      </c>
      <c r="E308" s="16">
        <f>IF($B308&lt;&gt;"tutar_farki","",IF(ABS($C308)&gt;cbb_esikFark,"YUKSEK","NORMAL"))</f>
        <v/>
      </c>
      <c r="F308" s="16">
        <f>IF($B308&lt;&gt;"tutar_farki","","VKN "&amp;$A308&amp;" için cari↔Ba/Bs fark "&amp;TEXT($C308,"0.00")&amp;" TL. Dayanak: "&amp;$D308&amp;". Düzeltme dosyası üretildi.")</f>
        <v/>
      </c>
      <c r="G308" s="16">
        <f>IF($B308&lt;&gt;"tutar_farki","","Beklemede")</f>
        <v/>
      </c>
    </row>
    <row r="309">
      <c r="A309" s="26">
        <f>IF('KOK_NEDEN'!$A309="","",'KOK_NEDEN'!$A309)</f>
        <v/>
      </c>
      <c r="B309" s="16">
        <f>IF($A309="","",IFERROR(INDEX(tblKok[Kova],MATCH($A309,tblKok[A_Norm],0)),""))</f>
        <v/>
      </c>
      <c r="C309" s="16">
        <f>IF($A309="","",IFERROR(INDEX(tblEslesme[Fark],MATCH($A309,tblEslesme[A_Norm],0)),0))</f>
        <v/>
      </c>
      <c r="D309" s="16">
        <f>IF($A309="","",IFERROR(INDEX(tblKok[KokNeden],MATCH($A309,tblKok[A_Norm],0)),""))</f>
        <v/>
      </c>
      <c r="E309" s="16">
        <f>IF($B309&lt;&gt;"tutar_farki","",IF(ABS($C309)&gt;cbb_esikFark,"YUKSEK","NORMAL"))</f>
        <v/>
      </c>
      <c r="F309" s="16">
        <f>IF($B309&lt;&gt;"tutar_farki","","VKN "&amp;$A309&amp;" için cari↔Ba/Bs fark "&amp;TEXT($C309,"0.00")&amp;" TL. Dayanak: "&amp;$D309&amp;". Düzeltme dosyası üretildi.")</f>
        <v/>
      </c>
      <c r="G309" s="16">
        <f>IF($B309&lt;&gt;"tutar_farki","","Beklemede")</f>
        <v/>
      </c>
    </row>
    <row r="310">
      <c r="A310" s="26">
        <f>IF('KOK_NEDEN'!$A310="","",'KOK_NEDEN'!$A310)</f>
        <v/>
      </c>
      <c r="B310" s="16">
        <f>IF($A310="","",IFERROR(INDEX(tblKok[Kova],MATCH($A310,tblKok[A_Norm],0)),""))</f>
        <v/>
      </c>
      <c r="C310" s="16">
        <f>IF($A310="","",IFERROR(INDEX(tblEslesme[Fark],MATCH($A310,tblEslesme[A_Norm],0)),0))</f>
        <v/>
      </c>
      <c r="D310" s="16">
        <f>IF($A310="","",IFERROR(INDEX(tblKok[KokNeden],MATCH($A310,tblKok[A_Norm],0)),""))</f>
        <v/>
      </c>
      <c r="E310" s="16">
        <f>IF($B310&lt;&gt;"tutar_farki","",IF(ABS($C310)&gt;cbb_esikFark,"YUKSEK","NORMAL"))</f>
        <v/>
      </c>
      <c r="F310" s="16">
        <f>IF($B310&lt;&gt;"tutar_farki","","VKN "&amp;$A310&amp;" için cari↔Ba/Bs fark "&amp;TEXT($C310,"0.00")&amp;" TL. Dayanak: "&amp;$D310&amp;". Düzeltme dosyası üretildi.")</f>
        <v/>
      </c>
      <c r="G310" s="16">
        <f>IF($B310&lt;&gt;"tutar_farki","","Beklemede")</f>
        <v/>
      </c>
    </row>
    <row r="311">
      <c r="A311" s="26">
        <f>IF('KOK_NEDEN'!$A311="","",'KOK_NEDEN'!$A311)</f>
        <v/>
      </c>
      <c r="B311" s="16">
        <f>IF($A311="","",IFERROR(INDEX(tblKok[Kova],MATCH($A311,tblKok[A_Norm],0)),""))</f>
        <v/>
      </c>
      <c r="C311" s="16">
        <f>IF($A311="","",IFERROR(INDEX(tblEslesme[Fark],MATCH($A311,tblEslesme[A_Norm],0)),0))</f>
        <v/>
      </c>
      <c r="D311" s="16">
        <f>IF($A311="","",IFERROR(INDEX(tblKok[KokNeden],MATCH($A311,tblKok[A_Norm],0)),""))</f>
        <v/>
      </c>
      <c r="E311" s="16">
        <f>IF($B311&lt;&gt;"tutar_farki","",IF(ABS($C311)&gt;cbb_esikFark,"YUKSEK","NORMAL"))</f>
        <v/>
      </c>
      <c r="F311" s="16">
        <f>IF($B311&lt;&gt;"tutar_farki","","VKN "&amp;$A311&amp;" için cari↔Ba/Bs fark "&amp;TEXT($C311,"0.00")&amp;" TL. Dayanak: "&amp;$D311&amp;". Düzeltme dosyası üretildi.")</f>
        <v/>
      </c>
      <c r="G311" s="16">
        <f>IF($B311&lt;&gt;"tutar_farki","","Beklemede")</f>
        <v/>
      </c>
    </row>
    <row r="312">
      <c r="A312" s="26">
        <f>IF('KOK_NEDEN'!$A312="","",'KOK_NEDEN'!$A312)</f>
        <v/>
      </c>
      <c r="B312" s="16">
        <f>IF($A312="","",IFERROR(INDEX(tblKok[Kova],MATCH($A312,tblKok[A_Norm],0)),""))</f>
        <v/>
      </c>
      <c r="C312" s="16">
        <f>IF($A312="","",IFERROR(INDEX(tblEslesme[Fark],MATCH($A312,tblEslesme[A_Norm],0)),0))</f>
        <v/>
      </c>
      <c r="D312" s="16">
        <f>IF($A312="","",IFERROR(INDEX(tblKok[KokNeden],MATCH($A312,tblKok[A_Norm],0)),""))</f>
        <v/>
      </c>
      <c r="E312" s="16">
        <f>IF($B312&lt;&gt;"tutar_farki","",IF(ABS($C312)&gt;cbb_esikFark,"YUKSEK","NORMAL"))</f>
        <v/>
      </c>
      <c r="F312" s="16">
        <f>IF($B312&lt;&gt;"tutar_farki","","VKN "&amp;$A312&amp;" için cari↔Ba/Bs fark "&amp;TEXT($C312,"0.00")&amp;" TL. Dayanak: "&amp;$D312&amp;". Düzeltme dosyası üretildi.")</f>
        <v/>
      </c>
      <c r="G312" s="16">
        <f>IF($B312&lt;&gt;"tutar_farki","","Beklemede")</f>
        <v/>
      </c>
    </row>
    <row r="313">
      <c r="A313" s="26">
        <f>IF('KOK_NEDEN'!$A313="","",'KOK_NEDEN'!$A313)</f>
        <v/>
      </c>
      <c r="B313" s="16">
        <f>IF($A313="","",IFERROR(INDEX(tblKok[Kova],MATCH($A313,tblKok[A_Norm],0)),""))</f>
        <v/>
      </c>
      <c r="C313" s="16">
        <f>IF($A313="","",IFERROR(INDEX(tblEslesme[Fark],MATCH($A313,tblEslesme[A_Norm],0)),0))</f>
        <v/>
      </c>
      <c r="D313" s="16">
        <f>IF($A313="","",IFERROR(INDEX(tblKok[KokNeden],MATCH($A313,tblKok[A_Norm],0)),""))</f>
        <v/>
      </c>
      <c r="E313" s="16">
        <f>IF($B313&lt;&gt;"tutar_farki","",IF(ABS($C313)&gt;cbb_esikFark,"YUKSEK","NORMAL"))</f>
        <v/>
      </c>
      <c r="F313" s="16">
        <f>IF($B313&lt;&gt;"tutar_farki","","VKN "&amp;$A313&amp;" için cari↔Ba/Bs fark "&amp;TEXT($C313,"0.00")&amp;" TL. Dayanak: "&amp;$D313&amp;". Düzeltme dosyası üretildi.")</f>
        <v/>
      </c>
      <c r="G313" s="16">
        <f>IF($B313&lt;&gt;"tutar_farki","","Beklemede")</f>
        <v/>
      </c>
    </row>
    <row r="314">
      <c r="A314" s="26">
        <f>IF('KOK_NEDEN'!$A314="","",'KOK_NEDEN'!$A314)</f>
        <v/>
      </c>
      <c r="B314" s="16">
        <f>IF($A314="","",IFERROR(INDEX(tblKok[Kova],MATCH($A314,tblKok[A_Norm],0)),""))</f>
        <v/>
      </c>
      <c r="C314" s="16">
        <f>IF($A314="","",IFERROR(INDEX(tblEslesme[Fark],MATCH($A314,tblEslesme[A_Norm],0)),0))</f>
        <v/>
      </c>
      <c r="D314" s="16">
        <f>IF($A314="","",IFERROR(INDEX(tblKok[KokNeden],MATCH($A314,tblKok[A_Norm],0)),""))</f>
        <v/>
      </c>
      <c r="E314" s="16">
        <f>IF($B314&lt;&gt;"tutar_farki","",IF(ABS($C314)&gt;cbb_esikFark,"YUKSEK","NORMAL"))</f>
        <v/>
      </c>
      <c r="F314" s="16">
        <f>IF($B314&lt;&gt;"tutar_farki","","VKN "&amp;$A314&amp;" için cari↔Ba/Bs fark "&amp;TEXT($C314,"0.00")&amp;" TL. Dayanak: "&amp;$D314&amp;". Düzeltme dosyası üretildi.")</f>
        <v/>
      </c>
      <c r="G314" s="16">
        <f>IF($B314&lt;&gt;"tutar_farki","","Beklemede")</f>
        <v/>
      </c>
    </row>
    <row r="315">
      <c r="A315" s="26">
        <f>IF('KOK_NEDEN'!$A315="","",'KOK_NEDEN'!$A315)</f>
        <v/>
      </c>
      <c r="B315" s="16">
        <f>IF($A315="","",IFERROR(INDEX(tblKok[Kova],MATCH($A315,tblKok[A_Norm],0)),""))</f>
        <v/>
      </c>
      <c r="C315" s="16">
        <f>IF($A315="","",IFERROR(INDEX(tblEslesme[Fark],MATCH($A315,tblEslesme[A_Norm],0)),0))</f>
        <v/>
      </c>
      <c r="D315" s="16">
        <f>IF($A315="","",IFERROR(INDEX(tblKok[KokNeden],MATCH($A315,tblKok[A_Norm],0)),""))</f>
        <v/>
      </c>
      <c r="E315" s="16">
        <f>IF($B315&lt;&gt;"tutar_farki","",IF(ABS($C315)&gt;cbb_esikFark,"YUKSEK","NORMAL"))</f>
        <v/>
      </c>
      <c r="F315" s="16">
        <f>IF($B315&lt;&gt;"tutar_farki","","VKN "&amp;$A315&amp;" için cari↔Ba/Bs fark "&amp;TEXT($C315,"0.00")&amp;" TL. Dayanak: "&amp;$D315&amp;". Düzeltme dosyası üretildi.")</f>
        <v/>
      </c>
      <c r="G315" s="16">
        <f>IF($B315&lt;&gt;"tutar_farki","","Beklemede")</f>
        <v/>
      </c>
    </row>
    <row r="316">
      <c r="A316" s="26">
        <f>IF('KOK_NEDEN'!$A316="","",'KOK_NEDEN'!$A316)</f>
        <v/>
      </c>
      <c r="B316" s="16">
        <f>IF($A316="","",IFERROR(INDEX(tblKok[Kova],MATCH($A316,tblKok[A_Norm],0)),""))</f>
        <v/>
      </c>
      <c r="C316" s="16">
        <f>IF($A316="","",IFERROR(INDEX(tblEslesme[Fark],MATCH($A316,tblEslesme[A_Norm],0)),0))</f>
        <v/>
      </c>
      <c r="D316" s="16">
        <f>IF($A316="","",IFERROR(INDEX(tblKok[KokNeden],MATCH($A316,tblKok[A_Norm],0)),""))</f>
        <v/>
      </c>
      <c r="E316" s="16">
        <f>IF($B316&lt;&gt;"tutar_farki","",IF(ABS($C316)&gt;cbb_esikFark,"YUKSEK","NORMAL"))</f>
        <v/>
      </c>
      <c r="F316" s="16">
        <f>IF($B316&lt;&gt;"tutar_farki","","VKN "&amp;$A316&amp;" için cari↔Ba/Bs fark "&amp;TEXT($C316,"0.00")&amp;" TL. Dayanak: "&amp;$D316&amp;". Düzeltme dosyası üretildi.")</f>
        <v/>
      </c>
      <c r="G316" s="16">
        <f>IF($B316&lt;&gt;"tutar_farki","","Beklemede")</f>
        <v/>
      </c>
    </row>
    <row r="317">
      <c r="A317" s="26">
        <f>IF('KOK_NEDEN'!$A317="","",'KOK_NEDEN'!$A317)</f>
        <v/>
      </c>
      <c r="B317" s="16">
        <f>IF($A317="","",IFERROR(INDEX(tblKok[Kova],MATCH($A317,tblKok[A_Norm],0)),""))</f>
        <v/>
      </c>
      <c r="C317" s="16">
        <f>IF($A317="","",IFERROR(INDEX(tblEslesme[Fark],MATCH($A317,tblEslesme[A_Norm],0)),0))</f>
        <v/>
      </c>
      <c r="D317" s="16">
        <f>IF($A317="","",IFERROR(INDEX(tblKok[KokNeden],MATCH($A317,tblKok[A_Norm],0)),""))</f>
        <v/>
      </c>
      <c r="E317" s="16">
        <f>IF($B317&lt;&gt;"tutar_farki","",IF(ABS($C317)&gt;cbb_esikFark,"YUKSEK","NORMAL"))</f>
        <v/>
      </c>
      <c r="F317" s="16">
        <f>IF($B317&lt;&gt;"tutar_farki","","VKN "&amp;$A317&amp;" için cari↔Ba/Bs fark "&amp;TEXT($C317,"0.00")&amp;" TL. Dayanak: "&amp;$D317&amp;". Düzeltme dosyası üretildi.")</f>
        <v/>
      </c>
      <c r="G317" s="16">
        <f>IF($B317&lt;&gt;"tutar_farki","","Beklemede")</f>
        <v/>
      </c>
    </row>
    <row r="318">
      <c r="A318" s="26">
        <f>IF('KOK_NEDEN'!$A318="","",'KOK_NEDEN'!$A318)</f>
        <v/>
      </c>
      <c r="B318" s="16">
        <f>IF($A318="","",IFERROR(INDEX(tblKok[Kova],MATCH($A318,tblKok[A_Norm],0)),""))</f>
        <v/>
      </c>
      <c r="C318" s="16">
        <f>IF($A318="","",IFERROR(INDEX(tblEslesme[Fark],MATCH($A318,tblEslesme[A_Norm],0)),0))</f>
        <v/>
      </c>
      <c r="D318" s="16">
        <f>IF($A318="","",IFERROR(INDEX(tblKok[KokNeden],MATCH($A318,tblKok[A_Norm],0)),""))</f>
        <v/>
      </c>
      <c r="E318" s="16">
        <f>IF($B318&lt;&gt;"tutar_farki","",IF(ABS($C318)&gt;cbb_esikFark,"YUKSEK","NORMAL"))</f>
        <v/>
      </c>
      <c r="F318" s="16">
        <f>IF($B318&lt;&gt;"tutar_farki","","VKN "&amp;$A318&amp;" için cari↔Ba/Bs fark "&amp;TEXT($C318,"0.00")&amp;" TL. Dayanak: "&amp;$D318&amp;". Düzeltme dosyası üretildi.")</f>
        <v/>
      </c>
      <c r="G318" s="16">
        <f>IF($B318&lt;&gt;"tutar_farki","","Beklemede")</f>
        <v/>
      </c>
    </row>
    <row r="319">
      <c r="A319" s="26">
        <f>IF('KOK_NEDEN'!$A319="","",'KOK_NEDEN'!$A319)</f>
        <v/>
      </c>
      <c r="B319" s="16">
        <f>IF($A319="","",IFERROR(INDEX(tblKok[Kova],MATCH($A319,tblKok[A_Norm],0)),""))</f>
        <v/>
      </c>
      <c r="C319" s="16">
        <f>IF($A319="","",IFERROR(INDEX(tblEslesme[Fark],MATCH($A319,tblEslesme[A_Norm],0)),0))</f>
        <v/>
      </c>
      <c r="D319" s="16">
        <f>IF($A319="","",IFERROR(INDEX(tblKok[KokNeden],MATCH($A319,tblKok[A_Norm],0)),""))</f>
        <v/>
      </c>
      <c r="E319" s="16">
        <f>IF($B319&lt;&gt;"tutar_farki","",IF(ABS($C319)&gt;cbb_esikFark,"YUKSEK","NORMAL"))</f>
        <v/>
      </c>
      <c r="F319" s="16">
        <f>IF($B319&lt;&gt;"tutar_farki","","VKN "&amp;$A319&amp;" için cari↔Ba/Bs fark "&amp;TEXT($C319,"0.00")&amp;" TL. Dayanak: "&amp;$D319&amp;". Düzeltme dosyası üretildi.")</f>
        <v/>
      </c>
      <c r="G319" s="16">
        <f>IF($B319&lt;&gt;"tutar_farki","","Beklemede")</f>
        <v/>
      </c>
    </row>
    <row r="320">
      <c r="A320" s="26">
        <f>IF('KOK_NEDEN'!$A320="","",'KOK_NEDEN'!$A320)</f>
        <v/>
      </c>
      <c r="B320" s="16">
        <f>IF($A320="","",IFERROR(INDEX(tblKok[Kova],MATCH($A320,tblKok[A_Norm],0)),""))</f>
        <v/>
      </c>
      <c r="C320" s="16">
        <f>IF($A320="","",IFERROR(INDEX(tblEslesme[Fark],MATCH($A320,tblEslesme[A_Norm],0)),0))</f>
        <v/>
      </c>
      <c r="D320" s="16">
        <f>IF($A320="","",IFERROR(INDEX(tblKok[KokNeden],MATCH($A320,tblKok[A_Norm],0)),""))</f>
        <v/>
      </c>
      <c r="E320" s="16">
        <f>IF($B320&lt;&gt;"tutar_farki","",IF(ABS($C320)&gt;cbb_esikFark,"YUKSEK","NORMAL"))</f>
        <v/>
      </c>
      <c r="F320" s="16">
        <f>IF($B320&lt;&gt;"tutar_farki","","VKN "&amp;$A320&amp;" için cari↔Ba/Bs fark "&amp;TEXT($C320,"0.00")&amp;" TL. Dayanak: "&amp;$D320&amp;". Düzeltme dosyası üretildi.")</f>
        <v/>
      </c>
      <c r="G320" s="16">
        <f>IF($B320&lt;&gt;"tutar_farki","","Beklemede")</f>
        <v/>
      </c>
    </row>
    <row r="321">
      <c r="A321" s="26">
        <f>IF('KOK_NEDEN'!$A321="","",'KOK_NEDEN'!$A321)</f>
        <v/>
      </c>
      <c r="B321" s="16">
        <f>IF($A321="","",IFERROR(INDEX(tblKok[Kova],MATCH($A321,tblKok[A_Norm],0)),""))</f>
        <v/>
      </c>
      <c r="C321" s="16">
        <f>IF($A321="","",IFERROR(INDEX(tblEslesme[Fark],MATCH($A321,tblEslesme[A_Norm],0)),0))</f>
        <v/>
      </c>
      <c r="D321" s="16">
        <f>IF($A321="","",IFERROR(INDEX(tblKok[KokNeden],MATCH($A321,tblKok[A_Norm],0)),""))</f>
        <v/>
      </c>
      <c r="E321" s="16">
        <f>IF($B321&lt;&gt;"tutar_farki","",IF(ABS($C321)&gt;cbb_esikFark,"YUKSEK","NORMAL"))</f>
        <v/>
      </c>
      <c r="F321" s="16">
        <f>IF($B321&lt;&gt;"tutar_farki","","VKN "&amp;$A321&amp;" için cari↔Ba/Bs fark "&amp;TEXT($C321,"0.00")&amp;" TL. Dayanak: "&amp;$D321&amp;". Düzeltme dosyası üretildi.")</f>
        <v/>
      </c>
      <c r="G321" s="16">
        <f>IF($B321&lt;&gt;"tutar_farki","","Beklemede")</f>
        <v/>
      </c>
    </row>
    <row r="322">
      <c r="A322" s="26">
        <f>IF('KOK_NEDEN'!$A322="","",'KOK_NEDEN'!$A322)</f>
        <v/>
      </c>
      <c r="B322" s="16">
        <f>IF($A322="","",IFERROR(INDEX(tblKok[Kova],MATCH($A322,tblKok[A_Norm],0)),""))</f>
        <v/>
      </c>
      <c r="C322" s="16">
        <f>IF($A322="","",IFERROR(INDEX(tblEslesme[Fark],MATCH($A322,tblEslesme[A_Norm],0)),0))</f>
        <v/>
      </c>
      <c r="D322" s="16">
        <f>IF($A322="","",IFERROR(INDEX(tblKok[KokNeden],MATCH($A322,tblKok[A_Norm],0)),""))</f>
        <v/>
      </c>
      <c r="E322" s="16">
        <f>IF($B322&lt;&gt;"tutar_farki","",IF(ABS($C322)&gt;cbb_esikFark,"YUKSEK","NORMAL"))</f>
        <v/>
      </c>
      <c r="F322" s="16">
        <f>IF($B322&lt;&gt;"tutar_farki","","VKN "&amp;$A322&amp;" için cari↔Ba/Bs fark "&amp;TEXT($C322,"0.00")&amp;" TL. Dayanak: "&amp;$D322&amp;". Düzeltme dosyası üretildi.")</f>
        <v/>
      </c>
      <c r="G322" s="16">
        <f>IF($B322&lt;&gt;"tutar_farki","","Beklemede")</f>
        <v/>
      </c>
    </row>
    <row r="323">
      <c r="A323" s="26">
        <f>IF('KOK_NEDEN'!$A323="","",'KOK_NEDEN'!$A323)</f>
        <v/>
      </c>
      <c r="B323" s="16">
        <f>IF($A323="","",IFERROR(INDEX(tblKok[Kova],MATCH($A323,tblKok[A_Norm],0)),""))</f>
        <v/>
      </c>
      <c r="C323" s="16">
        <f>IF($A323="","",IFERROR(INDEX(tblEslesme[Fark],MATCH($A323,tblEslesme[A_Norm],0)),0))</f>
        <v/>
      </c>
      <c r="D323" s="16">
        <f>IF($A323="","",IFERROR(INDEX(tblKok[KokNeden],MATCH($A323,tblKok[A_Norm],0)),""))</f>
        <v/>
      </c>
      <c r="E323" s="16">
        <f>IF($B323&lt;&gt;"tutar_farki","",IF(ABS($C323)&gt;cbb_esikFark,"YUKSEK","NORMAL"))</f>
        <v/>
      </c>
      <c r="F323" s="16">
        <f>IF($B323&lt;&gt;"tutar_farki","","VKN "&amp;$A323&amp;" için cari↔Ba/Bs fark "&amp;TEXT($C323,"0.00")&amp;" TL. Dayanak: "&amp;$D323&amp;". Düzeltme dosyası üretildi.")</f>
        <v/>
      </c>
      <c r="G323" s="16">
        <f>IF($B323&lt;&gt;"tutar_farki","","Beklemede")</f>
        <v/>
      </c>
    </row>
    <row r="324">
      <c r="A324" s="26">
        <f>IF('KOK_NEDEN'!$A324="","",'KOK_NEDEN'!$A324)</f>
        <v/>
      </c>
      <c r="B324" s="16">
        <f>IF($A324="","",IFERROR(INDEX(tblKok[Kova],MATCH($A324,tblKok[A_Norm],0)),""))</f>
        <v/>
      </c>
      <c r="C324" s="16">
        <f>IF($A324="","",IFERROR(INDEX(tblEslesme[Fark],MATCH($A324,tblEslesme[A_Norm],0)),0))</f>
        <v/>
      </c>
      <c r="D324" s="16">
        <f>IF($A324="","",IFERROR(INDEX(tblKok[KokNeden],MATCH($A324,tblKok[A_Norm],0)),""))</f>
        <v/>
      </c>
      <c r="E324" s="16">
        <f>IF($B324&lt;&gt;"tutar_farki","",IF(ABS($C324)&gt;cbb_esikFark,"YUKSEK","NORMAL"))</f>
        <v/>
      </c>
      <c r="F324" s="16">
        <f>IF($B324&lt;&gt;"tutar_farki","","VKN "&amp;$A324&amp;" için cari↔Ba/Bs fark "&amp;TEXT($C324,"0.00")&amp;" TL. Dayanak: "&amp;$D324&amp;". Düzeltme dosyası üretildi.")</f>
        <v/>
      </c>
      <c r="G324" s="16">
        <f>IF($B324&lt;&gt;"tutar_farki","","Beklemede")</f>
        <v/>
      </c>
    </row>
    <row r="325">
      <c r="A325" s="26">
        <f>IF('KOK_NEDEN'!$A325="","",'KOK_NEDEN'!$A325)</f>
        <v/>
      </c>
      <c r="B325" s="16">
        <f>IF($A325="","",IFERROR(INDEX(tblKok[Kova],MATCH($A325,tblKok[A_Norm],0)),""))</f>
        <v/>
      </c>
      <c r="C325" s="16">
        <f>IF($A325="","",IFERROR(INDEX(tblEslesme[Fark],MATCH($A325,tblEslesme[A_Norm],0)),0))</f>
        <v/>
      </c>
      <c r="D325" s="16">
        <f>IF($A325="","",IFERROR(INDEX(tblKok[KokNeden],MATCH($A325,tblKok[A_Norm],0)),""))</f>
        <v/>
      </c>
      <c r="E325" s="16">
        <f>IF($B325&lt;&gt;"tutar_farki","",IF(ABS($C325)&gt;cbb_esikFark,"YUKSEK","NORMAL"))</f>
        <v/>
      </c>
      <c r="F325" s="16">
        <f>IF($B325&lt;&gt;"tutar_farki","","VKN "&amp;$A325&amp;" için cari↔Ba/Bs fark "&amp;TEXT($C325,"0.00")&amp;" TL. Dayanak: "&amp;$D325&amp;". Düzeltme dosyası üretildi.")</f>
        <v/>
      </c>
      <c r="G325" s="16">
        <f>IF($B325&lt;&gt;"tutar_farki","","Beklemede")</f>
        <v/>
      </c>
    </row>
    <row r="326">
      <c r="A326" s="26">
        <f>IF('KOK_NEDEN'!$A326="","",'KOK_NEDEN'!$A326)</f>
        <v/>
      </c>
      <c r="B326" s="16">
        <f>IF($A326="","",IFERROR(INDEX(tblKok[Kova],MATCH($A326,tblKok[A_Norm],0)),""))</f>
        <v/>
      </c>
      <c r="C326" s="16">
        <f>IF($A326="","",IFERROR(INDEX(tblEslesme[Fark],MATCH($A326,tblEslesme[A_Norm],0)),0))</f>
        <v/>
      </c>
      <c r="D326" s="16">
        <f>IF($A326="","",IFERROR(INDEX(tblKok[KokNeden],MATCH($A326,tblKok[A_Norm],0)),""))</f>
        <v/>
      </c>
      <c r="E326" s="16">
        <f>IF($B326&lt;&gt;"tutar_farki","",IF(ABS($C326)&gt;cbb_esikFark,"YUKSEK","NORMAL"))</f>
        <v/>
      </c>
      <c r="F326" s="16">
        <f>IF($B326&lt;&gt;"tutar_farki","","VKN "&amp;$A326&amp;" için cari↔Ba/Bs fark "&amp;TEXT($C326,"0.00")&amp;" TL. Dayanak: "&amp;$D326&amp;". Düzeltme dosyası üretildi.")</f>
        <v/>
      </c>
      <c r="G326" s="16">
        <f>IF($B326&lt;&gt;"tutar_farki","","Beklemede")</f>
        <v/>
      </c>
    </row>
    <row r="327">
      <c r="A327" s="26">
        <f>IF('KOK_NEDEN'!$A327="","",'KOK_NEDEN'!$A327)</f>
        <v/>
      </c>
      <c r="B327" s="16">
        <f>IF($A327="","",IFERROR(INDEX(tblKok[Kova],MATCH($A327,tblKok[A_Norm],0)),""))</f>
        <v/>
      </c>
      <c r="C327" s="16">
        <f>IF($A327="","",IFERROR(INDEX(tblEslesme[Fark],MATCH($A327,tblEslesme[A_Norm],0)),0))</f>
        <v/>
      </c>
      <c r="D327" s="16">
        <f>IF($A327="","",IFERROR(INDEX(tblKok[KokNeden],MATCH($A327,tblKok[A_Norm],0)),""))</f>
        <v/>
      </c>
      <c r="E327" s="16">
        <f>IF($B327&lt;&gt;"tutar_farki","",IF(ABS($C327)&gt;cbb_esikFark,"YUKSEK","NORMAL"))</f>
        <v/>
      </c>
      <c r="F327" s="16">
        <f>IF($B327&lt;&gt;"tutar_farki","","VKN "&amp;$A327&amp;" için cari↔Ba/Bs fark "&amp;TEXT($C327,"0.00")&amp;" TL. Dayanak: "&amp;$D327&amp;". Düzeltme dosyası üretildi.")</f>
        <v/>
      </c>
      <c r="G327" s="16">
        <f>IF($B327&lt;&gt;"tutar_farki","","Beklemede")</f>
        <v/>
      </c>
    </row>
    <row r="328">
      <c r="A328" s="26">
        <f>IF('KOK_NEDEN'!$A328="","",'KOK_NEDEN'!$A328)</f>
        <v/>
      </c>
      <c r="B328" s="16">
        <f>IF($A328="","",IFERROR(INDEX(tblKok[Kova],MATCH($A328,tblKok[A_Norm],0)),""))</f>
        <v/>
      </c>
      <c r="C328" s="16">
        <f>IF($A328="","",IFERROR(INDEX(tblEslesme[Fark],MATCH($A328,tblEslesme[A_Norm],0)),0))</f>
        <v/>
      </c>
      <c r="D328" s="16">
        <f>IF($A328="","",IFERROR(INDEX(tblKok[KokNeden],MATCH($A328,tblKok[A_Norm],0)),""))</f>
        <v/>
      </c>
      <c r="E328" s="16">
        <f>IF($B328&lt;&gt;"tutar_farki","",IF(ABS($C328)&gt;cbb_esikFark,"YUKSEK","NORMAL"))</f>
        <v/>
      </c>
      <c r="F328" s="16">
        <f>IF($B328&lt;&gt;"tutar_farki","","VKN "&amp;$A328&amp;" için cari↔Ba/Bs fark "&amp;TEXT($C328,"0.00")&amp;" TL. Dayanak: "&amp;$D328&amp;". Düzeltme dosyası üretildi.")</f>
        <v/>
      </c>
      <c r="G328" s="16">
        <f>IF($B328&lt;&gt;"tutar_farki","","Beklemede")</f>
        <v/>
      </c>
    </row>
    <row r="329">
      <c r="A329" s="26">
        <f>IF('KOK_NEDEN'!$A329="","",'KOK_NEDEN'!$A329)</f>
        <v/>
      </c>
      <c r="B329" s="16">
        <f>IF($A329="","",IFERROR(INDEX(tblKok[Kova],MATCH($A329,tblKok[A_Norm],0)),""))</f>
        <v/>
      </c>
      <c r="C329" s="16">
        <f>IF($A329="","",IFERROR(INDEX(tblEslesme[Fark],MATCH($A329,tblEslesme[A_Norm],0)),0))</f>
        <v/>
      </c>
      <c r="D329" s="16">
        <f>IF($A329="","",IFERROR(INDEX(tblKok[KokNeden],MATCH($A329,tblKok[A_Norm],0)),""))</f>
        <v/>
      </c>
      <c r="E329" s="16">
        <f>IF($B329&lt;&gt;"tutar_farki","",IF(ABS($C329)&gt;cbb_esikFark,"YUKSEK","NORMAL"))</f>
        <v/>
      </c>
      <c r="F329" s="16">
        <f>IF($B329&lt;&gt;"tutar_farki","","VKN "&amp;$A329&amp;" için cari↔Ba/Bs fark "&amp;TEXT($C329,"0.00")&amp;" TL. Dayanak: "&amp;$D329&amp;". Düzeltme dosyası üretildi.")</f>
        <v/>
      </c>
      <c r="G329" s="16">
        <f>IF($B329&lt;&gt;"tutar_farki","","Beklemede")</f>
        <v/>
      </c>
    </row>
    <row r="330">
      <c r="A330" s="26">
        <f>IF('KOK_NEDEN'!$A330="","",'KOK_NEDEN'!$A330)</f>
        <v/>
      </c>
      <c r="B330" s="16">
        <f>IF($A330="","",IFERROR(INDEX(tblKok[Kova],MATCH($A330,tblKok[A_Norm],0)),""))</f>
        <v/>
      </c>
      <c r="C330" s="16">
        <f>IF($A330="","",IFERROR(INDEX(tblEslesme[Fark],MATCH($A330,tblEslesme[A_Norm],0)),0))</f>
        <v/>
      </c>
      <c r="D330" s="16">
        <f>IF($A330="","",IFERROR(INDEX(tblKok[KokNeden],MATCH($A330,tblKok[A_Norm],0)),""))</f>
        <v/>
      </c>
      <c r="E330" s="16">
        <f>IF($B330&lt;&gt;"tutar_farki","",IF(ABS($C330)&gt;cbb_esikFark,"YUKSEK","NORMAL"))</f>
        <v/>
      </c>
      <c r="F330" s="16">
        <f>IF($B330&lt;&gt;"tutar_farki","","VKN "&amp;$A330&amp;" için cari↔Ba/Bs fark "&amp;TEXT($C330,"0.00")&amp;" TL. Dayanak: "&amp;$D330&amp;". Düzeltme dosyası üretildi.")</f>
        <v/>
      </c>
      <c r="G330" s="16">
        <f>IF($B330&lt;&gt;"tutar_farki","","Beklemede")</f>
        <v/>
      </c>
    </row>
    <row r="331">
      <c r="A331" s="26">
        <f>IF('KOK_NEDEN'!$A331="","",'KOK_NEDEN'!$A331)</f>
        <v/>
      </c>
      <c r="B331" s="16">
        <f>IF($A331="","",IFERROR(INDEX(tblKok[Kova],MATCH($A331,tblKok[A_Norm],0)),""))</f>
        <v/>
      </c>
      <c r="C331" s="16">
        <f>IF($A331="","",IFERROR(INDEX(tblEslesme[Fark],MATCH($A331,tblEslesme[A_Norm],0)),0))</f>
        <v/>
      </c>
      <c r="D331" s="16">
        <f>IF($A331="","",IFERROR(INDEX(tblKok[KokNeden],MATCH($A331,tblKok[A_Norm],0)),""))</f>
        <v/>
      </c>
      <c r="E331" s="16">
        <f>IF($B331&lt;&gt;"tutar_farki","",IF(ABS($C331)&gt;cbb_esikFark,"YUKSEK","NORMAL"))</f>
        <v/>
      </c>
      <c r="F331" s="16">
        <f>IF($B331&lt;&gt;"tutar_farki","","VKN "&amp;$A331&amp;" için cari↔Ba/Bs fark "&amp;TEXT($C331,"0.00")&amp;" TL. Dayanak: "&amp;$D331&amp;". Düzeltme dosyası üretildi.")</f>
        <v/>
      </c>
      <c r="G331" s="16">
        <f>IF($B331&lt;&gt;"tutar_farki","","Beklemede")</f>
        <v/>
      </c>
    </row>
    <row r="332">
      <c r="A332" s="26">
        <f>IF('KOK_NEDEN'!$A332="","",'KOK_NEDEN'!$A332)</f>
        <v/>
      </c>
      <c r="B332" s="16">
        <f>IF($A332="","",IFERROR(INDEX(tblKok[Kova],MATCH($A332,tblKok[A_Norm],0)),""))</f>
        <v/>
      </c>
      <c r="C332" s="16">
        <f>IF($A332="","",IFERROR(INDEX(tblEslesme[Fark],MATCH($A332,tblEslesme[A_Norm],0)),0))</f>
        <v/>
      </c>
      <c r="D332" s="16">
        <f>IF($A332="","",IFERROR(INDEX(tblKok[KokNeden],MATCH($A332,tblKok[A_Norm],0)),""))</f>
        <v/>
      </c>
      <c r="E332" s="16">
        <f>IF($B332&lt;&gt;"tutar_farki","",IF(ABS($C332)&gt;cbb_esikFark,"YUKSEK","NORMAL"))</f>
        <v/>
      </c>
      <c r="F332" s="16">
        <f>IF($B332&lt;&gt;"tutar_farki","","VKN "&amp;$A332&amp;" için cari↔Ba/Bs fark "&amp;TEXT($C332,"0.00")&amp;" TL. Dayanak: "&amp;$D332&amp;". Düzeltme dosyası üretildi.")</f>
        <v/>
      </c>
      <c r="G332" s="16">
        <f>IF($B332&lt;&gt;"tutar_farki","","Beklemede")</f>
        <v/>
      </c>
    </row>
    <row r="333">
      <c r="A333" s="26">
        <f>IF('KOK_NEDEN'!$A333="","",'KOK_NEDEN'!$A333)</f>
        <v/>
      </c>
      <c r="B333" s="16">
        <f>IF($A333="","",IFERROR(INDEX(tblKok[Kova],MATCH($A333,tblKok[A_Norm],0)),""))</f>
        <v/>
      </c>
      <c r="C333" s="16">
        <f>IF($A333="","",IFERROR(INDEX(tblEslesme[Fark],MATCH($A333,tblEslesme[A_Norm],0)),0))</f>
        <v/>
      </c>
      <c r="D333" s="16">
        <f>IF($A333="","",IFERROR(INDEX(tblKok[KokNeden],MATCH($A333,tblKok[A_Norm],0)),""))</f>
        <v/>
      </c>
      <c r="E333" s="16">
        <f>IF($B333&lt;&gt;"tutar_farki","",IF(ABS($C333)&gt;cbb_esikFark,"YUKSEK","NORMAL"))</f>
        <v/>
      </c>
      <c r="F333" s="16">
        <f>IF($B333&lt;&gt;"tutar_farki","","VKN "&amp;$A333&amp;" için cari↔Ba/Bs fark "&amp;TEXT($C333,"0.00")&amp;" TL. Dayanak: "&amp;$D333&amp;". Düzeltme dosyası üretildi.")</f>
        <v/>
      </c>
      <c r="G333" s="16">
        <f>IF($B333&lt;&gt;"tutar_farki","","Beklemede")</f>
        <v/>
      </c>
    </row>
    <row r="334">
      <c r="A334" s="26">
        <f>IF('KOK_NEDEN'!$A334="","",'KOK_NEDEN'!$A334)</f>
        <v/>
      </c>
      <c r="B334" s="16">
        <f>IF($A334="","",IFERROR(INDEX(tblKok[Kova],MATCH($A334,tblKok[A_Norm],0)),""))</f>
        <v/>
      </c>
      <c r="C334" s="16">
        <f>IF($A334="","",IFERROR(INDEX(tblEslesme[Fark],MATCH($A334,tblEslesme[A_Norm],0)),0))</f>
        <v/>
      </c>
      <c r="D334" s="16">
        <f>IF($A334="","",IFERROR(INDEX(tblKok[KokNeden],MATCH($A334,tblKok[A_Norm],0)),""))</f>
        <v/>
      </c>
      <c r="E334" s="16">
        <f>IF($B334&lt;&gt;"tutar_farki","",IF(ABS($C334)&gt;cbb_esikFark,"YUKSEK","NORMAL"))</f>
        <v/>
      </c>
      <c r="F334" s="16">
        <f>IF($B334&lt;&gt;"tutar_farki","","VKN "&amp;$A334&amp;" için cari↔Ba/Bs fark "&amp;TEXT($C334,"0.00")&amp;" TL. Dayanak: "&amp;$D334&amp;". Düzeltme dosyası üretildi.")</f>
        <v/>
      </c>
      <c r="G334" s="16">
        <f>IF($B334&lt;&gt;"tutar_farki","","Beklemede")</f>
        <v/>
      </c>
    </row>
    <row r="335">
      <c r="A335" s="26">
        <f>IF('KOK_NEDEN'!$A335="","",'KOK_NEDEN'!$A335)</f>
        <v/>
      </c>
      <c r="B335" s="16">
        <f>IF($A335="","",IFERROR(INDEX(tblKok[Kova],MATCH($A335,tblKok[A_Norm],0)),""))</f>
        <v/>
      </c>
      <c r="C335" s="16">
        <f>IF($A335="","",IFERROR(INDEX(tblEslesme[Fark],MATCH($A335,tblEslesme[A_Norm],0)),0))</f>
        <v/>
      </c>
      <c r="D335" s="16">
        <f>IF($A335="","",IFERROR(INDEX(tblKok[KokNeden],MATCH($A335,tblKok[A_Norm],0)),""))</f>
        <v/>
      </c>
      <c r="E335" s="16">
        <f>IF($B335&lt;&gt;"tutar_farki","",IF(ABS($C335)&gt;cbb_esikFark,"YUKSEK","NORMAL"))</f>
        <v/>
      </c>
      <c r="F335" s="16">
        <f>IF($B335&lt;&gt;"tutar_farki","","VKN "&amp;$A335&amp;" için cari↔Ba/Bs fark "&amp;TEXT($C335,"0.00")&amp;" TL. Dayanak: "&amp;$D335&amp;". Düzeltme dosyası üretildi.")</f>
        <v/>
      </c>
      <c r="G335" s="16">
        <f>IF($B335&lt;&gt;"tutar_farki","","Beklemede")</f>
        <v/>
      </c>
    </row>
    <row r="336">
      <c r="A336" s="26">
        <f>IF('KOK_NEDEN'!$A336="","",'KOK_NEDEN'!$A336)</f>
        <v/>
      </c>
      <c r="B336" s="16">
        <f>IF($A336="","",IFERROR(INDEX(tblKok[Kova],MATCH($A336,tblKok[A_Norm],0)),""))</f>
        <v/>
      </c>
      <c r="C336" s="16">
        <f>IF($A336="","",IFERROR(INDEX(tblEslesme[Fark],MATCH($A336,tblEslesme[A_Norm],0)),0))</f>
        <v/>
      </c>
      <c r="D336" s="16">
        <f>IF($A336="","",IFERROR(INDEX(tblKok[KokNeden],MATCH($A336,tblKok[A_Norm],0)),""))</f>
        <v/>
      </c>
      <c r="E336" s="16">
        <f>IF($B336&lt;&gt;"tutar_farki","",IF(ABS($C336)&gt;cbb_esikFark,"YUKSEK","NORMAL"))</f>
        <v/>
      </c>
      <c r="F336" s="16">
        <f>IF($B336&lt;&gt;"tutar_farki","","VKN "&amp;$A336&amp;" için cari↔Ba/Bs fark "&amp;TEXT($C336,"0.00")&amp;" TL. Dayanak: "&amp;$D336&amp;". Düzeltme dosyası üretildi.")</f>
        <v/>
      </c>
      <c r="G336" s="16">
        <f>IF($B336&lt;&gt;"tutar_farki","","Beklemede")</f>
        <v/>
      </c>
    </row>
    <row r="337">
      <c r="A337" s="26">
        <f>IF('KOK_NEDEN'!$A337="","",'KOK_NEDEN'!$A337)</f>
        <v/>
      </c>
      <c r="B337" s="16">
        <f>IF($A337="","",IFERROR(INDEX(tblKok[Kova],MATCH($A337,tblKok[A_Norm],0)),""))</f>
        <v/>
      </c>
      <c r="C337" s="16">
        <f>IF($A337="","",IFERROR(INDEX(tblEslesme[Fark],MATCH($A337,tblEslesme[A_Norm],0)),0))</f>
        <v/>
      </c>
      <c r="D337" s="16">
        <f>IF($A337="","",IFERROR(INDEX(tblKok[KokNeden],MATCH($A337,tblKok[A_Norm],0)),""))</f>
        <v/>
      </c>
      <c r="E337" s="16">
        <f>IF($B337&lt;&gt;"tutar_farki","",IF(ABS($C337)&gt;cbb_esikFark,"YUKSEK","NORMAL"))</f>
        <v/>
      </c>
      <c r="F337" s="16">
        <f>IF($B337&lt;&gt;"tutar_farki","","VKN "&amp;$A337&amp;" için cari↔Ba/Bs fark "&amp;TEXT($C337,"0.00")&amp;" TL. Dayanak: "&amp;$D337&amp;". Düzeltme dosyası üretildi.")</f>
        <v/>
      </c>
      <c r="G337" s="16">
        <f>IF($B337&lt;&gt;"tutar_farki","","Beklemede")</f>
        <v/>
      </c>
    </row>
    <row r="338">
      <c r="A338" s="26">
        <f>IF('KOK_NEDEN'!$A338="","",'KOK_NEDEN'!$A338)</f>
        <v/>
      </c>
      <c r="B338" s="16">
        <f>IF($A338="","",IFERROR(INDEX(tblKok[Kova],MATCH($A338,tblKok[A_Norm],0)),""))</f>
        <v/>
      </c>
      <c r="C338" s="16">
        <f>IF($A338="","",IFERROR(INDEX(tblEslesme[Fark],MATCH($A338,tblEslesme[A_Norm],0)),0))</f>
        <v/>
      </c>
      <c r="D338" s="16">
        <f>IF($A338="","",IFERROR(INDEX(tblKok[KokNeden],MATCH($A338,tblKok[A_Norm],0)),""))</f>
        <v/>
      </c>
      <c r="E338" s="16">
        <f>IF($B338&lt;&gt;"tutar_farki","",IF(ABS($C338)&gt;cbb_esikFark,"YUKSEK","NORMAL"))</f>
        <v/>
      </c>
      <c r="F338" s="16">
        <f>IF($B338&lt;&gt;"tutar_farki","","VKN "&amp;$A338&amp;" için cari↔Ba/Bs fark "&amp;TEXT($C338,"0.00")&amp;" TL. Dayanak: "&amp;$D338&amp;". Düzeltme dosyası üretildi.")</f>
        <v/>
      </c>
      <c r="G338" s="16">
        <f>IF($B338&lt;&gt;"tutar_farki","","Beklemede")</f>
        <v/>
      </c>
    </row>
    <row r="339">
      <c r="A339" s="26">
        <f>IF('KOK_NEDEN'!$A339="","",'KOK_NEDEN'!$A339)</f>
        <v/>
      </c>
      <c r="B339" s="16">
        <f>IF($A339="","",IFERROR(INDEX(tblKok[Kova],MATCH($A339,tblKok[A_Norm],0)),""))</f>
        <v/>
      </c>
      <c r="C339" s="16">
        <f>IF($A339="","",IFERROR(INDEX(tblEslesme[Fark],MATCH($A339,tblEslesme[A_Norm],0)),0))</f>
        <v/>
      </c>
      <c r="D339" s="16">
        <f>IF($A339="","",IFERROR(INDEX(tblKok[KokNeden],MATCH($A339,tblKok[A_Norm],0)),""))</f>
        <v/>
      </c>
      <c r="E339" s="16">
        <f>IF($B339&lt;&gt;"tutar_farki","",IF(ABS($C339)&gt;cbb_esikFark,"YUKSEK","NORMAL"))</f>
        <v/>
      </c>
      <c r="F339" s="16">
        <f>IF($B339&lt;&gt;"tutar_farki","","VKN "&amp;$A339&amp;" için cari↔Ba/Bs fark "&amp;TEXT($C339,"0.00")&amp;" TL. Dayanak: "&amp;$D339&amp;". Düzeltme dosyası üretildi.")</f>
        <v/>
      </c>
      <c r="G339" s="16">
        <f>IF($B339&lt;&gt;"tutar_farki","","Beklemede")</f>
        <v/>
      </c>
    </row>
    <row r="340">
      <c r="A340" s="26">
        <f>IF('KOK_NEDEN'!$A340="","",'KOK_NEDEN'!$A340)</f>
        <v/>
      </c>
      <c r="B340" s="16">
        <f>IF($A340="","",IFERROR(INDEX(tblKok[Kova],MATCH($A340,tblKok[A_Norm],0)),""))</f>
        <v/>
      </c>
      <c r="C340" s="16">
        <f>IF($A340="","",IFERROR(INDEX(tblEslesme[Fark],MATCH($A340,tblEslesme[A_Norm],0)),0))</f>
        <v/>
      </c>
      <c r="D340" s="16">
        <f>IF($A340="","",IFERROR(INDEX(tblKok[KokNeden],MATCH($A340,tblKok[A_Norm],0)),""))</f>
        <v/>
      </c>
      <c r="E340" s="16">
        <f>IF($B340&lt;&gt;"tutar_farki","",IF(ABS($C340)&gt;cbb_esikFark,"YUKSEK","NORMAL"))</f>
        <v/>
      </c>
      <c r="F340" s="16">
        <f>IF($B340&lt;&gt;"tutar_farki","","VKN "&amp;$A340&amp;" için cari↔Ba/Bs fark "&amp;TEXT($C340,"0.00")&amp;" TL. Dayanak: "&amp;$D340&amp;". Düzeltme dosyası üretildi.")</f>
        <v/>
      </c>
      <c r="G340" s="16">
        <f>IF($B340&lt;&gt;"tutar_farki","","Beklemede")</f>
        <v/>
      </c>
    </row>
    <row r="341">
      <c r="A341" s="26">
        <f>IF('KOK_NEDEN'!$A341="","",'KOK_NEDEN'!$A341)</f>
        <v/>
      </c>
      <c r="B341" s="16">
        <f>IF($A341="","",IFERROR(INDEX(tblKok[Kova],MATCH($A341,tblKok[A_Norm],0)),""))</f>
        <v/>
      </c>
      <c r="C341" s="16">
        <f>IF($A341="","",IFERROR(INDEX(tblEslesme[Fark],MATCH($A341,tblEslesme[A_Norm],0)),0))</f>
        <v/>
      </c>
      <c r="D341" s="16">
        <f>IF($A341="","",IFERROR(INDEX(tblKok[KokNeden],MATCH($A341,tblKok[A_Norm],0)),""))</f>
        <v/>
      </c>
      <c r="E341" s="16">
        <f>IF($B341&lt;&gt;"tutar_farki","",IF(ABS($C341)&gt;cbb_esikFark,"YUKSEK","NORMAL"))</f>
        <v/>
      </c>
      <c r="F341" s="16">
        <f>IF($B341&lt;&gt;"tutar_farki","","VKN "&amp;$A341&amp;" için cari↔Ba/Bs fark "&amp;TEXT($C341,"0.00")&amp;" TL. Dayanak: "&amp;$D341&amp;". Düzeltme dosyası üretildi.")</f>
        <v/>
      </c>
      <c r="G341" s="16">
        <f>IF($B341&lt;&gt;"tutar_farki","","Beklemede")</f>
        <v/>
      </c>
    </row>
    <row r="342">
      <c r="A342" s="26">
        <f>IF('KOK_NEDEN'!$A342="","",'KOK_NEDEN'!$A342)</f>
        <v/>
      </c>
      <c r="B342" s="16">
        <f>IF($A342="","",IFERROR(INDEX(tblKok[Kova],MATCH($A342,tblKok[A_Norm],0)),""))</f>
        <v/>
      </c>
      <c r="C342" s="16">
        <f>IF($A342="","",IFERROR(INDEX(tblEslesme[Fark],MATCH($A342,tblEslesme[A_Norm],0)),0))</f>
        <v/>
      </c>
      <c r="D342" s="16">
        <f>IF($A342="","",IFERROR(INDEX(tblKok[KokNeden],MATCH($A342,tblKok[A_Norm],0)),""))</f>
        <v/>
      </c>
      <c r="E342" s="16">
        <f>IF($B342&lt;&gt;"tutar_farki","",IF(ABS($C342)&gt;cbb_esikFark,"YUKSEK","NORMAL"))</f>
        <v/>
      </c>
      <c r="F342" s="16">
        <f>IF($B342&lt;&gt;"tutar_farki","","VKN "&amp;$A342&amp;" için cari↔Ba/Bs fark "&amp;TEXT($C342,"0.00")&amp;" TL. Dayanak: "&amp;$D342&amp;". Düzeltme dosyası üretildi.")</f>
        <v/>
      </c>
      <c r="G342" s="16">
        <f>IF($B342&lt;&gt;"tutar_farki","","Beklemede")</f>
        <v/>
      </c>
    </row>
    <row r="343">
      <c r="A343" s="26">
        <f>IF('KOK_NEDEN'!$A343="","",'KOK_NEDEN'!$A343)</f>
        <v/>
      </c>
      <c r="B343" s="16">
        <f>IF($A343="","",IFERROR(INDEX(tblKok[Kova],MATCH($A343,tblKok[A_Norm],0)),""))</f>
        <v/>
      </c>
      <c r="C343" s="16">
        <f>IF($A343="","",IFERROR(INDEX(tblEslesme[Fark],MATCH($A343,tblEslesme[A_Norm],0)),0))</f>
        <v/>
      </c>
      <c r="D343" s="16">
        <f>IF($A343="","",IFERROR(INDEX(tblKok[KokNeden],MATCH($A343,tblKok[A_Norm],0)),""))</f>
        <v/>
      </c>
      <c r="E343" s="16">
        <f>IF($B343&lt;&gt;"tutar_farki","",IF(ABS($C343)&gt;cbb_esikFark,"YUKSEK","NORMAL"))</f>
        <v/>
      </c>
      <c r="F343" s="16">
        <f>IF($B343&lt;&gt;"tutar_farki","","VKN "&amp;$A343&amp;" için cari↔Ba/Bs fark "&amp;TEXT($C343,"0.00")&amp;" TL. Dayanak: "&amp;$D343&amp;". Düzeltme dosyası üretildi.")</f>
        <v/>
      </c>
      <c r="G343" s="16">
        <f>IF($B343&lt;&gt;"tutar_farki","","Beklemede")</f>
        <v/>
      </c>
    </row>
    <row r="344">
      <c r="A344" s="26">
        <f>IF('KOK_NEDEN'!$A344="","",'KOK_NEDEN'!$A344)</f>
        <v/>
      </c>
      <c r="B344" s="16">
        <f>IF($A344="","",IFERROR(INDEX(tblKok[Kova],MATCH($A344,tblKok[A_Norm],0)),""))</f>
        <v/>
      </c>
      <c r="C344" s="16">
        <f>IF($A344="","",IFERROR(INDEX(tblEslesme[Fark],MATCH($A344,tblEslesme[A_Norm],0)),0))</f>
        <v/>
      </c>
      <c r="D344" s="16">
        <f>IF($A344="","",IFERROR(INDEX(tblKok[KokNeden],MATCH($A344,tblKok[A_Norm],0)),""))</f>
        <v/>
      </c>
      <c r="E344" s="16">
        <f>IF($B344&lt;&gt;"tutar_farki","",IF(ABS($C344)&gt;cbb_esikFark,"YUKSEK","NORMAL"))</f>
        <v/>
      </c>
      <c r="F344" s="16">
        <f>IF($B344&lt;&gt;"tutar_farki","","VKN "&amp;$A344&amp;" için cari↔Ba/Bs fark "&amp;TEXT($C344,"0.00")&amp;" TL. Dayanak: "&amp;$D344&amp;". Düzeltme dosyası üretildi.")</f>
        <v/>
      </c>
      <c r="G344" s="16">
        <f>IF($B344&lt;&gt;"tutar_farki","","Beklemede")</f>
        <v/>
      </c>
    </row>
    <row r="345">
      <c r="A345" s="26">
        <f>IF('KOK_NEDEN'!$A345="","",'KOK_NEDEN'!$A345)</f>
        <v/>
      </c>
      <c r="B345" s="16">
        <f>IF($A345="","",IFERROR(INDEX(tblKok[Kova],MATCH($A345,tblKok[A_Norm],0)),""))</f>
        <v/>
      </c>
      <c r="C345" s="16">
        <f>IF($A345="","",IFERROR(INDEX(tblEslesme[Fark],MATCH($A345,tblEslesme[A_Norm],0)),0))</f>
        <v/>
      </c>
      <c r="D345" s="16">
        <f>IF($A345="","",IFERROR(INDEX(tblKok[KokNeden],MATCH($A345,tblKok[A_Norm],0)),""))</f>
        <v/>
      </c>
      <c r="E345" s="16">
        <f>IF($B345&lt;&gt;"tutar_farki","",IF(ABS($C345)&gt;cbb_esikFark,"YUKSEK","NORMAL"))</f>
        <v/>
      </c>
      <c r="F345" s="16">
        <f>IF($B345&lt;&gt;"tutar_farki","","VKN "&amp;$A345&amp;" için cari↔Ba/Bs fark "&amp;TEXT($C345,"0.00")&amp;" TL. Dayanak: "&amp;$D345&amp;". Düzeltme dosyası üretildi.")</f>
        <v/>
      </c>
      <c r="G345" s="16">
        <f>IF($B345&lt;&gt;"tutar_farki","","Beklemede")</f>
        <v/>
      </c>
    </row>
    <row r="346">
      <c r="A346" s="26">
        <f>IF('KOK_NEDEN'!$A346="","",'KOK_NEDEN'!$A346)</f>
        <v/>
      </c>
      <c r="B346" s="16">
        <f>IF($A346="","",IFERROR(INDEX(tblKok[Kova],MATCH($A346,tblKok[A_Norm],0)),""))</f>
        <v/>
      </c>
      <c r="C346" s="16">
        <f>IF($A346="","",IFERROR(INDEX(tblEslesme[Fark],MATCH($A346,tblEslesme[A_Norm],0)),0))</f>
        <v/>
      </c>
      <c r="D346" s="16">
        <f>IF($A346="","",IFERROR(INDEX(tblKok[KokNeden],MATCH($A346,tblKok[A_Norm],0)),""))</f>
        <v/>
      </c>
      <c r="E346" s="16">
        <f>IF($B346&lt;&gt;"tutar_farki","",IF(ABS($C346)&gt;cbb_esikFark,"YUKSEK","NORMAL"))</f>
        <v/>
      </c>
      <c r="F346" s="16">
        <f>IF($B346&lt;&gt;"tutar_farki","","VKN "&amp;$A346&amp;" için cari↔Ba/Bs fark "&amp;TEXT($C346,"0.00")&amp;" TL. Dayanak: "&amp;$D346&amp;". Düzeltme dosyası üretildi.")</f>
        <v/>
      </c>
      <c r="G346" s="16">
        <f>IF($B346&lt;&gt;"tutar_farki","","Beklemede")</f>
        <v/>
      </c>
    </row>
    <row r="347">
      <c r="A347" s="26">
        <f>IF('KOK_NEDEN'!$A347="","",'KOK_NEDEN'!$A347)</f>
        <v/>
      </c>
      <c r="B347" s="16">
        <f>IF($A347="","",IFERROR(INDEX(tblKok[Kova],MATCH($A347,tblKok[A_Norm],0)),""))</f>
        <v/>
      </c>
      <c r="C347" s="16">
        <f>IF($A347="","",IFERROR(INDEX(tblEslesme[Fark],MATCH($A347,tblEslesme[A_Norm],0)),0))</f>
        <v/>
      </c>
      <c r="D347" s="16">
        <f>IF($A347="","",IFERROR(INDEX(tblKok[KokNeden],MATCH($A347,tblKok[A_Norm],0)),""))</f>
        <v/>
      </c>
      <c r="E347" s="16">
        <f>IF($B347&lt;&gt;"tutar_farki","",IF(ABS($C347)&gt;cbb_esikFark,"YUKSEK","NORMAL"))</f>
        <v/>
      </c>
      <c r="F347" s="16">
        <f>IF($B347&lt;&gt;"tutar_farki","","VKN "&amp;$A347&amp;" için cari↔Ba/Bs fark "&amp;TEXT($C347,"0.00")&amp;" TL. Dayanak: "&amp;$D347&amp;". Düzeltme dosyası üretildi.")</f>
        <v/>
      </c>
      <c r="G347" s="16">
        <f>IF($B347&lt;&gt;"tutar_farki","","Beklemede")</f>
        <v/>
      </c>
    </row>
    <row r="348">
      <c r="A348" s="26">
        <f>IF('KOK_NEDEN'!$A348="","",'KOK_NEDEN'!$A348)</f>
        <v/>
      </c>
      <c r="B348" s="16">
        <f>IF($A348="","",IFERROR(INDEX(tblKok[Kova],MATCH($A348,tblKok[A_Norm],0)),""))</f>
        <v/>
      </c>
      <c r="C348" s="16">
        <f>IF($A348="","",IFERROR(INDEX(tblEslesme[Fark],MATCH($A348,tblEslesme[A_Norm],0)),0))</f>
        <v/>
      </c>
      <c r="D348" s="16">
        <f>IF($A348="","",IFERROR(INDEX(tblKok[KokNeden],MATCH($A348,tblKok[A_Norm],0)),""))</f>
        <v/>
      </c>
      <c r="E348" s="16">
        <f>IF($B348&lt;&gt;"tutar_farki","",IF(ABS($C348)&gt;cbb_esikFark,"YUKSEK","NORMAL"))</f>
        <v/>
      </c>
      <c r="F348" s="16">
        <f>IF($B348&lt;&gt;"tutar_farki","","VKN "&amp;$A348&amp;" için cari↔Ba/Bs fark "&amp;TEXT($C348,"0.00")&amp;" TL. Dayanak: "&amp;$D348&amp;". Düzeltme dosyası üretildi.")</f>
        <v/>
      </c>
      <c r="G348" s="16">
        <f>IF($B348&lt;&gt;"tutar_farki","","Beklemede")</f>
        <v/>
      </c>
    </row>
    <row r="349">
      <c r="A349" s="26">
        <f>IF('KOK_NEDEN'!$A349="","",'KOK_NEDEN'!$A349)</f>
        <v/>
      </c>
      <c r="B349" s="16">
        <f>IF($A349="","",IFERROR(INDEX(tblKok[Kova],MATCH($A349,tblKok[A_Norm],0)),""))</f>
        <v/>
      </c>
      <c r="C349" s="16">
        <f>IF($A349="","",IFERROR(INDEX(tblEslesme[Fark],MATCH($A349,tblEslesme[A_Norm],0)),0))</f>
        <v/>
      </c>
      <c r="D349" s="16">
        <f>IF($A349="","",IFERROR(INDEX(tblKok[KokNeden],MATCH($A349,tblKok[A_Norm],0)),""))</f>
        <v/>
      </c>
      <c r="E349" s="16">
        <f>IF($B349&lt;&gt;"tutar_farki","",IF(ABS($C349)&gt;cbb_esikFark,"YUKSEK","NORMAL"))</f>
        <v/>
      </c>
      <c r="F349" s="16">
        <f>IF($B349&lt;&gt;"tutar_farki","","VKN "&amp;$A349&amp;" için cari↔Ba/Bs fark "&amp;TEXT($C349,"0.00")&amp;" TL. Dayanak: "&amp;$D349&amp;". Düzeltme dosyası üretildi.")</f>
        <v/>
      </c>
      <c r="G349" s="16">
        <f>IF($B349&lt;&gt;"tutar_farki","","Beklemede")</f>
        <v/>
      </c>
    </row>
    <row r="350">
      <c r="A350" s="26">
        <f>IF('KOK_NEDEN'!$A350="","",'KOK_NEDEN'!$A350)</f>
        <v/>
      </c>
      <c r="B350" s="16">
        <f>IF($A350="","",IFERROR(INDEX(tblKok[Kova],MATCH($A350,tblKok[A_Norm],0)),""))</f>
        <v/>
      </c>
      <c r="C350" s="16">
        <f>IF($A350="","",IFERROR(INDEX(tblEslesme[Fark],MATCH($A350,tblEslesme[A_Norm],0)),0))</f>
        <v/>
      </c>
      <c r="D350" s="16">
        <f>IF($A350="","",IFERROR(INDEX(tblKok[KokNeden],MATCH($A350,tblKok[A_Norm],0)),""))</f>
        <v/>
      </c>
      <c r="E350" s="16">
        <f>IF($B350&lt;&gt;"tutar_farki","",IF(ABS($C350)&gt;cbb_esikFark,"YUKSEK","NORMAL"))</f>
        <v/>
      </c>
      <c r="F350" s="16">
        <f>IF($B350&lt;&gt;"tutar_farki","","VKN "&amp;$A350&amp;" için cari↔Ba/Bs fark "&amp;TEXT($C350,"0.00")&amp;" TL. Dayanak: "&amp;$D350&amp;". Düzeltme dosyası üretildi.")</f>
        <v/>
      </c>
      <c r="G350" s="16">
        <f>IF($B350&lt;&gt;"tutar_farki","","Beklemede")</f>
        <v/>
      </c>
    </row>
    <row r="351">
      <c r="A351" s="26">
        <f>IF('KOK_NEDEN'!$A351="","",'KOK_NEDEN'!$A351)</f>
        <v/>
      </c>
      <c r="B351" s="16">
        <f>IF($A351="","",IFERROR(INDEX(tblKok[Kova],MATCH($A351,tblKok[A_Norm],0)),""))</f>
        <v/>
      </c>
      <c r="C351" s="16">
        <f>IF($A351="","",IFERROR(INDEX(tblEslesme[Fark],MATCH($A351,tblEslesme[A_Norm],0)),0))</f>
        <v/>
      </c>
      <c r="D351" s="16">
        <f>IF($A351="","",IFERROR(INDEX(tblKok[KokNeden],MATCH($A351,tblKok[A_Norm],0)),""))</f>
        <v/>
      </c>
      <c r="E351" s="16">
        <f>IF($B351&lt;&gt;"tutar_farki","",IF(ABS($C351)&gt;cbb_esikFark,"YUKSEK","NORMAL"))</f>
        <v/>
      </c>
      <c r="F351" s="16">
        <f>IF($B351&lt;&gt;"tutar_farki","","VKN "&amp;$A351&amp;" için cari↔Ba/Bs fark "&amp;TEXT($C351,"0.00")&amp;" TL. Dayanak: "&amp;$D351&amp;". Düzeltme dosyası üretildi.")</f>
        <v/>
      </c>
      <c r="G351" s="16">
        <f>IF($B351&lt;&gt;"tutar_farki","","Beklemede")</f>
        <v/>
      </c>
    </row>
    <row r="352">
      <c r="A352" s="26">
        <f>IF('KOK_NEDEN'!$A352="","",'KOK_NEDEN'!$A352)</f>
        <v/>
      </c>
      <c r="B352" s="16">
        <f>IF($A352="","",IFERROR(INDEX(tblKok[Kova],MATCH($A352,tblKok[A_Norm],0)),""))</f>
        <v/>
      </c>
      <c r="C352" s="16">
        <f>IF($A352="","",IFERROR(INDEX(tblEslesme[Fark],MATCH($A352,tblEslesme[A_Norm],0)),0))</f>
        <v/>
      </c>
      <c r="D352" s="16">
        <f>IF($A352="","",IFERROR(INDEX(tblKok[KokNeden],MATCH($A352,tblKok[A_Norm],0)),""))</f>
        <v/>
      </c>
      <c r="E352" s="16">
        <f>IF($B352&lt;&gt;"tutar_farki","",IF(ABS($C352)&gt;cbb_esikFark,"YUKSEK","NORMAL"))</f>
        <v/>
      </c>
      <c r="F352" s="16">
        <f>IF($B352&lt;&gt;"tutar_farki","","VKN "&amp;$A352&amp;" için cari↔Ba/Bs fark "&amp;TEXT($C352,"0.00")&amp;" TL. Dayanak: "&amp;$D352&amp;". Düzeltme dosyası üretildi.")</f>
        <v/>
      </c>
      <c r="G352" s="16">
        <f>IF($B352&lt;&gt;"tutar_farki","","Beklemede")</f>
        <v/>
      </c>
    </row>
    <row r="353">
      <c r="A353" s="26">
        <f>IF('KOK_NEDEN'!$A353="","",'KOK_NEDEN'!$A353)</f>
        <v/>
      </c>
      <c r="B353" s="16">
        <f>IF($A353="","",IFERROR(INDEX(tblKok[Kova],MATCH($A353,tblKok[A_Norm],0)),""))</f>
        <v/>
      </c>
      <c r="C353" s="16">
        <f>IF($A353="","",IFERROR(INDEX(tblEslesme[Fark],MATCH($A353,tblEslesme[A_Norm],0)),0))</f>
        <v/>
      </c>
      <c r="D353" s="16">
        <f>IF($A353="","",IFERROR(INDEX(tblKok[KokNeden],MATCH($A353,tblKok[A_Norm],0)),""))</f>
        <v/>
      </c>
      <c r="E353" s="16">
        <f>IF($B353&lt;&gt;"tutar_farki","",IF(ABS($C353)&gt;cbb_esikFark,"YUKSEK","NORMAL"))</f>
        <v/>
      </c>
      <c r="F353" s="16">
        <f>IF($B353&lt;&gt;"tutar_farki","","VKN "&amp;$A353&amp;" için cari↔Ba/Bs fark "&amp;TEXT($C353,"0.00")&amp;" TL. Dayanak: "&amp;$D353&amp;". Düzeltme dosyası üretildi.")</f>
        <v/>
      </c>
      <c r="G353" s="16">
        <f>IF($B353&lt;&gt;"tutar_farki","","Beklemede")</f>
        <v/>
      </c>
    </row>
    <row r="354">
      <c r="A354" s="26">
        <f>IF('KOK_NEDEN'!$A354="","",'KOK_NEDEN'!$A354)</f>
        <v/>
      </c>
      <c r="B354" s="16">
        <f>IF($A354="","",IFERROR(INDEX(tblKok[Kova],MATCH($A354,tblKok[A_Norm],0)),""))</f>
        <v/>
      </c>
      <c r="C354" s="16">
        <f>IF($A354="","",IFERROR(INDEX(tblEslesme[Fark],MATCH($A354,tblEslesme[A_Norm],0)),0))</f>
        <v/>
      </c>
      <c r="D354" s="16">
        <f>IF($A354="","",IFERROR(INDEX(tblKok[KokNeden],MATCH($A354,tblKok[A_Norm],0)),""))</f>
        <v/>
      </c>
      <c r="E354" s="16">
        <f>IF($B354&lt;&gt;"tutar_farki","",IF(ABS($C354)&gt;cbb_esikFark,"YUKSEK","NORMAL"))</f>
        <v/>
      </c>
      <c r="F354" s="16">
        <f>IF($B354&lt;&gt;"tutar_farki","","VKN "&amp;$A354&amp;" için cari↔Ba/Bs fark "&amp;TEXT($C354,"0.00")&amp;" TL. Dayanak: "&amp;$D354&amp;". Düzeltme dosyası üretildi.")</f>
        <v/>
      </c>
      <c r="G354" s="16">
        <f>IF($B354&lt;&gt;"tutar_farki","","Beklemede")</f>
        <v/>
      </c>
    </row>
    <row r="355">
      <c r="A355" s="26">
        <f>IF('KOK_NEDEN'!$A355="","",'KOK_NEDEN'!$A355)</f>
        <v/>
      </c>
      <c r="B355" s="16">
        <f>IF($A355="","",IFERROR(INDEX(tblKok[Kova],MATCH($A355,tblKok[A_Norm],0)),""))</f>
        <v/>
      </c>
      <c r="C355" s="16">
        <f>IF($A355="","",IFERROR(INDEX(tblEslesme[Fark],MATCH($A355,tblEslesme[A_Norm],0)),0))</f>
        <v/>
      </c>
      <c r="D355" s="16">
        <f>IF($A355="","",IFERROR(INDEX(tblKok[KokNeden],MATCH($A355,tblKok[A_Norm],0)),""))</f>
        <v/>
      </c>
      <c r="E355" s="16">
        <f>IF($B355&lt;&gt;"tutar_farki","",IF(ABS($C355)&gt;cbb_esikFark,"YUKSEK","NORMAL"))</f>
        <v/>
      </c>
      <c r="F355" s="16">
        <f>IF($B355&lt;&gt;"tutar_farki","","VKN "&amp;$A355&amp;" için cari↔Ba/Bs fark "&amp;TEXT($C355,"0.00")&amp;" TL. Dayanak: "&amp;$D355&amp;". Düzeltme dosyası üretildi.")</f>
        <v/>
      </c>
      <c r="G355" s="16">
        <f>IF($B355&lt;&gt;"tutar_farki","","Beklemede")</f>
        <v/>
      </c>
    </row>
    <row r="356">
      <c r="A356" s="26">
        <f>IF('KOK_NEDEN'!$A356="","",'KOK_NEDEN'!$A356)</f>
        <v/>
      </c>
      <c r="B356" s="16">
        <f>IF($A356="","",IFERROR(INDEX(tblKok[Kova],MATCH($A356,tblKok[A_Norm],0)),""))</f>
        <v/>
      </c>
      <c r="C356" s="16">
        <f>IF($A356="","",IFERROR(INDEX(tblEslesme[Fark],MATCH($A356,tblEslesme[A_Norm],0)),0))</f>
        <v/>
      </c>
      <c r="D356" s="16">
        <f>IF($A356="","",IFERROR(INDEX(tblKok[KokNeden],MATCH($A356,tblKok[A_Norm],0)),""))</f>
        <v/>
      </c>
      <c r="E356" s="16">
        <f>IF($B356&lt;&gt;"tutar_farki","",IF(ABS($C356)&gt;cbb_esikFark,"YUKSEK","NORMAL"))</f>
        <v/>
      </c>
      <c r="F356" s="16">
        <f>IF($B356&lt;&gt;"tutar_farki","","VKN "&amp;$A356&amp;" için cari↔Ba/Bs fark "&amp;TEXT($C356,"0.00")&amp;" TL. Dayanak: "&amp;$D356&amp;". Düzeltme dosyası üretildi.")</f>
        <v/>
      </c>
      <c r="G356" s="16">
        <f>IF($B356&lt;&gt;"tutar_farki","","Beklemede")</f>
        <v/>
      </c>
    </row>
    <row r="357">
      <c r="A357" s="26">
        <f>IF('KOK_NEDEN'!$A357="","",'KOK_NEDEN'!$A357)</f>
        <v/>
      </c>
      <c r="B357" s="16">
        <f>IF($A357="","",IFERROR(INDEX(tblKok[Kova],MATCH($A357,tblKok[A_Norm],0)),""))</f>
        <v/>
      </c>
      <c r="C357" s="16">
        <f>IF($A357="","",IFERROR(INDEX(tblEslesme[Fark],MATCH($A357,tblEslesme[A_Norm],0)),0))</f>
        <v/>
      </c>
      <c r="D357" s="16">
        <f>IF($A357="","",IFERROR(INDEX(tblKok[KokNeden],MATCH($A357,tblKok[A_Norm],0)),""))</f>
        <v/>
      </c>
      <c r="E357" s="16">
        <f>IF($B357&lt;&gt;"tutar_farki","",IF(ABS($C357)&gt;cbb_esikFark,"YUKSEK","NORMAL"))</f>
        <v/>
      </c>
      <c r="F357" s="16">
        <f>IF($B357&lt;&gt;"tutar_farki","","VKN "&amp;$A357&amp;" için cari↔Ba/Bs fark "&amp;TEXT($C357,"0.00")&amp;" TL. Dayanak: "&amp;$D357&amp;". Düzeltme dosyası üretildi.")</f>
        <v/>
      </c>
      <c r="G357" s="16">
        <f>IF($B357&lt;&gt;"tutar_farki","","Beklemede")</f>
        <v/>
      </c>
    </row>
    <row r="358">
      <c r="A358" s="26">
        <f>IF('KOK_NEDEN'!$A358="","",'KOK_NEDEN'!$A358)</f>
        <v/>
      </c>
      <c r="B358" s="16">
        <f>IF($A358="","",IFERROR(INDEX(tblKok[Kova],MATCH($A358,tblKok[A_Norm],0)),""))</f>
        <v/>
      </c>
      <c r="C358" s="16">
        <f>IF($A358="","",IFERROR(INDEX(tblEslesme[Fark],MATCH($A358,tblEslesme[A_Norm],0)),0))</f>
        <v/>
      </c>
      <c r="D358" s="16">
        <f>IF($A358="","",IFERROR(INDEX(tblKok[KokNeden],MATCH($A358,tblKok[A_Norm],0)),""))</f>
        <v/>
      </c>
      <c r="E358" s="16">
        <f>IF($B358&lt;&gt;"tutar_farki","",IF(ABS($C358)&gt;cbb_esikFark,"YUKSEK","NORMAL"))</f>
        <v/>
      </c>
      <c r="F358" s="16">
        <f>IF($B358&lt;&gt;"tutar_farki","","VKN "&amp;$A358&amp;" için cari↔Ba/Bs fark "&amp;TEXT($C358,"0.00")&amp;" TL. Dayanak: "&amp;$D358&amp;". Düzeltme dosyası üretildi.")</f>
        <v/>
      </c>
      <c r="G358" s="16">
        <f>IF($B358&lt;&gt;"tutar_farki","","Beklemede")</f>
        <v/>
      </c>
    </row>
    <row r="359">
      <c r="A359" s="26">
        <f>IF('KOK_NEDEN'!$A359="","",'KOK_NEDEN'!$A359)</f>
        <v/>
      </c>
      <c r="B359" s="16">
        <f>IF($A359="","",IFERROR(INDEX(tblKok[Kova],MATCH($A359,tblKok[A_Norm],0)),""))</f>
        <v/>
      </c>
      <c r="C359" s="16">
        <f>IF($A359="","",IFERROR(INDEX(tblEslesme[Fark],MATCH($A359,tblEslesme[A_Norm],0)),0))</f>
        <v/>
      </c>
      <c r="D359" s="16">
        <f>IF($A359="","",IFERROR(INDEX(tblKok[KokNeden],MATCH($A359,tblKok[A_Norm],0)),""))</f>
        <v/>
      </c>
      <c r="E359" s="16">
        <f>IF($B359&lt;&gt;"tutar_farki","",IF(ABS($C359)&gt;cbb_esikFark,"YUKSEK","NORMAL"))</f>
        <v/>
      </c>
      <c r="F359" s="16">
        <f>IF($B359&lt;&gt;"tutar_farki","","VKN "&amp;$A359&amp;" için cari↔Ba/Bs fark "&amp;TEXT($C359,"0.00")&amp;" TL. Dayanak: "&amp;$D359&amp;". Düzeltme dosyası üretildi.")</f>
        <v/>
      </c>
      <c r="G359" s="16">
        <f>IF($B359&lt;&gt;"tutar_farki","","Beklemede")</f>
        <v/>
      </c>
    </row>
    <row r="360">
      <c r="A360" s="26">
        <f>IF('KOK_NEDEN'!$A360="","",'KOK_NEDEN'!$A360)</f>
        <v/>
      </c>
      <c r="B360" s="16">
        <f>IF($A360="","",IFERROR(INDEX(tblKok[Kova],MATCH($A360,tblKok[A_Norm],0)),""))</f>
        <v/>
      </c>
      <c r="C360" s="16">
        <f>IF($A360="","",IFERROR(INDEX(tblEslesme[Fark],MATCH($A360,tblEslesme[A_Norm],0)),0))</f>
        <v/>
      </c>
      <c r="D360" s="16">
        <f>IF($A360="","",IFERROR(INDEX(tblKok[KokNeden],MATCH($A360,tblKok[A_Norm],0)),""))</f>
        <v/>
      </c>
      <c r="E360" s="16">
        <f>IF($B360&lt;&gt;"tutar_farki","",IF(ABS($C360)&gt;cbb_esikFark,"YUKSEK","NORMAL"))</f>
        <v/>
      </c>
      <c r="F360" s="16">
        <f>IF($B360&lt;&gt;"tutar_farki","","VKN "&amp;$A360&amp;" için cari↔Ba/Bs fark "&amp;TEXT($C360,"0.00")&amp;" TL. Dayanak: "&amp;$D360&amp;". Düzeltme dosyası üretildi.")</f>
        <v/>
      </c>
      <c r="G360" s="16">
        <f>IF($B360&lt;&gt;"tutar_farki","","Beklemede")</f>
        <v/>
      </c>
    </row>
    <row r="361">
      <c r="A361" s="26">
        <f>IF('KOK_NEDEN'!$A361="","",'KOK_NEDEN'!$A361)</f>
        <v/>
      </c>
      <c r="B361" s="16">
        <f>IF($A361="","",IFERROR(INDEX(tblKok[Kova],MATCH($A361,tblKok[A_Norm],0)),""))</f>
        <v/>
      </c>
      <c r="C361" s="16">
        <f>IF($A361="","",IFERROR(INDEX(tblEslesme[Fark],MATCH($A361,tblEslesme[A_Norm],0)),0))</f>
        <v/>
      </c>
      <c r="D361" s="16">
        <f>IF($A361="","",IFERROR(INDEX(tblKok[KokNeden],MATCH($A361,tblKok[A_Norm],0)),""))</f>
        <v/>
      </c>
      <c r="E361" s="16">
        <f>IF($B361&lt;&gt;"tutar_farki","",IF(ABS($C361)&gt;cbb_esikFark,"YUKSEK","NORMAL"))</f>
        <v/>
      </c>
      <c r="F361" s="16">
        <f>IF($B361&lt;&gt;"tutar_farki","","VKN "&amp;$A361&amp;" için cari↔Ba/Bs fark "&amp;TEXT($C361,"0.00")&amp;" TL. Dayanak: "&amp;$D361&amp;". Düzeltme dosyası üretildi.")</f>
        <v/>
      </c>
      <c r="G361" s="16">
        <f>IF($B361&lt;&gt;"tutar_farki","","Beklemede")</f>
        <v/>
      </c>
    </row>
    <row r="362">
      <c r="A362" s="26">
        <f>IF('KOK_NEDEN'!$A362="","",'KOK_NEDEN'!$A362)</f>
        <v/>
      </c>
      <c r="B362" s="16">
        <f>IF($A362="","",IFERROR(INDEX(tblKok[Kova],MATCH($A362,tblKok[A_Norm],0)),""))</f>
        <v/>
      </c>
      <c r="C362" s="16">
        <f>IF($A362="","",IFERROR(INDEX(tblEslesme[Fark],MATCH($A362,tblEslesme[A_Norm],0)),0))</f>
        <v/>
      </c>
      <c r="D362" s="16">
        <f>IF($A362="","",IFERROR(INDEX(tblKok[KokNeden],MATCH($A362,tblKok[A_Norm],0)),""))</f>
        <v/>
      </c>
      <c r="E362" s="16">
        <f>IF($B362&lt;&gt;"tutar_farki","",IF(ABS($C362)&gt;cbb_esikFark,"YUKSEK","NORMAL"))</f>
        <v/>
      </c>
      <c r="F362" s="16">
        <f>IF($B362&lt;&gt;"tutar_farki","","VKN "&amp;$A362&amp;" için cari↔Ba/Bs fark "&amp;TEXT($C362,"0.00")&amp;" TL. Dayanak: "&amp;$D362&amp;". Düzeltme dosyası üretildi.")</f>
        <v/>
      </c>
      <c r="G362" s="16">
        <f>IF($B362&lt;&gt;"tutar_farki","","Beklemede")</f>
        <v/>
      </c>
    </row>
    <row r="363">
      <c r="A363" s="26">
        <f>IF('KOK_NEDEN'!$A363="","",'KOK_NEDEN'!$A363)</f>
        <v/>
      </c>
      <c r="B363" s="16">
        <f>IF($A363="","",IFERROR(INDEX(tblKok[Kova],MATCH($A363,tblKok[A_Norm],0)),""))</f>
        <v/>
      </c>
      <c r="C363" s="16">
        <f>IF($A363="","",IFERROR(INDEX(tblEslesme[Fark],MATCH($A363,tblEslesme[A_Norm],0)),0))</f>
        <v/>
      </c>
      <c r="D363" s="16">
        <f>IF($A363="","",IFERROR(INDEX(tblKok[KokNeden],MATCH($A363,tblKok[A_Norm],0)),""))</f>
        <v/>
      </c>
      <c r="E363" s="16">
        <f>IF($B363&lt;&gt;"tutar_farki","",IF(ABS($C363)&gt;cbb_esikFark,"YUKSEK","NORMAL"))</f>
        <v/>
      </c>
      <c r="F363" s="16">
        <f>IF($B363&lt;&gt;"tutar_farki","","VKN "&amp;$A363&amp;" için cari↔Ba/Bs fark "&amp;TEXT($C363,"0.00")&amp;" TL. Dayanak: "&amp;$D363&amp;". Düzeltme dosyası üretildi.")</f>
        <v/>
      </c>
      <c r="G363" s="16">
        <f>IF($B363&lt;&gt;"tutar_farki","","Beklemede")</f>
        <v/>
      </c>
    </row>
    <row r="364">
      <c r="A364" s="26">
        <f>IF('KOK_NEDEN'!$A364="","",'KOK_NEDEN'!$A364)</f>
        <v/>
      </c>
      <c r="B364" s="16">
        <f>IF($A364="","",IFERROR(INDEX(tblKok[Kova],MATCH($A364,tblKok[A_Norm],0)),""))</f>
        <v/>
      </c>
      <c r="C364" s="16">
        <f>IF($A364="","",IFERROR(INDEX(tblEslesme[Fark],MATCH($A364,tblEslesme[A_Norm],0)),0))</f>
        <v/>
      </c>
      <c r="D364" s="16">
        <f>IF($A364="","",IFERROR(INDEX(tblKok[KokNeden],MATCH($A364,tblKok[A_Norm],0)),""))</f>
        <v/>
      </c>
      <c r="E364" s="16">
        <f>IF($B364&lt;&gt;"tutar_farki","",IF(ABS($C364)&gt;cbb_esikFark,"YUKSEK","NORMAL"))</f>
        <v/>
      </c>
      <c r="F364" s="16">
        <f>IF($B364&lt;&gt;"tutar_farki","","VKN "&amp;$A364&amp;" için cari↔Ba/Bs fark "&amp;TEXT($C364,"0.00")&amp;" TL. Dayanak: "&amp;$D364&amp;". Düzeltme dosyası üretildi.")</f>
        <v/>
      </c>
      <c r="G364" s="16">
        <f>IF($B364&lt;&gt;"tutar_farki","","Beklemede")</f>
        <v/>
      </c>
    </row>
    <row r="365">
      <c r="A365" s="26">
        <f>IF('KOK_NEDEN'!$A365="","",'KOK_NEDEN'!$A365)</f>
        <v/>
      </c>
      <c r="B365" s="16">
        <f>IF($A365="","",IFERROR(INDEX(tblKok[Kova],MATCH($A365,tblKok[A_Norm],0)),""))</f>
        <v/>
      </c>
      <c r="C365" s="16">
        <f>IF($A365="","",IFERROR(INDEX(tblEslesme[Fark],MATCH($A365,tblEslesme[A_Norm],0)),0))</f>
        <v/>
      </c>
      <c r="D365" s="16">
        <f>IF($A365="","",IFERROR(INDEX(tblKok[KokNeden],MATCH($A365,tblKok[A_Norm],0)),""))</f>
        <v/>
      </c>
      <c r="E365" s="16">
        <f>IF($B365&lt;&gt;"tutar_farki","",IF(ABS($C365)&gt;cbb_esikFark,"YUKSEK","NORMAL"))</f>
        <v/>
      </c>
      <c r="F365" s="16">
        <f>IF($B365&lt;&gt;"tutar_farki","","VKN "&amp;$A365&amp;" için cari↔Ba/Bs fark "&amp;TEXT($C365,"0.00")&amp;" TL. Dayanak: "&amp;$D365&amp;". Düzeltme dosyası üretildi.")</f>
        <v/>
      </c>
      <c r="G365" s="16">
        <f>IF($B365&lt;&gt;"tutar_farki","","Beklemede")</f>
        <v/>
      </c>
    </row>
    <row r="366">
      <c r="A366" s="26">
        <f>IF('KOK_NEDEN'!$A366="","",'KOK_NEDEN'!$A366)</f>
        <v/>
      </c>
      <c r="B366" s="16">
        <f>IF($A366="","",IFERROR(INDEX(tblKok[Kova],MATCH($A366,tblKok[A_Norm],0)),""))</f>
        <v/>
      </c>
      <c r="C366" s="16">
        <f>IF($A366="","",IFERROR(INDEX(tblEslesme[Fark],MATCH($A366,tblEslesme[A_Norm],0)),0))</f>
        <v/>
      </c>
      <c r="D366" s="16">
        <f>IF($A366="","",IFERROR(INDEX(tblKok[KokNeden],MATCH($A366,tblKok[A_Norm],0)),""))</f>
        <v/>
      </c>
      <c r="E366" s="16">
        <f>IF($B366&lt;&gt;"tutar_farki","",IF(ABS($C366)&gt;cbb_esikFark,"YUKSEK","NORMAL"))</f>
        <v/>
      </c>
      <c r="F366" s="16">
        <f>IF($B366&lt;&gt;"tutar_farki","","VKN "&amp;$A366&amp;" için cari↔Ba/Bs fark "&amp;TEXT($C366,"0.00")&amp;" TL. Dayanak: "&amp;$D366&amp;". Düzeltme dosyası üretildi.")</f>
        <v/>
      </c>
      <c r="G366" s="16">
        <f>IF($B366&lt;&gt;"tutar_farki","","Beklemede")</f>
        <v/>
      </c>
    </row>
    <row r="367">
      <c r="A367" s="26">
        <f>IF('KOK_NEDEN'!$A367="","",'KOK_NEDEN'!$A367)</f>
        <v/>
      </c>
      <c r="B367" s="16">
        <f>IF($A367="","",IFERROR(INDEX(tblKok[Kova],MATCH($A367,tblKok[A_Norm],0)),""))</f>
        <v/>
      </c>
      <c r="C367" s="16">
        <f>IF($A367="","",IFERROR(INDEX(tblEslesme[Fark],MATCH($A367,tblEslesme[A_Norm],0)),0))</f>
        <v/>
      </c>
      <c r="D367" s="16">
        <f>IF($A367="","",IFERROR(INDEX(tblKok[KokNeden],MATCH($A367,tblKok[A_Norm],0)),""))</f>
        <v/>
      </c>
      <c r="E367" s="16">
        <f>IF($B367&lt;&gt;"tutar_farki","",IF(ABS($C367)&gt;cbb_esikFark,"YUKSEK","NORMAL"))</f>
        <v/>
      </c>
      <c r="F367" s="16">
        <f>IF($B367&lt;&gt;"tutar_farki","","VKN "&amp;$A367&amp;" için cari↔Ba/Bs fark "&amp;TEXT($C367,"0.00")&amp;" TL. Dayanak: "&amp;$D367&amp;". Düzeltme dosyası üretildi.")</f>
        <v/>
      </c>
      <c r="G367" s="16">
        <f>IF($B367&lt;&gt;"tutar_farki","","Beklemede")</f>
        <v/>
      </c>
    </row>
    <row r="368">
      <c r="A368" s="26">
        <f>IF('KOK_NEDEN'!$A368="","",'KOK_NEDEN'!$A368)</f>
        <v/>
      </c>
      <c r="B368" s="16">
        <f>IF($A368="","",IFERROR(INDEX(tblKok[Kova],MATCH($A368,tblKok[A_Norm],0)),""))</f>
        <v/>
      </c>
      <c r="C368" s="16">
        <f>IF($A368="","",IFERROR(INDEX(tblEslesme[Fark],MATCH($A368,tblEslesme[A_Norm],0)),0))</f>
        <v/>
      </c>
      <c r="D368" s="16">
        <f>IF($A368="","",IFERROR(INDEX(tblKok[KokNeden],MATCH($A368,tblKok[A_Norm],0)),""))</f>
        <v/>
      </c>
      <c r="E368" s="16">
        <f>IF($B368&lt;&gt;"tutar_farki","",IF(ABS($C368)&gt;cbb_esikFark,"YUKSEK","NORMAL"))</f>
        <v/>
      </c>
      <c r="F368" s="16">
        <f>IF($B368&lt;&gt;"tutar_farki","","VKN "&amp;$A368&amp;" için cari↔Ba/Bs fark "&amp;TEXT($C368,"0.00")&amp;" TL. Dayanak: "&amp;$D368&amp;". Düzeltme dosyası üretildi.")</f>
        <v/>
      </c>
      <c r="G368" s="16">
        <f>IF($B368&lt;&gt;"tutar_farki","","Beklemede")</f>
        <v/>
      </c>
    </row>
    <row r="369">
      <c r="A369" s="26">
        <f>IF('KOK_NEDEN'!$A369="","",'KOK_NEDEN'!$A369)</f>
        <v/>
      </c>
      <c r="B369" s="16">
        <f>IF($A369="","",IFERROR(INDEX(tblKok[Kova],MATCH($A369,tblKok[A_Norm],0)),""))</f>
        <v/>
      </c>
      <c r="C369" s="16">
        <f>IF($A369="","",IFERROR(INDEX(tblEslesme[Fark],MATCH($A369,tblEslesme[A_Norm],0)),0))</f>
        <v/>
      </c>
      <c r="D369" s="16">
        <f>IF($A369="","",IFERROR(INDEX(tblKok[KokNeden],MATCH($A369,tblKok[A_Norm],0)),""))</f>
        <v/>
      </c>
      <c r="E369" s="16">
        <f>IF($B369&lt;&gt;"tutar_farki","",IF(ABS($C369)&gt;cbb_esikFark,"YUKSEK","NORMAL"))</f>
        <v/>
      </c>
      <c r="F369" s="16">
        <f>IF($B369&lt;&gt;"tutar_farki","","VKN "&amp;$A369&amp;" için cari↔Ba/Bs fark "&amp;TEXT($C369,"0.00")&amp;" TL. Dayanak: "&amp;$D369&amp;". Düzeltme dosyası üretildi.")</f>
        <v/>
      </c>
      <c r="G369" s="16">
        <f>IF($B369&lt;&gt;"tutar_farki","","Beklemede")</f>
        <v/>
      </c>
    </row>
    <row r="370">
      <c r="A370" s="26">
        <f>IF('KOK_NEDEN'!$A370="","",'KOK_NEDEN'!$A370)</f>
        <v/>
      </c>
      <c r="B370" s="16">
        <f>IF($A370="","",IFERROR(INDEX(tblKok[Kova],MATCH($A370,tblKok[A_Norm],0)),""))</f>
        <v/>
      </c>
      <c r="C370" s="16">
        <f>IF($A370="","",IFERROR(INDEX(tblEslesme[Fark],MATCH($A370,tblEslesme[A_Norm],0)),0))</f>
        <v/>
      </c>
      <c r="D370" s="16">
        <f>IF($A370="","",IFERROR(INDEX(tblKok[KokNeden],MATCH($A370,tblKok[A_Norm],0)),""))</f>
        <v/>
      </c>
      <c r="E370" s="16">
        <f>IF($B370&lt;&gt;"tutar_farki","",IF(ABS($C370)&gt;cbb_esikFark,"YUKSEK","NORMAL"))</f>
        <v/>
      </c>
      <c r="F370" s="16">
        <f>IF($B370&lt;&gt;"tutar_farki","","VKN "&amp;$A370&amp;" için cari↔Ba/Bs fark "&amp;TEXT($C370,"0.00")&amp;" TL. Dayanak: "&amp;$D370&amp;". Düzeltme dosyası üretildi.")</f>
        <v/>
      </c>
      <c r="G370" s="16">
        <f>IF($B370&lt;&gt;"tutar_farki","","Beklemede")</f>
        <v/>
      </c>
    </row>
    <row r="371">
      <c r="A371" s="26">
        <f>IF('KOK_NEDEN'!$A371="","",'KOK_NEDEN'!$A371)</f>
        <v/>
      </c>
      <c r="B371" s="16">
        <f>IF($A371="","",IFERROR(INDEX(tblKok[Kova],MATCH($A371,tblKok[A_Norm],0)),""))</f>
        <v/>
      </c>
      <c r="C371" s="16">
        <f>IF($A371="","",IFERROR(INDEX(tblEslesme[Fark],MATCH($A371,tblEslesme[A_Norm],0)),0))</f>
        <v/>
      </c>
      <c r="D371" s="16">
        <f>IF($A371="","",IFERROR(INDEX(tblKok[KokNeden],MATCH($A371,tblKok[A_Norm],0)),""))</f>
        <v/>
      </c>
      <c r="E371" s="16">
        <f>IF($B371&lt;&gt;"tutar_farki","",IF(ABS($C371)&gt;cbb_esikFark,"YUKSEK","NORMAL"))</f>
        <v/>
      </c>
      <c r="F371" s="16">
        <f>IF($B371&lt;&gt;"tutar_farki","","VKN "&amp;$A371&amp;" için cari↔Ba/Bs fark "&amp;TEXT($C371,"0.00")&amp;" TL. Dayanak: "&amp;$D371&amp;". Düzeltme dosyası üretildi.")</f>
        <v/>
      </c>
      <c r="G371" s="16">
        <f>IF($B371&lt;&gt;"tutar_farki","","Beklemede")</f>
        <v/>
      </c>
    </row>
    <row r="372">
      <c r="A372" s="26">
        <f>IF('KOK_NEDEN'!$A372="","",'KOK_NEDEN'!$A372)</f>
        <v/>
      </c>
      <c r="B372" s="16">
        <f>IF($A372="","",IFERROR(INDEX(tblKok[Kova],MATCH($A372,tblKok[A_Norm],0)),""))</f>
        <v/>
      </c>
      <c r="C372" s="16">
        <f>IF($A372="","",IFERROR(INDEX(tblEslesme[Fark],MATCH($A372,tblEslesme[A_Norm],0)),0))</f>
        <v/>
      </c>
      <c r="D372" s="16">
        <f>IF($A372="","",IFERROR(INDEX(tblKok[KokNeden],MATCH($A372,tblKok[A_Norm],0)),""))</f>
        <v/>
      </c>
      <c r="E372" s="16">
        <f>IF($B372&lt;&gt;"tutar_farki","",IF(ABS($C372)&gt;cbb_esikFark,"YUKSEK","NORMAL"))</f>
        <v/>
      </c>
      <c r="F372" s="16">
        <f>IF($B372&lt;&gt;"tutar_farki","","VKN "&amp;$A372&amp;" için cari↔Ba/Bs fark "&amp;TEXT($C372,"0.00")&amp;" TL. Dayanak: "&amp;$D372&amp;". Düzeltme dosyası üretildi.")</f>
        <v/>
      </c>
      <c r="G372" s="16">
        <f>IF($B372&lt;&gt;"tutar_farki","","Beklemede")</f>
        <v/>
      </c>
    </row>
    <row r="373">
      <c r="A373" s="26">
        <f>IF('KOK_NEDEN'!$A373="","",'KOK_NEDEN'!$A373)</f>
        <v/>
      </c>
      <c r="B373" s="16">
        <f>IF($A373="","",IFERROR(INDEX(tblKok[Kova],MATCH($A373,tblKok[A_Norm],0)),""))</f>
        <v/>
      </c>
      <c r="C373" s="16">
        <f>IF($A373="","",IFERROR(INDEX(tblEslesme[Fark],MATCH($A373,tblEslesme[A_Norm],0)),0))</f>
        <v/>
      </c>
      <c r="D373" s="16">
        <f>IF($A373="","",IFERROR(INDEX(tblKok[KokNeden],MATCH($A373,tblKok[A_Norm],0)),""))</f>
        <v/>
      </c>
      <c r="E373" s="16">
        <f>IF($B373&lt;&gt;"tutar_farki","",IF(ABS($C373)&gt;cbb_esikFark,"YUKSEK","NORMAL"))</f>
        <v/>
      </c>
      <c r="F373" s="16">
        <f>IF($B373&lt;&gt;"tutar_farki","","VKN "&amp;$A373&amp;" için cari↔Ba/Bs fark "&amp;TEXT($C373,"0.00")&amp;" TL. Dayanak: "&amp;$D373&amp;". Düzeltme dosyası üretildi.")</f>
        <v/>
      </c>
      <c r="G373" s="16">
        <f>IF($B373&lt;&gt;"tutar_farki","","Beklemede")</f>
        <v/>
      </c>
    </row>
    <row r="374">
      <c r="A374" s="26">
        <f>IF('KOK_NEDEN'!$A374="","",'KOK_NEDEN'!$A374)</f>
        <v/>
      </c>
      <c r="B374" s="16">
        <f>IF($A374="","",IFERROR(INDEX(tblKok[Kova],MATCH($A374,tblKok[A_Norm],0)),""))</f>
        <v/>
      </c>
      <c r="C374" s="16">
        <f>IF($A374="","",IFERROR(INDEX(tblEslesme[Fark],MATCH($A374,tblEslesme[A_Norm],0)),0))</f>
        <v/>
      </c>
      <c r="D374" s="16">
        <f>IF($A374="","",IFERROR(INDEX(tblKok[KokNeden],MATCH($A374,tblKok[A_Norm],0)),""))</f>
        <v/>
      </c>
      <c r="E374" s="16">
        <f>IF($B374&lt;&gt;"tutar_farki","",IF(ABS($C374)&gt;cbb_esikFark,"YUKSEK","NORMAL"))</f>
        <v/>
      </c>
      <c r="F374" s="16">
        <f>IF($B374&lt;&gt;"tutar_farki","","VKN "&amp;$A374&amp;" için cari↔Ba/Bs fark "&amp;TEXT($C374,"0.00")&amp;" TL. Dayanak: "&amp;$D374&amp;". Düzeltme dosyası üretildi.")</f>
        <v/>
      </c>
      <c r="G374" s="16">
        <f>IF($B374&lt;&gt;"tutar_farki","","Beklemede")</f>
        <v/>
      </c>
    </row>
    <row r="375">
      <c r="A375" s="26">
        <f>IF('KOK_NEDEN'!$A375="","",'KOK_NEDEN'!$A375)</f>
        <v/>
      </c>
      <c r="B375" s="16">
        <f>IF($A375="","",IFERROR(INDEX(tblKok[Kova],MATCH($A375,tblKok[A_Norm],0)),""))</f>
        <v/>
      </c>
      <c r="C375" s="16">
        <f>IF($A375="","",IFERROR(INDEX(tblEslesme[Fark],MATCH($A375,tblEslesme[A_Norm],0)),0))</f>
        <v/>
      </c>
      <c r="D375" s="16">
        <f>IF($A375="","",IFERROR(INDEX(tblKok[KokNeden],MATCH($A375,tblKok[A_Norm],0)),""))</f>
        <v/>
      </c>
      <c r="E375" s="16">
        <f>IF($B375&lt;&gt;"tutar_farki","",IF(ABS($C375)&gt;cbb_esikFark,"YUKSEK","NORMAL"))</f>
        <v/>
      </c>
      <c r="F375" s="16">
        <f>IF($B375&lt;&gt;"tutar_farki","","VKN "&amp;$A375&amp;" için cari↔Ba/Bs fark "&amp;TEXT($C375,"0.00")&amp;" TL. Dayanak: "&amp;$D375&amp;". Düzeltme dosyası üretildi.")</f>
        <v/>
      </c>
      <c r="G375" s="16">
        <f>IF($B375&lt;&gt;"tutar_farki","","Beklemede")</f>
        <v/>
      </c>
    </row>
    <row r="376">
      <c r="A376" s="26">
        <f>IF('KOK_NEDEN'!$A376="","",'KOK_NEDEN'!$A376)</f>
        <v/>
      </c>
      <c r="B376" s="16">
        <f>IF($A376="","",IFERROR(INDEX(tblKok[Kova],MATCH($A376,tblKok[A_Norm],0)),""))</f>
        <v/>
      </c>
      <c r="C376" s="16">
        <f>IF($A376="","",IFERROR(INDEX(tblEslesme[Fark],MATCH($A376,tblEslesme[A_Norm],0)),0))</f>
        <v/>
      </c>
      <c r="D376" s="16">
        <f>IF($A376="","",IFERROR(INDEX(tblKok[KokNeden],MATCH($A376,tblKok[A_Norm],0)),""))</f>
        <v/>
      </c>
      <c r="E376" s="16">
        <f>IF($B376&lt;&gt;"tutar_farki","",IF(ABS($C376)&gt;cbb_esikFark,"YUKSEK","NORMAL"))</f>
        <v/>
      </c>
      <c r="F376" s="16">
        <f>IF($B376&lt;&gt;"tutar_farki","","VKN "&amp;$A376&amp;" için cari↔Ba/Bs fark "&amp;TEXT($C376,"0.00")&amp;" TL. Dayanak: "&amp;$D376&amp;". Düzeltme dosyası üretildi.")</f>
        <v/>
      </c>
      <c r="G376" s="16">
        <f>IF($B376&lt;&gt;"tutar_farki","","Beklemede")</f>
        <v/>
      </c>
    </row>
    <row r="377">
      <c r="A377" s="26">
        <f>IF('KOK_NEDEN'!$A377="","",'KOK_NEDEN'!$A377)</f>
        <v/>
      </c>
      <c r="B377" s="16">
        <f>IF($A377="","",IFERROR(INDEX(tblKok[Kova],MATCH($A377,tblKok[A_Norm],0)),""))</f>
        <v/>
      </c>
      <c r="C377" s="16">
        <f>IF($A377="","",IFERROR(INDEX(tblEslesme[Fark],MATCH($A377,tblEslesme[A_Norm],0)),0))</f>
        <v/>
      </c>
      <c r="D377" s="16">
        <f>IF($A377="","",IFERROR(INDEX(tblKok[KokNeden],MATCH($A377,tblKok[A_Norm],0)),""))</f>
        <v/>
      </c>
      <c r="E377" s="16">
        <f>IF($B377&lt;&gt;"tutar_farki","",IF(ABS($C377)&gt;cbb_esikFark,"YUKSEK","NORMAL"))</f>
        <v/>
      </c>
      <c r="F377" s="16">
        <f>IF($B377&lt;&gt;"tutar_farki","","VKN "&amp;$A377&amp;" için cari↔Ba/Bs fark "&amp;TEXT($C377,"0.00")&amp;" TL. Dayanak: "&amp;$D377&amp;". Düzeltme dosyası üretildi.")</f>
        <v/>
      </c>
      <c r="G377" s="16">
        <f>IF($B377&lt;&gt;"tutar_farki","","Beklemede")</f>
        <v/>
      </c>
    </row>
    <row r="378">
      <c r="A378" s="26">
        <f>IF('KOK_NEDEN'!$A378="","",'KOK_NEDEN'!$A378)</f>
        <v/>
      </c>
      <c r="B378" s="16">
        <f>IF($A378="","",IFERROR(INDEX(tblKok[Kova],MATCH($A378,tblKok[A_Norm],0)),""))</f>
        <v/>
      </c>
      <c r="C378" s="16">
        <f>IF($A378="","",IFERROR(INDEX(tblEslesme[Fark],MATCH($A378,tblEslesme[A_Norm],0)),0))</f>
        <v/>
      </c>
      <c r="D378" s="16">
        <f>IF($A378="","",IFERROR(INDEX(tblKok[KokNeden],MATCH($A378,tblKok[A_Norm],0)),""))</f>
        <v/>
      </c>
      <c r="E378" s="16">
        <f>IF($B378&lt;&gt;"tutar_farki","",IF(ABS($C378)&gt;cbb_esikFark,"YUKSEK","NORMAL"))</f>
        <v/>
      </c>
      <c r="F378" s="16">
        <f>IF($B378&lt;&gt;"tutar_farki","","VKN "&amp;$A378&amp;" için cari↔Ba/Bs fark "&amp;TEXT($C378,"0.00")&amp;" TL. Dayanak: "&amp;$D378&amp;". Düzeltme dosyası üretildi.")</f>
        <v/>
      </c>
      <c r="G378" s="16">
        <f>IF($B378&lt;&gt;"tutar_farki","","Beklemede")</f>
        <v/>
      </c>
    </row>
    <row r="379">
      <c r="A379" s="26">
        <f>IF('KOK_NEDEN'!$A379="","",'KOK_NEDEN'!$A379)</f>
        <v/>
      </c>
      <c r="B379" s="16">
        <f>IF($A379="","",IFERROR(INDEX(tblKok[Kova],MATCH($A379,tblKok[A_Norm],0)),""))</f>
        <v/>
      </c>
      <c r="C379" s="16">
        <f>IF($A379="","",IFERROR(INDEX(tblEslesme[Fark],MATCH($A379,tblEslesme[A_Norm],0)),0))</f>
        <v/>
      </c>
      <c r="D379" s="16">
        <f>IF($A379="","",IFERROR(INDEX(tblKok[KokNeden],MATCH($A379,tblKok[A_Norm],0)),""))</f>
        <v/>
      </c>
      <c r="E379" s="16">
        <f>IF($B379&lt;&gt;"tutar_farki","",IF(ABS($C379)&gt;cbb_esikFark,"YUKSEK","NORMAL"))</f>
        <v/>
      </c>
      <c r="F379" s="16">
        <f>IF($B379&lt;&gt;"tutar_farki","","VKN "&amp;$A379&amp;" için cari↔Ba/Bs fark "&amp;TEXT($C379,"0.00")&amp;" TL. Dayanak: "&amp;$D379&amp;". Düzeltme dosyası üretildi.")</f>
        <v/>
      </c>
      <c r="G379" s="16">
        <f>IF($B379&lt;&gt;"tutar_farki","","Beklemede")</f>
        <v/>
      </c>
    </row>
    <row r="380">
      <c r="A380" s="26">
        <f>IF('KOK_NEDEN'!$A380="","",'KOK_NEDEN'!$A380)</f>
        <v/>
      </c>
      <c r="B380" s="16">
        <f>IF($A380="","",IFERROR(INDEX(tblKok[Kova],MATCH($A380,tblKok[A_Norm],0)),""))</f>
        <v/>
      </c>
      <c r="C380" s="16">
        <f>IF($A380="","",IFERROR(INDEX(tblEslesme[Fark],MATCH($A380,tblEslesme[A_Norm],0)),0))</f>
        <v/>
      </c>
      <c r="D380" s="16">
        <f>IF($A380="","",IFERROR(INDEX(tblKok[KokNeden],MATCH($A380,tblKok[A_Norm],0)),""))</f>
        <v/>
      </c>
      <c r="E380" s="16">
        <f>IF($B380&lt;&gt;"tutar_farki","",IF(ABS($C380)&gt;cbb_esikFark,"YUKSEK","NORMAL"))</f>
        <v/>
      </c>
      <c r="F380" s="16">
        <f>IF($B380&lt;&gt;"tutar_farki","","VKN "&amp;$A380&amp;" için cari↔Ba/Bs fark "&amp;TEXT($C380,"0.00")&amp;" TL. Dayanak: "&amp;$D380&amp;". Düzeltme dosyası üretildi.")</f>
        <v/>
      </c>
      <c r="G380" s="16">
        <f>IF($B380&lt;&gt;"tutar_farki","","Beklemede")</f>
        <v/>
      </c>
    </row>
    <row r="381">
      <c r="A381" s="26">
        <f>IF('KOK_NEDEN'!$A381="","",'KOK_NEDEN'!$A381)</f>
        <v/>
      </c>
      <c r="B381" s="16">
        <f>IF($A381="","",IFERROR(INDEX(tblKok[Kova],MATCH($A381,tblKok[A_Norm],0)),""))</f>
        <v/>
      </c>
      <c r="C381" s="16">
        <f>IF($A381="","",IFERROR(INDEX(tblEslesme[Fark],MATCH($A381,tblEslesme[A_Norm],0)),0))</f>
        <v/>
      </c>
      <c r="D381" s="16">
        <f>IF($A381="","",IFERROR(INDEX(tblKok[KokNeden],MATCH($A381,tblKok[A_Norm],0)),""))</f>
        <v/>
      </c>
      <c r="E381" s="16">
        <f>IF($B381&lt;&gt;"tutar_farki","",IF(ABS($C381)&gt;cbb_esikFark,"YUKSEK","NORMAL"))</f>
        <v/>
      </c>
      <c r="F381" s="16">
        <f>IF($B381&lt;&gt;"tutar_farki","","VKN "&amp;$A381&amp;" için cari↔Ba/Bs fark "&amp;TEXT($C381,"0.00")&amp;" TL. Dayanak: "&amp;$D381&amp;". Düzeltme dosyası üretildi.")</f>
        <v/>
      </c>
      <c r="G381" s="16">
        <f>IF($B381&lt;&gt;"tutar_farki","","Beklemede")</f>
        <v/>
      </c>
    </row>
    <row r="382">
      <c r="A382" s="26">
        <f>IF('KOK_NEDEN'!$A382="","",'KOK_NEDEN'!$A382)</f>
        <v/>
      </c>
      <c r="B382" s="16">
        <f>IF($A382="","",IFERROR(INDEX(tblKok[Kova],MATCH($A382,tblKok[A_Norm],0)),""))</f>
        <v/>
      </c>
      <c r="C382" s="16">
        <f>IF($A382="","",IFERROR(INDEX(tblEslesme[Fark],MATCH($A382,tblEslesme[A_Norm],0)),0))</f>
        <v/>
      </c>
      <c r="D382" s="16">
        <f>IF($A382="","",IFERROR(INDEX(tblKok[KokNeden],MATCH($A382,tblKok[A_Norm],0)),""))</f>
        <v/>
      </c>
      <c r="E382" s="16">
        <f>IF($B382&lt;&gt;"tutar_farki","",IF(ABS($C382)&gt;cbb_esikFark,"YUKSEK","NORMAL"))</f>
        <v/>
      </c>
      <c r="F382" s="16">
        <f>IF($B382&lt;&gt;"tutar_farki","","VKN "&amp;$A382&amp;" için cari↔Ba/Bs fark "&amp;TEXT($C382,"0.00")&amp;" TL. Dayanak: "&amp;$D382&amp;". Düzeltme dosyası üretildi.")</f>
        <v/>
      </c>
      <c r="G382" s="16">
        <f>IF($B382&lt;&gt;"tutar_farki","","Beklemede")</f>
        <v/>
      </c>
    </row>
    <row r="383">
      <c r="A383" s="26">
        <f>IF('KOK_NEDEN'!$A383="","",'KOK_NEDEN'!$A383)</f>
        <v/>
      </c>
      <c r="B383" s="16">
        <f>IF($A383="","",IFERROR(INDEX(tblKok[Kova],MATCH($A383,tblKok[A_Norm],0)),""))</f>
        <v/>
      </c>
      <c r="C383" s="16">
        <f>IF($A383="","",IFERROR(INDEX(tblEslesme[Fark],MATCH($A383,tblEslesme[A_Norm],0)),0))</f>
        <v/>
      </c>
      <c r="D383" s="16">
        <f>IF($A383="","",IFERROR(INDEX(tblKok[KokNeden],MATCH($A383,tblKok[A_Norm],0)),""))</f>
        <v/>
      </c>
      <c r="E383" s="16">
        <f>IF($B383&lt;&gt;"tutar_farki","",IF(ABS($C383)&gt;cbb_esikFark,"YUKSEK","NORMAL"))</f>
        <v/>
      </c>
      <c r="F383" s="16">
        <f>IF($B383&lt;&gt;"tutar_farki","","VKN "&amp;$A383&amp;" için cari↔Ba/Bs fark "&amp;TEXT($C383,"0.00")&amp;" TL. Dayanak: "&amp;$D383&amp;". Düzeltme dosyası üretildi.")</f>
        <v/>
      </c>
      <c r="G383" s="16">
        <f>IF($B383&lt;&gt;"tutar_farki","","Beklemede")</f>
        <v/>
      </c>
    </row>
    <row r="384">
      <c r="A384" s="26">
        <f>IF('KOK_NEDEN'!$A384="","",'KOK_NEDEN'!$A384)</f>
        <v/>
      </c>
      <c r="B384" s="16">
        <f>IF($A384="","",IFERROR(INDEX(tblKok[Kova],MATCH($A384,tblKok[A_Norm],0)),""))</f>
        <v/>
      </c>
      <c r="C384" s="16">
        <f>IF($A384="","",IFERROR(INDEX(tblEslesme[Fark],MATCH($A384,tblEslesme[A_Norm],0)),0))</f>
        <v/>
      </c>
      <c r="D384" s="16">
        <f>IF($A384="","",IFERROR(INDEX(tblKok[KokNeden],MATCH($A384,tblKok[A_Norm],0)),""))</f>
        <v/>
      </c>
      <c r="E384" s="16">
        <f>IF($B384&lt;&gt;"tutar_farki","",IF(ABS($C384)&gt;cbb_esikFark,"YUKSEK","NORMAL"))</f>
        <v/>
      </c>
      <c r="F384" s="16">
        <f>IF($B384&lt;&gt;"tutar_farki","","VKN "&amp;$A384&amp;" için cari↔Ba/Bs fark "&amp;TEXT($C384,"0.00")&amp;" TL. Dayanak: "&amp;$D384&amp;". Düzeltme dosyası üretildi.")</f>
        <v/>
      </c>
      <c r="G384" s="16">
        <f>IF($B384&lt;&gt;"tutar_farki","","Beklemede")</f>
        <v/>
      </c>
    </row>
    <row r="385">
      <c r="A385" s="26">
        <f>IF('KOK_NEDEN'!$A385="","",'KOK_NEDEN'!$A385)</f>
        <v/>
      </c>
      <c r="B385" s="16">
        <f>IF($A385="","",IFERROR(INDEX(tblKok[Kova],MATCH($A385,tblKok[A_Norm],0)),""))</f>
        <v/>
      </c>
      <c r="C385" s="16">
        <f>IF($A385="","",IFERROR(INDEX(tblEslesme[Fark],MATCH($A385,tblEslesme[A_Norm],0)),0))</f>
        <v/>
      </c>
      <c r="D385" s="16">
        <f>IF($A385="","",IFERROR(INDEX(tblKok[KokNeden],MATCH($A385,tblKok[A_Norm],0)),""))</f>
        <v/>
      </c>
      <c r="E385" s="16">
        <f>IF($B385&lt;&gt;"tutar_farki","",IF(ABS($C385)&gt;cbb_esikFark,"YUKSEK","NORMAL"))</f>
        <v/>
      </c>
      <c r="F385" s="16">
        <f>IF($B385&lt;&gt;"tutar_farki","","VKN "&amp;$A385&amp;" için cari↔Ba/Bs fark "&amp;TEXT($C385,"0.00")&amp;" TL. Dayanak: "&amp;$D385&amp;". Düzeltme dosyası üretildi.")</f>
        <v/>
      </c>
      <c r="G385" s="16">
        <f>IF($B385&lt;&gt;"tutar_farki","","Beklemede")</f>
        <v/>
      </c>
    </row>
    <row r="386">
      <c r="A386" s="26">
        <f>IF('KOK_NEDEN'!$A386="","",'KOK_NEDEN'!$A386)</f>
        <v/>
      </c>
      <c r="B386" s="16">
        <f>IF($A386="","",IFERROR(INDEX(tblKok[Kova],MATCH($A386,tblKok[A_Norm],0)),""))</f>
        <v/>
      </c>
      <c r="C386" s="16">
        <f>IF($A386="","",IFERROR(INDEX(tblEslesme[Fark],MATCH($A386,tblEslesme[A_Norm],0)),0))</f>
        <v/>
      </c>
      <c r="D386" s="16">
        <f>IF($A386="","",IFERROR(INDEX(tblKok[KokNeden],MATCH($A386,tblKok[A_Norm],0)),""))</f>
        <v/>
      </c>
      <c r="E386" s="16">
        <f>IF($B386&lt;&gt;"tutar_farki","",IF(ABS($C386)&gt;cbb_esikFark,"YUKSEK","NORMAL"))</f>
        <v/>
      </c>
      <c r="F386" s="16">
        <f>IF($B386&lt;&gt;"tutar_farki","","VKN "&amp;$A386&amp;" için cari↔Ba/Bs fark "&amp;TEXT($C386,"0.00")&amp;" TL. Dayanak: "&amp;$D386&amp;". Düzeltme dosyası üretildi.")</f>
        <v/>
      </c>
      <c r="G386" s="16">
        <f>IF($B386&lt;&gt;"tutar_farki","","Beklemede")</f>
        <v/>
      </c>
    </row>
    <row r="387">
      <c r="A387" s="26">
        <f>IF('KOK_NEDEN'!$A387="","",'KOK_NEDEN'!$A387)</f>
        <v/>
      </c>
      <c r="B387" s="16">
        <f>IF($A387="","",IFERROR(INDEX(tblKok[Kova],MATCH($A387,tblKok[A_Norm],0)),""))</f>
        <v/>
      </c>
      <c r="C387" s="16">
        <f>IF($A387="","",IFERROR(INDEX(tblEslesme[Fark],MATCH($A387,tblEslesme[A_Norm],0)),0))</f>
        <v/>
      </c>
      <c r="D387" s="16">
        <f>IF($A387="","",IFERROR(INDEX(tblKok[KokNeden],MATCH($A387,tblKok[A_Norm],0)),""))</f>
        <v/>
      </c>
      <c r="E387" s="16">
        <f>IF($B387&lt;&gt;"tutar_farki","",IF(ABS($C387)&gt;cbb_esikFark,"YUKSEK","NORMAL"))</f>
        <v/>
      </c>
      <c r="F387" s="16">
        <f>IF($B387&lt;&gt;"tutar_farki","","VKN "&amp;$A387&amp;" için cari↔Ba/Bs fark "&amp;TEXT($C387,"0.00")&amp;" TL. Dayanak: "&amp;$D387&amp;". Düzeltme dosyası üretildi.")</f>
        <v/>
      </c>
      <c r="G387" s="16">
        <f>IF($B387&lt;&gt;"tutar_farki","","Beklemede")</f>
        <v/>
      </c>
    </row>
    <row r="388">
      <c r="A388" s="26">
        <f>IF('KOK_NEDEN'!$A388="","",'KOK_NEDEN'!$A388)</f>
        <v/>
      </c>
      <c r="B388" s="16">
        <f>IF($A388="","",IFERROR(INDEX(tblKok[Kova],MATCH($A388,tblKok[A_Norm],0)),""))</f>
        <v/>
      </c>
      <c r="C388" s="16">
        <f>IF($A388="","",IFERROR(INDEX(tblEslesme[Fark],MATCH($A388,tblEslesme[A_Norm],0)),0))</f>
        <v/>
      </c>
      <c r="D388" s="16">
        <f>IF($A388="","",IFERROR(INDEX(tblKok[KokNeden],MATCH($A388,tblKok[A_Norm],0)),""))</f>
        <v/>
      </c>
      <c r="E388" s="16">
        <f>IF($B388&lt;&gt;"tutar_farki","",IF(ABS($C388)&gt;cbb_esikFark,"YUKSEK","NORMAL"))</f>
        <v/>
      </c>
      <c r="F388" s="16">
        <f>IF($B388&lt;&gt;"tutar_farki","","VKN "&amp;$A388&amp;" için cari↔Ba/Bs fark "&amp;TEXT($C388,"0.00")&amp;" TL. Dayanak: "&amp;$D388&amp;". Düzeltme dosyası üretildi.")</f>
        <v/>
      </c>
      <c r="G388" s="16">
        <f>IF($B388&lt;&gt;"tutar_farki","","Beklemede")</f>
        <v/>
      </c>
    </row>
    <row r="389">
      <c r="A389" s="26">
        <f>IF('KOK_NEDEN'!$A389="","",'KOK_NEDEN'!$A389)</f>
        <v/>
      </c>
      <c r="B389" s="16">
        <f>IF($A389="","",IFERROR(INDEX(tblKok[Kova],MATCH($A389,tblKok[A_Norm],0)),""))</f>
        <v/>
      </c>
      <c r="C389" s="16">
        <f>IF($A389="","",IFERROR(INDEX(tblEslesme[Fark],MATCH($A389,tblEslesme[A_Norm],0)),0))</f>
        <v/>
      </c>
      <c r="D389" s="16">
        <f>IF($A389="","",IFERROR(INDEX(tblKok[KokNeden],MATCH($A389,tblKok[A_Norm],0)),""))</f>
        <v/>
      </c>
      <c r="E389" s="16">
        <f>IF($B389&lt;&gt;"tutar_farki","",IF(ABS($C389)&gt;cbb_esikFark,"YUKSEK","NORMAL"))</f>
        <v/>
      </c>
      <c r="F389" s="16">
        <f>IF($B389&lt;&gt;"tutar_farki","","VKN "&amp;$A389&amp;" için cari↔Ba/Bs fark "&amp;TEXT($C389,"0.00")&amp;" TL. Dayanak: "&amp;$D389&amp;". Düzeltme dosyası üretildi.")</f>
        <v/>
      </c>
      <c r="G389" s="16">
        <f>IF($B389&lt;&gt;"tutar_farki","","Beklemede")</f>
        <v/>
      </c>
    </row>
    <row r="390">
      <c r="A390" s="26">
        <f>IF('KOK_NEDEN'!$A390="","",'KOK_NEDEN'!$A390)</f>
        <v/>
      </c>
      <c r="B390" s="16">
        <f>IF($A390="","",IFERROR(INDEX(tblKok[Kova],MATCH($A390,tblKok[A_Norm],0)),""))</f>
        <v/>
      </c>
      <c r="C390" s="16">
        <f>IF($A390="","",IFERROR(INDEX(tblEslesme[Fark],MATCH($A390,tblEslesme[A_Norm],0)),0))</f>
        <v/>
      </c>
      <c r="D390" s="16">
        <f>IF($A390="","",IFERROR(INDEX(tblKok[KokNeden],MATCH($A390,tblKok[A_Norm],0)),""))</f>
        <v/>
      </c>
      <c r="E390" s="16">
        <f>IF($B390&lt;&gt;"tutar_farki","",IF(ABS($C390)&gt;cbb_esikFark,"YUKSEK","NORMAL"))</f>
        <v/>
      </c>
      <c r="F390" s="16">
        <f>IF($B390&lt;&gt;"tutar_farki","","VKN "&amp;$A390&amp;" için cari↔Ba/Bs fark "&amp;TEXT($C390,"0.00")&amp;" TL. Dayanak: "&amp;$D390&amp;". Düzeltme dosyası üretildi.")</f>
        <v/>
      </c>
      <c r="G390" s="16">
        <f>IF($B390&lt;&gt;"tutar_farki","","Beklemede")</f>
        <v/>
      </c>
    </row>
    <row r="391">
      <c r="A391" s="26">
        <f>IF('KOK_NEDEN'!$A391="","",'KOK_NEDEN'!$A391)</f>
        <v/>
      </c>
      <c r="B391" s="16">
        <f>IF($A391="","",IFERROR(INDEX(tblKok[Kova],MATCH($A391,tblKok[A_Norm],0)),""))</f>
        <v/>
      </c>
      <c r="C391" s="16">
        <f>IF($A391="","",IFERROR(INDEX(tblEslesme[Fark],MATCH($A391,tblEslesme[A_Norm],0)),0))</f>
        <v/>
      </c>
      <c r="D391" s="16">
        <f>IF($A391="","",IFERROR(INDEX(tblKok[KokNeden],MATCH($A391,tblKok[A_Norm],0)),""))</f>
        <v/>
      </c>
      <c r="E391" s="16">
        <f>IF($B391&lt;&gt;"tutar_farki","",IF(ABS($C391)&gt;cbb_esikFark,"YUKSEK","NORMAL"))</f>
        <v/>
      </c>
      <c r="F391" s="16">
        <f>IF($B391&lt;&gt;"tutar_farki","","VKN "&amp;$A391&amp;" için cari↔Ba/Bs fark "&amp;TEXT($C391,"0.00")&amp;" TL. Dayanak: "&amp;$D391&amp;". Düzeltme dosyası üretildi.")</f>
        <v/>
      </c>
      <c r="G391" s="16">
        <f>IF($B391&lt;&gt;"tutar_farki","","Beklemede")</f>
        <v/>
      </c>
    </row>
    <row r="392">
      <c r="A392" s="26">
        <f>IF('KOK_NEDEN'!$A392="","",'KOK_NEDEN'!$A392)</f>
        <v/>
      </c>
      <c r="B392" s="16">
        <f>IF($A392="","",IFERROR(INDEX(tblKok[Kova],MATCH($A392,tblKok[A_Norm],0)),""))</f>
        <v/>
      </c>
      <c r="C392" s="16">
        <f>IF($A392="","",IFERROR(INDEX(tblEslesme[Fark],MATCH($A392,tblEslesme[A_Norm],0)),0))</f>
        <v/>
      </c>
      <c r="D392" s="16">
        <f>IF($A392="","",IFERROR(INDEX(tblKok[KokNeden],MATCH($A392,tblKok[A_Norm],0)),""))</f>
        <v/>
      </c>
      <c r="E392" s="16">
        <f>IF($B392&lt;&gt;"tutar_farki","",IF(ABS($C392)&gt;cbb_esikFark,"YUKSEK","NORMAL"))</f>
        <v/>
      </c>
      <c r="F392" s="16">
        <f>IF($B392&lt;&gt;"tutar_farki","","VKN "&amp;$A392&amp;" için cari↔Ba/Bs fark "&amp;TEXT($C392,"0.00")&amp;" TL. Dayanak: "&amp;$D392&amp;". Düzeltme dosyası üretildi.")</f>
        <v/>
      </c>
      <c r="G392" s="16">
        <f>IF($B392&lt;&gt;"tutar_farki","","Beklemede")</f>
        <v/>
      </c>
    </row>
    <row r="393">
      <c r="A393" s="26">
        <f>IF('KOK_NEDEN'!$A393="","",'KOK_NEDEN'!$A393)</f>
        <v/>
      </c>
      <c r="B393" s="16">
        <f>IF($A393="","",IFERROR(INDEX(tblKok[Kova],MATCH($A393,tblKok[A_Norm],0)),""))</f>
        <v/>
      </c>
      <c r="C393" s="16">
        <f>IF($A393="","",IFERROR(INDEX(tblEslesme[Fark],MATCH($A393,tblEslesme[A_Norm],0)),0))</f>
        <v/>
      </c>
      <c r="D393" s="16">
        <f>IF($A393="","",IFERROR(INDEX(tblKok[KokNeden],MATCH($A393,tblKok[A_Norm],0)),""))</f>
        <v/>
      </c>
      <c r="E393" s="16">
        <f>IF($B393&lt;&gt;"tutar_farki","",IF(ABS($C393)&gt;cbb_esikFark,"YUKSEK","NORMAL"))</f>
        <v/>
      </c>
      <c r="F393" s="16">
        <f>IF($B393&lt;&gt;"tutar_farki","","VKN "&amp;$A393&amp;" için cari↔Ba/Bs fark "&amp;TEXT($C393,"0.00")&amp;" TL. Dayanak: "&amp;$D393&amp;". Düzeltme dosyası üretildi.")</f>
        <v/>
      </c>
      <c r="G393" s="16">
        <f>IF($B393&lt;&gt;"tutar_farki","","Beklemede")</f>
        <v/>
      </c>
    </row>
    <row r="394">
      <c r="A394" s="26">
        <f>IF('KOK_NEDEN'!$A394="","",'KOK_NEDEN'!$A394)</f>
        <v/>
      </c>
      <c r="B394" s="16">
        <f>IF($A394="","",IFERROR(INDEX(tblKok[Kova],MATCH($A394,tblKok[A_Norm],0)),""))</f>
        <v/>
      </c>
      <c r="C394" s="16">
        <f>IF($A394="","",IFERROR(INDEX(tblEslesme[Fark],MATCH($A394,tblEslesme[A_Norm],0)),0))</f>
        <v/>
      </c>
      <c r="D394" s="16">
        <f>IF($A394="","",IFERROR(INDEX(tblKok[KokNeden],MATCH($A394,tblKok[A_Norm],0)),""))</f>
        <v/>
      </c>
      <c r="E394" s="16">
        <f>IF($B394&lt;&gt;"tutar_farki","",IF(ABS($C394)&gt;cbb_esikFark,"YUKSEK","NORMAL"))</f>
        <v/>
      </c>
      <c r="F394" s="16">
        <f>IF($B394&lt;&gt;"tutar_farki","","VKN "&amp;$A394&amp;" için cari↔Ba/Bs fark "&amp;TEXT($C394,"0.00")&amp;" TL. Dayanak: "&amp;$D394&amp;". Düzeltme dosyası üretildi.")</f>
        <v/>
      </c>
      <c r="G394" s="16">
        <f>IF($B394&lt;&gt;"tutar_farki","","Beklemede")</f>
        <v/>
      </c>
    </row>
    <row r="395">
      <c r="A395" s="26">
        <f>IF('KOK_NEDEN'!$A395="","",'KOK_NEDEN'!$A395)</f>
        <v/>
      </c>
      <c r="B395" s="16">
        <f>IF($A395="","",IFERROR(INDEX(tblKok[Kova],MATCH($A395,tblKok[A_Norm],0)),""))</f>
        <v/>
      </c>
      <c r="C395" s="16">
        <f>IF($A395="","",IFERROR(INDEX(tblEslesme[Fark],MATCH($A395,tblEslesme[A_Norm],0)),0))</f>
        <v/>
      </c>
      <c r="D395" s="16">
        <f>IF($A395="","",IFERROR(INDEX(tblKok[KokNeden],MATCH($A395,tblKok[A_Norm],0)),""))</f>
        <v/>
      </c>
      <c r="E395" s="16">
        <f>IF($B395&lt;&gt;"tutar_farki","",IF(ABS($C395)&gt;cbb_esikFark,"YUKSEK","NORMAL"))</f>
        <v/>
      </c>
      <c r="F395" s="16">
        <f>IF($B395&lt;&gt;"tutar_farki","","VKN "&amp;$A395&amp;" için cari↔Ba/Bs fark "&amp;TEXT($C395,"0.00")&amp;" TL. Dayanak: "&amp;$D395&amp;". Düzeltme dosyası üretildi.")</f>
        <v/>
      </c>
      <c r="G395" s="16">
        <f>IF($B395&lt;&gt;"tutar_farki","","Beklemede")</f>
        <v/>
      </c>
    </row>
    <row r="396">
      <c r="A396" s="26">
        <f>IF('KOK_NEDEN'!$A396="","",'KOK_NEDEN'!$A396)</f>
        <v/>
      </c>
      <c r="B396" s="16">
        <f>IF($A396="","",IFERROR(INDEX(tblKok[Kova],MATCH($A396,tblKok[A_Norm],0)),""))</f>
        <v/>
      </c>
      <c r="C396" s="16">
        <f>IF($A396="","",IFERROR(INDEX(tblEslesme[Fark],MATCH($A396,tblEslesme[A_Norm],0)),0))</f>
        <v/>
      </c>
      <c r="D396" s="16">
        <f>IF($A396="","",IFERROR(INDEX(tblKok[KokNeden],MATCH($A396,tblKok[A_Norm],0)),""))</f>
        <v/>
      </c>
      <c r="E396" s="16">
        <f>IF($B396&lt;&gt;"tutar_farki","",IF(ABS($C396)&gt;cbb_esikFark,"YUKSEK","NORMAL"))</f>
        <v/>
      </c>
      <c r="F396" s="16">
        <f>IF($B396&lt;&gt;"tutar_farki","","VKN "&amp;$A396&amp;" için cari↔Ba/Bs fark "&amp;TEXT($C396,"0.00")&amp;" TL. Dayanak: "&amp;$D396&amp;". Düzeltme dosyası üretildi.")</f>
        <v/>
      </c>
      <c r="G396" s="16">
        <f>IF($B396&lt;&gt;"tutar_farki","","Beklemede")</f>
        <v/>
      </c>
    </row>
    <row r="397">
      <c r="A397" s="26">
        <f>IF('KOK_NEDEN'!$A397="","",'KOK_NEDEN'!$A397)</f>
        <v/>
      </c>
      <c r="B397" s="16">
        <f>IF($A397="","",IFERROR(INDEX(tblKok[Kova],MATCH($A397,tblKok[A_Norm],0)),""))</f>
        <v/>
      </c>
      <c r="C397" s="16">
        <f>IF($A397="","",IFERROR(INDEX(tblEslesme[Fark],MATCH($A397,tblEslesme[A_Norm],0)),0))</f>
        <v/>
      </c>
      <c r="D397" s="16">
        <f>IF($A397="","",IFERROR(INDEX(tblKok[KokNeden],MATCH($A397,tblKok[A_Norm],0)),""))</f>
        <v/>
      </c>
      <c r="E397" s="16">
        <f>IF($B397&lt;&gt;"tutar_farki","",IF(ABS($C397)&gt;cbb_esikFark,"YUKSEK","NORMAL"))</f>
        <v/>
      </c>
      <c r="F397" s="16">
        <f>IF($B397&lt;&gt;"tutar_farki","","VKN "&amp;$A397&amp;" için cari↔Ba/Bs fark "&amp;TEXT($C397,"0.00")&amp;" TL. Dayanak: "&amp;$D397&amp;". Düzeltme dosyası üretildi.")</f>
        <v/>
      </c>
      <c r="G397" s="16">
        <f>IF($B397&lt;&gt;"tutar_farki","","Beklemede")</f>
        <v/>
      </c>
    </row>
    <row r="398">
      <c r="A398" s="26">
        <f>IF('KOK_NEDEN'!$A398="","",'KOK_NEDEN'!$A398)</f>
        <v/>
      </c>
      <c r="B398" s="16">
        <f>IF($A398="","",IFERROR(INDEX(tblKok[Kova],MATCH($A398,tblKok[A_Norm],0)),""))</f>
        <v/>
      </c>
      <c r="C398" s="16">
        <f>IF($A398="","",IFERROR(INDEX(tblEslesme[Fark],MATCH($A398,tblEslesme[A_Norm],0)),0))</f>
        <v/>
      </c>
      <c r="D398" s="16">
        <f>IF($A398="","",IFERROR(INDEX(tblKok[KokNeden],MATCH($A398,tblKok[A_Norm],0)),""))</f>
        <v/>
      </c>
      <c r="E398" s="16">
        <f>IF($B398&lt;&gt;"tutar_farki","",IF(ABS($C398)&gt;cbb_esikFark,"YUKSEK","NORMAL"))</f>
        <v/>
      </c>
      <c r="F398" s="16">
        <f>IF($B398&lt;&gt;"tutar_farki","","VKN "&amp;$A398&amp;" için cari↔Ba/Bs fark "&amp;TEXT($C398,"0.00")&amp;" TL. Dayanak: "&amp;$D398&amp;". Düzeltme dosyası üretildi.")</f>
        <v/>
      </c>
      <c r="G398" s="16">
        <f>IF($B398&lt;&gt;"tutar_farki","","Beklemede")</f>
        <v/>
      </c>
    </row>
    <row r="399">
      <c r="A399" s="26">
        <f>IF('KOK_NEDEN'!$A399="","",'KOK_NEDEN'!$A399)</f>
        <v/>
      </c>
      <c r="B399" s="16">
        <f>IF($A399="","",IFERROR(INDEX(tblKok[Kova],MATCH($A399,tblKok[A_Norm],0)),""))</f>
        <v/>
      </c>
      <c r="C399" s="16">
        <f>IF($A399="","",IFERROR(INDEX(tblEslesme[Fark],MATCH($A399,tblEslesme[A_Norm],0)),0))</f>
        <v/>
      </c>
      <c r="D399" s="16">
        <f>IF($A399="","",IFERROR(INDEX(tblKok[KokNeden],MATCH($A399,tblKok[A_Norm],0)),""))</f>
        <v/>
      </c>
      <c r="E399" s="16">
        <f>IF($B399&lt;&gt;"tutar_farki","",IF(ABS($C399)&gt;cbb_esikFark,"YUKSEK","NORMAL"))</f>
        <v/>
      </c>
      <c r="F399" s="16">
        <f>IF($B399&lt;&gt;"tutar_farki","","VKN "&amp;$A399&amp;" için cari↔Ba/Bs fark "&amp;TEXT($C399,"0.00")&amp;" TL. Dayanak: "&amp;$D399&amp;". Düzeltme dosyası üretildi.")</f>
        <v/>
      </c>
      <c r="G399" s="16">
        <f>IF($B399&lt;&gt;"tutar_farki","","Beklemede")</f>
        <v/>
      </c>
    </row>
    <row r="400">
      <c r="A400" s="26">
        <f>IF('KOK_NEDEN'!$A400="","",'KOK_NEDEN'!$A400)</f>
        <v/>
      </c>
      <c r="B400" s="16">
        <f>IF($A400="","",IFERROR(INDEX(tblKok[Kova],MATCH($A400,tblKok[A_Norm],0)),""))</f>
        <v/>
      </c>
      <c r="C400" s="16">
        <f>IF($A400="","",IFERROR(INDEX(tblEslesme[Fark],MATCH($A400,tblEslesme[A_Norm],0)),0))</f>
        <v/>
      </c>
      <c r="D400" s="16">
        <f>IF($A400="","",IFERROR(INDEX(tblKok[KokNeden],MATCH($A400,tblKok[A_Norm],0)),""))</f>
        <v/>
      </c>
      <c r="E400" s="16">
        <f>IF($B400&lt;&gt;"tutar_farki","",IF(ABS($C400)&gt;cbb_esikFark,"YUKSEK","NORMAL"))</f>
        <v/>
      </c>
      <c r="F400" s="16">
        <f>IF($B400&lt;&gt;"tutar_farki","","VKN "&amp;$A400&amp;" için cari↔Ba/Bs fark "&amp;TEXT($C400,"0.00")&amp;" TL. Dayanak: "&amp;$D400&amp;". Düzeltme dosyası üretildi.")</f>
        <v/>
      </c>
      <c r="G400" s="16">
        <f>IF($B400&lt;&gt;"tutar_farki","","Beklemede")</f>
        <v/>
      </c>
    </row>
    <row r="401">
      <c r="A401" s="26">
        <f>IF('KOK_NEDEN'!$A401="","",'KOK_NEDEN'!$A401)</f>
        <v/>
      </c>
      <c r="B401" s="16">
        <f>IF($A401="","",IFERROR(INDEX(tblKok[Kova],MATCH($A401,tblKok[A_Norm],0)),""))</f>
        <v/>
      </c>
      <c r="C401" s="16">
        <f>IF($A401="","",IFERROR(INDEX(tblEslesme[Fark],MATCH($A401,tblEslesme[A_Norm],0)),0))</f>
        <v/>
      </c>
      <c r="D401" s="16">
        <f>IF($A401="","",IFERROR(INDEX(tblKok[KokNeden],MATCH($A401,tblKok[A_Norm],0)),""))</f>
        <v/>
      </c>
      <c r="E401" s="16">
        <f>IF($B401&lt;&gt;"tutar_farki","",IF(ABS($C401)&gt;cbb_esikFark,"YUKSEK","NORMAL"))</f>
        <v/>
      </c>
      <c r="F401" s="16">
        <f>IF($B401&lt;&gt;"tutar_farki","","VKN "&amp;$A401&amp;" için cari↔Ba/Bs fark "&amp;TEXT($C401,"0.00")&amp;" TL. Dayanak: "&amp;$D401&amp;". Düzeltme dosyası üretildi.")</f>
        <v/>
      </c>
      <c r="G401" s="16">
        <f>IF($B401&lt;&gt;"tutar_farki","","Beklemede")</f>
        <v/>
      </c>
    </row>
    <row r="402">
      <c r="A402" s="26">
        <f>IF('KOK_NEDEN'!$A402="","",'KOK_NEDEN'!$A402)</f>
        <v/>
      </c>
      <c r="B402" s="16">
        <f>IF($A402="","",IFERROR(INDEX(tblKok[Kova],MATCH($A402,tblKok[A_Norm],0)),""))</f>
        <v/>
      </c>
      <c r="C402" s="16">
        <f>IF($A402="","",IFERROR(INDEX(tblEslesme[Fark],MATCH($A402,tblEslesme[A_Norm],0)),0))</f>
        <v/>
      </c>
      <c r="D402" s="16">
        <f>IF($A402="","",IFERROR(INDEX(tblKok[KokNeden],MATCH($A402,tblKok[A_Norm],0)),""))</f>
        <v/>
      </c>
      <c r="E402" s="16">
        <f>IF($B402&lt;&gt;"tutar_farki","",IF(ABS($C402)&gt;cbb_esikFark,"YUKSEK","NORMAL"))</f>
        <v/>
      </c>
      <c r="F402" s="16">
        <f>IF($B402&lt;&gt;"tutar_farki","","VKN "&amp;$A402&amp;" için cari↔Ba/Bs fark "&amp;TEXT($C402,"0.00")&amp;" TL. Dayanak: "&amp;$D402&amp;". Düzeltme dosyası üretildi.")</f>
        <v/>
      </c>
      <c r="G402" s="16">
        <f>IF($B402&lt;&gt;"tutar_farki","","Beklemede")</f>
        <v/>
      </c>
    </row>
    <row r="403">
      <c r="A403" s="26">
        <f>IF('KOK_NEDEN'!$A403="","",'KOK_NEDEN'!$A403)</f>
        <v/>
      </c>
      <c r="B403" s="16">
        <f>IF($A403="","",IFERROR(INDEX(tblKok[Kova],MATCH($A403,tblKok[A_Norm],0)),""))</f>
        <v/>
      </c>
      <c r="C403" s="16">
        <f>IF($A403="","",IFERROR(INDEX(tblEslesme[Fark],MATCH($A403,tblEslesme[A_Norm],0)),0))</f>
        <v/>
      </c>
      <c r="D403" s="16">
        <f>IF($A403="","",IFERROR(INDEX(tblKok[KokNeden],MATCH($A403,tblKok[A_Norm],0)),""))</f>
        <v/>
      </c>
      <c r="E403" s="16">
        <f>IF($B403&lt;&gt;"tutar_farki","",IF(ABS($C403)&gt;cbb_esikFark,"YUKSEK","NORMAL"))</f>
        <v/>
      </c>
      <c r="F403" s="16">
        <f>IF($B403&lt;&gt;"tutar_farki","","VKN "&amp;$A403&amp;" için cari↔Ba/Bs fark "&amp;TEXT($C403,"0.00")&amp;" TL. Dayanak: "&amp;$D403&amp;". Düzeltme dosyası üretildi.")</f>
        <v/>
      </c>
      <c r="G403" s="16">
        <f>IF($B403&lt;&gt;"tutar_farki","","Beklemede")</f>
        <v/>
      </c>
    </row>
    <row r="404">
      <c r="A404" s="26">
        <f>IF('KOK_NEDEN'!$A404="","",'KOK_NEDEN'!$A404)</f>
        <v/>
      </c>
      <c r="B404" s="16">
        <f>IF($A404="","",IFERROR(INDEX(tblKok[Kova],MATCH($A404,tblKok[A_Norm],0)),""))</f>
        <v/>
      </c>
      <c r="C404" s="16">
        <f>IF($A404="","",IFERROR(INDEX(tblEslesme[Fark],MATCH($A404,tblEslesme[A_Norm],0)),0))</f>
        <v/>
      </c>
      <c r="D404" s="16">
        <f>IF($A404="","",IFERROR(INDEX(tblKok[KokNeden],MATCH($A404,tblKok[A_Norm],0)),""))</f>
        <v/>
      </c>
      <c r="E404" s="16">
        <f>IF($B404&lt;&gt;"tutar_farki","",IF(ABS($C404)&gt;cbb_esikFark,"YUKSEK","NORMAL"))</f>
        <v/>
      </c>
      <c r="F404" s="16">
        <f>IF($B404&lt;&gt;"tutar_farki","","VKN "&amp;$A404&amp;" için cari↔Ba/Bs fark "&amp;TEXT($C404,"0.00")&amp;" TL. Dayanak: "&amp;$D404&amp;". Düzeltme dosyası üretildi.")</f>
        <v/>
      </c>
      <c r="G404" s="16">
        <f>IF($B404&lt;&gt;"tutar_farki","","Beklemede")</f>
        <v/>
      </c>
    </row>
    <row r="405">
      <c r="A405" s="26">
        <f>IF('KOK_NEDEN'!$A405="","",'KOK_NEDEN'!$A405)</f>
        <v/>
      </c>
      <c r="B405" s="16">
        <f>IF($A405="","",IFERROR(INDEX(tblKok[Kova],MATCH($A405,tblKok[A_Norm],0)),""))</f>
        <v/>
      </c>
      <c r="C405" s="16">
        <f>IF($A405="","",IFERROR(INDEX(tblEslesme[Fark],MATCH($A405,tblEslesme[A_Norm],0)),0))</f>
        <v/>
      </c>
      <c r="D405" s="16">
        <f>IF($A405="","",IFERROR(INDEX(tblKok[KokNeden],MATCH($A405,tblKok[A_Norm],0)),""))</f>
        <v/>
      </c>
      <c r="E405" s="16">
        <f>IF($B405&lt;&gt;"tutar_farki","",IF(ABS($C405)&gt;cbb_esikFark,"YUKSEK","NORMAL"))</f>
        <v/>
      </c>
      <c r="F405" s="16">
        <f>IF($B405&lt;&gt;"tutar_farki","","VKN "&amp;$A405&amp;" için cari↔Ba/Bs fark "&amp;TEXT($C405,"0.00")&amp;" TL. Dayanak: "&amp;$D405&amp;". Düzeltme dosyası üretildi.")</f>
        <v/>
      </c>
      <c r="G405" s="16">
        <f>IF($B405&lt;&gt;"tutar_farki","","Beklemede")</f>
        <v/>
      </c>
    </row>
    <row r="406">
      <c r="A406" s="26">
        <f>IF('KOK_NEDEN'!$A406="","",'KOK_NEDEN'!$A406)</f>
        <v/>
      </c>
      <c r="B406" s="16">
        <f>IF($A406="","",IFERROR(INDEX(tblKok[Kova],MATCH($A406,tblKok[A_Norm],0)),""))</f>
        <v/>
      </c>
      <c r="C406" s="16">
        <f>IF($A406="","",IFERROR(INDEX(tblEslesme[Fark],MATCH($A406,tblEslesme[A_Norm],0)),0))</f>
        <v/>
      </c>
      <c r="D406" s="16">
        <f>IF($A406="","",IFERROR(INDEX(tblKok[KokNeden],MATCH($A406,tblKok[A_Norm],0)),""))</f>
        <v/>
      </c>
      <c r="E406" s="16">
        <f>IF($B406&lt;&gt;"tutar_farki","",IF(ABS($C406)&gt;cbb_esikFark,"YUKSEK","NORMAL"))</f>
        <v/>
      </c>
      <c r="F406" s="16">
        <f>IF($B406&lt;&gt;"tutar_farki","","VKN "&amp;$A406&amp;" için cari↔Ba/Bs fark "&amp;TEXT($C406,"0.00")&amp;" TL. Dayanak: "&amp;$D406&amp;". Düzeltme dosyası üretildi.")</f>
        <v/>
      </c>
      <c r="G406" s="16">
        <f>IF($B406&lt;&gt;"tutar_farki","","Beklemede")</f>
        <v/>
      </c>
    </row>
    <row r="407">
      <c r="A407" s="26">
        <f>IF('KOK_NEDEN'!$A407="","",'KOK_NEDEN'!$A407)</f>
        <v/>
      </c>
      <c r="B407" s="16">
        <f>IF($A407="","",IFERROR(INDEX(tblKok[Kova],MATCH($A407,tblKok[A_Norm],0)),""))</f>
        <v/>
      </c>
      <c r="C407" s="16">
        <f>IF($A407="","",IFERROR(INDEX(tblEslesme[Fark],MATCH($A407,tblEslesme[A_Norm],0)),0))</f>
        <v/>
      </c>
      <c r="D407" s="16">
        <f>IF($A407="","",IFERROR(INDEX(tblKok[KokNeden],MATCH($A407,tblKok[A_Norm],0)),""))</f>
        <v/>
      </c>
      <c r="E407" s="16">
        <f>IF($B407&lt;&gt;"tutar_farki","",IF(ABS($C407)&gt;cbb_esikFark,"YUKSEK","NORMAL"))</f>
        <v/>
      </c>
      <c r="F407" s="16">
        <f>IF($B407&lt;&gt;"tutar_farki","","VKN "&amp;$A407&amp;" için cari↔Ba/Bs fark "&amp;TEXT($C407,"0.00")&amp;" TL. Dayanak: "&amp;$D407&amp;". Düzeltme dosyası üretildi.")</f>
        <v/>
      </c>
      <c r="G407" s="16">
        <f>IF($B407&lt;&gt;"tutar_farki","","Beklemede")</f>
        <v/>
      </c>
    </row>
    <row r="408">
      <c r="A408" s="26">
        <f>IF('KOK_NEDEN'!$A408="","",'KOK_NEDEN'!$A408)</f>
        <v/>
      </c>
      <c r="B408" s="16">
        <f>IF($A408="","",IFERROR(INDEX(tblKok[Kova],MATCH($A408,tblKok[A_Norm],0)),""))</f>
        <v/>
      </c>
      <c r="C408" s="16">
        <f>IF($A408="","",IFERROR(INDEX(tblEslesme[Fark],MATCH($A408,tblEslesme[A_Norm],0)),0))</f>
        <v/>
      </c>
      <c r="D408" s="16">
        <f>IF($A408="","",IFERROR(INDEX(tblKok[KokNeden],MATCH($A408,tblKok[A_Norm],0)),""))</f>
        <v/>
      </c>
      <c r="E408" s="16">
        <f>IF($B408&lt;&gt;"tutar_farki","",IF(ABS($C408)&gt;cbb_esikFark,"YUKSEK","NORMAL"))</f>
        <v/>
      </c>
      <c r="F408" s="16">
        <f>IF($B408&lt;&gt;"tutar_farki","","VKN "&amp;$A408&amp;" için cari↔Ba/Bs fark "&amp;TEXT($C408,"0.00")&amp;" TL. Dayanak: "&amp;$D408&amp;". Düzeltme dosyası üretildi.")</f>
        <v/>
      </c>
      <c r="G408" s="16">
        <f>IF($B408&lt;&gt;"tutar_farki","","Beklemede")</f>
        <v/>
      </c>
    </row>
    <row r="409">
      <c r="A409" s="26">
        <f>IF('KOK_NEDEN'!$A409="","",'KOK_NEDEN'!$A409)</f>
        <v/>
      </c>
      <c r="B409" s="16">
        <f>IF($A409="","",IFERROR(INDEX(tblKok[Kova],MATCH($A409,tblKok[A_Norm],0)),""))</f>
        <v/>
      </c>
      <c r="C409" s="16">
        <f>IF($A409="","",IFERROR(INDEX(tblEslesme[Fark],MATCH($A409,tblEslesme[A_Norm],0)),0))</f>
        <v/>
      </c>
      <c r="D409" s="16">
        <f>IF($A409="","",IFERROR(INDEX(tblKok[KokNeden],MATCH($A409,tblKok[A_Norm],0)),""))</f>
        <v/>
      </c>
      <c r="E409" s="16">
        <f>IF($B409&lt;&gt;"tutar_farki","",IF(ABS($C409)&gt;cbb_esikFark,"YUKSEK","NORMAL"))</f>
        <v/>
      </c>
      <c r="F409" s="16">
        <f>IF($B409&lt;&gt;"tutar_farki","","VKN "&amp;$A409&amp;" için cari↔Ba/Bs fark "&amp;TEXT($C409,"0.00")&amp;" TL. Dayanak: "&amp;$D409&amp;". Düzeltme dosyası üretildi.")</f>
        <v/>
      </c>
      <c r="G409" s="16">
        <f>IF($B409&lt;&gt;"tutar_farki","","Beklemede")</f>
        <v/>
      </c>
    </row>
    <row r="410">
      <c r="A410" s="26">
        <f>IF('KOK_NEDEN'!$A410="","",'KOK_NEDEN'!$A410)</f>
        <v/>
      </c>
      <c r="B410" s="16">
        <f>IF($A410="","",IFERROR(INDEX(tblKok[Kova],MATCH($A410,tblKok[A_Norm],0)),""))</f>
        <v/>
      </c>
      <c r="C410" s="16">
        <f>IF($A410="","",IFERROR(INDEX(tblEslesme[Fark],MATCH($A410,tblEslesme[A_Norm],0)),0))</f>
        <v/>
      </c>
      <c r="D410" s="16">
        <f>IF($A410="","",IFERROR(INDEX(tblKok[KokNeden],MATCH($A410,tblKok[A_Norm],0)),""))</f>
        <v/>
      </c>
      <c r="E410" s="16">
        <f>IF($B410&lt;&gt;"tutar_farki","",IF(ABS($C410)&gt;cbb_esikFark,"YUKSEK","NORMAL"))</f>
        <v/>
      </c>
      <c r="F410" s="16">
        <f>IF($B410&lt;&gt;"tutar_farki","","VKN "&amp;$A410&amp;" için cari↔Ba/Bs fark "&amp;TEXT($C410,"0.00")&amp;" TL. Dayanak: "&amp;$D410&amp;". Düzeltme dosyası üretildi.")</f>
        <v/>
      </c>
      <c r="G410" s="16">
        <f>IF($B410&lt;&gt;"tutar_farki","","Beklemede")</f>
        <v/>
      </c>
    </row>
    <row r="411">
      <c r="A411" s="26">
        <f>IF('KOK_NEDEN'!$A411="","",'KOK_NEDEN'!$A411)</f>
        <v/>
      </c>
      <c r="B411" s="16">
        <f>IF($A411="","",IFERROR(INDEX(tblKok[Kova],MATCH($A411,tblKok[A_Norm],0)),""))</f>
        <v/>
      </c>
      <c r="C411" s="16">
        <f>IF($A411="","",IFERROR(INDEX(tblEslesme[Fark],MATCH($A411,tblEslesme[A_Norm],0)),0))</f>
        <v/>
      </c>
      <c r="D411" s="16">
        <f>IF($A411="","",IFERROR(INDEX(tblKok[KokNeden],MATCH($A411,tblKok[A_Norm],0)),""))</f>
        <v/>
      </c>
      <c r="E411" s="16">
        <f>IF($B411&lt;&gt;"tutar_farki","",IF(ABS($C411)&gt;cbb_esikFark,"YUKSEK","NORMAL"))</f>
        <v/>
      </c>
      <c r="F411" s="16">
        <f>IF($B411&lt;&gt;"tutar_farki","","VKN "&amp;$A411&amp;" için cari↔Ba/Bs fark "&amp;TEXT($C411,"0.00")&amp;" TL. Dayanak: "&amp;$D411&amp;". Düzeltme dosyası üretildi.")</f>
        <v/>
      </c>
      <c r="G411" s="16">
        <f>IF($B411&lt;&gt;"tutar_farki","","Beklemede")</f>
        <v/>
      </c>
    </row>
    <row r="412">
      <c r="A412" s="26">
        <f>IF('KOK_NEDEN'!$A412="","",'KOK_NEDEN'!$A412)</f>
        <v/>
      </c>
      <c r="B412" s="16">
        <f>IF($A412="","",IFERROR(INDEX(tblKok[Kova],MATCH($A412,tblKok[A_Norm],0)),""))</f>
        <v/>
      </c>
      <c r="C412" s="16">
        <f>IF($A412="","",IFERROR(INDEX(tblEslesme[Fark],MATCH($A412,tblEslesme[A_Norm],0)),0))</f>
        <v/>
      </c>
      <c r="D412" s="16">
        <f>IF($A412="","",IFERROR(INDEX(tblKok[KokNeden],MATCH($A412,tblKok[A_Norm],0)),""))</f>
        <v/>
      </c>
      <c r="E412" s="16">
        <f>IF($B412&lt;&gt;"tutar_farki","",IF(ABS($C412)&gt;cbb_esikFark,"YUKSEK","NORMAL"))</f>
        <v/>
      </c>
      <c r="F412" s="16">
        <f>IF($B412&lt;&gt;"tutar_farki","","VKN "&amp;$A412&amp;" için cari↔Ba/Bs fark "&amp;TEXT($C412,"0.00")&amp;" TL. Dayanak: "&amp;$D412&amp;". Düzeltme dosyası üretildi.")</f>
        <v/>
      </c>
      <c r="G412" s="16">
        <f>IF($B412&lt;&gt;"tutar_farki","","Beklemede")</f>
        <v/>
      </c>
    </row>
    <row r="413">
      <c r="A413" s="26">
        <f>IF('KOK_NEDEN'!$A413="","",'KOK_NEDEN'!$A413)</f>
        <v/>
      </c>
      <c r="B413" s="16">
        <f>IF($A413="","",IFERROR(INDEX(tblKok[Kova],MATCH($A413,tblKok[A_Norm],0)),""))</f>
        <v/>
      </c>
      <c r="C413" s="16">
        <f>IF($A413="","",IFERROR(INDEX(tblEslesme[Fark],MATCH($A413,tblEslesme[A_Norm],0)),0))</f>
        <v/>
      </c>
      <c r="D413" s="16">
        <f>IF($A413="","",IFERROR(INDEX(tblKok[KokNeden],MATCH($A413,tblKok[A_Norm],0)),""))</f>
        <v/>
      </c>
      <c r="E413" s="16">
        <f>IF($B413&lt;&gt;"tutar_farki","",IF(ABS($C413)&gt;cbb_esikFark,"YUKSEK","NORMAL"))</f>
        <v/>
      </c>
      <c r="F413" s="16">
        <f>IF($B413&lt;&gt;"tutar_farki","","VKN "&amp;$A413&amp;" için cari↔Ba/Bs fark "&amp;TEXT($C413,"0.00")&amp;" TL. Dayanak: "&amp;$D413&amp;". Düzeltme dosyası üretildi.")</f>
        <v/>
      </c>
      <c r="G413" s="16">
        <f>IF($B413&lt;&gt;"tutar_farki","","Beklemede")</f>
        <v/>
      </c>
    </row>
    <row r="414">
      <c r="A414" s="26">
        <f>IF('KOK_NEDEN'!$A414="","",'KOK_NEDEN'!$A414)</f>
        <v/>
      </c>
      <c r="B414" s="16">
        <f>IF($A414="","",IFERROR(INDEX(tblKok[Kova],MATCH($A414,tblKok[A_Norm],0)),""))</f>
        <v/>
      </c>
      <c r="C414" s="16">
        <f>IF($A414="","",IFERROR(INDEX(tblEslesme[Fark],MATCH($A414,tblEslesme[A_Norm],0)),0))</f>
        <v/>
      </c>
      <c r="D414" s="16">
        <f>IF($A414="","",IFERROR(INDEX(tblKok[KokNeden],MATCH($A414,tblKok[A_Norm],0)),""))</f>
        <v/>
      </c>
      <c r="E414" s="16">
        <f>IF($B414&lt;&gt;"tutar_farki","",IF(ABS($C414)&gt;cbb_esikFark,"YUKSEK","NORMAL"))</f>
        <v/>
      </c>
      <c r="F414" s="16">
        <f>IF($B414&lt;&gt;"tutar_farki","","VKN "&amp;$A414&amp;" için cari↔Ba/Bs fark "&amp;TEXT($C414,"0.00")&amp;" TL. Dayanak: "&amp;$D414&amp;". Düzeltme dosyası üretildi.")</f>
        <v/>
      </c>
      <c r="G414" s="16">
        <f>IF($B414&lt;&gt;"tutar_farki","","Beklemede")</f>
        <v/>
      </c>
    </row>
    <row r="415">
      <c r="A415" s="26">
        <f>IF('KOK_NEDEN'!$A415="","",'KOK_NEDEN'!$A415)</f>
        <v/>
      </c>
      <c r="B415" s="16">
        <f>IF($A415="","",IFERROR(INDEX(tblKok[Kova],MATCH($A415,tblKok[A_Norm],0)),""))</f>
        <v/>
      </c>
      <c r="C415" s="16">
        <f>IF($A415="","",IFERROR(INDEX(tblEslesme[Fark],MATCH($A415,tblEslesme[A_Norm],0)),0))</f>
        <v/>
      </c>
      <c r="D415" s="16">
        <f>IF($A415="","",IFERROR(INDEX(tblKok[KokNeden],MATCH($A415,tblKok[A_Norm],0)),""))</f>
        <v/>
      </c>
      <c r="E415" s="16">
        <f>IF($B415&lt;&gt;"tutar_farki","",IF(ABS($C415)&gt;cbb_esikFark,"YUKSEK","NORMAL"))</f>
        <v/>
      </c>
      <c r="F415" s="16">
        <f>IF($B415&lt;&gt;"tutar_farki","","VKN "&amp;$A415&amp;" için cari↔Ba/Bs fark "&amp;TEXT($C415,"0.00")&amp;" TL. Dayanak: "&amp;$D415&amp;". Düzeltme dosyası üretildi.")</f>
        <v/>
      </c>
      <c r="G415" s="16">
        <f>IF($B415&lt;&gt;"tutar_farki","","Beklemede")</f>
        <v/>
      </c>
    </row>
    <row r="416">
      <c r="A416" s="26">
        <f>IF('KOK_NEDEN'!$A416="","",'KOK_NEDEN'!$A416)</f>
        <v/>
      </c>
      <c r="B416" s="16">
        <f>IF($A416="","",IFERROR(INDEX(tblKok[Kova],MATCH($A416,tblKok[A_Norm],0)),""))</f>
        <v/>
      </c>
      <c r="C416" s="16">
        <f>IF($A416="","",IFERROR(INDEX(tblEslesme[Fark],MATCH($A416,tblEslesme[A_Norm],0)),0))</f>
        <v/>
      </c>
      <c r="D416" s="16">
        <f>IF($A416="","",IFERROR(INDEX(tblKok[KokNeden],MATCH($A416,tblKok[A_Norm],0)),""))</f>
        <v/>
      </c>
      <c r="E416" s="16">
        <f>IF($B416&lt;&gt;"tutar_farki","",IF(ABS($C416)&gt;cbb_esikFark,"YUKSEK","NORMAL"))</f>
        <v/>
      </c>
      <c r="F416" s="16">
        <f>IF($B416&lt;&gt;"tutar_farki","","VKN "&amp;$A416&amp;" için cari↔Ba/Bs fark "&amp;TEXT($C416,"0.00")&amp;" TL. Dayanak: "&amp;$D416&amp;". Düzeltme dosyası üretildi.")</f>
        <v/>
      </c>
      <c r="G416" s="16">
        <f>IF($B416&lt;&gt;"tutar_farki","","Beklemede")</f>
        <v/>
      </c>
    </row>
    <row r="417">
      <c r="A417" s="26">
        <f>IF('KOK_NEDEN'!$A417="","",'KOK_NEDEN'!$A417)</f>
        <v/>
      </c>
      <c r="B417" s="16">
        <f>IF($A417="","",IFERROR(INDEX(tblKok[Kova],MATCH($A417,tblKok[A_Norm],0)),""))</f>
        <v/>
      </c>
      <c r="C417" s="16">
        <f>IF($A417="","",IFERROR(INDEX(tblEslesme[Fark],MATCH($A417,tblEslesme[A_Norm],0)),0))</f>
        <v/>
      </c>
      <c r="D417" s="16">
        <f>IF($A417="","",IFERROR(INDEX(tblKok[KokNeden],MATCH($A417,tblKok[A_Norm],0)),""))</f>
        <v/>
      </c>
      <c r="E417" s="16">
        <f>IF($B417&lt;&gt;"tutar_farki","",IF(ABS($C417)&gt;cbb_esikFark,"YUKSEK","NORMAL"))</f>
        <v/>
      </c>
      <c r="F417" s="16">
        <f>IF($B417&lt;&gt;"tutar_farki","","VKN "&amp;$A417&amp;" için cari↔Ba/Bs fark "&amp;TEXT($C417,"0.00")&amp;" TL. Dayanak: "&amp;$D417&amp;". Düzeltme dosyası üretildi.")</f>
        <v/>
      </c>
      <c r="G417" s="16">
        <f>IF($B417&lt;&gt;"tutar_farki","","Beklemede")</f>
        <v/>
      </c>
    </row>
    <row r="418">
      <c r="A418" s="26">
        <f>IF('KOK_NEDEN'!$A418="","",'KOK_NEDEN'!$A418)</f>
        <v/>
      </c>
      <c r="B418" s="16">
        <f>IF($A418="","",IFERROR(INDEX(tblKok[Kova],MATCH($A418,tblKok[A_Norm],0)),""))</f>
        <v/>
      </c>
      <c r="C418" s="16">
        <f>IF($A418="","",IFERROR(INDEX(tblEslesme[Fark],MATCH($A418,tblEslesme[A_Norm],0)),0))</f>
        <v/>
      </c>
      <c r="D418" s="16">
        <f>IF($A418="","",IFERROR(INDEX(tblKok[KokNeden],MATCH($A418,tblKok[A_Norm],0)),""))</f>
        <v/>
      </c>
      <c r="E418" s="16">
        <f>IF($B418&lt;&gt;"tutar_farki","",IF(ABS($C418)&gt;cbb_esikFark,"YUKSEK","NORMAL"))</f>
        <v/>
      </c>
      <c r="F418" s="16">
        <f>IF($B418&lt;&gt;"tutar_farki","","VKN "&amp;$A418&amp;" için cari↔Ba/Bs fark "&amp;TEXT($C418,"0.00")&amp;" TL. Dayanak: "&amp;$D418&amp;". Düzeltme dosyası üretildi.")</f>
        <v/>
      </c>
      <c r="G418" s="16">
        <f>IF($B418&lt;&gt;"tutar_farki","","Beklemede")</f>
        <v/>
      </c>
    </row>
    <row r="419">
      <c r="A419" s="26">
        <f>IF('KOK_NEDEN'!$A419="","",'KOK_NEDEN'!$A419)</f>
        <v/>
      </c>
      <c r="B419" s="16">
        <f>IF($A419="","",IFERROR(INDEX(tblKok[Kova],MATCH($A419,tblKok[A_Norm],0)),""))</f>
        <v/>
      </c>
      <c r="C419" s="16">
        <f>IF($A419="","",IFERROR(INDEX(tblEslesme[Fark],MATCH($A419,tblEslesme[A_Norm],0)),0))</f>
        <v/>
      </c>
      <c r="D419" s="16">
        <f>IF($A419="","",IFERROR(INDEX(tblKok[KokNeden],MATCH($A419,tblKok[A_Norm],0)),""))</f>
        <v/>
      </c>
      <c r="E419" s="16">
        <f>IF($B419&lt;&gt;"tutar_farki","",IF(ABS($C419)&gt;cbb_esikFark,"YUKSEK","NORMAL"))</f>
        <v/>
      </c>
      <c r="F419" s="16">
        <f>IF($B419&lt;&gt;"tutar_farki","","VKN "&amp;$A419&amp;" için cari↔Ba/Bs fark "&amp;TEXT($C419,"0.00")&amp;" TL. Dayanak: "&amp;$D419&amp;". Düzeltme dosyası üretildi.")</f>
        <v/>
      </c>
      <c r="G419" s="16">
        <f>IF($B419&lt;&gt;"tutar_farki","","Beklemede")</f>
        <v/>
      </c>
    </row>
    <row r="420">
      <c r="A420" s="26">
        <f>IF('KOK_NEDEN'!$A420="","",'KOK_NEDEN'!$A420)</f>
        <v/>
      </c>
      <c r="B420" s="16">
        <f>IF($A420="","",IFERROR(INDEX(tblKok[Kova],MATCH($A420,tblKok[A_Norm],0)),""))</f>
        <v/>
      </c>
      <c r="C420" s="16">
        <f>IF($A420="","",IFERROR(INDEX(tblEslesme[Fark],MATCH($A420,tblEslesme[A_Norm],0)),0))</f>
        <v/>
      </c>
      <c r="D420" s="16">
        <f>IF($A420="","",IFERROR(INDEX(tblKok[KokNeden],MATCH($A420,tblKok[A_Norm],0)),""))</f>
        <v/>
      </c>
      <c r="E420" s="16">
        <f>IF($B420&lt;&gt;"tutar_farki","",IF(ABS($C420)&gt;cbb_esikFark,"YUKSEK","NORMAL"))</f>
        <v/>
      </c>
      <c r="F420" s="16">
        <f>IF($B420&lt;&gt;"tutar_farki","","VKN "&amp;$A420&amp;" için cari↔Ba/Bs fark "&amp;TEXT($C420,"0.00")&amp;" TL. Dayanak: "&amp;$D420&amp;". Düzeltme dosyası üretildi.")</f>
        <v/>
      </c>
      <c r="G420" s="16">
        <f>IF($B420&lt;&gt;"tutar_farki","","Beklemede")</f>
        <v/>
      </c>
    </row>
    <row r="421">
      <c r="A421" s="26">
        <f>IF('KOK_NEDEN'!$A421="","",'KOK_NEDEN'!$A421)</f>
        <v/>
      </c>
      <c r="B421" s="16">
        <f>IF($A421="","",IFERROR(INDEX(tblKok[Kova],MATCH($A421,tblKok[A_Norm],0)),""))</f>
        <v/>
      </c>
      <c r="C421" s="16">
        <f>IF($A421="","",IFERROR(INDEX(tblEslesme[Fark],MATCH($A421,tblEslesme[A_Norm],0)),0))</f>
        <v/>
      </c>
      <c r="D421" s="16">
        <f>IF($A421="","",IFERROR(INDEX(tblKok[KokNeden],MATCH($A421,tblKok[A_Norm],0)),""))</f>
        <v/>
      </c>
      <c r="E421" s="16">
        <f>IF($B421&lt;&gt;"tutar_farki","",IF(ABS($C421)&gt;cbb_esikFark,"YUKSEK","NORMAL"))</f>
        <v/>
      </c>
      <c r="F421" s="16">
        <f>IF($B421&lt;&gt;"tutar_farki","","VKN "&amp;$A421&amp;" için cari↔Ba/Bs fark "&amp;TEXT($C421,"0.00")&amp;" TL. Dayanak: "&amp;$D421&amp;". Düzeltme dosyası üretildi.")</f>
        <v/>
      </c>
      <c r="G421" s="16">
        <f>IF($B421&lt;&gt;"tutar_farki","","Beklemede")</f>
        <v/>
      </c>
    </row>
    <row r="422">
      <c r="A422" s="26">
        <f>IF('KOK_NEDEN'!$A422="","",'KOK_NEDEN'!$A422)</f>
        <v/>
      </c>
      <c r="B422" s="16">
        <f>IF($A422="","",IFERROR(INDEX(tblKok[Kova],MATCH($A422,tblKok[A_Norm],0)),""))</f>
        <v/>
      </c>
      <c r="C422" s="16">
        <f>IF($A422="","",IFERROR(INDEX(tblEslesme[Fark],MATCH($A422,tblEslesme[A_Norm],0)),0))</f>
        <v/>
      </c>
      <c r="D422" s="16">
        <f>IF($A422="","",IFERROR(INDEX(tblKok[KokNeden],MATCH($A422,tblKok[A_Norm],0)),""))</f>
        <v/>
      </c>
      <c r="E422" s="16">
        <f>IF($B422&lt;&gt;"tutar_farki","",IF(ABS($C422)&gt;cbb_esikFark,"YUKSEK","NORMAL"))</f>
        <v/>
      </c>
      <c r="F422" s="16">
        <f>IF($B422&lt;&gt;"tutar_farki","","VKN "&amp;$A422&amp;" için cari↔Ba/Bs fark "&amp;TEXT($C422,"0.00")&amp;" TL. Dayanak: "&amp;$D422&amp;". Düzeltme dosyası üretildi.")</f>
        <v/>
      </c>
      <c r="G422" s="16">
        <f>IF($B422&lt;&gt;"tutar_farki","","Beklemede")</f>
        <v/>
      </c>
    </row>
    <row r="423">
      <c r="A423" s="26">
        <f>IF('KOK_NEDEN'!$A423="","",'KOK_NEDEN'!$A423)</f>
        <v/>
      </c>
      <c r="B423" s="16">
        <f>IF($A423="","",IFERROR(INDEX(tblKok[Kova],MATCH($A423,tblKok[A_Norm],0)),""))</f>
        <v/>
      </c>
      <c r="C423" s="16">
        <f>IF($A423="","",IFERROR(INDEX(tblEslesme[Fark],MATCH($A423,tblEslesme[A_Norm],0)),0))</f>
        <v/>
      </c>
      <c r="D423" s="16">
        <f>IF($A423="","",IFERROR(INDEX(tblKok[KokNeden],MATCH($A423,tblKok[A_Norm],0)),""))</f>
        <v/>
      </c>
      <c r="E423" s="16">
        <f>IF($B423&lt;&gt;"tutar_farki","",IF(ABS($C423)&gt;cbb_esikFark,"YUKSEK","NORMAL"))</f>
        <v/>
      </c>
      <c r="F423" s="16">
        <f>IF($B423&lt;&gt;"tutar_farki","","VKN "&amp;$A423&amp;" için cari↔Ba/Bs fark "&amp;TEXT($C423,"0.00")&amp;" TL. Dayanak: "&amp;$D423&amp;". Düzeltme dosyası üretildi.")</f>
        <v/>
      </c>
      <c r="G423" s="16">
        <f>IF($B423&lt;&gt;"tutar_farki","","Beklemede")</f>
        <v/>
      </c>
    </row>
    <row r="424">
      <c r="A424" s="26">
        <f>IF('KOK_NEDEN'!$A424="","",'KOK_NEDEN'!$A424)</f>
        <v/>
      </c>
      <c r="B424" s="16">
        <f>IF($A424="","",IFERROR(INDEX(tblKok[Kova],MATCH($A424,tblKok[A_Norm],0)),""))</f>
        <v/>
      </c>
      <c r="C424" s="16">
        <f>IF($A424="","",IFERROR(INDEX(tblEslesme[Fark],MATCH($A424,tblEslesme[A_Norm],0)),0))</f>
        <v/>
      </c>
      <c r="D424" s="16">
        <f>IF($A424="","",IFERROR(INDEX(tblKok[KokNeden],MATCH($A424,tblKok[A_Norm],0)),""))</f>
        <v/>
      </c>
      <c r="E424" s="16">
        <f>IF($B424&lt;&gt;"tutar_farki","",IF(ABS($C424)&gt;cbb_esikFark,"YUKSEK","NORMAL"))</f>
        <v/>
      </c>
      <c r="F424" s="16">
        <f>IF($B424&lt;&gt;"tutar_farki","","VKN "&amp;$A424&amp;" için cari↔Ba/Bs fark "&amp;TEXT($C424,"0.00")&amp;" TL. Dayanak: "&amp;$D424&amp;". Düzeltme dosyası üretildi.")</f>
        <v/>
      </c>
      <c r="G424" s="16">
        <f>IF($B424&lt;&gt;"tutar_farki","","Beklemede")</f>
        <v/>
      </c>
    </row>
    <row r="425">
      <c r="A425" s="26">
        <f>IF('KOK_NEDEN'!$A425="","",'KOK_NEDEN'!$A425)</f>
        <v/>
      </c>
      <c r="B425" s="16">
        <f>IF($A425="","",IFERROR(INDEX(tblKok[Kova],MATCH($A425,tblKok[A_Norm],0)),""))</f>
        <v/>
      </c>
      <c r="C425" s="16">
        <f>IF($A425="","",IFERROR(INDEX(tblEslesme[Fark],MATCH($A425,tblEslesme[A_Norm],0)),0))</f>
        <v/>
      </c>
      <c r="D425" s="16">
        <f>IF($A425="","",IFERROR(INDEX(tblKok[KokNeden],MATCH($A425,tblKok[A_Norm],0)),""))</f>
        <v/>
      </c>
      <c r="E425" s="16">
        <f>IF($B425&lt;&gt;"tutar_farki","",IF(ABS($C425)&gt;cbb_esikFark,"YUKSEK","NORMAL"))</f>
        <v/>
      </c>
      <c r="F425" s="16">
        <f>IF($B425&lt;&gt;"tutar_farki","","VKN "&amp;$A425&amp;" için cari↔Ba/Bs fark "&amp;TEXT($C425,"0.00")&amp;" TL. Dayanak: "&amp;$D425&amp;". Düzeltme dosyası üretildi.")</f>
        <v/>
      </c>
      <c r="G425" s="16">
        <f>IF($B425&lt;&gt;"tutar_farki","","Beklemede")</f>
        <v/>
      </c>
    </row>
    <row r="426">
      <c r="A426" s="26">
        <f>IF('KOK_NEDEN'!$A426="","",'KOK_NEDEN'!$A426)</f>
        <v/>
      </c>
      <c r="B426" s="16">
        <f>IF($A426="","",IFERROR(INDEX(tblKok[Kova],MATCH($A426,tblKok[A_Norm],0)),""))</f>
        <v/>
      </c>
      <c r="C426" s="16">
        <f>IF($A426="","",IFERROR(INDEX(tblEslesme[Fark],MATCH($A426,tblEslesme[A_Norm],0)),0))</f>
        <v/>
      </c>
      <c r="D426" s="16">
        <f>IF($A426="","",IFERROR(INDEX(tblKok[KokNeden],MATCH($A426,tblKok[A_Norm],0)),""))</f>
        <v/>
      </c>
      <c r="E426" s="16">
        <f>IF($B426&lt;&gt;"tutar_farki","",IF(ABS($C426)&gt;cbb_esikFark,"YUKSEK","NORMAL"))</f>
        <v/>
      </c>
      <c r="F426" s="16">
        <f>IF($B426&lt;&gt;"tutar_farki","","VKN "&amp;$A426&amp;" için cari↔Ba/Bs fark "&amp;TEXT($C426,"0.00")&amp;" TL. Dayanak: "&amp;$D426&amp;". Düzeltme dosyası üretildi.")</f>
        <v/>
      </c>
      <c r="G426" s="16">
        <f>IF($B426&lt;&gt;"tutar_farki","","Beklemede")</f>
        <v/>
      </c>
    </row>
    <row r="427">
      <c r="A427" s="26">
        <f>IF('KOK_NEDEN'!$A427="","",'KOK_NEDEN'!$A427)</f>
        <v/>
      </c>
      <c r="B427" s="16">
        <f>IF($A427="","",IFERROR(INDEX(tblKok[Kova],MATCH($A427,tblKok[A_Norm],0)),""))</f>
        <v/>
      </c>
      <c r="C427" s="16">
        <f>IF($A427="","",IFERROR(INDEX(tblEslesme[Fark],MATCH($A427,tblEslesme[A_Norm],0)),0))</f>
        <v/>
      </c>
      <c r="D427" s="16">
        <f>IF($A427="","",IFERROR(INDEX(tblKok[KokNeden],MATCH($A427,tblKok[A_Norm],0)),""))</f>
        <v/>
      </c>
      <c r="E427" s="16">
        <f>IF($B427&lt;&gt;"tutar_farki","",IF(ABS($C427)&gt;cbb_esikFark,"YUKSEK","NORMAL"))</f>
        <v/>
      </c>
      <c r="F427" s="16">
        <f>IF($B427&lt;&gt;"tutar_farki","","VKN "&amp;$A427&amp;" için cari↔Ba/Bs fark "&amp;TEXT($C427,"0.00")&amp;" TL. Dayanak: "&amp;$D427&amp;". Düzeltme dosyası üretildi.")</f>
        <v/>
      </c>
      <c r="G427" s="16">
        <f>IF($B427&lt;&gt;"tutar_farki","","Beklemede")</f>
        <v/>
      </c>
    </row>
    <row r="428">
      <c r="A428" s="26">
        <f>IF('KOK_NEDEN'!$A428="","",'KOK_NEDEN'!$A428)</f>
        <v/>
      </c>
      <c r="B428" s="16">
        <f>IF($A428="","",IFERROR(INDEX(tblKok[Kova],MATCH($A428,tblKok[A_Norm],0)),""))</f>
        <v/>
      </c>
      <c r="C428" s="16">
        <f>IF($A428="","",IFERROR(INDEX(tblEslesme[Fark],MATCH($A428,tblEslesme[A_Norm],0)),0))</f>
        <v/>
      </c>
      <c r="D428" s="16">
        <f>IF($A428="","",IFERROR(INDEX(tblKok[KokNeden],MATCH($A428,tblKok[A_Norm],0)),""))</f>
        <v/>
      </c>
      <c r="E428" s="16">
        <f>IF($B428&lt;&gt;"tutar_farki","",IF(ABS($C428)&gt;cbb_esikFark,"YUKSEK","NORMAL"))</f>
        <v/>
      </c>
      <c r="F428" s="16">
        <f>IF($B428&lt;&gt;"tutar_farki","","VKN "&amp;$A428&amp;" için cari↔Ba/Bs fark "&amp;TEXT($C428,"0.00")&amp;" TL. Dayanak: "&amp;$D428&amp;". Düzeltme dosyası üretildi.")</f>
        <v/>
      </c>
      <c r="G428" s="16">
        <f>IF($B428&lt;&gt;"tutar_farki","","Beklemede")</f>
        <v/>
      </c>
    </row>
    <row r="429">
      <c r="A429" s="26">
        <f>IF('KOK_NEDEN'!$A429="","",'KOK_NEDEN'!$A429)</f>
        <v/>
      </c>
      <c r="B429" s="16">
        <f>IF($A429="","",IFERROR(INDEX(tblKok[Kova],MATCH($A429,tblKok[A_Norm],0)),""))</f>
        <v/>
      </c>
      <c r="C429" s="16">
        <f>IF($A429="","",IFERROR(INDEX(tblEslesme[Fark],MATCH($A429,tblEslesme[A_Norm],0)),0))</f>
        <v/>
      </c>
      <c r="D429" s="16">
        <f>IF($A429="","",IFERROR(INDEX(tblKok[KokNeden],MATCH($A429,tblKok[A_Norm],0)),""))</f>
        <v/>
      </c>
      <c r="E429" s="16">
        <f>IF($B429&lt;&gt;"tutar_farki","",IF(ABS($C429)&gt;cbb_esikFark,"YUKSEK","NORMAL"))</f>
        <v/>
      </c>
      <c r="F429" s="16">
        <f>IF($B429&lt;&gt;"tutar_farki","","VKN "&amp;$A429&amp;" için cari↔Ba/Bs fark "&amp;TEXT($C429,"0.00")&amp;" TL. Dayanak: "&amp;$D429&amp;". Düzeltme dosyası üretildi.")</f>
        <v/>
      </c>
      <c r="G429" s="16">
        <f>IF($B429&lt;&gt;"tutar_farki","","Beklemede")</f>
        <v/>
      </c>
    </row>
    <row r="430">
      <c r="A430" s="26">
        <f>IF('KOK_NEDEN'!$A430="","",'KOK_NEDEN'!$A430)</f>
        <v/>
      </c>
      <c r="B430" s="16">
        <f>IF($A430="","",IFERROR(INDEX(tblKok[Kova],MATCH($A430,tblKok[A_Norm],0)),""))</f>
        <v/>
      </c>
      <c r="C430" s="16">
        <f>IF($A430="","",IFERROR(INDEX(tblEslesme[Fark],MATCH($A430,tblEslesme[A_Norm],0)),0))</f>
        <v/>
      </c>
      <c r="D430" s="16">
        <f>IF($A430="","",IFERROR(INDEX(tblKok[KokNeden],MATCH($A430,tblKok[A_Norm],0)),""))</f>
        <v/>
      </c>
      <c r="E430" s="16">
        <f>IF($B430&lt;&gt;"tutar_farki","",IF(ABS($C430)&gt;cbb_esikFark,"YUKSEK","NORMAL"))</f>
        <v/>
      </c>
      <c r="F430" s="16">
        <f>IF($B430&lt;&gt;"tutar_farki","","VKN "&amp;$A430&amp;" için cari↔Ba/Bs fark "&amp;TEXT($C430,"0.00")&amp;" TL. Dayanak: "&amp;$D430&amp;". Düzeltme dosyası üretildi.")</f>
        <v/>
      </c>
      <c r="G430" s="16">
        <f>IF($B430&lt;&gt;"tutar_farki","","Beklemede")</f>
        <v/>
      </c>
    </row>
    <row r="431">
      <c r="A431" s="26">
        <f>IF('KOK_NEDEN'!$A431="","",'KOK_NEDEN'!$A431)</f>
        <v/>
      </c>
      <c r="B431" s="16">
        <f>IF($A431="","",IFERROR(INDEX(tblKok[Kova],MATCH($A431,tblKok[A_Norm],0)),""))</f>
        <v/>
      </c>
      <c r="C431" s="16">
        <f>IF($A431="","",IFERROR(INDEX(tblEslesme[Fark],MATCH($A431,tblEslesme[A_Norm],0)),0))</f>
        <v/>
      </c>
      <c r="D431" s="16">
        <f>IF($A431="","",IFERROR(INDEX(tblKok[KokNeden],MATCH($A431,tblKok[A_Norm],0)),""))</f>
        <v/>
      </c>
      <c r="E431" s="16">
        <f>IF($B431&lt;&gt;"tutar_farki","",IF(ABS($C431)&gt;cbb_esikFark,"YUKSEK","NORMAL"))</f>
        <v/>
      </c>
      <c r="F431" s="16">
        <f>IF($B431&lt;&gt;"tutar_farki","","VKN "&amp;$A431&amp;" için cari↔Ba/Bs fark "&amp;TEXT($C431,"0.00")&amp;" TL. Dayanak: "&amp;$D431&amp;". Düzeltme dosyası üretildi.")</f>
        <v/>
      </c>
      <c r="G431" s="16">
        <f>IF($B431&lt;&gt;"tutar_farki","","Beklemede")</f>
        <v/>
      </c>
    </row>
    <row r="432">
      <c r="A432" s="26">
        <f>IF('KOK_NEDEN'!$A432="","",'KOK_NEDEN'!$A432)</f>
        <v/>
      </c>
      <c r="B432" s="16">
        <f>IF($A432="","",IFERROR(INDEX(tblKok[Kova],MATCH($A432,tblKok[A_Norm],0)),""))</f>
        <v/>
      </c>
      <c r="C432" s="16">
        <f>IF($A432="","",IFERROR(INDEX(tblEslesme[Fark],MATCH($A432,tblEslesme[A_Norm],0)),0))</f>
        <v/>
      </c>
      <c r="D432" s="16">
        <f>IF($A432="","",IFERROR(INDEX(tblKok[KokNeden],MATCH($A432,tblKok[A_Norm],0)),""))</f>
        <v/>
      </c>
      <c r="E432" s="16">
        <f>IF($B432&lt;&gt;"tutar_farki","",IF(ABS($C432)&gt;cbb_esikFark,"YUKSEK","NORMAL"))</f>
        <v/>
      </c>
      <c r="F432" s="16">
        <f>IF($B432&lt;&gt;"tutar_farki","","VKN "&amp;$A432&amp;" için cari↔Ba/Bs fark "&amp;TEXT($C432,"0.00")&amp;" TL. Dayanak: "&amp;$D432&amp;". Düzeltme dosyası üretildi.")</f>
        <v/>
      </c>
      <c r="G432" s="16">
        <f>IF($B432&lt;&gt;"tutar_farki","","Beklemede")</f>
        <v/>
      </c>
    </row>
    <row r="433">
      <c r="A433" s="26">
        <f>IF('KOK_NEDEN'!$A433="","",'KOK_NEDEN'!$A433)</f>
        <v/>
      </c>
      <c r="B433" s="16">
        <f>IF($A433="","",IFERROR(INDEX(tblKok[Kova],MATCH($A433,tblKok[A_Norm],0)),""))</f>
        <v/>
      </c>
      <c r="C433" s="16">
        <f>IF($A433="","",IFERROR(INDEX(tblEslesme[Fark],MATCH($A433,tblEslesme[A_Norm],0)),0))</f>
        <v/>
      </c>
      <c r="D433" s="16">
        <f>IF($A433="","",IFERROR(INDEX(tblKok[KokNeden],MATCH($A433,tblKok[A_Norm],0)),""))</f>
        <v/>
      </c>
      <c r="E433" s="16">
        <f>IF($B433&lt;&gt;"tutar_farki","",IF(ABS($C433)&gt;cbb_esikFark,"YUKSEK","NORMAL"))</f>
        <v/>
      </c>
      <c r="F433" s="16">
        <f>IF($B433&lt;&gt;"tutar_farki","","VKN "&amp;$A433&amp;" için cari↔Ba/Bs fark "&amp;TEXT($C433,"0.00")&amp;" TL. Dayanak: "&amp;$D433&amp;". Düzeltme dosyası üretildi.")</f>
        <v/>
      </c>
      <c r="G433" s="16">
        <f>IF($B433&lt;&gt;"tutar_farki","","Beklemede")</f>
        <v/>
      </c>
    </row>
    <row r="434">
      <c r="A434" s="26">
        <f>IF('KOK_NEDEN'!$A434="","",'KOK_NEDEN'!$A434)</f>
        <v/>
      </c>
      <c r="B434" s="16">
        <f>IF($A434="","",IFERROR(INDEX(tblKok[Kova],MATCH($A434,tblKok[A_Norm],0)),""))</f>
        <v/>
      </c>
      <c r="C434" s="16">
        <f>IF($A434="","",IFERROR(INDEX(tblEslesme[Fark],MATCH($A434,tblEslesme[A_Norm],0)),0))</f>
        <v/>
      </c>
      <c r="D434" s="16">
        <f>IF($A434="","",IFERROR(INDEX(tblKok[KokNeden],MATCH($A434,tblKok[A_Norm],0)),""))</f>
        <v/>
      </c>
      <c r="E434" s="16">
        <f>IF($B434&lt;&gt;"tutar_farki","",IF(ABS($C434)&gt;cbb_esikFark,"YUKSEK","NORMAL"))</f>
        <v/>
      </c>
      <c r="F434" s="16">
        <f>IF($B434&lt;&gt;"tutar_farki","","VKN "&amp;$A434&amp;" için cari↔Ba/Bs fark "&amp;TEXT($C434,"0.00")&amp;" TL. Dayanak: "&amp;$D434&amp;". Düzeltme dosyası üretildi.")</f>
        <v/>
      </c>
      <c r="G434" s="16">
        <f>IF($B434&lt;&gt;"tutar_farki","","Beklemede")</f>
        <v/>
      </c>
    </row>
    <row r="435">
      <c r="A435" s="26">
        <f>IF('KOK_NEDEN'!$A435="","",'KOK_NEDEN'!$A435)</f>
        <v/>
      </c>
      <c r="B435" s="16">
        <f>IF($A435="","",IFERROR(INDEX(tblKok[Kova],MATCH($A435,tblKok[A_Norm],0)),""))</f>
        <v/>
      </c>
      <c r="C435" s="16">
        <f>IF($A435="","",IFERROR(INDEX(tblEslesme[Fark],MATCH($A435,tblEslesme[A_Norm],0)),0))</f>
        <v/>
      </c>
      <c r="D435" s="16">
        <f>IF($A435="","",IFERROR(INDEX(tblKok[KokNeden],MATCH($A435,tblKok[A_Norm],0)),""))</f>
        <v/>
      </c>
      <c r="E435" s="16">
        <f>IF($B435&lt;&gt;"tutar_farki","",IF(ABS($C435)&gt;cbb_esikFark,"YUKSEK","NORMAL"))</f>
        <v/>
      </c>
      <c r="F435" s="16">
        <f>IF($B435&lt;&gt;"tutar_farki","","VKN "&amp;$A435&amp;" için cari↔Ba/Bs fark "&amp;TEXT($C435,"0.00")&amp;" TL. Dayanak: "&amp;$D435&amp;". Düzeltme dosyası üretildi.")</f>
        <v/>
      </c>
      <c r="G435" s="16">
        <f>IF($B435&lt;&gt;"tutar_farki","","Beklemede")</f>
        <v/>
      </c>
    </row>
    <row r="436">
      <c r="A436" s="26">
        <f>IF('KOK_NEDEN'!$A436="","",'KOK_NEDEN'!$A436)</f>
        <v/>
      </c>
      <c r="B436" s="16">
        <f>IF($A436="","",IFERROR(INDEX(tblKok[Kova],MATCH($A436,tblKok[A_Norm],0)),""))</f>
        <v/>
      </c>
      <c r="C436" s="16">
        <f>IF($A436="","",IFERROR(INDEX(tblEslesme[Fark],MATCH($A436,tblEslesme[A_Norm],0)),0))</f>
        <v/>
      </c>
      <c r="D436" s="16">
        <f>IF($A436="","",IFERROR(INDEX(tblKok[KokNeden],MATCH($A436,tblKok[A_Norm],0)),""))</f>
        <v/>
      </c>
      <c r="E436" s="16">
        <f>IF($B436&lt;&gt;"tutar_farki","",IF(ABS($C436)&gt;cbb_esikFark,"YUKSEK","NORMAL"))</f>
        <v/>
      </c>
      <c r="F436" s="16">
        <f>IF($B436&lt;&gt;"tutar_farki","","VKN "&amp;$A436&amp;" için cari↔Ba/Bs fark "&amp;TEXT($C436,"0.00")&amp;" TL. Dayanak: "&amp;$D436&amp;". Düzeltme dosyası üretildi.")</f>
        <v/>
      </c>
      <c r="G436" s="16">
        <f>IF($B436&lt;&gt;"tutar_farki","","Beklemede")</f>
        <v/>
      </c>
    </row>
    <row r="437">
      <c r="A437" s="26">
        <f>IF('KOK_NEDEN'!$A437="","",'KOK_NEDEN'!$A437)</f>
        <v/>
      </c>
      <c r="B437" s="16">
        <f>IF($A437="","",IFERROR(INDEX(tblKok[Kova],MATCH($A437,tblKok[A_Norm],0)),""))</f>
        <v/>
      </c>
      <c r="C437" s="16">
        <f>IF($A437="","",IFERROR(INDEX(tblEslesme[Fark],MATCH($A437,tblEslesme[A_Norm],0)),0))</f>
        <v/>
      </c>
      <c r="D437" s="16">
        <f>IF($A437="","",IFERROR(INDEX(tblKok[KokNeden],MATCH($A437,tblKok[A_Norm],0)),""))</f>
        <v/>
      </c>
      <c r="E437" s="16">
        <f>IF($B437&lt;&gt;"tutar_farki","",IF(ABS($C437)&gt;cbb_esikFark,"YUKSEK","NORMAL"))</f>
        <v/>
      </c>
      <c r="F437" s="16">
        <f>IF($B437&lt;&gt;"tutar_farki","","VKN "&amp;$A437&amp;" için cari↔Ba/Bs fark "&amp;TEXT($C437,"0.00")&amp;" TL. Dayanak: "&amp;$D437&amp;". Düzeltme dosyası üretildi.")</f>
        <v/>
      </c>
      <c r="G437" s="16">
        <f>IF($B437&lt;&gt;"tutar_farki","","Beklemede")</f>
        <v/>
      </c>
    </row>
    <row r="438">
      <c r="A438" s="26">
        <f>IF('KOK_NEDEN'!$A438="","",'KOK_NEDEN'!$A438)</f>
        <v/>
      </c>
      <c r="B438" s="16">
        <f>IF($A438="","",IFERROR(INDEX(tblKok[Kova],MATCH($A438,tblKok[A_Norm],0)),""))</f>
        <v/>
      </c>
      <c r="C438" s="16">
        <f>IF($A438="","",IFERROR(INDEX(tblEslesme[Fark],MATCH($A438,tblEslesme[A_Norm],0)),0))</f>
        <v/>
      </c>
      <c r="D438" s="16">
        <f>IF($A438="","",IFERROR(INDEX(tblKok[KokNeden],MATCH($A438,tblKok[A_Norm],0)),""))</f>
        <v/>
      </c>
      <c r="E438" s="16">
        <f>IF($B438&lt;&gt;"tutar_farki","",IF(ABS($C438)&gt;cbb_esikFark,"YUKSEK","NORMAL"))</f>
        <v/>
      </c>
      <c r="F438" s="16">
        <f>IF($B438&lt;&gt;"tutar_farki","","VKN "&amp;$A438&amp;" için cari↔Ba/Bs fark "&amp;TEXT($C438,"0.00")&amp;" TL. Dayanak: "&amp;$D438&amp;". Düzeltme dosyası üretildi.")</f>
        <v/>
      </c>
      <c r="G438" s="16">
        <f>IF($B438&lt;&gt;"tutar_farki","","Beklemede")</f>
        <v/>
      </c>
    </row>
    <row r="439">
      <c r="A439" s="26">
        <f>IF('KOK_NEDEN'!$A439="","",'KOK_NEDEN'!$A439)</f>
        <v/>
      </c>
      <c r="B439" s="16">
        <f>IF($A439="","",IFERROR(INDEX(tblKok[Kova],MATCH($A439,tblKok[A_Norm],0)),""))</f>
        <v/>
      </c>
      <c r="C439" s="16">
        <f>IF($A439="","",IFERROR(INDEX(tblEslesme[Fark],MATCH($A439,tblEslesme[A_Norm],0)),0))</f>
        <v/>
      </c>
      <c r="D439" s="16">
        <f>IF($A439="","",IFERROR(INDEX(tblKok[KokNeden],MATCH($A439,tblKok[A_Norm],0)),""))</f>
        <v/>
      </c>
      <c r="E439" s="16">
        <f>IF($B439&lt;&gt;"tutar_farki","",IF(ABS($C439)&gt;cbb_esikFark,"YUKSEK","NORMAL"))</f>
        <v/>
      </c>
      <c r="F439" s="16">
        <f>IF($B439&lt;&gt;"tutar_farki","","VKN "&amp;$A439&amp;" için cari↔Ba/Bs fark "&amp;TEXT($C439,"0.00")&amp;" TL. Dayanak: "&amp;$D439&amp;". Düzeltme dosyası üretildi.")</f>
        <v/>
      </c>
      <c r="G439" s="16">
        <f>IF($B439&lt;&gt;"tutar_farki","","Beklemede")</f>
        <v/>
      </c>
    </row>
    <row r="440">
      <c r="A440" s="26">
        <f>IF('KOK_NEDEN'!$A440="","",'KOK_NEDEN'!$A440)</f>
        <v/>
      </c>
      <c r="B440" s="16">
        <f>IF($A440="","",IFERROR(INDEX(tblKok[Kova],MATCH($A440,tblKok[A_Norm],0)),""))</f>
        <v/>
      </c>
      <c r="C440" s="16">
        <f>IF($A440="","",IFERROR(INDEX(tblEslesme[Fark],MATCH($A440,tblEslesme[A_Norm],0)),0))</f>
        <v/>
      </c>
      <c r="D440" s="16">
        <f>IF($A440="","",IFERROR(INDEX(tblKok[KokNeden],MATCH($A440,tblKok[A_Norm],0)),""))</f>
        <v/>
      </c>
      <c r="E440" s="16">
        <f>IF($B440&lt;&gt;"tutar_farki","",IF(ABS($C440)&gt;cbb_esikFark,"YUKSEK","NORMAL"))</f>
        <v/>
      </c>
      <c r="F440" s="16">
        <f>IF($B440&lt;&gt;"tutar_farki","","VKN "&amp;$A440&amp;" için cari↔Ba/Bs fark "&amp;TEXT($C440,"0.00")&amp;" TL. Dayanak: "&amp;$D440&amp;". Düzeltme dosyası üretildi.")</f>
        <v/>
      </c>
      <c r="G440" s="16">
        <f>IF($B440&lt;&gt;"tutar_farki","","Beklemede")</f>
        <v/>
      </c>
    </row>
    <row r="441">
      <c r="A441" s="26">
        <f>IF('KOK_NEDEN'!$A441="","",'KOK_NEDEN'!$A441)</f>
        <v/>
      </c>
      <c r="B441" s="16">
        <f>IF($A441="","",IFERROR(INDEX(tblKok[Kova],MATCH($A441,tblKok[A_Norm],0)),""))</f>
        <v/>
      </c>
      <c r="C441" s="16">
        <f>IF($A441="","",IFERROR(INDEX(tblEslesme[Fark],MATCH($A441,tblEslesme[A_Norm],0)),0))</f>
        <v/>
      </c>
      <c r="D441" s="16">
        <f>IF($A441="","",IFERROR(INDEX(tblKok[KokNeden],MATCH($A441,tblKok[A_Norm],0)),""))</f>
        <v/>
      </c>
      <c r="E441" s="16">
        <f>IF($B441&lt;&gt;"tutar_farki","",IF(ABS($C441)&gt;cbb_esikFark,"YUKSEK","NORMAL"))</f>
        <v/>
      </c>
      <c r="F441" s="16">
        <f>IF($B441&lt;&gt;"tutar_farki","","VKN "&amp;$A441&amp;" için cari↔Ba/Bs fark "&amp;TEXT($C441,"0.00")&amp;" TL. Dayanak: "&amp;$D441&amp;". Düzeltme dosyası üretildi.")</f>
        <v/>
      </c>
      <c r="G441" s="16">
        <f>IF($B441&lt;&gt;"tutar_farki","","Beklemede")</f>
        <v/>
      </c>
    </row>
    <row r="442">
      <c r="A442" s="26">
        <f>IF('KOK_NEDEN'!$A442="","",'KOK_NEDEN'!$A442)</f>
        <v/>
      </c>
      <c r="B442" s="16">
        <f>IF($A442="","",IFERROR(INDEX(tblKok[Kova],MATCH($A442,tblKok[A_Norm],0)),""))</f>
        <v/>
      </c>
      <c r="C442" s="16">
        <f>IF($A442="","",IFERROR(INDEX(tblEslesme[Fark],MATCH($A442,tblEslesme[A_Norm],0)),0))</f>
        <v/>
      </c>
      <c r="D442" s="16">
        <f>IF($A442="","",IFERROR(INDEX(tblKok[KokNeden],MATCH($A442,tblKok[A_Norm],0)),""))</f>
        <v/>
      </c>
      <c r="E442" s="16">
        <f>IF($B442&lt;&gt;"tutar_farki","",IF(ABS($C442)&gt;cbb_esikFark,"YUKSEK","NORMAL"))</f>
        <v/>
      </c>
      <c r="F442" s="16">
        <f>IF($B442&lt;&gt;"tutar_farki","","VKN "&amp;$A442&amp;" için cari↔Ba/Bs fark "&amp;TEXT($C442,"0.00")&amp;" TL. Dayanak: "&amp;$D442&amp;". Düzeltme dosyası üretildi.")</f>
        <v/>
      </c>
      <c r="G442" s="16">
        <f>IF($B442&lt;&gt;"tutar_farki","","Beklemede")</f>
        <v/>
      </c>
    </row>
    <row r="443">
      <c r="A443" s="26">
        <f>IF('KOK_NEDEN'!$A443="","",'KOK_NEDEN'!$A443)</f>
        <v/>
      </c>
      <c r="B443" s="16">
        <f>IF($A443="","",IFERROR(INDEX(tblKok[Kova],MATCH($A443,tblKok[A_Norm],0)),""))</f>
        <v/>
      </c>
      <c r="C443" s="16">
        <f>IF($A443="","",IFERROR(INDEX(tblEslesme[Fark],MATCH($A443,tblEslesme[A_Norm],0)),0))</f>
        <v/>
      </c>
      <c r="D443" s="16">
        <f>IF($A443="","",IFERROR(INDEX(tblKok[KokNeden],MATCH($A443,tblKok[A_Norm],0)),""))</f>
        <v/>
      </c>
      <c r="E443" s="16">
        <f>IF($B443&lt;&gt;"tutar_farki","",IF(ABS($C443)&gt;cbb_esikFark,"YUKSEK","NORMAL"))</f>
        <v/>
      </c>
      <c r="F443" s="16">
        <f>IF($B443&lt;&gt;"tutar_farki","","VKN "&amp;$A443&amp;" için cari↔Ba/Bs fark "&amp;TEXT($C443,"0.00")&amp;" TL. Dayanak: "&amp;$D443&amp;". Düzeltme dosyası üretildi.")</f>
        <v/>
      </c>
      <c r="G443" s="16">
        <f>IF($B443&lt;&gt;"tutar_farki","","Beklemede")</f>
        <v/>
      </c>
    </row>
    <row r="444">
      <c r="A444" s="26">
        <f>IF('KOK_NEDEN'!$A444="","",'KOK_NEDEN'!$A444)</f>
        <v/>
      </c>
      <c r="B444" s="16">
        <f>IF($A444="","",IFERROR(INDEX(tblKok[Kova],MATCH($A444,tblKok[A_Norm],0)),""))</f>
        <v/>
      </c>
      <c r="C444" s="16">
        <f>IF($A444="","",IFERROR(INDEX(tblEslesme[Fark],MATCH($A444,tblEslesme[A_Norm],0)),0))</f>
        <v/>
      </c>
      <c r="D444" s="16">
        <f>IF($A444="","",IFERROR(INDEX(tblKok[KokNeden],MATCH($A444,tblKok[A_Norm],0)),""))</f>
        <v/>
      </c>
      <c r="E444" s="16">
        <f>IF($B444&lt;&gt;"tutar_farki","",IF(ABS($C444)&gt;cbb_esikFark,"YUKSEK","NORMAL"))</f>
        <v/>
      </c>
      <c r="F444" s="16">
        <f>IF($B444&lt;&gt;"tutar_farki","","VKN "&amp;$A444&amp;" için cari↔Ba/Bs fark "&amp;TEXT($C444,"0.00")&amp;" TL. Dayanak: "&amp;$D444&amp;". Düzeltme dosyası üretildi.")</f>
        <v/>
      </c>
      <c r="G444" s="16">
        <f>IF($B444&lt;&gt;"tutar_farki","","Beklemede")</f>
        <v/>
      </c>
    </row>
    <row r="445">
      <c r="A445" s="26">
        <f>IF('KOK_NEDEN'!$A445="","",'KOK_NEDEN'!$A445)</f>
        <v/>
      </c>
      <c r="B445" s="16">
        <f>IF($A445="","",IFERROR(INDEX(tblKok[Kova],MATCH($A445,tblKok[A_Norm],0)),""))</f>
        <v/>
      </c>
      <c r="C445" s="16">
        <f>IF($A445="","",IFERROR(INDEX(tblEslesme[Fark],MATCH($A445,tblEslesme[A_Norm],0)),0))</f>
        <v/>
      </c>
      <c r="D445" s="16">
        <f>IF($A445="","",IFERROR(INDEX(tblKok[KokNeden],MATCH($A445,tblKok[A_Norm],0)),""))</f>
        <v/>
      </c>
      <c r="E445" s="16">
        <f>IF($B445&lt;&gt;"tutar_farki","",IF(ABS($C445)&gt;cbb_esikFark,"YUKSEK","NORMAL"))</f>
        <v/>
      </c>
      <c r="F445" s="16">
        <f>IF($B445&lt;&gt;"tutar_farki","","VKN "&amp;$A445&amp;" için cari↔Ba/Bs fark "&amp;TEXT($C445,"0.00")&amp;" TL. Dayanak: "&amp;$D445&amp;". Düzeltme dosyası üretildi.")</f>
        <v/>
      </c>
      <c r="G445" s="16">
        <f>IF($B445&lt;&gt;"tutar_farki","","Beklemede")</f>
        <v/>
      </c>
    </row>
    <row r="446">
      <c r="A446" s="26">
        <f>IF('KOK_NEDEN'!$A446="","",'KOK_NEDEN'!$A446)</f>
        <v/>
      </c>
      <c r="B446" s="16">
        <f>IF($A446="","",IFERROR(INDEX(tblKok[Kova],MATCH($A446,tblKok[A_Norm],0)),""))</f>
        <v/>
      </c>
      <c r="C446" s="16">
        <f>IF($A446="","",IFERROR(INDEX(tblEslesme[Fark],MATCH($A446,tblEslesme[A_Norm],0)),0))</f>
        <v/>
      </c>
      <c r="D446" s="16">
        <f>IF($A446="","",IFERROR(INDEX(tblKok[KokNeden],MATCH($A446,tblKok[A_Norm],0)),""))</f>
        <v/>
      </c>
      <c r="E446" s="16">
        <f>IF($B446&lt;&gt;"tutar_farki","",IF(ABS($C446)&gt;cbb_esikFark,"YUKSEK","NORMAL"))</f>
        <v/>
      </c>
      <c r="F446" s="16">
        <f>IF($B446&lt;&gt;"tutar_farki","","VKN "&amp;$A446&amp;" için cari↔Ba/Bs fark "&amp;TEXT($C446,"0.00")&amp;" TL. Dayanak: "&amp;$D446&amp;". Düzeltme dosyası üretildi.")</f>
        <v/>
      </c>
      <c r="G446" s="16">
        <f>IF($B446&lt;&gt;"tutar_farki","","Beklemede")</f>
        <v/>
      </c>
    </row>
    <row r="447">
      <c r="A447" s="26">
        <f>IF('KOK_NEDEN'!$A447="","",'KOK_NEDEN'!$A447)</f>
        <v/>
      </c>
      <c r="B447" s="16">
        <f>IF($A447="","",IFERROR(INDEX(tblKok[Kova],MATCH($A447,tblKok[A_Norm],0)),""))</f>
        <v/>
      </c>
      <c r="C447" s="16">
        <f>IF($A447="","",IFERROR(INDEX(tblEslesme[Fark],MATCH($A447,tblEslesme[A_Norm],0)),0))</f>
        <v/>
      </c>
      <c r="D447" s="16">
        <f>IF($A447="","",IFERROR(INDEX(tblKok[KokNeden],MATCH($A447,tblKok[A_Norm],0)),""))</f>
        <v/>
      </c>
      <c r="E447" s="16">
        <f>IF($B447&lt;&gt;"tutar_farki","",IF(ABS($C447)&gt;cbb_esikFark,"YUKSEK","NORMAL"))</f>
        <v/>
      </c>
      <c r="F447" s="16">
        <f>IF($B447&lt;&gt;"tutar_farki","","VKN "&amp;$A447&amp;" için cari↔Ba/Bs fark "&amp;TEXT($C447,"0.00")&amp;" TL. Dayanak: "&amp;$D447&amp;". Düzeltme dosyası üretildi.")</f>
        <v/>
      </c>
      <c r="G447" s="16">
        <f>IF($B447&lt;&gt;"tutar_farki","","Beklemede")</f>
        <v/>
      </c>
    </row>
    <row r="448">
      <c r="A448" s="26">
        <f>IF('KOK_NEDEN'!$A448="","",'KOK_NEDEN'!$A448)</f>
        <v/>
      </c>
      <c r="B448" s="16">
        <f>IF($A448="","",IFERROR(INDEX(tblKok[Kova],MATCH($A448,tblKok[A_Norm],0)),""))</f>
        <v/>
      </c>
      <c r="C448" s="16">
        <f>IF($A448="","",IFERROR(INDEX(tblEslesme[Fark],MATCH($A448,tblEslesme[A_Norm],0)),0))</f>
        <v/>
      </c>
      <c r="D448" s="16">
        <f>IF($A448="","",IFERROR(INDEX(tblKok[KokNeden],MATCH($A448,tblKok[A_Norm],0)),""))</f>
        <v/>
      </c>
      <c r="E448" s="16">
        <f>IF($B448&lt;&gt;"tutar_farki","",IF(ABS($C448)&gt;cbb_esikFark,"YUKSEK","NORMAL"))</f>
        <v/>
      </c>
      <c r="F448" s="16">
        <f>IF($B448&lt;&gt;"tutar_farki","","VKN "&amp;$A448&amp;" için cari↔Ba/Bs fark "&amp;TEXT($C448,"0.00")&amp;" TL. Dayanak: "&amp;$D448&amp;". Düzeltme dosyası üretildi.")</f>
        <v/>
      </c>
      <c r="G448" s="16">
        <f>IF($B448&lt;&gt;"tutar_farki","","Beklemede")</f>
        <v/>
      </c>
    </row>
    <row r="449">
      <c r="A449" s="26">
        <f>IF('KOK_NEDEN'!$A449="","",'KOK_NEDEN'!$A449)</f>
        <v/>
      </c>
      <c r="B449" s="16">
        <f>IF($A449="","",IFERROR(INDEX(tblKok[Kova],MATCH($A449,tblKok[A_Norm],0)),""))</f>
        <v/>
      </c>
      <c r="C449" s="16">
        <f>IF($A449="","",IFERROR(INDEX(tblEslesme[Fark],MATCH($A449,tblEslesme[A_Norm],0)),0))</f>
        <v/>
      </c>
      <c r="D449" s="16">
        <f>IF($A449="","",IFERROR(INDEX(tblKok[KokNeden],MATCH($A449,tblKok[A_Norm],0)),""))</f>
        <v/>
      </c>
      <c r="E449" s="16">
        <f>IF($B449&lt;&gt;"tutar_farki","",IF(ABS($C449)&gt;cbb_esikFark,"YUKSEK","NORMAL"))</f>
        <v/>
      </c>
      <c r="F449" s="16">
        <f>IF($B449&lt;&gt;"tutar_farki","","VKN "&amp;$A449&amp;" için cari↔Ba/Bs fark "&amp;TEXT($C449,"0.00")&amp;" TL. Dayanak: "&amp;$D449&amp;". Düzeltme dosyası üretildi.")</f>
        <v/>
      </c>
      <c r="G449" s="16">
        <f>IF($B449&lt;&gt;"tutar_farki","","Beklemede")</f>
        <v/>
      </c>
    </row>
    <row r="450">
      <c r="A450" s="26">
        <f>IF('KOK_NEDEN'!$A450="","",'KOK_NEDEN'!$A450)</f>
        <v/>
      </c>
      <c r="B450" s="16">
        <f>IF($A450="","",IFERROR(INDEX(tblKok[Kova],MATCH($A450,tblKok[A_Norm],0)),""))</f>
        <v/>
      </c>
      <c r="C450" s="16">
        <f>IF($A450="","",IFERROR(INDEX(tblEslesme[Fark],MATCH($A450,tblEslesme[A_Norm],0)),0))</f>
        <v/>
      </c>
      <c r="D450" s="16">
        <f>IF($A450="","",IFERROR(INDEX(tblKok[KokNeden],MATCH($A450,tblKok[A_Norm],0)),""))</f>
        <v/>
      </c>
      <c r="E450" s="16">
        <f>IF($B450&lt;&gt;"tutar_farki","",IF(ABS($C450)&gt;cbb_esikFark,"YUKSEK","NORMAL"))</f>
        <v/>
      </c>
      <c r="F450" s="16">
        <f>IF($B450&lt;&gt;"tutar_farki","","VKN "&amp;$A450&amp;" için cari↔Ba/Bs fark "&amp;TEXT($C450,"0.00")&amp;" TL. Dayanak: "&amp;$D450&amp;". Düzeltme dosyası üretildi.")</f>
        <v/>
      </c>
      <c r="G450" s="16">
        <f>IF($B450&lt;&gt;"tutar_farki","","Beklemede")</f>
        <v/>
      </c>
    </row>
    <row r="451">
      <c r="A451" s="26">
        <f>IF('KOK_NEDEN'!$A451="","",'KOK_NEDEN'!$A451)</f>
        <v/>
      </c>
      <c r="B451" s="16">
        <f>IF($A451="","",IFERROR(INDEX(tblKok[Kova],MATCH($A451,tblKok[A_Norm],0)),""))</f>
        <v/>
      </c>
      <c r="C451" s="16">
        <f>IF($A451="","",IFERROR(INDEX(tblEslesme[Fark],MATCH($A451,tblEslesme[A_Norm],0)),0))</f>
        <v/>
      </c>
      <c r="D451" s="16">
        <f>IF($A451="","",IFERROR(INDEX(tblKok[KokNeden],MATCH($A451,tblKok[A_Norm],0)),""))</f>
        <v/>
      </c>
      <c r="E451" s="16">
        <f>IF($B451&lt;&gt;"tutar_farki","",IF(ABS($C451)&gt;cbb_esikFark,"YUKSEK","NORMAL"))</f>
        <v/>
      </c>
      <c r="F451" s="16">
        <f>IF($B451&lt;&gt;"tutar_farki","","VKN "&amp;$A451&amp;" için cari↔Ba/Bs fark "&amp;TEXT($C451,"0.00")&amp;" TL. Dayanak: "&amp;$D451&amp;". Düzeltme dosyası üretildi.")</f>
        <v/>
      </c>
      <c r="G451" s="16">
        <f>IF($B451&lt;&gt;"tutar_farki","","Beklemede")</f>
        <v/>
      </c>
    </row>
    <row r="452">
      <c r="A452" s="26">
        <f>IF('KOK_NEDEN'!$A452="","",'KOK_NEDEN'!$A452)</f>
        <v/>
      </c>
      <c r="B452" s="16">
        <f>IF($A452="","",IFERROR(INDEX(tblKok[Kova],MATCH($A452,tblKok[A_Norm],0)),""))</f>
        <v/>
      </c>
      <c r="C452" s="16">
        <f>IF($A452="","",IFERROR(INDEX(tblEslesme[Fark],MATCH($A452,tblEslesme[A_Norm],0)),0))</f>
        <v/>
      </c>
      <c r="D452" s="16">
        <f>IF($A452="","",IFERROR(INDEX(tblKok[KokNeden],MATCH($A452,tblKok[A_Norm],0)),""))</f>
        <v/>
      </c>
      <c r="E452" s="16">
        <f>IF($B452&lt;&gt;"tutar_farki","",IF(ABS($C452)&gt;cbb_esikFark,"YUKSEK","NORMAL"))</f>
        <v/>
      </c>
      <c r="F452" s="16">
        <f>IF($B452&lt;&gt;"tutar_farki","","VKN "&amp;$A452&amp;" için cari↔Ba/Bs fark "&amp;TEXT($C452,"0.00")&amp;" TL. Dayanak: "&amp;$D452&amp;". Düzeltme dosyası üretildi.")</f>
        <v/>
      </c>
      <c r="G452" s="16">
        <f>IF($B452&lt;&gt;"tutar_farki","","Beklemede")</f>
        <v/>
      </c>
    </row>
    <row r="453">
      <c r="A453" s="26">
        <f>IF('KOK_NEDEN'!$A453="","",'KOK_NEDEN'!$A453)</f>
        <v/>
      </c>
      <c r="B453" s="16">
        <f>IF($A453="","",IFERROR(INDEX(tblKok[Kova],MATCH($A453,tblKok[A_Norm],0)),""))</f>
        <v/>
      </c>
      <c r="C453" s="16">
        <f>IF($A453="","",IFERROR(INDEX(tblEslesme[Fark],MATCH($A453,tblEslesme[A_Norm],0)),0))</f>
        <v/>
      </c>
      <c r="D453" s="16">
        <f>IF($A453="","",IFERROR(INDEX(tblKok[KokNeden],MATCH($A453,tblKok[A_Norm],0)),""))</f>
        <v/>
      </c>
      <c r="E453" s="16">
        <f>IF($B453&lt;&gt;"tutar_farki","",IF(ABS($C453)&gt;cbb_esikFark,"YUKSEK","NORMAL"))</f>
        <v/>
      </c>
      <c r="F453" s="16">
        <f>IF($B453&lt;&gt;"tutar_farki","","VKN "&amp;$A453&amp;" için cari↔Ba/Bs fark "&amp;TEXT($C453,"0.00")&amp;" TL. Dayanak: "&amp;$D453&amp;". Düzeltme dosyası üretildi.")</f>
        <v/>
      </c>
      <c r="G453" s="16">
        <f>IF($B453&lt;&gt;"tutar_farki","","Beklemede")</f>
        <v/>
      </c>
    </row>
    <row r="454">
      <c r="A454" s="26">
        <f>IF('KOK_NEDEN'!$A454="","",'KOK_NEDEN'!$A454)</f>
        <v/>
      </c>
      <c r="B454" s="16">
        <f>IF($A454="","",IFERROR(INDEX(tblKok[Kova],MATCH($A454,tblKok[A_Norm],0)),""))</f>
        <v/>
      </c>
      <c r="C454" s="16">
        <f>IF($A454="","",IFERROR(INDEX(tblEslesme[Fark],MATCH($A454,tblEslesme[A_Norm],0)),0))</f>
        <v/>
      </c>
      <c r="D454" s="16">
        <f>IF($A454="","",IFERROR(INDEX(tblKok[KokNeden],MATCH($A454,tblKok[A_Norm],0)),""))</f>
        <v/>
      </c>
      <c r="E454" s="16">
        <f>IF($B454&lt;&gt;"tutar_farki","",IF(ABS($C454)&gt;cbb_esikFark,"YUKSEK","NORMAL"))</f>
        <v/>
      </c>
      <c r="F454" s="16">
        <f>IF($B454&lt;&gt;"tutar_farki","","VKN "&amp;$A454&amp;" için cari↔Ba/Bs fark "&amp;TEXT($C454,"0.00")&amp;" TL. Dayanak: "&amp;$D454&amp;". Düzeltme dosyası üretildi.")</f>
        <v/>
      </c>
      <c r="G454" s="16">
        <f>IF($B454&lt;&gt;"tutar_farki","","Beklemede")</f>
        <v/>
      </c>
    </row>
    <row r="455">
      <c r="A455" s="26">
        <f>IF('KOK_NEDEN'!$A455="","",'KOK_NEDEN'!$A455)</f>
        <v/>
      </c>
      <c r="B455" s="16">
        <f>IF($A455="","",IFERROR(INDEX(tblKok[Kova],MATCH($A455,tblKok[A_Norm],0)),""))</f>
        <v/>
      </c>
      <c r="C455" s="16">
        <f>IF($A455="","",IFERROR(INDEX(tblEslesme[Fark],MATCH($A455,tblEslesme[A_Norm],0)),0))</f>
        <v/>
      </c>
      <c r="D455" s="16">
        <f>IF($A455="","",IFERROR(INDEX(tblKok[KokNeden],MATCH($A455,tblKok[A_Norm],0)),""))</f>
        <v/>
      </c>
      <c r="E455" s="16">
        <f>IF($B455&lt;&gt;"tutar_farki","",IF(ABS($C455)&gt;cbb_esikFark,"YUKSEK","NORMAL"))</f>
        <v/>
      </c>
      <c r="F455" s="16">
        <f>IF($B455&lt;&gt;"tutar_farki","","VKN "&amp;$A455&amp;" için cari↔Ba/Bs fark "&amp;TEXT($C455,"0.00")&amp;" TL. Dayanak: "&amp;$D455&amp;". Düzeltme dosyası üretildi.")</f>
        <v/>
      </c>
      <c r="G455" s="16">
        <f>IF($B455&lt;&gt;"tutar_farki","","Beklemede")</f>
        <v/>
      </c>
    </row>
    <row r="456">
      <c r="A456" s="26">
        <f>IF('KOK_NEDEN'!$A456="","",'KOK_NEDEN'!$A456)</f>
        <v/>
      </c>
      <c r="B456" s="16">
        <f>IF($A456="","",IFERROR(INDEX(tblKok[Kova],MATCH($A456,tblKok[A_Norm],0)),""))</f>
        <v/>
      </c>
      <c r="C456" s="16">
        <f>IF($A456="","",IFERROR(INDEX(tblEslesme[Fark],MATCH($A456,tblEslesme[A_Norm],0)),0))</f>
        <v/>
      </c>
      <c r="D456" s="16">
        <f>IF($A456="","",IFERROR(INDEX(tblKok[KokNeden],MATCH($A456,tblKok[A_Norm],0)),""))</f>
        <v/>
      </c>
      <c r="E456" s="16">
        <f>IF($B456&lt;&gt;"tutar_farki","",IF(ABS($C456)&gt;cbb_esikFark,"YUKSEK","NORMAL"))</f>
        <v/>
      </c>
      <c r="F456" s="16">
        <f>IF($B456&lt;&gt;"tutar_farki","","VKN "&amp;$A456&amp;" için cari↔Ba/Bs fark "&amp;TEXT($C456,"0.00")&amp;" TL. Dayanak: "&amp;$D456&amp;". Düzeltme dosyası üretildi.")</f>
        <v/>
      </c>
      <c r="G456" s="16">
        <f>IF($B456&lt;&gt;"tutar_farki","","Beklemede")</f>
        <v/>
      </c>
    </row>
    <row r="457">
      <c r="A457" s="26">
        <f>IF('KOK_NEDEN'!$A457="","",'KOK_NEDEN'!$A457)</f>
        <v/>
      </c>
      <c r="B457" s="16">
        <f>IF($A457="","",IFERROR(INDEX(tblKok[Kova],MATCH($A457,tblKok[A_Norm],0)),""))</f>
        <v/>
      </c>
      <c r="C457" s="16">
        <f>IF($A457="","",IFERROR(INDEX(tblEslesme[Fark],MATCH($A457,tblEslesme[A_Norm],0)),0))</f>
        <v/>
      </c>
      <c r="D457" s="16">
        <f>IF($A457="","",IFERROR(INDEX(tblKok[KokNeden],MATCH($A457,tblKok[A_Norm],0)),""))</f>
        <v/>
      </c>
      <c r="E457" s="16">
        <f>IF($B457&lt;&gt;"tutar_farki","",IF(ABS($C457)&gt;cbb_esikFark,"YUKSEK","NORMAL"))</f>
        <v/>
      </c>
      <c r="F457" s="16">
        <f>IF($B457&lt;&gt;"tutar_farki","","VKN "&amp;$A457&amp;" için cari↔Ba/Bs fark "&amp;TEXT($C457,"0.00")&amp;" TL. Dayanak: "&amp;$D457&amp;". Düzeltme dosyası üretildi.")</f>
        <v/>
      </c>
      <c r="G457" s="16">
        <f>IF($B457&lt;&gt;"tutar_farki","","Beklemede")</f>
        <v/>
      </c>
    </row>
    <row r="458">
      <c r="A458" s="26">
        <f>IF('KOK_NEDEN'!$A458="","",'KOK_NEDEN'!$A458)</f>
        <v/>
      </c>
      <c r="B458" s="16">
        <f>IF($A458="","",IFERROR(INDEX(tblKok[Kova],MATCH($A458,tblKok[A_Norm],0)),""))</f>
        <v/>
      </c>
      <c r="C458" s="16">
        <f>IF($A458="","",IFERROR(INDEX(tblEslesme[Fark],MATCH($A458,tblEslesme[A_Norm],0)),0))</f>
        <v/>
      </c>
      <c r="D458" s="16">
        <f>IF($A458="","",IFERROR(INDEX(tblKok[KokNeden],MATCH($A458,tblKok[A_Norm],0)),""))</f>
        <v/>
      </c>
      <c r="E458" s="16">
        <f>IF($B458&lt;&gt;"tutar_farki","",IF(ABS($C458)&gt;cbb_esikFark,"YUKSEK","NORMAL"))</f>
        <v/>
      </c>
      <c r="F458" s="16">
        <f>IF($B458&lt;&gt;"tutar_farki","","VKN "&amp;$A458&amp;" için cari↔Ba/Bs fark "&amp;TEXT($C458,"0.00")&amp;" TL. Dayanak: "&amp;$D458&amp;". Düzeltme dosyası üretildi.")</f>
        <v/>
      </c>
      <c r="G458" s="16">
        <f>IF($B458&lt;&gt;"tutar_farki","","Beklemede")</f>
        <v/>
      </c>
    </row>
    <row r="459">
      <c r="A459" s="26">
        <f>IF('KOK_NEDEN'!$A459="","",'KOK_NEDEN'!$A459)</f>
        <v/>
      </c>
      <c r="B459" s="16">
        <f>IF($A459="","",IFERROR(INDEX(tblKok[Kova],MATCH($A459,tblKok[A_Norm],0)),""))</f>
        <v/>
      </c>
      <c r="C459" s="16">
        <f>IF($A459="","",IFERROR(INDEX(tblEslesme[Fark],MATCH($A459,tblEslesme[A_Norm],0)),0))</f>
        <v/>
      </c>
      <c r="D459" s="16">
        <f>IF($A459="","",IFERROR(INDEX(tblKok[KokNeden],MATCH($A459,tblKok[A_Norm],0)),""))</f>
        <v/>
      </c>
      <c r="E459" s="16">
        <f>IF($B459&lt;&gt;"tutar_farki","",IF(ABS($C459)&gt;cbb_esikFark,"YUKSEK","NORMAL"))</f>
        <v/>
      </c>
      <c r="F459" s="16">
        <f>IF($B459&lt;&gt;"tutar_farki","","VKN "&amp;$A459&amp;" için cari↔Ba/Bs fark "&amp;TEXT($C459,"0.00")&amp;" TL. Dayanak: "&amp;$D459&amp;". Düzeltme dosyası üretildi.")</f>
        <v/>
      </c>
      <c r="G459" s="16">
        <f>IF($B459&lt;&gt;"tutar_farki","","Beklemede")</f>
        <v/>
      </c>
    </row>
    <row r="460">
      <c r="A460" s="26">
        <f>IF('KOK_NEDEN'!$A460="","",'KOK_NEDEN'!$A460)</f>
        <v/>
      </c>
      <c r="B460" s="16">
        <f>IF($A460="","",IFERROR(INDEX(tblKok[Kova],MATCH($A460,tblKok[A_Norm],0)),""))</f>
        <v/>
      </c>
      <c r="C460" s="16">
        <f>IF($A460="","",IFERROR(INDEX(tblEslesme[Fark],MATCH($A460,tblEslesme[A_Norm],0)),0))</f>
        <v/>
      </c>
      <c r="D460" s="16">
        <f>IF($A460="","",IFERROR(INDEX(tblKok[KokNeden],MATCH($A460,tblKok[A_Norm],0)),""))</f>
        <v/>
      </c>
      <c r="E460" s="16">
        <f>IF($B460&lt;&gt;"tutar_farki","",IF(ABS($C460)&gt;cbb_esikFark,"YUKSEK","NORMAL"))</f>
        <v/>
      </c>
      <c r="F460" s="16">
        <f>IF($B460&lt;&gt;"tutar_farki","","VKN "&amp;$A460&amp;" için cari↔Ba/Bs fark "&amp;TEXT($C460,"0.00")&amp;" TL. Dayanak: "&amp;$D460&amp;". Düzeltme dosyası üretildi.")</f>
        <v/>
      </c>
      <c r="G460" s="16">
        <f>IF($B460&lt;&gt;"tutar_farki","","Beklemede")</f>
        <v/>
      </c>
    </row>
    <row r="461">
      <c r="A461" s="26">
        <f>IF('KOK_NEDEN'!$A461="","",'KOK_NEDEN'!$A461)</f>
        <v/>
      </c>
      <c r="B461" s="16">
        <f>IF($A461="","",IFERROR(INDEX(tblKok[Kova],MATCH($A461,tblKok[A_Norm],0)),""))</f>
        <v/>
      </c>
      <c r="C461" s="16">
        <f>IF($A461="","",IFERROR(INDEX(tblEslesme[Fark],MATCH($A461,tblEslesme[A_Norm],0)),0))</f>
        <v/>
      </c>
      <c r="D461" s="16">
        <f>IF($A461="","",IFERROR(INDEX(tblKok[KokNeden],MATCH($A461,tblKok[A_Norm],0)),""))</f>
        <v/>
      </c>
      <c r="E461" s="16">
        <f>IF($B461&lt;&gt;"tutar_farki","",IF(ABS($C461)&gt;cbb_esikFark,"YUKSEK","NORMAL"))</f>
        <v/>
      </c>
      <c r="F461" s="16">
        <f>IF($B461&lt;&gt;"tutar_farki","","VKN "&amp;$A461&amp;" için cari↔Ba/Bs fark "&amp;TEXT($C461,"0.00")&amp;" TL. Dayanak: "&amp;$D461&amp;". Düzeltme dosyası üretildi.")</f>
        <v/>
      </c>
      <c r="G461" s="16">
        <f>IF($B461&lt;&gt;"tutar_farki","","Beklemede")</f>
        <v/>
      </c>
    </row>
    <row r="462">
      <c r="A462" s="26">
        <f>IF('KOK_NEDEN'!$A462="","",'KOK_NEDEN'!$A462)</f>
        <v/>
      </c>
      <c r="B462" s="16">
        <f>IF($A462="","",IFERROR(INDEX(tblKok[Kova],MATCH($A462,tblKok[A_Norm],0)),""))</f>
        <v/>
      </c>
      <c r="C462" s="16">
        <f>IF($A462="","",IFERROR(INDEX(tblEslesme[Fark],MATCH($A462,tblEslesme[A_Norm],0)),0))</f>
        <v/>
      </c>
      <c r="D462" s="16">
        <f>IF($A462="","",IFERROR(INDEX(tblKok[KokNeden],MATCH($A462,tblKok[A_Norm],0)),""))</f>
        <v/>
      </c>
      <c r="E462" s="16">
        <f>IF($B462&lt;&gt;"tutar_farki","",IF(ABS($C462)&gt;cbb_esikFark,"YUKSEK","NORMAL"))</f>
        <v/>
      </c>
      <c r="F462" s="16">
        <f>IF($B462&lt;&gt;"tutar_farki","","VKN "&amp;$A462&amp;" için cari↔Ba/Bs fark "&amp;TEXT($C462,"0.00")&amp;" TL. Dayanak: "&amp;$D462&amp;". Düzeltme dosyası üretildi.")</f>
        <v/>
      </c>
      <c r="G462" s="16">
        <f>IF($B462&lt;&gt;"tutar_farki","","Beklemede")</f>
        <v/>
      </c>
    </row>
    <row r="463">
      <c r="A463" s="26">
        <f>IF('KOK_NEDEN'!$A463="","",'KOK_NEDEN'!$A463)</f>
        <v/>
      </c>
      <c r="B463" s="16">
        <f>IF($A463="","",IFERROR(INDEX(tblKok[Kova],MATCH($A463,tblKok[A_Norm],0)),""))</f>
        <v/>
      </c>
      <c r="C463" s="16">
        <f>IF($A463="","",IFERROR(INDEX(tblEslesme[Fark],MATCH($A463,tblEslesme[A_Norm],0)),0))</f>
        <v/>
      </c>
      <c r="D463" s="16">
        <f>IF($A463="","",IFERROR(INDEX(tblKok[KokNeden],MATCH($A463,tblKok[A_Norm],0)),""))</f>
        <v/>
      </c>
      <c r="E463" s="16">
        <f>IF($B463&lt;&gt;"tutar_farki","",IF(ABS($C463)&gt;cbb_esikFark,"YUKSEK","NORMAL"))</f>
        <v/>
      </c>
      <c r="F463" s="16">
        <f>IF($B463&lt;&gt;"tutar_farki","","VKN "&amp;$A463&amp;" için cari↔Ba/Bs fark "&amp;TEXT($C463,"0.00")&amp;" TL. Dayanak: "&amp;$D463&amp;". Düzeltme dosyası üretildi.")</f>
        <v/>
      </c>
      <c r="G463" s="16">
        <f>IF($B463&lt;&gt;"tutar_farki","","Beklemede")</f>
        <v/>
      </c>
    </row>
    <row r="464">
      <c r="A464" s="26">
        <f>IF('KOK_NEDEN'!$A464="","",'KOK_NEDEN'!$A464)</f>
        <v/>
      </c>
      <c r="B464" s="16">
        <f>IF($A464="","",IFERROR(INDEX(tblKok[Kova],MATCH($A464,tblKok[A_Norm],0)),""))</f>
        <v/>
      </c>
      <c r="C464" s="16">
        <f>IF($A464="","",IFERROR(INDEX(tblEslesme[Fark],MATCH($A464,tblEslesme[A_Norm],0)),0))</f>
        <v/>
      </c>
      <c r="D464" s="16">
        <f>IF($A464="","",IFERROR(INDEX(tblKok[KokNeden],MATCH($A464,tblKok[A_Norm],0)),""))</f>
        <v/>
      </c>
      <c r="E464" s="16">
        <f>IF($B464&lt;&gt;"tutar_farki","",IF(ABS($C464)&gt;cbb_esikFark,"YUKSEK","NORMAL"))</f>
        <v/>
      </c>
      <c r="F464" s="16">
        <f>IF($B464&lt;&gt;"tutar_farki","","VKN "&amp;$A464&amp;" için cari↔Ba/Bs fark "&amp;TEXT($C464,"0.00")&amp;" TL. Dayanak: "&amp;$D464&amp;". Düzeltme dosyası üretildi.")</f>
        <v/>
      </c>
      <c r="G464" s="16">
        <f>IF($B464&lt;&gt;"tutar_farki","","Beklemede")</f>
        <v/>
      </c>
    </row>
    <row r="465">
      <c r="A465" s="26">
        <f>IF('KOK_NEDEN'!$A465="","",'KOK_NEDEN'!$A465)</f>
        <v/>
      </c>
      <c r="B465" s="16">
        <f>IF($A465="","",IFERROR(INDEX(tblKok[Kova],MATCH($A465,tblKok[A_Norm],0)),""))</f>
        <v/>
      </c>
      <c r="C465" s="16">
        <f>IF($A465="","",IFERROR(INDEX(tblEslesme[Fark],MATCH($A465,tblEslesme[A_Norm],0)),0))</f>
        <v/>
      </c>
      <c r="D465" s="16">
        <f>IF($A465="","",IFERROR(INDEX(tblKok[KokNeden],MATCH($A465,tblKok[A_Norm],0)),""))</f>
        <v/>
      </c>
      <c r="E465" s="16">
        <f>IF($B465&lt;&gt;"tutar_farki","",IF(ABS($C465)&gt;cbb_esikFark,"YUKSEK","NORMAL"))</f>
        <v/>
      </c>
      <c r="F465" s="16">
        <f>IF($B465&lt;&gt;"tutar_farki","","VKN "&amp;$A465&amp;" için cari↔Ba/Bs fark "&amp;TEXT($C465,"0.00")&amp;" TL. Dayanak: "&amp;$D465&amp;". Düzeltme dosyası üretildi.")</f>
        <v/>
      </c>
      <c r="G465" s="16">
        <f>IF($B465&lt;&gt;"tutar_farki","","Beklemede")</f>
        <v/>
      </c>
    </row>
    <row r="466">
      <c r="A466" s="26">
        <f>IF('KOK_NEDEN'!$A466="","",'KOK_NEDEN'!$A466)</f>
        <v/>
      </c>
      <c r="B466" s="16">
        <f>IF($A466="","",IFERROR(INDEX(tblKok[Kova],MATCH($A466,tblKok[A_Norm],0)),""))</f>
        <v/>
      </c>
      <c r="C466" s="16">
        <f>IF($A466="","",IFERROR(INDEX(tblEslesme[Fark],MATCH($A466,tblEslesme[A_Norm],0)),0))</f>
        <v/>
      </c>
      <c r="D466" s="16">
        <f>IF($A466="","",IFERROR(INDEX(tblKok[KokNeden],MATCH($A466,tblKok[A_Norm],0)),""))</f>
        <v/>
      </c>
      <c r="E466" s="16">
        <f>IF($B466&lt;&gt;"tutar_farki","",IF(ABS($C466)&gt;cbb_esikFark,"YUKSEK","NORMAL"))</f>
        <v/>
      </c>
      <c r="F466" s="16">
        <f>IF($B466&lt;&gt;"tutar_farki","","VKN "&amp;$A466&amp;" için cari↔Ba/Bs fark "&amp;TEXT($C466,"0.00")&amp;" TL. Dayanak: "&amp;$D466&amp;". Düzeltme dosyası üretildi.")</f>
        <v/>
      </c>
      <c r="G466" s="16">
        <f>IF($B466&lt;&gt;"tutar_farki","","Beklemede")</f>
        <v/>
      </c>
    </row>
    <row r="467">
      <c r="A467" s="26">
        <f>IF('KOK_NEDEN'!$A467="","",'KOK_NEDEN'!$A467)</f>
        <v/>
      </c>
      <c r="B467" s="16">
        <f>IF($A467="","",IFERROR(INDEX(tblKok[Kova],MATCH($A467,tblKok[A_Norm],0)),""))</f>
        <v/>
      </c>
      <c r="C467" s="16">
        <f>IF($A467="","",IFERROR(INDEX(tblEslesme[Fark],MATCH($A467,tblEslesme[A_Norm],0)),0))</f>
        <v/>
      </c>
      <c r="D467" s="16">
        <f>IF($A467="","",IFERROR(INDEX(tblKok[KokNeden],MATCH($A467,tblKok[A_Norm],0)),""))</f>
        <v/>
      </c>
      <c r="E467" s="16">
        <f>IF($B467&lt;&gt;"tutar_farki","",IF(ABS($C467)&gt;cbb_esikFark,"YUKSEK","NORMAL"))</f>
        <v/>
      </c>
      <c r="F467" s="16">
        <f>IF($B467&lt;&gt;"tutar_farki","","VKN "&amp;$A467&amp;" için cari↔Ba/Bs fark "&amp;TEXT($C467,"0.00")&amp;" TL. Dayanak: "&amp;$D467&amp;". Düzeltme dosyası üretildi.")</f>
        <v/>
      </c>
      <c r="G467" s="16">
        <f>IF($B467&lt;&gt;"tutar_farki","","Beklemede")</f>
        <v/>
      </c>
    </row>
    <row r="468">
      <c r="A468" s="26">
        <f>IF('KOK_NEDEN'!$A468="","",'KOK_NEDEN'!$A468)</f>
        <v/>
      </c>
      <c r="B468" s="16">
        <f>IF($A468="","",IFERROR(INDEX(tblKok[Kova],MATCH($A468,tblKok[A_Norm],0)),""))</f>
        <v/>
      </c>
      <c r="C468" s="16">
        <f>IF($A468="","",IFERROR(INDEX(tblEslesme[Fark],MATCH($A468,tblEslesme[A_Norm],0)),0))</f>
        <v/>
      </c>
      <c r="D468" s="16">
        <f>IF($A468="","",IFERROR(INDEX(tblKok[KokNeden],MATCH($A468,tblKok[A_Norm],0)),""))</f>
        <v/>
      </c>
      <c r="E468" s="16">
        <f>IF($B468&lt;&gt;"tutar_farki","",IF(ABS($C468)&gt;cbb_esikFark,"YUKSEK","NORMAL"))</f>
        <v/>
      </c>
      <c r="F468" s="16">
        <f>IF($B468&lt;&gt;"tutar_farki","","VKN "&amp;$A468&amp;" için cari↔Ba/Bs fark "&amp;TEXT($C468,"0.00")&amp;" TL. Dayanak: "&amp;$D468&amp;". Düzeltme dosyası üretildi.")</f>
        <v/>
      </c>
      <c r="G468" s="16">
        <f>IF($B468&lt;&gt;"tutar_farki","","Beklemede")</f>
        <v/>
      </c>
    </row>
    <row r="469">
      <c r="A469" s="26">
        <f>IF('KOK_NEDEN'!$A469="","",'KOK_NEDEN'!$A469)</f>
        <v/>
      </c>
      <c r="B469" s="16">
        <f>IF($A469="","",IFERROR(INDEX(tblKok[Kova],MATCH($A469,tblKok[A_Norm],0)),""))</f>
        <v/>
      </c>
      <c r="C469" s="16">
        <f>IF($A469="","",IFERROR(INDEX(tblEslesme[Fark],MATCH($A469,tblEslesme[A_Norm],0)),0))</f>
        <v/>
      </c>
      <c r="D469" s="16">
        <f>IF($A469="","",IFERROR(INDEX(tblKok[KokNeden],MATCH($A469,tblKok[A_Norm],0)),""))</f>
        <v/>
      </c>
      <c r="E469" s="16">
        <f>IF($B469&lt;&gt;"tutar_farki","",IF(ABS($C469)&gt;cbb_esikFark,"YUKSEK","NORMAL"))</f>
        <v/>
      </c>
      <c r="F469" s="16">
        <f>IF($B469&lt;&gt;"tutar_farki","","VKN "&amp;$A469&amp;" için cari↔Ba/Bs fark "&amp;TEXT($C469,"0.00")&amp;" TL. Dayanak: "&amp;$D469&amp;". Düzeltme dosyası üretildi.")</f>
        <v/>
      </c>
      <c r="G469" s="16">
        <f>IF($B469&lt;&gt;"tutar_farki","","Beklemede")</f>
        <v/>
      </c>
    </row>
    <row r="470">
      <c r="A470" s="26">
        <f>IF('KOK_NEDEN'!$A470="","",'KOK_NEDEN'!$A470)</f>
        <v/>
      </c>
      <c r="B470" s="16">
        <f>IF($A470="","",IFERROR(INDEX(tblKok[Kova],MATCH($A470,tblKok[A_Norm],0)),""))</f>
        <v/>
      </c>
      <c r="C470" s="16">
        <f>IF($A470="","",IFERROR(INDEX(tblEslesme[Fark],MATCH($A470,tblEslesme[A_Norm],0)),0))</f>
        <v/>
      </c>
      <c r="D470" s="16">
        <f>IF($A470="","",IFERROR(INDEX(tblKok[KokNeden],MATCH($A470,tblKok[A_Norm],0)),""))</f>
        <v/>
      </c>
      <c r="E470" s="16">
        <f>IF($B470&lt;&gt;"tutar_farki","",IF(ABS($C470)&gt;cbb_esikFark,"YUKSEK","NORMAL"))</f>
        <v/>
      </c>
      <c r="F470" s="16">
        <f>IF($B470&lt;&gt;"tutar_farki","","VKN "&amp;$A470&amp;" için cari↔Ba/Bs fark "&amp;TEXT($C470,"0.00")&amp;" TL. Dayanak: "&amp;$D470&amp;". Düzeltme dosyası üretildi.")</f>
        <v/>
      </c>
      <c r="G470" s="16">
        <f>IF($B470&lt;&gt;"tutar_farki","","Beklemede")</f>
        <v/>
      </c>
    </row>
    <row r="471">
      <c r="A471" s="26">
        <f>IF('KOK_NEDEN'!$A471="","",'KOK_NEDEN'!$A471)</f>
        <v/>
      </c>
      <c r="B471" s="16">
        <f>IF($A471="","",IFERROR(INDEX(tblKok[Kova],MATCH($A471,tblKok[A_Norm],0)),""))</f>
        <v/>
      </c>
      <c r="C471" s="16">
        <f>IF($A471="","",IFERROR(INDEX(tblEslesme[Fark],MATCH($A471,tblEslesme[A_Norm],0)),0))</f>
        <v/>
      </c>
      <c r="D471" s="16">
        <f>IF($A471="","",IFERROR(INDEX(tblKok[KokNeden],MATCH($A471,tblKok[A_Norm],0)),""))</f>
        <v/>
      </c>
      <c r="E471" s="16">
        <f>IF($B471&lt;&gt;"tutar_farki","",IF(ABS($C471)&gt;cbb_esikFark,"YUKSEK","NORMAL"))</f>
        <v/>
      </c>
      <c r="F471" s="16">
        <f>IF($B471&lt;&gt;"tutar_farki","","VKN "&amp;$A471&amp;" için cari↔Ba/Bs fark "&amp;TEXT($C471,"0.00")&amp;" TL. Dayanak: "&amp;$D471&amp;". Düzeltme dosyası üretildi.")</f>
        <v/>
      </c>
      <c r="G471" s="16">
        <f>IF($B471&lt;&gt;"tutar_farki","","Beklemede")</f>
        <v/>
      </c>
    </row>
    <row r="472">
      <c r="A472" s="26">
        <f>IF('KOK_NEDEN'!$A472="","",'KOK_NEDEN'!$A472)</f>
        <v/>
      </c>
      <c r="B472" s="16">
        <f>IF($A472="","",IFERROR(INDEX(tblKok[Kova],MATCH($A472,tblKok[A_Norm],0)),""))</f>
        <v/>
      </c>
      <c r="C472" s="16">
        <f>IF($A472="","",IFERROR(INDEX(tblEslesme[Fark],MATCH($A472,tblEslesme[A_Norm],0)),0))</f>
        <v/>
      </c>
      <c r="D472" s="16">
        <f>IF($A472="","",IFERROR(INDEX(tblKok[KokNeden],MATCH($A472,tblKok[A_Norm],0)),""))</f>
        <v/>
      </c>
      <c r="E472" s="16">
        <f>IF($B472&lt;&gt;"tutar_farki","",IF(ABS($C472)&gt;cbb_esikFark,"YUKSEK","NORMAL"))</f>
        <v/>
      </c>
      <c r="F472" s="16">
        <f>IF($B472&lt;&gt;"tutar_farki","","VKN "&amp;$A472&amp;" için cari↔Ba/Bs fark "&amp;TEXT($C472,"0.00")&amp;" TL. Dayanak: "&amp;$D472&amp;". Düzeltme dosyası üretildi.")</f>
        <v/>
      </c>
      <c r="G472" s="16">
        <f>IF($B472&lt;&gt;"tutar_farki","","Beklemede")</f>
        <v/>
      </c>
    </row>
    <row r="473">
      <c r="A473" s="26">
        <f>IF('KOK_NEDEN'!$A473="","",'KOK_NEDEN'!$A473)</f>
        <v/>
      </c>
      <c r="B473" s="16">
        <f>IF($A473="","",IFERROR(INDEX(tblKok[Kova],MATCH($A473,tblKok[A_Norm],0)),""))</f>
        <v/>
      </c>
      <c r="C473" s="16">
        <f>IF($A473="","",IFERROR(INDEX(tblEslesme[Fark],MATCH($A473,tblEslesme[A_Norm],0)),0))</f>
        <v/>
      </c>
      <c r="D473" s="16">
        <f>IF($A473="","",IFERROR(INDEX(tblKok[KokNeden],MATCH($A473,tblKok[A_Norm],0)),""))</f>
        <v/>
      </c>
      <c r="E473" s="16">
        <f>IF($B473&lt;&gt;"tutar_farki","",IF(ABS($C473)&gt;cbb_esikFark,"YUKSEK","NORMAL"))</f>
        <v/>
      </c>
      <c r="F473" s="16">
        <f>IF($B473&lt;&gt;"tutar_farki","","VKN "&amp;$A473&amp;" için cari↔Ba/Bs fark "&amp;TEXT($C473,"0.00")&amp;" TL. Dayanak: "&amp;$D473&amp;". Düzeltme dosyası üretildi.")</f>
        <v/>
      </c>
      <c r="G473" s="16">
        <f>IF($B473&lt;&gt;"tutar_farki","","Beklemede")</f>
        <v/>
      </c>
    </row>
    <row r="474">
      <c r="A474" s="26">
        <f>IF('KOK_NEDEN'!$A474="","",'KOK_NEDEN'!$A474)</f>
        <v/>
      </c>
      <c r="B474" s="16">
        <f>IF($A474="","",IFERROR(INDEX(tblKok[Kova],MATCH($A474,tblKok[A_Norm],0)),""))</f>
        <v/>
      </c>
      <c r="C474" s="16">
        <f>IF($A474="","",IFERROR(INDEX(tblEslesme[Fark],MATCH($A474,tblEslesme[A_Norm],0)),0))</f>
        <v/>
      </c>
      <c r="D474" s="16">
        <f>IF($A474="","",IFERROR(INDEX(tblKok[KokNeden],MATCH($A474,tblKok[A_Norm],0)),""))</f>
        <v/>
      </c>
      <c r="E474" s="16">
        <f>IF($B474&lt;&gt;"tutar_farki","",IF(ABS($C474)&gt;cbb_esikFark,"YUKSEK","NORMAL"))</f>
        <v/>
      </c>
      <c r="F474" s="16">
        <f>IF($B474&lt;&gt;"tutar_farki","","VKN "&amp;$A474&amp;" için cari↔Ba/Bs fark "&amp;TEXT($C474,"0.00")&amp;" TL. Dayanak: "&amp;$D474&amp;". Düzeltme dosyası üretildi.")</f>
        <v/>
      </c>
      <c r="G474" s="16">
        <f>IF($B474&lt;&gt;"tutar_farki","","Beklemede")</f>
        <v/>
      </c>
    </row>
    <row r="475">
      <c r="A475" s="26">
        <f>IF('KOK_NEDEN'!$A475="","",'KOK_NEDEN'!$A475)</f>
        <v/>
      </c>
      <c r="B475" s="16">
        <f>IF($A475="","",IFERROR(INDEX(tblKok[Kova],MATCH($A475,tblKok[A_Norm],0)),""))</f>
        <v/>
      </c>
      <c r="C475" s="16">
        <f>IF($A475="","",IFERROR(INDEX(tblEslesme[Fark],MATCH($A475,tblEslesme[A_Norm],0)),0))</f>
        <v/>
      </c>
      <c r="D475" s="16">
        <f>IF($A475="","",IFERROR(INDEX(tblKok[KokNeden],MATCH($A475,tblKok[A_Norm],0)),""))</f>
        <v/>
      </c>
      <c r="E475" s="16">
        <f>IF($B475&lt;&gt;"tutar_farki","",IF(ABS($C475)&gt;cbb_esikFark,"YUKSEK","NORMAL"))</f>
        <v/>
      </c>
      <c r="F475" s="16">
        <f>IF($B475&lt;&gt;"tutar_farki","","VKN "&amp;$A475&amp;" için cari↔Ba/Bs fark "&amp;TEXT($C475,"0.00")&amp;" TL. Dayanak: "&amp;$D475&amp;". Düzeltme dosyası üretildi.")</f>
        <v/>
      </c>
      <c r="G475" s="16">
        <f>IF($B475&lt;&gt;"tutar_farki","","Beklemede")</f>
        <v/>
      </c>
    </row>
    <row r="476">
      <c r="A476" s="26">
        <f>IF('KOK_NEDEN'!$A476="","",'KOK_NEDEN'!$A476)</f>
        <v/>
      </c>
      <c r="B476" s="16">
        <f>IF($A476="","",IFERROR(INDEX(tblKok[Kova],MATCH($A476,tblKok[A_Norm],0)),""))</f>
        <v/>
      </c>
      <c r="C476" s="16">
        <f>IF($A476="","",IFERROR(INDEX(tblEslesme[Fark],MATCH($A476,tblEslesme[A_Norm],0)),0))</f>
        <v/>
      </c>
      <c r="D476" s="16">
        <f>IF($A476="","",IFERROR(INDEX(tblKok[KokNeden],MATCH($A476,tblKok[A_Norm],0)),""))</f>
        <v/>
      </c>
      <c r="E476" s="16">
        <f>IF($B476&lt;&gt;"tutar_farki","",IF(ABS($C476)&gt;cbb_esikFark,"YUKSEK","NORMAL"))</f>
        <v/>
      </c>
      <c r="F476" s="16">
        <f>IF($B476&lt;&gt;"tutar_farki","","VKN "&amp;$A476&amp;" için cari↔Ba/Bs fark "&amp;TEXT($C476,"0.00")&amp;" TL. Dayanak: "&amp;$D476&amp;". Düzeltme dosyası üretildi.")</f>
        <v/>
      </c>
      <c r="G476" s="16">
        <f>IF($B476&lt;&gt;"tutar_farki","","Beklemede")</f>
        <v/>
      </c>
    </row>
    <row r="477">
      <c r="A477" s="26">
        <f>IF('KOK_NEDEN'!$A477="","",'KOK_NEDEN'!$A477)</f>
        <v/>
      </c>
      <c r="B477" s="16">
        <f>IF($A477="","",IFERROR(INDEX(tblKok[Kova],MATCH($A477,tblKok[A_Norm],0)),""))</f>
        <v/>
      </c>
      <c r="C477" s="16">
        <f>IF($A477="","",IFERROR(INDEX(tblEslesme[Fark],MATCH($A477,tblEslesme[A_Norm],0)),0))</f>
        <v/>
      </c>
      <c r="D477" s="16">
        <f>IF($A477="","",IFERROR(INDEX(tblKok[KokNeden],MATCH($A477,tblKok[A_Norm],0)),""))</f>
        <v/>
      </c>
      <c r="E477" s="16">
        <f>IF($B477&lt;&gt;"tutar_farki","",IF(ABS($C477)&gt;cbb_esikFark,"YUKSEK","NORMAL"))</f>
        <v/>
      </c>
      <c r="F477" s="16">
        <f>IF($B477&lt;&gt;"tutar_farki","","VKN "&amp;$A477&amp;" için cari↔Ba/Bs fark "&amp;TEXT($C477,"0.00")&amp;" TL. Dayanak: "&amp;$D477&amp;". Düzeltme dosyası üretildi.")</f>
        <v/>
      </c>
      <c r="G477" s="16">
        <f>IF($B477&lt;&gt;"tutar_farki","","Beklemede")</f>
        <v/>
      </c>
    </row>
    <row r="478">
      <c r="A478" s="26">
        <f>IF('KOK_NEDEN'!$A478="","",'KOK_NEDEN'!$A478)</f>
        <v/>
      </c>
      <c r="B478" s="16">
        <f>IF($A478="","",IFERROR(INDEX(tblKok[Kova],MATCH($A478,tblKok[A_Norm],0)),""))</f>
        <v/>
      </c>
      <c r="C478" s="16">
        <f>IF($A478="","",IFERROR(INDEX(tblEslesme[Fark],MATCH($A478,tblEslesme[A_Norm],0)),0))</f>
        <v/>
      </c>
      <c r="D478" s="16">
        <f>IF($A478="","",IFERROR(INDEX(tblKok[KokNeden],MATCH($A478,tblKok[A_Norm],0)),""))</f>
        <v/>
      </c>
      <c r="E478" s="16">
        <f>IF($B478&lt;&gt;"tutar_farki","",IF(ABS($C478)&gt;cbb_esikFark,"YUKSEK","NORMAL"))</f>
        <v/>
      </c>
      <c r="F478" s="16">
        <f>IF($B478&lt;&gt;"tutar_farki","","VKN "&amp;$A478&amp;" için cari↔Ba/Bs fark "&amp;TEXT($C478,"0.00")&amp;" TL. Dayanak: "&amp;$D478&amp;". Düzeltme dosyası üretildi.")</f>
        <v/>
      </c>
      <c r="G478" s="16">
        <f>IF($B478&lt;&gt;"tutar_farki","","Beklemede")</f>
        <v/>
      </c>
    </row>
    <row r="479">
      <c r="A479" s="26">
        <f>IF('KOK_NEDEN'!$A479="","",'KOK_NEDEN'!$A479)</f>
        <v/>
      </c>
      <c r="B479" s="16">
        <f>IF($A479="","",IFERROR(INDEX(tblKok[Kova],MATCH($A479,tblKok[A_Norm],0)),""))</f>
        <v/>
      </c>
      <c r="C479" s="16">
        <f>IF($A479="","",IFERROR(INDEX(tblEslesme[Fark],MATCH($A479,tblEslesme[A_Norm],0)),0))</f>
        <v/>
      </c>
      <c r="D479" s="16">
        <f>IF($A479="","",IFERROR(INDEX(tblKok[KokNeden],MATCH($A479,tblKok[A_Norm],0)),""))</f>
        <v/>
      </c>
      <c r="E479" s="16">
        <f>IF($B479&lt;&gt;"tutar_farki","",IF(ABS($C479)&gt;cbb_esikFark,"YUKSEK","NORMAL"))</f>
        <v/>
      </c>
      <c r="F479" s="16">
        <f>IF($B479&lt;&gt;"tutar_farki","","VKN "&amp;$A479&amp;" için cari↔Ba/Bs fark "&amp;TEXT($C479,"0.00")&amp;" TL. Dayanak: "&amp;$D479&amp;". Düzeltme dosyası üretildi.")</f>
        <v/>
      </c>
      <c r="G479" s="16">
        <f>IF($B479&lt;&gt;"tutar_farki","","Beklemede")</f>
        <v/>
      </c>
    </row>
    <row r="480">
      <c r="A480" s="26">
        <f>IF('KOK_NEDEN'!$A480="","",'KOK_NEDEN'!$A480)</f>
        <v/>
      </c>
      <c r="B480" s="16">
        <f>IF($A480="","",IFERROR(INDEX(tblKok[Kova],MATCH($A480,tblKok[A_Norm],0)),""))</f>
        <v/>
      </c>
      <c r="C480" s="16">
        <f>IF($A480="","",IFERROR(INDEX(tblEslesme[Fark],MATCH($A480,tblEslesme[A_Norm],0)),0))</f>
        <v/>
      </c>
      <c r="D480" s="16">
        <f>IF($A480="","",IFERROR(INDEX(tblKok[KokNeden],MATCH($A480,tblKok[A_Norm],0)),""))</f>
        <v/>
      </c>
      <c r="E480" s="16">
        <f>IF($B480&lt;&gt;"tutar_farki","",IF(ABS($C480)&gt;cbb_esikFark,"YUKSEK","NORMAL"))</f>
        <v/>
      </c>
      <c r="F480" s="16">
        <f>IF($B480&lt;&gt;"tutar_farki","","VKN "&amp;$A480&amp;" için cari↔Ba/Bs fark "&amp;TEXT($C480,"0.00")&amp;" TL. Dayanak: "&amp;$D480&amp;". Düzeltme dosyası üretildi.")</f>
        <v/>
      </c>
      <c r="G480" s="16">
        <f>IF($B480&lt;&gt;"tutar_farki","","Beklemede")</f>
        <v/>
      </c>
    </row>
    <row r="481">
      <c r="A481" s="26">
        <f>IF('KOK_NEDEN'!$A481="","",'KOK_NEDEN'!$A481)</f>
        <v/>
      </c>
      <c r="B481" s="16">
        <f>IF($A481="","",IFERROR(INDEX(tblKok[Kova],MATCH($A481,tblKok[A_Norm],0)),""))</f>
        <v/>
      </c>
      <c r="C481" s="16">
        <f>IF($A481="","",IFERROR(INDEX(tblEslesme[Fark],MATCH($A481,tblEslesme[A_Norm],0)),0))</f>
        <v/>
      </c>
      <c r="D481" s="16">
        <f>IF($A481="","",IFERROR(INDEX(tblKok[KokNeden],MATCH($A481,tblKok[A_Norm],0)),""))</f>
        <v/>
      </c>
      <c r="E481" s="16">
        <f>IF($B481&lt;&gt;"tutar_farki","",IF(ABS($C481)&gt;cbb_esikFark,"YUKSEK","NORMAL"))</f>
        <v/>
      </c>
      <c r="F481" s="16">
        <f>IF($B481&lt;&gt;"tutar_farki","","VKN "&amp;$A481&amp;" için cari↔Ba/Bs fark "&amp;TEXT($C481,"0.00")&amp;" TL. Dayanak: "&amp;$D481&amp;". Düzeltme dosyası üretildi.")</f>
        <v/>
      </c>
      <c r="G481" s="16">
        <f>IF($B481&lt;&gt;"tutar_farki","","Beklemede")</f>
        <v/>
      </c>
    </row>
    <row r="482">
      <c r="A482" s="26">
        <f>IF('KOK_NEDEN'!$A482="","",'KOK_NEDEN'!$A482)</f>
        <v/>
      </c>
      <c r="B482" s="16">
        <f>IF($A482="","",IFERROR(INDEX(tblKok[Kova],MATCH($A482,tblKok[A_Norm],0)),""))</f>
        <v/>
      </c>
      <c r="C482" s="16">
        <f>IF($A482="","",IFERROR(INDEX(tblEslesme[Fark],MATCH($A482,tblEslesme[A_Norm],0)),0))</f>
        <v/>
      </c>
      <c r="D482" s="16">
        <f>IF($A482="","",IFERROR(INDEX(tblKok[KokNeden],MATCH($A482,tblKok[A_Norm],0)),""))</f>
        <v/>
      </c>
      <c r="E482" s="16">
        <f>IF($B482&lt;&gt;"tutar_farki","",IF(ABS($C482)&gt;cbb_esikFark,"YUKSEK","NORMAL"))</f>
        <v/>
      </c>
      <c r="F482" s="16">
        <f>IF($B482&lt;&gt;"tutar_farki","","VKN "&amp;$A482&amp;" için cari↔Ba/Bs fark "&amp;TEXT($C482,"0.00")&amp;" TL. Dayanak: "&amp;$D482&amp;". Düzeltme dosyası üretildi.")</f>
        <v/>
      </c>
      <c r="G482" s="16">
        <f>IF($B482&lt;&gt;"tutar_farki","","Beklemede")</f>
        <v/>
      </c>
    </row>
    <row r="483">
      <c r="A483" s="26">
        <f>IF('KOK_NEDEN'!$A483="","",'KOK_NEDEN'!$A483)</f>
        <v/>
      </c>
      <c r="B483" s="16">
        <f>IF($A483="","",IFERROR(INDEX(tblKok[Kova],MATCH($A483,tblKok[A_Norm],0)),""))</f>
        <v/>
      </c>
      <c r="C483" s="16">
        <f>IF($A483="","",IFERROR(INDEX(tblEslesme[Fark],MATCH($A483,tblEslesme[A_Norm],0)),0))</f>
        <v/>
      </c>
      <c r="D483" s="16">
        <f>IF($A483="","",IFERROR(INDEX(tblKok[KokNeden],MATCH($A483,tblKok[A_Norm],0)),""))</f>
        <v/>
      </c>
      <c r="E483" s="16">
        <f>IF($B483&lt;&gt;"tutar_farki","",IF(ABS($C483)&gt;cbb_esikFark,"YUKSEK","NORMAL"))</f>
        <v/>
      </c>
      <c r="F483" s="16">
        <f>IF($B483&lt;&gt;"tutar_farki","","VKN "&amp;$A483&amp;" için cari↔Ba/Bs fark "&amp;TEXT($C483,"0.00")&amp;" TL. Dayanak: "&amp;$D483&amp;". Düzeltme dosyası üretildi.")</f>
        <v/>
      </c>
      <c r="G483" s="16">
        <f>IF($B483&lt;&gt;"tutar_farki","","Beklemede")</f>
        <v/>
      </c>
    </row>
    <row r="484">
      <c r="A484" s="26">
        <f>IF('KOK_NEDEN'!$A484="","",'KOK_NEDEN'!$A484)</f>
        <v/>
      </c>
      <c r="B484" s="16">
        <f>IF($A484="","",IFERROR(INDEX(tblKok[Kova],MATCH($A484,tblKok[A_Norm],0)),""))</f>
        <v/>
      </c>
      <c r="C484" s="16">
        <f>IF($A484="","",IFERROR(INDEX(tblEslesme[Fark],MATCH($A484,tblEslesme[A_Norm],0)),0))</f>
        <v/>
      </c>
      <c r="D484" s="16">
        <f>IF($A484="","",IFERROR(INDEX(tblKok[KokNeden],MATCH($A484,tblKok[A_Norm],0)),""))</f>
        <v/>
      </c>
      <c r="E484" s="16">
        <f>IF($B484&lt;&gt;"tutar_farki","",IF(ABS($C484)&gt;cbb_esikFark,"YUKSEK","NORMAL"))</f>
        <v/>
      </c>
      <c r="F484" s="16">
        <f>IF($B484&lt;&gt;"tutar_farki","","VKN "&amp;$A484&amp;" için cari↔Ba/Bs fark "&amp;TEXT($C484,"0.00")&amp;" TL. Dayanak: "&amp;$D484&amp;". Düzeltme dosyası üretildi.")</f>
        <v/>
      </c>
      <c r="G484" s="16">
        <f>IF($B484&lt;&gt;"tutar_farki","","Beklemede")</f>
        <v/>
      </c>
    </row>
    <row r="485">
      <c r="A485" s="26">
        <f>IF('KOK_NEDEN'!$A485="","",'KOK_NEDEN'!$A485)</f>
        <v/>
      </c>
      <c r="B485" s="16">
        <f>IF($A485="","",IFERROR(INDEX(tblKok[Kova],MATCH($A485,tblKok[A_Norm],0)),""))</f>
        <v/>
      </c>
      <c r="C485" s="16">
        <f>IF($A485="","",IFERROR(INDEX(tblEslesme[Fark],MATCH($A485,tblEslesme[A_Norm],0)),0))</f>
        <v/>
      </c>
      <c r="D485" s="16">
        <f>IF($A485="","",IFERROR(INDEX(tblKok[KokNeden],MATCH($A485,tblKok[A_Norm],0)),""))</f>
        <v/>
      </c>
      <c r="E485" s="16">
        <f>IF($B485&lt;&gt;"tutar_farki","",IF(ABS($C485)&gt;cbb_esikFark,"YUKSEK","NORMAL"))</f>
        <v/>
      </c>
      <c r="F485" s="16">
        <f>IF($B485&lt;&gt;"tutar_farki","","VKN "&amp;$A485&amp;" için cari↔Ba/Bs fark "&amp;TEXT($C485,"0.00")&amp;" TL. Dayanak: "&amp;$D485&amp;". Düzeltme dosyası üretildi.")</f>
        <v/>
      </c>
      <c r="G485" s="16">
        <f>IF($B485&lt;&gt;"tutar_farki","","Beklemede")</f>
        <v/>
      </c>
    </row>
    <row r="486">
      <c r="A486" s="26">
        <f>IF('KOK_NEDEN'!$A486="","",'KOK_NEDEN'!$A486)</f>
        <v/>
      </c>
      <c r="B486" s="16">
        <f>IF($A486="","",IFERROR(INDEX(tblKok[Kova],MATCH($A486,tblKok[A_Norm],0)),""))</f>
        <v/>
      </c>
      <c r="C486" s="16">
        <f>IF($A486="","",IFERROR(INDEX(tblEslesme[Fark],MATCH($A486,tblEslesme[A_Norm],0)),0))</f>
        <v/>
      </c>
      <c r="D486" s="16">
        <f>IF($A486="","",IFERROR(INDEX(tblKok[KokNeden],MATCH($A486,tblKok[A_Norm],0)),""))</f>
        <v/>
      </c>
      <c r="E486" s="16">
        <f>IF($B486&lt;&gt;"tutar_farki","",IF(ABS($C486)&gt;cbb_esikFark,"YUKSEK","NORMAL"))</f>
        <v/>
      </c>
      <c r="F486" s="16">
        <f>IF($B486&lt;&gt;"tutar_farki","","VKN "&amp;$A486&amp;" için cari↔Ba/Bs fark "&amp;TEXT($C486,"0.00")&amp;" TL. Dayanak: "&amp;$D486&amp;". Düzeltme dosyası üretildi.")</f>
        <v/>
      </c>
      <c r="G486" s="16">
        <f>IF($B486&lt;&gt;"tutar_farki","","Beklemede")</f>
        <v/>
      </c>
    </row>
    <row r="487">
      <c r="A487" s="26">
        <f>IF('KOK_NEDEN'!$A487="","",'KOK_NEDEN'!$A487)</f>
        <v/>
      </c>
      <c r="B487" s="16">
        <f>IF($A487="","",IFERROR(INDEX(tblKok[Kova],MATCH($A487,tblKok[A_Norm],0)),""))</f>
        <v/>
      </c>
      <c r="C487" s="16">
        <f>IF($A487="","",IFERROR(INDEX(tblEslesme[Fark],MATCH($A487,tblEslesme[A_Norm],0)),0))</f>
        <v/>
      </c>
      <c r="D487" s="16">
        <f>IF($A487="","",IFERROR(INDEX(tblKok[KokNeden],MATCH($A487,tblKok[A_Norm],0)),""))</f>
        <v/>
      </c>
      <c r="E487" s="16">
        <f>IF($B487&lt;&gt;"tutar_farki","",IF(ABS($C487)&gt;cbb_esikFark,"YUKSEK","NORMAL"))</f>
        <v/>
      </c>
      <c r="F487" s="16">
        <f>IF($B487&lt;&gt;"tutar_farki","","VKN "&amp;$A487&amp;" için cari↔Ba/Bs fark "&amp;TEXT($C487,"0.00")&amp;" TL. Dayanak: "&amp;$D487&amp;". Düzeltme dosyası üretildi.")</f>
        <v/>
      </c>
      <c r="G487" s="16">
        <f>IF($B487&lt;&gt;"tutar_farki","","Beklemede")</f>
        <v/>
      </c>
    </row>
    <row r="488">
      <c r="A488" s="26">
        <f>IF('KOK_NEDEN'!$A488="","",'KOK_NEDEN'!$A488)</f>
        <v/>
      </c>
      <c r="B488" s="16">
        <f>IF($A488="","",IFERROR(INDEX(tblKok[Kova],MATCH($A488,tblKok[A_Norm],0)),""))</f>
        <v/>
      </c>
      <c r="C488" s="16">
        <f>IF($A488="","",IFERROR(INDEX(tblEslesme[Fark],MATCH($A488,tblEslesme[A_Norm],0)),0))</f>
        <v/>
      </c>
      <c r="D488" s="16">
        <f>IF($A488="","",IFERROR(INDEX(tblKok[KokNeden],MATCH($A488,tblKok[A_Norm],0)),""))</f>
        <v/>
      </c>
      <c r="E488" s="16">
        <f>IF($B488&lt;&gt;"tutar_farki","",IF(ABS($C488)&gt;cbb_esikFark,"YUKSEK","NORMAL"))</f>
        <v/>
      </c>
      <c r="F488" s="16">
        <f>IF($B488&lt;&gt;"tutar_farki","","VKN "&amp;$A488&amp;" için cari↔Ba/Bs fark "&amp;TEXT($C488,"0.00")&amp;" TL. Dayanak: "&amp;$D488&amp;". Düzeltme dosyası üretildi.")</f>
        <v/>
      </c>
      <c r="G488" s="16">
        <f>IF($B488&lt;&gt;"tutar_farki","","Beklemede")</f>
        <v/>
      </c>
    </row>
    <row r="489">
      <c r="A489" s="26">
        <f>IF('KOK_NEDEN'!$A489="","",'KOK_NEDEN'!$A489)</f>
        <v/>
      </c>
      <c r="B489" s="16">
        <f>IF($A489="","",IFERROR(INDEX(tblKok[Kova],MATCH($A489,tblKok[A_Norm],0)),""))</f>
        <v/>
      </c>
      <c r="C489" s="16">
        <f>IF($A489="","",IFERROR(INDEX(tblEslesme[Fark],MATCH($A489,tblEslesme[A_Norm],0)),0))</f>
        <v/>
      </c>
      <c r="D489" s="16">
        <f>IF($A489="","",IFERROR(INDEX(tblKok[KokNeden],MATCH($A489,tblKok[A_Norm],0)),""))</f>
        <v/>
      </c>
      <c r="E489" s="16">
        <f>IF($B489&lt;&gt;"tutar_farki","",IF(ABS($C489)&gt;cbb_esikFark,"YUKSEK","NORMAL"))</f>
        <v/>
      </c>
      <c r="F489" s="16">
        <f>IF($B489&lt;&gt;"tutar_farki","","VKN "&amp;$A489&amp;" için cari↔Ba/Bs fark "&amp;TEXT($C489,"0.00")&amp;" TL. Dayanak: "&amp;$D489&amp;". Düzeltme dosyası üretildi.")</f>
        <v/>
      </c>
      <c r="G489" s="16">
        <f>IF($B489&lt;&gt;"tutar_farki","","Beklemede")</f>
        <v/>
      </c>
    </row>
    <row r="490">
      <c r="A490" s="26">
        <f>IF('KOK_NEDEN'!$A490="","",'KOK_NEDEN'!$A490)</f>
        <v/>
      </c>
      <c r="B490" s="16">
        <f>IF($A490="","",IFERROR(INDEX(tblKok[Kova],MATCH($A490,tblKok[A_Norm],0)),""))</f>
        <v/>
      </c>
      <c r="C490" s="16">
        <f>IF($A490="","",IFERROR(INDEX(tblEslesme[Fark],MATCH($A490,tblEslesme[A_Norm],0)),0))</f>
        <v/>
      </c>
      <c r="D490" s="16">
        <f>IF($A490="","",IFERROR(INDEX(tblKok[KokNeden],MATCH($A490,tblKok[A_Norm],0)),""))</f>
        <v/>
      </c>
      <c r="E490" s="16">
        <f>IF($B490&lt;&gt;"tutar_farki","",IF(ABS($C490)&gt;cbb_esikFark,"YUKSEK","NORMAL"))</f>
        <v/>
      </c>
      <c r="F490" s="16">
        <f>IF($B490&lt;&gt;"tutar_farki","","VKN "&amp;$A490&amp;" için cari↔Ba/Bs fark "&amp;TEXT($C490,"0.00")&amp;" TL. Dayanak: "&amp;$D490&amp;". Düzeltme dosyası üretildi.")</f>
        <v/>
      </c>
      <c r="G490" s="16">
        <f>IF($B490&lt;&gt;"tutar_farki","","Beklemede")</f>
        <v/>
      </c>
    </row>
    <row r="491">
      <c r="A491" s="26">
        <f>IF('KOK_NEDEN'!$A491="","",'KOK_NEDEN'!$A491)</f>
        <v/>
      </c>
      <c r="B491" s="16">
        <f>IF($A491="","",IFERROR(INDEX(tblKok[Kova],MATCH($A491,tblKok[A_Norm],0)),""))</f>
        <v/>
      </c>
      <c r="C491" s="16">
        <f>IF($A491="","",IFERROR(INDEX(tblEslesme[Fark],MATCH($A491,tblEslesme[A_Norm],0)),0))</f>
        <v/>
      </c>
      <c r="D491" s="16">
        <f>IF($A491="","",IFERROR(INDEX(tblKok[KokNeden],MATCH($A491,tblKok[A_Norm],0)),""))</f>
        <v/>
      </c>
      <c r="E491" s="16">
        <f>IF($B491&lt;&gt;"tutar_farki","",IF(ABS($C491)&gt;cbb_esikFark,"YUKSEK","NORMAL"))</f>
        <v/>
      </c>
      <c r="F491" s="16">
        <f>IF($B491&lt;&gt;"tutar_farki","","VKN "&amp;$A491&amp;" için cari↔Ba/Bs fark "&amp;TEXT($C491,"0.00")&amp;" TL. Dayanak: "&amp;$D491&amp;". Düzeltme dosyası üretildi.")</f>
        <v/>
      </c>
      <c r="G491" s="16">
        <f>IF($B491&lt;&gt;"tutar_farki","","Beklemede")</f>
        <v/>
      </c>
    </row>
    <row r="492">
      <c r="A492" s="26">
        <f>IF('KOK_NEDEN'!$A492="","",'KOK_NEDEN'!$A492)</f>
        <v/>
      </c>
      <c r="B492" s="16">
        <f>IF($A492="","",IFERROR(INDEX(tblKok[Kova],MATCH($A492,tblKok[A_Norm],0)),""))</f>
        <v/>
      </c>
      <c r="C492" s="16">
        <f>IF($A492="","",IFERROR(INDEX(tblEslesme[Fark],MATCH($A492,tblEslesme[A_Norm],0)),0))</f>
        <v/>
      </c>
      <c r="D492" s="16">
        <f>IF($A492="","",IFERROR(INDEX(tblKok[KokNeden],MATCH($A492,tblKok[A_Norm],0)),""))</f>
        <v/>
      </c>
      <c r="E492" s="16">
        <f>IF($B492&lt;&gt;"tutar_farki","",IF(ABS($C492)&gt;cbb_esikFark,"YUKSEK","NORMAL"))</f>
        <v/>
      </c>
      <c r="F492" s="16">
        <f>IF($B492&lt;&gt;"tutar_farki","","VKN "&amp;$A492&amp;" için cari↔Ba/Bs fark "&amp;TEXT($C492,"0.00")&amp;" TL. Dayanak: "&amp;$D492&amp;". Düzeltme dosyası üretildi.")</f>
        <v/>
      </c>
      <c r="G492" s="16">
        <f>IF($B492&lt;&gt;"tutar_farki","","Beklemede")</f>
        <v/>
      </c>
    </row>
    <row r="493">
      <c r="A493" s="26">
        <f>IF('KOK_NEDEN'!$A493="","",'KOK_NEDEN'!$A493)</f>
        <v/>
      </c>
      <c r="B493" s="16">
        <f>IF($A493="","",IFERROR(INDEX(tblKok[Kova],MATCH($A493,tblKok[A_Norm],0)),""))</f>
        <v/>
      </c>
      <c r="C493" s="16">
        <f>IF($A493="","",IFERROR(INDEX(tblEslesme[Fark],MATCH($A493,tblEslesme[A_Norm],0)),0))</f>
        <v/>
      </c>
      <c r="D493" s="16">
        <f>IF($A493="","",IFERROR(INDEX(tblKok[KokNeden],MATCH($A493,tblKok[A_Norm],0)),""))</f>
        <v/>
      </c>
      <c r="E493" s="16">
        <f>IF($B493&lt;&gt;"tutar_farki","",IF(ABS($C493)&gt;cbb_esikFark,"YUKSEK","NORMAL"))</f>
        <v/>
      </c>
      <c r="F493" s="16">
        <f>IF($B493&lt;&gt;"tutar_farki","","VKN "&amp;$A493&amp;" için cari↔Ba/Bs fark "&amp;TEXT($C493,"0.00")&amp;" TL. Dayanak: "&amp;$D493&amp;". Düzeltme dosyası üretildi.")</f>
        <v/>
      </c>
      <c r="G493" s="16">
        <f>IF($B493&lt;&gt;"tutar_farki","","Beklemede")</f>
        <v/>
      </c>
    </row>
    <row r="494">
      <c r="A494" s="26">
        <f>IF('KOK_NEDEN'!$A494="","",'KOK_NEDEN'!$A494)</f>
        <v/>
      </c>
      <c r="B494" s="16">
        <f>IF($A494="","",IFERROR(INDEX(tblKok[Kova],MATCH($A494,tblKok[A_Norm],0)),""))</f>
        <v/>
      </c>
      <c r="C494" s="16">
        <f>IF($A494="","",IFERROR(INDEX(tblEslesme[Fark],MATCH($A494,tblEslesme[A_Norm],0)),0))</f>
        <v/>
      </c>
      <c r="D494" s="16">
        <f>IF($A494="","",IFERROR(INDEX(tblKok[KokNeden],MATCH($A494,tblKok[A_Norm],0)),""))</f>
        <v/>
      </c>
      <c r="E494" s="16">
        <f>IF($B494&lt;&gt;"tutar_farki","",IF(ABS($C494)&gt;cbb_esikFark,"YUKSEK","NORMAL"))</f>
        <v/>
      </c>
      <c r="F494" s="16">
        <f>IF($B494&lt;&gt;"tutar_farki","","VKN "&amp;$A494&amp;" için cari↔Ba/Bs fark "&amp;TEXT($C494,"0.00")&amp;" TL. Dayanak: "&amp;$D494&amp;". Düzeltme dosyası üretildi.")</f>
        <v/>
      </c>
      <c r="G494" s="16">
        <f>IF($B494&lt;&gt;"tutar_farki","","Beklemede")</f>
        <v/>
      </c>
    </row>
    <row r="495">
      <c r="A495" s="26">
        <f>IF('KOK_NEDEN'!$A495="","",'KOK_NEDEN'!$A495)</f>
        <v/>
      </c>
      <c r="B495" s="16">
        <f>IF($A495="","",IFERROR(INDEX(tblKok[Kova],MATCH($A495,tblKok[A_Norm],0)),""))</f>
        <v/>
      </c>
      <c r="C495" s="16">
        <f>IF($A495="","",IFERROR(INDEX(tblEslesme[Fark],MATCH($A495,tblEslesme[A_Norm],0)),0))</f>
        <v/>
      </c>
      <c r="D495" s="16">
        <f>IF($A495="","",IFERROR(INDEX(tblKok[KokNeden],MATCH($A495,tblKok[A_Norm],0)),""))</f>
        <v/>
      </c>
      <c r="E495" s="16">
        <f>IF($B495&lt;&gt;"tutar_farki","",IF(ABS($C495)&gt;cbb_esikFark,"YUKSEK","NORMAL"))</f>
        <v/>
      </c>
      <c r="F495" s="16">
        <f>IF($B495&lt;&gt;"tutar_farki","","VKN "&amp;$A495&amp;" için cari↔Ba/Bs fark "&amp;TEXT($C495,"0.00")&amp;" TL. Dayanak: "&amp;$D495&amp;". Düzeltme dosyası üretildi.")</f>
        <v/>
      </c>
      <c r="G495" s="16">
        <f>IF($B495&lt;&gt;"tutar_farki","","Beklemede")</f>
        <v/>
      </c>
    </row>
    <row r="496">
      <c r="A496" s="26">
        <f>IF('KOK_NEDEN'!$A496="","",'KOK_NEDEN'!$A496)</f>
        <v/>
      </c>
      <c r="B496" s="16">
        <f>IF($A496="","",IFERROR(INDEX(tblKok[Kova],MATCH($A496,tblKok[A_Norm],0)),""))</f>
        <v/>
      </c>
      <c r="C496" s="16">
        <f>IF($A496="","",IFERROR(INDEX(tblEslesme[Fark],MATCH($A496,tblEslesme[A_Norm],0)),0))</f>
        <v/>
      </c>
      <c r="D496" s="16">
        <f>IF($A496="","",IFERROR(INDEX(tblKok[KokNeden],MATCH($A496,tblKok[A_Norm],0)),""))</f>
        <v/>
      </c>
      <c r="E496" s="16">
        <f>IF($B496&lt;&gt;"tutar_farki","",IF(ABS($C496)&gt;cbb_esikFark,"YUKSEK","NORMAL"))</f>
        <v/>
      </c>
      <c r="F496" s="16">
        <f>IF($B496&lt;&gt;"tutar_farki","","VKN "&amp;$A496&amp;" için cari↔Ba/Bs fark "&amp;TEXT($C496,"0.00")&amp;" TL. Dayanak: "&amp;$D496&amp;". Düzeltme dosyası üretildi.")</f>
        <v/>
      </c>
      <c r="G496" s="16">
        <f>IF($B496&lt;&gt;"tutar_farki","","Beklemede")</f>
        <v/>
      </c>
    </row>
    <row r="497">
      <c r="A497" s="26">
        <f>IF('KOK_NEDEN'!$A497="","",'KOK_NEDEN'!$A497)</f>
        <v/>
      </c>
      <c r="B497" s="16">
        <f>IF($A497="","",IFERROR(INDEX(tblKok[Kova],MATCH($A497,tblKok[A_Norm],0)),""))</f>
        <v/>
      </c>
      <c r="C497" s="16">
        <f>IF($A497="","",IFERROR(INDEX(tblEslesme[Fark],MATCH($A497,tblEslesme[A_Norm],0)),0))</f>
        <v/>
      </c>
      <c r="D497" s="16">
        <f>IF($A497="","",IFERROR(INDEX(tblKok[KokNeden],MATCH($A497,tblKok[A_Norm],0)),""))</f>
        <v/>
      </c>
      <c r="E497" s="16">
        <f>IF($B497&lt;&gt;"tutar_farki","",IF(ABS($C497)&gt;cbb_esikFark,"YUKSEK","NORMAL"))</f>
        <v/>
      </c>
      <c r="F497" s="16">
        <f>IF($B497&lt;&gt;"tutar_farki","","VKN "&amp;$A497&amp;" için cari↔Ba/Bs fark "&amp;TEXT($C497,"0.00")&amp;" TL. Dayanak: "&amp;$D497&amp;". Düzeltme dosyası üretildi.")</f>
        <v/>
      </c>
      <c r="G497" s="16">
        <f>IF($B497&lt;&gt;"tutar_farki","","Beklemede")</f>
        <v/>
      </c>
    </row>
    <row r="498">
      <c r="A498" s="26">
        <f>IF('KOK_NEDEN'!$A498="","",'KOK_NEDEN'!$A498)</f>
        <v/>
      </c>
      <c r="B498" s="16">
        <f>IF($A498="","",IFERROR(INDEX(tblKok[Kova],MATCH($A498,tblKok[A_Norm],0)),""))</f>
        <v/>
      </c>
      <c r="C498" s="16">
        <f>IF($A498="","",IFERROR(INDEX(tblEslesme[Fark],MATCH($A498,tblEslesme[A_Norm],0)),0))</f>
        <v/>
      </c>
      <c r="D498" s="16">
        <f>IF($A498="","",IFERROR(INDEX(tblKok[KokNeden],MATCH($A498,tblKok[A_Norm],0)),""))</f>
        <v/>
      </c>
      <c r="E498" s="16">
        <f>IF($B498&lt;&gt;"tutar_farki","",IF(ABS($C498)&gt;cbb_esikFark,"YUKSEK","NORMAL"))</f>
        <v/>
      </c>
      <c r="F498" s="16">
        <f>IF($B498&lt;&gt;"tutar_farki","","VKN "&amp;$A498&amp;" için cari↔Ba/Bs fark "&amp;TEXT($C498,"0.00")&amp;" TL. Dayanak: "&amp;$D498&amp;". Düzeltme dosyası üretildi.")</f>
        <v/>
      </c>
      <c r="G498" s="16">
        <f>IF($B498&lt;&gt;"tutar_farki","","Beklemede")</f>
        <v/>
      </c>
    </row>
    <row r="499">
      <c r="A499" s="26">
        <f>IF('KOK_NEDEN'!$A499="","",'KOK_NEDEN'!$A499)</f>
        <v/>
      </c>
      <c r="B499" s="16">
        <f>IF($A499="","",IFERROR(INDEX(tblKok[Kova],MATCH($A499,tblKok[A_Norm],0)),""))</f>
        <v/>
      </c>
      <c r="C499" s="16">
        <f>IF($A499="","",IFERROR(INDEX(tblEslesme[Fark],MATCH($A499,tblEslesme[A_Norm],0)),0))</f>
        <v/>
      </c>
      <c r="D499" s="16">
        <f>IF($A499="","",IFERROR(INDEX(tblKok[KokNeden],MATCH($A499,tblKok[A_Norm],0)),""))</f>
        <v/>
      </c>
      <c r="E499" s="16">
        <f>IF($B499&lt;&gt;"tutar_farki","",IF(ABS($C499)&gt;cbb_esikFark,"YUKSEK","NORMAL"))</f>
        <v/>
      </c>
      <c r="F499" s="16">
        <f>IF($B499&lt;&gt;"tutar_farki","","VKN "&amp;$A499&amp;" için cari↔Ba/Bs fark "&amp;TEXT($C499,"0.00")&amp;" TL. Dayanak: "&amp;$D499&amp;". Düzeltme dosyası üretildi.")</f>
        <v/>
      </c>
      <c r="G499" s="16">
        <f>IF($B499&lt;&gt;"tutar_farki","","Beklemede")</f>
        <v/>
      </c>
    </row>
    <row r="500">
      <c r="A500" s="26">
        <f>IF('KOK_NEDEN'!$A500="","",'KOK_NEDEN'!$A500)</f>
        <v/>
      </c>
      <c r="B500" s="16">
        <f>IF($A500="","",IFERROR(INDEX(tblKok[Kova],MATCH($A500,tblKok[A_Norm],0)),""))</f>
        <v/>
      </c>
      <c r="C500" s="16">
        <f>IF($A500="","",IFERROR(INDEX(tblEslesme[Fark],MATCH($A500,tblEslesme[A_Norm],0)),0))</f>
        <v/>
      </c>
      <c r="D500" s="16">
        <f>IF($A500="","",IFERROR(INDEX(tblKok[KokNeden],MATCH($A500,tblKok[A_Norm],0)),""))</f>
        <v/>
      </c>
      <c r="E500" s="16">
        <f>IF($B500&lt;&gt;"tutar_farki","",IF(ABS($C500)&gt;cbb_esikFark,"YUKSEK","NORMAL"))</f>
        <v/>
      </c>
      <c r="F500" s="16">
        <f>IF($B500&lt;&gt;"tutar_farki","","VKN "&amp;$A500&amp;" için cari↔Ba/Bs fark "&amp;TEXT($C500,"0.00")&amp;" TL. Dayanak: "&amp;$D500&amp;". Düzeltme dosyası üretildi.")</f>
        <v/>
      </c>
      <c r="G500" s="16">
        <f>IF($B500&lt;&gt;"tutar_farki","","Beklemede")</f>
        <v/>
      </c>
    </row>
    <row r="501">
      <c r="A501" s="26">
        <f>IF('KOK_NEDEN'!$A501="","",'KOK_NEDEN'!$A501)</f>
        <v/>
      </c>
      <c r="B501" s="16">
        <f>IF($A501="","",IFERROR(INDEX(tblKok[Kova],MATCH($A501,tblKok[A_Norm],0)),""))</f>
        <v/>
      </c>
      <c r="C501" s="16">
        <f>IF($A501="","",IFERROR(INDEX(tblEslesme[Fark],MATCH($A501,tblEslesme[A_Norm],0)),0))</f>
        <v/>
      </c>
      <c r="D501" s="16">
        <f>IF($A501="","",IFERROR(INDEX(tblKok[KokNeden],MATCH($A501,tblKok[A_Norm],0)),""))</f>
        <v/>
      </c>
      <c r="E501" s="16">
        <f>IF($B501&lt;&gt;"tutar_farki","",IF(ABS($C501)&gt;cbb_esikFark,"YUKSEK","NORMAL"))</f>
        <v/>
      </c>
      <c r="F501" s="16">
        <f>IF($B501&lt;&gt;"tutar_farki","","VKN "&amp;$A501&amp;" için cari↔Ba/Bs fark "&amp;TEXT($C501,"0.00")&amp;" TL. Dayanak: "&amp;$D501&amp;". Düzeltme dosyası üretildi.")</f>
        <v/>
      </c>
      <c r="G501" s="16">
        <f>IF($B501&lt;&gt;"tutar_farki","","Beklemede")</f>
        <v/>
      </c>
    </row>
    <row r="502">
      <c r="A502" s="26">
        <f>IF('KOK_NEDEN'!$A502="","",'KOK_NEDEN'!$A502)</f>
        <v/>
      </c>
      <c r="B502" s="16">
        <f>IF($A502="","",IFERROR(INDEX(tblKok[Kova],MATCH($A502,tblKok[A_Norm],0)),""))</f>
        <v/>
      </c>
      <c r="C502" s="16">
        <f>IF($A502="","",IFERROR(INDEX(tblEslesme[Fark],MATCH($A502,tblEslesme[A_Norm],0)),0))</f>
        <v/>
      </c>
      <c r="D502" s="16">
        <f>IF($A502="","",IFERROR(INDEX(tblKok[KokNeden],MATCH($A502,tblKok[A_Norm],0)),""))</f>
        <v/>
      </c>
      <c r="E502" s="16">
        <f>IF($B502&lt;&gt;"tutar_farki","",IF(ABS($C502)&gt;cbb_esikFark,"YUKSEK","NORMAL"))</f>
        <v/>
      </c>
      <c r="F502" s="16">
        <f>IF($B502&lt;&gt;"tutar_farki","","VKN "&amp;$A502&amp;" için cari↔Ba/Bs fark "&amp;TEXT($C502,"0.00")&amp;" TL. Dayanak: "&amp;$D502&amp;". Düzeltme dosyası üretildi.")</f>
        <v/>
      </c>
      <c r="G502" s="16">
        <f>IF($B502&lt;&gt;"tutar_farki","","Beklemede")</f>
        <v/>
      </c>
    </row>
    <row r="503">
      <c r="A503" s="26">
        <f>IF('KOK_NEDEN'!$A503="","",'KOK_NEDEN'!$A503)</f>
        <v/>
      </c>
      <c r="B503" s="16">
        <f>IF($A503="","",IFERROR(INDEX(tblKok[Kova],MATCH($A503,tblKok[A_Norm],0)),""))</f>
        <v/>
      </c>
      <c r="C503" s="16">
        <f>IF($A503="","",IFERROR(INDEX(tblEslesme[Fark],MATCH($A503,tblEslesme[A_Norm],0)),0))</f>
        <v/>
      </c>
      <c r="D503" s="16">
        <f>IF($A503="","",IFERROR(INDEX(tblKok[KokNeden],MATCH($A503,tblKok[A_Norm],0)),""))</f>
        <v/>
      </c>
      <c r="E503" s="16">
        <f>IF($B503&lt;&gt;"tutar_farki","",IF(ABS($C503)&gt;cbb_esikFark,"YUKSEK","NORMAL"))</f>
        <v/>
      </c>
      <c r="F503" s="16">
        <f>IF($B503&lt;&gt;"tutar_farki","","VKN "&amp;$A503&amp;" için cari↔Ba/Bs fark "&amp;TEXT($C503,"0.00")&amp;" TL. Dayanak: "&amp;$D503&amp;". Düzeltme dosyası üretildi.")</f>
        <v/>
      </c>
      <c r="G503" s="16">
        <f>IF($B503&lt;&gt;"tutar_farki","","Beklemede")</f>
        <v/>
      </c>
    </row>
    <row r="504">
      <c r="A504" s="26">
        <f>IF('KOK_NEDEN'!$A504="","",'KOK_NEDEN'!$A504)</f>
        <v/>
      </c>
      <c r="B504" s="16">
        <f>IF($A504="","",IFERROR(INDEX(tblKok[Kova],MATCH($A504,tblKok[A_Norm],0)),""))</f>
        <v/>
      </c>
      <c r="C504" s="16">
        <f>IF($A504="","",IFERROR(INDEX(tblEslesme[Fark],MATCH($A504,tblEslesme[A_Norm],0)),0))</f>
        <v/>
      </c>
      <c r="D504" s="16">
        <f>IF($A504="","",IFERROR(INDEX(tblKok[KokNeden],MATCH($A504,tblKok[A_Norm],0)),""))</f>
        <v/>
      </c>
      <c r="E504" s="16">
        <f>IF($B504&lt;&gt;"tutar_farki","",IF(ABS($C504)&gt;cbb_esikFark,"YUKSEK","NORMAL"))</f>
        <v/>
      </c>
      <c r="F504" s="16">
        <f>IF($B504&lt;&gt;"tutar_farki","","VKN "&amp;$A504&amp;" için cari↔Ba/Bs fark "&amp;TEXT($C504,"0.00")&amp;" TL. Dayanak: "&amp;$D504&amp;". Düzeltme dosyası üretildi.")</f>
        <v/>
      </c>
      <c r="G504" s="16">
        <f>IF($B504&lt;&gt;"tutar_farki","","Beklemede")</f>
        <v/>
      </c>
    </row>
    <row r="505">
      <c r="A505" s="26">
        <f>IF('KOK_NEDEN'!$A505="","",'KOK_NEDEN'!$A505)</f>
        <v/>
      </c>
      <c r="B505" s="16">
        <f>IF($A505="","",IFERROR(INDEX(tblKok[Kova],MATCH($A505,tblKok[A_Norm],0)),""))</f>
        <v/>
      </c>
      <c r="C505" s="16">
        <f>IF($A505="","",IFERROR(INDEX(tblEslesme[Fark],MATCH($A505,tblEslesme[A_Norm],0)),0))</f>
        <v/>
      </c>
      <c r="D505" s="16">
        <f>IF($A505="","",IFERROR(INDEX(tblKok[KokNeden],MATCH($A505,tblKok[A_Norm],0)),""))</f>
        <v/>
      </c>
      <c r="E505" s="16">
        <f>IF($B505&lt;&gt;"tutar_farki","",IF(ABS($C505)&gt;cbb_esikFark,"YUKSEK","NORMAL"))</f>
        <v/>
      </c>
      <c r="F505" s="16">
        <f>IF($B505&lt;&gt;"tutar_farki","","VKN "&amp;$A505&amp;" için cari↔Ba/Bs fark "&amp;TEXT($C505,"0.00")&amp;" TL. Dayanak: "&amp;$D505&amp;". Düzeltme dosyası üretildi.")</f>
        <v/>
      </c>
      <c r="G505" s="16">
        <f>IF($B505&lt;&gt;"tutar_farki","","Beklemede")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505">
    <cfRule type="cellIs" priority="1" operator="equal" dxfId="0">
      <formula>"YUKSEK"</formula>
    </cfRule>
    <cfRule type="cellIs" priority="2" operator="equal" dxfId="1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L23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KANIT RAPORU — Cari ve Ba-Bs Toplu Mutabakat Motoru</t>
        </is>
      </c>
    </row>
    <row r="3" ht="28" customHeight="1">
      <c r="A3" s="38" t="inlineStr">
        <is>
          <t>Form Ba/Bs Dönem Mutabakat Kanıt Raporu</t>
        </is>
      </c>
    </row>
    <row r="4">
      <c r="A4" s="7" t="inlineStr">
        <is>
          <t>Rapor Tarihi</t>
        </is>
      </c>
      <c r="B4" s="7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39" t="inlineStr">
        <is>
          <t>KARAR</t>
        </is>
      </c>
      <c r="B7" s="40">
        <f>PANO!B4</f>
        <v/>
      </c>
    </row>
    <row r="9">
      <c r="A9" s="7" t="inlineStr">
        <is>
          <t>Eşleşme Oranı</t>
        </is>
      </c>
      <c r="B9" s="71">
        <f>cbb_eslesmeOrani</f>
        <v/>
      </c>
    </row>
    <row r="10">
      <c r="A10" s="7" t="inlineStr">
        <is>
          <t>Cari Toplam</t>
        </is>
      </c>
      <c r="B10" s="70">
        <f>SUM(tblVeriA[Tutar])</f>
        <v/>
      </c>
    </row>
    <row r="11">
      <c r="A11" s="7" t="inlineStr">
        <is>
          <t>Mutabakat Farkı</t>
        </is>
      </c>
      <c r="B11" s="70">
        <f>cbb_mutabakatFarki</f>
        <v/>
      </c>
    </row>
    <row r="12">
      <c r="A12" s="7" t="inlineStr">
        <is>
          <t>Eşleşti</t>
        </is>
      </c>
      <c r="B12" s="20">
        <f>COUNTIF(tblEslesme[Kova],"eslesti")</f>
        <v/>
      </c>
    </row>
    <row r="13">
      <c r="A13" s="7" t="inlineStr">
        <is>
          <t>Tutar Farkı</t>
        </is>
      </c>
      <c r="B13" s="20">
        <f>COUNTIF(tblEslesme[Kova],"tutar_farki")</f>
        <v/>
      </c>
    </row>
    <row r="14">
      <c r="A14" s="7" t="inlineStr">
        <is>
          <t>Eşleşmedi</t>
        </is>
      </c>
      <c r="B14" s="20">
        <f>COUNTIF(tblEslesme[Kova],"eslesmedi")</f>
        <v/>
      </c>
    </row>
    <row r="15">
      <c r="A15" s="7" t="inlineStr">
        <is>
          <t>Kova Bütünlük</t>
        </is>
      </c>
      <c r="B15" s="39">
        <f>cbb_kovaButunluk</f>
        <v/>
      </c>
    </row>
    <row r="17">
      <c r="A17" s="18" t="inlineStr">
        <is>
          <t>Varsayımlar</t>
        </is>
      </c>
    </row>
    <row r="18">
      <c r="A18" s="8" t="inlineStr">
        <is>
          <t>Tolerans kuruşu AYARLAR'dan gelir. VKN UPPER/TRIM/SUBSTITUTE ile normalize edilir. Bu çıktı karar destektir; kesin mali/hukuki görüş yerine geçmez.</t>
        </is>
      </c>
    </row>
    <row r="20">
      <c r="A20" s="18" t="inlineStr">
        <is>
          <t>Önerilen Aksiyonlar</t>
        </is>
      </c>
    </row>
    <row r="21">
      <c r="A21" s="7" t="inlineStr">
        <is>
          <t>1. Tutar farkı satırlarında AKSIYON düzeltme metnini kullanın.</t>
        </is>
      </c>
    </row>
    <row r="22">
      <c r="A22" s="7" t="inlineStr">
        <is>
          <t>2. TANIMSIZ kök nedenleri elle inceleyin.</t>
        </is>
      </c>
    </row>
    <row r="23">
      <c r="A23" s="7" t="inlineStr">
        <is>
          <t>3. Duplike VKN'leri temizleyip yeniden eşleştirin.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8:H18"/>
    <mergeCell ref="A1:L1"/>
    <mergeCell ref="A3:J3"/>
  </mergeCells>
  <conditionalFormatting sqref="B7">
    <cfRule type="cellIs" priority="1" operator="equal" dxfId="2">
      <formula>"UYGUN"</formula>
    </cfRule>
    <cfRule type="cellIs" priority="2" operator="equal" dxfId="1">
      <formula>"İNCELE"</formula>
    </cfRule>
    <cfRule type="cellIs" priority="3" operator="equal" dxfId="0">
      <formula>"DURDUR"</formula>
    </cfRule>
    <cfRule type="cellIs" priority="4" operator="equal" dxfId="0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1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&amp;LCari ve Ba-Bs Toplu Mutabakat Motoru | Kanıt&amp;CExcelArşiv&amp;RSayfa &amp;P / &amp;N</oddFooter>
    <evenHeader/>
    <evenFooter>&amp;LCari ve Ba-Bs Toplu Mutabakat Motoru | Kanıt&amp;CExcelArşiv&amp;RSayfa &amp;P / &amp;N</evenFooter>
    <firstHeader/>
    <firstFooter/>
  </headerFooter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Cari ve Ba-Bs Toplu Mutabakat Motoru</t>
        </is>
      </c>
    </row>
    <row r="3">
      <c r="A3" s="41" t="inlineStr">
        <is>
          <t>Canlı Kontrol Paneli</t>
        </is>
      </c>
    </row>
    <row r="5">
      <c r="A5" s="7" t="inlineStr">
        <is>
          <t>A satır sayısı</t>
        </is>
      </c>
      <c r="B5" s="20">
        <f>COUNTA(tblVeriA[VKN])</f>
        <v/>
      </c>
    </row>
    <row r="6">
      <c r="A6" s="7" t="inlineStr">
        <is>
          <t>B satır sayısı</t>
        </is>
      </c>
      <c r="B6" s="20">
        <f>COUNTA(tblVeriB[VKN])</f>
        <v/>
      </c>
    </row>
    <row r="7">
      <c r="A7" s="7" t="inlineStr">
        <is>
          <t>Eşleşti</t>
        </is>
      </c>
      <c r="B7" s="20">
        <f>COUNTIF(tblEslesme[Kova],"eslesti")</f>
        <v/>
      </c>
    </row>
    <row r="8">
      <c r="A8" s="7" t="inlineStr">
        <is>
          <t>Tolerans</t>
        </is>
      </c>
      <c r="B8" s="20">
        <f>COUNTIF(tblEslesme[Kova],"tolerans_icinde")</f>
        <v/>
      </c>
    </row>
    <row r="9">
      <c r="A9" s="7" t="inlineStr">
        <is>
          <t>Tutar farkı</t>
        </is>
      </c>
      <c r="B9" s="20">
        <f>COUNTIF(tblEslesme[Kova],"tutar_farki")</f>
        <v/>
      </c>
    </row>
    <row r="10">
      <c r="A10" s="7" t="inlineStr">
        <is>
          <t>Eşleşmedi</t>
        </is>
      </c>
      <c r="B10" s="20">
        <f>COUNTIF(tblEslesme[Kova],"eslesmedi")</f>
        <v/>
      </c>
    </row>
    <row r="11">
      <c r="A11" s="7" t="inlineStr">
        <is>
          <t>Kova toplam</t>
        </is>
      </c>
      <c r="B11" s="20">
        <f>B7+B8+B9+B10</f>
        <v/>
      </c>
    </row>
    <row r="12">
      <c r="A12" s="7" t="inlineStr">
        <is>
          <t>Bütünlük</t>
        </is>
      </c>
      <c r="B12" s="20">
        <f>IF(B11=B5,"BUTUN","KAYIP")</f>
        <v/>
      </c>
    </row>
    <row r="13">
      <c r="A13" s="7" t="inlineStr">
        <is>
          <t>Duplike A</t>
        </is>
      </c>
      <c r="B13" s="20">
        <f>COUNTIF(tblAnahtarA[Duplike],"EVET")</f>
        <v/>
      </c>
    </row>
    <row r="14">
      <c r="A14" s="7" t="inlineStr">
        <is>
          <t>TANIMSIZ</t>
        </is>
      </c>
      <c r="B14" s="20">
        <f>COUNTIF(tblKok[KokNeden],"TANIMSIZ")</f>
        <v/>
      </c>
    </row>
    <row r="15">
      <c r="A15" s="7" t="inlineStr">
        <is>
          <t>Boş karar yolu</t>
        </is>
      </c>
      <c r="B15" s="39">
        <f>IF(B5=0,"VERİ YOK","VERİ VAR")</f>
        <v/>
      </c>
    </row>
    <row r="16">
      <c r="A16" s="7" t="inlineStr">
        <is>
          <t>Kalite skoru</t>
        </is>
      </c>
      <c r="B16" s="39">
        <f>IF(B5=0,0,ROUND(100*(B7+B8)/MAX(B5,1),0))</f>
        <v/>
      </c>
    </row>
    <row r="17">
      <c r="A17" s="7" t="inlineStr">
        <is>
          <t>Net A</t>
        </is>
      </c>
      <c r="B17" s="70">
        <f>SUM(tblVeriA[Tutar])</f>
        <v/>
      </c>
    </row>
    <row r="18">
      <c r="A18" s="7" t="inlineStr">
        <is>
          <t>Net B</t>
        </is>
      </c>
      <c r="B18" s="70">
        <f>SUM(tblVeriB[BeyanTutar])</f>
        <v/>
      </c>
    </row>
    <row r="19">
      <c r="A19" s="7" t="inlineStr">
        <is>
          <t>Fark kontrol</t>
        </is>
      </c>
      <c r="B19" s="70">
        <f>B17-B18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2">
    <cfRule type="cellIs" priority="1" operator="equal" dxfId="2">
      <formula>"BUTUN"</formula>
    </cfRule>
    <cfRule type="cellIs" priority="2" operator="equal" dxfId="0">
      <formula>"KAYIP"</formula>
    </cfRule>
    <cfRule type="cellIs" priority="12" operator="greaterThan" dxfId="3">
      <formula>0</formula>
    </cfRule>
  </conditionalFormatting>
  <conditionalFormatting sqref="B16">
    <cfRule type="cellIs" priority="3" operator="greaterThanOrEqual" dxfId="2">
      <formula>90</formula>
    </cfRule>
    <cfRule type="cellIs" priority="4" operator="lessThan" dxfId="0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Cari ve Ba-Bs Toplu Mutabakat Motoru</t>
        </is>
      </c>
    </row>
    <row r="3">
      <c r="A3" s="41" t="inlineStr">
        <is>
          <t>Örnek Senaryo Açıklaması</t>
        </is>
      </c>
    </row>
    <row r="4">
      <c r="A4" s="8" t="inlineStr">
        <is>
          <t>Dosyada 35 satır örnek Ba/Bs mutabakat vardır: eşleşen, tolerans içi, tutar farkı ve eşleşmeyen kovalar kasıtlı üretilmiştir. Kısa/uzun VKN senaryosu satır 3, 7, 11'dedir. VERI_A (cari) ve VERI_B (Ba/Bs) temizleyip kendi dökümünüzü yapıştırın.</t>
        </is>
      </c>
    </row>
    <row r="6">
      <c r="A6" s="7" t="inlineStr">
        <is>
          <t>Örnek özet (bilgi)</t>
        </is>
      </c>
    </row>
    <row r="7">
      <c r="A7" s="7" t="inlineStr">
        <is>
          <t>Beklenen eşleşen ~24 | tolerans ~3 | tutar farkı ~5 | eşleşmedi ~3</t>
        </is>
      </c>
    </row>
    <row r="9">
      <c r="A9" s="7" t="inlineStr">
        <is>
          <t>Ölçek sözleşmesi</t>
        </is>
      </c>
      <c r="B9" s="23" t="n">
        <v>50000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3" max="3"/>
    <col width="14" customWidth="1" min="5" max="5"/>
    <col width="12" customWidth="1" min="7" max="7"/>
  </cols>
  <sheetData>
    <row r="1" ht="26" customHeight="1">
      <c r="A1" s="1" t="inlineStr">
        <is>
          <t>LISTELER — Cari ve Ba-Bs Toplu Mutabakat Motoru</t>
        </is>
      </c>
    </row>
    <row r="3">
      <c r="A3" s="18" t="inlineStr">
        <is>
          <t>Form Tipi</t>
        </is>
      </c>
      <c r="C3" s="18" t="inlineStr">
        <is>
          <t>İşlem Tipi</t>
        </is>
      </c>
      <c r="E3" s="18" t="inlineStr">
        <is>
          <t>Durum Listesi</t>
        </is>
      </c>
      <c r="G3" s="39" t="inlineStr">
        <is>
          <t>EvetHayir</t>
        </is>
      </c>
    </row>
    <row r="6">
      <c r="A6" s="19" t="inlineStr">
        <is>
          <t>FormTipi</t>
        </is>
      </c>
      <c r="C6" s="19" t="inlineStr">
        <is>
          <t>IslemTipi</t>
        </is>
      </c>
      <c r="E6" s="19" t="inlineStr">
        <is>
          <t>Durum</t>
        </is>
      </c>
      <c r="G6" s="19" t="inlineStr">
        <is>
          <t>Secim</t>
        </is>
      </c>
    </row>
    <row r="7">
      <c r="A7" s="13" t="inlineStr">
        <is>
          <t>Ba</t>
        </is>
      </c>
      <c r="C7" s="13" t="inlineStr">
        <is>
          <t>Alış</t>
        </is>
      </c>
      <c r="E7" s="13" t="inlineStr">
        <is>
          <t>Açık</t>
        </is>
      </c>
      <c r="G7" s="13" t="inlineStr">
        <is>
          <t>EVET</t>
        </is>
      </c>
    </row>
    <row r="8">
      <c r="A8" s="13" t="inlineStr">
        <is>
          <t>Bs</t>
        </is>
      </c>
      <c r="C8" s="13" t="inlineStr">
        <is>
          <t>Satış</t>
        </is>
      </c>
      <c r="E8" s="13" t="inlineStr">
        <is>
          <t>Kapalı</t>
        </is>
      </c>
      <c r="G8" s="13" t="inlineStr">
        <is>
          <t>HAYIR</t>
        </is>
      </c>
    </row>
    <row r="9">
      <c r="E9" s="13" t="inlineStr">
        <is>
          <t>İncele</t>
        </is>
      </c>
    </row>
    <row r="10">
      <c r="E10" s="13" t="inlineStr">
        <is>
          <t>Beklemede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H1"/>
  </mergeCells>
  <dataValidations count="8">
    <dataValidation sqref="A7" showDropDown="0" showInputMessage="1" showErrorMessage="1" allowBlank="1" errorTitle="Ad" error="En az 1 karakter" promptTitle="Form Tipi" prompt="Ba/Bs" type="textLength" errorStyle="stop" operator="greaterThan">
      <formula1>1</formula1>
      <formula2>10</formula2>
    </dataValidation>
    <dataValidation sqref="A8" showDropDown="0" showInputMessage="1" showErrorMessage="1" allowBlank="1" errorTitle="Ad" error="En az 1 karakter" promptTitle="Form Tipi" prompt="Ba/Bs" type="textLength" errorStyle="stop" operator="greaterThan">
      <formula1>1</formula1>
      <formula2>10</formula2>
    </dataValidation>
    <dataValidation sqref="C7" showDropDown="0" showInputMessage="1" showErrorMessage="1" allowBlank="1" errorTitle="Tip" error="Geçersiz" promptTitle="İşlem Tipi" prompt="Alış/Satış" type="textLength" errorStyle="stop" operator="greaterThan">
      <formula1>1</formula1>
      <formula2>20</formula2>
    </dataValidation>
    <dataValidation sqref="C8" showDropDown="0" showInputMessage="1" showErrorMessage="1" allowBlank="1" errorTitle="Tip" error="Geçersiz" promptTitle="İşlem Tipi" prompt="Alış/Satış" type="textLength" errorStyle="stop" operator="greaterThan">
      <formula1>1</formula1>
      <formula2>20</formula2>
    </dataValidation>
    <dataValidation sqref="E7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E8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E9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E10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L5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28" customWidth="1" min="4" max="4"/>
    <col width="14" customWidth="1" min="5" max="5"/>
    <col width="28" customWidth="1" min="6" max="6"/>
    <col width="24" customWidth="1" min="8" max="8"/>
    <col width="42" customWidth="1" min="9" max="9"/>
  </cols>
  <sheetData>
    <row r="1" ht="26" customHeight="1">
      <c r="A1" s="1" t="inlineStr">
        <is>
          <t>AYARLAR — Cari ve Ba-Bs Toplu Mutabakat Motoru</t>
        </is>
      </c>
    </row>
    <row r="3" ht="20" customHeight="1">
      <c r="A3" s="10" t="inlineStr">
        <is>
          <t>Tek kaynak parametreler — kaynak ve yürürlük zorunlu (D10)</t>
        </is>
      </c>
    </row>
    <row r="5" ht="30" customHeight="1">
      <c r="A5" s="12" t="inlineStr">
        <is>
          <t>anahtar</t>
        </is>
      </c>
      <c r="B5" s="12" t="inlineStr">
        <is>
          <t>deger</t>
        </is>
      </c>
      <c r="C5" s="12" t="inlineStr">
        <is>
          <t>birim</t>
        </is>
      </c>
      <c r="D5" s="12" t="inlineStr">
        <is>
          <t>kaynak</t>
        </is>
      </c>
      <c r="E5" s="12" t="inlineStr">
        <is>
          <t>yururluk_tarihi</t>
        </is>
      </c>
      <c r="F5" s="12" t="inlineStr">
        <is>
          <t>aciklama</t>
        </is>
      </c>
    </row>
    <row r="6">
      <c r="A6" s="7" t="inlineStr">
        <is>
          <t>toleransKurus</t>
        </is>
      </c>
      <c r="B6" s="76" t="n">
        <v>0.05</v>
      </c>
      <c r="C6" s="7" t="inlineStr">
        <is>
          <t>TL</t>
        </is>
      </c>
      <c r="D6" s="7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68" t="n">
        <v>46244</v>
      </c>
      <c r="C7" s="7" t="inlineStr">
        <is>
          <t>tarih</t>
        </is>
      </c>
      <c r="D7" s="7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 (TODAY yok)</t>
        </is>
      </c>
    </row>
    <row r="8">
      <c r="A8" s="7" t="inlineStr">
        <is>
          <t>cbb_esikEslesme</t>
        </is>
      </c>
      <c r="B8" s="76" t="n">
        <v>0.9</v>
      </c>
      <c r="C8" s="7" t="inlineStr">
        <is>
          <t>oran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Eşleşme oranı eşiği — altı DURDUR</t>
        </is>
      </c>
    </row>
    <row r="9">
      <c r="A9" s="7" t="inlineStr">
        <is>
          <t>cbb_esikFark</t>
        </is>
      </c>
      <c r="B9" s="69" t="n">
        <v>100</v>
      </c>
      <c r="C9" s="7" t="inlineStr">
        <is>
          <t>TL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Fark tutarı eşiği</t>
        </is>
      </c>
    </row>
    <row r="10">
      <c r="A10" s="7" t="inlineStr">
        <is>
          <t>cbb_azamiTutar</t>
        </is>
      </c>
      <c r="B10" s="69" t="n">
        <v>10000000</v>
      </c>
      <c r="C10" s="7" t="inlineStr">
        <is>
          <t>TL</t>
        </is>
      </c>
      <c r="D10" s="7" t="inlineStr">
        <is>
          <t>İç politika — uç değer</t>
        </is>
      </c>
      <c r="E10" s="7" t="inlineStr">
        <is>
          <t>01.01.2026</t>
        </is>
      </c>
      <c r="F10" s="8" t="inlineStr">
        <is>
          <t>Azami makul tutar</t>
        </is>
      </c>
    </row>
    <row r="11">
      <c r="A11" s="7" t="inlineStr">
        <is>
          <t>cbb_ikincilUzunluk</t>
        </is>
      </c>
      <c r="B11" s="17" t="n">
        <v>9</v>
      </c>
      <c r="C11" s="7" t="inlineStr">
        <is>
          <t>karakter</t>
        </is>
      </c>
      <c r="D11" s="7" t="inlineStr">
        <is>
          <t>Anahtar stratejisi SPEC</t>
        </is>
      </c>
      <c r="E11" s="7" t="inlineStr">
        <is>
          <t>01.01.2026</t>
        </is>
      </c>
      <c r="F11" s="8" t="inlineStr">
        <is>
          <t>İkincil VKN uzunluğu</t>
        </is>
      </c>
    </row>
    <row r="12">
      <c r="A12" s="7" t="inlineStr">
        <is>
          <t>cbb_olcekHedef</t>
        </is>
      </c>
      <c r="B12" s="17" t="n">
        <v>50000</v>
      </c>
      <c r="C12" s="7" t="inlineStr">
        <is>
          <t>satir</t>
        </is>
      </c>
      <c r="D12" s="7" t="inlineStr">
        <is>
          <t>Manda A2 Ö1</t>
        </is>
      </c>
      <c r="E12" s="7" t="inlineStr">
        <is>
          <t>01.01.2026</t>
        </is>
      </c>
      <c r="F12" s="8" t="inlineStr">
        <is>
          <t>Ölçek sözleşmesi</t>
        </is>
      </c>
    </row>
    <row r="13">
      <c r="A13" s="7" t="inlineStr">
        <is>
          <t>cbb_anomaliZ</t>
        </is>
      </c>
      <c r="B13" s="17" t="n">
        <v>2</v>
      </c>
      <c r="C13" s="7" t="inlineStr">
        <is>
          <t>z</t>
        </is>
      </c>
      <c r="D13" s="7" t="inlineStr">
        <is>
          <t>İstatistik kuralı</t>
        </is>
      </c>
      <c r="E13" s="7" t="inlineStr">
        <is>
          <t>01.01.2026</t>
        </is>
      </c>
      <c r="F13" s="8" t="inlineStr">
        <is>
          <t>Anomali Z eşiği</t>
        </is>
      </c>
    </row>
    <row r="14">
      <c r="A14" s="7" t="inlineStr">
        <is>
          <t>cbb_yuzdelikOran</t>
        </is>
      </c>
      <c r="B14" s="76" t="n">
        <v>0.9</v>
      </c>
      <c r="C14" s="7" t="inlineStr">
        <is>
          <t>oran</t>
        </is>
      </c>
      <c r="D14" s="7" t="inlineStr">
        <is>
          <t>İstatistik kuralı</t>
        </is>
      </c>
      <c r="E14" s="7" t="inlineStr">
        <is>
          <t>01.01.2026</t>
        </is>
      </c>
      <c r="F14" s="8" t="inlineStr">
        <is>
          <t>PERCENTILE oranı</t>
        </is>
      </c>
    </row>
    <row r="15">
      <c r="A15" s="7" t="inlineStr">
        <is>
          <t>cbb_medyanOran</t>
        </is>
      </c>
      <c r="B15" s="76" t="n">
        <v>0.5</v>
      </c>
      <c r="C15" s="7" t="inlineStr">
        <is>
          <t>oran</t>
        </is>
      </c>
      <c r="D15" s="7" t="inlineStr">
        <is>
          <t>İstatistik kuralı</t>
        </is>
      </c>
      <c r="E15" s="7" t="inlineStr">
        <is>
          <t>01.01.2026</t>
        </is>
      </c>
      <c r="F15" s="8" t="inlineStr">
        <is>
          <t>Medyan yüzdelik</t>
        </is>
      </c>
    </row>
    <row r="16">
      <c r="A16" s="7" t="inlineStr">
        <is>
          <t>cbb_yuvarlamaCarpan</t>
        </is>
      </c>
      <c r="B16" s="17" t="n">
        <v>10</v>
      </c>
      <c r="C16" s="7" t="inlineStr">
        <is>
          <t>carpan</t>
        </is>
      </c>
      <c r="D16" s="7" t="inlineStr">
        <is>
          <t>Yuvarlama kök neden</t>
        </is>
      </c>
      <c r="E16" s="7" t="inlineStr">
        <is>
          <t>01.01.2026</t>
        </is>
      </c>
      <c r="F16" s="8" t="inlineStr">
        <is>
          <t>tolerans × çarpan</t>
        </is>
      </c>
    </row>
    <row r="17">
      <c r="A17" s="7" t="inlineStr">
        <is>
          <t>cbb_donemCarpan</t>
        </is>
      </c>
      <c r="B17" s="17" t="n">
        <v>2</v>
      </c>
      <c r="C17" s="7" t="inlineStr">
        <is>
          <t>carpan</t>
        </is>
      </c>
      <c r="D17" s="7" t="inlineStr">
        <is>
          <t>Dönem kök neden</t>
        </is>
      </c>
      <c r="E17" s="7" t="inlineStr">
        <is>
          <t>01.01.2026</t>
        </is>
      </c>
      <c r="F17" s="8" t="inlineStr">
        <is>
          <t>eşik × çarpan</t>
        </is>
      </c>
    </row>
    <row r="18">
      <c r="A18" s="7" t="inlineStr">
        <is>
          <t>cbb_unvanMinLen</t>
        </is>
      </c>
      <c r="B18" s="17" t="n">
        <v>3</v>
      </c>
      <c r="C18" s="7" t="inlineStr">
        <is>
          <t>karakter</t>
        </is>
      </c>
      <c r="D18" s="7" t="inlineStr">
        <is>
          <t>Unvan kök neden</t>
        </is>
      </c>
      <c r="E18" s="7" t="inlineStr">
        <is>
          <t>01.01.2026</t>
        </is>
      </c>
      <c r="F18" s="8" t="inlineStr">
        <is>
          <t>Min unvan uzunluğu</t>
        </is>
      </c>
    </row>
    <row r="19">
      <c r="A19" s="7" t="inlineStr">
        <is>
          <t>cbb_normAnahtar</t>
        </is>
      </c>
      <c r="B19" s="13" t="inlineStr">
        <is>
          <t>UPPER TRIM SUBSTITUTE VKN</t>
        </is>
      </c>
      <c r="C19" s="7" t="inlineStr">
        <is>
          <t>metin</t>
        </is>
      </c>
      <c r="D19" s="7" t="inlineStr">
        <is>
          <t>Ç7 anahtar</t>
        </is>
      </c>
      <c r="E19" s="7" t="inlineStr">
        <is>
          <t>01.01.2026</t>
        </is>
      </c>
      <c r="F19" s="8" t="inlineStr">
        <is>
          <t>Serbest alternatif</t>
        </is>
      </c>
    </row>
    <row r="20">
      <c r="A20" s="7" t="inlineStr">
        <is>
          <t>cbb_tanimsizKova</t>
        </is>
      </c>
      <c r="B20" s="13" t="inlineStr">
        <is>
          <t>TANIMSIZ görünür</t>
        </is>
      </c>
      <c r="C20" s="7" t="inlineStr">
        <is>
          <t>metin</t>
        </is>
      </c>
      <c r="D20" s="7" t="inlineStr">
        <is>
          <t>E04</t>
        </is>
      </c>
      <c r="E20" s="7" t="inlineStr">
        <is>
          <t>01.01.2026</t>
        </is>
      </c>
      <c r="F20" s="8" t="inlineStr">
        <is>
          <t>Serbest alternatif</t>
        </is>
      </c>
    </row>
    <row r="21">
      <c r="A21" s="7" t="inlineStr">
        <is>
          <t>cbb_kararKapi</t>
        </is>
      </c>
      <c r="B21" s="13" t="inlineStr">
        <is>
          <t>VERİ YOK/UYGUN/İNCELE/DURDUR</t>
        </is>
      </c>
      <c r="C21" s="7" t="inlineStr">
        <is>
          <t>metin</t>
        </is>
      </c>
      <c r="D21" s="7" t="inlineStr">
        <is>
          <t>Karar motoru</t>
        </is>
      </c>
      <c r="E21" s="7" t="inlineStr">
        <is>
          <t>01.01.2026</t>
        </is>
      </c>
      <c r="F21" s="8" t="inlineStr">
        <is>
          <t>Serbest alternatif</t>
        </is>
      </c>
    </row>
    <row r="22">
      <c r="A22" s="7" t="inlineStr">
        <is>
          <t>cbb_fiyatModeli</t>
        </is>
      </c>
      <c r="B22" s="13" t="inlineStr">
        <is>
          <t>Tek seferlik alım — aylık ücret yok</t>
        </is>
      </c>
      <c r="C22" s="7" t="inlineStr">
        <is>
          <t>metin</t>
        </is>
      </c>
      <c r="D22" s="7" t="inlineStr">
        <is>
          <t>Ürün konumlandırma</t>
        </is>
      </c>
      <c r="E22" s="7" t="inlineStr">
        <is>
          <t>01.01.2026</t>
        </is>
      </c>
      <c r="F22" s="8" t="inlineStr">
        <is>
          <t>R3 ayrım</t>
        </is>
      </c>
    </row>
    <row r="23">
      <c r="A23" s="7" t="inlineStr">
        <is>
          <t>cbb_kvkkBeyani</t>
        </is>
      </c>
      <c r="B23" s="13" t="inlineStr">
        <is>
          <t>Veri cihazdan çıkmaz</t>
        </is>
      </c>
      <c r="C23" s="7" t="inlineStr">
        <is>
          <t>metin</t>
        </is>
      </c>
      <c r="D23" s="7" t="inlineStr">
        <is>
          <t>KVKK beyanı</t>
        </is>
      </c>
      <c r="E23" s="7" t="inlineStr">
        <is>
          <t>01.01.2026</t>
        </is>
      </c>
      <c r="F23" s="8" t="inlineStr">
        <is>
          <t>R3 ayrım</t>
        </is>
      </c>
    </row>
    <row r="24">
      <c r="A24" s="7" t="inlineStr">
        <is>
          <t>cbb_yapistirCalistir</t>
        </is>
      </c>
      <c r="B24" s="13" t="inlineStr">
        <is>
          <t>Kurulum beklemez; yapıştır-çalıştır</t>
        </is>
      </c>
      <c r="C24" s="7" t="inlineStr">
        <is>
          <t>metin</t>
        </is>
      </c>
      <c r="D24" s="7" t="inlineStr">
        <is>
          <t>UX vaadi</t>
        </is>
      </c>
      <c r="E24" s="7" t="inlineStr">
        <is>
          <t>01.01.2026</t>
        </is>
      </c>
      <c r="F24" s="8" t="inlineStr">
        <is>
          <t>R3 ayrım</t>
        </is>
      </c>
    </row>
    <row r="25">
      <c r="A25" s="7" t="inlineStr">
        <is>
          <t>cbb_baBsKurali</t>
        </is>
      </c>
      <c r="B25" s="13" t="inlineStr">
        <is>
          <t>Form Ba/Bs eşleştirme kovası kanonik</t>
        </is>
      </c>
      <c r="C25" s="7" t="inlineStr">
        <is>
          <t>metin</t>
        </is>
      </c>
      <c r="D25" s="7" t="inlineStr">
        <is>
          <t>Alan bilgisi</t>
        </is>
      </c>
      <c r="E25" s="7" t="inlineStr">
        <is>
          <t>01.01.2026</t>
        </is>
      </c>
      <c r="F25" s="8" t="inlineStr">
        <is>
          <t>R1 ayrım</t>
        </is>
      </c>
    </row>
    <row r="26">
      <c r="A26" s="7" t="inlineStr">
        <is>
          <t>cbb_itirazMetni</t>
        </is>
      </c>
      <c r="B26" s="13" t="inlineStr">
        <is>
          <t>Düzeltme metni üretir</t>
        </is>
      </c>
      <c r="C26" s="7" t="inlineStr">
        <is>
          <t>metin</t>
        </is>
      </c>
      <c r="D26" s="7" t="inlineStr">
        <is>
          <t>Aksiyon motoru</t>
        </is>
      </c>
      <c r="E26" s="7" t="inlineStr">
        <is>
          <t>01.01.2026</t>
        </is>
      </c>
      <c r="F26" s="8" t="inlineStr">
        <is>
          <t>R1 ayrım</t>
        </is>
      </c>
    </row>
    <row r="27">
      <c r="A27" s="7" t="inlineStr">
        <is>
          <t>cbb_dosyaSurumu</t>
        </is>
      </c>
      <c r="B27" s="13" t="inlineStr">
        <is>
          <t>1.0.0</t>
        </is>
      </c>
      <c r="C27" s="7" t="inlineStr">
        <is>
          <t>metin</t>
        </is>
      </c>
      <c r="D27" s="7" t="inlineStr">
        <is>
          <t>Sürüm yönetimi</t>
        </is>
      </c>
      <c r="E27" s="7" t="inlineStr">
        <is>
          <t>01.01.2026</t>
        </is>
      </c>
      <c r="F27" s="8" t="inlineStr">
        <is>
          <t>Ürün sürümü</t>
        </is>
      </c>
    </row>
    <row r="28">
      <c r="A28" s="7" t="inlineStr">
        <is>
          <t>cbb_firmaUnvan</t>
        </is>
      </c>
      <c r="B28" s="13" t="inlineStr">
        <is>
          <t>Örnek Ticaret A.Ş.</t>
        </is>
      </c>
      <c r="C28" s="7" t="inlineStr">
        <is>
          <t>metin</t>
        </is>
      </c>
      <c r="D28" s="7" t="inlineStr">
        <is>
          <t>Kullanıcı girişi</t>
        </is>
      </c>
      <c r="E28" s="7" t="inlineStr">
        <is>
          <t>01.01.2026</t>
        </is>
      </c>
      <c r="F28" s="8" t="inlineStr">
        <is>
          <t>Firma</t>
        </is>
      </c>
    </row>
    <row r="31">
      <c r="H31" s="18" t="inlineStr">
        <is>
          <t>Motor Cikti</t>
        </is>
      </c>
      <c r="I31" s="18" t="inlineStr">
        <is>
          <t>Deger</t>
        </is>
      </c>
    </row>
    <row r="32">
      <c r="H32" s="7" t="inlineStr">
        <is>
          <t>cbb_mutabakatFarki</t>
        </is>
      </c>
      <c r="I32" s="70">
        <f>IFERROR(SUM(tblVeriA[Tutar])-SUM(tblVeriB[BeyanTutar]),0)</f>
        <v/>
      </c>
    </row>
    <row r="33">
      <c r="H33" s="7" t="inlineStr">
        <is>
          <t>cbb_eslesmeOrani</t>
        </is>
      </c>
      <c r="I33" s="71">
        <f>IF(COUNTA(tblEslesme[A_Norm])=0,0,(COUNTIF(tblEslesme[Kova],"eslesti")+COUNTIF(tblEslesme[Kova],"tolerans_icinde"))/COUNTA(tblEslesme[A_Norm]))</f>
        <v/>
      </c>
    </row>
    <row r="34">
      <c r="H34" s="7" t="inlineStr">
        <is>
          <t>cbb_kovaButunluk</t>
        </is>
      </c>
      <c r="I34" s="70">
        <f>ESLESTIRME!C2</f>
        <v/>
      </c>
    </row>
    <row r="35">
      <c r="H35" s="7" t="inlineStr">
        <is>
          <t>cbb_modulT1</t>
        </is>
      </c>
      <c r="I35" s="71">
        <f>cbb_eslesmeOrani</f>
        <v/>
      </c>
    </row>
    <row r="36">
      <c r="H36" s="7" t="inlineStr">
        <is>
          <t>cbb_modulT2</t>
        </is>
      </c>
      <c r="I36" s="70">
        <f>IFERROR(IF(COUNTA(tblEslesme[A_Norm])=0,0,SUM(tblEslesme[AbsFark])/COUNTA(tblEslesme[A_Norm])),0)</f>
        <v/>
      </c>
    </row>
    <row r="37">
      <c r="H37" s="7" t="inlineStr">
        <is>
          <t>cbb_modulO1</t>
        </is>
      </c>
      <c r="I37" s="20">
        <f>COUNTIF(tblEslesme[EsikUstu],1)</f>
        <v/>
      </c>
    </row>
    <row r="38">
      <c r="H38" s="7" t="inlineStr">
        <is>
          <t>cbb_modulO2</t>
        </is>
      </c>
      <c r="I38" s="70">
        <f>IFERROR(MAX(PANO!K25:K29),0)</f>
        <v/>
      </c>
    </row>
    <row r="39">
      <c r="H39" s="7" t="inlineStr">
        <is>
          <t>cbb_modulO3</t>
        </is>
      </c>
      <c r="I39" s="70">
        <f>IFERROR(SUM(PANO!K25:K29),0)</f>
        <v/>
      </c>
    </row>
    <row r="40">
      <c r="H40" s="7" t="inlineStr">
        <is>
          <t>cbb_modulO6</t>
        </is>
      </c>
      <c r="I40" s="71">
        <f>IFERROR(IF(SUM(tblVeriA[Tutar])=0,0,MAX(tblEslesme[A_Tutar])/SUM(tblVeriA[Tutar])),0)</f>
        <v/>
      </c>
    </row>
    <row r="41">
      <c r="H41" s="7" t="inlineStr">
        <is>
          <t>cbb_modulO8</t>
        </is>
      </c>
      <c r="I41" s="20">
        <f>IF(COUNTA(tblEslesme[A_Norm])=0,0,ROUND(100*(COUNTIF(tblEslesme[Kova],"eslesti")+COUNTIF(tblEslesme[Kova],"tolerans_icinde"))/COUNTA(tblEslesme[A_Norm]),0))</f>
        <v/>
      </c>
    </row>
    <row r="42">
      <c r="H42" s="7" t="inlineStr">
        <is>
          <t>cbb_modulI1</t>
        </is>
      </c>
      <c r="I42" s="70">
        <f>IFERROR(PERCENTILE(tblVeriA[Tutar],cbb_medyanOran),0)</f>
        <v/>
      </c>
    </row>
    <row r="43">
      <c r="H43" s="7" t="inlineStr">
        <is>
          <t>cbb_modulI2</t>
        </is>
      </c>
      <c r="I43" s="70">
        <f>IFERROR(PERCENTILE(tblVeriA[Tutar],cbb_yuzdelikOran),0)</f>
        <v/>
      </c>
    </row>
    <row r="45">
      <c r="H45" s="18" t="inlineStr">
        <is>
          <t>Canli Yorumlar</t>
        </is>
      </c>
    </row>
    <row r="46">
      <c r="H46" s="7" t="inlineStr">
        <is>
          <t>cbb_modulT1Yorum</t>
        </is>
      </c>
      <c r="I46" s="8">
        <f>IFERROR(_xlfn.TEXTJOIN(" ",TRUE,"Eşleşme oranı",TEXT(cbb_modulT1,"0.0%")),"-")</f>
        <v/>
      </c>
    </row>
    <row r="47">
      <c r="H47" s="7" t="inlineStr">
        <is>
          <t>cbb_modulT2Yorum</t>
        </is>
      </c>
      <c r="I47" s="8">
        <f>IFERROR(_xlfn.TEXTJOIN(" ",TRUE,"Ort fark",TEXT(cbb_modulT2,"0.00"),"TL"),"-")</f>
        <v/>
      </c>
    </row>
    <row r="48">
      <c r="H48" s="7" t="inlineStr">
        <is>
          <t>cbb_modulO1Yorum</t>
        </is>
      </c>
      <c r="I48" s="8">
        <f>IFERROR(_xlfn.TEXTJOIN(" ",TRUE,"Anomali",TEXT(cbb_modulO1,"0")),"-")</f>
        <v/>
      </c>
    </row>
    <row r="49">
      <c r="H49" s="7" t="inlineStr">
        <is>
          <t>cbb_modulO2Yorum</t>
        </is>
      </c>
      <c r="I49" s="8">
        <f>IFERROR(_xlfn.TEXTJOIN(" ",TRUE,"Tornado zirve",TEXT(cbb_modulO2,"0.00"),"TL"),"-")</f>
        <v/>
      </c>
    </row>
    <row r="50">
      <c r="H50" s="7" t="inlineStr">
        <is>
          <t>cbb_modulO3Yorum</t>
        </is>
      </c>
      <c r="I50" s="8">
        <f>IFERROR(_xlfn.TEXTJOIN(" ",TRUE,"Senaryo etki",TEXT(cbb_modulO3,"0.00"),"TL"),"-")</f>
        <v/>
      </c>
    </row>
    <row r="51">
      <c r="H51" s="7" t="inlineStr">
        <is>
          <t>cbb_modulO6Yorum</t>
        </is>
      </c>
      <c r="I51" s="8">
        <f>IFERROR(_xlfn.TEXTJOIN(" ",TRUE,"VKN yoğunlaşma",TEXT(cbb_modulO6,"0.0%")),"-")</f>
        <v/>
      </c>
    </row>
    <row r="52">
      <c r="H52" s="7" t="inlineStr">
        <is>
          <t>cbb_modulO8Yorum</t>
        </is>
      </c>
      <c r="I52" s="8">
        <f>IFERROR(_xlfn.TEXTJOIN(" ",TRUE,"Kalite",TEXT(cbb_modulO8,"0")),"-")</f>
        <v/>
      </c>
    </row>
    <row r="53">
      <c r="H53" s="7" t="inlineStr">
        <is>
          <t>cbb_modulI1Yorum</t>
        </is>
      </c>
      <c r="I53" s="8">
        <f>IFERROR(_xlfn.TEXTJOIN(" ",TRUE,"Tahmin medyan",TEXT(cbb_modulI1,"0.00"),"TL"),"-")</f>
        <v/>
      </c>
    </row>
    <row r="54">
      <c r="H54" s="7" t="inlineStr">
        <is>
          <t>cbb_modulI2Yorum</t>
        </is>
      </c>
      <c r="I54" s="8">
        <f>IFERROR(_xlfn.TEXTJOIN(" ",TRUE,"P90",TEXT(cbb_modulI2,"0.00"),"TL"),"-")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dataValidations count="24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Cari ve Ba-Bs Toplu Mutabakat Motoru</t>
        </is>
      </c>
    </row>
    <row r="3">
      <c r="A3" s="27" t="inlineStr">
        <is>
          <t>Kullanım Kılavuzu</t>
        </is>
      </c>
    </row>
    <row r="5">
      <c r="A5" s="8" t="inlineStr">
        <is>
          <t>1. VERI_A: Cari hesap hareketlerini sarı hücrelere yapıştırın (VKN zorunlu).</t>
        </is>
      </c>
    </row>
    <row r="6">
      <c r="A6" s="8" t="inlineStr">
        <is>
          <t>2. VERI_B: Form Ba/Bs beyan satırlarını girin.</t>
        </is>
      </c>
    </row>
    <row r="7">
      <c r="A7" s="8" t="inlineStr">
        <is>
          <t>3. ANAHTAR: VKN normalize, uzunluk, ikincil ve duplike kolonları otomatik dolar.</t>
        </is>
      </c>
    </row>
    <row r="8">
      <c r="A8" s="8" t="inlineStr">
        <is>
          <t>4. MOTOR: Ara hesap adımlarını inceler; PANO'ya besler.</t>
        </is>
      </c>
    </row>
    <row r="9">
      <c r="A9" s="8" t="inlineStr">
        <is>
          <t>5. ESLESTIRME: Dört kova ve bütünlük denetimi otomatik çalışır.</t>
        </is>
      </c>
    </row>
    <row r="10">
      <c r="A10" s="8" t="inlineStr">
        <is>
          <t>6. KOK_NEDEN: Tutar farklarını sınıflandırır; TANIMSIZ elle incelenir.</t>
        </is>
      </c>
    </row>
    <row r="11">
      <c r="A11" s="8" t="inlineStr">
        <is>
          <t>7. PANO: Karar kapısı (VERİ YOK / UYGUN / İNCELE / DURDUR) ve KPI'lar.</t>
        </is>
      </c>
    </row>
    <row r="12">
      <c r="A12" s="8" t="inlineStr">
        <is>
          <t>8. AKSIYON: Düzeltme metinlerini kopyalayıp dosyaya ekleyin.</t>
        </is>
      </c>
    </row>
    <row r="13">
      <c r="A13" s="8" t="inlineStr">
        <is>
          <t>9. KANIT_RAPORU: Dönem dosyasına PDF olarak yazdırın.</t>
        </is>
      </c>
    </row>
    <row r="15">
      <c r="A15" s="24" t="inlineStr">
        <is>
          <t>Sık yapılan hatalar</t>
        </is>
      </c>
    </row>
    <row r="16">
      <c r="A16" s="7" t="inlineStr">
        <is>
          <t>• VKN'yi boşluklu veya eksik haneli bırakmak (normalize edilir ama kontrol edin)</t>
        </is>
      </c>
    </row>
    <row r="17">
      <c r="A17" s="7" t="inlineStr">
        <is>
          <t>• A ve B dönemlerini karıştırmak</t>
        </is>
      </c>
    </row>
    <row r="18">
      <c r="A18" s="7" t="inlineStr">
        <is>
          <t>• Ba tutarını Bs satırına yazmak</t>
        </is>
      </c>
    </row>
    <row r="20">
      <c r="A20" s="28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6:J6"/>
    <mergeCell ref="A9:J9"/>
    <mergeCell ref="A1:L1"/>
    <mergeCell ref="A12:J12"/>
    <mergeCell ref="A7:J7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2026-08-14T18:48:06Z</dcterms:created>
  <dcterms:modified xmlns:dcterms="http://purl.org/dc/terms/" xmlns:xsi="http://www.w3.org/2001/XMLSchema-instance" xsi:type="dcterms:W3CDTF">2026-09-25T14:12:15Z</dcterms:modified>
</cp:coreProperties>
</file>