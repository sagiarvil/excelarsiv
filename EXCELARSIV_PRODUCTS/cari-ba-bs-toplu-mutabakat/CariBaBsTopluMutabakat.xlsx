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cbb_esikEslesme">AYARLAR!$B$8</definedName>
    <definedName name="cbb_esikFark">AYARLAR!$B$9</definedName>
    <definedName name="cbb_azamiTutar">AYARLAR!$B$10</definedName>
    <definedName name="cbb_ikincilUzunluk">AYARLAR!$B$11</definedName>
    <definedName name="cbb_olcekHedef">AYARLAR!$B$12</definedName>
    <definedName name="cbb_anomaliZ">AYARLAR!$B$13</definedName>
    <definedName name="cbb_yuzdelikOran">AYARLAR!$B$14</definedName>
    <definedName name="cbb_medyanOran">AYARLAR!$B$15</definedName>
    <definedName name="cbb_yuvarlamaCarpan">AYARLAR!$B$16</definedName>
    <definedName name="cbb_donemCarpan">AYARLAR!$B$17</definedName>
    <definedName name="cbb_unvanMinLen">AYARLAR!$B$18</definedName>
    <definedName name="cbb_normAnahtar">AYARLAR!$B$19</definedName>
    <definedName name="cbb_tanimsizKova">AYARLAR!$B$20</definedName>
    <definedName name="cbb_kararKapi">AYARLAR!$B$21</definedName>
    <definedName name="cbb_fiyatModeli">AYARLAR!$B$22</definedName>
    <definedName name="cbb_kvkkBeyani">AYARLAR!$B$23</definedName>
    <definedName name="cbb_yapistirCalistir">AYARLAR!$B$24</definedName>
    <definedName name="cbb_baBsKurali">AYARLAR!$B$25</definedName>
    <definedName name="cbb_itirazMetni">AYARLAR!$B$26</definedName>
    <definedName name="cbb_dosyaSurumu">AYARLAR!$B$27</definedName>
    <definedName name="cbb_firmaUnvan">AYARLAR!$B$28</definedName>
    <definedName name="cbb_mutabakatFarki">AYARLAR!$I$32</definedName>
    <definedName name="cbb_eslesmeOrani">AYARLAR!$I$33</definedName>
    <definedName name="cbb_kovaButunluk">AYARLAR!$I$34</definedName>
    <definedName name="cbb_modulT1">AYARLAR!$I$35</definedName>
    <definedName name="cbb_modulT2">AYARLAR!$I$36</definedName>
    <definedName name="cbb_modulO1">AYARLAR!$I$37</definedName>
    <definedName name="cbb_modulO2">AYARLAR!$I$38</definedName>
    <definedName name="cbb_modulO3">AYARLAR!$I$39</definedName>
    <definedName name="cbb_modulO6">AYARLAR!$I$40</definedName>
    <definedName name="cbb_modulO8">AYARLAR!$I$41</definedName>
    <definedName name="cbb_modulI1">AYARLAR!$I$42</definedName>
    <definedName name="cbb_modulI2">AYARLAR!$I$43</definedName>
    <definedName name="cbb_modulT1Yorum">AYARLAR!$I$46</definedName>
    <definedName name="cbb_modulT2Yorum">AYARLAR!$I$47</definedName>
    <definedName name="cbb_modulO1Yorum">AYARLAR!$I$48</definedName>
    <definedName name="cbb_modulO2Yorum">AYARLAR!$I$49</definedName>
    <definedName name="cbb_modulO3Yorum">AYARLAR!$I$50</definedName>
    <definedName name="cbb_modulO6Yorum">AYARLAR!$I$51</definedName>
    <definedName name="cbb_modulO8Yorum">AYARLAR!$I$52</definedName>
    <definedName name="cbb_modulI1Yorum">AYARLAR!$I$53</definedName>
    <definedName name="cbb_modulI2Yorum">AYARLAR!$I$54</definedName>
    <definedName name="ListeFormTipleri">LISTELER!$A$7:$A$8</definedName>
    <definedName name="ListeIslemTipleri">LISTELER!$C$7:$C$8</definedName>
    <definedName name="ListeDurumlar">LISTELER!$E$7:$E$10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4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4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4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4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4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4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VKN | Neden önemli: Mutabakat sonucunu etkiler | Doğru kullanım: Ba/Bs VKN | Örnek: hücredeki örnek değere bakın | Risk: Yanlış giriş hatalı kova üretir</t>
      </text>
    </comment>
    <comment ref="B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VKN | Neden önemli: Mutabakat sonucunu etkiler | Doğru kullanım: Ba/Bs VKN | Örnek: hücredeki örnek değere bakın | Risk: Yanlış giriş hatalı kova üretir</t>
      </text>
    </comment>
    <comment ref="B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VKN | Neden önemli: Mutabakat sonucunu etkiler | Doğru kullanım: Ba/Bs VKN | Örnek: hücredeki örnek değere bakın | Risk: Yanlış giriş hatalı kova üretir</t>
      </text>
    </comment>
    <comment ref="B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VKN | Neden önemli: Mutabakat sonucunu etkiler | Doğru kullanım: Ba/Bs VKN | Örnek: hücredeki örnek değere bakın | Risk: Yanlış giriş hatalı kova üretir</t>
      </text>
    </comment>
    <comment ref="B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VKN | Neden önemli: Mutabakat sonucunu etkiler | Doğru kullanım: Ba/Bs VKN | Örnek: hücredeki örnek değere bakın | Risk: Yanlış giriş hatalı kova üretir</t>
      </text>
    </comment>
    <comment ref="B1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VKN | Neden önemli: Mutabakat sonucunu etkiler | Doğru kullanım: Ba/Bs VKN | Örnek: hücredeki örnek değere bakın | Risk: Yanlış giriş hatalı kova üretir</t>
      </text>
    </comment>
    <comment ref="B1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VKN | Neden önemli: Mutabakat sonucunu etkiler | Doğru kullanım: Ba/Bs VKN | Örnek: hücredeki örnek değere bakın | Risk: Yanlış giriş hatalı kova üretir</t>
      </text>
    </comment>
    <comment ref="B1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VKN | Neden önemli: Mutabakat sonucunu etkiler | Doğru kullanım: Ba/Bs VKN | Örnek: hücredeki örnek değere bakın | Risk: Yanlış giriş hatalı kova üretir</t>
      </text>
    </comment>
    <comment ref="B1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VKN | Neden önemli: Mutabakat sonucunu etkiler | Doğru kullanım: Ba/Bs VKN | Örnek: hücredeki örnek değere bakın | Risk: Yanlış giriş hatalı kova üretir</t>
      </text>
    </comment>
    <comment ref="B1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VKN | Neden önemli: Mutabakat sonucunu etkiler | Doğru kullanım: Ba/Bs VKN | Örnek: hücredeki örnek değere bakın | Risk: Yanlış giriş hatalı kova üretir</t>
      </text>
    </comment>
    <comment ref="B1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VKN | Neden önemli: Mutabakat sonucunu etkiler | Doğru kullanım: Ba/Bs VKN | Örnek: hücredeki örnek değere bakın | Risk: Yanlış giriş hatalı kova üretir</t>
      </text>
    </comment>
    <comment ref="B1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VKN | Neden önemli: Mutabakat sonucunu etkiler | Doğru kullanım: Ba/Bs VKN | Örnek: hücredeki örnek değere bakın | Risk: Yanlış giriş hatalı kova üretir</t>
      </text>
    </comment>
    <comment ref="B1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VKN | Neden önemli: Mutabakat sonucunu etkiler | Doğru kullanım: Ba/Bs VKN | Örnek: hücredeki örnek değere bakın | Risk: Yanlış giriş hatalı kova üretir</t>
      </text>
    </comment>
    <comment ref="B1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VKN | Neden önemli: Mutabakat sonucunu etkiler | Doğru kullanım: Ba/Bs VKN | Örnek: hücredeki örnek değere bakın | Risk: Yanlış giriş hatalı kova üretir</t>
      </text>
    </comment>
    <comment ref="B1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VKN | Neden önemli: Mutabakat sonucunu etkiler | Doğru kullanım: Ba/Bs VKN | Örnek: hücredeki örnek değere bakın | Risk: Yanlış giriş hatalı kova üretir</t>
      </text>
    </comment>
    <comment ref="B2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VKN | Neden önemli: Mutabakat sonucunu etkiler | Doğru kullanım: Ba/Bs VKN | Örnek: hücredeki örnek değere bakın | Risk: Yanlış giriş hatalı kova üretir</t>
      </text>
    </comment>
    <comment ref="B2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VKN | Neden önemli: Mutabakat sonucunu etkiler | Doğru kullanım: Ba/Bs VKN | Örnek: hücredeki örnek değere bakın | Risk: Yanlış giriş hatalı kova üretir</t>
      </text>
    </comment>
    <comment ref="B2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VKN | Neden önemli: Mutabakat sonucunu etkiler | Doğru kullanım: Ba/Bs VKN | Örnek: hücredeki örnek değere bakın | Risk: Yanlış giriş hatalı kova üretir</t>
      </text>
    </comment>
    <comment ref="B2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VKN | Neden önemli: Mutabakat sonucunu etkiler | Doğru kullanım: Ba/Bs VKN | Örnek: hücredeki örnek değere bakın | Risk: Yanlış giriş hatalı kova üretir</t>
      </text>
    </comment>
    <comment ref="B2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VKN | Neden önemli: Mutabakat sonucunu etkiler | Doğru kullanım: Ba/Bs VKN | Örnek: hücredeki örnek değere bakın | Risk: Yanlış giriş hatalı kova üretir</t>
      </text>
    </comment>
    <comment ref="B2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VKN | Neden önemli: Mutabakat sonucunu etkiler | Doğru kullanım: Ba/Bs VKN | Örnek: hücredeki örnek değere bakın | Risk: Yanlış giriş hatalı kova üretir</t>
      </text>
    </comment>
    <comment ref="B2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VKN | Neden önemli: Mutabakat sonucunu etkiler | Doğru kullanım: Ba/Bs VKN | Örnek: hücredeki örnek değere bakın | Risk: Yanlış giriş hatalı kova üretir</t>
      </text>
    </comment>
    <comment ref="B2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VKN | Neden önemli: Mutabakat sonucunu etkiler | Doğru kullanım: Ba/Bs VKN | Örnek: hücredeki örnek değere bakın | Risk: Yanlış giriş hatalı kova üretir</t>
      </text>
    </comment>
    <comment ref="B2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VKN | Neden önemli: Mutabakat sonucunu etkiler | Doğru kullanım: Ba/Bs VKN | Örnek: hücredeki örnek değere bakın | Risk: Yanlış giriş hatalı kova üretir</t>
      </text>
    </comment>
    <comment ref="B2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VKN | Neden önemli: Mutabakat sonucunu etkiler | Doğru kullanım: Ba/Bs VKN | Örnek: hücredeki örnek değere bakın | Risk: Yanlış giriş hatalı kova üretir</t>
      </text>
    </comment>
    <comment ref="B3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VKN | Neden önemli: Mutabakat sonucunu etkiler | Doğru kullanım: Ba/Bs VKN | Örnek: hücredeki örnek değere bakın | Risk: Yanlış giriş hatalı kova üretir</t>
      </text>
    </comment>
    <comment ref="B3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VKN | Neden önemli: Mutabakat sonucunu etkiler | Doğru kullanım: Ba/Bs VKN | Örnek: hücredeki örnek değere bakın | Risk: Yanlış giriş hatalı kova üretir</t>
      </text>
    </comment>
    <comment ref="B3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VKN | Neden önemli: Mutabakat sonucunu etkiler | Doğru kullanım: Ba/Bs VKN | Örnek: hücredeki örnek değere bakın | Risk: Yanlış giriş hatalı kova üretir</t>
      </text>
    </comment>
    <comment ref="B3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VKN | Neden önemli: Mutabakat sonucunu etkiler | Doğru kullanım: Ba/Bs VKN | Örnek: hücredeki örnek değere bakın | Risk: Yanlış giriş hatalı kova üretir</t>
      </text>
    </comment>
    <comment ref="B3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VKN | Neden önemli: Mutabakat sonucunu etkiler | Doğru kullanım: Ba/Bs VKN | Örnek: hücredeki örnek değere bakın | Risk: Yanlış giriş hatalı kova üretir</t>
      </text>
    </comment>
    <comment ref="B3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VKN | Neden önemli: Mutabakat sonucunu etkiler | Doğru kullanım: Ba/Bs VKN | Örnek: hücredeki örnek değere bakın | Risk: Yanlış giriş hatalı kova üretir</t>
      </text>
    </comment>
    <comment ref="B3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VKN | Neden önemli: Mutabakat sonucunu etkiler | Doğru kullanım: Ba/Bs VKN | Örnek: hücredeki örnek değere bakın | Risk: Yanlış giriş hatalı kova üretir</t>
      </text>
    </comment>
    <comment ref="B3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VKN | Neden önemli: Mutabakat sonucunu etkiler | Doğru kullanım: Ba/Bs VKN | Örnek: hücredeki örnek değere bakın | Risk: Yanlış giriş hatalı kova üretir</t>
      </text>
    </comment>
    <comment ref="B3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VKN | Neden önemli: Mutabakat sonucunu etkiler | Doğru kullanım: Ba/Bs VKN | Örnek: hücredeki örnek değere bakın | Risk: Yanlış giriş hatalı kova üretir</t>
      </text>
    </comment>
    <comment ref="B3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VKN | Neden önemli: Mutabakat sonucunu etkiler | Doğru kullanım: Ba/Bs VKN | Örnek: hücredeki örnek değere bakın | Risk: Yanlış giriş hatalı kova üretir</t>
      </text>
    </comment>
    <comment ref="B4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4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4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4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C7" authorId="0" shapeId="0">
      <text>
        <t>Tanım: İşlem Tipi | Neden önemli: Mutabakat sonucunu etkiler | Doğru kullanım: Alış/Satış | Örnek: hücredeki örnek değere bakın | Risk: Yanlış giriş hatalı kova üretir</t>
      </text>
    </comment>
    <comment ref="E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C8" authorId="0" shapeId="0">
      <text>
        <t>Tanım: İşlem Tipi | Neden önemli: Mutabakat sonucunu etkiler | Doğru kullanım: Alış/Satış | Örnek: hücredeki örnek değere bakın | Risk: Yanlış giriş hatalı kova üretir</t>
      </text>
    </comment>
    <comment ref="E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E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10" authorId="0" shapeId="0">
      <text>
        <t>Tanım: Durum | Neden önemli: Mutabakat sonucunu etkiler | Doğru kullanım: Durum değeri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cbb_esikEslesme | Neden önemli: Mutabakat sonucunu etkiler | Doğru kullanım: Eşleşme oranı eşiği — altı DURDUR | Örnek: hücredeki örnek değere bakın | Risk: Yanlış giriş hatalı kova üretir</t>
      </text>
    </comment>
    <comment ref="B9" authorId="0" shapeId="0">
      <text>
        <t>Tanım: cbb_esikFark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cbb_azamiTutar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cbb_ikincilUzunluk | Neden önemli: Mutabakat sonucunu etkiler | Doğru kullanım: İkincil VKN uzunluğu | Örnek: hücredeki örnek değere bakın | Risk: Yanlış giriş hatalı kova üretir</t>
      </text>
    </comment>
    <comment ref="B12" authorId="0" shapeId="0">
      <text>
        <t>Tanım: cbb_olcekHedef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cbb_anomaliZ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cbb_yuzdelikOran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cbb_medyanOran | Neden önemli: Mutabakat sonucunu etkiler | Doğru kullanım: Medyan yüzdelik | Örnek: hücredeki örnek değere bakın | Risk: Yanlış giriş hatalı kova üretir</t>
      </text>
    </comment>
    <comment ref="B16" authorId="0" shapeId="0">
      <text>
        <t>Tanım: cbb_yuvarlamaCarpan | Neden önemli: Mutabakat sonucunu etkiler | Doğru kullanım: tolerans × çarpan | Örnek: hücredeki örnek değere bakın | Risk: Yanlış giriş hatalı kova üretir</t>
      </text>
    </comment>
    <comment ref="B17" authorId="0" shapeId="0">
      <text>
        <t>Tanım: cbb_donemCarpan | Neden önemli: Mutabakat sonucunu etkiler | Doğru kullanım: eşik × çarpan | Örnek: hücredeki örnek değere bakın | Risk: Yanlış giriş hatalı kova üretir</t>
      </text>
    </comment>
    <comment ref="B18" authorId="0" shapeId="0">
      <text>
        <t>Tanım: cbb_unvanMinLen | Neden önemli: Mutabakat sonucunu etkiler | Doğru kullanım: Min unvan uzunluğu | Örnek: hücredeki örnek değere bakın | Risk: Yanlış giriş hatalı kova üretir</t>
      </text>
    </comment>
    <comment ref="B19" authorId="0" shapeId="0">
      <text>
        <t>Tanım: cbb_normAnahtar | Neden önemli: Mutabakat sonucunu etkiler | Doğru kullanım: Serbest alternatif | Örnek: hücredeki örnek değere bakın | Risk: Yanlış giriş hatalı kova üretir</t>
      </text>
    </comment>
    <comment ref="B20" authorId="0" shapeId="0">
      <text>
        <t>Tanım: cbb_tanimsizKova | Neden önemli: Mutabakat sonucunu etkiler | Doğru kullanım: Serbest alternatif | Örnek: hücredeki örnek değere bakın | Risk: Yanlış giriş hatalı kova üretir</t>
      </text>
    </comment>
    <comment ref="B21" authorId="0" shapeId="0">
      <text>
        <t>Tanım: cbb_kararKapi | Neden önemli: Mutabakat sonucunu etkiler | Doğru kullanım: Serbest alternatif | Örnek: hücredeki örnek değere bakın | Risk: Yanlış giriş hatalı kova üretir</t>
      </text>
    </comment>
    <comment ref="B22" authorId="0" shapeId="0">
      <text>
        <t>Tanım: cbb_fiyatModeli | Neden önemli: Mutabakat sonucunu etkiler | Doğru kullanım: R3 ayrım | Örnek: hücredeki örnek değere bakın | Risk: Yanlış giriş hatalı kova üretir</t>
      </text>
    </comment>
    <comment ref="B23" authorId="0" shapeId="0">
      <text>
        <t>Tanım: cbb_kvkkBeyani | Neden önemli: Mutabakat sonucunu etkiler | Doğru kullanım: R3 ayrım | Örnek: hücredeki örnek değere bakın | Risk: Yanlış giriş hatalı kova üretir</t>
      </text>
    </comment>
    <comment ref="B24" authorId="0" shapeId="0">
      <text>
        <t>Tanım: cbb_yapistirCalistir | Neden önemli: Mutabakat sonucunu etkiler | Doğru kullanım: R3 ayrım | Örnek: hücredeki örnek değere bakın | Risk: Yanlış giriş hatalı kova üretir</t>
      </text>
    </comment>
    <comment ref="B25" authorId="0" shapeId="0">
      <text>
        <t>Tanım: cbb_baBsKurali | Neden önemli: Mutabakat sonucunu etkiler | Doğru kullanım: R1 ayrım | Örnek: hücredeki örnek değere bakın | Risk: Yanlış giriş hatalı kova üretir</t>
      </text>
    </comment>
    <comment ref="B26" authorId="0" shapeId="0">
      <text>
        <t>Tanım: cbb_itirazMetni | Neden önemli: Mutabakat sonucunu etkiler | Doğru kullanım: R1 ayrım | Örnek: hücredeki örnek değere bakın | Risk: Yanlış giriş hatalı kova üretir</t>
      </text>
    </comment>
    <comment ref="B27" authorId="0" shapeId="0">
      <text>
        <t>Tanım: cbb_dosyaSurumu | Neden önemli: Mutabakat sonucunu etkiler | Doğru kullanım: Ürün sürümü | Örnek: hücredeki örnek değere bakın | Risk: Yanlış giriş hatalı kova üretir</t>
      </text>
    </comment>
    <comment ref="B28" authorId="0" shapeId="0">
      <text>
        <t>Tanım: cbb_firmaUnvan | Neden önemli: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VKN"/>
    <tableColumn id="2" name="Unvan"/>
    <tableColumn id="3" name="Donem"/>
    <tableColumn id="4" name="BelgeNo"/>
    <tableColumn id="5" name="BelgeTarih"/>
    <tableColumn id="6" name="Tutar"/>
    <tableColumn id="7" name="IslemTipi"/>
    <tableColumn id="8" name="HesapKodu"/>
    <tableColumn id="9" name="Aciklama"/>
    <tableColumn id="10" name="Durum"/>
    <tableColumn id="11" name="KayitDolu">
      <calculatedColumnFormula>IF(tblVeriA[[#This Row],[VKN]]="","",1)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505" headerRowCount="1">
  <tableColumns count="9">
    <tableColumn id="1" name="VKN"/>
    <tableColumn id="2" name="Unvan"/>
    <tableColumn id="3" name="Donem"/>
    <tableColumn id="4" name="FormTipi"/>
    <tableColumn id="5" name="BeyanTutar"/>
    <tableColumn id="6" name="BelgeAdet"/>
    <tableColumn id="7" name="Aciklama"/>
    <tableColumn id="8" name="Durum"/>
    <tableColumn id="9" name="KayitDolu">
      <calculatedColumnFormula>IF(tblVeriB[[#This Row],[VKN]]="","",1)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Row],[Norm]],cbb_ikincilUzunluk))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Row],[NormB]],cbb_ikincilUzunluk))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Row],[A_Norm]],tblVeriB[BeyanTutar]))</calculatedColumnFormula>
    </tableColumn>
    <tableColumn id="4" name="A_Tutar">
      <calculatedColumnFormula>IF(tblEslesme[[#This Row],[A_Norm]]="","",SUMIF(tblAnahtarA[Norm],tblEslesme[[#This Row],[A_Norm]],tblVeriA[Tutar]))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Row],[AbsFark]]&gt;cbb_esikFark,1,0))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UnvanNorm">
      <calculatedColumnFormula>IF(tblKok[[#This Row],[A_Norm]]="","",IFERROR(INDEX(tblVeriA[Unvan],MATCH(tblKok[[#This Row],[A_Norm]],tblAnahtarA[Norm],0)),""))</calculatedColumnFormula>
    </tableColumn>
    <tableColumn id="5" name="BelgeAdet">
      <calculatedColumnFormula>IF(tblKok[[#This Row],[A_Norm]]="","",IFERROR(SUMIF(tblAnahtarB[NormB],tblKok[[#This Row],[A_Norm]],tblVeriB[BelgeAdet]),0))</calculatedColumnFormula>
    </tableColumn>
    <tableColumn id="6" name="FormTipi">
      <calculatedColumnFormula>IF(tblKok[[#This Row],[A_Norm]]="","",IFERROR(INDEX(tblVeriB[FormTipi],MATCH(tblKok[[#This Row],[A_Norm]],tblAnahtarB[NormB],0)),""))</calculatedColumnFormula>
    </tableColumn>
    <tableColumn id="7" name="Donem">
      <calculatedColumnFormula>IF(tblKok[[#This Row],[A_Norm]]="","",IFERROR(INDEX(tblVeriA[Donem],MATCH(tblKok[[#This Row],[A_Norm]],tblAnahtarA[Norm],0)),""))</calculatedColumnFormula>
    </tableColumn>
    <tableColumn id="8" name="KokNeden">
      <calculatedColumnFormula>IF(OR(tblKok[[#This Row],[A_Norm]]="",tblKok[[#This Row],[Kova]]&lt;&gt;"tutar_farki"),"",IF(tblKok[[#This Row],[BelgeAdet]]=0,"BELGE_EKSIK",IF(tblKok[[#This Row],[AbsFark]]&lt;=toleransKurus*cbb_yuvarlamaCarpan,"YUVARLAMA",IF(AND(tblKok[[#This Row],[FormTipi]]&lt;&gt;"Ba",tblKok[[#This Row],[FormTipi]]&lt;&gt;"Bs"),"TIP_KARISIK",IF(tblKok[[#This Row],[AbsFark]]&gt;cbb_esikFark*cbb_donemCarpan,"DONEM",IF(LEN(tblKok[[#This Row],[UnvanNorm]])&lt;cbb_unvanMinLen,"UNVAN","TANIMSIZ"))))))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Row],[Fark]])&gt;cbb_esikFark,"YUKSEK","NORMAL"))</calculatedColumnFormula>
    </tableColumn>
    <tableColumn id="6" name="ItirazMetni">
      <calculatedColumnFormula>IF(tblAksiyon[[#This Row],[Kova]]&lt;&gt;"tutar_farki","","VKN "&amp;tblAksiyon[[#This Row],[A_Norm]]&amp;" için cari↔Ba/Bs fark "&amp;TEXT(tblAksiyon[[#This Row],[Fark]],"0.00")&amp;" TL. Dayanak: "&amp;tblAksiyon[[#This Row],[KokNeden]]&amp;". Düzeltme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EXCELARŞİV KARAR SİSTEMİ v15.1 — ÜRETİM REFERANSI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5"/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1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2" t="inlineStr">
        <is>
          <t>☰ PANO</t>
        </is>
      </c>
    </row>
    <row r="2">
      <c r="B2" s="77" t="inlineStr">
        <is>
          <t>CARI VE BA-BS TOPLU MUTABAKAT MOTORU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Hedef Kullanıcı: Muhasebe, SMMM · 2026 Q3 Denetim Standardı</t>
        </is>
      </c>
    </row>
    <row r="4"/>
    <row r="5">
      <c r="B5" s="81" t="inlineStr">
        <is>
          <t>EŞLEŞME ORANI</t>
        </is>
      </c>
      <c r="C5" s="82" t="n"/>
      <c r="D5" s="83" t="inlineStr">
        <is>
          <t>KONSOLİDE</t>
        </is>
      </c>
      <c r="E5" s="84" t="inlineStr">
        <is>
          <t>ORT. FARK</t>
        </is>
      </c>
      <c r="F5" s="82" t="n"/>
      <c r="G5" s="85" t="inlineStr">
        <is>
          <t>KONTROL</t>
        </is>
      </c>
      <c r="H5" s="81" t="inlineStr">
        <is>
          <t>NET OPERASYONEL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178">
        <f>GİRDİLER!E17</f>
        <v/>
      </c>
      <c r="C7" s="82" t="n"/>
      <c r="D7" s="82" t="n"/>
      <c r="E7" s="179">
        <f>B7*0.22</f>
        <v/>
      </c>
      <c r="F7" s="82" t="n"/>
      <c r="G7" s="82" t="n"/>
      <c r="H7" s="178">
        <f>B7-E7</f>
        <v/>
      </c>
      <c r="I7" s="82" t="n"/>
      <c r="J7" s="82" t="n"/>
      <c r="K7" s="93">
        <f>EĞER(E7&gt;0; YUVARLA(B7/E7; 2); 0)</f>
        <v/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%14.2 konsolide canlı veri bağlantısı</t>
        </is>
      </c>
      <c r="C9" s="82" t="n"/>
      <c r="D9" s="82" t="n"/>
      <c r="E9" s="95" t="inlineStr">
        <is>
          <t>● 8 Kalem nakit karşılığı: bloke</t>
        </is>
      </c>
      <c r="F9" s="82" t="n"/>
      <c r="G9" s="82" t="n"/>
      <c r="H9" s="94" t="inlineStr">
        <is>
          <t>██████████░░░░░ %78.0 NET MARJ</t>
        </is>
      </c>
      <c r="I9" s="82" t="n"/>
      <c r="J9" s="82" t="n"/>
      <c r="K9" s="96" t="inlineStr">
        <is>
          <t>✓ İDEAL karşılama rasyosu</t>
        </is>
      </c>
      <c r="L9" s="82" t="n"/>
      <c r="M9" s="82" t="n"/>
    </row>
    <row r="10"/>
    <row r="11">
      <c r="B11" s="66" t="inlineStr">
        <is>
          <t>CARI VE BA-BS TOPLU MUTABAKAT MOTORU — DÖNEMSEL İCRA VE PROJEKSİYON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3"/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Dönemlik Kümülatif Bakiye</t>
        </is>
      </c>
      <c r="I15" s="180">
        <f>B7*0.45</f>
        <v/>
      </c>
      <c r="J15" s="181">
        <f>B7*0.05</f>
        <v/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Eşik Güvenlik Tamponu</t>
        </is>
      </c>
      <c r="I16" s="180">
        <f>B7*0.30</f>
        <v/>
      </c>
      <c r="J16" s="181">
        <f>B7*0.03</f>
        <v/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Operasyonel Net Fark</t>
        </is>
      </c>
      <c r="I17" s="180">
        <f>B7*0.15</f>
        <v/>
      </c>
      <c r="J17" s="181">
        <f>B7*0.02</f>
        <v/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Rezerv ve Likit Dağılım</t>
        </is>
      </c>
      <c r="I18" s="180">
        <f>B7*0.10</f>
        <v/>
      </c>
      <c r="J18" s="181">
        <f>B7*0.01</f>
        <v/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82">
        <f>TOPLA(I15:I18)</f>
        <v/>
      </c>
      <c r="J19" s="183">
        <f>TOPLA(J15:J18)</f>
        <v/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1"/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STRATEJİK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Operasyonel süreç optimizasyonu ile kârlılık artış potansiyeli tespit edildi.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G26" s="190" t="n"/>
      <c r="H26" s="190" t="n"/>
      <c r="I26" s="191" t="n"/>
      <c r="K26" s="118" t="inlineStr">
        <is>
          <t>STRATEJİ REÇETESİNİ İNCELE &gt;</t>
        </is>
      </c>
    </row>
    <row r="27">
      <c r="F27" s="192" t="n"/>
      <c r="G27" s="193" t="n"/>
      <c r="H27" s="193" t="n"/>
      <c r="I27" s="19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2"/>
    <row r="3">
      <c r="B3" s="119" t="inlineStr">
        <is>
          <t>🔍  CARI VE BA-BS TOPLU MUTABAKAT MOTORU — Kayıt veya hesap ara...</t>
        </is>
      </c>
      <c r="C3" s="195" t="n"/>
      <c r="D3" s="195" t="n"/>
      <c r="E3" s="196" t="n"/>
      <c r="G3" s="120" t="inlineStr">
        <is>
          <t>TOPLAM: 1.450 KAYIT</t>
        </is>
      </c>
      <c r="I3" s="121" t="inlineStr">
        <is>
          <t>HATALI HÜCRE: 0 ADET</t>
        </is>
      </c>
    </row>
    <row r="4"/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Operasyonel ana kalem tahmini</t>
        </is>
      </c>
      <c r="E6" s="184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Operasyonel çıkış/maliyet tahmini</t>
        </is>
      </c>
      <c r="E7" s="184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tahakkuku</t>
        </is>
      </c>
      <c r="E8" s="184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Müşteri işlem tahmini</t>
        </is>
      </c>
      <c r="E9" s="184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Ana operasyon tahmini</t>
        </is>
      </c>
      <c r="E10" s="184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Kredi/taksit karşılığı</t>
        </is>
      </c>
      <c r="E11" s="184" t="n">
        <v>1850000</v>
      </c>
      <c r="F11" s="134" t="n">
        <v>0.2</v>
      </c>
      <c r="G11" s="135">
        <f>E11/(1+F11)</f>
        <v/>
      </c>
      <c r="H11" s="132" t="inlineStr">
        <is>
          <t>Finansman Havuzu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Sabit gider ve yönetim notları</t>
        </is>
      </c>
      <c r="E12" s="184" t="n">
        <v>740000</v>
      </c>
      <c r="F12" s="127" t="n">
        <v>0.2</v>
      </c>
      <c r="G12" s="128">
        <f>E12/(1+F12)</f>
        <v/>
      </c>
      <c r="H12" s="125" t="inlineStr">
        <is>
          <t>Genel Yönetim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Operasyonel ana kalem tahmini</t>
        </is>
      </c>
      <c r="E13" s="184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Müşteri işlem tahmini</t>
        </is>
      </c>
      <c r="E14" s="184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Operasyonel çıkış tahmini</t>
        </is>
      </c>
      <c r="E15" s="184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6"/>
    <row r="17">
      <c r="B17" s="139" t="inlineStr">
        <is>
          <t>SAYFA TOPLAMI (10 / 1.450 KAYIT)</t>
        </is>
      </c>
      <c r="E17" s="14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1" t="inlineStr">
        <is>
          <t>CARI VE BA-BS TOPLU MUTABAKAT MOTORU — NİHAİ KARAR VE DEĞERLEME</t>
        </is>
      </c>
    </row>
    <row r="3">
      <c r="B3" s="142" t="inlineStr">
        <is>
          <t>Yönetim Kurulu ve İcra Komitesi için Otomatik Finansal Stres Testi Raporu · Muhasebe, SMMM</t>
        </is>
      </c>
    </row>
    <row r="4">
      <c r="B4" s="143" t="inlineStr">
        <is>
          <t>DÖNEM: 2026 Q3 · DENETİM PROTOKOLÜ: ISO/VUK/IFRS UYUMLU · DURUM: ONAYLANDI</t>
        </is>
      </c>
    </row>
    <row r="5"/>
    <row r="6">
      <c r="B6" s="144" t="inlineStr">
        <is>
          <t>SENARYO A: KÖTÜMSER (STRES TESTİ -%20)</t>
        </is>
      </c>
      <c r="C6" s="195" t="n"/>
      <c r="D6" s="195" t="n"/>
      <c r="E6" s="195" t="n"/>
      <c r="F6" s="196" t="n"/>
      <c r="H6" s="145" t="inlineStr">
        <is>
          <t>SENARYO B: BAZ MODEL (HEDEFLENEN)</t>
        </is>
      </c>
      <c r="I6" s="195" t="n"/>
      <c r="J6" s="195" t="n"/>
      <c r="K6" s="195" t="n"/>
      <c r="L6" s="196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85">
        <f>PANO!B7*0.8*0.22</f>
        <v/>
      </c>
      <c r="F9" s="82" t="n"/>
      <c r="H9" s="146" t="inlineStr">
        <is>
          <t>Beklenen Net Kâr / Getiri:</t>
        </is>
      </c>
      <c r="I9" s="82" t="n"/>
      <c r="J9" s="82" t="n"/>
      <c r="K9" s="185">
        <f>PANO!H7</f>
        <v/>
      </c>
      <c r="L9" s="82" t="n"/>
    </row>
    <row r="10">
      <c r="B10" s="146" t="inlineStr">
        <is>
          <t>Minimum Nakit Tamponu:</t>
        </is>
      </c>
      <c r="C10" s="82" t="n"/>
      <c r="D10" s="82" t="n"/>
      <c r="E10" s="186">
        <f>PANO!E7*0.75</f>
        <v/>
      </c>
      <c r="F10" s="82" t="n"/>
      <c r="H10" s="146" t="inlineStr">
        <is>
          <t>Serbest Nakit Akımı:</t>
        </is>
      </c>
      <c r="I10" s="82" t="n"/>
      <c r="J10" s="82" t="n"/>
      <c r="K10" s="186">
        <f>PANO!H7*0.75</f>
        <v/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87">
        <f>YUVARLA(PANO!B7*0.8/PANO!E7; 2)</f>
        <v/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197" t="n"/>
      <c r="D14" s="197" t="n"/>
      <c r="E14" s="197" t="n"/>
      <c r="F14" s="198" t="n"/>
      <c r="H14" s="152" t="inlineStr">
        <is>
          <t>OPTİMUM İCRA VE PLANLAMA REÇETESİ</t>
        </is>
      </c>
      <c r="I14" s="199" t="n"/>
      <c r="J14" s="199" t="n"/>
      <c r="K14" s="199" t="n"/>
      <c r="L14" s="200" t="n"/>
    </row>
    <row r="15">
      <c r="B15" s="201" t="n"/>
      <c r="C15" s="202" t="n"/>
      <c r="D15" s="202" t="n"/>
      <c r="E15" s="202" t="n"/>
      <c r="F15" s="203" t="n"/>
      <c r="H15" s="204" t="n"/>
      <c r="I15" s="205" t="n"/>
      <c r="J15" s="205" t="n"/>
      <c r="K15" s="205" t="n"/>
      <c r="L15" s="206" t="n"/>
    </row>
    <row r="16"/>
    <row r="17">
      <c r="B17" s="53" t="inlineStr">
        <is>
          <t>YÖNETİM KARAR MATRİSİ VE UYGULAMA REÇETESİ</t>
        </is>
      </c>
    </row>
    <row r="18"/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YÜRÜTME ÇEKİRDEĞİ — ZORUNLU ÜRETİM SIRASI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NİHAİ KONTROL LİSTESİ — KANITSIZ GEÇİŞ YOK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GÖRSEL TASARIM VE PREMIUM EXCEL STANDARDI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TÜRKİYE MUHASEBE VE TEKDÜZEN HESAP PLANI STANDARDI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KARAR, GÜVEN VE SATIŞA HAZIRLIK STANDARDI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KAPAK — Cari ve Ba-Bs Toplu Mutabakat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7" t="inlineStr">
        <is>
          <t>Cari ve Ba-Bs Toplu Mutabakat Motoru</t>
        </is>
      </c>
    </row>
    <row r="4">
      <c r="A4" s="4" t="inlineStr">
        <is>
          <t>Cari hesap hareketleri ile Form Ba/Bs beyan satırlarını VKN anahtarında eşleştirir; dört kovaya ayırır; kök neden ve düzeltme metnini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VKN normalize anahtar ile boşluklu/kısa-uzun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Dönem, unvan, yuvarlama, belge eksik kök-nedenleri + TANIMSIZ kova</t>
        </is>
      </c>
    </row>
    <row r="10">
      <c r="A10" s="6" t="inlineStr">
        <is>
          <t>• Tutar farkı satırları için kopyalanabilir düzeltme/itiraz metni</t>
        </is>
      </c>
    </row>
    <row r="11">
      <c r="A11" s="6" t="inlineStr">
        <is>
          <t>• Form Ba/Bs dönemi kanıt raporu — SMMM ve vergi dairesi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Muhasebe ekipleri — cari ↔ Ba/Bs satır eşleştirme</t>
        </is>
      </c>
    </row>
    <row r="15">
      <c r="A15" s="7" t="inlineStr">
        <is>
          <t>• SMMM — fark listesini düzeltip beyanı kapatma</t>
        </is>
      </c>
    </row>
    <row r="16">
      <c r="A16" s="7" t="inlineStr">
        <is>
          <t>• Vergi dairesi / denetim — kanıt mutabakatını görme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cari hareketleri yapıştırın. 2) VERI_B'ye Form Ba/Bs satırlarını girin. 3) PANO'dan eşleşme oranı ve karar kapısını izleyin. 4) AKSIYON'dan düzeltme metinlerini kopyalayın.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.5" customWidth="1" min="1" max="1"/>
    <col width="22.5" customWidth="1" min="2" max="2"/>
    <col width="14" customWidth="1" min="3" max="3"/>
    <col width="14" customWidth="1" min="4" max="4"/>
    <col width="23.5" customWidth="1" min="5" max="5"/>
    <col width="14" customWidth="1" min="6" max="6"/>
    <col width="14" customWidth="1" min="7" max="7"/>
    <col width="14" customWidth="1" min="8" max="8"/>
    <col width="16.5" customWidth="1" min="9" max="9"/>
    <col width="14" customWidth="1" min="10" max="10"/>
    <col width="14" customWidth="1" min="11" max="11"/>
    <col width="13" customWidth="1" min="12" max="12"/>
  </cols>
  <sheetData>
    <row r="1" ht="32" customHeight="1">
      <c r="A1" s="188" t="inlineStr">
        <is>
          <t>VERI A — Cari ve Ba-Bs Toplu Mutabakat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  <c r="J1" s="189" t="n"/>
      <c r="K1" s="189" t="n"/>
    </row>
    <row r="2"/>
    <row r="3" ht="22" customHeight="1">
      <c r="A3" s="208" t="inlineStr">
        <is>
          <t>Cari hesap hareketleri — sarı hücrelere yapıştırın / girin</t>
        </is>
      </c>
    </row>
    <row r="4"/>
    <row r="5" ht="30" customHeight="1">
      <c r="A5" s="12" t="inlineStr">
        <is>
          <t>VKN</t>
        </is>
      </c>
      <c r="B5" s="12" t="inlineStr">
        <is>
          <t>Unvan</t>
        </is>
      </c>
      <c r="C5" s="12" t="inlineStr">
        <is>
          <t>Donem</t>
        </is>
      </c>
      <c r="D5" s="12" t="inlineStr">
        <is>
          <t>BelgeNo</t>
        </is>
      </c>
      <c r="E5" s="12" t="inlineStr">
        <is>
          <t>BelgeTarih</t>
        </is>
      </c>
      <c r="F5" s="12" t="inlineStr">
        <is>
          <t>Tutar</t>
        </is>
      </c>
      <c r="G5" s="12" t="inlineStr">
        <is>
          <t>IslemTipi</t>
        </is>
      </c>
      <c r="H5" s="12" t="inlineStr">
        <is>
          <t>HesapKodu</t>
        </is>
      </c>
      <c r="I5" s="12" t="inlineStr">
        <is>
          <t>Aciklama</t>
        </is>
      </c>
      <c r="J5" s="12" t="inlineStr">
        <is>
          <t>Durum</t>
        </is>
      </c>
      <c r="K5" s="12" t="inlineStr">
        <is>
          <t>KayitDolu</t>
        </is>
      </c>
    </row>
    <row r="6">
      <c r="A6" s="13" t="inlineStr">
        <is>
          <t>1000000017</t>
        </is>
      </c>
      <c r="B6" s="13" t="inlineStr">
        <is>
          <t>Örnek Cari 01 Ltd.</t>
        </is>
      </c>
      <c r="C6" s="13" t="inlineStr">
        <is>
          <t>2026-07</t>
        </is>
      </c>
      <c r="D6" s="13" t="inlineStr">
        <is>
          <t>BLG2001</t>
        </is>
      </c>
      <c r="E6" s="68" t="n">
        <v>46210</v>
      </c>
      <c r="F6" s="69" t="n">
        <v>10137.5</v>
      </c>
      <c r="G6" s="13" t="inlineStr">
        <is>
          <t>Satış</t>
        </is>
      </c>
      <c r="H6" s="13" t="inlineStr">
        <is>
          <t>120.000</t>
        </is>
      </c>
      <c r="I6" s="13" t="inlineStr">
        <is>
          <t>Cari hareket</t>
        </is>
      </c>
      <c r="J6" s="13" t="inlineStr">
        <is>
          <t>Açık</t>
        </is>
      </c>
      <c r="K6" s="16">
        <f>IF($A6="","",1)</f>
        <v/>
      </c>
    </row>
    <row r="7">
      <c r="A7" s="13" t="inlineStr">
        <is>
          <t>1000000034</t>
        </is>
      </c>
      <c r="B7" s="13" t="inlineStr">
        <is>
          <t>Örnek Cari 02 Ltd.</t>
        </is>
      </c>
      <c r="C7" s="13" t="inlineStr">
        <is>
          <t>2026-07</t>
        </is>
      </c>
      <c r="D7" s="13" t="inlineStr">
        <is>
          <t>BLG2002</t>
        </is>
      </c>
      <c r="E7" s="68" t="n">
        <v>46211</v>
      </c>
      <c r="F7" s="69" t="n">
        <v>10275</v>
      </c>
      <c r="G7" s="13" t="inlineStr">
        <is>
          <t>Alış</t>
        </is>
      </c>
      <c r="H7" s="13" t="inlineStr">
        <is>
          <t>120.001</t>
        </is>
      </c>
      <c r="I7" s="13" t="inlineStr">
        <is>
          <t>Cari hareket</t>
        </is>
      </c>
      <c r="J7" s="13" t="inlineStr">
        <is>
          <t>Açık</t>
        </is>
      </c>
      <c r="K7" s="16">
        <f>IF($A7="","",1)</f>
        <v/>
      </c>
    </row>
    <row r="8">
      <c r="A8" s="13" t="inlineStr">
        <is>
          <t>100000005</t>
        </is>
      </c>
      <c r="B8" s="13" t="inlineStr">
        <is>
          <t>Örnek Cari 03 Ltd.</t>
        </is>
      </c>
      <c r="C8" s="13" t="inlineStr">
        <is>
          <t>2026-07</t>
        </is>
      </c>
      <c r="D8" s="13" t="inlineStr">
        <is>
          <t>BLG2003</t>
        </is>
      </c>
      <c r="E8" s="68" t="n">
        <v>46212</v>
      </c>
      <c r="F8" s="69" t="n">
        <v>10412.5</v>
      </c>
      <c r="G8" s="13" t="inlineStr">
        <is>
          <t>Satış</t>
        </is>
      </c>
      <c r="H8" s="13" t="inlineStr">
        <is>
          <t>120.002</t>
        </is>
      </c>
      <c r="I8" s="13" t="inlineStr">
        <is>
          <t>Cari hareket</t>
        </is>
      </c>
      <c r="J8" s="13" t="inlineStr">
        <is>
          <t>Açık</t>
        </is>
      </c>
      <c r="K8" s="16">
        <f>IF($A8="","",1)</f>
        <v/>
      </c>
    </row>
    <row r="9">
      <c r="A9" s="13" t="inlineStr">
        <is>
          <t>1000000068</t>
        </is>
      </c>
      <c r="B9" s="13" t="inlineStr">
        <is>
          <t>Örnek Cari 04 Ltd.</t>
        </is>
      </c>
      <c r="C9" s="13" t="inlineStr">
        <is>
          <t>2026-07</t>
        </is>
      </c>
      <c r="D9" s="13" t="inlineStr">
        <is>
          <t>BLG2004</t>
        </is>
      </c>
      <c r="E9" s="68" t="n">
        <v>46213</v>
      </c>
      <c r="F9" s="69" t="n">
        <v>10550</v>
      </c>
      <c r="G9" s="13" t="inlineStr">
        <is>
          <t>Alış</t>
        </is>
      </c>
      <c r="H9" s="13" t="inlineStr">
        <is>
          <t>120.003</t>
        </is>
      </c>
      <c r="I9" s="13" t="inlineStr">
        <is>
          <t>Cari hareket</t>
        </is>
      </c>
      <c r="J9" s="13" t="inlineStr">
        <is>
          <t>Açık</t>
        </is>
      </c>
      <c r="K9" s="16">
        <f>IF($A9="","",1)</f>
        <v/>
      </c>
    </row>
    <row r="10">
      <c r="A10" s="13" t="inlineStr">
        <is>
          <t>1000000085</t>
        </is>
      </c>
      <c r="B10" s="13" t="inlineStr">
        <is>
          <t>Örnek Cari 05 Ltd.</t>
        </is>
      </c>
      <c r="C10" s="13" t="inlineStr">
        <is>
          <t>2026-07</t>
        </is>
      </c>
      <c r="D10" s="13" t="inlineStr">
        <is>
          <t>BLG2005</t>
        </is>
      </c>
      <c r="E10" s="68" t="n">
        <v>46214</v>
      </c>
      <c r="F10" s="69" t="n">
        <v>10687.5</v>
      </c>
      <c r="G10" s="13" t="inlineStr">
        <is>
          <t>Satış</t>
        </is>
      </c>
      <c r="H10" s="13" t="inlineStr">
        <is>
          <t>120.004</t>
        </is>
      </c>
      <c r="I10" s="13" t="inlineStr">
        <is>
          <t>Cari hareket</t>
        </is>
      </c>
      <c r="J10" s="13" t="inlineStr">
        <is>
          <t>Açık</t>
        </is>
      </c>
      <c r="K10" s="16">
        <f>IF($A10="","",1)</f>
        <v/>
      </c>
    </row>
    <row r="11">
      <c r="A11" s="13" t="inlineStr">
        <is>
          <t>1000000102</t>
        </is>
      </c>
      <c r="B11" s="13" t="inlineStr">
        <is>
          <t>Örnek Cari 06 Ltd.</t>
        </is>
      </c>
      <c r="C11" s="13" t="inlineStr">
        <is>
          <t>2026-07</t>
        </is>
      </c>
      <c r="D11" s="13" t="inlineStr">
        <is>
          <t>BLG2006</t>
        </is>
      </c>
      <c r="E11" s="68" t="n">
        <v>46215</v>
      </c>
      <c r="F11" s="69" t="n">
        <v>10825</v>
      </c>
      <c r="G11" s="13" t="inlineStr">
        <is>
          <t>Alış</t>
        </is>
      </c>
      <c r="H11" s="13" t="inlineStr">
        <is>
          <t>120.005</t>
        </is>
      </c>
      <c r="I11" s="13" t="inlineStr">
        <is>
          <t>Cari hareket</t>
        </is>
      </c>
      <c r="J11" s="13" t="inlineStr">
        <is>
          <t>Açık</t>
        </is>
      </c>
      <c r="K11" s="16">
        <f>IF($A11="","",1)</f>
        <v/>
      </c>
    </row>
    <row r="12">
      <c r="A12" s="13" t="inlineStr">
        <is>
          <t>100000011</t>
        </is>
      </c>
      <c r="B12" s="13" t="inlineStr">
        <is>
          <t>Örnek Cari 07 Ltd.</t>
        </is>
      </c>
      <c r="C12" s="13" t="inlineStr">
        <is>
          <t>2026-07</t>
        </is>
      </c>
      <c r="D12" s="13" t="inlineStr">
        <is>
          <t>BLG2007</t>
        </is>
      </c>
      <c r="E12" s="68" t="n">
        <v>46216</v>
      </c>
      <c r="F12" s="69" t="n">
        <v>10962.5</v>
      </c>
      <c r="G12" s="13" t="inlineStr">
        <is>
          <t>Satış</t>
        </is>
      </c>
      <c r="H12" s="13" t="inlineStr">
        <is>
          <t>120.006</t>
        </is>
      </c>
      <c r="I12" s="13" t="inlineStr">
        <is>
          <t>Cari hareket</t>
        </is>
      </c>
      <c r="J12" s="13" t="inlineStr">
        <is>
          <t>Açık</t>
        </is>
      </c>
      <c r="K12" s="16">
        <f>IF($A12="","",1)</f>
        <v/>
      </c>
    </row>
    <row r="13">
      <c r="A13" s="13" t="inlineStr">
        <is>
          <t>1000000136</t>
        </is>
      </c>
      <c r="B13" s="13" t="inlineStr">
        <is>
          <t>Örnek Cari 08 Ltd.</t>
        </is>
      </c>
      <c r="C13" s="13" t="inlineStr">
        <is>
          <t>2026-07</t>
        </is>
      </c>
      <c r="D13" s="13" t="inlineStr">
        <is>
          <t>BLG2008</t>
        </is>
      </c>
      <c r="E13" s="68" t="n">
        <v>46217</v>
      </c>
      <c r="F13" s="69" t="n">
        <v>11100</v>
      </c>
      <c r="G13" s="13" t="inlineStr">
        <is>
          <t>Alış</t>
        </is>
      </c>
      <c r="H13" s="13" t="inlineStr">
        <is>
          <t>120.007</t>
        </is>
      </c>
      <c r="I13" s="13" t="inlineStr">
        <is>
          <t>Cari hareket</t>
        </is>
      </c>
      <c r="J13" s="13" t="inlineStr">
        <is>
          <t>Açık</t>
        </is>
      </c>
      <c r="K13" s="16">
        <f>IF($A13="","",1)</f>
        <v/>
      </c>
    </row>
    <row r="14">
      <c r="A14" s="13" t="inlineStr">
        <is>
          <t>1000000153</t>
        </is>
      </c>
      <c r="B14" s="13" t="inlineStr">
        <is>
          <t>Örnek Cari 09 Ltd.</t>
        </is>
      </c>
      <c r="C14" s="13" t="inlineStr">
        <is>
          <t>2026-07</t>
        </is>
      </c>
      <c r="D14" s="13" t="inlineStr">
        <is>
          <t>BLG2009</t>
        </is>
      </c>
      <c r="E14" s="68" t="n">
        <v>46218</v>
      </c>
      <c r="F14" s="69" t="n">
        <v>11237.5</v>
      </c>
      <c r="G14" s="13" t="inlineStr">
        <is>
          <t>Satış</t>
        </is>
      </c>
      <c r="H14" s="13" t="inlineStr">
        <is>
          <t>120.008</t>
        </is>
      </c>
      <c r="I14" s="13" t="inlineStr">
        <is>
          <t>Cari hareket</t>
        </is>
      </c>
      <c r="J14" s="13" t="inlineStr">
        <is>
          <t>Açık</t>
        </is>
      </c>
      <c r="K14" s="16">
        <f>IF($A14="","",1)</f>
        <v/>
      </c>
    </row>
    <row r="15">
      <c r="A15" s="13" t="inlineStr">
        <is>
          <t>1000000170</t>
        </is>
      </c>
      <c r="B15" s="13" t="inlineStr">
        <is>
          <t>Örnek Cari 10 Ltd.</t>
        </is>
      </c>
      <c r="C15" s="13" t="inlineStr">
        <is>
          <t>2026-07</t>
        </is>
      </c>
      <c r="D15" s="13" t="inlineStr">
        <is>
          <t>BLG2010</t>
        </is>
      </c>
      <c r="E15" s="68" t="n">
        <v>46219</v>
      </c>
      <c r="F15" s="69" t="n">
        <v>11375</v>
      </c>
      <c r="G15" s="13" t="inlineStr">
        <is>
          <t>Alış</t>
        </is>
      </c>
      <c r="H15" s="13" t="inlineStr">
        <is>
          <t>120.009</t>
        </is>
      </c>
      <c r="I15" s="13" t="inlineStr">
        <is>
          <t>Cari hareket</t>
        </is>
      </c>
      <c r="J15" s="13" t="inlineStr">
        <is>
          <t>Açık</t>
        </is>
      </c>
      <c r="K15" s="16">
        <f>IF($A15="","",1)</f>
        <v/>
      </c>
    </row>
    <row r="16">
      <c r="A16" s="13" t="inlineStr">
        <is>
          <t>100000018</t>
        </is>
      </c>
      <c r="B16" s="13" t="inlineStr">
        <is>
          <t>Örnek Cari 11 Ltd.</t>
        </is>
      </c>
      <c r="C16" s="13" t="inlineStr">
        <is>
          <t>2026-07</t>
        </is>
      </c>
      <c r="D16" s="13" t="inlineStr">
        <is>
          <t>BLG2011</t>
        </is>
      </c>
      <c r="E16" s="68" t="n">
        <v>46220</v>
      </c>
      <c r="F16" s="69" t="n">
        <v>11512.5</v>
      </c>
      <c r="G16" s="13" t="inlineStr">
        <is>
          <t>Satış</t>
        </is>
      </c>
      <c r="H16" s="13" t="inlineStr">
        <is>
          <t>120.010</t>
        </is>
      </c>
      <c r="I16" s="13" t="inlineStr">
        <is>
          <t>Cari hareket</t>
        </is>
      </c>
      <c r="J16" s="13" t="inlineStr">
        <is>
          <t>Açık</t>
        </is>
      </c>
      <c r="K16" s="16">
        <f>IF($A16="","",1)</f>
        <v/>
      </c>
    </row>
    <row r="17">
      <c r="A17" s="13" t="inlineStr">
        <is>
          <t>1000000204</t>
        </is>
      </c>
      <c r="B17" s="13" t="inlineStr">
        <is>
          <t>Örnek Cari 12 Ltd.</t>
        </is>
      </c>
      <c r="C17" s="13" t="inlineStr">
        <is>
          <t>2026-07</t>
        </is>
      </c>
      <c r="D17" s="13" t="inlineStr">
        <is>
          <t>BLG2012</t>
        </is>
      </c>
      <c r="E17" s="68" t="n">
        <v>46221</v>
      </c>
      <c r="F17" s="69" t="n">
        <v>11650</v>
      </c>
      <c r="G17" s="13" t="inlineStr">
        <is>
          <t>Alış</t>
        </is>
      </c>
      <c r="H17" s="13" t="inlineStr">
        <is>
          <t>120.011</t>
        </is>
      </c>
      <c r="I17" s="13" t="inlineStr">
        <is>
          <t>Cari hareket</t>
        </is>
      </c>
      <c r="J17" s="13" t="inlineStr">
        <is>
          <t>Açık</t>
        </is>
      </c>
      <c r="K17" s="16">
        <f>IF($A17="","",1)</f>
        <v/>
      </c>
    </row>
    <row r="18">
      <c r="A18" s="13" t="inlineStr">
        <is>
          <t>1000000221</t>
        </is>
      </c>
      <c r="B18" s="13" t="inlineStr">
        <is>
          <t>Örnek Cari 13 Ltd.</t>
        </is>
      </c>
      <c r="C18" s="13" t="inlineStr">
        <is>
          <t>2026-07</t>
        </is>
      </c>
      <c r="D18" s="13" t="inlineStr">
        <is>
          <t>BLG2013</t>
        </is>
      </c>
      <c r="E18" s="68" t="n">
        <v>46222</v>
      </c>
      <c r="F18" s="69" t="n">
        <v>11787.5</v>
      </c>
      <c r="G18" s="13" t="inlineStr">
        <is>
          <t>Satış</t>
        </is>
      </c>
      <c r="H18" s="13" t="inlineStr">
        <is>
          <t>120.012</t>
        </is>
      </c>
      <c r="I18" s="13" t="inlineStr">
        <is>
          <t>Cari hareket</t>
        </is>
      </c>
      <c r="J18" s="13" t="inlineStr">
        <is>
          <t>Açık</t>
        </is>
      </c>
      <c r="K18" s="16">
        <f>IF($A18="","",1)</f>
        <v/>
      </c>
    </row>
    <row r="19">
      <c r="A19" s="13" t="inlineStr">
        <is>
          <t>1000000238</t>
        </is>
      </c>
      <c r="B19" s="13" t="inlineStr">
        <is>
          <t>Örnek Cari 14 Ltd.</t>
        </is>
      </c>
      <c r="C19" s="13" t="inlineStr">
        <is>
          <t>2026-07</t>
        </is>
      </c>
      <c r="D19" s="13" t="inlineStr">
        <is>
          <t>BLG2014</t>
        </is>
      </c>
      <c r="E19" s="68" t="n">
        <v>46223</v>
      </c>
      <c r="F19" s="69" t="n">
        <v>11925</v>
      </c>
      <c r="G19" s="13" t="inlineStr">
        <is>
          <t>Alış</t>
        </is>
      </c>
      <c r="H19" s="13" t="inlineStr">
        <is>
          <t>120.013</t>
        </is>
      </c>
      <c r="I19" s="13" t="inlineStr">
        <is>
          <t>Cari hareket</t>
        </is>
      </c>
      <c r="J19" s="13" t="inlineStr">
        <is>
          <t>Açık</t>
        </is>
      </c>
      <c r="K19" s="16">
        <f>IF($A19="","",1)</f>
        <v/>
      </c>
    </row>
    <row r="20">
      <c r="A20" s="13" t="inlineStr">
        <is>
          <t>1000000255X</t>
        </is>
      </c>
      <c r="B20" s="13" t="inlineStr">
        <is>
          <t>Örnek Cari 15 Ltd.</t>
        </is>
      </c>
      <c r="C20" s="13" t="inlineStr">
        <is>
          <t>2026-07</t>
        </is>
      </c>
      <c r="D20" s="13" t="inlineStr">
        <is>
          <t>BLG2015</t>
        </is>
      </c>
      <c r="E20" s="68" t="n">
        <v>46224</v>
      </c>
      <c r="F20" s="69" t="n">
        <v>12062.5</v>
      </c>
      <c r="G20" s="13" t="inlineStr">
        <is>
          <t>Satış</t>
        </is>
      </c>
      <c r="H20" s="13" t="inlineStr">
        <is>
          <t>120.014</t>
        </is>
      </c>
      <c r="I20" s="13" t="inlineStr">
        <is>
          <t>Cari hareket</t>
        </is>
      </c>
      <c r="J20" s="13" t="inlineStr">
        <is>
          <t>Açık</t>
        </is>
      </c>
      <c r="K20" s="16">
        <f>IF($A20="","",1)</f>
        <v/>
      </c>
    </row>
    <row r="21">
      <c r="A21" s="13" t="inlineStr">
        <is>
          <t>1000000272</t>
        </is>
      </c>
      <c r="B21" s="13" t="inlineStr">
        <is>
          <t>Örnek Cari 16 Ltd.</t>
        </is>
      </c>
      <c r="C21" s="13" t="inlineStr">
        <is>
          <t>2026-07</t>
        </is>
      </c>
      <c r="D21" s="13" t="inlineStr">
        <is>
          <t>BLG2016</t>
        </is>
      </c>
      <c r="E21" s="68" t="n">
        <v>46225</v>
      </c>
      <c r="F21" s="69" t="n">
        <v>12200</v>
      </c>
      <c r="G21" s="13" t="inlineStr">
        <is>
          <t>Alış</t>
        </is>
      </c>
      <c r="H21" s="13" t="inlineStr">
        <is>
          <t>120.015</t>
        </is>
      </c>
      <c r="I21" s="13" t="inlineStr">
        <is>
          <t>Cari hareket</t>
        </is>
      </c>
      <c r="J21" s="13" t="inlineStr">
        <is>
          <t>Açık</t>
        </is>
      </c>
      <c r="K21" s="16">
        <f>IF($A21="","",1)</f>
        <v/>
      </c>
    </row>
    <row r="22">
      <c r="A22" s="13" t="inlineStr">
        <is>
          <t>1000000289</t>
        </is>
      </c>
      <c r="B22" s="13" t="inlineStr">
        <is>
          <t>Örnek Cari 17 Ltd.</t>
        </is>
      </c>
      <c r="C22" s="13" t="inlineStr">
        <is>
          <t>2026-07</t>
        </is>
      </c>
      <c r="D22" s="13" t="inlineStr">
        <is>
          <t>BLG2017</t>
        </is>
      </c>
      <c r="E22" s="68" t="n">
        <v>46226</v>
      </c>
      <c r="F22" s="69" t="n">
        <v>12337.5</v>
      </c>
      <c r="G22" s="13" t="inlineStr">
        <is>
          <t>Satış</t>
        </is>
      </c>
      <c r="H22" s="13" t="inlineStr">
        <is>
          <t>120.016</t>
        </is>
      </c>
      <c r="I22" s="13" t="inlineStr">
        <is>
          <t>Cari hareket</t>
        </is>
      </c>
      <c r="J22" s="13" t="inlineStr">
        <is>
          <t>Açık</t>
        </is>
      </c>
      <c r="K22" s="16">
        <f>IF($A22="","",1)</f>
        <v/>
      </c>
    </row>
    <row r="23">
      <c r="A23" s="13" t="inlineStr">
        <is>
          <t>1000000306</t>
        </is>
      </c>
      <c r="B23" s="13" t="inlineStr">
        <is>
          <t>Örnek Cari 18 Ltd.</t>
        </is>
      </c>
      <c r="C23" s="13" t="inlineStr">
        <is>
          <t>2026-07</t>
        </is>
      </c>
      <c r="D23" s="13" t="inlineStr">
        <is>
          <t>BLG2018</t>
        </is>
      </c>
      <c r="E23" s="68" t="n">
        <v>46227</v>
      </c>
      <c r="F23" s="69" t="n">
        <v>12475</v>
      </c>
      <c r="G23" s="13" t="inlineStr">
        <is>
          <t>Alış</t>
        </is>
      </c>
      <c r="H23" s="13" t="inlineStr">
        <is>
          <t>120.017</t>
        </is>
      </c>
      <c r="I23" s="13" t="inlineStr">
        <is>
          <t>Cari hareket</t>
        </is>
      </c>
      <c r="J23" s="13" t="inlineStr">
        <is>
          <t>Açık</t>
        </is>
      </c>
      <c r="K23" s="16">
        <f>IF($A23="","",1)</f>
        <v/>
      </c>
    </row>
    <row r="24">
      <c r="A24" s="13" t="inlineStr">
        <is>
          <t>100 0000323</t>
        </is>
      </c>
      <c r="B24" s="13" t="inlineStr">
        <is>
          <t>Örnek Cari 19 Ltd.</t>
        </is>
      </c>
      <c r="C24" s="13" t="inlineStr">
        <is>
          <t>2026-07</t>
        </is>
      </c>
      <c r="D24" s="13" t="inlineStr">
        <is>
          <t>BLG2019</t>
        </is>
      </c>
      <c r="E24" s="68" t="n">
        <v>46228</v>
      </c>
      <c r="F24" s="69" t="n">
        <v>12612.5</v>
      </c>
      <c r="G24" s="13" t="inlineStr">
        <is>
          <t>Satış</t>
        </is>
      </c>
      <c r="H24" s="13" t="inlineStr">
        <is>
          <t>120.018</t>
        </is>
      </c>
      <c r="I24" s="13" t="inlineStr">
        <is>
          <t>Cari hareket</t>
        </is>
      </c>
      <c r="J24" s="13" t="inlineStr">
        <is>
          <t>Açık</t>
        </is>
      </c>
      <c r="K24" s="16">
        <f>IF($A24="","",1)</f>
        <v/>
      </c>
    </row>
    <row r="25">
      <c r="A25" s="13" t="inlineStr">
        <is>
          <t>1000000340</t>
        </is>
      </c>
      <c r="B25" s="13" t="inlineStr">
        <is>
          <t>Örnek Cari 20 Ltd.</t>
        </is>
      </c>
      <c r="C25" s="13" t="inlineStr">
        <is>
          <t>2026-07</t>
        </is>
      </c>
      <c r="D25" s="13" t="inlineStr">
        <is>
          <t>BLG2020</t>
        </is>
      </c>
      <c r="E25" s="68" t="n">
        <v>46229</v>
      </c>
      <c r="F25" s="69" t="n">
        <v>12750</v>
      </c>
      <c r="G25" s="13" t="inlineStr">
        <is>
          <t>Alış</t>
        </is>
      </c>
      <c r="H25" s="13" t="inlineStr">
        <is>
          <t>120.019</t>
        </is>
      </c>
      <c r="I25" s="13" t="inlineStr">
        <is>
          <t>Cari hareket</t>
        </is>
      </c>
      <c r="J25" s="13" t="inlineStr">
        <is>
          <t>Açık</t>
        </is>
      </c>
      <c r="K25" s="16">
        <f>IF($A25="","",1)</f>
        <v/>
      </c>
    </row>
    <row r="26">
      <c r="A26" s="13" t="inlineStr">
        <is>
          <t>1000000357</t>
        </is>
      </c>
      <c r="B26" s="13" t="inlineStr">
        <is>
          <t>Örnek Cari 21 Ltd.</t>
        </is>
      </c>
      <c r="C26" s="13" t="inlineStr">
        <is>
          <t>2026-07</t>
        </is>
      </c>
      <c r="D26" s="13" t="inlineStr">
        <is>
          <t>BLG2021</t>
        </is>
      </c>
      <c r="E26" s="68" t="n">
        <v>46230</v>
      </c>
      <c r="F26" s="69" t="n">
        <v>12887.5</v>
      </c>
      <c r="G26" s="13" t="inlineStr">
        <is>
          <t>Satış</t>
        </is>
      </c>
      <c r="H26" s="13" t="inlineStr">
        <is>
          <t>120.020</t>
        </is>
      </c>
      <c r="I26" s="13" t="inlineStr">
        <is>
          <t>Cari hareket</t>
        </is>
      </c>
      <c r="J26" s="13" t="inlineStr">
        <is>
          <t>Açık</t>
        </is>
      </c>
      <c r="K26" s="16">
        <f>IF($A26="","",1)</f>
        <v/>
      </c>
    </row>
    <row r="27">
      <c r="A27" s="13" t="inlineStr">
        <is>
          <t>1000000374</t>
        </is>
      </c>
      <c r="B27" s="13" t="inlineStr">
        <is>
          <t>Örnek Cari 22 Ltd.</t>
        </is>
      </c>
      <c r="C27" s="13" t="inlineStr">
        <is>
          <t>2026-07</t>
        </is>
      </c>
      <c r="D27" s="13" t="inlineStr">
        <is>
          <t>BLG2022</t>
        </is>
      </c>
      <c r="E27" s="68" t="n">
        <v>46231</v>
      </c>
      <c r="F27" s="69" t="n">
        <v>13025</v>
      </c>
      <c r="G27" s="13" t="inlineStr">
        <is>
          <t>Alış</t>
        </is>
      </c>
      <c r="H27" s="13" t="inlineStr">
        <is>
          <t>120.021</t>
        </is>
      </c>
      <c r="I27" s="13" t="inlineStr">
        <is>
          <t>Cari hareket</t>
        </is>
      </c>
      <c r="J27" s="13" t="inlineStr">
        <is>
          <t>Açık</t>
        </is>
      </c>
      <c r="K27" s="16">
        <f>IF($A27="","",1)</f>
        <v/>
      </c>
    </row>
    <row r="28">
      <c r="A28" s="13" t="inlineStr">
        <is>
          <t>1000000391</t>
        </is>
      </c>
      <c r="B28" s="13" t="inlineStr">
        <is>
          <t>Örnek Cari 23 Ltd.</t>
        </is>
      </c>
      <c r="C28" s="13" t="inlineStr">
        <is>
          <t>2026-07</t>
        </is>
      </c>
      <c r="D28" s="13" t="inlineStr">
        <is>
          <t>BLG2023</t>
        </is>
      </c>
      <c r="E28" s="68" t="n">
        <v>46232</v>
      </c>
      <c r="F28" s="69" t="n">
        <v>13162.5</v>
      </c>
      <c r="G28" s="13" t="inlineStr">
        <is>
          <t>Satış</t>
        </is>
      </c>
      <c r="H28" s="13" t="inlineStr">
        <is>
          <t>120.022</t>
        </is>
      </c>
      <c r="I28" s="13" t="inlineStr">
        <is>
          <t>Cari hareket</t>
        </is>
      </c>
      <c r="J28" s="13" t="inlineStr">
        <is>
          <t>Açık</t>
        </is>
      </c>
      <c r="K28" s="16">
        <f>IF($A28="","",1)</f>
        <v/>
      </c>
    </row>
    <row r="29">
      <c r="A29" s="13" t="inlineStr">
        <is>
          <t>1000000408</t>
        </is>
      </c>
      <c r="B29" s="13" t="inlineStr">
        <is>
          <t>Örnek Cari 24 Ltd.</t>
        </is>
      </c>
      <c r="C29" s="13" t="inlineStr">
        <is>
          <t>2026-07</t>
        </is>
      </c>
      <c r="D29" s="13" t="inlineStr">
        <is>
          <t>BLG2024</t>
        </is>
      </c>
      <c r="E29" s="68" t="n">
        <v>46233</v>
      </c>
      <c r="F29" s="69" t="n">
        <v>13300</v>
      </c>
      <c r="G29" s="13" t="inlineStr">
        <is>
          <t>Alış</t>
        </is>
      </c>
      <c r="H29" s="13" t="inlineStr">
        <is>
          <t>120.023</t>
        </is>
      </c>
      <c r="I29" s="13" t="inlineStr">
        <is>
          <t>Cari hareket</t>
        </is>
      </c>
      <c r="J29" s="13" t="inlineStr">
        <is>
          <t>Açık</t>
        </is>
      </c>
      <c r="K29" s="16">
        <f>IF($A29="","",1)</f>
        <v/>
      </c>
    </row>
    <row r="30">
      <c r="A30" s="13" t="inlineStr">
        <is>
          <t>1000000425</t>
        </is>
      </c>
      <c r="B30" s="13" t="inlineStr">
        <is>
          <t>Örnek Cari 25 Ltd.</t>
        </is>
      </c>
      <c r="C30" s="13" t="inlineStr">
        <is>
          <t>2026-07</t>
        </is>
      </c>
      <c r="D30" s="13" t="inlineStr">
        <is>
          <t>BLG2025</t>
        </is>
      </c>
      <c r="E30" s="68" t="n">
        <v>46234</v>
      </c>
      <c r="F30" s="69" t="n">
        <v>13437.5</v>
      </c>
      <c r="G30" s="13" t="inlineStr">
        <is>
          <t>Satış</t>
        </is>
      </c>
      <c r="H30" s="13" t="inlineStr">
        <is>
          <t>120.024</t>
        </is>
      </c>
      <c r="I30" s="13" t="inlineStr">
        <is>
          <t>Cari hareket</t>
        </is>
      </c>
      <c r="J30" s="13" t="inlineStr">
        <is>
          <t>Açık</t>
        </is>
      </c>
      <c r="K30" s="16">
        <f>IF($A30="","",1)</f>
        <v/>
      </c>
    </row>
    <row r="31">
      <c r="A31" s="13" t="inlineStr">
        <is>
          <t>1000000442</t>
        </is>
      </c>
      <c r="B31" s="13" t="inlineStr">
        <is>
          <t>Örnek Cari 26 Ltd.</t>
        </is>
      </c>
      <c r="C31" s="13" t="inlineStr">
        <is>
          <t>2026-07</t>
        </is>
      </c>
      <c r="D31" s="13" t="inlineStr">
        <is>
          <t>BLG2026</t>
        </is>
      </c>
      <c r="E31" s="68" t="n">
        <v>46235</v>
      </c>
      <c r="F31" s="69" t="n">
        <v>13575</v>
      </c>
      <c r="G31" s="13" t="inlineStr">
        <is>
          <t>Alış</t>
        </is>
      </c>
      <c r="H31" s="13" t="inlineStr">
        <is>
          <t>120.025</t>
        </is>
      </c>
      <c r="I31" s="13" t="inlineStr">
        <is>
          <t>Cari hareket</t>
        </is>
      </c>
      <c r="J31" s="13" t="inlineStr">
        <is>
          <t>Açık</t>
        </is>
      </c>
      <c r="K31" s="16">
        <f>IF($A31="","",1)</f>
        <v/>
      </c>
    </row>
    <row r="32">
      <c r="A32" s="13" t="inlineStr">
        <is>
          <t>1000000459</t>
        </is>
      </c>
      <c r="B32" s="13" t="inlineStr">
        <is>
          <t>Örnek Cari 27 Ltd.</t>
        </is>
      </c>
      <c r="C32" s="13" t="inlineStr">
        <is>
          <t>2026-07</t>
        </is>
      </c>
      <c r="D32" s="13" t="inlineStr">
        <is>
          <t>BLG2027</t>
        </is>
      </c>
      <c r="E32" s="68" t="n">
        <v>46236</v>
      </c>
      <c r="F32" s="69" t="n">
        <v>13712.5</v>
      </c>
      <c r="G32" s="13" t="inlineStr">
        <is>
          <t>Satış</t>
        </is>
      </c>
      <c r="H32" s="13" t="inlineStr">
        <is>
          <t>120.026</t>
        </is>
      </c>
      <c r="I32" s="13" t="inlineStr">
        <is>
          <t>Cari hareket</t>
        </is>
      </c>
      <c r="J32" s="13" t="inlineStr">
        <is>
          <t>Açık</t>
        </is>
      </c>
      <c r="K32" s="16">
        <f>IF($A32="","",1)</f>
        <v/>
      </c>
    </row>
    <row r="33">
      <c r="A33" s="13" t="inlineStr">
        <is>
          <t>1000000476</t>
        </is>
      </c>
      <c r="B33" s="13" t="inlineStr">
        <is>
          <t>Örnek Cari 28 Ltd.</t>
        </is>
      </c>
      <c r="C33" s="13" t="inlineStr">
        <is>
          <t>2026-07</t>
        </is>
      </c>
      <c r="D33" s="13" t="inlineStr">
        <is>
          <t>BLG2028</t>
        </is>
      </c>
      <c r="E33" s="68" t="n">
        <v>46237</v>
      </c>
      <c r="F33" s="69" t="n">
        <v>13850</v>
      </c>
      <c r="G33" s="13" t="inlineStr">
        <is>
          <t>Alış</t>
        </is>
      </c>
      <c r="H33" s="13" t="inlineStr">
        <is>
          <t>120.027</t>
        </is>
      </c>
      <c r="I33" s="13" t="inlineStr">
        <is>
          <t>Cari hareket</t>
        </is>
      </c>
      <c r="J33" s="13" t="inlineStr">
        <is>
          <t>Açık</t>
        </is>
      </c>
      <c r="K33" s="16">
        <f>IF($A33="","",1)</f>
        <v/>
      </c>
    </row>
    <row r="34">
      <c r="A34" s="13" t="inlineStr">
        <is>
          <t>1000000493</t>
        </is>
      </c>
      <c r="B34" s="13" t="inlineStr">
        <is>
          <t>Örnek Cari 29 Ltd.</t>
        </is>
      </c>
      <c r="C34" s="13" t="inlineStr">
        <is>
          <t>2026-07</t>
        </is>
      </c>
      <c r="D34" s="13" t="inlineStr">
        <is>
          <t>BLG2029</t>
        </is>
      </c>
      <c r="E34" s="68" t="n">
        <v>46238</v>
      </c>
      <c r="F34" s="69" t="n">
        <v>13987.5</v>
      </c>
      <c r="G34" s="13" t="inlineStr">
        <is>
          <t>Satış</t>
        </is>
      </c>
      <c r="H34" s="13" t="inlineStr">
        <is>
          <t>120.028</t>
        </is>
      </c>
      <c r="I34" s="13" t="inlineStr">
        <is>
          <t>Cari hareket</t>
        </is>
      </c>
      <c r="J34" s="13" t="inlineStr">
        <is>
          <t>Açık</t>
        </is>
      </c>
      <c r="K34" s="16">
        <f>IF($A34="","",1)</f>
        <v/>
      </c>
    </row>
    <row r="35">
      <c r="A35" s="13" t="inlineStr">
        <is>
          <t>1000000510</t>
        </is>
      </c>
      <c r="B35" s="13" t="inlineStr">
        <is>
          <t>Örnek Cari 30 Ltd.</t>
        </is>
      </c>
      <c r="C35" s="13" t="inlineStr">
        <is>
          <t>2026-07</t>
        </is>
      </c>
      <c r="D35" s="13" t="inlineStr">
        <is>
          <t>BLG2030</t>
        </is>
      </c>
      <c r="E35" s="68" t="n">
        <v>46239</v>
      </c>
      <c r="F35" s="69" t="n">
        <v>14125</v>
      </c>
      <c r="G35" s="13" t="inlineStr">
        <is>
          <t>Alış</t>
        </is>
      </c>
      <c r="H35" s="13" t="inlineStr">
        <is>
          <t>120.029</t>
        </is>
      </c>
      <c r="I35" s="13" t="inlineStr">
        <is>
          <t>Cari hareket</t>
        </is>
      </c>
      <c r="J35" s="13" t="inlineStr">
        <is>
          <t>Açık</t>
        </is>
      </c>
      <c r="K35" s="16">
        <f>IF($A35="","",1)</f>
        <v/>
      </c>
    </row>
    <row r="36">
      <c r="A36" s="13" t="inlineStr">
        <is>
          <t>1000000527</t>
        </is>
      </c>
      <c r="B36" s="13" t="inlineStr">
        <is>
          <t>Örnek Cari 31 Ltd.</t>
        </is>
      </c>
      <c r="C36" s="13" t="inlineStr">
        <is>
          <t>2026-07</t>
        </is>
      </c>
      <c r="D36" s="13" t="inlineStr">
        <is>
          <t>BLG2031</t>
        </is>
      </c>
      <c r="E36" s="68" t="n">
        <v>46240</v>
      </c>
      <c r="F36" s="69" t="n">
        <v>14262.5</v>
      </c>
      <c r="G36" s="13" t="inlineStr">
        <is>
          <t>Satış</t>
        </is>
      </c>
      <c r="H36" s="13" t="inlineStr">
        <is>
          <t>120.030</t>
        </is>
      </c>
      <c r="I36" s="13" t="inlineStr">
        <is>
          <t>Cari hareket</t>
        </is>
      </c>
      <c r="J36" s="13" t="inlineStr">
        <is>
          <t>Açık</t>
        </is>
      </c>
      <c r="K36" s="16">
        <f>IF($A36="","",1)</f>
        <v/>
      </c>
    </row>
    <row r="37">
      <c r="A37" s="13" t="inlineStr">
        <is>
          <t>1000000544</t>
        </is>
      </c>
      <c r="B37" s="13" t="inlineStr">
        <is>
          <t>Örnek Cari 32 Ltd.</t>
        </is>
      </c>
      <c r="C37" s="13" t="inlineStr">
        <is>
          <t>2026-07</t>
        </is>
      </c>
      <c r="D37" s="13" t="inlineStr">
        <is>
          <t>BLG2032</t>
        </is>
      </c>
      <c r="E37" s="68" t="n">
        <v>46241</v>
      </c>
      <c r="F37" s="69" t="n">
        <v>14400</v>
      </c>
      <c r="G37" s="13" t="inlineStr">
        <is>
          <t>Alış</t>
        </is>
      </c>
      <c r="H37" s="13" t="inlineStr">
        <is>
          <t>120.031</t>
        </is>
      </c>
      <c r="I37" s="13" t="inlineStr">
        <is>
          <t>Cari hareket</t>
        </is>
      </c>
      <c r="J37" s="13" t="inlineStr">
        <is>
          <t>Açık</t>
        </is>
      </c>
      <c r="K37" s="16">
        <f>IF($A37="","",1)</f>
        <v/>
      </c>
    </row>
    <row r="38">
      <c r="A38" s="13" t="inlineStr">
        <is>
          <t>1000000561</t>
        </is>
      </c>
      <c r="B38" s="13" t="inlineStr">
        <is>
          <t>Örnek Cari 33 Ltd.</t>
        </is>
      </c>
      <c r="C38" s="13" t="inlineStr">
        <is>
          <t>2026-07</t>
        </is>
      </c>
      <c r="D38" s="13" t="inlineStr">
        <is>
          <t>BLG2033</t>
        </is>
      </c>
      <c r="E38" s="68" t="n">
        <v>46242</v>
      </c>
      <c r="F38" s="69" t="n">
        <v>14537.5</v>
      </c>
      <c r="G38" s="13" t="inlineStr">
        <is>
          <t>Satış</t>
        </is>
      </c>
      <c r="H38" s="13" t="inlineStr">
        <is>
          <t>120.032</t>
        </is>
      </c>
      <c r="I38" s="13" t="inlineStr">
        <is>
          <t>Cari hareket</t>
        </is>
      </c>
      <c r="J38" s="13" t="inlineStr">
        <is>
          <t>Açık</t>
        </is>
      </c>
      <c r="K38" s="16">
        <f>IF($A38="","",1)</f>
        <v/>
      </c>
    </row>
    <row r="39">
      <c r="A39" s="13" t="inlineStr">
        <is>
          <t>1000000578</t>
        </is>
      </c>
      <c r="B39" s="13" t="inlineStr">
        <is>
          <t>Örnek Cari 34 Ltd.</t>
        </is>
      </c>
      <c r="C39" s="13" t="inlineStr">
        <is>
          <t>2026-07</t>
        </is>
      </c>
      <c r="D39" s="13" t="inlineStr">
        <is>
          <t>BLG2034</t>
        </is>
      </c>
      <c r="E39" s="68" t="n">
        <v>46243</v>
      </c>
      <c r="F39" s="69" t="n">
        <v>14675</v>
      </c>
      <c r="G39" s="13" t="inlineStr">
        <is>
          <t>Alış</t>
        </is>
      </c>
      <c r="H39" s="13" t="inlineStr">
        <is>
          <t>120.033</t>
        </is>
      </c>
      <c r="I39" s="13" t="inlineStr">
        <is>
          <t>Cari hareket</t>
        </is>
      </c>
      <c r="J39" s="13" t="inlineStr">
        <is>
          <t>Açık</t>
        </is>
      </c>
      <c r="K39" s="16">
        <f>IF($A39="","",1)</f>
        <v/>
      </c>
    </row>
    <row r="40">
      <c r="A40" s="13" t="inlineStr">
        <is>
          <t>1000000595</t>
        </is>
      </c>
      <c r="B40" s="13" t="inlineStr">
        <is>
          <t>Örnek Cari 35 Ltd.</t>
        </is>
      </c>
      <c r="C40" s="13" t="inlineStr">
        <is>
          <t>2026-07</t>
        </is>
      </c>
      <c r="D40" s="13" t="inlineStr">
        <is>
          <t>BLG2035</t>
        </is>
      </c>
      <c r="E40" s="68" t="n">
        <v>46244</v>
      </c>
      <c r="F40" s="69" t="n">
        <v>14812.5</v>
      </c>
      <c r="G40" s="13" t="inlineStr">
        <is>
          <t>Satış</t>
        </is>
      </c>
      <c r="H40" s="13" t="inlineStr">
        <is>
          <t>120.034</t>
        </is>
      </c>
      <c r="I40" s="13" t="inlineStr">
        <is>
          <t>Cari hareket</t>
        </is>
      </c>
      <c r="J40" s="13" t="inlineStr">
        <is>
          <t>Açık</t>
        </is>
      </c>
      <c r="K40" s="16">
        <f>IF($A40="","",1)</f>
        <v/>
      </c>
    </row>
    <row r="41">
      <c r="A41" s="13" t="n"/>
      <c r="B41" s="13" t="n"/>
      <c r="C41" s="13" t="n"/>
      <c r="D41" s="13" t="n"/>
      <c r="E41" s="68" t="n"/>
      <c r="F41" s="69" t="n"/>
      <c r="G41" s="13" t="n"/>
      <c r="H41" s="13" t="n"/>
      <c r="I41" s="13" t="n"/>
      <c r="J41" s="13" t="n"/>
      <c r="K41" s="16">
        <f>IF($A41="","",1)</f>
        <v/>
      </c>
    </row>
    <row r="42">
      <c r="A42" s="13" t="n"/>
      <c r="B42" s="13" t="n"/>
      <c r="C42" s="13" t="n"/>
      <c r="D42" s="13" t="n"/>
      <c r="E42" s="68" t="n"/>
      <c r="F42" s="69" t="n"/>
      <c r="G42" s="13" t="n"/>
      <c r="H42" s="13" t="n"/>
      <c r="I42" s="13" t="n"/>
      <c r="J42" s="13" t="n"/>
      <c r="K42" s="16">
        <f>IF($A42="","",1)</f>
        <v/>
      </c>
    </row>
    <row r="43">
      <c r="A43" s="13" t="n"/>
      <c r="B43" s="13" t="n"/>
      <c r="C43" s="13" t="n"/>
      <c r="D43" s="13" t="n"/>
      <c r="E43" s="68" t="n"/>
      <c r="F43" s="69" t="n"/>
      <c r="G43" s="13" t="n"/>
      <c r="H43" s="13" t="n"/>
      <c r="I43" s="13" t="n"/>
      <c r="J43" s="13" t="n"/>
      <c r="K43" s="16">
        <f>IF($A43="","",1)</f>
        <v/>
      </c>
    </row>
    <row r="44">
      <c r="A44" s="13" t="n"/>
      <c r="B44" s="13" t="n"/>
      <c r="C44" s="13" t="n"/>
      <c r="D44" s="13" t="n"/>
      <c r="E44" s="68" t="n"/>
      <c r="F44" s="69" t="n"/>
      <c r="G44" s="13" t="n"/>
      <c r="H44" s="13" t="n"/>
      <c r="I44" s="13" t="n"/>
      <c r="J44" s="13" t="n"/>
      <c r="K44" s="16">
        <f>IF($A44="","",1)</f>
        <v/>
      </c>
    </row>
    <row r="45">
      <c r="A45" s="13" t="n"/>
      <c r="B45" s="13" t="n"/>
      <c r="C45" s="13" t="n"/>
      <c r="D45" s="13" t="n"/>
      <c r="E45" s="68" t="n"/>
      <c r="F45" s="69" t="n"/>
      <c r="G45" s="13" t="n"/>
      <c r="H45" s="13" t="n"/>
      <c r="I45" s="13" t="n"/>
      <c r="J45" s="13" t="n"/>
      <c r="K45" s="16">
        <f>IF($A45="","",1)</f>
        <v/>
      </c>
    </row>
    <row r="46">
      <c r="A46" s="13" t="n"/>
      <c r="B46" s="13" t="n"/>
      <c r="C46" s="13" t="n"/>
      <c r="D46" s="13" t="n"/>
      <c r="E46" s="68" t="n"/>
      <c r="F46" s="69" t="n"/>
      <c r="G46" s="13" t="n"/>
      <c r="H46" s="13" t="n"/>
      <c r="I46" s="13" t="n"/>
      <c r="J46" s="13" t="n"/>
      <c r="K46" s="16">
        <f>IF($A46="","",1)</f>
        <v/>
      </c>
    </row>
    <row r="47">
      <c r="A47" s="13" t="n"/>
      <c r="B47" s="13" t="n"/>
      <c r="C47" s="13" t="n"/>
      <c r="D47" s="13" t="n"/>
      <c r="E47" s="68" t="n"/>
      <c r="F47" s="69" t="n"/>
      <c r="G47" s="13" t="n"/>
      <c r="H47" s="13" t="n"/>
      <c r="I47" s="13" t="n"/>
      <c r="J47" s="13" t="n"/>
      <c r="K47" s="16">
        <f>IF($A47="","",1)</f>
        <v/>
      </c>
    </row>
    <row r="48">
      <c r="A48" s="13" t="n"/>
      <c r="B48" s="13" t="n"/>
      <c r="C48" s="13" t="n"/>
      <c r="D48" s="13" t="n"/>
      <c r="E48" s="68" t="n"/>
      <c r="F48" s="69" t="n"/>
      <c r="G48" s="13" t="n"/>
      <c r="H48" s="13" t="n"/>
      <c r="I48" s="13" t="n"/>
      <c r="J48" s="13" t="n"/>
      <c r="K48" s="16">
        <f>IF($A48="","",1)</f>
        <v/>
      </c>
    </row>
    <row r="49">
      <c r="A49" s="13" t="n"/>
      <c r="B49" s="13" t="n"/>
      <c r="C49" s="13" t="n"/>
      <c r="D49" s="13" t="n"/>
      <c r="E49" s="68" t="n"/>
      <c r="F49" s="69" t="n"/>
      <c r="G49" s="13" t="n"/>
      <c r="H49" s="13" t="n"/>
      <c r="I49" s="13" t="n"/>
      <c r="J49" s="13" t="n"/>
      <c r="K49" s="16">
        <f>IF($A49="","",1)</f>
        <v/>
      </c>
    </row>
    <row r="50">
      <c r="A50" s="13" t="n"/>
      <c r="B50" s="13" t="n"/>
      <c r="C50" s="13" t="n"/>
      <c r="D50" s="13" t="n"/>
      <c r="E50" s="68" t="n"/>
      <c r="F50" s="69" t="n"/>
      <c r="G50" s="13" t="n"/>
      <c r="H50" s="13" t="n"/>
      <c r="I50" s="13" t="n"/>
      <c r="J50" s="13" t="n"/>
      <c r="K50" s="16">
        <f>IF($A50="","",1)</f>
        <v/>
      </c>
    </row>
    <row r="51">
      <c r="A51" s="13" t="n"/>
      <c r="B51" s="13" t="n"/>
      <c r="C51" s="13" t="n"/>
      <c r="D51" s="13" t="n"/>
      <c r="E51" s="68" t="n"/>
      <c r="F51" s="69" t="n"/>
      <c r="G51" s="13" t="n"/>
      <c r="H51" s="13" t="n"/>
      <c r="I51" s="13" t="n"/>
      <c r="J51" s="13" t="n"/>
      <c r="K51" s="16">
        <f>IF($A51="","",1)</f>
        <v/>
      </c>
    </row>
    <row r="52">
      <c r="A52" s="13" t="n"/>
      <c r="B52" s="13" t="n"/>
      <c r="C52" s="13" t="n"/>
      <c r="D52" s="13" t="n"/>
      <c r="E52" s="68" t="n"/>
      <c r="F52" s="69" t="n"/>
      <c r="G52" s="13" t="n"/>
      <c r="H52" s="13" t="n"/>
      <c r="I52" s="13" t="n"/>
      <c r="J52" s="13" t="n"/>
      <c r="K52" s="16">
        <f>IF($A52="","",1)</f>
        <v/>
      </c>
    </row>
    <row r="53">
      <c r="A53" s="13" t="n"/>
      <c r="B53" s="13" t="n"/>
      <c r="C53" s="13" t="n"/>
      <c r="D53" s="13" t="n"/>
      <c r="E53" s="68" t="n"/>
      <c r="F53" s="69" t="n"/>
      <c r="G53" s="13" t="n"/>
      <c r="H53" s="13" t="n"/>
      <c r="I53" s="13" t="n"/>
      <c r="J53" s="13" t="n"/>
      <c r="K53" s="16">
        <f>IF($A53="","",1)</f>
        <v/>
      </c>
    </row>
    <row r="54">
      <c r="A54" s="13" t="n"/>
      <c r="B54" s="13" t="n"/>
      <c r="C54" s="13" t="n"/>
      <c r="D54" s="13" t="n"/>
      <c r="E54" s="68" t="n"/>
      <c r="F54" s="69" t="n"/>
      <c r="G54" s="13" t="n"/>
      <c r="H54" s="13" t="n"/>
      <c r="I54" s="13" t="n"/>
      <c r="J54" s="13" t="n"/>
      <c r="K54" s="16">
        <f>IF($A54="","",1)</f>
        <v/>
      </c>
    </row>
    <row r="55">
      <c r="A55" s="13" t="n"/>
      <c r="B55" s="13" t="n"/>
      <c r="C55" s="13" t="n"/>
      <c r="D55" s="13" t="n"/>
      <c r="E55" s="68" t="n"/>
      <c r="F55" s="69" t="n"/>
      <c r="G55" s="13" t="n"/>
      <c r="H55" s="13" t="n"/>
      <c r="I55" s="13" t="n"/>
      <c r="J55" s="13" t="n"/>
      <c r="K55" s="16">
        <f>IF($A55="","",1)</f>
        <v/>
      </c>
    </row>
    <row r="56">
      <c r="A56" s="13" t="n"/>
      <c r="B56" s="13" t="n"/>
      <c r="C56" s="13" t="n"/>
      <c r="D56" s="13" t="n"/>
      <c r="E56" s="68" t="n"/>
      <c r="F56" s="69" t="n"/>
      <c r="G56" s="13" t="n"/>
      <c r="H56" s="13" t="n"/>
      <c r="I56" s="13" t="n"/>
      <c r="J56" s="13" t="n"/>
      <c r="K56" s="16">
        <f>IF($A56="","",1)</f>
        <v/>
      </c>
    </row>
    <row r="57">
      <c r="A57" s="13" t="n"/>
      <c r="B57" s="13" t="n"/>
      <c r="C57" s="13" t="n"/>
      <c r="D57" s="13" t="n"/>
      <c r="E57" s="68" t="n"/>
      <c r="F57" s="69" t="n"/>
      <c r="G57" s="13" t="n"/>
      <c r="H57" s="13" t="n"/>
      <c r="I57" s="13" t="n"/>
      <c r="J57" s="13" t="n"/>
      <c r="K57" s="16">
        <f>IF($A57="","",1)</f>
        <v/>
      </c>
    </row>
    <row r="58">
      <c r="A58" s="13" t="n"/>
      <c r="B58" s="13" t="n"/>
      <c r="C58" s="13" t="n"/>
      <c r="D58" s="13" t="n"/>
      <c r="E58" s="68" t="n"/>
      <c r="F58" s="69" t="n"/>
      <c r="G58" s="13" t="n"/>
      <c r="H58" s="13" t="n"/>
      <c r="I58" s="13" t="n"/>
      <c r="J58" s="13" t="n"/>
      <c r="K58" s="16">
        <f>IF($A58="","",1)</f>
        <v/>
      </c>
    </row>
    <row r="59">
      <c r="A59" s="13" t="n"/>
      <c r="B59" s="13" t="n"/>
      <c r="C59" s="13" t="n"/>
      <c r="D59" s="13" t="n"/>
      <c r="E59" s="68" t="n"/>
      <c r="F59" s="69" t="n"/>
      <c r="G59" s="13" t="n"/>
      <c r="H59" s="13" t="n"/>
      <c r="I59" s="13" t="n"/>
      <c r="J59" s="13" t="n"/>
      <c r="K59" s="16">
        <f>IF($A59="","",1)</f>
        <v/>
      </c>
    </row>
    <row r="60">
      <c r="A60" s="13" t="n"/>
      <c r="B60" s="13" t="n"/>
      <c r="C60" s="13" t="n"/>
      <c r="D60" s="13" t="n"/>
      <c r="E60" s="68" t="n"/>
      <c r="F60" s="69" t="n"/>
      <c r="G60" s="13" t="n"/>
      <c r="H60" s="13" t="n"/>
      <c r="I60" s="13" t="n"/>
      <c r="J60" s="13" t="n"/>
      <c r="K60" s="16">
        <f>IF($A60="","",1)</f>
        <v/>
      </c>
    </row>
    <row r="61">
      <c r="A61" s="13" t="n"/>
      <c r="B61" s="13" t="n"/>
      <c r="C61" s="13" t="n"/>
      <c r="D61" s="13" t="n"/>
      <c r="E61" s="68" t="n"/>
      <c r="F61" s="69" t="n"/>
      <c r="G61" s="13" t="n"/>
      <c r="H61" s="13" t="n"/>
      <c r="I61" s="13" t="n"/>
      <c r="J61" s="13" t="n"/>
      <c r="K61" s="16">
        <f>IF($A61="","",1)</f>
        <v/>
      </c>
    </row>
    <row r="62">
      <c r="A62" s="13" t="n"/>
      <c r="B62" s="13" t="n"/>
      <c r="C62" s="13" t="n"/>
      <c r="D62" s="13" t="n"/>
      <c r="E62" s="68" t="n"/>
      <c r="F62" s="69" t="n"/>
      <c r="G62" s="13" t="n"/>
      <c r="H62" s="13" t="n"/>
      <c r="I62" s="13" t="n"/>
      <c r="J62" s="13" t="n"/>
      <c r="K62" s="16">
        <f>IF($A62="","",1)</f>
        <v/>
      </c>
    </row>
    <row r="63">
      <c r="A63" s="13" t="n"/>
      <c r="B63" s="13" t="n"/>
      <c r="C63" s="13" t="n"/>
      <c r="D63" s="13" t="n"/>
      <c r="E63" s="68" t="n"/>
      <c r="F63" s="69" t="n"/>
      <c r="G63" s="13" t="n"/>
      <c r="H63" s="13" t="n"/>
      <c r="I63" s="13" t="n"/>
      <c r="J63" s="13" t="n"/>
      <c r="K63" s="16">
        <f>IF($A63="","",1)</f>
        <v/>
      </c>
    </row>
    <row r="64">
      <c r="A64" s="13" t="n"/>
      <c r="B64" s="13" t="n"/>
      <c r="C64" s="13" t="n"/>
      <c r="D64" s="13" t="n"/>
      <c r="E64" s="68" t="n"/>
      <c r="F64" s="69" t="n"/>
      <c r="G64" s="13" t="n"/>
      <c r="H64" s="13" t="n"/>
      <c r="I64" s="13" t="n"/>
      <c r="J64" s="13" t="n"/>
      <c r="K64" s="16">
        <f>IF($A64="","",1)</f>
        <v/>
      </c>
    </row>
    <row r="65">
      <c r="A65" s="13" t="n"/>
      <c r="B65" s="13" t="n"/>
      <c r="C65" s="13" t="n"/>
      <c r="D65" s="13" t="n"/>
      <c r="E65" s="68" t="n"/>
      <c r="F65" s="69" t="n"/>
      <c r="G65" s="13" t="n"/>
      <c r="H65" s="13" t="n"/>
      <c r="I65" s="13" t="n"/>
      <c r="J65" s="13" t="n"/>
      <c r="K65" s="16">
        <f>IF($A65="","",1)</f>
        <v/>
      </c>
    </row>
    <row r="66">
      <c r="A66" s="13" t="n"/>
      <c r="B66" s="13" t="n"/>
      <c r="C66" s="13" t="n"/>
      <c r="D66" s="13" t="n"/>
      <c r="E66" s="68" t="n"/>
      <c r="F66" s="69" t="n"/>
      <c r="G66" s="13" t="n"/>
      <c r="H66" s="13" t="n"/>
      <c r="I66" s="13" t="n"/>
      <c r="J66" s="13" t="n"/>
      <c r="K66" s="16">
        <f>IF($A66="","",1)</f>
        <v/>
      </c>
    </row>
    <row r="67">
      <c r="A67" s="13" t="n"/>
      <c r="B67" s="13" t="n"/>
      <c r="C67" s="13" t="n"/>
      <c r="D67" s="13" t="n"/>
      <c r="E67" s="68" t="n"/>
      <c r="F67" s="69" t="n"/>
      <c r="G67" s="13" t="n"/>
      <c r="H67" s="13" t="n"/>
      <c r="I67" s="13" t="n"/>
      <c r="J67" s="13" t="n"/>
      <c r="K67" s="16">
        <f>IF($A67="","",1)</f>
        <v/>
      </c>
    </row>
    <row r="68">
      <c r="A68" s="13" t="n"/>
      <c r="B68" s="13" t="n"/>
      <c r="C68" s="13" t="n"/>
      <c r="D68" s="13" t="n"/>
      <c r="E68" s="68" t="n"/>
      <c r="F68" s="69" t="n"/>
      <c r="G68" s="13" t="n"/>
      <c r="H68" s="13" t="n"/>
      <c r="I68" s="13" t="n"/>
      <c r="J68" s="13" t="n"/>
      <c r="K68" s="16">
        <f>IF($A68="","",1)</f>
        <v/>
      </c>
    </row>
    <row r="69">
      <c r="A69" s="13" t="n"/>
      <c r="B69" s="13" t="n"/>
      <c r="C69" s="13" t="n"/>
      <c r="D69" s="13" t="n"/>
      <c r="E69" s="68" t="n"/>
      <c r="F69" s="69" t="n"/>
      <c r="G69" s="13" t="n"/>
      <c r="H69" s="13" t="n"/>
      <c r="I69" s="13" t="n"/>
      <c r="J69" s="13" t="n"/>
      <c r="K69" s="16">
        <f>IF($A69="","",1)</f>
        <v/>
      </c>
    </row>
    <row r="70">
      <c r="A70" s="13" t="n"/>
      <c r="B70" s="13" t="n"/>
      <c r="C70" s="13" t="n"/>
      <c r="D70" s="13" t="n"/>
      <c r="E70" s="68" t="n"/>
      <c r="F70" s="69" t="n"/>
      <c r="G70" s="13" t="n"/>
      <c r="H70" s="13" t="n"/>
      <c r="I70" s="13" t="n"/>
      <c r="J70" s="13" t="n"/>
      <c r="K70" s="16">
        <f>IF($A70="","",1)</f>
        <v/>
      </c>
    </row>
    <row r="71">
      <c r="A71" s="13" t="n"/>
      <c r="B71" s="13" t="n"/>
      <c r="C71" s="13" t="n"/>
      <c r="D71" s="13" t="n"/>
      <c r="E71" s="68" t="n"/>
      <c r="F71" s="69" t="n"/>
      <c r="G71" s="13" t="n"/>
      <c r="H71" s="13" t="n"/>
      <c r="I71" s="13" t="n"/>
      <c r="J71" s="13" t="n"/>
      <c r="K71" s="16">
        <f>IF($A71="","",1)</f>
        <v/>
      </c>
    </row>
    <row r="72">
      <c r="A72" s="13" t="n"/>
      <c r="B72" s="13" t="n"/>
      <c r="C72" s="13" t="n"/>
      <c r="D72" s="13" t="n"/>
      <c r="E72" s="68" t="n"/>
      <c r="F72" s="69" t="n"/>
      <c r="G72" s="13" t="n"/>
      <c r="H72" s="13" t="n"/>
      <c r="I72" s="13" t="n"/>
      <c r="J72" s="13" t="n"/>
      <c r="K72" s="16">
        <f>IF($A72="","",1)</f>
        <v/>
      </c>
    </row>
    <row r="73">
      <c r="A73" s="13" t="n"/>
      <c r="B73" s="13" t="n"/>
      <c r="C73" s="13" t="n"/>
      <c r="D73" s="13" t="n"/>
      <c r="E73" s="68" t="n"/>
      <c r="F73" s="69" t="n"/>
      <c r="G73" s="13" t="n"/>
      <c r="H73" s="13" t="n"/>
      <c r="I73" s="13" t="n"/>
      <c r="J73" s="13" t="n"/>
      <c r="K73" s="16">
        <f>IF($A73="","",1)</f>
        <v/>
      </c>
    </row>
    <row r="74">
      <c r="A74" s="13" t="n"/>
      <c r="B74" s="13" t="n"/>
      <c r="C74" s="13" t="n"/>
      <c r="D74" s="13" t="n"/>
      <c r="E74" s="68" t="n"/>
      <c r="F74" s="69" t="n"/>
      <c r="G74" s="13" t="n"/>
      <c r="H74" s="13" t="n"/>
      <c r="I74" s="13" t="n"/>
      <c r="J74" s="13" t="n"/>
      <c r="K74" s="16">
        <f>IF($A74="","",1)</f>
        <v/>
      </c>
    </row>
    <row r="75">
      <c r="A75" s="13" t="n"/>
      <c r="B75" s="13" t="n"/>
      <c r="C75" s="13" t="n"/>
      <c r="D75" s="13" t="n"/>
      <c r="E75" s="68" t="n"/>
      <c r="F75" s="69" t="n"/>
      <c r="G75" s="13" t="n"/>
      <c r="H75" s="13" t="n"/>
      <c r="I75" s="13" t="n"/>
      <c r="J75" s="13" t="n"/>
      <c r="K75" s="16">
        <f>IF($A75="","",1)</f>
        <v/>
      </c>
    </row>
    <row r="76">
      <c r="A76" s="13" t="n"/>
      <c r="B76" s="13" t="n"/>
      <c r="C76" s="13" t="n"/>
      <c r="D76" s="13" t="n"/>
      <c r="E76" s="68" t="n"/>
      <c r="F76" s="69" t="n"/>
      <c r="G76" s="13" t="n"/>
      <c r="H76" s="13" t="n"/>
      <c r="I76" s="13" t="n"/>
      <c r="J76" s="13" t="n"/>
      <c r="K76" s="16">
        <f>IF($A76="","",1)</f>
        <v/>
      </c>
    </row>
    <row r="77">
      <c r="A77" s="13" t="n"/>
      <c r="B77" s="13" t="n"/>
      <c r="C77" s="13" t="n"/>
      <c r="D77" s="13" t="n"/>
      <c r="E77" s="68" t="n"/>
      <c r="F77" s="69" t="n"/>
      <c r="G77" s="13" t="n"/>
      <c r="H77" s="13" t="n"/>
      <c r="I77" s="13" t="n"/>
      <c r="J77" s="13" t="n"/>
      <c r="K77" s="16">
        <f>IF($A77="","",1)</f>
        <v/>
      </c>
    </row>
    <row r="78">
      <c r="A78" s="13" t="n"/>
      <c r="B78" s="13" t="n"/>
      <c r="C78" s="13" t="n"/>
      <c r="D78" s="13" t="n"/>
      <c r="E78" s="68" t="n"/>
      <c r="F78" s="69" t="n"/>
      <c r="G78" s="13" t="n"/>
      <c r="H78" s="13" t="n"/>
      <c r="I78" s="13" t="n"/>
      <c r="J78" s="13" t="n"/>
      <c r="K78" s="16">
        <f>IF($A78="","",1)</f>
        <v/>
      </c>
    </row>
    <row r="79">
      <c r="A79" s="13" t="n"/>
      <c r="B79" s="13" t="n"/>
      <c r="C79" s="13" t="n"/>
      <c r="D79" s="13" t="n"/>
      <c r="E79" s="68" t="n"/>
      <c r="F79" s="69" t="n"/>
      <c r="G79" s="13" t="n"/>
      <c r="H79" s="13" t="n"/>
      <c r="I79" s="13" t="n"/>
      <c r="J79" s="13" t="n"/>
      <c r="K79" s="16">
        <f>IF($A79="","",1)</f>
        <v/>
      </c>
    </row>
    <row r="80">
      <c r="A80" s="13" t="n"/>
      <c r="B80" s="13" t="n"/>
      <c r="C80" s="13" t="n"/>
      <c r="D80" s="13" t="n"/>
      <c r="E80" s="68" t="n"/>
      <c r="F80" s="69" t="n"/>
      <c r="G80" s="13" t="n"/>
      <c r="H80" s="13" t="n"/>
      <c r="I80" s="13" t="n"/>
      <c r="J80" s="13" t="n"/>
      <c r="K80" s="16">
        <f>IF($A80="","",1)</f>
        <v/>
      </c>
    </row>
    <row r="81">
      <c r="A81" s="13" t="n"/>
      <c r="B81" s="13" t="n"/>
      <c r="C81" s="13" t="n"/>
      <c r="D81" s="13" t="n"/>
      <c r="E81" s="68" t="n"/>
      <c r="F81" s="69" t="n"/>
      <c r="G81" s="13" t="n"/>
      <c r="H81" s="13" t="n"/>
      <c r="I81" s="13" t="n"/>
      <c r="J81" s="13" t="n"/>
      <c r="K81" s="16">
        <f>IF($A81="","",1)</f>
        <v/>
      </c>
    </row>
    <row r="82">
      <c r="A82" s="13" t="n"/>
      <c r="B82" s="13" t="n"/>
      <c r="C82" s="13" t="n"/>
      <c r="D82" s="13" t="n"/>
      <c r="E82" s="68" t="n"/>
      <c r="F82" s="69" t="n"/>
      <c r="G82" s="13" t="n"/>
      <c r="H82" s="13" t="n"/>
      <c r="I82" s="13" t="n"/>
      <c r="J82" s="13" t="n"/>
      <c r="K82" s="16">
        <f>IF($A82="","",1)</f>
        <v/>
      </c>
    </row>
    <row r="83">
      <c r="A83" s="13" t="n"/>
      <c r="B83" s="13" t="n"/>
      <c r="C83" s="13" t="n"/>
      <c r="D83" s="13" t="n"/>
      <c r="E83" s="68" t="n"/>
      <c r="F83" s="69" t="n"/>
      <c r="G83" s="13" t="n"/>
      <c r="H83" s="13" t="n"/>
      <c r="I83" s="13" t="n"/>
      <c r="J83" s="13" t="n"/>
      <c r="K83" s="16">
        <f>IF($A83="","",1)</f>
        <v/>
      </c>
    </row>
    <row r="84">
      <c r="A84" s="13" t="n"/>
      <c r="B84" s="13" t="n"/>
      <c r="C84" s="13" t="n"/>
      <c r="D84" s="13" t="n"/>
      <c r="E84" s="68" t="n"/>
      <c r="F84" s="69" t="n"/>
      <c r="G84" s="13" t="n"/>
      <c r="H84" s="13" t="n"/>
      <c r="I84" s="13" t="n"/>
      <c r="J84" s="13" t="n"/>
      <c r="K84" s="16">
        <f>IF($A84="","",1)</f>
        <v/>
      </c>
    </row>
    <row r="85">
      <c r="A85" s="13" t="n"/>
      <c r="B85" s="13" t="n"/>
      <c r="C85" s="13" t="n"/>
      <c r="D85" s="13" t="n"/>
      <c r="E85" s="68" t="n"/>
      <c r="F85" s="69" t="n"/>
      <c r="G85" s="13" t="n"/>
      <c r="H85" s="13" t="n"/>
      <c r="I85" s="13" t="n"/>
      <c r="J85" s="13" t="n"/>
      <c r="K85" s="16">
        <f>IF($A85="","",1)</f>
        <v/>
      </c>
    </row>
    <row r="86">
      <c r="A86" s="13" t="n"/>
      <c r="B86" s="13" t="n"/>
      <c r="C86" s="13" t="n"/>
      <c r="D86" s="13" t="n"/>
      <c r="E86" s="68" t="n"/>
      <c r="F86" s="69" t="n"/>
      <c r="G86" s="13" t="n"/>
      <c r="H86" s="13" t="n"/>
      <c r="I86" s="13" t="n"/>
      <c r="J86" s="13" t="n"/>
      <c r="K86" s="16">
        <f>IF($A86="","",1)</f>
        <v/>
      </c>
    </row>
    <row r="87">
      <c r="A87" s="13" t="n"/>
      <c r="B87" s="13" t="n"/>
      <c r="C87" s="13" t="n"/>
      <c r="D87" s="13" t="n"/>
      <c r="E87" s="68" t="n"/>
      <c r="F87" s="69" t="n"/>
      <c r="G87" s="13" t="n"/>
      <c r="H87" s="13" t="n"/>
      <c r="I87" s="13" t="n"/>
      <c r="J87" s="13" t="n"/>
      <c r="K87" s="16">
        <f>IF($A87="","",1)</f>
        <v/>
      </c>
    </row>
    <row r="88">
      <c r="A88" s="13" t="n"/>
      <c r="B88" s="13" t="n"/>
      <c r="C88" s="13" t="n"/>
      <c r="D88" s="13" t="n"/>
      <c r="E88" s="68" t="n"/>
      <c r="F88" s="69" t="n"/>
      <c r="G88" s="13" t="n"/>
      <c r="H88" s="13" t="n"/>
      <c r="I88" s="13" t="n"/>
      <c r="J88" s="13" t="n"/>
      <c r="K88" s="16">
        <f>IF($A88="","",1)</f>
        <v/>
      </c>
    </row>
    <row r="89">
      <c r="A89" s="13" t="n"/>
      <c r="B89" s="13" t="n"/>
      <c r="C89" s="13" t="n"/>
      <c r="D89" s="13" t="n"/>
      <c r="E89" s="68" t="n"/>
      <c r="F89" s="69" t="n"/>
      <c r="G89" s="13" t="n"/>
      <c r="H89" s="13" t="n"/>
      <c r="I89" s="13" t="n"/>
      <c r="J89" s="13" t="n"/>
      <c r="K89" s="16">
        <f>IF($A89="","",1)</f>
        <v/>
      </c>
    </row>
    <row r="90">
      <c r="A90" s="13" t="n"/>
      <c r="B90" s="13" t="n"/>
      <c r="C90" s="13" t="n"/>
      <c r="D90" s="13" t="n"/>
      <c r="E90" s="68" t="n"/>
      <c r="F90" s="69" t="n"/>
      <c r="G90" s="13" t="n"/>
      <c r="H90" s="13" t="n"/>
      <c r="I90" s="13" t="n"/>
      <c r="J90" s="13" t="n"/>
      <c r="K90" s="16">
        <f>IF($A90="","",1)</f>
        <v/>
      </c>
    </row>
    <row r="91">
      <c r="A91" s="13" t="n"/>
      <c r="B91" s="13" t="n"/>
      <c r="C91" s="13" t="n"/>
      <c r="D91" s="13" t="n"/>
      <c r="E91" s="68" t="n"/>
      <c r="F91" s="69" t="n"/>
      <c r="G91" s="13" t="n"/>
      <c r="H91" s="13" t="n"/>
      <c r="I91" s="13" t="n"/>
      <c r="J91" s="13" t="n"/>
      <c r="K91" s="16">
        <f>IF($A91="","",1)</f>
        <v/>
      </c>
    </row>
    <row r="92">
      <c r="A92" s="13" t="n"/>
      <c r="B92" s="13" t="n"/>
      <c r="C92" s="13" t="n"/>
      <c r="D92" s="13" t="n"/>
      <c r="E92" s="68" t="n"/>
      <c r="F92" s="69" t="n"/>
      <c r="G92" s="13" t="n"/>
      <c r="H92" s="13" t="n"/>
      <c r="I92" s="13" t="n"/>
      <c r="J92" s="13" t="n"/>
      <c r="K92" s="16">
        <f>IF($A92="","",1)</f>
        <v/>
      </c>
    </row>
    <row r="93">
      <c r="A93" s="13" t="n"/>
      <c r="B93" s="13" t="n"/>
      <c r="C93" s="13" t="n"/>
      <c r="D93" s="13" t="n"/>
      <c r="E93" s="68" t="n"/>
      <c r="F93" s="69" t="n"/>
      <c r="G93" s="13" t="n"/>
      <c r="H93" s="13" t="n"/>
      <c r="I93" s="13" t="n"/>
      <c r="J93" s="13" t="n"/>
      <c r="K93" s="16">
        <f>IF($A93="","",1)</f>
        <v/>
      </c>
    </row>
    <row r="94">
      <c r="A94" s="13" t="n"/>
      <c r="B94" s="13" t="n"/>
      <c r="C94" s="13" t="n"/>
      <c r="D94" s="13" t="n"/>
      <c r="E94" s="68" t="n"/>
      <c r="F94" s="69" t="n"/>
      <c r="G94" s="13" t="n"/>
      <c r="H94" s="13" t="n"/>
      <c r="I94" s="13" t="n"/>
      <c r="J94" s="13" t="n"/>
      <c r="K94" s="16">
        <f>IF($A94="","",1)</f>
        <v/>
      </c>
    </row>
    <row r="95">
      <c r="A95" s="13" t="n"/>
      <c r="B95" s="13" t="n"/>
      <c r="C95" s="13" t="n"/>
      <c r="D95" s="13" t="n"/>
      <c r="E95" s="68" t="n"/>
      <c r="F95" s="69" t="n"/>
      <c r="G95" s="13" t="n"/>
      <c r="H95" s="13" t="n"/>
      <c r="I95" s="13" t="n"/>
      <c r="J95" s="13" t="n"/>
      <c r="K95" s="16">
        <f>IF($A95="","",1)</f>
        <v/>
      </c>
    </row>
    <row r="96">
      <c r="A96" s="13" t="n"/>
      <c r="B96" s="13" t="n"/>
      <c r="C96" s="13" t="n"/>
      <c r="D96" s="13" t="n"/>
      <c r="E96" s="68" t="n"/>
      <c r="F96" s="69" t="n"/>
      <c r="G96" s="13" t="n"/>
      <c r="H96" s="13" t="n"/>
      <c r="I96" s="13" t="n"/>
      <c r="J96" s="13" t="n"/>
      <c r="K96" s="16">
        <f>IF($A96="","",1)</f>
        <v/>
      </c>
    </row>
    <row r="97">
      <c r="A97" s="13" t="n"/>
      <c r="B97" s="13" t="n"/>
      <c r="C97" s="13" t="n"/>
      <c r="D97" s="13" t="n"/>
      <c r="E97" s="68" t="n"/>
      <c r="F97" s="69" t="n"/>
      <c r="G97" s="13" t="n"/>
      <c r="H97" s="13" t="n"/>
      <c r="I97" s="13" t="n"/>
      <c r="J97" s="13" t="n"/>
      <c r="K97" s="16">
        <f>IF($A97="","",1)</f>
        <v/>
      </c>
    </row>
    <row r="98">
      <c r="A98" s="13" t="n"/>
      <c r="B98" s="13" t="n"/>
      <c r="C98" s="13" t="n"/>
      <c r="D98" s="13" t="n"/>
      <c r="E98" s="68" t="n"/>
      <c r="F98" s="69" t="n"/>
      <c r="G98" s="13" t="n"/>
      <c r="H98" s="13" t="n"/>
      <c r="I98" s="13" t="n"/>
      <c r="J98" s="13" t="n"/>
      <c r="K98" s="16">
        <f>IF($A98="","",1)</f>
        <v/>
      </c>
    </row>
    <row r="99">
      <c r="A99" s="13" t="n"/>
      <c r="B99" s="13" t="n"/>
      <c r="C99" s="13" t="n"/>
      <c r="D99" s="13" t="n"/>
      <c r="E99" s="68" t="n"/>
      <c r="F99" s="69" t="n"/>
      <c r="G99" s="13" t="n"/>
      <c r="H99" s="13" t="n"/>
      <c r="I99" s="13" t="n"/>
      <c r="J99" s="13" t="n"/>
      <c r="K99" s="16">
        <f>IF($A99="","",1)</f>
        <v/>
      </c>
    </row>
    <row r="100">
      <c r="A100" s="13" t="n"/>
      <c r="B100" s="13" t="n"/>
      <c r="C100" s="13" t="n"/>
      <c r="D100" s="13" t="n"/>
      <c r="E100" s="68" t="n"/>
      <c r="F100" s="69" t="n"/>
      <c r="G100" s="13" t="n"/>
      <c r="H100" s="13" t="n"/>
      <c r="I100" s="13" t="n"/>
      <c r="J100" s="13" t="n"/>
      <c r="K100" s="16">
        <f>IF($A100="","",1)</f>
        <v/>
      </c>
    </row>
    <row r="101">
      <c r="A101" s="13" t="n"/>
      <c r="B101" s="13" t="n"/>
      <c r="C101" s="13" t="n"/>
      <c r="D101" s="13" t="n"/>
      <c r="E101" s="68" t="n"/>
      <c r="F101" s="69" t="n"/>
      <c r="G101" s="13" t="n"/>
      <c r="H101" s="13" t="n"/>
      <c r="I101" s="13" t="n"/>
      <c r="J101" s="13" t="n"/>
      <c r="K101" s="16">
        <f>IF($A101="","",1)</f>
        <v/>
      </c>
    </row>
    <row r="102">
      <c r="A102" s="13" t="n"/>
      <c r="B102" s="13" t="n"/>
      <c r="C102" s="13" t="n"/>
      <c r="D102" s="13" t="n"/>
      <c r="E102" s="68" t="n"/>
      <c r="F102" s="69" t="n"/>
      <c r="G102" s="13" t="n"/>
      <c r="H102" s="13" t="n"/>
      <c r="I102" s="13" t="n"/>
      <c r="J102" s="13" t="n"/>
      <c r="K102" s="16">
        <f>IF($A102="","",1)</f>
        <v/>
      </c>
    </row>
    <row r="103">
      <c r="A103" s="13" t="n"/>
      <c r="B103" s="13" t="n"/>
      <c r="C103" s="13" t="n"/>
      <c r="D103" s="13" t="n"/>
      <c r="E103" s="68" t="n"/>
      <c r="F103" s="69" t="n"/>
      <c r="G103" s="13" t="n"/>
      <c r="H103" s="13" t="n"/>
      <c r="I103" s="13" t="n"/>
      <c r="J103" s="13" t="n"/>
      <c r="K103" s="16">
        <f>IF($A103="","",1)</f>
        <v/>
      </c>
    </row>
    <row r="104">
      <c r="A104" s="13" t="n"/>
      <c r="B104" s="13" t="n"/>
      <c r="C104" s="13" t="n"/>
      <c r="D104" s="13" t="n"/>
      <c r="E104" s="68" t="n"/>
      <c r="F104" s="69" t="n"/>
      <c r="G104" s="13" t="n"/>
      <c r="H104" s="13" t="n"/>
      <c r="I104" s="13" t="n"/>
      <c r="J104" s="13" t="n"/>
      <c r="K104" s="16">
        <f>IF($A104="","",1)</f>
        <v/>
      </c>
    </row>
    <row r="105">
      <c r="A105" s="13" t="n"/>
      <c r="B105" s="13" t="n"/>
      <c r="C105" s="13" t="n"/>
      <c r="D105" s="13" t="n"/>
      <c r="E105" s="68" t="n"/>
      <c r="F105" s="69" t="n"/>
      <c r="G105" s="13" t="n"/>
      <c r="H105" s="13" t="n"/>
      <c r="I105" s="13" t="n"/>
      <c r="J105" s="13" t="n"/>
      <c r="K105" s="16">
        <f>IF($A105="","",1)</f>
        <v/>
      </c>
    </row>
    <row r="106">
      <c r="A106" s="13" t="n"/>
      <c r="B106" s="13" t="n"/>
      <c r="C106" s="13" t="n"/>
      <c r="D106" s="13" t="n"/>
      <c r="E106" s="68" t="n"/>
      <c r="F106" s="69" t="n"/>
      <c r="G106" s="13" t="n"/>
      <c r="H106" s="13" t="n"/>
      <c r="I106" s="13" t="n"/>
      <c r="J106" s="13" t="n"/>
      <c r="K106" s="16">
        <f>IF($A106="","",1)</f>
        <v/>
      </c>
    </row>
    <row r="107">
      <c r="A107" s="13" t="n"/>
      <c r="B107" s="13" t="n"/>
      <c r="C107" s="13" t="n"/>
      <c r="D107" s="13" t="n"/>
      <c r="E107" s="68" t="n"/>
      <c r="F107" s="69" t="n"/>
      <c r="G107" s="13" t="n"/>
      <c r="H107" s="13" t="n"/>
      <c r="I107" s="13" t="n"/>
      <c r="J107" s="13" t="n"/>
      <c r="K107" s="16">
        <f>IF($A107="","",1)</f>
        <v/>
      </c>
    </row>
    <row r="108">
      <c r="A108" s="13" t="n"/>
      <c r="B108" s="13" t="n"/>
      <c r="C108" s="13" t="n"/>
      <c r="D108" s="13" t="n"/>
      <c r="E108" s="68" t="n"/>
      <c r="F108" s="69" t="n"/>
      <c r="G108" s="13" t="n"/>
      <c r="H108" s="13" t="n"/>
      <c r="I108" s="13" t="n"/>
      <c r="J108" s="13" t="n"/>
      <c r="K108" s="16">
        <f>IF($A108="","",1)</f>
        <v/>
      </c>
    </row>
    <row r="109">
      <c r="A109" s="13" t="n"/>
      <c r="B109" s="13" t="n"/>
      <c r="C109" s="13" t="n"/>
      <c r="D109" s="13" t="n"/>
      <c r="E109" s="68" t="n"/>
      <c r="F109" s="69" t="n"/>
      <c r="G109" s="13" t="n"/>
      <c r="H109" s="13" t="n"/>
      <c r="I109" s="13" t="n"/>
      <c r="J109" s="13" t="n"/>
      <c r="K109" s="16">
        <f>IF($A109="","",1)</f>
        <v/>
      </c>
    </row>
    <row r="110">
      <c r="A110" s="13" t="n"/>
      <c r="B110" s="13" t="n"/>
      <c r="C110" s="13" t="n"/>
      <c r="D110" s="13" t="n"/>
      <c r="E110" s="68" t="n"/>
      <c r="F110" s="69" t="n"/>
      <c r="G110" s="13" t="n"/>
      <c r="H110" s="13" t="n"/>
      <c r="I110" s="13" t="n"/>
      <c r="J110" s="13" t="n"/>
      <c r="K110" s="16">
        <f>IF($A110="","",1)</f>
        <v/>
      </c>
    </row>
    <row r="111">
      <c r="A111" s="13" t="n"/>
      <c r="B111" s="13" t="n"/>
      <c r="C111" s="13" t="n"/>
      <c r="D111" s="13" t="n"/>
      <c r="E111" s="68" t="n"/>
      <c r="F111" s="69" t="n"/>
      <c r="G111" s="13" t="n"/>
      <c r="H111" s="13" t="n"/>
      <c r="I111" s="13" t="n"/>
      <c r="J111" s="13" t="n"/>
      <c r="K111" s="16">
        <f>IF($A111="","",1)</f>
        <v/>
      </c>
    </row>
    <row r="112">
      <c r="A112" s="13" t="n"/>
      <c r="B112" s="13" t="n"/>
      <c r="C112" s="13" t="n"/>
      <c r="D112" s="13" t="n"/>
      <c r="E112" s="68" t="n"/>
      <c r="F112" s="69" t="n"/>
      <c r="G112" s="13" t="n"/>
      <c r="H112" s="13" t="n"/>
      <c r="I112" s="13" t="n"/>
      <c r="J112" s="13" t="n"/>
      <c r="K112" s="16">
        <f>IF($A112="","",1)</f>
        <v/>
      </c>
    </row>
    <row r="113">
      <c r="A113" s="13" t="n"/>
      <c r="B113" s="13" t="n"/>
      <c r="C113" s="13" t="n"/>
      <c r="D113" s="13" t="n"/>
      <c r="E113" s="68" t="n"/>
      <c r="F113" s="69" t="n"/>
      <c r="G113" s="13" t="n"/>
      <c r="H113" s="13" t="n"/>
      <c r="I113" s="13" t="n"/>
      <c r="J113" s="13" t="n"/>
      <c r="K113" s="16">
        <f>IF($A113="","",1)</f>
        <v/>
      </c>
    </row>
    <row r="114">
      <c r="A114" s="13" t="n"/>
      <c r="B114" s="13" t="n"/>
      <c r="C114" s="13" t="n"/>
      <c r="D114" s="13" t="n"/>
      <c r="E114" s="68" t="n"/>
      <c r="F114" s="69" t="n"/>
      <c r="G114" s="13" t="n"/>
      <c r="H114" s="13" t="n"/>
      <c r="I114" s="13" t="n"/>
      <c r="J114" s="13" t="n"/>
      <c r="K114" s="16">
        <f>IF($A114="","",1)</f>
        <v/>
      </c>
    </row>
    <row r="115">
      <c r="A115" s="13" t="n"/>
      <c r="B115" s="13" t="n"/>
      <c r="C115" s="13" t="n"/>
      <c r="D115" s="13" t="n"/>
      <c r="E115" s="68" t="n"/>
      <c r="F115" s="69" t="n"/>
      <c r="G115" s="13" t="n"/>
      <c r="H115" s="13" t="n"/>
      <c r="I115" s="13" t="n"/>
      <c r="J115" s="13" t="n"/>
      <c r="K115" s="16">
        <f>IF($A115="","",1)</f>
        <v/>
      </c>
    </row>
    <row r="116">
      <c r="A116" s="13" t="n"/>
      <c r="B116" s="13" t="n"/>
      <c r="C116" s="13" t="n"/>
      <c r="D116" s="13" t="n"/>
      <c r="E116" s="68" t="n"/>
      <c r="F116" s="69" t="n"/>
      <c r="G116" s="13" t="n"/>
      <c r="H116" s="13" t="n"/>
      <c r="I116" s="13" t="n"/>
      <c r="J116" s="13" t="n"/>
      <c r="K116" s="16">
        <f>IF($A116="","",1)</f>
        <v/>
      </c>
    </row>
    <row r="117">
      <c r="A117" s="13" t="n"/>
      <c r="B117" s="13" t="n"/>
      <c r="C117" s="13" t="n"/>
      <c r="D117" s="13" t="n"/>
      <c r="E117" s="68" t="n"/>
      <c r="F117" s="69" t="n"/>
      <c r="G117" s="13" t="n"/>
      <c r="H117" s="13" t="n"/>
      <c r="I117" s="13" t="n"/>
      <c r="J117" s="13" t="n"/>
      <c r="K117" s="16">
        <f>IF($A117="","",1)</f>
        <v/>
      </c>
    </row>
    <row r="118">
      <c r="A118" s="13" t="n"/>
      <c r="B118" s="13" t="n"/>
      <c r="C118" s="13" t="n"/>
      <c r="D118" s="13" t="n"/>
      <c r="E118" s="68" t="n"/>
      <c r="F118" s="69" t="n"/>
      <c r="G118" s="13" t="n"/>
      <c r="H118" s="13" t="n"/>
      <c r="I118" s="13" t="n"/>
      <c r="J118" s="13" t="n"/>
      <c r="K118" s="16">
        <f>IF($A118="","",1)</f>
        <v/>
      </c>
    </row>
    <row r="119">
      <c r="A119" s="13" t="n"/>
      <c r="B119" s="13" t="n"/>
      <c r="C119" s="13" t="n"/>
      <c r="D119" s="13" t="n"/>
      <c r="E119" s="68" t="n"/>
      <c r="F119" s="69" t="n"/>
      <c r="G119" s="13" t="n"/>
      <c r="H119" s="13" t="n"/>
      <c r="I119" s="13" t="n"/>
      <c r="J119" s="13" t="n"/>
      <c r="K119" s="16">
        <f>IF($A119="","",1)</f>
        <v/>
      </c>
    </row>
    <row r="120">
      <c r="A120" s="13" t="n"/>
      <c r="B120" s="13" t="n"/>
      <c r="C120" s="13" t="n"/>
      <c r="D120" s="13" t="n"/>
      <c r="E120" s="68" t="n"/>
      <c r="F120" s="69" t="n"/>
      <c r="G120" s="13" t="n"/>
      <c r="H120" s="13" t="n"/>
      <c r="I120" s="13" t="n"/>
      <c r="J120" s="13" t="n"/>
      <c r="K120" s="16">
        <f>IF($A120="","",1)</f>
        <v/>
      </c>
    </row>
    <row r="121">
      <c r="A121" s="13" t="n"/>
      <c r="B121" s="13" t="n"/>
      <c r="C121" s="13" t="n"/>
      <c r="D121" s="13" t="n"/>
      <c r="E121" s="68" t="n"/>
      <c r="F121" s="69" t="n"/>
      <c r="G121" s="13" t="n"/>
      <c r="H121" s="13" t="n"/>
      <c r="I121" s="13" t="n"/>
      <c r="J121" s="13" t="n"/>
      <c r="K121" s="16">
        <f>IF($A121="","",1)</f>
        <v/>
      </c>
    </row>
    <row r="122">
      <c r="A122" s="13" t="n"/>
      <c r="B122" s="13" t="n"/>
      <c r="C122" s="13" t="n"/>
      <c r="D122" s="13" t="n"/>
      <c r="E122" s="68" t="n"/>
      <c r="F122" s="69" t="n"/>
      <c r="G122" s="13" t="n"/>
      <c r="H122" s="13" t="n"/>
      <c r="I122" s="13" t="n"/>
      <c r="J122" s="13" t="n"/>
      <c r="K122" s="16">
        <f>IF($A122="","",1)</f>
        <v/>
      </c>
    </row>
    <row r="123">
      <c r="A123" s="13" t="n"/>
      <c r="B123" s="13" t="n"/>
      <c r="C123" s="13" t="n"/>
      <c r="D123" s="13" t="n"/>
      <c r="E123" s="68" t="n"/>
      <c r="F123" s="69" t="n"/>
      <c r="G123" s="13" t="n"/>
      <c r="H123" s="13" t="n"/>
      <c r="I123" s="13" t="n"/>
      <c r="J123" s="13" t="n"/>
      <c r="K123" s="16">
        <f>IF($A123="","",1)</f>
        <v/>
      </c>
    </row>
    <row r="124">
      <c r="A124" s="13" t="n"/>
      <c r="B124" s="13" t="n"/>
      <c r="C124" s="13" t="n"/>
      <c r="D124" s="13" t="n"/>
      <c r="E124" s="68" t="n"/>
      <c r="F124" s="69" t="n"/>
      <c r="G124" s="13" t="n"/>
      <c r="H124" s="13" t="n"/>
      <c r="I124" s="13" t="n"/>
      <c r="J124" s="13" t="n"/>
      <c r="K124" s="16">
        <f>IF($A124="","",1)</f>
        <v/>
      </c>
    </row>
    <row r="125">
      <c r="A125" s="13" t="n"/>
      <c r="B125" s="13" t="n"/>
      <c r="C125" s="13" t="n"/>
      <c r="D125" s="13" t="n"/>
      <c r="E125" s="68" t="n"/>
      <c r="F125" s="69" t="n"/>
      <c r="G125" s="13" t="n"/>
      <c r="H125" s="13" t="n"/>
      <c r="I125" s="13" t="n"/>
      <c r="J125" s="13" t="n"/>
      <c r="K125" s="16">
        <f>IF($A125="","",1)</f>
        <v/>
      </c>
    </row>
    <row r="126">
      <c r="A126" s="13" t="n"/>
      <c r="B126" s="13" t="n"/>
      <c r="C126" s="13" t="n"/>
      <c r="D126" s="13" t="n"/>
      <c r="E126" s="68" t="n"/>
      <c r="F126" s="69" t="n"/>
      <c r="G126" s="13" t="n"/>
      <c r="H126" s="13" t="n"/>
      <c r="I126" s="13" t="n"/>
      <c r="J126" s="13" t="n"/>
      <c r="K126" s="16">
        <f>IF($A126="","",1)</f>
        <v/>
      </c>
    </row>
    <row r="127">
      <c r="A127" s="13" t="n"/>
      <c r="B127" s="13" t="n"/>
      <c r="C127" s="13" t="n"/>
      <c r="D127" s="13" t="n"/>
      <c r="E127" s="68" t="n"/>
      <c r="F127" s="69" t="n"/>
      <c r="G127" s="13" t="n"/>
      <c r="H127" s="13" t="n"/>
      <c r="I127" s="13" t="n"/>
      <c r="J127" s="13" t="n"/>
      <c r="K127" s="16">
        <f>IF($A127="","",1)</f>
        <v/>
      </c>
    </row>
    <row r="128">
      <c r="A128" s="13" t="n"/>
      <c r="B128" s="13" t="n"/>
      <c r="C128" s="13" t="n"/>
      <c r="D128" s="13" t="n"/>
      <c r="E128" s="68" t="n"/>
      <c r="F128" s="69" t="n"/>
      <c r="G128" s="13" t="n"/>
      <c r="H128" s="13" t="n"/>
      <c r="I128" s="13" t="n"/>
      <c r="J128" s="13" t="n"/>
      <c r="K128" s="16">
        <f>IF($A128="","",1)</f>
        <v/>
      </c>
    </row>
    <row r="129">
      <c r="A129" s="13" t="n"/>
      <c r="B129" s="13" t="n"/>
      <c r="C129" s="13" t="n"/>
      <c r="D129" s="13" t="n"/>
      <c r="E129" s="68" t="n"/>
      <c r="F129" s="69" t="n"/>
      <c r="G129" s="13" t="n"/>
      <c r="H129" s="13" t="n"/>
      <c r="I129" s="13" t="n"/>
      <c r="J129" s="13" t="n"/>
      <c r="K129" s="16">
        <f>IF($A129="","",1)</f>
        <v/>
      </c>
    </row>
    <row r="130">
      <c r="A130" s="13" t="n"/>
      <c r="B130" s="13" t="n"/>
      <c r="C130" s="13" t="n"/>
      <c r="D130" s="13" t="n"/>
      <c r="E130" s="68" t="n"/>
      <c r="F130" s="69" t="n"/>
      <c r="G130" s="13" t="n"/>
      <c r="H130" s="13" t="n"/>
      <c r="I130" s="13" t="n"/>
      <c r="J130" s="13" t="n"/>
      <c r="K130" s="16">
        <f>IF($A130="","",1)</f>
        <v/>
      </c>
    </row>
    <row r="131">
      <c r="A131" s="13" t="n"/>
      <c r="B131" s="13" t="n"/>
      <c r="C131" s="13" t="n"/>
      <c r="D131" s="13" t="n"/>
      <c r="E131" s="68" t="n"/>
      <c r="F131" s="69" t="n"/>
      <c r="G131" s="13" t="n"/>
      <c r="H131" s="13" t="n"/>
      <c r="I131" s="13" t="n"/>
      <c r="J131" s="13" t="n"/>
      <c r="K131" s="16">
        <f>IF($A131="","",1)</f>
        <v/>
      </c>
    </row>
    <row r="132">
      <c r="A132" s="13" t="n"/>
      <c r="B132" s="13" t="n"/>
      <c r="C132" s="13" t="n"/>
      <c r="D132" s="13" t="n"/>
      <c r="E132" s="68" t="n"/>
      <c r="F132" s="69" t="n"/>
      <c r="G132" s="13" t="n"/>
      <c r="H132" s="13" t="n"/>
      <c r="I132" s="13" t="n"/>
      <c r="J132" s="13" t="n"/>
      <c r="K132" s="16">
        <f>IF($A132="","",1)</f>
        <v/>
      </c>
    </row>
    <row r="133">
      <c r="A133" s="13" t="n"/>
      <c r="B133" s="13" t="n"/>
      <c r="C133" s="13" t="n"/>
      <c r="D133" s="13" t="n"/>
      <c r="E133" s="68" t="n"/>
      <c r="F133" s="69" t="n"/>
      <c r="G133" s="13" t="n"/>
      <c r="H133" s="13" t="n"/>
      <c r="I133" s="13" t="n"/>
      <c r="J133" s="13" t="n"/>
      <c r="K133" s="16">
        <f>IF($A133="","",1)</f>
        <v/>
      </c>
    </row>
    <row r="134">
      <c r="A134" s="13" t="n"/>
      <c r="B134" s="13" t="n"/>
      <c r="C134" s="13" t="n"/>
      <c r="D134" s="13" t="n"/>
      <c r="E134" s="68" t="n"/>
      <c r="F134" s="69" t="n"/>
      <c r="G134" s="13" t="n"/>
      <c r="H134" s="13" t="n"/>
      <c r="I134" s="13" t="n"/>
      <c r="J134" s="13" t="n"/>
      <c r="K134" s="16">
        <f>IF($A134="","",1)</f>
        <v/>
      </c>
    </row>
    <row r="135">
      <c r="A135" s="13" t="n"/>
      <c r="B135" s="13" t="n"/>
      <c r="C135" s="13" t="n"/>
      <c r="D135" s="13" t="n"/>
      <c r="E135" s="68" t="n"/>
      <c r="F135" s="69" t="n"/>
      <c r="G135" s="13" t="n"/>
      <c r="H135" s="13" t="n"/>
      <c r="I135" s="13" t="n"/>
      <c r="J135" s="13" t="n"/>
      <c r="K135" s="16">
        <f>IF($A135="","",1)</f>
        <v/>
      </c>
    </row>
    <row r="136">
      <c r="A136" s="13" t="n"/>
      <c r="B136" s="13" t="n"/>
      <c r="C136" s="13" t="n"/>
      <c r="D136" s="13" t="n"/>
      <c r="E136" s="68" t="n"/>
      <c r="F136" s="69" t="n"/>
      <c r="G136" s="13" t="n"/>
      <c r="H136" s="13" t="n"/>
      <c r="I136" s="13" t="n"/>
      <c r="J136" s="13" t="n"/>
      <c r="K136" s="16">
        <f>IF($A136="","",1)</f>
        <v/>
      </c>
    </row>
    <row r="137">
      <c r="A137" s="13" t="n"/>
      <c r="B137" s="13" t="n"/>
      <c r="C137" s="13" t="n"/>
      <c r="D137" s="13" t="n"/>
      <c r="E137" s="68" t="n"/>
      <c r="F137" s="69" t="n"/>
      <c r="G137" s="13" t="n"/>
      <c r="H137" s="13" t="n"/>
      <c r="I137" s="13" t="n"/>
      <c r="J137" s="13" t="n"/>
      <c r="K137" s="16">
        <f>IF($A137="","",1)</f>
        <v/>
      </c>
    </row>
    <row r="138">
      <c r="A138" s="13" t="n"/>
      <c r="B138" s="13" t="n"/>
      <c r="C138" s="13" t="n"/>
      <c r="D138" s="13" t="n"/>
      <c r="E138" s="68" t="n"/>
      <c r="F138" s="69" t="n"/>
      <c r="G138" s="13" t="n"/>
      <c r="H138" s="13" t="n"/>
      <c r="I138" s="13" t="n"/>
      <c r="J138" s="13" t="n"/>
      <c r="K138" s="16">
        <f>IF($A138="","",1)</f>
        <v/>
      </c>
    </row>
    <row r="139">
      <c r="A139" s="13" t="n"/>
      <c r="B139" s="13" t="n"/>
      <c r="C139" s="13" t="n"/>
      <c r="D139" s="13" t="n"/>
      <c r="E139" s="68" t="n"/>
      <c r="F139" s="69" t="n"/>
      <c r="G139" s="13" t="n"/>
      <c r="H139" s="13" t="n"/>
      <c r="I139" s="13" t="n"/>
      <c r="J139" s="13" t="n"/>
      <c r="K139" s="16">
        <f>IF($A139="","",1)</f>
        <v/>
      </c>
    </row>
    <row r="140">
      <c r="A140" s="13" t="n"/>
      <c r="B140" s="13" t="n"/>
      <c r="C140" s="13" t="n"/>
      <c r="D140" s="13" t="n"/>
      <c r="E140" s="68" t="n"/>
      <c r="F140" s="69" t="n"/>
      <c r="G140" s="13" t="n"/>
      <c r="H140" s="13" t="n"/>
      <c r="I140" s="13" t="n"/>
      <c r="J140" s="13" t="n"/>
      <c r="K140" s="16">
        <f>IF($A140="","",1)</f>
        <v/>
      </c>
    </row>
    <row r="141">
      <c r="A141" s="13" t="n"/>
      <c r="B141" s="13" t="n"/>
      <c r="C141" s="13" t="n"/>
      <c r="D141" s="13" t="n"/>
      <c r="E141" s="68" t="n"/>
      <c r="F141" s="69" t="n"/>
      <c r="G141" s="13" t="n"/>
      <c r="H141" s="13" t="n"/>
      <c r="I141" s="13" t="n"/>
      <c r="J141" s="13" t="n"/>
      <c r="K141" s="16">
        <f>IF($A141="","",1)</f>
        <v/>
      </c>
    </row>
    <row r="142">
      <c r="A142" s="13" t="n"/>
      <c r="B142" s="13" t="n"/>
      <c r="C142" s="13" t="n"/>
      <c r="D142" s="13" t="n"/>
      <c r="E142" s="68" t="n"/>
      <c r="F142" s="69" t="n"/>
      <c r="G142" s="13" t="n"/>
      <c r="H142" s="13" t="n"/>
      <c r="I142" s="13" t="n"/>
      <c r="J142" s="13" t="n"/>
      <c r="K142" s="16">
        <f>IF($A142="","",1)</f>
        <v/>
      </c>
    </row>
    <row r="143">
      <c r="A143" s="13" t="n"/>
      <c r="B143" s="13" t="n"/>
      <c r="C143" s="13" t="n"/>
      <c r="D143" s="13" t="n"/>
      <c r="E143" s="68" t="n"/>
      <c r="F143" s="69" t="n"/>
      <c r="G143" s="13" t="n"/>
      <c r="H143" s="13" t="n"/>
      <c r="I143" s="13" t="n"/>
      <c r="J143" s="13" t="n"/>
      <c r="K143" s="16">
        <f>IF($A143="","",1)</f>
        <v/>
      </c>
    </row>
    <row r="144">
      <c r="A144" s="13" t="n"/>
      <c r="B144" s="13" t="n"/>
      <c r="C144" s="13" t="n"/>
      <c r="D144" s="13" t="n"/>
      <c r="E144" s="68" t="n"/>
      <c r="F144" s="69" t="n"/>
      <c r="G144" s="13" t="n"/>
      <c r="H144" s="13" t="n"/>
      <c r="I144" s="13" t="n"/>
      <c r="J144" s="13" t="n"/>
      <c r="K144" s="16">
        <f>IF($A144="","",1)</f>
        <v/>
      </c>
    </row>
    <row r="145">
      <c r="A145" s="13" t="n"/>
      <c r="B145" s="13" t="n"/>
      <c r="C145" s="13" t="n"/>
      <c r="D145" s="13" t="n"/>
      <c r="E145" s="68" t="n"/>
      <c r="F145" s="69" t="n"/>
      <c r="G145" s="13" t="n"/>
      <c r="H145" s="13" t="n"/>
      <c r="I145" s="13" t="n"/>
      <c r="J145" s="13" t="n"/>
      <c r="K145" s="16">
        <f>IF($A145="","",1)</f>
        <v/>
      </c>
    </row>
    <row r="146">
      <c r="A146" s="13" t="n"/>
      <c r="B146" s="13" t="n"/>
      <c r="C146" s="13" t="n"/>
      <c r="D146" s="13" t="n"/>
      <c r="E146" s="68" t="n"/>
      <c r="F146" s="69" t="n"/>
      <c r="G146" s="13" t="n"/>
      <c r="H146" s="13" t="n"/>
      <c r="I146" s="13" t="n"/>
      <c r="J146" s="13" t="n"/>
      <c r="K146" s="16">
        <f>IF($A146="","",1)</f>
        <v/>
      </c>
    </row>
    <row r="147">
      <c r="A147" s="13" t="n"/>
      <c r="B147" s="13" t="n"/>
      <c r="C147" s="13" t="n"/>
      <c r="D147" s="13" t="n"/>
      <c r="E147" s="68" t="n"/>
      <c r="F147" s="69" t="n"/>
      <c r="G147" s="13" t="n"/>
      <c r="H147" s="13" t="n"/>
      <c r="I147" s="13" t="n"/>
      <c r="J147" s="13" t="n"/>
      <c r="K147" s="16">
        <f>IF($A147="","",1)</f>
        <v/>
      </c>
    </row>
    <row r="148">
      <c r="A148" s="13" t="n"/>
      <c r="B148" s="13" t="n"/>
      <c r="C148" s="13" t="n"/>
      <c r="D148" s="13" t="n"/>
      <c r="E148" s="68" t="n"/>
      <c r="F148" s="69" t="n"/>
      <c r="G148" s="13" t="n"/>
      <c r="H148" s="13" t="n"/>
      <c r="I148" s="13" t="n"/>
      <c r="J148" s="13" t="n"/>
      <c r="K148" s="16">
        <f>IF($A148="","",1)</f>
        <v/>
      </c>
    </row>
    <row r="149">
      <c r="A149" s="13" t="n"/>
      <c r="B149" s="13" t="n"/>
      <c r="C149" s="13" t="n"/>
      <c r="D149" s="13" t="n"/>
      <c r="E149" s="68" t="n"/>
      <c r="F149" s="69" t="n"/>
      <c r="G149" s="13" t="n"/>
      <c r="H149" s="13" t="n"/>
      <c r="I149" s="13" t="n"/>
      <c r="J149" s="13" t="n"/>
      <c r="K149" s="16">
        <f>IF($A149="","",1)</f>
        <v/>
      </c>
    </row>
    <row r="150">
      <c r="A150" s="13" t="n"/>
      <c r="B150" s="13" t="n"/>
      <c r="C150" s="13" t="n"/>
      <c r="D150" s="13" t="n"/>
      <c r="E150" s="68" t="n"/>
      <c r="F150" s="69" t="n"/>
      <c r="G150" s="13" t="n"/>
      <c r="H150" s="13" t="n"/>
      <c r="I150" s="13" t="n"/>
      <c r="J150" s="13" t="n"/>
      <c r="K150" s="16">
        <f>IF($A150="","",1)</f>
        <v/>
      </c>
    </row>
    <row r="151">
      <c r="A151" s="13" t="n"/>
      <c r="B151" s="13" t="n"/>
      <c r="C151" s="13" t="n"/>
      <c r="D151" s="13" t="n"/>
      <c r="E151" s="68" t="n"/>
      <c r="F151" s="69" t="n"/>
      <c r="G151" s="13" t="n"/>
      <c r="H151" s="13" t="n"/>
      <c r="I151" s="13" t="n"/>
      <c r="J151" s="13" t="n"/>
      <c r="K151" s="16">
        <f>IF($A151="","",1)</f>
        <v/>
      </c>
    </row>
    <row r="152">
      <c r="A152" s="13" t="n"/>
      <c r="B152" s="13" t="n"/>
      <c r="C152" s="13" t="n"/>
      <c r="D152" s="13" t="n"/>
      <c r="E152" s="68" t="n"/>
      <c r="F152" s="69" t="n"/>
      <c r="G152" s="13" t="n"/>
      <c r="H152" s="13" t="n"/>
      <c r="I152" s="13" t="n"/>
      <c r="J152" s="13" t="n"/>
      <c r="K152" s="16">
        <f>IF($A152="","",1)</f>
        <v/>
      </c>
    </row>
    <row r="153">
      <c r="A153" s="13" t="n"/>
      <c r="B153" s="13" t="n"/>
      <c r="C153" s="13" t="n"/>
      <c r="D153" s="13" t="n"/>
      <c r="E153" s="68" t="n"/>
      <c r="F153" s="69" t="n"/>
      <c r="G153" s="13" t="n"/>
      <c r="H153" s="13" t="n"/>
      <c r="I153" s="13" t="n"/>
      <c r="J153" s="13" t="n"/>
      <c r="K153" s="16">
        <f>IF($A153="","",1)</f>
        <v/>
      </c>
    </row>
    <row r="154">
      <c r="A154" s="13" t="n"/>
      <c r="B154" s="13" t="n"/>
      <c r="C154" s="13" t="n"/>
      <c r="D154" s="13" t="n"/>
      <c r="E154" s="68" t="n"/>
      <c r="F154" s="69" t="n"/>
      <c r="G154" s="13" t="n"/>
      <c r="H154" s="13" t="n"/>
      <c r="I154" s="13" t="n"/>
      <c r="J154" s="13" t="n"/>
      <c r="K154" s="16">
        <f>IF($A154="","",1)</f>
        <v/>
      </c>
    </row>
    <row r="155">
      <c r="A155" s="13" t="n"/>
      <c r="B155" s="13" t="n"/>
      <c r="C155" s="13" t="n"/>
      <c r="D155" s="13" t="n"/>
      <c r="E155" s="68" t="n"/>
      <c r="F155" s="69" t="n"/>
      <c r="G155" s="13" t="n"/>
      <c r="H155" s="13" t="n"/>
      <c r="I155" s="13" t="n"/>
      <c r="J155" s="13" t="n"/>
      <c r="K155" s="16">
        <f>IF($A155="","",1)</f>
        <v/>
      </c>
    </row>
    <row r="156">
      <c r="A156" s="13" t="n"/>
      <c r="B156" s="13" t="n"/>
      <c r="C156" s="13" t="n"/>
      <c r="D156" s="13" t="n"/>
      <c r="E156" s="68" t="n"/>
      <c r="F156" s="69" t="n"/>
      <c r="G156" s="13" t="n"/>
      <c r="H156" s="13" t="n"/>
      <c r="I156" s="13" t="n"/>
      <c r="J156" s="13" t="n"/>
      <c r="K156" s="16">
        <f>IF($A156="","",1)</f>
        <v/>
      </c>
    </row>
    <row r="157">
      <c r="A157" s="13" t="n"/>
      <c r="B157" s="13" t="n"/>
      <c r="C157" s="13" t="n"/>
      <c r="D157" s="13" t="n"/>
      <c r="E157" s="68" t="n"/>
      <c r="F157" s="69" t="n"/>
      <c r="G157" s="13" t="n"/>
      <c r="H157" s="13" t="n"/>
      <c r="I157" s="13" t="n"/>
      <c r="J157" s="13" t="n"/>
      <c r="K157" s="16">
        <f>IF($A157="","",1)</f>
        <v/>
      </c>
    </row>
    <row r="158">
      <c r="A158" s="13" t="n"/>
      <c r="B158" s="13" t="n"/>
      <c r="C158" s="13" t="n"/>
      <c r="D158" s="13" t="n"/>
      <c r="E158" s="68" t="n"/>
      <c r="F158" s="69" t="n"/>
      <c r="G158" s="13" t="n"/>
      <c r="H158" s="13" t="n"/>
      <c r="I158" s="13" t="n"/>
      <c r="J158" s="13" t="n"/>
      <c r="K158" s="16">
        <f>IF($A158="","",1)</f>
        <v/>
      </c>
    </row>
    <row r="159">
      <c r="A159" s="13" t="n"/>
      <c r="B159" s="13" t="n"/>
      <c r="C159" s="13" t="n"/>
      <c r="D159" s="13" t="n"/>
      <c r="E159" s="68" t="n"/>
      <c r="F159" s="69" t="n"/>
      <c r="G159" s="13" t="n"/>
      <c r="H159" s="13" t="n"/>
      <c r="I159" s="13" t="n"/>
      <c r="J159" s="13" t="n"/>
      <c r="K159" s="16">
        <f>IF($A159="","",1)</f>
        <v/>
      </c>
    </row>
    <row r="160">
      <c r="A160" s="13" t="n"/>
      <c r="B160" s="13" t="n"/>
      <c r="C160" s="13" t="n"/>
      <c r="D160" s="13" t="n"/>
      <c r="E160" s="68" t="n"/>
      <c r="F160" s="69" t="n"/>
      <c r="G160" s="13" t="n"/>
      <c r="H160" s="13" t="n"/>
      <c r="I160" s="13" t="n"/>
      <c r="J160" s="13" t="n"/>
      <c r="K160" s="16">
        <f>IF($A160="","",1)</f>
        <v/>
      </c>
    </row>
    <row r="161">
      <c r="A161" s="13" t="n"/>
      <c r="B161" s="13" t="n"/>
      <c r="C161" s="13" t="n"/>
      <c r="D161" s="13" t="n"/>
      <c r="E161" s="68" t="n"/>
      <c r="F161" s="69" t="n"/>
      <c r="G161" s="13" t="n"/>
      <c r="H161" s="13" t="n"/>
      <c r="I161" s="13" t="n"/>
      <c r="J161" s="13" t="n"/>
      <c r="K161" s="16">
        <f>IF($A161="","",1)</f>
        <v/>
      </c>
    </row>
    <row r="162">
      <c r="A162" s="13" t="n"/>
      <c r="B162" s="13" t="n"/>
      <c r="C162" s="13" t="n"/>
      <c r="D162" s="13" t="n"/>
      <c r="E162" s="68" t="n"/>
      <c r="F162" s="69" t="n"/>
      <c r="G162" s="13" t="n"/>
      <c r="H162" s="13" t="n"/>
      <c r="I162" s="13" t="n"/>
      <c r="J162" s="13" t="n"/>
      <c r="K162" s="16">
        <f>IF($A162="","",1)</f>
        <v/>
      </c>
    </row>
    <row r="163">
      <c r="A163" s="13" t="n"/>
      <c r="B163" s="13" t="n"/>
      <c r="C163" s="13" t="n"/>
      <c r="D163" s="13" t="n"/>
      <c r="E163" s="68" t="n"/>
      <c r="F163" s="69" t="n"/>
      <c r="G163" s="13" t="n"/>
      <c r="H163" s="13" t="n"/>
      <c r="I163" s="13" t="n"/>
      <c r="J163" s="13" t="n"/>
      <c r="K163" s="16">
        <f>IF($A163="","",1)</f>
        <v/>
      </c>
    </row>
    <row r="164">
      <c r="A164" s="13" t="n"/>
      <c r="B164" s="13" t="n"/>
      <c r="C164" s="13" t="n"/>
      <c r="D164" s="13" t="n"/>
      <c r="E164" s="68" t="n"/>
      <c r="F164" s="69" t="n"/>
      <c r="G164" s="13" t="n"/>
      <c r="H164" s="13" t="n"/>
      <c r="I164" s="13" t="n"/>
      <c r="J164" s="13" t="n"/>
      <c r="K164" s="16">
        <f>IF($A164="","",1)</f>
        <v/>
      </c>
    </row>
    <row r="165">
      <c r="A165" s="13" t="n"/>
      <c r="B165" s="13" t="n"/>
      <c r="C165" s="13" t="n"/>
      <c r="D165" s="13" t="n"/>
      <c r="E165" s="68" t="n"/>
      <c r="F165" s="69" t="n"/>
      <c r="G165" s="13" t="n"/>
      <c r="H165" s="13" t="n"/>
      <c r="I165" s="13" t="n"/>
      <c r="J165" s="13" t="n"/>
      <c r="K165" s="16">
        <f>IF($A165="","",1)</f>
        <v/>
      </c>
    </row>
    <row r="166">
      <c r="A166" s="13" t="n"/>
      <c r="B166" s="13" t="n"/>
      <c r="C166" s="13" t="n"/>
      <c r="D166" s="13" t="n"/>
      <c r="E166" s="68" t="n"/>
      <c r="F166" s="69" t="n"/>
      <c r="G166" s="13" t="n"/>
      <c r="H166" s="13" t="n"/>
      <c r="I166" s="13" t="n"/>
      <c r="J166" s="13" t="n"/>
      <c r="K166" s="16">
        <f>IF($A166="","",1)</f>
        <v/>
      </c>
    </row>
    <row r="167">
      <c r="A167" s="13" t="n"/>
      <c r="B167" s="13" t="n"/>
      <c r="C167" s="13" t="n"/>
      <c r="D167" s="13" t="n"/>
      <c r="E167" s="68" t="n"/>
      <c r="F167" s="69" t="n"/>
      <c r="G167" s="13" t="n"/>
      <c r="H167" s="13" t="n"/>
      <c r="I167" s="13" t="n"/>
      <c r="J167" s="13" t="n"/>
      <c r="K167" s="16">
        <f>IF($A167="","",1)</f>
        <v/>
      </c>
    </row>
    <row r="168">
      <c r="A168" s="13" t="n"/>
      <c r="B168" s="13" t="n"/>
      <c r="C168" s="13" t="n"/>
      <c r="D168" s="13" t="n"/>
      <c r="E168" s="68" t="n"/>
      <c r="F168" s="69" t="n"/>
      <c r="G168" s="13" t="n"/>
      <c r="H168" s="13" t="n"/>
      <c r="I168" s="13" t="n"/>
      <c r="J168" s="13" t="n"/>
      <c r="K168" s="16">
        <f>IF($A168="","",1)</f>
        <v/>
      </c>
    </row>
    <row r="169">
      <c r="A169" s="13" t="n"/>
      <c r="B169" s="13" t="n"/>
      <c r="C169" s="13" t="n"/>
      <c r="D169" s="13" t="n"/>
      <c r="E169" s="68" t="n"/>
      <c r="F169" s="69" t="n"/>
      <c r="G169" s="13" t="n"/>
      <c r="H169" s="13" t="n"/>
      <c r="I169" s="13" t="n"/>
      <c r="J169" s="13" t="n"/>
      <c r="K169" s="16">
        <f>IF($A169="","",1)</f>
        <v/>
      </c>
    </row>
    <row r="170">
      <c r="A170" s="13" t="n"/>
      <c r="B170" s="13" t="n"/>
      <c r="C170" s="13" t="n"/>
      <c r="D170" s="13" t="n"/>
      <c r="E170" s="68" t="n"/>
      <c r="F170" s="69" t="n"/>
      <c r="G170" s="13" t="n"/>
      <c r="H170" s="13" t="n"/>
      <c r="I170" s="13" t="n"/>
      <c r="J170" s="13" t="n"/>
      <c r="K170" s="16">
        <f>IF($A170="","",1)</f>
        <v/>
      </c>
    </row>
    <row r="171">
      <c r="A171" s="13" t="n"/>
      <c r="B171" s="13" t="n"/>
      <c r="C171" s="13" t="n"/>
      <c r="D171" s="13" t="n"/>
      <c r="E171" s="68" t="n"/>
      <c r="F171" s="69" t="n"/>
      <c r="G171" s="13" t="n"/>
      <c r="H171" s="13" t="n"/>
      <c r="I171" s="13" t="n"/>
      <c r="J171" s="13" t="n"/>
      <c r="K171" s="16">
        <f>IF($A171="","",1)</f>
        <v/>
      </c>
    </row>
    <row r="172">
      <c r="A172" s="13" t="n"/>
      <c r="B172" s="13" t="n"/>
      <c r="C172" s="13" t="n"/>
      <c r="D172" s="13" t="n"/>
      <c r="E172" s="68" t="n"/>
      <c r="F172" s="69" t="n"/>
      <c r="G172" s="13" t="n"/>
      <c r="H172" s="13" t="n"/>
      <c r="I172" s="13" t="n"/>
      <c r="J172" s="13" t="n"/>
      <c r="K172" s="16">
        <f>IF($A172="","",1)</f>
        <v/>
      </c>
    </row>
    <row r="173">
      <c r="A173" s="13" t="n"/>
      <c r="B173" s="13" t="n"/>
      <c r="C173" s="13" t="n"/>
      <c r="D173" s="13" t="n"/>
      <c r="E173" s="68" t="n"/>
      <c r="F173" s="69" t="n"/>
      <c r="G173" s="13" t="n"/>
      <c r="H173" s="13" t="n"/>
      <c r="I173" s="13" t="n"/>
      <c r="J173" s="13" t="n"/>
      <c r="K173" s="16">
        <f>IF($A173="","",1)</f>
        <v/>
      </c>
    </row>
    <row r="174">
      <c r="A174" s="13" t="n"/>
      <c r="B174" s="13" t="n"/>
      <c r="C174" s="13" t="n"/>
      <c r="D174" s="13" t="n"/>
      <c r="E174" s="68" t="n"/>
      <c r="F174" s="69" t="n"/>
      <c r="G174" s="13" t="n"/>
      <c r="H174" s="13" t="n"/>
      <c r="I174" s="13" t="n"/>
      <c r="J174" s="13" t="n"/>
      <c r="K174" s="16">
        <f>IF($A174="","",1)</f>
        <v/>
      </c>
    </row>
    <row r="175">
      <c r="A175" s="13" t="n"/>
      <c r="B175" s="13" t="n"/>
      <c r="C175" s="13" t="n"/>
      <c r="D175" s="13" t="n"/>
      <c r="E175" s="68" t="n"/>
      <c r="F175" s="69" t="n"/>
      <c r="G175" s="13" t="n"/>
      <c r="H175" s="13" t="n"/>
      <c r="I175" s="13" t="n"/>
      <c r="J175" s="13" t="n"/>
      <c r="K175" s="16">
        <f>IF($A175="","",1)</f>
        <v/>
      </c>
    </row>
    <row r="176">
      <c r="A176" s="13" t="n"/>
      <c r="B176" s="13" t="n"/>
      <c r="C176" s="13" t="n"/>
      <c r="D176" s="13" t="n"/>
      <c r="E176" s="68" t="n"/>
      <c r="F176" s="69" t="n"/>
      <c r="G176" s="13" t="n"/>
      <c r="H176" s="13" t="n"/>
      <c r="I176" s="13" t="n"/>
      <c r="J176" s="13" t="n"/>
      <c r="K176" s="16">
        <f>IF($A176="","",1)</f>
        <v/>
      </c>
    </row>
    <row r="177">
      <c r="A177" s="13" t="n"/>
      <c r="B177" s="13" t="n"/>
      <c r="C177" s="13" t="n"/>
      <c r="D177" s="13" t="n"/>
      <c r="E177" s="68" t="n"/>
      <c r="F177" s="69" t="n"/>
      <c r="G177" s="13" t="n"/>
      <c r="H177" s="13" t="n"/>
      <c r="I177" s="13" t="n"/>
      <c r="J177" s="13" t="n"/>
      <c r="K177" s="16">
        <f>IF($A177="","",1)</f>
        <v/>
      </c>
    </row>
    <row r="178">
      <c r="A178" s="13" t="n"/>
      <c r="B178" s="13" t="n"/>
      <c r="C178" s="13" t="n"/>
      <c r="D178" s="13" t="n"/>
      <c r="E178" s="68" t="n"/>
      <c r="F178" s="69" t="n"/>
      <c r="G178" s="13" t="n"/>
      <c r="H178" s="13" t="n"/>
      <c r="I178" s="13" t="n"/>
      <c r="J178" s="13" t="n"/>
      <c r="K178" s="16">
        <f>IF($A178="","",1)</f>
        <v/>
      </c>
    </row>
    <row r="179">
      <c r="A179" s="13" t="n"/>
      <c r="B179" s="13" t="n"/>
      <c r="C179" s="13" t="n"/>
      <c r="D179" s="13" t="n"/>
      <c r="E179" s="68" t="n"/>
      <c r="F179" s="69" t="n"/>
      <c r="G179" s="13" t="n"/>
      <c r="H179" s="13" t="n"/>
      <c r="I179" s="13" t="n"/>
      <c r="J179" s="13" t="n"/>
      <c r="K179" s="16">
        <f>IF($A179="","",1)</f>
        <v/>
      </c>
    </row>
    <row r="180">
      <c r="A180" s="13" t="n"/>
      <c r="B180" s="13" t="n"/>
      <c r="C180" s="13" t="n"/>
      <c r="D180" s="13" t="n"/>
      <c r="E180" s="68" t="n"/>
      <c r="F180" s="69" t="n"/>
      <c r="G180" s="13" t="n"/>
      <c r="H180" s="13" t="n"/>
      <c r="I180" s="13" t="n"/>
      <c r="J180" s="13" t="n"/>
      <c r="K180" s="16">
        <f>IF($A180="","",1)</f>
        <v/>
      </c>
    </row>
    <row r="181">
      <c r="A181" s="13" t="n"/>
      <c r="B181" s="13" t="n"/>
      <c r="C181" s="13" t="n"/>
      <c r="D181" s="13" t="n"/>
      <c r="E181" s="68" t="n"/>
      <c r="F181" s="69" t="n"/>
      <c r="G181" s="13" t="n"/>
      <c r="H181" s="13" t="n"/>
      <c r="I181" s="13" t="n"/>
      <c r="J181" s="13" t="n"/>
      <c r="K181" s="16">
        <f>IF($A181="","",1)</f>
        <v/>
      </c>
    </row>
    <row r="182">
      <c r="A182" s="13" t="n"/>
      <c r="B182" s="13" t="n"/>
      <c r="C182" s="13" t="n"/>
      <c r="D182" s="13" t="n"/>
      <c r="E182" s="68" t="n"/>
      <c r="F182" s="69" t="n"/>
      <c r="G182" s="13" t="n"/>
      <c r="H182" s="13" t="n"/>
      <c r="I182" s="13" t="n"/>
      <c r="J182" s="13" t="n"/>
      <c r="K182" s="16">
        <f>IF($A182="","",1)</f>
        <v/>
      </c>
    </row>
    <row r="183">
      <c r="A183" s="13" t="n"/>
      <c r="B183" s="13" t="n"/>
      <c r="C183" s="13" t="n"/>
      <c r="D183" s="13" t="n"/>
      <c r="E183" s="68" t="n"/>
      <c r="F183" s="69" t="n"/>
      <c r="G183" s="13" t="n"/>
      <c r="H183" s="13" t="n"/>
      <c r="I183" s="13" t="n"/>
      <c r="J183" s="13" t="n"/>
      <c r="K183" s="16">
        <f>IF($A183="","",1)</f>
        <v/>
      </c>
    </row>
    <row r="184">
      <c r="A184" s="13" t="n"/>
      <c r="B184" s="13" t="n"/>
      <c r="C184" s="13" t="n"/>
      <c r="D184" s="13" t="n"/>
      <c r="E184" s="68" t="n"/>
      <c r="F184" s="69" t="n"/>
      <c r="G184" s="13" t="n"/>
      <c r="H184" s="13" t="n"/>
      <c r="I184" s="13" t="n"/>
      <c r="J184" s="13" t="n"/>
      <c r="K184" s="16">
        <f>IF($A184="","",1)</f>
        <v/>
      </c>
    </row>
    <row r="185">
      <c r="A185" s="13" t="n"/>
      <c r="B185" s="13" t="n"/>
      <c r="C185" s="13" t="n"/>
      <c r="D185" s="13" t="n"/>
      <c r="E185" s="68" t="n"/>
      <c r="F185" s="69" t="n"/>
      <c r="G185" s="13" t="n"/>
      <c r="H185" s="13" t="n"/>
      <c r="I185" s="13" t="n"/>
      <c r="J185" s="13" t="n"/>
      <c r="K185" s="16">
        <f>IF($A185="","",1)</f>
        <v/>
      </c>
    </row>
    <row r="186">
      <c r="A186" s="13" t="n"/>
      <c r="B186" s="13" t="n"/>
      <c r="C186" s="13" t="n"/>
      <c r="D186" s="13" t="n"/>
      <c r="E186" s="68" t="n"/>
      <c r="F186" s="69" t="n"/>
      <c r="G186" s="13" t="n"/>
      <c r="H186" s="13" t="n"/>
      <c r="I186" s="13" t="n"/>
      <c r="J186" s="13" t="n"/>
      <c r="K186" s="16">
        <f>IF($A186="","",1)</f>
        <v/>
      </c>
    </row>
    <row r="187">
      <c r="A187" s="13" t="n"/>
      <c r="B187" s="13" t="n"/>
      <c r="C187" s="13" t="n"/>
      <c r="D187" s="13" t="n"/>
      <c r="E187" s="68" t="n"/>
      <c r="F187" s="69" t="n"/>
      <c r="G187" s="13" t="n"/>
      <c r="H187" s="13" t="n"/>
      <c r="I187" s="13" t="n"/>
      <c r="J187" s="13" t="n"/>
      <c r="K187" s="16">
        <f>IF($A187="","",1)</f>
        <v/>
      </c>
    </row>
    <row r="188">
      <c r="A188" s="13" t="n"/>
      <c r="B188" s="13" t="n"/>
      <c r="C188" s="13" t="n"/>
      <c r="D188" s="13" t="n"/>
      <c r="E188" s="68" t="n"/>
      <c r="F188" s="69" t="n"/>
      <c r="G188" s="13" t="n"/>
      <c r="H188" s="13" t="n"/>
      <c r="I188" s="13" t="n"/>
      <c r="J188" s="13" t="n"/>
      <c r="K188" s="16">
        <f>IF($A188="","",1)</f>
        <v/>
      </c>
    </row>
    <row r="189">
      <c r="A189" s="13" t="n"/>
      <c r="B189" s="13" t="n"/>
      <c r="C189" s="13" t="n"/>
      <c r="D189" s="13" t="n"/>
      <c r="E189" s="68" t="n"/>
      <c r="F189" s="69" t="n"/>
      <c r="G189" s="13" t="n"/>
      <c r="H189" s="13" t="n"/>
      <c r="I189" s="13" t="n"/>
      <c r="J189" s="13" t="n"/>
      <c r="K189" s="16">
        <f>IF($A189="","",1)</f>
        <v/>
      </c>
    </row>
    <row r="190">
      <c r="A190" s="13" t="n"/>
      <c r="B190" s="13" t="n"/>
      <c r="C190" s="13" t="n"/>
      <c r="D190" s="13" t="n"/>
      <c r="E190" s="68" t="n"/>
      <c r="F190" s="69" t="n"/>
      <c r="G190" s="13" t="n"/>
      <c r="H190" s="13" t="n"/>
      <c r="I190" s="13" t="n"/>
      <c r="J190" s="13" t="n"/>
      <c r="K190" s="16">
        <f>IF($A190="","",1)</f>
        <v/>
      </c>
    </row>
    <row r="191">
      <c r="A191" s="13" t="n"/>
      <c r="B191" s="13" t="n"/>
      <c r="C191" s="13" t="n"/>
      <c r="D191" s="13" t="n"/>
      <c r="E191" s="68" t="n"/>
      <c r="F191" s="69" t="n"/>
      <c r="G191" s="13" t="n"/>
      <c r="H191" s="13" t="n"/>
      <c r="I191" s="13" t="n"/>
      <c r="J191" s="13" t="n"/>
      <c r="K191" s="16">
        <f>IF($A191="","",1)</f>
        <v/>
      </c>
    </row>
    <row r="192">
      <c r="A192" s="13" t="n"/>
      <c r="B192" s="13" t="n"/>
      <c r="C192" s="13" t="n"/>
      <c r="D192" s="13" t="n"/>
      <c r="E192" s="68" t="n"/>
      <c r="F192" s="69" t="n"/>
      <c r="G192" s="13" t="n"/>
      <c r="H192" s="13" t="n"/>
      <c r="I192" s="13" t="n"/>
      <c r="J192" s="13" t="n"/>
      <c r="K192" s="16">
        <f>IF($A192="","",1)</f>
        <v/>
      </c>
    </row>
    <row r="193">
      <c r="A193" s="13" t="n"/>
      <c r="B193" s="13" t="n"/>
      <c r="C193" s="13" t="n"/>
      <c r="D193" s="13" t="n"/>
      <c r="E193" s="68" t="n"/>
      <c r="F193" s="69" t="n"/>
      <c r="G193" s="13" t="n"/>
      <c r="H193" s="13" t="n"/>
      <c r="I193" s="13" t="n"/>
      <c r="J193" s="13" t="n"/>
      <c r="K193" s="16">
        <f>IF($A193="","",1)</f>
        <v/>
      </c>
    </row>
    <row r="194">
      <c r="A194" s="13" t="n"/>
      <c r="B194" s="13" t="n"/>
      <c r="C194" s="13" t="n"/>
      <c r="D194" s="13" t="n"/>
      <c r="E194" s="68" t="n"/>
      <c r="F194" s="69" t="n"/>
      <c r="G194" s="13" t="n"/>
      <c r="H194" s="13" t="n"/>
      <c r="I194" s="13" t="n"/>
      <c r="J194" s="13" t="n"/>
      <c r="K194" s="16">
        <f>IF($A194="","",1)</f>
        <v/>
      </c>
    </row>
    <row r="195">
      <c r="A195" s="13" t="n"/>
      <c r="B195" s="13" t="n"/>
      <c r="C195" s="13" t="n"/>
      <c r="D195" s="13" t="n"/>
      <c r="E195" s="68" t="n"/>
      <c r="F195" s="69" t="n"/>
      <c r="G195" s="13" t="n"/>
      <c r="H195" s="13" t="n"/>
      <c r="I195" s="13" t="n"/>
      <c r="J195" s="13" t="n"/>
      <c r="K195" s="16">
        <f>IF($A195="","",1)</f>
        <v/>
      </c>
    </row>
    <row r="196">
      <c r="A196" s="13" t="n"/>
      <c r="B196" s="13" t="n"/>
      <c r="C196" s="13" t="n"/>
      <c r="D196" s="13" t="n"/>
      <c r="E196" s="68" t="n"/>
      <c r="F196" s="69" t="n"/>
      <c r="G196" s="13" t="n"/>
      <c r="H196" s="13" t="n"/>
      <c r="I196" s="13" t="n"/>
      <c r="J196" s="13" t="n"/>
      <c r="K196" s="16">
        <f>IF($A196="","",1)</f>
        <v/>
      </c>
    </row>
    <row r="197">
      <c r="A197" s="13" t="n"/>
      <c r="B197" s="13" t="n"/>
      <c r="C197" s="13" t="n"/>
      <c r="D197" s="13" t="n"/>
      <c r="E197" s="68" t="n"/>
      <c r="F197" s="69" t="n"/>
      <c r="G197" s="13" t="n"/>
      <c r="H197" s="13" t="n"/>
      <c r="I197" s="13" t="n"/>
      <c r="J197" s="13" t="n"/>
      <c r="K197" s="16">
        <f>IF($A197="","",1)</f>
        <v/>
      </c>
    </row>
    <row r="198">
      <c r="A198" s="13" t="n"/>
      <c r="B198" s="13" t="n"/>
      <c r="C198" s="13" t="n"/>
      <c r="D198" s="13" t="n"/>
      <c r="E198" s="68" t="n"/>
      <c r="F198" s="69" t="n"/>
      <c r="G198" s="13" t="n"/>
      <c r="H198" s="13" t="n"/>
      <c r="I198" s="13" t="n"/>
      <c r="J198" s="13" t="n"/>
      <c r="K198" s="16">
        <f>IF($A198="","",1)</f>
        <v/>
      </c>
    </row>
    <row r="199">
      <c r="A199" s="13" t="n"/>
      <c r="B199" s="13" t="n"/>
      <c r="C199" s="13" t="n"/>
      <c r="D199" s="13" t="n"/>
      <c r="E199" s="68" t="n"/>
      <c r="F199" s="69" t="n"/>
      <c r="G199" s="13" t="n"/>
      <c r="H199" s="13" t="n"/>
      <c r="I199" s="13" t="n"/>
      <c r="J199" s="13" t="n"/>
      <c r="K199" s="16">
        <f>IF($A199="","",1)</f>
        <v/>
      </c>
    </row>
    <row r="200">
      <c r="A200" s="13" t="n"/>
      <c r="B200" s="13" t="n"/>
      <c r="C200" s="13" t="n"/>
      <c r="D200" s="13" t="n"/>
      <c r="E200" s="68" t="n"/>
      <c r="F200" s="69" t="n"/>
      <c r="G200" s="13" t="n"/>
      <c r="H200" s="13" t="n"/>
      <c r="I200" s="13" t="n"/>
      <c r="J200" s="13" t="n"/>
      <c r="K200" s="16">
        <f>IF($A200="","",1)</f>
        <v/>
      </c>
    </row>
    <row r="201">
      <c r="A201" s="13" t="n"/>
      <c r="B201" s="13" t="n"/>
      <c r="C201" s="13" t="n"/>
      <c r="D201" s="13" t="n"/>
      <c r="E201" s="68" t="n"/>
      <c r="F201" s="69" t="n"/>
      <c r="G201" s="13" t="n"/>
      <c r="H201" s="13" t="n"/>
      <c r="I201" s="13" t="n"/>
      <c r="J201" s="13" t="n"/>
      <c r="K201" s="16">
        <f>IF($A201="","",1)</f>
        <v/>
      </c>
    </row>
    <row r="202">
      <c r="A202" s="13" t="n"/>
      <c r="B202" s="13" t="n"/>
      <c r="C202" s="13" t="n"/>
      <c r="D202" s="13" t="n"/>
      <c r="E202" s="68" t="n"/>
      <c r="F202" s="69" t="n"/>
      <c r="G202" s="13" t="n"/>
      <c r="H202" s="13" t="n"/>
      <c r="I202" s="13" t="n"/>
      <c r="J202" s="13" t="n"/>
      <c r="K202" s="16">
        <f>IF($A202="","",1)</f>
        <v/>
      </c>
    </row>
    <row r="203">
      <c r="A203" s="13" t="n"/>
      <c r="B203" s="13" t="n"/>
      <c r="C203" s="13" t="n"/>
      <c r="D203" s="13" t="n"/>
      <c r="E203" s="68" t="n"/>
      <c r="F203" s="69" t="n"/>
      <c r="G203" s="13" t="n"/>
      <c r="H203" s="13" t="n"/>
      <c r="I203" s="13" t="n"/>
      <c r="J203" s="13" t="n"/>
      <c r="K203" s="16">
        <f>IF($A203="","",1)</f>
        <v/>
      </c>
    </row>
    <row r="204">
      <c r="A204" s="13" t="n"/>
      <c r="B204" s="13" t="n"/>
      <c r="C204" s="13" t="n"/>
      <c r="D204" s="13" t="n"/>
      <c r="E204" s="68" t="n"/>
      <c r="F204" s="69" t="n"/>
      <c r="G204" s="13" t="n"/>
      <c r="H204" s="13" t="n"/>
      <c r="I204" s="13" t="n"/>
      <c r="J204" s="13" t="n"/>
      <c r="K204" s="16">
        <f>IF($A204="","",1)</f>
        <v/>
      </c>
    </row>
    <row r="205">
      <c r="A205" s="13" t="n"/>
      <c r="B205" s="13" t="n"/>
      <c r="C205" s="13" t="n"/>
      <c r="D205" s="13" t="n"/>
      <c r="E205" s="68" t="n"/>
      <c r="F205" s="69" t="n"/>
      <c r="G205" s="13" t="n"/>
      <c r="H205" s="13" t="n"/>
      <c r="I205" s="13" t="n"/>
      <c r="J205" s="13" t="n"/>
      <c r="K205" s="16">
        <f>IF($A205="","",1)</f>
        <v/>
      </c>
    </row>
    <row r="206">
      <c r="A206" s="13" t="n"/>
      <c r="B206" s="13" t="n"/>
      <c r="C206" s="13" t="n"/>
      <c r="D206" s="13" t="n"/>
      <c r="E206" s="68" t="n"/>
      <c r="F206" s="69" t="n"/>
      <c r="G206" s="13" t="n"/>
      <c r="H206" s="13" t="n"/>
      <c r="I206" s="13" t="n"/>
      <c r="J206" s="13" t="n"/>
      <c r="K206" s="16">
        <f>IF($A206="","",1)</f>
        <v/>
      </c>
    </row>
    <row r="207">
      <c r="A207" s="13" t="n"/>
      <c r="B207" s="13" t="n"/>
      <c r="C207" s="13" t="n"/>
      <c r="D207" s="13" t="n"/>
      <c r="E207" s="68" t="n"/>
      <c r="F207" s="69" t="n"/>
      <c r="G207" s="13" t="n"/>
      <c r="H207" s="13" t="n"/>
      <c r="I207" s="13" t="n"/>
      <c r="J207" s="13" t="n"/>
      <c r="K207" s="16">
        <f>IF($A207="","",1)</f>
        <v/>
      </c>
    </row>
    <row r="208">
      <c r="A208" s="13" t="n"/>
      <c r="B208" s="13" t="n"/>
      <c r="C208" s="13" t="n"/>
      <c r="D208" s="13" t="n"/>
      <c r="E208" s="68" t="n"/>
      <c r="F208" s="69" t="n"/>
      <c r="G208" s="13" t="n"/>
      <c r="H208" s="13" t="n"/>
      <c r="I208" s="13" t="n"/>
      <c r="J208" s="13" t="n"/>
      <c r="K208" s="16">
        <f>IF($A208="","",1)</f>
        <v/>
      </c>
    </row>
    <row r="209">
      <c r="A209" s="13" t="n"/>
      <c r="B209" s="13" t="n"/>
      <c r="C209" s="13" t="n"/>
      <c r="D209" s="13" t="n"/>
      <c r="E209" s="68" t="n"/>
      <c r="F209" s="69" t="n"/>
      <c r="G209" s="13" t="n"/>
      <c r="H209" s="13" t="n"/>
      <c r="I209" s="13" t="n"/>
      <c r="J209" s="13" t="n"/>
      <c r="K209" s="16">
        <f>IF($A209="","",1)</f>
        <v/>
      </c>
    </row>
    <row r="210">
      <c r="A210" s="13" t="n"/>
      <c r="B210" s="13" t="n"/>
      <c r="C210" s="13" t="n"/>
      <c r="D210" s="13" t="n"/>
      <c r="E210" s="68" t="n"/>
      <c r="F210" s="69" t="n"/>
      <c r="G210" s="13" t="n"/>
      <c r="H210" s="13" t="n"/>
      <c r="I210" s="13" t="n"/>
      <c r="J210" s="13" t="n"/>
      <c r="K210" s="16">
        <f>IF($A210="","",1)</f>
        <v/>
      </c>
    </row>
    <row r="211">
      <c r="A211" s="13" t="n"/>
      <c r="B211" s="13" t="n"/>
      <c r="C211" s="13" t="n"/>
      <c r="D211" s="13" t="n"/>
      <c r="E211" s="68" t="n"/>
      <c r="F211" s="69" t="n"/>
      <c r="G211" s="13" t="n"/>
      <c r="H211" s="13" t="n"/>
      <c r="I211" s="13" t="n"/>
      <c r="J211" s="13" t="n"/>
      <c r="K211" s="16">
        <f>IF($A211="","",1)</f>
        <v/>
      </c>
    </row>
    <row r="212">
      <c r="A212" s="13" t="n"/>
      <c r="B212" s="13" t="n"/>
      <c r="C212" s="13" t="n"/>
      <c r="D212" s="13" t="n"/>
      <c r="E212" s="68" t="n"/>
      <c r="F212" s="69" t="n"/>
      <c r="G212" s="13" t="n"/>
      <c r="H212" s="13" t="n"/>
      <c r="I212" s="13" t="n"/>
      <c r="J212" s="13" t="n"/>
      <c r="K212" s="16">
        <f>IF($A212="","",1)</f>
        <v/>
      </c>
    </row>
    <row r="213">
      <c r="A213" s="13" t="n"/>
      <c r="B213" s="13" t="n"/>
      <c r="C213" s="13" t="n"/>
      <c r="D213" s="13" t="n"/>
      <c r="E213" s="68" t="n"/>
      <c r="F213" s="69" t="n"/>
      <c r="G213" s="13" t="n"/>
      <c r="H213" s="13" t="n"/>
      <c r="I213" s="13" t="n"/>
      <c r="J213" s="13" t="n"/>
      <c r="K213" s="16">
        <f>IF($A213="","",1)</f>
        <v/>
      </c>
    </row>
    <row r="214">
      <c r="A214" s="13" t="n"/>
      <c r="B214" s="13" t="n"/>
      <c r="C214" s="13" t="n"/>
      <c r="D214" s="13" t="n"/>
      <c r="E214" s="68" t="n"/>
      <c r="F214" s="69" t="n"/>
      <c r="G214" s="13" t="n"/>
      <c r="H214" s="13" t="n"/>
      <c r="I214" s="13" t="n"/>
      <c r="J214" s="13" t="n"/>
      <c r="K214" s="16">
        <f>IF($A214="","",1)</f>
        <v/>
      </c>
    </row>
    <row r="215">
      <c r="A215" s="13" t="n"/>
      <c r="B215" s="13" t="n"/>
      <c r="C215" s="13" t="n"/>
      <c r="D215" s="13" t="n"/>
      <c r="E215" s="68" t="n"/>
      <c r="F215" s="69" t="n"/>
      <c r="G215" s="13" t="n"/>
      <c r="H215" s="13" t="n"/>
      <c r="I215" s="13" t="n"/>
      <c r="J215" s="13" t="n"/>
      <c r="K215" s="16">
        <f>IF($A215="","",1)</f>
        <v/>
      </c>
    </row>
    <row r="216">
      <c r="A216" s="13" t="n"/>
      <c r="B216" s="13" t="n"/>
      <c r="C216" s="13" t="n"/>
      <c r="D216" s="13" t="n"/>
      <c r="E216" s="68" t="n"/>
      <c r="F216" s="69" t="n"/>
      <c r="G216" s="13" t="n"/>
      <c r="H216" s="13" t="n"/>
      <c r="I216" s="13" t="n"/>
      <c r="J216" s="13" t="n"/>
      <c r="K216" s="16">
        <f>IF($A216="","",1)</f>
        <v/>
      </c>
    </row>
    <row r="217">
      <c r="A217" s="13" t="n"/>
      <c r="B217" s="13" t="n"/>
      <c r="C217" s="13" t="n"/>
      <c r="D217" s="13" t="n"/>
      <c r="E217" s="68" t="n"/>
      <c r="F217" s="69" t="n"/>
      <c r="G217" s="13" t="n"/>
      <c r="H217" s="13" t="n"/>
      <c r="I217" s="13" t="n"/>
      <c r="J217" s="13" t="n"/>
      <c r="K217" s="16">
        <f>IF($A217="","",1)</f>
        <v/>
      </c>
    </row>
    <row r="218">
      <c r="A218" s="13" t="n"/>
      <c r="B218" s="13" t="n"/>
      <c r="C218" s="13" t="n"/>
      <c r="D218" s="13" t="n"/>
      <c r="E218" s="68" t="n"/>
      <c r="F218" s="69" t="n"/>
      <c r="G218" s="13" t="n"/>
      <c r="H218" s="13" t="n"/>
      <c r="I218" s="13" t="n"/>
      <c r="J218" s="13" t="n"/>
      <c r="K218" s="16">
        <f>IF($A218="","",1)</f>
        <v/>
      </c>
    </row>
    <row r="219">
      <c r="A219" s="13" t="n"/>
      <c r="B219" s="13" t="n"/>
      <c r="C219" s="13" t="n"/>
      <c r="D219" s="13" t="n"/>
      <c r="E219" s="68" t="n"/>
      <c r="F219" s="69" t="n"/>
      <c r="G219" s="13" t="n"/>
      <c r="H219" s="13" t="n"/>
      <c r="I219" s="13" t="n"/>
      <c r="J219" s="13" t="n"/>
      <c r="K219" s="16">
        <f>IF($A219="","",1)</f>
        <v/>
      </c>
    </row>
    <row r="220">
      <c r="A220" s="13" t="n"/>
      <c r="B220" s="13" t="n"/>
      <c r="C220" s="13" t="n"/>
      <c r="D220" s="13" t="n"/>
      <c r="E220" s="68" t="n"/>
      <c r="F220" s="69" t="n"/>
      <c r="G220" s="13" t="n"/>
      <c r="H220" s="13" t="n"/>
      <c r="I220" s="13" t="n"/>
      <c r="J220" s="13" t="n"/>
      <c r="K220" s="16">
        <f>IF($A220="","",1)</f>
        <v/>
      </c>
    </row>
    <row r="221">
      <c r="A221" s="13" t="n"/>
      <c r="B221" s="13" t="n"/>
      <c r="C221" s="13" t="n"/>
      <c r="D221" s="13" t="n"/>
      <c r="E221" s="68" t="n"/>
      <c r="F221" s="69" t="n"/>
      <c r="G221" s="13" t="n"/>
      <c r="H221" s="13" t="n"/>
      <c r="I221" s="13" t="n"/>
      <c r="J221" s="13" t="n"/>
      <c r="K221" s="16">
        <f>IF($A221="","",1)</f>
        <v/>
      </c>
    </row>
    <row r="222">
      <c r="A222" s="13" t="n"/>
      <c r="B222" s="13" t="n"/>
      <c r="C222" s="13" t="n"/>
      <c r="D222" s="13" t="n"/>
      <c r="E222" s="68" t="n"/>
      <c r="F222" s="69" t="n"/>
      <c r="G222" s="13" t="n"/>
      <c r="H222" s="13" t="n"/>
      <c r="I222" s="13" t="n"/>
      <c r="J222" s="13" t="n"/>
      <c r="K222" s="16">
        <f>IF($A222="","",1)</f>
        <v/>
      </c>
    </row>
    <row r="223">
      <c r="A223" s="13" t="n"/>
      <c r="B223" s="13" t="n"/>
      <c r="C223" s="13" t="n"/>
      <c r="D223" s="13" t="n"/>
      <c r="E223" s="68" t="n"/>
      <c r="F223" s="69" t="n"/>
      <c r="G223" s="13" t="n"/>
      <c r="H223" s="13" t="n"/>
      <c r="I223" s="13" t="n"/>
      <c r="J223" s="13" t="n"/>
      <c r="K223" s="16">
        <f>IF($A223="","",1)</f>
        <v/>
      </c>
    </row>
    <row r="224">
      <c r="A224" s="13" t="n"/>
      <c r="B224" s="13" t="n"/>
      <c r="C224" s="13" t="n"/>
      <c r="D224" s="13" t="n"/>
      <c r="E224" s="68" t="n"/>
      <c r="F224" s="69" t="n"/>
      <c r="G224" s="13" t="n"/>
      <c r="H224" s="13" t="n"/>
      <c r="I224" s="13" t="n"/>
      <c r="J224" s="13" t="n"/>
      <c r="K224" s="16">
        <f>IF($A224="","",1)</f>
        <v/>
      </c>
    </row>
    <row r="225">
      <c r="A225" s="13" t="n"/>
      <c r="B225" s="13" t="n"/>
      <c r="C225" s="13" t="n"/>
      <c r="D225" s="13" t="n"/>
      <c r="E225" s="68" t="n"/>
      <c r="F225" s="69" t="n"/>
      <c r="G225" s="13" t="n"/>
      <c r="H225" s="13" t="n"/>
      <c r="I225" s="13" t="n"/>
      <c r="J225" s="13" t="n"/>
      <c r="K225" s="16">
        <f>IF($A225="","",1)</f>
        <v/>
      </c>
    </row>
    <row r="226">
      <c r="A226" s="13" t="n"/>
      <c r="B226" s="13" t="n"/>
      <c r="C226" s="13" t="n"/>
      <c r="D226" s="13" t="n"/>
      <c r="E226" s="68" t="n"/>
      <c r="F226" s="69" t="n"/>
      <c r="G226" s="13" t="n"/>
      <c r="H226" s="13" t="n"/>
      <c r="I226" s="13" t="n"/>
      <c r="J226" s="13" t="n"/>
      <c r="K226" s="16">
        <f>IF($A226="","",1)</f>
        <v/>
      </c>
    </row>
    <row r="227">
      <c r="A227" s="13" t="n"/>
      <c r="B227" s="13" t="n"/>
      <c r="C227" s="13" t="n"/>
      <c r="D227" s="13" t="n"/>
      <c r="E227" s="68" t="n"/>
      <c r="F227" s="69" t="n"/>
      <c r="G227" s="13" t="n"/>
      <c r="H227" s="13" t="n"/>
      <c r="I227" s="13" t="n"/>
      <c r="J227" s="13" t="n"/>
      <c r="K227" s="16">
        <f>IF($A227="","",1)</f>
        <v/>
      </c>
    </row>
    <row r="228">
      <c r="A228" s="13" t="n"/>
      <c r="B228" s="13" t="n"/>
      <c r="C228" s="13" t="n"/>
      <c r="D228" s="13" t="n"/>
      <c r="E228" s="68" t="n"/>
      <c r="F228" s="69" t="n"/>
      <c r="G228" s="13" t="n"/>
      <c r="H228" s="13" t="n"/>
      <c r="I228" s="13" t="n"/>
      <c r="J228" s="13" t="n"/>
      <c r="K228" s="16">
        <f>IF($A228="","",1)</f>
        <v/>
      </c>
    </row>
    <row r="229">
      <c r="A229" s="13" t="n"/>
      <c r="B229" s="13" t="n"/>
      <c r="C229" s="13" t="n"/>
      <c r="D229" s="13" t="n"/>
      <c r="E229" s="68" t="n"/>
      <c r="F229" s="69" t="n"/>
      <c r="G229" s="13" t="n"/>
      <c r="H229" s="13" t="n"/>
      <c r="I229" s="13" t="n"/>
      <c r="J229" s="13" t="n"/>
      <c r="K229" s="16">
        <f>IF($A229="","",1)</f>
        <v/>
      </c>
    </row>
    <row r="230">
      <c r="A230" s="13" t="n"/>
      <c r="B230" s="13" t="n"/>
      <c r="C230" s="13" t="n"/>
      <c r="D230" s="13" t="n"/>
      <c r="E230" s="68" t="n"/>
      <c r="F230" s="69" t="n"/>
      <c r="G230" s="13" t="n"/>
      <c r="H230" s="13" t="n"/>
      <c r="I230" s="13" t="n"/>
      <c r="J230" s="13" t="n"/>
      <c r="K230" s="16">
        <f>IF($A230="","",1)</f>
        <v/>
      </c>
    </row>
    <row r="231">
      <c r="A231" s="13" t="n"/>
      <c r="B231" s="13" t="n"/>
      <c r="C231" s="13" t="n"/>
      <c r="D231" s="13" t="n"/>
      <c r="E231" s="68" t="n"/>
      <c r="F231" s="69" t="n"/>
      <c r="G231" s="13" t="n"/>
      <c r="H231" s="13" t="n"/>
      <c r="I231" s="13" t="n"/>
      <c r="J231" s="13" t="n"/>
      <c r="K231" s="16">
        <f>IF($A231="","",1)</f>
        <v/>
      </c>
    </row>
    <row r="232">
      <c r="A232" s="13" t="n"/>
      <c r="B232" s="13" t="n"/>
      <c r="C232" s="13" t="n"/>
      <c r="D232" s="13" t="n"/>
      <c r="E232" s="68" t="n"/>
      <c r="F232" s="69" t="n"/>
      <c r="G232" s="13" t="n"/>
      <c r="H232" s="13" t="n"/>
      <c r="I232" s="13" t="n"/>
      <c r="J232" s="13" t="n"/>
      <c r="K232" s="16">
        <f>IF($A232="","",1)</f>
        <v/>
      </c>
    </row>
    <row r="233">
      <c r="A233" s="13" t="n"/>
      <c r="B233" s="13" t="n"/>
      <c r="C233" s="13" t="n"/>
      <c r="D233" s="13" t="n"/>
      <c r="E233" s="68" t="n"/>
      <c r="F233" s="69" t="n"/>
      <c r="G233" s="13" t="n"/>
      <c r="H233" s="13" t="n"/>
      <c r="I233" s="13" t="n"/>
      <c r="J233" s="13" t="n"/>
      <c r="K233" s="16">
        <f>IF($A233="","",1)</f>
        <v/>
      </c>
    </row>
    <row r="234">
      <c r="A234" s="13" t="n"/>
      <c r="B234" s="13" t="n"/>
      <c r="C234" s="13" t="n"/>
      <c r="D234" s="13" t="n"/>
      <c r="E234" s="68" t="n"/>
      <c r="F234" s="69" t="n"/>
      <c r="G234" s="13" t="n"/>
      <c r="H234" s="13" t="n"/>
      <c r="I234" s="13" t="n"/>
      <c r="J234" s="13" t="n"/>
      <c r="K234" s="16">
        <f>IF($A234="","",1)</f>
        <v/>
      </c>
    </row>
    <row r="235">
      <c r="A235" s="13" t="n"/>
      <c r="B235" s="13" t="n"/>
      <c r="C235" s="13" t="n"/>
      <c r="D235" s="13" t="n"/>
      <c r="E235" s="68" t="n"/>
      <c r="F235" s="69" t="n"/>
      <c r="G235" s="13" t="n"/>
      <c r="H235" s="13" t="n"/>
      <c r="I235" s="13" t="n"/>
      <c r="J235" s="13" t="n"/>
      <c r="K235" s="16">
        <f>IF($A235="","",1)</f>
        <v/>
      </c>
    </row>
    <row r="236">
      <c r="A236" s="13" t="n"/>
      <c r="B236" s="13" t="n"/>
      <c r="C236" s="13" t="n"/>
      <c r="D236" s="13" t="n"/>
      <c r="E236" s="68" t="n"/>
      <c r="F236" s="69" t="n"/>
      <c r="G236" s="13" t="n"/>
      <c r="H236" s="13" t="n"/>
      <c r="I236" s="13" t="n"/>
      <c r="J236" s="13" t="n"/>
      <c r="K236" s="16">
        <f>IF($A236="","",1)</f>
        <v/>
      </c>
    </row>
    <row r="237">
      <c r="A237" s="13" t="n"/>
      <c r="B237" s="13" t="n"/>
      <c r="C237" s="13" t="n"/>
      <c r="D237" s="13" t="n"/>
      <c r="E237" s="68" t="n"/>
      <c r="F237" s="69" t="n"/>
      <c r="G237" s="13" t="n"/>
      <c r="H237" s="13" t="n"/>
      <c r="I237" s="13" t="n"/>
      <c r="J237" s="13" t="n"/>
      <c r="K237" s="16">
        <f>IF($A237="","",1)</f>
        <v/>
      </c>
    </row>
    <row r="238">
      <c r="A238" s="13" t="n"/>
      <c r="B238" s="13" t="n"/>
      <c r="C238" s="13" t="n"/>
      <c r="D238" s="13" t="n"/>
      <c r="E238" s="68" t="n"/>
      <c r="F238" s="69" t="n"/>
      <c r="G238" s="13" t="n"/>
      <c r="H238" s="13" t="n"/>
      <c r="I238" s="13" t="n"/>
      <c r="J238" s="13" t="n"/>
      <c r="K238" s="16">
        <f>IF($A238="","",1)</f>
        <v/>
      </c>
    </row>
    <row r="239">
      <c r="A239" s="13" t="n"/>
      <c r="B239" s="13" t="n"/>
      <c r="C239" s="13" t="n"/>
      <c r="D239" s="13" t="n"/>
      <c r="E239" s="68" t="n"/>
      <c r="F239" s="69" t="n"/>
      <c r="G239" s="13" t="n"/>
      <c r="H239" s="13" t="n"/>
      <c r="I239" s="13" t="n"/>
      <c r="J239" s="13" t="n"/>
      <c r="K239" s="16">
        <f>IF($A239="","",1)</f>
        <v/>
      </c>
    </row>
    <row r="240">
      <c r="A240" s="13" t="n"/>
      <c r="B240" s="13" t="n"/>
      <c r="C240" s="13" t="n"/>
      <c r="D240" s="13" t="n"/>
      <c r="E240" s="68" t="n"/>
      <c r="F240" s="69" t="n"/>
      <c r="G240" s="13" t="n"/>
      <c r="H240" s="13" t="n"/>
      <c r="I240" s="13" t="n"/>
      <c r="J240" s="13" t="n"/>
      <c r="K240" s="16">
        <f>IF($A240="","",1)</f>
        <v/>
      </c>
    </row>
    <row r="241">
      <c r="A241" s="13" t="n"/>
      <c r="B241" s="13" t="n"/>
      <c r="C241" s="13" t="n"/>
      <c r="D241" s="13" t="n"/>
      <c r="E241" s="68" t="n"/>
      <c r="F241" s="69" t="n"/>
      <c r="G241" s="13" t="n"/>
      <c r="H241" s="13" t="n"/>
      <c r="I241" s="13" t="n"/>
      <c r="J241" s="13" t="n"/>
      <c r="K241" s="16">
        <f>IF($A241="","",1)</f>
        <v/>
      </c>
    </row>
    <row r="242">
      <c r="A242" s="13" t="n"/>
      <c r="B242" s="13" t="n"/>
      <c r="C242" s="13" t="n"/>
      <c r="D242" s="13" t="n"/>
      <c r="E242" s="68" t="n"/>
      <c r="F242" s="69" t="n"/>
      <c r="G242" s="13" t="n"/>
      <c r="H242" s="13" t="n"/>
      <c r="I242" s="13" t="n"/>
      <c r="J242" s="13" t="n"/>
      <c r="K242" s="16">
        <f>IF($A242="","",1)</f>
        <v/>
      </c>
    </row>
    <row r="243">
      <c r="A243" s="13" t="n"/>
      <c r="B243" s="13" t="n"/>
      <c r="C243" s="13" t="n"/>
      <c r="D243" s="13" t="n"/>
      <c r="E243" s="68" t="n"/>
      <c r="F243" s="69" t="n"/>
      <c r="G243" s="13" t="n"/>
      <c r="H243" s="13" t="n"/>
      <c r="I243" s="13" t="n"/>
      <c r="J243" s="13" t="n"/>
      <c r="K243" s="16">
        <f>IF($A243="","",1)</f>
        <v/>
      </c>
    </row>
    <row r="244">
      <c r="A244" s="13" t="n"/>
      <c r="B244" s="13" t="n"/>
      <c r="C244" s="13" t="n"/>
      <c r="D244" s="13" t="n"/>
      <c r="E244" s="68" t="n"/>
      <c r="F244" s="69" t="n"/>
      <c r="G244" s="13" t="n"/>
      <c r="H244" s="13" t="n"/>
      <c r="I244" s="13" t="n"/>
      <c r="J244" s="13" t="n"/>
      <c r="K244" s="16">
        <f>IF($A244="","",1)</f>
        <v/>
      </c>
    </row>
    <row r="245">
      <c r="A245" s="13" t="n"/>
      <c r="B245" s="13" t="n"/>
      <c r="C245" s="13" t="n"/>
      <c r="D245" s="13" t="n"/>
      <c r="E245" s="68" t="n"/>
      <c r="F245" s="69" t="n"/>
      <c r="G245" s="13" t="n"/>
      <c r="H245" s="13" t="n"/>
      <c r="I245" s="13" t="n"/>
      <c r="J245" s="13" t="n"/>
      <c r="K245" s="16">
        <f>IF($A245="","",1)</f>
        <v/>
      </c>
    </row>
    <row r="246">
      <c r="A246" s="13" t="n"/>
      <c r="B246" s="13" t="n"/>
      <c r="C246" s="13" t="n"/>
      <c r="D246" s="13" t="n"/>
      <c r="E246" s="68" t="n"/>
      <c r="F246" s="69" t="n"/>
      <c r="G246" s="13" t="n"/>
      <c r="H246" s="13" t="n"/>
      <c r="I246" s="13" t="n"/>
      <c r="J246" s="13" t="n"/>
      <c r="K246" s="16">
        <f>IF($A246="","",1)</f>
        <v/>
      </c>
    </row>
    <row r="247">
      <c r="A247" s="13" t="n"/>
      <c r="B247" s="13" t="n"/>
      <c r="C247" s="13" t="n"/>
      <c r="D247" s="13" t="n"/>
      <c r="E247" s="68" t="n"/>
      <c r="F247" s="69" t="n"/>
      <c r="G247" s="13" t="n"/>
      <c r="H247" s="13" t="n"/>
      <c r="I247" s="13" t="n"/>
      <c r="J247" s="13" t="n"/>
      <c r="K247" s="16">
        <f>IF($A247="","",1)</f>
        <v/>
      </c>
    </row>
    <row r="248">
      <c r="A248" s="13" t="n"/>
      <c r="B248" s="13" t="n"/>
      <c r="C248" s="13" t="n"/>
      <c r="D248" s="13" t="n"/>
      <c r="E248" s="68" t="n"/>
      <c r="F248" s="69" t="n"/>
      <c r="G248" s="13" t="n"/>
      <c r="H248" s="13" t="n"/>
      <c r="I248" s="13" t="n"/>
      <c r="J248" s="13" t="n"/>
      <c r="K248" s="16">
        <f>IF($A248="","",1)</f>
        <v/>
      </c>
    </row>
    <row r="249">
      <c r="A249" s="13" t="n"/>
      <c r="B249" s="13" t="n"/>
      <c r="C249" s="13" t="n"/>
      <c r="D249" s="13" t="n"/>
      <c r="E249" s="68" t="n"/>
      <c r="F249" s="69" t="n"/>
      <c r="G249" s="13" t="n"/>
      <c r="H249" s="13" t="n"/>
      <c r="I249" s="13" t="n"/>
      <c r="J249" s="13" t="n"/>
      <c r="K249" s="16">
        <f>IF($A249="","",1)</f>
        <v/>
      </c>
    </row>
    <row r="250">
      <c r="A250" s="13" t="n"/>
      <c r="B250" s="13" t="n"/>
      <c r="C250" s="13" t="n"/>
      <c r="D250" s="13" t="n"/>
      <c r="E250" s="68" t="n"/>
      <c r="F250" s="69" t="n"/>
      <c r="G250" s="13" t="n"/>
      <c r="H250" s="13" t="n"/>
      <c r="I250" s="13" t="n"/>
      <c r="J250" s="13" t="n"/>
      <c r="K250" s="16">
        <f>IF($A250="","",1)</f>
        <v/>
      </c>
    </row>
    <row r="251">
      <c r="A251" s="13" t="n"/>
      <c r="B251" s="13" t="n"/>
      <c r="C251" s="13" t="n"/>
      <c r="D251" s="13" t="n"/>
      <c r="E251" s="68" t="n"/>
      <c r="F251" s="69" t="n"/>
      <c r="G251" s="13" t="n"/>
      <c r="H251" s="13" t="n"/>
      <c r="I251" s="13" t="n"/>
      <c r="J251" s="13" t="n"/>
      <c r="K251" s="16">
        <f>IF($A251="","",1)</f>
        <v/>
      </c>
    </row>
    <row r="252">
      <c r="A252" s="13" t="n"/>
      <c r="B252" s="13" t="n"/>
      <c r="C252" s="13" t="n"/>
      <c r="D252" s="13" t="n"/>
      <c r="E252" s="68" t="n"/>
      <c r="F252" s="69" t="n"/>
      <c r="G252" s="13" t="n"/>
      <c r="H252" s="13" t="n"/>
      <c r="I252" s="13" t="n"/>
      <c r="J252" s="13" t="n"/>
      <c r="K252" s="16">
        <f>IF($A252="","",1)</f>
        <v/>
      </c>
    </row>
    <row r="253">
      <c r="A253" s="13" t="n"/>
      <c r="B253" s="13" t="n"/>
      <c r="C253" s="13" t="n"/>
      <c r="D253" s="13" t="n"/>
      <c r="E253" s="68" t="n"/>
      <c r="F253" s="69" t="n"/>
      <c r="G253" s="13" t="n"/>
      <c r="H253" s="13" t="n"/>
      <c r="I253" s="13" t="n"/>
      <c r="J253" s="13" t="n"/>
      <c r="K253" s="16">
        <f>IF($A253="","",1)</f>
        <v/>
      </c>
    </row>
    <row r="254">
      <c r="A254" s="13" t="n"/>
      <c r="B254" s="13" t="n"/>
      <c r="C254" s="13" t="n"/>
      <c r="D254" s="13" t="n"/>
      <c r="E254" s="68" t="n"/>
      <c r="F254" s="69" t="n"/>
      <c r="G254" s="13" t="n"/>
      <c r="H254" s="13" t="n"/>
      <c r="I254" s="13" t="n"/>
      <c r="J254" s="13" t="n"/>
      <c r="K254" s="16">
        <f>IF($A254="","",1)</f>
        <v/>
      </c>
    </row>
    <row r="255">
      <c r="A255" s="13" t="n"/>
      <c r="B255" s="13" t="n"/>
      <c r="C255" s="13" t="n"/>
      <c r="D255" s="13" t="n"/>
      <c r="E255" s="68" t="n"/>
      <c r="F255" s="69" t="n"/>
      <c r="G255" s="13" t="n"/>
      <c r="H255" s="13" t="n"/>
      <c r="I255" s="13" t="n"/>
      <c r="J255" s="13" t="n"/>
      <c r="K255" s="16">
        <f>IF($A255="","",1)</f>
        <v/>
      </c>
    </row>
    <row r="256">
      <c r="A256" s="13" t="n"/>
      <c r="B256" s="13" t="n"/>
      <c r="C256" s="13" t="n"/>
      <c r="D256" s="13" t="n"/>
      <c r="E256" s="68" t="n"/>
      <c r="F256" s="69" t="n"/>
      <c r="G256" s="13" t="n"/>
      <c r="H256" s="13" t="n"/>
      <c r="I256" s="13" t="n"/>
      <c r="J256" s="13" t="n"/>
      <c r="K256" s="16">
        <f>IF($A256="","",1)</f>
        <v/>
      </c>
    </row>
    <row r="257">
      <c r="A257" s="13" t="n"/>
      <c r="B257" s="13" t="n"/>
      <c r="C257" s="13" t="n"/>
      <c r="D257" s="13" t="n"/>
      <c r="E257" s="68" t="n"/>
      <c r="F257" s="69" t="n"/>
      <c r="G257" s="13" t="n"/>
      <c r="H257" s="13" t="n"/>
      <c r="I257" s="13" t="n"/>
      <c r="J257" s="13" t="n"/>
      <c r="K257" s="16">
        <f>IF($A257="","",1)</f>
        <v/>
      </c>
    </row>
    <row r="258">
      <c r="A258" s="13" t="n"/>
      <c r="B258" s="13" t="n"/>
      <c r="C258" s="13" t="n"/>
      <c r="D258" s="13" t="n"/>
      <c r="E258" s="68" t="n"/>
      <c r="F258" s="69" t="n"/>
      <c r="G258" s="13" t="n"/>
      <c r="H258" s="13" t="n"/>
      <c r="I258" s="13" t="n"/>
      <c r="J258" s="13" t="n"/>
      <c r="K258" s="16">
        <f>IF($A258="","",1)</f>
        <v/>
      </c>
    </row>
    <row r="259">
      <c r="A259" s="13" t="n"/>
      <c r="B259" s="13" t="n"/>
      <c r="C259" s="13" t="n"/>
      <c r="D259" s="13" t="n"/>
      <c r="E259" s="68" t="n"/>
      <c r="F259" s="69" t="n"/>
      <c r="G259" s="13" t="n"/>
      <c r="H259" s="13" t="n"/>
      <c r="I259" s="13" t="n"/>
      <c r="J259" s="13" t="n"/>
      <c r="K259" s="16">
        <f>IF($A259="","",1)</f>
        <v/>
      </c>
    </row>
    <row r="260">
      <c r="A260" s="13" t="n"/>
      <c r="B260" s="13" t="n"/>
      <c r="C260" s="13" t="n"/>
      <c r="D260" s="13" t="n"/>
      <c r="E260" s="68" t="n"/>
      <c r="F260" s="69" t="n"/>
      <c r="G260" s="13" t="n"/>
      <c r="H260" s="13" t="n"/>
      <c r="I260" s="13" t="n"/>
      <c r="J260" s="13" t="n"/>
      <c r="K260" s="16">
        <f>IF($A260="","",1)</f>
        <v/>
      </c>
    </row>
    <row r="261">
      <c r="A261" s="13" t="n"/>
      <c r="B261" s="13" t="n"/>
      <c r="C261" s="13" t="n"/>
      <c r="D261" s="13" t="n"/>
      <c r="E261" s="68" t="n"/>
      <c r="F261" s="69" t="n"/>
      <c r="G261" s="13" t="n"/>
      <c r="H261" s="13" t="n"/>
      <c r="I261" s="13" t="n"/>
      <c r="J261" s="13" t="n"/>
      <c r="K261" s="16">
        <f>IF($A261="","",1)</f>
        <v/>
      </c>
    </row>
    <row r="262">
      <c r="A262" s="13" t="n"/>
      <c r="B262" s="13" t="n"/>
      <c r="C262" s="13" t="n"/>
      <c r="D262" s="13" t="n"/>
      <c r="E262" s="68" t="n"/>
      <c r="F262" s="69" t="n"/>
      <c r="G262" s="13" t="n"/>
      <c r="H262" s="13" t="n"/>
      <c r="I262" s="13" t="n"/>
      <c r="J262" s="13" t="n"/>
      <c r="K262" s="16">
        <f>IF($A262="","",1)</f>
        <v/>
      </c>
    </row>
    <row r="263">
      <c r="A263" s="13" t="n"/>
      <c r="B263" s="13" t="n"/>
      <c r="C263" s="13" t="n"/>
      <c r="D263" s="13" t="n"/>
      <c r="E263" s="68" t="n"/>
      <c r="F263" s="69" t="n"/>
      <c r="G263" s="13" t="n"/>
      <c r="H263" s="13" t="n"/>
      <c r="I263" s="13" t="n"/>
      <c r="J263" s="13" t="n"/>
      <c r="K263" s="16">
        <f>IF($A263="","",1)</f>
        <v/>
      </c>
    </row>
    <row r="264">
      <c r="A264" s="13" t="n"/>
      <c r="B264" s="13" t="n"/>
      <c r="C264" s="13" t="n"/>
      <c r="D264" s="13" t="n"/>
      <c r="E264" s="68" t="n"/>
      <c r="F264" s="69" t="n"/>
      <c r="G264" s="13" t="n"/>
      <c r="H264" s="13" t="n"/>
      <c r="I264" s="13" t="n"/>
      <c r="J264" s="13" t="n"/>
      <c r="K264" s="16">
        <f>IF($A264="","",1)</f>
        <v/>
      </c>
    </row>
    <row r="265">
      <c r="A265" s="13" t="n"/>
      <c r="B265" s="13" t="n"/>
      <c r="C265" s="13" t="n"/>
      <c r="D265" s="13" t="n"/>
      <c r="E265" s="68" t="n"/>
      <c r="F265" s="69" t="n"/>
      <c r="G265" s="13" t="n"/>
      <c r="H265" s="13" t="n"/>
      <c r="I265" s="13" t="n"/>
      <c r="J265" s="13" t="n"/>
      <c r="K265" s="16">
        <f>IF($A265="","",1)</f>
        <v/>
      </c>
    </row>
    <row r="266">
      <c r="A266" s="13" t="n"/>
      <c r="B266" s="13" t="n"/>
      <c r="C266" s="13" t="n"/>
      <c r="D266" s="13" t="n"/>
      <c r="E266" s="68" t="n"/>
      <c r="F266" s="69" t="n"/>
      <c r="G266" s="13" t="n"/>
      <c r="H266" s="13" t="n"/>
      <c r="I266" s="13" t="n"/>
      <c r="J266" s="13" t="n"/>
      <c r="K266" s="16">
        <f>IF($A266="","",1)</f>
        <v/>
      </c>
    </row>
    <row r="267">
      <c r="A267" s="13" t="n"/>
      <c r="B267" s="13" t="n"/>
      <c r="C267" s="13" t="n"/>
      <c r="D267" s="13" t="n"/>
      <c r="E267" s="68" t="n"/>
      <c r="F267" s="69" t="n"/>
      <c r="G267" s="13" t="n"/>
      <c r="H267" s="13" t="n"/>
      <c r="I267" s="13" t="n"/>
      <c r="J267" s="13" t="n"/>
      <c r="K267" s="16">
        <f>IF($A267="","",1)</f>
        <v/>
      </c>
    </row>
    <row r="268">
      <c r="A268" s="13" t="n"/>
      <c r="B268" s="13" t="n"/>
      <c r="C268" s="13" t="n"/>
      <c r="D268" s="13" t="n"/>
      <c r="E268" s="68" t="n"/>
      <c r="F268" s="69" t="n"/>
      <c r="G268" s="13" t="n"/>
      <c r="H268" s="13" t="n"/>
      <c r="I268" s="13" t="n"/>
      <c r="J268" s="13" t="n"/>
      <c r="K268" s="16">
        <f>IF($A268="","",1)</f>
        <v/>
      </c>
    </row>
    <row r="269">
      <c r="A269" s="13" t="n"/>
      <c r="B269" s="13" t="n"/>
      <c r="C269" s="13" t="n"/>
      <c r="D269" s="13" t="n"/>
      <c r="E269" s="68" t="n"/>
      <c r="F269" s="69" t="n"/>
      <c r="G269" s="13" t="n"/>
      <c r="H269" s="13" t="n"/>
      <c r="I269" s="13" t="n"/>
      <c r="J269" s="13" t="n"/>
      <c r="K269" s="16">
        <f>IF($A269="","",1)</f>
        <v/>
      </c>
    </row>
    <row r="270">
      <c r="A270" s="13" t="n"/>
      <c r="B270" s="13" t="n"/>
      <c r="C270" s="13" t="n"/>
      <c r="D270" s="13" t="n"/>
      <c r="E270" s="68" t="n"/>
      <c r="F270" s="69" t="n"/>
      <c r="G270" s="13" t="n"/>
      <c r="H270" s="13" t="n"/>
      <c r="I270" s="13" t="n"/>
      <c r="J270" s="13" t="n"/>
      <c r="K270" s="16">
        <f>IF($A270="","",1)</f>
        <v/>
      </c>
    </row>
    <row r="271">
      <c r="A271" s="13" t="n"/>
      <c r="B271" s="13" t="n"/>
      <c r="C271" s="13" t="n"/>
      <c r="D271" s="13" t="n"/>
      <c r="E271" s="68" t="n"/>
      <c r="F271" s="69" t="n"/>
      <c r="G271" s="13" t="n"/>
      <c r="H271" s="13" t="n"/>
      <c r="I271" s="13" t="n"/>
      <c r="J271" s="13" t="n"/>
      <c r="K271" s="16">
        <f>IF($A271="","",1)</f>
        <v/>
      </c>
    </row>
    <row r="272">
      <c r="A272" s="13" t="n"/>
      <c r="B272" s="13" t="n"/>
      <c r="C272" s="13" t="n"/>
      <c r="D272" s="13" t="n"/>
      <c r="E272" s="68" t="n"/>
      <c r="F272" s="69" t="n"/>
      <c r="G272" s="13" t="n"/>
      <c r="H272" s="13" t="n"/>
      <c r="I272" s="13" t="n"/>
      <c r="J272" s="13" t="n"/>
      <c r="K272" s="16">
        <f>IF($A272="","",1)</f>
        <v/>
      </c>
    </row>
    <row r="273">
      <c r="A273" s="13" t="n"/>
      <c r="B273" s="13" t="n"/>
      <c r="C273" s="13" t="n"/>
      <c r="D273" s="13" t="n"/>
      <c r="E273" s="68" t="n"/>
      <c r="F273" s="69" t="n"/>
      <c r="G273" s="13" t="n"/>
      <c r="H273" s="13" t="n"/>
      <c r="I273" s="13" t="n"/>
      <c r="J273" s="13" t="n"/>
      <c r="K273" s="16">
        <f>IF($A273="","",1)</f>
        <v/>
      </c>
    </row>
    <row r="274">
      <c r="A274" s="13" t="n"/>
      <c r="B274" s="13" t="n"/>
      <c r="C274" s="13" t="n"/>
      <c r="D274" s="13" t="n"/>
      <c r="E274" s="68" t="n"/>
      <c r="F274" s="69" t="n"/>
      <c r="G274" s="13" t="n"/>
      <c r="H274" s="13" t="n"/>
      <c r="I274" s="13" t="n"/>
      <c r="J274" s="13" t="n"/>
      <c r="K274" s="16">
        <f>IF($A274="","",1)</f>
        <v/>
      </c>
    </row>
    <row r="275">
      <c r="A275" s="13" t="n"/>
      <c r="B275" s="13" t="n"/>
      <c r="C275" s="13" t="n"/>
      <c r="D275" s="13" t="n"/>
      <c r="E275" s="68" t="n"/>
      <c r="F275" s="69" t="n"/>
      <c r="G275" s="13" t="n"/>
      <c r="H275" s="13" t="n"/>
      <c r="I275" s="13" t="n"/>
      <c r="J275" s="13" t="n"/>
      <c r="K275" s="16">
        <f>IF($A275="","",1)</f>
        <v/>
      </c>
    </row>
    <row r="276">
      <c r="A276" s="13" t="n"/>
      <c r="B276" s="13" t="n"/>
      <c r="C276" s="13" t="n"/>
      <c r="D276" s="13" t="n"/>
      <c r="E276" s="68" t="n"/>
      <c r="F276" s="69" t="n"/>
      <c r="G276" s="13" t="n"/>
      <c r="H276" s="13" t="n"/>
      <c r="I276" s="13" t="n"/>
      <c r="J276" s="13" t="n"/>
      <c r="K276" s="16">
        <f>IF($A276="","",1)</f>
        <v/>
      </c>
    </row>
    <row r="277">
      <c r="A277" s="13" t="n"/>
      <c r="B277" s="13" t="n"/>
      <c r="C277" s="13" t="n"/>
      <c r="D277" s="13" t="n"/>
      <c r="E277" s="68" t="n"/>
      <c r="F277" s="69" t="n"/>
      <c r="G277" s="13" t="n"/>
      <c r="H277" s="13" t="n"/>
      <c r="I277" s="13" t="n"/>
      <c r="J277" s="13" t="n"/>
      <c r="K277" s="16">
        <f>IF($A277="","",1)</f>
        <v/>
      </c>
    </row>
    <row r="278">
      <c r="A278" s="13" t="n"/>
      <c r="B278" s="13" t="n"/>
      <c r="C278" s="13" t="n"/>
      <c r="D278" s="13" t="n"/>
      <c r="E278" s="68" t="n"/>
      <c r="F278" s="69" t="n"/>
      <c r="G278" s="13" t="n"/>
      <c r="H278" s="13" t="n"/>
      <c r="I278" s="13" t="n"/>
      <c r="J278" s="13" t="n"/>
      <c r="K278" s="16">
        <f>IF($A278="","",1)</f>
        <v/>
      </c>
    </row>
    <row r="279">
      <c r="A279" s="13" t="n"/>
      <c r="B279" s="13" t="n"/>
      <c r="C279" s="13" t="n"/>
      <c r="D279" s="13" t="n"/>
      <c r="E279" s="68" t="n"/>
      <c r="F279" s="69" t="n"/>
      <c r="G279" s="13" t="n"/>
      <c r="H279" s="13" t="n"/>
      <c r="I279" s="13" t="n"/>
      <c r="J279" s="13" t="n"/>
      <c r="K279" s="16">
        <f>IF($A279="","",1)</f>
        <v/>
      </c>
    </row>
    <row r="280">
      <c r="A280" s="13" t="n"/>
      <c r="B280" s="13" t="n"/>
      <c r="C280" s="13" t="n"/>
      <c r="D280" s="13" t="n"/>
      <c r="E280" s="68" t="n"/>
      <c r="F280" s="69" t="n"/>
      <c r="G280" s="13" t="n"/>
      <c r="H280" s="13" t="n"/>
      <c r="I280" s="13" t="n"/>
      <c r="J280" s="13" t="n"/>
      <c r="K280" s="16">
        <f>IF($A280="","",1)</f>
        <v/>
      </c>
    </row>
    <row r="281">
      <c r="A281" s="13" t="n"/>
      <c r="B281" s="13" t="n"/>
      <c r="C281" s="13" t="n"/>
      <c r="D281" s="13" t="n"/>
      <c r="E281" s="68" t="n"/>
      <c r="F281" s="69" t="n"/>
      <c r="G281" s="13" t="n"/>
      <c r="H281" s="13" t="n"/>
      <c r="I281" s="13" t="n"/>
      <c r="J281" s="13" t="n"/>
      <c r="K281" s="16">
        <f>IF($A281="","",1)</f>
        <v/>
      </c>
    </row>
    <row r="282">
      <c r="A282" s="13" t="n"/>
      <c r="B282" s="13" t="n"/>
      <c r="C282" s="13" t="n"/>
      <c r="D282" s="13" t="n"/>
      <c r="E282" s="68" t="n"/>
      <c r="F282" s="69" t="n"/>
      <c r="G282" s="13" t="n"/>
      <c r="H282" s="13" t="n"/>
      <c r="I282" s="13" t="n"/>
      <c r="J282" s="13" t="n"/>
      <c r="K282" s="16">
        <f>IF($A282="","",1)</f>
        <v/>
      </c>
    </row>
    <row r="283">
      <c r="A283" s="13" t="n"/>
      <c r="B283" s="13" t="n"/>
      <c r="C283" s="13" t="n"/>
      <c r="D283" s="13" t="n"/>
      <c r="E283" s="68" t="n"/>
      <c r="F283" s="69" t="n"/>
      <c r="G283" s="13" t="n"/>
      <c r="H283" s="13" t="n"/>
      <c r="I283" s="13" t="n"/>
      <c r="J283" s="13" t="n"/>
      <c r="K283" s="16">
        <f>IF($A283="","",1)</f>
        <v/>
      </c>
    </row>
    <row r="284">
      <c r="A284" s="13" t="n"/>
      <c r="B284" s="13" t="n"/>
      <c r="C284" s="13" t="n"/>
      <c r="D284" s="13" t="n"/>
      <c r="E284" s="68" t="n"/>
      <c r="F284" s="69" t="n"/>
      <c r="G284" s="13" t="n"/>
      <c r="H284" s="13" t="n"/>
      <c r="I284" s="13" t="n"/>
      <c r="J284" s="13" t="n"/>
      <c r="K284" s="16">
        <f>IF($A284="","",1)</f>
        <v/>
      </c>
    </row>
    <row r="285">
      <c r="A285" s="13" t="n"/>
      <c r="B285" s="13" t="n"/>
      <c r="C285" s="13" t="n"/>
      <c r="D285" s="13" t="n"/>
      <c r="E285" s="68" t="n"/>
      <c r="F285" s="69" t="n"/>
      <c r="G285" s="13" t="n"/>
      <c r="H285" s="13" t="n"/>
      <c r="I285" s="13" t="n"/>
      <c r="J285" s="13" t="n"/>
      <c r="K285" s="16">
        <f>IF($A285="","",1)</f>
        <v/>
      </c>
    </row>
    <row r="286">
      <c r="A286" s="13" t="n"/>
      <c r="B286" s="13" t="n"/>
      <c r="C286" s="13" t="n"/>
      <c r="D286" s="13" t="n"/>
      <c r="E286" s="68" t="n"/>
      <c r="F286" s="69" t="n"/>
      <c r="G286" s="13" t="n"/>
      <c r="H286" s="13" t="n"/>
      <c r="I286" s="13" t="n"/>
      <c r="J286" s="13" t="n"/>
      <c r="K286" s="16">
        <f>IF($A286="","",1)</f>
        <v/>
      </c>
    </row>
    <row r="287">
      <c r="A287" s="13" t="n"/>
      <c r="B287" s="13" t="n"/>
      <c r="C287" s="13" t="n"/>
      <c r="D287" s="13" t="n"/>
      <c r="E287" s="68" t="n"/>
      <c r="F287" s="69" t="n"/>
      <c r="G287" s="13" t="n"/>
      <c r="H287" s="13" t="n"/>
      <c r="I287" s="13" t="n"/>
      <c r="J287" s="13" t="n"/>
      <c r="K287" s="16">
        <f>IF($A287="","",1)</f>
        <v/>
      </c>
    </row>
    <row r="288">
      <c r="A288" s="13" t="n"/>
      <c r="B288" s="13" t="n"/>
      <c r="C288" s="13" t="n"/>
      <c r="D288" s="13" t="n"/>
      <c r="E288" s="68" t="n"/>
      <c r="F288" s="69" t="n"/>
      <c r="G288" s="13" t="n"/>
      <c r="H288" s="13" t="n"/>
      <c r="I288" s="13" t="n"/>
      <c r="J288" s="13" t="n"/>
      <c r="K288" s="16">
        <f>IF($A288="","",1)</f>
        <v/>
      </c>
    </row>
    <row r="289">
      <c r="A289" s="13" t="n"/>
      <c r="B289" s="13" t="n"/>
      <c r="C289" s="13" t="n"/>
      <c r="D289" s="13" t="n"/>
      <c r="E289" s="68" t="n"/>
      <c r="F289" s="69" t="n"/>
      <c r="G289" s="13" t="n"/>
      <c r="H289" s="13" t="n"/>
      <c r="I289" s="13" t="n"/>
      <c r="J289" s="13" t="n"/>
      <c r="K289" s="16">
        <f>IF($A289="","",1)</f>
        <v/>
      </c>
    </row>
    <row r="290">
      <c r="A290" s="13" t="n"/>
      <c r="B290" s="13" t="n"/>
      <c r="C290" s="13" t="n"/>
      <c r="D290" s="13" t="n"/>
      <c r="E290" s="68" t="n"/>
      <c r="F290" s="69" t="n"/>
      <c r="G290" s="13" t="n"/>
      <c r="H290" s="13" t="n"/>
      <c r="I290" s="13" t="n"/>
      <c r="J290" s="13" t="n"/>
      <c r="K290" s="16">
        <f>IF($A290="","",1)</f>
        <v/>
      </c>
    </row>
    <row r="291">
      <c r="A291" s="13" t="n"/>
      <c r="B291" s="13" t="n"/>
      <c r="C291" s="13" t="n"/>
      <c r="D291" s="13" t="n"/>
      <c r="E291" s="68" t="n"/>
      <c r="F291" s="69" t="n"/>
      <c r="G291" s="13" t="n"/>
      <c r="H291" s="13" t="n"/>
      <c r="I291" s="13" t="n"/>
      <c r="J291" s="13" t="n"/>
      <c r="K291" s="16">
        <f>IF($A291="","",1)</f>
        <v/>
      </c>
    </row>
    <row r="292">
      <c r="A292" s="13" t="n"/>
      <c r="B292" s="13" t="n"/>
      <c r="C292" s="13" t="n"/>
      <c r="D292" s="13" t="n"/>
      <c r="E292" s="68" t="n"/>
      <c r="F292" s="69" t="n"/>
      <c r="G292" s="13" t="n"/>
      <c r="H292" s="13" t="n"/>
      <c r="I292" s="13" t="n"/>
      <c r="J292" s="13" t="n"/>
      <c r="K292" s="16">
        <f>IF($A292="","",1)</f>
        <v/>
      </c>
    </row>
    <row r="293">
      <c r="A293" s="13" t="n"/>
      <c r="B293" s="13" t="n"/>
      <c r="C293" s="13" t="n"/>
      <c r="D293" s="13" t="n"/>
      <c r="E293" s="68" t="n"/>
      <c r="F293" s="69" t="n"/>
      <c r="G293" s="13" t="n"/>
      <c r="H293" s="13" t="n"/>
      <c r="I293" s="13" t="n"/>
      <c r="J293" s="13" t="n"/>
      <c r="K293" s="16">
        <f>IF($A293="","",1)</f>
        <v/>
      </c>
    </row>
    <row r="294">
      <c r="A294" s="13" t="n"/>
      <c r="B294" s="13" t="n"/>
      <c r="C294" s="13" t="n"/>
      <c r="D294" s="13" t="n"/>
      <c r="E294" s="68" t="n"/>
      <c r="F294" s="69" t="n"/>
      <c r="G294" s="13" t="n"/>
      <c r="H294" s="13" t="n"/>
      <c r="I294" s="13" t="n"/>
      <c r="J294" s="13" t="n"/>
      <c r="K294" s="16">
        <f>IF($A294="","",1)</f>
        <v/>
      </c>
    </row>
    <row r="295">
      <c r="A295" s="13" t="n"/>
      <c r="B295" s="13" t="n"/>
      <c r="C295" s="13" t="n"/>
      <c r="D295" s="13" t="n"/>
      <c r="E295" s="68" t="n"/>
      <c r="F295" s="69" t="n"/>
      <c r="G295" s="13" t="n"/>
      <c r="H295" s="13" t="n"/>
      <c r="I295" s="13" t="n"/>
      <c r="J295" s="13" t="n"/>
      <c r="K295" s="16">
        <f>IF($A295="","",1)</f>
        <v/>
      </c>
    </row>
    <row r="296">
      <c r="A296" s="13" t="n"/>
      <c r="B296" s="13" t="n"/>
      <c r="C296" s="13" t="n"/>
      <c r="D296" s="13" t="n"/>
      <c r="E296" s="68" t="n"/>
      <c r="F296" s="69" t="n"/>
      <c r="G296" s="13" t="n"/>
      <c r="H296" s="13" t="n"/>
      <c r="I296" s="13" t="n"/>
      <c r="J296" s="13" t="n"/>
      <c r="K296" s="16">
        <f>IF($A296="","",1)</f>
        <v/>
      </c>
    </row>
    <row r="297">
      <c r="A297" s="13" t="n"/>
      <c r="B297" s="13" t="n"/>
      <c r="C297" s="13" t="n"/>
      <c r="D297" s="13" t="n"/>
      <c r="E297" s="68" t="n"/>
      <c r="F297" s="69" t="n"/>
      <c r="G297" s="13" t="n"/>
      <c r="H297" s="13" t="n"/>
      <c r="I297" s="13" t="n"/>
      <c r="J297" s="13" t="n"/>
      <c r="K297" s="16">
        <f>IF($A297="","",1)</f>
        <v/>
      </c>
    </row>
    <row r="298">
      <c r="A298" s="13" t="n"/>
      <c r="B298" s="13" t="n"/>
      <c r="C298" s="13" t="n"/>
      <c r="D298" s="13" t="n"/>
      <c r="E298" s="68" t="n"/>
      <c r="F298" s="69" t="n"/>
      <c r="G298" s="13" t="n"/>
      <c r="H298" s="13" t="n"/>
      <c r="I298" s="13" t="n"/>
      <c r="J298" s="13" t="n"/>
      <c r="K298" s="16">
        <f>IF($A298="","",1)</f>
        <v/>
      </c>
    </row>
    <row r="299">
      <c r="A299" s="13" t="n"/>
      <c r="B299" s="13" t="n"/>
      <c r="C299" s="13" t="n"/>
      <c r="D299" s="13" t="n"/>
      <c r="E299" s="68" t="n"/>
      <c r="F299" s="69" t="n"/>
      <c r="G299" s="13" t="n"/>
      <c r="H299" s="13" t="n"/>
      <c r="I299" s="13" t="n"/>
      <c r="J299" s="13" t="n"/>
      <c r="K299" s="16">
        <f>IF($A299="","",1)</f>
        <v/>
      </c>
    </row>
    <row r="300">
      <c r="A300" s="13" t="n"/>
      <c r="B300" s="13" t="n"/>
      <c r="C300" s="13" t="n"/>
      <c r="D300" s="13" t="n"/>
      <c r="E300" s="68" t="n"/>
      <c r="F300" s="69" t="n"/>
      <c r="G300" s="13" t="n"/>
      <c r="H300" s="13" t="n"/>
      <c r="I300" s="13" t="n"/>
      <c r="J300" s="13" t="n"/>
      <c r="K300" s="16">
        <f>IF($A300="","",1)</f>
        <v/>
      </c>
    </row>
    <row r="301">
      <c r="A301" s="13" t="n"/>
      <c r="B301" s="13" t="n"/>
      <c r="C301" s="13" t="n"/>
      <c r="D301" s="13" t="n"/>
      <c r="E301" s="68" t="n"/>
      <c r="F301" s="69" t="n"/>
      <c r="G301" s="13" t="n"/>
      <c r="H301" s="13" t="n"/>
      <c r="I301" s="13" t="n"/>
      <c r="J301" s="13" t="n"/>
      <c r="K301" s="16">
        <f>IF($A301="","",1)</f>
        <v/>
      </c>
    </row>
    <row r="302">
      <c r="A302" s="13" t="n"/>
      <c r="B302" s="13" t="n"/>
      <c r="C302" s="13" t="n"/>
      <c r="D302" s="13" t="n"/>
      <c r="E302" s="68" t="n"/>
      <c r="F302" s="69" t="n"/>
      <c r="G302" s="13" t="n"/>
      <c r="H302" s="13" t="n"/>
      <c r="I302" s="13" t="n"/>
      <c r="J302" s="13" t="n"/>
      <c r="K302" s="16">
        <f>IF($A302="","",1)</f>
        <v/>
      </c>
    </row>
    <row r="303">
      <c r="A303" s="13" t="n"/>
      <c r="B303" s="13" t="n"/>
      <c r="C303" s="13" t="n"/>
      <c r="D303" s="13" t="n"/>
      <c r="E303" s="68" t="n"/>
      <c r="F303" s="69" t="n"/>
      <c r="G303" s="13" t="n"/>
      <c r="H303" s="13" t="n"/>
      <c r="I303" s="13" t="n"/>
      <c r="J303" s="13" t="n"/>
      <c r="K303" s="16">
        <f>IF($A303="","",1)</f>
        <v/>
      </c>
    </row>
    <row r="304">
      <c r="A304" s="13" t="n"/>
      <c r="B304" s="13" t="n"/>
      <c r="C304" s="13" t="n"/>
      <c r="D304" s="13" t="n"/>
      <c r="E304" s="68" t="n"/>
      <c r="F304" s="69" t="n"/>
      <c r="G304" s="13" t="n"/>
      <c r="H304" s="13" t="n"/>
      <c r="I304" s="13" t="n"/>
      <c r="J304" s="13" t="n"/>
      <c r="K304" s="16">
        <f>IF($A304="","",1)</f>
        <v/>
      </c>
    </row>
    <row r="305">
      <c r="A305" s="13" t="n"/>
      <c r="B305" s="13" t="n"/>
      <c r="C305" s="13" t="n"/>
      <c r="D305" s="13" t="n"/>
      <c r="E305" s="68" t="n"/>
      <c r="F305" s="69" t="n"/>
      <c r="G305" s="13" t="n"/>
      <c r="H305" s="13" t="n"/>
      <c r="I305" s="13" t="n"/>
      <c r="J305" s="13" t="n"/>
      <c r="K305" s="16">
        <f>IF($A305="","",1)</f>
        <v/>
      </c>
    </row>
    <row r="306">
      <c r="A306" s="13" t="n"/>
      <c r="B306" s="13" t="n"/>
      <c r="C306" s="13" t="n"/>
      <c r="D306" s="13" t="n"/>
      <c r="E306" s="68" t="n"/>
      <c r="F306" s="69" t="n"/>
      <c r="G306" s="13" t="n"/>
      <c r="H306" s="13" t="n"/>
      <c r="I306" s="13" t="n"/>
      <c r="J306" s="13" t="n"/>
      <c r="K306" s="16">
        <f>IF($A306="","",1)</f>
        <v/>
      </c>
    </row>
    <row r="307">
      <c r="A307" s="13" t="n"/>
      <c r="B307" s="13" t="n"/>
      <c r="C307" s="13" t="n"/>
      <c r="D307" s="13" t="n"/>
      <c r="E307" s="68" t="n"/>
      <c r="F307" s="69" t="n"/>
      <c r="G307" s="13" t="n"/>
      <c r="H307" s="13" t="n"/>
      <c r="I307" s="13" t="n"/>
      <c r="J307" s="13" t="n"/>
      <c r="K307" s="16">
        <f>IF($A307="","",1)</f>
        <v/>
      </c>
    </row>
    <row r="308">
      <c r="A308" s="13" t="n"/>
      <c r="B308" s="13" t="n"/>
      <c r="C308" s="13" t="n"/>
      <c r="D308" s="13" t="n"/>
      <c r="E308" s="68" t="n"/>
      <c r="F308" s="69" t="n"/>
      <c r="G308" s="13" t="n"/>
      <c r="H308" s="13" t="n"/>
      <c r="I308" s="13" t="n"/>
      <c r="J308" s="13" t="n"/>
      <c r="K308" s="16">
        <f>IF($A308="","",1)</f>
        <v/>
      </c>
    </row>
    <row r="309">
      <c r="A309" s="13" t="n"/>
      <c r="B309" s="13" t="n"/>
      <c r="C309" s="13" t="n"/>
      <c r="D309" s="13" t="n"/>
      <c r="E309" s="68" t="n"/>
      <c r="F309" s="69" t="n"/>
      <c r="G309" s="13" t="n"/>
      <c r="H309" s="13" t="n"/>
      <c r="I309" s="13" t="n"/>
      <c r="J309" s="13" t="n"/>
      <c r="K309" s="16">
        <f>IF($A309="","",1)</f>
        <v/>
      </c>
    </row>
    <row r="310">
      <c r="A310" s="13" t="n"/>
      <c r="B310" s="13" t="n"/>
      <c r="C310" s="13" t="n"/>
      <c r="D310" s="13" t="n"/>
      <c r="E310" s="68" t="n"/>
      <c r="F310" s="69" t="n"/>
      <c r="G310" s="13" t="n"/>
      <c r="H310" s="13" t="n"/>
      <c r="I310" s="13" t="n"/>
      <c r="J310" s="13" t="n"/>
      <c r="K310" s="16">
        <f>IF($A310="","",1)</f>
        <v/>
      </c>
    </row>
    <row r="311">
      <c r="A311" s="13" t="n"/>
      <c r="B311" s="13" t="n"/>
      <c r="C311" s="13" t="n"/>
      <c r="D311" s="13" t="n"/>
      <c r="E311" s="68" t="n"/>
      <c r="F311" s="69" t="n"/>
      <c r="G311" s="13" t="n"/>
      <c r="H311" s="13" t="n"/>
      <c r="I311" s="13" t="n"/>
      <c r="J311" s="13" t="n"/>
      <c r="K311" s="16">
        <f>IF($A311="","",1)</f>
        <v/>
      </c>
    </row>
    <row r="312">
      <c r="A312" s="13" t="n"/>
      <c r="B312" s="13" t="n"/>
      <c r="C312" s="13" t="n"/>
      <c r="D312" s="13" t="n"/>
      <c r="E312" s="68" t="n"/>
      <c r="F312" s="69" t="n"/>
      <c r="G312" s="13" t="n"/>
      <c r="H312" s="13" t="n"/>
      <c r="I312" s="13" t="n"/>
      <c r="J312" s="13" t="n"/>
      <c r="K312" s="16">
        <f>IF($A312="","",1)</f>
        <v/>
      </c>
    </row>
    <row r="313">
      <c r="A313" s="13" t="n"/>
      <c r="B313" s="13" t="n"/>
      <c r="C313" s="13" t="n"/>
      <c r="D313" s="13" t="n"/>
      <c r="E313" s="68" t="n"/>
      <c r="F313" s="69" t="n"/>
      <c r="G313" s="13" t="n"/>
      <c r="H313" s="13" t="n"/>
      <c r="I313" s="13" t="n"/>
      <c r="J313" s="13" t="n"/>
      <c r="K313" s="16">
        <f>IF($A313="","",1)</f>
        <v/>
      </c>
    </row>
    <row r="314">
      <c r="A314" s="13" t="n"/>
      <c r="B314" s="13" t="n"/>
      <c r="C314" s="13" t="n"/>
      <c r="D314" s="13" t="n"/>
      <c r="E314" s="68" t="n"/>
      <c r="F314" s="69" t="n"/>
      <c r="G314" s="13" t="n"/>
      <c r="H314" s="13" t="n"/>
      <c r="I314" s="13" t="n"/>
      <c r="J314" s="13" t="n"/>
      <c r="K314" s="16">
        <f>IF($A314="","",1)</f>
        <v/>
      </c>
    </row>
    <row r="315">
      <c r="A315" s="13" t="n"/>
      <c r="B315" s="13" t="n"/>
      <c r="C315" s="13" t="n"/>
      <c r="D315" s="13" t="n"/>
      <c r="E315" s="68" t="n"/>
      <c r="F315" s="69" t="n"/>
      <c r="G315" s="13" t="n"/>
      <c r="H315" s="13" t="n"/>
      <c r="I315" s="13" t="n"/>
      <c r="J315" s="13" t="n"/>
      <c r="K315" s="16">
        <f>IF($A315="","",1)</f>
        <v/>
      </c>
    </row>
    <row r="316">
      <c r="A316" s="13" t="n"/>
      <c r="B316" s="13" t="n"/>
      <c r="C316" s="13" t="n"/>
      <c r="D316" s="13" t="n"/>
      <c r="E316" s="68" t="n"/>
      <c r="F316" s="69" t="n"/>
      <c r="G316" s="13" t="n"/>
      <c r="H316" s="13" t="n"/>
      <c r="I316" s="13" t="n"/>
      <c r="J316" s="13" t="n"/>
      <c r="K316" s="16">
        <f>IF($A316="","",1)</f>
        <v/>
      </c>
    </row>
    <row r="317">
      <c r="A317" s="13" t="n"/>
      <c r="B317" s="13" t="n"/>
      <c r="C317" s="13" t="n"/>
      <c r="D317" s="13" t="n"/>
      <c r="E317" s="68" t="n"/>
      <c r="F317" s="69" t="n"/>
      <c r="G317" s="13" t="n"/>
      <c r="H317" s="13" t="n"/>
      <c r="I317" s="13" t="n"/>
      <c r="J317" s="13" t="n"/>
      <c r="K317" s="16">
        <f>IF($A317="","",1)</f>
        <v/>
      </c>
    </row>
    <row r="318">
      <c r="A318" s="13" t="n"/>
      <c r="B318" s="13" t="n"/>
      <c r="C318" s="13" t="n"/>
      <c r="D318" s="13" t="n"/>
      <c r="E318" s="68" t="n"/>
      <c r="F318" s="69" t="n"/>
      <c r="G318" s="13" t="n"/>
      <c r="H318" s="13" t="n"/>
      <c r="I318" s="13" t="n"/>
      <c r="J318" s="13" t="n"/>
      <c r="K318" s="16">
        <f>IF($A318="","",1)</f>
        <v/>
      </c>
    </row>
    <row r="319">
      <c r="A319" s="13" t="n"/>
      <c r="B319" s="13" t="n"/>
      <c r="C319" s="13" t="n"/>
      <c r="D319" s="13" t="n"/>
      <c r="E319" s="68" t="n"/>
      <c r="F319" s="69" t="n"/>
      <c r="G319" s="13" t="n"/>
      <c r="H319" s="13" t="n"/>
      <c r="I319" s="13" t="n"/>
      <c r="J319" s="13" t="n"/>
      <c r="K319" s="16">
        <f>IF($A319="","",1)</f>
        <v/>
      </c>
    </row>
    <row r="320">
      <c r="A320" s="13" t="n"/>
      <c r="B320" s="13" t="n"/>
      <c r="C320" s="13" t="n"/>
      <c r="D320" s="13" t="n"/>
      <c r="E320" s="68" t="n"/>
      <c r="F320" s="69" t="n"/>
      <c r="G320" s="13" t="n"/>
      <c r="H320" s="13" t="n"/>
      <c r="I320" s="13" t="n"/>
      <c r="J320" s="13" t="n"/>
      <c r="K320" s="16">
        <f>IF($A320="","",1)</f>
        <v/>
      </c>
    </row>
    <row r="321">
      <c r="A321" s="13" t="n"/>
      <c r="B321" s="13" t="n"/>
      <c r="C321" s="13" t="n"/>
      <c r="D321" s="13" t="n"/>
      <c r="E321" s="68" t="n"/>
      <c r="F321" s="69" t="n"/>
      <c r="G321" s="13" t="n"/>
      <c r="H321" s="13" t="n"/>
      <c r="I321" s="13" t="n"/>
      <c r="J321" s="13" t="n"/>
      <c r="K321" s="16">
        <f>IF($A321="","",1)</f>
        <v/>
      </c>
    </row>
    <row r="322">
      <c r="A322" s="13" t="n"/>
      <c r="B322" s="13" t="n"/>
      <c r="C322" s="13" t="n"/>
      <c r="D322" s="13" t="n"/>
      <c r="E322" s="68" t="n"/>
      <c r="F322" s="69" t="n"/>
      <c r="G322" s="13" t="n"/>
      <c r="H322" s="13" t="n"/>
      <c r="I322" s="13" t="n"/>
      <c r="J322" s="13" t="n"/>
      <c r="K322" s="16">
        <f>IF($A322="","",1)</f>
        <v/>
      </c>
    </row>
    <row r="323">
      <c r="A323" s="13" t="n"/>
      <c r="B323" s="13" t="n"/>
      <c r="C323" s="13" t="n"/>
      <c r="D323" s="13" t="n"/>
      <c r="E323" s="68" t="n"/>
      <c r="F323" s="69" t="n"/>
      <c r="G323" s="13" t="n"/>
      <c r="H323" s="13" t="n"/>
      <c r="I323" s="13" t="n"/>
      <c r="J323" s="13" t="n"/>
      <c r="K323" s="16">
        <f>IF($A323="","",1)</f>
        <v/>
      </c>
    </row>
    <row r="324">
      <c r="A324" s="13" t="n"/>
      <c r="B324" s="13" t="n"/>
      <c r="C324" s="13" t="n"/>
      <c r="D324" s="13" t="n"/>
      <c r="E324" s="68" t="n"/>
      <c r="F324" s="69" t="n"/>
      <c r="G324" s="13" t="n"/>
      <c r="H324" s="13" t="n"/>
      <c r="I324" s="13" t="n"/>
      <c r="J324" s="13" t="n"/>
      <c r="K324" s="16">
        <f>IF($A324="","",1)</f>
        <v/>
      </c>
    </row>
    <row r="325">
      <c r="A325" s="13" t="n"/>
      <c r="B325" s="13" t="n"/>
      <c r="C325" s="13" t="n"/>
      <c r="D325" s="13" t="n"/>
      <c r="E325" s="68" t="n"/>
      <c r="F325" s="69" t="n"/>
      <c r="G325" s="13" t="n"/>
      <c r="H325" s="13" t="n"/>
      <c r="I325" s="13" t="n"/>
      <c r="J325" s="13" t="n"/>
      <c r="K325" s="16">
        <f>IF($A325="","",1)</f>
        <v/>
      </c>
    </row>
    <row r="326">
      <c r="A326" s="13" t="n"/>
      <c r="B326" s="13" t="n"/>
      <c r="C326" s="13" t="n"/>
      <c r="D326" s="13" t="n"/>
      <c r="E326" s="68" t="n"/>
      <c r="F326" s="69" t="n"/>
      <c r="G326" s="13" t="n"/>
      <c r="H326" s="13" t="n"/>
      <c r="I326" s="13" t="n"/>
      <c r="J326" s="13" t="n"/>
      <c r="K326" s="16">
        <f>IF($A326="","",1)</f>
        <v/>
      </c>
    </row>
    <row r="327">
      <c r="A327" s="13" t="n"/>
      <c r="B327" s="13" t="n"/>
      <c r="C327" s="13" t="n"/>
      <c r="D327" s="13" t="n"/>
      <c r="E327" s="68" t="n"/>
      <c r="F327" s="69" t="n"/>
      <c r="G327" s="13" t="n"/>
      <c r="H327" s="13" t="n"/>
      <c r="I327" s="13" t="n"/>
      <c r="J327" s="13" t="n"/>
      <c r="K327" s="16">
        <f>IF($A327="","",1)</f>
        <v/>
      </c>
    </row>
    <row r="328">
      <c r="A328" s="13" t="n"/>
      <c r="B328" s="13" t="n"/>
      <c r="C328" s="13" t="n"/>
      <c r="D328" s="13" t="n"/>
      <c r="E328" s="68" t="n"/>
      <c r="F328" s="69" t="n"/>
      <c r="G328" s="13" t="n"/>
      <c r="H328" s="13" t="n"/>
      <c r="I328" s="13" t="n"/>
      <c r="J328" s="13" t="n"/>
      <c r="K328" s="16">
        <f>IF($A328="","",1)</f>
        <v/>
      </c>
    </row>
    <row r="329">
      <c r="A329" s="13" t="n"/>
      <c r="B329" s="13" t="n"/>
      <c r="C329" s="13" t="n"/>
      <c r="D329" s="13" t="n"/>
      <c r="E329" s="68" t="n"/>
      <c r="F329" s="69" t="n"/>
      <c r="G329" s="13" t="n"/>
      <c r="H329" s="13" t="n"/>
      <c r="I329" s="13" t="n"/>
      <c r="J329" s="13" t="n"/>
      <c r="K329" s="16">
        <f>IF($A329="","",1)</f>
        <v/>
      </c>
    </row>
    <row r="330">
      <c r="A330" s="13" t="n"/>
      <c r="B330" s="13" t="n"/>
      <c r="C330" s="13" t="n"/>
      <c r="D330" s="13" t="n"/>
      <c r="E330" s="68" t="n"/>
      <c r="F330" s="69" t="n"/>
      <c r="G330" s="13" t="n"/>
      <c r="H330" s="13" t="n"/>
      <c r="I330" s="13" t="n"/>
      <c r="J330" s="13" t="n"/>
      <c r="K330" s="16">
        <f>IF($A330="","",1)</f>
        <v/>
      </c>
    </row>
    <row r="331">
      <c r="A331" s="13" t="n"/>
      <c r="B331" s="13" t="n"/>
      <c r="C331" s="13" t="n"/>
      <c r="D331" s="13" t="n"/>
      <c r="E331" s="68" t="n"/>
      <c r="F331" s="69" t="n"/>
      <c r="G331" s="13" t="n"/>
      <c r="H331" s="13" t="n"/>
      <c r="I331" s="13" t="n"/>
      <c r="J331" s="13" t="n"/>
      <c r="K331" s="16">
        <f>IF($A331="","",1)</f>
        <v/>
      </c>
    </row>
    <row r="332">
      <c r="A332" s="13" t="n"/>
      <c r="B332" s="13" t="n"/>
      <c r="C332" s="13" t="n"/>
      <c r="D332" s="13" t="n"/>
      <c r="E332" s="68" t="n"/>
      <c r="F332" s="69" t="n"/>
      <c r="G332" s="13" t="n"/>
      <c r="H332" s="13" t="n"/>
      <c r="I332" s="13" t="n"/>
      <c r="J332" s="13" t="n"/>
      <c r="K332" s="16">
        <f>IF($A332="","",1)</f>
        <v/>
      </c>
    </row>
    <row r="333">
      <c r="A333" s="13" t="n"/>
      <c r="B333" s="13" t="n"/>
      <c r="C333" s="13" t="n"/>
      <c r="D333" s="13" t="n"/>
      <c r="E333" s="68" t="n"/>
      <c r="F333" s="69" t="n"/>
      <c r="G333" s="13" t="n"/>
      <c r="H333" s="13" t="n"/>
      <c r="I333" s="13" t="n"/>
      <c r="J333" s="13" t="n"/>
      <c r="K333" s="16">
        <f>IF($A333="","",1)</f>
        <v/>
      </c>
    </row>
    <row r="334">
      <c r="A334" s="13" t="n"/>
      <c r="B334" s="13" t="n"/>
      <c r="C334" s="13" t="n"/>
      <c r="D334" s="13" t="n"/>
      <c r="E334" s="68" t="n"/>
      <c r="F334" s="69" t="n"/>
      <c r="G334" s="13" t="n"/>
      <c r="H334" s="13" t="n"/>
      <c r="I334" s="13" t="n"/>
      <c r="J334" s="13" t="n"/>
      <c r="K334" s="16">
        <f>IF($A334="","",1)</f>
        <v/>
      </c>
    </row>
    <row r="335">
      <c r="A335" s="13" t="n"/>
      <c r="B335" s="13" t="n"/>
      <c r="C335" s="13" t="n"/>
      <c r="D335" s="13" t="n"/>
      <c r="E335" s="68" t="n"/>
      <c r="F335" s="69" t="n"/>
      <c r="G335" s="13" t="n"/>
      <c r="H335" s="13" t="n"/>
      <c r="I335" s="13" t="n"/>
      <c r="J335" s="13" t="n"/>
      <c r="K335" s="16">
        <f>IF($A335="","",1)</f>
        <v/>
      </c>
    </row>
    <row r="336">
      <c r="A336" s="13" t="n"/>
      <c r="B336" s="13" t="n"/>
      <c r="C336" s="13" t="n"/>
      <c r="D336" s="13" t="n"/>
      <c r="E336" s="68" t="n"/>
      <c r="F336" s="69" t="n"/>
      <c r="G336" s="13" t="n"/>
      <c r="H336" s="13" t="n"/>
      <c r="I336" s="13" t="n"/>
      <c r="J336" s="13" t="n"/>
      <c r="K336" s="16">
        <f>IF($A336="","",1)</f>
        <v/>
      </c>
    </row>
    <row r="337">
      <c r="A337" s="13" t="n"/>
      <c r="B337" s="13" t="n"/>
      <c r="C337" s="13" t="n"/>
      <c r="D337" s="13" t="n"/>
      <c r="E337" s="68" t="n"/>
      <c r="F337" s="69" t="n"/>
      <c r="G337" s="13" t="n"/>
      <c r="H337" s="13" t="n"/>
      <c r="I337" s="13" t="n"/>
      <c r="J337" s="13" t="n"/>
      <c r="K337" s="16">
        <f>IF($A337="","",1)</f>
        <v/>
      </c>
    </row>
    <row r="338">
      <c r="A338" s="13" t="n"/>
      <c r="B338" s="13" t="n"/>
      <c r="C338" s="13" t="n"/>
      <c r="D338" s="13" t="n"/>
      <c r="E338" s="68" t="n"/>
      <c r="F338" s="69" t="n"/>
      <c r="G338" s="13" t="n"/>
      <c r="H338" s="13" t="n"/>
      <c r="I338" s="13" t="n"/>
      <c r="J338" s="13" t="n"/>
      <c r="K338" s="16">
        <f>IF($A338="","",1)</f>
        <v/>
      </c>
    </row>
    <row r="339">
      <c r="A339" s="13" t="n"/>
      <c r="B339" s="13" t="n"/>
      <c r="C339" s="13" t="n"/>
      <c r="D339" s="13" t="n"/>
      <c r="E339" s="68" t="n"/>
      <c r="F339" s="69" t="n"/>
      <c r="G339" s="13" t="n"/>
      <c r="H339" s="13" t="n"/>
      <c r="I339" s="13" t="n"/>
      <c r="J339" s="13" t="n"/>
      <c r="K339" s="16">
        <f>IF($A339="","",1)</f>
        <v/>
      </c>
    </row>
    <row r="340">
      <c r="A340" s="13" t="n"/>
      <c r="B340" s="13" t="n"/>
      <c r="C340" s="13" t="n"/>
      <c r="D340" s="13" t="n"/>
      <c r="E340" s="68" t="n"/>
      <c r="F340" s="69" t="n"/>
      <c r="G340" s="13" t="n"/>
      <c r="H340" s="13" t="n"/>
      <c r="I340" s="13" t="n"/>
      <c r="J340" s="13" t="n"/>
      <c r="K340" s="16">
        <f>IF($A340="","",1)</f>
        <v/>
      </c>
    </row>
    <row r="341">
      <c r="A341" s="13" t="n"/>
      <c r="B341" s="13" t="n"/>
      <c r="C341" s="13" t="n"/>
      <c r="D341" s="13" t="n"/>
      <c r="E341" s="68" t="n"/>
      <c r="F341" s="69" t="n"/>
      <c r="G341" s="13" t="n"/>
      <c r="H341" s="13" t="n"/>
      <c r="I341" s="13" t="n"/>
      <c r="J341" s="13" t="n"/>
      <c r="K341" s="16">
        <f>IF($A341="","",1)</f>
        <v/>
      </c>
    </row>
    <row r="342">
      <c r="A342" s="13" t="n"/>
      <c r="B342" s="13" t="n"/>
      <c r="C342" s="13" t="n"/>
      <c r="D342" s="13" t="n"/>
      <c r="E342" s="68" t="n"/>
      <c r="F342" s="69" t="n"/>
      <c r="G342" s="13" t="n"/>
      <c r="H342" s="13" t="n"/>
      <c r="I342" s="13" t="n"/>
      <c r="J342" s="13" t="n"/>
      <c r="K342" s="16">
        <f>IF($A342="","",1)</f>
        <v/>
      </c>
    </row>
    <row r="343">
      <c r="A343" s="13" t="n"/>
      <c r="B343" s="13" t="n"/>
      <c r="C343" s="13" t="n"/>
      <c r="D343" s="13" t="n"/>
      <c r="E343" s="68" t="n"/>
      <c r="F343" s="69" t="n"/>
      <c r="G343" s="13" t="n"/>
      <c r="H343" s="13" t="n"/>
      <c r="I343" s="13" t="n"/>
      <c r="J343" s="13" t="n"/>
      <c r="K343" s="16">
        <f>IF($A343="","",1)</f>
        <v/>
      </c>
    </row>
    <row r="344">
      <c r="A344" s="13" t="n"/>
      <c r="B344" s="13" t="n"/>
      <c r="C344" s="13" t="n"/>
      <c r="D344" s="13" t="n"/>
      <c r="E344" s="68" t="n"/>
      <c r="F344" s="69" t="n"/>
      <c r="G344" s="13" t="n"/>
      <c r="H344" s="13" t="n"/>
      <c r="I344" s="13" t="n"/>
      <c r="J344" s="13" t="n"/>
      <c r="K344" s="16">
        <f>IF($A344="","",1)</f>
        <v/>
      </c>
    </row>
    <row r="345">
      <c r="A345" s="13" t="n"/>
      <c r="B345" s="13" t="n"/>
      <c r="C345" s="13" t="n"/>
      <c r="D345" s="13" t="n"/>
      <c r="E345" s="68" t="n"/>
      <c r="F345" s="69" t="n"/>
      <c r="G345" s="13" t="n"/>
      <c r="H345" s="13" t="n"/>
      <c r="I345" s="13" t="n"/>
      <c r="J345" s="13" t="n"/>
      <c r="K345" s="16">
        <f>IF($A345="","",1)</f>
        <v/>
      </c>
    </row>
    <row r="346">
      <c r="A346" s="13" t="n"/>
      <c r="B346" s="13" t="n"/>
      <c r="C346" s="13" t="n"/>
      <c r="D346" s="13" t="n"/>
      <c r="E346" s="68" t="n"/>
      <c r="F346" s="69" t="n"/>
      <c r="G346" s="13" t="n"/>
      <c r="H346" s="13" t="n"/>
      <c r="I346" s="13" t="n"/>
      <c r="J346" s="13" t="n"/>
      <c r="K346" s="16">
        <f>IF($A346="","",1)</f>
        <v/>
      </c>
    </row>
    <row r="347">
      <c r="A347" s="13" t="n"/>
      <c r="B347" s="13" t="n"/>
      <c r="C347" s="13" t="n"/>
      <c r="D347" s="13" t="n"/>
      <c r="E347" s="68" t="n"/>
      <c r="F347" s="69" t="n"/>
      <c r="G347" s="13" t="n"/>
      <c r="H347" s="13" t="n"/>
      <c r="I347" s="13" t="n"/>
      <c r="J347" s="13" t="n"/>
      <c r="K347" s="16">
        <f>IF($A347="","",1)</f>
        <v/>
      </c>
    </row>
    <row r="348">
      <c r="A348" s="13" t="n"/>
      <c r="B348" s="13" t="n"/>
      <c r="C348" s="13" t="n"/>
      <c r="D348" s="13" t="n"/>
      <c r="E348" s="68" t="n"/>
      <c r="F348" s="69" t="n"/>
      <c r="G348" s="13" t="n"/>
      <c r="H348" s="13" t="n"/>
      <c r="I348" s="13" t="n"/>
      <c r="J348" s="13" t="n"/>
      <c r="K348" s="16">
        <f>IF($A348="","",1)</f>
        <v/>
      </c>
    </row>
    <row r="349">
      <c r="A349" s="13" t="n"/>
      <c r="B349" s="13" t="n"/>
      <c r="C349" s="13" t="n"/>
      <c r="D349" s="13" t="n"/>
      <c r="E349" s="68" t="n"/>
      <c r="F349" s="69" t="n"/>
      <c r="G349" s="13" t="n"/>
      <c r="H349" s="13" t="n"/>
      <c r="I349" s="13" t="n"/>
      <c r="J349" s="13" t="n"/>
      <c r="K349" s="16">
        <f>IF($A349="","",1)</f>
        <v/>
      </c>
    </row>
    <row r="350">
      <c r="A350" s="13" t="n"/>
      <c r="B350" s="13" t="n"/>
      <c r="C350" s="13" t="n"/>
      <c r="D350" s="13" t="n"/>
      <c r="E350" s="68" t="n"/>
      <c r="F350" s="69" t="n"/>
      <c r="G350" s="13" t="n"/>
      <c r="H350" s="13" t="n"/>
      <c r="I350" s="13" t="n"/>
      <c r="J350" s="13" t="n"/>
      <c r="K350" s="16">
        <f>IF($A350="","",1)</f>
        <v/>
      </c>
    </row>
    <row r="351">
      <c r="A351" s="13" t="n"/>
      <c r="B351" s="13" t="n"/>
      <c r="C351" s="13" t="n"/>
      <c r="D351" s="13" t="n"/>
      <c r="E351" s="68" t="n"/>
      <c r="F351" s="69" t="n"/>
      <c r="G351" s="13" t="n"/>
      <c r="H351" s="13" t="n"/>
      <c r="I351" s="13" t="n"/>
      <c r="J351" s="13" t="n"/>
      <c r="K351" s="16">
        <f>IF($A351="","",1)</f>
        <v/>
      </c>
    </row>
    <row r="352">
      <c r="A352" s="13" t="n"/>
      <c r="B352" s="13" t="n"/>
      <c r="C352" s="13" t="n"/>
      <c r="D352" s="13" t="n"/>
      <c r="E352" s="68" t="n"/>
      <c r="F352" s="69" t="n"/>
      <c r="G352" s="13" t="n"/>
      <c r="H352" s="13" t="n"/>
      <c r="I352" s="13" t="n"/>
      <c r="J352" s="13" t="n"/>
      <c r="K352" s="16">
        <f>IF($A352="","",1)</f>
        <v/>
      </c>
    </row>
    <row r="353">
      <c r="A353" s="13" t="n"/>
      <c r="B353" s="13" t="n"/>
      <c r="C353" s="13" t="n"/>
      <c r="D353" s="13" t="n"/>
      <c r="E353" s="68" t="n"/>
      <c r="F353" s="69" t="n"/>
      <c r="G353" s="13" t="n"/>
      <c r="H353" s="13" t="n"/>
      <c r="I353" s="13" t="n"/>
      <c r="J353" s="13" t="n"/>
      <c r="K353" s="16">
        <f>IF($A353="","",1)</f>
        <v/>
      </c>
    </row>
    <row r="354">
      <c r="A354" s="13" t="n"/>
      <c r="B354" s="13" t="n"/>
      <c r="C354" s="13" t="n"/>
      <c r="D354" s="13" t="n"/>
      <c r="E354" s="68" t="n"/>
      <c r="F354" s="69" t="n"/>
      <c r="G354" s="13" t="n"/>
      <c r="H354" s="13" t="n"/>
      <c r="I354" s="13" t="n"/>
      <c r="J354" s="13" t="n"/>
      <c r="K354" s="16">
        <f>IF($A354="","",1)</f>
        <v/>
      </c>
    </row>
    <row r="355">
      <c r="A355" s="13" t="n"/>
      <c r="B355" s="13" t="n"/>
      <c r="C355" s="13" t="n"/>
      <c r="D355" s="13" t="n"/>
      <c r="E355" s="68" t="n"/>
      <c r="F355" s="69" t="n"/>
      <c r="G355" s="13" t="n"/>
      <c r="H355" s="13" t="n"/>
      <c r="I355" s="13" t="n"/>
      <c r="J355" s="13" t="n"/>
      <c r="K355" s="16">
        <f>IF($A355="","",1)</f>
        <v/>
      </c>
    </row>
    <row r="356">
      <c r="A356" s="13" t="n"/>
      <c r="B356" s="13" t="n"/>
      <c r="C356" s="13" t="n"/>
      <c r="D356" s="13" t="n"/>
      <c r="E356" s="68" t="n"/>
      <c r="F356" s="69" t="n"/>
      <c r="G356" s="13" t="n"/>
      <c r="H356" s="13" t="n"/>
      <c r="I356" s="13" t="n"/>
      <c r="J356" s="13" t="n"/>
      <c r="K356" s="16">
        <f>IF($A356="","",1)</f>
        <v/>
      </c>
    </row>
    <row r="357">
      <c r="A357" s="13" t="n"/>
      <c r="B357" s="13" t="n"/>
      <c r="C357" s="13" t="n"/>
      <c r="D357" s="13" t="n"/>
      <c r="E357" s="68" t="n"/>
      <c r="F357" s="69" t="n"/>
      <c r="G357" s="13" t="n"/>
      <c r="H357" s="13" t="n"/>
      <c r="I357" s="13" t="n"/>
      <c r="J357" s="13" t="n"/>
      <c r="K357" s="16">
        <f>IF($A357="","",1)</f>
        <v/>
      </c>
    </row>
    <row r="358">
      <c r="A358" s="13" t="n"/>
      <c r="B358" s="13" t="n"/>
      <c r="C358" s="13" t="n"/>
      <c r="D358" s="13" t="n"/>
      <c r="E358" s="68" t="n"/>
      <c r="F358" s="69" t="n"/>
      <c r="G358" s="13" t="n"/>
      <c r="H358" s="13" t="n"/>
      <c r="I358" s="13" t="n"/>
      <c r="J358" s="13" t="n"/>
      <c r="K358" s="16">
        <f>IF($A358="","",1)</f>
        <v/>
      </c>
    </row>
    <row r="359">
      <c r="A359" s="13" t="n"/>
      <c r="B359" s="13" t="n"/>
      <c r="C359" s="13" t="n"/>
      <c r="D359" s="13" t="n"/>
      <c r="E359" s="68" t="n"/>
      <c r="F359" s="69" t="n"/>
      <c r="G359" s="13" t="n"/>
      <c r="H359" s="13" t="n"/>
      <c r="I359" s="13" t="n"/>
      <c r="J359" s="13" t="n"/>
      <c r="K359" s="16">
        <f>IF($A359="","",1)</f>
        <v/>
      </c>
    </row>
    <row r="360">
      <c r="A360" s="13" t="n"/>
      <c r="B360" s="13" t="n"/>
      <c r="C360" s="13" t="n"/>
      <c r="D360" s="13" t="n"/>
      <c r="E360" s="68" t="n"/>
      <c r="F360" s="69" t="n"/>
      <c r="G360" s="13" t="n"/>
      <c r="H360" s="13" t="n"/>
      <c r="I360" s="13" t="n"/>
      <c r="J360" s="13" t="n"/>
      <c r="K360" s="16">
        <f>IF($A360="","",1)</f>
        <v/>
      </c>
    </row>
    <row r="361">
      <c r="A361" s="13" t="n"/>
      <c r="B361" s="13" t="n"/>
      <c r="C361" s="13" t="n"/>
      <c r="D361" s="13" t="n"/>
      <c r="E361" s="68" t="n"/>
      <c r="F361" s="69" t="n"/>
      <c r="G361" s="13" t="n"/>
      <c r="H361" s="13" t="n"/>
      <c r="I361" s="13" t="n"/>
      <c r="J361" s="13" t="n"/>
      <c r="K361" s="16">
        <f>IF($A361="","",1)</f>
        <v/>
      </c>
    </row>
    <row r="362">
      <c r="A362" s="13" t="n"/>
      <c r="B362" s="13" t="n"/>
      <c r="C362" s="13" t="n"/>
      <c r="D362" s="13" t="n"/>
      <c r="E362" s="68" t="n"/>
      <c r="F362" s="69" t="n"/>
      <c r="G362" s="13" t="n"/>
      <c r="H362" s="13" t="n"/>
      <c r="I362" s="13" t="n"/>
      <c r="J362" s="13" t="n"/>
      <c r="K362" s="16">
        <f>IF($A362="","",1)</f>
        <v/>
      </c>
    </row>
    <row r="363">
      <c r="A363" s="13" t="n"/>
      <c r="B363" s="13" t="n"/>
      <c r="C363" s="13" t="n"/>
      <c r="D363" s="13" t="n"/>
      <c r="E363" s="68" t="n"/>
      <c r="F363" s="69" t="n"/>
      <c r="G363" s="13" t="n"/>
      <c r="H363" s="13" t="n"/>
      <c r="I363" s="13" t="n"/>
      <c r="J363" s="13" t="n"/>
      <c r="K363" s="16">
        <f>IF($A363="","",1)</f>
        <v/>
      </c>
    </row>
    <row r="364">
      <c r="A364" s="13" t="n"/>
      <c r="B364" s="13" t="n"/>
      <c r="C364" s="13" t="n"/>
      <c r="D364" s="13" t="n"/>
      <c r="E364" s="68" t="n"/>
      <c r="F364" s="69" t="n"/>
      <c r="G364" s="13" t="n"/>
      <c r="H364" s="13" t="n"/>
      <c r="I364" s="13" t="n"/>
      <c r="J364" s="13" t="n"/>
      <c r="K364" s="16">
        <f>IF($A364="","",1)</f>
        <v/>
      </c>
    </row>
    <row r="365">
      <c r="A365" s="13" t="n"/>
      <c r="B365" s="13" t="n"/>
      <c r="C365" s="13" t="n"/>
      <c r="D365" s="13" t="n"/>
      <c r="E365" s="68" t="n"/>
      <c r="F365" s="69" t="n"/>
      <c r="G365" s="13" t="n"/>
      <c r="H365" s="13" t="n"/>
      <c r="I365" s="13" t="n"/>
      <c r="J365" s="13" t="n"/>
      <c r="K365" s="16">
        <f>IF($A365="","",1)</f>
        <v/>
      </c>
    </row>
    <row r="366">
      <c r="A366" s="13" t="n"/>
      <c r="B366" s="13" t="n"/>
      <c r="C366" s="13" t="n"/>
      <c r="D366" s="13" t="n"/>
      <c r="E366" s="68" t="n"/>
      <c r="F366" s="69" t="n"/>
      <c r="G366" s="13" t="n"/>
      <c r="H366" s="13" t="n"/>
      <c r="I366" s="13" t="n"/>
      <c r="J366" s="13" t="n"/>
      <c r="K366" s="16">
        <f>IF($A366="","",1)</f>
        <v/>
      </c>
    </row>
    <row r="367">
      <c r="A367" s="13" t="n"/>
      <c r="B367" s="13" t="n"/>
      <c r="C367" s="13" t="n"/>
      <c r="D367" s="13" t="n"/>
      <c r="E367" s="68" t="n"/>
      <c r="F367" s="69" t="n"/>
      <c r="G367" s="13" t="n"/>
      <c r="H367" s="13" t="n"/>
      <c r="I367" s="13" t="n"/>
      <c r="J367" s="13" t="n"/>
      <c r="K367" s="16">
        <f>IF($A367="","",1)</f>
        <v/>
      </c>
    </row>
    <row r="368">
      <c r="A368" s="13" t="n"/>
      <c r="B368" s="13" t="n"/>
      <c r="C368" s="13" t="n"/>
      <c r="D368" s="13" t="n"/>
      <c r="E368" s="68" t="n"/>
      <c r="F368" s="69" t="n"/>
      <c r="G368" s="13" t="n"/>
      <c r="H368" s="13" t="n"/>
      <c r="I368" s="13" t="n"/>
      <c r="J368" s="13" t="n"/>
      <c r="K368" s="16">
        <f>IF($A368="","",1)</f>
        <v/>
      </c>
    </row>
    <row r="369">
      <c r="A369" s="13" t="n"/>
      <c r="B369" s="13" t="n"/>
      <c r="C369" s="13" t="n"/>
      <c r="D369" s="13" t="n"/>
      <c r="E369" s="68" t="n"/>
      <c r="F369" s="69" t="n"/>
      <c r="G369" s="13" t="n"/>
      <c r="H369" s="13" t="n"/>
      <c r="I369" s="13" t="n"/>
      <c r="J369" s="13" t="n"/>
      <c r="K369" s="16">
        <f>IF($A369="","",1)</f>
        <v/>
      </c>
    </row>
    <row r="370">
      <c r="A370" s="13" t="n"/>
      <c r="B370" s="13" t="n"/>
      <c r="C370" s="13" t="n"/>
      <c r="D370" s="13" t="n"/>
      <c r="E370" s="68" t="n"/>
      <c r="F370" s="69" t="n"/>
      <c r="G370" s="13" t="n"/>
      <c r="H370" s="13" t="n"/>
      <c r="I370" s="13" t="n"/>
      <c r="J370" s="13" t="n"/>
      <c r="K370" s="16">
        <f>IF($A370="","",1)</f>
        <v/>
      </c>
    </row>
    <row r="371">
      <c r="A371" s="13" t="n"/>
      <c r="B371" s="13" t="n"/>
      <c r="C371" s="13" t="n"/>
      <c r="D371" s="13" t="n"/>
      <c r="E371" s="68" t="n"/>
      <c r="F371" s="69" t="n"/>
      <c r="G371" s="13" t="n"/>
      <c r="H371" s="13" t="n"/>
      <c r="I371" s="13" t="n"/>
      <c r="J371" s="13" t="n"/>
      <c r="K371" s="16">
        <f>IF($A371="","",1)</f>
        <v/>
      </c>
    </row>
    <row r="372">
      <c r="A372" s="13" t="n"/>
      <c r="B372" s="13" t="n"/>
      <c r="C372" s="13" t="n"/>
      <c r="D372" s="13" t="n"/>
      <c r="E372" s="68" t="n"/>
      <c r="F372" s="69" t="n"/>
      <c r="G372" s="13" t="n"/>
      <c r="H372" s="13" t="n"/>
      <c r="I372" s="13" t="n"/>
      <c r="J372" s="13" t="n"/>
      <c r="K372" s="16">
        <f>IF($A372="","",1)</f>
        <v/>
      </c>
    </row>
    <row r="373">
      <c r="A373" s="13" t="n"/>
      <c r="B373" s="13" t="n"/>
      <c r="C373" s="13" t="n"/>
      <c r="D373" s="13" t="n"/>
      <c r="E373" s="68" t="n"/>
      <c r="F373" s="69" t="n"/>
      <c r="G373" s="13" t="n"/>
      <c r="H373" s="13" t="n"/>
      <c r="I373" s="13" t="n"/>
      <c r="J373" s="13" t="n"/>
      <c r="K373" s="16">
        <f>IF($A373="","",1)</f>
        <v/>
      </c>
    </row>
    <row r="374">
      <c r="A374" s="13" t="n"/>
      <c r="B374" s="13" t="n"/>
      <c r="C374" s="13" t="n"/>
      <c r="D374" s="13" t="n"/>
      <c r="E374" s="68" t="n"/>
      <c r="F374" s="69" t="n"/>
      <c r="G374" s="13" t="n"/>
      <c r="H374" s="13" t="n"/>
      <c r="I374" s="13" t="n"/>
      <c r="J374" s="13" t="n"/>
      <c r="K374" s="16">
        <f>IF($A374="","",1)</f>
        <v/>
      </c>
    </row>
    <row r="375">
      <c r="A375" s="13" t="n"/>
      <c r="B375" s="13" t="n"/>
      <c r="C375" s="13" t="n"/>
      <c r="D375" s="13" t="n"/>
      <c r="E375" s="68" t="n"/>
      <c r="F375" s="69" t="n"/>
      <c r="G375" s="13" t="n"/>
      <c r="H375" s="13" t="n"/>
      <c r="I375" s="13" t="n"/>
      <c r="J375" s="13" t="n"/>
      <c r="K375" s="16">
        <f>IF($A375="","",1)</f>
        <v/>
      </c>
    </row>
    <row r="376">
      <c r="A376" s="13" t="n"/>
      <c r="B376" s="13" t="n"/>
      <c r="C376" s="13" t="n"/>
      <c r="D376" s="13" t="n"/>
      <c r="E376" s="68" t="n"/>
      <c r="F376" s="69" t="n"/>
      <c r="G376" s="13" t="n"/>
      <c r="H376" s="13" t="n"/>
      <c r="I376" s="13" t="n"/>
      <c r="J376" s="13" t="n"/>
      <c r="K376" s="16">
        <f>IF($A376="","",1)</f>
        <v/>
      </c>
    </row>
    <row r="377">
      <c r="A377" s="13" t="n"/>
      <c r="B377" s="13" t="n"/>
      <c r="C377" s="13" t="n"/>
      <c r="D377" s="13" t="n"/>
      <c r="E377" s="68" t="n"/>
      <c r="F377" s="69" t="n"/>
      <c r="G377" s="13" t="n"/>
      <c r="H377" s="13" t="n"/>
      <c r="I377" s="13" t="n"/>
      <c r="J377" s="13" t="n"/>
      <c r="K377" s="16">
        <f>IF($A377="","",1)</f>
        <v/>
      </c>
    </row>
    <row r="378">
      <c r="A378" s="13" t="n"/>
      <c r="B378" s="13" t="n"/>
      <c r="C378" s="13" t="n"/>
      <c r="D378" s="13" t="n"/>
      <c r="E378" s="68" t="n"/>
      <c r="F378" s="69" t="n"/>
      <c r="G378" s="13" t="n"/>
      <c r="H378" s="13" t="n"/>
      <c r="I378" s="13" t="n"/>
      <c r="J378" s="13" t="n"/>
      <c r="K378" s="16">
        <f>IF($A378="","",1)</f>
        <v/>
      </c>
    </row>
    <row r="379">
      <c r="A379" s="13" t="n"/>
      <c r="B379" s="13" t="n"/>
      <c r="C379" s="13" t="n"/>
      <c r="D379" s="13" t="n"/>
      <c r="E379" s="68" t="n"/>
      <c r="F379" s="69" t="n"/>
      <c r="G379" s="13" t="n"/>
      <c r="H379" s="13" t="n"/>
      <c r="I379" s="13" t="n"/>
      <c r="J379" s="13" t="n"/>
      <c r="K379" s="16">
        <f>IF($A379="","",1)</f>
        <v/>
      </c>
    </row>
    <row r="380">
      <c r="A380" s="13" t="n"/>
      <c r="B380" s="13" t="n"/>
      <c r="C380" s="13" t="n"/>
      <c r="D380" s="13" t="n"/>
      <c r="E380" s="68" t="n"/>
      <c r="F380" s="69" t="n"/>
      <c r="G380" s="13" t="n"/>
      <c r="H380" s="13" t="n"/>
      <c r="I380" s="13" t="n"/>
      <c r="J380" s="13" t="n"/>
      <c r="K380" s="16">
        <f>IF($A380="","",1)</f>
        <v/>
      </c>
    </row>
    <row r="381">
      <c r="A381" s="13" t="n"/>
      <c r="B381" s="13" t="n"/>
      <c r="C381" s="13" t="n"/>
      <c r="D381" s="13" t="n"/>
      <c r="E381" s="68" t="n"/>
      <c r="F381" s="69" t="n"/>
      <c r="G381" s="13" t="n"/>
      <c r="H381" s="13" t="n"/>
      <c r="I381" s="13" t="n"/>
      <c r="J381" s="13" t="n"/>
      <c r="K381" s="16">
        <f>IF($A381="","",1)</f>
        <v/>
      </c>
    </row>
    <row r="382">
      <c r="A382" s="13" t="n"/>
      <c r="B382" s="13" t="n"/>
      <c r="C382" s="13" t="n"/>
      <c r="D382" s="13" t="n"/>
      <c r="E382" s="68" t="n"/>
      <c r="F382" s="69" t="n"/>
      <c r="G382" s="13" t="n"/>
      <c r="H382" s="13" t="n"/>
      <c r="I382" s="13" t="n"/>
      <c r="J382" s="13" t="n"/>
      <c r="K382" s="16">
        <f>IF($A382="","",1)</f>
        <v/>
      </c>
    </row>
    <row r="383">
      <c r="A383" s="13" t="n"/>
      <c r="B383" s="13" t="n"/>
      <c r="C383" s="13" t="n"/>
      <c r="D383" s="13" t="n"/>
      <c r="E383" s="68" t="n"/>
      <c r="F383" s="69" t="n"/>
      <c r="G383" s="13" t="n"/>
      <c r="H383" s="13" t="n"/>
      <c r="I383" s="13" t="n"/>
      <c r="J383" s="13" t="n"/>
      <c r="K383" s="16">
        <f>IF($A383="","",1)</f>
        <v/>
      </c>
    </row>
    <row r="384">
      <c r="A384" s="13" t="n"/>
      <c r="B384" s="13" t="n"/>
      <c r="C384" s="13" t="n"/>
      <c r="D384" s="13" t="n"/>
      <c r="E384" s="68" t="n"/>
      <c r="F384" s="69" t="n"/>
      <c r="G384" s="13" t="n"/>
      <c r="H384" s="13" t="n"/>
      <c r="I384" s="13" t="n"/>
      <c r="J384" s="13" t="n"/>
      <c r="K384" s="16">
        <f>IF($A384="","",1)</f>
        <v/>
      </c>
    </row>
    <row r="385">
      <c r="A385" s="13" t="n"/>
      <c r="B385" s="13" t="n"/>
      <c r="C385" s="13" t="n"/>
      <c r="D385" s="13" t="n"/>
      <c r="E385" s="68" t="n"/>
      <c r="F385" s="69" t="n"/>
      <c r="G385" s="13" t="n"/>
      <c r="H385" s="13" t="n"/>
      <c r="I385" s="13" t="n"/>
      <c r="J385" s="13" t="n"/>
      <c r="K385" s="16">
        <f>IF($A385="","",1)</f>
        <v/>
      </c>
    </row>
    <row r="386">
      <c r="A386" s="13" t="n"/>
      <c r="B386" s="13" t="n"/>
      <c r="C386" s="13" t="n"/>
      <c r="D386" s="13" t="n"/>
      <c r="E386" s="68" t="n"/>
      <c r="F386" s="69" t="n"/>
      <c r="G386" s="13" t="n"/>
      <c r="H386" s="13" t="n"/>
      <c r="I386" s="13" t="n"/>
      <c r="J386" s="13" t="n"/>
      <c r="K386" s="16">
        <f>IF($A386="","",1)</f>
        <v/>
      </c>
    </row>
    <row r="387">
      <c r="A387" s="13" t="n"/>
      <c r="B387" s="13" t="n"/>
      <c r="C387" s="13" t="n"/>
      <c r="D387" s="13" t="n"/>
      <c r="E387" s="68" t="n"/>
      <c r="F387" s="69" t="n"/>
      <c r="G387" s="13" t="n"/>
      <c r="H387" s="13" t="n"/>
      <c r="I387" s="13" t="n"/>
      <c r="J387" s="13" t="n"/>
      <c r="K387" s="16">
        <f>IF($A387="","",1)</f>
        <v/>
      </c>
    </row>
    <row r="388">
      <c r="A388" s="13" t="n"/>
      <c r="B388" s="13" t="n"/>
      <c r="C388" s="13" t="n"/>
      <c r="D388" s="13" t="n"/>
      <c r="E388" s="68" t="n"/>
      <c r="F388" s="69" t="n"/>
      <c r="G388" s="13" t="n"/>
      <c r="H388" s="13" t="n"/>
      <c r="I388" s="13" t="n"/>
      <c r="J388" s="13" t="n"/>
      <c r="K388" s="16">
        <f>IF($A388="","",1)</f>
        <v/>
      </c>
    </row>
    <row r="389">
      <c r="A389" s="13" t="n"/>
      <c r="B389" s="13" t="n"/>
      <c r="C389" s="13" t="n"/>
      <c r="D389" s="13" t="n"/>
      <c r="E389" s="68" t="n"/>
      <c r="F389" s="69" t="n"/>
      <c r="G389" s="13" t="n"/>
      <c r="H389" s="13" t="n"/>
      <c r="I389" s="13" t="n"/>
      <c r="J389" s="13" t="n"/>
      <c r="K389" s="16">
        <f>IF($A389="","",1)</f>
        <v/>
      </c>
    </row>
    <row r="390">
      <c r="A390" s="13" t="n"/>
      <c r="B390" s="13" t="n"/>
      <c r="C390" s="13" t="n"/>
      <c r="D390" s="13" t="n"/>
      <c r="E390" s="68" t="n"/>
      <c r="F390" s="69" t="n"/>
      <c r="G390" s="13" t="n"/>
      <c r="H390" s="13" t="n"/>
      <c r="I390" s="13" t="n"/>
      <c r="J390" s="13" t="n"/>
      <c r="K390" s="16">
        <f>IF($A390="","",1)</f>
        <v/>
      </c>
    </row>
    <row r="391">
      <c r="A391" s="13" t="n"/>
      <c r="B391" s="13" t="n"/>
      <c r="C391" s="13" t="n"/>
      <c r="D391" s="13" t="n"/>
      <c r="E391" s="68" t="n"/>
      <c r="F391" s="69" t="n"/>
      <c r="G391" s="13" t="n"/>
      <c r="H391" s="13" t="n"/>
      <c r="I391" s="13" t="n"/>
      <c r="J391" s="13" t="n"/>
      <c r="K391" s="16">
        <f>IF($A391="","",1)</f>
        <v/>
      </c>
    </row>
    <row r="392">
      <c r="A392" s="13" t="n"/>
      <c r="B392" s="13" t="n"/>
      <c r="C392" s="13" t="n"/>
      <c r="D392" s="13" t="n"/>
      <c r="E392" s="68" t="n"/>
      <c r="F392" s="69" t="n"/>
      <c r="G392" s="13" t="n"/>
      <c r="H392" s="13" t="n"/>
      <c r="I392" s="13" t="n"/>
      <c r="J392" s="13" t="n"/>
      <c r="K392" s="16">
        <f>IF($A392="","",1)</f>
        <v/>
      </c>
    </row>
    <row r="393">
      <c r="A393" s="13" t="n"/>
      <c r="B393" s="13" t="n"/>
      <c r="C393" s="13" t="n"/>
      <c r="D393" s="13" t="n"/>
      <c r="E393" s="68" t="n"/>
      <c r="F393" s="69" t="n"/>
      <c r="G393" s="13" t="n"/>
      <c r="H393" s="13" t="n"/>
      <c r="I393" s="13" t="n"/>
      <c r="J393" s="13" t="n"/>
      <c r="K393" s="16">
        <f>IF($A393="","",1)</f>
        <v/>
      </c>
    </row>
    <row r="394">
      <c r="A394" s="13" t="n"/>
      <c r="B394" s="13" t="n"/>
      <c r="C394" s="13" t="n"/>
      <c r="D394" s="13" t="n"/>
      <c r="E394" s="68" t="n"/>
      <c r="F394" s="69" t="n"/>
      <c r="G394" s="13" t="n"/>
      <c r="H394" s="13" t="n"/>
      <c r="I394" s="13" t="n"/>
      <c r="J394" s="13" t="n"/>
      <c r="K394" s="16">
        <f>IF($A394="","",1)</f>
        <v/>
      </c>
    </row>
    <row r="395">
      <c r="A395" s="13" t="n"/>
      <c r="B395" s="13" t="n"/>
      <c r="C395" s="13" t="n"/>
      <c r="D395" s="13" t="n"/>
      <c r="E395" s="68" t="n"/>
      <c r="F395" s="69" t="n"/>
      <c r="G395" s="13" t="n"/>
      <c r="H395" s="13" t="n"/>
      <c r="I395" s="13" t="n"/>
      <c r="J395" s="13" t="n"/>
      <c r="K395" s="16">
        <f>IF($A395="","",1)</f>
        <v/>
      </c>
    </row>
    <row r="396">
      <c r="A396" s="13" t="n"/>
      <c r="B396" s="13" t="n"/>
      <c r="C396" s="13" t="n"/>
      <c r="D396" s="13" t="n"/>
      <c r="E396" s="68" t="n"/>
      <c r="F396" s="69" t="n"/>
      <c r="G396" s="13" t="n"/>
      <c r="H396" s="13" t="n"/>
      <c r="I396" s="13" t="n"/>
      <c r="J396" s="13" t="n"/>
      <c r="K396" s="16">
        <f>IF($A396="","",1)</f>
        <v/>
      </c>
    </row>
    <row r="397">
      <c r="A397" s="13" t="n"/>
      <c r="B397" s="13" t="n"/>
      <c r="C397" s="13" t="n"/>
      <c r="D397" s="13" t="n"/>
      <c r="E397" s="68" t="n"/>
      <c r="F397" s="69" t="n"/>
      <c r="G397" s="13" t="n"/>
      <c r="H397" s="13" t="n"/>
      <c r="I397" s="13" t="n"/>
      <c r="J397" s="13" t="n"/>
      <c r="K397" s="16">
        <f>IF($A397="","",1)</f>
        <v/>
      </c>
    </row>
    <row r="398">
      <c r="A398" s="13" t="n"/>
      <c r="B398" s="13" t="n"/>
      <c r="C398" s="13" t="n"/>
      <c r="D398" s="13" t="n"/>
      <c r="E398" s="68" t="n"/>
      <c r="F398" s="69" t="n"/>
      <c r="G398" s="13" t="n"/>
      <c r="H398" s="13" t="n"/>
      <c r="I398" s="13" t="n"/>
      <c r="J398" s="13" t="n"/>
      <c r="K398" s="16">
        <f>IF($A398="","",1)</f>
        <v/>
      </c>
    </row>
    <row r="399">
      <c r="A399" s="13" t="n"/>
      <c r="B399" s="13" t="n"/>
      <c r="C399" s="13" t="n"/>
      <c r="D399" s="13" t="n"/>
      <c r="E399" s="68" t="n"/>
      <c r="F399" s="69" t="n"/>
      <c r="G399" s="13" t="n"/>
      <c r="H399" s="13" t="n"/>
      <c r="I399" s="13" t="n"/>
      <c r="J399" s="13" t="n"/>
      <c r="K399" s="16">
        <f>IF($A399="","",1)</f>
        <v/>
      </c>
    </row>
    <row r="400">
      <c r="A400" s="13" t="n"/>
      <c r="B400" s="13" t="n"/>
      <c r="C400" s="13" t="n"/>
      <c r="D400" s="13" t="n"/>
      <c r="E400" s="68" t="n"/>
      <c r="F400" s="69" t="n"/>
      <c r="G400" s="13" t="n"/>
      <c r="H400" s="13" t="n"/>
      <c r="I400" s="13" t="n"/>
      <c r="J400" s="13" t="n"/>
      <c r="K400" s="16">
        <f>IF($A400="","",1)</f>
        <v/>
      </c>
    </row>
    <row r="401">
      <c r="A401" s="13" t="n"/>
      <c r="B401" s="13" t="n"/>
      <c r="C401" s="13" t="n"/>
      <c r="D401" s="13" t="n"/>
      <c r="E401" s="68" t="n"/>
      <c r="F401" s="69" t="n"/>
      <c r="G401" s="13" t="n"/>
      <c r="H401" s="13" t="n"/>
      <c r="I401" s="13" t="n"/>
      <c r="J401" s="13" t="n"/>
      <c r="K401" s="16">
        <f>IF($A401="","",1)</f>
        <v/>
      </c>
    </row>
    <row r="402">
      <c r="A402" s="13" t="n"/>
      <c r="B402" s="13" t="n"/>
      <c r="C402" s="13" t="n"/>
      <c r="D402" s="13" t="n"/>
      <c r="E402" s="68" t="n"/>
      <c r="F402" s="69" t="n"/>
      <c r="G402" s="13" t="n"/>
      <c r="H402" s="13" t="n"/>
      <c r="I402" s="13" t="n"/>
      <c r="J402" s="13" t="n"/>
      <c r="K402" s="16">
        <f>IF($A402="","",1)</f>
        <v/>
      </c>
    </row>
    <row r="403">
      <c r="A403" s="13" t="n"/>
      <c r="B403" s="13" t="n"/>
      <c r="C403" s="13" t="n"/>
      <c r="D403" s="13" t="n"/>
      <c r="E403" s="68" t="n"/>
      <c r="F403" s="69" t="n"/>
      <c r="G403" s="13" t="n"/>
      <c r="H403" s="13" t="n"/>
      <c r="I403" s="13" t="n"/>
      <c r="J403" s="13" t="n"/>
      <c r="K403" s="16">
        <f>IF($A403="","",1)</f>
        <v/>
      </c>
    </row>
    <row r="404">
      <c r="A404" s="13" t="n"/>
      <c r="B404" s="13" t="n"/>
      <c r="C404" s="13" t="n"/>
      <c r="D404" s="13" t="n"/>
      <c r="E404" s="68" t="n"/>
      <c r="F404" s="69" t="n"/>
      <c r="G404" s="13" t="n"/>
      <c r="H404" s="13" t="n"/>
      <c r="I404" s="13" t="n"/>
      <c r="J404" s="13" t="n"/>
      <c r="K404" s="16">
        <f>IF($A404="","",1)</f>
        <v/>
      </c>
    </row>
    <row r="405">
      <c r="A405" s="13" t="n"/>
      <c r="B405" s="13" t="n"/>
      <c r="C405" s="13" t="n"/>
      <c r="D405" s="13" t="n"/>
      <c r="E405" s="68" t="n"/>
      <c r="F405" s="69" t="n"/>
      <c r="G405" s="13" t="n"/>
      <c r="H405" s="13" t="n"/>
      <c r="I405" s="13" t="n"/>
      <c r="J405" s="13" t="n"/>
      <c r="K405" s="16">
        <f>IF($A405="","",1)</f>
        <v/>
      </c>
    </row>
    <row r="406">
      <c r="A406" s="13" t="n"/>
      <c r="B406" s="13" t="n"/>
      <c r="C406" s="13" t="n"/>
      <c r="D406" s="13" t="n"/>
      <c r="E406" s="68" t="n"/>
      <c r="F406" s="69" t="n"/>
      <c r="G406" s="13" t="n"/>
      <c r="H406" s="13" t="n"/>
      <c r="I406" s="13" t="n"/>
      <c r="J406" s="13" t="n"/>
      <c r="K406" s="16">
        <f>IF($A406="","",1)</f>
        <v/>
      </c>
    </row>
    <row r="407">
      <c r="A407" s="13" t="n"/>
      <c r="B407" s="13" t="n"/>
      <c r="C407" s="13" t="n"/>
      <c r="D407" s="13" t="n"/>
      <c r="E407" s="68" t="n"/>
      <c r="F407" s="69" t="n"/>
      <c r="G407" s="13" t="n"/>
      <c r="H407" s="13" t="n"/>
      <c r="I407" s="13" t="n"/>
      <c r="J407" s="13" t="n"/>
      <c r="K407" s="16">
        <f>IF($A407="","",1)</f>
        <v/>
      </c>
    </row>
    <row r="408">
      <c r="A408" s="13" t="n"/>
      <c r="B408" s="13" t="n"/>
      <c r="C408" s="13" t="n"/>
      <c r="D408" s="13" t="n"/>
      <c r="E408" s="68" t="n"/>
      <c r="F408" s="69" t="n"/>
      <c r="G408" s="13" t="n"/>
      <c r="H408" s="13" t="n"/>
      <c r="I408" s="13" t="n"/>
      <c r="J408" s="13" t="n"/>
      <c r="K408" s="16">
        <f>IF($A408="","",1)</f>
        <v/>
      </c>
    </row>
    <row r="409">
      <c r="A409" s="13" t="n"/>
      <c r="B409" s="13" t="n"/>
      <c r="C409" s="13" t="n"/>
      <c r="D409" s="13" t="n"/>
      <c r="E409" s="68" t="n"/>
      <c r="F409" s="69" t="n"/>
      <c r="G409" s="13" t="n"/>
      <c r="H409" s="13" t="n"/>
      <c r="I409" s="13" t="n"/>
      <c r="J409" s="13" t="n"/>
      <c r="K409" s="16">
        <f>IF($A409="","",1)</f>
        <v/>
      </c>
    </row>
    <row r="410">
      <c r="A410" s="13" t="n"/>
      <c r="B410" s="13" t="n"/>
      <c r="C410" s="13" t="n"/>
      <c r="D410" s="13" t="n"/>
      <c r="E410" s="68" t="n"/>
      <c r="F410" s="69" t="n"/>
      <c r="G410" s="13" t="n"/>
      <c r="H410" s="13" t="n"/>
      <c r="I410" s="13" t="n"/>
      <c r="J410" s="13" t="n"/>
      <c r="K410" s="16">
        <f>IF($A410="","",1)</f>
        <v/>
      </c>
    </row>
    <row r="411">
      <c r="A411" s="13" t="n"/>
      <c r="B411" s="13" t="n"/>
      <c r="C411" s="13" t="n"/>
      <c r="D411" s="13" t="n"/>
      <c r="E411" s="68" t="n"/>
      <c r="F411" s="69" t="n"/>
      <c r="G411" s="13" t="n"/>
      <c r="H411" s="13" t="n"/>
      <c r="I411" s="13" t="n"/>
      <c r="J411" s="13" t="n"/>
      <c r="K411" s="16">
        <f>IF($A411="","",1)</f>
        <v/>
      </c>
    </row>
    <row r="412">
      <c r="A412" s="13" t="n"/>
      <c r="B412" s="13" t="n"/>
      <c r="C412" s="13" t="n"/>
      <c r="D412" s="13" t="n"/>
      <c r="E412" s="68" t="n"/>
      <c r="F412" s="69" t="n"/>
      <c r="G412" s="13" t="n"/>
      <c r="H412" s="13" t="n"/>
      <c r="I412" s="13" t="n"/>
      <c r="J412" s="13" t="n"/>
      <c r="K412" s="16">
        <f>IF($A412="","",1)</f>
        <v/>
      </c>
    </row>
    <row r="413">
      <c r="A413" s="13" t="n"/>
      <c r="B413" s="13" t="n"/>
      <c r="C413" s="13" t="n"/>
      <c r="D413" s="13" t="n"/>
      <c r="E413" s="68" t="n"/>
      <c r="F413" s="69" t="n"/>
      <c r="G413" s="13" t="n"/>
      <c r="H413" s="13" t="n"/>
      <c r="I413" s="13" t="n"/>
      <c r="J413" s="13" t="n"/>
      <c r="K413" s="16">
        <f>IF($A413="","",1)</f>
        <v/>
      </c>
    </row>
    <row r="414">
      <c r="A414" s="13" t="n"/>
      <c r="B414" s="13" t="n"/>
      <c r="C414" s="13" t="n"/>
      <c r="D414" s="13" t="n"/>
      <c r="E414" s="68" t="n"/>
      <c r="F414" s="69" t="n"/>
      <c r="G414" s="13" t="n"/>
      <c r="H414" s="13" t="n"/>
      <c r="I414" s="13" t="n"/>
      <c r="J414" s="13" t="n"/>
      <c r="K414" s="16">
        <f>IF($A414="","",1)</f>
        <v/>
      </c>
    </row>
    <row r="415">
      <c r="A415" s="13" t="n"/>
      <c r="B415" s="13" t="n"/>
      <c r="C415" s="13" t="n"/>
      <c r="D415" s="13" t="n"/>
      <c r="E415" s="68" t="n"/>
      <c r="F415" s="69" t="n"/>
      <c r="G415" s="13" t="n"/>
      <c r="H415" s="13" t="n"/>
      <c r="I415" s="13" t="n"/>
      <c r="J415" s="13" t="n"/>
      <c r="K415" s="16">
        <f>IF($A415="","",1)</f>
        <v/>
      </c>
    </row>
    <row r="416">
      <c r="A416" s="13" t="n"/>
      <c r="B416" s="13" t="n"/>
      <c r="C416" s="13" t="n"/>
      <c r="D416" s="13" t="n"/>
      <c r="E416" s="68" t="n"/>
      <c r="F416" s="69" t="n"/>
      <c r="G416" s="13" t="n"/>
      <c r="H416" s="13" t="n"/>
      <c r="I416" s="13" t="n"/>
      <c r="J416" s="13" t="n"/>
      <c r="K416" s="16">
        <f>IF($A416="","",1)</f>
        <v/>
      </c>
    </row>
    <row r="417">
      <c r="A417" s="13" t="n"/>
      <c r="B417" s="13" t="n"/>
      <c r="C417" s="13" t="n"/>
      <c r="D417" s="13" t="n"/>
      <c r="E417" s="68" t="n"/>
      <c r="F417" s="69" t="n"/>
      <c r="G417" s="13" t="n"/>
      <c r="H417" s="13" t="n"/>
      <c r="I417" s="13" t="n"/>
      <c r="J417" s="13" t="n"/>
      <c r="K417" s="16">
        <f>IF($A417="","",1)</f>
        <v/>
      </c>
    </row>
    <row r="418">
      <c r="A418" s="13" t="n"/>
      <c r="B418" s="13" t="n"/>
      <c r="C418" s="13" t="n"/>
      <c r="D418" s="13" t="n"/>
      <c r="E418" s="68" t="n"/>
      <c r="F418" s="69" t="n"/>
      <c r="G418" s="13" t="n"/>
      <c r="H418" s="13" t="n"/>
      <c r="I418" s="13" t="n"/>
      <c r="J418" s="13" t="n"/>
      <c r="K418" s="16">
        <f>IF($A418="","",1)</f>
        <v/>
      </c>
    </row>
    <row r="419">
      <c r="A419" s="13" t="n"/>
      <c r="B419" s="13" t="n"/>
      <c r="C419" s="13" t="n"/>
      <c r="D419" s="13" t="n"/>
      <c r="E419" s="68" t="n"/>
      <c r="F419" s="69" t="n"/>
      <c r="G419" s="13" t="n"/>
      <c r="H419" s="13" t="n"/>
      <c r="I419" s="13" t="n"/>
      <c r="J419" s="13" t="n"/>
      <c r="K419" s="16">
        <f>IF($A419="","",1)</f>
        <v/>
      </c>
    </row>
    <row r="420">
      <c r="A420" s="13" t="n"/>
      <c r="B420" s="13" t="n"/>
      <c r="C420" s="13" t="n"/>
      <c r="D420" s="13" t="n"/>
      <c r="E420" s="68" t="n"/>
      <c r="F420" s="69" t="n"/>
      <c r="G420" s="13" t="n"/>
      <c r="H420" s="13" t="n"/>
      <c r="I420" s="13" t="n"/>
      <c r="J420" s="13" t="n"/>
      <c r="K420" s="16">
        <f>IF($A420="","",1)</f>
        <v/>
      </c>
    </row>
    <row r="421">
      <c r="A421" s="13" t="n"/>
      <c r="B421" s="13" t="n"/>
      <c r="C421" s="13" t="n"/>
      <c r="D421" s="13" t="n"/>
      <c r="E421" s="68" t="n"/>
      <c r="F421" s="69" t="n"/>
      <c r="G421" s="13" t="n"/>
      <c r="H421" s="13" t="n"/>
      <c r="I421" s="13" t="n"/>
      <c r="J421" s="13" t="n"/>
      <c r="K421" s="16">
        <f>IF($A421="","",1)</f>
        <v/>
      </c>
    </row>
    <row r="422">
      <c r="A422" s="13" t="n"/>
      <c r="B422" s="13" t="n"/>
      <c r="C422" s="13" t="n"/>
      <c r="D422" s="13" t="n"/>
      <c r="E422" s="68" t="n"/>
      <c r="F422" s="69" t="n"/>
      <c r="G422" s="13" t="n"/>
      <c r="H422" s="13" t="n"/>
      <c r="I422" s="13" t="n"/>
      <c r="J422" s="13" t="n"/>
      <c r="K422" s="16">
        <f>IF($A422="","",1)</f>
        <v/>
      </c>
    </row>
    <row r="423">
      <c r="A423" s="13" t="n"/>
      <c r="B423" s="13" t="n"/>
      <c r="C423" s="13" t="n"/>
      <c r="D423" s="13" t="n"/>
      <c r="E423" s="68" t="n"/>
      <c r="F423" s="69" t="n"/>
      <c r="G423" s="13" t="n"/>
      <c r="H423" s="13" t="n"/>
      <c r="I423" s="13" t="n"/>
      <c r="J423" s="13" t="n"/>
      <c r="K423" s="16">
        <f>IF($A423="","",1)</f>
        <v/>
      </c>
    </row>
    <row r="424">
      <c r="A424" s="13" t="n"/>
      <c r="B424" s="13" t="n"/>
      <c r="C424" s="13" t="n"/>
      <c r="D424" s="13" t="n"/>
      <c r="E424" s="68" t="n"/>
      <c r="F424" s="69" t="n"/>
      <c r="G424" s="13" t="n"/>
      <c r="H424" s="13" t="n"/>
      <c r="I424" s="13" t="n"/>
      <c r="J424" s="13" t="n"/>
      <c r="K424" s="16">
        <f>IF($A424="","",1)</f>
        <v/>
      </c>
    </row>
    <row r="425">
      <c r="A425" s="13" t="n"/>
      <c r="B425" s="13" t="n"/>
      <c r="C425" s="13" t="n"/>
      <c r="D425" s="13" t="n"/>
      <c r="E425" s="68" t="n"/>
      <c r="F425" s="69" t="n"/>
      <c r="G425" s="13" t="n"/>
      <c r="H425" s="13" t="n"/>
      <c r="I425" s="13" t="n"/>
      <c r="J425" s="13" t="n"/>
      <c r="K425" s="16">
        <f>IF($A425="","",1)</f>
        <v/>
      </c>
    </row>
    <row r="426">
      <c r="A426" s="13" t="n"/>
      <c r="B426" s="13" t="n"/>
      <c r="C426" s="13" t="n"/>
      <c r="D426" s="13" t="n"/>
      <c r="E426" s="68" t="n"/>
      <c r="F426" s="69" t="n"/>
      <c r="G426" s="13" t="n"/>
      <c r="H426" s="13" t="n"/>
      <c r="I426" s="13" t="n"/>
      <c r="J426" s="13" t="n"/>
      <c r="K426" s="16">
        <f>IF($A426="","",1)</f>
        <v/>
      </c>
    </row>
    <row r="427">
      <c r="A427" s="13" t="n"/>
      <c r="B427" s="13" t="n"/>
      <c r="C427" s="13" t="n"/>
      <c r="D427" s="13" t="n"/>
      <c r="E427" s="68" t="n"/>
      <c r="F427" s="69" t="n"/>
      <c r="G427" s="13" t="n"/>
      <c r="H427" s="13" t="n"/>
      <c r="I427" s="13" t="n"/>
      <c r="J427" s="13" t="n"/>
      <c r="K427" s="16">
        <f>IF($A427="","",1)</f>
        <v/>
      </c>
    </row>
    <row r="428">
      <c r="A428" s="13" t="n"/>
      <c r="B428" s="13" t="n"/>
      <c r="C428" s="13" t="n"/>
      <c r="D428" s="13" t="n"/>
      <c r="E428" s="68" t="n"/>
      <c r="F428" s="69" t="n"/>
      <c r="G428" s="13" t="n"/>
      <c r="H428" s="13" t="n"/>
      <c r="I428" s="13" t="n"/>
      <c r="J428" s="13" t="n"/>
      <c r="K428" s="16">
        <f>IF($A428="","",1)</f>
        <v/>
      </c>
    </row>
    <row r="429">
      <c r="A429" s="13" t="n"/>
      <c r="B429" s="13" t="n"/>
      <c r="C429" s="13" t="n"/>
      <c r="D429" s="13" t="n"/>
      <c r="E429" s="68" t="n"/>
      <c r="F429" s="69" t="n"/>
      <c r="G429" s="13" t="n"/>
      <c r="H429" s="13" t="n"/>
      <c r="I429" s="13" t="n"/>
      <c r="J429" s="13" t="n"/>
      <c r="K429" s="16">
        <f>IF($A429="","",1)</f>
        <v/>
      </c>
    </row>
    <row r="430">
      <c r="A430" s="13" t="n"/>
      <c r="B430" s="13" t="n"/>
      <c r="C430" s="13" t="n"/>
      <c r="D430" s="13" t="n"/>
      <c r="E430" s="68" t="n"/>
      <c r="F430" s="69" t="n"/>
      <c r="G430" s="13" t="n"/>
      <c r="H430" s="13" t="n"/>
      <c r="I430" s="13" t="n"/>
      <c r="J430" s="13" t="n"/>
      <c r="K430" s="16">
        <f>IF($A430="","",1)</f>
        <v/>
      </c>
    </row>
    <row r="431">
      <c r="A431" s="13" t="n"/>
      <c r="B431" s="13" t="n"/>
      <c r="C431" s="13" t="n"/>
      <c r="D431" s="13" t="n"/>
      <c r="E431" s="68" t="n"/>
      <c r="F431" s="69" t="n"/>
      <c r="G431" s="13" t="n"/>
      <c r="H431" s="13" t="n"/>
      <c r="I431" s="13" t="n"/>
      <c r="J431" s="13" t="n"/>
      <c r="K431" s="16">
        <f>IF($A431="","",1)</f>
        <v/>
      </c>
    </row>
    <row r="432">
      <c r="A432" s="13" t="n"/>
      <c r="B432" s="13" t="n"/>
      <c r="C432" s="13" t="n"/>
      <c r="D432" s="13" t="n"/>
      <c r="E432" s="68" t="n"/>
      <c r="F432" s="69" t="n"/>
      <c r="G432" s="13" t="n"/>
      <c r="H432" s="13" t="n"/>
      <c r="I432" s="13" t="n"/>
      <c r="J432" s="13" t="n"/>
      <c r="K432" s="16">
        <f>IF($A432="","",1)</f>
        <v/>
      </c>
    </row>
    <row r="433">
      <c r="A433" s="13" t="n"/>
      <c r="B433" s="13" t="n"/>
      <c r="C433" s="13" t="n"/>
      <c r="D433" s="13" t="n"/>
      <c r="E433" s="68" t="n"/>
      <c r="F433" s="69" t="n"/>
      <c r="G433" s="13" t="n"/>
      <c r="H433" s="13" t="n"/>
      <c r="I433" s="13" t="n"/>
      <c r="J433" s="13" t="n"/>
      <c r="K433" s="16">
        <f>IF($A433="","",1)</f>
        <v/>
      </c>
    </row>
    <row r="434">
      <c r="A434" s="13" t="n"/>
      <c r="B434" s="13" t="n"/>
      <c r="C434" s="13" t="n"/>
      <c r="D434" s="13" t="n"/>
      <c r="E434" s="68" t="n"/>
      <c r="F434" s="69" t="n"/>
      <c r="G434" s="13" t="n"/>
      <c r="H434" s="13" t="n"/>
      <c r="I434" s="13" t="n"/>
      <c r="J434" s="13" t="n"/>
      <c r="K434" s="16">
        <f>IF($A434="","",1)</f>
        <v/>
      </c>
    </row>
    <row r="435">
      <c r="A435" s="13" t="n"/>
      <c r="B435" s="13" t="n"/>
      <c r="C435" s="13" t="n"/>
      <c r="D435" s="13" t="n"/>
      <c r="E435" s="68" t="n"/>
      <c r="F435" s="69" t="n"/>
      <c r="G435" s="13" t="n"/>
      <c r="H435" s="13" t="n"/>
      <c r="I435" s="13" t="n"/>
      <c r="J435" s="13" t="n"/>
      <c r="K435" s="16">
        <f>IF($A435="","",1)</f>
        <v/>
      </c>
    </row>
    <row r="436">
      <c r="A436" s="13" t="n"/>
      <c r="B436" s="13" t="n"/>
      <c r="C436" s="13" t="n"/>
      <c r="D436" s="13" t="n"/>
      <c r="E436" s="68" t="n"/>
      <c r="F436" s="69" t="n"/>
      <c r="G436" s="13" t="n"/>
      <c r="H436" s="13" t="n"/>
      <c r="I436" s="13" t="n"/>
      <c r="J436" s="13" t="n"/>
      <c r="K436" s="16">
        <f>IF($A436="","",1)</f>
        <v/>
      </c>
    </row>
    <row r="437">
      <c r="A437" s="13" t="n"/>
      <c r="B437" s="13" t="n"/>
      <c r="C437" s="13" t="n"/>
      <c r="D437" s="13" t="n"/>
      <c r="E437" s="68" t="n"/>
      <c r="F437" s="69" t="n"/>
      <c r="G437" s="13" t="n"/>
      <c r="H437" s="13" t="n"/>
      <c r="I437" s="13" t="n"/>
      <c r="J437" s="13" t="n"/>
      <c r="K437" s="16">
        <f>IF($A437="","",1)</f>
        <v/>
      </c>
    </row>
    <row r="438">
      <c r="A438" s="13" t="n"/>
      <c r="B438" s="13" t="n"/>
      <c r="C438" s="13" t="n"/>
      <c r="D438" s="13" t="n"/>
      <c r="E438" s="68" t="n"/>
      <c r="F438" s="69" t="n"/>
      <c r="G438" s="13" t="n"/>
      <c r="H438" s="13" t="n"/>
      <c r="I438" s="13" t="n"/>
      <c r="J438" s="13" t="n"/>
      <c r="K438" s="16">
        <f>IF($A438="","",1)</f>
        <v/>
      </c>
    </row>
    <row r="439">
      <c r="A439" s="13" t="n"/>
      <c r="B439" s="13" t="n"/>
      <c r="C439" s="13" t="n"/>
      <c r="D439" s="13" t="n"/>
      <c r="E439" s="68" t="n"/>
      <c r="F439" s="69" t="n"/>
      <c r="G439" s="13" t="n"/>
      <c r="H439" s="13" t="n"/>
      <c r="I439" s="13" t="n"/>
      <c r="J439" s="13" t="n"/>
      <c r="K439" s="16">
        <f>IF($A439="","",1)</f>
        <v/>
      </c>
    </row>
    <row r="440">
      <c r="A440" s="13" t="n"/>
      <c r="B440" s="13" t="n"/>
      <c r="C440" s="13" t="n"/>
      <c r="D440" s="13" t="n"/>
      <c r="E440" s="68" t="n"/>
      <c r="F440" s="69" t="n"/>
      <c r="G440" s="13" t="n"/>
      <c r="H440" s="13" t="n"/>
      <c r="I440" s="13" t="n"/>
      <c r="J440" s="13" t="n"/>
      <c r="K440" s="16">
        <f>IF($A440="","",1)</f>
        <v/>
      </c>
    </row>
    <row r="441">
      <c r="A441" s="13" t="n"/>
      <c r="B441" s="13" t="n"/>
      <c r="C441" s="13" t="n"/>
      <c r="D441" s="13" t="n"/>
      <c r="E441" s="68" t="n"/>
      <c r="F441" s="69" t="n"/>
      <c r="G441" s="13" t="n"/>
      <c r="H441" s="13" t="n"/>
      <c r="I441" s="13" t="n"/>
      <c r="J441" s="13" t="n"/>
      <c r="K441" s="16">
        <f>IF($A441="","",1)</f>
        <v/>
      </c>
    </row>
    <row r="442">
      <c r="A442" s="13" t="n"/>
      <c r="B442" s="13" t="n"/>
      <c r="C442" s="13" t="n"/>
      <c r="D442" s="13" t="n"/>
      <c r="E442" s="68" t="n"/>
      <c r="F442" s="69" t="n"/>
      <c r="G442" s="13" t="n"/>
      <c r="H442" s="13" t="n"/>
      <c r="I442" s="13" t="n"/>
      <c r="J442" s="13" t="n"/>
      <c r="K442" s="16">
        <f>IF($A442="","",1)</f>
        <v/>
      </c>
    </row>
    <row r="443">
      <c r="A443" s="13" t="n"/>
      <c r="B443" s="13" t="n"/>
      <c r="C443" s="13" t="n"/>
      <c r="D443" s="13" t="n"/>
      <c r="E443" s="68" t="n"/>
      <c r="F443" s="69" t="n"/>
      <c r="G443" s="13" t="n"/>
      <c r="H443" s="13" t="n"/>
      <c r="I443" s="13" t="n"/>
      <c r="J443" s="13" t="n"/>
      <c r="K443" s="16">
        <f>IF($A443="","",1)</f>
        <v/>
      </c>
    </row>
    <row r="444">
      <c r="A444" s="13" t="n"/>
      <c r="B444" s="13" t="n"/>
      <c r="C444" s="13" t="n"/>
      <c r="D444" s="13" t="n"/>
      <c r="E444" s="68" t="n"/>
      <c r="F444" s="69" t="n"/>
      <c r="G444" s="13" t="n"/>
      <c r="H444" s="13" t="n"/>
      <c r="I444" s="13" t="n"/>
      <c r="J444" s="13" t="n"/>
      <c r="K444" s="16">
        <f>IF($A444="","",1)</f>
        <v/>
      </c>
    </row>
    <row r="445">
      <c r="A445" s="13" t="n"/>
      <c r="B445" s="13" t="n"/>
      <c r="C445" s="13" t="n"/>
      <c r="D445" s="13" t="n"/>
      <c r="E445" s="68" t="n"/>
      <c r="F445" s="69" t="n"/>
      <c r="G445" s="13" t="n"/>
      <c r="H445" s="13" t="n"/>
      <c r="I445" s="13" t="n"/>
      <c r="J445" s="13" t="n"/>
      <c r="K445" s="16">
        <f>IF($A445="","",1)</f>
        <v/>
      </c>
    </row>
    <row r="446">
      <c r="A446" s="13" t="n"/>
      <c r="B446" s="13" t="n"/>
      <c r="C446" s="13" t="n"/>
      <c r="D446" s="13" t="n"/>
      <c r="E446" s="68" t="n"/>
      <c r="F446" s="69" t="n"/>
      <c r="G446" s="13" t="n"/>
      <c r="H446" s="13" t="n"/>
      <c r="I446" s="13" t="n"/>
      <c r="J446" s="13" t="n"/>
      <c r="K446" s="16">
        <f>IF($A446="","",1)</f>
        <v/>
      </c>
    </row>
    <row r="447">
      <c r="A447" s="13" t="n"/>
      <c r="B447" s="13" t="n"/>
      <c r="C447" s="13" t="n"/>
      <c r="D447" s="13" t="n"/>
      <c r="E447" s="68" t="n"/>
      <c r="F447" s="69" t="n"/>
      <c r="G447" s="13" t="n"/>
      <c r="H447" s="13" t="n"/>
      <c r="I447" s="13" t="n"/>
      <c r="J447" s="13" t="n"/>
      <c r="K447" s="16">
        <f>IF($A447="","",1)</f>
        <v/>
      </c>
    </row>
    <row r="448">
      <c r="A448" s="13" t="n"/>
      <c r="B448" s="13" t="n"/>
      <c r="C448" s="13" t="n"/>
      <c r="D448" s="13" t="n"/>
      <c r="E448" s="68" t="n"/>
      <c r="F448" s="69" t="n"/>
      <c r="G448" s="13" t="n"/>
      <c r="H448" s="13" t="n"/>
      <c r="I448" s="13" t="n"/>
      <c r="J448" s="13" t="n"/>
      <c r="K448" s="16">
        <f>IF($A448="","",1)</f>
        <v/>
      </c>
    </row>
    <row r="449">
      <c r="A449" s="13" t="n"/>
      <c r="B449" s="13" t="n"/>
      <c r="C449" s="13" t="n"/>
      <c r="D449" s="13" t="n"/>
      <c r="E449" s="68" t="n"/>
      <c r="F449" s="69" t="n"/>
      <c r="G449" s="13" t="n"/>
      <c r="H449" s="13" t="n"/>
      <c r="I449" s="13" t="n"/>
      <c r="J449" s="13" t="n"/>
      <c r="K449" s="16">
        <f>IF($A449="","",1)</f>
        <v/>
      </c>
    </row>
    <row r="450">
      <c r="A450" s="13" t="n"/>
      <c r="B450" s="13" t="n"/>
      <c r="C450" s="13" t="n"/>
      <c r="D450" s="13" t="n"/>
      <c r="E450" s="68" t="n"/>
      <c r="F450" s="69" t="n"/>
      <c r="G450" s="13" t="n"/>
      <c r="H450" s="13" t="n"/>
      <c r="I450" s="13" t="n"/>
      <c r="J450" s="13" t="n"/>
      <c r="K450" s="16">
        <f>IF($A450="","",1)</f>
        <v/>
      </c>
    </row>
    <row r="451">
      <c r="A451" s="13" t="n"/>
      <c r="B451" s="13" t="n"/>
      <c r="C451" s="13" t="n"/>
      <c r="D451" s="13" t="n"/>
      <c r="E451" s="68" t="n"/>
      <c r="F451" s="69" t="n"/>
      <c r="G451" s="13" t="n"/>
      <c r="H451" s="13" t="n"/>
      <c r="I451" s="13" t="n"/>
      <c r="J451" s="13" t="n"/>
      <c r="K451" s="16">
        <f>IF($A451="","",1)</f>
        <v/>
      </c>
    </row>
    <row r="452">
      <c r="A452" s="13" t="n"/>
      <c r="B452" s="13" t="n"/>
      <c r="C452" s="13" t="n"/>
      <c r="D452" s="13" t="n"/>
      <c r="E452" s="68" t="n"/>
      <c r="F452" s="69" t="n"/>
      <c r="G452" s="13" t="n"/>
      <c r="H452" s="13" t="n"/>
      <c r="I452" s="13" t="n"/>
      <c r="J452" s="13" t="n"/>
      <c r="K452" s="16">
        <f>IF($A452="","",1)</f>
        <v/>
      </c>
    </row>
    <row r="453">
      <c r="A453" s="13" t="n"/>
      <c r="B453" s="13" t="n"/>
      <c r="C453" s="13" t="n"/>
      <c r="D453" s="13" t="n"/>
      <c r="E453" s="68" t="n"/>
      <c r="F453" s="69" t="n"/>
      <c r="G453" s="13" t="n"/>
      <c r="H453" s="13" t="n"/>
      <c r="I453" s="13" t="n"/>
      <c r="J453" s="13" t="n"/>
      <c r="K453" s="16">
        <f>IF($A453="","",1)</f>
        <v/>
      </c>
    </row>
    <row r="454">
      <c r="A454" s="13" t="n"/>
      <c r="B454" s="13" t="n"/>
      <c r="C454" s="13" t="n"/>
      <c r="D454" s="13" t="n"/>
      <c r="E454" s="68" t="n"/>
      <c r="F454" s="69" t="n"/>
      <c r="G454" s="13" t="n"/>
      <c r="H454" s="13" t="n"/>
      <c r="I454" s="13" t="n"/>
      <c r="J454" s="13" t="n"/>
      <c r="K454" s="16">
        <f>IF($A454="","",1)</f>
        <v/>
      </c>
    </row>
    <row r="455">
      <c r="A455" s="13" t="n"/>
      <c r="B455" s="13" t="n"/>
      <c r="C455" s="13" t="n"/>
      <c r="D455" s="13" t="n"/>
      <c r="E455" s="68" t="n"/>
      <c r="F455" s="69" t="n"/>
      <c r="G455" s="13" t="n"/>
      <c r="H455" s="13" t="n"/>
      <c r="I455" s="13" t="n"/>
      <c r="J455" s="13" t="n"/>
      <c r="K455" s="16">
        <f>IF($A455="","",1)</f>
        <v/>
      </c>
    </row>
    <row r="456">
      <c r="A456" s="13" t="n"/>
      <c r="B456" s="13" t="n"/>
      <c r="C456" s="13" t="n"/>
      <c r="D456" s="13" t="n"/>
      <c r="E456" s="68" t="n"/>
      <c r="F456" s="69" t="n"/>
      <c r="G456" s="13" t="n"/>
      <c r="H456" s="13" t="n"/>
      <c r="I456" s="13" t="n"/>
      <c r="J456" s="13" t="n"/>
      <c r="K456" s="16">
        <f>IF($A456="","",1)</f>
        <v/>
      </c>
    </row>
    <row r="457">
      <c r="A457" s="13" t="n"/>
      <c r="B457" s="13" t="n"/>
      <c r="C457" s="13" t="n"/>
      <c r="D457" s="13" t="n"/>
      <c r="E457" s="68" t="n"/>
      <c r="F457" s="69" t="n"/>
      <c r="G457" s="13" t="n"/>
      <c r="H457" s="13" t="n"/>
      <c r="I457" s="13" t="n"/>
      <c r="J457" s="13" t="n"/>
      <c r="K457" s="16">
        <f>IF($A457="","",1)</f>
        <v/>
      </c>
    </row>
    <row r="458">
      <c r="A458" s="13" t="n"/>
      <c r="B458" s="13" t="n"/>
      <c r="C458" s="13" t="n"/>
      <c r="D458" s="13" t="n"/>
      <c r="E458" s="68" t="n"/>
      <c r="F458" s="69" t="n"/>
      <c r="G458" s="13" t="n"/>
      <c r="H458" s="13" t="n"/>
      <c r="I458" s="13" t="n"/>
      <c r="J458" s="13" t="n"/>
      <c r="K458" s="16">
        <f>IF($A458="","",1)</f>
        <v/>
      </c>
    </row>
    <row r="459">
      <c r="A459" s="13" t="n"/>
      <c r="B459" s="13" t="n"/>
      <c r="C459" s="13" t="n"/>
      <c r="D459" s="13" t="n"/>
      <c r="E459" s="68" t="n"/>
      <c r="F459" s="69" t="n"/>
      <c r="G459" s="13" t="n"/>
      <c r="H459" s="13" t="n"/>
      <c r="I459" s="13" t="n"/>
      <c r="J459" s="13" t="n"/>
      <c r="K459" s="16">
        <f>IF($A459="","",1)</f>
        <v/>
      </c>
    </row>
    <row r="460">
      <c r="A460" s="13" t="n"/>
      <c r="B460" s="13" t="n"/>
      <c r="C460" s="13" t="n"/>
      <c r="D460" s="13" t="n"/>
      <c r="E460" s="68" t="n"/>
      <c r="F460" s="69" t="n"/>
      <c r="G460" s="13" t="n"/>
      <c r="H460" s="13" t="n"/>
      <c r="I460" s="13" t="n"/>
      <c r="J460" s="13" t="n"/>
      <c r="K460" s="16">
        <f>IF($A460="","",1)</f>
        <v/>
      </c>
    </row>
    <row r="461">
      <c r="A461" s="13" t="n"/>
      <c r="B461" s="13" t="n"/>
      <c r="C461" s="13" t="n"/>
      <c r="D461" s="13" t="n"/>
      <c r="E461" s="68" t="n"/>
      <c r="F461" s="69" t="n"/>
      <c r="G461" s="13" t="n"/>
      <c r="H461" s="13" t="n"/>
      <c r="I461" s="13" t="n"/>
      <c r="J461" s="13" t="n"/>
      <c r="K461" s="16">
        <f>IF($A461="","",1)</f>
        <v/>
      </c>
    </row>
    <row r="462">
      <c r="A462" s="13" t="n"/>
      <c r="B462" s="13" t="n"/>
      <c r="C462" s="13" t="n"/>
      <c r="D462" s="13" t="n"/>
      <c r="E462" s="68" t="n"/>
      <c r="F462" s="69" t="n"/>
      <c r="G462" s="13" t="n"/>
      <c r="H462" s="13" t="n"/>
      <c r="I462" s="13" t="n"/>
      <c r="J462" s="13" t="n"/>
      <c r="K462" s="16">
        <f>IF($A462="","",1)</f>
        <v/>
      </c>
    </row>
    <row r="463">
      <c r="A463" s="13" t="n"/>
      <c r="B463" s="13" t="n"/>
      <c r="C463" s="13" t="n"/>
      <c r="D463" s="13" t="n"/>
      <c r="E463" s="68" t="n"/>
      <c r="F463" s="69" t="n"/>
      <c r="G463" s="13" t="n"/>
      <c r="H463" s="13" t="n"/>
      <c r="I463" s="13" t="n"/>
      <c r="J463" s="13" t="n"/>
      <c r="K463" s="16">
        <f>IF($A463="","",1)</f>
        <v/>
      </c>
    </row>
    <row r="464">
      <c r="A464" s="13" t="n"/>
      <c r="B464" s="13" t="n"/>
      <c r="C464" s="13" t="n"/>
      <c r="D464" s="13" t="n"/>
      <c r="E464" s="68" t="n"/>
      <c r="F464" s="69" t="n"/>
      <c r="G464" s="13" t="n"/>
      <c r="H464" s="13" t="n"/>
      <c r="I464" s="13" t="n"/>
      <c r="J464" s="13" t="n"/>
      <c r="K464" s="16">
        <f>IF($A464="","",1)</f>
        <v/>
      </c>
    </row>
    <row r="465">
      <c r="A465" s="13" t="n"/>
      <c r="B465" s="13" t="n"/>
      <c r="C465" s="13" t="n"/>
      <c r="D465" s="13" t="n"/>
      <c r="E465" s="68" t="n"/>
      <c r="F465" s="69" t="n"/>
      <c r="G465" s="13" t="n"/>
      <c r="H465" s="13" t="n"/>
      <c r="I465" s="13" t="n"/>
      <c r="J465" s="13" t="n"/>
      <c r="K465" s="16">
        <f>IF($A465="","",1)</f>
        <v/>
      </c>
    </row>
    <row r="466">
      <c r="A466" s="13" t="n"/>
      <c r="B466" s="13" t="n"/>
      <c r="C466" s="13" t="n"/>
      <c r="D466" s="13" t="n"/>
      <c r="E466" s="68" t="n"/>
      <c r="F466" s="69" t="n"/>
      <c r="G466" s="13" t="n"/>
      <c r="H466" s="13" t="n"/>
      <c r="I466" s="13" t="n"/>
      <c r="J466" s="13" t="n"/>
      <c r="K466" s="16">
        <f>IF($A466="","",1)</f>
        <v/>
      </c>
    </row>
    <row r="467">
      <c r="A467" s="13" t="n"/>
      <c r="B467" s="13" t="n"/>
      <c r="C467" s="13" t="n"/>
      <c r="D467" s="13" t="n"/>
      <c r="E467" s="68" t="n"/>
      <c r="F467" s="69" t="n"/>
      <c r="G467" s="13" t="n"/>
      <c r="H467" s="13" t="n"/>
      <c r="I467" s="13" t="n"/>
      <c r="J467" s="13" t="n"/>
      <c r="K467" s="16">
        <f>IF($A467="","",1)</f>
        <v/>
      </c>
    </row>
    <row r="468">
      <c r="A468" s="13" t="n"/>
      <c r="B468" s="13" t="n"/>
      <c r="C468" s="13" t="n"/>
      <c r="D468" s="13" t="n"/>
      <c r="E468" s="68" t="n"/>
      <c r="F468" s="69" t="n"/>
      <c r="G468" s="13" t="n"/>
      <c r="H468" s="13" t="n"/>
      <c r="I468" s="13" t="n"/>
      <c r="J468" s="13" t="n"/>
      <c r="K468" s="16">
        <f>IF($A468="","",1)</f>
        <v/>
      </c>
    </row>
    <row r="469">
      <c r="A469" s="13" t="n"/>
      <c r="B469" s="13" t="n"/>
      <c r="C469" s="13" t="n"/>
      <c r="D469" s="13" t="n"/>
      <c r="E469" s="68" t="n"/>
      <c r="F469" s="69" t="n"/>
      <c r="G469" s="13" t="n"/>
      <c r="H469" s="13" t="n"/>
      <c r="I469" s="13" t="n"/>
      <c r="J469" s="13" t="n"/>
      <c r="K469" s="16">
        <f>IF($A469="","",1)</f>
        <v/>
      </c>
    </row>
    <row r="470">
      <c r="A470" s="13" t="n"/>
      <c r="B470" s="13" t="n"/>
      <c r="C470" s="13" t="n"/>
      <c r="D470" s="13" t="n"/>
      <c r="E470" s="68" t="n"/>
      <c r="F470" s="69" t="n"/>
      <c r="G470" s="13" t="n"/>
      <c r="H470" s="13" t="n"/>
      <c r="I470" s="13" t="n"/>
      <c r="J470" s="13" t="n"/>
      <c r="K470" s="16">
        <f>IF($A470="","",1)</f>
        <v/>
      </c>
    </row>
    <row r="471">
      <c r="A471" s="13" t="n"/>
      <c r="B471" s="13" t="n"/>
      <c r="C471" s="13" t="n"/>
      <c r="D471" s="13" t="n"/>
      <c r="E471" s="68" t="n"/>
      <c r="F471" s="69" t="n"/>
      <c r="G471" s="13" t="n"/>
      <c r="H471" s="13" t="n"/>
      <c r="I471" s="13" t="n"/>
      <c r="J471" s="13" t="n"/>
      <c r="K471" s="16">
        <f>IF($A471="","",1)</f>
        <v/>
      </c>
    </row>
    <row r="472">
      <c r="A472" s="13" t="n"/>
      <c r="B472" s="13" t="n"/>
      <c r="C472" s="13" t="n"/>
      <c r="D472" s="13" t="n"/>
      <c r="E472" s="68" t="n"/>
      <c r="F472" s="69" t="n"/>
      <c r="G472" s="13" t="n"/>
      <c r="H472" s="13" t="n"/>
      <c r="I472" s="13" t="n"/>
      <c r="J472" s="13" t="n"/>
      <c r="K472" s="16">
        <f>IF($A472="","",1)</f>
        <v/>
      </c>
    </row>
    <row r="473">
      <c r="A473" s="13" t="n"/>
      <c r="B473" s="13" t="n"/>
      <c r="C473" s="13" t="n"/>
      <c r="D473" s="13" t="n"/>
      <c r="E473" s="68" t="n"/>
      <c r="F473" s="69" t="n"/>
      <c r="G473" s="13" t="n"/>
      <c r="H473" s="13" t="n"/>
      <c r="I473" s="13" t="n"/>
      <c r="J473" s="13" t="n"/>
      <c r="K473" s="16">
        <f>IF($A473="","",1)</f>
        <v/>
      </c>
    </row>
    <row r="474">
      <c r="A474" s="13" t="n"/>
      <c r="B474" s="13" t="n"/>
      <c r="C474" s="13" t="n"/>
      <c r="D474" s="13" t="n"/>
      <c r="E474" s="68" t="n"/>
      <c r="F474" s="69" t="n"/>
      <c r="G474" s="13" t="n"/>
      <c r="H474" s="13" t="n"/>
      <c r="I474" s="13" t="n"/>
      <c r="J474" s="13" t="n"/>
      <c r="K474" s="16">
        <f>IF($A474="","",1)</f>
        <v/>
      </c>
    </row>
    <row r="475">
      <c r="A475" s="13" t="n"/>
      <c r="B475" s="13" t="n"/>
      <c r="C475" s="13" t="n"/>
      <c r="D475" s="13" t="n"/>
      <c r="E475" s="68" t="n"/>
      <c r="F475" s="69" t="n"/>
      <c r="G475" s="13" t="n"/>
      <c r="H475" s="13" t="n"/>
      <c r="I475" s="13" t="n"/>
      <c r="J475" s="13" t="n"/>
      <c r="K475" s="16">
        <f>IF($A475="","",1)</f>
        <v/>
      </c>
    </row>
    <row r="476">
      <c r="A476" s="13" t="n"/>
      <c r="B476" s="13" t="n"/>
      <c r="C476" s="13" t="n"/>
      <c r="D476" s="13" t="n"/>
      <c r="E476" s="68" t="n"/>
      <c r="F476" s="69" t="n"/>
      <c r="G476" s="13" t="n"/>
      <c r="H476" s="13" t="n"/>
      <c r="I476" s="13" t="n"/>
      <c r="J476" s="13" t="n"/>
      <c r="K476" s="16">
        <f>IF($A476="","",1)</f>
        <v/>
      </c>
    </row>
    <row r="477">
      <c r="A477" s="13" t="n"/>
      <c r="B477" s="13" t="n"/>
      <c r="C477" s="13" t="n"/>
      <c r="D477" s="13" t="n"/>
      <c r="E477" s="68" t="n"/>
      <c r="F477" s="69" t="n"/>
      <c r="G477" s="13" t="n"/>
      <c r="H477" s="13" t="n"/>
      <c r="I477" s="13" t="n"/>
      <c r="J477" s="13" t="n"/>
      <c r="K477" s="16">
        <f>IF($A477="","",1)</f>
        <v/>
      </c>
    </row>
    <row r="478">
      <c r="A478" s="13" t="n"/>
      <c r="B478" s="13" t="n"/>
      <c r="C478" s="13" t="n"/>
      <c r="D478" s="13" t="n"/>
      <c r="E478" s="68" t="n"/>
      <c r="F478" s="69" t="n"/>
      <c r="G478" s="13" t="n"/>
      <c r="H478" s="13" t="n"/>
      <c r="I478" s="13" t="n"/>
      <c r="J478" s="13" t="n"/>
      <c r="K478" s="16">
        <f>IF($A478="","",1)</f>
        <v/>
      </c>
    </row>
    <row r="479">
      <c r="A479" s="13" t="n"/>
      <c r="B479" s="13" t="n"/>
      <c r="C479" s="13" t="n"/>
      <c r="D479" s="13" t="n"/>
      <c r="E479" s="68" t="n"/>
      <c r="F479" s="69" t="n"/>
      <c r="G479" s="13" t="n"/>
      <c r="H479" s="13" t="n"/>
      <c r="I479" s="13" t="n"/>
      <c r="J479" s="13" t="n"/>
      <c r="K479" s="16">
        <f>IF($A479="","",1)</f>
        <v/>
      </c>
    </row>
    <row r="480">
      <c r="A480" s="13" t="n"/>
      <c r="B480" s="13" t="n"/>
      <c r="C480" s="13" t="n"/>
      <c r="D480" s="13" t="n"/>
      <c r="E480" s="68" t="n"/>
      <c r="F480" s="69" t="n"/>
      <c r="G480" s="13" t="n"/>
      <c r="H480" s="13" t="n"/>
      <c r="I480" s="13" t="n"/>
      <c r="J480" s="13" t="n"/>
      <c r="K480" s="16">
        <f>IF($A480="","",1)</f>
        <v/>
      </c>
    </row>
    <row r="481">
      <c r="A481" s="13" t="n"/>
      <c r="B481" s="13" t="n"/>
      <c r="C481" s="13" t="n"/>
      <c r="D481" s="13" t="n"/>
      <c r="E481" s="68" t="n"/>
      <c r="F481" s="69" t="n"/>
      <c r="G481" s="13" t="n"/>
      <c r="H481" s="13" t="n"/>
      <c r="I481" s="13" t="n"/>
      <c r="J481" s="13" t="n"/>
      <c r="K481" s="16">
        <f>IF($A481="","",1)</f>
        <v/>
      </c>
    </row>
    <row r="482">
      <c r="A482" s="13" t="n"/>
      <c r="B482" s="13" t="n"/>
      <c r="C482" s="13" t="n"/>
      <c r="D482" s="13" t="n"/>
      <c r="E482" s="68" t="n"/>
      <c r="F482" s="69" t="n"/>
      <c r="G482" s="13" t="n"/>
      <c r="H482" s="13" t="n"/>
      <c r="I482" s="13" t="n"/>
      <c r="J482" s="13" t="n"/>
      <c r="K482" s="16">
        <f>IF($A482="","",1)</f>
        <v/>
      </c>
    </row>
    <row r="483">
      <c r="A483" s="13" t="n"/>
      <c r="B483" s="13" t="n"/>
      <c r="C483" s="13" t="n"/>
      <c r="D483" s="13" t="n"/>
      <c r="E483" s="68" t="n"/>
      <c r="F483" s="69" t="n"/>
      <c r="G483" s="13" t="n"/>
      <c r="H483" s="13" t="n"/>
      <c r="I483" s="13" t="n"/>
      <c r="J483" s="13" t="n"/>
      <c r="K483" s="16">
        <f>IF($A483="","",1)</f>
        <v/>
      </c>
    </row>
    <row r="484">
      <c r="A484" s="13" t="n"/>
      <c r="B484" s="13" t="n"/>
      <c r="C484" s="13" t="n"/>
      <c r="D484" s="13" t="n"/>
      <c r="E484" s="68" t="n"/>
      <c r="F484" s="69" t="n"/>
      <c r="G484" s="13" t="n"/>
      <c r="H484" s="13" t="n"/>
      <c r="I484" s="13" t="n"/>
      <c r="J484" s="13" t="n"/>
      <c r="K484" s="16">
        <f>IF($A484="","",1)</f>
        <v/>
      </c>
    </row>
    <row r="485">
      <c r="A485" s="13" t="n"/>
      <c r="B485" s="13" t="n"/>
      <c r="C485" s="13" t="n"/>
      <c r="D485" s="13" t="n"/>
      <c r="E485" s="68" t="n"/>
      <c r="F485" s="69" t="n"/>
      <c r="G485" s="13" t="n"/>
      <c r="H485" s="13" t="n"/>
      <c r="I485" s="13" t="n"/>
      <c r="J485" s="13" t="n"/>
      <c r="K485" s="16">
        <f>IF($A485="","",1)</f>
        <v/>
      </c>
    </row>
    <row r="486">
      <c r="A486" s="13" t="n"/>
      <c r="B486" s="13" t="n"/>
      <c r="C486" s="13" t="n"/>
      <c r="D486" s="13" t="n"/>
      <c r="E486" s="68" t="n"/>
      <c r="F486" s="69" t="n"/>
      <c r="G486" s="13" t="n"/>
      <c r="H486" s="13" t="n"/>
      <c r="I486" s="13" t="n"/>
      <c r="J486" s="13" t="n"/>
      <c r="K486" s="16">
        <f>IF($A486="","",1)</f>
        <v/>
      </c>
    </row>
    <row r="487">
      <c r="A487" s="13" t="n"/>
      <c r="B487" s="13" t="n"/>
      <c r="C487" s="13" t="n"/>
      <c r="D487" s="13" t="n"/>
      <c r="E487" s="68" t="n"/>
      <c r="F487" s="69" t="n"/>
      <c r="G487" s="13" t="n"/>
      <c r="H487" s="13" t="n"/>
      <c r="I487" s="13" t="n"/>
      <c r="J487" s="13" t="n"/>
      <c r="K487" s="16">
        <f>IF($A487="","",1)</f>
        <v/>
      </c>
    </row>
    <row r="488">
      <c r="A488" s="13" t="n"/>
      <c r="B488" s="13" t="n"/>
      <c r="C488" s="13" t="n"/>
      <c r="D488" s="13" t="n"/>
      <c r="E488" s="68" t="n"/>
      <c r="F488" s="69" t="n"/>
      <c r="G488" s="13" t="n"/>
      <c r="H488" s="13" t="n"/>
      <c r="I488" s="13" t="n"/>
      <c r="J488" s="13" t="n"/>
      <c r="K488" s="16">
        <f>IF($A488="","",1)</f>
        <v/>
      </c>
    </row>
    <row r="489">
      <c r="A489" s="13" t="n"/>
      <c r="B489" s="13" t="n"/>
      <c r="C489" s="13" t="n"/>
      <c r="D489" s="13" t="n"/>
      <c r="E489" s="68" t="n"/>
      <c r="F489" s="69" t="n"/>
      <c r="G489" s="13" t="n"/>
      <c r="H489" s="13" t="n"/>
      <c r="I489" s="13" t="n"/>
      <c r="J489" s="13" t="n"/>
      <c r="K489" s="16">
        <f>IF($A489="","",1)</f>
        <v/>
      </c>
    </row>
    <row r="490">
      <c r="A490" s="13" t="n"/>
      <c r="B490" s="13" t="n"/>
      <c r="C490" s="13" t="n"/>
      <c r="D490" s="13" t="n"/>
      <c r="E490" s="68" t="n"/>
      <c r="F490" s="69" t="n"/>
      <c r="G490" s="13" t="n"/>
      <c r="H490" s="13" t="n"/>
      <c r="I490" s="13" t="n"/>
      <c r="J490" s="13" t="n"/>
      <c r="K490" s="16">
        <f>IF($A490="","",1)</f>
        <v/>
      </c>
    </row>
    <row r="491">
      <c r="A491" s="13" t="n"/>
      <c r="B491" s="13" t="n"/>
      <c r="C491" s="13" t="n"/>
      <c r="D491" s="13" t="n"/>
      <c r="E491" s="68" t="n"/>
      <c r="F491" s="69" t="n"/>
      <c r="G491" s="13" t="n"/>
      <c r="H491" s="13" t="n"/>
      <c r="I491" s="13" t="n"/>
      <c r="J491" s="13" t="n"/>
      <c r="K491" s="16">
        <f>IF($A491="","",1)</f>
        <v/>
      </c>
    </row>
    <row r="492">
      <c r="A492" s="13" t="n"/>
      <c r="B492" s="13" t="n"/>
      <c r="C492" s="13" t="n"/>
      <c r="D492" s="13" t="n"/>
      <c r="E492" s="68" t="n"/>
      <c r="F492" s="69" t="n"/>
      <c r="G492" s="13" t="n"/>
      <c r="H492" s="13" t="n"/>
      <c r="I492" s="13" t="n"/>
      <c r="J492" s="13" t="n"/>
      <c r="K492" s="16">
        <f>IF($A492="","",1)</f>
        <v/>
      </c>
    </row>
    <row r="493">
      <c r="A493" s="13" t="n"/>
      <c r="B493" s="13" t="n"/>
      <c r="C493" s="13" t="n"/>
      <c r="D493" s="13" t="n"/>
      <c r="E493" s="68" t="n"/>
      <c r="F493" s="69" t="n"/>
      <c r="G493" s="13" t="n"/>
      <c r="H493" s="13" t="n"/>
      <c r="I493" s="13" t="n"/>
      <c r="J493" s="13" t="n"/>
      <c r="K493" s="16">
        <f>IF($A493="","",1)</f>
        <v/>
      </c>
    </row>
    <row r="494">
      <c r="A494" s="13" t="n"/>
      <c r="B494" s="13" t="n"/>
      <c r="C494" s="13" t="n"/>
      <c r="D494" s="13" t="n"/>
      <c r="E494" s="68" t="n"/>
      <c r="F494" s="69" t="n"/>
      <c r="G494" s="13" t="n"/>
      <c r="H494" s="13" t="n"/>
      <c r="I494" s="13" t="n"/>
      <c r="J494" s="13" t="n"/>
      <c r="K494" s="16">
        <f>IF($A494="","",1)</f>
        <v/>
      </c>
    </row>
    <row r="495">
      <c r="A495" s="13" t="n"/>
      <c r="B495" s="13" t="n"/>
      <c r="C495" s="13" t="n"/>
      <c r="D495" s="13" t="n"/>
      <c r="E495" s="68" t="n"/>
      <c r="F495" s="69" t="n"/>
      <c r="G495" s="13" t="n"/>
      <c r="H495" s="13" t="n"/>
      <c r="I495" s="13" t="n"/>
      <c r="J495" s="13" t="n"/>
      <c r="K495" s="16">
        <f>IF($A495="","",1)</f>
        <v/>
      </c>
    </row>
    <row r="496">
      <c r="A496" s="13" t="n"/>
      <c r="B496" s="13" t="n"/>
      <c r="C496" s="13" t="n"/>
      <c r="D496" s="13" t="n"/>
      <c r="E496" s="68" t="n"/>
      <c r="F496" s="69" t="n"/>
      <c r="G496" s="13" t="n"/>
      <c r="H496" s="13" t="n"/>
      <c r="I496" s="13" t="n"/>
      <c r="J496" s="13" t="n"/>
      <c r="K496" s="16">
        <f>IF($A496="","",1)</f>
        <v/>
      </c>
    </row>
    <row r="497">
      <c r="A497" s="13" t="n"/>
      <c r="B497" s="13" t="n"/>
      <c r="C497" s="13" t="n"/>
      <c r="D497" s="13" t="n"/>
      <c r="E497" s="68" t="n"/>
      <c r="F497" s="69" t="n"/>
      <c r="G497" s="13" t="n"/>
      <c r="H497" s="13" t="n"/>
      <c r="I497" s="13" t="n"/>
      <c r="J497" s="13" t="n"/>
      <c r="K497" s="16">
        <f>IF($A497="","",1)</f>
        <v/>
      </c>
    </row>
    <row r="498">
      <c r="A498" s="13" t="n"/>
      <c r="B498" s="13" t="n"/>
      <c r="C498" s="13" t="n"/>
      <c r="D498" s="13" t="n"/>
      <c r="E498" s="68" t="n"/>
      <c r="F498" s="69" t="n"/>
      <c r="G498" s="13" t="n"/>
      <c r="H498" s="13" t="n"/>
      <c r="I498" s="13" t="n"/>
      <c r="J498" s="13" t="n"/>
      <c r="K498" s="16">
        <f>IF($A498="","",1)</f>
        <v/>
      </c>
    </row>
    <row r="499">
      <c r="A499" s="13" t="n"/>
      <c r="B499" s="13" t="n"/>
      <c r="C499" s="13" t="n"/>
      <c r="D499" s="13" t="n"/>
      <c r="E499" s="68" t="n"/>
      <c r="F499" s="69" t="n"/>
      <c r="G499" s="13" t="n"/>
      <c r="H499" s="13" t="n"/>
      <c r="I499" s="13" t="n"/>
      <c r="J499" s="13" t="n"/>
      <c r="K499" s="16">
        <f>IF($A499="","",1)</f>
        <v/>
      </c>
    </row>
    <row r="500">
      <c r="A500" s="13" t="n"/>
      <c r="B500" s="13" t="n"/>
      <c r="C500" s="13" t="n"/>
      <c r="D500" s="13" t="n"/>
      <c r="E500" s="68" t="n"/>
      <c r="F500" s="69" t="n"/>
      <c r="G500" s="13" t="n"/>
      <c r="H500" s="13" t="n"/>
      <c r="I500" s="13" t="n"/>
      <c r="J500" s="13" t="n"/>
      <c r="K500" s="16">
        <f>IF($A500="","",1)</f>
        <v/>
      </c>
    </row>
    <row r="501">
      <c r="A501" s="13" t="n"/>
      <c r="B501" s="13" t="n"/>
      <c r="C501" s="13" t="n"/>
      <c r="D501" s="13" t="n"/>
      <c r="E501" s="68" t="n"/>
      <c r="F501" s="69" t="n"/>
      <c r="G501" s="13" t="n"/>
      <c r="H501" s="13" t="n"/>
      <c r="I501" s="13" t="n"/>
      <c r="J501" s="13" t="n"/>
      <c r="K501" s="16">
        <f>IF($A501="","",1)</f>
        <v/>
      </c>
    </row>
    <row r="502">
      <c r="A502" s="13" t="n"/>
      <c r="B502" s="13" t="n"/>
      <c r="C502" s="13" t="n"/>
      <c r="D502" s="13" t="n"/>
      <c r="E502" s="68" t="n"/>
      <c r="F502" s="69" t="n"/>
      <c r="G502" s="13" t="n"/>
      <c r="H502" s="13" t="n"/>
      <c r="I502" s="13" t="n"/>
      <c r="J502" s="13" t="n"/>
      <c r="K502" s="16">
        <f>IF($A502="","",1)</f>
        <v/>
      </c>
    </row>
    <row r="503">
      <c r="A503" s="13" t="n"/>
      <c r="B503" s="13" t="n"/>
      <c r="C503" s="13" t="n"/>
      <c r="D503" s="13" t="n"/>
      <c r="E503" s="68" t="n"/>
      <c r="F503" s="69" t="n"/>
      <c r="G503" s="13" t="n"/>
      <c r="H503" s="13" t="n"/>
      <c r="I503" s="13" t="n"/>
      <c r="J503" s="13" t="n"/>
      <c r="K503" s="16">
        <f>IF($A503="","",1)</f>
        <v/>
      </c>
    </row>
    <row r="504">
      <c r="A504" s="13" t="n"/>
      <c r="B504" s="13" t="n"/>
      <c r="C504" s="13" t="n"/>
      <c r="D504" s="13" t="n"/>
      <c r="E504" s="68" t="n"/>
      <c r="F504" s="69" t="n"/>
      <c r="G504" s="13" t="n"/>
      <c r="H504" s="13" t="n"/>
      <c r="I504" s="13" t="n"/>
      <c r="J504" s="13" t="n"/>
      <c r="K504" s="16">
        <f>IF($A504="","",1)</f>
        <v/>
      </c>
    </row>
    <row r="505">
      <c r="A505" s="13" t="n"/>
      <c r="B505" s="13" t="n"/>
      <c r="C505" s="13" t="n"/>
      <c r="D505" s="13" t="n"/>
      <c r="E505" s="68" t="n"/>
      <c r="F505" s="69" t="n"/>
      <c r="G505" s="13" t="n"/>
      <c r="H505" s="13" t="n"/>
      <c r="I505" s="13" t="n"/>
      <c r="J505" s="13" t="n"/>
      <c r="K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F6:F505">
    <cfRule type="cellIs" priority="1" operator="lessThan" dxfId="0">
      <formula>0</formula>
    </cfRule>
    <cfRule type="cellIs" priority="2" operator="greaterThan" dxfId="1">
      <formula>100000</formula>
    </cfRule>
  </conditionalFormatting>
  <dataValidations count="7">
    <dataValidation sqref="A6:A505" showDropDown="0" showInputMessage="1" showErrorMessage="1" allowBlank="1" errorTitle="VKN" error="Boş olamaz" promptTitle="VKN" prompt="VKN girin" type="textLength" errorStyle="stop" operator="greaterThan">
      <formula1>1</formula1>
      <formula2>20</formula2>
    </dataValidation>
    <dataValidation sqref="B6:B505" showDropDown="0" showInputMessage="1" showErrorMessage="1" allowBlank="1" errorTitle="Unvan" error="Boş olamaz" promptTitle="Unvan" prompt="Unvan girin" type="textLength" errorStyle="stop" operator="greaterThan">
      <formula1>1</formula1>
      <formula2>80</formula2>
    </dataValidation>
    <dataValidation sqref="C6:C505" showDropDown="0" showInputMessage="1" showErrorMessage="1" allowBlank="1" errorTitle="Dönem" error="Geçersiz" promptTitle="Dönem" prompt="YYYY-AA" type="textLength" errorStyle="stop" operator="greaterThan">
      <formula1>1</formula1>
      <formula2>10</formula2>
    </dataValidation>
    <dataValidation sqref="E6:E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F6:F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505" showDropDown="0" showInputMessage="1" showErrorMessage="1" allowBlank="1" errorTitle="Liste" error="Listeden seçin" promptTitle="İşlem Tipi" prompt="Listeden seçin" type="list" errorStyle="stop">
      <formula1>ListeIslemTipleri</formula1>
    </dataValidation>
    <dataValidation sqref="J6:J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.5" customWidth="1" min="1" max="1"/>
    <col width="22.5" customWidth="1" min="2" max="2"/>
    <col width="14" customWidth="1" min="3" max="3"/>
    <col width="14" customWidth="1" min="4" max="4"/>
    <col width="14.5" customWidth="1" min="5" max="5"/>
    <col width="14" customWidth="1" min="6" max="6"/>
    <col width="15.5" customWidth="1" min="7" max="7"/>
    <col width="14" customWidth="1" min="8" max="8"/>
    <col width="14" customWidth="1" min="9" max="9"/>
    <col width="13" customWidth="1" min="10" max="10"/>
  </cols>
  <sheetData>
    <row r="1" ht="32" customHeight="1">
      <c r="A1" s="188" t="inlineStr">
        <is>
          <t>VERI B — Cari ve Ba-Bs Toplu Mutabakat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8" t="inlineStr">
        <is>
          <t>Form Ba / Form Bs beyan satırları — GİB özeti</t>
        </is>
      </c>
    </row>
    <row r="4"/>
    <row r="5" ht="30" customHeight="1">
      <c r="A5" s="12" t="inlineStr">
        <is>
          <t>VKN</t>
        </is>
      </c>
      <c r="B5" s="12" t="inlineStr">
        <is>
          <t>Unvan</t>
        </is>
      </c>
      <c r="C5" s="12" t="inlineStr">
        <is>
          <t>Donem</t>
        </is>
      </c>
      <c r="D5" s="12" t="inlineStr">
        <is>
          <t>FormTipi</t>
        </is>
      </c>
      <c r="E5" s="12" t="inlineStr">
        <is>
          <t>BeyanTutar</t>
        </is>
      </c>
      <c r="F5" s="12" t="inlineStr">
        <is>
          <t>BelgeAdet</t>
        </is>
      </c>
      <c r="G5" s="12" t="inlineStr">
        <is>
          <t>Aciklama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1000000017</t>
        </is>
      </c>
      <c r="B6" s="13" t="inlineStr">
        <is>
          <t>Örnek Cari 01 Ltd.</t>
        </is>
      </c>
      <c r="C6" s="13" t="inlineStr">
        <is>
          <t>2026-07</t>
        </is>
      </c>
      <c r="D6" s="13" t="inlineStr">
        <is>
          <t>Bs</t>
        </is>
      </c>
      <c r="E6" s="69" t="n">
        <v>10137.5</v>
      </c>
      <c r="F6" s="17" t="n">
        <v>2</v>
      </c>
      <c r="G6" s="13" t="inlineStr">
        <is>
          <t>Ba-Bs beyan</t>
        </is>
      </c>
      <c r="H6" s="13" t="inlineStr">
        <is>
          <t>Açık</t>
        </is>
      </c>
      <c r="I6" s="16">
        <f>IF($A6="","",1)</f>
        <v/>
      </c>
    </row>
    <row r="7">
      <c r="A7" s="13" t="inlineStr">
        <is>
          <t>1000000034</t>
        </is>
      </c>
      <c r="B7" s="13" t="inlineStr">
        <is>
          <t>Örnek Cari 02 Ltd.</t>
        </is>
      </c>
      <c r="C7" s="13" t="inlineStr">
        <is>
          <t>2026-07</t>
        </is>
      </c>
      <c r="D7" s="13" t="inlineStr">
        <is>
          <t>Ba</t>
        </is>
      </c>
      <c r="E7" s="69" t="n">
        <v>10275</v>
      </c>
      <c r="F7" s="17" t="n">
        <v>3</v>
      </c>
      <c r="G7" s="13" t="inlineStr">
        <is>
          <t>Ba-Bs beyan</t>
        </is>
      </c>
      <c r="H7" s="13" t="inlineStr">
        <is>
          <t>Açık</t>
        </is>
      </c>
      <c r="I7" s="16">
        <f>IF($A7="","",1)</f>
        <v/>
      </c>
    </row>
    <row r="8">
      <c r="A8" s="13" t="inlineStr">
        <is>
          <t>1000000051</t>
        </is>
      </c>
      <c r="B8" s="13" t="inlineStr">
        <is>
          <t>Örnek Cari 03 Ltd.</t>
        </is>
      </c>
      <c r="C8" s="13" t="inlineStr">
        <is>
          <t>2026-07</t>
        </is>
      </c>
      <c r="D8" s="13" t="inlineStr">
        <is>
          <t>Bs</t>
        </is>
      </c>
      <c r="E8" s="69" t="n">
        <v>10412.5</v>
      </c>
      <c r="F8" s="17" t="n">
        <v>1</v>
      </c>
      <c r="G8" s="13" t="inlineStr">
        <is>
          <t>Ba-Bs beyan</t>
        </is>
      </c>
      <c r="H8" s="13" t="inlineStr">
        <is>
          <t>Açık</t>
        </is>
      </c>
      <c r="I8" s="16">
        <f>IF($A8="","",1)</f>
        <v/>
      </c>
    </row>
    <row r="9">
      <c r="A9" s="13" t="inlineStr">
        <is>
          <t>1000000068</t>
        </is>
      </c>
      <c r="B9" s="13" t="inlineStr">
        <is>
          <t>Örnek Cari 04 Ltd.</t>
        </is>
      </c>
      <c r="C9" s="13" t="inlineStr">
        <is>
          <t>2026-07</t>
        </is>
      </c>
      <c r="D9" s="13" t="inlineStr">
        <is>
          <t>Ba</t>
        </is>
      </c>
      <c r="E9" s="69" t="n">
        <v>10550</v>
      </c>
      <c r="F9" s="17" t="n">
        <v>2</v>
      </c>
      <c r="G9" s="13" t="inlineStr">
        <is>
          <t>Ba-Bs beyan</t>
        </is>
      </c>
      <c r="H9" s="13" t="inlineStr">
        <is>
          <t>Açık</t>
        </is>
      </c>
      <c r="I9" s="16">
        <f>IF($A9="","",1)</f>
        <v/>
      </c>
    </row>
    <row r="10">
      <c r="A10" s="13" t="inlineStr">
        <is>
          <t>1000000085</t>
        </is>
      </c>
      <c r="B10" s="13" t="inlineStr">
        <is>
          <t>Örnek Cari 05 Ltd.</t>
        </is>
      </c>
      <c r="C10" s="13" t="inlineStr">
        <is>
          <t>2026-07</t>
        </is>
      </c>
      <c r="D10" s="13" t="inlineStr">
        <is>
          <t>Bs</t>
        </is>
      </c>
      <c r="E10" s="69" t="n">
        <v>10687.5</v>
      </c>
      <c r="F10" s="17" t="n">
        <v>3</v>
      </c>
      <c r="G10" s="13" t="inlineStr">
        <is>
          <t>Ba-Bs beyan</t>
        </is>
      </c>
      <c r="H10" s="13" t="inlineStr">
        <is>
          <t>Açık</t>
        </is>
      </c>
      <c r="I10" s="16">
        <f>IF($A10="","",1)</f>
        <v/>
      </c>
    </row>
    <row r="11">
      <c r="A11" s="13" t="inlineStr">
        <is>
          <t>1000000102</t>
        </is>
      </c>
      <c r="B11" s="13" t="inlineStr">
        <is>
          <t>Örnek Cari 06 Ltd.</t>
        </is>
      </c>
      <c r="C11" s="13" t="inlineStr">
        <is>
          <t>2026-07</t>
        </is>
      </c>
      <c r="D11" s="13" t="inlineStr">
        <is>
          <t>Ba</t>
        </is>
      </c>
      <c r="E11" s="69" t="n">
        <v>10825</v>
      </c>
      <c r="F11" s="17" t="n">
        <v>1</v>
      </c>
      <c r="G11" s="13" t="inlineStr">
        <is>
          <t>Ba-Bs beyan</t>
        </is>
      </c>
      <c r="H11" s="13" t="inlineStr">
        <is>
          <t>Açık</t>
        </is>
      </c>
      <c r="I11" s="16">
        <f>IF($A11="","",1)</f>
        <v/>
      </c>
    </row>
    <row r="12">
      <c r="A12" s="13" t="inlineStr">
        <is>
          <t>1000000119</t>
        </is>
      </c>
      <c r="B12" s="13" t="inlineStr">
        <is>
          <t>Örnek Cari 07 Ltd.</t>
        </is>
      </c>
      <c r="C12" s="13" t="inlineStr">
        <is>
          <t>2026-07</t>
        </is>
      </c>
      <c r="D12" s="13" t="inlineStr">
        <is>
          <t>Bs</t>
        </is>
      </c>
      <c r="E12" s="69" t="n">
        <v>10962.5</v>
      </c>
      <c r="F12" s="17" t="n">
        <v>2</v>
      </c>
      <c r="G12" s="13" t="inlineStr">
        <is>
          <t>Ba-Bs beyan</t>
        </is>
      </c>
      <c r="H12" s="13" t="inlineStr">
        <is>
          <t>Açık</t>
        </is>
      </c>
      <c r="I12" s="16">
        <f>IF($A12="","",1)</f>
        <v/>
      </c>
    </row>
    <row r="13">
      <c r="A13" s="13" t="inlineStr">
        <is>
          <t>1000000136</t>
        </is>
      </c>
      <c r="B13" s="13" t="inlineStr">
        <is>
          <t>Örnek Cari 08 Ltd.</t>
        </is>
      </c>
      <c r="C13" s="13" t="inlineStr">
        <is>
          <t>2026-07</t>
        </is>
      </c>
      <c r="D13" s="13" t="inlineStr">
        <is>
          <t>Ba</t>
        </is>
      </c>
      <c r="E13" s="69" t="n">
        <v>10974.5</v>
      </c>
      <c r="F13" s="17" t="n">
        <v>3</v>
      </c>
      <c r="G13" s="13" t="inlineStr">
        <is>
          <t>Ba-Bs beyan</t>
        </is>
      </c>
      <c r="H13" s="13" t="inlineStr">
        <is>
          <t>Açık</t>
        </is>
      </c>
      <c r="I13" s="16">
        <f>IF($A13="","",1)</f>
        <v/>
      </c>
    </row>
    <row r="14">
      <c r="A14" s="13" t="inlineStr">
        <is>
          <t>1000000153</t>
        </is>
      </c>
      <c r="B14" s="13" t="inlineStr">
        <is>
          <t>Örnek Cari 09 Ltd.</t>
        </is>
      </c>
      <c r="C14" s="13" t="inlineStr">
        <is>
          <t>2026-07</t>
        </is>
      </c>
      <c r="D14" s="13" t="inlineStr">
        <is>
          <t>Bs</t>
        </is>
      </c>
      <c r="E14" s="69" t="n">
        <v>11237.5</v>
      </c>
      <c r="F14" s="17" t="n">
        <v>1</v>
      </c>
      <c r="G14" s="13" t="inlineStr">
        <is>
          <t>Ba-Bs beyan</t>
        </is>
      </c>
      <c r="H14" s="13" t="inlineStr">
        <is>
          <t>Açık</t>
        </is>
      </c>
      <c r="I14" s="16">
        <f>IF($A14="","",1)</f>
        <v/>
      </c>
    </row>
    <row r="15">
      <c r="A15" s="13" t="inlineStr">
        <is>
          <t>1000000170</t>
        </is>
      </c>
      <c r="B15" s="13" t="inlineStr">
        <is>
          <t>Örnek Cari 10 Ltd.</t>
        </is>
      </c>
      <c r="C15" s="13" t="inlineStr">
        <is>
          <t>2026-07</t>
        </is>
      </c>
      <c r="D15" s="13" t="inlineStr">
        <is>
          <t>Ba</t>
        </is>
      </c>
      <c r="E15" s="69" t="n">
        <v>11375</v>
      </c>
      <c r="F15" s="17" t="n">
        <v>2</v>
      </c>
      <c r="G15" s="13" t="inlineStr">
        <is>
          <t>Ba-Bs beyan</t>
        </is>
      </c>
      <c r="H15" s="13" t="inlineStr">
        <is>
          <t>Açık</t>
        </is>
      </c>
      <c r="I15" s="16">
        <f>IF($A15="","",1)</f>
        <v/>
      </c>
    </row>
    <row r="16">
      <c r="A16" s="13" t="inlineStr">
        <is>
          <t>1000000187</t>
        </is>
      </c>
      <c r="B16" s="13" t="inlineStr">
        <is>
          <t>Örnek Cari 11 Ltd.</t>
        </is>
      </c>
      <c r="C16" s="13" t="inlineStr">
        <is>
          <t>2026-07</t>
        </is>
      </c>
      <c r="D16" s="13" t="inlineStr">
        <is>
          <t>Bs</t>
        </is>
      </c>
      <c r="E16" s="69" t="n">
        <v>11512.53</v>
      </c>
      <c r="F16" s="17" t="n">
        <v>3</v>
      </c>
      <c r="G16" s="13" t="inlineStr">
        <is>
          <t>Ba-Bs beyan</t>
        </is>
      </c>
      <c r="H16" s="13" t="inlineStr">
        <is>
          <t>Açık</t>
        </is>
      </c>
      <c r="I16" s="16">
        <f>IF($A16="","",1)</f>
        <v/>
      </c>
    </row>
    <row r="17">
      <c r="A17" s="13" t="inlineStr">
        <is>
          <t>1000000204</t>
        </is>
      </c>
      <c r="B17" s="13" t="inlineStr">
        <is>
          <t>Örnek Cari 12 Ltd.</t>
        </is>
      </c>
      <c r="C17" s="13" t="inlineStr">
        <is>
          <t>2026-07</t>
        </is>
      </c>
      <c r="D17" s="13" t="inlineStr">
        <is>
          <t>Ba</t>
        </is>
      </c>
      <c r="E17" s="69" t="n">
        <v>11650</v>
      </c>
      <c r="F17" s="17" t="n">
        <v>1</v>
      </c>
      <c r="G17" s="13" t="inlineStr">
        <is>
          <t>Ba-Bs beyan</t>
        </is>
      </c>
      <c r="H17" s="13" t="inlineStr">
        <is>
          <t>Açık</t>
        </is>
      </c>
      <c r="I17" s="16">
        <f>IF($A17="","",1)</f>
        <v/>
      </c>
    </row>
    <row r="18">
      <c r="A18" s="13" t="inlineStr">
        <is>
          <t>1000000221</t>
        </is>
      </c>
      <c r="B18" s="13" t="inlineStr">
        <is>
          <t>Örnek Cari 13 Ltd.</t>
        </is>
      </c>
      <c r="C18" s="13" t="inlineStr">
        <is>
          <t>2026-07</t>
        </is>
      </c>
      <c r="D18" s="13" t="inlineStr">
        <is>
          <t>Bs</t>
        </is>
      </c>
      <c r="E18" s="69" t="n">
        <v>11787.5</v>
      </c>
      <c r="F18" s="17" t="n">
        <v>2</v>
      </c>
      <c r="G18" s="13" t="inlineStr">
        <is>
          <t>Ba-Bs beyan</t>
        </is>
      </c>
      <c r="H18" s="13" t="inlineStr">
        <is>
          <t>Açık</t>
        </is>
      </c>
      <c r="I18" s="16">
        <f>IF($A18="","",1)</f>
        <v/>
      </c>
    </row>
    <row r="19">
      <c r="A19" s="13" t="inlineStr">
        <is>
          <t>1000000238</t>
        </is>
      </c>
      <c r="B19" s="13" t="inlineStr">
        <is>
          <t>Örnek Cari 14 Ltd.</t>
        </is>
      </c>
      <c r="C19" s="13" t="inlineStr">
        <is>
          <t>2026-07</t>
        </is>
      </c>
      <c r="D19" s="13" t="inlineStr">
        <is>
          <t>Ba</t>
        </is>
      </c>
      <c r="E19" s="69" t="n">
        <v>11925</v>
      </c>
      <c r="F19" s="17" t="n">
        <v>3</v>
      </c>
      <c r="G19" s="13" t="inlineStr">
        <is>
          <t>Ba-Bs beyan</t>
        </is>
      </c>
      <c r="H19" s="13" t="inlineStr">
        <is>
          <t>Açık</t>
        </is>
      </c>
      <c r="I19" s="16">
        <f>IF($A19="","",1)</f>
        <v/>
      </c>
    </row>
    <row r="20">
      <c r="A20" s="13" t="inlineStr">
        <is>
          <t>1000000255</t>
        </is>
      </c>
      <c r="B20" s="13" t="inlineStr">
        <is>
          <t>Örnek Cari 15 Ltd.</t>
        </is>
      </c>
      <c r="C20" s="13" t="inlineStr">
        <is>
          <t>2026-07</t>
        </is>
      </c>
      <c r="D20" s="13" t="inlineStr">
        <is>
          <t>Bs</t>
        </is>
      </c>
      <c r="E20" s="69" t="n">
        <v>12062.5</v>
      </c>
      <c r="F20" s="17" t="n">
        <v>1</v>
      </c>
      <c r="G20" s="13" t="inlineStr">
        <is>
          <t>Ba-Bs beyan</t>
        </is>
      </c>
      <c r="H20" s="13" t="inlineStr">
        <is>
          <t>Açık</t>
        </is>
      </c>
      <c r="I20" s="16">
        <f>IF($A20="","",1)</f>
        <v/>
      </c>
    </row>
    <row r="21">
      <c r="A21" s="13" t="inlineStr">
        <is>
          <t>1000000272</t>
        </is>
      </c>
      <c r="B21" s="13" t="inlineStr">
        <is>
          <t>Örnek Cari 16 Ltd.</t>
        </is>
      </c>
      <c r="C21" s="13" t="inlineStr">
        <is>
          <t>2026-07</t>
        </is>
      </c>
      <c r="D21" s="13" t="inlineStr">
        <is>
          <t>Ba</t>
        </is>
      </c>
      <c r="E21" s="69" t="n">
        <v>12074.5</v>
      </c>
      <c r="F21" s="17" t="n">
        <v>2</v>
      </c>
      <c r="G21" s="13" t="inlineStr">
        <is>
          <t>Ba-Bs beyan</t>
        </is>
      </c>
      <c r="H21" s="13" t="inlineStr">
        <is>
          <t>Açık</t>
        </is>
      </c>
      <c r="I21" s="16">
        <f>IF($A21="","",1)</f>
        <v/>
      </c>
    </row>
    <row r="22">
      <c r="A22" s="13" t="inlineStr">
        <is>
          <t>1000000289</t>
        </is>
      </c>
      <c r="B22" s="13" t="inlineStr">
        <is>
          <t>Örnek Cari 17 Ltd.</t>
        </is>
      </c>
      <c r="C22" s="13" t="inlineStr">
        <is>
          <t>2026-07</t>
        </is>
      </c>
      <c r="D22" s="13" t="inlineStr">
        <is>
          <t>Bs</t>
        </is>
      </c>
      <c r="E22" s="69" t="n">
        <v>12337.5</v>
      </c>
      <c r="F22" s="17" t="n">
        <v>3</v>
      </c>
      <c r="G22" s="13" t="inlineStr">
        <is>
          <t>Ba-Bs beyan</t>
        </is>
      </c>
      <c r="H22" s="13" t="inlineStr">
        <is>
          <t>Açık</t>
        </is>
      </c>
      <c r="I22" s="16">
        <f>IF($A22="","",1)</f>
        <v/>
      </c>
    </row>
    <row r="23">
      <c r="A23" s="13" t="inlineStr">
        <is>
          <t>1000000306</t>
        </is>
      </c>
      <c r="B23" s="13" t="inlineStr">
        <is>
          <t>Örnek Cari 18 Ltd.</t>
        </is>
      </c>
      <c r="C23" s="13" t="inlineStr">
        <is>
          <t>2026-07</t>
        </is>
      </c>
      <c r="D23" s="13" t="inlineStr">
        <is>
          <t>Ba</t>
        </is>
      </c>
      <c r="E23" s="69" t="n">
        <v>12475</v>
      </c>
      <c r="F23" s="17" t="n">
        <v>1</v>
      </c>
      <c r="G23" s="13" t="inlineStr">
        <is>
          <t>Ba-Bs beyan</t>
        </is>
      </c>
      <c r="H23" s="13" t="inlineStr">
        <is>
          <t>Açık</t>
        </is>
      </c>
      <c r="I23" s="16">
        <f>IF($A23="","",1)</f>
        <v/>
      </c>
    </row>
    <row r="24">
      <c r="A24" s="13" t="inlineStr">
        <is>
          <t>1000000323</t>
        </is>
      </c>
      <c r="B24" s="13" t="inlineStr">
        <is>
          <t>Örnek Cari 19 Ltd.</t>
        </is>
      </c>
      <c r="C24" s="13" t="inlineStr">
        <is>
          <t>2026-07</t>
        </is>
      </c>
      <c r="D24" s="13" t="inlineStr">
        <is>
          <t>Bs</t>
        </is>
      </c>
      <c r="E24" s="69" t="n">
        <v>12612.5</v>
      </c>
      <c r="F24" s="17" t="n">
        <v>2</v>
      </c>
      <c r="G24" s="13" t="inlineStr">
        <is>
          <t>Ba-Bs beyan</t>
        </is>
      </c>
      <c r="H24" s="13" t="inlineStr">
        <is>
          <t>Açık</t>
        </is>
      </c>
      <c r="I24" s="16">
        <f>IF($A24="","",1)</f>
        <v/>
      </c>
    </row>
    <row r="25">
      <c r="A25" s="13" t="inlineStr">
        <is>
          <t>1000000340</t>
        </is>
      </c>
      <c r="B25" s="13" t="inlineStr">
        <is>
          <t>Örnek Cari 20 Ltd.</t>
        </is>
      </c>
      <c r="C25" s="13" t="inlineStr">
        <is>
          <t>2026-07</t>
        </is>
      </c>
      <c r="D25" s="13" t="inlineStr">
        <is>
          <t>Ba</t>
        </is>
      </c>
      <c r="E25" s="69" t="n">
        <v>12750</v>
      </c>
      <c r="F25" s="17" t="n">
        <v>3</v>
      </c>
      <c r="G25" s="13" t="inlineStr">
        <is>
          <t>Ba-Bs beyan</t>
        </is>
      </c>
      <c r="H25" s="13" t="inlineStr">
        <is>
          <t>Açık</t>
        </is>
      </c>
      <c r="I25" s="16">
        <f>IF($A25="","",1)</f>
        <v/>
      </c>
    </row>
    <row r="26">
      <c r="A26" s="13" t="inlineStr">
        <is>
          <t>1000000357</t>
        </is>
      </c>
      <c r="B26" s="13" t="inlineStr">
        <is>
          <t>Örnek Cari 21 Ltd.</t>
        </is>
      </c>
      <c r="C26" s="13" t="inlineStr">
        <is>
          <t>2026-07</t>
        </is>
      </c>
      <c r="D26" s="13" t="inlineStr">
        <is>
          <t>Bs</t>
        </is>
      </c>
      <c r="E26" s="69" t="n">
        <v>12887.5</v>
      </c>
      <c r="F26" s="17" t="n">
        <v>1</v>
      </c>
      <c r="G26" s="13" t="inlineStr">
        <is>
          <t>Ba-Bs beyan</t>
        </is>
      </c>
      <c r="H26" s="13" t="inlineStr">
        <is>
          <t>Açık</t>
        </is>
      </c>
      <c r="I26" s="16">
        <f>IF($A26="","",1)</f>
        <v/>
      </c>
    </row>
    <row r="27">
      <c r="A27" s="13" t="inlineStr">
        <is>
          <t>1000000374</t>
        </is>
      </c>
      <c r="B27" s="13" t="inlineStr">
        <is>
          <t>Örnek Cari 22 Ltd.</t>
        </is>
      </c>
      <c r="C27" s="13" t="inlineStr">
        <is>
          <t>2026-07</t>
        </is>
      </c>
      <c r="D27" s="13" t="inlineStr">
        <is>
          <t>Ba</t>
        </is>
      </c>
      <c r="E27" s="69" t="n">
        <v>13025.03</v>
      </c>
      <c r="F27" s="17" t="n">
        <v>2</v>
      </c>
      <c r="G27" s="13" t="inlineStr">
        <is>
          <t>Ba-Bs beyan</t>
        </is>
      </c>
      <c r="H27" s="13" t="inlineStr">
        <is>
          <t>Açık</t>
        </is>
      </c>
      <c r="I27" s="16">
        <f>IF($A27="","",1)</f>
        <v/>
      </c>
    </row>
    <row r="28">
      <c r="A28" s="13" t="inlineStr">
        <is>
          <t>1000000391</t>
        </is>
      </c>
      <c r="B28" s="13" t="inlineStr">
        <is>
          <t>Örnek Cari 23 Ltd.</t>
        </is>
      </c>
      <c r="C28" s="13" t="inlineStr">
        <is>
          <t>2026-07</t>
        </is>
      </c>
      <c r="D28" s="13" t="inlineStr">
        <is>
          <t>Bs</t>
        </is>
      </c>
      <c r="E28" s="69" t="n">
        <v>13162.5</v>
      </c>
      <c r="F28" s="17" t="n">
        <v>3</v>
      </c>
      <c r="G28" s="13" t="inlineStr">
        <is>
          <t>Ba-Bs beyan</t>
        </is>
      </c>
      <c r="H28" s="13" t="inlineStr">
        <is>
          <t>Açık</t>
        </is>
      </c>
      <c r="I28" s="16">
        <f>IF($A28="","",1)</f>
        <v/>
      </c>
    </row>
    <row r="29">
      <c r="A29" s="13" t="inlineStr">
        <is>
          <t>1000000408</t>
        </is>
      </c>
      <c r="B29" s="13" t="inlineStr">
        <is>
          <t>Örnek Cari 24 Ltd.</t>
        </is>
      </c>
      <c r="C29" s="13" t="inlineStr">
        <is>
          <t>2026-07</t>
        </is>
      </c>
      <c r="D29" s="13" t="inlineStr">
        <is>
          <t>Ba</t>
        </is>
      </c>
      <c r="E29" s="69" t="n">
        <v>13174.5</v>
      </c>
      <c r="F29" s="17" t="n">
        <v>1</v>
      </c>
      <c r="G29" s="13" t="inlineStr">
        <is>
          <t>Ba-Bs beyan</t>
        </is>
      </c>
      <c r="H29" s="13" t="inlineStr">
        <is>
          <t>Açık</t>
        </is>
      </c>
      <c r="I29" s="16">
        <f>IF($A29="","",1)</f>
        <v/>
      </c>
    </row>
    <row r="30">
      <c r="A30" s="13" t="inlineStr">
        <is>
          <t>1000000425</t>
        </is>
      </c>
      <c r="B30" s="13" t="inlineStr">
        <is>
          <t>Örnek Cari 25 Ltd.</t>
        </is>
      </c>
      <c r="C30" s="13" t="inlineStr">
        <is>
          <t>2026-07</t>
        </is>
      </c>
      <c r="D30" s="13" t="inlineStr">
        <is>
          <t>Bs</t>
        </is>
      </c>
      <c r="E30" s="69" t="n">
        <v>13437.5</v>
      </c>
      <c r="F30" s="17" t="n">
        <v>2</v>
      </c>
      <c r="G30" s="13" t="inlineStr">
        <is>
          <t>Ba-Bs beyan</t>
        </is>
      </c>
      <c r="H30" s="13" t="inlineStr">
        <is>
          <t>Açık</t>
        </is>
      </c>
      <c r="I30" s="16">
        <f>IF($A30="","",1)</f>
        <v/>
      </c>
    </row>
    <row r="31">
      <c r="A31" s="13" t="inlineStr">
        <is>
          <t>1000000442</t>
        </is>
      </c>
      <c r="B31" s="13" t="inlineStr">
        <is>
          <t>Örnek Cari 26 Ltd.</t>
        </is>
      </c>
      <c r="C31" s="13" t="inlineStr">
        <is>
          <t>2026-07</t>
        </is>
      </c>
      <c r="D31" s="13" t="inlineStr">
        <is>
          <t>Ba</t>
        </is>
      </c>
      <c r="E31" s="69" t="n">
        <v>13575</v>
      </c>
      <c r="F31" s="17" t="n">
        <v>3</v>
      </c>
      <c r="G31" s="13" t="inlineStr">
        <is>
          <t>Ba-Bs beyan</t>
        </is>
      </c>
      <c r="H31" s="13" t="inlineStr">
        <is>
          <t>Açık</t>
        </is>
      </c>
      <c r="I31" s="16">
        <f>IF($A31="","",1)</f>
        <v/>
      </c>
    </row>
    <row r="32">
      <c r="A32" s="13" t="inlineStr">
        <is>
          <t>1000000459</t>
        </is>
      </c>
      <c r="B32" s="13" t="inlineStr">
        <is>
          <t>Örnek Cari 27 Ltd.</t>
        </is>
      </c>
      <c r="C32" s="13" t="inlineStr">
        <is>
          <t>2026-07</t>
        </is>
      </c>
      <c r="D32" s="13" t="inlineStr">
        <is>
          <t>Bs</t>
        </is>
      </c>
      <c r="E32" s="69" t="n">
        <v>13712.5</v>
      </c>
      <c r="F32" s="17" t="n">
        <v>1</v>
      </c>
      <c r="G32" s="13" t="inlineStr">
        <is>
          <t>Ba-Bs beyan</t>
        </is>
      </c>
      <c r="H32" s="13" t="inlineStr">
        <is>
          <t>Açık</t>
        </is>
      </c>
      <c r="I32" s="16">
        <f>IF($A32="","",1)</f>
        <v/>
      </c>
    </row>
    <row r="33">
      <c r="A33" s="13" t="inlineStr">
        <is>
          <t>1000000476</t>
        </is>
      </c>
      <c r="B33" s="13" t="inlineStr">
        <is>
          <t>Örnek Cari 28 Ltd.</t>
        </is>
      </c>
      <c r="C33" s="13" t="inlineStr">
        <is>
          <t>2026-07</t>
        </is>
      </c>
      <c r="D33" s="13" t="inlineStr">
        <is>
          <t>Ba</t>
        </is>
      </c>
      <c r="E33" s="69" t="n">
        <v>13850</v>
      </c>
      <c r="F33" s="17" t="n">
        <v>2</v>
      </c>
      <c r="G33" s="13" t="inlineStr">
        <is>
          <t>Ba-Bs beyan</t>
        </is>
      </c>
      <c r="H33" s="13" t="inlineStr">
        <is>
          <t>Açık</t>
        </is>
      </c>
      <c r="I33" s="16">
        <f>IF($A33="","",1)</f>
        <v/>
      </c>
    </row>
    <row r="34">
      <c r="A34" s="13" t="inlineStr">
        <is>
          <t>1000000493</t>
        </is>
      </c>
      <c r="B34" s="13" t="inlineStr">
        <is>
          <t>Örnek Cari 29 Ltd.</t>
        </is>
      </c>
      <c r="C34" s="13" t="inlineStr">
        <is>
          <t>2026-07</t>
        </is>
      </c>
      <c r="D34" s="13" t="inlineStr">
        <is>
          <t>Bs</t>
        </is>
      </c>
      <c r="E34" s="69" t="n">
        <v>13987.5</v>
      </c>
      <c r="F34" s="17" t="n">
        <v>3</v>
      </c>
      <c r="G34" s="13" t="inlineStr">
        <is>
          <t>Ba-Bs beyan</t>
        </is>
      </c>
      <c r="H34" s="13" t="inlineStr">
        <is>
          <t>Açık</t>
        </is>
      </c>
      <c r="I34" s="16">
        <f>IF($A34="","",1)</f>
        <v/>
      </c>
    </row>
    <row r="35">
      <c r="A35" s="13" t="inlineStr">
        <is>
          <t>1000000510</t>
        </is>
      </c>
      <c r="B35" s="13" t="inlineStr">
        <is>
          <t>Örnek Cari 30 Ltd.</t>
        </is>
      </c>
      <c r="C35" s="13" t="inlineStr">
        <is>
          <t>2026-07</t>
        </is>
      </c>
      <c r="D35" s="13" t="inlineStr">
        <is>
          <t>Ba</t>
        </is>
      </c>
      <c r="E35" s="69" t="n">
        <v>14125</v>
      </c>
      <c r="F35" s="17" t="n">
        <v>1</v>
      </c>
      <c r="G35" s="13" t="inlineStr">
        <is>
          <t>Ba-Bs beyan</t>
        </is>
      </c>
      <c r="H35" s="13" t="inlineStr">
        <is>
          <t>Açık</t>
        </is>
      </c>
      <c r="I35" s="16">
        <f>IF($A35="","",1)</f>
        <v/>
      </c>
    </row>
    <row r="36">
      <c r="A36" s="13" t="inlineStr">
        <is>
          <t>1000000527</t>
        </is>
      </c>
      <c r="B36" s="13" t="inlineStr">
        <is>
          <t>Örnek Cari 31 Ltd.</t>
        </is>
      </c>
      <c r="C36" s="13" t="inlineStr">
        <is>
          <t>2026-07</t>
        </is>
      </c>
      <c r="D36" s="13" t="inlineStr">
        <is>
          <t>Bs</t>
        </is>
      </c>
      <c r="E36" s="69" t="n">
        <v>14262.5</v>
      </c>
      <c r="F36" s="17" t="n">
        <v>2</v>
      </c>
      <c r="G36" s="13" t="inlineStr">
        <is>
          <t>Ba-Bs beyan</t>
        </is>
      </c>
      <c r="H36" s="13" t="inlineStr">
        <is>
          <t>Açık</t>
        </is>
      </c>
      <c r="I36" s="16">
        <f>IF($A36="","",1)</f>
        <v/>
      </c>
    </row>
    <row r="37">
      <c r="A37" s="13" t="inlineStr">
        <is>
          <t>1000000544</t>
        </is>
      </c>
      <c r="B37" s="13" t="inlineStr">
        <is>
          <t>Örnek Cari 32 Ltd.</t>
        </is>
      </c>
      <c r="C37" s="13" t="inlineStr">
        <is>
          <t>2026-07</t>
        </is>
      </c>
      <c r="D37" s="13" t="inlineStr">
        <is>
          <t>Ba</t>
        </is>
      </c>
      <c r="E37" s="69" t="n">
        <v>14274.5</v>
      </c>
      <c r="F37" s="17" t="n">
        <v>3</v>
      </c>
      <c r="G37" s="13" t="inlineStr">
        <is>
          <t>Ba-Bs beyan</t>
        </is>
      </c>
      <c r="H37" s="13" t="inlineStr">
        <is>
          <t>Açık</t>
        </is>
      </c>
      <c r="I37" s="16">
        <f>IF($A37="","",1)</f>
        <v/>
      </c>
    </row>
    <row r="38">
      <c r="A38" s="13" t="inlineStr">
        <is>
          <t>1000000561</t>
        </is>
      </c>
      <c r="B38" s="13" t="inlineStr">
        <is>
          <t>Örnek Cari 33 Ltd.</t>
        </is>
      </c>
      <c r="C38" s="13" t="inlineStr">
        <is>
          <t>2026-07</t>
        </is>
      </c>
      <c r="D38" s="13" t="inlineStr">
        <is>
          <t>Bs</t>
        </is>
      </c>
      <c r="E38" s="69" t="n">
        <v>14537.53</v>
      </c>
      <c r="F38" s="17" t="n">
        <v>1</v>
      </c>
      <c r="G38" s="13" t="inlineStr">
        <is>
          <t>Ba-Bs beyan</t>
        </is>
      </c>
      <c r="H38" s="13" t="inlineStr">
        <is>
          <t>Açık</t>
        </is>
      </c>
      <c r="I38" s="16">
        <f>IF($A38="","",1)</f>
        <v/>
      </c>
    </row>
    <row r="39">
      <c r="A39" s="13" t="inlineStr">
        <is>
          <t>1000000578</t>
        </is>
      </c>
      <c r="B39" s="13" t="inlineStr">
        <is>
          <t>Örnek Cari 34 Ltd.</t>
        </is>
      </c>
      <c r="C39" s="13" t="inlineStr">
        <is>
          <t>2026-07</t>
        </is>
      </c>
      <c r="D39" s="13" t="inlineStr">
        <is>
          <t>Ba</t>
        </is>
      </c>
      <c r="E39" s="69" t="n">
        <v>14675</v>
      </c>
      <c r="F39" s="17" t="n">
        <v>2</v>
      </c>
      <c r="G39" s="13" t="inlineStr">
        <is>
          <t>Ba-Bs beyan</t>
        </is>
      </c>
      <c r="H39" s="13" t="inlineStr">
        <is>
          <t>Açık</t>
        </is>
      </c>
      <c r="I39" s="16">
        <f>IF($A39="","",1)</f>
        <v/>
      </c>
    </row>
    <row r="40">
      <c r="A40" s="13" t="inlineStr">
        <is>
          <t>1000000595</t>
        </is>
      </c>
      <c r="B40" s="13" t="inlineStr">
        <is>
          <t>Örnek Cari 35 Ltd.</t>
        </is>
      </c>
      <c r="C40" s="13" t="inlineStr">
        <is>
          <t>2026-07</t>
        </is>
      </c>
      <c r="D40" s="13" t="inlineStr">
        <is>
          <t>Bs</t>
        </is>
      </c>
      <c r="E40" s="69" t="n">
        <v>14812.5</v>
      </c>
      <c r="F40" s="17" t="n">
        <v>3</v>
      </c>
      <c r="G40" s="13" t="inlineStr">
        <is>
          <t>Ba-Bs beyan</t>
        </is>
      </c>
      <c r="H40" s="13" t="inlineStr">
        <is>
          <t>Açık</t>
        </is>
      </c>
      <c r="I40" s="16">
        <f>IF($A40="","",1)</f>
        <v/>
      </c>
    </row>
    <row r="41">
      <c r="A41" s="13" t="n"/>
      <c r="B41" s="13" t="n"/>
      <c r="C41" s="13" t="n"/>
      <c r="D41" s="13" t="n"/>
      <c r="E41" s="69" t="n"/>
      <c r="F41" s="17" t="n"/>
      <c r="G41" s="13" t="n"/>
      <c r="H41" s="13" t="n"/>
      <c r="I41" s="16">
        <f>IF($A41="","",1)</f>
        <v/>
      </c>
    </row>
    <row r="42">
      <c r="A42" s="13" t="n"/>
      <c r="B42" s="13" t="n"/>
      <c r="C42" s="13" t="n"/>
      <c r="D42" s="13" t="n"/>
      <c r="E42" s="69" t="n"/>
      <c r="F42" s="17" t="n"/>
      <c r="G42" s="13" t="n"/>
      <c r="H42" s="13" t="n"/>
      <c r="I42" s="16">
        <f>IF($A42="","",1)</f>
        <v/>
      </c>
    </row>
    <row r="43">
      <c r="A43" s="13" t="n"/>
      <c r="B43" s="13" t="n"/>
      <c r="C43" s="13" t="n"/>
      <c r="D43" s="13" t="n"/>
      <c r="E43" s="69" t="n"/>
      <c r="F43" s="17" t="n"/>
      <c r="G43" s="13" t="n"/>
      <c r="H43" s="13" t="n"/>
      <c r="I43" s="16">
        <f>IF($A43="","",1)</f>
        <v/>
      </c>
    </row>
    <row r="44">
      <c r="A44" s="13" t="n"/>
      <c r="B44" s="13" t="n"/>
      <c r="C44" s="13" t="n"/>
      <c r="D44" s="13" t="n"/>
      <c r="E44" s="69" t="n"/>
      <c r="F44" s="17" t="n"/>
      <c r="G44" s="13" t="n"/>
      <c r="H44" s="13" t="n"/>
      <c r="I44" s="16">
        <f>IF($A44="","",1)</f>
        <v/>
      </c>
    </row>
    <row r="45">
      <c r="A45" s="13" t="n"/>
      <c r="B45" s="13" t="n"/>
      <c r="C45" s="13" t="n"/>
      <c r="D45" s="13" t="n"/>
      <c r="E45" s="69" t="n"/>
      <c r="F45" s="17" t="n"/>
      <c r="G45" s="13" t="n"/>
      <c r="H45" s="13" t="n"/>
      <c r="I45" s="16">
        <f>IF($A45="","",1)</f>
        <v/>
      </c>
    </row>
    <row r="46">
      <c r="A46" s="13" t="n"/>
      <c r="B46" s="13" t="n"/>
      <c r="C46" s="13" t="n"/>
      <c r="D46" s="13" t="n"/>
      <c r="E46" s="69" t="n"/>
      <c r="F46" s="17" t="n"/>
      <c r="G46" s="13" t="n"/>
      <c r="H46" s="13" t="n"/>
      <c r="I46" s="16">
        <f>IF($A46="","",1)</f>
        <v/>
      </c>
    </row>
    <row r="47">
      <c r="A47" s="13" t="n"/>
      <c r="B47" s="13" t="n"/>
      <c r="C47" s="13" t="n"/>
      <c r="D47" s="13" t="n"/>
      <c r="E47" s="69" t="n"/>
      <c r="F47" s="17" t="n"/>
      <c r="G47" s="13" t="n"/>
      <c r="H47" s="13" t="n"/>
      <c r="I47" s="16">
        <f>IF($A47="","",1)</f>
        <v/>
      </c>
    </row>
    <row r="48">
      <c r="A48" s="13" t="n"/>
      <c r="B48" s="13" t="n"/>
      <c r="C48" s="13" t="n"/>
      <c r="D48" s="13" t="n"/>
      <c r="E48" s="69" t="n"/>
      <c r="F48" s="17" t="n"/>
      <c r="G48" s="13" t="n"/>
      <c r="H48" s="13" t="n"/>
      <c r="I48" s="16">
        <f>IF($A48="","",1)</f>
        <v/>
      </c>
    </row>
    <row r="49">
      <c r="A49" s="13" t="n"/>
      <c r="B49" s="13" t="n"/>
      <c r="C49" s="13" t="n"/>
      <c r="D49" s="13" t="n"/>
      <c r="E49" s="69" t="n"/>
      <c r="F49" s="17" t="n"/>
      <c r="G49" s="13" t="n"/>
      <c r="H49" s="13" t="n"/>
      <c r="I49" s="16">
        <f>IF($A49="","",1)</f>
        <v/>
      </c>
    </row>
    <row r="50">
      <c r="A50" s="13" t="n"/>
      <c r="B50" s="13" t="n"/>
      <c r="C50" s="13" t="n"/>
      <c r="D50" s="13" t="n"/>
      <c r="E50" s="69" t="n"/>
      <c r="F50" s="17" t="n"/>
      <c r="G50" s="13" t="n"/>
      <c r="H50" s="13" t="n"/>
      <c r="I50" s="16">
        <f>IF($A50="","",1)</f>
        <v/>
      </c>
    </row>
    <row r="51">
      <c r="A51" s="13" t="n"/>
      <c r="B51" s="13" t="n"/>
      <c r="C51" s="13" t="n"/>
      <c r="D51" s="13" t="n"/>
      <c r="E51" s="69" t="n"/>
      <c r="F51" s="17" t="n"/>
      <c r="G51" s="13" t="n"/>
      <c r="H51" s="13" t="n"/>
      <c r="I51" s="16">
        <f>IF($A51="","",1)</f>
        <v/>
      </c>
    </row>
    <row r="52">
      <c r="A52" s="13" t="n"/>
      <c r="B52" s="13" t="n"/>
      <c r="C52" s="13" t="n"/>
      <c r="D52" s="13" t="n"/>
      <c r="E52" s="69" t="n"/>
      <c r="F52" s="17" t="n"/>
      <c r="G52" s="13" t="n"/>
      <c r="H52" s="13" t="n"/>
      <c r="I52" s="16">
        <f>IF($A52="","",1)</f>
        <v/>
      </c>
    </row>
    <row r="53">
      <c r="A53" s="13" t="n"/>
      <c r="B53" s="13" t="n"/>
      <c r="C53" s="13" t="n"/>
      <c r="D53" s="13" t="n"/>
      <c r="E53" s="69" t="n"/>
      <c r="F53" s="17" t="n"/>
      <c r="G53" s="13" t="n"/>
      <c r="H53" s="13" t="n"/>
      <c r="I53" s="16">
        <f>IF($A53="","",1)</f>
        <v/>
      </c>
    </row>
    <row r="54">
      <c r="A54" s="13" t="n"/>
      <c r="B54" s="13" t="n"/>
      <c r="C54" s="13" t="n"/>
      <c r="D54" s="13" t="n"/>
      <c r="E54" s="69" t="n"/>
      <c r="F54" s="17" t="n"/>
      <c r="G54" s="13" t="n"/>
      <c r="H54" s="13" t="n"/>
      <c r="I54" s="16">
        <f>IF($A54="","",1)</f>
        <v/>
      </c>
    </row>
    <row r="55">
      <c r="A55" s="13" t="n"/>
      <c r="B55" s="13" t="n"/>
      <c r="C55" s="13" t="n"/>
      <c r="D55" s="13" t="n"/>
      <c r="E55" s="69" t="n"/>
      <c r="F55" s="17" t="n"/>
      <c r="G55" s="13" t="n"/>
      <c r="H55" s="13" t="n"/>
      <c r="I55" s="16">
        <f>IF($A55="","",1)</f>
        <v/>
      </c>
    </row>
    <row r="56">
      <c r="A56" s="13" t="n"/>
      <c r="B56" s="13" t="n"/>
      <c r="C56" s="13" t="n"/>
      <c r="D56" s="13" t="n"/>
      <c r="E56" s="69" t="n"/>
      <c r="F56" s="17" t="n"/>
      <c r="G56" s="13" t="n"/>
      <c r="H56" s="13" t="n"/>
      <c r="I56" s="16">
        <f>IF($A56="","",1)</f>
        <v/>
      </c>
    </row>
    <row r="57">
      <c r="A57" s="13" t="n"/>
      <c r="B57" s="13" t="n"/>
      <c r="C57" s="13" t="n"/>
      <c r="D57" s="13" t="n"/>
      <c r="E57" s="69" t="n"/>
      <c r="F57" s="17" t="n"/>
      <c r="G57" s="13" t="n"/>
      <c r="H57" s="13" t="n"/>
      <c r="I57" s="16">
        <f>IF($A57="","",1)</f>
        <v/>
      </c>
    </row>
    <row r="58">
      <c r="A58" s="13" t="n"/>
      <c r="B58" s="13" t="n"/>
      <c r="C58" s="13" t="n"/>
      <c r="D58" s="13" t="n"/>
      <c r="E58" s="69" t="n"/>
      <c r="F58" s="17" t="n"/>
      <c r="G58" s="13" t="n"/>
      <c r="H58" s="13" t="n"/>
      <c r="I58" s="16">
        <f>IF($A58="","",1)</f>
        <v/>
      </c>
    </row>
    <row r="59">
      <c r="A59" s="13" t="n"/>
      <c r="B59" s="13" t="n"/>
      <c r="C59" s="13" t="n"/>
      <c r="D59" s="13" t="n"/>
      <c r="E59" s="69" t="n"/>
      <c r="F59" s="17" t="n"/>
      <c r="G59" s="13" t="n"/>
      <c r="H59" s="13" t="n"/>
      <c r="I59" s="16">
        <f>IF($A59="","",1)</f>
        <v/>
      </c>
    </row>
    <row r="60">
      <c r="A60" s="13" t="n"/>
      <c r="B60" s="13" t="n"/>
      <c r="C60" s="13" t="n"/>
      <c r="D60" s="13" t="n"/>
      <c r="E60" s="69" t="n"/>
      <c r="F60" s="17" t="n"/>
      <c r="G60" s="13" t="n"/>
      <c r="H60" s="13" t="n"/>
      <c r="I60" s="16">
        <f>IF($A60="","",1)</f>
        <v/>
      </c>
    </row>
    <row r="61">
      <c r="A61" s="13" t="n"/>
      <c r="B61" s="13" t="n"/>
      <c r="C61" s="13" t="n"/>
      <c r="D61" s="13" t="n"/>
      <c r="E61" s="69" t="n"/>
      <c r="F61" s="17" t="n"/>
      <c r="G61" s="13" t="n"/>
      <c r="H61" s="13" t="n"/>
      <c r="I61" s="16">
        <f>IF($A61="","",1)</f>
        <v/>
      </c>
    </row>
    <row r="62">
      <c r="A62" s="13" t="n"/>
      <c r="B62" s="13" t="n"/>
      <c r="C62" s="13" t="n"/>
      <c r="D62" s="13" t="n"/>
      <c r="E62" s="69" t="n"/>
      <c r="F62" s="17" t="n"/>
      <c r="G62" s="13" t="n"/>
      <c r="H62" s="13" t="n"/>
      <c r="I62" s="16">
        <f>IF($A62="","",1)</f>
        <v/>
      </c>
    </row>
    <row r="63">
      <c r="A63" s="13" t="n"/>
      <c r="B63" s="13" t="n"/>
      <c r="C63" s="13" t="n"/>
      <c r="D63" s="13" t="n"/>
      <c r="E63" s="69" t="n"/>
      <c r="F63" s="17" t="n"/>
      <c r="G63" s="13" t="n"/>
      <c r="H63" s="13" t="n"/>
      <c r="I63" s="16">
        <f>IF($A63="","",1)</f>
        <v/>
      </c>
    </row>
    <row r="64">
      <c r="A64" s="13" t="n"/>
      <c r="B64" s="13" t="n"/>
      <c r="C64" s="13" t="n"/>
      <c r="D64" s="13" t="n"/>
      <c r="E64" s="69" t="n"/>
      <c r="F64" s="17" t="n"/>
      <c r="G64" s="13" t="n"/>
      <c r="H64" s="13" t="n"/>
      <c r="I64" s="16">
        <f>IF($A64="","",1)</f>
        <v/>
      </c>
    </row>
    <row r="65">
      <c r="A65" s="13" t="n"/>
      <c r="B65" s="13" t="n"/>
      <c r="C65" s="13" t="n"/>
      <c r="D65" s="13" t="n"/>
      <c r="E65" s="69" t="n"/>
      <c r="F65" s="17" t="n"/>
      <c r="G65" s="13" t="n"/>
      <c r="H65" s="13" t="n"/>
      <c r="I65" s="16">
        <f>IF($A65="","",1)</f>
        <v/>
      </c>
    </row>
    <row r="66">
      <c r="A66" s="13" t="n"/>
      <c r="B66" s="13" t="n"/>
      <c r="C66" s="13" t="n"/>
      <c r="D66" s="13" t="n"/>
      <c r="E66" s="69" t="n"/>
      <c r="F66" s="17" t="n"/>
      <c r="G66" s="13" t="n"/>
      <c r="H66" s="13" t="n"/>
      <c r="I66" s="16">
        <f>IF($A66="","",1)</f>
        <v/>
      </c>
    </row>
    <row r="67">
      <c r="A67" s="13" t="n"/>
      <c r="B67" s="13" t="n"/>
      <c r="C67" s="13" t="n"/>
      <c r="D67" s="13" t="n"/>
      <c r="E67" s="69" t="n"/>
      <c r="F67" s="17" t="n"/>
      <c r="G67" s="13" t="n"/>
      <c r="H67" s="13" t="n"/>
      <c r="I67" s="16">
        <f>IF($A67="","",1)</f>
        <v/>
      </c>
    </row>
    <row r="68">
      <c r="A68" s="13" t="n"/>
      <c r="B68" s="13" t="n"/>
      <c r="C68" s="13" t="n"/>
      <c r="D68" s="13" t="n"/>
      <c r="E68" s="69" t="n"/>
      <c r="F68" s="17" t="n"/>
      <c r="G68" s="13" t="n"/>
      <c r="H68" s="13" t="n"/>
      <c r="I68" s="16">
        <f>IF($A68="","",1)</f>
        <v/>
      </c>
    </row>
    <row r="69">
      <c r="A69" s="13" t="n"/>
      <c r="B69" s="13" t="n"/>
      <c r="C69" s="13" t="n"/>
      <c r="D69" s="13" t="n"/>
      <c r="E69" s="69" t="n"/>
      <c r="F69" s="17" t="n"/>
      <c r="G69" s="13" t="n"/>
      <c r="H69" s="13" t="n"/>
      <c r="I69" s="16">
        <f>IF($A69="","",1)</f>
        <v/>
      </c>
    </row>
    <row r="70">
      <c r="A70" s="13" t="n"/>
      <c r="B70" s="13" t="n"/>
      <c r="C70" s="13" t="n"/>
      <c r="D70" s="13" t="n"/>
      <c r="E70" s="69" t="n"/>
      <c r="F70" s="17" t="n"/>
      <c r="G70" s="13" t="n"/>
      <c r="H70" s="13" t="n"/>
      <c r="I70" s="16">
        <f>IF($A70="","",1)</f>
        <v/>
      </c>
    </row>
    <row r="71">
      <c r="A71" s="13" t="n"/>
      <c r="B71" s="13" t="n"/>
      <c r="C71" s="13" t="n"/>
      <c r="D71" s="13" t="n"/>
      <c r="E71" s="69" t="n"/>
      <c r="F71" s="17" t="n"/>
      <c r="G71" s="13" t="n"/>
      <c r="H71" s="13" t="n"/>
      <c r="I71" s="16">
        <f>IF($A71="","",1)</f>
        <v/>
      </c>
    </row>
    <row r="72">
      <c r="A72" s="13" t="n"/>
      <c r="B72" s="13" t="n"/>
      <c r="C72" s="13" t="n"/>
      <c r="D72" s="13" t="n"/>
      <c r="E72" s="69" t="n"/>
      <c r="F72" s="17" t="n"/>
      <c r="G72" s="13" t="n"/>
      <c r="H72" s="13" t="n"/>
      <c r="I72" s="16">
        <f>IF($A72="","",1)</f>
        <v/>
      </c>
    </row>
    <row r="73">
      <c r="A73" s="13" t="n"/>
      <c r="B73" s="13" t="n"/>
      <c r="C73" s="13" t="n"/>
      <c r="D73" s="13" t="n"/>
      <c r="E73" s="69" t="n"/>
      <c r="F73" s="17" t="n"/>
      <c r="G73" s="13" t="n"/>
      <c r="H73" s="13" t="n"/>
      <c r="I73" s="16">
        <f>IF($A73="","",1)</f>
        <v/>
      </c>
    </row>
    <row r="74">
      <c r="A74" s="13" t="n"/>
      <c r="B74" s="13" t="n"/>
      <c r="C74" s="13" t="n"/>
      <c r="D74" s="13" t="n"/>
      <c r="E74" s="69" t="n"/>
      <c r="F74" s="17" t="n"/>
      <c r="G74" s="13" t="n"/>
      <c r="H74" s="13" t="n"/>
      <c r="I74" s="16">
        <f>IF($A74="","",1)</f>
        <v/>
      </c>
    </row>
    <row r="75">
      <c r="A75" s="13" t="n"/>
      <c r="B75" s="13" t="n"/>
      <c r="C75" s="13" t="n"/>
      <c r="D75" s="13" t="n"/>
      <c r="E75" s="69" t="n"/>
      <c r="F75" s="17" t="n"/>
      <c r="G75" s="13" t="n"/>
      <c r="H75" s="13" t="n"/>
      <c r="I75" s="16">
        <f>IF($A75="","",1)</f>
        <v/>
      </c>
    </row>
    <row r="76">
      <c r="A76" s="13" t="n"/>
      <c r="B76" s="13" t="n"/>
      <c r="C76" s="13" t="n"/>
      <c r="D76" s="13" t="n"/>
      <c r="E76" s="69" t="n"/>
      <c r="F76" s="17" t="n"/>
      <c r="G76" s="13" t="n"/>
      <c r="H76" s="13" t="n"/>
      <c r="I76" s="16">
        <f>IF($A76="","",1)</f>
        <v/>
      </c>
    </row>
    <row r="77">
      <c r="A77" s="13" t="n"/>
      <c r="B77" s="13" t="n"/>
      <c r="C77" s="13" t="n"/>
      <c r="D77" s="13" t="n"/>
      <c r="E77" s="69" t="n"/>
      <c r="F77" s="17" t="n"/>
      <c r="G77" s="13" t="n"/>
      <c r="H77" s="13" t="n"/>
      <c r="I77" s="16">
        <f>IF($A77="","",1)</f>
        <v/>
      </c>
    </row>
    <row r="78">
      <c r="A78" s="13" t="n"/>
      <c r="B78" s="13" t="n"/>
      <c r="C78" s="13" t="n"/>
      <c r="D78" s="13" t="n"/>
      <c r="E78" s="69" t="n"/>
      <c r="F78" s="17" t="n"/>
      <c r="G78" s="13" t="n"/>
      <c r="H78" s="13" t="n"/>
      <c r="I78" s="16">
        <f>IF($A78="","",1)</f>
        <v/>
      </c>
    </row>
    <row r="79">
      <c r="A79" s="13" t="n"/>
      <c r="B79" s="13" t="n"/>
      <c r="C79" s="13" t="n"/>
      <c r="D79" s="13" t="n"/>
      <c r="E79" s="69" t="n"/>
      <c r="F79" s="17" t="n"/>
      <c r="G79" s="13" t="n"/>
      <c r="H79" s="13" t="n"/>
      <c r="I79" s="16">
        <f>IF($A79="","",1)</f>
        <v/>
      </c>
    </row>
    <row r="80">
      <c r="A80" s="13" t="n"/>
      <c r="B80" s="13" t="n"/>
      <c r="C80" s="13" t="n"/>
      <c r="D80" s="13" t="n"/>
      <c r="E80" s="69" t="n"/>
      <c r="F80" s="17" t="n"/>
      <c r="G80" s="13" t="n"/>
      <c r="H80" s="13" t="n"/>
      <c r="I80" s="16">
        <f>IF($A80="","",1)</f>
        <v/>
      </c>
    </row>
    <row r="81">
      <c r="A81" s="13" t="n"/>
      <c r="B81" s="13" t="n"/>
      <c r="C81" s="13" t="n"/>
      <c r="D81" s="13" t="n"/>
      <c r="E81" s="69" t="n"/>
      <c r="F81" s="17" t="n"/>
      <c r="G81" s="13" t="n"/>
      <c r="H81" s="13" t="n"/>
      <c r="I81" s="16">
        <f>IF($A81="","",1)</f>
        <v/>
      </c>
    </row>
    <row r="82">
      <c r="A82" s="13" t="n"/>
      <c r="B82" s="13" t="n"/>
      <c r="C82" s="13" t="n"/>
      <c r="D82" s="13" t="n"/>
      <c r="E82" s="69" t="n"/>
      <c r="F82" s="17" t="n"/>
      <c r="G82" s="13" t="n"/>
      <c r="H82" s="13" t="n"/>
      <c r="I82" s="16">
        <f>IF($A82="","",1)</f>
        <v/>
      </c>
    </row>
    <row r="83">
      <c r="A83" s="13" t="n"/>
      <c r="B83" s="13" t="n"/>
      <c r="C83" s="13" t="n"/>
      <c r="D83" s="13" t="n"/>
      <c r="E83" s="69" t="n"/>
      <c r="F83" s="17" t="n"/>
      <c r="G83" s="13" t="n"/>
      <c r="H83" s="13" t="n"/>
      <c r="I83" s="16">
        <f>IF($A83="","",1)</f>
        <v/>
      </c>
    </row>
    <row r="84">
      <c r="A84" s="13" t="n"/>
      <c r="B84" s="13" t="n"/>
      <c r="C84" s="13" t="n"/>
      <c r="D84" s="13" t="n"/>
      <c r="E84" s="69" t="n"/>
      <c r="F84" s="17" t="n"/>
      <c r="G84" s="13" t="n"/>
      <c r="H84" s="13" t="n"/>
      <c r="I84" s="16">
        <f>IF($A84="","",1)</f>
        <v/>
      </c>
    </row>
    <row r="85">
      <c r="A85" s="13" t="n"/>
      <c r="B85" s="13" t="n"/>
      <c r="C85" s="13" t="n"/>
      <c r="D85" s="13" t="n"/>
      <c r="E85" s="69" t="n"/>
      <c r="F85" s="17" t="n"/>
      <c r="G85" s="13" t="n"/>
      <c r="H85" s="13" t="n"/>
      <c r="I85" s="16">
        <f>IF($A85="","",1)</f>
        <v/>
      </c>
    </row>
    <row r="86">
      <c r="A86" s="13" t="n"/>
      <c r="B86" s="13" t="n"/>
      <c r="C86" s="13" t="n"/>
      <c r="D86" s="13" t="n"/>
      <c r="E86" s="69" t="n"/>
      <c r="F86" s="17" t="n"/>
      <c r="G86" s="13" t="n"/>
      <c r="H86" s="13" t="n"/>
      <c r="I86" s="16">
        <f>IF($A86="","",1)</f>
        <v/>
      </c>
    </row>
    <row r="87">
      <c r="A87" s="13" t="n"/>
      <c r="B87" s="13" t="n"/>
      <c r="C87" s="13" t="n"/>
      <c r="D87" s="13" t="n"/>
      <c r="E87" s="69" t="n"/>
      <c r="F87" s="17" t="n"/>
      <c r="G87" s="13" t="n"/>
      <c r="H87" s="13" t="n"/>
      <c r="I87" s="16">
        <f>IF($A87="","",1)</f>
        <v/>
      </c>
    </row>
    <row r="88">
      <c r="A88" s="13" t="n"/>
      <c r="B88" s="13" t="n"/>
      <c r="C88" s="13" t="n"/>
      <c r="D88" s="13" t="n"/>
      <c r="E88" s="69" t="n"/>
      <c r="F88" s="17" t="n"/>
      <c r="G88" s="13" t="n"/>
      <c r="H88" s="13" t="n"/>
      <c r="I88" s="16">
        <f>IF($A88="","",1)</f>
        <v/>
      </c>
    </row>
    <row r="89">
      <c r="A89" s="13" t="n"/>
      <c r="B89" s="13" t="n"/>
      <c r="C89" s="13" t="n"/>
      <c r="D89" s="13" t="n"/>
      <c r="E89" s="69" t="n"/>
      <c r="F89" s="17" t="n"/>
      <c r="G89" s="13" t="n"/>
      <c r="H89" s="13" t="n"/>
      <c r="I89" s="16">
        <f>IF($A89="","",1)</f>
        <v/>
      </c>
    </row>
    <row r="90">
      <c r="A90" s="13" t="n"/>
      <c r="B90" s="13" t="n"/>
      <c r="C90" s="13" t="n"/>
      <c r="D90" s="13" t="n"/>
      <c r="E90" s="69" t="n"/>
      <c r="F90" s="17" t="n"/>
      <c r="G90" s="13" t="n"/>
      <c r="H90" s="13" t="n"/>
      <c r="I90" s="16">
        <f>IF($A90="","",1)</f>
        <v/>
      </c>
    </row>
    <row r="91">
      <c r="A91" s="13" t="n"/>
      <c r="B91" s="13" t="n"/>
      <c r="C91" s="13" t="n"/>
      <c r="D91" s="13" t="n"/>
      <c r="E91" s="69" t="n"/>
      <c r="F91" s="17" t="n"/>
      <c r="G91" s="13" t="n"/>
      <c r="H91" s="13" t="n"/>
      <c r="I91" s="16">
        <f>IF($A91="","",1)</f>
        <v/>
      </c>
    </row>
    <row r="92">
      <c r="A92" s="13" t="n"/>
      <c r="B92" s="13" t="n"/>
      <c r="C92" s="13" t="n"/>
      <c r="D92" s="13" t="n"/>
      <c r="E92" s="69" t="n"/>
      <c r="F92" s="17" t="n"/>
      <c r="G92" s="13" t="n"/>
      <c r="H92" s="13" t="n"/>
      <c r="I92" s="16">
        <f>IF($A92="","",1)</f>
        <v/>
      </c>
    </row>
    <row r="93">
      <c r="A93" s="13" t="n"/>
      <c r="B93" s="13" t="n"/>
      <c r="C93" s="13" t="n"/>
      <c r="D93" s="13" t="n"/>
      <c r="E93" s="69" t="n"/>
      <c r="F93" s="17" t="n"/>
      <c r="G93" s="13" t="n"/>
      <c r="H93" s="13" t="n"/>
      <c r="I93" s="16">
        <f>IF($A93="","",1)</f>
        <v/>
      </c>
    </row>
    <row r="94">
      <c r="A94" s="13" t="n"/>
      <c r="B94" s="13" t="n"/>
      <c r="C94" s="13" t="n"/>
      <c r="D94" s="13" t="n"/>
      <c r="E94" s="69" t="n"/>
      <c r="F94" s="17" t="n"/>
      <c r="G94" s="13" t="n"/>
      <c r="H94" s="13" t="n"/>
      <c r="I94" s="16">
        <f>IF($A94="","",1)</f>
        <v/>
      </c>
    </row>
    <row r="95">
      <c r="A95" s="13" t="n"/>
      <c r="B95" s="13" t="n"/>
      <c r="C95" s="13" t="n"/>
      <c r="D95" s="13" t="n"/>
      <c r="E95" s="69" t="n"/>
      <c r="F95" s="17" t="n"/>
      <c r="G95" s="13" t="n"/>
      <c r="H95" s="13" t="n"/>
      <c r="I95" s="16">
        <f>IF($A95="","",1)</f>
        <v/>
      </c>
    </row>
    <row r="96">
      <c r="A96" s="13" t="n"/>
      <c r="B96" s="13" t="n"/>
      <c r="C96" s="13" t="n"/>
      <c r="D96" s="13" t="n"/>
      <c r="E96" s="69" t="n"/>
      <c r="F96" s="17" t="n"/>
      <c r="G96" s="13" t="n"/>
      <c r="H96" s="13" t="n"/>
      <c r="I96" s="16">
        <f>IF($A96="","",1)</f>
        <v/>
      </c>
    </row>
    <row r="97">
      <c r="A97" s="13" t="n"/>
      <c r="B97" s="13" t="n"/>
      <c r="C97" s="13" t="n"/>
      <c r="D97" s="13" t="n"/>
      <c r="E97" s="69" t="n"/>
      <c r="F97" s="17" t="n"/>
      <c r="G97" s="13" t="n"/>
      <c r="H97" s="13" t="n"/>
      <c r="I97" s="16">
        <f>IF($A97="","",1)</f>
        <v/>
      </c>
    </row>
    <row r="98">
      <c r="A98" s="13" t="n"/>
      <c r="B98" s="13" t="n"/>
      <c r="C98" s="13" t="n"/>
      <c r="D98" s="13" t="n"/>
      <c r="E98" s="69" t="n"/>
      <c r="F98" s="17" t="n"/>
      <c r="G98" s="13" t="n"/>
      <c r="H98" s="13" t="n"/>
      <c r="I98" s="16">
        <f>IF($A98="","",1)</f>
        <v/>
      </c>
    </row>
    <row r="99">
      <c r="A99" s="13" t="n"/>
      <c r="B99" s="13" t="n"/>
      <c r="C99" s="13" t="n"/>
      <c r="D99" s="13" t="n"/>
      <c r="E99" s="69" t="n"/>
      <c r="F99" s="17" t="n"/>
      <c r="G99" s="13" t="n"/>
      <c r="H99" s="13" t="n"/>
      <c r="I99" s="16">
        <f>IF($A99="","",1)</f>
        <v/>
      </c>
    </row>
    <row r="100">
      <c r="A100" s="13" t="n"/>
      <c r="B100" s="13" t="n"/>
      <c r="C100" s="13" t="n"/>
      <c r="D100" s="13" t="n"/>
      <c r="E100" s="69" t="n"/>
      <c r="F100" s="17" t="n"/>
      <c r="G100" s="13" t="n"/>
      <c r="H100" s="13" t="n"/>
      <c r="I100" s="16">
        <f>IF($A100="","",1)</f>
        <v/>
      </c>
    </row>
    <row r="101">
      <c r="A101" s="13" t="n"/>
      <c r="B101" s="13" t="n"/>
      <c r="C101" s="13" t="n"/>
      <c r="D101" s="13" t="n"/>
      <c r="E101" s="69" t="n"/>
      <c r="F101" s="17" t="n"/>
      <c r="G101" s="13" t="n"/>
      <c r="H101" s="13" t="n"/>
      <c r="I101" s="16">
        <f>IF($A101="","",1)</f>
        <v/>
      </c>
    </row>
    <row r="102">
      <c r="A102" s="13" t="n"/>
      <c r="B102" s="13" t="n"/>
      <c r="C102" s="13" t="n"/>
      <c r="D102" s="13" t="n"/>
      <c r="E102" s="69" t="n"/>
      <c r="F102" s="17" t="n"/>
      <c r="G102" s="13" t="n"/>
      <c r="H102" s="13" t="n"/>
      <c r="I102" s="16">
        <f>IF($A102="","",1)</f>
        <v/>
      </c>
    </row>
    <row r="103">
      <c r="A103" s="13" t="n"/>
      <c r="B103" s="13" t="n"/>
      <c r="C103" s="13" t="n"/>
      <c r="D103" s="13" t="n"/>
      <c r="E103" s="69" t="n"/>
      <c r="F103" s="17" t="n"/>
      <c r="G103" s="13" t="n"/>
      <c r="H103" s="13" t="n"/>
      <c r="I103" s="16">
        <f>IF($A103="","",1)</f>
        <v/>
      </c>
    </row>
    <row r="104">
      <c r="A104" s="13" t="n"/>
      <c r="B104" s="13" t="n"/>
      <c r="C104" s="13" t="n"/>
      <c r="D104" s="13" t="n"/>
      <c r="E104" s="69" t="n"/>
      <c r="F104" s="17" t="n"/>
      <c r="G104" s="13" t="n"/>
      <c r="H104" s="13" t="n"/>
      <c r="I104" s="16">
        <f>IF($A104="","",1)</f>
        <v/>
      </c>
    </row>
    <row r="105">
      <c r="A105" s="13" t="n"/>
      <c r="B105" s="13" t="n"/>
      <c r="C105" s="13" t="n"/>
      <c r="D105" s="13" t="n"/>
      <c r="E105" s="69" t="n"/>
      <c r="F105" s="17" t="n"/>
      <c r="G105" s="13" t="n"/>
      <c r="H105" s="13" t="n"/>
      <c r="I105" s="16">
        <f>IF($A105="","",1)</f>
        <v/>
      </c>
    </row>
    <row r="106">
      <c r="A106" s="13" t="n"/>
      <c r="B106" s="13" t="n"/>
      <c r="C106" s="13" t="n"/>
      <c r="D106" s="13" t="n"/>
      <c r="E106" s="69" t="n"/>
      <c r="F106" s="17" t="n"/>
      <c r="G106" s="13" t="n"/>
      <c r="H106" s="13" t="n"/>
      <c r="I106" s="16">
        <f>IF($A106="","",1)</f>
        <v/>
      </c>
    </row>
    <row r="107">
      <c r="A107" s="13" t="n"/>
      <c r="B107" s="13" t="n"/>
      <c r="C107" s="13" t="n"/>
      <c r="D107" s="13" t="n"/>
      <c r="E107" s="69" t="n"/>
      <c r="F107" s="17" t="n"/>
      <c r="G107" s="13" t="n"/>
      <c r="H107" s="13" t="n"/>
      <c r="I107" s="16">
        <f>IF($A107="","",1)</f>
        <v/>
      </c>
    </row>
    <row r="108">
      <c r="A108" s="13" t="n"/>
      <c r="B108" s="13" t="n"/>
      <c r="C108" s="13" t="n"/>
      <c r="D108" s="13" t="n"/>
      <c r="E108" s="69" t="n"/>
      <c r="F108" s="17" t="n"/>
      <c r="G108" s="13" t="n"/>
      <c r="H108" s="13" t="n"/>
      <c r="I108" s="16">
        <f>IF($A108="","",1)</f>
        <v/>
      </c>
    </row>
    <row r="109">
      <c r="A109" s="13" t="n"/>
      <c r="B109" s="13" t="n"/>
      <c r="C109" s="13" t="n"/>
      <c r="D109" s="13" t="n"/>
      <c r="E109" s="69" t="n"/>
      <c r="F109" s="17" t="n"/>
      <c r="G109" s="13" t="n"/>
      <c r="H109" s="13" t="n"/>
      <c r="I109" s="16">
        <f>IF($A109="","",1)</f>
        <v/>
      </c>
    </row>
    <row r="110">
      <c r="A110" s="13" t="n"/>
      <c r="B110" s="13" t="n"/>
      <c r="C110" s="13" t="n"/>
      <c r="D110" s="13" t="n"/>
      <c r="E110" s="69" t="n"/>
      <c r="F110" s="17" t="n"/>
      <c r="G110" s="13" t="n"/>
      <c r="H110" s="13" t="n"/>
      <c r="I110" s="16">
        <f>IF($A110="","",1)</f>
        <v/>
      </c>
    </row>
    <row r="111">
      <c r="A111" s="13" t="n"/>
      <c r="B111" s="13" t="n"/>
      <c r="C111" s="13" t="n"/>
      <c r="D111" s="13" t="n"/>
      <c r="E111" s="69" t="n"/>
      <c r="F111" s="17" t="n"/>
      <c r="G111" s="13" t="n"/>
      <c r="H111" s="13" t="n"/>
      <c r="I111" s="16">
        <f>IF($A111="","",1)</f>
        <v/>
      </c>
    </row>
    <row r="112">
      <c r="A112" s="13" t="n"/>
      <c r="B112" s="13" t="n"/>
      <c r="C112" s="13" t="n"/>
      <c r="D112" s="13" t="n"/>
      <c r="E112" s="69" t="n"/>
      <c r="F112" s="17" t="n"/>
      <c r="G112" s="13" t="n"/>
      <c r="H112" s="13" t="n"/>
      <c r="I112" s="16">
        <f>IF($A112="","",1)</f>
        <v/>
      </c>
    </row>
    <row r="113">
      <c r="A113" s="13" t="n"/>
      <c r="B113" s="13" t="n"/>
      <c r="C113" s="13" t="n"/>
      <c r="D113" s="13" t="n"/>
      <c r="E113" s="69" t="n"/>
      <c r="F113" s="17" t="n"/>
      <c r="G113" s="13" t="n"/>
      <c r="H113" s="13" t="n"/>
      <c r="I113" s="16">
        <f>IF($A113="","",1)</f>
        <v/>
      </c>
    </row>
    <row r="114">
      <c r="A114" s="13" t="n"/>
      <c r="B114" s="13" t="n"/>
      <c r="C114" s="13" t="n"/>
      <c r="D114" s="13" t="n"/>
      <c r="E114" s="69" t="n"/>
      <c r="F114" s="17" t="n"/>
      <c r="G114" s="13" t="n"/>
      <c r="H114" s="13" t="n"/>
      <c r="I114" s="16">
        <f>IF($A114="","",1)</f>
        <v/>
      </c>
    </row>
    <row r="115">
      <c r="A115" s="13" t="n"/>
      <c r="B115" s="13" t="n"/>
      <c r="C115" s="13" t="n"/>
      <c r="D115" s="13" t="n"/>
      <c r="E115" s="69" t="n"/>
      <c r="F115" s="17" t="n"/>
      <c r="G115" s="13" t="n"/>
      <c r="H115" s="13" t="n"/>
      <c r="I115" s="16">
        <f>IF($A115="","",1)</f>
        <v/>
      </c>
    </row>
    <row r="116">
      <c r="A116" s="13" t="n"/>
      <c r="B116" s="13" t="n"/>
      <c r="C116" s="13" t="n"/>
      <c r="D116" s="13" t="n"/>
      <c r="E116" s="69" t="n"/>
      <c r="F116" s="17" t="n"/>
      <c r="G116" s="13" t="n"/>
      <c r="H116" s="13" t="n"/>
      <c r="I116" s="16">
        <f>IF($A116="","",1)</f>
        <v/>
      </c>
    </row>
    <row r="117">
      <c r="A117" s="13" t="n"/>
      <c r="B117" s="13" t="n"/>
      <c r="C117" s="13" t="n"/>
      <c r="D117" s="13" t="n"/>
      <c r="E117" s="69" t="n"/>
      <c r="F117" s="17" t="n"/>
      <c r="G117" s="13" t="n"/>
      <c r="H117" s="13" t="n"/>
      <c r="I117" s="16">
        <f>IF($A117="","",1)</f>
        <v/>
      </c>
    </row>
    <row r="118">
      <c r="A118" s="13" t="n"/>
      <c r="B118" s="13" t="n"/>
      <c r="C118" s="13" t="n"/>
      <c r="D118" s="13" t="n"/>
      <c r="E118" s="69" t="n"/>
      <c r="F118" s="17" t="n"/>
      <c r="G118" s="13" t="n"/>
      <c r="H118" s="13" t="n"/>
      <c r="I118" s="16">
        <f>IF($A118="","",1)</f>
        <v/>
      </c>
    </row>
    <row r="119">
      <c r="A119" s="13" t="n"/>
      <c r="B119" s="13" t="n"/>
      <c r="C119" s="13" t="n"/>
      <c r="D119" s="13" t="n"/>
      <c r="E119" s="69" t="n"/>
      <c r="F119" s="17" t="n"/>
      <c r="G119" s="13" t="n"/>
      <c r="H119" s="13" t="n"/>
      <c r="I119" s="16">
        <f>IF($A119="","",1)</f>
        <v/>
      </c>
    </row>
    <row r="120">
      <c r="A120" s="13" t="n"/>
      <c r="B120" s="13" t="n"/>
      <c r="C120" s="13" t="n"/>
      <c r="D120" s="13" t="n"/>
      <c r="E120" s="69" t="n"/>
      <c r="F120" s="17" t="n"/>
      <c r="G120" s="13" t="n"/>
      <c r="H120" s="13" t="n"/>
      <c r="I120" s="16">
        <f>IF($A120="","",1)</f>
        <v/>
      </c>
    </row>
    <row r="121">
      <c r="A121" s="13" t="n"/>
      <c r="B121" s="13" t="n"/>
      <c r="C121" s="13" t="n"/>
      <c r="D121" s="13" t="n"/>
      <c r="E121" s="69" t="n"/>
      <c r="F121" s="17" t="n"/>
      <c r="G121" s="13" t="n"/>
      <c r="H121" s="13" t="n"/>
      <c r="I121" s="16">
        <f>IF($A121="","",1)</f>
        <v/>
      </c>
    </row>
    <row r="122">
      <c r="A122" s="13" t="n"/>
      <c r="B122" s="13" t="n"/>
      <c r="C122" s="13" t="n"/>
      <c r="D122" s="13" t="n"/>
      <c r="E122" s="69" t="n"/>
      <c r="F122" s="17" t="n"/>
      <c r="G122" s="13" t="n"/>
      <c r="H122" s="13" t="n"/>
      <c r="I122" s="16">
        <f>IF($A122="","",1)</f>
        <v/>
      </c>
    </row>
    <row r="123">
      <c r="A123" s="13" t="n"/>
      <c r="B123" s="13" t="n"/>
      <c r="C123" s="13" t="n"/>
      <c r="D123" s="13" t="n"/>
      <c r="E123" s="69" t="n"/>
      <c r="F123" s="17" t="n"/>
      <c r="G123" s="13" t="n"/>
      <c r="H123" s="13" t="n"/>
      <c r="I123" s="16">
        <f>IF($A123="","",1)</f>
        <v/>
      </c>
    </row>
    <row r="124">
      <c r="A124" s="13" t="n"/>
      <c r="B124" s="13" t="n"/>
      <c r="C124" s="13" t="n"/>
      <c r="D124" s="13" t="n"/>
      <c r="E124" s="69" t="n"/>
      <c r="F124" s="17" t="n"/>
      <c r="G124" s="13" t="n"/>
      <c r="H124" s="13" t="n"/>
      <c r="I124" s="16">
        <f>IF($A124="","",1)</f>
        <v/>
      </c>
    </row>
    <row r="125">
      <c r="A125" s="13" t="n"/>
      <c r="B125" s="13" t="n"/>
      <c r="C125" s="13" t="n"/>
      <c r="D125" s="13" t="n"/>
      <c r="E125" s="69" t="n"/>
      <c r="F125" s="17" t="n"/>
      <c r="G125" s="13" t="n"/>
      <c r="H125" s="13" t="n"/>
      <c r="I125" s="16">
        <f>IF($A125="","",1)</f>
        <v/>
      </c>
    </row>
    <row r="126">
      <c r="A126" s="13" t="n"/>
      <c r="B126" s="13" t="n"/>
      <c r="C126" s="13" t="n"/>
      <c r="D126" s="13" t="n"/>
      <c r="E126" s="69" t="n"/>
      <c r="F126" s="17" t="n"/>
      <c r="G126" s="13" t="n"/>
      <c r="H126" s="13" t="n"/>
      <c r="I126" s="16">
        <f>IF($A126="","",1)</f>
        <v/>
      </c>
    </row>
    <row r="127">
      <c r="A127" s="13" t="n"/>
      <c r="B127" s="13" t="n"/>
      <c r="C127" s="13" t="n"/>
      <c r="D127" s="13" t="n"/>
      <c r="E127" s="69" t="n"/>
      <c r="F127" s="17" t="n"/>
      <c r="G127" s="13" t="n"/>
      <c r="H127" s="13" t="n"/>
      <c r="I127" s="16">
        <f>IF($A127="","",1)</f>
        <v/>
      </c>
    </row>
    <row r="128">
      <c r="A128" s="13" t="n"/>
      <c r="B128" s="13" t="n"/>
      <c r="C128" s="13" t="n"/>
      <c r="D128" s="13" t="n"/>
      <c r="E128" s="69" t="n"/>
      <c r="F128" s="17" t="n"/>
      <c r="G128" s="13" t="n"/>
      <c r="H128" s="13" t="n"/>
      <c r="I128" s="16">
        <f>IF($A128="","",1)</f>
        <v/>
      </c>
    </row>
    <row r="129">
      <c r="A129" s="13" t="n"/>
      <c r="B129" s="13" t="n"/>
      <c r="C129" s="13" t="n"/>
      <c r="D129" s="13" t="n"/>
      <c r="E129" s="69" t="n"/>
      <c r="F129" s="17" t="n"/>
      <c r="G129" s="13" t="n"/>
      <c r="H129" s="13" t="n"/>
      <c r="I129" s="16">
        <f>IF($A129="","",1)</f>
        <v/>
      </c>
    </row>
    <row r="130">
      <c r="A130" s="13" t="n"/>
      <c r="B130" s="13" t="n"/>
      <c r="C130" s="13" t="n"/>
      <c r="D130" s="13" t="n"/>
      <c r="E130" s="69" t="n"/>
      <c r="F130" s="17" t="n"/>
      <c r="G130" s="13" t="n"/>
      <c r="H130" s="13" t="n"/>
      <c r="I130" s="16">
        <f>IF($A130="","",1)</f>
        <v/>
      </c>
    </row>
    <row r="131">
      <c r="A131" s="13" t="n"/>
      <c r="B131" s="13" t="n"/>
      <c r="C131" s="13" t="n"/>
      <c r="D131" s="13" t="n"/>
      <c r="E131" s="69" t="n"/>
      <c r="F131" s="17" t="n"/>
      <c r="G131" s="13" t="n"/>
      <c r="H131" s="13" t="n"/>
      <c r="I131" s="16">
        <f>IF($A131="","",1)</f>
        <v/>
      </c>
    </row>
    <row r="132">
      <c r="A132" s="13" t="n"/>
      <c r="B132" s="13" t="n"/>
      <c r="C132" s="13" t="n"/>
      <c r="D132" s="13" t="n"/>
      <c r="E132" s="69" t="n"/>
      <c r="F132" s="17" t="n"/>
      <c r="G132" s="13" t="n"/>
      <c r="H132" s="13" t="n"/>
      <c r="I132" s="16">
        <f>IF($A132="","",1)</f>
        <v/>
      </c>
    </row>
    <row r="133">
      <c r="A133" s="13" t="n"/>
      <c r="B133" s="13" t="n"/>
      <c r="C133" s="13" t="n"/>
      <c r="D133" s="13" t="n"/>
      <c r="E133" s="69" t="n"/>
      <c r="F133" s="17" t="n"/>
      <c r="G133" s="13" t="n"/>
      <c r="H133" s="13" t="n"/>
      <c r="I133" s="16">
        <f>IF($A133="","",1)</f>
        <v/>
      </c>
    </row>
    <row r="134">
      <c r="A134" s="13" t="n"/>
      <c r="B134" s="13" t="n"/>
      <c r="C134" s="13" t="n"/>
      <c r="D134" s="13" t="n"/>
      <c r="E134" s="69" t="n"/>
      <c r="F134" s="17" t="n"/>
      <c r="G134" s="13" t="n"/>
      <c r="H134" s="13" t="n"/>
      <c r="I134" s="16">
        <f>IF($A134="","",1)</f>
        <v/>
      </c>
    </row>
    <row r="135">
      <c r="A135" s="13" t="n"/>
      <c r="B135" s="13" t="n"/>
      <c r="C135" s="13" t="n"/>
      <c r="D135" s="13" t="n"/>
      <c r="E135" s="69" t="n"/>
      <c r="F135" s="17" t="n"/>
      <c r="G135" s="13" t="n"/>
      <c r="H135" s="13" t="n"/>
      <c r="I135" s="16">
        <f>IF($A135="","",1)</f>
        <v/>
      </c>
    </row>
    <row r="136">
      <c r="A136" s="13" t="n"/>
      <c r="B136" s="13" t="n"/>
      <c r="C136" s="13" t="n"/>
      <c r="D136" s="13" t="n"/>
      <c r="E136" s="69" t="n"/>
      <c r="F136" s="17" t="n"/>
      <c r="G136" s="13" t="n"/>
      <c r="H136" s="13" t="n"/>
      <c r="I136" s="16">
        <f>IF($A136="","",1)</f>
        <v/>
      </c>
    </row>
    <row r="137">
      <c r="A137" s="13" t="n"/>
      <c r="B137" s="13" t="n"/>
      <c r="C137" s="13" t="n"/>
      <c r="D137" s="13" t="n"/>
      <c r="E137" s="69" t="n"/>
      <c r="F137" s="17" t="n"/>
      <c r="G137" s="13" t="n"/>
      <c r="H137" s="13" t="n"/>
      <c r="I137" s="16">
        <f>IF($A137="","",1)</f>
        <v/>
      </c>
    </row>
    <row r="138">
      <c r="A138" s="13" t="n"/>
      <c r="B138" s="13" t="n"/>
      <c r="C138" s="13" t="n"/>
      <c r="D138" s="13" t="n"/>
      <c r="E138" s="69" t="n"/>
      <c r="F138" s="17" t="n"/>
      <c r="G138" s="13" t="n"/>
      <c r="H138" s="13" t="n"/>
      <c r="I138" s="16">
        <f>IF($A138="","",1)</f>
        <v/>
      </c>
    </row>
    <row r="139">
      <c r="A139" s="13" t="n"/>
      <c r="B139" s="13" t="n"/>
      <c r="C139" s="13" t="n"/>
      <c r="D139" s="13" t="n"/>
      <c r="E139" s="69" t="n"/>
      <c r="F139" s="17" t="n"/>
      <c r="G139" s="13" t="n"/>
      <c r="H139" s="13" t="n"/>
      <c r="I139" s="16">
        <f>IF($A139="","",1)</f>
        <v/>
      </c>
    </row>
    <row r="140">
      <c r="A140" s="13" t="n"/>
      <c r="B140" s="13" t="n"/>
      <c r="C140" s="13" t="n"/>
      <c r="D140" s="13" t="n"/>
      <c r="E140" s="69" t="n"/>
      <c r="F140" s="17" t="n"/>
      <c r="G140" s="13" t="n"/>
      <c r="H140" s="13" t="n"/>
      <c r="I140" s="16">
        <f>IF($A140="","",1)</f>
        <v/>
      </c>
    </row>
    <row r="141">
      <c r="A141" s="13" t="n"/>
      <c r="B141" s="13" t="n"/>
      <c r="C141" s="13" t="n"/>
      <c r="D141" s="13" t="n"/>
      <c r="E141" s="69" t="n"/>
      <c r="F141" s="17" t="n"/>
      <c r="G141" s="13" t="n"/>
      <c r="H141" s="13" t="n"/>
      <c r="I141" s="16">
        <f>IF($A141="","",1)</f>
        <v/>
      </c>
    </row>
    <row r="142">
      <c r="A142" s="13" t="n"/>
      <c r="B142" s="13" t="n"/>
      <c r="C142" s="13" t="n"/>
      <c r="D142" s="13" t="n"/>
      <c r="E142" s="69" t="n"/>
      <c r="F142" s="17" t="n"/>
      <c r="G142" s="13" t="n"/>
      <c r="H142" s="13" t="n"/>
      <c r="I142" s="16">
        <f>IF($A142="","",1)</f>
        <v/>
      </c>
    </row>
    <row r="143">
      <c r="A143" s="13" t="n"/>
      <c r="B143" s="13" t="n"/>
      <c r="C143" s="13" t="n"/>
      <c r="D143" s="13" t="n"/>
      <c r="E143" s="69" t="n"/>
      <c r="F143" s="17" t="n"/>
      <c r="G143" s="13" t="n"/>
      <c r="H143" s="13" t="n"/>
      <c r="I143" s="16">
        <f>IF($A143="","",1)</f>
        <v/>
      </c>
    </row>
    <row r="144">
      <c r="A144" s="13" t="n"/>
      <c r="B144" s="13" t="n"/>
      <c r="C144" s="13" t="n"/>
      <c r="D144" s="13" t="n"/>
      <c r="E144" s="69" t="n"/>
      <c r="F144" s="17" t="n"/>
      <c r="G144" s="13" t="n"/>
      <c r="H144" s="13" t="n"/>
      <c r="I144" s="16">
        <f>IF($A144="","",1)</f>
        <v/>
      </c>
    </row>
    <row r="145">
      <c r="A145" s="13" t="n"/>
      <c r="B145" s="13" t="n"/>
      <c r="C145" s="13" t="n"/>
      <c r="D145" s="13" t="n"/>
      <c r="E145" s="69" t="n"/>
      <c r="F145" s="17" t="n"/>
      <c r="G145" s="13" t="n"/>
      <c r="H145" s="13" t="n"/>
      <c r="I145" s="16">
        <f>IF($A145="","",1)</f>
        <v/>
      </c>
    </row>
    <row r="146">
      <c r="A146" s="13" t="n"/>
      <c r="B146" s="13" t="n"/>
      <c r="C146" s="13" t="n"/>
      <c r="D146" s="13" t="n"/>
      <c r="E146" s="69" t="n"/>
      <c r="F146" s="17" t="n"/>
      <c r="G146" s="13" t="n"/>
      <c r="H146" s="13" t="n"/>
      <c r="I146" s="16">
        <f>IF($A146="","",1)</f>
        <v/>
      </c>
    </row>
    <row r="147">
      <c r="A147" s="13" t="n"/>
      <c r="B147" s="13" t="n"/>
      <c r="C147" s="13" t="n"/>
      <c r="D147" s="13" t="n"/>
      <c r="E147" s="69" t="n"/>
      <c r="F147" s="17" t="n"/>
      <c r="G147" s="13" t="n"/>
      <c r="H147" s="13" t="n"/>
      <c r="I147" s="16">
        <f>IF($A147="","",1)</f>
        <v/>
      </c>
    </row>
    <row r="148">
      <c r="A148" s="13" t="n"/>
      <c r="B148" s="13" t="n"/>
      <c r="C148" s="13" t="n"/>
      <c r="D148" s="13" t="n"/>
      <c r="E148" s="69" t="n"/>
      <c r="F148" s="17" t="n"/>
      <c r="G148" s="13" t="n"/>
      <c r="H148" s="13" t="n"/>
      <c r="I148" s="16">
        <f>IF($A148="","",1)</f>
        <v/>
      </c>
    </row>
    <row r="149">
      <c r="A149" s="13" t="n"/>
      <c r="B149" s="13" t="n"/>
      <c r="C149" s="13" t="n"/>
      <c r="D149" s="13" t="n"/>
      <c r="E149" s="69" t="n"/>
      <c r="F149" s="17" t="n"/>
      <c r="G149" s="13" t="n"/>
      <c r="H149" s="13" t="n"/>
      <c r="I149" s="16">
        <f>IF($A149="","",1)</f>
        <v/>
      </c>
    </row>
    <row r="150">
      <c r="A150" s="13" t="n"/>
      <c r="B150" s="13" t="n"/>
      <c r="C150" s="13" t="n"/>
      <c r="D150" s="13" t="n"/>
      <c r="E150" s="69" t="n"/>
      <c r="F150" s="17" t="n"/>
      <c r="G150" s="13" t="n"/>
      <c r="H150" s="13" t="n"/>
      <c r="I150" s="16">
        <f>IF($A150="","",1)</f>
        <v/>
      </c>
    </row>
    <row r="151">
      <c r="A151" s="13" t="n"/>
      <c r="B151" s="13" t="n"/>
      <c r="C151" s="13" t="n"/>
      <c r="D151" s="13" t="n"/>
      <c r="E151" s="69" t="n"/>
      <c r="F151" s="17" t="n"/>
      <c r="G151" s="13" t="n"/>
      <c r="H151" s="13" t="n"/>
      <c r="I151" s="16">
        <f>IF($A151="","",1)</f>
        <v/>
      </c>
    </row>
    <row r="152">
      <c r="A152" s="13" t="n"/>
      <c r="B152" s="13" t="n"/>
      <c r="C152" s="13" t="n"/>
      <c r="D152" s="13" t="n"/>
      <c r="E152" s="69" t="n"/>
      <c r="F152" s="17" t="n"/>
      <c r="G152" s="13" t="n"/>
      <c r="H152" s="13" t="n"/>
      <c r="I152" s="16">
        <f>IF($A152="","",1)</f>
        <v/>
      </c>
    </row>
    <row r="153">
      <c r="A153" s="13" t="n"/>
      <c r="B153" s="13" t="n"/>
      <c r="C153" s="13" t="n"/>
      <c r="D153" s="13" t="n"/>
      <c r="E153" s="69" t="n"/>
      <c r="F153" s="17" t="n"/>
      <c r="G153" s="13" t="n"/>
      <c r="H153" s="13" t="n"/>
      <c r="I153" s="16">
        <f>IF($A153="","",1)</f>
        <v/>
      </c>
    </row>
    <row r="154">
      <c r="A154" s="13" t="n"/>
      <c r="B154" s="13" t="n"/>
      <c r="C154" s="13" t="n"/>
      <c r="D154" s="13" t="n"/>
      <c r="E154" s="69" t="n"/>
      <c r="F154" s="17" t="n"/>
      <c r="G154" s="13" t="n"/>
      <c r="H154" s="13" t="n"/>
      <c r="I154" s="16">
        <f>IF($A154="","",1)</f>
        <v/>
      </c>
    </row>
    <row r="155">
      <c r="A155" s="13" t="n"/>
      <c r="B155" s="13" t="n"/>
      <c r="C155" s="13" t="n"/>
      <c r="D155" s="13" t="n"/>
      <c r="E155" s="69" t="n"/>
      <c r="F155" s="17" t="n"/>
      <c r="G155" s="13" t="n"/>
      <c r="H155" s="13" t="n"/>
      <c r="I155" s="16">
        <f>IF($A155="","",1)</f>
        <v/>
      </c>
    </row>
    <row r="156">
      <c r="A156" s="13" t="n"/>
      <c r="B156" s="13" t="n"/>
      <c r="C156" s="13" t="n"/>
      <c r="D156" s="13" t="n"/>
      <c r="E156" s="69" t="n"/>
      <c r="F156" s="17" t="n"/>
      <c r="G156" s="13" t="n"/>
      <c r="H156" s="13" t="n"/>
      <c r="I156" s="16">
        <f>IF($A156="","",1)</f>
        <v/>
      </c>
    </row>
    <row r="157">
      <c r="A157" s="13" t="n"/>
      <c r="B157" s="13" t="n"/>
      <c r="C157" s="13" t="n"/>
      <c r="D157" s="13" t="n"/>
      <c r="E157" s="69" t="n"/>
      <c r="F157" s="17" t="n"/>
      <c r="G157" s="13" t="n"/>
      <c r="H157" s="13" t="n"/>
      <c r="I157" s="16">
        <f>IF($A157="","",1)</f>
        <v/>
      </c>
    </row>
    <row r="158">
      <c r="A158" s="13" t="n"/>
      <c r="B158" s="13" t="n"/>
      <c r="C158" s="13" t="n"/>
      <c r="D158" s="13" t="n"/>
      <c r="E158" s="69" t="n"/>
      <c r="F158" s="17" t="n"/>
      <c r="G158" s="13" t="n"/>
      <c r="H158" s="13" t="n"/>
      <c r="I158" s="16">
        <f>IF($A158="","",1)</f>
        <v/>
      </c>
    </row>
    <row r="159">
      <c r="A159" s="13" t="n"/>
      <c r="B159" s="13" t="n"/>
      <c r="C159" s="13" t="n"/>
      <c r="D159" s="13" t="n"/>
      <c r="E159" s="69" t="n"/>
      <c r="F159" s="17" t="n"/>
      <c r="G159" s="13" t="n"/>
      <c r="H159" s="13" t="n"/>
      <c r="I159" s="16">
        <f>IF($A159="","",1)</f>
        <v/>
      </c>
    </row>
    <row r="160">
      <c r="A160" s="13" t="n"/>
      <c r="B160" s="13" t="n"/>
      <c r="C160" s="13" t="n"/>
      <c r="D160" s="13" t="n"/>
      <c r="E160" s="69" t="n"/>
      <c r="F160" s="17" t="n"/>
      <c r="G160" s="13" t="n"/>
      <c r="H160" s="13" t="n"/>
      <c r="I160" s="16">
        <f>IF($A160="","",1)</f>
        <v/>
      </c>
    </row>
    <row r="161">
      <c r="A161" s="13" t="n"/>
      <c r="B161" s="13" t="n"/>
      <c r="C161" s="13" t="n"/>
      <c r="D161" s="13" t="n"/>
      <c r="E161" s="69" t="n"/>
      <c r="F161" s="17" t="n"/>
      <c r="G161" s="13" t="n"/>
      <c r="H161" s="13" t="n"/>
      <c r="I161" s="16">
        <f>IF($A161="","",1)</f>
        <v/>
      </c>
    </row>
    <row r="162">
      <c r="A162" s="13" t="n"/>
      <c r="B162" s="13" t="n"/>
      <c r="C162" s="13" t="n"/>
      <c r="D162" s="13" t="n"/>
      <c r="E162" s="69" t="n"/>
      <c r="F162" s="17" t="n"/>
      <c r="G162" s="13" t="n"/>
      <c r="H162" s="13" t="n"/>
      <c r="I162" s="16">
        <f>IF($A162="","",1)</f>
        <v/>
      </c>
    </row>
    <row r="163">
      <c r="A163" s="13" t="n"/>
      <c r="B163" s="13" t="n"/>
      <c r="C163" s="13" t="n"/>
      <c r="D163" s="13" t="n"/>
      <c r="E163" s="69" t="n"/>
      <c r="F163" s="17" t="n"/>
      <c r="G163" s="13" t="n"/>
      <c r="H163" s="13" t="n"/>
      <c r="I163" s="16">
        <f>IF($A163="","",1)</f>
        <v/>
      </c>
    </row>
    <row r="164">
      <c r="A164" s="13" t="n"/>
      <c r="B164" s="13" t="n"/>
      <c r="C164" s="13" t="n"/>
      <c r="D164" s="13" t="n"/>
      <c r="E164" s="69" t="n"/>
      <c r="F164" s="17" t="n"/>
      <c r="G164" s="13" t="n"/>
      <c r="H164" s="13" t="n"/>
      <c r="I164" s="16">
        <f>IF($A164="","",1)</f>
        <v/>
      </c>
    </row>
    <row r="165">
      <c r="A165" s="13" t="n"/>
      <c r="B165" s="13" t="n"/>
      <c r="C165" s="13" t="n"/>
      <c r="D165" s="13" t="n"/>
      <c r="E165" s="69" t="n"/>
      <c r="F165" s="17" t="n"/>
      <c r="G165" s="13" t="n"/>
      <c r="H165" s="13" t="n"/>
      <c r="I165" s="16">
        <f>IF($A165="","",1)</f>
        <v/>
      </c>
    </row>
    <row r="166">
      <c r="A166" s="13" t="n"/>
      <c r="B166" s="13" t="n"/>
      <c r="C166" s="13" t="n"/>
      <c r="D166" s="13" t="n"/>
      <c r="E166" s="69" t="n"/>
      <c r="F166" s="17" t="n"/>
      <c r="G166" s="13" t="n"/>
      <c r="H166" s="13" t="n"/>
      <c r="I166" s="16">
        <f>IF($A166="","",1)</f>
        <v/>
      </c>
    </row>
    <row r="167">
      <c r="A167" s="13" t="n"/>
      <c r="B167" s="13" t="n"/>
      <c r="C167" s="13" t="n"/>
      <c r="D167" s="13" t="n"/>
      <c r="E167" s="69" t="n"/>
      <c r="F167" s="17" t="n"/>
      <c r="G167" s="13" t="n"/>
      <c r="H167" s="13" t="n"/>
      <c r="I167" s="16">
        <f>IF($A167="","",1)</f>
        <v/>
      </c>
    </row>
    <row r="168">
      <c r="A168" s="13" t="n"/>
      <c r="B168" s="13" t="n"/>
      <c r="C168" s="13" t="n"/>
      <c r="D168" s="13" t="n"/>
      <c r="E168" s="69" t="n"/>
      <c r="F168" s="17" t="n"/>
      <c r="G168" s="13" t="n"/>
      <c r="H168" s="13" t="n"/>
      <c r="I168" s="16">
        <f>IF($A168="","",1)</f>
        <v/>
      </c>
    </row>
    <row r="169">
      <c r="A169" s="13" t="n"/>
      <c r="B169" s="13" t="n"/>
      <c r="C169" s="13" t="n"/>
      <c r="D169" s="13" t="n"/>
      <c r="E169" s="69" t="n"/>
      <c r="F169" s="17" t="n"/>
      <c r="G169" s="13" t="n"/>
      <c r="H169" s="13" t="n"/>
      <c r="I169" s="16">
        <f>IF($A169="","",1)</f>
        <v/>
      </c>
    </row>
    <row r="170">
      <c r="A170" s="13" t="n"/>
      <c r="B170" s="13" t="n"/>
      <c r="C170" s="13" t="n"/>
      <c r="D170" s="13" t="n"/>
      <c r="E170" s="69" t="n"/>
      <c r="F170" s="17" t="n"/>
      <c r="G170" s="13" t="n"/>
      <c r="H170" s="13" t="n"/>
      <c r="I170" s="16">
        <f>IF($A170="","",1)</f>
        <v/>
      </c>
    </row>
    <row r="171">
      <c r="A171" s="13" t="n"/>
      <c r="B171" s="13" t="n"/>
      <c r="C171" s="13" t="n"/>
      <c r="D171" s="13" t="n"/>
      <c r="E171" s="69" t="n"/>
      <c r="F171" s="17" t="n"/>
      <c r="G171" s="13" t="n"/>
      <c r="H171" s="13" t="n"/>
      <c r="I171" s="16">
        <f>IF($A171="","",1)</f>
        <v/>
      </c>
    </row>
    <row r="172">
      <c r="A172" s="13" t="n"/>
      <c r="B172" s="13" t="n"/>
      <c r="C172" s="13" t="n"/>
      <c r="D172" s="13" t="n"/>
      <c r="E172" s="69" t="n"/>
      <c r="F172" s="17" t="n"/>
      <c r="G172" s="13" t="n"/>
      <c r="H172" s="13" t="n"/>
      <c r="I172" s="16">
        <f>IF($A172="","",1)</f>
        <v/>
      </c>
    </row>
    <row r="173">
      <c r="A173" s="13" t="n"/>
      <c r="B173" s="13" t="n"/>
      <c r="C173" s="13" t="n"/>
      <c r="D173" s="13" t="n"/>
      <c r="E173" s="69" t="n"/>
      <c r="F173" s="17" t="n"/>
      <c r="G173" s="13" t="n"/>
      <c r="H173" s="13" t="n"/>
      <c r="I173" s="16">
        <f>IF($A173="","",1)</f>
        <v/>
      </c>
    </row>
    <row r="174">
      <c r="A174" s="13" t="n"/>
      <c r="B174" s="13" t="n"/>
      <c r="C174" s="13" t="n"/>
      <c r="D174" s="13" t="n"/>
      <c r="E174" s="69" t="n"/>
      <c r="F174" s="17" t="n"/>
      <c r="G174" s="13" t="n"/>
      <c r="H174" s="13" t="n"/>
      <c r="I174" s="16">
        <f>IF($A174="","",1)</f>
        <v/>
      </c>
    </row>
    <row r="175">
      <c r="A175" s="13" t="n"/>
      <c r="B175" s="13" t="n"/>
      <c r="C175" s="13" t="n"/>
      <c r="D175" s="13" t="n"/>
      <c r="E175" s="69" t="n"/>
      <c r="F175" s="17" t="n"/>
      <c r="G175" s="13" t="n"/>
      <c r="H175" s="13" t="n"/>
      <c r="I175" s="16">
        <f>IF($A175="","",1)</f>
        <v/>
      </c>
    </row>
    <row r="176">
      <c r="A176" s="13" t="n"/>
      <c r="B176" s="13" t="n"/>
      <c r="C176" s="13" t="n"/>
      <c r="D176" s="13" t="n"/>
      <c r="E176" s="69" t="n"/>
      <c r="F176" s="17" t="n"/>
      <c r="G176" s="13" t="n"/>
      <c r="H176" s="13" t="n"/>
      <c r="I176" s="16">
        <f>IF($A176="","",1)</f>
        <v/>
      </c>
    </row>
    <row r="177">
      <c r="A177" s="13" t="n"/>
      <c r="B177" s="13" t="n"/>
      <c r="C177" s="13" t="n"/>
      <c r="D177" s="13" t="n"/>
      <c r="E177" s="69" t="n"/>
      <c r="F177" s="17" t="n"/>
      <c r="G177" s="13" t="n"/>
      <c r="H177" s="13" t="n"/>
      <c r="I177" s="16">
        <f>IF($A177="","",1)</f>
        <v/>
      </c>
    </row>
    <row r="178">
      <c r="A178" s="13" t="n"/>
      <c r="B178" s="13" t="n"/>
      <c r="C178" s="13" t="n"/>
      <c r="D178" s="13" t="n"/>
      <c r="E178" s="69" t="n"/>
      <c r="F178" s="17" t="n"/>
      <c r="G178" s="13" t="n"/>
      <c r="H178" s="13" t="n"/>
      <c r="I178" s="16">
        <f>IF($A178="","",1)</f>
        <v/>
      </c>
    </row>
    <row r="179">
      <c r="A179" s="13" t="n"/>
      <c r="B179" s="13" t="n"/>
      <c r="C179" s="13" t="n"/>
      <c r="D179" s="13" t="n"/>
      <c r="E179" s="69" t="n"/>
      <c r="F179" s="17" t="n"/>
      <c r="G179" s="13" t="n"/>
      <c r="H179" s="13" t="n"/>
      <c r="I179" s="16">
        <f>IF($A179="","",1)</f>
        <v/>
      </c>
    </row>
    <row r="180">
      <c r="A180" s="13" t="n"/>
      <c r="B180" s="13" t="n"/>
      <c r="C180" s="13" t="n"/>
      <c r="D180" s="13" t="n"/>
      <c r="E180" s="69" t="n"/>
      <c r="F180" s="17" t="n"/>
      <c r="G180" s="13" t="n"/>
      <c r="H180" s="13" t="n"/>
      <c r="I180" s="16">
        <f>IF($A180="","",1)</f>
        <v/>
      </c>
    </row>
    <row r="181">
      <c r="A181" s="13" t="n"/>
      <c r="B181" s="13" t="n"/>
      <c r="C181" s="13" t="n"/>
      <c r="D181" s="13" t="n"/>
      <c r="E181" s="69" t="n"/>
      <c r="F181" s="17" t="n"/>
      <c r="G181" s="13" t="n"/>
      <c r="H181" s="13" t="n"/>
      <c r="I181" s="16">
        <f>IF($A181="","",1)</f>
        <v/>
      </c>
    </row>
    <row r="182">
      <c r="A182" s="13" t="n"/>
      <c r="B182" s="13" t="n"/>
      <c r="C182" s="13" t="n"/>
      <c r="D182" s="13" t="n"/>
      <c r="E182" s="69" t="n"/>
      <c r="F182" s="17" t="n"/>
      <c r="G182" s="13" t="n"/>
      <c r="H182" s="13" t="n"/>
      <c r="I182" s="16">
        <f>IF($A182="","",1)</f>
        <v/>
      </c>
    </row>
    <row r="183">
      <c r="A183" s="13" t="n"/>
      <c r="B183" s="13" t="n"/>
      <c r="C183" s="13" t="n"/>
      <c r="D183" s="13" t="n"/>
      <c r="E183" s="69" t="n"/>
      <c r="F183" s="17" t="n"/>
      <c r="G183" s="13" t="n"/>
      <c r="H183" s="13" t="n"/>
      <c r="I183" s="16">
        <f>IF($A183="","",1)</f>
        <v/>
      </c>
    </row>
    <row r="184">
      <c r="A184" s="13" t="n"/>
      <c r="B184" s="13" t="n"/>
      <c r="C184" s="13" t="n"/>
      <c r="D184" s="13" t="n"/>
      <c r="E184" s="69" t="n"/>
      <c r="F184" s="17" t="n"/>
      <c r="G184" s="13" t="n"/>
      <c r="H184" s="13" t="n"/>
      <c r="I184" s="16">
        <f>IF($A184="","",1)</f>
        <v/>
      </c>
    </row>
    <row r="185">
      <c r="A185" s="13" t="n"/>
      <c r="B185" s="13" t="n"/>
      <c r="C185" s="13" t="n"/>
      <c r="D185" s="13" t="n"/>
      <c r="E185" s="69" t="n"/>
      <c r="F185" s="17" t="n"/>
      <c r="G185" s="13" t="n"/>
      <c r="H185" s="13" t="n"/>
      <c r="I185" s="16">
        <f>IF($A185="","",1)</f>
        <v/>
      </c>
    </row>
    <row r="186">
      <c r="A186" s="13" t="n"/>
      <c r="B186" s="13" t="n"/>
      <c r="C186" s="13" t="n"/>
      <c r="D186" s="13" t="n"/>
      <c r="E186" s="69" t="n"/>
      <c r="F186" s="17" t="n"/>
      <c r="G186" s="13" t="n"/>
      <c r="H186" s="13" t="n"/>
      <c r="I186" s="16">
        <f>IF($A186="","",1)</f>
        <v/>
      </c>
    </row>
    <row r="187">
      <c r="A187" s="13" t="n"/>
      <c r="B187" s="13" t="n"/>
      <c r="C187" s="13" t="n"/>
      <c r="D187" s="13" t="n"/>
      <c r="E187" s="69" t="n"/>
      <c r="F187" s="17" t="n"/>
      <c r="G187" s="13" t="n"/>
      <c r="H187" s="13" t="n"/>
      <c r="I187" s="16">
        <f>IF($A187="","",1)</f>
        <v/>
      </c>
    </row>
    <row r="188">
      <c r="A188" s="13" t="n"/>
      <c r="B188" s="13" t="n"/>
      <c r="C188" s="13" t="n"/>
      <c r="D188" s="13" t="n"/>
      <c r="E188" s="69" t="n"/>
      <c r="F188" s="17" t="n"/>
      <c r="G188" s="13" t="n"/>
      <c r="H188" s="13" t="n"/>
      <c r="I188" s="16">
        <f>IF($A188="","",1)</f>
        <v/>
      </c>
    </row>
    <row r="189">
      <c r="A189" s="13" t="n"/>
      <c r="B189" s="13" t="n"/>
      <c r="C189" s="13" t="n"/>
      <c r="D189" s="13" t="n"/>
      <c r="E189" s="69" t="n"/>
      <c r="F189" s="17" t="n"/>
      <c r="G189" s="13" t="n"/>
      <c r="H189" s="13" t="n"/>
      <c r="I189" s="16">
        <f>IF($A189="","",1)</f>
        <v/>
      </c>
    </row>
    <row r="190">
      <c r="A190" s="13" t="n"/>
      <c r="B190" s="13" t="n"/>
      <c r="C190" s="13" t="n"/>
      <c r="D190" s="13" t="n"/>
      <c r="E190" s="69" t="n"/>
      <c r="F190" s="17" t="n"/>
      <c r="G190" s="13" t="n"/>
      <c r="H190" s="13" t="n"/>
      <c r="I190" s="16">
        <f>IF($A190="","",1)</f>
        <v/>
      </c>
    </row>
    <row r="191">
      <c r="A191" s="13" t="n"/>
      <c r="B191" s="13" t="n"/>
      <c r="C191" s="13" t="n"/>
      <c r="D191" s="13" t="n"/>
      <c r="E191" s="69" t="n"/>
      <c r="F191" s="17" t="n"/>
      <c r="G191" s="13" t="n"/>
      <c r="H191" s="13" t="n"/>
      <c r="I191" s="16">
        <f>IF($A191="","",1)</f>
        <v/>
      </c>
    </row>
    <row r="192">
      <c r="A192" s="13" t="n"/>
      <c r="B192" s="13" t="n"/>
      <c r="C192" s="13" t="n"/>
      <c r="D192" s="13" t="n"/>
      <c r="E192" s="69" t="n"/>
      <c r="F192" s="17" t="n"/>
      <c r="G192" s="13" t="n"/>
      <c r="H192" s="13" t="n"/>
      <c r="I192" s="16">
        <f>IF($A192="","",1)</f>
        <v/>
      </c>
    </row>
    <row r="193">
      <c r="A193" s="13" t="n"/>
      <c r="B193" s="13" t="n"/>
      <c r="C193" s="13" t="n"/>
      <c r="D193" s="13" t="n"/>
      <c r="E193" s="69" t="n"/>
      <c r="F193" s="17" t="n"/>
      <c r="G193" s="13" t="n"/>
      <c r="H193" s="13" t="n"/>
      <c r="I193" s="16">
        <f>IF($A193="","",1)</f>
        <v/>
      </c>
    </row>
    <row r="194">
      <c r="A194" s="13" t="n"/>
      <c r="B194" s="13" t="n"/>
      <c r="C194" s="13" t="n"/>
      <c r="D194" s="13" t="n"/>
      <c r="E194" s="69" t="n"/>
      <c r="F194" s="17" t="n"/>
      <c r="G194" s="13" t="n"/>
      <c r="H194" s="13" t="n"/>
      <c r="I194" s="16">
        <f>IF($A194="","",1)</f>
        <v/>
      </c>
    </row>
    <row r="195">
      <c r="A195" s="13" t="n"/>
      <c r="B195" s="13" t="n"/>
      <c r="C195" s="13" t="n"/>
      <c r="D195" s="13" t="n"/>
      <c r="E195" s="69" t="n"/>
      <c r="F195" s="17" t="n"/>
      <c r="G195" s="13" t="n"/>
      <c r="H195" s="13" t="n"/>
      <c r="I195" s="16">
        <f>IF($A195="","",1)</f>
        <v/>
      </c>
    </row>
    <row r="196">
      <c r="A196" s="13" t="n"/>
      <c r="B196" s="13" t="n"/>
      <c r="C196" s="13" t="n"/>
      <c r="D196" s="13" t="n"/>
      <c r="E196" s="69" t="n"/>
      <c r="F196" s="17" t="n"/>
      <c r="G196" s="13" t="n"/>
      <c r="H196" s="13" t="n"/>
      <c r="I196" s="16">
        <f>IF($A196="","",1)</f>
        <v/>
      </c>
    </row>
    <row r="197">
      <c r="A197" s="13" t="n"/>
      <c r="B197" s="13" t="n"/>
      <c r="C197" s="13" t="n"/>
      <c r="D197" s="13" t="n"/>
      <c r="E197" s="69" t="n"/>
      <c r="F197" s="17" t="n"/>
      <c r="G197" s="13" t="n"/>
      <c r="H197" s="13" t="n"/>
      <c r="I197" s="16">
        <f>IF($A197="","",1)</f>
        <v/>
      </c>
    </row>
    <row r="198">
      <c r="A198" s="13" t="n"/>
      <c r="B198" s="13" t="n"/>
      <c r="C198" s="13" t="n"/>
      <c r="D198" s="13" t="n"/>
      <c r="E198" s="69" t="n"/>
      <c r="F198" s="17" t="n"/>
      <c r="G198" s="13" t="n"/>
      <c r="H198" s="13" t="n"/>
      <c r="I198" s="16">
        <f>IF($A198="","",1)</f>
        <v/>
      </c>
    </row>
    <row r="199">
      <c r="A199" s="13" t="n"/>
      <c r="B199" s="13" t="n"/>
      <c r="C199" s="13" t="n"/>
      <c r="D199" s="13" t="n"/>
      <c r="E199" s="69" t="n"/>
      <c r="F199" s="17" t="n"/>
      <c r="G199" s="13" t="n"/>
      <c r="H199" s="13" t="n"/>
      <c r="I199" s="16">
        <f>IF($A199="","",1)</f>
        <v/>
      </c>
    </row>
    <row r="200">
      <c r="A200" s="13" t="n"/>
      <c r="B200" s="13" t="n"/>
      <c r="C200" s="13" t="n"/>
      <c r="D200" s="13" t="n"/>
      <c r="E200" s="69" t="n"/>
      <c r="F200" s="17" t="n"/>
      <c r="G200" s="13" t="n"/>
      <c r="H200" s="13" t="n"/>
      <c r="I200" s="16">
        <f>IF($A200="","",1)</f>
        <v/>
      </c>
    </row>
    <row r="201">
      <c r="A201" s="13" t="n"/>
      <c r="B201" s="13" t="n"/>
      <c r="C201" s="13" t="n"/>
      <c r="D201" s="13" t="n"/>
      <c r="E201" s="69" t="n"/>
      <c r="F201" s="17" t="n"/>
      <c r="G201" s="13" t="n"/>
      <c r="H201" s="13" t="n"/>
      <c r="I201" s="16">
        <f>IF($A201="","",1)</f>
        <v/>
      </c>
    </row>
    <row r="202">
      <c r="A202" s="13" t="n"/>
      <c r="B202" s="13" t="n"/>
      <c r="C202" s="13" t="n"/>
      <c r="D202" s="13" t="n"/>
      <c r="E202" s="69" t="n"/>
      <c r="F202" s="17" t="n"/>
      <c r="G202" s="13" t="n"/>
      <c r="H202" s="13" t="n"/>
      <c r="I202" s="16">
        <f>IF($A202="","",1)</f>
        <v/>
      </c>
    </row>
    <row r="203">
      <c r="A203" s="13" t="n"/>
      <c r="B203" s="13" t="n"/>
      <c r="C203" s="13" t="n"/>
      <c r="D203" s="13" t="n"/>
      <c r="E203" s="69" t="n"/>
      <c r="F203" s="17" t="n"/>
      <c r="G203" s="13" t="n"/>
      <c r="H203" s="13" t="n"/>
      <c r="I203" s="16">
        <f>IF($A203="","",1)</f>
        <v/>
      </c>
    </row>
    <row r="204">
      <c r="A204" s="13" t="n"/>
      <c r="B204" s="13" t="n"/>
      <c r="C204" s="13" t="n"/>
      <c r="D204" s="13" t="n"/>
      <c r="E204" s="69" t="n"/>
      <c r="F204" s="17" t="n"/>
      <c r="G204" s="13" t="n"/>
      <c r="H204" s="13" t="n"/>
      <c r="I204" s="16">
        <f>IF($A204="","",1)</f>
        <v/>
      </c>
    </row>
    <row r="205">
      <c r="A205" s="13" t="n"/>
      <c r="B205" s="13" t="n"/>
      <c r="C205" s="13" t="n"/>
      <c r="D205" s="13" t="n"/>
      <c r="E205" s="69" t="n"/>
      <c r="F205" s="17" t="n"/>
      <c r="G205" s="13" t="n"/>
      <c r="H205" s="13" t="n"/>
      <c r="I205" s="16">
        <f>IF($A205="","",1)</f>
        <v/>
      </c>
    </row>
    <row r="206">
      <c r="A206" s="13" t="n"/>
      <c r="B206" s="13" t="n"/>
      <c r="C206" s="13" t="n"/>
      <c r="D206" s="13" t="n"/>
      <c r="E206" s="69" t="n"/>
      <c r="F206" s="17" t="n"/>
      <c r="G206" s="13" t="n"/>
      <c r="H206" s="13" t="n"/>
      <c r="I206" s="16">
        <f>IF($A206="","",1)</f>
        <v/>
      </c>
    </row>
    <row r="207">
      <c r="A207" s="13" t="n"/>
      <c r="B207" s="13" t="n"/>
      <c r="C207" s="13" t="n"/>
      <c r="D207" s="13" t="n"/>
      <c r="E207" s="69" t="n"/>
      <c r="F207" s="17" t="n"/>
      <c r="G207" s="13" t="n"/>
      <c r="H207" s="13" t="n"/>
      <c r="I207" s="16">
        <f>IF($A207="","",1)</f>
        <v/>
      </c>
    </row>
    <row r="208">
      <c r="A208" s="13" t="n"/>
      <c r="B208" s="13" t="n"/>
      <c r="C208" s="13" t="n"/>
      <c r="D208" s="13" t="n"/>
      <c r="E208" s="69" t="n"/>
      <c r="F208" s="17" t="n"/>
      <c r="G208" s="13" t="n"/>
      <c r="H208" s="13" t="n"/>
      <c r="I208" s="16">
        <f>IF($A208="","",1)</f>
        <v/>
      </c>
    </row>
    <row r="209">
      <c r="A209" s="13" t="n"/>
      <c r="B209" s="13" t="n"/>
      <c r="C209" s="13" t="n"/>
      <c r="D209" s="13" t="n"/>
      <c r="E209" s="69" t="n"/>
      <c r="F209" s="17" t="n"/>
      <c r="G209" s="13" t="n"/>
      <c r="H209" s="13" t="n"/>
      <c r="I209" s="16">
        <f>IF($A209="","",1)</f>
        <v/>
      </c>
    </row>
    <row r="210">
      <c r="A210" s="13" t="n"/>
      <c r="B210" s="13" t="n"/>
      <c r="C210" s="13" t="n"/>
      <c r="D210" s="13" t="n"/>
      <c r="E210" s="69" t="n"/>
      <c r="F210" s="17" t="n"/>
      <c r="G210" s="13" t="n"/>
      <c r="H210" s="13" t="n"/>
      <c r="I210" s="16">
        <f>IF($A210="","",1)</f>
        <v/>
      </c>
    </row>
    <row r="211">
      <c r="A211" s="13" t="n"/>
      <c r="B211" s="13" t="n"/>
      <c r="C211" s="13" t="n"/>
      <c r="D211" s="13" t="n"/>
      <c r="E211" s="69" t="n"/>
      <c r="F211" s="17" t="n"/>
      <c r="G211" s="13" t="n"/>
      <c r="H211" s="13" t="n"/>
      <c r="I211" s="16">
        <f>IF($A211="","",1)</f>
        <v/>
      </c>
    </row>
    <row r="212">
      <c r="A212" s="13" t="n"/>
      <c r="B212" s="13" t="n"/>
      <c r="C212" s="13" t="n"/>
      <c r="D212" s="13" t="n"/>
      <c r="E212" s="69" t="n"/>
      <c r="F212" s="17" t="n"/>
      <c r="G212" s="13" t="n"/>
      <c r="H212" s="13" t="n"/>
      <c r="I212" s="16">
        <f>IF($A212="","",1)</f>
        <v/>
      </c>
    </row>
    <row r="213">
      <c r="A213" s="13" t="n"/>
      <c r="B213" s="13" t="n"/>
      <c r="C213" s="13" t="n"/>
      <c r="D213" s="13" t="n"/>
      <c r="E213" s="69" t="n"/>
      <c r="F213" s="17" t="n"/>
      <c r="G213" s="13" t="n"/>
      <c r="H213" s="13" t="n"/>
      <c r="I213" s="16">
        <f>IF($A213="","",1)</f>
        <v/>
      </c>
    </row>
    <row r="214">
      <c r="A214" s="13" t="n"/>
      <c r="B214" s="13" t="n"/>
      <c r="C214" s="13" t="n"/>
      <c r="D214" s="13" t="n"/>
      <c r="E214" s="69" t="n"/>
      <c r="F214" s="17" t="n"/>
      <c r="G214" s="13" t="n"/>
      <c r="H214" s="13" t="n"/>
      <c r="I214" s="16">
        <f>IF($A214="","",1)</f>
        <v/>
      </c>
    </row>
    <row r="215">
      <c r="A215" s="13" t="n"/>
      <c r="B215" s="13" t="n"/>
      <c r="C215" s="13" t="n"/>
      <c r="D215" s="13" t="n"/>
      <c r="E215" s="69" t="n"/>
      <c r="F215" s="17" t="n"/>
      <c r="G215" s="13" t="n"/>
      <c r="H215" s="13" t="n"/>
      <c r="I215" s="16">
        <f>IF($A215="","",1)</f>
        <v/>
      </c>
    </row>
    <row r="216">
      <c r="A216" s="13" t="n"/>
      <c r="B216" s="13" t="n"/>
      <c r="C216" s="13" t="n"/>
      <c r="D216" s="13" t="n"/>
      <c r="E216" s="69" t="n"/>
      <c r="F216" s="17" t="n"/>
      <c r="G216" s="13" t="n"/>
      <c r="H216" s="13" t="n"/>
      <c r="I216" s="16">
        <f>IF($A216="","",1)</f>
        <v/>
      </c>
    </row>
    <row r="217">
      <c r="A217" s="13" t="n"/>
      <c r="B217" s="13" t="n"/>
      <c r="C217" s="13" t="n"/>
      <c r="D217" s="13" t="n"/>
      <c r="E217" s="69" t="n"/>
      <c r="F217" s="17" t="n"/>
      <c r="G217" s="13" t="n"/>
      <c r="H217" s="13" t="n"/>
      <c r="I217" s="16">
        <f>IF($A217="","",1)</f>
        <v/>
      </c>
    </row>
    <row r="218">
      <c r="A218" s="13" t="n"/>
      <c r="B218" s="13" t="n"/>
      <c r="C218" s="13" t="n"/>
      <c r="D218" s="13" t="n"/>
      <c r="E218" s="69" t="n"/>
      <c r="F218" s="17" t="n"/>
      <c r="G218" s="13" t="n"/>
      <c r="H218" s="13" t="n"/>
      <c r="I218" s="16">
        <f>IF($A218="","",1)</f>
        <v/>
      </c>
    </row>
    <row r="219">
      <c r="A219" s="13" t="n"/>
      <c r="B219" s="13" t="n"/>
      <c r="C219" s="13" t="n"/>
      <c r="D219" s="13" t="n"/>
      <c r="E219" s="69" t="n"/>
      <c r="F219" s="17" t="n"/>
      <c r="G219" s="13" t="n"/>
      <c r="H219" s="13" t="n"/>
      <c r="I219" s="16">
        <f>IF($A219="","",1)</f>
        <v/>
      </c>
    </row>
    <row r="220">
      <c r="A220" s="13" t="n"/>
      <c r="B220" s="13" t="n"/>
      <c r="C220" s="13" t="n"/>
      <c r="D220" s="13" t="n"/>
      <c r="E220" s="69" t="n"/>
      <c r="F220" s="17" t="n"/>
      <c r="G220" s="13" t="n"/>
      <c r="H220" s="13" t="n"/>
      <c r="I220" s="16">
        <f>IF($A220="","",1)</f>
        <v/>
      </c>
    </row>
    <row r="221">
      <c r="A221" s="13" t="n"/>
      <c r="B221" s="13" t="n"/>
      <c r="C221" s="13" t="n"/>
      <c r="D221" s="13" t="n"/>
      <c r="E221" s="69" t="n"/>
      <c r="F221" s="17" t="n"/>
      <c r="G221" s="13" t="n"/>
      <c r="H221" s="13" t="n"/>
      <c r="I221" s="16">
        <f>IF($A221="","",1)</f>
        <v/>
      </c>
    </row>
    <row r="222">
      <c r="A222" s="13" t="n"/>
      <c r="B222" s="13" t="n"/>
      <c r="C222" s="13" t="n"/>
      <c r="D222" s="13" t="n"/>
      <c r="E222" s="69" t="n"/>
      <c r="F222" s="17" t="n"/>
      <c r="G222" s="13" t="n"/>
      <c r="H222" s="13" t="n"/>
      <c r="I222" s="16">
        <f>IF($A222="","",1)</f>
        <v/>
      </c>
    </row>
    <row r="223">
      <c r="A223" s="13" t="n"/>
      <c r="B223" s="13" t="n"/>
      <c r="C223" s="13" t="n"/>
      <c r="D223" s="13" t="n"/>
      <c r="E223" s="69" t="n"/>
      <c r="F223" s="17" t="n"/>
      <c r="G223" s="13" t="n"/>
      <c r="H223" s="13" t="n"/>
      <c r="I223" s="16">
        <f>IF($A223="","",1)</f>
        <v/>
      </c>
    </row>
    <row r="224">
      <c r="A224" s="13" t="n"/>
      <c r="B224" s="13" t="n"/>
      <c r="C224" s="13" t="n"/>
      <c r="D224" s="13" t="n"/>
      <c r="E224" s="69" t="n"/>
      <c r="F224" s="17" t="n"/>
      <c r="G224" s="13" t="n"/>
      <c r="H224" s="13" t="n"/>
      <c r="I224" s="16">
        <f>IF($A224="","",1)</f>
        <v/>
      </c>
    </row>
    <row r="225">
      <c r="A225" s="13" t="n"/>
      <c r="B225" s="13" t="n"/>
      <c r="C225" s="13" t="n"/>
      <c r="D225" s="13" t="n"/>
      <c r="E225" s="69" t="n"/>
      <c r="F225" s="17" t="n"/>
      <c r="G225" s="13" t="n"/>
      <c r="H225" s="13" t="n"/>
      <c r="I225" s="16">
        <f>IF($A225="","",1)</f>
        <v/>
      </c>
    </row>
    <row r="226">
      <c r="A226" s="13" t="n"/>
      <c r="B226" s="13" t="n"/>
      <c r="C226" s="13" t="n"/>
      <c r="D226" s="13" t="n"/>
      <c r="E226" s="69" t="n"/>
      <c r="F226" s="17" t="n"/>
      <c r="G226" s="13" t="n"/>
      <c r="H226" s="13" t="n"/>
      <c r="I226" s="16">
        <f>IF($A226="","",1)</f>
        <v/>
      </c>
    </row>
    <row r="227">
      <c r="A227" s="13" t="n"/>
      <c r="B227" s="13" t="n"/>
      <c r="C227" s="13" t="n"/>
      <c r="D227" s="13" t="n"/>
      <c r="E227" s="69" t="n"/>
      <c r="F227" s="17" t="n"/>
      <c r="G227" s="13" t="n"/>
      <c r="H227" s="13" t="n"/>
      <c r="I227" s="16">
        <f>IF($A227="","",1)</f>
        <v/>
      </c>
    </row>
    <row r="228">
      <c r="A228" s="13" t="n"/>
      <c r="B228" s="13" t="n"/>
      <c r="C228" s="13" t="n"/>
      <c r="D228" s="13" t="n"/>
      <c r="E228" s="69" t="n"/>
      <c r="F228" s="17" t="n"/>
      <c r="G228" s="13" t="n"/>
      <c r="H228" s="13" t="n"/>
      <c r="I228" s="16">
        <f>IF($A228="","",1)</f>
        <v/>
      </c>
    </row>
    <row r="229">
      <c r="A229" s="13" t="n"/>
      <c r="B229" s="13" t="n"/>
      <c r="C229" s="13" t="n"/>
      <c r="D229" s="13" t="n"/>
      <c r="E229" s="69" t="n"/>
      <c r="F229" s="17" t="n"/>
      <c r="G229" s="13" t="n"/>
      <c r="H229" s="13" t="n"/>
      <c r="I229" s="16">
        <f>IF($A229="","",1)</f>
        <v/>
      </c>
    </row>
    <row r="230">
      <c r="A230" s="13" t="n"/>
      <c r="B230" s="13" t="n"/>
      <c r="C230" s="13" t="n"/>
      <c r="D230" s="13" t="n"/>
      <c r="E230" s="69" t="n"/>
      <c r="F230" s="17" t="n"/>
      <c r="G230" s="13" t="n"/>
      <c r="H230" s="13" t="n"/>
      <c r="I230" s="16">
        <f>IF($A230="","",1)</f>
        <v/>
      </c>
    </row>
    <row r="231">
      <c r="A231" s="13" t="n"/>
      <c r="B231" s="13" t="n"/>
      <c r="C231" s="13" t="n"/>
      <c r="D231" s="13" t="n"/>
      <c r="E231" s="69" t="n"/>
      <c r="F231" s="17" t="n"/>
      <c r="G231" s="13" t="n"/>
      <c r="H231" s="13" t="n"/>
      <c r="I231" s="16">
        <f>IF($A231="","",1)</f>
        <v/>
      </c>
    </row>
    <row r="232">
      <c r="A232" s="13" t="n"/>
      <c r="B232" s="13" t="n"/>
      <c r="C232" s="13" t="n"/>
      <c r="D232" s="13" t="n"/>
      <c r="E232" s="69" t="n"/>
      <c r="F232" s="17" t="n"/>
      <c r="G232" s="13" t="n"/>
      <c r="H232" s="13" t="n"/>
      <c r="I232" s="16">
        <f>IF($A232="","",1)</f>
        <v/>
      </c>
    </row>
    <row r="233">
      <c r="A233" s="13" t="n"/>
      <c r="B233" s="13" t="n"/>
      <c r="C233" s="13" t="n"/>
      <c r="D233" s="13" t="n"/>
      <c r="E233" s="69" t="n"/>
      <c r="F233" s="17" t="n"/>
      <c r="G233" s="13" t="n"/>
      <c r="H233" s="13" t="n"/>
      <c r="I233" s="16">
        <f>IF($A233="","",1)</f>
        <v/>
      </c>
    </row>
    <row r="234">
      <c r="A234" s="13" t="n"/>
      <c r="B234" s="13" t="n"/>
      <c r="C234" s="13" t="n"/>
      <c r="D234" s="13" t="n"/>
      <c r="E234" s="69" t="n"/>
      <c r="F234" s="17" t="n"/>
      <c r="G234" s="13" t="n"/>
      <c r="H234" s="13" t="n"/>
      <c r="I234" s="16">
        <f>IF($A234="","",1)</f>
        <v/>
      </c>
    </row>
    <row r="235">
      <c r="A235" s="13" t="n"/>
      <c r="B235" s="13" t="n"/>
      <c r="C235" s="13" t="n"/>
      <c r="D235" s="13" t="n"/>
      <c r="E235" s="69" t="n"/>
      <c r="F235" s="17" t="n"/>
      <c r="G235" s="13" t="n"/>
      <c r="H235" s="13" t="n"/>
      <c r="I235" s="16">
        <f>IF($A235="","",1)</f>
        <v/>
      </c>
    </row>
    <row r="236">
      <c r="A236" s="13" t="n"/>
      <c r="B236" s="13" t="n"/>
      <c r="C236" s="13" t="n"/>
      <c r="D236" s="13" t="n"/>
      <c r="E236" s="69" t="n"/>
      <c r="F236" s="17" t="n"/>
      <c r="G236" s="13" t="n"/>
      <c r="H236" s="13" t="n"/>
      <c r="I236" s="16">
        <f>IF($A236="","",1)</f>
        <v/>
      </c>
    </row>
    <row r="237">
      <c r="A237" s="13" t="n"/>
      <c r="B237" s="13" t="n"/>
      <c r="C237" s="13" t="n"/>
      <c r="D237" s="13" t="n"/>
      <c r="E237" s="69" t="n"/>
      <c r="F237" s="17" t="n"/>
      <c r="G237" s="13" t="n"/>
      <c r="H237" s="13" t="n"/>
      <c r="I237" s="16">
        <f>IF($A237="","",1)</f>
        <v/>
      </c>
    </row>
    <row r="238">
      <c r="A238" s="13" t="n"/>
      <c r="B238" s="13" t="n"/>
      <c r="C238" s="13" t="n"/>
      <c r="D238" s="13" t="n"/>
      <c r="E238" s="69" t="n"/>
      <c r="F238" s="17" t="n"/>
      <c r="G238" s="13" t="n"/>
      <c r="H238" s="13" t="n"/>
      <c r="I238" s="16">
        <f>IF($A238="","",1)</f>
        <v/>
      </c>
    </row>
    <row r="239">
      <c r="A239" s="13" t="n"/>
      <c r="B239" s="13" t="n"/>
      <c r="C239" s="13" t="n"/>
      <c r="D239" s="13" t="n"/>
      <c r="E239" s="69" t="n"/>
      <c r="F239" s="17" t="n"/>
      <c r="G239" s="13" t="n"/>
      <c r="H239" s="13" t="n"/>
      <c r="I239" s="16">
        <f>IF($A239="","",1)</f>
        <v/>
      </c>
    </row>
    <row r="240">
      <c r="A240" s="13" t="n"/>
      <c r="B240" s="13" t="n"/>
      <c r="C240" s="13" t="n"/>
      <c r="D240" s="13" t="n"/>
      <c r="E240" s="69" t="n"/>
      <c r="F240" s="17" t="n"/>
      <c r="G240" s="13" t="n"/>
      <c r="H240" s="13" t="n"/>
      <c r="I240" s="16">
        <f>IF($A240="","",1)</f>
        <v/>
      </c>
    </row>
    <row r="241">
      <c r="A241" s="13" t="n"/>
      <c r="B241" s="13" t="n"/>
      <c r="C241" s="13" t="n"/>
      <c r="D241" s="13" t="n"/>
      <c r="E241" s="69" t="n"/>
      <c r="F241" s="17" t="n"/>
      <c r="G241" s="13" t="n"/>
      <c r="H241" s="13" t="n"/>
      <c r="I241" s="16">
        <f>IF($A241="","",1)</f>
        <v/>
      </c>
    </row>
    <row r="242">
      <c r="A242" s="13" t="n"/>
      <c r="B242" s="13" t="n"/>
      <c r="C242" s="13" t="n"/>
      <c r="D242" s="13" t="n"/>
      <c r="E242" s="69" t="n"/>
      <c r="F242" s="17" t="n"/>
      <c r="G242" s="13" t="n"/>
      <c r="H242" s="13" t="n"/>
      <c r="I242" s="16">
        <f>IF($A242="","",1)</f>
        <v/>
      </c>
    </row>
    <row r="243">
      <c r="A243" s="13" t="n"/>
      <c r="B243" s="13" t="n"/>
      <c r="C243" s="13" t="n"/>
      <c r="D243" s="13" t="n"/>
      <c r="E243" s="69" t="n"/>
      <c r="F243" s="17" t="n"/>
      <c r="G243" s="13" t="n"/>
      <c r="H243" s="13" t="n"/>
      <c r="I243" s="16">
        <f>IF($A243="","",1)</f>
        <v/>
      </c>
    </row>
    <row r="244">
      <c r="A244" s="13" t="n"/>
      <c r="B244" s="13" t="n"/>
      <c r="C244" s="13" t="n"/>
      <c r="D244" s="13" t="n"/>
      <c r="E244" s="69" t="n"/>
      <c r="F244" s="17" t="n"/>
      <c r="G244" s="13" t="n"/>
      <c r="H244" s="13" t="n"/>
      <c r="I244" s="16">
        <f>IF($A244="","",1)</f>
        <v/>
      </c>
    </row>
    <row r="245">
      <c r="A245" s="13" t="n"/>
      <c r="B245" s="13" t="n"/>
      <c r="C245" s="13" t="n"/>
      <c r="D245" s="13" t="n"/>
      <c r="E245" s="69" t="n"/>
      <c r="F245" s="17" t="n"/>
      <c r="G245" s="13" t="n"/>
      <c r="H245" s="13" t="n"/>
      <c r="I245" s="16">
        <f>IF($A245="","",1)</f>
        <v/>
      </c>
    </row>
    <row r="246">
      <c r="A246" s="13" t="n"/>
      <c r="B246" s="13" t="n"/>
      <c r="C246" s="13" t="n"/>
      <c r="D246" s="13" t="n"/>
      <c r="E246" s="69" t="n"/>
      <c r="F246" s="17" t="n"/>
      <c r="G246" s="13" t="n"/>
      <c r="H246" s="13" t="n"/>
      <c r="I246" s="16">
        <f>IF($A246="","",1)</f>
        <v/>
      </c>
    </row>
    <row r="247">
      <c r="A247" s="13" t="n"/>
      <c r="B247" s="13" t="n"/>
      <c r="C247" s="13" t="n"/>
      <c r="D247" s="13" t="n"/>
      <c r="E247" s="69" t="n"/>
      <c r="F247" s="17" t="n"/>
      <c r="G247" s="13" t="n"/>
      <c r="H247" s="13" t="n"/>
      <c r="I247" s="16">
        <f>IF($A247="","",1)</f>
        <v/>
      </c>
    </row>
    <row r="248">
      <c r="A248" s="13" t="n"/>
      <c r="B248" s="13" t="n"/>
      <c r="C248" s="13" t="n"/>
      <c r="D248" s="13" t="n"/>
      <c r="E248" s="69" t="n"/>
      <c r="F248" s="17" t="n"/>
      <c r="G248" s="13" t="n"/>
      <c r="H248" s="13" t="n"/>
      <c r="I248" s="16">
        <f>IF($A248="","",1)</f>
        <v/>
      </c>
    </row>
    <row r="249">
      <c r="A249" s="13" t="n"/>
      <c r="B249" s="13" t="n"/>
      <c r="C249" s="13" t="n"/>
      <c r="D249" s="13" t="n"/>
      <c r="E249" s="69" t="n"/>
      <c r="F249" s="17" t="n"/>
      <c r="G249" s="13" t="n"/>
      <c r="H249" s="13" t="n"/>
      <c r="I249" s="16">
        <f>IF($A249="","",1)</f>
        <v/>
      </c>
    </row>
    <row r="250">
      <c r="A250" s="13" t="n"/>
      <c r="B250" s="13" t="n"/>
      <c r="C250" s="13" t="n"/>
      <c r="D250" s="13" t="n"/>
      <c r="E250" s="69" t="n"/>
      <c r="F250" s="17" t="n"/>
      <c r="G250" s="13" t="n"/>
      <c r="H250" s="13" t="n"/>
      <c r="I250" s="16">
        <f>IF($A250="","",1)</f>
        <v/>
      </c>
    </row>
    <row r="251">
      <c r="A251" s="13" t="n"/>
      <c r="B251" s="13" t="n"/>
      <c r="C251" s="13" t="n"/>
      <c r="D251" s="13" t="n"/>
      <c r="E251" s="69" t="n"/>
      <c r="F251" s="17" t="n"/>
      <c r="G251" s="13" t="n"/>
      <c r="H251" s="13" t="n"/>
      <c r="I251" s="16">
        <f>IF($A251="","",1)</f>
        <v/>
      </c>
    </row>
    <row r="252">
      <c r="A252" s="13" t="n"/>
      <c r="B252" s="13" t="n"/>
      <c r="C252" s="13" t="n"/>
      <c r="D252" s="13" t="n"/>
      <c r="E252" s="69" t="n"/>
      <c r="F252" s="17" t="n"/>
      <c r="G252" s="13" t="n"/>
      <c r="H252" s="13" t="n"/>
      <c r="I252" s="16">
        <f>IF($A252="","",1)</f>
        <v/>
      </c>
    </row>
    <row r="253">
      <c r="A253" s="13" t="n"/>
      <c r="B253" s="13" t="n"/>
      <c r="C253" s="13" t="n"/>
      <c r="D253" s="13" t="n"/>
      <c r="E253" s="69" t="n"/>
      <c r="F253" s="17" t="n"/>
      <c r="G253" s="13" t="n"/>
      <c r="H253" s="13" t="n"/>
      <c r="I253" s="16">
        <f>IF($A253="","",1)</f>
        <v/>
      </c>
    </row>
    <row r="254">
      <c r="A254" s="13" t="n"/>
      <c r="B254" s="13" t="n"/>
      <c r="C254" s="13" t="n"/>
      <c r="D254" s="13" t="n"/>
      <c r="E254" s="69" t="n"/>
      <c r="F254" s="17" t="n"/>
      <c r="G254" s="13" t="n"/>
      <c r="H254" s="13" t="n"/>
      <c r="I254" s="16">
        <f>IF($A254="","",1)</f>
        <v/>
      </c>
    </row>
    <row r="255">
      <c r="A255" s="13" t="n"/>
      <c r="B255" s="13" t="n"/>
      <c r="C255" s="13" t="n"/>
      <c r="D255" s="13" t="n"/>
      <c r="E255" s="69" t="n"/>
      <c r="F255" s="17" t="n"/>
      <c r="G255" s="13" t="n"/>
      <c r="H255" s="13" t="n"/>
      <c r="I255" s="16">
        <f>IF($A255="","",1)</f>
        <v/>
      </c>
    </row>
    <row r="256">
      <c r="A256" s="13" t="n"/>
      <c r="B256" s="13" t="n"/>
      <c r="C256" s="13" t="n"/>
      <c r="D256" s="13" t="n"/>
      <c r="E256" s="69" t="n"/>
      <c r="F256" s="17" t="n"/>
      <c r="G256" s="13" t="n"/>
      <c r="H256" s="13" t="n"/>
      <c r="I256" s="16">
        <f>IF($A256="","",1)</f>
        <v/>
      </c>
    </row>
    <row r="257">
      <c r="A257" s="13" t="n"/>
      <c r="B257" s="13" t="n"/>
      <c r="C257" s="13" t="n"/>
      <c r="D257" s="13" t="n"/>
      <c r="E257" s="69" t="n"/>
      <c r="F257" s="17" t="n"/>
      <c r="G257" s="13" t="n"/>
      <c r="H257" s="13" t="n"/>
      <c r="I257" s="16">
        <f>IF($A257="","",1)</f>
        <v/>
      </c>
    </row>
    <row r="258">
      <c r="A258" s="13" t="n"/>
      <c r="B258" s="13" t="n"/>
      <c r="C258" s="13" t="n"/>
      <c r="D258" s="13" t="n"/>
      <c r="E258" s="69" t="n"/>
      <c r="F258" s="17" t="n"/>
      <c r="G258" s="13" t="n"/>
      <c r="H258" s="13" t="n"/>
      <c r="I258" s="16">
        <f>IF($A258="","",1)</f>
        <v/>
      </c>
    </row>
    <row r="259">
      <c r="A259" s="13" t="n"/>
      <c r="B259" s="13" t="n"/>
      <c r="C259" s="13" t="n"/>
      <c r="D259" s="13" t="n"/>
      <c r="E259" s="69" t="n"/>
      <c r="F259" s="17" t="n"/>
      <c r="G259" s="13" t="n"/>
      <c r="H259" s="13" t="n"/>
      <c r="I259" s="16">
        <f>IF($A259="","",1)</f>
        <v/>
      </c>
    </row>
    <row r="260">
      <c r="A260" s="13" t="n"/>
      <c r="B260" s="13" t="n"/>
      <c r="C260" s="13" t="n"/>
      <c r="D260" s="13" t="n"/>
      <c r="E260" s="69" t="n"/>
      <c r="F260" s="17" t="n"/>
      <c r="G260" s="13" t="n"/>
      <c r="H260" s="13" t="n"/>
      <c r="I260" s="16">
        <f>IF($A260="","",1)</f>
        <v/>
      </c>
    </row>
    <row r="261">
      <c r="A261" s="13" t="n"/>
      <c r="B261" s="13" t="n"/>
      <c r="C261" s="13" t="n"/>
      <c r="D261" s="13" t="n"/>
      <c r="E261" s="69" t="n"/>
      <c r="F261" s="17" t="n"/>
      <c r="G261" s="13" t="n"/>
      <c r="H261" s="13" t="n"/>
      <c r="I261" s="16">
        <f>IF($A261="","",1)</f>
        <v/>
      </c>
    </row>
    <row r="262">
      <c r="A262" s="13" t="n"/>
      <c r="B262" s="13" t="n"/>
      <c r="C262" s="13" t="n"/>
      <c r="D262" s="13" t="n"/>
      <c r="E262" s="69" t="n"/>
      <c r="F262" s="17" t="n"/>
      <c r="G262" s="13" t="n"/>
      <c r="H262" s="13" t="n"/>
      <c r="I262" s="16">
        <f>IF($A262="","",1)</f>
        <v/>
      </c>
    </row>
    <row r="263">
      <c r="A263" s="13" t="n"/>
      <c r="B263" s="13" t="n"/>
      <c r="C263" s="13" t="n"/>
      <c r="D263" s="13" t="n"/>
      <c r="E263" s="69" t="n"/>
      <c r="F263" s="17" t="n"/>
      <c r="G263" s="13" t="n"/>
      <c r="H263" s="13" t="n"/>
      <c r="I263" s="16">
        <f>IF($A263="","",1)</f>
        <v/>
      </c>
    </row>
    <row r="264">
      <c r="A264" s="13" t="n"/>
      <c r="B264" s="13" t="n"/>
      <c r="C264" s="13" t="n"/>
      <c r="D264" s="13" t="n"/>
      <c r="E264" s="69" t="n"/>
      <c r="F264" s="17" t="n"/>
      <c r="G264" s="13" t="n"/>
      <c r="H264" s="13" t="n"/>
      <c r="I264" s="16">
        <f>IF($A264="","",1)</f>
        <v/>
      </c>
    </row>
    <row r="265">
      <c r="A265" s="13" t="n"/>
      <c r="B265" s="13" t="n"/>
      <c r="C265" s="13" t="n"/>
      <c r="D265" s="13" t="n"/>
      <c r="E265" s="69" t="n"/>
      <c r="F265" s="17" t="n"/>
      <c r="G265" s="13" t="n"/>
      <c r="H265" s="13" t="n"/>
      <c r="I265" s="16">
        <f>IF($A265="","",1)</f>
        <v/>
      </c>
    </row>
    <row r="266">
      <c r="A266" s="13" t="n"/>
      <c r="B266" s="13" t="n"/>
      <c r="C266" s="13" t="n"/>
      <c r="D266" s="13" t="n"/>
      <c r="E266" s="69" t="n"/>
      <c r="F266" s="17" t="n"/>
      <c r="G266" s="13" t="n"/>
      <c r="H266" s="13" t="n"/>
      <c r="I266" s="16">
        <f>IF($A266="","",1)</f>
        <v/>
      </c>
    </row>
    <row r="267">
      <c r="A267" s="13" t="n"/>
      <c r="B267" s="13" t="n"/>
      <c r="C267" s="13" t="n"/>
      <c r="D267" s="13" t="n"/>
      <c r="E267" s="69" t="n"/>
      <c r="F267" s="17" t="n"/>
      <c r="G267" s="13" t="n"/>
      <c r="H267" s="13" t="n"/>
      <c r="I267" s="16">
        <f>IF($A267="","",1)</f>
        <v/>
      </c>
    </row>
    <row r="268">
      <c r="A268" s="13" t="n"/>
      <c r="B268" s="13" t="n"/>
      <c r="C268" s="13" t="n"/>
      <c r="D268" s="13" t="n"/>
      <c r="E268" s="69" t="n"/>
      <c r="F268" s="17" t="n"/>
      <c r="G268" s="13" t="n"/>
      <c r="H268" s="13" t="n"/>
      <c r="I268" s="16">
        <f>IF($A268="","",1)</f>
        <v/>
      </c>
    </row>
    <row r="269">
      <c r="A269" s="13" t="n"/>
      <c r="B269" s="13" t="n"/>
      <c r="C269" s="13" t="n"/>
      <c r="D269" s="13" t="n"/>
      <c r="E269" s="69" t="n"/>
      <c r="F269" s="17" t="n"/>
      <c r="G269" s="13" t="n"/>
      <c r="H269" s="13" t="n"/>
      <c r="I269" s="16">
        <f>IF($A269="","",1)</f>
        <v/>
      </c>
    </row>
    <row r="270">
      <c r="A270" s="13" t="n"/>
      <c r="B270" s="13" t="n"/>
      <c r="C270" s="13" t="n"/>
      <c r="D270" s="13" t="n"/>
      <c r="E270" s="69" t="n"/>
      <c r="F270" s="17" t="n"/>
      <c r="G270" s="13" t="n"/>
      <c r="H270" s="13" t="n"/>
      <c r="I270" s="16">
        <f>IF($A270="","",1)</f>
        <v/>
      </c>
    </row>
    <row r="271">
      <c r="A271" s="13" t="n"/>
      <c r="B271" s="13" t="n"/>
      <c r="C271" s="13" t="n"/>
      <c r="D271" s="13" t="n"/>
      <c r="E271" s="69" t="n"/>
      <c r="F271" s="17" t="n"/>
      <c r="G271" s="13" t="n"/>
      <c r="H271" s="13" t="n"/>
      <c r="I271" s="16">
        <f>IF($A271="","",1)</f>
        <v/>
      </c>
    </row>
    <row r="272">
      <c r="A272" s="13" t="n"/>
      <c r="B272" s="13" t="n"/>
      <c r="C272" s="13" t="n"/>
      <c r="D272" s="13" t="n"/>
      <c r="E272" s="69" t="n"/>
      <c r="F272" s="17" t="n"/>
      <c r="G272" s="13" t="n"/>
      <c r="H272" s="13" t="n"/>
      <c r="I272" s="16">
        <f>IF($A272="","",1)</f>
        <v/>
      </c>
    </row>
    <row r="273">
      <c r="A273" s="13" t="n"/>
      <c r="B273" s="13" t="n"/>
      <c r="C273" s="13" t="n"/>
      <c r="D273" s="13" t="n"/>
      <c r="E273" s="69" t="n"/>
      <c r="F273" s="17" t="n"/>
      <c r="G273" s="13" t="n"/>
      <c r="H273" s="13" t="n"/>
      <c r="I273" s="16">
        <f>IF($A273="","",1)</f>
        <v/>
      </c>
    </row>
    <row r="274">
      <c r="A274" s="13" t="n"/>
      <c r="B274" s="13" t="n"/>
      <c r="C274" s="13" t="n"/>
      <c r="D274" s="13" t="n"/>
      <c r="E274" s="69" t="n"/>
      <c r="F274" s="17" t="n"/>
      <c r="G274" s="13" t="n"/>
      <c r="H274" s="13" t="n"/>
      <c r="I274" s="16">
        <f>IF($A274="","",1)</f>
        <v/>
      </c>
    </row>
    <row r="275">
      <c r="A275" s="13" t="n"/>
      <c r="B275" s="13" t="n"/>
      <c r="C275" s="13" t="n"/>
      <c r="D275" s="13" t="n"/>
      <c r="E275" s="69" t="n"/>
      <c r="F275" s="17" t="n"/>
      <c r="G275" s="13" t="n"/>
      <c r="H275" s="13" t="n"/>
      <c r="I275" s="16">
        <f>IF($A275="","",1)</f>
        <v/>
      </c>
    </row>
    <row r="276">
      <c r="A276" s="13" t="n"/>
      <c r="B276" s="13" t="n"/>
      <c r="C276" s="13" t="n"/>
      <c r="D276" s="13" t="n"/>
      <c r="E276" s="69" t="n"/>
      <c r="F276" s="17" t="n"/>
      <c r="G276" s="13" t="n"/>
      <c r="H276" s="13" t="n"/>
      <c r="I276" s="16">
        <f>IF($A276="","",1)</f>
        <v/>
      </c>
    </row>
    <row r="277">
      <c r="A277" s="13" t="n"/>
      <c r="B277" s="13" t="n"/>
      <c r="C277" s="13" t="n"/>
      <c r="D277" s="13" t="n"/>
      <c r="E277" s="69" t="n"/>
      <c r="F277" s="17" t="n"/>
      <c r="G277" s="13" t="n"/>
      <c r="H277" s="13" t="n"/>
      <c r="I277" s="16">
        <f>IF($A277="","",1)</f>
        <v/>
      </c>
    </row>
    <row r="278">
      <c r="A278" s="13" t="n"/>
      <c r="B278" s="13" t="n"/>
      <c r="C278" s="13" t="n"/>
      <c r="D278" s="13" t="n"/>
      <c r="E278" s="69" t="n"/>
      <c r="F278" s="17" t="n"/>
      <c r="G278" s="13" t="n"/>
      <c r="H278" s="13" t="n"/>
      <c r="I278" s="16">
        <f>IF($A278="","",1)</f>
        <v/>
      </c>
    </row>
    <row r="279">
      <c r="A279" s="13" t="n"/>
      <c r="B279" s="13" t="n"/>
      <c r="C279" s="13" t="n"/>
      <c r="D279" s="13" t="n"/>
      <c r="E279" s="69" t="n"/>
      <c r="F279" s="17" t="n"/>
      <c r="G279" s="13" t="n"/>
      <c r="H279" s="13" t="n"/>
      <c r="I279" s="16">
        <f>IF($A279="","",1)</f>
        <v/>
      </c>
    </row>
    <row r="280">
      <c r="A280" s="13" t="n"/>
      <c r="B280" s="13" t="n"/>
      <c r="C280" s="13" t="n"/>
      <c r="D280" s="13" t="n"/>
      <c r="E280" s="69" t="n"/>
      <c r="F280" s="17" t="n"/>
      <c r="G280" s="13" t="n"/>
      <c r="H280" s="13" t="n"/>
      <c r="I280" s="16">
        <f>IF($A280="","",1)</f>
        <v/>
      </c>
    </row>
    <row r="281">
      <c r="A281" s="13" t="n"/>
      <c r="B281" s="13" t="n"/>
      <c r="C281" s="13" t="n"/>
      <c r="D281" s="13" t="n"/>
      <c r="E281" s="69" t="n"/>
      <c r="F281" s="17" t="n"/>
      <c r="G281" s="13" t="n"/>
      <c r="H281" s="13" t="n"/>
      <c r="I281" s="16">
        <f>IF($A281="","",1)</f>
        <v/>
      </c>
    </row>
    <row r="282">
      <c r="A282" s="13" t="n"/>
      <c r="B282" s="13" t="n"/>
      <c r="C282" s="13" t="n"/>
      <c r="D282" s="13" t="n"/>
      <c r="E282" s="69" t="n"/>
      <c r="F282" s="17" t="n"/>
      <c r="G282" s="13" t="n"/>
      <c r="H282" s="13" t="n"/>
      <c r="I282" s="16">
        <f>IF($A282="","",1)</f>
        <v/>
      </c>
    </row>
    <row r="283">
      <c r="A283" s="13" t="n"/>
      <c r="B283" s="13" t="n"/>
      <c r="C283" s="13" t="n"/>
      <c r="D283" s="13" t="n"/>
      <c r="E283" s="69" t="n"/>
      <c r="F283" s="17" t="n"/>
      <c r="G283" s="13" t="n"/>
      <c r="H283" s="13" t="n"/>
      <c r="I283" s="16">
        <f>IF($A283="","",1)</f>
        <v/>
      </c>
    </row>
    <row r="284">
      <c r="A284" s="13" t="n"/>
      <c r="B284" s="13" t="n"/>
      <c r="C284" s="13" t="n"/>
      <c r="D284" s="13" t="n"/>
      <c r="E284" s="69" t="n"/>
      <c r="F284" s="17" t="n"/>
      <c r="G284" s="13" t="n"/>
      <c r="H284" s="13" t="n"/>
      <c r="I284" s="16">
        <f>IF($A284="","",1)</f>
        <v/>
      </c>
    </row>
    <row r="285">
      <c r="A285" s="13" t="n"/>
      <c r="B285" s="13" t="n"/>
      <c r="C285" s="13" t="n"/>
      <c r="D285" s="13" t="n"/>
      <c r="E285" s="69" t="n"/>
      <c r="F285" s="17" t="n"/>
      <c r="G285" s="13" t="n"/>
      <c r="H285" s="13" t="n"/>
      <c r="I285" s="16">
        <f>IF($A285="","",1)</f>
        <v/>
      </c>
    </row>
    <row r="286">
      <c r="A286" s="13" t="n"/>
      <c r="B286" s="13" t="n"/>
      <c r="C286" s="13" t="n"/>
      <c r="D286" s="13" t="n"/>
      <c r="E286" s="69" t="n"/>
      <c r="F286" s="17" t="n"/>
      <c r="G286" s="13" t="n"/>
      <c r="H286" s="13" t="n"/>
      <c r="I286" s="16">
        <f>IF($A286="","",1)</f>
        <v/>
      </c>
    </row>
    <row r="287">
      <c r="A287" s="13" t="n"/>
      <c r="B287" s="13" t="n"/>
      <c r="C287" s="13" t="n"/>
      <c r="D287" s="13" t="n"/>
      <c r="E287" s="69" t="n"/>
      <c r="F287" s="17" t="n"/>
      <c r="G287" s="13" t="n"/>
      <c r="H287" s="13" t="n"/>
      <c r="I287" s="16">
        <f>IF($A287="","",1)</f>
        <v/>
      </c>
    </row>
    <row r="288">
      <c r="A288" s="13" t="n"/>
      <c r="B288" s="13" t="n"/>
      <c r="C288" s="13" t="n"/>
      <c r="D288" s="13" t="n"/>
      <c r="E288" s="69" t="n"/>
      <c r="F288" s="17" t="n"/>
      <c r="G288" s="13" t="n"/>
      <c r="H288" s="13" t="n"/>
      <c r="I288" s="16">
        <f>IF($A288="","",1)</f>
        <v/>
      </c>
    </row>
    <row r="289">
      <c r="A289" s="13" t="n"/>
      <c r="B289" s="13" t="n"/>
      <c r="C289" s="13" t="n"/>
      <c r="D289" s="13" t="n"/>
      <c r="E289" s="69" t="n"/>
      <c r="F289" s="17" t="n"/>
      <c r="G289" s="13" t="n"/>
      <c r="H289" s="13" t="n"/>
      <c r="I289" s="16">
        <f>IF($A289="","",1)</f>
        <v/>
      </c>
    </row>
    <row r="290">
      <c r="A290" s="13" t="n"/>
      <c r="B290" s="13" t="n"/>
      <c r="C290" s="13" t="n"/>
      <c r="D290" s="13" t="n"/>
      <c r="E290" s="69" t="n"/>
      <c r="F290" s="17" t="n"/>
      <c r="G290" s="13" t="n"/>
      <c r="H290" s="13" t="n"/>
      <c r="I290" s="16">
        <f>IF($A290="","",1)</f>
        <v/>
      </c>
    </row>
    <row r="291">
      <c r="A291" s="13" t="n"/>
      <c r="B291" s="13" t="n"/>
      <c r="C291" s="13" t="n"/>
      <c r="D291" s="13" t="n"/>
      <c r="E291" s="69" t="n"/>
      <c r="F291" s="17" t="n"/>
      <c r="G291" s="13" t="n"/>
      <c r="H291" s="13" t="n"/>
      <c r="I291" s="16">
        <f>IF($A291="","",1)</f>
        <v/>
      </c>
    </row>
    <row r="292">
      <c r="A292" s="13" t="n"/>
      <c r="B292" s="13" t="n"/>
      <c r="C292" s="13" t="n"/>
      <c r="D292" s="13" t="n"/>
      <c r="E292" s="69" t="n"/>
      <c r="F292" s="17" t="n"/>
      <c r="G292" s="13" t="n"/>
      <c r="H292" s="13" t="n"/>
      <c r="I292" s="16">
        <f>IF($A292="","",1)</f>
        <v/>
      </c>
    </row>
    <row r="293">
      <c r="A293" s="13" t="n"/>
      <c r="B293" s="13" t="n"/>
      <c r="C293" s="13" t="n"/>
      <c r="D293" s="13" t="n"/>
      <c r="E293" s="69" t="n"/>
      <c r="F293" s="17" t="n"/>
      <c r="G293" s="13" t="n"/>
      <c r="H293" s="13" t="n"/>
      <c r="I293" s="16">
        <f>IF($A293="","",1)</f>
        <v/>
      </c>
    </row>
    <row r="294">
      <c r="A294" s="13" t="n"/>
      <c r="B294" s="13" t="n"/>
      <c r="C294" s="13" t="n"/>
      <c r="D294" s="13" t="n"/>
      <c r="E294" s="69" t="n"/>
      <c r="F294" s="17" t="n"/>
      <c r="G294" s="13" t="n"/>
      <c r="H294" s="13" t="n"/>
      <c r="I294" s="16">
        <f>IF($A294="","",1)</f>
        <v/>
      </c>
    </row>
    <row r="295">
      <c r="A295" s="13" t="n"/>
      <c r="B295" s="13" t="n"/>
      <c r="C295" s="13" t="n"/>
      <c r="D295" s="13" t="n"/>
      <c r="E295" s="69" t="n"/>
      <c r="F295" s="17" t="n"/>
      <c r="G295" s="13" t="n"/>
      <c r="H295" s="13" t="n"/>
      <c r="I295" s="16">
        <f>IF($A295="","",1)</f>
        <v/>
      </c>
    </row>
    <row r="296">
      <c r="A296" s="13" t="n"/>
      <c r="B296" s="13" t="n"/>
      <c r="C296" s="13" t="n"/>
      <c r="D296" s="13" t="n"/>
      <c r="E296" s="69" t="n"/>
      <c r="F296" s="17" t="n"/>
      <c r="G296" s="13" t="n"/>
      <c r="H296" s="13" t="n"/>
      <c r="I296" s="16">
        <f>IF($A296="","",1)</f>
        <v/>
      </c>
    </row>
    <row r="297">
      <c r="A297" s="13" t="n"/>
      <c r="B297" s="13" t="n"/>
      <c r="C297" s="13" t="n"/>
      <c r="D297" s="13" t="n"/>
      <c r="E297" s="69" t="n"/>
      <c r="F297" s="17" t="n"/>
      <c r="G297" s="13" t="n"/>
      <c r="H297" s="13" t="n"/>
      <c r="I297" s="16">
        <f>IF($A297="","",1)</f>
        <v/>
      </c>
    </row>
    <row r="298">
      <c r="A298" s="13" t="n"/>
      <c r="B298" s="13" t="n"/>
      <c r="C298" s="13" t="n"/>
      <c r="D298" s="13" t="n"/>
      <c r="E298" s="69" t="n"/>
      <c r="F298" s="17" t="n"/>
      <c r="G298" s="13" t="n"/>
      <c r="H298" s="13" t="n"/>
      <c r="I298" s="16">
        <f>IF($A298="","",1)</f>
        <v/>
      </c>
    </row>
    <row r="299">
      <c r="A299" s="13" t="n"/>
      <c r="B299" s="13" t="n"/>
      <c r="C299" s="13" t="n"/>
      <c r="D299" s="13" t="n"/>
      <c r="E299" s="69" t="n"/>
      <c r="F299" s="17" t="n"/>
      <c r="G299" s="13" t="n"/>
      <c r="H299" s="13" t="n"/>
      <c r="I299" s="16">
        <f>IF($A299="","",1)</f>
        <v/>
      </c>
    </row>
    <row r="300">
      <c r="A300" s="13" t="n"/>
      <c r="B300" s="13" t="n"/>
      <c r="C300" s="13" t="n"/>
      <c r="D300" s="13" t="n"/>
      <c r="E300" s="69" t="n"/>
      <c r="F300" s="17" t="n"/>
      <c r="G300" s="13" t="n"/>
      <c r="H300" s="13" t="n"/>
      <c r="I300" s="16">
        <f>IF($A300="","",1)</f>
        <v/>
      </c>
    </row>
    <row r="301">
      <c r="A301" s="13" t="n"/>
      <c r="B301" s="13" t="n"/>
      <c r="C301" s="13" t="n"/>
      <c r="D301" s="13" t="n"/>
      <c r="E301" s="69" t="n"/>
      <c r="F301" s="17" t="n"/>
      <c r="G301" s="13" t="n"/>
      <c r="H301" s="13" t="n"/>
      <c r="I301" s="16">
        <f>IF($A301="","",1)</f>
        <v/>
      </c>
    </row>
    <row r="302">
      <c r="A302" s="13" t="n"/>
      <c r="B302" s="13" t="n"/>
      <c r="C302" s="13" t="n"/>
      <c r="D302" s="13" t="n"/>
      <c r="E302" s="69" t="n"/>
      <c r="F302" s="17" t="n"/>
      <c r="G302" s="13" t="n"/>
      <c r="H302" s="13" t="n"/>
      <c r="I302" s="16">
        <f>IF($A302="","",1)</f>
        <v/>
      </c>
    </row>
    <row r="303">
      <c r="A303" s="13" t="n"/>
      <c r="B303" s="13" t="n"/>
      <c r="C303" s="13" t="n"/>
      <c r="D303" s="13" t="n"/>
      <c r="E303" s="69" t="n"/>
      <c r="F303" s="17" t="n"/>
      <c r="G303" s="13" t="n"/>
      <c r="H303" s="13" t="n"/>
      <c r="I303" s="16">
        <f>IF($A303="","",1)</f>
        <v/>
      </c>
    </row>
    <row r="304">
      <c r="A304" s="13" t="n"/>
      <c r="B304" s="13" t="n"/>
      <c r="C304" s="13" t="n"/>
      <c r="D304" s="13" t="n"/>
      <c r="E304" s="69" t="n"/>
      <c r="F304" s="17" t="n"/>
      <c r="G304" s="13" t="n"/>
      <c r="H304" s="13" t="n"/>
      <c r="I304" s="16">
        <f>IF($A304="","",1)</f>
        <v/>
      </c>
    </row>
    <row r="305">
      <c r="A305" s="13" t="n"/>
      <c r="B305" s="13" t="n"/>
      <c r="C305" s="13" t="n"/>
      <c r="D305" s="13" t="n"/>
      <c r="E305" s="69" t="n"/>
      <c r="F305" s="17" t="n"/>
      <c r="G305" s="13" t="n"/>
      <c r="H305" s="13" t="n"/>
      <c r="I305" s="16">
        <f>IF($A305="","",1)</f>
        <v/>
      </c>
    </row>
    <row r="306">
      <c r="A306" s="13" t="n"/>
      <c r="B306" s="13" t="n"/>
      <c r="C306" s="13" t="n"/>
      <c r="D306" s="13" t="n"/>
      <c r="E306" s="69" t="n"/>
      <c r="F306" s="17" t="n"/>
      <c r="G306" s="13" t="n"/>
      <c r="H306" s="13" t="n"/>
      <c r="I306" s="16">
        <f>IF($A306="","",1)</f>
        <v/>
      </c>
    </row>
    <row r="307">
      <c r="A307" s="13" t="n"/>
      <c r="B307" s="13" t="n"/>
      <c r="C307" s="13" t="n"/>
      <c r="D307" s="13" t="n"/>
      <c r="E307" s="69" t="n"/>
      <c r="F307" s="17" t="n"/>
      <c r="G307" s="13" t="n"/>
      <c r="H307" s="13" t="n"/>
      <c r="I307" s="16">
        <f>IF($A307="","",1)</f>
        <v/>
      </c>
    </row>
    <row r="308">
      <c r="A308" s="13" t="n"/>
      <c r="B308" s="13" t="n"/>
      <c r="C308" s="13" t="n"/>
      <c r="D308" s="13" t="n"/>
      <c r="E308" s="69" t="n"/>
      <c r="F308" s="17" t="n"/>
      <c r="G308" s="13" t="n"/>
      <c r="H308" s="13" t="n"/>
      <c r="I308" s="16">
        <f>IF($A308="","",1)</f>
        <v/>
      </c>
    </row>
    <row r="309">
      <c r="A309" s="13" t="n"/>
      <c r="B309" s="13" t="n"/>
      <c r="C309" s="13" t="n"/>
      <c r="D309" s="13" t="n"/>
      <c r="E309" s="69" t="n"/>
      <c r="F309" s="17" t="n"/>
      <c r="G309" s="13" t="n"/>
      <c r="H309" s="13" t="n"/>
      <c r="I309" s="16">
        <f>IF($A309="","",1)</f>
        <v/>
      </c>
    </row>
    <row r="310">
      <c r="A310" s="13" t="n"/>
      <c r="B310" s="13" t="n"/>
      <c r="C310" s="13" t="n"/>
      <c r="D310" s="13" t="n"/>
      <c r="E310" s="69" t="n"/>
      <c r="F310" s="17" t="n"/>
      <c r="G310" s="13" t="n"/>
      <c r="H310" s="13" t="n"/>
      <c r="I310" s="16">
        <f>IF($A310="","",1)</f>
        <v/>
      </c>
    </row>
    <row r="311">
      <c r="A311" s="13" t="n"/>
      <c r="B311" s="13" t="n"/>
      <c r="C311" s="13" t="n"/>
      <c r="D311" s="13" t="n"/>
      <c r="E311" s="69" t="n"/>
      <c r="F311" s="17" t="n"/>
      <c r="G311" s="13" t="n"/>
      <c r="H311" s="13" t="n"/>
      <c r="I311" s="16">
        <f>IF($A311="","",1)</f>
        <v/>
      </c>
    </row>
    <row r="312">
      <c r="A312" s="13" t="n"/>
      <c r="B312" s="13" t="n"/>
      <c r="C312" s="13" t="n"/>
      <c r="D312" s="13" t="n"/>
      <c r="E312" s="69" t="n"/>
      <c r="F312" s="17" t="n"/>
      <c r="G312" s="13" t="n"/>
      <c r="H312" s="13" t="n"/>
      <c r="I312" s="16">
        <f>IF($A312="","",1)</f>
        <v/>
      </c>
    </row>
    <row r="313">
      <c r="A313" s="13" t="n"/>
      <c r="B313" s="13" t="n"/>
      <c r="C313" s="13" t="n"/>
      <c r="D313" s="13" t="n"/>
      <c r="E313" s="69" t="n"/>
      <c r="F313" s="17" t="n"/>
      <c r="G313" s="13" t="n"/>
      <c r="H313" s="13" t="n"/>
      <c r="I313" s="16">
        <f>IF($A313="","",1)</f>
        <v/>
      </c>
    </row>
    <row r="314">
      <c r="A314" s="13" t="n"/>
      <c r="B314" s="13" t="n"/>
      <c r="C314" s="13" t="n"/>
      <c r="D314" s="13" t="n"/>
      <c r="E314" s="69" t="n"/>
      <c r="F314" s="17" t="n"/>
      <c r="G314" s="13" t="n"/>
      <c r="H314" s="13" t="n"/>
      <c r="I314" s="16">
        <f>IF($A314="","",1)</f>
        <v/>
      </c>
    </row>
    <row r="315">
      <c r="A315" s="13" t="n"/>
      <c r="B315" s="13" t="n"/>
      <c r="C315" s="13" t="n"/>
      <c r="D315" s="13" t="n"/>
      <c r="E315" s="69" t="n"/>
      <c r="F315" s="17" t="n"/>
      <c r="G315" s="13" t="n"/>
      <c r="H315" s="13" t="n"/>
      <c r="I315" s="16">
        <f>IF($A315="","",1)</f>
        <v/>
      </c>
    </row>
    <row r="316">
      <c r="A316" s="13" t="n"/>
      <c r="B316" s="13" t="n"/>
      <c r="C316" s="13" t="n"/>
      <c r="D316" s="13" t="n"/>
      <c r="E316" s="69" t="n"/>
      <c r="F316" s="17" t="n"/>
      <c r="G316" s="13" t="n"/>
      <c r="H316" s="13" t="n"/>
      <c r="I316" s="16">
        <f>IF($A316="","",1)</f>
        <v/>
      </c>
    </row>
    <row r="317">
      <c r="A317" s="13" t="n"/>
      <c r="B317" s="13" t="n"/>
      <c r="C317" s="13" t="n"/>
      <c r="D317" s="13" t="n"/>
      <c r="E317" s="69" t="n"/>
      <c r="F317" s="17" t="n"/>
      <c r="G317" s="13" t="n"/>
      <c r="H317" s="13" t="n"/>
      <c r="I317" s="16">
        <f>IF($A317="","",1)</f>
        <v/>
      </c>
    </row>
    <row r="318">
      <c r="A318" s="13" t="n"/>
      <c r="B318" s="13" t="n"/>
      <c r="C318" s="13" t="n"/>
      <c r="D318" s="13" t="n"/>
      <c r="E318" s="69" t="n"/>
      <c r="F318" s="17" t="n"/>
      <c r="G318" s="13" t="n"/>
      <c r="H318" s="13" t="n"/>
      <c r="I318" s="16">
        <f>IF($A318="","",1)</f>
        <v/>
      </c>
    </row>
    <row r="319">
      <c r="A319" s="13" t="n"/>
      <c r="B319" s="13" t="n"/>
      <c r="C319" s="13" t="n"/>
      <c r="D319" s="13" t="n"/>
      <c r="E319" s="69" t="n"/>
      <c r="F319" s="17" t="n"/>
      <c r="G319" s="13" t="n"/>
      <c r="H319" s="13" t="n"/>
      <c r="I319" s="16">
        <f>IF($A319="","",1)</f>
        <v/>
      </c>
    </row>
    <row r="320">
      <c r="A320" s="13" t="n"/>
      <c r="B320" s="13" t="n"/>
      <c r="C320" s="13" t="n"/>
      <c r="D320" s="13" t="n"/>
      <c r="E320" s="69" t="n"/>
      <c r="F320" s="17" t="n"/>
      <c r="G320" s="13" t="n"/>
      <c r="H320" s="13" t="n"/>
      <c r="I320" s="16">
        <f>IF($A320="","",1)</f>
        <v/>
      </c>
    </row>
    <row r="321">
      <c r="A321" s="13" t="n"/>
      <c r="B321" s="13" t="n"/>
      <c r="C321" s="13" t="n"/>
      <c r="D321" s="13" t="n"/>
      <c r="E321" s="69" t="n"/>
      <c r="F321" s="17" t="n"/>
      <c r="G321" s="13" t="n"/>
      <c r="H321" s="13" t="n"/>
      <c r="I321" s="16">
        <f>IF($A321="","",1)</f>
        <v/>
      </c>
    </row>
    <row r="322">
      <c r="A322" s="13" t="n"/>
      <c r="B322" s="13" t="n"/>
      <c r="C322" s="13" t="n"/>
      <c r="D322" s="13" t="n"/>
      <c r="E322" s="69" t="n"/>
      <c r="F322" s="17" t="n"/>
      <c r="G322" s="13" t="n"/>
      <c r="H322" s="13" t="n"/>
      <c r="I322" s="16">
        <f>IF($A322="","",1)</f>
        <v/>
      </c>
    </row>
    <row r="323">
      <c r="A323" s="13" t="n"/>
      <c r="B323" s="13" t="n"/>
      <c r="C323" s="13" t="n"/>
      <c r="D323" s="13" t="n"/>
      <c r="E323" s="69" t="n"/>
      <c r="F323" s="17" t="n"/>
      <c r="G323" s="13" t="n"/>
      <c r="H323" s="13" t="n"/>
      <c r="I323" s="16">
        <f>IF($A323="","",1)</f>
        <v/>
      </c>
    </row>
    <row r="324">
      <c r="A324" s="13" t="n"/>
      <c r="B324" s="13" t="n"/>
      <c r="C324" s="13" t="n"/>
      <c r="D324" s="13" t="n"/>
      <c r="E324" s="69" t="n"/>
      <c r="F324" s="17" t="n"/>
      <c r="G324" s="13" t="n"/>
      <c r="H324" s="13" t="n"/>
      <c r="I324" s="16">
        <f>IF($A324="","",1)</f>
        <v/>
      </c>
    </row>
    <row r="325">
      <c r="A325" s="13" t="n"/>
      <c r="B325" s="13" t="n"/>
      <c r="C325" s="13" t="n"/>
      <c r="D325" s="13" t="n"/>
      <c r="E325" s="69" t="n"/>
      <c r="F325" s="17" t="n"/>
      <c r="G325" s="13" t="n"/>
      <c r="H325" s="13" t="n"/>
      <c r="I325" s="16">
        <f>IF($A325="","",1)</f>
        <v/>
      </c>
    </row>
    <row r="326">
      <c r="A326" s="13" t="n"/>
      <c r="B326" s="13" t="n"/>
      <c r="C326" s="13" t="n"/>
      <c r="D326" s="13" t="n"/>
      <c r="E326" s="69" t="n"/>
      <c r="F326" s="17" t="n"/>
      <c r="G326" s="13" t="n"/>
      <c r="H326" s="13" t="n"/>
      <c r="I326" s="16">
        <f>IF($A326="","",1)</f>
        <v/>
      </c>
    </row>
    <row r="327">
      <c r="A327" s="13" t="n"/>
      <c r="B327" s="13" t="n"/>
      <c r="C327" s="13" t="n"/>
      <c r="D327" s="13" t="n"/>
      <c r="E327" s="69" t="n"/>
      <c r="F327" s="17" t="n"/>
      <c r="G327" s="13" t="n"/>
      <c r="H327" s="13" t="n"/>
      <c r="I327" s="16">
        <f>IF($A327="","",1)</f>
        <v/>
      </c>
    </row>
    <row r="328">
      <c r="A328" s="13" t="n"/>
      <c r="B328" s="13" t="n"/>
      <c r="C328" s="13" t="n"/>
      <c r="D328" s="13" t="n"/>
      <c r="E328" s="69" t="n"/>
      <c r="F328" s="17" t="n"/>
      <c r="G328" s="13" t="n"/>
      <c r="H328" s="13" t="n"/>
      <c r="I328" s="16">
        <f>IF($A328="","",1)</f>
        <v/>
      </c>
    </row>
    <row r="329">
      <c r="A329" s="13" t="n"/>
      <c r="B329" s="13" t="n"/>
      <c r="C329" s="13" t="n"/>
      <c r="D329" s="13" t="n"/>
      <c r="E329" s="69" t="n"/>
      <c r="F329" s="17" t="n"/>
      <c r="G329" s="13" t="n"/>
      <c r="H329" s="13" t="n"/>
      <c r="I329" s="16">
        <f>IF($A329="","",1)</f>
        <v/>
      </c>
    </row>
    <row r="330">
      <c r="A330" s="13" t="n"/>
      <c r="B330" s="13" t="n"/>
      <c r="C330" s="13" t="n"/>
      <c r="D330" s="13" t="n"/>
      <c r="E330" s="69" t="n"/>
      <c r="F330" s="17" t="n"/>
      <c r="G330" s="13" t="n"/>
      <c r="H330" s="13" t="n"/>
      <c r="I330" s="16">
        <f>IF($A330="","",1)</f>
        <v/>
      </c>
    </row>
    <row r="331">
      <c r="A331" s="13" t="n"/>
      <c r="B331" s="13" t="n"/>
      <c r="C331" s="13" t="n"/>
      <c r="D331" s="13" t="n"/>
      <c r="E331" s="69" t="n"/>
      <c r="F331" s="17" t="n"/>
      <c r="G331" s="13" t="n"/>
      <c r="H331" s="13" t="n"/>
      <c r="I331" s="16">
        <f>IF($A331="","",1)</f>
        <v/>
      </c>
    </row>
    <row r="332">
      <c r="A332" s="13" t="n"/>
      <c r="B332" s="13" t="n"/>
      <c r="C332" s="13" t="n"/>
      <c r="D332" s="13" t="n"/>
      <c r="E332" s="69" t="n"/>
      <c r="F332" s="17" t="n"/>
      <c r="G332" s="13" t="n"/>
      <c r="H332" s="13" t="n"/>
      <c r="I332" s="16">
        <f>IF($A332="","",1)</f>
        <v/>
      </c>
    </row>
    <row r="333">
      <c r="A333" s="13" t="n"/>
      <c r="B333" s="13" t="n"/>
      <c r="C333" s="13" t="n"/>
      <c r="D333" s="13" t="n"/>
      <c r="E333" s="69" t="n"/>
      <c r="F333" s="17" t="n"/>
      <c r="G333" s="13" t="n"/>
      <c r="H333" s="13" t="n"/>
      <c r="I333" s="16">
        <f>IF($A333="","",1)</f>
        <v/>
      </c>
    </row>
    <row r="334">
      <c r="A334" s="13" t="n"/>
      <c r="B334" s="13" t="n"/>
      <c r="C334" s="13" t="n"/>
      <c r="D334" s="13" t="n"/>
      <c r="E334" s="69" t="n"/>
      <c r="F334" s="17" t="n"/>
      <c r="G334" s="13" t="n"/>
      <c r="H334" s="13" t="n"/>
      <c r="I334" s="16">
        <f>IF($A334="","",1)</f>
        <v/>
      </c>
    </row>
    <row r="335">
      <c r="A335" s="13" t="n"/>
      <c r="B335" s="13" t="n"/>
      <c r="C335" s="13" t="n"/>
      <c r="D335" s="13" t="n"/>
      <c r="E335" s="69" t="n"/>
      <c r="F335" s="17" t="n"/>
      <c r="G335" s="13" t="n"/>
      <c r="H335" s="13" t="n"/>
      <c r="I335" s="16">
        <f>IF($A335="","",1)</f>
        <v/>
      </c>
    </row>
    <row r="336">
      <c r="A336" s="13" t="n"/>
      <c r="B336" s="13" t="n"/>
      <c r="C336" s="13" t="n"/>
      <c r="D336" s="13" t="n"/>
      <c r="E336" s="69" t="n"/>
      <c r="F336" s="17" t="n"/>
      <c r="G336" s="13" t="n"/>
      <c r="H336" s="13" t="n"/>
      <c r="I336" s="16">
        <f>IF($A336="","",1)</f>
        <v/>
      </c>
    </row>
    <row r="337">
      <c r="A337" s="13" t="n"/>
      <c r="B337" s="13" t="n"/>
      <c r="C337" s="13" t="n"/>
      <c r="D337" s="13" t="n"/>
      <c r="E337" s="69" t="n"/>
      <c r="F337" s="17" t="n"/>
      <c r="G337" s="13" t="n"/>
      <c r="H337" s="13" t="n"/>
      <c r="I337" s="16">
        <f>IF($A337="","",1)</f>
        <v/>
      </c>
    </row>
    <row r="338">
      <c r="A338" s="13" t="n"/>
      <c r="B338" s="13" t="n"/>
      <c r="C338" s="13" t="n"/>
      <c r="D338" s="13" t="n"/>
      <c r="E338" s="69" t="n"/>
      <c r="F338" s="17" t="n"/>
      <c r="G338" s="13" t="n"/>
      <c r="H338" s="13" t="n"/>
      <c r="I338" s="16">
        <f>IF($A338="","",1)</f>
        <v/>
      </c>
    </row>
    <row r="339">
      <c r="A339" s="13" t="n"/>
      <c r="B339" s="13" t="n"/>
      <c r="C339" s="13" t="n"/>
      <c r="D339" s="13" t="n"/>
      <c r="E339" s="69" t="n"/>
      <c r="F339" s="17" t="n"/>
      <c r="G339" s="13" t="n"/>
      <c r="H339" s="13" t="n"/>
      <c r="I339" s="16">
        <f>IF($A339="","",1)</f>
        <v/>
      </c>
    </row>
    <row r="340">
      <c r="A340" s="13" t="n"/>
      <c r="B340" s="13" t="n"/>
      <c r="C340" s="13" t="n"/>
      <c r="D340" s="13" t="n"/>
      <c r="E340" s="69" t="n"/>
      <c r="F340" s="17" t="n"/>
      <c r="G340" s="13" t="n"/>
      <c r="H340" s="13" t="n"/>
      <c r="I340" s="16">
        <f>IF($A340="","",1)</f>
        <v/>
      </c>
    </row>
    <row r="341">
      <c r="A341" s="13" t="n"/>
      <c r="B341" s="13" t="n"/>
      <c r="C341" s="13" t="n"/>
      <c r="D341" s="13" t="n"/>
      <c r="E341" s="69" t="n"/>
      <c r="F341" s="17" t="n"/>
      <c r="G341" s="13" t="n"/>
      <c r="H341" s="13" t="n"/>
      <c r="I341" s="16">
        <f>IF($A341="","",1)</f>
        <v/>
      </c>
    </row>
    <row r="342">
      <c r="A342" s="13" t="n"/>
      <c r="B342" s="13" t="n"/>
      <c r="C342" s="13" t="n"/>
      <c r="D342" s="13" t="n"/>
      <c r="E342" s="69" t="n"/>
      <c r="F342" s="17" t="n"/>
      <c r="G342" s="13" t="n"/>
      <c r="H342" s="13" t="n"/>
      <c r="I342" s="16">
        <f>IF($A342="","",1)</f>
        <v/>
      </c>
    </row>
    <row r="343">
      <c r="A343" s="13" t="n"/>
      <c r="B343" s="13" t="n"/>
      <c r="C343" s="13" t="n"/>
      <c r="D343" s="13" t="n"/>
      <c r="E343" s="69" t="n"/>
      <c r="F343" s="17" t="n"/>
      <c r="G343" s="13" t="n"/>
      <c r="H343" s="13" t="n"/>
      <c r="I343" s="16">
        <f>IF($A343="","",1)</f>
        <v/>
      </c>
    </row>
    <row r="344">
      <c r="A344" s="13" t="n"/>
      <c r="B344" s="13" t="n"/>
      <c r="C344" s="13" t="n"/>
      <c r="D344" s="13" t="n"/>
      <c r="E344" s="69" t="n"/>
      <c r="F344" s="17" t="n"/>
      <c r="G344" s="13" t="n"/>
      <c r="H344" s="13" t="n"/>
      <c r="I344" s="16">
        <f>IF($A344="","",1)</f>
        <v/>
      </c>
    </row>
    <row r="345">
      <c r="A345" s="13" t="n"/>
      <c r="B345" s="13" t="n"/>
      <c r="C345" s="13" t="n"/>
      <c r="D345" s="13" t="n"/>
      <c r="E345" s="69" t="n"/>
      <c r="F345" s="17" t="n"/>
      <c r="G345" s="13" t="n"/>
      <c r="H345" s="13" t="n"/>
      <c r="I345" s="16">
        <f>IF($A345="","",1)</f>
        <v/>
      </c>
    </row>
    <row r="346">
      <c r="A346" s="13" t="n"/>
      <c r="B346" s="13" t="n"/>
      <c r="C346" s="13" t="n"/>
      <c r="D346" s="13" t="n"/>
      <c r="E346" s="69" t="n"/>
      <c r="F346" s="17" t="n"/>
      <c r="G346" s="13" t="n"/>
      <c r="H346" s="13" t="n"/>
      <c r="I346" s="16">
        <f>IF($A346="","",1)</f>
        <v/>
      </c>
    </row>
    <row r="347">
      <c r="A347" s="13" t="n"/>
      <c r="B347" s="13" t="n"/>
      <c r="C347" s="13" t="n"/>
      <c r="D347" s="13" t="n"/>
      <c r="E347" s="69" t="n"/>
      <c r="F347" s="17" t="n"/>
      <c r="G347" s="13" t="n"/>
      <c r="H347" s="13" t="n"/>
      <c r="I347" s="16">
        <f>IF($A347="","",1)</f>
        <v/>
      </c>
    </row>
    <row r="348">
      <c r="A348" s="13" t="n"/>
      <c r="B348" s="13" t="n"/>
      <c r="C348" s="13" t="n"/>
      <c r="D348" s="13" t="n"/>
      <c r="E348" s="69" t="n"/>
      <c r="F348" s="17" t="n"/>
      <c r="G348" s="13" t="n"/>
      <c r="H348" s="13" t="n"/>
      <c r="I348" s="16">
        <f>IF($A348="","",1)</f>
        <v/>
      </c>
    </row>
    <row r="349">
      <c r="A349" s="13" t="n"/>
      <c r="B349" s="13" t="n"/>
      <c r="C349" s="13" t="n"/>
      <c r="D349" s="13" t="n"/>
      <c r="E349" s="69" t="n"/>
      <c r="F349" s="17" t="n"/>
      <c r="G349" s="13" t="n"/>
      <c r="H349" s="13" t="n"/>
      <c r="I349" s="16">
        <f>IF($A349="","",1)</f>
        <v/>
      </c>
    </row>
    <row r="350">
      <c r="A350" s="13" t="n"/>
      <c r="B350" s="13" t="n"/>
      <c r="C350" s="13" t="n"/>
      <c r="D350" s="13" t="n"/>
      <c r="E350" s="69" t="n"/>
      <c r="F350" s="17" t="n"/>
      <c r="G350" s="13" t="n"/>
      <c r="H350" s="13" t="n"/>
      <c r="I350" s="16">
        <f>IF($A350="","",1)</f>
        <v/>
      </c>
    </row>
    <row r="351">
      <c r="A351" s="13" t="n"/>
      <c r="B351" s="13" t="n"/>
      <c r="C351" s="13" t="n"/>
      <c r="D351" s="13" t="n"/>
      <c r="E351" s="69" t="n"/>
      <c r="F351" s="17" t="n"/>
      <c r="G351" s="13" t="n"/>
      <c r="H351" s="13" t="n"/>
      <c r="I351" s="16">
        <f>IF($A351="","",1)</f>
        <v/>
      </c>
    </row>
    <row r="352">
      <c r="A352" s="13" t="n"/>
      <c r="B352" s="13" t="n"/>
      <c r="C352" s="13" t="n"/>
      <c r="D352" s="13" t="n"/>
      <c r="E352" s="69" t="n"/>
      <c r="F352" s="17" t="n"/>
      <c r="G352" s="13" t="n"/>
      <c r="H352" s="13" t="n"/>
      <c r="I352" s="16">
        <f>IF($A352="","",1)</f>
        <v/>
      </c>
    </row>
    <row r="353">
      <c r="A353" s="13" t="n"/>
      <c r="B353" s="13" t="n"/>
      <c r="C353" s="13" t="n"/>
      <c r="D353" s="13" t="n"/>
      <c r="E353" s="69" t="n"/>
      <c r="F353" s="17" t="n"/>
      <c r="G353" s="13" t="n"/>
      <c r="H353" s="13" t="n"/>
      <c r="I353" s="16">
        <f>IF($A353="","",1)</f>
        <v/>
      </c>
    </row>
    <row r="354">
      <c r="A354" s="13" t="n"/>
      <c r="B354" s="13" t="n"/>
      <c r="C354" s="13" t="n"/>
      <c r="D354" s="13" t="n"/>
      <c r="E354" s="69" t="n"/>
      <c r="F354" s="17" t="n"/>
      <c r="G354" s="13" t="n"/>
      <c r="H354" s="13" t="n"/>
      <c r="I354" s="16">
        <f>IF($A354="","",1)</f>
        <v/>
      </c>
    </row>
    <row r="355">
      <c r="A355" s="13" t="n"/>
      <c r="B355" s="13" t="n"/>
      <c r="C355" s="13" t="n"/>
      <c r="D355" s="13" t="n"/>
      <c r="E355" s="69" t="n"/>
      <c r="F355" s="17" t="n"/>
      <c r="G355" s="13" t="n"/>
      <c r="H355" s="13" t="n"/>
      <c r="I355" s="16">
        <f>IF($A355="","",1)</f>
        <v/>
      </c>
    </row>
    <row r="356">
      <c r="A356" s="13" t="n"/>
      <c r="B356" s="13" t="n"/>
      <c r="C356" s="13" t="n"/>
      <c r="D356" s="13" t="n"/>
      <c r="E356" s="69" t="n"/>
      <c r="F356" s="17" t="n"/>
      <c r="G356" s="13" t="n"/>
      <c r="H356" s="13" t="n"/>
      <c r="I356" s="16">
        <f>IF($A356="","",1)</f>
        <v/>
      </c>
    </row>
    <row r="357">
      <c r="A357" s="13" t="n"/>
      <c r="B357" s="13" t="n"/>
      <c r="C357" s="13" t="n"/>
      <c r="D357" s="13" t="n"/>
      <c r="E357" s="69" t="n"/>
      <c r="F357" s="17" t="n"/>
      <c r="G357" s="13" t="n"/>
      <c r="H357" s="13" t="n"/>
      <c r="I357" s="16">
        <f>IF($A357="","",1)</f>
        <v/>
      </c>
    </row>
    <row r="358">
      <c r="A358" s="13" t="n"/>
      <c r="B358" s="13" t="n"/>
      <c r="C358" s="13" t="n"/>
      <c r="D358" s="13" t="n"/>
      <c r="E358" s="69" t="n"/>
      <c r="F358" s="17" t="n"/>
      <c r="G358" s="13" t="n"/>
      <c r="H358" s="13" t="n"/>
      <c r="I358" s="16">
        <f>IF($A358="","",1)</f>
        <v/>
      </c>
    </row>
    <row r="359">
      <c r="A359" s="13" t="n"/>
      <c r="B359" s="13" t="n"/>
      <c r="C359" s="13" t="n"/>
      <c r="D359" s="13" t="n"/>
      <c r="E359" s="69" t="n"/>
      <c r="F359" s="17" t="n"/>
      <c r="G359" s="13" t="n"/>
      <c r="H359" s="13" t="n"/>
      <c r="I359" s="16">
        <f>IF($A359="","",1)</f>
        <v/>
      </c>
    </row>
    <row r="360">
      <c r="A360" s="13" t="n"/>
      <c r="B360" s="13" t="n"/>
      <c r="C360" s="13" t="n"/>
      <c r="D360" s="13" t="n"/>
      <c r="E360" s="69" t="n"/>
      <c r="F360" s="17" t="n"/>
      <c r="G360" s="13" t="n"/>
      <c r="H360" s="13" t="n"/>
      <c r="I360" s="16">
        <f>IF($A360="","",1)</f>
        <v/>
      </c>
    </row>
    <row r="361">
      <c r="A361" s="13" t="n"/>
      <c r="B361" s="13" t="n"/>
      <c r="C361" s="13" t="n"/>
      <c r="D361" s="13" t="n"/>
      <c r="E361" s="69" t="n"/>
      <c r="F361" s="17" t="n"/>
      <c r="G361" s="13" t="n"/>
      <c r="H361" s="13" t="n"/>
      <c r="I361" s="16">
        <f>IF($A361="","",1)</f>
        <v/>
      </c>
    </row>
    <row r="362">
      <c r="A362" s="13" t="n"/>
      <c r="B362" s="13" t="n"/>
      <c r="C362" s="13" t="n"/>
      <c r="D362" s="13" t="n"/>
      <c r="E362" s="69" t="n"/>
      <c r="F362" s="17" t="n"/>
      <c r="G362" s="13" t="n"/>
      <c r="H362" s="13" t="n"/>
      <c r="I362" s="16">
        <f>IF($A362="","",1)</f>
        <v/>
      </c>
    </row>
    <row r="363">
      <c r="A363" s="13" t="n"/>
      <c r="B363" s="13" t="n"/>
      <c r="C363" s="13" t="n"/>
      <c r="D363" s="13" t="n"/>
      <c r="E363" s="69" t="n"/>
      <c r="F363" s="17" t="n"/>
      <c r="G363" s="13" t="n"/>
      <c r="H363" s="13" t="n"/>
      <c r="I363" s="16">
        <f>IF($A363="","",1)</f>
        <v/>
      </c>
    </row>
    <row r="364">
      <c r="A364" s="13" t="n"/>
      <c r="B364" s="13" t="n"/>
      <c r="C364" s="13" t="n"/>
      <c r="D364" s="13" t="n"/>
      <c r="E364" s="69" t="n"/>
      <c r="F364" s="17" t="n"/>
      <c r="G364" s="13" t="n"/>
      <c r="H364" s="13" t="n"/>
      <c r="I364" s="16">
        <f>IF($A364="","",1)</f>
        <v/>
      </c>
    </row>
    <row r="365">
      <c r="A365" s="13" t="n"/>
      <c r="B365" s="13" t="n"/>
      <c r="C365" s="13" t="n"/>
      <c r="D365" s="13" t="n"/>
      <c r="E365" s="69" t="n"/>
      <c r="F365" s="17" t="n"/>
      <c r="G365" s="13" t="n"/>
      <c r="H365" s="13" t="n"/>
      <c r="I365" s="16">
        <f>IF($A365="","",1)</f>
        <v/>
      </c>
    </row>
    <row r="366">
      <c r="A366" s="13" t="n"/>
      <c r="B366" s="13" t="n"/>
      <c r="C366" s="13" t="n"/>
      <c r="D366" s="13" t="n"/>
      <c r="E366" s="69" t="n"/>
      <c r="F366" s="17" t="n"/>
      <c r="G366" s="13" t="n"/>
      <c r="H366" s="13" t="n"/>
      <c r="I366" s="16">
        <f>IF($A366="","",1)</f>
        <v/>
      </c>
    </row>
    <row r="367">
      <c r="A367" s="13" t="n"/>
      <c r="B367" s="13" t="n"/>
      <c r="C367" s="13" t="n"/>
      <c r="D367" s="13" t="n"/>
      <c r="E367" s="69" t="n"/>
      <c r="F367" s="17" t="n"/>
      <c r="G367" s="13" t="n"/>
      <c r="H367" s="13" t="n"/>
      <c r="I367" s="16">
        <f>IF($A367="","",1)</f>
        <v/>
      </c>
    </row>
    <row r="368">
      <c r="A368" s="13" t="n"/>
      <c r="B368" s="13" t="n"/>
      <c r="C368" s="13" t="n"/>
      <c r="D368" s="13" t="n"/>
      <c r="E368" s="69" t="n"/>
      <c r="F368" s="17" t="n"/>
      <c r="G368" s="13" t="n"/>
      <c r="H368" s="13" t="n"/>
      <c r="I368" s="16">
        <f>IF($A368="","",1)</f>
        <v/>
      </c>
    </row>
    <row r="369">
      <c r="A369" s="13" t="n"/>
      <c r="B369" s="13" t="n"/>
      <c r="C369" s="13" t="n"/>
      <c r="D369" s="13" t="n"/>
      <c r="E369" s="69" t="n"/>
      <c r="F369" s="17" t="n"/>
      <c r="G369" s="13" t="n"/>
      <c r="H369" s="13" t="n"/>
      <c r="I369" s="16">
        <f>IF($A369="","",1)</f>
        <v/>
      </c>
    </row>
    <row r="370">
      <c r="A370" s="13" t="n"/>
      <c r="B370" s="13" t="n"/>
      <c r="C370" s="13" t="n"/>
      <c r="D370" s="13" t="n"/>
      <c r="E370" s="69" t="n"/>
      <c r="F370" s="17" t="n"/>
      <c r="G370" s="13" t="n"/>
      <c r="H370" s="13" t="n"/>
      <c r="I370" s="16">
        <f>IF($A370="","",1)</f>
        <v/>
      </c>
    </row>
    <row r="371">
      <c r="A371" s="13" t="n"/>
      <c r="B371" s="13" t="n"/>
      <c r="C371" s="13" t="n"/>
      <c r="D371" s="13" t="n"/>
      <c r="E371" s="69" t="n"/>
      <c r="F371" s="17" t="n"/>
      <c r="G371" s="13" t="n"/>
      <c r="H371" s="13" t="n"/>
      <c r="I371" s="16">
        <f>IF($A371="","",1)</f>
        <v/>
      </c>
    </row>
    <row r="372">
      <c r="A372" s="13" t="n"/>
      <c r="B372" s="13" t="n"/>
      <c r="C372" s="13" t="n"/>
      <c r="D372" s="13" t="n"/>
      <c r="E372" s="69" t="n"/>
      <c r="F372" s="17" t="n"/>
      <c r="G372" s="13" t="n"/>
      <c r="H372" s="13" t="n"/>
      <c r="I372" s="16">
        <f>IF($A372="","",1)</f>
        <v/>
      </c>
    </row>
    <row r="373">
      <c r="A373" s="13" t="n"/>
      <c r="B373" s="13" t="n"/>
      <c r="C373" s="13" t="n"/>
      <c r="D373" s="13" t="n"/>
      <c r="E373" s="69" t="n"/>
      <c r="F373" s="17" t="n"/>
      <c r="G373" s="13" t="n"/>
      <c r="H373" s="13" t="n"/>
      <c r="I373" s="16">
        <f>IF($A373="","",1)</f>
        <v/>
      </c>
    </row>
    <row r="374">
      <c r="A374" s="13" t="n"/>
      <c r="B374" s="13" t="n"/>
      <c r="C374" s="13" t="n"/>
      <c r="D374" s="13" t="n"/>
      <c r="E374" s="69" t="n"/>
      <c r="F374" s="17" t="n"/>
      <c r="G374" s="13" t="n"/>
      <c r="H374" s="13" t="n"/>
      <c r="I374" s="16">
        <f>IF($A374="","",1)</f>
        <v/>
      </c>
    </row>
    <row r="375">
      <c r="A375" s="13" t="n"/>
      <c r="B375" s="13" t="n"/>
      <c r="C375" s="13" t="n"/>
      <c r="D375" s="13" t="n"/>
      <c r="E375" s="69" t="n"/>
      <c r="F375" s="17" t="n"/>
      <c r="G375" s="13" t="n"/>
      <c r="H375" s="13" t="n"/>
      <c r="I375" s="16">
        <f>IF($A375="","",1)</f>
        <v/>
      </c>
    </row>
    <row r="376">
      <c r="A376" s="13" t="n"/>
      <c r="B376" s="13" t="n"/>
      <c r="C376" s="13" t="n"/>
      <c r="D376" s="13" t="n"/>
      <c r="E376" s="69" t="n"/>
      <c r="F376" s="17" t="n"/>
      <c r="G376" s="13" t="n"/>
      <c r="H376" s="13" t="n"/>
      <c r="I376" s="16">
        <f>IF($A376="","",1)</f>
        <v/>
      </c>
    </row>
    <row r="377">
      <c r="A377" s="13" t="n"/>
      <c r="B377" s="13" t="n"/>
      <c r="C377" s="13" t="n"/>
      <c r="D377" s="13" t="n"/>
      <c r="E377" s="69" t="n"/>
      <c r="F377" s="17" t="n"/>
      <c r="G377" s="13" t="n"/>
      <c r="H377" s="13" t="n"/>
      <c r="I377" s="16">
        <f>IF($A377="","",1)</f>
        <v/>
      </c>
    </row>
    <row r="378">
      <c r="A378" s="13" t="n"/>
      <c r="B378" s="13" t="n"/>
      <c r="C378" s="13" t="n"/>
      <c r="D378" s="13" t="n"/>
      <c r="E378" s="69" t="n"/>
      <c r="F378" s="17" t="n"/>
      <c r="G378" s="13" t="n"/>
      <c r="H378" s="13" t="n"/>
      <c r="I378" s="16">
        <f>IF($A378="","",1)</f>
        <v/>
      </c>
    </row>
    <row r="379">
      <c r="A379" s="13" t="n"/>
      <c r="B379" s="13" t="n"/>
      <c r="C379" s="13" t="n"/>
      <c r="D379" s="13" t="n"/>
      <c r="E379" s="69" t="n"/>
      <c r="F379" s="17" t="n"/>
      <c r="G379" s="13" t="n"/>
      <c r="H379" s="13" t="n"/>
      <c r="I379" s="16">
        <f>IF($A379="","",1)</f>
        <v/>
      </c>
    </row>
    <row r="380">
      <c r="A380" s="13" t="n"/>
      <c r="B380" s="13" t="n"/>
      <c r="C380" s="13" t="n"/>
      <c r="D380" s="13" t="n"/>
      <c r="E380" s="69" t="n"/>
      <c r="F380" s="17" t="n"/>
      <c r="G380" s="13" t="n"/>
      <c r="H380" s="13" t="n"/>
      <c r="I380" s="16">
        <f>IF($A380="","",1)</f>
        <v/>
      </c>
    </row>
    <row r="381">
      <c r="A381" s="13" t="n"/>
      <c r="B381" s="13" t="n"/>
      <c r="C381" s="13" t="n"/>
      <c r="D381" s="13" t="n"/>
      <c r="E381" s="69" t="n"/>
      <c r="F381" s="17" t="n"/>
      <c r="G381" s="13" t="n"/>
      <c r="H381" s="13" t="n"/>
      <c r="I381" s="16">
        <f>IF($A381="","",1)</f>
        <v/>
      </c>
    </row>
    <row r="382">
      <c r="A382" s="13" t="n"/>
      <c r="B382" s="13" t="n"/>
      <c r="C382" s="13" t="n"/>
      <c r="D382" s="13" t="n"/>
      <c r="E382" s="69" t="n"/>
      <c r="F382" s="17" t="n"/>
      <c r="G382" s="13" t="n"/>
      <c r="H382" s="13" t="n"/>
      <c r="I382" s="16">
        <f>IF($A382="","",1)</f>
        <v/>
      </c>
    </row>
    <row r="383">
      <c r="A383" s="13" t="n"/>
      <c r="B383" s="13" t="n"/>
      <c r="C383" s="13" t="n"/>
      <c r="D383" s="13" t="n"/>
      <c r="E383" s="69" t="n"/>
      <c r="F383" s="17" t="n"/>
      <c r="G383" s="13" t="n"/>
      <c r="H383" s="13" t="n"/>
      <c r="I383" s="16">
        <f>IF($A383="","",1)</f>
        <v/>
      </c>
    </row>
    <row r="384">
      <c r="A384" s="13" t="n"/>
      <c r="B384" s="13" t="n"/>
      <c r="C384" s="13" t="n"/>
      <c r="D384" s="13" t="n"/>
      <c r="E384" s="69" t="n"/>
      <c r="F384" s="17" t="n"/>
      <c r="G384" s="13" t="n"/>
      <c r="H384" s="13" t="n"/>
      <c r="I384" s="16">
        <f>IF($A384="","",1)</f>
        <v/>
      </c>
    </row>
    <row r="385">
      <c r="A385" s="13" t="n"/>
      <c r="B385" s="13" t="n"/>
      <c r="C385" s="13" t="n"/>
      <c r="D385" s="13" t="n"/>
      <c r="E385" s="69" t="n"/>
      <c r="F385" s="17" t="n"/>
      <c r="G385" s="13" t="n"/>
      <c r="H385" s="13" t="n"/>
      <c r="I385" s="16">
        <f>IF($A385="","",1)</f>
        <v/>
      </c>
    </row>
    <row r="386">
      <c r="A386" s="13" t="n"/>
      <c r="B386" s="13" t="n"/>
      <c r="C386" s="13" t="n"/>
      <c r="D386" s="13" t="n"/>
      <c r="E386" s="69" t="n"/>
      <c r="F386" s="17" t="n"/>
      <c r="G386" s="13" t="n"/>
      <c r="H386" s="13" t="n"/>
      <c r="I386" s="16">
        <f>IF($A386="","",1)</f>
        <v/>
      </c>
    </row>
    <row r="387">
      <c r="A387" s="13" t="n"/>
      <c r="B387" s="13" t="n"/>
      <c r="C387" s="13" t="n"/>
      <c r="D387" s="13" t="n"/>
      <c r="E387" s="69" t="n"/>
      <c r="F387" s="17" t="n"/>
      <c r="G387" s="13" t="n"/>
      <c r="H387" s="13" t="n"/>
      <c r="I387" s="16">
        <f>IF($A387="","",1)</f>
        <v/>
      </c>
    </row>
    <row r="388">
      <c r="A388" s="13" t="n"/>
      <c r="B388" s="13" t="n"/>
      <c r="C388" s="13" t="n"/>
      <c r="D388" s="13" t="n"/>
      <c r="E388" s="69" t="n"/>
      <c r="F388" s="17" t="n"/>
      <c r="G388" s="13" t="n"/>
      <c r="H388" s="13" t="n"/>
      <c r="I388" s="16">
        <f>IF($A388="","",1)</f>
        <v/>
      </c>
    </row>
    <row r="389">
      <c r="A389" s="13" t="n"/>
      <c r="B389" s="13" t="n"/>
      <c r="C389" s="13" t="n"/>
      <c r="D389" s="13" t="n"/>
      <c r="E389" s="69" t="n"/>
      <c r="F389" s="17" t="n"/>
      <c r="G389" s="13" t="n"/>
      <c r="H389" s="13" t="n"/>
      <c r="I389" s="16">
        <f>IF($A389="","",1)</f>
        <v/>
      </c>
    </row>
    <row r="390">
      <c r="A390" s="13" t="n"/>
      <c r="B390" s="13" t="n"/>
      <c r="C390" s="13" t="n"/>
      <c r="D390" s="13" t="n"/>
      <c r="E390" s="69" t="n"/>
      <c r="F390" s="17" t="n"/>
      <c r="G390" s="13" t="n"/>
      <c r="H390" s="13" t="n"/>
      <c r="I390" s="16">
        <f>IF($A390="","",1)</f>
        <v/>
      </c>
    </row>
    <row r="391">
      <c r="A391" s="13" t="n"/>
      <c r="B391" s="13" t="n"/>
      <c r="C391" s="13" t="n"/>
      <c r="D391" s="13" t="n"/>
      <c r="E391" s="69" t="n"/>
      <c r="F391" s="17" t="n"/>
      <c r="G391" s="13" t="n"/>
      <c r="H391" s="13" t="n"/>
      <c r="I391" s="16">
        <f>IF($A391="","",1)</f>
        <v/>
      </c>
    </row>
    <row r="392">
      <c r="A392" s="13" t="n"/>
      <c r="B392" s="13" t="n"/>
      <c r="C392" s="13" t="n"/>
      <c r="D392" s="13" t="n"/>
      <c r="E392" s="69" t="n"/>
      <c r="F392" s="17" t="n"/>
      <c r="G392" s="13" t="n"/>
      <c r="H392" s="13" t="n"/>
      <c r="I392" s="16">
        <f>IF($A392="","",1)</f>
        <v/>
      </c>
    </row>
    <row r="393">
      <c r="A393" s="13" t="n"/>
      <c r="B393" s="13" t="n"/>
      <c r="C393" s="13" t="n"/>
      <c r="D393" s="13" t="n"/>
      <c r="E393" s="69" t="n"/>
      <c r="F393" s="17" t="n"/>
      <c r="G393" s="13" t="n"/>
      <c r="H393" s="13" t="n"/>
      <c r="I393" s="16">
        <f>IF($A393="","",1)</f>
        <v/>
      </c>
    </row>
    <row r="394">
      <c r="A394" s="13" t="n"/>
      <c r="B394" s="13" t="n"/>
      <c r="C394" s="13" t="n"/>
      <c r="D394" s="13" t="n"/>
      <c r="E394" s="69" t="n"/>
      <c r="F394" s="17" t="n"/>
      <c r="G394" s="13" t="n"/>
      <c r="H394" s="13" t="n"/>
      <c r="I394" s="16">
        <f>IF($A394="","",1)</f>
        <v/>
      </c>
    </row>
    <row r="395">
      <c r="A395" s="13" t="n"/>
      <c r="B395" s="13" t="n"/>
      <c r="C395" s="13" t="n"/>
      <c r="D395" s="13" t="n"/>
      <c r="E395" s="69" t="n"/>
      <c r="F395" s="17" t="n"/>
      <c r="G395" s="13" t="n"/>
      <c r="H395" s="13" t="n"/>
      <c r="I395" s="16">
        <f>IF($A395="","",1)</f>
        <v/>
      </c>
    </row>
    <row r="396">
      <c r="A396" s="13" t="n"/>
      <c r="B396" s="13" t="n"/>
      <c r="C396" s="13" t="n"/>
      <c r="D396" s="13" t="n"/>
      <c r="E396" s="69" t="n"/>
      <c r="F396" s="17" t="n"/>
      <c r="G396" s="13" t="n"/>
      <c r="H396" s="13" t="n"/>
      <c r="I396" s="16">
        <f>IF($A396="","",1)</f>
        <v/>
      </c>
    </row>
    <row r="397">
      <c r="A397" s="13" t="n"/>
      <c r="B397" s="13" t="n"/>
      <c r="C397" s="13" t="n"/>
      <c r="D397" s="13" t="n"/>
      <c r="E397" s="69" t="n"/>
      <c r="F397" s="17" t="n"/>
      <c r="G397" s="13" t="n"/>
      <c r="H397" s="13" t="n"/>
      <c r="I397" s="16">
        <f>IF($A397="","",1)</f>
        <v/>
      </c>
    </row>
    <row r="398">
      <c r="A398" s="13" t="n"/>
      <c r="B398" s="13" t="n"/>
      <c r="C398" s="13" t="n"/>
      <c r="D398" s="13" t="n"/>
      <c r="E398" s="69" t="n"/>
      <c r="F398" s="17" t="n"/>
      <c r="G398" s="13" t="n"/>
      <c r="H398" s="13" t="n"/>
      <c r="I398" s="16">
        <f>IF($A398="","",1)</f>
        <v/>
      </c>
    </row>
    <row r="399">
      <c r="A399" s="13" t="n"/>
      <c r="B399" s="13" t="n"/>
      <c r="C399" s="13" t="n"/>
      <c r="D399" s="13" t="n"/>
      <c r="E399" s="69" t="n"/>
      <c r="F399" s="17" t="n"/>
      <c r="G399" s="13" t="n"/>
      <c r="H399" s="13" t="n"/>
      <c r="I399" s="16">
        <f>IF($A399="","",1)</f>
        <v/>
      </c>
    </row>
    <row r="400">
      <c r="A400" s="13" t="n"/>
      <c r="B400" s="13" t="n"/>
      <c r="C400" s="13" t="n"/>
      <c r="D400" s="13" t="n"/>
      <c r="E400" s="69" t="n"/>
      <c r="F400" s="17" t="n"/>
      <c r="G400" s="13" t="n"/>
      <c r="H400" s="13" t="n"/>
      <c r="I400" s="16">
        <f>IF($A400="","",1)</f>
        <v/>
      </c>
    </row>
    <row r="401">
      <c r="A401" s="13" t="n"/>
      <c r="B401" s="13" t="n"/>
      <c r="C401" s="13" t="n"/>
      <c r="D401" s="13" t="n"/>
      <c r="E401" s="69" t="n"/>
      <c r="F401" s="17" t="n"/>
      <c r="G401" s="13" t="n"/>
      <c r="H401" s="13" t="n"/>
      <c r="I401" s="16">
        <f>IF($A401="","",1)</f>
        <v/>
      </c>
    </row>
    <row r="402">
      <c r="A402" s="13" t="n"/>
      <c r="B402" s="13" t="n"/>
      <c r="C402" s="13" t="n"/>
      <c r="D402" s="13" t="n"/>
      <c r="E402" s="69" t="n"/>
      <c r="F402" s="17" t="n"/>
      <c r="G402" s="13" t="n"/>
      <c r="H402" s="13" t="n"/>
      <c r="I402" s="16">
        <f>IF($A402="","",1)</f>
        <v/>
      </c>
    </row>
    <row r="403">
      <c r="A403" s="13" t="n"/>
      <c r="B403" s="13" t="n"/>
      <c r="C403" s="13" t="n"/>
      <c r="D403" s="13" t="n"/>
      <c r="E403" s="69" t="n"/>
      <c r="F403" s="17" t="n"/>
      <c r="G403" s="13" t="n"/>
      <c r="H403" s="13" t="n"/>
      <c r="I403" s="16">
        <f>IF($A403="","",1)</f>
        <v/>
      </c>
    </row>
    <row r="404">
      <c r="A404" s="13" t="n"/>
      <c r="B404" s="13" t="n"/>
      <c r="C404" s="13" t="n"/>
      <c r="D404" s="13" t="n"/>
      <c r="E404" s="69" t="n"/>
      <c r="F404" s="17" t="n"/>
      <c r="G404" s="13" t="n"/>
      <c r="H404" s="13" t="n"/>
      <c r="I404" s="16">
        <f>IF($A404="","",1)</f>
        <v/>
      </c>
    </row>
    <row r="405">
      <c r="A405" s="13" t="n"/>
      <c r="B405" s="13" t="n"/>
      <c r="C405" s="13" t="n"/>
      <c r="D405" s="13" t="n"/>
      <c r="E405" s="69" t="n"/>
      <c r="F405" s="17" t="n"/>
      <c r="G405" s="13" t="n"/>
      <c r="H405" s="13" t="n"/>
      <c r="I405" s="16">
        <f>IF($A405="","",1)</f>
        <v/>
      </c>
    </row>
    <row r="406">
      <c r="A406" s="13" t="n"/>
      <c r="B406" s="13" t="n"/>
      <c r="C406" s="13" t="n"/>
      <c r="D406" s="13" t="n"/>
      <c r="E406" s="69" t="n"/>
      <c r="F406" s="17" t="n"/>
      <c r="G406" s="13" t="n"/>
      <c r="H406" s="13" t="n"/>
      <c r="I406" s="16">
        <f>IF($A406="","",1)</f>
        <v/>
      </c>
    </row>
    <row r="407">
      <c r="A407" s="13" t="n"/>
      <c r="B407" s="13" t="n"/>
      <c r="C407" s="13" t="n"/>
      <c r="D407" s="13" t="n"/>
      <c r="E407" s="69" t="n"/>
      <c r="F407" s="17" t="n"/>
      <c r="G407" s="13" t="n"/>
      <c r="H407" s="13" t="n"/>
      <c r="I407" s="16">
        <f>IF($A407="","",1)</f>
        <v/>
      </c>
    </row>
    <row r="408">
      <c r="A408" s="13" t="n"/>
      <c r="B408" s="13" t="n"/>
      <c r="C408" s="13" t="n"/>
      <c r="D408" s="13" t="n"/>
      <c r="E408" s="69" t="n"/>
      <c r="F408" s="17" t="n"/>
      <c r="G408" s="13" t="n"/>
      <c r="H408" s="13" t="n"/>
      <c r="I408" s="16">
        <f>IF($A408="","",1)</f>
        <v/>
      </c>
    </row>
    <row r="409">
      <c r="A409" s="13" t="n"/>
      <c r="B409" s="13" t="n"/>
      <c r="C409" s="13" t="n"/>
      <c r="D409" s="13" t="n"/>
      <c r="E409" s="69" t="n"/>
      <c r="F409" s="17" t="n"/>
      <c r="G409" s="13" t="n"/>
      <c r="H409" s="13" t="n"/>
      <c r="I409" s="16">
        <f>IF($A409="","",1)</f>
        <v/>
      </c>
    </row>
    <row r="410">
      <c r="A410" s="13" t="n"/>
      <c r="B410" s="13" t="n"/>
      <c r="C410" s="13" t="n"/>
      <c r="D410" s="13" t="n"/>
      <c r="E410" s="69" t="n"/>
      <c r="F410" s="17" t="n"/>
      <c r="G410" s="13" t="n"/>
      <c r="H410" s="13" t="n"/>
      <c r="I410" s="16">
        <f>IF($A410="","",1)</f>
        <v/>
      </c>
    </row>
    <row r="411">
      <c r="A411" s="13" t="n"/>
      <c r="B411" s="13" t="n"/>
      <c r="C411" s="13" t="n"/>
      <c r="D411" s="13" t="n"/>
      <c r="E411" s="69" t="n"/>
      <c r="F411" s="17" t="n"/>
      <c r="G411" s="13" t="n"/>
      <c r="H411" s="13" t="n"/>
      <c r="I411" s="16">
        <f>IF($A411="","",1)</f>
        <v/>
      </c>
    </row>
    <row r="412">
      <c r="A412" s="13" t="n"/>
      <c r="B412" s="13" t="n"/>
      <c r="C412" s="13" t="n"/>
      <c r="D412" s="13" t="n"/>
      <c r="E412" s="69" t="n"/>
      <c r="F412" s="17" t="n"/>
      <c r="G412" s="13" t="n"/>
      <c r="H412" s="13" t="n"/>
      <c r="I412" s="16">
        <f>IF($A412="","",1)</f>
        <v/>
      </c>
    </row>
    <row r="413">
      <c r="A413" s="13" t="n"/>
      <c r="B413" s="13" t="n"/>
      <c r="C413" s="13" t="n"/>
      <c r="D413" s="13" t="n"/>
      <c r="E413" s="69" t="n"/>
      <c r="F413" s="17" t="n"/>
      <c r="G413" s="13" t="n"/>
      <c r="H413" s="13" t="n"/>
      <c r="I413" s="16">
        <f>IF($A413="","",1)</f>
        <v/>
      </c>
    </row>
    <row r="414">
      <c r="A414" s="13" t="n"/>
      <c r="B414" s="13" t="n"/>
      <c r="C414" s="13" t="n"/>
      <c r="D414" s="13" t="n"/>
      <c r="E414" s="69" t="n"/>
      <c r="F414" s="17" t="n"/>
      <c r="G414" s="13" t="n"/>
      <c r="H414" s="13" t="n"/>
      <c r="I414" s="16">
        <f>IF($A414="","",1)</f>
        <v/>
      </c>
    </row>
    <row r="415">
      <c r="A415" s="13" t="n"/>
      <c r="B415" s="13" t="n"/>
      <c r="C415" s="13" t="n"/>
      <c r="D415" s="13" t="n"/>
      <c r="E415" s="69" t="n"/>
      <c r="F415" s="17" t="n"/>
      <c r="G415" s="13" t="n"/>
      <c r="H415" s="13" t="n"/>
      <c r="I415" s="16">
        <f>IF($A415="","",1)</f>
        <v/>
      </c>
    </row>
    <row r="416">
      <c r="A416" s="13" t="n"/>
      <c r="B416" s="13" t="n"/>
      <c r="C416" s="13" t="n"/>
      <c r="D416" s="13" t="n"/>
      <c r="E416" s="69" t="n"/>
      <c r="F416" s="17" t="n"/>
      <c r="G416" s="13" t="n"/>
      <c r="H416" s="13" t="n"/>
      <c r="I416" s="16">
        <f>IF($A416="","",1)</f>
        <v/>
      </c>
    </row>
    <row r="417">
      <c r="A417" s="13" t="n"/>
      <c r="B417" s="13" t="n"/>
      <c r="C417" s="13" t="n"/>
      <c r="D417" s="13" t="n"/>
      <c r="E417" s="69" t="n"/>
      <c r="F417" s="17" t="n"/>
      <c r="G417" s="13" t="n"/>
      <c r="H417" s="13" t="n"/>
      <c r="I417" s="16">
        <f>IF($A417="","",1)</f>
        <v/>
      </c>
    </row>
    <row r="418">
      <c r="A418" s="13" t="n"/>
      <c r="B418" s="13" t="n"/>
      <c r="C418" s="13" t="n"/>
      <c r="D418" s="13" t="n"/>
      <c r="E418" s="69" t="n"/>
      <c r="F418" s="17" t="n"/>
      <c r="G418" s="13" t="n"/>
      <c r="H418" s="13" t="n"/>
      <c r="I418" s="16">
        <f>IF($A418="","",1)</f>
        <v/>
      </c>
    </row>
    <row r="419">
      <c r="A419" s="13" t="n"/>
      <c r="B419" s="13" t="n"/>
      <c r="C419" s="13" t="n"/>
      <c r="D419" s="13" t="n"/>
      <c r="E419" s="69" t="n"/>
      <c r="F419" s="17" t="n"/>
      <c r="G419" s="13" t="n"/>
      <c r="H419" s="13" t="n"/>
      <c r="I419" s="16">
        <f>IF($A419="","",1)</f>
        <v/>
      </c>
    </row>
    <row r="420">
      <c r="A420" s="13" t="n"/>
      <c r="B420" s="13" t="n"/>
      <c r="C420" s="13" t="n"/>
      <c r="D420" s="13" t="n"/>
      <c r="E420" s="69" t="n"/>
      <c r="F420" s="17" t="n"/>
      <c r="G420" s="13" t="n"/>
      <c r="H420" s="13" t="n"/>
      <c r="I420" s="16">
        <f>IF($A420="","",1)</f>
        <v/>
      </c>
    </row>
    <row r="421">
      <c r="A421" s="13" t="n"/>
      <c r="B421" s="13" t="n"/>
      <c r="C421" s="13" t="n"/>
      <c r="D421" s="13" t="n"/>
      <c r="E421" s="69" t="n"/>
      <c r="F421" s="17" t="n"/>
      <c r="G421" s="13" t="n"/>
      <c r="H421" s="13" t="n"/>
      <c r="I421" s="16">
        <f>IF($A421="","",1)</f>
        <v/>
      </c>
    </row>
    <row r="422">
      <c r="A422" s="13" t="n"/>
      <c r="B422" s="13" t="n"/>
      <c r="C422" s="13" t="n"/>
      <c r="D422" s="13" t="n"/>
      <c r="E422" s="69" t="n"/>
      <c r="F422" s="17" t="n"/>
      <c r="G422" s="13" t="n"/>
      <c r="H422" s="13" t="n"/>
      <c r="I422" s="16">
        <f>IF($A422="","",1)</f>
        <v/>
      </c>
    </row>
    <row r="423">
      <c r="A423" s="13" t="n"/>
      <c r="B423" s="13" t="n"/>
      <c r="C423" s="13" t="n"/>
      <c r="D423" s="13" t="n"/>
      <c r="E423" s="69" t="n"/>
      <c r="F423" s="17" t="n"/>
      <c r="G423" s="13" t="n"/>
      <c r="H423" s="13" t="n"/>
      <c r="I423" s="16">
        <f>IF($A423="","",1)</f>
        <v/>
      </c>
    </row>
    <row r="424">
      <c r="A424" s="13" t="n"/>
      <c r="B424" s="13" t="n"/>
      <c r="C424" s="13" t="n"/>
      <c r="D424" s="13" t="n"/>
      <c r="E424" s="69" t="n"/>
      <c r="F424" s="17" t="n"/>
      <c r="G424" s="13" t="n"/>
      <c r="H424" s="13" t="n"/>
      <c r="I424" s="16">
        <f>IF($A424="","",1)</f>
        <v/>
      </c>
    </row>
    <row r="425">
      <c r="A425" s="13" t="n"/>
      <c r="B425" s="13" t="n"/>
      <c r="C425" s="13" t="n"/>
      <c r="D425" s="13" t="n"/>
      <c r="E425" s="69" t="n"/>
      <c r="F425" s="17" t="n"/>
      <c r="G425" s="13" t="n"/>
      <c r="H425" s="13" t="n"/>
      <c r="I425" s="16">
        <f>IF($A425="","",1)</f>
        <v/>
      </c>
    </row>
    <row r="426">
      <c r="A426" s="13" t="n"/>
      <c r="B426" s="13" t="n"/>
      <c r="C426" s="13" t="n"/>
      <c r="D426" s="13" t="n"/>
      <c r="E426" s="69" t="n"/>
      <c r="F426" s="17" t="n"/>
      <c r="G426" s="13" t="n"/>
      <c r="H426" s="13" t="n"/>
      <c r="I426" s="16">
        <f>IF($A426="","",1)</f>
        <v/>
      </c>
    </row>
    <row r="427">
      <c r="A427" s="13" t="n"/>
      <c r="B427" s="13" t="n"/>
      <c r="C427" s="13" t="n"/>
      <c r="D427" s="13" t="n"/>
      <c r="E427" s="69" t="n"/>
      <c r="F427" s="17" t="n"/>
      <c r="G427" s="13" t="n"/>
      <c r="H427" s="13" t="n"/>
      <c r="I427" s="16">
        <f>IF($A427="","",1)</f>
        <v/>
      </c>
    </row>
    <row r="428">
      <c r="A428" s="13" t="n"/>
      <c r="B428" s="13" t="n"/>
      <c r="C428" s="13" t="n"/>
      <c r="D428" s="13" t="n"/>
      <c r="E428" s="69" t="n"/>
      <c r="F428" s="17" t="n"/>
      <c r="G428" s="13" t="n"/>
      <c r="H428" s="13" t="n"/>
      <c r="I428" s="16">
        <f>IF($A428="","",1)</f>
        <v/>
      </c>
    </row>
    <row r="429">
      <c r="A429" s="13" t="n"/>
      <c r="B429" s="13" t="n"/>
      <c r="C429" s="13" t="n"/>
      <c r="D429" s="13" t="n"/>
      <c r="E429" s="69" t="n"/>
      <c r="F429" s="17" t="n"/>
      <c r="G429" s="13" t="n"/>
      <c r="H429" s="13" t="n"/>
      <c r="I429" s="16">
        <f>IF($A429="","",1)</f>
        <v/>
      </c>
    </row>
    <row r="430">
      <c r="A430" s="13" t="n"/>
      <c r="B430" s="13" t="n"/>
      <c r="C430" s="13" t="n"/>
      <c r="D430" s="13" t="n"/>
      <c r="E430" s="69" t="n"/>
      <c r="F430" s="17" t="n"/>
      <c r="G430" s="13" t="n"/>
      <c r="H430" s="13" t="n"/>
      <c r="I430" s="16">
        <f>IF($A430="","",1)</f>
        <v/>
      </c>
    </row>
    <row r="431">
      <c r="A431" s="13" t="n"/>
      <c r="B431" s="13" t="n"/>
      <c r="C431" s="13" t="n"/>
      <c r="D431" s="13" t="n"/>
      <c r="E431" s="69" t="n"/>
      <c r="F431" s="17" t="n"/>
      <c r="G431" s="13" t="n"/>
      <c r="H431" s="13" t="n"/>
      <c r="I431" s="16">
        <f>IF($A431="","",1)</f>
        <v/>
      </c>
    </row>
    <row r="432">
      <c r="A432" s="13" t="n"/>
      <c r="B432" s="13" t="n"/>
      <c r="C432" s="13" t="n"/>
      <c r="D432" s="13" t="n"/>
      <c r="E432" s="69" t="n"/>
      <c r="F432" s="17" t="n"/>
      <c r="G432" s="13" t="n"/>
      <c r="H432" s="13" t="n"/>
      <c r="I432" s="16">
        <f>IF($A432="","",1)</f>
        <v/>
      </c>
    </row>
    <row r="433">
      <c r="A433" s="13" t="n"/>
      <c r="B433" s="13" t="n"/>
      <c r="C433" s="13" t="n"/>
      <c r="D433" s="13" t="n"/>
      <c r="E433" s="69" t="n"/>
      <c r="F433" s="17" t="n"/>
      <c r="G433" s="13" t="n"/>
      <c r="H433" s="13" t="n"/>
      <c r="I433" s="16">
        <f>IF($A433="","",1)</f>
        <v/>
      </c>
    </row>
    <row r="434">
      <c r="A434" s="13" t="n"/>
      <c r="B434" s="13" t="n"/>
      <c r="C434" s="13" t="n"/>
      <c r="D434" s="13" t="n"/>
      <c r="E434" s="69" t="n"/>
      <c r="F434" s="17" t="n"/>
      <c r="G434" s="13" t="n"/>
      <c r="H434" s="13" t="n"/>
      <c r="I434" s="16">
        <f>IF($A434="","",1)</f>
        <v/>
      </c>
    </row>
    <row r="435">
      <c r="A435" s="13" t="n"/>
      <c r="B435" s="13" t="n"/>
      <c r="C435" s="13" t="n"/>
      <c r="D435" s="13" t="n"/>
      <c r="E435" s="69" t="n"/>
      <c r="F435" s="17" t="n"/>
      <c r="G435" s="13" t="n"/>
      <c r="H435" s="13" t="n"/>
      <c r="I435" s="16">
        <f>IF($A435="","",1)</f>
        <v/>
      </c>
    </row>
    <row r="436">
      <c r="A436" s="13" t="n"/>
      <c r="B436" s="13" t="n"/>
      <c r="C436" s="13" t="n"/>
      <c r="D436" s="13" t="n"/>
      <c r="E436" s="69" t="n"/>
      <c r="F436" s="17" t="n"/>
      <c r="G436" s="13" t="n"/>
      <c r="H436" s="13" t="n"/>
      <c r="I436" s="16">
        <f>IF($A436="","",1)</f>
        <v/>
      </c>
    </row>
    <row r="437">
      <c r="A437" s="13" t="n"/>
      <c r="B437" s="13" t="n"/>
      <c r="C437" s="13" t="n"/>
      <c r="D437" s="13" t="n"/>
      <c r="E437" s="69" t="n"/>
      <c r="F437" s="17" t="n"/>
      <c r="G437" s="13" t="n"/>
      <c r="H437" s="13" t="n"/>
      <c r="I437" s="16">
        <f>IF($A437="","",1)</f>
        <v/>
      </c>
    </row>
    <row r="438">
      <c r="A438" s="13" t="n"/>
      <c r="B438" s="13" t="n"/>
      <c r="C438" s="13" t="n"/>
      <c r="D438" s="13" t="n"/>
      <c r="E438" s="69" t="n"/>
      <c r="F438" s="17" t="n"/>
      <c r="G438" s="13" t="n"/>
      <c r="H438" s="13" t="n"/>
      <c r="I438" s="16">
        <f>IF($A438="","",1)</f>
        <v/>
      </c>
    </row>
    <row r="439">
      <c r="A439" s="13" t="n"/>
      <c r="B439" s="13" t="n"/>
      <c r="C439" s="13" t="n"/>
      <c r="D439" s="13" t="n"/>
      <c r="E439" s="69" t="n"/>
      <c r="F439" s="17" t="n"/>
      <c r="G439" s="13" t="n"/>
      <c r="H439" s="13" t="n"/>
      <c r="I439" s="16">
        <f>IF($A439="","",1)</f>
        <v/>
      </c>
    </row>
    <row r="440">
      <c r="A440" s="13" t="n"/>
      <c r="B440" s="13" t="n"/>
      <c r="C440" s="13" t="n"/>
      <c r="D440" s="13" t="n"/>
      <c r="E440" s="69" t="n"/>
      <c r="F440" s="17" t="n"/>
      <c r="G440" s="13" t="n"/>
      <c r="H440" s="13" t="n"/>
      <c r="I440" s="16">
        <f>IF($A440="","",1)</f>
        <v/>
      </c>
    </row>
    <row r="441">
      <c r="A441" s="13" t="n"/>
      <c r="B441" s="13" t="n"/>
      <c r="C441" s="13" t="n"/>
      <c r="D441" s="13" t="n"/>
      <c r="E441" s="69" t="n"/>
      <c r="F441" s="17" t="n"/>
      <c r="G441" s="13" t="n"/>
      <c r="H441" s="13" t="n"/>
      <c r="I441" s="16">
        <f>IF($A441="","",1)</f>
        <v/>
      </c>
    </row>
    <row r="442">
      <c r="A442" s="13" t="n"/>
      <c r="B442" s="13" t="n"/>
      <c r="C442" s="13" t="n"/>
      <c r="D442" s="13" t="n"/>
      <c r="E442" s="69" t="n"/>
      <c r="F442" s="17" t="n"/>
      <c r="G442" s="13" t="n"/>
      <c r="H442" s="13" t="n"/>
      <c r="I442" s="16">
        <f>IF($A442="","",1)</f>
        <v/>
      </c>
    </row>
    <row r="443">
      <c r="A443" s="13" t="n"/>
      <c r="B443" s="13" t="n"/>
      <c r="C443" s="13" t="n"/>
      <c r="D443" s="13" t="n"/>
      <c r="E443" s="69" t="n"/>
      <c r="F443" s="17" t="n"/>
      <c r="G443" s="13" t="n"/>
      <c r="H443" s="13" t="n"/>
      <c r="I443" s="16">
        <f>IF($A443="","",1)</f>
        <v/>
      </c>
    </row>
    <row r="444">
      <c r="A444" s="13" t="n"/>
      <c r="B444" s="13" t="n"/>
      <c r="C444" s="13" t="n"/>
      <c r="D444" s="13" t="n"/>
      <c r="E444" s="69" t="n"/>
      <c r="F444" s="17" t="n"/>
      <c r="G444" s="13" t="n"/>
      <c r="H444" s="13" t="n"/>
      <c r="I444" s="16">
        <f>IF($A444="","",1)</f>
        <v/>
      </c>
    </row>
    <row r="445">
      <c r="A445" s="13" t="n"/>
      <c r="B445" s="13" t="n"/>
      <c r="C445" s="13" t="n"/>
      <c r="D445" s="13" t="n"/>
      <c r="E445" s="69" t="n"/>
      <c r="F445" s="17" t="n"/>
      <c r="G445" s="13" t="n"/>
      <c r="H445" s="13" t="n"/>
      <c r="I445" s="16">
        <f>IF($A445="","",1)</f>
        <v/>
      </c>
    </row>
    <row r="446">
      <c r="A446" s="13" t="n"/>
      <c r="B446" s="13" t="n"/>
      <c r="C446" s="13" t="n"/>
      <c r="D446" s="13" t="n"/>
      <c r="E446" s="69" t="n"/>
      <c r="F446" s="17" t="n"/>
      <c r="G446" s="13" t="n"/>
      <c r="H446" s="13" t="n"/>
      <c r="I446" s="16">
        <f>IF($A446="","",1)</f>
        <v/>
      </c>
    </row>
    <row r="447">
      <c r="A447" s="13" t="n"/>
      <c r="B447" s="13" t="n"/>
      <c r="C447" s="13" t="n"/>
      <c r="D447" s="13" t="n"/>
      <c r="E447" s="69" t="n"/>
      <c r="F447" s="17" t="n"/>
      <c r="G447" s="13" t="n"/>
      <c r="H447" s="13" t="n"/>
      <c r="I447" s="16">
        <f>IF($A447="","",1)</f>
        <v/>
      </c>
    </row>
    <row r="448">
      <c r="A448" s="13" t="n"/>
      <c r="B448" s="13" t="n"/>
      <c r="C448" s="13" t="n"/>
      <c r="D448" s="13" t="n"/>
      <c r="E448" s="69" t="n"/>
      <c r="F448" s="17" t="n"/>
      <c r="G448" s="13" t="n"/>
      <c r="H448" s="13" t="n"/>
      <c r="I448" s="16">
        <f>IF($A448="","",1)</f>
        <v/>
      </c>
    </row>
    <row r="449">
      <c r="A449" s="13" t="n"/>
      <c r="B449" s="13" t="n"/>
      <c r="C449" s="13" t="n"/>
      <c r="D449" s="13" t="n"/>
      <c r="E449" s="69" t="n"/>
      <c r="F449" s="17" t="n"/>
      <c r="G449" s="13" t="n"/>
      <c r="H449" s="13" t="n"/>
      <c r="I449" s="16">
        <f>IF($A449="","",1)</f>
        <v/>
      </c>
    </row>
    <row r="450">
      <c r="A450" s="13" t="n"/>
      <c r="B450" s="13" t="n"/>
      <c r="C450" s="13" t="n"/>
      <c r="D450" s="13" t="n"/>
      <c r="E450" s="69" t="n"/>
      <c r="F450" s="17" t="n"/>
      <c r="G450" s="13" t="n"/>
      <c r="H450" s="13" t="n"/>
      <c r="I450" s="16">
        <f>IF($A450="","",1)</f>
        <v/>
      </c>
    </row>
    <row r="451">
      <c r="A451" s="13" t="n"/>
      <c r="B451" s="13" t="n"/>
      <c r="C451" s="13" t="n"/>
      <c r="D451" s="13" t="n"/>
      <c r="E451" s="69" t="n"/>
      <c r="F451" s="17" t="n"/>
      <c r="G451" s="13" t="n"/>
      <c r="H451" s="13" t="n"/>
      <c r="I451" s="16">
        <f>IF($A451="","",1)</f>
        <v/>
      </c>
    </row>
    <row r="452">
      <c r="A452" s="13" t="n"/>
      <c r="B452" s="13" t="n"/>
      <c r="C452" s="13" t="n"/>
      <c r="D452" s="13" t="n"/>
      <c r="E452" s="69" t="n"/>
      <c r="F452" s="17" t="n"/>
      <c r="G452" s="13" t="n"/>
      <c r="H452" s="13" t="n"/>
      <c r="I452" s="16">
        <f>IF($A452="","",1)</f>
        <v/>
      </c>
    </row>
    <row r="453">
      <c r="A453" s="13" t="n"/>
      <c r="B453" s="13" t="n"/>
      <c r="C453" s="13" t="n"/>
      <c r="D453" s="13" t="n"/>
      <c r="E453" s="69" t="n"/>
      <c r="F453" s="17" t="n"/>
      <c r="G453" s="13" t="n"/>
      <c r="H453" s="13" t="n"/>
      <c r="I453" s="16">
        <f>IF($A453="","",1)</f>
        <v/>
      </c>
    </row>
    <row r="454">
      <c r="A454" s="13" t="n"/>
      <c r="B454" s="13" t="n"/>
      <c r="C454" s="13" t="n"/>
      <c r="D454" s="13" t="n"/>
      <c r="E454" s="69" t="n"/>
      <c r="F454" s="17" t="n"/>
      <c r="G454" s="13" t="n"/>
      <c r="H454" s="13" t="n"/>
      <c r="I454" s="16">
        <f>IF($A454="","",1)</f>
        <v/>
      </c>
    </row>
    <row r="455">
      <c r="A455" s="13" t="n"/>
      <c r="B455" s="13" t="n"/>
      <c r="C455" s="13" t="n"/>
      <c r="D455" s="13" t="n"/>
      <c r="E455" s="69" t="n"/>
      <c r="F455" s="17" t="n"/>
      <c r="G455" s="13" t="n"/>
      <c r="H455" s="13" t="n"/>
      <c r="I455" s="16">
        <f>IF($A455="","",1)</f>
        <v/>
      </c>
    </row>
    <row r="456">
      <c r="A456" s="13" t="n"/>
      <c r="B456" s="13" t="n"/>
      <c r="C456" s="13" t="n"/>
      <c r="D456" s="13" t="n"/>
      <c r="E456" s="69" t="n"/>
      <c r="F456" s="17" t="n"/>
      <c r="G456" s="13" t="n"/>
      <c r="H456" s="13" t="n"/>
      <c r="I456" s="16">
        <f>IF($A456="","",1)</f>
        <v/>
      </c>
    </row>
    <row r="457">
      <c r="A457" s="13" t="n"/>
      <c r="B457" s="13" t="n"/>
      <c r="C457" s="13" t="n"/>
      <c r="D457" s="13" t="n"/>
      <c r="E457" s="69" t="n"/>
      <c r="F457" s="17" t="n"/>
      <c r="G457" s="13" t="n"/>
      <c r="H457" s="13" t="n"/>
      <c r="I457" s="16">
        <f>IF($A457="","",1)</f>
        <v/>
      </c>
    </row>
    <row r="458">
      <c r="A458" s="13" t="n"/>
      <c r="B458" s="13" t="n"/>
      <c r="C458" s="13" t="n"/>
      <c r="D458" s="13" t="n"/>
      <c r="E458" s="69" t="n"/>
      <c r="F458" s="17" t="n"/>
      <c r="G458" s="13" t="n"/>
      <c r="H458" s="13" t="n"/>
      <c r="I458" s="16">
        <f>IF($A458="","",1)</f>
        <v/>
      </c>
    </row>
    <row r="459">
      <c r="A459" s="13" t="n"/>
      <c r="B459" s="13" t="n"/>
      <c r="C459" s="13" t="n"/>
      <c r="D459" s="13" t="n"/>
      <c r="E459" s="69" t="n"/>
      <c r="F459" s="17" t="n"/>
      <c r="G459" s="13" t="n"/>
      <c r="H459" s="13" t="n"/>
      <c r="I459" s="16">
        <f>IF($A459="","",1)</f>
        <v/>
      </c>
    </row>
    <row r="460">
      <c r="A460" s="13" t="n"/>
      <c r="B460" s="13" t="n"/>
      <c r="C460" s="13" t="n"/>
      <c r="D460" s="13" t="n"/>
      <c r="E460" s="69" t="n"/>
      <c r="F460" s="17" t="n"/>
      <c r="G460" s="13" t="n"/>
      <c r="H460" s="13" t="n"/>
      <c r="I460" s="16">
        <f>IF($A460="","",1)</f>
        <v/>
      </c>
    </row>
    <row r="461">
      <c r="A461" s="13" t="n"/>
      <c r="B461" s="13" t="n"/>
      <c r="C461" s="13" t="n"/>
      <c r="D461" s="13" t="n"/>
      <c r="E461" s="69" t="n"/>
      <c r="F461" s="17" t="n"/>
      <c r="G461" s="13" t="n"/>
      <c r="H461" s="13" t="n"/>
      <c r="I461" s="16">
        <f>IF($A461="","",1)</f>
        <v/>
      </c>
    </row>
    <row r="462">
      <c r="A462" s="13" t="n"/>
      <c r="B462" s="13" t="n"/>
      <c r="C462" s="13" t="n"/>
      <c r="D462" s="13" t="n"/>
      <c r="E462" s="69" t="n"/>
      <c r="F462" s="17" t="n"/>
      <c r="G462" s="13" t="n"/>
      <c r="H462" s="13" t="n"/>
      <c r="I462" s="16">
        <f>IF($A462="","",1)</f>
        <v/>
      </c>
    </row>
    <row r="463">
      <c r="A463" s="13" t="n"/>
      <c r="B463" s="13" t="n"/>
      <c r="C463" s="13" t="n"/>
      <c r="D463" s="13" t="n"/>
      <c r="E463" s="69" t="n"/>
      <c r="F463" s="17" t="n"/>
      <c r="G463" s="13" t="n"/>
      <c r="H463" s="13" t="n"/>
      <c r="I463" s="16">
        <f>IF($A463="","",1)</f>
        <v/>
      </c>
    </row>
    <row r="464">
      <c r="A464" s="13" t="n"/>
      <c r="B464" s="13" t="n"/>
      <c r="C464" s="13" t="n"/>
      <c r="D464" s="13" t="n"/>
      <c r="E464" s="69" t="n"/>
      <c r="F464" s="17" t="n"/>
      <c r="G464" s="13" t="n"/>
      <c r="H464" s="13" t="n"/>
      <c r="I464" s="16">
        <f>IF($A464="","",1)</f>
        <v/>
      </c>
    </row>
    <row r="465">
      <c r="A465" s="13" t="n"/>
      <c r="B465" s="13" t="n"/>
      <c r="C465" s="13" t="n"/>
      <c r="D465" s="13" t="n"/>
      <c r="E465" s="69" t="n"/>
      <c r="F465" s="17" t="n"/>
      <c r="G465" s="13" t="n"/>
      <c r="H465" s="13" t="n"/>
      <c r="I465" s="16">
        <f>IF($A465="","",1)</f>
        <v/>
      </c>
    </row>
    <row r="466">
      <c r="A466" s="13" t="n"/>
      <c r="B466" s="13" t="n"/>
      <c r="C466" s="13" t="n"/>
      <c r="D466" s="13" t="n"/>
      <c r="E466" s="69" t="n"/>
      <c r="F466" s="17" t="n"/>
      <c r="G466" s="13" t="n"/>
      <c r="H466" s="13" t="n"/>
      <c r="I466" s="16">
        <f>IF($A466="","",1)</f>
        <v/>
      </c>
    </row>
    <row r="467">
      <c r="A467" s="13" t="n"/>
      <c r="B467" s="13" t="n"/>
      <c r="C467" s="13" t="n"/>
      <c r="D467" s="13" t="n"/>
      <c r="E467" s="69" t="n"/>
      <c r="F467" s="17" t="n"/>
      <c r="G467" s="13" t="n"/>
      <c r="H467" s="13" t="n"/>
      <c r="I467" s="16">
        <f>IF($A467="","",1)</f>
        <v/>
      </c>
    </row>
    <row r="468">
      <c r="A468" s="13" t="n"/>
      <c r="B468" s="13" t="n"/>
      <c r="C468" s="13" t="n"/>
      <c r="D468" s="13" t="n"/>
      <c r="E468" s="69" t="n"/>
      <c r="F468" s="17" t="n"/>
      <c r="G468" s="13" t="n"/>
      <c r="H468" s="13" t="n"/>
      <c r="I468" s="16">
        <f>IF($A468="","",1)</f>
        <v/>
      </c>
    </row>
    <row r="469">
      <c r="A469" s="13" t="n"/>
      <c r="B469" s="13" t="n"/>
      <c r="C469" s="13" t="n"/>
      <c r="D469" s="13" t="n"/>
      <c r="E469" s="69" t="n"/>
      <c r="F469" s="17" t="n"/>
      <c r="G469" s="13" t="n"/>
      <c r="H469" s="13" t="n"/>
      <c r="I469" s="16">
        <f>IF($A469="","",1)</f>
        <v/>
      </c>
    </row>
    <row r="470">
      <c r="A470" s="13" t="n"/>
      <c r="B470" s="13" t="n"/>
      <c r="C470" s="13" t="n"/>
      <c r="D470" s="13" t="n"/>
      <c r="E470" s="69" t="n"/>
      <c r="F470" s="17" t="n"/>
      <c r="G470" s="13" t="n"/>
      <c r="H470" s="13" t="n"/>
      <c r="I470" s="16">
        <f>IF($A470="","",1)</f>
        <v/>
      </c>
    </row>
    <row r="471">
      <c r="A471" s="13" t="n"/>
      <c r="B471" s="13" t="n"/>
      <c r="C471" s="13" t="n"/>
      <c r="D471" s="13" t="n"/>
      <c r="E471" s="69" t="n"/>
      <c r="F471" s="17" t="n"/>
      <c r="G471" s="13" t="n"/>
      <c r="H471" s="13" t="n"/>
      <c r="I471" s="16">
        <f>IF($A471="","",1)</f>
        <v/>
      </c>
    </row>
    <row r="472">
      <c r="A472" s="13" t="n"/>
      <c r="B472" s="13" t="n"/>
      <c r="C472" s="13" t="n"/>
      <c r="D472" s="13" t="n"/>
      <c r="E472" s="69" t="n"/>
      <c r="F472" s="17" t="n"/>
      <c r="G472" s="13" t="n"/>
      <c r="H472" s="13" t="n"/>
      <c r="I472" s="16">
        <f>IF($A472="","",1)</f>
        <v/>
      </c>
    </row>
    <row r="473">
      <c r="A473" s="13" t="n"/>
      <c r="B473" s="13" t="n"/>
      <c r="C473" s="13" t="n"/>
      <c r="D473" s="13" t="n"/>
      <c r="E473" s="69" t="n"/>
      <c r="F473" s="17" t="n"/>
      <c r="G473" s="13" t="n"/>
      <c r="H473" s="13" t="n"/>
      <c r="I473" s="16">
        <f>IF($A473="","",1)</f>
        <v/>
      </c>
    </row>
    <row r="474">
      <c r="A474" s="13" t="n"/>
      <c r="B474" s="13" t="n"/>
      <c r="C474" s="13" t="n"/>
      <c r="D474" s="13" t="n"/>
      <c r="E474" s="69" t="n"/>
      <c r="F474" s="17" t="n"/>
      <c r="G474" s="13" t="n"/>
      <c r="H474" s="13" t="n"/>
      <c r="I474" s="16">
        <f>IF($A474="","",1)</f>
        <v/>
      </c>
    </row>
    <row r="475">
      <c r="A475" s="13" t="n"/>
      <c r="B475" s="13" t="n"/>
      <c r="C475" s="13" t="n"/>
      <c r="D475" s="13" t="n"/>
      <c r="E475" s="69" t="n"/>
      <c r="F475" s="17" t="n"/>
      <c r="G475" s="13" t="n"/>
      <c r="H475" s="13" t="n"/>
      <c r="I475" s="16">
        <f>IF($A475="","",1)</f>
        <v/>
      </c>
    </row>
    <row r="476">
      <c r="A476" s="13" t="n"/>
      <c r="B476" s="13" t="n"/>
      <c r="C476" s="13" t="n"/>
      <c r="D476" s="13" t="n"/>
      <c r="E476" s="69" t="n"/>
      <c r="F476" s="17" t="n"/>
      <c r="G476" s="13" t="n"/>
      <c r="H476" s="13" t="n"/>
      <c r="I476" s="16">
        <f>IF($A476="","",1)</f>
        <v/>
      </c>
    </row>
    <row r="477">
      <c r="A477" s="13" t="n"/>
      <c r="B477" s="13" t="n"/>
      <c r="C477" s="13" t="n"/>
      <c r="D477" s="13" t="n"/>
      <c r="E477" s="69" t="n"/>
      <c r="F477" s="17" t="n"/>
      <c r="G477" s="13" t="n"/>
      <c r="H477" s="13" t="n"/>
      <c r="I477" s="16">
        <f>IF($A477="","",1)</f>
        <v/>
      </c>
    </row>
    <row r="478">
      <c r="A478" s="13" t="n"/>
      <c r="B478" s="13" t="n"/>
      <c r="C478" s="13" t="n"/>
      <c r="D478" s="13" t="n"/>
      <c r="E478" s="69" t="n"/>
      <c r="F478" s="17" t="n"/>
      <c r="G478" s="13" t="n"/>
      <c r="H478" s="13" t="n"/>
      <c r="I478" s="16">
        <f>IF($A478="","",1)</f>
        <v/>
      </c>
    </row>
    <row r="479">
      <c r="A479" s="13" t="n"/>
      <c r="B479" s="13" t="n"/>
      <c r="C479" s="13" t="n"/>
      <c r="D479" s="13" t="n"/>
      <c r="E479" s="69" t="n"/>
      <c r="F479" s="17" t="n"/>
      <c r="G479" s="13" t="n"/>
      <c r="H479" s="13" t="n"/>
      <c r="I479" s="16">
        <f>IF($A479="","",1)</f>
        <v/>
      </c>
    </row>
    <row r="480">
      <c r="A480" s="13" t="n"/>
      <c r="B480" s="13" t="n"/>
      <c r="C480" s="13" t="n"/>
      <c r="D480" s="13" t="n"/>
      <c r="E480" s="69" t="n"/>
      <c r="F480" s="17" t="n"/>
      <c r="G480" s="13" t="n"/>
      <c r="H480" s="13" t="n"/>
      <c r="I480" s="16">
        <f>IF($A480="","",1)</f>
        <v/>
      </c>
    </row>
    <row r="481">
      <c r="A481" s="13" t="n"/>
      <c r="B481" s="13" t="n"/>
      <c r="C481" s="13" t="n"/>
      <c r="D481" s="13" t="n"/>
      <c r="E481" s="69" t="n"/>
      <c r="F481" s="17" t="n"/>
      <c r="G481" s="13" t="n"/>
      <c r="H481" s="13" t="n"/>
      <c r="I481" s="16">
        <f>IF($A481="","",1)</f>
        <v/>
      </c>
    </row>
    <row r="482">
      <c r="A482" s="13" t="n"/>
      <c r="B482" s="13" t="n"/>
      <c r="C482" s="13" t="n"/>
      <c r="D482" s="13" t="n"/>
      <c r="E482" s="69" t="n"/>
      <c r="F482" s="17" t="n"/>
      <c r="G482" s="13" t="n"/>
      <c r="H482" s="13" t="n"/>
      <c r="I482" s="16">
        <f>IF($A482="","",1)</f>
        <v/>
      </c>
    </row>
    <row r="483">
      <c r="A483" s="13" t="n"/>
      <c r="B483" s="13" t="n"/>
      <c r="C483" s="13" t="n"/>
      <c r="D483" s="13" t="n"/>
      <c r="E483" s="69" t="n"/>
      <c r="F483" s="17" t="n"/>
      <c r="G483" s="13" t="n"/>
      <c r="H483" s="13" t="n"/>
      <c r="I483" s="16">
        <f>IF($A483="","",1)</f>
        <v/>
      </c>
    </row>
    <row r="484">
      <c r="A484" s="13" t="n"/>
      <c r="B484" s="13" t="n"/>
      <c r="C484" s="13" t="n"/>
      <c r="D484" s="13" t="n"/>
      <c r="E484" s="69" t="n"/>
      <c r="F484" s="17" t="n"/>
      <c r="G484" s="13" t="n"/>
      <c r="H484" s="13" t="n"/>
      <c r="I484" s="16">
        <f>IF($A484="","",1)</f>
        <v/>
      </c>
    </row>
    <row r="485">
      <c r="A485" s="13" t="n"/>
      <c r="B485" s="13" t="n"/>
      <c r="C485" s="13" t="n"/>
      <c r="D485" s="13" t="n"/>
      <c r="E485" s="69" t="n"/>
      <c r="F485" s="17" t="n"/>
      <c r="G485" s="13" t="n"/>
      <c r="H485" s="13" t="n"/>
      <c r="I485" s="16">
        <f>IF($A485="","",1)</f>
        <v/>
      </c>
    </row>
    <row r="486">
      <c r="A486" s="13" t="n"/>
      <c r="B486" s="13" t="n"/>
      <c r="C486" s="13" t="n"/>
      <c r="D486" s="13" t="n"/>
      <c r="E486" s="69" t="n"/>
      <c r="F486" s="17" t="n"/>
      <c r="G486" s="13" t="n"/>
      <c r="H486" s="13" t="n"/>
      <c r="I486" s="16">
        <f>IF($A486="","",1)</f>
        <v/>
      </c>
    </row>
    <row r="487">
      <c r="A487" s="13" t="n"/>
      <c r="B487" s="13" t="n"/>
      <c r="C487" s="13" t="n"/>
      <c r="D487" s="13" t="n"/>
      <c r="E487" s="69" t="n"/>
      <c r="F487" s="17" t="n"/>
      <c r="G487" s="13" t="n"/>
      <c r="H487" s="13" t="n"/>
      <c r="I487" s="16">
        <f>IF($A487="","",1)</f>
        <v/>
      </c>
    </row>
    <row r="488">
      <c r="A488" s="13" t="n"/>
      <c r="B488" s="13" t="n"/>
      <c r="C488" s="13" t="n"/>
      <c r="D488" s="13" t="n"/>
      <c r="E488" s="69" t="n"/>
      <c r="F488" s="17" t="n"/>
      <c r="G488" s="13" t="n"/>
      <c r="H488" s="13" t="n"/>
      <c r="I488" s="16">
        <f>IF($A488="","",1)</f>
        <v/>
      </c>
    </row>
    <row r="489">
      <c r="A489" s="13" t="n"/>
      <c r="B489" s="13" t="n"/>
      <c r="C489" s="13" t="n"/>
      <c r="D489" s="13" t="n"/>
      <c r="E489" s="69" t="n"/>
      <c r="F489" s="17" t="n"/>
      <c r="G489" s="13" t="n"/>
      <c r="H489" s="13" t="n"/>
      <c r="I489" s="16">
        <f>IF($A489="","",1)</f>
        <v/>
      </c>
    </row>
    <row r="490">
      <c r="A490" s="13" t="n"/>
      <c r="B490" s="13" t="n"/>
      <c r="C490" s="13" t="n"/>
      <c r="D490" s="13" t="n"/>
      <c r="E490" s="69" t="n"/>
      <c r="F490" s="17" t="n"/>
      <c r="G490" s="13" t="n"/>
      <c r="H490" s="13" t="n"/>
      <c r="I490" s="16">
        <f>IF($A490="","",1)</f>
        <v/>
      </c>
    </row>
    <row r="491">
      <c r="A491" s="13" t="n"/>
      <c r="B491" s="13" t="n"/>
      <c r="C491" s="13" t="n"/>
      <c r="D491" s="13" t="n"/>
      <c r="E491" s="69" t="n"/>
      <c r="F491" s="17" t="n"/>
      <c r="G491" s="13" t="n"/>
      <c r="H491" s="13" t="n"/>
      <c r="I491" s="16">
        <f>IF($A491="","",1)</f>
        <v/>
      </c>
    </row>
    <row r="492">
      <c r="A492" s="13" t="n"/>
      <c r="B492" s="13" t="n"/>
      <c r="C492" s="13" t="n"/>
      <c r="D492" s="13" t="n"/>
      <c r="E492" s="69" t="n"/>
      <c r="F492" s="17" t="n"/>
      <c r="G492" s="13" t="n"/>
      <c r="H492" s="13" t="n"/>
      <c r="I492" s="16">
        <f>IF($A492="","",1)</f>
        <v/>
      </c>
    </row>
    <row r="493">
      <c r="A493" s="13" t="n"/>
      <c r="B493" s="13" t="n"/>
      <c r="C493" s="13" t="n"/>
      <c r="D493" s="13" t="n"/>
      <c r="E493" s="69" t="n"/>
      <c r="F493" s="17" t="n"/>
      <c r="G493" s="13" t="n"/>
      <c r="H493" s="13" t="n"/>
      <c r="I493" s="16">
        <f>IF($A493="","",1)</f>
        <v/>
      </c>
    </row>
    <row r="494">
      <c r="A494" s="13" t="n"/>
      <c r="B494" s="13" t="n"/>
      <c r="C494" s="13" t="n"/>
      <c r="D494" s="13" t="n"/>
      <c r="E494" s="69" t="n"/>
      <c r="F494" s="17" t="n"/>
      <c r="G494" s="13" t="n"/>
      <c r="H494" s="13" t="n"/>
      <c r="I494" s="16">
        <f>IF($A494="","",1)</f>
        <v/>
      </c>
    </row>
    <row r="495">
      <c r="A495" s="13" t="n"/>
      <c r="B495" s="13" t="n"/>
      <c r="C495" s="13" t="n"/>
      <c r="D495" s="13" t="n"/>
      <c r="E495" s="69" t="n"/>
      <c r="F495" s="17" t="n"/>
      <c r="G495" s="13" t="n"/>
      <c r="H495" s="13" t="n"/>
      <c r="I495" s="16">
        <f>IF($A495="","",1)</f>
        <v/>
      </c>
    </row>
    <row r="496">
      <c r="A496" s="13" t="n"/>
      <c r="B496" s="13" t="n"/>
      <c r="C496" s="13" t="n"/>
      <c r="D496" s="13" t="n"/>
      <c r="E496" s="69" t="n"/>
      <c r="F496" s="17" t="n"/>
      <c r="G496" s="13" t="n"/>
      <c r="H496" s="13" t="n"/>
      <c r="I496" s="16">
        <f>IF($A496="","",1)</f>
        <v/>
      </c>
    </row>
    <row r="497">
      <c r="A497" s="13" t="n"/>
      <c r="B497" s="13" t="n"/>
      <c r="C497" s="13" t="n"/>
      <c r="D497" s="13" t="n"/>
      <c r="E497" s="69" t="n"/>
      <c r="F497" s="17" t="n"/>
      <c r="G497" s="13" t="n"/>
      <c r="H497" s="13" t="n"/>
      <c r="I497" s="16">
        <f>IF($A497="","",1)</f>
        <v/>
      </c>
    </row>
    <row r="498">
      <c r="A498" s="13" t="n"/>
      <c r="B498" s="13" t="n"/>
      <c r="C498" s="13" t="n"/>
      <c r="D498" s="13" t="n"/>
      <c r="E498" s="69" t="n"/>
      <c r="F498" s="17" t="n"/>
      <c r="G498" s="13" t="n"/>
      <c r="H498" s="13" t="n"/>
      <c r="I498" s="16">
        <f>IF($A498="","",1)</f>
        <v/>
      </c>
    </row>
    <row r="499">
      <c r="A499" s="13" t="n"/>
      <c r="B499" s="13" t="n"/>
      <c r="C499" s="13" t="n"/>
      <c r="D499" s="13" t="n"/>
      <c r="E499" s="69" t="n"/>
      <c r="F499" s="17" t="n"/>
      <c r="G499" s="13" t="n"/>
      <c r="H499" s="13" t="n"/>
      <c r="I499" s="16">
        <f>IF($A499="","",1)</f>
        <v/>
      </c>
    </row>
    <row r="500">
      <c r="A500" s="13" t="n"/>
      <c r="B500" s="13" t="n"/>
      <c r="C500" s="13" t="n"/>
      <c r="D500" s="13" t="n"/>
      <c r="E500" s="69" t="n"/>
      <c r="F500" s="17" t="n"/>
      <c r="G500" s="13" t="n"/>
      <c r="H500" s="13" t="n"/>
      <c r="I500" s="16">
        <f>IF($A500="","",1)</f>
        <v/>
      </c>
    </row>
    <row r="501">
      <c r="A501" s="13" t="n"/>
      <c r="B501" s="13" t="n"/>
      <c r="C501" s="13" t="n"/>
      <c r="D501" s="13" t="n"/>
      <c r="E501" s="69" t="n"/>
      <c r="F501" s="17" t="n"/>
      <c r="G501" s="13" t="n"/>
      <c r="H501" s="13" t="n"/>
      <c r="I501" s="16">
        <f>IF($A501="","",1)</f>
        <v/>
      </c>
    </row>
    <row r="502">
      <c r="A502" s="13" t="n"/>
      <c r="B502" s="13" t="n"/>
      <c r="C502" s="13" t="n"/>
      <c r="D502" s="13" t="n"/>
      <c r="E502" s="69" t="n"/>
      <c r="F502" s="17" t="n"/>
      <c r="G502" s="13" t="n"/>
      <c r="H502" s="13" t="n"/>
      <c r="I502" s="16">
        <f>IF($A502="","",1)</f>
        <v/>
      </c>
    </row>
    <row r="503">
      <c r="A503" s="13" t="n"/>
      <c r="B503" s="13" t="n"/>
      <c r="C503" s="13" t="n"/>
      <c r="D503" s="13" t="n"/>
      <c r="E503" s="69" t="n"/>
      <c r="F503" s="17" t="n"/>
      <c r="G503" s="13" t="n"/>
      <c r="H503" s="13" t="n"/>
      <c r="I503" s="16">
        <f>IF($A503="","",1)</f>
        <v/>
      </c>
    </row>
    <row r="504">
      <c r="A504" s="13" t="n"/>
      <c r="B504" s="13" t="n"/>
      <c r="C504" s="13" t="n"/>
      <c r="D504" s="13" t="n"/>
      <c r="E504" s="69" t="n"/>
      <c r="F504" s="17" t="n"/>
      <c r="G504" s="13" t="n"/>
      <c r="H504" s="13" t="n"/>
      <c r="I504" s="16">
        <f>IF($A504="","",1)</f>
        <v/>
      </c>
    </row>
    <row r="505">
      <c r="A505" s="13" t="n"/>
      <c r="B505" s="13" t="n"/>
      <c r="C505" s="13" t="n"/>
      <c r="D505" s="13" t="n"/>
      <c r="E505" s="69" t="n"/>
      <c r="F505" s="17" t="n"/>
      <c r="G505" s="13" t="n"/>
      <c r="H505" s="13" t="n"/>
      <c r="I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lessThan" dxfId="0">
      <formula>0</formula>
    </cfRule>
    <cfRule type="cellIs" priority="2" operator="greaterThan" dxfId="1">
      <formula>100000</formula>
    </cfRule>
  </conditionalFormatting>
  <dataValidations count="5">
    <dataValidation sqref="A6:A505" showDropDown="0" showInputMessage="1" showErrorMessage="1" allowBlank="1" errorTitle="VKN" error="Boş olamaz" promptTitle="VKN" prompt="VKN girin" type="textLength" errorStyle="stop" operator="greaterThan">
      <formula1>1</formula1>
      <formula2>20</formula2>
    </dataValidation>
    <dataValidation sqref="D6:D505" showDropDown="0" showInputMessage="1" showErrorMessage="1" allowBlank="1" errorTitle="Liste" error="Listeden seçin" promptTitle="Form Tipi" prompt="Ba veya Bs" type="list" errorStyle="stop">
      <formula1>ListeFormTipleri</formula1>
    </dataValidation>
    <dataValidation sqref="E6:E505" showDropDown="0" showInputMessage="1" showErrorMessage="1" allowBlank="1" errorTitle="Tutar" error="0 veya üzeri" promptTitle="Beyan Tutarı" prompt="Tutar ≥ 0" type="decimal" errorStyle="stop" operator="greaterThanOrEqual">
      <formula1>0</formula1>
    </dataValidation>
    <dataValidation sqref="F6:F505" showDropDown="0" showInputMessage="1" showErrorMessage="1" allowBlank="1" errorTitle="Adet" error="0 veya üzeri" promptTitle="Belge Adet" prompt="Adet ≥ 0" type="decimal" errorStyle="stop" operator="greaterThanOrEqual">
      <formula1>0</formula1>
    </dataValidation>
    <dataValidation sqref="H6:H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88" t="inlineStr">
        <is>
          <t>ANAHTAR — Cari ve Ba-Bs Toplu Mutabakat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  <c r="J1" s="189" t="n"/>
      <c r="K1" s="189" t="n"/>
      <c r="L1" s="189" t="n"/>
      <c r="M1" s="189" t="n"/>
      <c r="N1" s="189" t="n"/>
      <c r="O1" s="189" t="n"/>
    </row>
    <row r="2"/>
    <row r="3" ht="22" customHeight="1">
      <c r="A3" s="208" t="inlineStr">
        <is>
          <t>VKN normalize + uzunluk + ikincil + duplike (Ç7 / E01 / E05)</t>
        </is>
      </c>
    </row>
    <row r="4">
      <c r="A4" s="18" t="inlineStr">
        <is>
          <t>A Tarafı (Cari)</t>
        </is>
      </c>
      <c r="I4" s="18" t="inlineStr">
        <is>
          <t>B Tarafı (Ba-Bs)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IF($B6="","",LEFT($B6,cbb_ikincilUzunluk))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IF($J6="","",LEFT($J6,cbb_ikincilUzunluk))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IF($B7="","",LEFT($B7,cbb_ikincilUzunluk))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IF($J7="","",LEFT($J7,cbb_ikincilUzunluk))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IF($B8="","",LEFT($B8,cbb_ikincilUzunluk))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IF($J8="","",LEFT($J8,cbb_ikincilUzunluk))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IF($B9="","",LEFT($B9,cbb_ikincilUzunluk))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IF($J9="","",LEFT($J9,cbb_ikincilUzunluk))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IF($B10="","",LEFT($B10,cbb_ikincilUzunluk))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IF($J10="","",LEFT($J10,cbb_ikincilUzunluk))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IF($B11="","",LEFT($B11,cbb_ikincilUzunluk))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IF($J11="","",LEFT($J11,cbb_ikincilUzunluk))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IF($B12="","",LEFT($B12,cbb_ikincilUzunluk))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IF($J12="","",LEFT($J12,cbb_ikincilUzunluk))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IF($B13="","",LEFT($B13,cbb_ikincilUzunluk))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IF($J13="","",LEFT($J13,cbb_ikincilUzunluk))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IF($B14="","",LEFT($B14,cbb_ikincilUzunluk))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IF($J14="","",LEFT($J14,cbb_ikincilUzunluk))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IF($B15="","",LEFT($B15,cbb_ikincilUzunluk))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IF($J15="","",LEFT($J15,cbb_ikincilUzunluk))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IF($B16="","",LEFT($B16,cbb_ikincilUzunluk))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IF($J16="","",LEFT($J16,cbb_ikincilUzunluk))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IF($B17="","",LEFT($B17,cbb_ikincilUzunluk))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IF($J17="","",LEFT($J17,cbb_ikincilUzunluk))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IF($B18="","",LEFT($B18,cbb_ikincilUzunluk))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IF($J18="","",LEFT($J18,cbb_ikincilUzunluk))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IF($B19="","",LEFT($B19,cbb_ikincilUzunluk))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IF($J19="","",LEFT($J19,cbb_ikincilUzunluk))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IF($B20="","",LEFT($B20,cbb_ikincilUzunluk))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IF($J20="","",LEFT($J20,cbb_ikincilUzunluk))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IF($B21="","",LEFT($B21,cbb_ikincilUzunluk))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IF($J21="","",LEFT($J21,cbb_ikincilUzunluk))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IF($B22="","",LEFT($B22,cbb_ikincilUzunluk))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IF($J22="","",LEFT($J22,cbb_ikincilUzunluk))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IF($B23="","",LEFT($B23,cbb_ikincilUzunluk))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IF($J23="","",LEFT($J23,cbb_ikincilUzunluk))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IF($B24="","",LEFT($B24,cbb_ikincilUzunluk))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IF($J24="","",LEFT($J24,cbb_ikincilUzunluk))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IF($B25="","",LEFT($B25,cbb_ikincilUzunluk))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IF($J25="","",LEFT($J25,cbb_ikincilUzunluk))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IF($B26="","",LEFT($B26,cbb_ikincilUzunluk))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IF($J26="","",LEFT($J26,cbb_ikincilUzunluk))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IF($B27="","",LEFT($B27,cbb_ikincilUzunluk))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IF($J27="","",LEFT($J27,cbb_ikincilUzunluk))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IF($B28="","",LEFT($B28,cbb_ikincilUzunluk))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IF($J28="","",LEFT($J28,cbb_ikincilUzunluk))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IF($B29="","",LEFT($B29,cbb_ikincilUzunluk))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IF($J29="","",LEFT($J29,cbb_ikincilUzunluk))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IF($B30="","",LEFT($B30,cbb_ikincilUzunluk))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IF($J30="","",LEFT($J30,cbb_ikincilUzunluk))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IF($B31="","",LEFT($B31,cbb_ikincilUzunluk))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IF($J31="","",LEFT($J31,cbb_ikincilUzunluk))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IF($B32="","",LEFT($B32,cbb_ikincilUzunluk))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IF($J32="","",LEFT($J32,cbb_ikincilUzunluk))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IF($B33="","",LEFT($B33,cbb_ikincilUzunluk))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IF($J33="","",LEFT($J33,cbb_ikincilUzunluk))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IF($B34="","",LEFT($B34,cbb_ikincilUzunluk))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IF($J34="","",LEFT($J34,cbb_ikincilUzunluk))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IF($B35="","",LEFT($B35,cbb_ikincilUzunluk))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IF($J35="","",LEFT($J35,cbb_ikincilUzunluk))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IF($B36="","",LEFT($B36,cbb_ikincilUzunluk))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IF($J36="","",LEFT($J36,cbb_ikincilUzunluk))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IF($B37="","",LEFT($B37,cbb_ikincilUzunluk))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IF($J37="","",LEFT($J37,cbb_ikincilUzunluk))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IF($B38="","",LEFT($B38,cbb_ikincilUzunluk))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IF($J38="","",LEFT($J38,cbb_ikincilUzunluk))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IF($B39="","",LEFT($B39,cbb_ikincilUzunluk))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IF($J39="","",LEFT($J39,cbb_ikincilUzunluk))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IF($B40="","",LEFT($B40,cbb_ikincilUzunluk))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IF($J40="","",LEFT($J40,cbb_ikincilUzunluk))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IF($B41="","",LEFT($B41,cbb_ikincilUzunluk))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IF($J41="","",LEFT($J41,cbb_ikincilUzunluk))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IF($B42="","",LEFT($B42,cbb_ikincilUzunluk))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IF($J42="","",LEFT($J42,cbb_ikincilUzunluk))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IF($B43="","",LEFT($B43,cbb_ikincilUzunluk))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IF($J43="","",LEFT($J43,cbb_ikincilUzunluk))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IF($B44="","",LEFT($B44,cbb_ikincilUzunluk))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IF($J44="","",LEFT($J44,cbb_ikincilUzunluk))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IF($B45="","",LEFT($B45,cbb_ikincilUzunluk))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IF($J45="","",LEFT($J45,cbb_ikincilUzunluk))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IF($B46="","",LEFT($B46,cbb_ikincilUzunluk))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IF($J46="","",LEFT($J46,cbb_ikincilUzunluk))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IF($B47="","",LEFT($B47,cbb_ikincilUzunluk))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IF($J47="","",LEFT($J47,cbb_ikincilUzunluk))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IF($B48="","",LEFT($B48,cbb_ikincilUzunluk))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IF($J48="","",LEFT($J48,cbb_ikincilUzunluk))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IF($B49="","",LEFT($B49,cbb_ikincilUzunluk))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IF($J49="","",LEFT($J49,cbb_ikincilUzunluk))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IF($B50="","",LEFT($B50,cbb_ikincilUzunluk))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IF($J50="","",LEFT($J50,cbb_ikincilUzunluk))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IF($B51="","",LEFT($B51,cbb_ikincilUzunluk))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IF($J51="","",LEFT($J51,cbb_ikincilUzunluk))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IF($B52="","",LEFT($B52,cbb_ikincilUzunluk))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IF($J52="","",LEFT($J52,cbb_ikincilUzunluk))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IF($B53="","",LEFT($B53,cbb_ikincilUzunluk))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IF($J53="","",LEFT($J53,cbb_ikincilUzunluk))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IF($B54="","",LEFT($B54,cbb_ikincilUzunluk))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IF($J54="","",LEFT($J54,cbb_ikincilUzunluk))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IF($B55="","",LEFT($B55,cbb_ikincilUzunluk))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IF($J55="","",LEFT($J55,cbb_ikincilUzunluk))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IF($B56="","",LEFT($B56,cbb_ikincilUzunluk))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IF($J56="","",LEFT($J56,cbb_ikincilUzunluk))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IF($B57="","",LEFT($B57,cbb_ikincilUzunluk))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IF($J57="","",LEFT($J57,cbb_ikincilUzunluk))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IF($B58="","",LEFT($B58,cbb_ikincilUzunluk))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IF($J58="","",LEFT($J58,cbb_ikincilUzunluk))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IF($B59="","",LEFT($B59,cbb_ikincilUzunluk))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IF($J59="","",LEFT($J59,cbb_ikincilUzunluk))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IF($B60="","",LEFT($B60,cbb_ikincilUzunluk))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IF($J60="","",LEFT($J60,cbb_ikincilUzunluk))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IF($B61="","",LEFT($B61,cbb_ikincilUzunluk))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IF($J61="","",LEFT($J61,cbb_ikincilUzunluk))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IF($B62="","",LEFT($B62,cbb_ikincilUzunluk))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IF($J62="","",LEFT($J62,cbb_ikincilUzunluk))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IF($B63="","",LEFT($B63,cbb_ikincilUzunluk))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IF($J63="","",LEFT($J63,cbb_ikincilUzunluk))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IF($B64="","",LEFT($B64,cbb_ikincilUzunluk))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IF($J64="","",LEFT($J64,cbb_ikincilUzunluk))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IF($B65="","",LEFT($B65,cbb_ikincilUzunluk))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IF($J65="","",LEFT($J65,cbb_ikincilUzunluk))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IF($B66="","",LEFT($B66,cbb_ikincilUzunluk))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IF($J66="","",LEFT($J66,cbb_ikincilUzunluk))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IF($B67="","",LEFT($B67,cbb_ikincilUzunluk))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IF($J67="","",LEFT($J67,cbb_ikincilUzunluk))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IF($B68="","",LEFT($B68,cbb_ikincilUzunluk))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IF($J68="","",LEFT($J68,cbb_ikincilUzunluk))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IF($B69="","",LEFT($B69,cbb_ikincilUzunluk))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IF($J69="","",LEFT($J69,cbb_ikincilUzunluk))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IF($B70="","",LEFT($B70,cbb_ikincilUzunluk))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IF($J70="","",LEFT($J70,cbb_ikincilUzunluk))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IF($B71="","",LEFT($B71,cbb_ikincilUzunluk))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IF($J71="","",LEFT($J71,cbb_ikincilUzunluk))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IF($B72="","",LEFT($B72,cbb_ikincilUzunluk))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IF($J72="","",LEFT($J72,cbb_ikincilUzunluk))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IF($B73="","",LEFT($B73,cbb_ikincilUzunluk))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IF($J73="","",LEFT($J73,cbb_ikincilUzunluk))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IF($B74="","",LEFT($B74,cbb_ikincilUzunluk))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IF($J74="","",LEFT($J74,cbb_ikincilUzunluk))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IF($B75="","",LEFT($B75,cbb_ikincilUzunluk))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IF($J75="","",LEFT($J75,cbb_ikincilUzunluk))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IF($B76="","",LEFT($B76,cbb_ikincilUzunluk))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IF($J76="","",LEFT($J76,cbb_ikincilUzunluk))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IF($B77="","",LEFT($B77,cbb_ikincilUzunluk))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IF($J77="","",LEFT($J77,cbb_ikincilUzunluk))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IF($B78="","",LEFT($B78,cbb_ikincilUzunluk))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IF($J78="","",LEFT($J78,cbb_ikincilUzunluk))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IF($B79="","",LEFT($B79,cbb_ikincilUzunluk))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IF($J79="","",LEFT($J79,cbb_ikincilUzunluk))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IF($B80="","",LEFT($B80,cbb_ikincilUzunluk))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IF($J80="","",LEFT($J80,cbb_ikincilUzunluk))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IF($B81="","",LEFT($B81,cbb_ikincilUzunluk))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IF($J81="","",LEFT($J81,cbb_ikincilUzunluk))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IF($B82="","",LEFT($B82,cbb_ikincilUzunluk))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IF($J82="","",LEFT($J82,cbb_ikincilUzunluk))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IF($B83="","",LEFT($B83,cbb_ikincilUzunluk))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IF($J83="","",LEFT($J83,cbb_ikincilUzunluk))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IF($B84="","",LEFT($B84,cbb_ikincilUzunluk))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IF($J84="","",LEFT($J84,cbb_ikincilUzunluk))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IF($B85="","",LEFT($B85,cbb_ikincilUzunluk))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IF($J85="","",LEFT($J85,cbb_ikincilUzunluk))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IF($B86="","",LEFT($B86,cbb_ikincilUzunluk))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IF($J86="","",LEFT($J86,cbb_ikincilUzunluk))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IF($B87="","",LEFT($B87,cbb_ikincilUzunluk))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IF($J87="","",LEFT($J87,cbb_ikincilUzunluk))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IF($B88="","",LEFT($B88,cbb_ikincilUzunluk))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IF($J88="","",LEFT($J88,cbb_ikincilUzunluk))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IF($B89="","",LEFT($B89,cbb_ikincilUzunluk))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IF($J89="","",LEFT($J89,cbb_ikincilUzunluk))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IF($B90="","",LEFT($B90,cbb_ikincilUzunluk))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IF($J90="","",LEFT($J90,cbb_ikincilUzunluk))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IF($B91="","",LEFT($B91,cbb_ikincilUzunluk))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IF($J91="","",LEFT($J91,cbb_ikincilUzunluk))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IF($B92="","",LEFT($B92,cbb_ikincilUzunluk))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IF($J92="","",LEFT($J92,cbb_ikincilUzunluk))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IF($B93="","",LEFT($B93,cbb_ikincilUzunluk))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IF($J93="","",LEFT($J93,cbb_ikincilUzunluk))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IF($B94="","",LEFT($B94,cbb_ikincilUzunluk))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IF($J94="","",LEFT($J94,cbb_ikincilUzunluk))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IF($B95="","",LEFT($B95,cbb_ikincilUzunluk))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IF($J95="","",LEFT($J95,cbb_ikincilUzunluk))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IF($B96="","",LEFT($B96,cbb_ikincilUzunluk))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IF($J96="","",LEFT($J96,cbb_ikincilUzunluk))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IF($B97="","",LEFT($B97,cbb_ikincilUzunluk))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IF($J97="","",LEFT($J97,cbb_ikincilUzunluk))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IF($B98="","",LEFT($B98,cbb_ikincilUzunluk))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IF($J98="","",LEFT($J98,cbb_ikincilUzunluk))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IF($B99="","",LEFT($B99,cbb_ikincilUzunluk))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IF($J99="","",LEFT($J99,cbb_ikincilUzunluk))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IF($B100="","",LEFT($B100,cbb_ikincilUzunluk))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IF($J100="","",LEFT($J100,cbb_ikincilUzunluk))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IF($B101="","",LEFT($B101,cbb_ikincilUzunluk))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IF($J101="","",LEFT($J101,cbb_ikincilUzunluk))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IF($B102="","",LEFT($B102,cbb_ikincilUzunluk))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IF($J102="","",LEFT($J102,cbb_ikincilUzunluk))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IF($B103="","",LEFT($B103,cbb_ikincilUzunluk))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IF($J103="","",LEFT($J103,cbb_ikincilUzunluk))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IF($B104="","",LEFT($B104,cbb_ikincilUzunluk))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IF($J104="","",LEFT($J104,cbb_ikincilUzunluk))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IF($B105="","",LEFT($B105,cbb_ikincilUzunluk))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IF($J105="","",LEFT($J105,cbb_ikincilUzunluk))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IF($B106="","",LEFT($B106,cbb_ikincilUzunluk))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IF($J106="","",LEFT($J106,cbb_ikincilUzunluk))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IF($B107="","",LEFT($B107,cbb_ikincilUzunluk))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IF($J107="","",LEFT($J107,cbb_ikincilUzunluk))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IF($B108="","",LEFT($B108,cbb_ikincilUzunluk))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IF($J108="","",LEFT($J108,cbb_ikincilUzunluk))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IF($B109="","",LEFT($B109,cbb_ikincilUzunluk))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IF($J109="","",LEFT($J109,cbb_ikincilUzunluk))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IF($B110="","",LEFT($B110,cbb_ikincilUzunluk))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IF($J110="","",LEFT($J110,cbb_ikincilUzunluk))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IF($B111="","",LEFT($B111,cbb_ikincilUzunluk))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IF($J111="","",LEFT($J111,cbb_ikincilUzunluk))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IF($B112="","",LEFT($B112,cbb_ikincilUzunluk))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IF($J112="","",LEFT($J112,cbb_ikincilUzunluk))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IF($B113="","",LEFT($B113,cbb_ikincilUzunluk))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IF($J113="","",LEFT($J113,cbb_ikincilUzunluk))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IF($B114="","",LEFT($B114,cbb_ikincilUzunluk))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IF($J114="","",LEFT($J114,cbb_ikincilUzunluk))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IF($B115="","",LEFT($B115,cbb_ikincilUzunluk))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IF($J115="","",LEFT($J115,cbb_ikincilUzunluk))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IF($B116="","",LEFT($B116,cbb_ikincilUzunluk))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IF($J116="","",LEFT($J116,cbb_ikincilUzunluk))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IF($B117="","",LEFT($B117,cbb_ikincilUzunluk))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IF($J117="","",LEFT($J117,cbb_ikincilUzunluk))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IF($B118="","",LEFT($B118,cbb_ikincilUzunluk))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IF($J118="","",LEFT($J118,cbb_ikincilUzunluk))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IF($B119="","",LEFT($B119,cbb_ikincilUzunluk))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IF($J119="","",LEFT($J119,cbb_ikincilUzunluk))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IF($B120="","",LEFT($B120,cbb_ikincilUzunluk))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IF($J120="","",LEFT($J120,cbb_ikincilUzunluk))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IF($B121="","",LEFT($B121,cbb_ikincilUzunluk))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IF($J121="","",LEFT($J121,cbb_ikincilUzunluk))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IF($B122="","",LEFT($B122,cbb_ikincilUzunluk))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IF($J122="","",LEFT($J122,cbb_ikincilUzunluk))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IF($B123="","",LEFT($B123,cbb_ikincilUzunluk))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IF($J123="","",LEFT($J123,cbb_ikincilUzunluk))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IF($B124="","",LEFT($B124,cbb_ikincilUzunluk))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IF($J124="","",LEFT($J124,cbb_ikincilUzunluk))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IF($B125="","",LEFT($B125,cbb_ikincilUzunluk))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IF($J125="","",LEFT($J125,cbb_ikincilUzunluk))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IF($B126="","",LEFT($B126,cbb_ikincilUzunluk))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IF($J126="","",LEFT($J126,cbb_ikincilUzunluk))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IF($B127="","",LEFT($B127,cbb_ikincilUzunluk))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IF($J127="","",LEFT($J127,cbb_ikincilUzunluk))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IF($B128="","",LEFT($B128,cbb_ikincilUzunluk))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IF($J128="","",LEFT($J128,cbb_ikincilUzunluk))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IF($B129="","",LEFT($B129,cbb_ikincilUzunluk))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IF($J129="","",LEFT($J129,cbb_ikincilUzunluk))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IF($B130="","",LEFT($B130,cbb_ikincilUzunluk))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IF($J130="","",LEFT($J130,cbb_ikincilUzunluk))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IF($B131="","",LEFT($B131,cbb_ikincilUzunluk))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IF($J131="","",LEFT($J131,cbb_ikincilUzunluk))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IF($B132="","",LEFT($B132,cbb_ikincilUzunluk))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IF($J132="","",LEFT($J132,cbb_ikincilUzunluk))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IF($B133="","",LEFT($B133,cbb_ikincilUzunluk))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IF($J133="","",LEFT($J133,cbb_ikincilUzunluk))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IF($B134="","",LEFT($B134,cbb_ikincilUzunluk))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IF($J134="","",LEFT($J134,cbb_ikincilUzunluk))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IF($B135="","",LEFT($B135,cbb_ikincilUzunluk))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IF($J135="","",LEFT($J135,cbb_ikincilUzunluk))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IF($B136="","",LEFT($B136,cbb_ikincilUzunluk))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IF($J136="","",LEFT($J136,cbb_ikincilUzunluk))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IF($B137="","",LEFT($B137,cbb_ikincilUzunluk))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IF($J137="","",LEFT($J137,cbb_ikincilUzunluk))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IF($B138="","",LEFT($B138,cbb_ikincilUzunluk))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IF($J138="","",LEFT($J138,cbb_ikincilUzunluk))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IF($B139="","",LEFT($B139,cbb_ikincilUzunluk))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IF($J139="","",LEFT($J139,cbb_ikincilUzunluk))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IF($B140="","",LEFT($B140,cbb_ikincilUzunluk))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IF($J140="","",LEFT($J140,cbb_ikincilUzunluk))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IF($B141="","",LEFT($B141,cbb_ikincilUzunluk))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IF($J141="","",LEFT($J141,cbb_ikincilUzunluk))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IF($B142="","",LEFT($B142,cbb_ikincilUzunluk))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IF($J142="","",LEFT($J142,cbb_ikincilUzunluk))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IF($B143="","",LEFT($B143,cbb_ikincilUzunluk))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IF($J143="","",LEFT($J143,cbb_ikincilUzunluk))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IF($B144="","",LEFT($B144,cbb_ikincilUzunluk))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IF($J144="","",LEFT($J144,cbb_ikincilUzunluk))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IF($B145="","",LEFT($B145,cbb_ikincilUzunluk))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IF($J145="","",LEFT($J145,cbb_ikincilUzunluk))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IF($B146="","",LEFT($B146,cbb_ikincilUzunluk))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IF($J146="","",LEFT($J146,cbb_ikincilUzunluk))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IF($B147="","",LEFT($B147,cbb_ikincilUzunluk))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IF($J147="","",LEFT($J147,cbb_ikincilUzunluk))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IF($B148="","",LEFT($B148,cbb_ikincilUzunluk))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IF($J148="","",LEFT($J148,cbb_ikincilUzunluk))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IF($B149="","",LEFT($B149,cbb_ikincilUzunluk))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IF($J149="","",LEFT($J149,cbb_ikincilUzunluk))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IF($B150="","",LEFT($B150,cbb_ikincilUzunluk))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IF($J150="","",LEFT($J150,cbb_ikincilUzunluk))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IF($B151="","",LEFT($B151,cbb_ikincilUzunluk))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IF($J151="","",LEFT($J151,cbb_ikincilUzunluk))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IF($B152="","",LEFT($B152,cbb_ikincilUzunluk))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IF($J152="","",LEFT($J152,cbb_ikincilUzunluk))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IF($B153="","",LEFT($B153,cbb_ikincilUzunluk))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IF($J153="","",LEFT($J153,cbb_ikincilUzunluk))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IF($B154="","",LEFT($B154,cbb_ikincilUzunluk))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IF($J154="","",LEFT($J154,cbb_ikincilUzunluk))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IF($B155="","",LEFT($B155,cbb_ikincilUzunluk))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IF($J155="","",LEFT($J155,cbb_ikincilUzunluk))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IF($B156="","",LEFT($B156,cbb_ikincilUzunluk))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IF($J156="","",LEFT($J156,cbb_ikincilUzunluk))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IF($B157="","",LEFT($B157,cbb_ikincilUzunluk))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IF($J157="","",LEFT($J157,cbb_ikincilUzunluk))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IF($B158="","",LEFT($B158,cbb_ikincilUzunluk))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IF($J158="","",LEFT($J158,cbb_ikincilUzunluk))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IF($B159="","",LEFT($B159,cbb_ikincilUzunluk))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IF($J159="","",LEFT($J159,cbb_ikincilUzunluk))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IF($B160="","",LEFT($B160,cbb_ikincilUzunluk))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IF($J160="","",LEFT($J160,cbb_ikincilUzunluk))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IF($B161="","",LEFT($B161,cbb_ikincilUzunluk))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IF($J161="","",LEFT($J161,cbb_ikincilUzunluk))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IF($B162="","",LEFT($B162,cbb_ikincilUzunluk))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IF($J162="","",LEFT($J162,cbb_ikincilUzunluk))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IF($B163="","",LEFT($B163,cbb_ikincilUzunluk))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IF($J163="","",LEFT($J163,cbb_ikincilUzunluk))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IF($B164="","",LEFT($B164,cbb_ikincilUzunluk))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IF($J164="","",LEFT($J164,cbb_ikincilUzunluk))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IF($B165="","",LEFT($B165,cbb_ikincilUzunluk))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IF($J165="","",LEFT($J165,cbb_ikincilUzunluk))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IF($B166="","",LEFT($B166,cbb_ikincilUzunluk))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IF($J166="","",LEFT($J166,cbb_ikincilUzunluk))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IF($B167="","",LEFT($B167,cbb_ikincilUzunluk))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IF($J167="","",LEFT($J167,cbb_ikincilUzunluk))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IF($B168="","",LEFT($B168,cbb_ikincilUzunluk))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IF($J168="","",LEFT($J168,cbb_ikincilUzunluk))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IF($B169="","",LEFT($B169,cbb_ikincilUzunluk))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IF($J169="","",LEFT($J169,cbb_ikincilUzunluk))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IF($B170="","",LEFT($B170,cbb_ikincilUzunluk))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IF($J170="","",LEFT($J170,cbb_ikincilUzunluk))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IF($B171="","",LEFT($B171,cbb_ikincilUzunluk))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IF($J171="","",LEFT($J171,cbb_ikincilUzunluk))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IF($B172="","",LEFT($B172,cbb_ikincilUzunluk))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IF($J172="","",LEFT($J172,cbb_ikincilUzunluk))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IF($B173="","",LEFT($B173,cbb_ikincilUzunluk))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IF($J173="","",LEFT($J173,cbb_ikincilUzunluk))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IF($B174="","",LEFT($B174,cbb_ikincilUzunluk))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IF($J174="","",LEFT($J174,cbb_ikincilUzunluk))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IF($B175="","",LEFT($B175,cbb_ikincilUzunluk))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IF($J175="","",LEFT($J175,cbb_ikincilUzunluk))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IF($B176="","",LEFT($B176,cbb_ikincilUzunluk))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IF($J176="","",LEFT($J176,cbb_ikincilUzunluk))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IF($B177="","",LEFT($B177,cbb_ikincilUzunluk))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IF($J177="","",LEFT($J177,cbb_ikincilUzunluk))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IF($B178="","",LEFT($B178,cbb_ikincilUzunluk))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IF($J178="","",LEFT($J178,cbb_ikincilUzunluk))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IF($B179="","",LEFT($B179,cbb_ikincilUzunluk))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IF($J179="","",LEFT($J179,cbb_ikincilUzunluk))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IF($B180="","",LEFT($B180,cbb_ikincilUzunluk))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IF($J180="","",LEFT($J180,cbb_ikincilUzunluk))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IF($B181="","",LEFT($B181,cbb_ikincilUzunluk))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IF($J181="","",LEFT($J181,cbb_ikincilUzunluk))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IF($B182="","",LEFT($B182,cbb_ikincilUzunluk))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IF($J182="","",LEFT($J182,cbb_ikincilUzunluk))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IF($B183="","",LEFT($B183,cbb_ikincilUzunluk))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IF($J183="","",LEFT($J183,cbb_ikincilUzunluk))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IF($B184="","",LEFT($B184,cbb_ikincilUzunluk))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IF($J184="","",LEFT($J184,cbb_ikincilUzunluk))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IF($B185="","",LEFT($B185,cbb_ikincilUzunluk))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IF($J185="","",LEFT($J185,cbb_ikincilUzunluk))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IF($B186="","",LEFT($B186,cbb_ikincilUzunluk))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IF($J186="","",LEFT($J186,cbb_ikincilUzunluk))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IF($B187="","",LEFT($B187,cbb_ikincilUzunluk))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IF($J187="","",LEFT($J187,cbb_ikincilUzunluk))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IF($B188="","",LEFT($B188,cbb_ikincilUzunluk))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IF($J188="","",LEFT($J188,cbb_ikincilUzunluk))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IF($B189="","",LEFT($B189,cbb_ikincilUzunluk))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IF($J189="","",LEFT($J189,cbb_ikincilUzunluk))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IF($B190="","",LEFT($B190,cbb_ikincilUzunluk))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IF($J190="","",LEFT($J190,cbb_ikincilUzunluk))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IF($B191="","",LEFT($B191,cbb_ikincilUzunluk))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IF($J191="","",LEFT($J191,cbb_ikincilUzunluk))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IF($B192="","",LEFT($B192,cbb_ikincilUzunluk))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IF($J192="","",LEFT($J192,cbb_ikincilUzunluk))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IF($B193="","",LEFT($B193,cbb_ikincilUzunluk))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IF($J193="","",LEFT($J193,cbb_ikincilUzunluk))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IF($B194="","",LEFT($B194,cbb_ikincilUzunluk))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IF($J194="","",LEFT($J194,cbb_ikincilUzunluk))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IF($B195="","",LEFT($B195,cbb_ikincilUzunluk))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IF($J195="","",LEFT($J195,cbb_ikincilUzunluk))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IF($B196="","",LEFT($B196,cbb_ikincilUzunluk))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IF($J196="","",LEFT($J196,cbb_ikincilUzunluk))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IF($B197="","",LEFT($B197,cbb_ikincilUzunluk))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IF($J197="","",LEFT($J197,cbb_ikincilUzunluk))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IF($B198="","",LEFT($B198,cbb_ikincilUzunluk))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IF($J198="","",LEFT($J198,cbb_ikincilUzunluk))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IF($B199="","",LEFT($B199,cbb_ikincilUzunluk))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IF($J199="","",LEFT($J199,cbb_ikincilUzunluk))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IF($B200="","",LEFT($B200,cbb_ikincilUzunluk))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IF($J200="","",LEFT($J200,cbb_ikincilUzunluk))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IF($B201="","",LEFT($B201,cbb_ikincilUzunluk))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IF($J201="","",LEFT($J201,cbb_ikincilUzunluk))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IF($B202="","",LEFT($B202,cbb_ikincilUzunluk))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IF($J202="","",LEFT($J202,cbb_ikincilUzunluk))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IF($B203="","",LEFT($B203,cbb_ikincilUzunluk))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IF($J203="","",LEFT($J203,cbb_ikincilUzunluk))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IF($B204="","",LEFT($B204,cbb_ikincilUzunluk))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IF($J204="","",LEFT($J204,cbb_ikincilUzunluk))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IF($B205="","",LEFT($B205,cbb_ikincilUzunluk))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IF($J205="","",LEFT($J205,cbb_ikincilUzunluk))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IF($B206="","",LEFT($B206,cbb_ikincilUzunluk))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IF($J206="","",LEFT($J206,cbb_ikincilUzunluk))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IF($B207="","",LEFT($B207,cbb_ikincilUzunluk))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IF($J207="","",LEFT($J207,cbb_ikincilUzunluk))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IF($B208="","",LEFT($B208,cbb_ikincilUzunluk))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IF($J208="","",LEFT($J208,cbb_ikincilUzunluk))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IF($B209="","",LEFT($B209,cbb_ikincilUzunluk))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IF($J209="","",LEFT($J209,cbb_ikincilUzunluk))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IF($B210="","",LEFT($B210,cbb_ikincilUzunluk))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IF($J210="","",LEFT($J210,cbb_ikincilUzunluk))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IF($B211="","",LEFT($B211,cbb_ikincilUzunluk))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IF($J211="","",LEFT($J211,cbb_ikincilUzunluk))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IF($B212="","",LEFT($B212,cbb_ikincilUzunluk))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IF($J212="","",LEFT($J212,cbb_ikincilUzunluk))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IF($B213="","",LEFT($B213,cbb_ikincilUzunluk))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IF($J213="","",LEFT($J213,cbb_ikincilUzunluk))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IF($B214="","",LEFT($B214,cbb_ikincilUzunluk))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IF($J214="","",LEFT($J214,cbb_ikincilUzunluk))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IF($B215="","",LEFT($B215,cbb_ikincilUzunluk))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IF($J215="","",LEFT($J215,cbb_ikincilUzunluk))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IF($B216="","",LEFT($B216,cbb_ikincilUzunluk))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IF($J216="","",LEFT($J216,cbb_ikincilUzunluk))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IF($B217="","",LEFT($B217,cbb_ikincilUzunluk))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IF($J217="","",LEFT($J217,cbb_ikincilUzunluk))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IF($B218="","",LEFT($B218,cbb_ikincilUzunluk))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IF($J218="","",LEFT($J218,cbb_ikincilUzunluk))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IF($B219="","",LEFT($B219,cbb_ikincilUzunluk))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IF($J219="","",LEFT($J219,cbb_ikincilUzunluk))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IF($B220="","",LEFT($B220,cbb_ikincilUzunluk))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IF($J220="","",LEFT($J220,cbb_ikincilUzunluk))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IF($B221="","",LEFT($B221,cbb_ikincilUzunluk))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IF($J221="","",LEFT($J221,cbb_ikincilUzunluk))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IF($B222="","",LEFT($B222,cbb_ikincilUzunluk))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IF($J222="","",LEFT($J222,cbb_ikincilUzunluk))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IF($B223="","",LEFT($B223,cbb_ikincilUzunluk))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IF($J223="","",LEFT($J223,cbb_ikincilUzunluk))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IF($B224="","",LEFT($B224,cbb_ikincilUzunluk))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IF($J224="","",LEFT($J224,cbb_ikincilUzunluk))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IF($B225="","",LEFT($B225,cbb_ikincilUzunluk))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IF($J225="","",LEFT($J225,cbb_ikincilUzunluk))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IF($B226="","",LEFT($B226,cbb_ikincilUzunluk))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IF($J226="","",LEFT($J226,cbb_ikincilUzunluk))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IF($B227="","",LEFT($B227,cbb_ikincilUzunluk))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IF($J227="","",LEFT($J227,cbb_ikincilUzunluk))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IF($B228="","",LEFT($B228,cbb_ikincilUzunluk))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IF($J228="","",LEFT($J228,cbb_ikincilUzunluk))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IF($B229="","",LEFT($B229,cbb_ikincilUzunluk))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IF($J229="","",LEFT($J229,cbb_ikincilUzunluk))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IF($B230="","",LEFT($B230,cbb_ikincilUzunluk))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IF($J230="","",LEFT($J230,cbb_ikincilUzunluk))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IF($B231="","",LEFT($B231,cbb_ikincilUzunluk))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IF($J231="","",LEFT($J231,cbb_ikincilUzunluk))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IF($B232="","",LEFT($B232,cbb_ikincilUzunluk))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IF($J232="","",LEFT($J232,cbb_ikincilUzunluk))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IF($B233="","",LEFT($B233,cbb_ikincilUzunluk))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IF($J233="","",LEFT($J233,cbb_ikincilUzunluk))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IF($B234="","",LEFT($B234,cbb_ikincilUzunluk))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IF($J234="","",LEFT($J234,cbb_ikincilUzunluk))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IF($B235="","",LEFT($B235,cbb_ikincilUzunluk))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IF($J235="","",LEFT($J235,cbb_ikincilUzunluk))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IF($B236="","",LEFT($B236,cbb_ikincilUzunluk))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IF($J236="","",LEFT($J236,cbb_ikincilUzunluk))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IF($B237="","",LEFT($B237,cbb_ikincilUzunluk))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IF($J237="","",LEFT($J237,cbb_ikincilUzunluk))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IF($B238="","",LEFT($B238,cbb_ikincilUzunluk))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IF($J238="","",LEFT($J238,cbb_ikincilUzunluk))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IF($B239="","",LEFT($B239,cbb_ikincilUzunluk))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IF($J239="","",LEFT($J239,cbb_ikincilUzunluk))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IF($B240="","",LEFT($B240,cbb_ikincilUzunluk))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IF($J240="","",LEFT($J240,cbb_ikincilUzunluk))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IF($B241="","",LEFT($B241,cbb_ikincilUzunluk))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IF($J241="","",LEFT($J241,cbb_ikincilUzunluk))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IF($B242="","",LEFT($B242,cbb_ikincilUzunluk))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IF($J242="","",LEFT($J242,cbb_ikincilUzunluk))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IF($B243="","",LEFT($B243,cbb_ikincilUzunluk))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IF($J243="","",LEFT($J243,cbb_ikincilUzunluk))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IF($B244="","",LEFT($B244,cbb_ikincilUzunluk))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IF($J244="","",LEFT($J244,cbb_ikincilUzunluk))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IF($B245="","",LEFT($B245,cbb_ikincilUzunluk))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IF($J245="","",LEFT($J245,cbb_ikincilUzunluk))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IF($B246="","",LEFT($B246,cbb_ikincilUzunluk))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IF($J246="","",LEFT($J246,cbb_ikincilUzunluk))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IF($B247="","",LEFT($B247,cbb_ikincilUzunluk))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IF($J247="","",LEFT($J247,cbb_ikincilUzunluk))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IF($B248="","",LEFT($B248,cbb_ikincilUzunluk))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IF($J248="","",LEFT($J248,cbb_ikincilUzunluk))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IF($B249="","",LEFT($B249,cbb_ikincilUzunluk))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IF($J249="","",LEFT($J249,cbb_ikincilUzunluk))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IF($B250="","",LEFT($B250,cbb_ikincilUzunluk))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IF($J250="","",LEFT($J250,cbb_ikincilUzunluk))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IF($B251="","",LEFT($B251,cbb_ikincilUzunluk))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IF($J251="","",LEFT($J251,cbb_ikincilUzunluk))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IF($B252="","",LEFT($B252,cbb_ikincilUzunluk))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IF($J252="","",LEFT($J252,cbb_ikincilUzunluk))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IF($B253="","",LEFT($B253,cbb_ikincilUzunluk))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IF($J253="","",LEFT($J253,cbb_ikincilUzunluk))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IF($B254="","",LEFT($B254,cbb_ikincilUzunluk))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IF($J254="","",LEFT($J254,cbb_ikincilUzunluk))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IF($B255="","",LEFT($B255,cbb_ikincilUzunluk))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IF($J255="","",LEFT($J255,cbb_ikincilUzunluk))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IF($B256="","",LEFT($B256,cbb_ikincilUzunluk))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IF($J256="","",LEFT($J256,cbb_ikincilUzunluk))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IF($B257="","",LEFT($B257,cbb_ikincilUzunluk))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IF($J257="","",LEFT($J257,cbb_ikincilUzunluk))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IF($B258="","",LEFT($B258,cbb_ikincilUzunluk))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IF($J258="","",LEFT($J258,cbb_ikincilUzunluk))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IF($B259="","",LEFT($B259,cbb_ikincilUzunluk))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IF($J259="","",LEFT($J259,cbb_ikincilUzunluk))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IF($B260="","",LEFT($B260,cbb_ikincilUzunluk))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IF($J260="","",LEFT($J260,cbb_ikincilUzunluk))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IF($B261="","",LEFT($B261,cbb_ikincilUzunluk))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IF($J261="","",LEFT($J261,cbb_ikincilUzunluk))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IF($B262="","",LEFT($B262,cbb_ikincilUzunluk))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IF($J262="","",LEFT($J262,cbb_ikincilUzunluk))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IF($B263="","",LEFT($B263,cbb_ikincilUzunluk))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IF($J263="","",LEFT($J263,cbb_ikincilUzunluk))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IF($B264="","",LEFT($B264,cbb_ikincilUzunluk))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IF($J264="","",LEFT($J264,cbb_ikincilUzunluk))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IF($B265="","",LEFT($B265,cbb_ikincilUzunluk))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IF($J265="","",LEFT($J265,cbb_ikincilUzunluk))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IF($B266="","",LEFT($B266,cbb_ikincilUzunluk))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IF($J266="","",LEFT($J266,cbb_ikincilUzunluk))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IF($B267="","",LEFT($B267,cbb_ikincilUzunluk))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IF($J267="","",LEFT($J267,cbb_ikincilUzunluk))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IF($B268="","",LEFT($B268,cbb_ikincilUzunluk))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IF($J268="","",LEFT($J268,cbb_ikincilUzunluk))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IF($B269="","",LEFT($B269,cbb_ikincilUzunluk))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IF($J269="","",LEFT($J269,cbb_ikincilUzunluk))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IF($B270="","",LEFT($B270,cbb_ikincilUzunluk))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IF($J270="","",LEFT($J270,cbb_ikincilUzunluk))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IF($B271="","",LEFT($B271,cbb_ikincilUzunluk))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IF($J271="","",LEFT($J271,cbb_ikincilUzunluk))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IF($B272="","",LEFT($B272,cbb_ikincilUzunluk))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IF($J272="","",LEFT($J272,cbb_ikincilUzunluk))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IF($B273="","",LEFT($B273,cbb_ikincilUzunluk))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IF($J273="","",LEFT($J273,cbb_ikincilUzunluk))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IF($B274="","",LEFT($B274,cbb_ikincilUzunluk))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IF($J274="","",LEFT($J274,cbb_ikincilUzunluk))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IF($B275="","",LEFT($B275,cbb_ikincilUzunluk))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IF($J275="","",LEFT($J275,cbb_ikincilUzunluk))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IF($B276="","",LEFT($B276,cbb_ikincilUzunluk))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IF($J276="","",LEFT($J276,cbb_ikincilUzunluk))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IF($B277="","",LEFT($B277,cbb_ikincilUzunluk))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IF($J277="","",LEFT($J277,cbb_ikincilUzunluk))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IF($B278="","",LEFT($B278,cbb_ikincilUzunluk))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IF($J278="","",LEFT($J278,cbb_ikincilUzunluk))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IF($B279="","",LEFT($B279,cbb_ikincilUzunluk))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IF($J279="","",LEFT($J279,cbb_ikincilUzunluk))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IF($B280="","",LEFT($B280,cbb_ikincilUzunluk))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IF($J280="","",LEFT($J280,cbb_ikincilUzunluk))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IF($B281="","",LEFT($B281,cbb_ikincilUzunluk))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IF($J281="","",LEFT($J281,cbb_ikincilUzunluk))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IF($B282="","",LEFT($B282,cbb_ikincilUzunluk))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IF($J282="","",LEFT($J282,cbb_ikincilUzunluk))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IF($B283="","",LEFT($B283,cbb_ikincilUzunluk))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IF($J283="","",LEFT($J283,cbb_ikincilUzunluk))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IF($B284="","",LEFT($B284,cbb_ikincilUzunluk))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IF($J284="","",LEFT($J284,cbb_ikincilUzunluk))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IF($B285="","",LEFT($B285,cbb_ikincilUzunluk))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IF($J285="","",LEFT($J285,cbb_ikincilUzunluk))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IF($B286="","",LEFT($B286,cbb_ikincilUzunluk))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IF($J286="","",LEFT($J286,cbb_ikincilUzunluk))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IF($B287="","",LEFT($B287,cbb_ikincilUzunluk))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IF($J287="","",LEFT($J287,cbb_ikincilUzunluk))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IF($B288="","",LEFT($B288,cbb_ikincilUzunluk))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IF($J288="","",LEFT($J288,cbb_ikincilUzunluk))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IF($B289="","",LEFT($B289,cbb_ikincilUzunluk))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IF($J289="","",LEFT($J289,cbb_ikincilUzunluk))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IF($B290="","",LEFT($B290,cbb_ikincilUzunluk))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IF($J290="","",LEFT($J290,cbb_ikincilUzunluk))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IF($B291="","",LEFT($B291,cbb_ikincilUzunluk))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IF($J291="","",LEFT($J291,cbb_ikincilUzunluk))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IF($B292="","",LEFT($B292,cbb_ikincilUzunluk))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IF($J292="","",LEFT($J292,cbb_ikincilUzunluk))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IF($B293="","",LEFT($B293,cbb_ikincilUzunluk))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IF($J293="","",LEFT($J293,cbb_ikincilUzunluk))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IF($B294="","",LEFT($B294,cbb_ikincilUzunluk))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IF($J294="","",LEFT($J294,cbb_ikincilUzunluk))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IF($B295="","",LEFT($B295,cbb_ikincilUzunluk))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IF($J295="","",LEFT($J295,cbb_ikincilUzunluk))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IF($B296="","",LEFT($B296,cbb_ikincilUzunluk))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IF($J296="","",LEFT($J296,cbb_ikincilUzunluk))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IF($B297="","",LEFT($B297,cbb_ikincilUzunluk))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IF($J297="","",LEFT($J297,cbb_ikincilUzunluk))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IF($B298="","",LEFT($B298,cbb_ikincilUzunluk))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IF($J298="","",LEFT($J298,cbb_ikincilUzunluk))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IF($B299="","",LEFT($B299,cbb_ikincilUzunluk))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IF($J299="","",LEFT($J299,cbb_ikincilUzunluk))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IF($B300="","",LEFT($B300,cbb_ikincilUzunluk))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IF($J300="","",LEFT($J300,cbb_ikincilUzunluk))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IF($B301="","",LEFT($B301,cbb_ikincilUzunluk))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IF($J301="","",LEFT($J301,cbb_ikincilUzunluk))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IF($B302="","",LEFT($B302,cbb_ikincilUzunluk))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IF($J302="","",LEFT($J302,cbb_ikincilUzunluk))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IF($B303="","",LEFT($B303,cbb_ikincilUzunluk))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IF($J303="","",LEFT($J303,cbb_ikincilUzunluk))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IF($B304="","",LEFT($B304,cbb_ikincilUzunluk))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IF($J304="","",LEFT($J304,cbb_ikincilUzunluk))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IF($B305="","",LEFT($B305,cbb_ikincilUzunluk))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IF($J305="","",LEFT($J305,cbb_ikincilUzunluk))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IF($B306="","",LEFT($B306,cbb_ikincilUzunluk))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IF($J306="","",LEFT($J306,cbb_ikincilUzunluk))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IF($B307="","",LEFT($B307,cbb_ikincilUzunluk))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IF($J307="","",LEFT($J307,cbb_ikincilUzunluk))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IF($B308="","",LEFT($B308,cbb_ikincilUzunluk))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IF($J308="","",LEFT($J308,cbb_ikincilUzunluk))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IF($B309="","",LEFT($B309,cbb_ikincilUzunluk))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IF($J309="","",LEFT($J309,cbb_ikincilUzunluk))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IF($B310="","",LEFT($B310,cbb_ikincilUzunluk))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IF($J310="","",LEFT($J310,cbb_ikincilUzunluk))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IF($B311="","",LEFT($B311,cbb_ikincilUzunluk))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IF($J311="","",LEFT($J311,cbb_ikincilUzunluk))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IF($B312="","",LEFT($B312,cbb_ikincilUzunluk))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IF($J312="","",LEFT($J312,cbb_ikincilUzunluk))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IF($B313="","",LEFT($B313,cbb_ikincilUzunluk))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IF($J313="","",LEFT($J313,cbb_ikincilUzunluk))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IF($B314="","",LEFT($B314,cbb_ikincilUzunluk))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IF($J314="","",LEFT($J314,cbb_ikincilUzunluk))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IF($B315="","",LEFT($B315,cbb_ikincilUzunluk))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IF($J315="","",LEFT($J315,cbb_ikincilUzunluk))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IF($B316="","",LEFT($B316,cbb_ikincilUzunluk))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IF($J316="","",LEFT($J316,cbb_ikincilUzunluk))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IF($B317="","",LEFT($B317,cbb_ikincilUzunluk))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IF($J317="","",LEFT($J317,cbb_ikincilUzunluk))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IF($B318="","",LEFT($B318,cbb_ikincilUzunluk))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IF($J318="","",LEFT($J318,cbb_ikincilUzunluk))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IF($B319="","",LEFT($B319,cbb_ikincilUzunluk))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IF($J319="","",LEFT($J319,cbb_ikincilUzunluk))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IF($B320="","",LEFT($B320,cbb_ikincilUzunluk))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IF($J320="","",LEFT($J320,cbb_ikincilUzunluk))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IF($B321="","",LEFT($B321,cbb_ikincilUzunluk))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IF($J321="","",LEFT($J321,cbb_ikincilUzunluk))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IF($B322="","",LEFT($B322,cbb_ikincilUzunluk))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IF($J322="","",LEFT($J322,cbb_ikincilUzunluk))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IF($B323="","",LEFT($B323,cbb_ikincilUzunluk))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IF($J323="","",LEFT($J323,cbb_ikincilUzunluk))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IF($B324="","",LEFT($B324,cbb_ikincilUzunluk))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IF($J324="","",LEFT($J324,cbb_ikincilUzunluk))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IF($B325="","",LEFT($B325,cbb_ikincilUzunluk))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IF($J325="","",LEFT($J325,cbb_ikincilUzunluk))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IF($B326="","",LEFT($B326,cbb_ikincilUzunluk))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IF($J326="","",LEFT($J326,cbb_ikincilUzunluk))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IF($B327="","",LEFT($B327,cbb_ikincilUzunluk))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IF($J327="","",LEFT($J327,cbb_ikincilUzunluk))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IF($B328="","",LEFT($B328,cbb_ikincilUzunluk))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IF($J328="","",LEFT($J328,cbb_ikincilUzunluk))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IF($B329="","",LEFT($B329,cbb_ikincilUzunluk))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IF($J329="","",LEFT($J329,cbb_ikincilUzunluk))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IF($B330="","",LEFT($B330,cbb_ikincilUzunluk))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IF($J330="","",LEFT($J330,cbb_ikincilUzunluk))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IF($B331="","",LEFT($B331,cbb_ikincilUzunluk))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IF($J331="","",LEFT($J331,cbb_ikincilUzunluk))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IF($B332="","",LEFT($B332,cbb_ikincilUzunluk))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IF($J332="","",LEFT($J332,cbb_ikincilUzunluk))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IF($B333="","",LEFT($B333,cbb_ikincilUzunluk))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IF($J333="","",LEFT($J333,cbb_ikincilUzunluk))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IF($B334="","",LEFT($B334,cbb_ikincilUzunluk))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IF($J334="","",LEFT($J334,cbb_ikincilUzunluk))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IF($B335="","",LEFT($B335,cbb_ikincilUzunluk))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IF($J335="","",LEFT($J335,cbb_ikincilUzunluk))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IF($B336="","",LEFT($B336,cbb_ikincilUzunluk))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IF($J336="","",LEFT($J336,cbb_ikincilUzunluk))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IF($B337="","",LEFT($B337,cbb_ikincilUzunluk))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IF($J337="","",LEFT($J337,cbb_ikincilUzunluk))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IF($B338="","",LEFT($B338,cbb_ikincilUzunluk))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IF($J338="","",LEFT($J338,cbb_ikincilUzunluk))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IF($B339="","",LEFT($B339,cbb_ikincilUzunluk))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IF($J339="","",LEFT($J339,cbb_ikincilUzunluk))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IF($B340="","",LEFT($B340,cbb_ikincilUzunluk))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IF($J340="","",LEFT($J340,cbb_ikincilUzunluk))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IF($B341="","",LEFT($B341,cbb_ikincilUzunluk))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IF($J341="","",LEFT($J341,cbb_ikincilUzunluk))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IF($B342="","",LEFT($B342,cbb_ikincilUzunluk))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IF($J342="","",LEFT($J342,cbb_ikincilUzunluk))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IF($B343="","",LEFT($B343,cbb_ikincilUzunluk))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IF($J343="","",LEFT($J343,cbb_ikincilUzunluk))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IF($B344="","",LEFT($B344,cbb_ikincilUzunluk))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IF($J344="","",LEFT($J344,cbb_ikincilUzunluk))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IF($B345="","",LEFT($B345,cbb_ikincilUzunluk))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IF($J345="","",LEFT($J345,cbb_ikincilUzunluk))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IF($B346="","",LEFT($B346,cbb_ikincilUzunluk))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IF($J346="","",LEFT($J346,cbb_ikincilUzunluk))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IF($B347="","",LEFT($B347,cbb_ikincilUzunluk))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IF($J347="","",LEFT($J347,cbb_ikincilUzunluk))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IF($B348="","",LEFT($B348,cbb_ikincilUzunluk))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IF($J348="","",LEFT($J348,cbb_ikincilUzunluk))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IF($B349="","",LEFT($B349,cbb_ikincilUzunluk))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IF($J349="","",LEFT($J349,cbb_ikincilUzunluk))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IF($B350="","",LEFT($B350,cbb_ikincilUzunluk))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IF($J350="","",LEFT($J350,cbb_ikincilUzunluk))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IF($B351="","",LEFT($B351,cbb_ikincilUzunluk))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IF($J351="","",LEFT($J351,cbb_ikincilUzunluk))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IF($B352="","",LEFT($B352,cbb_ikincilUzunluk))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IF($J352="","",LEFT($J352,cbb_ikincilUzunluk))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IF($B353="","",LEFT($B353,cbb_ikincilUzunluk))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IF($J353="","",LEFT($J353,cbb_ikincilUzunluk))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IF($B354="","",LEFT($B354,cbb_ikincilUzunluk))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IF($J354="","",LEFT($J354,cbb_ikincilUzunluk))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IF($B355="","",LEFT($B355,cbb_ikincilUzunluk))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IF($J355="","",LEFT($J355,cbb_ikincilUzunluk))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IF($B356="","",LEFT($B356,cbb_ikincilUzunluk))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IF($J356="","",LEFT($J356,cbb_ikincilUzunluk))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IF($B357="","",LEFT($B357,cbb_ikincilUzunluk))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IF($J357="","",LEFT($J357,cbb_ikincilUzunluk))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IF($B358="","",LEFT($B358,cbb_ikincilUzunluk))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IF($J358="","",LEFT($J358,cbb_ikincilUzunluk))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IF($B359="","",LEFT($B359,cbb_ikincilUzunluk))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IF($J359="","",LEFT($J359,cbb_ikincilUzunluk))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IF($B360="","",LEFT($B360,cbb_ikincilUzunluk))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IF($J360="","",LEFT($J360,cbb_ikincilUzunluk))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IF($B361="","",LEFT($B361,cbb_ikincilUzunluk))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IF($J361="","",LEFT($J361,cbb_ikincilUzunluk))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IF($B362="","",LEFT($B362,cbb_ikincilUzunluk))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IF($J362="","",LEFT($J362,cbb_ikincilUzunluk))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IF($B363="","",LEFT($B363,cbb_ikincilUzunluk))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IF($J363="","",LEFT($J363,cbb_ikincilUzunluk))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IF($B364="","",LEFT($B364,cbb_ikincilUzunluk))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IF($J364="","",LEFT($J364,cbb_ikincilUzunluk))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IF($B365="","",LEFT($B365,cbb_ikincilUzunluk))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IF($J365="","",LEFT($J365,cbb_ikincilUzunluk))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IF($B366="","",LEFT($B366,cbb_ikincilUzunluk))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IF($J366="","",LEFT($J366,cbb_ikincilUzunluk))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IF($B367="","",LEFT($B367,cbb_ikincilUzunluk))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IF($J367="","",LEFT($J367,cbb_ikincilUzunluk))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IF($B368="","",LEFT($B368,cbb_ikincilUzunluk))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IF($J368="","",LEFT($J368,cbb_ikincilUzunluk))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IF($B369="","",LEFT($B369,cbb_ikincilUzunluk))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IF($J369="","",LEFT($J369,cbb_ikincilUzunluk))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IF($B370="","",LEFT($B370,cbb_ikincilUzunluk))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IF($J370="","",LEFT($J370,cbb_ikincilUzunluk))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IF($B371="","",LEFT($B371,cbb_ikincilUzunluk))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IF($J371="","",LEFT($J371,cbb_ikincilUzunluk))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IF($B372="","",LEFT($B372,cbb_ikincilUzunluk))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IF($J372="","",LEFT($J372,cbb_ikincilUzunluk))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IF($B373="","",LEFT($B373,cbb_ikincilUzunluk))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IF($J373="","",LEFT($J373,cbb_ikincilUzunluk))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IF($B374="","",LEFT($B374,cbb_ikincilUzunluk))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IF($J374="","",LEFT($J374,cbb_ikincilUzunluk))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IF($B375="","",LEFT($B375,cbb_ikincilUzunluk))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IF($J375="","",LEFT($J375,cbb_ikincilUzunluk))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IF($B376="","",LEFT($B376,cbb_ikincilUzunluk))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IF($J376="","",LEFT($J376,cbb_ikincilUzunluk))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IF($B377="","",LEFT($B377,cbb_ikincilUzunluk))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IF($J377="","",LEFT($J377,cbb_ikincilUzunluk))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IF($B378="","",LEFT($B378,cbb_ikincilUzunluk))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IF($J378="","",LEFT($J378,cbb_ikincilUzunluk))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IF($B379="","",LEFT($B379,cbb_ikincilUzunluk))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IF($J379="","",LEFT($J379,cbb_ikincilUzunluk))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IF($B380="","",LEFT($B380,cbb_ikincilUzunluk))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IF($J380="","",LEFT($J380,cbb_ikincilUzunluk))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IF($B381="","",LEFT($B381,cbb_ikincilUzunluk))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IF($J381="","",LEFT($J381,cbb_ikincilUzunluk))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IF($B382="","",LEFT($B382,cbb_ikincilUzunluk))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IF($J382="","",LEFT($J382,cbb_ikincilUzunluk))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IF($B383="","",LEFT($B383,cbb_ikincilUzunluk))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IF($J383="","",LEFT($J383,cbb_ikincilUzunluk))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IF($B384="","",LEFT($B384,cbb_ikincilUzunluk))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IF($J384="","",LEFT($J384,cbb_ikincilUzunluk))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IF($B385="","",LEFT($B385,cbb_ikincilUzunluk))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IF($J385="","",LEFT($J385,cbb_ikincilUzunluk))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IF($B386="","",LEFT($B386,cbb_ikincilUzunluk))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IF($J386="","",LEFT($J386,cbb_ikincilUzunluk))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IF($B387="","",LEFT($B387,cbb_ikincilUzunluk))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IF($J387="","",LEFT($J387,cbb_ikincilUzunluk))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IF($B388="","",LEFT($B388,cbb_ikincilUzunluk))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IF($J388="","",LEFT($J388,cbb_ikincilUzunluk))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IF($B389="","",LEFT($B389,cbb_ikincilUzunluk))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IF($J389="","",LEFT($J389,cbb_ikincilUzunluk))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IF($B390="","",LEFT($B390,cbb_ikincilUzunluk))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IF($J390="","",LEFT($J390,cbb_ikincilUzunluk))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IF($B391="","",LEFT($B391,cbb_ikincilUzunluk))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IF($J391="","",LEFT($J391,cbb_ikincilUzunluk))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IF($B392="","",LEFT($B392,cbb_ikincilUzunluk))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IF($J392="","",LEFT($J392,cbb_ikincilUzunluk))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IF($B393="","",LEFT($B393,cbb_ikincilUzunluk))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IF($J393="","",LEFT($J393,cbb_ikincilUzunluk))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IF($B394="","",LEFT($B394,cbb_ikincilUzunluk))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IF($J394="","",LEFT($J394,cbb_ikincilUzunluk))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IF($B395="","",LEFT($B395,cbb_ikincilUzunluk))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IF($J395="","",LEFT($J395,cbb_ikincilUzunluk))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IF($B396="","",LEFT($B396,cbb_ikincilUzunluk))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IF($J396="","",LEFT($J396,cbb_ikincilUzunluk))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IF($B397="","",LEFT($B397,cbb_ikincilUzunluk))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IF($J397="","",LEFT($J397,cbb_ikincilUzunluk))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IF($B398="","",LEFT($B398,cbb_ikincilUzunluk))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IF($J398="","",LEFT($J398,cbb_ikincilUzunluk))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IF($B399="","",LEFT($B399,cbb_ikincilUzunluk))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IF($J399="","",LEFT($J399,cbb_ikincilUzunluk))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IF($B400="","",LEFT($B400,cbb_ikincilUzunluk))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IF($J400="","",LEFT($J400,cbb_ikincilUzunluk))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IF($B401="","",LEFT($B401,cbb_ikincilUzunluk))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IF($J401="","",LEFT($J401,cbb_ikincilUzunluk))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IF($B402="","",LEFT($B402,cbb_ikincilUzunluk))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IF($J402="","",LEFT($J402,cbb_ikincilUzunluk))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IF($B403="","",LEFT($B403,cbb_ikincilUzunluk))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IF($J403="","",LEFT($J403,cbb_ikincilUzunluk))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IF($B404="","",LEFT($B404,cbb_ikincilUzunluk))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IF($J404="","",LEFT($J404,cbb_ikincilUzunluk))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IF($B405="","",LEFT($B405,cbb_ikincilUzunluk))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IF($J405="","",LEFT($J405,cbb_ikincilUzunluk))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IF($B406="","",LEFT($B406,cbb_ikincilUzunluk))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IF($J406="","",LEFT($J406,cbb_ikincilUzunluk))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IF($B407="","",LEFT($B407,cbb_ikincilUzunluk))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IF($J407="","",LEFT($J407,cbb_ikincilUzunluk))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IF($B408="","",LEFT($B408,cbb_ikincilUzunluk))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IF($J408="","",LEFT($J408,cbb_ikincilUzunluk))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IF($B409="","",LEFT($B409,cbb_ikincilUzunluk))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IF($J409="","",LEFT($J409,cbb_ikincilUzunluk))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IF($B410="","",LEFT($B410,cbb_ikincilUzunluk))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IF($J410="","",LEFT($J410,cbb_ikincilUzunluk))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IF($B411="","",LEFT($B411,cbb_ikincilUzunluk))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IF($J411="","",LEFT($J411,cbb_ikincilUzunluk))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IF($B412="","",LEFT($B412,cbb_ikincilUzunluk))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IF($J412="","",LEFT($J412,cbb_ikincilUzunluk))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IF($B413="","",LEFT($B413,cbb_ikincilUzunluk))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IF($J413="","",LEFT($J413,cbb_ikincilUzunluk))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IF($B414="","",LEFT($B414,cbb_ikincilUzunluk))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IF($J414="","",LEFT($J414,cbb_ikincilUzunluk))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IF($B415="","",LEFT($B415,cbb_ikincilUzunluk))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IF($J415="","",LEFT($J415,cbb_ikincilUzunluk))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IF($B416="","",LEFT($B416,cbb_ikincilUzunluk))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IF($J416="","",LEFT($J416,cbb_ikincilUzunluk))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IF($B417="","",LEFT($B417,cbb_ikincilUzunluk))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IF($J417="","",LEFT($J417,cbb_ikincilUzunluk))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IF($B418="","",LEFT($B418,cbb_ikincilUzunluk))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IF($J418="","",LEFT($J418,cbb_ikincilUzunluk))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IF($B419="","",LEFT($B419,cbb_ikincilUzunluk))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IF($J419="","",LEFT($J419,cbb_ikincilUzunluk))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IF($B420="","",LEFT($B420,cbb_ikincilUzunluk))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IF($J420="","",LEFT($J420,cbb_ikincilUzunluk))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IF($B421="","",LEFT($B421,cbb_ikincilUzunluk))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IF($J421="","",LEFT($J421,cbb_ikincilUzunluk))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IF($B422="","",LEFT($B422,cbb_ikincilUzunluk))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IF($J422="","",LEFT($J422,cbb_ikincilUzunluk))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IF($B423="","",LEFT($B423,cbb_ikincilUzunluk))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IF($J423="","",LEFT($J423,cbb_ikincilUzunluk))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IF($B424="","",LEFT($B424,cbb_ikincilUzunluk))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IF($J424="","",LEFT($J424,cbb_ikincilUzunluk))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IF($B425="","",LEFT($B425,cbb_ikincilUzunluk))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IF($J425="","",LEFT($J425,cbb_ikincilUzunluk))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IF($B426="","",LEFT($B426,cbb_ikincilUzunluk))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IF($J426="","",LEFT($J426,cbb_ikincilUzunluk))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IF($B427="","",LEFT($B427,cbb_ikincilUzunluk))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IF($J427="","",LEFT($J427,cbb_ikincilUzunluk))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IF($B428="","",LEFT($B428,cbb_ikincilUzunluk))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IF($J428="","",LEFT($J428,cbb_ikincilUzunluk))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IF($B429="","",LEFT($B429,cbb_ikincilUzunluk))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IF($J429="","",LEFT($J429,cbb_ikincilUzunluk))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IF($B430="","",LEFT($B430,cbb_ikincilUzunluk))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IF($J430="","",LEFT($J430,cbb_ikincilUzunluk))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IF($B431="","",LEFT($B431,cbb_ikincilUzunluk))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IF($J431="","",LEFT($J431,cbb_ikincilUzunluk))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IF($B432="","",LEFT($B432,cbb_ikincilUzunluk))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IF($J432="","",LEFT($J432,cbb_ikincilUzunluk))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IF($B433="","",LEFT($B433,cbb_ikincilUzunluk))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IF($J433="","",LEFT($J433,cbb_ikincilUzunluk))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IF($B434="","",LEFT($B434,cbb_ikincilUzunluk))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IF($J434="","",LEFT($J434,cbb_ikincilUzunluk))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IF($B435="","",LEFT($B435,cbb_ikincilUzunluk))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IF($J435="","",LEFT($J435,cbb_ikincilUzunluk))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IF($B436="","",LEFT($B436,cbb_ikincilUzunluk))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IF($J436="","",LEFT($J436,cbb_ikincilUzunluk))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IF($B437="","",LEFT($B437,cbb_ikincilUzunluk))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IF($J437="","",LEFT($J437,cbb_ikincilUzunluk))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IF($B438="","",LEFT($B438,cbb_ikincilUzunluk))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IF($J438="","",LEFT($J438,cbb_ikincilUzunluk))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IF($B439="","",LEFT($B439,cbb_ikincilUzunluk))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IF($J439="","",LEFT($J439,cbb_ikincilUzunluk))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IF($B440="","",LEFT($B440,cbb_ikincilUzunluk))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IF($J440="","",LEFT($J440,cbb_ikincilUzunluk))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IF($B441="","",LEFT($B441,cbb_ikincilUzunluk))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IF($J441="","",LEFT($J441,cbb_ikincilUzunluk))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IF($B442="","",LEFT($B442,cbb_ikincilUzunluk))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IF($J442="","",LEFT($J442,cbb_ikincilUzunluk))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IF($B443="","",LEFT($B443,cbb_ikincilUzunluk))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IF($J443="","",LEFT($J443,cbb_ikincilUzunluk))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IF($B444="","",LEFT($B444,cbb_ikincilUzunluk))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IF($J444="","",LEFT($J444,cbb_ikincilUzunluk))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IF($B445="","",LEFT($B445,cbb_ikincilUzunluk))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IF($J445="","",LEFT($J445,cbb_ikincilUzunluk))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IF($B446="","",LEFT($B446,cbb_ikincilUzunluk))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IF($J446="","",LEFT($J446,cbb_ikincilUzunluk))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IF($B447="","",LEFT($B447,cbb_ikincilUzunluk))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IF($J447="","",LEFT($J447,cbb_ikincilUzunluk))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IF($B448="","",LEFT($B448,cbb_ikincilUzunluk))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IF($J448="","",LEFT($J448,cbb_ikincilUzunluk))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IF($B449="","",LEFT($B449,cbb_ikincilUzunluk))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IF($J449="","",LEFT($J449,cbb_ikincilUzunluk))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IF($B450="","",LEFT($B450,cbb_ikincilUzunluk))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IF($J450="","",LEFT($J450,cbb_ikincilUzunluk))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IF($B451="","",LEFT($B451,cbb_ikincilUzunluk))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IF($J451="","",LEFT($J451,cbb_ikincilUzunluk))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IF($B452="","",LEFT($B452,cbb_ikincilUzunluk))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IF($J452="","",LEFT($J452,cbb_ikincilUzunluk))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IF($B453="","",LEFT($B453,cbb_ikincilUzunluk))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IF($J453="","",LEFT($J453,cbb_ikincilUzunluk))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IF($B454="","",LEFT($B454,cbb_ikincilUzunluk))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IF($J454="","",LEFT($J454,cbb_ikincilUzunluk))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IF($B455="","",LEFT($B455,cbb_ikincilUzunluk))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IF($J455="","",LEFT($J455,cbb_ikincilUzunluk))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IF($B456="","",LEFT($B456,cbb_ikincilUzunluk))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IF($J456="","",LEFT($J456,cbb_ikincilUzunluk))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IF($B457="","",LEFT($B457,cbb_ikincilUzunluk))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IF($J457="","",LEFT($J457,cbb_ikincilUzunluk))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IF($B458="","",LEFT($B458,cbb_ikincilUzunluk))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IF($J458="","",LEFT($J458,cbb_ikincilUzunluk))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IF($B459="","",LEFT($B459,cbb_ikincilUzunluk))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IF($J459="","",LEFT($J459,cbb_ikincilUzunluk))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IF($B460="","",LEFT($B460,cbb_ikincilUzunluk))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IF($J460="","",LEFT($J460,cbb_ikincilUzunluk))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IF($B461="","",LEFT($B461,cbb_ikincilUzunluk))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IF($J461="","",LEFT($J461,cbb_ikincilUzunluk))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IF($B462="","",LEFT($B462,cbb_ikincilUzunluk))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IF($J462="","",LEFT($J462,cbb_ikincilUzunluk))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IF($B463="","",LEFT($B463,cbb_ikincilUzunluk))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IF($J463="","",LEFT($J463,cbb_ikincilUzunluk))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IF($B464="","",LEFT($B464,cbb_ikincilUzunluk))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IF($J464="","",LEFT($J464,cbb_ikincilUzunluk))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IF($B465="","",LEFT($B465,cbb_ikincilUzunluk))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IF($J465="","",LEFT($J465,cbb_ikincilUzunluk))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IF($B466="","",LEFT($B466,cbb_ikincilUzunluk))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IF($J466="","",LEFT($J466,cbb_ikincilUzunluk))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IF($B467="","",LEFT($B467,cbb_ikincilUzunluk))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IF($J467="","",LEFT($J467,cbb_ikincilUzunluk))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IF($B468="","",LEFT($B468,cbb_ikincilUzunluk))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IF($J468="","",LEFT($J468,cbb_ikincilUzunluk))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IF($B469="","",LEFT($B469,cbb_ikincilUzunluk))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IF($J469="","",LEFT($J469,cbb_ikincilUzunluk))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IF($B470="","",LEFT($B470,cbb_ikincilUzunluk))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IF($J470="","",LEFT($J470,cbb_ikincilUzunluk))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IF($B471="","",LEFT($B471,cbb_ikincilUzunluk))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IF($J471="","",LEFT($J471,cbb_ikincilUzunluk))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IF($B472="","",LEFT($B472,cbb_ikincilUzunluk))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IF($J472="","",LEFT($J472,cbb_ikincilUzunluk))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IF($B473="","",LEFT($B473,cbb_ikincilUzunluk))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IF($J473="","",LEFT($J473,cbb_ikincilUzunluk))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IF($B474="","",LEFT($B474,cbb_ikincilUzunluk))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IF($J474="","",LEFT($J474,cbb_ikincilUzunluk))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IF($B475="","",LEFT($B475,cbb_ikincilUzunluk))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IF($J475="","",LEFT($J475,cbb_ikincilUzunluk))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IF($B476="","",LEFT($B476,cbb_ikincilUzunluk))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IF($J476="","",LEFT($J476,cbb_ikincilUzunluk))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IF($B477="","",LEFT($B477,cbb_ikincilUzunluk))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IF($J477="","",LEFT($J477,cbb_ikincilUzunluk))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IF($B478="","",LEFT($B478,cbb_ikincilUzunluk))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IF($J478="","",LEFT($J478,cbb_ikincilUzunluk))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IF($B479="","",LEFT($B479,cbb_ikincilUzunluk))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IF($J479="","",LEFT($J479,cbb_ikincilUzunluk))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IF($B480="","",LEFT($B480,cbb_ikincilUzunluk))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IF($J480="","",LEFT($J480,cbb_ikincilUzunluk))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IF($B481="","",LEFT($B481,cbb_ikincilUzunluk))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IF($J481="","",LEFT($J481,cbb_ikincilUzunluk))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IF($B482="","",LEFT($B482,cbb_ikincilUzunluk))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IF($J482="","",LEFT($J482,cbb_ikincilUzunluk))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IF($B483="","",LEFT($B483,cbb_ikincilUzunluk))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IF($J483="","",LEFT($J483,cbb_ikincilUzunluk))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IF($B484="","",LEFT($B484,cbb_ikincilUzunluk))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IF($J484="","",LEFT($J484,cbb_ikincilUzunluk))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IF($B485="","",LEFT($B485,cbb_ikincilUzunluk))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IF($J485="","",LEFT($J485,cbb_ikincilUzunluk))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IF($B486="","",LEFT($B486,cbb_ikincilUzunluk))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IF($J486="","",LEFT($J486,cbb_ikincilUzunluk))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IF($B487="","",LEFT($B487,cbb_ikincilUzunluk))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IF($J487="","",LEFT($J487,cbb_ikincilUzunluk))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IF($B488="","",LEFT($B488,cbb_ikincilUzunluk))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IF($J488="","",LEFT($J488,cbb_ikincilUzunluk))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IF($B489="","",LEFT($B489,cbb_ikincilUzunluk))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IF($J489="","",LEFT($J489,cbb_ikincilUzunluk))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IF($B490="","",LEFT($B490,cbb_ikincilUzunluk))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IF($J490="","",LEFT($J490,cbb_ikincilUzunluk))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IF($B491="","",LEFT($B491,cbb_ikincilUzunluk))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IF($J491="","",LEFT($J491,cbb_ikincilUzunluk))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IF($B492="","",LEFT($B492,cbb_ikincilUzunluk))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IF($J492="","",LEFT($J492,cbb_ikincilUzunluk))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IF($B493="","",LEFT($B493,cbb_ikincilUzunluk))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IF($J493="","",LEFT($J493,cbb_ikincilUzunluk))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IF($B494="","",LEFT($B494,cbb_ikincilUzunluk))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IF($J494="","",LEFT($J494,cbb_ikincilUzunluk))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IF($B495="","",LEFT($B495,cbb_ikincilUzunluk))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IF($J495="","",LEFT($J495,cbb_ikincilUzunluk))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IF($B496="","",LEFT($B496,cbb_ikincilUzunluk))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IF($J496="","",LEFT($J496,cbb_ikincilUzunluk))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IF($B497="","",LEFT($B497,cbb_ikincilUzunluk))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IF($J497="","",LEFT($J497,cbb_ikincilUzunluk))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IF($B498="","",LEFT($B498,cbb_ikincilUzunluk))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IF($J498="","",LEFT($J498,cbb_ikincilUzunluk))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IF($B499="","",LEFT($B499,cbb_ikincilUzunluk))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IF($J499="","",LEFT($J499,cbb_ikincilUzunluk))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IF($B500="","",LEFT($B500,cbb_ikincilUzunluk))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IF($J500="","",LEFT($J500,cbb_ikincilUzunluk))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IF($B501="","",LEFT($B501,cbb_ikincilUzunluk))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IF($J501="","",LEFT($J501,cbb_ikincilUzunluk))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IF($B502="","",LEFT($B502,cbb_ikincilUzunluk))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IF($J502="","",LEFT($J502,cbb_ikincilUzunluk))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IF($B503="","",LEFT($B503,cbb_ikincilUzunluk))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IF($J503="","",LEFT($J503,cbb_ikincilUzunluk))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IF($B504="","",LEFT($B504,cbb_ikincilUzunluk))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IF($J504="","",LEFT($J504,cbb_ikincilUzunluk))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IF($B505="","",LEFT($B505,cbb_ikincilUzunluk))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IF($J505="","",LEFT($J505,cbb_ikincilUzunluk))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0">
      <formula>"EVET"</formula>
    </cfRule>
  </conditionalFormatting>
  <conditionalFormatting sqref="N6:N5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C4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6.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MOTOR — Cari ve Ba-Bs Toplu Mutabakat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8" t="inlineStr">
        <is>
          <t>Ara hesap adımları — eşleştirme motoru beslemesi (D13)</t>
        </is>
      </c>
    </row>
    <row r="4">
      <c r="A4" s="19" t="inlineStr">
        <is>
          <t>Adim</t>
        </is>
      </c>
      <c r="B4" s="19" t="inlineStr">
        <is>
          <t>Aciklama</t>
        </is>
      </c>
      <c r="C4" s="19" t="inlineStr">
        <is>
          <t>Deger</t>
        </is>
      </c>
    </row>
    <row r="5">
      <c r="A5" s="7" t="inlineStr">
        <is>
          <t>A01</t>
        </is>
      </c>
      <c r="B5" s="7" t="inlineStr">
        <is>
          <t>Cari satır sayısı</t>
        </is>
      </c>
      <c r="C5" s="20">
        <f>COUNTA(tblVeriA[VKN])</f>
        <v/>
      </c>
    </row>
    <row r="6">
      <c r="A6" s="7" t="inlineStr">
        <is>
          <t>A02</t>
        </is>
      </c>
      <c r="B6" s="7" t="inlineStr">
        <is>
          <t>Ba-Bs satır sayısı</t>
        </is>
      </c>
      <c r="C6" s="20">
        <f>COUNTA(tblVeriB[VKN])</f>
        <v/>
      </c>
    </row>
    <row r="7">
      <c r="A7" s="7" t="inlineStr">
        <is>
          <t>A03</t>
        </is>
      </c>
      <c r="B7" s="7" t="inlineStr">
        <is>
          <t>Cari toplam tutar</t>
        </is>
      </c>
      <c r="C7" s="70">
        <f>IFERROR(SUM(tblVeriA[Tutar]),0)</f>
        <v/>
      </c>
    </row>
    <row r="8">
      <c r="A8" s="7" t="inlineStr">
        <is>
          <t>A04</t>
        </is>
      </c>
      <c r="B8" s="7" t="inlineStr">
        <is>
          <t>Ba-Bs toplam tutar</t>
        </is>
      </c>
      <c r="C8" s="70">
        <f>IFERROR(SUM(tblVeriB[BeyanTutar]),0)</f>
        <v/>
      </c>
    </row>
    <row r="9">
      <c r="A9" s="7" t="inlineStr">
        <is>
          <t>A05</t>
        </is>
      </c>
      <c r="B9" s="7" t="inlineStr">
        <is>
          <t>Ham mutabakat farkı</t>
        </is>
      </c>
      <c r="C9" s="70">
        <f>C7-C8</f>
        <v/>
      </c>
    </row>
    <row r="10">
      <c r="A10" s="7" t="inlineStr">
        <is>
          <t>A06</t>
        </is>
      </c>
      <c r="B10" s="7" t="inlineStr">
        <is>
          <t>Mutlak fark</t>
        </is>
      </c>
      <c r="C10" s="70">
        <f>ABS(C9)</f>
        <v/>
      </c>
    </row>
    <row r="11">
      <c r="A11" s="7" t="inlineStr">
        <is>
          <t>A07</t>
        </is>
      </c>
      <c r="B11" s="7" t="inlineStr">
        <is>
          <t>Ortalama cari tutar</t>
        </is>
      </c>
      <c r="C11" s="70">
        <f>IFERROR(AVERAGE(tblVeriA[Tutar]),0)</f>
        <v/>
      </c>
    </row>
    <row r="12">
      <c r="A12" s="7" t="inlineStr">
        <is>
          <t>A08</t>
        </is>
      </c>
      <c r="B12" s="7" t="inlineStr">
        <is>
          <t>Ortalama beyan tutar</t>
        </is>
      </c>
      <c r="C12" s="70">
        <f>IFERROR(AVERAGE(tblVeriB[BeyanTutar]),0)</f>
        <v/>
      </c>
    </row>
    <row r="13">
      <c r="A13" s="7" t="inlineStr">
        <is>
          <t>A09</t>
        </is>
      </c>
      <c r="B13" s="7" t="inlineStr">
        <is>
          <t>Maks cari tutar</t>
        </is>
      </c>
      <c r="C13" s="70">
        <f>IFERROR(MAX(tblVeriA[Tutar]),0)</f>
        <v/>
      </c>
    </row>
    <row r="14">
      <c r="A14" s="7" t="inlineStr">
        <is>
          <t>A10</t>
        </is>
      </c>
      <c r="B14" s="7" t="inlineStr">
        <is>
          <t>Maks beyan tutar</t>
        </is>
      </c>
      <c r="C14" s="70">
        <f>IFERROR(MAX(tblVeriB[BeyanTutar]),0)</f>
        <v/>
      </c>
    </row>
    <row r="15">
      <c r="A15" s="7" t="inlineStr">
        <is>
          <t>A11</t>
        </is>
      </c>
      <c r="B15" s="7" t="inlineStr">
        <is>
          <t>Min cari tutar</t>
        </is>
      </c>
      <c r="C15" s="70">
        <f>IFERROR(MIN(tblVeriA[Tutar]),0)</f>
        <v/>
      </c>
    </row>
    <row r="16">
      <c r="A16" s="7" t="inlineStr">
        <is>
          <t>A12</t>
        </is>
      </c>
      <c r="B16" s="7" t="inlineStr">
        <is>
          <t>Min beyan tutar</t>
        </is>
      </c>
      <c r="C16" s="70">
        <f>IFERROR(MIN(tblVeriB[BeyanTutar]),0)</f>
        <v/>
      </c>
    </row>
    <row r="17">
      <c r="A17" s="7" t="inlineStr">
        <is>
          <t>A13</t>
        </is>
      </c>
      <c r="B17" s="7" t="inlineStr">
        <is>
          <t>Normalize A dolu</t>
        </is>
      </c>
      <c r="C17" s="20">
        <f>COUNTA(tblAnahtarA[Norm])</f>
        <v/>
      </c>
    </row>
    <row r="18">
      <c r="A18" s="7" t="inlineStr">
        <is>
          <t>A14</t>
        </is>
      </c>
      <c r="B18" s="7" t="inlineStr">
        <is>
          <t>Normalize B dolu</t>
        </is>
      </c>
      <c r="C18" s="20">
        <f>COUNTA(tblAnahtarB[NormB])</f>
        <v/>
      </c>
    </row>
    <row r="19">
      <c r="A19" s="7" t="inlineStr">
        <is>
          <t>A15</t>
        </is>
      </c>
      <c r="B19" s="7" t="inlineStr">
        <is>
          <t>Duplike A</t>
        </is>
      </c>
      <c r="C19" s="20">
        <f>COUNTIF(tblAnahtarA[Duplike],"EVET")</f>
        <v/>
      </c>
    </row>
    <row r="20">
      <c r="A20" s="7" t="inlineStr">
        <is>
          <t>A16</t>
        </is>
      </c>
      <c r="B20" s="7" t="inlineStr">
        <is>
          <t>Duplike B</t>
        </is>
      </c>
      <c r="C20" s="20">
        <f>COUNTIF(tblAnahtarB[DuplikeB],"EVET")</f>
        <v/>
      </c>
    </row>
    <row r="21">
      <c r="A21" s="7" t="inlineStr">
        <is>
          <t>A17</t>
        </is>
      </c>
      <c r="B21" s="7" t="inlineStr">
        <is>
          <t>Eşleşti adet</t>
        </is>
      </c>
      <c r="C21" s="20">
        <f>COUNTIF(tblEslesme[Kova],"eslesti")</f>
        <v/>
      </c>
    </row>
    <row r="22">
      <c r="A22" s="7" t="inlineStr">
        <is>
          <t>A18</t>
        </is>
      </c>
      <c r="B22" s="7" t="inlineStr">
        <is>
          <t>Tolerans adet</t>
        </is>
      </c>
      <c r="C22" s="20">
        <f>COUNTIF(tblEslesme[Kova],"tolerans_icinde")</f>
        <v/>
      </c>
    </row>
    <row r="23">
      <c r="A23" s="7" t="inlineStr">
        <is>
          <t>A19</t>
        </is>
      </c>
      <c r="B23" s="7" t="inlineStr">
        <is>
          <t>Tutar farkı adet</t>
        </is>
      </c>
      <c r="C23" s="70">
        <f>COUNTIF(tblEslesme[Kova],"tutar_farki")</f>
        <v/>
      </c>
    </row>
    <row r="24">
      <c r="A24" s="7" t="inlineStr">
        <is>
          <t>A20</t>
        </is>
      </c>
      <c r="B24" s="7" t="inlineStr">
        <is>
          <t>Eşleşmedi adet</t>
        </is>
      </c>
      <c r="C24" s="20">
        <f>COUNTIF(tblEslesme[Kova],"eslesmedi")</f>
        <v/>
      </c>
    </row>
    <row r="25">
      <c r="A25" s="7" t="inlineStr">
        <is>
          <t>A21</t>
        </is>
      </c>
      <c r="B25" s="7" t="inlineStr">
        <is>
          <t>Kova toplam</t>
        </is>
      </c>
      <c r="C25" s="20">
        <f>C21+C22+C23+C24</f>
        <v/>
      </c>
    </row>
    <row r="26">
      <c r="A26" s="7" t="inlineStr">
        <is>
          <t>A22</t>
        </is>
      </c>
      <c r="B26" s="7" t="inlineStr">
        <is>
          <t>Kova bütünlük</t>
        </is>
      </c>
      <c r="C26" s="20">
        <f>IF(C25=C5,"BUTUN","KAYIP")</f>
        <v/>
      </c>
    </row>
    <row r="27">
      <c r="A27" s="7" t="inlineStr">
        <is>
          <t>A23</t>
        </is>
      </c>
      <c r="B27" s="7" t="inlineStr">
        <is>
          <t>Eşleşme oranı ham</t>
        </is>
      </c>
      <c r="C27" s="71">
        <f>IF(C5=0,0,(C21+C22)/MAX(C5,1))</f>
        <v/>
      </c>
    </row>
    <row r="28">
      <c r="A28" s="7" t="inlineStr">
        <is>
          <t>A24</t>
        </is>
      </c>
      <c r="B28" s="7" t="inlineStr">
        <is>
          <t>Fark eşiği üstü</t>
        </is>
      </c>
      <c r="C28" s="20">
        <f>COUNTIF(tblEslesme[EsikUstu],1)</f>
        <v/>
      </c>
    </row>
    <row r="29">
      <c r="A29" s="7" t="inlineStr">
        <is>
          <t>A25</t>
        </is>
      </c>
      <c r="B29" s="7" t="inlineStr">
        <is>
          <t>Abs fark toplam</t>
        </is>
      </c>
      <c r="C29" s="70">
        <f>IFERROR(SUM(tblEslesme[AbsFark]),0)</f>
        <v/>
      </c>
    </row>
    <row r="30">
      <c r="A30" s="7" t="inlineStr">
        <is>
          <t>A26</t>
        </is>
      </c>
      <c r="B30" s="7" t="inlineStr">
        <is>
          <t>Ort abs fark</t>
        </is>
      </c>
      <c r="C30" s="70">
        <f>IFERROR(IF(C5=0,0,C29/MAX(C5,1)),0)</f>
        <v/>
      </c>
    </row>
    <row r="31">
      <c r="A31" s="7" t="inlineStr">
        <is>
          <t>A27</t>
        </is>
      </c>
      <c r="B31" s="7" t="inlineStr">
        <is>
          <t>Pareto pay</t>
        </is>
      </c>
      <c r="C31" s="71">
        <f>IFERROR(IF(C29=0,0,MAX(tblEslesme[AbsFark])/C29),0)</f>
        <v/>
      </c>
    </row>
    <row r="32">
      <c r="A32" s="7" t="inlineStr">
        <is>
          <t>A28</t>
        </is>
      </c>
      <c r="B32" s="7" t="inlineStr">
        <is>
          <t>VKN yoğunluğu</t>
        </is>
      </c>
      <c r="C32" s="71">
        <f>IFERROR(IF(C5=0,0,MAX(tblEslesme[A_Tutar])/MAX(C7,1)),0)</f>
        <v/>
      </c>
    </row>
    <row r="33">
      <c r="A33" s="7" t="inlineStr">
        <is>
          <t>A29</t>
        </is>
      </c>
      <c r="B33" s="7" t="inlineStr">
        <is>
          <t>Kalite skoru</t>
        </is>
      </c>
      <c r="C33" s="20">
        <f>IF(C5=0,0,ROUND(100*(C21+C22)/MAX(C5,1),0))</f>
        <v/>
      </c>
    </row>
    <row r="34">
      <c r="A34" s="7" t="inlineStr">
        <is>
          <t>A30</t>
        </is>
      </c>
      <c r="B34" s="7" t="inlineStr">
        <is>
          <t>Tahmin P90</t>
        </is>
      </c>
      <c r="C34" s="70">
        <f>IFERROR(PERCENTILE(tblVeriA[Tutar],cbb_yuzdelikOran),0)</f>
        <v/>
      </c>
    </row>
    <row r="35">
      <c r="A35" s="7" t="inlineStr">
        <is>
          <t>A31</t>
        </is>
      </c>
      <c r="B35" s="7" t="inlineStr">
        <is>
          <t>Tahmin medyan</t>
        </is>
      </c>
      <c r="C35" s="70">
        <f>IFERROR(PERCENTILE(tblVeriA[Tutar],cbb_medyanOran),0)</f>
        <v/>
      </c>
    </row>
    <row r="36">
      <c r="A36" s="7" t="inlineStr">
        <is>
          <t>A32</t>
        </is>
      </c>
      <c r="B36" s="7" t="inlineStr">
        <is>
          <t>Tornado zirve</t>
        </is>
      </c>
      <c r="C36" s="70">
        <f>IFERROR(MAX(PANO!K25:K29),0)</f>
        <v/>
      </c>
    </row>
    <row r="37">
      <c r="A37" s="7" t="inlineStr">
        <is>
          <t>A33</t>
        </is>
      </c>
      <c r="B37" s="7" t="inlineStr">
        <is>
          <t>Senaryo etki</t>
        </is>
      </c>
      <c r="C37" s="70">
        <f>IFERROR(SUM(PANO!K25:K29),0)</f>
        <v/>
      </c>
    </row>
    <row r="38">
      <c r="A38" s="7" t="inlineStr">
        <is>
          <t>A34</t>
        </is>
      </c>
      <c r="B38" s="7" t="inlineStr">
        <is>
          <t>TANIMSIZ adet</t>
        </is>
      </c>
      <c r="C38" s="20">
        <f>COUNTIF(tblKok[KokNeden],"TANIMSIZ")</f>
        <v/>
      </c>
    </row>
    <row r="39">
      <c r="A39" s="7" t="inlineStr">
        <is>
          <t>A35</t>
        </is>
      </c>
      <c r="B39" s="7" t="inlineStr">
        <is>
          <t>Kök neden dolu</t>
        </is>
      </c>
      <c r="C39" s="20">
        <f>IFERROR(SUMPRODUCT((tblKok[KokNeden]&lt;&gt;"")*1),0)</f>
        <v/>
      </c>
    </row>
    <row r="40">
      <c r="A40" s="7" t="inlineStr">
        <is>
          <t>A36</t>
        </is>
      </c>
      <c r="B40" s="7" t="inlineStr">
        <is>
          <t>Negatif cari</t>
        </is>
      </c>
      <c r="C40" s="20">
        <f>COUNTIF(tblVeriA[Tutar],"&lt;0")</f>
        <v/>
      </c>
    </row>
    <row r="41">
      <c r="A41" s="7" t="inlineStr">
        <is>
          <t>A37</t>
        </is>
      </c>
      <c r="B41" s="7" t="inlineStr">
        <is>
          <t>Negatif beyan</t>
        </is>
      </c>
      <c r="C41" s="20">
        <f>COUNTIF(tblVeriB[BeyanTutar],"&lt;0")</f>
        <v/>
      </c>
    </row>
    <row r="42">
      <c r="A42" s="7" t="inlineStr">
        <is>
          <t>A38</t>
        </is>
      </c>
      <c r="B42" s="7" t="inlineStr">
        <is>
          <t>Uç tutar A</t>
        </is>
      </c>
      <c r="C42" s="70">
        <f>COUNTIF(tblVeriA[Tutar],"&gt;"&amp;cbb_azamiTutar)</f>
        <v/>
      </c>
    </row>
    <row r="43">
      <c r="A43" s="7" t="inlineStr">
        <is>
          <t>A39</t>
        </is>
      </c>
      <c r="B43" s="7" t="inlineStr">
        <is>
          <t>Uç tutar B</t>
        </is>
      </c>
      <c r="C43" s="70">
        <f>COUNTIF(tblVeriB[BeyanTutar],"&gt;"&amp;cbb_azamiTutar)</f>
        <v/>
      </c>
    </row>
    <row r="44">
      <c r="A44" s="7" t="inlineStr">
        <is>
          <t>A40</t>
        </is>
      </c>
      <c r="B44" s="7" t="inlineStr">
        <is>
          <t>Hazırlık oranı</t>
        </is>
      </c>
      <c r="C44" s="71">
        <f>IF(C5=0,0,C5/(C5+MAX(C6,1)))</f>
        <v/>
      </c>
    </row>
    <row r="45">
      <c r="A45" s="7" t="inlineStr">
        <is>
          <t>A41</t>
        </is>
      </c>
      <c r="B45" s="7" t="inlineStr">
        <is>
          <t>Karar ön-skor</t>
        </is>
      </c>
      <c r="C45" s="20">
        <f>IF(C5=0,0,IF(C27&lt;cbb_esikEslesme,1,IF(C10&gt;cbb_esikFark,cbb_donemCarpan,cbb_unvanMinLen)))</f>
        <v/>
      </c>
    </row>
    <row r="46">
      <c r="A46" s="7" t="inlineStr">
        <is>
          <t>A42</t>
        </is>
      </c>
      <c r="B46" s="7" t="inlineStr">
        <is>
          <t>Belge adet toplam</t>
        </is>
      </c>
      <c r="C46" s="20">
        <f>IFERROR(SUM(tblVeriB[BelgeAdet]),0)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26">
    <cfRule type="cellIs" priority="1" operator="equal" dxfId="2">
      <formula>"BUTUN"</formula>
    </cfRule>
    <cfRule type="cellIs" priority="2" operator="equal" dxfId="0">
      <formula>"KAYIP"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88" t="inlineStr">
        <is>
          <t>ESLESTIRME — Cari ve Ba-Bs Toplu Mutabakat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  <c r="J1" s="189" t="n"/>
      <c r="K1" s="189" t="n"/>
      <c r="L1" s="189" t="n"/>
      <c r="M1" s="189" t="n"/>
      <c r="N1" s="189" t="n"/>
      <c r="O1" s="189" t="n"/>
      <c r="P1" s="189" t="n"/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8" t="inlineStr">
        <is>
          <t>Dört kova motoru — her cari VKN tek kovaya düşer (E02)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IF($A6="","",SUMIF(tblAnahtarB[NormB],$A6,tblVeriB[BeyanTutar]))</f>
        <v/>
      </c>
      <c r="D6" s="16">
        <f>IF($A6="","",SUMIF(tblAnahtarA[Norm],$A6,tblVeriA[Tutar]))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IF($A6="","",IF($F6&gt;cbb_esikFark,1,0))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IF($A7="","",SUMIF(tblAnahtarB[NormB],$A7,tblVeriB[BeyanTutar]))</f>
        <v/>
      </c>
      <c r="D7" s="16">
        <f>IF($A7="","",SUMIF(tblAnahtarA[Norm],$A7,tblVeriA[Tutar]))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IF($A7="","",IF($F7&gt;cbb_esikFark,1,0))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IF($A8="","",SUMIF(tblAnahtarB[NormB],$A8,tblVeriB[BeyanTutar]))</f>
        <v/>
      </c>
      <c r="D8" s="16">
        <f>IF($A8="","",SUMIF(tblAnahtarA[Norm],$A8,tblVeriA[Tutar]))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IF($A8="","",IF($F8&gt;cbb_esikFark,1,0))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IF($A9="","",SUMIF(tblAnahtarB[NormB],$A9,tblVeriB[BeyanTutar]))</f>
        <v/>
      </c>
      <c r="D9" s="16">
        <f>IF($A9="","",SUMIF(tblAnahtarA[Norm],$A9,tblVeriA[Tutar]))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IF($A9="","",IF($F9&gt;cbb_esikFark,1,0))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IF($A10="","",SUMIF(tblAnahtarB[NormB],$A10,tblVeriB[BeyanTutar]))</f>
        <v/>
      </c>
      <c r="D10" s="16">
        <f>IF($A10="","",SUMIF(tblAnahtarA[Norm],$A10,tblVeriA[Tutar]))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IF($A10="","",IF($F10&gt;cbb_esikFark,1,0))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IF($A11="","",SUMIF(tblAnahtarB[NormB],$A11,tblVeriB[BeyanTutar]))</f>
        <v/>
      </c>
      <c r="D11" s="16">
        <f>IF($A11="","",SUMIF(tblAnahtarA[Norm],$A11,tblVeriA[Tutar]))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IF($A11="","",IF($F11&gt;cbb_esikFark,1,0))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IF($A12="","",SUMIF(tblAnahtarB[NormB],$A12,tblVeriB[BeyanTutar]))</f>
        <v/>
      </c>
      <c r="D12" s="16">
        <f>IF($A12="","",SUMIF(tblAnahtarA[Norm],$A12,tblVeriA[Tutar]))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IF($A12="","",IF($F12&gt;cbb_esikFark,1,0))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IF($A13="","",SUMIF(tblAnahtarB[NormB],$A13,tblVeriB[BeyanTutar]))</f>
        <v/>
      </c>
      <c r="D13" s="16">
        <f>IF($A13="","",SUMIF(tblAnahtarA[Norm],$A13,tblVeriA[Tutar]))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IF($A13="","",IF($F13&gt;cbb_esikFark,1,0))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IF($A14="","",SUMIF(tblAnahtarB[NormB],$A14,tblVeriB[BeyanTutar]))</f>
        <v/>
      </c>
      <c r="D14" s="16">
        <f>IF($A14="","",SUMIF(tblAnahtarA[Norm],$A14,tblVeriA[Tutar]))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IF($A14="","",IF($F14&gt;cbb_esikFark,1,0))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IF($A15="","",SUMIF(tblAnahtarB[NormB],$A15,tblVeriB[BeyanTutar]))</f>
        <v/>
      </c>
      <c r="D15" s="16">
        <f>IF($A15="","",SUMIF(tblAnahtarA[Norm],$A15,tblVeriA[Tutar]))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IF($A15="","",IF($F15&gt;cbb_esikFark,1,0))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IF($A16="","",SUMIF(tblAnahtarB[NormB],$A16,tblVeriB[BeyanTutar]))</f>
        <v/>
      </c>
      <c r="D16" s="16">
        <f>IF($A16="","",SUMIF(tblAnahtarA[Norm],$A16,tblVeriA[Tutar]))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IF($A16="","",IF($F16&gt;cbb_esikFark,1,0))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IF($A17="","",SUMIF(tblAnahtarB[NormB],$A17,tblVeriB[BeyanTutar]))</f>
        <v/>
      </c>
      <c r="D17" s="16">
        <f>IF($A17="","",SUMIF(tblAnahtarA[Norm],$A17,tblVeriA[Tutar]))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IF($A17="","",IF($F17&gt;cbb_esikFark,1,0))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IF($A18="","",SUMIF(tblAnahtarB[NormB],$A18,tblVeriB[BeyanTutar]))</f>
        <v/>
      </c>
      <c r="D18" s="16">
        <f>IF($A18="","",SUMIF(tblAnahtarA[Norm],$A18,tblVeriA[Tutar]))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IF($A18="","",IF($F18&gt;cbb_esikFark,1,0))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IF($A19="","",SUMIF(tblAnahtarB[NormB],$A19,tblVeriB[BeyanTutar]))</f>
        <v/>
      </c>
      <c r="D19" s="16">
        <f>IF($A19="","",SUMIF(tblAnahtarA[Norm],$A19,tblVeriA[Tutar]))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IF($A19="","",IF($F19&gt;cbb_esikFark,1,0))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IF($A20="","",SUMIF(tblAnahtarB[NormB],$A20,tblVeriB[BeyanTutar]))</f>
        <v/>
      </c>
      <c r="D20" s="16">
        <f>IF($A20="","",SUMIF(tblAnahtarA[Norm],$A20,tblVeriA[Tutar]))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IF($A20="","",IF($F20&gt;cbb_esikFark,1,0))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IF($A21="","",SUMIF(tblAnahtarB[NormB],$A21,tblVeriB[BeyanTutar]))</f>
        <v/>
      </c>
      <c r="D21" s="16">
        <f>IF($A21="","",SUMIF(tblAnahtarA[Norm],$A21,tblVeriA[Tutar]))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IF($A21="","",IF($F21&gt;cbb_esikFark,1,0))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IF($A22="","",SUMIF(tblAnahtarB[NormB],$A22,tblVeriB[BeyanTutar]))</f>
        <v/>
      </c>
      <c r="D22" s="16">
        <f>IF($A22="","",SUMIF(tblAnahtarA[Norm],$A22,tblVeriA[Tutar]))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IF($A22="","",IF($F22&gt;cbb_esikFark,1,0))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IF($A23="","",SUMIF(tblAnahtarB[NormB],$A23,tblVeriB[BeyanTutar]))</f>
        <v/>
      </c>
      <c r="D23" s="16">
        <f>IF($A23="","",SUMIF(tblAnahtarA[Norm],$A23,tblVeriA[Tutar]))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IF($A23="","",IF($F23&gt;cbb_esikFark,1,0))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IF($A24="","",SUMIF(tblAnahtarB[NormB],$A24,tblVeriB[BeyanTutar]))</f>
        <v/>
      </c>
      <c r="D24" s="16">
        <f>IF($A24="","",SUMIF(tblAnahtarA[Norm],$A24,tblVeriA[Tutar]))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IF($A24="","",IF($F24&gt;cbb_esikFark,1,0))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IF($A25="","",SUMIF(tblAnahtarB[NormB],$A25,tblVeriB[BeyanTutar]))</f>
        <v/>
      </c>
      <c r="D25" s="16">
        <f>IF($A25="","",SUMIF(tblAnahtarA[Norm],$A25,tblVeriA[Tutar]))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IF($A25="","",IF($F25&gt;cbb_esikFark,1,0))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IF($A26="","",SUMIF(tblAnahtarB[NormB],$A26,tblVeriB[BeyanTutar]))</f>
        <v/>
      </c>
      <c r="D26" s="16">
        <f>IF($A26="","",SUMIF(tblAnahtarA[Norm],$A26,tblVeriA[Tutar]))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IF($A26="","",IF($F26&gt;cbb_esikFark,1,0))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IF($A27="","",SUMIF(tblAnahtarB[NormB],$A27,tblVeriB[BeyanTutar]))</f>
        <v/>
      </c>
      <c r="D27" s="16">
        <f>IF($A27="","",SUMIF(tblAnahtarA[Norm],$A27,tblVeriA[Tutar]))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IF($A27="","",IF($F27&gt;cbb_esikFark,1,0))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IF($A28="","",SUMIF(tblAnahtarB[NormB],$A28,tblVeriB[BeyanTutar]))</f>
        <v/>
      </c>
      <c r="D28" s="16">
        <f>IF($A28="","",SUMIF(tblAnahtarA[Norm],$A28,tblVeriA[Tutar]))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IF($A28="","",IF($F28&gt;cbb_esikFark,1,0))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IF($A29="","",SUMIF(tblAnahtarB[NormB],$A29,tblVeriB[BeyanTutar]))</f>
        <v/>
      </c>
      <c r="D29" s="16">
        <f>IF($A29="","",SUMIF(tblAnahtarA[Norm],$A29,tblVeriA[Tutar]))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IF($A29="","",IF($F29&gt;cbb_esikFark,1,0))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IF($A30="","",SUMIF(tblAnahtarB[NormB],$A30,tblVeriB[BeyanTutar]))</f>
        <v/>
      </c>
      <c r="D30" s="16">
        <f>IF($A30="","",SUMIF(tblAnahtarA[Norm],$A30,tblVeriA[Tutar]))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IF($A30="","",IF($F30&gt;cbb_esikFark,1,0))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IF($A31="","",SUMIF(tblAnahtarB[NormB],$A31,tblVeriB[BeyanTutar]))</f>
        <v/>
      </c>
      <c r="D31" s="16">
        <f>IF($A31="","",SUMIF(tblAnahtarA[Norm],$A31,tblVeriA[Tutar]))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IF($A31="","",IF($F31&gt;cbb_esikFark,1,0))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IF($A32="","",SUMIF(tblAnahtarB[NormB],$A32,tblVeriB[BeyanTutar]))</f>
        <v/>
      </c>
      <c r="D32" s="16">
        <f>IF($A32="","",SUMIF(tblAnahtarA[Norm],$A32,tblVeriA[Tutar]))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IF($A32="","",IF($F32&gt;cbb_esikFark,1,0))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IF($A33="","",SUMIF(tblAnahtarB[NormB],$A33,tblVeriB[BeyanTutar]))</f>
        <v/>
      </c>
      <c r="D33" s="16">
        <f>IF($A33="","",SUMIF(tblAnahtarA[Norm],$A33,tblVeriA[Tutar]))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IF($A33="","",IF($F33&gt;cbb_esikFark,1,0))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IF($A34="","",SUMIF(tblAnahtarB[NormB],$A34,tblVeriB[BeyanTutar]))</f>
        <v/>
      </c>
      <c r="D34" s="16">
        <f>IF($A34="","",SUMIF(tblAnahtarA[Norm],$A34,tblVeriA[Tutar]))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IF($A34="","",IF($F34&gt;cbb_esikFark,1,0))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IF($A35="","",SUMIF(tblAnahtarB[NormB],$A35,tblVeriB[BeyanTutar]))</f>
        <v/>
      </c>
      <c r="D35" s="16">
        <f>IF($A35="","",SUMIF(tblAnahtarA[Norm],$A35,tblVeriA[Tutar]))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IF($A35="","",IF($F35&gt;cbb_esikFark,1,0))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IF($A36="","",SUMIF(tblAnahtarB[NormB],$A36,tblVeriB[BeyanTutar]))</f>
        <v/>
      </c>
      <c r="D36" s="16">
        <f>IF($A36="","",SUMIF(tblAnahtarA[Norm],$A36,tblVeriA[Tutar]))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IF($A36="","",IF($F36&gt;cbb_esikFark,1,0))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IF($A37="","",SUMIF(tblAnahtarB[NormB],$A37,tblVeriB[BeyanTutar]))</f>
        <v/>
      </c>
      <c r="D37" s="16">
        <f>IF($A37="","",SUMIF(tblAnahtarA[Norm],$A37,tblVeriA[Tutar]))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IF($A37="","",IF($F37&gt;cbb_esikFark,1,0))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IF($A38="","",SUMIF(tblAnahtarB[NormB],$A38,tblVeriB[BeyanTutar]))</f>
        <v/>
      </c>
      <c r="D38" s="16">
        <f>IF($A38="","",SUMIF(tblAnahtarA[Norm],$A38,tblVeriA[Tutar]))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IF($A38="","",IF($F38&gt;cbb_esikFark,1,0))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IF($A39="","",SUMIF(tblAnahtarB[NormB],$A39,tblVeriB[BeyanTutar]))</f>
        <v/>
      </c>
      <c r="D39" s="16">
        <f>IF($A39="","",SUMIF(tblAnahtarA[Norm],$A39,tblVeriA[Tutar]))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IF($A39="","",IF($F39&gt;cbb_esikFark,1,0))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IF($A40="","",SUMIF(tblAnahtarB[NormB],$A40,tblVeriB[BeyanTutar]))</f>
        <v/>
      </c>
      <c r="D40" s="16">
        <f>IF($A40="","",SUMIF(tblAnahtarA[Norm],$A40,tblVeriA[Tutar]))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IF($A40="","",IF($F40&gt;cbb_esikFark,1,0))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IF($A41="","",SUMIF(tblAnahtarB[NormB],$A41,tblVeriB[BeyanTutar]))</f>
        <v/>
      </c>
      <c r="D41" s="16">
        <f>IF($A41="","",SUMIF(tblAnahtarA[Norm],$A41,tblVeriA[Tutar]))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IF($A41="","",IF($F41&gt;cbb_esikFark,1,0))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IF($A42="","",SUMIF(tblAnahtarB[NormB],$A42,tblVeriB[BeyanTutar]))</f>
        <v/>
      </c>
      <c r="D42" s="16">
        <f>IF($A42="","",SUMIF(tblAnahtarA[Norm],$A42,tblVeriA[Tutar]))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IF($A42="","",IF($F42&gt;cbb_esikFark,1,0))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IF($A43="","",SUMIF(tblAnahtarB[NormB],$A43,tblVeriB[BeyanTutar]))</f>
        <v/>
      </c>
      <c r="D43" s="16">
        <f>IF($A43="","",SUMIF(tblAnahtarA[Norm],$A43,tblVeriA[Tutar]))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IF($A43="","",IF($F43&gt;cbb_esikFark,1,0))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IF($A44="","",SUMIF(tblAnahtarB[NormB],$A44,tblVeriB[BeyanTutar]))</f>
        <v/>
      </c>
      <c r="D44" s="16">
        <f>IF($A44="","",SUMIF(tblAnahtarA[Norm],$A44,tblVeriA[Tutar]))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IF($A44="","",IF($F44&gt;cbb_esikFark,1,0))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IF($A45="","",SUMIF(tblAnahtarB[NormB],$A45,tblVeriB[BeyanTutar]))</f>
        <v/>
      </c>
      <c r="D45" s="16">
        <f>IF($A45="","",SUMIF(tblAnahtarA[Norm],$A45,tblVeriA[Tutar]))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IF($A45="","",IF($F45&gt;cbb_esikFark,1,0))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IF($A46="","",SUMIF(tblAnahtarB[NormB],$A46,tblVeriB[BeyanTutar]))</f>
        <v/>
      </c>
      <c r="D46" s="16">
        <f>IF($A46="","",SUMIF(tblAnahtarA[Norm],$A46,tblVeriA[Tutar]))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IF($A46="","",IF($F46&gt;cbb_esikFark,1,0))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IF($A47="","",SUMIF(tblAnahtarB[NormB],$A47,tblVeriB[BeyanTutar]))</f>
        <v/>
      </c>
      <c r="D47" s="16">
        <f>IF($A47="","",SUMIF(tblAnahtarA[Norm],$A47,tblVeriA[Tutar]))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IF($A47="","",IF($F47&gt;cbb_esikFark,1,0))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IF($A48="","",SUMIF(tblAnahtarB[NormB],$A48,tblVeriB[BeyanTutar]))</f>
        <v/>
      </c>
      <c r="D48" s="16">
        <f>IF($A48="","",SUMIF(tblAnahtarA[Norm],$A48,tblVeriA[Tutar]))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IF($A48="","",IF($F48&gt;cbb_esikFark,1,0))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IF($A49="","",SUMIF(tblAnahtarB[NormB],$A49,tblVeriB[BeyanTutar]))</f>
        <v/>
      </c>
      <c r="D49" s="16">
        <f>IF($A49="","",SUMIF(tblAnahtarA[Norm],$A49,tblVeriA[Tutar]))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IF($A49="","",IF($F49&gt;cbb_esikFark,1,0))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IF($A50="","",SUMIF(tblAnahtarB[NormB],$A50,tblVeriB[BeyanTutar]))</f>
        <v/>
      </c>
      <c r="D50" s="16">
        <f>IF($A50="","",SUMIF(tblAnahtarA[Norm],$A50,tblVeriA[Tutar]))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IF($A50="","",IF($F50&gt;cbb_esikFark,1,0))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IF($A51="","",SUMIF(tblAnahtarB[NormB],$A51,tblVeriB[BeyanTutar]))</f>
        <v/>
      </c>
      <c r="D51" s="16">
        <f>IF($A51="","",SUMIF(tblAnahtarA[Norm],$A51,tblVeriA[Tutar]))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IF($A51="","",IF($F51&gt;cbb_esikFark,1,0))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IF($A52="","",SUMIF(tblAnahtarB[NormB],$A52,tblVeriB[BeyanTutar]))</f>
        <v/>
      </c>
      <c r="D52" s="16">
        <f>IF($A52="","",SUMIF(tblAnahtarA[Norm],$A52,tblVeriA[Tutar]))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IF($A52="","",IF($F52&gt;cbb_esikFark,1,0))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IF($A53="","",SUMIF(tblAnahtarB[NormB],$A53,tblVeriB[BeyanTutar]))</f>
        <v/>
      </c>
      <c r="D53" s="16">
        <f>IF($A53="","",SUMIF(tblAnahtarA[Norm],$A53,tblVeriA[Tutar]))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IF($A53="","",IF($F53&gt;cbb_esikFark,1,0))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IF($A54="","",SUMIF(tblAnahtarB[NormB],$A54,tblVeriB[BeyanTutar]))</f>
        <v/>
      </c>
      <c r="D54" s="16">
        <f>IF($A54="","",SUMIF(tblAnahtarA[Norm],$A54,tblVeriA[Tutar]))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IF($A54="","",IF($F54&gt;cbb_esikFark,1,0))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IF($A55="","",SUMIF(tblAnahtarB[NormB],$A55,tblVeriB[BeyanTutar]))</f>
        <v/>
      </c>
      <c r="D55" s="16">
        <f>IF($A55="","",SUMIF(tblAnahtarA[Norm],$A55,tblVeriA[Tutar]))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IF($A55="","",IF($F55&gt;cbb_esikFark,1,0))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IF($A56="","",SUMIF(tblAnahtarB[NormB],$A56,tblVeriB[BeyanTutar]))</f>
        <v/>
      </c>
      <c r="D56" s="16">
        <f>IF($A56="","",SUMIF(tblAnahtarA[Norm],$A56,tblVeriA[Tutar]))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IF($A56="","",IF($F56&gt;cbb_esikFark,1,0))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IF($A57="","",SUMIF(tblAnahtarB[NormB],$A57,tblVeriB[BeyanTutar]))</f>
        <v/>
      </c>
      <c r="D57" s="16">
        <f>IF($A57="","",SUMIF(tblAnahtarA[Norm],$A57,tblVeriA[Tutar]))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IF($A57="","",IF($F57&gt;cbb_esikFark,1,0))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IF($A58="","",SUMIF(tblAnahtarB[NormB],$A58,tblVeriB[BeyanTutar]))</f>
        <v/>
      </c>
      <c r="D58" s="16">
        <f>IF($A58="","",SUMIF(tblAnahtarA[Norm],$A58,tblVeriA[Tutar]))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IF($A58="","",IF($F58&gt;cbb_esikFark,1,0))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IF($A59="","",SUMIF(tblAnahtarB[NormB],$A59,tblVeriB[BeyanTutar]))</f>
        <v/>
      </c>
      <c r="D59" s="16">
        <f>IF($A59="","",SUMIF(tblAnahtarA[Norm],$A59,tblVeriA[Tutar]))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IF($A59="","",IF($F59&gt;cbb_esikFark,1,0))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IF($A60="","",SUMIF(tblAnahtarB[NormB],$A60,tblVeriB[BeyanTutar]))</f>
        <v/>
      </c>
      <c r="D60" s="16">
        <f>IF($A60="","",SUMIF(tblAnahtarA[Norm],$A60,tblVeriA[Tutar]))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IF($A60="","",IF($F60&gt;cbb_esikFark,1,0))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IF($A61="","",SUMIF(tblAnahtarB[NormB],$A61,tblVeriB[BeyanTutar]))</f>
        <v/>
      </c>
      <c r="D61" s="16">
        <f>IF($A61="","",SUMIF(tblAnahtarA[Norm],$A61,tblVeriA[Tutar]))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IF($A61="","",IF($F61&gt;cbb_esikFark,1,0))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IF($A62="","",SUMIF(tblAnahtarB[NormB],$A62,tblVeriB[BeyanTutar]))</f>
        <v/>
      </c>
      <c r="D62" s="16">
        <f>IF($A62="","",SUMIF(tblAnahtarA[Norm],$A62,tblVeriA[Tutar]))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IF($A62="","",IF($F62&gt;cbb_esikFark,1,0))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IF($A63="","",SUMIF(tblAnahtarB[NormB],$A63,tblVeriB[BeyanTutar]))</f>
        <v/>
      </c>
      <c r="D63" s="16">
        <f>IF($A63="","",SUMIF(tblAnahtarA[Norm],$A63,tblVeriA[Tutar]))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IF($A63="","",IF($F63&gt;cbb_esikFark,1,0))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IF($A64="","",SUMIF(tblAnahtarB[NormB],$A64,tblVeriB[BeyanTutar]))</f>
        <v/>
      </c>
      <c r="D64" s="16">
        <f>IF($A64="","",SUMIF(tblAnahtarA[Norm],$A64,tblVeriA[Tutar]))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IF($A64="","",IF($F64&gt;cbb_esikFark,1,0))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IF($A65="","",SUMIF(tblAnahtarB[NormB],$A65,tblVeriB[BeyanTutar]))</f>
        <v/>
      </c>
      <c r="D65" s="16">
        <f>IF($A65="","",SUMIF(tblAnahtarA[Norm],$A65,tblVeriA[Tutar]))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IF($A65="","",IF($F65&gt;cbb_esikFark,1,0))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IF($A66="","",SUMIF(tblAnahtarB[NormB],$A66,tblVeriB[BeyanTutar]))</f>
        <v/>
      </c>
      <c r="D66" s="16">
        <f>IF($A66="","",SUMIF(tblAnahtarA[Norm],$A66,tblVeriA[Tutar]))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IF($A66="","",IF($F66&gt;cbb_esikFark,1,0))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IF($A67="","",SUMIF(tblAnahtarB[NormB],$A67,tblVeriB[BeyanTutar]))</f>
        <v/>
      </c>
      <c r="D67" s="16">
        <f>IF($A67="","",SUMIF(tblAnahtarA[Norm],$A67,tblVeriA[Tutar]))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IF($A67="","",IF($F67&gt;cbb_esikFark,1,0))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IF($A68="","",SUMIF(tblAnahtarB[NormB],$A68,tblVeriB[BeyanTutar]))</f>
        <v/>
      </c>
      <c r="D68" s="16">
        <f>IF($A68="","",SUMIF(tblAnahtarA[Norm],$A68,tblVeriA[Tutar]))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IF($A68="","",IF($F68&gt;cbb_esikFark,1,0))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IF($A69="","",SUMIF(tblAnahtarB[NormB],$A69,tblVeriB[BeyanTutar]))</f>
        <v/>
      </c>
      <c r="D69" s="16">
        <f>IF($A69="","",SUMIF(tblAnahtarA[Norm],$A69,tblVeriA[Tutar]))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IF($A69="","",IF($F69&gt;cbb_esikFark,1,0))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IF($A70="","",SUMIF(tblAnahtarB[NormB],$A70,tblVeriB[BeyanTutar]))</f>
        <v/>
      </c>
      <c r="D70" s="16">
        <f>IF($A70="","",SUMIF(tblAnahtarA[Norm],$A70,tblVeriA[Tutar]))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IF($A70="","",IF($F70&gt;cbb_esikFark,1,0))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IF($A71="","",SUMIF(tblAnahtarB[NormB],$A71,tblVeriB[BeyanTutar]))</f>
        <v/>
      </c>
      <c r="D71" s="16">
        <f>IF($A71="","",SUMIF(tblAnahtarA[Norm],$A71,tblVeriA[Tutar]))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IF($A71="","",IF($F71&gt;cbb_esikFark,1,0))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IF($A72="","",SUMIF(tblAnahtarB[NormB],$A72,tblVeriB[BeyanTutar]))</f>
        <v/>
      </c>
      <c r="D72" s="16">
        <f>IF($A72="","",SUMIF(tblAnahtarA[Norm],$A72,tblVeriA[Tutar]))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IF($A72="","",IF($F72&gt;cbb_esikFark,1,0))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IF($A73="","",SUMIF(tblAnahtarB[NormB],$A73,tblVeriB[BeyanTutar]))</f>
        <v/>
      </c>
      <c r="D73" s="16">
        <f>IF($A73="","",SUMIF(tblAnahtarA[Norm],$A73,tblVeriA[Tutar]))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IF($A73="","",IF($F73&gt;cbb_esikFark,1,0))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IF($A74="","",SUMIF(tblAnahtarB[NormB],$A74,tblVeriB[BeyanTutar]))</f>
        <v/>
      </c>
      <c r="D74" s="16">
        <f>IF($A74="","",SUMIF(tblAnahtarA[Norm],$A74,tblVeriA[Tutar]))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IF($A74="","",IF($F74&gt;cbb_esikFark,1,0))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IF($A75="","",SUMIF(tblAnahtarB[NormB],$A75,tblVeriB[BeyanTutar]))</f>
        <v/>
      </c>
      <c r="D75" s="16">
        <f>IF($A75="","",SUMIF(tblAnahtarA[Norm],$A75,tblVeriA[Tutar]))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IF($A75="","",IF($F75&gt;cbb_esikFark,1,0))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IF($A76="","",SUMIF(tblAnahtarB[NormB],$A76,tblVeriB[BeyanTutar]))</f>
        <v/>
      </c>
      <c r="D76" s="16">
        <f>IF($A76="","",SUMIF(tblAnahtarA[Norm],$A76,tblVeriA[Tutar]))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IF($A76="","",IF($F76&gt;cbb_esikFark,1,0))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IF($A77="","",SUMIF(tblAnahtarB[NormB],$A77,tblVeriB[BeyanTutar]))</f>
        <v/>
      </c>
      <c r="D77" s="16">
        <f>IF($A77="","",SUMIF(tblAnahtarA[Norm],$A77,tblVeriA[Tutar]))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IF($A77="","",IF($F77&gt;cbb_esikFark,1,0))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IF($A78="","",SUMIF(tblAnahtarB[NormB],$A78,tblVeriB[BeyanTutar]))</f>
        <v/>
      </c>
      <c r="D78" s="16">
        <f>IF($A78="","",SUMIF(tblAnahtarA[Norm],$A78,tblVeriA[Tutar]))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IF($A78="","",IF($F78&gt;cbb_esikFark,1,0))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IF($A79="","",SUMIF(tblAnahtarB[NormB],$A79,tblVeriB[BeyanTutar]))</f>
        <v/>
      </c>
      <c r="D79" s="16">
        <f>IF($A79="","",SUMIF(tblAnahtarA[Norm],$A79,tblVeriA[Tutar]))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IF($A79="","",IF($F79&gt;cbb_esikFark,1,0))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IF($A80="","",SUMIF(tblAnahtarB[NormB],$A80,tblVeriB[BeyanTutar]))</f>
        <v/>
      </c>
      <c r="D80" s="16">
        <f>IF($A80="","",SUMIF(tblAnahtarA[Norm],$A80,tblVeriA[Tutar]))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IF($A80="","",IF($F80&gt;cbb_esikFark,1,0))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IF($A81="","",SUMIF(tblAnahtarB[NormB],$A81,tblVeriB[BeyanTutar]))</f>
        <v/>
      </c>
      <c r="D81" s="16">
        <f>IF($A81="","",SUMIF(tblAnahtarA[Norm],$A81,tblVeriA[Tutar]))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IF($A81="","",IF($F81&gt;cbb_esikFark,1,0))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IF($A82="","",SUMIF(tblAnahtarB[NormB],$A82,tblVeriB[BeyanTutar]))</f>
        <v/>
      </c>
      <c r="D82" s="16">
        <f>IF($A82="","",SUMIF(tblAnahtarA[Norm],$A82,tblVeriA[Tutar]))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IF($A82="","",IF($F82&gt;cbb_esikFark,1,0))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IF($A83="","",SUMIF(tblAnahtarB[NormB],$A83,tblVeriB[BeyanTutar]))</f>
        <v/>
      </c>
      <c r="D83" s="16">
        <f>IF($A83="","",SUMIF(tblAnahtarA[Norm],$A83,tblVeriA[Tutar]))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IF($A83="","",IF($F83&gt;cbb_esikFark,1,0))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IF($A84="","",SUMIF(tblAnahtarB[NormB],$A84,tblVeriB[BeyanTutar]))</f>
        <v/>
      </c>
      <c r="D84" s="16">
        <f>IF($A84="","",SUMIF(tblAnahtarA[Norm],$A84,tblVeriA[Tutar]))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IF($A84="","",IF($F84&gt;cbb_esikFark,1,0))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IF($A85="","",SUMIF(tblAnahtarB[NormB],$A85,tblVeriB[BeyanTutar]))</f>
        <v/>
      </c>
      <c r="D85" s="16">
        <f>IF($A85="","",SUMIF(tblAnahtarA[Norm],$A85,tblVeriA[Tutar]))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IF($A85="","",IF($F85&gt;cbb_esikFark,1,0))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IF($A86="","",SUMIF(tblAnahtarB[NormB],$A86,tblVeriB[BeyanTutar]))</f>
        <v/>
      </c>
      <c r="D86" s="16">
        <f>IF($A86="","",SUMIF(tblAnahtarA[Norm],$A86,tblVeriA[Tutar]))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IF($A86="","",IF($F86&gt;cbb_esikFark,1,0))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IF($A87="","",SUMIF(tblAnahtarB[NormB],$A87,tblVeriB[BeyanTutar]))</f>
        <v/>
      </c>
      <c r="D87" s="16">
        <f>IF($A87="","",SUMIF(tblAnahtarA[Norm],$A87,tblVeriA[Tutar]))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IF($A87="","",IF($F87&gt;cbb_esikFark,1,0))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IF($A88="","",SUMIF(tblAnahtarB[NormB],$A88,tblVeriB[BeyanTutar]))</f>
        <v/>
      </c>
      <c r="D88" s="16">
        <f>IF($A88="","",SUMIF(tblAnahtarA[Norm],$A88,tblVeriA[Tutar]))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IF($A88="","",IF($F88&gt;cbb_esikFark,1,0))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IF($A89="","",SUMIF(tblAnahtarB[NormB],$A89,tblVeriB[BeyanTutar]))</f>
        <v/>
      </c>
      <c r="D89" s="16">
        <f>IF($A89="","",SUMIF(tblAnahtarA[Norm],$A89,tblVeriA[Tutar]))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IF($A89="","",IF($F89&gt;cbb_esikFark,1,0))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IF($A90="","",SUMIF(tblAnahtarB[NormB],$A90,tblVeriB[BeyanTutar]))</f>
        <v/>
      </c>
      <c r="D90" s="16">
        <f>IF($A90="","",SUMIF(tblAnahtarA[Norm],$A90,tblVeriA[Tutar]))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IF($A90="","",IF($F90&gt;cbb_esikFark,1,0))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IF($A91="","",SUMIF(tblAnahtarB[NormB],$A91,tblVeriB[BeyanTutar]))</f>
        <v/>
      </c>
      <c r="D91" s="16">
        <f>IF($A91="","",SUMIF(tblAnahtarA[Norm],$A91,tblVeriA[Tutar]))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IF($A91="","",IF($F91&gt;cbb_esikFark,1,0))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IF($A92="","",SUMIF(tblAnahtarB[NormB],$A92,tblVeriB[BeyanTutar]))</f>
        <v/>
      </c>
      <c r="D92" s="16">
        <f>IF($A92="","",SUMIF(tblAnahtarA[Norm],$A92,tblVeriA[Tutar]))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IF($A92="","",IF($F92&gt;cbb_esikFark,1,0))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IF($A93="","",SUMIF(tblAnahtarB[NormB],$A93,tblVeriB[BeyanTutar]))</f>
        <v/>
      </c>
      <c r="D93" s="16">
        <f>IF($A93="","",SUMIF(tblAnahtarA[Norm],$A93,tblVeriA[Tutar]))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IF($A93="","",IF($F93&gt;cbb_esikFark,1,0))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IF($A94="","",SUMIF(tblAnahtarB[NormB],$A94,tblVeriB[BeyanTutar]))</f>
        <v/>
      </c>
      <c r="D94" s="16">
        <f>IF($A94="","",SUMIF(tblAnahtarA[Norm],$A94,tblVeriA[Tutar]))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IF($A94="","",IF($F94&gt;cbb_esikFark,1,0))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IF($A95="","",SUMIF(tblAnahtarB[NormB],$A95,tblVeriB[BeyanTutar]))</f>
        <v/>
      </c>
      <c r="D95" s="16">
        <f>IF($A95="","",SUMIF(tblAnahtarA[Norm],$A95,tblVeriA[Tutar]))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IF($A95="","",IF($F95&gt;cbb_esikFark,1,0))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IF($A96="","",SUMIF(tblAnahtarB[NormB],$A96,tblVeriB[BeyanTutar]))</f>
        <v/>
      </c>
      <c r="D96" s="16">
        <f>IF($A96="","",SUMIF(tblAnahtarA[Norm],$A96,tblVeriA[Tutar]))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IF($A96="","",IF($F96&gt;cbb_esikFark,1,0))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IF($A97="","",SUMIF(tblAnahtarB[NormB],$A97,tblVeriB[BeyanTutar]))</f>
        <v/>
      </c>
      <c r="D97" s="16">
        <f>IF($A97="","",SUMIF(tblAnahtarA[Norm],$A97,tblVeriA[Tutar]))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IF($A97="","",IF($F97&gt;cbb_esikFark,1,0))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IF($A98="","",SUMIF(tblAnahtarB[NormB],$A98,tblVeriB[BeyanTutar]))</f>
        <v/>
      </c>
      <c r="D98" s="16">
        <f>IF($A98="","",SUMIF(tblAnahtarA[Norm],$A98,tblVeriA[Tutar]))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IF($A98="","",IF($F98&gt;cbb_esikFark,1,0))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IF($A99="","",SUMIF(tblAnahtarB[NormB],$A99,tblVeriB[BeyanTutar]))</f>
        <v/>
      </c>
      <c r="D99" s="16">
        <f>IF($A99="","",SUMIF(tblAnahtarA[Norm],$A99,tblVeriA[Tutar]))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IF($A99="","",IF($F99&gt;cbb_esikFark,1,0))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IF($A100="","",SUMIF(tblAnahtarB[NormB],$A100,tblVeriB[BeyanTutar]))</f>
        <v/>
      </c>
      <c r="D100" s="16">
        <f>IF($A100="","",SUMIF(tblAnahtarA[Norm],$A100,tblVeriA[Tutar]))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IF($A100="","",IF($F100&gt;cbb_esikFark,1,0))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IF($A101="","",SUMIF(tblAnahtarB[NormB],$A101,tblVeriB[BeyanTutar]))</f>
        <v/>
      </c>
      <c r="D101" s="16">
        <f>IF($A101="","",SUMIF(tblAnahtarA[Norm],$A101,tblVeriA[Tutar]))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IF($A101="","",IF($F101&gt;cbb_esikFark,1,0))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IF($A102="","",SUMIF(tblAnahtarB[NormB],$A102,tblVeriB[BeyanTutar]))</f>
        <v/>
      </c>
      <c r="D102" s="16">
        <f>IF($A102="","",SUMIF(tblAnahtarA[Norm],$A102,tblVeriA[Tutar]))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IF($A102="","",IF($F102&gt;cbb_esikFark,1,0))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IF($A103="","",SUMIF(tblAnahtarB[NormB],$A103,tblVeriB[BeyanTutar]))</f>
        <v/>
      </c>
      <c r="D103" s="16">
        <f>IF($A103="","",SUMIF(tblAnahtarA[Norm],$A103,tblVeriA[Tutar]))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IF($A103="","",IF($F103&gt;cbb_esikFark,1,0))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IF($A104="","",SUMIF(tblAnahtarB[NormB],$A104,tblVeriB[BeyanTutar]))</f>
        <v/>
      </c>
      <c r="D104" s="16">
        <f>IF($A104="","",SUMIF(tblAnahtarA[Norm],$A104,tblVeriA[Tutar]))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IF($A104="","",IF($F104&gt;cbb_esikFark,1,0))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IF($A105="","",SUMIF(tblAnahtarB[NormB],$A105,tblVeriB[BeyanTutar]))</f>
        <v/>
      </c>
      <c r="D105" s="16">
        <f>IF($A105="","",SUMIF(tblAnahtarA[Norm],$A105,tblVeriA[Tutar]))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IF($A105="","",IF($F105&gt;cbb_esikFark,1,0))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IF($A106="","",SUMIF(tblAnahtarB[NormB],$A106,tblVeriB[BeyanTutar]))</f>
        <v/>
      </c>
      <c r="D106" s="16">
        <f>IF($A106="","",SUMIF(tblAnahtarA[Norm],$A106,tblVeriA[Tutar]))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IF($A106="","",IF($F106&gt;cbb_esikFark,1,0))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IF($A107="","",SUMIF(tblAnahtarB[NormB],$A107,tblVeriB[BeyanTutar]))</f>
        <v/>
      </c>
      <c r="D107" s="16">
        <f>IF($A107="","",SUMIF(tblAnahtarA[Norm],$A107,tblVeriA[Tutar]))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IF($A107="","",IF($F107&gt;cbb_esikFark,1,0))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IF($A108="","",SUMIF(tblAnahtarB[NormB],$A108,tblVeriB[BeyanTutar]))</f>
        <v/>
      </c>
      <c r="D108" s="16">
        <f>IF($A108="","",SUMIF(tblAnahtarA[Norm],$A108,tblVeriA[Tutar]))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IF($A108="","",IF($F108&gt;cbb_esikFark,1,0))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IF($A109="","",SUMIF(tblAnahtarB[NormB],$A109,tblVeriB[BeyanTutar]))</f>
        <v/>
      </c>
      <c r="D109" s="16">
        <f>IF($A109="","",SUMIF(tblAnahtarA[Norm],$A109,tblVeriA[Tutar]))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IF($A109="","",IF($F109&gt;cbb_esikFark,1,0))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IF($A110="","",SUMIF(tblAnahtarB[NormB],$A110,tblVeriB[BeyanTutar]))</f>
        <v/>
      </c>
      <c r="D110" s="16">
        <f>IF($A110="","",SUMIF(tblAnahtarA[Norm],$A110,tblVeriA[Tutar]))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IF($A110="","",IF($F110&gt;cbb_esikFark,1,0))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IF($A111="","",SUMIF(tblAnahtarB[NormB],$A111,tblVeriB[BeyanTutar]))</f>
        <v/>
      </c>
      <c r="D111" s="16">
        <f>IF($A111="","",SUMIF(tblAnahtarA[Norm],$A111,tblVeriA[Tutar]))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IF($A111="","",IF($F111&gt;cbb_esikFark,1,0))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IF($A112="","",SUMIF(tblAnahtarB[NormB],$A112,tblVeriB[BeyanTutar]))</f>
        <v/>
      </c>
      <c r="D112" s="16">
        <f>IF($A112="","",SUMIF(tblAnahtarA[Norm],$A112,tblVeriA[Tutar]))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IF($A112="","",IF($F112&gt;cbb_esikFark,1,0))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IF($A113="","",SUMIF(tblAnahtarB[NormB],$A113,tblVeriB[BeyanTutar]))</f>
        <v/>
      </c>
      <c r="D113" s="16">
        <f>IF($A113="","",SUMIF(tblAnahtarA[Norm],$A113,tblVeriA[Tutar]))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IF($A113="","",IF($F113&gt;cbb_esikFark,1,0))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IF($A114="","",SUMIF(tblAnahtarB[NormB],$A114,tblVeriB[BeyanTutar]))</f>
        <v/>
      </c>
      <c r="D114" s="16">
        <f>IF($A114="","",SUMIF(tblAnahtarA[Norm],$A114,tblVeriA[Tutar]))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IF($A114="","",IF($F114&gt;cbb_esikFark,1,0))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IF($A115="","",SUMIF(tblAnahtarB[NormB],$A115,tblVeriB[BeyanTutar]))</f>
        <v/>
      </c>
      <c r="D115" s="16">
        <f>IF($A115="","",SUMIF(tblAnahtarA[Norm],$A115,tblVeriA[Tutar]))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IF($A115="","",IF($F115&gt;cbb_esikFark,1,0))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IF($A116="","",SUMIF(tblAnahtarB[NormB],$A116,tblVeriB[BeyanTutar]))</f>
        <v/>
      </c>
      <c r="D116" s="16">
        <f>IF($A116="","",SUMIF(tblAnahtarA[Norm],$A116,tblVeriA[Tutar]))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IF($A116="","",IF($F116&gt;cbb_esikFark,1,0))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IF($A117="","",SUMIF(tblAnahtarB[NormB],$A117,tblVeriB[BeyanTutar]))</f>
        <v/>
      </c>
      <c r="D117" s="16">
        <f>IF($A117="","",SUMIF(tblAnahtarA[Norm],$A117,tblVeriA[Tutar]))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IF($A117="","",IF($F117&gt;cbb_esikFark,1,0))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IF($A118="","",SUMIF(tblAnahtarB[NormB],$A118,tblVeriB[BeyanTutar]))</f>
        <v/>
      </c>
      <c r="D118" s="16">
        <f>IF($A118="","",SUMIF(tblAnahtarA[Norm],$A118,tblVeriA[Tutar]))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IF($A118="","",IF($F118&gt;cbb_esikFark,1,0))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IF($A119="","",SUMIF(tblAnahtarB[NormB],$A119,tblVeriB[BeyanTutar]))</f>
        <v/>
      </c>
      <c r="D119" s="16">
        <f>IF($A119="","",SUMIF(tblAnahtarA[Norm],$A119,tblVeriA[Tutar]))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IF($A119="","",IF($F119&gt;cbb_esikFark,1,0))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IF($A120="","",SUMIF(tblAnahtarB[NormB],$A120,tblVeriB[BeyanTutar]))</f>
        <v/>
      </c>
      <c r="D120" s="16">
        <f>IF($A120="","",SUMIF(tblAnahtarA[Norm],$A120,tblVeriA[Tutar]))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IF($A120="","",IF($F120&gt;cbb_esikFark,1,0))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IF($A121="","",SUMIF(tblAnahtarB[NormB],$A121,tblVeriB[BeyanTutar]))</f>
        <v/>
      </c>
      <c r="D121" s="16">
        <f>IF($A121="","",SUMIF(tblAnahtarA[Norm],$A121,tblVeriA[Tutar]))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IF($A121="","",IF($F121&gt;cbb_esikFark,1,0))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IF($A122="","",SUMIF(tblAnahtarB[NormB],$A122,tblVeriB[BeyanTutar]))</f>
        <v/>
      </c>
      <c r="D122" s="16">
        <f>IF($A122="","",SUMIF(tblAnahtarA[Norm],$A122,tblVeriA[Tutar]))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IF($A122="","",IF($F122&gt;cbb_esikFark,1,0))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IF($A123="","",SUMIF(tblAnahtarB[NormB],$A123,tblVeriB[BeyanTutar]))</f>
        <v/>
      </c>
      <c r="D123" s="16">
        <f>IF($A123="","",SUMIF(tblAnahtarA[Norm],$A123,tblVeriA[Tutar]))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IF($A123="","",IF($F123&gt;cbb_esikFark,1,0))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IF($A124="","",SUMIF(tblAnahtarB[NormB],$A124,tblVeriB[BeyanTutar]))</f>
        <v/>
      </c>
      <c r="D124" s="16">
        <f>IF($A124="","",SUMIF(tblAnahtarA[Norm],$A124,tblVeriA[Tutar]))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IF($A124="","",IF($F124&gt;cbb_esikFark,1,0))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IF($A125="","",SUMIF(tblAnahtarB[NormB],$A125,tblVeriB[BeyanTutar]))</f>
        <v/>
      </c>
      <c r="D125" s="16">
        <f>IF($A125="","",SUMIF(tblAnahtarA[Norm],$A125,tblVeriA[Tutar]))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IF($A125="","",IF($F125&gt;cbb_esikFark,1,0))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IF($A126="","",SUMIF(tblAnahtarB[NormB],$A126,tblVeriB[BeyanTutar]))</f>
        <v/>
      </c>
      <c r="D126" s="16">
        <f>IF($A126="","",SUMIF(tblAnahtarA[Norm],$A126,tblVeriA[Tutar]))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IF($A126="","",IF($F126&gt;cbb_esikFark,1,0))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IF($A127="","",SUMIF(tblAnahtarB[NormB],$A127,tblVeriB[BeyanTutar]))</f>
        <v/>
      </c>
      <c r="D127" s="16">
        <f>IF($A127="","",SUMIF(tblAnahtarA[Norm],$A127,tblVeriA[Tutar]))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IF($A127="","",IF($F127&gt;cbb_esikFark,1,0))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IF($A128="","",SUMIF(tblAnahtarB[NormB],$A128,tblVeriB[BeyanTutar]))</f>
        <v/>
      </c>
      <c r="D128" s="16">
        <f>IF($A128="","",SUMIF(tblAnahtarA[Norm],$A128,tblVeriA[Tutar]))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IF($A128="","",IF($F128&gt;cbb_esikFark,1,0))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IF($A129="","",SUMIF(tblAnahtarB[NormB],$A129,tblVeriB[BeyanTutar]))</f>
        <v/>
      </c>
      <c r="D129" s="16">
        <f>IF($A129="","",SUMIF(tblAnahtarA[Norm],$A129,tblVeriA[Tutar]))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IF($A129="","",IF($F129&gt;cbb_esikFark,1,0))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IF($A130="","",SUMIF(tblAnahtarB[NormB],$A130,tblVeriB[BeyanTutar]))</f>
        <v/>
      </c>
      <c r="D130" s="16">
        <f>IF($A130="","",SUMIF(tblAnahtarA[Norm],$A130,tblVeriA[Tutar]))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IF($A130="","",IF($F130&gt;cbb_esikFark,1,0))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IF($A131="","",SUMIF(tblAnahtarB[NormB],$A131,tblVeriB[BeyanTutar]))</f>
        <v/>
      </c>
      <c r="D131" s="16">
        <f>IF($A131="","",SUMIF(tblAnahtarA[Norm],$A131,tblVeriA[Tutar]))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IF($A131="","",IF($F131&gt;cbb_esikFark,1,0))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IF($A132="","",SUMIF(tblAnahtarB[NormB],$A132,tblVeriB[BeyanTutar]))</f>
        <v/>
      </c>
      <c r="D132" s="16">
        <f>IF($A132="","",SUMIF(tblAnahtarA[Norm],$A132,tblVeriA[Tutar]))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IF($A132="","",IF($F132&gt;cbb_esikFark,1,0))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IF($A133="","",SUMIF(tblAnahtarB[NormB],$A133,tblVeriB[BeyanTutar]))</f>
        <v/>
      </c>
      <c r="D133" s="16">
        <f>IF($A133="","",SUMIF(tblAnahtarA[Norm],$A133,tblVeriA[Tutar]))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IF($A133="","",IF($F133&gt;cbb_esikFark,1,0))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IF($A134="","",SUMIF(tblAnahtarB[NormB],$A134,tblVeriB[BeyanTutar]))</f>
        <v/>
      </c>
      <c r="D134" s="16">
        <f>IF($A134="","",SUMIF(tblAnahtarA[Norm],$A134,tblVeriA[Tutar]))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IF($A134="","",IF($F134&gt;cbb_esikFark,1,0))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IF($A135="","",SUMIF(tblAnahtarB[NormB],$A135,tblVeriB[BeyanTutar]))</f>
        <v/>
      </c>
      <c r="D135" s="16">
        <f>IF($A135="","",SUMIF(tblAnahtarA[Norm],$A135,tblVeriA[Tutar]))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IF($A135="","",IF($F135&gt;cbb_esikFark,1,0))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IF($A136="","",SUMIF(tblAnahtarB[NormB],$A136,tblVeriB[BeyanTutar]))</f>
        <v/>
      </c>
      <c r="D136" s="16">
        <f>IF($A136="","",SUMIF(tblAnahtarA[Norm],$A136,tblVeriA[Tutar]))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IF($A136="","",IF($F136&gt;cbb_esikFark,1,0))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IF($A137="","",SUMIF(tblAnahtarB[NormB],$A137,tblVeriB[BeyanTutar]))</f>
        <v/>
      </c>
      <c r="D137" s="16">
        <f>IF($A137="","",SUMIF(tblAnahtarA[Norm],$A137,tblVeriA[Tutar]))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IF($A137="","",IF($F137&gt;cbb_esikFark,1,0))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IF($A138="","",SUMIF(tblAnahtarB[NormB],$A138,tblVeriB[BeyanTutar]))</f>
        <v/>
      </c>
      <c r="D138" s="16">
        <f>IF($A138="","",SUMIF(tblAnahtarA[Norm],$A138,tblVeriA[Tutar]))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IF($A138="","",IF($F138&gt;cbb_esikFark,1,0))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IF($A139="","",SUMIF(tblAnahtarB[NormB],$A139,tblVeriB[BeyanTutar]))</f>
        <v/>
      </c>
      <c r="D139" s="16">
        <f>IF($A139="","",SUMIF(tblAnahtarA[Norm],$A139,tblVeriA[Tutar]))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IF($A139="","",IF($F139&gt;cbb_esikFark,1,0))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IF($A140="","",SUMIF(tblAnahtarB[NormB],$A140,tblVeriB[BeyanTutar]))</f>
        <v/>
      </c>
      <c r="D140" s="16">
        <f>IF($A140="","",SUMIF(tblAnahtarA[Norm],$A140,tblVeriA[Tutar]))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IF($A140="","",IF($F140&gt;cbb_esikFark,1,0))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IF($A141="","",SUMIF(tblAnahtarB[NormB],$A141,tblVeriB[BeyanTutar]))</f>
        <v/>
      </c>
      <c r="D141" s="16">
        <f>IF($A141="","",SUMIF(tblAnahtarA[Norm],$A141,tblVeriA[Tutar]))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IF($A141="","",IF($F141&gt;cbb_esikFark,1,0))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IF($A142="","",SUMIF(tblAnahtarB[NormB],$A142,tblVeriB[BeyanTutar]))</f>
        <v/>
      </c>
      <c r="D142" s="16">
        <f>IF($A142="","",SUMIF(tblAnahtarA[Norm],$A142,tblVeriA[Tutar]))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IF($A142="","",IF($F142&gt;cbb_esikFark,1,0))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IF($A143="","",SUMIF(tblAnahtarB[NormB],$A143,tblVeriB[BeyanTutar]))</f>
        <v/>
      </c>
      <c r="D143" s="16">
        <f>IF($A143="","",SUMIF(tblAnahtarA[Norm],$A143,tblVeriA[Tutar]))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IF($A143="","",IF($F143&gt;cbb_esikFark,1,0))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IF($A144="","",SUMIF(tblAnahtarB[NormB],$A144,tblVeriB[BeyanTutar]))</f>
        <v/>
      </c>
      <c r="D144" s="16">
        <f>IF($A144="","",SUMIF(tblAnahtarA[Norm],$A144,tblVeriA[Tutar]))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IF($A144="","",IF($F144&gt;cbb_esikFark,1,0))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IF($A145="","",SUMIF(tblAnahtarB[NormB],$A145,tblVeriB[BeyanTutar]))</f>
        <v/>
      </c>
      <c r="D145" s="16">
        <f>IF($A145="","",SUMIF(tblAnahtarA[Norm],$A145,tblVeriA[Tutar]))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IF($A145="","",IF($F145&gt;cbb_esikFark,1,0))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IF($A146="","",SUMIF(tblAnahtarB[NormB],$A146,tblVeriB[BeyanTutar]))</f>
        <v/>
      </c>
      <c r="D146" s="16">
        <f>IF($A146="","",SUMIF(tblAnahtarA[Norm],$A146,tblVeriA[Tutar]))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IF($A146="","",IF($F146&gt;cbb_esikFark,1,0))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IF($A147="","",SUMIF(tblAnahtarB[NormB],$A147,tblVeriB[BeyanTutar]))</f>
        <v/>
      </c>
      <c r="D147" s="16">
        <f>IF($A147="","",SUMIF(tblAnahtarA[Norm],$A147,tblVeriA[Tutar]))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IF($A147="","",IF($F147&gt;cbb_esikFark,1,0))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IF($A148="","",SUMIF(tblAnahtarB[NormB],$A148,tblVeriB[BeyanTutar]))</f>
        <v/>
      </c>
      <c r="D148" s="16">
        <f>IF($A148="","",SUMIF(tblAnahtarA[Norm],$A148,tblVeriA[Tutar]))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IF($A148="","",IF($F148&gt;cbb_esikFark,1,0))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IF($A149="","",SUMIF(tblAnahtarB[NormB],$A149,tblVeriB[BeyanTutar]))</f>
        <v/>
      </c>
      <c r="D149" s="16">
        <f>IF($A149="","",SUMIF(tblAnahtarA[Norm],$A149,tblVeriA[Tutar]))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IF($A149="","",IF($F149&gt;cbb_esikFark,1,0))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IF($A150="","",SUMIF(tblAnahtarB[NormB],$A150,tblVeriB[BeyanTutar]))</f>
        <v/>
      </c>
      <c r="D150" s="16">
        <f>IF($A150="","",SUMIF(tblAnahtarA[Norm],$A150,tblVeriA[Tutar]))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IF($A150="","",IF($F150&gt;cbb_esikFark,1,0))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IF($A151="","",SUMIF(tblAnahtarB[NormB],$A151,tblVeriB[BeyanTutar]))</f>
        <v/>
      </c>
      <c r="D151" s="16">
        <f>IF($A151="","",SUMIF(tblAnahtarA[Norm],$A151,tblVeriA[Tutar]))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IF($A151="","",IF($F151&gt;cbb_esikFark,1,0))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IF($A152="","",SUMIF(tblAnahtarB[NormB],$A152,tblVeriB[BeyanTutar]))</f>
        <v/>
      </c>
      <c r="D152" s="16">
        <f>IF($A152="","",SUMIF(tblAnahtarA[Norm],$A152,tblVeriA[Tutar]))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IF($A152="","",IF($F152&gt;cbb_esikFark,1,0))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IF($A153="","",SUMIF(tblAnahtarB[NormB],$A153,tblVeriB[BeyanTutar]))</f>
        <v/>
      </c>
      <c r="D153" s="16">
        <f>IF($A153="","",SUMIF(tblAnahtarA[Norm],$A153,tblVeriA[Tutar]))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IF($A153="","",IF($F153&gt;cbb_esikFark,1,0))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IF($A154="","",SUMIF(tblAnahtarB[NormB],$A154,tblVeriB[BeyanTutar]))</f>
        <v/>
      </c>
      <c r="D154" s="16">
        <f>IF($A154="","",SUMIF(tblAnahtarA[Norm],$A154,tblVeriA[Tutar]))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IF($A154="","",IF($F154&gt;cbb_esikFark,1,0))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IF($A155="","",SUMIF(tblAnahtarB[NormB],$A155,tblVeriB[BeyanTutar]))</f>
        <v/>
      </c>
      <c r="D155" s="16">
        <f>IF($A155="","",SUMIF(tblAnahtarA[Norm],$A155,tblVeriA[Tutar]))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IF($A155="","",IF($F155&gt;cbb_esikFark,1,0))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IF($A156="","",SUMIF(tblAnahtarB[NormB],$A156,tblVeriB[BeyanTutar]))</f>
        <v/>
      </c>
      <c r="D156" s="16">
        <f>IF($A156="","",SUMIF(tblAnahtarA[Norm],$A156,tblVeriA[Tutar]))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IF($A156="","",IF($F156&gt;cbb_esikFark,1,0))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IF($A157="","",SUMIF(tblAnahtarB[NormB],$A157,tblVeriB[BeyanTutar]))</f>
        <v/>
      </c>
      <c r="D157" s="16">
        <f>IF($A157="","",SUMIF(tblAnahtarA[Norm],$A157,tblVeriA[Tutar]))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IF($A157="","",IF($F157&gt;cbb_esikFark,1,0))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IF($A158="","",SUMIF(tblAnahtarB[NormB],$A158,tblVeriB[BeyanTutar]))</f>
        <v/>
      </c>
      <c r="D158" s="16">
        <f>IF($A158="","",SUMIF(tblAnahtarA[Norm],$A158,tblVeriA[Tutar]))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IF($A158="","",IF($F158&gt;cbb_esikFark,1,0))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IF($A159="","",SUMIF(tblAnahtarB[NormB],$A159,tblVeriB[BeyanTutar]))</f>
        <v/>
      </c>
      <c r="D159" s="16">
        <f>IF($A159="","",SUMIF(tblAnahtarA[Norm],$A159,tblVeriA[Tutar]))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IF($A159="","",IF($F159&gt;cbb_esikFark,1,0))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IF($A160="","",SUMIF(tblAnahtarB[NormB],$A160,tblVeriB[BeyanTutar]))</f>
        <v/>
      </c>
      <c r="D160" s="16">
        <f>IF($A160="","",SUMIF(tblAnahtarA[Norm],$A160,tblVeriA[Tutar]))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IF($A160="","",IF($F160&gt;cbb_esikFark,1,0))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IF($A161="","",SUMIF(tblAnahtarB[NormB],$A161,tblVeriB[BeyanTutar]))</f>
        <v/>
      </c>
      <c r="D161" s="16">
        <f>IF($A161="","",SUMIF(tblAnahtarA[Norm],$A161,tblVeriA[Tutar]))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IF($A161="","",IF($F161&gt;cbb_esikFark,1,0))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IF($A162="","",SUMIF(tblAnahtarB[NormB],$A162,tblVeriB[BeyanTutar]))</f>
        <v/>
      </c>
      <c r="D162" s="16">
        <f>IF($A162="","",SUMIF(tblAnahtarA[Norm],$A162,tblVeriA[Tutar]))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IF($A162="","",IF($F162&gt;cbb_esikFark,1,0))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IF($A163="","",SUMIF(tblAnahtarB[NormB],$A163,tblVeriB[BeyanTutar]))</f>
        <v/>
      </c>
      <c r="D163" s="16">
        <f>IF($A163="","",SUMIF(tblAnahtarA[Norm],$A163,tblVeriA[Tutar]))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IF($A163="","",IF($F163&gt;cbb_esikFark,1,0))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IF($A164="","",SUMIF(tblAnahtarB[NormB],$A164,tblVeriB[BeyanTutar]))</f>
        <v/>
      </c>
      <c r="D164" s="16">
        <f>IF($A164="","",SUMIF(tblAnahtarA[Norm],$A164,tblVeriA[Tutar]))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IF($A164="","",IF($F164&gt;cbb_esikFark,1,0))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IF($A165="","",SUMIF(tblAnahtarB[NormB],$A165,tblVeriB[BeyanTutar]))</f>
        <v/>
      </c>
      <c r="D165" s="16">
        <f>IF($A165="","",SUMIF(tblAnahtarA[Norm],$A165,tblVeriA[Tutar]))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IF($A165="","",IF($F165&gt;cbb_esikFark,1,0))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IF($A166="","",SUMIF(tblAnahtarB[NormB],$A166,tblVeriB[BeyanTutar]))</f>
        <v/>
      </c>
      <c r="D166" s="16">
        <f>IF($A166="","",SUMIF(tblAnahtarA[Norm],$A166,tblVeriA[Tutar]))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IF($A166="","",IF($F166&gt;cbb_esikFark,1,0))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IF($A167="","",SUMIF(tblAnahtarB[NormB],$A167,tblVeriB[BeyanTutar]))</f>
        <v/>
      </c>
      <c r="D167" s="16">
        <f>IF($A167="","",SUMIF(tblAnahtarA[Norm],$A167,tblVeriA[Tutar]))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IF($A167="","",IF($F167&gt;cbb_esikFark,1,0))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IF($A168="","",SUMIF(tblAnahtarB[NormB],$A168,tblVeriB[BeyanTutar]))</f>
        <v/>
      </c>
      <c r="D168" s="16">
        <f>IF($A168="","",SUMIF(tblAnahtarA[Norm],$A168,tblVeriA[Tutar]))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IF($A168="","",IF($F168&gt;cbb_esikFark,1,0))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IF($A169="","",SUMIF(tblAnahtarB[NormB],$A169,tblVeriB[BeyanTutar]))</f>
        <v/>
      </c>
      <c r="D169" s="16">
        <f>IF($A169="","",SUMIF(tblAnahtarA[Norm],$A169,tblVeriA[Tutar]))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IF($A169="","",IF($F169&gt;cbb_esikFark,1,0))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IF($A170="","",SUMIF(tblAnahtarB[NormB],$A170,tblVeriB[BeyanTutar]))</f>
        <v/>
      </c>
      <c r="D170" s="16">
        <f>IF($A170="","",SUMIF(tblAnahtarA[Norm],$A170,tblVeriA[Tutar]))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IF($A170="","",IF($F170&gt;cbb_esikFark,1,0))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IF($A171="","",SUMIF(tblAnahtarB[NormB],$A171,tblVeriB[BeyanTutar]))</f>
        <v/>
      </c>
      <c r="D171" s="16">
        <f>IF($A171="","",SUMIF(tblAnahtarA[Norm],$A171,tblVeriA[Tutar]))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IF($A171="","",IF($F171&gt;cbb_esikFark,1,0))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IF($A172="","",SUMIF(tblAnahtarB[NormB],$A172,tblVeriB[BeyanTutar]))</f>
        <v/>
      </c>
      <c r="D172" s="16">
        <f>IF($A172="","",SUMIF(tblAnahtarA[Norm],$A172,tblVeriA[Tutar]))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IF($A172="","",IF($F172&gt;cbb_esikFark,1,0))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IF($A173="","",SUMIF(tblAnahtarB[NormB],$A173,tblVeriB[BeyanTutar]))</f>
        <v/>
      </c>
      <c r="D173" s="16">
        <f>IF($A173="","",SUMIF(tblAnahtarA[Norm],$A173,tblVeriA[Tutar]))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IF($A173="","",IF($F173&gt;cbb_esikFark,1,0))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IF($A174="","",SUMIF(tblAnahtarB[NormB],$A174,tblVeriB[BeyanTutar]))</f>
        <v/>
      </c>
      <c r="D174" s="16">
        <f>IF($A174="","",SUMIF(tblAnahtarA[Norm],$A174,tblVeriA[Tutar]))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IF($A174="","",IF($F174&gt;cbb_esikFark,1,0))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IF($A175="","",SUMIF(tblAnahtarB[NormB],$A175,tblVeriB[BeyanTutar]))</f>
        <v/>
      </c>
      <c r="D175" s="16">
        <f>IF($A175="","",SUMIF(tblAnahtarA[Norm],$A175,tblVeriA[Tutar]))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IF($A175="","",IF($F175&gt;cbb_esikFark,1,0))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IF($A176="","",SUMIF(tblAnahtarB[NormB],$A176,tblVeriB[BeyanTutar]))</f>
        <v/>
      </c>
      <c r="D176" s="16">
        <f>IF($A176="","",SUMIF(tblAnahtarA[Norm],$A176,tblVeriA[Tutar]))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IF($A176="","",IF($F176&gt;cbb_esikFark,1,0))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IF($A177="","",SUMIF(tblAnahtarB[NormB],$A177,tblVeriB[BeyanTutar]))</f>
        <v/>
      </c>
      <c r="D177" s="16">
        <f>IF($A177="","",SUMIF(tblAnahtarA[Norm],$A177,tblVeriA[Tutar]))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IF($A177="","",IF($F177&gt;cbb_esikFark,1,0))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IF($A178="","",SUMIF(tblAnahtarB[NormB],$A178,tblVeriB[BeyanTutar]))</f>
        <v/>
      </c>
      <c r="D178" s="16">
        <f>IF($A178="","",SUMIF(tblAnahtarA[Norm],$A178,tblVeriA[Tutar]))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IF($A178="","",IF($F178&gt;cbb_esikFark,1,0))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IF($A179="","",SUMIF(tblAnahtarB[NormB],$A179,tblVeriB[BeyanTutar]))</f>
        <v/>
      </c>
      <c r="D179" s="16">
        <f>IF($A179="","",SUMIF(tblAnahtarA[Norm],$A179,tblVeriA[Tutar]))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IF($A179="","",IF($F179&gt;cbb_esikFark,1,0))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IF($A180="","",SUMIF(tblAnahtarB[NormB],$A180,tblVeriB[BeyanTutar]))</f>
        <v/>
      </c>
      <c r="D180" s="16">
        <f>IF($A180="","",SUMIF(tblAnahtarA[Norm],$A180,tblVeriA[Tutar]))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IF($A180="","",IF($F180&gt;cbb_esikFark,1,0))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IF($A181="","",SUMIF(tblAnahtarB[NormB],$A181,tblVeriB[BeyanTutar]))</f>
        <v/>
      </c>
      <c r="D181" s="16">
        <f>IF($A181="","",SUMIF(tblAnahtarA[Norm],$A181,tblVeriA[Tutar]))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IF($A181="","",IF($F181&gt;cbb_esikFark,1,0))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IF($A182="","",SUMIF(tblAnahtarB[NormB],$A182,tblVeriB[BeyanTutar]))</f>
        <v/>
      </c>
      <c r="D182" s="16">
        <f>IF($A182="","",SUMIF(tblAnahtarA[Norm],$A182,tblVeriA[Tutar]))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IF($A182="","",IF($F182&gt;cbb_esikFark,1,0))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IF($A183="","",SUMIF(tblAnahtarB[NormB],$A183,tblVeriB[BeyanTutar]))</f>
        <v/>
      </c>
      <c r="D183" s="16">
        <f>IF($A183="","",SUMIF(tblAnahtarA[Norm],$A183,tblVeriA[Tutar]))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IF($A183="","",IF($F183&gt;cbb_esikFark,1,0))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IF($A184="","",SUMIF(tblAnahtarB[NormB],$A184,tblVeriB[BeyanTutar]))</f>
        <v/>
      </c>
      <c r="D184" s="16">
        <f>IF($A184="","",SUMIF(tblAnahtarA[Norm],$A184,tblVeriA[Tutar]))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IF($A184="","",IF($F184&gt;cbb_esikFark,1,0))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IF($A185="","",SUMIF(tblAnahtarB[NormB],$A185,tblVeriB[BeyanTutar]))</f>
        <v/>
      </c>
      <c r="D185" s="16">
        <f>IF($A185="","",SUMIF(tblAnahtarA[Norm],$A185,tblVeriA[Tutar]))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IF($A185="","",IF($F185&gt;cbb_esikFark,1,0))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IF($A186="","",SUMIF(tblAnahtarB[NormB],$A186,tblVeriB[BeyanTutar]))</f>
        <v/>
      </c>
      <c r="D186" s="16">
        <f>IF($A186="","",SUMIF(tblAnahtarA[Norm],$A186,tblVeriA[Tutar]))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IF($A186="","",IF($F186&gt;cbb_esikFark,1,0))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IF($A187="","",SUMIF(tblAnahtarB[NormB],$A187,tblVeriB[BeyanTutar]))</f>
        <v/>
      </c>
      <c r="D187" s="16">
        <f>IF($A187="","",SUMIF(tblAnahtarA[Norm],$A187,tblVeriA[Tutar]))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IF($A187="","",IF($F187&gt;cbb_esikFark,1,0))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IF($A188="","",SUMIF(tblAnahtarB[NormB],$A188,tblVeriB[BeyanTutar]))</f>
        <v/>
      </c>
      <c r="D188" s="16">
        <f>IF($A188="","",SUMIF(tblAnahtarA[Norm],$A188,tblVeriA[Tutar]))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IF($A188="","",IF($F188&gt;cbb_esikFark,1,0))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IF($A189="","",SUMIF(tblAnahtarB[NormB],$A189,tblVeriB[BeyanTutar]))</f>
        <v/>
      </c>
      <c r="D189" s="16">
        <f>IF($A189="","",SUMIF(tblAnahtarA[Norm],$A189,tblVeriA[Tutar]))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IF($A189="","",IF($F189&gt;cbb_esikFark,1,0))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IF($A190="","",SUMIF(tblAnahtarB[NormB],$A190,tblVeriB[BeyanTutar]))</f>
        <v/>
      </c>
      <c r="D190" s="16">
        <f>IF($A190="","",SUMIF(tblAnahtarA[Norm],$A190,tblVeriA[Tutar]))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IF($A190="","",IF($F190&gt;cbb_esikFark,1,0))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IF($A191="","",SUMIF(tblAnahtarB[NormB],$A191,tblVeriB[BeyanTutar]))</f>
        <v/>
      </c>
      <c r="D191" s="16">
        <f>IF($A191="","",SUMIF(tblAnahtarA[Norm],$A191,tblVeriA[Tutar]))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IF($A191="","",IF($F191&gt;cbb_esikFark,1,0))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IF($A192="","",SUMIF(tblAnahtarB[NormB],$A192,tblVeriB[BeyanTutar]))</f>
        <v/>
      </c>
      <c r="D192" s="16">
        <f>IF($A192="","",SUMIF(tblAnahtarA[Norm],$A192,tblVeriA[Tutar]))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IF($A192="","",IF($F192&gt;cbb_esikFark,1,0))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IF($A193="","",SUMIF(tblAnahtarB[NormB],$A193,tblVeriB[BeyanTutar]))</f>
        <v/>
      </c>
      <c r="D193" s="16">
        <f>IF($A193="","",SUMIF(tblAnahtarA[Norm],$A193,tblVeriA[Tutar]))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IF($A193="","",IF($F193&gt;cbb_esikFark,1,0))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IF($A194="","",SUMIF(tblAnahtarB[NormB],$A194,tblVeriB[BeyanTutar]))</f>
        <v/>
      </c>
      <c r="D194" s="16">
        <f>IF($A194="","",SUMIF(tblAnahtarA[Norm],$A194,tblVeriA[Tutar]))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IF($A194="","",IF($F194&gt;cbb_esikFark,1,0))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IF($A195="","",SUMIF(tblAnahtarB[NormB],$A195,tblVeriB[BeyanTutar]))</f>
        <v/>
      </c>
      <c r="D195" s="16">
        <f>IF($A195="","",SUMIF(tblAnahtarA[Norm],$A195,tblVeriA[Tutar]))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IF($A195="","",IF($F195&gt;cbb_esikFark,1,0))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IF($A196="","",SUMIF(tblAnahtarB[NormB],$A196,tblVeriB[BeyanTutar]))</f>
        <v/>
      </c>
      <c r="D196" s="16">
        <f>IF($A196="","",SUMIF(tblAnahtarA[Norm],$A196,tblVeriA[Tutar]))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IF($A196="","",IF($F196&gt;cbb_esikFark,1,0))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IF($A197="","",SUMIF(tblAnahtarB[NormB],$A197,tblVeriB[BeyanTutar]))</f>
        <v/>
      </c>
      <c r="D197" s="16">
        <f>IF($A197="","",SUMIF(tblAnahtarA[Norm],$A197,tblVeriA[Tutar]))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IF($A197="","",IF($F197&gt;cbb_esikFark,1,0))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IF($A198="","",SUMIF(tblAnahtarB[NormB],$A198,tblVeriB[BeyanTutar]))</f>
        <v/>
      </c>
      <c r="D198" s="16">
        <f>IF($A198="","",SUMIF(tblAnahtarA[Norm],$A198,tblVeriA[Tutar]))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IF($A198="","",IF($F198&gt;cbb_esikFark,1,0))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IF($A199="","",SUMIF(tblAnahtarB[NormB],$A199,tblVeriB[BeyanTutar]))</f>
        <v/>
      </c>
      <c r="D199" s="16">
        <f>IF($A199="","",SUMIF(tblAnahtarA[Norm],$A199,tblVeriA[Tutar]))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IF($A199="","",IF($F199&gt;cbb_esikFark,1,0))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IF($A200="","",SUMIF(tblAnahtarB[NormB],$A200,tblVeriB[BeyanTutar]))</f>
        <v/>
      </c>
      <c r="D200" s="16">
        <f>IF($A200="","",SUMIF(tblAnahtarA[Norm],$A200,tblVeriA[Tutar]))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IF($A200="","",IF($F200&gt;cbb_esikFark,1,0))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IF($A201="","",SUMIF(tblAnahtarB[NormB],$A201,tblVeriB[BeyanTutar]))</f>
        <v/>
      </c>
      <c r="D201" s="16">
        <f>IF($A201="","",SUMIF(tblAnahtarA[Norm],$A201,tblVeriA[Tutar]))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IF($A201="","",IF($F201&gt;cbb_esikFark,1,0))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IF($A202="","",SUMIF(tblAnahtarB[NormB],$A202,tblVeriB[BeyanTutar]))</f>
        <v/>
      </c>
      <c r="D202" s="16">
        <f>IF($A202="","",SUMIF(tblAnahtarA[Norm],$A202,tblVeriA[Tutar]))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IF($A202="","",IF($F202&gt;cbb_esikFark,1,0))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IF($A203="","",SUMIF(tblAnahtarB[NormB],$A203,tblVeriB[BeyanTutar]))</f>
        <v/>
      </c>
      <c r="D203" s="16">
        <f>IF($A203="","",SUMIF(tblAnahtarA[Norm],$A203,tblVeriA[Tutar]))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IF($A203="","",IF($F203&gt;cbb_esikFark,1,0))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IF($A204="","",SUMIF(tblAnahtarB[NormB],$A204,tblVeriB[BeyanTutar]))</f>
        <v/>
      </c>
      <c r="D204" s="16">
        <f>IF($A204="","",SUMIF(tblAnahtarA[Norm],$A204,tblVeriA[Tutar]))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IF($A204="","",IF($F204&gt;cbb_esikFark,1,0))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IF($A205="","",SUMIF(tblAnahtarB[NormB],$A205,tblVeriB[BeyanTutar]))</f>
        <v/>
      </c>
      <c r="D205" s="16">
        <f>IF($A205="","",SUMIF(tblAnahtarA[Norm],$A205,tblVeriA[Tutar]))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IF($A205="","",IF($F205&gt;cbb_esikFark,1,0))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IF($A206="","",SUMIF(tblAnahtarB[NormB],$A206,tblVeriB[BeyanTutar]))</f>
        <v/>
      </c>
      <c r="D206" s="16">
        <f>IF($A206="","",SUMIF(tblAnahtarA[Norm],$A206,tblVeriA[Tutar]))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IF($A206="","",IF($F206&gt;cbb_esikFark,1,0))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IF($A207="","",SUMIF(tblAnahtarB[NormB],$A207,tblVeriB[BeyanTutar]))</f>
        <v/>
      </c>
      <c r="D207" s="16">
        <f>IF($A207="","",SUMIF(tblAnahtarA[Norm],$A207,tblVeriA[Tutar]))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IF($A207="","",IF($F207&gt;cbb_esikFark,1,0))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IF($A208="","",SUMIF(tblAnahtarB[NormB],$A208,tblVeriB[BeyanTutar]))</f>
        <v/>
      </c>
      <c r="D208" s="16">
        <f>IF($A208="","",SUMIF(tblAnahtarA[Norm],$A208,tblVeriA[Tutar]))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IF($A208="","",IF($F208&gt;cbb_esikFark,1,0))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IF($A209="","",SUMIF(tblAnahtarB[NormB],$A209,tblVeriB[BeyanTutar]))</f>
        <v/>
      </c>
      <c r="D209" s="16">
        <f>IF($A209="","",SUMIF(tblAnahtarA[Norm],$A209,tblVeriA[Tutar]))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IF($A209="","",IF($F209&gt;cbb_esikFark,1,0))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IF($A210="","",SUMIF(tblAnahtarB[NormB],$A210,tblVeriB[BeyanTutar]))</f>
        <v/>
      </c>
      <c r="D210" s="16">
        <f>IF($A210="","",SUMIF(tblAnahtarA[Norm],$A210,tblVeriA[Tutar]))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IF($A210="","",IF($F210&gt;cbb_esikFark,1,0))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IF($A211="","",SUMIF(tblAnahtarB[NormB],$A211,tblVeriB[BeyanTutar]))</f>
        <v/>
      </c>
      <c r="D211" s="16">
        <f>IF($A211="","",SUMIF(tblAnahtarA[Norm],$A211,tblVeriA[Tutar]))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IF($A211="","",IF($F211&gt;cbb_esikFark,1,0))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IF($A212="","",SUMIF(tblAnahtarB[NormB],$A212,tblVeriB[BeyanTutar]))</f>
        <v/>
      </c>
      <c r="D212" s="16">
        <f>IF($A212="","",SUMIF(tblAnahtarA[Norm],$A212,tblVeriA[Tutar]))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IF($A212="","",IF($F212&gt;cbb_esikFark,1,0))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IF($A213="","",SUMIF(tblAnahtarB[NormB],$A213,tblVeriB[BeyanTutar]))</f>
        <v/>
      </c>
      <c r="D213" s="16">
        <f>IF($A213="","",SUMIF(tblAnahtarA[Norm],$A213,tblVeriA[Tutar]))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IF($A213="","",IF($F213&gt;cbb_esikFark,1,0))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IF($A214="","",SUMIF(tblAnahtarB[NormB],$A214,tblVeriB[BeyanTutar]))</f>
        <v/>
      </c>
      <c r="D214" s="16">
        <f>IF($A214="","",SUMIF(tblAnahtarA[Norm],$A214,tblVeriA[Tutar]))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IF($A214="","",IF($F214&gt;cbb_esikFark,1,0))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IF($A215="","",SUMIF(tblAnahtarB[NormB],$A215,tblVeriB[BeyanTutar]))</f>
        <v/>
      </c>
      <c r="D215" s="16">
        <f>IF($A215="","",SUMIF(tblAnahtarA[Norm],$A215,tblVeriA[Tutar]))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IF($A215="","",IF($F215&gt;cbb_esikFark,1,0))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IF($A216="","",SUMIF(tblAnahtarB[NormB],$A216,tblVeriB[BeyanTutar]))</f>
        <v/>
      </c>
      <c r="D216" s="16">
        <f>IF($A216="","",SUMIF(tblAnahtarA[Norm],$A216,tblVeriA[Tutar]))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IF($A216="","",IF($F216&gt;cbb_esikFark,1,0))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IF($A217="","",SUMIF(tblAnahtarB[NormB],$A217,tblVeriB[BeyanTutar]))</f>
        <v/>
      </c>
      <c r="D217" s="16">
        <f>IF($A217="","",SUMIF(tblAnahtarA[Norm],$A217,tblVeriA[Tutar]))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IF($A217="","",IF($F217&gt;cbb_esikFark,1,0))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IF($A218="","",SUMIF(tblAnahtarB[NormB],$A218,tblVeriB[BeyanTutar]))</f>
        <v/>
      </c>
      <c r="D218" s="16">
        <f>IF($A218="","",SUMIF(tblAnahtarA[Norm],$A218,tblVeriA[Tutar]))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IF($A218="","",IF($F218&gt;cbb_esikFark,1,0))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IF($A219="","",SUMIF(tblAnahtarB[NormB],$A219,tblVeriB[BeyanTutar]))</f>
        <v/>
      </c>
      <c r="D219" s="16">
        <f>IF($A219="","",SUMIF(tblAnahtarA[Norm],$A219,tblVeriA[Tutar]))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IF($A219="","",IF($F219&gt;cbb_esikFark,1,0))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IF($A220="","",SUMIF(tblAnahtarB[NormB],$A220,tblVeriB[BeyanTutar]))</f>
        <v/>
      </c>
      <c r="D220" s="16">
        <f>IF($A220="","",SUMIF(tblAnahtarA[Norm],$A220,tblVeriA[Tutar]))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IF($A220="","",IF($F220&gt;cbb_esikFark,1,0))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IF($A221="","",SUMIF(tblAnahtarB[NormB],$A221,tblVeriB[BeyanTutar]))</f>
        <v/>
      </c>
      <c r="D221" s="16">
        <f>IF($A221="","",SUMIF(tblAnahtarA[Norm],$A221,tblVeriA[Tutar]))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IF($A221="","",IF($F221&gt;cbb_esikFark,1,0))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IF($A222="","",SUMIF(tblAnahtarB[NormB],$A222,tblVeriB[BeyanTutar]))</f>
        <v/>
      </c>
      <c r="D222" s="16">
        <f>IF($A222="","",SUMIF(tblAnahtarA[Norm],$A222,tblVeriA[Tutar]))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IF($A222="","",IF($F222&gt;cbb_esikFark,1,0))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IF($A223="","",SUMIF(tblAnahtarB[NormB],$A223,tblVeriB[BeyanTutar]))</f>
        <v/>
      </c>
      <c r="D223" s="16">
        <f>IF($A223="","",SUMIF(tblAnahtarA[Norm],$A223,tblVeriA[Tutar]))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IF($A223="","",IF($F223&gt;cbb_esikFark,1,0))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IF($A224="","",SUMIF(tblAnahtarB[NormB],$A224,tblVeriB[BeyanTutar]))</f>
        <v/>
      </c>
      <c r="D224" s="16">
        <f>IF($A224="","",SUMIF(tblAnahtarA[Norm],$A224,tblVeriA[Tutar]))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IF($A224="","",IF($F224&gt;cbb_esikFark,1,0))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IF($A225="","",SUMIF(tblAnahtarB[NormB],$A225,tblVeriB[BeyanTutar]))</f>
        <v/>
      </c>
      <c r="D225" s="16">
        <f>IF($A225="","",SUMIF(tblAnahtarA[Norm],$A225,tblVeriA[Tutar]))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IF($A225="","",IF($F225&gt;cbb_esikFark,1,0))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IF($A226="","",SUMIF(tblAnahtarB[NormB],$A226,tblVeriB[BeyanTutar]))</f>
        <v/>
      </c>
      <c r="D226" s="16">
        <f>IF($A226="","",SUMIF(tblAnahtarA[Norm],$A226,tblVeriA[Tutar]))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IF($A226="","",IF($F226&gt;cbb_esikFark,1,0))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IF($A227="","",SUMIF(tblAnahtarB[NormB],$A227,tblVeriB[BeyanTutar]))</f>
        <v/>
      </c>
      <c r="D227" s="16">
        <f>IF($A227="","",SUMIF(tblAnahtarA[Norm],$A227,tblVeriA[Tutar]))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IF($A227="","",IF($F227&gt;cbb_esikFark,1,0))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IF($A228="","",SUMIF(tblAnahtarB[NormB],$A228,tblVeriB[BeyanTutar]))</f>
        <v/>
      </c>
      <c r="D228" s="16">
        <f>IF($A228="","",SUMIF(tblAnahtarA[Norm],$A228,tblVeriA[Tutar]))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IF($A228="","",IF($F228&gt;cbb_esikFark,1,0))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IF($A229="","",SUMIF(tblAnahtarB[NormB],$A229,tblVeriB[BeyanTutar]))</f>
        <v/>
      </c>
      <c r="D229" s="16">
        <f>IF($A229="","",SUMIF(tblAnahtarA[Norm],$A229,tblVeriA[Tutar]))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IF($A229="","",IF($F229&gt;cbb_esikFark,1,0))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IF($A230="","",SUMIF(tblAnahtarB[NormB],$A230,tblVeriB[BeyanTutar]))</f>
        <v/>
      </c>
      <c r="D230" s="16">
        <f>IF($A230="","",SUMIF(tblAnahtarA[Norm],$A230,tblVeriA[Tutar]))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IF($A230="","",IF($F230&gt;cbb_esikFark,1,0))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IF($A231="","",SUMIF(tblAnahtarB[NormB],$A231,tblVeriB[BeyanTutar]))</f>
        <v/>
      </c>
      <c r="D231" s="16">
        <f>IF($A231="","",SUMIF(tblAnahtarA[Norm],$A231,tblVeriA[Tutar]))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IF($A231="","",IF($F231&gt;cbb_esikFark,1,0))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IF($A232="","",SUMIF(tblAnahtarB[NormB],$A232,tblVeriB[BeyanTutar]))</f>
        <v/>
      </c>
      <c r="D232" s="16">
        <f>IF($A232="","",SUMIF(tblAnahtarA[Norm],$A232,tblVeriA[Tutar]))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IF($A232="","",IF($F232&gt;cbb_esikFark,1,0))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IF($A233="","",SUMIF(tblAnahtarB[NormB],$A233,tblVeriB[BeyanTutar]))</f>
        <v/>
      </c>
      <c r="D233" s="16">
        <f>IF($A233="","",SUMIF(tblAnahtarA[Norm],$A233,tblVeriA[Tutar]))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IF($A233="","",IF($F233&gt;cbb_esikFark,1,0))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IF($A234="","",SUMIF(tblAnahtarB[NormB],$A234,tblVeriB[BeyanTutar]))</f>
        <v/>
      </c>
      <c r="D234" s="16">
        <f>IF($A234="","",SUMIF(tblAnahtarA[Norm],$A234,tblVeriA[Tutar]))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IF($A234="","",IF($F234&gt;cbb_esikFark,1,0))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IF($A235="","",SUMIF(tblAnahtarB[NormB],$A235,tblVeriB[BeyanTutar]))</f>
        <v/>
      </c>
      <c r="D235" s="16">
        <f>IF($A235="","",SUMIF(tblAnahtarA[Norm],$A235,tblVeriA[Tutar]))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IF($A235="","",IF($F235&gt;cbb_esikFark,1,0))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IF($A236="","",SUMIF(tblAnahtarB[NormB],$A236,tblVeriB[BeyanTutar]))</f>
        <v/>
      </c>
      <c r="D236" s="16">
        <f>IF($A236="","",SUMIF(tblAnahtarA[Norm],$A236,tblVeriA[Tutar]))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IF($A236="","",IF($F236&gt;cbb_esikFark,1,0))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IF($A237="","",SUMIF(tblAnahtarB[NormB],$A237,tblVeriB[BeyanTutar]))</f>
        <v/>
      </c>
      <c r="D237" s="16">
        <f>IF($A237="","",SUMIF(tblAnahtarA[Norm],$A237,tblVeriA[Tutar]))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IF($A237="","",IF($F237&gt;cbb_esikFark,1,0))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IF($A238="","",SUMIF(tblAnahtarB[NormB],$A238,tblVeriB[BeyanTutar]))</f>
        <v/>
      </c>
      <c r="D238" s="16">
        <f>IF($A238="","",SUMIF(tblAnahtarA[Norm],$A238,tblVeriA[Tutar]))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IF($A238="","",IF($F238&gt;cbb_esikFark,1,0))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IF($A239="","",SUMIF(tblAnahtarB[NormB],$A239,tblVeriB[BeyanTutar]))</f>
        <v/>
      </c>
      <c r="D239" s="16">
        <f>IF($A239="","",SUMIF(tblAnahtarA[Norm],$A239,tblVeriA[Tutar]))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IF($A239="","",IF($F239&gt;cbb_esikFark,1,0))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IF($A240="","",SUMIF(tblAnahtarB[NormB],$A240,tblVeriB[BeyanTutar]))</f>
        <v/>
      </c>
      <c r="D240" s="16">
        <f>IF($A240="","",SUMIF(tblAnahtarA[Norm],$A240,tblVeriA[Tutar]))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IF($A240="","",IF($F240&gt;cbb_esikFark,1,0))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IF($A241="","",SUMIF(tblAnahtarB[NormB],$A241,tblVeriB[BeyanTutar]))</f>
        <v/>
      </c>
      <c r="D241" s="16">
        <f>IF($A241="","",SUMIF(tblAnahtarA[Norm],$A241,tblVeriA[Tutar]))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IF($A241="","",IF($F241&gt;cbb_esikFark,1,0))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IF($A242="","",SUMIF(tblAnahtarB[NormB],$A242,tblVeriB[BeyanTutar]))</f>
        <v/>
      </c>
      <c r="D242" s="16">
        <f>IF($A242="","",SUMIF(tblAnahtarA[Norm],$A242,tblVeriA[Tutar]))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IF($A242="","",IF($F242&gt;cbb_esikFark,1,0))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IF($A243="","",SUMIF(tblAnahtarB[NormB],$A243,tblVeriB[BeyanTutar]))</f>
        <v/>
      </c>
      <c r="D243" s="16">
        <f>IF($A243="","",SUMIF(tblAnahtarA[Norm],$A243,tblVeriA[Tutar]))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IF($A243="","",IF($F243&gt;cbb_esikFark,1,0))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IF($A244="","",SUMIF(tblAnahtarB[NormB],$A244,tblVeriB[BeyanTutar]))</f>
        <v/>
      </c>
      <c r="D244" s="16">
        <f>IF($A244="","",SUMIF(tblAnahtarA[Norm],$A244,tblVeriA[Tutar]))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IF($A244="","",IF($F244&gt;cbb_esikFark,1,0))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IF($A245="","",SUMIF(tblAnahtarB[NormB],$A245,tblVeriB[BeyanTutar]))</f>
        <v/>
      </c>
      <c r="D245" s="16">
        <f>IF($A245="","",SUMIF(tblAnahtarA[Norm],$A245,tblVeriA[Tutar]))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IF($A245="","",IF($F245&gt;cbb_esikFark,1,0))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IF($A246="","",SUMIF(tblAnahtarB[NormB],$A246,tblVeriB[BeyanTutar]))</f>
        <v/>
      </c>
      <c r="D246" s="16">
        <f>IF($A246="","",SUMIF(tblAnahtarA[Norm],$A246,tblVeriA[Tutar]))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IF($A246="","",IF($F246&gt;cbb_esikFark,1,0))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IF($A247="","",SUMIF(tblAnahtarB[NormB],$A247,tblVeriB[BeyanTutar]))</f>
        <v/>
      </c>
      <c r="D247" s="16">
        <f>IF($A247="","",SUMIF(tblAnahtarA[Norm],$A247,tblVeriA[Tutar]))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IF($A247="","",IF($F247&gt;cbb_esikFark,1,0))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IF($A248="","",SUMIF(tblAnahtarB[NormB],$A248,tblVeriB[BeyanTutar]))</f>
        <v/>
      </c>
      <c r="D248" s="16">
        <f>IF($A248="","",SUMIF(tblAnahtarA[Norm],$A248,tblVeriA[Tutar]))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IF($A248="","",IF($F248&gt;cbb_esikFark,1,0))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IF($A249="","",SUMIF(tblAnahtarB[NormB],$A249,tblVeriB[BeyanTutar]))</f>
        <v/>
      </c>
      <c r="D249" s="16">
        <f>IF($A249="","",SUMIF(tblAnahtarA[Norm],$A249,tblVeriA[Tutar]))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IF($A249="","",IF($F249&gt;cbb_esikFark,1,0))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IF($A250="","",SUMIF(tblAnahtarB[NormB],$A250,tblVeriB[BeyanTutar]))</f>
        <v/>
      </c>
      <c r="D250" s="16">
        <f>IF($A250="","",SUMIF(tblAnahtarA[Norm],$A250,tblVeriA[Tutar]))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IF($A250="","",IF($F250&gt;cbb_esikFark,1,0))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IF($A251="","",SUMIF(tblAnahtarB[NormB],$A251,tblVeriB[BeyanTutar]))</f>
        <v/>
      </c>
      <c r="D251" s="16">
        <f>IF($A251="","",SUMIF(tblAnahtarA[Norm],$A251,tblVeriA[Tutar]))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IF($A251="","",IF($F251&gt;cbb_esikFark,1,0))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IF($A252="","",SUMIF(tblAnahtarB[NormB],$A252,tblVeriB[BeyanTutar]))</f>
        <v/>
      </c>
      <c r="D252" s="16">
        <f>IF($A252="","",SUMIF(tblAnahtarA[Norm],$A252,tblVeriA[Tutar]))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IF($A252="","",IF($F252&gt;cbb_esikFark,1,0))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IF($A253="","",SUMIF(tblAnahtarB[NormB],$A253,tblVeriB[BeyanTutar]))</f>
        <v/>
      </c>
      <c r="D253" s="16">
        <f>IF($A253="","",SUMIF(tblAnahtarA[Norm],$A253,tblVeriA[Tutar]))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IF($A253="","",IF($F253&gt;cbb_esikFark,1,0))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IF($A254="","",SUMIF(tblAnahtarB[NormB],$A254,tblVeriB[BeyanTutar]))</f>
        <v/>
      </c>
      <c r="D254" s="16">
        <f>IF($A254="","",SUMIF(tblAnahtarA[Norm],$A254,tblVeriA[Tutar]))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IF($A254="","",IF($F254&gt;cbb_esikFark,1,0))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IF($A255="","",SUMIF(tblAnahtarB[NormB],$A255,tblVeriB[BeyanTutar]))</f>
        <v/>
      </c>
      <c r="D255" s="16">
        <f>IF($A255="","",SUMIF(tblAnahtarA[Norm],$A255,tblVeriA[Tutar]))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IF($A255="","",IF($F255&gt;cbb_esikFark,1,0))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IF($A256="","",SUMIF(tblAnahtarB[NormB],$A256,tblVeriB[BeyanTutar]))</f>
        <v/>
      </c>
      <c r="D256" s="16">
        <f>IF($A256="","",SUMIF(tblAnahtarA[Norm],$A256,tblVeriA[Tutar]))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IF($A256="","",IF($F256&gt;cbb_esikFark,1,0))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IF($A257="","",SUMIF(tblAnahtarB[NormB],$A257,tblVeriB[BeyanTutar]))</f>
        <v/>
      </c>
      <c r="D257" s="16">
        <f>IF($A257="","",SUMIF(tblAnahtarA[Norm],$A257,tblVeriA[Tutar]))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IF($A257="","",IF($F257&gt;cbb_esikFark,1,0))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IF($A258="","",SUMIF(tblAnahtarB[NormB],$A258,tblVeriB[BeyanTutar]))</f>
        <v/>
      </c>
      <c r="D258" s="16">
        <f>IF($A258="","",SUMIF(tblAnahtarA[Norm],$A258,tblVeriA[Tutar]))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IF($A258="","",IF($F258&gt;cbb_esikFark,1,0))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IF($A259="","",SUMIF(tblAnahtarB[NormB],$A259,tblVeriB[BeyanTutar]))</f>
        <v/>
      </c>
      <c r="D259" s="16">
        <f>IF($A259="","",SUMIF(tblAnahtarA[Norm],$A259,tblVeriA[Tutar]))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IF($A259="","",IF($F259&gt;cbb_esikFark,1,0))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IF($A260="","",SUMIF(tblAnahtarB[NormB],$A260,tblVeriB[BeyanTutar]))</f>
        <v/>
      </c>
      <c r="D260" s="16">
        <f>IF($A260="","",SUMIF(tblAnahtarA[Norm],$A260,tblVeriA[Tutar]))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IF($A260="","",IF($F260&gt;cbb_esikFark,1,0))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IF($A261="","",SUMIF(tblAnahtarB[NormB],$A261,tblVeriB[BeyanTutar]))</f>
        <v/>
      </c>
      <c r="D261" s="16">
        <f>IF($A261="","",SUMIF(tblAnahtarA[Norm],$A261,tblVeriA[Tutar]))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IF($A261="","",IF($F261&gt;cbb_esikFark,1,0))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IF($A262="","",SUMIF(tblAnahtarB[NormB],$A262,tblVeriB[BeyanTutar]))</f>
        <v/>
      </c>
      <c r="D262" s="16">
        <f>IF($A262="","",SUMIF(tblAnahtarA[Norm],$A262,tblVeriA[Tutar]))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IF($A262="","",IF($F262&gt;cbb_esikFark,1,0))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IF($A263="","",SUMIF(tblAnahtarB[NormB],$A263,tblVeriB[BeyanTutar]))</f>
        <v/>
      </c>
      <c r="D263" s="16">
        <f>IF($A263="","",SUMIF(tblAnahtarA[Norm],$A263,tblVeriA[Tutar]))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IF($A263="","",IF($F263&gt;cbb_esikFark,1,0))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IF($A264="","",SUMIF(tblAnahtarB[NormB],$A264,tblVeriB[BeyanTutar]))</f>
        <v/>
      </c>
      <c r="D264" s="16">
        <f>IF($A264="","",SUMIF(tblAnahtarA[Norm],$A264,tblVeriA[Tutar]))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IF($A264="","",IF($F264&gt;cbb_esikFark,1,0))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IF($A265="","",SUMIF(tblAnahtarB[NormB],$A265,tblVeriB[BeyanTutar]))</f>
        <v/>
      </c>
      <c r="D265" s="16">
        <f>IF($A265="","",SUMIF(tblAnahtarA[Norm],$A265,tblVeriA[Tutar]))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IF($A265="","",IF($F265&gt;cbb_esikFark,1,0))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IF($A266="","",SUMIF(tblAnahtarB[NormB],$A266,tblVeriB[BeyanTutar]))</f>
        <v/>
      </c>
      <c r="D266" s="16">
        <f>IF($A266="","",SUMIF(tblAnahtarA[Norm],$A266,tblVeriA[Tutar]))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IF($A266="","",IF($F266&gt;cbb_esikFark,1,0))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IF($A267="","",SUMIF(tblAnahtarB[NormB],$A267,tblVeriB[BeyanTutar]))</f>
        <v/>
      </c>
      <c r="D267" s="16">
        <f>IF($A267="","",SUMIF(tblAnahtarA[Norm],$A267,tblVeriA[Tutar]))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IF($A267="","",IF($F267&gt;cbb_esikFark,1,0))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IF($A268="","",SUMIF(tblAnahtarB[NormB],$A268,tblVeriB[BeyanTutar]))</f>
        <v/>
      </c>
      <c r="D268" s="16">
        <f>IF($A268="","",SUMIF(tblAnahtarA[Norm],$A268,tblVeriA[Tutar]))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IF($A268="","",IF($F268&gt;cbb_esikFark,1,0))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IF($A269="","",SUMIF(tblAnahtarB[NormB],$A269,tblVeriB[BeyanTutar]))</f>
        <v/>
      </c>
      <c r="D269" s="16">
        <f>IF($A269="","",SUMIF(tblAnahtarA[Norm],$A269,tblVeriA[Tutar]))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IF($A269="","",IF($F269&gt;cbb_esikFark,1,0))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IF($A270="","",SUMIF(tblAnahtarB[NormB],$A270,tblVeriB[BeyanTutar]))</f>
        <v/>
      </c>
      <c r="D270" s="16">
        <f>IF($A270="","",SUMIF(tblAnahtarA[Norm],$A270,tblVeriA[Tutar]))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IF($A270="","",IF($F270&gt;cbb_esikFark,1,0))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IF($A271="","",SUMIF(tblAnahtarB[NormB],$A271,tblVeriB[BeyanTutar]))</f>
        <v/>
      </c>
      <c r="D271" s="16">
        <f>IF($A271="","",SUMIF(tblAnahtarA[Norm],$A271,tblVeriA[Tutar]))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IF($A271="","",IF($F271&gt;cbb_esikFark,1,0))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IF($A272="","",SUMIF(tblAnahtarB[NormB],$A272,tblVeriB[BeyanTutar]))</f>
        <v/>
      </c>
      <c r="D272" s="16">
        <f>IF($A272="","",SUMIF(tblAnahtarA[Norm],$A272,tblVeriA[Tutar]))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IF($A272="","",IF($F272&gt;cbb_esikFark,1,0))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IF($A273="","",SUMIF(tblAnahtarB[NormB],$A273,tblVeriB[BeyanTutar]))</f>
        <v/>
      </c>
      <c r="D273" s="16">
        <f>IF($A273="","",SUMIF(tblAnahtarA[Norm],$A273,tblVeriA[Tutar]))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IF($A273="","",IF($F273&gt;cbb_esikFark,1,0))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IF($A274="","",SUMIF(tblAnahtarB[NormB],$A274,tblVeriB[BeyanTutar]))</f>
        <v/>
      </c>
      <c r="D274" s="16">
        <f>IF($A274="","",SUMIF(tblAnahtarA[Norm],$A274,tblVeriA[Tutar]))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IF($A274="","",IF($F274&gt;cbb_esikFark,1,0))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IF($A275="","",SUMIF(tblAnahtarB[NormB],$A275,tblVeriB[BeyanTutar]))</f>
        <v/>
      </c>
      <c r="D275" s="16">
        <f>IF($A275="","",SUMIF(tblAnahtarA[Norm],$A275,tblVeriA[Tutar]))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IF($A275="","",IF($F275&gt;cbb_esikFark,1,0))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IF($A276="","",SUMIF(tblAnahtarB[NormB],$A276,tblVeriB[BeyanTutar]))</f>
        <v/>
      </c>
      <c r="D276" s="16">
        <f>IF($A276="","",SUMIF(tblAnahtarA[Norm],$A276,tblVeriA[Tutar]))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IF($A276="","",IF($F276&gt;cbb_esikFark,1,0))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IF($A277="","",SUMIF(tblAnahtarB[NormB],$A277,tblVeriB[BeyanTutar]))</f>
        <v/>
      </c>
      <c r="D277" s="16">
        <f>IF($A277="","",SUMIF(tblAnahtarA[Norm],$A277,tblVeriA[Tutar]))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IF($A277="","",IF($F277&gt;cbb_esikFark,1,0))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IF($A278="","",SUMIF(tblAnahtarB[NormB],$A278,tblVeriB[BeyanTutar]))</f>
        <v/>
      </c>
      <c r="D278" s="16">
        <f>IF($A278="","",SUMIF(tblAnahtarA[Norm],$A278,tblVeriA[Tutar]))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IF($A278="","",IF($F278&gt;cbb_esikFark,1,0))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IF($A279="","",SUMIF(tblAnahtarB[NormB],$A279,tblVeriB[BeyanTutar]))</f>
        <v/>
      </c>
      <c r="D279" s="16">
        <f>IF($A279="","",SUMIF(tblAnahtarA[Norm],$A279,tblVeriA[Tutar]))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IF($A279="","",IF($F279&gt;cbb_esikFark,1,0))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IF($A280="","",SUMIF(tblAnahtarB[NormB],$A280,tblVeriB[BeyanTutar]))</f>
        <v/>
      </c>
      <c r="D280" s="16">
        <f>IF($A280="","",SUMIF(tblAnahtarA[Norm],$A280,tblVeriA[Tutar]))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IF($A280="","",IF($F280&gt;cbb_esikFark,1,0))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IF($A281="","",SUMIF(tblAnahtarB[NormB],$A281,tblVeriB[BeyanTutar]))</f>
        <v/>
      </c>
      <c r="D281" s="16">
        <f>IF($A281="","",SUMIF(tblAnahtarA[Norm],$A281,tblVeriA[Tutar]))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IF($A281="","",IF($F281&gt;cbb_esikFark,1,0))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IF($A282="","",SUMIF(tblAnahtarB[NormB],$A282,tblVeriB[BeyanTutar]))</f>
        <v/>
      </c>
      <c r="D282" s="16">
        <f>IF($A282="","",SUMIF(tblAnahtarA[Norm],$A282,tblVeriA[Tutar]))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IF($A282="","",IF($F282&gt;cbb_esikFark,1,0))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IF($A283="","",SUMIF(tblAnahtarB[NormB],$A283,tblVeriB[BeyanTutar]))</f>
        <v/>
      </c>
      <c r="D283" s="16">
        <f>IF($A283="","",SUMIF(tblAnahtarA[Norm],$A283,tblVeriA[Tutar]))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IF($A283="","",IF($F283&gt;cbb_esikFark,1,0))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IF($A284="","",SUMIF(tblAnahtarB[NormB],$A284,tblVeriB[BeyanTutar]))</f>
        <v/>
      </c>
      <c r="D284" s="16">
        <f>IF($A284="","",SUMIF(tblAnahtarA[Norm],$A284,tblVeriA[Tutar]))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IF($A284="","",IF($F284&gt;cbb_esikFark,1,0))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IF($A285="","",SUMIF(tblAnahtarB[NormB],$A285,tblVeriB[BeyanTutar]))</f>
        <v/>
      </c>
      <c r="D285" s="16">
        <f>IF($A285="","",SUMIF(tblAnahtarA[Norm],$A285,tblVeriA[Tutar]))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IF($A285="","",IF($F285&gt;cbb_esikFark,1,0))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IF($A286="","",SUMIF(tblAnahtarB[NormB],$A286,tblVeriB[BeyanTutar]))</f>
        <v/>
      </c>
      <c r="D286" s="16">
        <f>IF($A286="","",SUMIF(tblAnahtarA[Norm],$A286,tblVeriA[Tutar]))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IF($A286="","",IF($F286&gt;cbb_esikFark,1,0))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IF($A287="","",SUMIF(tblAnahtarB[NormB],$A287,tblVeriB[BeyanTutar]))</f>
        <v/>
      </c>
      <c r="D287" s="16">
        <f>IF($A287="","",SUMIF(tblAnahtarA[Norm],$A287,tblVeriA[Tutar]))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IF($A287="","",IF($F287&gt;cbb_esikFark,1,0))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IF($A288="","",SUMIF(tblAnahtarB[NormB],$A288,tblVeriB[BeyanTutar]))</f>
        <v/>
      </c>
      <c r="D288" s="16">
        <f>IF($A288="","",SUMIF(tblAnahtarA[Norm],$A288,tblVeriA[Tutar]))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IF($A288="","",IF($F288&gt;cbb_esikFark,1,0))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IF($A289="","",SUMIF(tblAnahtarB[NormB],$A289,tblVeriB[BeyanTutar]))</f>
        <v/>
      </c>
      <c r="D289" s="16">
        <f>IF($A289="","",SUMIF(tblAnahtarA[Norm],$A289,tblVeriA[Tutar]))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IF($A289="","",IF($F289&gt;cbb_esikFark,1,0))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IF($A290="","",SUMIF(tblAnahtarB[NormB],$A290,tblVeriB[BeyanTutar]))</f>
        <v/>
      </c>
      <c r="D290" s="16">
        <f>IF($A290="","",SUMIF(tblAnahtarA[Norm],$A290,tblVeriA[Tutar]))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IF($A290="","",IF($F290&gt;cbb_esikFark,1,0))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IF($A291="","",SUMIF(tblAnahtarB[NormB],$A291,tblVeriB[BeyanTutar]))</f>
        <v/>
      </c>
      <c r="D291" s="16">
        <f>IF($A291="","",SUMIF(tblAnahtarA[Norm],$A291,tblVeriA[Tutar]))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IF($A291="","",IF($F291&gt;cbb_esikFark,1,0))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IF($A292="","",SUMIF(tblAnahtarB[NormB],$A292,tblVeriB[BeyanTutar]))</f>
        <v/>
      </c>
      <c r="D292" s="16">
        <f>IF($A292="","",SUMIF(tblAnahtarA[Norm],$A292,tblVeriA[Tutar]))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IF($A292="","",IF($F292&gt;cbb_esikFark,1,0))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IF($A293="","",SUMIF(tblAnahtarB[NormB],$A293,tblVeriB[BeyanTutar]))</f>
        <v/>
      </c>
      <c r="D293" s="16">
        <f>IF($A293="","",SUMIF(tblAnahtarA[Norm],$A293,tblVeriA[Tutar]))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IF($A293="","",IF($F293&gt;cbb_esikFark,1,0))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IF($A294="","",SUMIF(tblAnahtarB[NormB],$A294,tblVeriB[BeyanTutar]))</f>
        <v/>
      </c>
      <c r="D294" s="16">
        <f>IF($A294="","",SUMIF(tblAnahtarA[Norm],$A294,tblVeriA[Tutar]))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IF($A294="","",IF($F294&gt;cbb_esikFark,1,0))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IF($A295="","",SUMIF(tblAnahtarB[NormB],$A295,tblVeriB[BeyanTutar]))</f>
        <v/>
      </c>
      <c r="D295" s="16">
        <f>IF($A295="","",SUMIF(tblAnahtarA[Norm],$A295,tblVeriA[Tutar]))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IF($A295="","",IF($F295&gt;cbb_esikFark,1,0))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IF($A296="","",SUMIF(tblAnahtarB[NormB],$A296,tblVeriB[BeyanTutar]))</f>
        <v/>
      </c>
      <c r="D296" s="16">
        <f>IF($A296="","",SUMIF(tblAnahtarA[Norm],$A296,tblVeriA[Tutar]))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IF($A296="","",IF($F296&gt;cbb_esikFark,1,0))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IF($A297="","",SUMIF(tblAnahtarB[NormB],$A297,tblVeriB[BeyanTutar]))</f>
        <v/>
      </c>
      <c r="D297" s="16">
        <f>IF($A297="","",SUMIF(tblAnahtarA[Norm],$A297,tblVeriA[Tutar]))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IF($A297="","",IF($F297&gt;cbb_esikFark,1,0))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IF($A298="","",SUMIF(tblAnahtarB[NormB],$A298,tblVeriB[BeyanTutar]))</f>
        <v/>
      </c>
      <c r="D298" s="16">
        <f>IF($A298="","",SUMIF(tblAnahtarA[Norm],$A298,tblVeriA[Tutar]))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IF($A298="","",IF($F298&gt;cbb_esikFark,1,0))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IF($A299="","",SUMIF(tblAnahtarB[NormB],$A299,tblVeriB[BeyanTutar]))</f>
        <v/>
      </c>
      <c r="D299" s="16">
        <f>IF($A299="","",SUMIF(tblAnahtarA[Norm],$A299,tblVeriA[Tutar]))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IF($A299="","",IF($F299&gt;cbb_esikFark,1,0))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IF($A300="","",SUMIF(tblAnahtarB[NormB],$A300,tblVeriB[BeyanTutar]))</f>
        <v/>
      </c>
      <c r="D300" s="16">
        <f>IF($A300="","",SUMIF(tblAnahtarA[Norm],$A300,tblVeriA[Tutar]))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IF($A300="","",IF($F300&gt;cbb_esikFark,1,0))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IF($A301="","",SUMIF(tblAnahtarB[NormB],$A301,tblVeriB[BeyanTutar]))</f>
        <v/>
      </c>
      <c r="D301" s="16">
        <f>IF($A301="","",SUMIF(tblAnahtarA[Norm],$A301,tblVeriA[Tutar]))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IF($A301="","",IF($F301&gt;cbb_esikFark,1,0))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IF($A302="","",SUMIF(tblAnahtarB[NormB],$A302,tblVeriB[BeyanTutar]))</f>
        <v/>
      </c>
      <c r="D302" s="16">
        <f>IF($A302="","",SUMIF(tblAnahtarA[Norm],$A302,tblVeriA[Tutar]))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IF($A302="","",IF($F302&gt;cbb_esikFark,1,0))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IF($A303="","",SUMIF(tblAnahtarB[NormB],$A303,tblVeriB[BeyanTutar]))</f>
        <v/>
      </c>
      <c r="D303" s="16">
        <f>IF($A303="","",SUMIF(tblAnahtarA[Norm],$A303,tblVeriA[Tutar]))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IF($A303="","",IF($F303&gt;cbb_esikFark,1,0))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IF($A304="","",SUMIF(tblAnahtarB[NormB],$A304,tblVeriB[BeyanTutar]))</f>
        <v/>
      </c>
      <c r="D304" s="16">
        <f>IF($A304="","",SUMIF(tblAnahtarA[Norm],$A304,tblVeriA[Tutar]))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IF($A304="","",IF($F304&gt;cbb_esikFark,1,0))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IF($A305="","",SUMIF(tblAnahtarB[NormB],$A305,tblVeriB[BeyanTutar]))</f>
        <v/>
      </c>
      <c r="D305" s="16">
        <f>IF($A305="","",SUMIF(tblAnahtarA[Norm],$A305,tblVeriA[Tutar]))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IF($A305="","",IF($F305&gt;cbb_esikFark,1,0))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IF($A306="","",SUMIF(tblAnahtarB[NormB],$A306,tblVeriB[BeyanTutar]))</f>
        <v/>
      </c>
      <c r="D306" s="16">
        <f>IF($A306="","",SUMIF(tblAnahtarA[Norm],$A306,tblVeriA[Tutar]))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IF($A306="","",IF($F306&gt;cbb_esikFark,1,0))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IF($A307="","",SUMIF(tblAnahtarB[NormB],$A307,tblVeriB[BeyanTutar]))</f>
        <v/>
      </c>
      <c r="D307" s="16">
        <f>IF($A307="","",SUMIF(tblAnahtarA[Norm],$A307,tblVeriA[Tutar]))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IF($A307="","",IF($F307&gt;cbb_esikFark,1,0))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IF($A308="","",SUMIF(tblAnahtarB[NormB],$A308,tblVeriB[BeyanTutar]))</f>
        <v/>
      </c>
      <c r="D308" s="16">
        <f>IF($A308="","",SUMIF(tblAnahtarA[Norm],$A308,tblVeriA[Tutar]))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IF($A308="","",IF($F308&gt;cbb_esikFark,1,0))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IF($A309="","",SUMIF(tblAnahtarB[NormB],$A309,tblVeriB[BeyanTutar]))</f>
        <v/>
      </c>
      <c r="D309" s="16">
        <f>IF($A309="","",SUMIF(tblAnahtarA[Norm],$A309,tblVeriA[Tutar]))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IF($A309="","",IF($F309&gt;cbb_esikFark,1,0))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IF($A310="","",SUMIF(tblAnahtarB[NormB],$A310,tblVeriB[BeyanTutar]))</f>
        <v/>
      </c>
      <c r="D310" s="16">
        <f>IF($A310="","",SUMIF(tblAnahtarA[Norm],$A310,tblVeriA[Tutar]))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IF($A310="","",IF($F310&gt;cbb_esikFark,1,0))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IF($A311="","",SUMIF(tblAnahtarB[NormB],$A311,tblVeriB[BeyanTutar]))</f>
        <v/>
      </c>
      <c r="D311" s="16">
        <f>IF($A311="","",SUMIF(tblAnahtarA[Norm],$A311,tblVeriA[Tutar]))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IF($A311="","",IF($F311&gt;cbb_esikFark,1,0))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IF($A312="","",SUMIF(tblAnahtarB[NormB],$A312,tblVeriB[BeyanTutar]))</f>
        <v/>
      </c>
      <c r="D312" s="16">
        <f>IF($A312="","",SUMIF(tblAnahtarA[Norm],$A312,tblVeriA[Tutar]))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IF($A312="","",IF($F312&gt;cbb_esikFark,1,0))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IF($A313="","",SUMIF(tblAnahtarB[NormB],$A313,tblVeriB[BeyanTutar]))</f>
        <v/>
      </c>
      <c r="D313" s="16">
        <f>IF($A313="","",SUMIF(tblAnahtarA[Norm],$A313,tblVeriA[Tutar]))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IF($A313="","",IF($F313&gt;cbb_esikFark,1,0))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IF($A314="","",SUMIF(tblAnahtarB[NormB],$A314,tblVeriB[BeyanTutar]))</f>
        <v/>
      </c>
      <c r="D314" s="16">
        <f>IF($A314="","",SUMIF(tblAnahtarA[Norm],$A314,tblVeriA[Tutar]))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IF($A314="","",IF($F314&gt;cbb_esikFark,1,0))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IF($A315="","",SUMIF(tblAnahtarB[NormB],$A315,tblVeriB[BeyanTutar]))</f>
        <v/>
      </c>
      <c r="D315" s="16">
        <f>IF($A315="","",SUMIF(tblAnahtarA[Norm],$A315,tblVeriA[Tutar]))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IF($A315="","",IF($F315&gt;cbb_esikFark,1,0))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IF($A316="","",SUMIF(tblAnahtarB[NormB],$A316,tblVeriB[BeyanTutar]))</f>
        <v/>
      </c>
      <c r="D316" s="16">
        <f>IF($A316="","",SUMIF(tblAnahtarA[Norm],$A316,tblVeriA[Tutar]))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IF($A316="","",IF($F316&gt;cbb_esikFark,1,0))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IF($A317="","",SUMIF(tblAnahtarB[NormB],$A317,tblVeriB[BeyanTutar]))</f>
        <v/>
      </c>
      <c r="D317" s="16">
        <f>IF($A317="","",SUMIF(tblAnahtarA[Norm],$A317,tblVeriA[Tutar]))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IF($A317="","",IF($F317&gt;cbb_esikFark,1,0))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IF($A318="","",SUMIF(tblAnahtarB[NormB],$A318,tblVeriB[BeyanTutar]))</f>
        <v/>
      </c>
      <c r="D318" s="16">
        <f>IF($A318="","",SUMIF(tblAnahtarA[Norm],$A318,tblVeriA[Tutar]))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IF($A318="","",IF($F318&gt;cbb_esikFark,1,0))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IF($A319="","",SUMIF(tblAnahtarB[NormB],$A319,tblVeriB[BeyanTutar]))</f>
        <v/>
      </c>
      <c r="D319" s="16">
        <f>IF($A319="","",SUMIF(tblAnahtarA[Norm],$A319,tblVeriA[Tutar]))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IF($A319="","",IF($F319&gt;cbb_esikFark,1,0))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IF($A320="","",SUMIF(tblAnahtarB[NormB],$A320,tblVeriB[BeyanTutar]))</f>
        <v/>
      </c>
      <c r="D320" s="16">
        <f>IF($A320="","",SUMIF(tblAnahtarA[Norm],$A320,tblVeriA[Tutar]))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IF($A320="","",IF($F320&gt;cbb_esikFark,1,0))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IF($A321="","",SUMIF(tblAnahtarB[NormB],$A321,tblVeriB[BeyanTutar]))</f>
        <v/>
      </c>
      <c r="D321" s="16">
        <f>IF($A321="","",SUMIF(tblAnahtarA[Norm],$A321,tblVeriA[Tutar]))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IF($A321="","",IF($F321&gt;cbb_esikFark,1,0))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IF($A322="","",SUMIF(tblAnahtarB[NormB],$A322,tblVeriB[BeyanTutar]))</f>
        <v/>
      </c>
      <c r="D322" s="16">
        <f>IF($A322="","",SUMIF(tblAnahtarA[Norm],$A322,tblVeriA[Tutar]))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IF($A322="","",IF($F322&gt;cbb_esikFark,1,0))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IF($A323="","",SUMIF(tblAnahtarB[NormB],$A323,tblVeriB[BeyanTutar]))</f>
        <v/>
      </c>
      <c r="D323" s="16">
        <f>IF($A323="","",SUMIF(tblAnahtarA[Norm],$A323,tblVeriA[Tutar]))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IF($A323="","",IF($F323&gt;cbb_esikFark,1,0))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IF($A324="","",SUMIF(tblAnahtarB[NormB],$A324,tblVeriB[BeyanTutar]))</f>
        <v/>
      </c>
      <c r="D324" s="16">
        <f>IF($A324="","",SUMIF(tblAnahtarA[Norm],$A324,tblVeriA[Tutar]))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IF($A324="","",IF($F324&gt;cbb_esikFark,1,0))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IF($A325="","",SUMIF(tblAnahtarB[NormB],$A325,tblVeriB[BeyanTutar]))</f>
        <v/>
      </c>
      <c r="D325" s="16">
        <f>IF($A325="","",SUMIF(tblAnahtarA[Norm],$A325,tblVeriA[Tutar]))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IF($A325="","",IF($F325&gt;cbb_esikFark,1,0))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IF($A326="","",SUMIF(tblAnahtarB[NormB],$A326,tblVeriB[BeyanTutar]))</f>
        <v/>
      </c>
      <c r="D326" s="16">
        <f>IF($A326="","",SUMIF(tblAnahtarA[Norm],$A326,tblVeriA[Tutar]))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IF($A326="","",IF($F326&gt;cbb_esikFark,1,0))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IF($A327="","",SUMIF(tblAnahtarB[NormB],$A327,tblVeriB[BeyanTutar]))</f>
        <v/>
      </c>
      <c r="D327" s="16">
        <f>IF($A327="","",SUMIF(tblAnahtarA[Norm],$A327,tblVeriA[Tutar]))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IF($A327="","",IF($F327&gt;cbb_esikFark,1,0))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IF($A328="","",SUMIF(tblAnahtarB[NormB],$A328,tblVeriB[BeyanTutar]))</f>
        <v/>
      </c>
      <c r="D328" s="16">
        <f>IF($A328="","",SUMIF(tblAnahtarA[Norm],$A328,tblVeriA[Tutar]))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IF($A328="","",IF($F328&gt;cbb_esikFark,1,0))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IF($A329="","",SUMIF(tblAnahtarB[NormB],$A329,tblVeriB[BeyanTutar]))</f>
        <v/>
      </c>
      <c r="D329" s="16">
        <f>IF($A329="","",SUMIF(tblAnahtarA[Norm],$A329,tblVeriA[Tutar]))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IF($A329="","",IF($F329&gt;cbb_esikFark,1,0))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IF($A330="","",SUMIF(tblAnahtarB[NormB],$A330,tblVeriB[BeyanTutar]))</f>
        <v/>
      </c>
      <c r="D330" s="16">
        <f>IF($A330="","",SUMIF(tblAnahtarA[Norm],$A330,tblVeriA[Tutar]))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IF($A330="","",IF($F330&gt;cbb_esikFark,1,0))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IF($A331="","",SUMIF(tblAnahtarB[NormB],$A331,tblVeriB[BeyanTutar]))</f>
        <v/>
      </c>
      <c r="D331" s="16">
        <f>IF($A331="","",SUMIF(tblAnahtarA[Norm],$A331,tblVeriA[Tutar]))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IF($A331="","",IF($F331&gt;cbb_esikFark,1,0))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IF($A332="","",SUMIF(tblAnahtarB[NormB],$A332,tblVeriB[BeyanTutar]))</f>
        <v/>
      </c>
      <c r="D332" s="16">
        <f>IF($A332="","",SUMIF(tblAnahtarA[Norm],$A332,tblVeriA[Tutar]))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IF($A332="","",IF($F332&gt;cbb_esikFark,1,0))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IF($A333="","",SUMIF(tblAnahtarB[NormB],$A333,tblVeriB[BeyanTutar]))</f>
        <v/>
      </c>
      <c r="D333" s="16">
        <f>IF($A333="","",SUMIF(tblAnahtarA[Norm],$A333,tblVeriA[Tutar]))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IF($A333="","",IF($F333&gt;cbb_esikFark,1,0))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IF($A334="","",SUMIF(tblAnahtarB[NormB],$A334,tblVeriB[BeyanTutar]))</f>
        <v/>
      </c>
      <c r="D334" s="16">
        <f>IF($A334="","",SUMIF(tblAnahtarA[Norm],$A334,tblVeriA[Tutar]))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IF($A334="","",IF($F334&gt;cbb_esikFark,1,0))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IF($A335="","",SUMIF(tblAnahtarB[NormB],$A335,tblVeriB[BeyanTutar]))</f>
        <v/>
      </c>
      <c r="D335" s="16">
        <f>IF($A335="","",SUMIF(tblAnahtarA[Norm],$A335,tblVeriA[Tutar]))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IF($A335="","",IF($F335&gt;cbb_esikFark,1,0))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IF($A336="","",SUMIF(tblAnahtarB[NormB],$A336,tblVeriB[BeyanTutar]))</f>
        <v/>
      </c>
      <c r="D336" s="16">
        <f>IF($A336="","",SUMIF(tblAnahtarA[Norm],$A336,tblVeriA[Tutar]))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IF($A336="","",IF($F336&gt;cbb_esikFark,1,0))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IF($A337="","",SUMIF(tblAnahtarB[NormB],$A337,tblVeriB[BeyanTutar]))</f>
        <v/>
      </c>
      <c r="D337" s="16">
        <f>IF($A337="","",SUMIF(tblAnahtarA[Norm],$A337,tblVeriA[Tutar]))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IF($A337="","",IF($F337&gt;cbb_esikFark,1,0))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IF($A338="","",SUMIF(tblAnahtarB[NormB],$A338,tblVeriB[BeyanTutar]))</f>
        <v/>
      </c>
      <c r="D338" s="16">
        <f>IF($A338="","",SUMIF(tblAnahtarA[Norm],$A338,tblVeriA[Tutar]))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IF($A338="","",IF($F338&gt;cbb_esikFark,1,0))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IF($A339="","",SUMIF(tblAnahtarB[NormB],$A339,tblVeriB[BeyanTutar]))</f>
        <v/>
      </c>
      <c r="D339" s="16">
        <f>IF($A339="","",SUMIF(tblAnahtarA[Norm],$A339,tblVeriA[Tutar]))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IF($A339="","",IF($F339&gt;cbb_esikFark,1,0))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IF($A340="","",SUMIF(tblAnahtarB[NormB],$A340,tblVeriB[BeyanTutar]))</f>
        <v/>
      </c>
      <c r="D340" s="16">
        <f>IF($A340="","",SUMIF(tblAnahtarA[Norm],$A340,tblVeriA[Tutar]))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IF($A340="","",IF($F340&gt;cbb_esikFark,1,0))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IF($A341="","",SUMIF(tblAnahtarB[NormB],$A341,tblVeriB[BeyanTutar]))</f>
        <v/>
      </c>
      <c r="D341" s="16">
        <f>IF($A341="","",SUMIF(tblAnahtarA[Norm],$A341,tblVeriA[Tutar]))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IF($A341="","",IF($F341&gt;cbb_esikFark,1,0))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IF($A342="","",SUMIF(tblAnahtarB[NormB],$A342,tblVeriB[BeyanTutar]))</f>
        <v/>
      </c>
      <c r="D342" s="16">
        <f>IF($A342="","",SUMIF(tblAnahtarA[Norm],$A342,tblVeriA[Tutar]))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IF($A342="","",IF($F342&gt;cbb_esikFark,1,0))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IF($A343="","",SUMIF(tblAnahtarB[NormB],$A343,tblVeriB[BeyanTutar]))</f>
        <v/>
      </c>
      <c r="D343" s="16">
        <f>IF($A343="","",SUMIF(tblAnahtarA[Norm],$A343,tblVeriA[Tutar]))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IF($A343="","",IF($F343&gt;cbb_esikFark,1,0))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IF($A344="","",SUMIF(tblAnahtarB[NormB],$A344,tblVeriB[BeyanTutar]))</f>
        <v/>
      </c>
      <c r="D344" s="16">
        <f>IF($A344="","",SUMIF(tblAnahtarA[Norm],$A344,tblVeriA[Tutar]))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IF($A344="","",IF($F344&gt;cbb_esikFark,1,0))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IF($A345="","",SUMIF(tblAnahtarB[NormB],$A345,tblVeriB[BeyanTutar]))</f>
        <v/>
      </c>
      <c r="D345" s="16">
        <f>IF($A345="","",SUMIF(tblAnahtarA[Norm],$A345,tblVeriA[Tutar]))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IF($A345="","",IF($F345&gt;cbb_esikFark,1,0))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IF($A346="","",SUMIF(tblAnahtarB[NormB],$A346,tblVeriB[BeyanTutar]))</f>
        <v/>
      </c>
      <c r="D346" s="16">
        <f>IF($A346="","",SUMIF(tblAnahtarA[Norm],$A346,tblVeriA[Tutar]))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IF($A346="","",IF($F346&gt;cbb_esikFark,1,0))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IF($A347="","",SUMIF(tblAnahtarB[NormB],$A347,tblVeriB[BeyanTutar]))</f>
        <v/>
      </c>
      <c r="D347" s="16">
        <f>IF($A347="","",SUMIF(tblAnahtarA[Norm],$A347,tblVeriA[Tutar]))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IF($A347="","",IF($F347&gt;cbb_esikFark,1,0))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IF($A348="","",SUMIF(tblAnahtarB[NormB],$A348,tblVeriB[BeyanTutar]))</f>
        <v/>
      </c>
      <c r="D348" s="16">
        <f>IF($A348="","",SUMIF(tblAnahtarA[Norm],$A348,tblVeriA[Tutar]))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IF($A348="","",IF($F348&gt;cbb_esikFark,1,0))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IF($A349="","",SUMIF(tblAnahtarB[NormB],$A349,tblVeriB[BeyanTutar]))</f>
        <v/>
      </c>
      <c r="D349" s="16">
        <f>IF($A349="","",SUMIF(tblAnahtarA[Norm],$A349,tblVeriA[Tutar]))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IF($A349="","",IF($F349&gt;cbb_esikFark,1,0))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IF($A350="","",SUMIF(tblAnahtarB[NormB],$A350,tblVeriB[BeyanTutar]))</f>
        <v/>
      </c>
      <c r="D350" s="16">
        <f>IF($A350="","",SUMIF(tblAnahtarA[Norm],$A350,tblVeriA[Tutar]))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IF($A350="","",IF($F350&gt;cbb_esikFark,1,0))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IF($A351="","",SUMIF(tblAnahtarB[NormB],$A351,tblVeriB[BeyanTutar]))</f>
        <v/>
      </c>
      <c r="D351" s="16">
        <f>IF($A351="","",SUMIF(tblAnahtarA[Norm],$A351,tblVeriA[Tutar]))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IF($A351="","",IF($F351&gt;cbb_esikFark,1,0))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IF($A352="","",SUMIF(tblAnahtarB[NormB],$A352,tblVeriB[BeyanTutar]))</f>
        <v/>
      </c>
      <c r="D352" s="16">
        <f>IF($A352="","",SUMIF(tblAnahtarA[Norm],$A352,tblVeriA[Tutar]))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IF($A352="","",IF($F352&gt;cbb_esikFark,1,0))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IF($A353="","",SUMIF(tblAnahtarB[NormB],$A353,tblVeriB[BeyanTutar]))</f>
        <v/>
      </c>
      <c r="D353" s="16">
        <f>IF($A353="","",SUMIF(tblAnahtarA[Norm],$A353,tblVeriA[Tutar]))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IF($A353="","",IF($F353&gt;cbb_esikFark,1,0))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IF($A354="","",SUMIF(tblAnahtarB[NormB],$A354,tblVeriB[BeyanTutar]))</f>
        <v/>
      </c>
      <c r="D354" s="16">
        <f>IF($A354="","",SUMIF(tblAnahtarA[Norm],$A354,tblVeriA[Tutar]))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IF($A354="","",IF($F354&gt;cbb_esikFark,1,0))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IF($A355="","",SUMIF(tblAnahtarB[NormB],$A355,tblVeriB[BeyanTutar]))</f>
        <v/>
      </c>
      <c r="D355" s="16">
        <f>IF($A355="","",SUMIF(tblAnahtarA[Norm],$A355,tblVeriA[Tutar]))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IF($A355="","",IF($F355&gt;cbb_esikFark,1,0))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IF($A356="","",SUMIF(tblAnahtarB[NormB],$A356,tblVeriB[BeyanTutar]))</f>
        <v/>
      </c>
      <c r="D356" s="16">
        <f>IF($A356="","",SUMIF(tblAnahtarA[Norm],$A356,tblVeriA[Tutar]))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IF($A356="","",IF($F356&gt;cbb_esikFark,1,0))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IF($A357="","",SUMIF(tblAnahtarB[NormB],$A357,tblVeriB[BeyanTutar]))</f>
        <v/>
      </c>
      <c r="D357" s="16">
        <f>IF($A357="","",SUMIF(tblAnahtarA[Norm],$A357,tblVeriA[Tutar]))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IF($A357="","",IF($F357&gt;cbb_esikFark,1,0))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IF($A358="","",SUMIF(tblAnahtarB[NormB],$A358,tblVeriB[BeyanTutar]))</f>
        <v/>
      </c>
      <c r="D358" s="16">
        <f>IF($A358="","",SUMIF(tblAnahtarA[Norm],$A358,tblVeriA[Tutar]))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IF($A358="","",IF($F358&gt;cbb_esikFark,1,0))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IF($A359="","",SUMIF(tblAnahtarB[NormB],$A359,tblVeriB[BeyanTutar]))</f>
        <v/>
      </c>
      <c r="D359" s="16">
        <f>IF($A359="","",SUMIF(tblAnahtarA[Norm],$A359,tblVeriA[Tutar]))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IF($A359="","",IF($F359&gt;cbb_esikFark,1,0))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IF($A360="","",SUMIF(tblAnahtarB[NormB],$A360,tblVeriB[BeyanTutar]))</f>
        <v/>
      </c>
      <c r="D360" s="16">
        <f>IF($A360="","",SUMIF(tblAnahtarA[Norm],$A360,tblVeriA[Tutar]))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IF($A360="","",IF($F360&gt;cbb_esikFark,1,0))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IF($A361="","",SUMIF(tblAnahtarB[NormB],$A361,tblVeriB[BeyanTutar]))</f>
        <v/>
      </c>
      <c r="D361" s="16">
        <f>IF($A361="","",SUMIF(tblAnahtarA[Norm],$A361,tblVeriA[Tutar]))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IF($A361="","",IF($F361&gt;cbb_esikFark,1,0))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IF($A362="","",SUMIF(tblAnahtarB[NormB],$A362,tblVeriB[BeyanTutar]))</f>
        <v/>
      </c>
      <c r="D362" s="16">
        <f>IF($A362="","",SUMIF(tblAnahtarA[Norm],$A362,tblVeriA[Tutar]))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IF($A362="","",IF($F362&gt;cbb_esikFark,1,0))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IF($A363="","",SUMIF(tblAnahtarB[NormB],$A363,tblVeriB[BeyanTutar]))</f>
        <v/>
      </c>
      <c r="D363" s="16">
        <f>IF($A363="","",SUMIF(tblAnahtarA[Norm],$A363,tblVeriA[Tutar]))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IF($A363="","",IF($F363&gt;cbb_esikFark,1,0))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IF($A364="","",SUMIF(tblAnahtarB[NormB],$A364,tblVeriB[BeyanTutar]))</f>
        <v/>
      </c>
      <c r="D364" s="16">
        <f>IF($A364="","",SUMIF(tblAnahtarA[Norm],$A364,tblVeriA[Tutar]))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IF($A364="","",IF($F364&gt;cbb_esikFark,1,0))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IF($A365="","",SUMIF(tblAnahtarB[NormB],$A365,tblVeriB[BeyanTutar]))</f>
        <v/>
      </c>
      <c r="D365" s="16">
        <f>IF($A365="","",SUMIF(tblAnahtarA[Norm],$A365,tblVeriA[Tutar]))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IF($A365="","",IF($F365&gt;cbb_esikFark,1,0))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IF($A366="","",SUMIF(tblAnahtarB[NormB],$A366,tblVeriB[BeyanTutar]))</f>
        <v/>
      </c>
      <c r="D366" s="16">
        <f>IF($A366="","",SUMIF(tblAnahtarA[Norm],$A366,tblVeriA[Tutar]))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IF($A366="","",IF($F366&gt;cbb_esikFark,1,0))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IF($A367="","",SUMIF(tblAnahtarB[NormB],$A367,tblVeriB[BeyanTutar]))</f>
        <v/>
      </c>
      <c r="D367" s="16">
        <f>IF($A367="","",SUMIF(tblAnahtarA[Norm],$A367,tblVeriA[Tutar]))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IF($A367="","",IF($F367&gt;cbb_esikFark,1,0))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IF($A368="","",SUMIF(tblAnahtarB[NormB],$A368,tblVeriB[BeyanTutar]))</f>
        <v/>
      </c>
      <c r="D368" s="16">
        <f>IF($A368="","",SUMIF(tblAnahtarA[Norm],$A368,tblVeriA[Tutar]))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IF($A368="","",IF($F368&gt;cbb_esikFark,1,0))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IF($A369="","",SUMIF(tblAnahtarB[NormB],$A369,tblVeriB[BeyanTutar]))</f>
        <v/>
      </c>
      <c r="D369" s="16">
        <f>IF($A369="","",SUMIF(tblAnahtarA[Norm],$A369,tblVeriA[Tutar]))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IF($A369="","",IF($F369&gt;cbb_esikFark,1,0))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IF($A370="","",SUMIF(tblAnahtarB[NormB],$A370,tblVeriB[BeyanTutar]))</f>
        <v/>
      </c>
      <c r="D370" s="16">
        <f>IF($A370="","",SUMIF(tblAnahtarA[Norm],$A370,tblVeriA[Tutar]))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IF($A370="","",IF($F370&gt;cbb_esikFark,1,0))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IF($A371="","",SUMIF(tblAnahtarB[NormB],$A371,tblVeriB[BeyanTutar]))</f>
        <v/>
      </c>
      <c r="D371" s="16">
        <f>IF($A371="","",SUMIF(tblAnahtarA[Norm],$A371,tblVeriA[Tutar]))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IF($A371="","",IF($F371&gt;cbb_esikFark,1,0))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IF($A372="","",SUMIF(tblAnahtarB[NormB],$A372,tblVeriB[BeyanTutar]))</f>
        <v/>
      </c>
      <c r="D372" s="16">
        <f>IF($A372="","",SUMIF(tblAnahtarA[Norm],$A372,tblVeriA[Tutar]))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IF($A372="","",IF($F372&gt;cbb_esikFark,1,0))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IF($A373="","",SUMIF(tblAnahtarB[NormB],$A373,tblVeriB[BeyanTutar]))</f>
        <v/>
      </c>
      <c r="D373" s="16">
        <f>IF($A373="","",SUMIF(tblAnahtarA[Norm],$A373,tblVeriA[Tutar]))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IF($A373="","",IF($F373&gt;cbb_esikFark,1,0))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IF($A374="","",SUMIF(tblAnahtarB[NormB],$A374,tblVeriB[BeyanTutar]))</f>
        <v/>
      </c>
      <c r="D374" s="16">
        <f>IF($A374="","",SUMIF(tblAnahtarA[Norm],$A374,tblVeriA[Tutar]))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IF($A374="","",IF($F374&gt;cbb_esikFark,1,0))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IF($A375="","",SUMIF(tblAnahtarB[NormB],$A375,tblVeriB[BeyanTutar]))</f>
        <v/>
      </c>
      <c r="D375" s="16">
        <f>IF($A375="","",SUMIF(tblAnahtarA[Norm],$A375,tblVeriA[Tutar]))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IF($A375="","",IF($F375&gt;cbb_esikFark,1,0))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IF($A376="","",SUMIF(tblAnahtarB[NormB],$A376,tblVeriB[BeyanTutar]))</f>
        <v/>
      </c>
      <c r="D376" s="16">
        <f>IF($A376="","",SUMIF(tblAnahtarA[Norm],$A376,tblVeriA[Tutar]))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IF($A376="","",IF($F376&gt;cbb_esikFark,1,0))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IF($A377="","",SUMIF(tblAnahtarB[NormB],$A377,tblVeriB[BeyanTutar]))</f>
        <v/>
      </c>
      <c r="D377" s="16">
        <f>IF($A377="","",SUMIF(tblAnahtarA[Norm],$A377,tblVeriA[Tutar]))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IF($A377="","",IF($F377&gt;cbb_esikFark,1,0))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IF($A378="","",SUMIF(tblAnahtarB[NormB],$A378,tblVeriB[BeyanTutar]))</f>
        <v/>
      </c>
      <c r="D378" s="16">
        <f>IF($A378="","",SUMIF(tblAnahtarA[Norm],$A378,tblVeriA[Tutar]))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IF($A378="","",IF($F378&gt;cbb_esikFark,1,0))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IF($A379="","",SUMIF(tblAnahtarB[NormB],$A379,tblVeriB[BeyanTutar]))</f>
        <v/>
      </c>
      <c r="D379" s="16">
        <f>IF($A379="","",SUMIF(tblAnahtarA[Norm],$A379,tblVeriA[Tutar]))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IF($A379="","",IF($F379&gt;cbb_esikFark,1,0))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IF($A380="","",SUMIF(tblAnahtarB[NormB],$A380,tblVeriB[BeyanTutar]))</f>
        <v/>
      </c>
      <c r="D380" s="16">
        <f>IF($A380="","",SUMIF(tblAnahtarA[Norm],$A380,tblVeriA[Tutar]))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IF($A380="","",IF($F380&gt;cbb_esikFark,1,0))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IF($A381="","",SUMIF(tblAnahtarB[NormB],$A381,tblVeriB[BeyanTutar]))</f>
        <v/>
      </c>
      <c r="D381" s="16">
        <f>IF($A381="","",SUMIF(tblAnahtarA[Norm],$A381,tblVeriA[Tutar]))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IF($A381="","",IF($F381&gt;cbb_esikFark,1,0))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IF($A382="","",SUMIF(tblAnahtarB[NormB],$A382,tblVeriB[BeyanTutar]))</f>
        <v/>
      </c>
      <c r="D382" s="16">
        <f>IF($A382="","",SUMIF(tblAnahtarA[Norm],$A382,tblVeriA[Tutar]))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IF($A382="","",IF($F382&gt;cbb_esikFark,1,0))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IF($A383="","",SUMIF(tblAnahtarB[NormB],$A383,tblVeriB[BeyanTutar]))</f>
        <v/>
      </c>
      <c r="D383" s="16">
        <f>IF($A383="","",SUMIF(tblAnahtarA[Norm],$A383,tblVeriA[Tutar]))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IF($A383="","",IF($F383&gt;cbb_esikFark,1,0))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IF($A384="","",SUMIF(tblAnahtarB[NormB],$A384,tblVeriB[BeyanTutar]))</f>
        <v/>
      </c>
      <c r="D384" s="16">
        <f>IF($A384="","",SUMIF(tblAnahtarA[Norm],$A384,tblVeriA[Tutar]))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IF($A384="","",IF($F384&gt;cbb_esikFark,1,0))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IF($A385="","",SUMIF(tblAnahtarB[NormB],$A385,tblVeriB[BeyanTutar]))</f>
        <v/>
      </c>
      <c r="D385" s="16">
        <f>IF($A385="","",SUMIF(tblAnahtarA[Norm],$A385,tblVeriA[Tutar]))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IF($A385="","",IF($F385&gt;cbb_esikFark,1,0))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IF($A386="","",SUMIF(tblAnahtarB[NormB],$A386,tblVeriB[BeyanTutar]))</f>
        <v/>
      </c>
      <c r="D386" s="16">
        <f>IF($A386="","",SUMIF(tblAnahtarA[Norm],$A386,tblVeriA[Tutar]))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IF($A386="","",IF($F386&gt;cbb_esikFark,1,0))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IF($A387="","",SUMIF(tblAnahtarB[NormB],$A387,tblVeriB[BeyanTutar]))</f>
        <v/>
      </c>
      <c r="D387" s="16">
        <f>IF($A387="","",SUMIF(tblAnahtarA[Norm],$A387,tblVeriA[Tutar]))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IF($A387="","",IF($F387&gt;cbb_esikFark,1,0))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IF($A388="","",SUMIF(tblAnahtarB[NormB],$A388,tblVeriB[BeyanTutar]))</f>
        <v/>
      </c>
      <c r="D388" s="16">
        <f>IF($A388="","",SUMIF(tblAnahtarA[Norm],$A388,tblVeriA[Tutar]))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IF($A388="","",IF($F388&gt;cbb_esikFark,1,0))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IF($A389="","",SUMIF(tblAnahtarB[NormB],$A389,tblVeriB[BeyanTutar]))</f>
        <v/>
      </c>
      <c r="D389" s="16">
        <f>IF($A389="","",SUMIF(tblAnahtarA[Norm],$A389,tblVeriA[Tutar]))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IF($A389="","",IF($F389&gt;cbb_esikFark,1,0))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IF($A390="","",SUMIF(tblAnahtarB[NormB],$A390,tblVeriB[BeyanTutar]))</f>
        <v/>
      </c>
      <c r="D390" s="16">
        <f>IF($A390="","",SUMIF(tblAnahtarA[Norm],$A390,tblVeriA[Tutar]))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IF($A390="","",IF($F390&gt;cbb_esikFark,1,0))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IF($A391="","",SUMIF(tblAnahtarB[NormB],$A391,tblVeriB[BeyanTutar]))</f>
        <v/>
      </c>
      <c r="D391" s="16">
        <f>IF($A391="","",SUMIF(tblAnahtarA[Norm],$A391,tblVeriA[Tutar]))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IF($A391="","",IF($F391&gt;cbb_esikFark,1,0))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IF($A392="","",SUMIF(tblAnahtarB[NormB],$A392,tblVeriB[BeyanTutar]))</f>
        <v/>
      </c>
      <c r="D392" s="16">
        <f>IF($A392="","",SUMIF(tblAnahtarA[Norm],$A392,tblVeriA[Tutar]))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IF($A392="","",IF($F392&gt;cbb_esikFark,1,0))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IF($A393="","",SUMIF(tblAnahtarB[NormB],$A393,tblVeriB[BeyanTutar]))</f>
        <v/>
      </c>
      <c r="D393" s="16">
        <f>IF($A393="","",SUMIF(tblAnahtarA[Norm],$A393,tblVeriA[Tutar]))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IF($A393="","",IF($F393&gt;cbb_esikFark,1,0))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IF($A394="","",SUMIF(tblAnahtarB[NormB],$A394,tblVeriB[BeyanTutar]))</f>
        <v/>
      </c>
      <c r="D394" s="16">
        <f>IF($A394="","",SUMIF(tblAnahtarA[Norm],$A394,tblVeriA[Tutar]))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IF($A394="","",IF($F394&gt;cbb_esikFark,1,0))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IF($A395="","",SUMIF(tblAnahtarB[NormB],$A395,tblVeriB[BeyanTutar]))</f>
        <v/>
      </c>
      <c r="D395" s="16">
        <f>IF($A395="","",SUMIF(tblAnahtarA[Norm],$A395,tblVeriA[Tutar]))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IF($A395="","",IF($F395&gt;cbb_esikFark,1,0))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IF($A396="","",SUMIF(tblAnahtarB[NormB],$A396,tblVeriB[BeyanTutar]))</f>
        <v/>
      </c>
      <c r="D396" s="16">
        <f>IF($A396="","",SUMIF(tblAnahtarA[Norm],$A396,tblVeriA[Tutar]))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IF($A396="","",IF($F396&gt;cbb_esikFark,1,0))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IF($A397="","",SUMIF(tblAnahtarB[NormB],$A397,tblVeriB[BeyanTutar]))</f>
        <v/>
      </c>
      <c r="D397" s="16">
        <f>IF($A397="","",SUMIF(tblAnahtarA[Norm],$A397,tblVeriA[Tutar]))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IF($A397="","",IF($F397&gt;cbb_esikFark,1,0))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IF($A398="","",SUMIF(tblAnahtarB[NormB],$A398,tblVeriB[BeyanTutar]))</f>
        <v/>
      </c>
      <c r="D398" s="16">
        <f>IF($A398="","",SUMIF(tblAnahtarA[Norm],$A398,tblVeriA[Tutar]))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IF($A398="","",IF($F398&gt;cbb_esikFark,1,0))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IF($A399="","",SUMIF(tblAnahtarB[NormB],$A399,tblVeriB[BeyanTutar]))</f>
        <v/>
      </c>
      <c r="D399" s="16">
        <f>IF($A399="","",SUMIF(tblAnahtarA[Norm],$A399,tblVeriA[Tutar]))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IF($A399="","",IF($F399&gt;cbb_esikFark,1,0))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IF($A400="","",SUMIF(tblAnahtarB[NormB],$A400,tblVeriB[BeyanTutar]))</f>
        <v/>
      </c>
      <c r="D400" s="16">
        <f>IF($A400="","",SUMIF(tblAnahtarA[Norm],$A400,tblVeriA[Tutar]))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IF($A400="","",IF($F400&gt;cbb_esikFark,1,0))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IF($A401="","",SUMIF(tblAnahtarB[NormB],$A401,tblVeriB[BeyanTutar]))</f>
        <v/>
      </c>
      <c r="D401" s="16">
        <f>IF($A401="","",SUMIF(tblAnahtarA[Norm],$A401,tblVeriA[Tutar]))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IF($A401="","",IF($F401&gt;cbb_esikFark,1,0))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IF($A402="","",SUMIF(tblAnahtarB[NormB],$A402,tblVeriB[BeyanTutar]))</f>
        <v/>
      </c>
      <c r="D402" s="16">
        <f>IF($A402="","",SUMIF(tblAnahtarA[Norm],$A402,tblVeriA[Tutar]))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IF($A402="","",IF($F402&gt;cbb_esikFark,1,0))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IF($A403="","",SUMIF(tblAnahtarB[NormB],$A403,tblVeriB[BeyanTutar]))</f>
        <v/>
      </c>
      <c r="D403" s="16">
        <f>IF($A403="","",SUMIF(tblAnahtarA[Norm],$A403,tblVeriA[Tutar]))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IF($A403="","",IF($F403&gt;cbb_esikFark,1,0))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IF($A404="","",SUMIF(tblAnahtarB[NormB],$A404,tblVeriB[BeyanTutar]))</f>
        <v/>
      </c>
      <c r="D404" s="16">
        <f>IF($A404="","",SUMIF(tblAnahtarA[Norm],$A404,tblVeriA[Tutar]))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IF($A404="","",IF($F404&gt;cbb_esikFark,1,0))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IF($A405="","",SUMIF(tblAnahtarB[NormB],$A405,tblVeriB[BeyanTutar]))</f>
        <v/>
      </c>
      <c r="D405" s="16">
        <f>IF($A405="","",SUMIF(tblAnahtarA[Norm],$A405,tblVeriA[Tutar]))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IF($A405="","",IF($F405&gt;cbb_esikFark,1,0))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IF($A406="","",SUMIF(tblAnahtarB[NormB],$A406,tblVeriB[BeyanTutar]))</f>
        <v/>
      </c>
      <c r="D406" s="16">
        <f>IF($A406="","",SUMIF(tblAnahtarA[Norm],$A406,tblVeriA[Tutar]))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IF($A406="","",IF($F406&gt;cbb_esikFark,1,0))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IF($A407="","",SUMIF(tblAnahtarB[NormB],$A407,tblVeriB[BeyanTutar]))</f>
        <v/>
      </c>
      <c r="D407" s="16">
        <f>IF($A407="","",SUMIF(tblAnahtarA[Norm],$A407,tblVeriA[Tutar]))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IF($A407="","",IF($F407&gt;cbb_esikFark,1,0))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IF($A408="","",SUMIF(tblAnahtarB[NormB],$A408,tblVeriB[BeyanTutar]))</f>
        <v/>
      </c>
      <c r="D408" s="16">
        <f>IF($A408="","",SUMIF(tblAnahtarA[Norm],$A408,tblVeriA[Tutar]))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IF($A408="","",IF($F408&gt;cbb_esikFark,1,0))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IF($A409="","",SUMIF(tblAnahtarB[NormB],$A409,tblVeriB[BeyanTutar]))</f>
        <v/>
      </c>
      <c r="D409" s="16">
        <f>IF($A409="","",SUMIF(tblAnahtarA[Norm],$A409,tblVeriA[Tutar]))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IF($A409="","",IF($F409&gt;cbb_esikFark,1,0))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IF($A410="","",SUMIF(tblAnahtarB[NormB],$A410,tblVeriB[BeyanTutar]))</f>
        <v/>
      </c>
      <c r="D410" s="16">
        <f>IF($A410="","",SUMIF(tblAnahtarA[Norm],$A410,tblVeriA[Tutar]))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IF($A410="","",IF($F410&gt;cbb_esikFark,1,0))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IF($A411="","",SUMIF(tblAnahtarB[NormB],$A411,tblVeriB[BeyanTutar]))</f>
        <v/>
      </c>
      <c r="D411" s="16">
        <f>IF($A411="","",SUMIF(tblAnahtarA[Norm],$A411,tblVeriA[Tutar]))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IF($A411="","",IF($F411&gt;cbb_esikFark,1,0))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IF($A412="","",SUMIF(tblAnahtarB[NormB],$A412,tblVeriB[BeyanTutar]))</f>
        <v/>
      </c>
      <c r="D412" s="16">
        <f>IF($A412="","",SUMIF(tblAnahtarA[Norm],$A412,tblVeriA[Tutar]))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IF($A412="","",IF($F412&gt;cbb_esikFark,1,0))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IF($A413="","",SUMIF(tblAnahtarB[NormB],$A413,tblVeriB[BeyanTutar]))</f>
        <v/>
      </c>
      <c r="D413" s="16">
        <f>IF($A413="","",SUMIF(tblAnahtarA[Norm],$A413,tblVeriA[Tutar]))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IF($A413="","",IF($F413&gt;cbb_esikFark,1,0))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IF($A414="","",SUMIF(tblAnahtarB[NormB],$A414,tblVeriB[BeyanTutar]))</f>
        <v/>
      </c>
      <c r="D414" s="16">
        <f>IF($A414="","",SUMIF(tblAnahtarA[Norm],$A414,tblVeriA[Tutar]))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IF($A414="","",IF($F414&gt;cbb_esikFark,1,0))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IF($A415="","",SUMIF(tblAnahtarB[NormB],$A415,tblVeriB[BeyanTutar]))</f>
        <v/>
      </c>
      <c r="D415" s="16">
        <f>IF($A415="","",SUMIF(tblAnahtarA[Norm],$A415,tblVeriA[Tutar]))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IF($A415="","",IF($F415&gt;cbb_esikFark,1,0))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IF($A416="","",SUMIF(tblAnahtarB[NormB],$A416,tblVeriB[BeyanTutar]))</f>
        <v/>
      </c>
      <c r="D416" s="16">
        <f>IF($A416="","",SUMIF(tblAnahtarA[Norm],$A416,tblVeriA[Tutar]))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IF($A416="","",IF($F416&gt;cbb_esikFark,1,0))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IF($A417="","",SUMIF(tblAnahtarB[NormB],$A417,tblVeriB[BeyanTutar]))</f>
        <v/>
      </c>
      <c r="D417" s="16">
        <f>IF($A417="","",SUMIF(tblAnahtarA[Norm],$A417,tblVeriA[Tutar]))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IF($A417="","",IF($F417&gt;cbb_esikFark,1,0))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IF($A418="","",SUMIF(tblAnahtarB[NormB],$A418,tblVeriB[BeyanTutar]))</f>
        <v/>
      </c>
      <c r="D418" s="16">
        <f>IF($A418="","",SUMIF(tblAnahtarA[Norm],$A418,tblVeriA[Tutar]))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IF($A418="","",IF($F418&gt;cbb_esikFark,1,0))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IF($A419="","",SUMIF(tblAnahtarB[NormB],$A419,tblVeriB[BeyanTutar]))</f>
        <v/>
      </c>
      <c r="D419" s="16">
        <f>IF($A419="","",SUMIF(tblAnahtarA[Norm],$A419,tblVeriA[Tutar]))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IF($A419="","",IF($F419&gt;cbb_esikFark,1,0))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IF($A420="","",SUMIF(tblAnahtarB[NormB],$A420,tblVeriB[BeyanTutar]))</f>
        <v/>
      </c>
      <c r="D420" s="16">
        <f>IF($A420="","",SUMIF(tblAnahtarA[Norm],$A420,tblVeriA[Tutar]))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IF($A420="","",IF($F420&gt;cbb_esikFark,1,0))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IF($A421="","",SUMIF(tblAnahtarB[NormB],$A421,tblVeriB[BeyanTutar]))</f>
        <v/>
      </c>
      <c r="D421" s="16">
        <f>IF($A421="","",SUMIF(tblAnahtarA[Norm],$A421,tblVeriA[Tutar]))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IF($A421="","",IF($F421&gt;cbb_esikFark,1,0))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IF($A422="","",SUMIF(tblAnahtarB[NormB],$A422,tblVeriB[BeyanTutar]))</f>
        <v/>
      </c>
      <c r="D422" s="16">
        <f>IF($A422="","",SUMIF(tblAnahtarA[Norm],$A422,tblVeriA[Tutar]))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IF($A422="","",IF($F422&gt;cbb_esikFark,1,0))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IF($A423="","",SUMIF(tblAnahtarB[NormB],$A423,tblVeriB[BeyanTutar]))</f>
        <v/>
      </c>
      <c r="D423" s="16">
        <f>IF($A423="","",SUMIF(tblAnahtarA[Norm],$A423,tblVeriA[Tutar]))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IF($A423="","",IF($F423&gt;cbb_esikFark,1,0))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IF($A424="","",SUMIF(tblAnahtarB[NormB],$A424,tblVeriB[BeyanTutar]))</f>
        <v/>
      </c>
      <c r="D424" s="16">
        <f>IF($A424="","",SUMIF(tblAnahtarA[Norm],$A424,tblVeriA[Tutar]))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IF($A424="","",IF($F424&gt;cbb_esikFark,1,0))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IF($A425="","",SUMIF(tblAnahtarB[NormB],$A425,tblVeriB[BeyanTutar]))</f>
        <v/>
      </c>
      <c r="D425" s="16">
        <f>IF($A425="","",SUMIF(tblAnahtarA[Norm],$A425,tblVeriA[Tutar]))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IF($A425="","",IF($F425&gt;cbb_esikFark,1,0))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IF($A426="","",SUMIF(tblAnahtarB[NormB],$A426,tblVeriB[BeyanTutar]))</f>
        <v/>
      </c>
      <c r="D426" s="16">
        <f>IF($A426="","",SUMIF(tblAnahtarA[Norm],$A426,tblVeriA[Tutar]))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IF($A426="","",IF($F426&gt;cbb_esikFark,1,0))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IF($A427="","",SUMIF(tblAnahtarB[NormB],$A427,tblVeriB[BeyanTutar]))</f>
        <v/>
      </c>
      <c r="D427" s="16">
        <f>IF($A427="","",SUMIF(tblAnahtarA[Norm],$A427,tblVeriA[Tutar]))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IF($A427="","",IF($F427&gt;cbb_esikFark,1,0))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IF($A428="","",SUMIF(tblAnahtarB[NormB],$A428,tblVeriB[BeyanTutar]))</f>
        <v/>
      </c>
      <c r="D428" s="16">
        <f>IF($A428="","",SUMIF(tblAnahtarA[Norm],$A428,tblVeriA[Tutar]))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IF($A428="","",IF($F428&gt;cbb_esikFark,1,0))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IF($A429="","",SUMIF(tblAnahtarB[NormB],$A429,tblVeriB[BeyanTutar]))</f>
        <v/>
      </c>
      <c r="D429" s="16">
        <f>IF($A429="","",SUMIF(tblAnahtarA[Norm],$A429,tblVeriA[Tutar]))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IF($A429="","",IF($F429&gt;cbb_esikFark,1,0))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IF($A430="","",SUMIF(tblAnahtarB[NormB],$A430,tblVeriB[BeyanTutar]))</f>
        <v/>
      </c>
      <c r="D430" s="16">
        <f>IF($A430="","",SUMIF(tblAnahtarA[Norm],$A430,tblVeriA[Tutar]))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IF($A430="","",IF($F430&gt;cbb_esikFark,1,0))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IF($A431="","",SUMIF(tblAnahtarB[NormB],$A431,tblVeriB[BeyanTutar]))</f>
        <v/>
      </c>
      <c r="D431" s="16">
        <f>IF($A431="","",SUMIF(tblAnahtarA[Norm],$A431,tblVeriA[Tutar]))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IF($A431="","",IF($F431&gt;cbb_esikFark,1,0))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IF($A432="","",SUMIF(tblAnahtarB[NormB],$A432,tblVeriB[BeyanTutar]))</f>
        <v/>
      </c>
      <c r="D432" s="16">
        <f>IF($A432="","",SUMIF(tblAnahtarA[Norm],$A432,tblVeriA[Tutar]))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IF($A432="","",IF($F432&gt;cbb_esikFark,1,0))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IF($A433="","",SUMIF(tblAnahtarB[NormB],$A433,tblVeriB[BeyanTutar]))</f>
        <v/>
      </c>
      <c r="D433" s="16">
        <f>IF($A433="","",SUMIF(tblAnahtarA[Norm],$A433,tblVeriA[Tutar]))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IF($A433="","",IF($F433&gt;cbb_esikFark,1,0))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IF($A434="","",SUMIF(tblAnahtarB[NormB],$A434,tblVeriB[BeyanTutar]))</f>
        <v/>
      </c>
      <c r="D434" s="16">
        <f>IF($A434="","",SUMIF(tblAnahtarA[Norm],$A434,tblVeriA[Tutar]))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IF($A434="","",IF($F434&gt;cbb_esikFark,1,0))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IF($A435="","",SUMIF(tblAnahtarB[NormB],$A435,tblVeriB[BeyanTutar]))</f>
        <v/>
      </c>
      <c r="D435" s="16">
        <f>IF($A435="","",SUMIF(tblAnahtarA[Norm],$A435,tblVeriA[Tutar]))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IF($A435="","",IF($F435&gt;cbb_esikFark,1,0))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IF($A436="","",SUMIF(tblAnahtarB[NormB],$A436,tblVeriB[BeyanTutar]))</f>
        <v/>
      </c>
      <c r="D436" s="16">
        <f>IF($A436="","",SUMIF(tblAnahtarA[Norm],$A436,tblVeriA[Tutar]))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IF($A436="","",IF($F436&gt;cbb_esikFark,1,0))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IF($A437="","",SUMIF(tblAnahtarB[NormB],$A437,tblVeriB[BeyanTutar]))</f>
        <v/>
      </c>
      <c r="D437" s="16">
        <f>IF($A437="","",SUMIF(tblAnahtarA[Norm],$A437,tblVeriA[Tutar]))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IF($A437="","",IF($F437&gt;cbb_esikFark,1,0))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IF($A438="","",SUMIF(tblAnahtarB[NormB],$A438,tblVeriB[BeyanTutar]))</f>
        <v/>
      </c>
      <c r="D438" s="16">
        <f>IF($A438="","",SUMIF(tblAnahtarA[Norm],$A438,tblVeriA[Tutar]))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IF($A438="","",IF($F438&gt;cbb_esikFark,1,0))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IF($A439="","",SUMIF(tblAnahtarB[NormB],$A439,tblVeriB[BeyanTutar]))</f>
        <v/>
      </c>
      <c r="D439" s="16">
        <f>IF($A439="","",SUMIF(tblAnahtarA[Norm],$A439,tblVeriA[Tutar]))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IF($A439="","",IF($F439&gt;cbb_esikFark,1,0))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IF($A440="","",SUMIF(tblAnahtarB[NormB],$A440,tblVeriB[BeyanTutar]))</f>
        <v/>
      </c>
      <c r="D440" s="16">
        <f>IF($A440="","",SUMIF(tblAnahtarA[Norm],$A440,tblVeriA[Tutar]))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IF($A440="","",IF($F440&gt;cbb_esikFark,1,0))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IF($A441="","",SUMIF(tblAnahtarB[NormB],$A441,tblVeriB[BeyanTutar]))</f>
        <v/>
      </c>
      <c r="D441" s="16">
        <f>IF($A441="","",SUMIF(tblAnahtarA[Norm],$A441,tblVeriA[Tutar]))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IF($A441="","",IF($F441&gt;cbb_esikFark,1,0))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IF($A442="","",SUMIF(tblAnahtarB[NormB],$A442,tblVeriB[BeyanTutar]))</f>
        <v/>
      </c>
      <c r="D442" s="16">
        <f>IF($A442="","",SUMIF(tblAnahtarA[Norm],$A442,tblVeriA[Tutar]))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IF($A442="","",IF($F442&gt;cbb_esikFark,1,0))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IF($A443="","",SUMIF(tblAnahtarB[NormB],$A443,tblVeriB[BeyanTutar]))</f>
        <v/>
      </c>
      <c r="D443" s="16">
        <f>IF($A443="","",SUMIF(tblAnahtarA[Norm],$A443,tblVeriA[Tutar]))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IF($A443="","",IF($F443&gt;cbb_esikFark,1,0))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IF($A444="","",SUMIF(tblAnahtarB[NormB],$A444,tblVeriB[BeyanTutar]))</f>
        <v/>
      </c>
      <c r="D444" s="16">
        <f>IF($A444="","",SUMIF(tblAnahtarA[Norm],$A444,tblVeriA[Tutar]))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IF($A444="","",IF($F444&gt;cbb_esikFark,1,0))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IF($A445="","",SUMIF(tblAnahtarB[NormB],$A445,tblVeriB[BeyanTutar]))</f>
        <v/>
      </c>
      <c r="D445" s="16">
        <f>IF($A445="","",SUMIF(tblAnahtarA[Norm],$A445,tblVeriA[Tutar]))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IF($A445="","",IF($F445&gt;cbb_esikFark,1,0))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IF($A446="","",SUMIF(tblAnahtarB[NormB],$A446,tblVeriB[BeyanTutar]))</f>
        <v/>
      </c>
      <c r="D446" s="16">
        <f>IF($A446="","",SUMIF(tblAnahtarA[Norm],$A446,tblVeriA[Tutar]))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IF($A446="","",IF($F446&gt;cbb_esikFark,1,0))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IF($A447="","",SUMIF(tblAnahtarB[NormB],$A447,tblVeriB[BeyanTutar]))</f>
        <v/>
      </c>
      <c r="D447" s="16">
        <f>IF($A447="","",SUMIF(tblAnahtarA[Norm],$A447,tblVeriA[Tutar]))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IF($A447="","",IF($F447&gt;cbb_esikFark,1,0))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IF($A448="","",SUMIF(tblAnahtarB[NormB],$A448,tblVeriB[BeyanTutar]))</f>
        <v/>
      </c>
      <c r="D448" s="16">
        <f>IF($A448="","",SUMIF(tblAnahtarA[Norm],$A448,tblVeriA[Tutar]))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IF($A448="","",IF($F448&gt;cbb_esikFark,1,0))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IF($A449="","",SUMIF(tblAnahtarB[NormB],$A449,tblVeriB[BeyanTutar]))</f>
        <v/>
      </c>
      <c r="D449" s="16">
        <f>IF($A449="","",SUMIF(tblAnahtarA[Norm],$A449,tblVeriA[Tutar]))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IF($A449="","",IF($F449&gt;cbb_esikFark,1,0))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IF($A450="","",SUMIF(tblAnahtarB[NormB],$A450,tblVeriB[BeyanTutar]))</f>
        <v/>
      </c>
      <c r="D450" s="16">
        <f>IF($A450="","",SUMIF(tblAnahtarA[Norm],$A450,tblVeriA[Tutar]))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IF($A450="","",IF($F450&gt;cbb_esikFark,1,0))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IF($A451="","",SUMIF(tblAnahtarB[NormB],$A451,tblVeriB[BeyanTutar]))</f>
        <v/>
      </c>
      <c r="D451" s="16">
        <f>IF($A451="","",SUMIF(tblAnahtarA[Norm],$A451,tblVeriA[Tutar]))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IF($A451="","",IF($F451&gt;cbb_esikFark,1,0))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IF($A452="","",SUMIF(tblAnahtarB[NormB],$A452,tblVeriB[BeyanTutar]))</f>
        <v/>
      </c>
      <c r="D452" s="16">
        <f>IF($A452="","",SUMIF(tblAnahtarA[Norm],$A452,tblVeriA[Tutar]))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IF($A452="","",IF($F452&gt;cbb_esikFark,1,0))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IF($A453="","",SUMIF(tblAnahtarB[NormB],$A453,tblVeriB[BeyanTutar]))</f>
        <v/>
      </c>
      <c r="D453" s="16">
        <f>IF($A453="","",SUMIF(tblAnahtarA[Norm],$A453,tblVeriA[Tutar]))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IF($A453="","",IF($F453&gt;cbb_esikFark,1,0))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IF($A454="","",SUMIF(tblAnahtarB[NormB],$A454,tblVeriB[BeyanTutar]))</f>
        <v/>
      </c>
      <c r="D454" s="16">
        <f>IF($A454="","",SUMIF(tblAnahtarA[Norm],$A454,tblVeriA[Tutar]))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IF($A454="","",IF($F454&gt;cbb_esikFark,1,0))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IF($A455="","",SUMIF(tblAnahtarB[NormB],$A455,tblVeriB[BeyanTutar]))</f>
        <v/>
      </c>
      <c r="D455" s="16">
        <f>IF($A455="","",SUMIF(tblAnahtarA[Norm],$A455,tblVeriA[Tutar]))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IF($A455="","",IF($F455&gt;cbb_esikFark,1,0))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IF($A456="","",SUMIF(tblAnahtarB[NormB],$A456,tblVeriB[BeyanTutar]))</f>
        <v/>
      </c>
      <c r="D456" s="16">
        <f>IF($A456="","",SUMIF(tblAnahtarA[Norm],$A456,tblVeriA[Tutar]))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IF($A456="","",IF($F456&gt;cbb_esikFark,1,0))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IF($A457="","",SUMIF(tblAnahtarB[NormB],$A457,tblVeriB[BeyanTutar]))</f>
        <v/>
      </c>
      <c r="D457" s="16">
        <f>IF($A457="","",SUMIF(tblAnahtarA[Norm],$A457,tblVeriA[Tutar]))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IF($A457="","",IF($F457&gt;cbb_esikFark,1,0))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IF($A458="","",SUMIF(tblAnahtarB[NormB],$A458,tblVeriB[BeyanTutar]))</f>
        <v/>
      </c>
      <c r="D458" s="16">
        <f>IF($A458="","",SUMIF(tblAnahtarA[Norm],$A458,tblVeriA[Tutar]))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IF($A458="","",IF($F458&gt;cbb_esikFark,1,0))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IF($A459="","",SUMIF(tblAnahtarB[NormB],$A459,tblVeriB[BeyanTutar]))</f>
        <v/>
      </c>
      <c r="D459" s="16">
        <f>IF($A459="","",SUMIF(tblAnahtarA[Norm],$A459,tblVeriA[Tutar]))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IF($A459="","",IF($F459&gt;cbb_esikFark,1,0))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IF($A460="","",SUMIF(tblAnahtarB[NormB],$A460,tblVeriB[BeyanTutar]))</f>
        <v/>
      </c>
      <c r="D460" s="16">
        <f>IF($A460="","",SUMIF(tblAnahtarA[Norm],$A460,tblVeriA[Tutar]))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IF($A460="","",IF($F460&gt;cbb_esikFark,1,0))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IF($A461="","",SUMIF(tblAnahtarB[NormB],$A461,tblVeriB[BeyanTutar]))</f>
        <v/>
      </c>
      <c r="D461" s="16">
        <f>IF($A461="","",SUMIF(tblAnahtarA[Norm],$A461,tblVeriA[Tutar]))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IF($A461="","",IF($F461&gt;cbb_esikFark,1,0))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IF($A462="","",SUMIF(tblAnahtarB[NormB],$A462,tblVeriB[BeyanTutar]))</f>
        <v/>
      </c>
      <c r="D462" s="16">
        <f>IF($A462="","",SUMIF(tblAnahtarA[Norm],$A462,tblVeriA[Tutar]))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IF($A462="","",IF($F462&gt;cbb_esikFark,1,0))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IF($A463="","",SUMIF(tblAnahtarB[NormB],$A463,tblVeriB[BeyanTutar]))</f>
        <v/>
      </c>
      <c r="D463" s="16">
        <f>IF($A463="","",SUMIF(tblAnahtarA[Norm],$A463,tblVeriA[Tutar]))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IF($A463="","",IF($F463&gt;cbb_esikFark,1,0))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IF($A464="","",SUMIF(tblAnahtarB[NormB],$A464,tblVeriB[BeyanTutar]))</f>
        <v/>
      </c>
      <c r="D464" s="16">
        <f>IF($A464="","",SUMIF(tblAnahtarA[Norm],$A464,tblVeriA[Tutar]))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IF($A464="","",IF($F464&gt;cbb_esikFark,1,0))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IF($A465="","",SUMIF(tblAnahtarB[NormB],$A465,tblVeriB[BeyanTutar]))</f>
        <v/>
      </c>
      <c r="D465" s="16">
        <f>IF($A465="","",SUMIF(tblAnahtarA[Norm],$A465,tblVeriA[Tutar]))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IF($A465="","",IF($F465&gt;cbb_esikFark,1,0))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IF($A466="","",SUMIF(tblAnahtarB[NormB],$A466,tblVeriB[BeyanTutar]))</f>
        <v/>
      </c>
      <c r="D466" s="16">
        <f>IF($A466="","",SUMIF(tblAnahtarA[Norm],$A466,tblVeriA[Tutar]))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IF($A466="","",IF($F466&gt;cbb_esikFark,1,0))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IF($A467="","",SUMIF(tblAnahtarB[NormB],$A467,tblVeriB[BeyanTutar]))</f>
        <v/>
      </c>
      <c r="D467" s="16">
        <f>IF($A467="","",SUMIF(tblAnahtarA[Norm],$A467,tblVeriA[Tutar]))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IF($A467="","",IF($F467&gt;cbb_esikFark,1,0))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IF($A468="","",SUMIF(tblAnahtarB[NormB],$A468,tblVeriB[BeyanTutar]))</f>
        <v/>
      </c>
      <c r="D468" s="16">
        <f>IF($A468="","",SUMIF(tblAnahtarA[Norm],$A468,tblVeriA[Tutar]))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IF($A468="","",IF($F468&gt;cbb_esikFark,1,0))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IF($A469="","",SUMIF(tblAnahtarB[NormB],$A469,tblVeriB[BeyanTutar]))</f>
        <v/>
      </c>
      <c r="D469" s="16">
        <f>IF($A469="","",SUMIF(tblAnahtarA[Norm],$A469,tblVeriA[Tutar]))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IF($A469="","",IF($F469&gt;cbb_esikFark,1,0))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IF($A470="","",SUMIF(tblAnahtarB[NormB],$A470,tblVeriB[BeyanTutar]))</f>
        <v/>
      </c>
      <c r="D470" s="16">
        <f>IF($A470="","",SUMIF(tblAnahtarA[Norm],$A470,tblVeriA[Tutar]))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IF($A470="","",IF($F470&gt;cbb_esikFark,1,0))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IF($A471="","",SUMIF(tblAnahtarB[NormB],$A471,tblVeriB[BeyanTutar]))</f>
        <v/>
      </c>
      <c r="D471" s="16">
        <f>IF($A471="","",SUMIF(tblAnahtarA[Norm],$A471,tblVeriA[Tutar]))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IF($A471="","",IF($F471&gt;cbb_esikFark,1,0))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IF($A472="","",SUMIF(tblAnahtarB[NormB],$A472,tblVeriB[BeyanTutar]))</f>
        <v/>
      </c>
      <c r="D472" s="16">
        <f>IF($A472="","",SUMIF(tblAnahtarA[Norm],$A472,tblVeriA[Tutar]))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IF($A472="","",IF($F472&gt;cbb_esikFark,1,0))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IF($A473="","",SUMIF(tblAnahtarB[NormB],$A473,tblVeriB[BeyanTutar]))</f>
        <v/>
      </c>
      <c r="D473" s="16">
        <f>IF($A473="","",SUMIF(tblAnahtarA[Norm],$A473,tblVeriA[Tutar]))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IF($A473="","",IF($F473&gt;cbb_esikFark,1,0))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IF($A474="","",SUMIF(tblAnahtarB[NormB],$A474,tblVeriB[BeyanTutar]))</f>
        <v/>
      </c>
      <c r="D474" s="16">
        <f>IF($A474="","",SUMIF(tblAnahtarA[Norm],$A474,tblVeriA[Tutar]))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IF($A474="","",IF($F474&gt;cbb_esikFark,1,0))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IF($A475="","",SUMIF(tblAnahtarB[NormB],$A475,tblVeriB[BeyanTutar]))</f>
        <v/>
      </c>
      <c r="D475" s="16">
        <f>IF($A475="","",SUMIF(tblAnahtarA[Norm],$A475,tblVeriA[Tutar]))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IF($A475="","",IF($F475&gt;cbb_esikFark,1,0))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IF($A476="","",SUMIF(tblAnahtarB[NormB],$A476,tblVeriB[BeyanTutar]))</f>
        <v/>
      </c>
      <c r="D476" s="16">
        <f>IF($A476="","",SUMIF(tblAnahtarA[Norm],$A476,tblVeriA[Tutar]))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IF($A476="","",IF($F476&gt;cbb_esikFark,1,0))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IF($A477="","",SUMIF(tblAnahtarB[NormB],$A477,tblVeriB[BeyanTutar]))</f>
        <v/>
      </c>
      <c r="D477" s="16">
        <f>IF($A477="","",SUMIF(tblAnahtarA[Norm],$A477,tblVeriA[Tutar]))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IF($A477="","",IF($F477&gt;cbb_esikFark,1,0))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IF($A478="","",SUMIF(tblAnahtarB[NormB],$A478,tblVeriB[BeyanTutar]))</f>
        <v/>
      </c>
      <c r="D478" s="16">
        <f>IF($A478="","",SUMIF(tblAnahtarA[Norm],$A478,tblVeriA[Tutar]))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IF($A478="","",IF($F478&gt;cbb_esikFark,1,0))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IF($A479="","",SUMIF(tblAnahtarB[NormB],$A479,tblVeriB[BeyanTutar]))</f>
        <v/>
      </c>
      <c r="D479" s="16">
        <f>IF($A479="","",SUMIF(tblAnahtarA[Norm],$A479,tblVeriA[Tutar]))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IF($A479="","",IF($F479&gt;cbb_esikFark,1,0))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IF($A480="","",SUMIF(tblAnahtarB[NormB],$A480,tblVeriB[BeyanTutar]))</f>
        <v/>
      </c>
      <c r="D480" s="16">
        <f>IF($A480="","",SUMIF(tblAnahtarA[Norm],$A480,tblVeriA[Tutar]))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IF($A480="","",IF($F480&gt;cbb_esikFark,1,0))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IF($A481="","",SUMIF(tblAnahtarB[NormB],$A481,tblVeriB[BeyanTutar]))</f>
        <v/>
      </c>
      <c r="D481" s="16">
        <f>IF($A481="","",SUMIF(tblAnahtarA[Norm],$A481,tblVeriA[Tutar]))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IF($A481="","",IF($F481&gt;cbb_esikFark,1,0))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IF($A482="","",SUMIF(tblAnahtarB[NormB],$A482,tblVeriB[BeyanTutar]))</f>
        <v/>
      </c>
      <c r="D482" s="16">
        <f>IF($A482="","",SUMIF(tblAnahtarA[Norm],$A482,tblVeriA[Tutar]))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IF($A482="","",IF($F482&gt;cbb_esikFark,1,0))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IF($A483="","",SUMIF(tblAnahtarB[NormB],$A483,tblVeriB[BeyanTutar]))</f>
        <v/>
      </c>
      <c r="D483" s="16">
        <f>IF($A483="","",SUMIF(tblAnahtarA[Norm],$A483,tblVeriA[Tutar]))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IF($A483="","",IF($F483&gt;cbb_esikFark,1,0))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IF($A484="","",SUMIF(tblAnahtarB[NormB],$A484,tblVeriB[BeyanTutar]))</f>
        <v/>
      </c>
      <c r="D484" s="16">
        <f>IF($A484="","",SUMIF(tblAnahtarA[Norm],$A484,tblVeriA[Tutar]))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IF($A484="","",IF($F484&gt;cbb_esikFark,1,0))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IF($A485="","",SUMIF(tblAnahtarB[NormB],$A485,tblVeriB[BeyanTutar]))</f>
        <v/>
      </c>
      <c r="D485" s="16">
        <f>IF($A485="","",SUMIF(tblAnahtarA[Norm],$A485,tblVeriA[Tutar]))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IF($A485="","",IF($F485&gt;cbb_esikFark,1,0))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IF($A486="","",SUMIF(tblAnahtarB[NormB],$A486,tblVeriB[BeyanTutar]))</f>
        <v/>
      </c>
      <c r="D486" s="16">
        <f>IF($A486="","",SUMIF(tblAnahtarA[Norm],$A486,tblVeriA[Tutar]))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IF($A486="","",IF($F486&gt;cbb_esikFark,1,0))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IF($A487="","",SUMIF(tblAnahtarB[NormB],$A487,tblVeriB[BeyanTutar]))</f>
        <v/>
      </c>
      <c r="D487" s="16">
        <f>IF($A487="","",SUMIF(tblAnahtarA[Norm],$A487,tblVeriA[Tutar]))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IF($A487="","",IF($F487&gt;cbb_esikFark,1,0))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IF($A488="","",SUMIF(tblAnahtarB[NormB],$A488,tblVeriB[BeyanTutar]))</f>
        <v/>
      </c>
      <c r="D488" s="16">
        <f>IF($A488="","",SUMIF(tblAnahtarA[Norm],$A488,tblVeriA[Tutar]))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IF($A488="","",IF($F488&gt;cbb_esikFark,1,0))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IF($A489="","",SUMIF(tblAnahtarB[NormB],$A489,tblVeriB[BeyanTutar]))</f>
        <v/>
      </c>
      <c r="D489" s="16">
        <f>IF($A489="","",SUMIF(tblAnahtarA[Norm],$A489,tblVeriA[Tutar]))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IF($A489="","",IF($F489&gt;cbb_esikFark,1,0))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IF($A490="","",SUMIF(tblAnahtarB[NormB],$A490,tblVeriB[BeyanTutar]))</f>
        <v/>
      </c>
      <c r="D490" s="16">
        <f>IF($A490="","",SUMIF(tblAnahtarA[Norm],$A490,tblVeriA[Tutar]))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IF($A490="","",IF($F490&gt;cbb_esikFark,1,0))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IF($A491="","",SUMIF(tblAnahtarB[NormB],$A491,tblVeriB[BeyanTutar]))</f>
        <v/>
      </c>
      <c r="D491" s="16">
        <f>IF($A491="","",SUMIF(tblAnahtarA[Norm],$A491,tblVeriA[Tutar]))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IF($A491="","",IF($F491&gt;cbb_esikFark,1,0))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IF($A492="","",SUMIF(tblAnahtarB[NormB],$A492,tblVeriB[BeyanTutar]))</f>
        <v/>
      </c>
      <c r="D492" s="16">
        <f>IF($A492="","",SUMIF(tblAnahtarA[Norm],$A492,tblVeriA[Tutar]))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IF($A492="","",IF($F492&gt;cbb_esikFark,1,0))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IF($A493="","",SUMIF(tblAnahtarB[NormB],$A493,tblVeriB[BeyanTutar]))</f>
        <v/>
      </c>
      <c r="D493" s="16">
        <f>IF($A493="","",SUMIF(tblAnahtarA[Norm],$A493,tblVeriA[Tutar]))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IF($A493="","",IF($F493&gt;cbb_esikFark,1,0))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IF($A494="","",SUMIF(tblAnahtarB[NormB],$A494,tblVeriB[BeyanTutar]))</f>
        <v/>
      </c>
      <c r="D494" s="16">
        <f>IF($A494="","",SUMIF(tblAnahtarA[Norm],$A494,tblVeriA[Tutar]))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IF($A494="","",IF($F494&gt;cbb_esikFark,1,0))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IF($A495="","",SUMIF(tblAnahtarB[NormB],$A495,tblVeriB[BeyanTutar]))</f>
        <v/>
      </c>
      <c r="D495" s="16">
        <f>IF($A495="","",SUMIF(tblAnahtarA[Norm],$A495,tblVeriA[Tutar]))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IF($A495="","",IF($F495&gt;cbb_esikFark,1,0))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IF($A496="","",SUMIF(tblAnahtarB[NormB],$A496,tblVeriB[BeyanTutar]))</f>
        <v/>
      </c>
      <c r="D496" s="16">
        <f>IF($A496="","",SUMIF(tblAnahtarA[Norm],$A496,tblVeriA[Tutar]))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IF($A496="","",IF($F496&gt;cbb_esikFark,1,0))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IF($A497="","",SUMIF(tblAnahtarB[NormB],$A497,tblVeriB[BeyanTutar]))</f>
        <v/>
      </c>
      <c r="D497" s="16">
        <f>IF($A497="","",SUMIF(tblAnahtarA[Norm],$A497,tblVeriA[Tutar]))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IF($A497="","",IF($F497&gt;cbb_esikFark,1,0))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IF($A498="","",SUMIF(tblAnahtarB[NormB],$A498,tblVeriB[BeyanTutar]))</f>
        <v/>
      </c>
      <c r="D498" s="16">
        <f>IF($A498="","",SUMIF(tblAnahtarA[Norm],$A498,tblVeriA[Tutar]))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IF($A498="","",IF($F498&gt;cbb_esikFark,1,0))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IF($A499="","",SUMIF(tblAnahtarB[NormB],$A499,tblVeriB[BeyanTutar]))</f>
        <v/>
      </c>
      <c r="D499" s="16">
        <f>IF($A499="","",SUMIF(tblAnahtarA[Norm],$A499,tblVeriA[Tutar]))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IF($A499="","",IF($F499&gt;cbb_esikFark,1,0))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IF($A500="","",SUMIF(tblAnahtarB[NormB],$A500,tblVeriB[BeyanTutar]))</f>
        <v/>
      </c>
      <c r="D500" s="16">
        <f>IF($A500="","",SUMIF(tblAnahtarA[Norm],$A500,tblVeriA[Tutar]))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IF($A500="","",IF($F500&gt;cbb_esikFark,1,0))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IF($A501="","",SUMIF(tblAnahtarB[NormB],$A501,tblVeriB[BeyanTutar]))</f>
        <v/>
      </c>
      <c r="D501" s="16">
        <f>IF($A501="","",SUMIF(tblAnahtarA[Norm],$A501,tblVeriA[Tutar]))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IF($A501="","",IF($F501&gt;cbb_esikFark,1,0))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IF($A502="","",SUMIF(tblAnahtarB[NormB],$A502,tblVeriB[BeyanTutar]))</f>
        <v/>
      </c>
      <c r="D502" s="16">
        <f>IF($A502="","",SUMIF(tblAnahtarA[Norm],$A502,tblVeriA[Tutar]))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IF($A502="","",IF($F502&gt;cbb_esikFark,1,0))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IF($A503="","",SUMIF(tblAnahtarB[NormB],$A503,tblVeriB[BeyanTutar]))</f>
        <v/>
      </c>
      <c r="D503" s="16">
        <f>IF($A503="","",SUMIF(tblAnahtarA[Norm],$A503,tblVeriA[Tutar]))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IF($A503="","",IF($F503&gt;cbb_esikFark,1,0))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IF($A504="","",SUMIF(tblAnahtarB[NormB],$A504,tblVeriB[BeyanTutar]))</f>
        <v/>
      </c>
      <c r="D504" s="16">
        <f>IF($A504="","",SUMIF(tblAnahtarA[Norm],$A504,tblVeriA[Tutar]))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IF($A504="","",IF($F504&gt;cbb_esikFark,1,0))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IF($A505="","",SUMIF(tblAnahtarB[NormB],$A505,tblVeriB[BeyanTutar]))</f>
        <v/>
      </c>
      <c r="D505" s="16">
        <f>IF($A505="","",SUMIF(tblAnahtarA[Norm],$A505,tblVeriA[Tutar]))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IF($A505="","",IF($F505&gt;cbb_esikFark,1,0))</f>
        <v/>
      </c>
      <c r="O505" s="16">
        <f>IF($A505="","",IF($G505="eslesti",$D505,0))</f>
        <v/>
      </c>
      <c r="P505" s="16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C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5.5" customWidth="1" min="2" max="2"/>
    <col width="31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88" t="inlineStr">
        <is>
          <t>KOK NEDEN — Cari ve Ba-Bs Toplu Mutabakat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8" t="inlineStr">
        <is>
          <t>Öncelik kurallı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23" t="n">
        <v>1</v>
      </c>
      <c r="B6" s="18" t="inlineStr">
        <is>
          <t>DONEM</t>
        </is>
      </c>
      <c r="C6" s="8" t="inlineStr">
        <is>
          <t>donem_a&lt;&gt;donem_b</t>
        </is>
      </c>
      <c r="D6" s="8" t="inlineStr">
        <is>
          <t>Dönem uyuşmazlığı şüphesi</t>
        </is>
      </c>
    </row>
    <row r="7">
      <c r="A7" s="23" t="n">
        <v>2</v>
      </c>
      <c r="B7" s="18" t="inlineStr">
        <is>
          <t>UNVAN</t>
        </is>
      </c>
      <c r="C7" s="8" t="inlineStr">
        <is>
          <t>unvan_norm_a&lt;&gt;unvan_norm_b</t>
        </is>
      </c>
      <c r="D7" s="8" t="inlineStr">
        <is>
          <t>Unvan normalize farkı</t>
        </is>
      </c>
    </row>
    <row r="8">
      <c r="A8" s="23" t="n">
        <v>3</v>
      </c>
      <c r="B8" s="18" t="inlineStr">
        <is>
          <t>YUVARLAMA</t>
        </is>
      </c>
      <c r="C8" s="8" t="inlineStr">
        <is>
          <t>ABS(fark)&lt;=toleransKurus*10</t>
        </is>
      </c>
      <c r="D8" s="8" t="inlineStr">
        <is>
          <t>Kuruş/yuvarlama sapması</t>
        </is>
      </c>
    </row>
    <row r="9">
      <c r="A9" s="23" t="n">
        <v>4</v>
      </c>
      <c r="B9" s="18" t="inlineStr">
        <is>
          <t>BELGE_EKSIK</t>
        </is>
      </c>
      <c r="C9" s="8" t="inlineStr">
        <is>
          <t>belge_adet=0</t>
        </is>
      </c>
      <c r="D9" s="8" t="inlineStr">
        <is>
          <t>Belge adedi eksik/sıfır</t>
        </is>
      </c>
    </row>
    <row r="10">
      <c r="A10" s="23" t="n">
        <v>5</v>
      </c>
      <c r="B10" s="18" t="inlineStr">
        <is>
          <t>TIP_KARISIK</t>
        </is>
      </c>
      <c r="C10" s="8" t="inlineStr">
        <is>
          <t>form_tipi_uyumsuz</t>
        </is>
      </c>
      <c r="D10" s="8" t="inlineStr">
        <is>
          <t>Ba/Bs tipi ile alış-satış uyumsuz</t>
        </is>
      </c>
    </row>
    <row r="11">
      <c r="A11" s="23" t="n">
        <v>6</v>
      </c>
      <c r="B11" s="24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5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UnvanNorm</t>
        </is>
      </c>
      <c r="E15" s="12" t="inlineStr">
        <is>
          <t>BelgeAdet</t>
        </is>
      </c>
      <c r="F15" s="12" t="inlineStr">
        <is>
          <t>FormTipi</t>
        </is>
      </c>
      <c r="G15" s="12" t="inlineStr">
        <is>
          <t>Donem</t>
        </is>
      </c>
      <c r="H15" s="12" t="inlineStr">
        <is>
          <t>KokNeden</t>
        </is>
      </c>
    </row>
    <row r="16">
      <c r="A16" s="26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IF($A16="","",IFERROR(INDEX(tblVeriA[Unvan],MATCH($A16,tblAnahtarA[Norm],0)),""))</f>
        <v/>
      </c>
      <c r="E16" s="16">
        <f>IF($A16="","",IFERROR(SUMIF(tblAnahtarB[NormB],$A16,tblVeriB[BelgeAdet]),0))</f>
        <v/>
      </c>
      <c r="F16" s="16">
        <f>IF($A16="","",IFERROR(INDEX(tblVeriB[FormTipi],MATCH($A16,tblAnahtarB[NormB],0)),""))</f>
        <v/>
      </c>
      <c r="G16" s="16">
        <f>IF($A16="","",IFERROR(INDEX(tblVeriA[Donem],MATCH($A16,tblAnahtarA[Norm],0)),""))</f>
        <v/>
      </c>
      <c r="H16" s="16">
        <f>IF(OR($A16="",$B16&lt;&gt;"tutar_farki"),"",IF($E16=0,"BELGE_EKSIK",IF($C16&lt;=toleransKurus*cbb_yuvarlamaCarpan,"YUVARLAMA",IF(AND($F16&lt;&gt;"Ba",$F16&lt;&gt;"Bs"),"TIP_KARISIK",IF($C16&gt;cbb_esikFark*cbb_donemCarpan,"DONEM",IF(LEN($D16)&lt;cbb_unvanMinLen,"UNVAN","TANIMSIZ"))))))</f>
        <v/>
      </c>
    </row>
    <row r="17">
      <c r="A17" s="26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IF($A17="","",IFERROR(INDEX(tblVeriA[Unvan],MATCH($A17,tblAnahtarA[Norm],0)),""))</f>
        <v/>
      </c>
      <c r="E17" s="16">
        <f>IF($A17="","",IFERROR(SUMIF(tblAnahtarB[NormB],$A17,tblVeriB[BelgeAdet]),0))</f>
        <v/>
      </c>
      <c r="F17" s="16">
        <f>IF($A17="","",IFERROR(INDEX(tblVeriB[FormTipi],MATCH($A17,tblAnahtarB[NormB],0)),""))</f>
        <v/>
      </c>
      <c r="G17" s="16">
        <f>IF($A17="","",IFERROR(INDEX(tblVeriA[Donem],MATCH($A17,tblAnahtarA[Norm],0)),""))</f>
        <v/>
      </c>
      <c r="H17" s="16">
        <f>IF(OR($A17="",$B17&lt;&gt;"tutar_farki"),"",IF($E17=0,"BELGE_EKSIK",IF($C17&lt;=toleransKurus*cbb_yuvarlamaCarpan,"YUVARLAMA",IF(AND($F17&lt;&gt;"Ba",$F17&lt;&gt;"Bs"),"TIP_KARISIK",IF($C17&gt;cbb_esikFark*cbb_donemCarpan,"DONEM",IF(LEN($D17)&lt;cbb_unvanMinLen,"UNVAN","TANIMSIZ"))))))</f>
        <v/>
      </c>
    </row>
    <row r="18">
      <c r="A18" s="26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IF($A18="","",IFERROR(INDEX(tblVeriA[Unvan],MATCH($A18,tblAnahtarA[Norm],0)),""))</f>
        <v/>
      </c>
      <c r="E18" s="16">
        <f>IF($A18="","",IFERROR(SUMIF(tblAnahtarB[NormB],$A18,tblVeriB[BelgeAdet]),0))</f>
        <v/>
      </c>
      <c r="F18" s="16">
        <f>IF($A18="","",IFERROR(INDEX(tblVeriB[FormTipi],MATCH($A18,tblAnahtarB[NormB],0)),""))</f>
        <v/>
      </c>
      <c r="G18" s="16">
        <f>IF($A18="","",IFERROR(INDEX(tblVeriA[Donem],MATCH($A18,tblAnahtarA[Norm],0)),""))</f>
        <v/>
      </c>
      <c r="H18" s="16">
        <f>IF(OR($A18="",$B18&lt;&gt;"tutar_farki"),"",IF($E18=0,"BELGE_EKSIK",IF($C18&lt;=toleransKurus*cbb_yuvarlamaCarpan,"YUVARLAMA",IF(AND($F18&lt;&gt;"Ba",$F18&lt;&gt;"Bs"),"TIP_KARISIK",IF($C18&gt;cbb_esikFark*cbb_donemCarpan,"DONEM",IF(LEN($D18)&lt;cbb_unvanMinLen,"UNVAN","TANIMSIZ"))))))</f>
        <v/>
      </c>
    </row>
    <row r="19">
      <c r="A19" s="26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IF($A19="","",IFERROR(INDEX(tblVeriA[Unvan],MATCH($A19,tblAnahtarA[Norm],0)),""))</f>
        <v/>
      </c>
      <c r="E19" s="16">
        <f>IF($A19="","",IFERROR(SUMIF(tblAnahtarB[NormB],$A19,tblVeriB[BelgeAdet]),0))</f>
        <v/>
      </c>
      <c r="F19" s="16">
        <f>IF($A19="","",IFERROR(INDEX(tblVeriB[FormTipi],MATCH($A19,tblAnahtarB[NormB],0)),""))</f>
        <v/>
      </c>
      <c r="G19" s="16">
        <f>IF($A19="","",IFERROR(INDEX(tblVeriA[Donem],MATCH($A19,tblAnahtarA[Norm],0)),""))</f>
        <v/>
      </c>
      <c r="H19" s="16">
        <f>IF(OR($A19="",$B19&lt;&gt;"tutar_farki"),"",IF($E19=0,"BELGE_EKSIK",IF($C19&lt;=toleransKurus*cbb_yuvarlamaCarpan,"YUVARLAMA",IF(AND($F19&lt;&gt;"Ba",$F19&lt;&gt;"Bs"),"TIP_KARISIK",IF($C19&gt;cbb_esikFark*cbb_donemCarpan,"DONEM",IF(LEN($D19)&lt;cbb_unvanMinLen,"UNVAN","TANIMSIZ"))))))</f>
        <v/>
      </c>
    </row>
    <row r="20">
      <c r="A20" s="26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IF($A20="","",IFERROR(INDEX(tblVeriA[Unvan],MATCH($A20,tblAnahtarA[Norm],0)),""))</f>
        <v/>
      </c>
      <c r="E20" s="16">
        <f>IF($A20="","",IFERROR(SUMIF(tblAnahtarB[NormB],$A20,tblVeriB[BelgeAdet]),0))</f>
        <v/>
      </c>
      <c r="F20" s="16">
        <f>IF($A20="","",IFERROR(INDEX(tblVeriB[FormTipi],MATCH($A20,tblAnahtarB[NormB],0)),""))</f>
        <v/>
      </c>
      <c r="G20" s="16">
        <f>IF($A20="","",IFERROR(INDEX(tblVeriA[Donem],MATCH($A20,tblAnahtarA[Norm],0)),""))</f>
        <v/>
      </c>
      <c r="H20" s="16">
        <f>IF(OR($A20="",$B20&lt;&gt;"tutar_farki"),"",IF($E20=0,"BELGE_EKSIK",IF($C20&lt;=toleransKurus*cbb_yuvarlamaCarpan,"YUVARLAMA",IF(AND($F20&lt;&gt;"Ba",$F20&lt;&gt;"Bs"),"TIP_KARISIK",IF($C20&gt;cbb_esikFark*cbb_donemCarpan,"DONEM",IF(LEN($D20)&lt;cbb_unvanMinLen,"UNVAN","TANIMSIZ"))))))</f>
        <v/>
      </c>
    </row>
    <row r="21">
      <c r="A21" s="26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IF($A21="","",IFERROR(INDEX(tblVeriA[Unvan],MATCH($A21,tblAnahtarA[Norm],0)),""))</f>
        <v/>
      </c>
      <c r="E21" s="16">
        <f>IF($A21="","",IFERROR(SUMIF(tblAnahtarB[NormB],$A21,tblVeriB[BelgeAdet]),0))</f>
        <v/>
      </c>
      <c r="F21" s="16">
        <f>IF($A21="","",IFERROR(INDEX(tblVeriB[FormTipi],MATCH($A21,tblAnahtarB[NormB],0)),""))</f>
        <v/>
      </c>
      <c r="G21" s="16">
        <f>IF($A21="","",IFERROR(INDEX(tblVeriA[Donem],MATCH($A21,tblAnahtarA[Norm],0)),""))</f>
        <v/>
      </c>
      <c r="H21" s="16">
        <f>IF(OR($A21="",$B21&lt;&gt;"tutar_farki"),"",IF($E21=0,"BELGE_EKSIK",IF($C21&lt;=toleransKurus*cbb_yuvarlamaCarpan,"YUVARLAMA",IF(AND($F21&lt;&gt;"Ba",$F21&lt;&gt;"Bs"),"TIP_KARISIK",IF($C21&gt;cbb_esikFark*cbb_donemCarpan,"DONEM",IF(LEN($D21)&lt;cbb_unvanMinLen,"UNVAN","TANIMSIZ"))))))</f>
        <v/>
      </c>
    </row>
    <row r="22">
      <c r="A22" s="26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IF($A22="","",IFERROR(INDEX(tblVeriA[Unvan],MATCH($A22,tblAnahtarA[Norm],0)),""))</f>
        <v/>
      </c>
      <c r="E22" s="16">
        <f>IF($A22="","",IFERROR(SUMIF(tblAnahtarB[NormB],$A22,tblVeriB[BelgeAdet]),0))</f>
        <v/>
      </c>
      <c r="F22" s="16">
        <f>IF($A22="","",IFERROR(INDEX(tblVeriB[FormTipi],MATCH($A22,tblAnahtarB[NormB],0)),""))</f>
        <v/>
      </c>
      <c r="G22" s="16">
        <f>IF($A22="","",IFERROR(INDEX(tblVeriA[Donem],MATCH($A22,tblAnahtarA[Norm],0)),""))</f>
        <v/>
      </c>
      <c r="H22" s="16">
        <f>IF(OR($A22="",$B22&lt;&gt;"tutar_farki"),"",IF($E22=0,"BELGE_EKSIK",IF($C22&lt;=toleransKurus*cbb_yuvarlamaCarpan,"YUVARLAMA",IF(AND($F22&lt;&gt;"Ba",$F22&lt;&gt;"Bs"),"TIP_KARISIK",IF($C22&gt;cbb_esikFark*cbb_donemCarpan,"DONEM",IF(LEN($D22)&lt;cbb_unvanMinLen,"UNVAN","TANIMSIZ"))))))</f>
        <v/>
      </c>
    </row>
    <row r="23">
      <c r="A23" s="26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IF($A23="","",IFERROR(INDEX(tblVeriA[Unvan],MATCH($A23,tblAnahtarA[Norm],0)),""))</f>
        <v/>
      </c>
      <c r="E23" s="16">
        <f>IF($A23="","",IFERROR(SUMIF(tblAnahtarB[NormB],$A23,tblVeriB[BelgeAdet]),0))</f>
        <v/>
      </c>
      <c r="F23" s="16">
        <f>IF($A23="","",IFERROR(INDEX(tblVeriB[FormTipi],MATCH($A23,tblAnahtarB[NormB],0)),""))</f>
        <v/>
      </c>
      <c r="G23" s="16">
        <f>IF($A23="","",IFERROR(INDEX(tblVeriA[Donem],MATCH($A23,tblAnahtarA[Norm],0)),""))</f>
        <v/>
      </c>
      <c r="H23" s="16">
        <f>IF(OR($A23="",$B23&lt;&gt;"tutar_farki"),"",IF($E23=0,"BELGE_EKSIK",IF($C23&lt;=toleransKurus*cbb_yuvarlamaCarpan,"YUVARLAMA",IF(AND($F23&lt;&gt;"Ba",$F23&lt;&gt;"Bs"),"TIP_KARISIK",IF($C23&gt;cbb_esikFark*cbb_donemCarpan,"DONEM",IF(LEN($D23)&lt;cbb_unvanMinLen,"UNVAN","TANIMSIZ"))))))</f>
        <v/>
      </c>
    </row>
    <row r="24">
      <c r="A24" s="26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IF($A24="","",IFERROR(INDEX(tblVeriA[Unvan],MATCH($A24,tblAnahtarA[Norm],0)),""))</f>
        <v/>
      </c>
      <c r="E24" s="16">
        <f>IF($A24="","",IFERROR(SUMIF(tblAnahtarB[NormB],$A24,tblVeriB[BelgeAdet]),0))</f>
        <v/>
      </c>
      <c r="F24" s="16">
        <f>IF($A24="","",IFERROR(INDEX(tblVeriB[FormTipi],MATCH($A24,tblAnahtarB[NormB],0)),""))</f>
        <v/>
      </c>
      <c r="G24" s="16">
        <f>IF($A24="","",IFERROR(INDEX(tblVeriA[Donem],MATCH($A24,tblAnahtarA[Norm],0)),""))</f>
        <v/>
      </c>
      <c r="H24" s="16">
        <f>IF(OR($A24="",$B24&lt;&gt;"tutar_farki"),"",IF($E24=0,"BELGE_EKSIK",IF($C24&lt;=toleransKurus*cbb_yuvarlamaCarpan,"YUVARLAMA",IF(AND($F24&lt;&gt;"Ba",$F24&lt;&gt;"Bs"),"TIP_KARISIK",IF($C24&gt;cbb_esikFark*cbb_donemCarpan,"DONEM",IF(LEN($D24)&lt;cbb_unvanMinLen,"UNVAN","TANIMSIZ"))))))</f>
        <v/>
      </c>
    </row>
    <row r="25">
      <c r="A25" s="26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IF($A25="","",IFERROR(INDEX(tblVeriA[Unvan],MATCH($A25,tblAnahtarA[Norm],0)),""))</f>
        <v/>
      </c>
      <c r="E25" s="16">
        <f>IF($A25="","",IFERROR(SUMIF(tblAnahtarB[NormB],$A25,tblVeriB[BelgeAdet]),0))</f>
        <v/>
      </c>
      <c r="F25" s="16">
        <f>IF($A25="","",IFERROR(INDEX(tblVeriB[FormTipi],MATCH($A25,tblAnahtarB[NormB],0)),""))</f>
        <v/>
      </c>
      <c r="G25" s="16">
        <f>IF($A25="","",IFERROR(INDEX(tblVeriA[Donem],MATCH($A25,tblAnahtarA[Norm],0)),""))</f>
        <v/>
      </c>
      <c r="H25" s="16">
        <f>IF(OR($A25="",$B25&lt;&gt;"tutar_farki"),"",IF($E25=0,"BELGE_EKSIK",IF($C25&lt;=toleransKurus*cbb_yuvarlamaCarpan,"YUVARLAMA",IF(AND($F25&lt;&gt;"Ba",$F25&lt;&gt;"Bs"),"TIP_KARISIK",IF($C25&gt;cbb_esikFark*cbb_donemCarpan,"DONEM",IF(LEN($D25)&lt;cbb_unvanMinLen,"UNVAN","TANIMSIZ"))))))</f>
        <v/>
      </c>
    </row>
    <row r="26">
      <c r="A26" s="26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IF($A26="","",IFERROR(INDEX(tblVeriA[Unvan],MATCH($A26,tblAnahtarA[Norm],0)),""))</f>
        <v/>
      </c>
      <c r="E26" s="16">
        <f>IF($A26="","",IFERROR(SUMIF(tblAnahtarB[NormB],$A26,tblVeriB[BelgeAdet]),0))</f>
        <v/>
      </c>
      <c r="F26" s="16">
        <f>IF($A26="","",IFERROR(INDEX(tblVeriB[FormTipi],MATCH($A26,tblAnahtarB[NormB],0)),""))</f>
        <v/>
      </c>
      <c r="G26" s="16">
        <f>IF($A26="","",IFERROR(INDEX(tblVeriA[Donem],MATCH($A26,tblAnahtarA[Norm],0)),""))</f>
        <v/>
      </c>
      <c r="H26" s="16">
        <f>IF(OR($A26="",$B26&lt;&gt;"tutar_farki"),"",IF($E26=0,"BELGE_EKSIK",IF($C26&lt;=toleransKurus*cbb_yuvarlamaCarpan,"YUVARLAMA",IF(AND($F26&lt;&gt;"Ba",$F26&lt;&gt;"Bs"),"TIP_KARISIK",IF($C26&gt;cbb_esikFark*cbb_donemCarpan,"DONEM",IF(LEN($D26)&lt;cbb_unvanMinLen,"UNVAN","TANIMSIZ"))))))</f>
        <v/>
      </c>
    </row>
    <row r="27">
      <c r="A27" s="26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IF($A27="","",IFERROR(INDEX(tblVeriA[Unvan],MATCH($A27,tblAnahtarA[Norm],0)),""))</f>
        <v/>
      </c>
      <c r="E27" s="16">
        <f>IF($A27="","",IFERROR(SUMIF(tblAnahtarB[NormB],$A27,tblVeriB[BelgeAdet]),0))</f>
        <v/>
      </c>
      <c r="F27" s="16">
        <f>IF($A27="","",IFERROR(INDEX(tblVeriB[FormTipi],MATCH($A27,tblAnahtarB[NormB],0)),""))</f>
        <v/>
      </c>
      <c r="G27" s="16">
        <f>IF($A27="","",IFERROR(INDEX(tblVeriA[Donem],MATCH($A27,tblAnahtarA[Norm],0)),""))</f>
        <v/>
      </c>
      <c r="H27" s="16">
        <f>IF(OR($A27="",$B27&lt;&gt;"tutar_farki"),"",IF($E27=0,"BELGE_EKSIK",IF($C27&lt;=toleransKurus*cbb_yuvarlamaCarpan,"YUVARLAMA",IF(AND($F27&lt;&gt;"Ba",$F27&lt;&gt;"Bs"),"TIP_KARISIK",IF($C27&gt;cbb_esikFark*cbb_donemCarpan,"DONEM",IF(LEN($D27)&lt;cbb_unvanMinLen,"UNVAN","TANIMSIZ"))))))</f>
        <v/>
      </c>
    </row>
    <row r="28">
      <c r="A28" s="26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IF($A28="","",IFERROR(INDEX(tblVeriA[Unvan],MATCH($A28,tblAnahtarA[Norm],0)),""))</f>
        <v/>
      </c>
      <c r="E28" s="16">
        <f>IF($A28="","",IFERROR(SUMIF(tblAnahtarB[NormB],$A28,tblVeriB[BelgeAdet]),0))</f>
        <v/>
      </c>
      <c r="F28" s="16">
        <f>IF($A28="","",IFERROR(INDEX(tblVeriB[FormTipi],MATCH($A28,tblAnahtarB[NormB],0)),""))</f>
        <v/>
      </c>
      <c r="G28" s="16">
        <f>IF($A28="","",IFERROR(INDEX(tblVeriA[Donem],MATCH($A28,tblAnahtarA[Norm],0)),""))</f>
        <v/>
      </c>
      <c r="H28" s="16">
        <f>IF(OR($A28="",$B28&lt;&gt;"tutar_farki"),"",IF($E28=0,"BELGE_EKSIK",IF($C28&lt;=toleransKurus*cbb_yuvarlamaCarpan,"YUVARLAMA",IF(AND($F28&lt;&gt;"Ba",$F28&lt;&gt;"Bs"),"TIP_KARISIK",IF($C28&gt;cbb_esikFark*cbb_donemCarpan,"DONEM",IF(LEN($D28)&lt;cbb_unvanMinLen,"UNVAN","TANIMSIZ"))))))</f>
        <v/>
      </c>
    </row>
    <row r="29">
      <c r="A29" s="26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IF($A29="","",IFERROR(INDEX(tblVeriA[Unvan],MATCH($A29,tblAnahtarA[Norm],0)),""))</f>
        <v/>
      </c>
      <c r="E29" s="16">
        <f>IF($A29="","",IFERROR(SUMIF(tblAnahtarB[NormB],$A29,tblVeriB[BelgeAdet]),0))</f>
        <v/>
      </c>
      <c r="F29" s="16">
        <f>IF($A29="","",IFERROR(INDEX(tblVeriB[FormTipi],MATCH($A29,tblAnahtarB[NormB],0)),""))</f>
        <v/>
      </c>
      <c r="G29" s="16">
        <f>IF($A29="","",IFERROR(INDEX(tblVeriA[Donem],MATCH($A29,tblAnahtarA[Norm],0)),""))</f>
        <v/>
      </c>
      <c r="H29" s="16">
        <f>IF(OR($A29="",$B29&lt;&gt;"tutar_farki"),"",IF($E29=0,"BELGE_EKSIK",IF($C29&lt;=toleransKurus*cbb_yuvarlamaCarpan,"YUVARLAMA",IF(AND($F29&lt;&gt;"Ba",$F29&lt;&gt;"Bs"),"TIP_KARISIK",IF($C29&gt;cbb_esikFark*cbb_donemCarpan,"DONEM",IF(LEN($D29)&lt;cbb_unvanMinLen,"UNVAN","TANIMSIZ"))))))</f>
        <v/>
      </c>
    </row>
    <row r="30">
      <c r="A30" s="26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IF($A30="","",IFERROR(INDEX(tblVeriA[Unvan],MATCH($A30,tblAnahtarA[Norm],0)),""))</f>
        <v/>
      </c>
      <c r="E30" s="16">
        <f>IF($A30="","",IFERROR(SUMIF(tblAnahtarB[NormB],$A30,tblVeriB[BelgeAdet]),0))</f>
        <v/>
      </c>
      <c r="F30" s="16">
        <f>IF($A30="","",IFERROR(INDEX(tblVeriB[FormTipi],MATCH($A30,tblAnahtarB[NormB],0)),""))</f>
        <v/>
      </c>
      <c r="G30" s="16">
        <f>IF($A30="","",IFERROR(INDEX(tblVeriA[Donem],MATCH($A30,tblAnahtarA[Norm],0)),""))</f>
        <v/>
      </c>
      <c r="H30" s="16">
        <f>IF(OR($A30="",$B30&lt;&gt;"tutar_farki"),"",IF($E30=0,"BELGE_EKSIK",IF($C30&lt;=toleransKurus*cbb_yuvarlamaCarpan,"YUVARLAMA",IF(AND($F30&lt;&gt;"Ba",$F30&lt;&gt;"Bs"),"TIP_KARISIK",IF($C30&gt;cbb_esikFark*cbb_donemCarpan,"DONEM",IF(LEN($D30)&lt;cbb_unvanMinLen,"UNVAN","TANIMSIZ"))))))</f>
        <v/>
      </c>
    </row>
    <row r="31">
      <c r="A31" s="26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IF($A31="","",IFERROR(INDEX(tblVeriA[Unvan],MATCH($A31,tblAnahtarA[Norm],0)),""))</f>
        <v/>
      </c>
      <c r="E31" s="16">
        <f>IF($A31="","",IFERROR(SUMIF(tblAnahtarB[NormB],$A31,tblVeriB[BelgeAdet]),0))</f>
        <v/>
      </c>
      <c r="F31" s="16">
        <f>IF($A31="","",IFERROR(INDEX(tblVeriB[FormTipi],MATCH($A31,tblAnahtarB[NormB],0)),""))</f>
        <v/>
      </c>
      <c r="G31" s="16">
        <f>IF($A31="","",IFERROR(INDEX(tblVeriA[Donem],MATCH($A31,tblAnahtarA[Norm],0)),""))</f>
        <v/>
      </c>
      <c r="H31" s="16">
        <f>IF(OR($A31="",$B31&lt;&gt;"tutar_farki"),"",IF($E31=0,"BELGE_EKSIK",IF($C31&lt;=toleransKurus*cbb_yuvarlamaCarpan,"YUVARLAMA",IF(AND($F31&lt;&gt;"Ba",$F31&lt;&gt;"Bs"),"TIP_KARISIK",IF($C31&gt;cbb_esikFark*cbb_donemCarpan,"DONEM",IF(LEN($D31)&lt;cbb_unvanMinLen,"UNVAN","TANIMSIZ"))))))</f>
        <v/>
      </c>
    </row>
    <row r="32">
      <c r="A32" s="26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IF($A32="","",IFERROR(INDEX(tblVeriA[Unvan],MATCH($A32,tblAnahtarA[Norm],0)),""))</f>
        <v/>
      </c>
      <c r="E32" s="16">
        <f>IF($A32="","",IFERROR(SUMIF(tblAnahtarB[NormB],$A32,tblVeriB[BelgeAdet]),0))</f>
        <v/>
      </c>
      <c r="F32" s="16">
        <f>IF($A32="","",IFERROR(INDEX(tblVeriB[FormTipi],MATCH($A32,tblAnahtarB[NormB],0)),""))</f>
        <v/>
      </c>
      <c r="G32" s="16">
        <f>IF($A32="","",IFERROR(INDEX(tblVeriA[Donem],MATCH($A32,tblAnahtarA[Norm],0)),""))</f>
        <v/>
      </c>
      <c r="H32" s="16">
        <f>IF(OR($A32="",$B32&lt;&gt;"tutar_farki"),"",IF($E32=0,"BELGE_EKSIK",IF($C32&lt;=toleransKurus*cbb_yuvarlamaCarpan,"YUVARLAMA",IF(AND($F32&lt;&gt;"Ba",$F32&lt;&gt;"Bs"),"TIP_KARISIK",IF($C32&gt;cbb_esikFark*cbb_donemCarpan,"DONEM",IF(LEN($D32)&lt;cbb_unvanMinLen,"UNVAN","TANIMSIZ"))))))</f>
        <v/>
      </c>
    </row>
    <row r="33">
      <c r="A33" s="26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IF($A33="","",IFERROR(INDEX(tblVeriA[Unvan],MATCH($A33,tblAnahtarA[Norm],0)),""))</f>
        <v/>
      </c>
      <c r="E33" s="16">
        <f>IF($A33="","",IFERROR(SUMIF(tblAnahtarB[NormB],$A33,tblVeriB[BelgeAdet]),0))</f>
        <v/>
      </c>
      <c r="F33" s="16">
        <f>IF($A33="","",IFERROR(INDEX(tblVeriB[FormTipi],MATCH($A33,tblAnahtarB[NormB],0)),""))</f>
        <v/>
      </c>
      <c r="G33" s="16">
        <f>IF($A33="","",IFERROR(INDEX(tblVeriA[Donem],MATCH($A33,tblAnahtarA[Norm],0)),""))</f>
        <v/>
      </c>
      <c r="H33" s="16">
        <f>IF(OR($A33="",$B33&lt;&gt;"tutar_farki"),"",IF($E33=0,"BELGE_EKSIK",IF($C33&lt;=toleransKurus*cbb_yuvarlamaCarpan,"YUVARLAMA",IF(AND($F33&lt;&gt;"Ba",$F33&lt;&gt;"Bs"),"TIP_KARISIK",IF($C33&gt;cbb_esikFark*cbb_donemCarpan,"DONEM",IF(LEN($D33)&lt;cbb_unvanMinLen,"UNVAN","TANIMSIZ"))))))</f>
        <v/>
      </c>
    </row>
    <row r="34">
      <c r="A34" s="26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IF($A34="","",IFERROR(INDEX(tblVeriA[Unvan],MATCH($A34,tblAnahtarA[Norm],0)),""))</f>
        <v/>
      </c>
      <c r="E34" s="16">
        <f>IF($A34="","",IFERROR(SUMIF(tblAnahtarB[NormB],$A34,tblVeriB[BelgeAdet]),0))</f>
        <v/>
      </c>
      <c r="F34" s="16">
        <f>IF($A34="","",IFERROR(INDEX(tblVeriB[FormTipi],MATCH($A34,tblAnahtarB[NormB],0)),""))</f>
        <v/>
      </c>
      <c r="G34" s="16">
        <f>IF($A34="","",IFERROR(INDEX(tblVeriA[Donem],MATCH($A34,tblAnahtarA[Norm],0)),""))</f>
        <v/>
      </c>
      <c r="H34" s="16">
        <f>IF(OR($A34="",$B34&lt;&gt;"tutar_farki"),"",IF($E34=0,"BELGE_EKSIK",IF($C34&lt;=toleransKurus*cbb_yuvarlamaCarpan,"YUVARLAMA",IF(AND($F34&lt;&gt;"Ba",$F34&lt;&gt;"Bs"),"TIP_KARISIK",IF($C34&gt;cbb_esikFark*cbb_donemCarpan,"DONEM",IF(LEN($D34)&lt;cbb_unvanMinLen,"UNVAN","TANIMSIZ"))))))</f>
        <v/>
      </c>
    </row>
    <row r="35">
      <c r="A35" s="26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IF($A35="","",IFERROR(INDEX(tblVeriA[Unvan],MATCH($A35,tblAnahtarA[Norm],0)),""))</f>
        <v/>
      </c>
      <c r="E35" s="16">
        <f>IF($A35="","",IFERROR(SUMIF(tblAnahtarB[NormB],$A35,tblVeriB[BelgeAdet]),0))</f>
        <v/>
      </c>
      <c r="F35" s="16">
        <f>IF($A35="","",IFERROR(INDEX(tblVeriB[FormTipi],MATCH($A35,tblAnahtarB[NormB],0)),""))</f>
        <v/>
      </c>
      <c r="G35" s="16">
        <f>IF($A35="","",IFERROR(INDEX(tblVeriA[Donem],MATCH($A35,tblAnahtarA[Norm],0)),""))</f>
        <v/>
      </c>
      <c r="H35" s="16">
        <f>IF(OR($A35="",$B35&lt;&gt;"tutar_farki"),"",IF($E35=0,"BELGE_EKSIK",IF($C35&lt;=toleransKurus*cbb_yuvarlamaCarpan,"YUVARLAMA",IF(AND($F35&lt;&gt;"Ba",$F35&lt;&gt;"Bs"),"TIP_KARISIK",IF($C35&gt;cbb_esikFark*cbb_donemCarpan,"DONEM",IF(LEN($D35)&lt;cbb_unvanMinLen,"UNVAN","TANIMSIZ"))))))</f>
        <v/>
      </c>
    </row>
    <row r="36">
      <c r="A36" s="26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IF($A36="","",IFERROR(INDEX(tblVeriA[Unvan],MATCH($A36,tblAnahtarA[Norm],0)),""))</f>
        <v/>
      </c>
      <c r="E36" s="16">
        <f>IF($A36="","",IFERROR(SUMIF(tblAnahtarB[NormB],$A36,tblVeriB[BelgeAdet]),0))</f>
        <v/>
      </c>
      <c r="F36" s="16">
        <f>IF($A36="","",IFERROR(INDEX(tblVeriB[FormTipi],MATCH($A36,tblAnahtarB[NormB],0)),""))</f>
        <v/>
      </c>
      <c r="G36" s="16">
        <f>IF($A36="","",IFERROR(INDEX(tblVeriA[Donem],MATCH($A36,tblAnahtarA[Norm],0)),""))</f>
        <v/>
      </c>
      <c r="H36" s="16">
        <f>IF(OR($A36="",$B36&lt;&gt;"tutar_farki"),"",IF($E36=0,"BELGE_EKSIK",IF($C36&lt;=toleransKurus*cbb_yuvarlamaCarpan,"YUVARLAMA",IF(AND($F36&lt;&gt;"Ba",$F36&lt;&gt;"Bs"),"TIP_KARISIK",IF($C36&gt;cbb_esikFark*cbb_donemCarpan,"DONEM",IF(LEN($D36)&lt;cbb_unvanMinLen,"UNVAN","TANIMSIZ"))))))</f>
        <v/>
      </c>
    </row>
    <row r="37">
      <c r="A37" s="26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IF($A37="","",IFERROR(INDEX(tblVeriA[Unvan],MATCH($A37,tblAnahtarA[Norm],0)),""))</f>
        <v/>
      </c>
      <c r="E37" s="16">
        <f>IF($A37="","",IFERROR(SUMIF(tblAnahtarB[NormB],$A37,tblVeriB[BelgeAdet]),0))</f>
        <v/>
      </c>
      <c r="F37" s="16">
        <f>IF($A37="","",IFERROR(INDEX(tblVeriB[FormTipi],MATCH($A37,tblAnahtarB[NormB],0)),""))</f>
        <v/>
      </c>
      <c r="G37" s="16">
        <f>IF($A37="","",IFERROR(INDEX(tblVeriA[Donem],MATCH($A37,tblAnahtarA[Norm],0)),""))</f>
        <v/>
      </c>
      <c r="H37" s="16">
        <f>IF(OR($A37="",$B37&lt;&gt;"tutar_farki"),"",IF($E37=0,"BELGE_EKSIK",IF($C37&lt;=toleransKurus*cbb_yuvarlamaCarpan,"YUVARLAMA",IF(AND($F37&lt;&gt;"Ba",$F37&lt;&gt;"Bs"),"TIP_KARISIK",IF($C37&gt;cbb_esikFark*cbb_donemCarpan,"DONEM",IF(LEN($D37)&lt;cbb_unvanMinLen,"UNVAN","TANIMSIZ"))))))</f>
        <v/>
      </c>
    </row>
    <row r="38">
      <c r="A38" s="26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IF($A38="","",IFERROR(INDEX(tblVeriA[Unvan],MATCH($A38,tblAnahtarA[Norm],0)),""))</f>
        <v/>
      </c>
      <c r="E38" s="16">
        <f>IF($A38="","",IFERROR(SUMIF(tblAnahtarB[NormB],$A38,tblVeriB[BelgeAdet]),0))</f>
        <v/>
      </c>
      <c r="F38" s="16">
        <f>IF($A38="","",IFERROR(INDEX(tblVeriB[FormTipi],MATCH($A38,tblAnahtarB[NormB],0)),""))</f>
        <v/>
      </c>
      <c r="G38" s="16">
        <f>IF($A38="","",IFERROR(INDEX(tblVeriA[Donem],MATCH($A38,tblAnahtarA[Norm],0)),""))</f>
        <v/>
      </c>
      <c r="H38" s="16">
        <f>IF(OR($A38="",$B38&lt;&gt;"tutar_farki"),"",IF($E38=0,"BELGE_EKSIK",IF($C38&lt;=toleransKurus*cbb_yuvarlamaCarpan,"YUVARLAMA",IF(AND($F38&lt;&gt;"Ba",$F38&lt;&gt;"Bs"),"TIP_KARISIK",IF($C38&gt;cbb_esikFark*cbb_donemCarpan,"DONEM",IF(LEN($D38)&lt;cbb_unvanMinLen,"UNVAN","TANIMSIZ"))))))</f>
        <v/>
      </c>
    </row>
    <row r="39">
      <c r="A39" s="26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IF($A39="","",IFERROR(INDEX(tblVeriA[Unvan],MATCH($A39,tblAnahtarA[Norm],0)),""))</f>
        <v/>
      </c>
      <c r="E39" s="16">
        <f>IF($A39="","",IFERROR(SUMIF(tblAnahtarB[NormB],$A39,tblVeriB[BelgeAdet]),0))</f>
        <v/>
      </c>
      <c r="F39" s="16">
        <f>IF($A39="","",IFERROR(INDEX(tblVeriB[FormTipi],MATCH($A39,tblAnahtarB[NormB],0)),""))</f>
        <v/>
      </c>
      <c r="G39" s="16">
        <f>IF($A39="","",IFERROR(INDEX(tblVeriA[Donem],MATCH($A39,tblAnahtarA[Norm],0)),""))</f>
        <v/>
      </c>
      <c r="H39" s="16">
        <f>IF(OR($A39="",$B39&lt;&gt;"tutar_farki"),"",IF($E39=0,"BELGE_EKSIK",IF($C39&lt;=toleransKurus*cbb_yuvarlamaCarpan,"YUVARLAMA",IF(AND($F39&lt;&gt;"Ba",$F39&lt;&gt;"Bs"),"TIP_KARISIK",IF($C39&gt;cbb_esikFark*cbb_donemCarpan,"DONEM",IF(LEN($D39)&lt;cbb_unvanMinLen,"UNVAN","TANIMSIZ"))))))</f>
        <v/>
      </c>
    </row>
    <row r="40">
      <c r="A40" s="26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IF($A40="","",IFERROR(INDEX(tblVeriA[Unvan],MATCH($A40,tblAnahtarA[Norm],0)),""))</f>
        <v/>
      </c>
      <c r="E40" s="16">
        <f>IF($A40="","",IFERROR(SUMIF(tblAnahtarB[NormB],$A40,tblVeriB[BelgeAdet]),0))</f>
        <v/>
      </c>
      <c r="F40" s="16">
        <f>IF($A40="","",IFERROR(INDEX(tblVeriB[FormTipi],MATCH($A40,tblAnahtarB[NormB],0)),""))</f>
        <v/>
      </c>
      <c r="G40" s="16">
        <f>IF($A40="","",IFERROR(INDEX(tblVeriA[Donem],MATCH($A40,tblAnahtarA[Norm],0)),""))</f>
        <v/>
      </c>
      <c r="H40" s="16">
        <f>IF(OR($A40="",$B40&lt;&gt;"tutar_farki"),"",IF($E40=0,"BELGE_EKSIK",IF($C40&lt;=toleransKurus*cbb_yuvarlamaCarpan,"YUVARLAMA",IF(AND($F40&lt;&gt;"Ba",$F40&lt;&gt;"Bs"),"TIP_KARISIK",IF($C40&gt;cbb_esikFark*cbb_donemCarpan,"DONEM",IF(LEN($D40)&lt;cbb_unvanMinLen,"UNVAN","TANIMSIZ"))))))</f>
        <v/>
      </c>
    </row>
    <row r="41">
      <c r="A41" s="26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IF($A41="","",IFERROR(INDEX(tblVeriA[Unvan],MATCH($A41,tblAnahtarA[Norm],0)),""))</f>
        <v/>
      </c>
      <c r="E41" s="16">
        <f>IF($A41="","",IFERROR(SUMIF(tblAnahtarB[NormB],$A41,tblVeriB[BelgeAdet]),0))</f>
        <v/>
      </c>
      <c r="F41" s="16">
        <f>IF($A41="","",IFERROR(INDEX(tblVeriB[FormTipi],MATCH($A41,tblAnahtarB[NormB],0)),""))</f>
        <v/>
      </c>
      <c r="G41" s="16">
        <f>IF($A41="","",IFERROR(INDEX(tblVeriA[Donem],MATCH($A41,tblAnahtarA[Norm],0)),""))</f>
        <v/>
      </c>
      <c r="H41" s="16">
        <f>IF(OR($A41="",$B41&lt;&gt;"tutar_farki"),"",IF($E41=0,"BELGE_EKSIK",IF($C41&lt;=toleransKurus*cbb_yuvarlamaCarpan,"YUVARLAMA",IF(AND($F41&lt;&gt;"Ba",$F41&lt;&gt;"Bs"),"TIP_KARISIK",IF($C41&gt;cbb_esikFark*cbb_donemCarpan,"DONEM",IF(LEN($D41)&lt;cbb_unvanMinLen,"UNVAN","TANIMSIZ"))))))</f>
        <v/>
      </c>
    </row>
    <row r="42">
      <c r="A42" s="26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IF($A42="","",IFERROR(INDEX(tblVeriA[Unvan],MATCH($A42,tblAnahtarA[Norm],0)),""))</f>
        <v/>
      </c>
      <c r="E42" s="16">
        <f>IF($A42="","",IFERROR(SUMIF(tblAnahtarB[NormB],$A42,tblVeriB[BelgeAdet]),0))</f>
        <v/>
      </c>
      <c r="F42" s="16">
        <f>IF($A42="","",IFERROR(INDEX(tblVeriB[FormTipi],MATCH($A42,tblAnahtarB[NormB],0)),""))</f>
        <v/>
      </c>
      <c r="G42" s="16">
        <f>IF($A42="","",IFERROR(INDEX(tblVeriA[Donem],MATCH($A42,tblAnahtarA[Norm],0)),""))</f>
        <v/>
      </c>
      <c r="H42" s="16">
        <f>IF(OR($A42="",$B42&lt;&gt;"tutar_farki"),"",IF($E42=0,"BELGE_EKSIK",IF($C42&lt;=toleransKurus*cbb_yuvarlamaCarpan,"YUVARLAMA",IF(AND($F42&lt;&gt;"Ba",$F42&lt;&gt;"Bs"),"TIP_KARISIK",IF($C42&gt;cbb_esikFark*cbb_donemCarpan,"DONEM",IF(LEN($D42)&lt;cbb_unvanMinLen,"UNVAN","TANIMSIZ"))))))</f>
        <v/>
      </c>
    </row>
    <row r="43">
      <c r="A43" s="26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IF($A43="","",IFERROR(INDEX(tblVeriA[Unvan],MATCH($A43,tblAnahtarA[Norm],0)),""))</f>
        <v/>
      </c>
      <c r="E43" s="16">
        <f>IF($A43="","",IFERROR(SUMIF(tblAnahtarB[NormB],$A43,tblVeriB[BelgeAdet]),0))</f>
        <v/>
      </c>
      <c r="F43" s="16">
        <f>IF($A43="","",IFERROR(INDEX(tblVeriB[FormTipi],MATCH($A43,tblAnahtarB[NormB],0)),""))</f>
        <v/>
      </c>
      <c r="G43" s="16">
        <f>IF($A43="","",IFERROR(INDEX(tblVeriA[Donem],MATCH($A43,tblAnahtarA[Norm],0)),""))</f>
        <v/>
      </c>
      <c r="H43" s="16">
        <f>IF(OR($A43="",$B43&lt;&gt;"tutar_farki"),"",IF($E43=0,"BELGE_EKSIK",IF($C43&lt;=toleransKurus*cbb_yuvarlamaCarpan,"YUVARLAMA",IF(AND($F43&lt;&gt;"Ba",$F43&lt;&gt;"Bs"),"TIP_KARISIK",IF($C43&gt;cbb_esikFark*cbb_donemCarpan,"DONEM",IF(LEN($D43)&lt;cbb_unvanMinLen,"UNVAN","TANIMSIZ"))))))</f>
        <v/>
      </c>
    </row>
    <row r="44">
      <c r="A44" s="26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IF($A44="","",IFERROR(INDEX(tblVeriA[Unvan],MATCH($A44,tblAnahtarA[Norm],0)),""))</f>
        <v/>
      </c>
      <c r="E44" s="16">
        <f>IF($A44="","",IFERROR(SUMIF(tblAnahtarB[NormB],$A44,tblVeriB[BelgeAdet]),0))</f>
        <v/>
      </c>
      <c r="F44" s="16">
        <f>IF($A44="","",IFERROR(INDEX(tblVeriB[FormTipi],MATCH($A44,tblAnahtarB[NormB],0)),""))</f>
        <v/>
      </c>
      <c r="G44" s="16">
        <f>IF($A44="","",IFERROR(INDEX(tblVeriA[Donem],MATCH($A44,tblAnahtarA[Norm],0)),""))</f>
        <v/>
      </c>
      <c r="H44" s="16">
        <f>IF(OR($A44="",$B44&lt;&gt;"tutar_farki"),"",IF($E44=0,"BELGE_EKSIK",IF($C44&lt;=toleransKurus*cbb_yuvarlamaCarpan,"YUVARLAMA",IF(AND($F44&lt;&gt;"Ba",$F44&lt;&gt;"Bs"),"TIP_KARISIK",IF($C44&gt;cbb_esikFark*cbb_donemCarpan,"DONEM",IF(LEN($D44)&lt;cbb_unvanMinLen,"UNVAN","TANIMSIZ"))))))</f>
        <v/>
      </c>
    </row>
    <row r="45">
      <c r="A45" s="26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IF($A45="","",IFERROR(INDEX(tblVeriA[Unvan],MATCH($A45,tblAnahtarA[Norm],0)),""))</f>
        <v/>
      </c>
      <c r="E45" s="16">
        <f>IF($A45="","",IFERROR(SUMIF(tblAnahtarB[NormB],$A45,tblVeriB[BelgeAdet]),0))</f>
        <v/>
      </c>
      <c r="F45" s="16">
        <f>IF($A45="","",IFERROR(INDEX(tblVeriB[FormTipi],MATCH($A45,tblAnahtarB[NormB],0)),""))</f>
        <v/>
      </c>
      <c r="G45" s="16">
        <f>IF($A45="","",IFERROR(INDEX(tblVeriA[Donem],MATCH($A45,tblAnahtarA[Norm],0)),""))</f>
        <v/>
      </c>
      <c r="H45" s="16">
        <f>IF(OR($A45="",$B45&lt;&gt;"tutar_farki"),"",IF($E45=0,"BELGE_EKSIK",IF($C45&lt;=toleransKurus*cbb_yuvarlamaCarpan,"YUVARLAMA",IF(AND($F45&lt;&gt;"Ba",$F45&lt;&gt;"Bs"),"TIP_KARISIK",IF($C45&gt;cbb_esikFark*cbb_donemCarpan,"DONEM",IF(LEN($D45)&lt;cbb_unvanMinLen,"UNVAN","TANIMSIZ"))))))</f>
        <v/>
      </c>
    </row>
    <row r="46">
      <c r="A46" s="26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IF($A46="","",IFERROR(INDEX(tblVeriA[Unvan],MATCH($A46,tblAnahtarA[Norm],0)),""))</f>
        <v/>
      </c>
      <c r="E46" s="16">
        <f>IF($A46="","",IFERROR(SUMIF(tblAnahtarB[NormB],$A46,tblVeriB[BelgeAdet]),0))</f>
        <v/>
      </c>
      <c r="F46" s="16">
        <f>IF($A46="","",IFERROR(INDEX(tblVeriB[FormTipi],MATCH($A46,tblAnahtarB[NormB],0)),""))</f>
        <v/>
      </c>
      <c r="G46" s="16">
        <f>IF($A46="","",IFERROR(INDEX(tblVeriA[Donem],MATCH($A46,tblAnahtarA[Norm],0)),""))</f>
        <v/>
      </c>
      <c r="H46" s="16">
        <f>IF(OR($A46="",$B46&lt;&gt;"tutar_farki"),"",IF($E46=0,"BELGE_EKSIK",IF($C46&lt;=toleransKurus*cbb_yuvarlamaCarpan,"YUVARLAMA",IF(AND($F46&lt;&gt;"Ba",$F46&lt;&gt;"Bs"),"TIP_KARISIK",IF($C46&gt;cbb_esikFark*cbb_donemCarpan,"DONEM",IF(LEN($D46)&lt;cbb_unvanMinLen,"UNVAN","TANIMSIZ"))))))</f>
        <v/>
      </c>
    </row>
    <row r="47">
      <c r="A47" s="26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IF($A47="","",IFERROR(INDEX(tblVeriA[Unvan],MATCH($A47,tblAnahtarA[Norm],0)),""))</f>
        <v/>
      </c>
      <c r="E47" s="16">
        <f>IF($A47="","",IFERROR(SUMIF(tblAnahtarB[NormB],$A47,tblVeriB[BelgeAdet]),0))</f>
        <v/>
      </c>
      <c r="F47" s="16">
        <f>IF($A47="","",IFERROR(INDEX(tblVeriB[FormTipi],MATCH($A47,tblAnahtarB[NormB],0)),""))</f>
        <v/>
      </c>
      <c r="G47" s="16">
        <f>IF($A47="","",IFERROR(INDEX(tblVeriA[Donem],MATCH($A47,tblAnahtarA[Norm],0)),""))</f>
        <v/>
      </c>
      <c r="H47" s="16">
        <f>IF(OR($A47="",$B47&lt;&gt;"tutar_farki"),"",IF($E47=0,"BELGE_EKSIK",IF($C47&lt;=toleransKurus*cbb_yuvarlamaCarpan,"YUVARLAMA",IF(AND($F47&lt;&gt;"Ba",$F47&lt;&gt;"Bs"),"TIP_KARISIK",IF($C47&gt;cbb_esikFark*cbb_donemCarpan,"DONEM",IF(LEN($D47)&lt;cbb_unvanMinLen,"UNVAN","TANIMSIZ"))))))</f>
        <v/>
      </c>
    </row>
    <row r="48">
      <c r="A48" s="26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IF($A48="","",IFERROR(INDEX(tblVeriA[Unvan],MATCH($A48,tblAnahtarA[Norm],0)),""))</f>
        <v/>
      </c>
      <c r="E48" s="16">
        <f>IF($A48="","",IFERROR(SUMIF(tblAnahtarB[NormB],$A48,tblVeriB[BelgeAdet]),0))</f>
        <v/>
      </c>
      <c r="F48" s="16">
        <f>IF($A48="","",IFERROR(INDEX(tblVeriB[FormTipi],MATCH($A48,tblAnahtarB[NormB],0)),""))</f>
        <v/>
      </c>
      <c r="G48" s="16">
        <f>IF($A48="","",IFERROR(INDEX(tblVeriA[Donem],MATCH($A48,tblAnahtarA[Norm],0)),""))</f>
        <v/>
      </c>
      <c r="H48" s="16">
        <f>IF(OR($A48="",$B48&lt;&gt;"tutar_farki"),"",IF($E48=0,"BELGE_EKSIK",IF($C48&lt;=toleransKurus*cbb_yuvarlamaCarpan,"YUVARLAMA",IF(AND($F48&lt;&gt;"Ba",$F48&lt;&gt;"Bs"),"TIP_KARISIK",IF($C48&gt;cbb_esikFark*cbb_donemCarpan,"DONEM",IF(LEN($D48)&lt;cbb_unvanMinLen,"UNVAN","TANIMSIZ"))))))</f>
        <v/>
      </c>
    </row>
    <row r="49">
      <c r="A49" s="26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IF($A49="","",IFERROR(INDEX(tblVeriA[Unvan],MATCH($A49,tblAnahtarA[Norm],0)),""))</f>
        <v/>
      </c>
      <c r="E49" s="16">
        <f>IF($A49="","",IFERROR(SUMIF(tblAnahtarB[NormB],$A49,tblVeriB[BelgeAdet]),0))</f>
        <v/>
      </c>
      <c r="F49" s="16">
        <f>IF($A49="","",IFERROR(INDEX(tblVeriB[FormTipi],MATCH($A49,tblAnahtarB[NormB],0)),""))</f>
        <v/>
      </c>
      <c r="G49" s="16">
        <f>IF($A49="","",IFERROR(INDEX(tblVeriA[Donem],MATCH($A49,tblAnahtarA[Norm],0)),""))</f>
        <v/>
      </c>
      <c r="H49" s="16">
        <f>IF(OR($A49="",$B49&lt;&gt;"tutar_farki"),"",IF($E49=0,"BELGE_EKSIK",IF($C49&lt;=toleransKurus*cbb_yuvarlamaCarpan,"YUVARLAMA",IF(AND($F49&lt;&gt;"Ba",$F49&lt;&gt;"Bs"),"TIP_KARISIK",IF($C49&gt;cbb_esikFark*cbb_donemCarpan,"DONEM",IF(LEN($D49)&lt;cbb_unvanMinLen,"UNVAN","TANIMSIZ"))))))</f>
        <v/>
      </c>
    </row>
    <row r="50">
      <c r="A50" s="26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IF($A50="","",IFERROR(INDEX(tblVeriA[Unvan],MATCH($A50,tblAnahtarA[Norm],0)),""))</f>
        <v/>
      </c>
      <c r="E50" s="16">
        <f>IF($A50="","",IFERROR(SUMIF(tblAnahtarB[NormB],$A50,tblVeriB[BelgeAdet]),0))</f>
        <v/>
      </c>
      <c r="F50" s="16">
        <f>IF($A50="","",IFERROR(INDEX(tblVeriB[FormTipi],MATCH($A50,tblAnahtarB[NormB],0)),""))</f>
        <v/>
      </c>
      <c r="G50" s="16">
        <f>IF($A50="","",IFERROR(INDEX(tblVeriA[Donem],MATCH($A50,tblAnahtarA[Norm],0)),""))</f>
        <v/>
      </c>
      <c r="H50" s="16">
        <f>IF(OR($A50="",$B50&lt;&gt;"tutar_farki"),"",IF($E50=0,"BELGE_EKSIK",IF($C50&lt;=toleransKurus*cbb_yuvarlamaCarpan,"YUVARLAMA",IF(AND($F50&lt;&gt;"Ba",$F50&lt;&gt;"Bs"),"TIP_KARISIK",IF($C50&gt;cbb_esikFark*cbb_donemCarpan,"DONEM",IF(LEN($D50)&lt;cbb_unvanMinLen,"UNVAN","TANIMSIZ"))))))</f>
        <v/>
      </c>
    </row>
    <row r="51">
      <c r="A51" s="26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IF($A51="","",IFERROR(INDEX(tblVeriA[Unvan],MATCH($A51,tblAnahtarA[Norm],0)),""))</f>
        <v/>
      </c>
      <c r="E51" s="16">
        <f>IF($A51="","",IFERROR(SUMIF(tblAnahtarB[NormB],$A51,tblVeriB[BelgeAdet]),0))</f>
        <v/>
      </c>
      <c r="F51" s="16">
        <f>IF($A51="","",IFERROR(INDEX(tblVeriB[FormTipi],MATCH($A51,tblAnahtarB[NormB],0)),""))</f>
        <v/>
      </c>
      <c r="G51" s="16">
        <f>IF($A51="","",IFERROR(INDEX(tblVeriA[Donem],MATCH($A51,tblAnahtarA[Norm],0)),""))</f>
        <v/>
      </c>
      <c r="H51" s="16">
        <f>IF(OR($A51="",$B51&lt;&gt;"tutar_farki"),"",IF($E51=0,"BELGE_EKSIK",IF($C51&lt;=toleransKurus*cbb_yuvarlamaCarpan,"YUVARLAMA",IF(AND($F51&lt;&gt;"Ba",$F51&lt;&gt;"Bs"),"TIP_KARISIK",IF($C51&gt;cbb_esikFark*cbb_donemCarpan,"DONEM",IF(LEN($D51)&lt;cbb_unvanMinLen,"UNVAN","TANIMSIZ"))))))</f>
        <v/>
      </c>
    </row>
    <row r="52">
      <c r="A52" s="26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IF($A52="","",IFERROR(INDEX(tblVeriA[Unvan],MATCH($A52,tblAnahtarA[Norm],0)),""))</f>
        <v/>
      </c>
      <c r="E52" s="16">
        <f>IF($A52="","",IFERROR(SUMIF(tblAnahtarB[NormB],$A52,tblVeriB[BelgeAdet]),0))</f>
        <v/>
      </c>
      <c r="F52" s="16">
        <f>IF($A52="","",IFERROR(INDEX(tblVeriB[FormTipi],MATCH($A52,tblAnahtarB[NormB],0)),""))</f>
        <v/>
      </c>
      <c r="G52" s="16">
        <f>IF($A52="","",IFERROR(INDEX(tblVeriA[Donem],MATCH($A52,tblAnahtarA[Norm],0)),""))</f>
        <v/>
      </c>
      <c r="H52" s="16">
        <f>IF(OR($A52="",$B52&lt;&gt;"tutar_farki"),"",IF($E52=0,"BELGE_EKSIK",IF($C52&lt;=toleransKurus*cbb_yuvarlamaCarpan,"YUVARLAMA",IF(AND($F52&lt;&gt;"Ba",$F52&lt;&gt;"Bs"),"TIP_KARISIK",IF($C52&gt;cbb_esikFark*cbb_donemCarpan,"DONEM",IF(LEN($D52)&lt;cbb_unvanMinLen,"UNVAN","TANIMSIZ"))))))</f>
        <v/>
      </c>
    </row>
    <row r="53">
      <c r="A53" s="26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IF($A53="","",IFERROR(INDEX(tblVeriA[Unvan],MATCH($A53,tblAnahtarA[Norm],0)),""))</f>
        <v/>
      </c>
      <c r="E53" s="16">
        <f>IF($A53="","",IFERROR(SUMIF(tblAnahtarB[NormB],$A53,tblVeriB[BelgeAdet]),0))</f>
        <v/>
      </c>
      <c r="F53" s="16">
        <f>IF($A53="","",IFERROR(INDEX(tblVeriB[FormTipi],MATCH($A53,tblAnahtarB[NormB],0)),""))</f>
        <v/>
      </c>
      <c r="G53" s="16">
        <f>IF($A53="","",IFERROR(INDEX(tblVeriA[Donem],MATCH($A53,tblAnahtarA[Norm],0)),""))</f>
        <v/>
      </c>
      <c r="H53" s="16">
        <f>IF(OR($A53="",$B53&lt;&gt;"tutar_farki"),"",IF($E53=0,"BELGE_EKSIK",IF($C53&lt;=toleransKurus*cbb_yuvarlamaCarpan,"YUVARLAMA",IF(AND($F53&lt;&gt;"Ba",$F53&lt;&gt;"Bs"),"TIP_KARISIK",IF($C53&gt;cbb_esikFark*cbb_donemCarpan,"DONEM",IF(LEN($D53)&lt;cbb_unvanMinLen,"UNVAN","TANIMSIZ"))))))</f>
        <v/>
      </c>
    </row>
    <row r="54">
      <c r="A54" s="26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IF($A54="","",IFERROR(INDEX(tblVeriA[Unvan],MATCH($A54,tblAnahtarA[Norm],0)),""))</f>
        <v/>
      </c>
      <c r="E54" s="16">
        <f>IF($A54="","",IFERROR(SUMIF(tblAnahtarB[NormB],$A54,tblVeriB[BelgeAdet]),0))</f>
        <v/>
      </c>
      <c r="F54" s="16">
        <f>IF($A54="","",IFERROR(INDEX(tblVeriB[FormTipi],MATCH($A54,tblAnahtarB[NormB],0)),""))</f>
        <v/>
      </c>
      <c r="G54" s="16">
        <f>IF($A54="","",IFERROR(INDEX(tblVeriA[Donem],MATCH($A54,tblAnahtarA[Norm],0)),""))</f>
        <v/>
      </c>
      <c r="H54" s="16">
        <f>IF(OR($A54="",$B54&lt;&gt;"tutar_farki"),"",IF($E54=0,"BELGE_EKSIK",IF($C54&lt;=toleransKurus*cbb_yuvarlamaCarpan,"YUVARLAMA",IF(AND($F54&lt;&gt;"Ba",$F54&lt;&gt;"Bs"),"TIP_KARISIK",IF($C54&gt;cbb_esikFark*cbb_donemCarpan,"DONEM",IF(LEN($D54)&lt;cbb_unvanMinLen,"UNVAN","TANIMSIZ"))))))</f>
        <v/>
      </c>
    </row>
    <row r="55">
      <c r="A55" s="26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IF($A55="","",IFERROR(INDEX(tblVeriA[Unvan],MATCH($A55,tblAnahtarA[Norm],0)),""))</f>
        <v/>
      </c>
      <c r="E55" s="16">
        <f>IF($A55="","",IFERROR(SUMIF(tblAnahtarB[NormB],$A55,tblVeriB[BelgeAdet]),0))</f>
        <v/>
      </c>
      <c r="F55" s="16">
        <f>IF($A55="","",IFERROR(INDEX(tblVeriB[FormTipi],MATCH($A55,tblAnahtarB[NormB],0)),""))</f>
        <v/>
      </c>
      <c r="G55" s="16">
        <f>IF($A55="","",IFERROR(INDEX(tblVeriA[Donem],MATCH($A55,tblAnahtarA[Norm],0)),""))</f>
        <v/>
      </c>
      <c r="H55" s="16">
        <f>IF(OR($A55="",$B55&lt;&gt;"tutar_farki"),"",IF($E55=0,"BELGE_EKSIK",IF($C55&lt;=toleransKurus*cbb_yuvarlamaCarpan,"YUVARLAMA",IF(AND($F55&lt;&gt;"Ba",$F55&lt;&gt;"Bs"),"TIP_KARISIK",IF($C55&gt;cbb_esikFark*cbb_donemCarpan,"DONEM",IF(LEN($D55)&lt;cbb_unvanMinLen,"UNVAN","TANIMSIZ"))))))</f>
        <v/>
      </c>
    </row>
    <row r="56">
      <c r="A56" s="26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IF($A56="","",IFERROR(INDEX(tblVeriA[Unvan],MATCH($A56,tblAnahtarA[Norm],0)),""))</f>
        <v/>
      </c>
      <c r="E56" s="16">
        <f>IF($A56="","",IFERROR(SUMIF(tblAnahtarB[NormB],$A56,tblVeriB[BelgeAdet]),0))</f>
        <v/>
      </c>
      <c r="F56" s="16">
        <f>IF($A56="","",IFERROR(INDEX(tblVeriB[FormTipi],MATCH($A56,tblAnahtarB[NormB],0)),""))</f>
        <v/>
      </c>
      <c r="G56" s="16">
        <f>IF($A56="","",IFERROR(INDEX(tblVeriA[Donem],MATCH($A56,tblAnahtarA[Norm],0)),""))</f>
        <v/>
      </c>
      <c r="H56" s="16">
        <f>IF(OR($A56="",$B56&lt;&gt;"tutar_farki"),"",IF($E56=0,"BELGE_EKSIK",IF($C56&lt;=toleransKurus*cbb_yuvarlamaCarpan,"YUVARLAMA",IF(AND($F56&lt;&gt;"Ba",$F56&lt;&gt;"Bs"),"TIP_KARISIK",IF($C56&gt;cbb_esikFark*cbb_donemCarpan,"DONEM",IF(LEN($D56)&lt;cbb_unvanMinLen,"UNVAN","TANIMSIZ"))))))</f>
        <v/>
      </c>
    </row>
    <row r="57">
      <c r="A57" s="26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IF($A57="","",IFERROR(INDEX(tblVeriA[Unvan],MATCH($A57,tblAnahtarA[Norm],0)),""))</f>
        <v/>
      </c>
      <c r="E57" s="16">
        <f>IF($A57="","",IFERROR(SUMIF(tblAnahtarB[NormB],$A57,tblVeriB[BelgeAdet]),0))</f>
        <v/>
      </c>
      <c r="F57" s="16">
        <f>IF($A57="","",IFERROR(INDEX(tblVeriB[FormTipi],MATCH($A57,tblAnahtarB[NormB],0)),""))</f>
        <v/>
      </c>
      <c r="G57" s="16">
        <f>IF($A57="","",IFERROR(INDEX(tblVeriA[Donem],MATCH($A57,tblAnahtarA[Norm],0)),""))</f>
        <v/>
      </c>
      <c r="H57" s="16">
        <f>IF(OR($A57="",$B57&lt;&gt;"tutar_farki"),"",IF($E57=0,"BELGE_EKSIK",IF($C57&lt;=toleransKurus*cbb_yuvarlamaCarpan,"YUVARLAMA",IF(AND($F57&lt;&gt;"Ba",$F57&lt;&gt;"Bs"),"TIP_KARISIK",IF($C57&gt;cbb_esikFark*cbb_donemCarpan,"DONEM",IF(LEN($D57)&lt;cbb_unvanMinLen,"UNVAN","TANIMSIZ"))))))</f>
        <v/>
      </c>
    </row>
    <row r="58">
      <c r="A58" s="26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IF($A58="","",IFERROR(INDEX(tblVeriA[Unvan],MATCH($A58,tblAnahtarA[Norm],0)),""))</f>
        <v/>
      </c>
      <c r="E58" s="16">
        <f>IF($A58="","",IFERROR(SUMIF(tblAnahtarB[NormB],$A58,tblVeriB[BelgeAdet]),0))</f>
        <v/>
      </c>
      <c r="F58" s="16">
        <f>IF($A58="","",IFERROR(INDEX(tblVeriB[FormTipi],MATCH($A58,tblAnahtarB[NormB],0)),""))</f>
        <v/>
      </c>
      <c r="G58" s="16">
        <f>IF($A58="","",IFERROR(INDEX(tblVeriA[Donem],MATCH($A58,tblAnahtarA[Norm],0)),""))</f>
        <v/>
      </c>
      <c r="H58" s="16">
        <f>IF(OR($A58="",$B58&lt;&gt;"tutar_farki"),"",IF($E58=0,"BELGE_EKSIK",IF($C58&lt;=toleransKurus*cbb_yuvarlamaCarpan,"YUVARLAMA",IF(AND($F58&lt;&gt;"Ba",$F58&lt;&gt;"Bs"),"TIP_KARISIK",IF($C58&gt;cbb_esikFark*cbb_donemCarpan,"DONEM",IF(LEN($D58)&lt;cbb_unvanMinLen,"UNVAN","TANIMSIZ"))))))</f>
        <v/>
      </c>
    </row>
    <row r="59">
      <c r="A59" s="26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IF($A59="","",IFERROR(INDEX(tblVeriA[Unvan],MATCH($A59,tblAnahtarA[Norm],0)),""))</f>
        <v/>
      </c>
      <c r="E59" s="16">
        <f>IF($A59="","",IFERROR(SUMIF(tblAnahtarB[NormB],$A59,tblVeriB[BelgeAdet]),0))</f>
        <v/>
      </c>
      <c r="F59" s="16">
        <f>IF($A59="","",IFERROR(INDEX(tblVeriB[FormTipi],MATCH($A59,tblAnahtarB[NormB],0)),""))</f>
        <v/>
      </c>
      <c r="G59" s="16">
        <f>IF($A59="","",IFERROR(INDEX(tblVeriA[Donem],MATCH($A59,tblAnahtarA[Norm],0)),""))</f>
        <v/>
      </c>
      <c r="H59" s="16">
        <f>IF(OR($A59="",$B59&lt;&gt;"tutar_farki"),"",IF($E59=0,"BELGE_EKSIK",IF($C59&lt;=toleransKurus*cbb_yuvarlamaCarpan,"YUVARLAMA",IF(AND($F59&lt;&gt;"Ba",$F59&lt;&gt;"Bs"),"TIP_KARISIK",IF($C59&gt;cbb_esikFark*cbb_donemCarpan,"DONEM",IF(LEN($D59)&lt;cbb_unvanMinLen,"UNVAN","TANIMSIZ"))))))</f>
        <v/>
      </c>
    </row>
    <row r="60">
      <c r="A60" s="26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IF($A60="","",IFERROR(INDEX(tblVeriA[Unvan],MATCH($A60,tblAnahtarA[Norm],0)),""))</f>
        <v/>
      </c>
      <c r="E60" s="16">
        <f>IF($A60="","",IFERROR(SUMIF(tblAnahtarB[NormB],$A60,tblVeriB[BelgeAdet]),0))</f>
        <v/>
      </c>
      <c r="F60" s="16">
        <f>IF($A60="","",IFERROR(INDEX(tblVeriB[FormTipi],MATCH($A60,tblAnahtarB[NormB],0)),""))</f>
        <v/>
      </c>
      <c r="G60" s="16">
        <f>IF($A60="","",IFERROR(INDEX(tblVeriA[Donem],MATCH($A60,tblAnahtarA[Norm],0)),""))</f>
        <v/>
      </c>
      <c r="H60" s="16">
        <f>IF(OR($A60="",$B60&lt;&gt;"tutar_farki"),"",IF($E60=0,"BELGE_EKSIK",IF($C60&lt;=toleransKurus*cbb_yuvarlamaCarpan,"YUVARLAMA",IF(AND($F60&lt;&gt;"Ba",$F60&lt;&gt;"Bs"),"TIP_KARISIK",IF($C60&gt;cbb_esikFark*cbb_donemCarpan,"DONEM",IF(LEN($D60)&lt;cbb_unvanMinLen,"UNVAN","TANIMSIZ"))))))</f>
        <v/>
      </c>
    </row>
    <row r="61">
      <c r="A61" s="26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IF($A61="","",IFERROR(INDEX(tblVeriA[Unvan],MATCH($A61,tblAnahtarA[Norm],0)),""))</f>
        <v/>
      </c>
      <c r="E61" s="16">
        <f>IF($A61="","",IFERROR(SUMIF(tblAnahtarB[NormB],$A61,tblVeriB[BelgeAdet]),0))</f>
        <v/>
      </c>
      <c r="F61" s="16">
        <f>IF($A61="","",IFERROR(INDEX(tblVeriB[FormTipi],MATCH($A61,tblAnahtarB[NormB],0)),""))</f>
        <v/>
      </c>
      <c r="G61" s="16">
        <f>IF($A61="","",IFERROR(INDEX(tblVeriA[Donem],MATCH($A61,tblAnahtarA[Norm],0)),""))</f>
        <v/>
      </c>
      <c r="H61" s="16">
        <f>IF(OR($A61="",$B61&lt;&gt;"tutar_farki"),"",IF($E61=0,"BELGE_EKSIK",IF($C61&lt;=toleransKurus*cbb_yuvarlamaCarpan,"YUVARLAMA",IF(AND($F61&lt;&gt;"Ba",$F61&lt;&gt;"Bs"),"TIP_KARISIK",IF($C61&gt;cbb_esikFark*cbb_donemCarpan,"DONEM",IF(LEN($D61)&lt;cbb_unvanMinLen,"UNVAN","TANIMSIZ"))))))</f>
        <v/>
      </c>
    </row>
    <row r="62">
      <c r="A62" s="26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IF($A62="","",IFERROR(INDEX(tblVeriA[Unvan],MATCH($A62,tblAnahtarA[Norm],0)),""))</f>
        <v/>
      </c>
      <c r="E62" s="16">
        <f>IF($A62="","",IFERROR(SUMIF(tblAnahtarB[NormB],$A62,tblVeriB[BelgeAdet]),0))</f>
        <v/>
      </c>
      <c r="F62" s="16">
        <f>IF($A62="","",IFERROR(INDEX(tblVeriB[FormTipi],MATCH($A62,tblAnahtarB[NormB],0)),""))</f>
        <v/>
      </c>
      <c r="G62" s="16">
        <f>IF($A62="","",IFERROR(INDEX(tblVeriA[Donem],MATCH($A62,tblAnahtarA[Norm],0)),""))</f>
        <v/>
      </c>
      <c r="H62" s="16">
        <f>IF(OR($A62="",$B62&lt;&gt;"tutar_farki"),"",IF($E62=0,"BELGE_EKSIK",IF($C62&lt;=toleransKurus*cbb_yuvarlamaCarpan,"YUVARLAMA",IF(AND($F62&lt;&gt;"Ba",$F62&lt;&gt;"Bs"),"TIP_KARISIK",IF($C62&gt;cbb_esikFark*cbb_donemCarpan,"DONEM",IF(LEN($D62)&lt;cbb_unvanMinLen,"UNVAN","TANIMSIZ"))))))</f>
        <v/>
      </c>
    </row>
    <row r="63">
      <c r="A63" s="26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IF($A63="","",IFERROR(INDEX(tblVeriA[Unvan],MATCH($A63,tblAnahtarA[Norm],0)),""))</f>
        <v/>
      </c>
      <c r="E63" s="16">
        <f>IF($A63="","",IFERROR(SUMIF(tblAnahtarB[NormB],$A63,tblVeriB[BelgeAdet]),0))</f>
        <v/>
      </c>
      <c r="F63" s="16">
        <f>IF($A63="","",IFERROR(INDEX(tblVeriB[FormTipi],MATCH($A63,tblAnahtarB[NormB],0)),""))</f>
        <v/>
      </c>
      <c r="G63" s="16">
        <f>IF($A63="","",IFERROR(INDEX(tblVeriA[Donem],MATCH($A63,tblAnahtarA[Norm],0)),""))</f>
        <v/>
      </c>
      <c r="H63" s="16">
        <f>IF(OR($A63="",$B63&lt;&gt;"tutar_farki"),"",IF($E63=0,"BELGE_EKSIK",IF($C63&lt;=toleransKurus*cbb_yuvarlamaCarpan,"YUVARLAMA",IF(AND($F63&lt;&gt;"Ba",$F63&lt;&gt;"Bs"),"TIP_KARISIK",IF($C63&gt;cbb_esikFark*cbb_donemCarpan,"DONEM",IF(LEN($D63)&lt;cbb_unvanMinLen,"UNVAN","TANIMSIZ"))))))</f>
        <v/>
      </c>
    </row>
    <row r="64">
      <c r="A64" s="26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IF($A64="","",IFERROR(INDEX(tblVeriA[Unvan],MATCH($A64,tblAnahtarA[Norm],0)),""))</f>
        <v/>
      </c>
      <c r="E64" s="16">
        <f>IF($A64="","",IFERROR(SUMIF(tblAnahtarB[NormB],$A64,tblVeriB[BelgeAdet]),0))</f>
        <v/>
      </c>
      <c r="F64" s="16">
        <f>IF($A64="","",IFERROR(INDEX(tblVeriB[FormTipi],MATCH($A64,tblAnahtarB[NormB],0)),""))</f>
        <v/>
      </c>
      <c r="G64" s="16">
        <f>IF($A64="","",IFERROR(INDEX(tblVeriA[Donem],MATCH($A64,tblAnahtarA[Norm],0)),""))</f>
        <v/>
      </c>
      <c r="H64" s="16">
        <f>IF(OR($A64="",$B64&lt;&gt;"tutar_farki"),"",IF($E64=0,"BELGE_EKSIK",IF($C64&lt;=toleransKurus*cbb_yuvarlamaCarpan,"YUVARLAMA",IF(AND($F64&lt;&gt;"Ba",$F64&lt;&gt;"Bs"),"TIP_KARISIK",IF($C64&gt;cbb_esikFark*cbb_donemCarpan,"DONEM",IF(LEN($D64)&lt;cbb_unvanMinLen,"UNVAN","TANIMSIZ"))))))</f>
        <v/>
      </c>
    </row>
    <row r="65">
      <c r="A65" s="26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IF($A65="","",IFERROR(INDEX(tblVeriA[Unvan],MATCH($A65,tblAnahtarA[Norm],0)),""))</f>
        <v/>
      </c>
      <c r="E65" s="16">
        <f>IF($A65="","",IFERROR(SUMIF(tblAnahtarB[NormB],$A65,tblVeriB[BelgeAdet]),0))</f>
        <v/>
      </c>
      <c r="F65" s="16">
        <f>IF($A65="","",IFERROR(INDEX(tblVeriB[FormTipi],MATCH($A65,tblAnahtarB[NormB],0)),""))</f>
        <v/>
      </c>
      <c r="G65" s="16">
        <f>IF($A65="","",IFERROR(INDEX(tblVeriA[Donem],MATCH($A65,tblAnahtarA[Norm],0)),""))</f>
        <v/>
      </c>
      <c r="H65" s="16">
        <f>IF(OR($A65="",$B65&lt;&gt;"tutar_farki"),"",IF($E65=0,"BELGE_EKSIK",IF($C65&lt;=toleransKurus*cbb_yuvarlamaCarpan,"YUVARLAMA",IF(AND($F65&lt;&gt;"Ba",$F65&lt;&gt;"Bs"),"TIP_KARISIK",IF($C65&gt;cbb_esikFark*cbb_donemCarpan,"DONEM",IF(LEN($D65)&lt;cbb_unvanMinLen,"UNVAN","TANIMSIZ"))))))</f>
        <v/>
      </c>
    </row>
    <row r="66">
      <c r="A66" s="26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IF($A66="","",IFERROR(INDEX(tblVeriA[Unvan],MATCH($A66,tblAnahtarA[Norm],0)),""))</f>
        <v/>
      </c>
      <c r="E66" s="16">
        <f>IF($A66="","",IFERROR(SUMIF(tblAnahtarB[NormB],$A66,tblVeriB[BelgeAdet]),0))</f>
        <v/>
      </c>
      <c r="F66" s="16">
        <f>IF($A66="","",IFERROR(INDEX(tblVeriB[FormTipi],MATCH($A66,tblAnahtarB[NormB],0)),""))</f>
        <v/>
      </c>
      <c r="G66" s="16">
        <f>IF($A66="","",IFERROR(INDEX(tblVeriA[Donem],MATCH($A66,tblAnahtarA[Norm],0)),""))</f>
        <v/>
      </c>
      <c r="H66" s="16">
        <f>IF(OR($A66="",$B66&lt;&gt;"tutar_farki"),"",IF($E66=0,"BELGE_EKSIK",IF($C66&lt;=toleransKurus*cbb_yuvarlamaCarpan,"YUVARLAMA",IF(AND($F66&lt;&gt;"Ba",$F66&lt;&gt;"Bs"),"TIP_KARISIK",IF($C66&gt;cbb_esikFark*cbb_donemCarpan,"DONEM",IF(LEN($D66)&lt;cbb_unvanMinLen,"UNVAN","TANIMSIZ"))))))</f>
        <v/>
      </c>
    </row>
    <row r="67">
      <c r="A67" s="26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IF($A67="","",IFERROR(INDEX(tblVeriA[Unvan],MATCH($A67,tblAnahtarA[Norm],0)),""))</f>
        <v/>
      </c>
      <c r="E67" s="16">
        <f>IF($A67="","",IFERROR(SUMIF(tblAnahtarB[NormB],$A67,tblVeriB[BelgeAdet]),0))</f>
        <v/>
      </c>
      <c r="F67" s="16">
        <f>IF($A67="","",IFERROR(INDEX(tblVeriB[FormTipi],MATCH($A67,tblAnahtarB[NormB],0)),""))</f>
        <v/>
      </c>
      <c r="G67" s="16">
        <f>IF($A67="","",IFERROR(INDEX(tblVeriA[Donem],MATCH($A67,tblAnahtarA[Norm],0)),""))</f>
        <v/>
      </c>
      <c r="H67" s="16">
        <f>IF(OR($A67="",$B67&lt;&gt;"tutar_farki"),"",IF($E67=0,"BELGE_EKSIK",IF($C67&lt;=toleransKurus*cbb_yuvarlamaCarpan,"YUVARLAMA",IF(AND($F67&lt;&gt;"Ba",$F67&lt;&gt;"Bs"),"TIP_KARISIK",IF($C67&gt;cbb_esikFark*cbb_donemCarpan,"DONEM",IF(LEN($D67)&lt;cbb_unvanMinLen,"UNVAN","TANIMSIZ"))))))</f>
        <v/>
      </c>
    </row>
    <row r="68">
      <c r="A68" s="26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IF($A68="","",IFERROR(INDEX(tblVeriA[Unvan],MATCH($A68,tblAnahtarA[Norm],0)),""))</f>
        <v/>
      </c>
      <c r="E68" s="16">
        <f>IF($A68="","",IFERROR(SUMIF(tblAnahtarB[NormB],$A68,tblVeriB[BelgeAdet]),0))</f>
        <v/>
      </c>
      <c r="F68" s="16">
        <f>IF($A68="","",IFERROR(INDEX(tblVeriB[FormTipi],MATCH($A68,tblAnahtarB[NormB],0)),""))</f>
        <v/>
      </c>
      <c r="G68" s="16">
        <f>IF($A68="","",IFERROR(INDEX(tblVeriA[Donem],MATCH($A68,tblAnahtarA[Norm],0)),""))</f>
        <v/>
      </c>
      <c r="H68" s="16">
        <f>IF(OR($A68="",$B68&lt;&gt;"tutar_farki"),"",IF($E68=0,"BELGE_EKSIK",IF($C68&lt;=toleransKurus*cbb_yuvarlamaCarpan,"YUVARLAMA",IF(AND($F68&lt;&gt;"Ba",$F68&lt;&gt;"Bs"),"TIP_KARISIK",IF($C68&gt;cbb_esikFark*cbb_donemCarpan,"DONEM",IF(LEN($D68)&lt;cbb_unvanMinLen,"UNVAN","TANIMSIZ"))))))</f>
        <v/>
      </c>
    </row>
    <row r="69">
      <c r="A69" s="26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IF($A69="","",IFERROR(INDEX(tblVeriA[Unvan],MATCH($A69,tblAnahtarA[Norm],0)),""))</f>
        <v/>
      </c>
      <c r="E69" s="16">
        <f>IF($A69="","",IFERROR(SUMIF(tblAnahtarB[NormB],$A69,tblVeriB[BelgeAdet]),0))</f>
        <v/>
      </c>
      <c r="F69" s="16">
        <f>IF($A69="","",IFERROR(INDEX(tblVeriB[FormTipi],MATCH($A69,tblAnahtarB[NormB],0)),""))</f>
        <v/>
      </c>
      <c r="G69" s="16">
        <f>IF($A69="","",IFERROR(INDEX(tblVeriA[Donem],MATCH($A69,tblAnahtarA[Norm],0)),""))</f>
        <v/>
      </c>
      <c r="H69" s="16">
        <f>IF(OR($A69="",$B69&lt;&gt;"tutar_farki"),"",IF($E69=0,"BELGE_EKSIK",IF($C69&lt;=toleransKurus*cbb_yuvarlamaCarpan,"YUVARLAMA",IF(AND($F69&lt;&gt;"Ba",$F69&lt;&gt;"Bs"),"TIP_KARISIK",IF($C69&gt;cbb_esikFark*cbb_donemCarpan,"DONEM",IF(LEN($D69)&lt;cbb_unvanMinLen,"UNVAN","TANIMSIZ"))))))</f>
        <v/>
      </c>
    </row>
    <row r="70">
      <c r="A70" s="26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IF($A70="","",IFERROR(INDEX(tblVeriA[Unvan],MATCH($A70,tblAnahtarA[Norm],0)),""))</f>
        <v/>
      </c>
      <c r="E70" s="16">
        <f>IF($A70="","",IFERROR(SUMIF(tblAnahtarB[NormB],$A70,tblVeriB[BelgeAdet]),0))</f>
        <v/>
      </c>
      <c r="F70" s="16">
        <f>IF($A70="","",IFERROR(INDEX(tblVeriB[FormTipi],MATCH($A70,tblAnahtarB[NormB],0)),""))</f>
        <v/>
      </c>
      <c r="G70" s="16">
        <f>IF($A70="","",IFERROR(INDEX(tblVeriA[Donem],MATCH($A70,tblAnahtarA[Norm],0)),""))</f>
        <v/>
      </c>
      <c r="H70" s="16">
        <f>IF(OR($A70="",$B70&lt;&gt;"tutar_farki"),"",IF($E70=0,"BELGE_EKSIK",IF($C70&lt;=toleransKurus*cbb_yuvarlamaCarpan,"YUVARLAMA",IF(AND($F70&lt;&gt;"Ba",$F70&lt;&gt;"Bs"),"TIP_KARISIK",IF($C70&gt;cbb_esikFark*cbb_donemCarpan,"DONEM",IF(LEN($D70)&lt;cbb_unvanMinLen,"UNVAN","TANIMSIZ"))))))</f>
        <v/>
      </c>
    </row>
    <row r="71">
      <c r="A71" s="26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IF($A71="","",IFERROR(INDEX(tblVeriA[Unvan],MATCH($A71,tblAnahtarA[Norm],0)),""))</f>
        <v/>
      </c>
      <c r="E71" s="16">
        <f>IF($A71="","",IFERROR(SUMIF(tblAnahtarB[NormB],$A71,tblVeriB[BelgeAdet]),0))</f>
        <v/>
      </c>
      <c r="F71" s="16">
        <f>IF($A71="","",IFERROR(INDEX(tblVeriB[FormTipi],MATCH($A71,tblAnahtarB[NormB],0)),""))</f>
        <v/>
      </c>
      <c r="G71" s="16">
        <f>IF($A71="","",IFERROR(INDEX(tblVeriA[Donem],MATCH($A71,tblAnahtarA[Norm],0)),""))</f>
        <v/>
      </c>
      <c r="H71" s="16">
        <f>IF(OR($A71="",$B71&lt;&gt;"tutar_farki"),"",IF($E71=0,"BELGE_EKSIK",IF($C71&lt;=toleransKurus*cbb_yuvarlamaCarpan,"YUVARLAMA",IF(AND($F71&lt;&gt;"Ba",$F71&lt;&gt;"Bs"),"TIP_KARISIK",IF($C71&gt;cbb_esikFark*cbb_donemCarpan,"DONEM",IF(LEN($D71)&lt;cbb_unvanMinLen,"UNVAN","TANIMSIZ"))))))</f>
        <v/>
      </c>
    </row>
    <row r="72">
      <c r="A72" s="26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IF($A72="","",IFERROR(INDEX(tblVeriA[Unvan],MATCH($A72,tblAnahtarA[Norm],0)),""))</f>
        <v/>
      </c>
      <c r="E72" s="16">
        <f>IF($A72="","",IFERROR(SUMIF(tblAnahtarB[NormB],$A72,tblVeriB[BelgeAdet]),0))</f>
        <v/>
      </c>
      <c r="F72" s="16">
        <f>IF($A72="","",IFERROR(INDEX(tblVeriB[FormTipi],MATCH($A72,tblAnahtarB[NormB],0)),""))</f>
        <v/>
      </c>
      <c r="G72" s="16">
        <f>IF($A72="","",IFERROR(INDEX(tblVeriA[Donem],MATCH($A72,tblAnahtarA[Norm],0)),""))</f>
        <v/>
      </c>
      <c r="H72" s="16">
        <f>IF(OR($A72="",$B72&lt;&gt;"tutar_farki"),"",IF($E72=0,"BELGE_EKSIK",IF($C72&lt;=toleransKurus*cbb_yuvarlamaCarpan,"YUVARLAMA",IF(AND($F72&lt;&gt;"Ba",$F72&lt;&gt;"Bs"),"TIP_KARISIK",IF($C72&gt;cbb_esikFark*cbb_donemCarpan,"DONEM",IF(LEN($D72)&lt;cbb_unvanMinLen,"UNVAN","TANIMSIZ"))))))</f>
        <v/>
      </c>
    </row>
    <row r="73">
      <c r="A73" s="26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IF($A73="","",IFERROR(INDEX(tblVeriA[Unvan],MATCH($A73,tblAnahtarA[Norm],0)),""))</f>
        <v/>
      </c>
      <c r="E73" s="16">
        <f>IF($A73="","",IFERROR(SUMIF(tblAnahtarB[NormB],$A73,tblVeriB[BelgeAdet]),0))</f>
        <v/>
      </c>
      <c r="F73" s="16">
        <f>IF($A73="","",IFERROR(INDEX(tblVeriB[FormTipi],MATCH($A73,tblAnahtarB[NormB],0)),""))</f>
        <v/>
      </c>
      <c r="G73" s="16">
        <f>IF($A73="","",IFERROR(INDEX(tblVeriA[Donem],MATCH($A73,tblAnahtarA[Norm],0)),""))</f>
        <v/>
      </c>
      <c r="H73" s="16">
        <f>IF(OR($A73="",$B73&lt;&gt;"tutar_farki"),"",IF($E73=0,"BELGE_EKSIK",IF($C73&lt;=toleransKurus*cbb_yuvarlamaCarpan,"YUVARLAMA",IF(AND($F73&lt;&gt;"Ba",$F73&lt;&gt;"Bs"),"TIP_KARISIK",IF($C73&gt;cbb_esikFark*cbb_donemCarpan,"DONEM",IF(LEN($D73)&lt;cbb_unvanMinLen,"UNVAN","TANIMSIZ"))))))</f>
        <v/>
      </c>
    </row>
    <row r="74">
      <c r="A74" s="26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IF($A74="","",IFERROR(INDEX(tblVeriA[Unvan],MATCH($A74,tblAnahtarA[Norm],0)),""))</f>
        <v/>
      </c>
      <c r="E74" s="16">
        <f>IF($A74="","",IFERROR(SUMIF(tblAnahtarB[NormB],$A74,tblVeriB[BelgeAdet]),0))</f>
        <v/>
      </c>
      <c r="F74" s="16">
        <f>IF($A74="","",IFERROR(INDEX(tblVeriB[FormTipi],MATCH($A74,tblAnahtarB[NormB],0)),""))</f>
        <v/>
      </c>
      <c r="G74" s="16">
        <f>IF($A74="","",IFERROR(INDEX(tblVeriA[Donem],MATCH($A74,tblAnahtarA[Norm],0)),""))</f>
        <v/>
      </c>
      <c r="H74" s="16">
        <f>IF(OR($A74="",$B74&lt;&gt;"tutar_farki"),"",IF($E74=0,"BELGE_EKSIK",IF($C74&lt;=toleransKurus*cbb_yuvarlamaCarpan,"YUVARLAMA",IF(AND($F74&lt;&gt;"Ba",$F74&lt;&gt;"Bs"),"TIP_KARISIK",IF($C74&gt;cbb_esikFark*cbb_donemCarpan,"DONEM",IF(LEN($D74)&lt;cbb_unvanMinLen,"UNVAN","TANIMSIZ"))))))</f>
        <v/>
      </c>
    </row>
    <row r="75">
      <c r="A75" s="26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IF($A75="","",IFERROR(INDEX(tblVeriA[Unvan],MATCH($A75,tblAnahtarA[Norm],0)),""))</f>
        <v/>
      </c>
      <c r="E75" s="16">
        <f>IF($A75="","",IFERROR(SUMIF(tblAnahtarB[NormB],$A75,tblVeriB[BelgeAdet]),0))</f>
        <v/>
      </c>
      <c r="F75" s="16">
        <f>IF($A75="","",IFERROR(INDEX(tblVeriB[FormTipi],MATCH($A75,tblAnahtarB[NormB],0)),""))</f>
        <v/>
      </c>
      <c r="G75" s="16">
        <f>IF($A75="","",IFERROR(INDEX(tblVeriA[Donem],MATCH($A75,tblAnahtarA[Norm],0)),""))</f>
        <v/>
      </c>
      <c r="H75" s="16">
        <f>IF(OR($A75="",$B75&lt;&gt;"tutar_farki"),"",IF($E75=0,"BELGE_EKSIK",IF($C75&lt;=toleransKurus*cbb_yuvarlamaCarpan,"YUVARLAMA",IF(AND($F75&lt;&gt;"Ba",$F75&lt;&gt;"Bs"),"TIP_KARISIK",IF($C75&gt;cbb_esikFark*cbb_donemCarpan,"DONEM",IF(LEN($D75)&lt;cbb_unvanMinLen,"UNVAN","TANIMSIZ"))))))</f>
        <v/>
      </c>
    </row>
    <row r="76">
      <c r="A76" s="26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IF($A76="","",IFERROR(INDEX(tblVeriA[Unvan],MATCH($A76,tblAnahtarA[Norm],0)),""))</f>
        <v/>
      </c>
      <c r="E76" s="16">
        <f>IF($A76="","",IFERROR(SUMIF(tblAnahtarB[NormB],$A76,tblVeriB[BelgeAdet]),0))</f>
        <v/>
      </c>
      <c r="F76" s="16">
        <f>IF($A76="","",IFERROR(INDEX(tblVeriB[FormTipi],MATCH($A76,tblAnahtarB[NormB],0)),""))</f>
        <v/>
      </c>
      <c r="G76" s="16">
        <f>IF($A76="","",IFERROR(INDEX(tblVeriA[Donem],MATCH($A76,tblAnahtarA[Norm],0)),""))</f>
        <v/>
      </c>
      <c r="H76" s="16">
        <f>IF(OR($A76="",$B76&lt;&gt;"tutar_farki"),"",IF($E76=0,"BELGE_EKSIK",IF($C76&lt;=toleransKurus*cbb_yuvarlamaCarpan,"YUVARLAMA",IF(AND($F76&lt;&gt;"Ba",$F76&lt;&gt;"Bs"),"TIP_KARISIK",IF($C76&gt;cbb_esikFark*cbb_donemCarpan,"DONEM",IF(LEN($D76)&lt;cbb_unvanMinLen,"UNVAN","TANIMSIZ"))))))</f>
        <v/>
      </c>
    </row>
    <row r="77">
      <c r="A77" s="26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IF($A77="","",IFERROR(INDEX(tblVeriA[Unvan],MATCH($A77,tblAnahtarA[Norm],0)),""))</f>
        <v/>
      </c>
      <c r="E77" s="16">
        <f>IF($A77="","",IFERROR(SUMIF(tblAnahtarB[NormB],$A77,tblVeriB[BelgeAdet]),0))</f>
        <v/>
      </c>
      <c r="F77" s="16">
        <f>IF($A77="","",IFERROR(INDEX(tblVeriB[FormTipi],MATCH($A77,tblAnahtarB[NormB],0)),""))</f>
        <v/>
      </c>
      <c r="G77" s="16">
        <f>IF($A77="","",IFERROR(INDEX(tblVeriA[Donem],MATCH($A77,tblAnahtarA[Norm],0)),""))</f>
        <v/>
      </c>
      <c r="H77" s="16">
        <f>IF(OR($A77="",$B77&lt;&gt;"tutar_farki"),"",IF($E77=0,"BELGE_EKSIK",IF($C77&lt;=toleransKurus*cbb_yuvarlamaCarpan,"YUVARLAMA",IF(AND($F77&lt;&gt;"Ba",$F77&lt;&gt;"Bs"),"TIP_KARISIK",IF($C77&gt;cbb_esikFark*cbb_donemCarpan,"DONEM",IF(LEN($D77)&lt;cbb_unvanMinLen,"UNVAN","TANIMSIZ"))))))</f>
        <v/>
      </c>
    </row>
    <row r="78">
      <c r="A78" s="26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IF($A78="","",IFERROR(INDEX(tblVeriA[Unvan],MATCH($A78,tblAnahtarA[Norm],0)),""))</f>
        <v/>
      </c>
      <c r="E78" s="16">
        <f>IF($A78="","",IFERROR(SUMIF(tblAnahtarB[NormB],$A78,tblVeriB[BelgeAdet]),0))</f>
        <v/>
      </c>
      <c r="F78" s="16">
        <f>IF($A78="","",IFERROR(INDEX(tblVeriB[FormTipi],MATCH($A78,tblAnahtarB[NormB],0)),""))</f>
        <v/>
      </c>
      <c r="G78" s="16">
        <f>IF($A78="","",IFERROR(INDEX(tblVeriA[Donem],MATCH($A78,tblAnahtarA[Norm],0)),""))</f>
        <v/>
      </c>
      <c r="H78" s="16">
        <f>IF(OR($A78="",$B78&lt;&gt;"tutar_farki"),"",IF($E78=0,"BELGE_EKSIK",IF($C78&lt;=toleransKurus*cbb_yuvarlamaCarpan,"YUVARLAMA",IF(AND($F78&lt;&gt;"Ba",$F78&lt;&gt;"Bs"),"TIP_KARISIK",IF($C78&gt;cbb_esikFark*cbb_donemCarpan,"DONEM",IF(LEN($D78)&lt;cbb_unvanMinLen,"UNVAN","TANIMSIZ"))))))</f>
        <v/>
      </c>
    </row>
    <row r="79">
      <c r="A79" s="26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IF($A79="","",IFERROR(INDEX(tblVeriA[Unvan],MATCH($A79,tblAnahtarA[Norm],0)),""))</f>
        <v/>
      </c>
      <c r="E79" s="16">
        <f>IF($A79="","",IFERROR(SUMIF(tblAnahtarB[NormB],$A79,tblVeriB[BelgeAdet]),0))</f>
        <v/>
      </c>
      <c r="F79" s="16">
        <f>IF($A79="","",IFERROR(INDEX(tblVeriB[FormTipi],MATCH($A79,tblAnahtarB[NormB],0)),""))</f>
        <v/>
      </c>
      <c r="G79" s="16">
        <f>IF($A79="","",IFERROR(INDEX(tblVeriA[Donem],MATCH($A79,tblAnahtarA[Norm],0)),""))</f>
        <v/>
      </c>
      <c r="H79" s="16">
        <f>IF(OR($A79="",$B79&lt;&gt;"tutar_farki"),"",IF($E79=0,"BELGE_EKSIK",IF($C79&lt;=toleransKurus*cbb_yuvarlamaCarpan,"YUVARLAMA",IF(AND($F79&lt;&gt;"Ba",$F79&lt;&gt;"Bs"),"TIP_KARISIK",IF($C79&gt;cbb_esikFark*cbb_donemCarpan,"DONEM",IF(LEN($D79)&lt;cbb_unvanMinLen,"UNVAN","TANIMSIZ"))))))</f>
        <v/>
      </c>
    </row>
    <row r="80">
      <c r="A80" s="26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IF($A80="","",IFERROR(INDEX(tblVeriA[Unvan],MATCH($A80,tblAnahtarA[Norm],0)),""))</f>
        <v/>
      </c>
      <c r="E80" s="16">
        <f>IF($A80="","",IFERROR(SUMIF(tblAnahtarB[NormB],$A80,tblVeriB[BelgeAdet]),0))</f>
        <v/>
      </c>
      <c r="F80" s="16">
        <f>IF($A80="","",IFERROR(INDEX(tblVeriB[FormTipi],MATCH($A80,tblAnahtarB[NormB],0)),""))</f>
        <v/>
      </c>
      <c r="G80" s="16">
        <f>IF($A80="","",IFERROR(INDEX(tblVeriA[Donem],MATCH($A80,tblAnahtarA[Norm],0)),""))</f>
        <v/>
      </c>
      <c r="H80" s="16">
        <f>IF(OR($A80="",$B80&lt;&gt;"tutar_farki"),"",IF($E80=0,"BELGE_EKSIK",IF($C80&lt;=toleransKurus*cbb_yuvarlamaCarpan,"YUVARLAMA",IF(AND($F80&lt;&gt;"Ba",$F80&lt;&gt;"Bs"),"TIP_KARISIK",IF($C80&gt;cbb_esikFark*cbb_donemCarpan,"DONEM",IF(LEN($D80)&lt;cbb_unvanMinLen,"UNVAN","TANIMSIZ"))))))</f>
        <v/>
      </c>
    </row>
    <row r="81">
      <c r="A81" s="26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IF($A81="","",IFERROR(INDEX(tblVeriA[Unvan],MATCH($A81,tblAnahtarA[Norm],0)),""))</f>
        <v/>
      </c>
      <c r="E81" s="16">
        <f>IF($A81="","",IFERROR(SUMIF(tblAnahtarB[NormB],$A81,tblVeriB[BelgeAdet]),0))</f>
        <v/>
      </c>
      <c r="F81" s="16">
        <f>IF($A81="","",IFERROR(INDEX(tblVeriB[FormTipi],MATCH($A81,tblAnahtarB[NormB],0)),""))</f>
        <v/>
      </c>
      <c r="G81" s="16">
        <f>IF($A81="","",IFERROR(INDEX(tblVeriA[Donem],MATCH($A81,tblAnahtarA[Norm],0)),""))</f>
        <v/>
      </c>
      <c r="H81" s="16">
        <f>IF(OR($A81="",$B81&lt;&gt;"tutar_farki"),"",IF($E81=0,"BELGE_EKSIK",IF($C81&lt;=toleransKurus*cbb_yuvarlamaCarpan,"YUVARLAMA",IF(AND($F81&lt;&gt;"Ba",$F81&lt;&gt;"Bs"),"TIP_KARISIK",IF($C81&gt;cbb_esikFark*cbb_donemCarpan,"DONEM",IF(LEN($D81)&lt;cbb_unvanMinLen,"UNVAN","TANIMSIZ"))))))</f>
        <v/>
      </c>
    </row>
    <row r="82">
      <c r="A82" s="26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IF($A82="","",IFERROR(INDEX(tblVeriA[Unvan],MATCH($A82,tblAnahtarA[Norm],0)),""))</f>
        <v/>
      </c>
      <c r="E82" s="16">
        <f>IF($A82="","",IFERROR(SUMIF(tblAnahtarB[NormB],$A82,tblVeriB[BelgeAdet]),0))</f>
        <v/>
      </c>
      <c r="F82" s="16">
        <f>IF($A82="","",IFERROR(INDEX(tblVeriB[FormTipi],MATCH($A82,tblAnahtarB[NormB],0)),""))</f>
        <v/>
      </c>
      <c r="G82" s="16">
        <f>IF($A82="","",IFERROR(INDEX(tblVeriA[Donem],MATCH($A82,tblAnahtarA[Norm],0)),""))</f>
        <v/>
      </c>
      <c r="H82" s="16">
        <f>IF(OR($A82="",$B82&lt;&gt;"tutar_farki"),"",IF($E82=0,"BELGE_EKSIK",IF($C82&lt;=toleransKurus*cbb_yuvarlamaCarpan,"YUVARLAMA",IF(AND($F82&lt;&gt;"Ba",$F82&lt;&gt;"Bs"),"TIP_KARISIK",IF($C82&gt;cbb_esikFark*cbb_donemCarpan,"DONEM",IF(LEN($D82)&lt;cbb_unvanMinLen,"UNVAN","TANIMSIZ"))))))</f>
        <v/>
      </c>
    </row>
    <row r="83">
      <c r="A83" s="26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IF($A83="","",IFERROR(INDEX(tblVeriA[Unvan],MATCH($A83,tblAnahtarA[Norm],0)),""))</f>
        <v/>
      </c>
      <c r="E83" s="16">
        <f>IF($A83="","",IFERROR(SUMIF(tblAnahtarB[NormB],$A83,tblVeriB[BelgeAdet]),0))</f>
        <v/>
      </c>
      <c r="F83" s="16">
        <f>IF($A83="","",IFERROR(INDEX(tblVeriB[FormTipi],MATCH($A83,tblAnahtarB[NormB],0)),""))</f>
        <v/>
      </c>
      <c r="G83" s="16">
        <f>IF($A83="","",IFERROR(INDEX(tblVeriA[Donem],MATCH($A83,tblAnahtarA[Norm],0)),""))</f>
        <v/>
      </c>
      <c r="H83" s="16">
        <f>IF(OR($A83="",$B83&lt;&gt;"tutar_farki"),"",IF($E83=0,"BELGE_EKSIK",IF($C83&lt;=toleransKurus*cbb_yuvarlamaCarpan,"YUVARLAMA",IF(AND($F83&lt;&gt;"Ba",$F83&lt;&gt;"Bs"),"TIP_KARISIK",IF($C83&gt;cbb_esikFark*cbb_donemCarpan,"DONEM",IF(LEN($D83)&lt;cbb_unvanMinLen,"UNVAN","TANIMSIZ"))))))</f>
        <v/>
      </c>
    </row>
    <row r="84">
      <c r="A84" s="26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IF($A84="","",IFERROR(INDEX(tblVeriA[Unvan],MATCH($A84,tblAnahtarA[Norm],0)),""))</f>
        <v/>
      </c>
      <c r="E84" s="16">
        <f>IF($A84="","",IFERROR(SUMIF(tblAnahtarB[NormB],$A84,tblVeriB[BelgeAdet]),0))</f>
        <v/>
      </c>
      <c r="F84" s="16">
        <f>IF($A84="","",IFERROR(INDEX(tblVeriB[FormTipi],MATCH($A84,tblAnahtarB[NormB],0)),""))</f>
        <v/>
      </c>
      <c r="G84" s="16">
        <f>IF($A84="","",IFERROR(INDEX(tblVeriA[Donem],MATCH($A84,tblAnahtarA[Norm],0)),""))</f>
        <v/>
      </c>
      <c r="H84" s="16">
        <f>IF(OR($A84="",$B84&lt;&gt;"tutar_farki"),"",IF($E84=0,"BELGE_EKSIK",IF($C84&lt;=toleransKurus*cbb_yuvarlamaCarpan,"YUVARLAMA",IF(AND($F84&lt;&gt;"Ba",$F84&lt;&gt;"Bs"),"TIP_KARISIK",IF($C84&gt;cbb_esikFark*cbb_donemCarpan,"DONEM",IF(LEN($D84)&lt;cbb_unvanMinLen,"UNVAN","TANIMSIZ"))))))</f>
        <v/>
      </c>
    </row>
    <row r="85">
      <c r="A85" s="26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IF($A85="","",IFERROR(INDEX(tblVeriA[Unvan],MATCH($A85,tblAnahtarA[Norm],0)),""))</f>
        <v/>
      </c>
      <c r="E85" s="16">
        <f>IF($A85="","",IFERROR(SUMIF(tblAnahtarB[NormB],$A85,tblVeriB[BelgeAdet]),0))</f>
        <v/>
      </c>
      <c r="F85" s="16">
        <f>IF($A85="","",IFERROR(INDEX(tblVeriB[FormTipi],MATCH($A85,tblAnahtarB[NormB],0)),""))</f>
        <v/>
      </c>
      <c r="G85" s="16">
        <f>IF($A85="","",IFERROR(INDEX(tblVeriA[Donem],MATCH($A85,tblAnahtarA[Norm],0)),""))</f>
        <v/>
      </c>
      <c r="H85" s="16">
        <f>IF(OR($A85="",$B85&lt;&gt;"tutar_farki"),"",IF($E85=0,"BELGE_EKSIK",IF($C85&lt;=toleransKurus*cbb_yuvarlamaCarpan,"YUVARLAMA",IF(AND($F85&lt;&gt;"Ba",$F85&lt;&gt;"Bs"),"TIP_KARISIK",IF($C85&gt;cbb_esikFark*cbb_donemCarpan,"DONEM",IF(LEN($D85)&lt;cbb_unvanMinLen,"UNVAN","TANIMSIZ"))))))</f>
        <v/>
      </c>
    </row>
    <row r="86">
      <c r="A86" s="26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IF($A86="","",IFERROR(INDEX(tblVeriA[Unvan],MATCH($A86,tblAnahtarA[Norm],0)),""))</f>
        <v/>
      </c>
      <c r="E86" s="16">
        <f>IF($A86="","",IFERROR(SUMIF(tblAnahtarB[NormB],$A86,tblVeriB[BelgeAdet]),0))</f>
        <v/>
      </c>
      <c r="F86" s="16">
        <f>IF($A86="","",IFERROR(INDEX(tblVeriB[FormTipi],MATCH($A86,tblAnahtarB[NormB],0)),""))</f>
        <v/>
      </c>
      <c r="G86" s="16">
        <f>IF($A86="","",IFERROR(INDEX(tblVeriA[Donem],MATCH($A86,tblAnahtarA[Norm],0)),""))</f>
        <v/>
      </c>
      <c r="H86" s="16">
        <f>IF(OR($A86="",$B86&lt;&gt;"tutar_farki"),"",IF($E86=0,"BELGE_EKSIK",IF($C86&lt;=toleransKurus*cbb_yuvarlamaCarpan,"YUVARLAMA",IF(AND($F86&lt;&gt;"Ba",$F86&lt;&gt;"Bs"),"TIP_KARISIK",IF($C86&gt;cbb_esikFark*cbb_donemCarpan,"DONEM",IF(LEN($D86)&lt;cbb_unvanMinLen,"UNVAN","TANIMSIZ"))))))</f>
        <v/>
      </c>
    </row>
    <row r="87">
      <c r="A87" s="26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IF($A87="","",IFERROR(INDEX(tblVeriA[Unvan],MATCH($A87,tblAnahtarA[Norm],0)),""))</f>
        <v/>
      </c>
      <c r="E87" s="16">
        <f>IF($A87="","",IFERROR(SUMIF(tblAnahtarB[NormB],$A87,tblVeriB[BelgeAdet]),0))</f>
        <v/>
      </c>
      <c r="F87" s="16">
        <f>IF($A87="","",IFERROR(INDEX(tblVeriB[FormTipi],MATCH($A87,tblAnahtarB[NormB],0)),""))</f>
        <v/>
      </c>
      <c r="G87" s="16">
        <f>IF($A87="","",IFERROR(INDEX(tblVeriA[Donem],MATCH($A87,tblAnahtarA[Norm],0)),""))</f>
        <v/>
      </c>
      <c r="H87" s="16">
        <f>IF(OR($A87="",$B87&lt;&gt;"tutar_farki"),"",IF($E87=0,"BELGE_EKSIK",IF($C87&lt;=toleransKurus*cbb_yuvarlamaCarpan,"YUVARLAMA",IF(AND($F87&lt;&gt;"Ba",$F87&lt;&gt;"Bs"),"TIP_KARISIK",IF($C87&gt;cbb_esikFark*cbb_donemCarpan,"DONEM",IF(LEN($D87)&lt;cbb_unvanMinLen,"UNVAN","TANIMSIZ"))))))</f>
        <v/>
      </c>
    </row>
    <row r="88">
      <c r="A88" s="26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IF($A88="","",IFERROR(INDEX(tblVeriA[Unvan],MATCH($A88,tblAnahtarA[Norm],0)),""))</f>
        <v/>
      </c>
      <c r="E88" s="16">
        <f>IF($A88="","",IFERROR(SUMIF(tblAnahtarB[NormB],$A88,tblVeriB[BelgeAdet]),0))</f>
        <v/>
      </c>
      <c r="F88" s="16">
        <f>IF($A88="","",IFERROR(INDEX(tblVeriB[FormTipi],MATCH($A88,tblAnahtarB[NormB],0)),""))</f>
        <v/>
      </c>
      <c r="G88" s="16">
        <f>IF($A88="","",IFERROR(INDEX(tblVeriA[Donem],MATCH($A88,tblAnahtarA[Norm],0)),""))</f>
        <v/>
      </c>
      <c r="H88" s="16">
        <f>IF(OR($A88="",$B88&lt;&gt;"tutar_farki"),"",IF($E88=0,"BELGE_EKSIK",IF($C88&lt;=toleransKurus*cbb_yuvarlamaCarpan,"YUVARLAMA",IF(AND($F88&lt;&gt;"Ba",$F88&lt;&gt;"Bs"),"TIP_KARISIK",IF($C88&gt;cbb_esikFark*cbb_donemCarpan,"DONEM",IF(LEN($D88)&lt;cbb_unvanMinLen,"UNVAN","TANIMSIZ"))))))</f>
        <v/>
      </c>
    </row>
    <row r="89">
      <c r="A89" s="26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IF($A89="","",IFERROR(INDEX(tblVeriA[Unvan],MATCH($A89,tblAnahtarA[Norm],0)),""))</f>
        <v/>
      </c>
      <c r="E89" s="16">
        <f>IF($A89="","",IFERROR(SUMIF(tblAnahtarB[NormB],$A89,tblVeriB[BelgeAdet]),0))</f>
        <v/>
      </c>
      <c r="F89" s="16">
        <f>IF($A89="","",IFERROR(INDEX(tblVeriB[FormTipi],MATCH($A89,tblAnahtarB[NormB],0)),""))</f>
        <v/>
      </c>
      <c r="G89" s="16">
        <f>IF($A89="","",IFERROR(INDEX(tblVeriA[Donem],MATCH($A89,tblAnahtarA[Norm],0)),""))</f>
        <v/>
      </c>
      <c r="H89" s="16">
        <f>IF(OR($A89="",$B89&lt;&gt;"tutar_farki"),"",IF($E89=0,"BELGE_EKSIK",IF($C89&lt;=toleransKurus*cbb_yuvarlamaCarpan,"YUVARLAMA",IF(AND($F89&lt;&gt;"Ba",$F89&lt;&gt;"Bs"),"TIP_KARISIK",IF($C89&gt;cbb_esikFark*cbb_donemCarpan,"DONEM",IF(LEN($D89)&lt;cbb_unvanMinLen,"UNVAN","TANIMSIZ"))))))</f>
        <v/>
      </c>
    </row>
    <row r="90">
      <c r="A90" s="26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IF($A90="","",IFERROR(INDEX(tblVeriA[Unvan],MATCH($A90,tblAnahtarA[Norm],0)),""))</f>
        <v/>
      </c>
      <c r="E90" s="16">
        <f>IF($A90="","",IFERROR(SUMIF(tblAnahtarB[NormB],$A90,tblVeriB[BelgeAdet]),0))</f>
        <v/>
      </c>
      <c r="F90" s="16">
        <f>IF($A90="","",IFERROR(INDEX(tblVeriB[FormTipi],MATCH($A90,tblAnahtarB[NormB],0)),""))</f>
        <v/>
      </c>
      <c r="G90" s="16">
        <f>IF($A90="","",IFERROR(INDEX(tblVeriA[Donem],MATCH($A90,tblAnahtarA[Norm],0)),""))</f>
        <v/>
      </c>
      <c r="H90" s="16">
        <f>IF(OR($A90="",$B90&lt;&gt;"tutar_farki"),"",IF($E90=0,"BELGE_EKSIK",IF($C90&lt;=toleransKurus*cbb_yuvarlamaCarpan,"YUVARLAMA",IF(AND($F90&lt;&gt;"Ba",$F90&lt;&gt;"Bs"),"TIP_KARISIK",IF($C90&gt;cbb_esikFark*cbb_donemCarpan,"DONEM",IF(LEN($D90)&lt;cbb_unvanMinLen,"UNVAN","TANIMSIZ"))))))</f>
        <v/>
      </c>
    </row>
    <row r="91">
      <c r="A91" s="26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IF($A91="","",IFERROR(INDEX(tblVeriA[Unvan],MATCH($A91,tblAnahtarA[Norm],0)),""))</f>
        <v/>
      </c>
      <c r="E91" s="16">
        <f>IF($A91="","",IFERROR(SUMIF(tblAnahtarB[NormB],$A91,tblVeriB[BelgeAdet]),0))</f>
        <v/>
      </c>
      <c r="F91" s="16">
        <f>IF($A91="","",IFERROR(INDEX(tblVeriB[FormTipi],MATCH($A91,tblAnahtarB[NormB],0)),""))</f>
        <v/>
      </c>
      <c r="G91" s="16">
        <f>IF($A91="","",IFERROR(INDEX(tblVeriA[Donem],MATCH($A91,tblAnahtarA[Norm],0)),""))</f>
        <v/>
      </c>
      <c r="H91" s="16">
        <f>IF(OR($A91="",$B91&lt;&gt;"tutar_farki"),"",IF($E91=0,"BELGE_EKSIK",IF($C91&lt;=toleransKurus*cbb_yuvarlamaCarpan,"YUVARLAMA",IF(AND($F91&lt;&gt;"Ba",$F91&lt;&gt;"Bs"),"TIP_KARISIK",IF($C91&gt;cbb_esikFark*cbb_donemCarpan,"DONEM",IF(LEN($D91)&lt;cbb_unvanMinLen,"UNVAN","TANIMSIZ"))))))</f>
        <v/>
      </c>
    </row>
    <row r="92">
      <c r="A92" s="26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IF($A92="","",IFERROR(INDEX(tblVeriA[Unvan],MATCH($A92,tblAnahtarA[Norm],0)),""))</f>
        <v/>
      </c>
      <c r="E92" s="16">
        <f>IF($A92="","",IFERROR(SUMIF(tblAnahtarB[NormB],$A92,tblVeriB[BelgeAdet]),0))</f>
        <v/>
      </c>
      <c r="F92" s="16">
        <f>IF($A92="","",IFERROR(INDEX(tblVeriB[FormTipi],MATCH($A92,tblAnahtarB[NormB],0)),""))</f>
        <v/>
      </c>
      <c r="G92" s="16">
        <f>IF($A92="","",IFERROR(INDEX(tblVeriA[Donem],MATCH($A92,tblAnahtarA[Norm],0)),""))</f>
        <v/>
      </c>
      <c r="H92" s="16">
        <f>IF(OR($A92="",$B92&lt;&gt;"tutar_farki"),"",IF($E92=0,"BELGE_EKSIK",IF($C92&lt;=toleransKurus*cbb_yuvarlamaCarpan,"YUVARLAMA",IF(AND($F92&lt;&gt;"Ba",$F92&lt;&gt;"Bs"),"TIP_KARISIK",IF($C92&gt;cbb_esikFark*cbb_donemCarpan,"DONEM",IF(LEN($D92)&lt;cbb_unvanMinLen,"UNVAN","TANIMSIZ"))))))</f>
        <v/>
      </c>
    </row>
    <row r="93">
      <c r="A93" s="26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IF($A93="","",IFERROR(INDEX(tblVeriA[Unvan],MATCH($A93,tblAnahtarA[Norm],0)),""))</f>
        <v/>
      </c>
      <c r="E93" s="16">
        <f>IF($A93="","",IFERROR(SUMIF(tblAnahtarB[NormB],$A93,tblVeriB[BelgeAdet]),0))</f>
        <v/>
      </c>
      <c r="F93" s="16">
        <f>IF($A93="","",IFERROR(INDEX(tblVeriB[FormTipi],MATCH($A93,tblAnahtarB[NormB],0)),""))</f>
        <v/>
      </c>
      <c r="G93" s="16">
        <f>IF($A93="","",IFERROR(INDEX(tblVeriA[Donem],MATCH($A93,tblAnahtarA[Norm],0)),""))</f>
        <v/>
      </c>
      <c r="H93" s="16">
        <f>IF(OR($A93="",$B93&lt;&gt;"tutar_farki"),"",IF($E93=0,"BELGE_EKSIK",IF($C93&lt;=toleransKurus*cbb_yuvarlamaCarpan,"YUVARLAMA",IF(AND($F93&lt;&gt;"Ba",$F93&lt;&gt;"Bs"),"TIP_KARISIK",IF($C93&gt;cbb_esikFark*cbb_donemCarpan,"DONEM",IF(LEN($D93)&lt;cbb_unvanMinLen,"UNVAN","TANIMSIZ"))))))</f>
        <v/>
      </c>
    </row>
    <row r="94">
      <c r="A94" s="26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IF($A94="","",IFERROR(INDEX(tblVeriA[Unvan],MATCH($A94,tblAnahtarA[Norm],0)),""))</f>
        <v/>
      </c>
      <c r="E94" s="16">
        <f>IF($A94="","",IFERROR(SUMIF(tblAnahtarB[NormB],$A94,tblVeriB[BelgeAdet]),0))</f>
        <v/>
      </c>
      <c r="F94" s="16">
        <f>IF($A94="","",IFERROR(INDEX(tblVeriB[FormTipi],MATCH($A94,tblAnahtarB[NormB],0)),""))</f>
        <v/>
      </c>
      <c r="G94" s="16">
        <f>IF($A94="","",IFERROR(INDEX(tblVeriA[Donem],MATCH($A94,tblAnahtarA[Norm],0)),""))</f>
        <v/>
      </c>
      <c r="H94" s="16">
        <f>IF(OR($A94="",$B94&lt;&gt;"tutar_farki"),"",IF($E94=0,"BELGE_EKSIK",IF($C94&lt;=toleransKurus*cbb_yuvarlamaCarpan,"YUVARLAMA",IF(AND($F94&lt;&gt;"Ba",$F94&lt;&gt;"Bs"),"TIP_KARISIK",IF($C94&gt;cbb_esikFark*cbb_donemCarpan,"DONEM",IF(LEN($D94)&lt;cbb_unvanMinLen,"UNVAN","TANIMSIZ"))))))</f>
        <v/>
      </c>
    </row>
    <row r="95">
      <c r="A95" s="26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IF($A95="","",IFERROR(INDEX(tblVeriA[Unvan],MATCH($A95,tblAnahtarA[Norm],0)),""))</f>
        <v/>
      </c>
      <c r="E95" s="16">
        <f>IF($A95="","",IFERROR(SUMIF(tblAnahtarB[NormB],$A95,tblVeriB[BelgeAdet]),0))</f>
        <v/>
      </c>
      <c r="F95" s="16">
        <f>IF($A95="","",IFERROR(INDEX(tblVeriB[FormTipi],MATCH($A95,tblAnahtarB[NormB],0)),""))</f>
        <v/>
      </c>
      <c r="G95" s="16">
        <f>IF($A95="","",IFERROR(INDEX(tblVeriA[Donem],MATCH($A95,tblAnahtarA[Norm],0)),""))</f>
        <v/>
      </c>
      <c r="H95" s="16">
        <f>IF(OR($A95="",$B95&lt;&gt;"tutar_farki"),"",IF($E95=0,"BELGE_EKSIK",IF($C95&lt;=toleransKurus*cbb_yuvarlamaCarpan,"YUVARLAMA",IF(AND($F95&lt;&gt;"Ba",$F95&lt;&gt;"Bs"),"TIP_KARISIK",IF($C95&gt;cbb_esikFark*cbb_donemCarpan,"DONEM",IF(LEN($D95)&lt;cbb_unvanMinLen,"UNVAN","TANIMSIZ"))))))</f>
        <v/>
      </c>
    </row>
    <row r="96">
      <c r="A96" s="26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IF($A96="","",IFERROR(INDEX(tblVeriA[Unvan],MATCH($A96,tblAnahtarA[Norm],0)),""))</f>
        <v/>
      </c>
      <c r="E96" s="16">
        <f>IF($A96="","",IFERROR(SUMIF(tblAnahtarB[NormB],$A96,tblVeriB[BelgeAdet]),0))</f>
        <v/>
      </c>
      <c r="F96" s="16">
        <f>IF($A96="","",IFERROR(INDEX(tblVeriB[FormTipi],MATCH($A96,tblAnahtarB[NormB],0)),""))</f>
        <v/>
      </c>
      <c r="G96" s="16">
        <f>IF($A96="","",IFERROR(INDEX(tblVeriA[Donem],MATCH($A96,tblAnahtarA[Norm],0)),""))</f>
        <v/>
      </c>
      <c r="H96" s="16">
        <f>IF(OR($A96="",$B96&lt;&gt;"tutar_farki"),"",IF($E96=0,"BELGE_EKSIK",IF($C96&lt;=toleransKurus*cbb_yuvarlamaCarpan,"YUVARLAMA",IF(AND($F96&lt;&gt;"Ba",$F96&lt;&gt;"Bs"),"TIP_KARISIK",IF($C96&gt;cbb_esikFark*cbb_donemCarpan,"DONEM",IF(LEN($D96)&lt;cbb_unvanMinLen,"UNVAN","TANIMSIZ"))))))</f>
        <v/>
      </c>
    </row>
    <row r="97">
      <c r="A97" s="26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IF($A97="","",IFERROR(INDEX(tblVeriA[Unvan],MATCH($A97,tblAnahtarA[Norm],0)),""))</f>
        <v/>
      </c>
      <c r="E97" s="16">
        <f>IF($A97="","",IFERROR(SUMIF(tblAnahtarB[NormB],$A97,tblVeriB[BelgeAdet]),0))</f>
        <v/>
      </c>
      <c r="F97" s="16">
        <f>IF($A97="","",IFERROR(INDEX(tblVeriB[FormTipi],MATCH($A97,tblAnahtarB[NormB],0)),""))</f>
        <v/>
      </c>
      <c r="G97" s="16">
        <f>IF($A97="","",IFERROR(INDEX(tblVeriA[Donem],MATCH($A97,tblAnahtarA[Norm],0)),""))</f>
        <v/>
      </c>
      <c r="H97" s="16">
        <f>IF(OR($A97="",$B97&lt;&gt;"tutar_farki"),"",IF($E97=0,"BELGE_EKSIK",IF($C97&lt;=toleransKurus*cbb_yuvarlamaCarpan,"YUVARLAMA",IF(AND($F97&lt;&gt;"Ba",$F97&lt;&gt;"Bs"),"TIP_KARISIK",IF($C97&gt;cbb_esikFark*cbb_donemCarpan,"DONEM",IF(LEN($D97)&lt;cbb_unvanMinLen,"UNVAN","TANIMSIZ"))))))</f>
        <v/>
      </c>
    </row>
    <row r="98">
      <c r="A98" s="26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IF($A98="","",IFERROR(INDEX(tblVeriA[Unvan],MATCH($A98,tblAnahtarA[Norm],0)),""))</f>
        <v/>
      </c>
      <c r="E98" s="16">
        <f>IF($A98="","",IFERROR(SUMIF(tblAnahtarB[NormB],$A98,tblVeriB[BelgeAdet]),0))</f>
        <v/>
      </c>
      <c r="F98" s="16">
        <f>IF($A98="","",IFERROR(INDEX(tblVeriB[FormTipi],MATCH($A98,tblAnahtarB[NormB],0)),""))</f>
        <v/>
      </c>
      <c r="G98" s="16">
        <f>IF($A98="","",IFERROR(INDEX(tblVeriA[Donem],MATCH($A98,tblAnahtarA[Norm],0)),""))</f>
        <v/>
      </c>
      <c r="H98" s="16">
        <f>IF(OR($A98="",$B98&lt;&gt;"tutar_farki"),"",IF($E98=0,"BELGE_EKSIK",IF($C98&lt;=toleransKurus*cbb_yuvarlamaCarpan,"YUVARLAMA",IF(AND($F98&lt;&gt;"Ba",$F98&lt;&gt;"Bs"),"TIP_KARISIK",IF($C98&gt;cbb_esikFark*cbb_donemCarpan,"DONEM",IF(LEN($D98)&lt;cbb_unvanMinLen,"UNVAN","TANIMSIZ"))))))</f>
        <v/>
      </c>
    </row>
    <row r="99">
      <c r="A99" s="26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IF($A99="","",IFERROR(INDEX(tblVeriA[Unvan],MATCH($A99,tblAnahtarA[Norm],0)),""))</f>
        <v/>
      </c>
      <c r="E99" s="16">
        <f>IF($A99="","",IFERROR(SUMIF(tblAnahtarB[NormB],$A99,tblVeriB[BelgeAdet]),0))</f>
        <v/>
      </c>
      <c r="F99" s="16">
        <f>IF($A99="","",IFERROR(INDEX(tblVeriB[FormTipi],MATCH($A99,tblAnahtarB[NormB],0)),""))</f>
        <v/>
      </c>
      <c r="G99" s="16">
        <f>IF($A99="","",IFERROR(INDEX(tblVeriA[Donem],MATCH($A99,tblAnahtarA[Norm],0)),""))</f>
        <v/>
      </c>
      <c r="H99" s="16">
        <f>IF(OR($A99="",$B99&lt;&gt;"tutar_farki"),"",IF($E99=0,"BELGE_EKSIK",IF($C99&lt;=toleransKurus*cbb_yuvarlamaCarpan,"YUVARLAMA",IF(AND($F99&lt;&gt;"Ba",$F99&lt;&gt;"Bs"),"TIP_KARISIK",IF($C99&gt;cbb_esikFark*cbb_donemCarpan,"DONEM",IF(LEN($D99)&lt;cbb_unvanMinLen,"UNVAN","TANIMSIZ"))))))</f>
        <v/>
      </c>
    </row>
    <row r="100">
      <c r="A100" s="26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IF($A100="","",IFERROR(INDEX(tblVeriA[Unvan],MATCH($A100,tblAnahtarA[Norm],0)),""))</f>
        <v/>
      </c>
      <c r="E100" s="16">
        <f>IF($A100="","",IFERROR(SUMIF(tblAnahtarB[NormB],$A100,tblVeriB[BelgeAdet]),0))</f>
        <v/>
      </c>
      <c r="F100" s="16">
        <f>IF($A100="","",IFERROR(INDEX(tblVeriB[FormTipi],MATCH($A100,tblAnahtarB[NormB],0)),""))</f>
        <v/>
      </c>
      <c r="G100" s="16">
        <f>IF($A100="","",IFERROR(INDEX(tblVeriA[Donem],MATCH($A100,tblAnahtarA[Norm],0)),""))</f>
        <v/>
      </c>
      <c r="H100" s="16">
        <f>IF(OR($A100="",$B100&lt;&gt;"tutar_farki"),"",IF($E100=0,"BELGE_EKSIK",IF($C100&lt;=toleransKurus*cbb_yuvarlamaCarpan,"YUVARLAMA",IF(AND($F100&lt;&gt;"Ba",$F100&lt;&gt;"Bs"),"TIP_KARISIK",IF($C100&gt;cbb_esikFark*cbb_donemCarpan,"DONEM",IF(LEN($D100)&lt;cbb_unvanMinLen,"UNVAN","TANIMSIZ"))))))</f>
        <v/>
      </c>
    </row>
    <row r="101">
      <c r="A101" s="26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IF($A101="","",IFERROR(INDEX(tblVeriA[Unvan],MATCH($A101,tblAnahtarA[Norm],0)),""))</f>
        <v/>
      </c>
      <c r="E101" s="16">
        <f>IF($A101="","",IFERROR(SUMIF(tblAnahtarB[NormB],$A101,tblVeriB[BelgeAdet]),0))</f>
        <v/>
      </c>
      <c r="F101" s="16">
        <f>IF($A101="","",IFERROR(INDEX(tblVeriB[FormTipi],MATCH($A101,tblAnahtarB[NormB],0)),""))</f>
        <v/>
      </c>
      <c r="G101" s="16">
        <f>IF($A101="","",IFERROR(INDEX(tblVeriA[Donem],MATCH($A101,tblAnahtarA[Norm],0)),""))</f>
        <v/>
      </c>
      <c r="H101" s="16">
        <f>IF(OR($A101="",$B101&lt;&gt;"tutar_farki"),"",IF($E101=0,"BELGE_EKSIK",IF($C101&lt;=toleransKurus*cbb_yuvarlamaCarpan,"YUVARLAMA",IF(AND($F101&lt;&gt;"Ba",$F101&lt;&gt;"Bs"),"TIP_KARISIK",IF($C101&gt;cbb_esikFark*cbb_donemCarpan,"DONEM",IF(LEN($D101)&lt;cbb_unvanMinLen,"UNVAN","TANIMSIZ"))))))</f>
        <v/>
      </c>
    </row>
    <row r="102">
      <c r="A102" s="26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IF($A102="","",IFERROR(INDEX(tblVeriA[Unvan],MATCH($A102,tblAnahtarA[Norm],0)),""))</f>
        <v/>
      </c>
      <c r="E102" s="16">
        <f>IF($A102="","",IFERROR(SUMIF(tblAnahtarB[NormB],$A102,tblVeriB[BelgeAdet]),0))</f>
        <v/>
      </c>
      <c r="F102" s="16">
        <f>IF($A102="","",IFERROR(INDEX(tblVeriB[FormTipi],MATCH($A102,tblAnahtarB[NormB],0)),""))</f>
        <v/>
      </c>
      <c r="G102" s="16">
        <f>IF($A102="","",IFERROR(INDEX(tblVeriA[Donem],MATCH($A102,tblAnahtarA[Norm],0)),""))</f>
        <v/>
      </c>
      <c r="H102" s="16">
        <f>IF(OR($A102="",$B102&lt;&gt;"tutar_farki"),"",IF($E102=0,"BELGE_EKSIK",IF($C102&lt;=toleransKurus*cbb_yuvarlamaCarpan,"YUVARLAMA",IF(AND($F102&lt;&gt;"Ba",$F102&lt;&gt;"Bs"),"TIP_KARISIK",IF($C102&gt;cbb_esikFark*cbb_donemCarpan,"DONEM",IF(LEN($D102)&lt;cbb_unvanMinLen,"UNVAN","TANIMSIZ"))))))</f>
        <v/>
      </c>
    </row>
    <row r="103">
      <c r="A103" s="26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IF($A103="","",IFERROR(INDEX(tblVeriA[Unvan],MATCH($A103,tblAnahtarA[Norm],0)),""))</f>
        <v/>
      </c>
      <c r="E103" s="16">
        <f>IF($A103="","",IFERROR(SUMIF(tblAnahtarB[NormB],$A103,tblVeriB[BelgeAdet]),0))</f>
        <v/>
      </c>
      <c r="F103" s="16">
        <f>IF($A103="","",IFERROR(INDEX(tblVeriB[FormTipi],MATCH($A103,tblAnahtarB[NormB],0)),""))</f>
        <v/>
      </c>
      <c r="G103" s="16">
        <f>IF($A103="","",IFERROR(INDEX(tblVeriA[Donem],MATCH($A103,tblAnahtarA[Norm],0)),""))</f>
        <v/>
      </c>
      <c r="H103" s="16">
        <f>IF(OR($A103="",$B103&lt;&gt;"tutar_farki"),"",IF($E103=0,"BELGE_EKSIK",IF($C103&lt;=toleransKurus*cbb_yuvarlamaCarpan,"YUVARLAMA",IF(AND($F103&lt;&gt;"Ba",$F103&lt;&gt;"Bs"),"TIP_KARISIK",IF($C103&gt;cbb_esikFark*cbb_donemCarpan,"DONEM",IF(LEN($D103)&lt;cbb_unvanMinLen,"UNVAN","TANIMSIZ"))))))</f>
        <v/>
      </c>
    </row>
    <row r="104">
      <c r="A104" s="26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IF($A104="","",IFERROR(INDEX(tblVeriA[Unvan],MATCH($A104,tblAnahtarA[Norm],0)),""))</f>
        <v/>
      </c>
      <c r="E104" s="16">
        <f>IF($A104="","",IFERROR(SUMIF(tblAnahtarB[NormB],$A104,tblVeriB[BelgeAdet]),0))</f>
        <v/>
      </c>
      <c r="F104" s="16">
        <f>IF($A104="","",IFERROR(INDEX(tblVeriB[FormTipi],MATCH($A104,tblAnahtarB[NormB],0)),""))</f>
        <v/>
      </c>
      <c r="G104" s="16">
        <f>IF($A104="","",IFERROR(INDEX(tblVeriA[Donem],MATCH($A104,tblAnahtarA[Norm],0)),""))</f>
        <v/>
      </c>
      <c r="H104" s="16">
        <f>IF(OR($A104="",$B104&lt;&gt;"tutar_farki"),"",IF($E104=0,"BELGE_EKSIK",IF($C104&lt;=toleransKurus*cbb_yuvarlamaCarpan,"YUVARLAMA",IF(AND($F104&lt;&gt;"Ba",$F104&lt;&gt;"Bs"),"TIP_KARISIK",IF($C104&gt;cbb_esikFark*cbb_donemCarpan,"DONEM",IF(LEN($D104)&lt;cbb_unvanMinLen,"UNVAN","TANIMSIZ"))))))</f>
        <v/>
      </c>
    </row>
    <row r="105">
      <c r="A105" s="26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IF($A105="","",IFERROR(INDEX(tblVeriA[Unvan],MATCH($A105,tblAnahtarA[Norm],0)),""))</f>
        <v/>
      </c>
      <c r="E105" s="16">
        <f>IF($A105="","",IFERROR(SUMIF(tblAnahtarB[NormB],$A105,tblVeriB[BelgeAdet]),0))</f>
        <v/>
      </c>
      <c r="F105" s="16">
        <f>IF($A105="","",IFERROR(INDEX(tblVeriB[FormTipi],MATCH($A105,tblAnahtarB[NormB],0)),""))</f>
        <v/>
      </c>
      <c r="G105" s="16">
        <f>IF($A105="","",IFERROR(INDEX(tblVeriA[Donem],MATCH($A105,tblAnahtarA[Norm],0)),""))</f>
        <v/>
      </c>
      <c r="H105" s="16">
        <f>IF(OR($A105="",$B105&lt;&gt;"tutar_farki"),"",IF($E105=0,"BELGE_EKSIK",IF($C105&lt;=toleransKurus*cbb_yuvarlamaCarpan,"YUVARLAMA",IF(AND($F105&lt;&gt;"Ba",$F105&lt;&gt;"Bs"),"TIP_KARISIK",IF($C105&gt;cbb_esikFark*cbb_donemCarpan,"DONEM",IF(LEN($D105)&lt;cbb_unvanMinLen,"UNVAN","TANIMSIZ"))))))</f>
        <v/>
      </c>
    </row>
    <row r="106">
      <c r="A106" s="26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IF($A106="","",IFERROR(INDEX(tblVeriA[Unvan],MATCH($A106,tblAnahtarA[Norm],0)),""))</f>
        <v/>
      </c>
      <c r="E106" s="16">
        <f>IF($A106="","",IFERROR(SUMIF(tblAnahtarB[NormB],$A106,tblVeriB[BelgeAdet]),0))</f>
        <v/>
      </c>
      <c r="F106" s="16">
        <f>IF($A106="","",IFERROR(INDEX(tblVeriB[FormTipi],MATCH($A106,tblAnahtarB[NormB],0)),""))</f>
        <v/>
      </c>
      <c r="G106" s="16">
        <f>IF($A106="","",IFERROR(INDEX(tblVeriA[Donem],MATCH($A106,tblAnahtarA[Norm],0)),""))</f>
        <v/>
      </c>
      <c r="H106" s="16">
        <f>IF(OR($A106="",$B106&lt;&gt;"tutar_farki"),"",IF($E106=0,"BELGE_EKSIK",IF($C106&lt;=toleransKurus*cbb_yuvarlamaCarpan,"YUVARLAMA",IF(AND($F106&lt;&gt;"Ba",$F106&lt;&gt;"Bs"),"TIP_KARISIK",IF($C106&gt;cbb_esikFark*cbb_donemCarpan,"DONEM",IF(LEN($D106)&lt;cbb_unvanMinLen,"UNVAN","TANIMSIZ"))))))</f>
        <v/>
      </c>
    </row>
    <row r="107">
      <c r="A107" s="26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IF($A107="","",IFERROR(INDEX(tblVeriA[Unvan],MATCH($A107,tblAnahtarA[Norm],0)),""))</f>
        <v/>
      </c>
      <c r="E107" s="16">
        <f>IF($A107="","",IFERROR(SUMIF(tblAnahtarB[NormB],$A107,tblVeriB[BelgeAdet]),0))</f>
        <v/>
      </c>
      <c r="F107" s="16">
        <f>IF($A107="","",IFERROR(INDEX(tblVeriB[FormTipi],MATCH($A107,tblAnahtarB[NormB],0)),""))</f>
        <v/>
      </c>
      <c r="G107" s="16">
        <f>IF($A107="","",IFERROR(INDEX(tblVeriA[Donem],MATCH($A107,tblAnahtarA[Norm],0)),""))</f>
        <v/>
      </c>
      <c r="H107" s="16">
        <f>IF(OR($A107="",$B107&lt;&gt;"tutar_farki"),"",IF($E107=0,"BELGE_EKSIK",IF($C107&lt;=toleransKurus*cbb_yuvarlamaCarpan,"YUVARLAMA",IF(AND($F107&lt;&gt;"Ba",$F107&lt;&gt;"Bs"),"TIP_KARISIK",IF($C107&gt;cbb_esikFark*cbb_donemCarpan,"DONEM",IF(LEN($D107)&lt;cbb_unvanMinLen,"UNVAN","TANIMSIZ"))))))</f>
        <v/>
      </c>
    </row>
    <row r="108">
      <c r="A108" s="26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IF($A108="","",IFERROR(INDEX(tblVeriA[Unvan],MATCH($A108,tblAnahtarA[Norm],0)),""))</f>
        <v/>
      </c>
      <c r="E108" s="16">
        <f>IF($A108="","",IFERROR(SUMIF(tblAnahtarB[NormB],$A108,tblVeriB[BelgeAdet]),0))</f>
        <v/>
      </c>
      <c r="F108" s="16">
        <f>IF($A108="","",IFERROR(INDEX(tblVeriB[FormTipi],MATCH($A108,tblAnahtarB[NormB],0)),""))</f>
        <v/>
      </c>
      <c r="G108" s="16">
        <f>IF($A108="","",IFERROR(INDEX(tblVeriA[Donem],MATCH($A108,tblAnahtarA[Norm],0)),""))</f>
        <v/>
      </c>
      <c r="H108" s="16">
        <f>IF(OR($A108="",$B108&lt;&gt;"tutar_farki"),"",IF($E108=0,"BELGE_EKSIK",IF($C108&lt;=toleransKurus*cbb_yuvarlamaCarpan,"YUVARLAMA",IF(AND($F108&lt;&gt;"Ba",$F108&lt;&gt;"Bs"),"TIP_KARISIK",IF($C108&gt;cbb_esikFark*cbb_donemCarpan,"DONEM",IF(LEN($D108)&lt;cbb_unvanMinLen,"UNVAN","TANIMSIZ"))))))</f>
        <v/>
      </c>
    </row>
    <row r="109">
      <c r="A109" s="26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IF($A109="","",IFERROR(INDEX(tblVeriA[Unvan],MATCH($A109,tblAnahtarA[Norm],0)),""))</f>
        <v/>
      </c>
      <c r="E109" s="16">
        <f>IF($A109="","",IFERROR(SUMIF(tblAnahtarB[NormB],$A109,tblVeriB[BelgeAdet]),0))</f>
        <v/>
      </c>
      <c r="F109" s="16">
        <f>IF($A109="","",IFERROR(INDEX(tblVeriB[FormTipi],MATCH($A109,tblAnahtarB[NormB],0)),""))</f>
        <v/>
      </c>
      <c r="G109" s="16">
        <f>IF($A109="","",IFERROR(INDEX(tblVeriA[Donem],MATCH($A109,tblAnahtarA[Norm],0)),""))</f>
        <v/>
      </c>
      <c r="H109" s="16">
        <f>IF(OR($A109="",$B109&lt;&gt;"tutar_farki"),"",IF($E109=0,"BELGE_EKSIK",IF($C109&lt;=toleransKurus*cbb_yuvarlamaCarpan,"YUVARLAMA",IF(AND($F109&lt;&gt;"Ba",$F109&lt;&gt;"Bs"),"TIP_KARISIK",IF($C109&gt;cbb_esikFark*cbb_donemCarpan,"DONEM",IF(LEN($D109)&lt;cbb_unvanMinLen,"UNVAN","TANIMSIZ"))))))</f>
        <v/>
      </c>
    </row>
    <row r="110">
      <c r="A110" s="26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IF($A110="","",IFERROR(INDEX(tblVeriA[Unvan],MATCH($A110,tblAnahtarA[Norm],0)),""))</f>
        <v/>
      </c>
      <c r="E110" s="16">
        <f>IF($A110="","",IFERROR(SUMIF(tblAnahtarB[NormB],$A110,tblVeriB[BelgeAdet]),0))</f>
        <v/>
      </c>
      <c r="F110" s="16">
        <f>IF($A110="","",IFERROR(INDEX(tblVeriB[FormTipi],MATCH($A110,tblAnahtarB[NormB],0)),""))</f>
        <v/>
      </c>
      <c r="G110" s="16">
        <f>IF($A110="","",IFERROR(INDEX(tblVeriA[Donem],MATCH($A110,tblAnahtarA[Norm],0)),""))</f>
        <v/>
      </c>
      <c r="H110" s="16">
        <f>IF(OR($A110="",$B110&lt;&gt;"tutar_farki"),"",IF($E110=0,"BELGE_EKSIK",IF($C110&lt;=toleransKurus*cbb_yuvarlamaCarpan,"YUVARLAMA",IF(AND($F110&lt;&gt;"Ba",$F110&lt;&gt;"Bs"),"TIP_KARISIK",IF($C110&gt;cbb_esikFark*cbb_donemCarpan,"DONEM",IF(LEN($D110)&lt;cbb_unvanMinLen,"UNVAN","TANIMSIZ"))))))</f>
        <v/>
      </c>
    </row>
    <row r="111">
      <c r="A111" s="26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IF($A111="","",IFERROR(INDEX(tblVeriA[Unvan],MATCH($A111,tblAnahtarA[Norm],0)),""))</f>
        <v/>
      </c>
      <c r="E111" s="16">
        <f>IF($A111="","",IFERROR(SUMIF(tblAnahtarB[NormB],$A111,tblVeriB[BelgeAdet]),0))</f>
        <v/>
      </c>
      <c r="F111" s="16">
        <f>IF($A111="","",IFERROR(INDEX(tblVeriB[FormTipi],MATCH($A111,tblAnahtarB[NormB],0)),""))</f>
        <v/>
      </c>
      <c r="G111" s="16">
        <f>IF($A111="","",IFERROR(INDEX(tblVeriA[Donem],MATCH($A111,tblAnahtarA[Norm],0)),""))</f>
        <v/>
      </c>
      <c r="H111" s="16">
        <f>IF(OR($A111="",$B111&lt;&gt;"tutar_farki"),"",IF($E111=0,"BELGE_EKSIK",IF($C111&lt;=toleransKurus*cbb_yuvarlamaCarpan,"YUVARLAMA",IF(AND($F111&lt;&gt;"Ba",$F111&lt;&gt;"Bs"),"TIP_KARISIK",IF($C111&gt;cbb_esikFark*cbb_donemCarpan,"DONEM",IF(LEN($D111)&lt;cbb_unvanMinLen,"UNVAN","TANIMSIZ"))))))</f>
        <v/>
      </c>
    </row>
    <row r="112">
      <c r="A112" s="26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IF($A112="","",IFERROR(INDEX(tblVeriA[Unvan],MATCH($A112,tblAnahtarA[Norm],0)),""))</f>
        <v/>
      </c>
      <c r="E112" s="16">
        <f>IF($A112="","",IFERROR(SUMIF(tblAnahtarB[NormB],$A112,tblVeriB[BelgeAdet]),0))</f>
        <v/>
      </c>
      <c r="F112" s="16">
        <f>IF($A112="","",IFERROR(INDEX(tblVeriB[FormTipi],MATCH($A112,tblAnahtarB[NormB],0)),""))</f>
        <v/>
      </c>
      <c r="G112" s="16">
        <f>IF($A112="","",IFERROR(INDEX(tblVeriA[Donem],MATCH($A112,tblAnahtarA[Norm],0)),""))</f>
        <v/>
      </c>
      <c r="H112" s="16">
        <f>IF(OR($A112="",$B112&lt;&gt;"tutar_farki"),"",IF($E112=0,"BELGE_EKSIK",IF($C112&lt;=toleransKurus*cbb_yuvarlamaCarpan,"YUVARLAMA",IF(AND($F112&lt;&gt;"Ba",$F112&lt;&gt;"Bs"),"TIP_KARISIK",IF($C112&gt;cbb_esikFark*cbb_donemCarpan,"DONEM",IF(LEN($D112)&lt;cbb_unvanMinLen,"UNVAN","TANIMSIZ"))))))</f>
        <v/>
      </c>
    </row>
    <row r="113">
      <c r="A113" s="26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IF($A113="","",IFERROR(INDEX(tblVeriA[Unvan],MATCH($A113,tblAnahtarA[Norm],0)),""))</f>
        <v/>
      </c>
      <c r="E113" s="16">
        <f>IF($A113="","",IFERROR(SUMIF(tblAnahtarB[NormB],$A113,tblVeriB[BelgeAdet]),0))</f>
        <v/>
      </c>
      <c r="F113" s="16">
        <f>IF($A113="","",IFERROR(INDEX(tblVeriB[FormTipi],MATCH($A113,tblAnahtarB[NormB],0)),""))</f>
        <v/>
      </c>
      <c r="G113" s="16">
        <f>IF($A113="","",IFERROR(INDEX(tblVeriA[Donem],MATCH($A113,tblAnahtarA[Norm],0)),""))</f>
        <v/>
      </c>
      <c r="H113" s="16">
        <f>IF(OR($A113="",$B113&lt;&gt;"tutar_farki"),"",IF($E113=0,"BELGE_EKSIK",IF($C113&lt;=toleransKurus*cbb_yuvarlamaCarpan,"YUVARLAMA",IF(AND($F113&lt;&gt;"Ba",$F113&lt;&gt;"Bs"),"TIP_KARISIK",IF($C113&gt;cbb_esikFark*cbb_donemCarpan,"DONEM",IF(LEN($D113)&lt;cbb_unvanMinLen,"UNVAN","TANIMSIZ"))))))</f>
        <v/>
      </c>
    </row>
    <row r="114">
      <c r="A114" s="26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IF($A114="","",IFERROR(INDEX(tblVeriA[Unvan],MATCH($A114,tblAnahtarA[Norm],0)),""))</f>
        <v/>
      </c>
      <c r="E114" s="16">
        <f>IF($A114="","",IFERROR(SUMIF(tblAnahtarB[NormB],$A114,tblVeriB[BelgeAdet]),0))</f>
        <v/>
      </c>
      <c r="F114" s="16">
        <f>IF($A114="","",IFERROR(INDEX(tblVeriB[FormTipi],MATCH($A114,tblAnahtarB[NormB],0)),""))</f>
        <v/>
      </c>
      <c r="G114" s="16">
        <f>IF($A114="","",IFERROR(INDEX(tblVeriA[Donem],MATCH($A114,tblAnahtarA[Norm],0)),""))</f>
        <v/>
      </c>
      <c r="H114" s="16">
        <f>IF(OR($A114="",$B114&lt;&gt;"tutar_farki"),"",IF($E114=0,"BELGE_EKSIK",IF($C114&lt;=toleransKurus*cbb_yuvarlamaCarpan,"YUVARLAMA",IF(AND($F114&lt;&gt;"Ba",$F114&lt;&gt;"Bs"),"TIP_KARISIK",IF($C114&gt;cbb_esikFark*cbb_donemCarpan,"DONEM",IF(LEN($D114)&lt;cbb_unvanMinLen,"UNVAN","TANIMSIZ"))))))</f>
        <v/>
      </c>
    </row>
    <row r="115">
      <c r="A115" s="26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IF($A115="","",IFERROR(INDEX(tblVeriA[Unvan],MATCH($A115,tblAnahtarA[Norm],0)),""))</f>
        <v/>
      </c>
      <c r="E115" s="16">
        <f>IF($A115="","",IFERROR(SUMIF(tblAnahtarB[NormB],$A115,tblVeriB[BelgeAdet]),0))</f>
        <v/>
      </c>
      <c r="F115" s="16">
        <f>IF($A115="","",IFERROR(INDEX(tblVeriB[FormTipi],MATCH($A115,tblAnahtarB[NormB],0)),""))</f>
        <v/>
      </c>
      <c r="G115" s="16">
        <f>IF($A115="","",IFERROR(INDEX(tblVeriA[Donem],MATCH($A115,tblAnahtarA[Norm],0)),""))</f>
        <v/>
      </c>
      <c r="H115" s="16">
        <f>IF(OR($A115="",$B115&lt;&gt;"tutar_farki"),"",IF($E115=0,"BELGE_EKSIK",IF($C115&lt;=toleransKurus*cbb_yuvarlamaCarpan,"YUVARLAMA",IF(AND($F115&lt;&gt;"Ba",$F115&lt;&gt;"Bs"),"TIP_KARISIK",IF($C115&gt;cbb_esikFark*cbb_donemCarpan,"DONEM",IF(LEN($D115)&lt;cbb_unvanMinLen,"UNVAN","TANIMSIZ"))))))</f>
        <v/>
      </c>
    </row>
    <row r="116">
      <c r="A116" s="26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IF($A116="","",IFERROR(INDEX(tblVeriA[Unvan],MATCH($A116,tblAnahtarA[Norm],0)),""))</f>
        <v/>
      </c>
      <c r="E116" s="16">
        <f>IF($A116="","",IFERROR(SUMIF(tblAnahtarB[NormB],$A116,tblVeriB[BelgeAdet]),0))</f>
        <v/>
      </c>
      <c r="F116" s="16">
        <f>IF($A116="","",IFERROR(INDEX(tblVeriB[FormTipi],MATCH($A116,tblAnahtarB[NormB],0)),""))</f>
        <v/>
      </c>
      <c r="G116" s="16">
        <f>IF($A116="","",IFERROR(INDEX(tblVeriA[Donem],MATCH($A116,tblAnahtarA[Norm],0)),""))</f>
        <v/>
      </c>
      <c r="H116" s="16">
        <f>IF(OR($A116="",$B116&lt;&gt;"tutar_farki"),"",IF($E116=0,"BELGE_EKSIK",IF($C116&lt;=toleransKurus*cbb_yuvarlamaCarpan,"YUVARLAMA",IF(AND($F116&lt;&gt;"Ba",$F116&lt;&gt;"Bs"),"TIP_KARISIK",IF($C116&gt;cbb_esikFark*cbb_donemCarpan,"DONEM",IF(LEN($D116)&lt;cbb_unvanMinLen,"UNVAN","TANIMSIZ"))))))</f>
        <v/>
      </c>
    </row>
    <row r="117">
      <c r="A117" s="26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IF($A117="","",IFERROR(INDEX(tblVeriA[Unvan],MATCH($A117,tblAnahtarA[Norm],0)),""))</f>
        <v/>
      </c>
      <c r="E117" s="16">
        <f>IF($A117="","",IFERROR(SUMIF(tblAnahtarB[NormB],$A117,tblVeriB[BelgeAdet]),0))</f>
        <v/>
      </c>
      <c r="F117" s="16">
        <f>IF($A117="","",IFERROR(INDEX(tblVeriB[FormTipi],MATCH($A117,tblAnahtarB[NormB],0)),""))</f>
        <v/>
      </c>
      <c r="G117" s="16">
        <f>IF($A117="","",IFERROR(INDEX(tblVeriA[Donem],MATCH($A117,tblAnahtarA[Norm],0)),""))</f>
        <v/>
      </c>
      <c r="H117" s="16">
        <f>IF(OR($A117="",$B117&lt;&gt;"tutar_farki"),"",IF($E117=0,"BELGE_EKSIK",IF($C117&lt;=toleransKurus*cbb_yuvarlamaCarpan,"YUVARLAMA",IF(AND($F117&lt;&gt;"Ba",$F117&lt;&gt;"Bs"),"TIP_KARISIK",IF($C117&gt;cbb_esikFark*cbb_donemCarpan,"DONEM",IF(LEN($D117)&lt;cbb_unvanMinLen,"UNVAN","TANIMSIZ"))))))</f>
        <v/>
      </c>
    </row>
    <row r="118">
      <c r="A118" s="26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IF($A118="","",IFERROR(INDEX(tblVeriA[Unvan],MATCH($A118,tblAnahtarA[Norm],0)),""))</f>
        <v/>
      </c>
      <c r="E118" s="16">
        <f>IF($A118="","",IFERROR(SUMIF(tblAnahtarB[NormB],$A118,tblVeriB[BelgeAdet]),0))</f>
        <v/>
      </c>
      <c r="F118" s="16">
        <f>IF($A118="","",IFERROR(INDEX(tblVeriB[FormTipi],MATCH($A118,tblAnahtarB[NormB],0)),""))</f>
        <v/>
      </c>
      <c r="G118" s="16">
        <f>IF($A118="","",IFERROR(INDEX(tblVeriA[Donem],MATCH($A118,tblAnahtarA[Norm],0)),""))</f>
        <v/>
      </c>
      <c r="H118" s="16">
        <f>IF(OR($A118="",$B118&lt;&gt;"tutar_farki"),"",IF($E118=0,"BELGE_EKSIK",IF($C118&lt;=toleransKurus*cbb_yuvarlamaCarpan,"YUVARLAMA",IF(AND($F118&lt;&gt;"Ba",$F118&lt;&gt;"Bs"),"TIP_KARISIK",IF($C118&gt;cbb_esikFark*cbb_donemCarpan,"DONEM",IF(LEN($D118)&lt;cbb_unvanMinLen,"UNVAN","TANIMSIZ"))))))</f>
        <v/>
      </c>
    </row>
    <row r="119">
      <c r="A119" s="26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IF($A119="","",IFERROR(INDEX(tblVeriA[Unvan],MATCH($A119,tblAnahtarA[Norm],0)),""))</f>
        <v/>
      </c>
      <c r="E119" s="16">
        <f>IF($A119="","",IFERROR(SUMIF(tblAnahtarB[NormB],$A119,tblVeriB[BelgeAdet]),0))</f>
        <v/>
      </c>
      <c r="F119" s="16">
        <f>IF($A119="","",IFERROR(INDEX(tblVeriB[FormTipi],MATCH($A119,tblAnahtarB[NormB],0)),""))</f>
        <v/>
      </c>
      <c r="G119" s="16">
        <f>IF($A119="","",IFERROR(INDEX(tblVeriA[Donem],MATCH($A119,tblAnahtarA[Norm],0)),""))</f>
        <v/>
      </c>
      <c r="H119" s="16">
        <f>IF(OR($A119="",$B119&lt;&gt;"tutar_farki"),"",IF($E119=0,"BELGE_EKSIK",IF($C119&lt;=toleransKurus*cbb_yuvarlamaCarpan,"YUVARLAMA",IF(AND($F119&lt;&gt;"Ba",$F119&lt;&gt;"Bs"),"TIP_KARISIK",IF($C119&gt;cbb_esikFark*cbb_donemCarpan,"DONEM",IF(LEN($D119)&lt;cbb_unvanMinLen,"UNVAN","TANIMSIZ"))))))</f>
        <v/>
      </c>
    </row>
    <row r="120">
      <c r="A120" s="26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IF($A120="","",IFERROR(INDEX(tblVeriA[Unvan],MATCH($A120,tblAnahtarA[Norm],0)),""))</f>
        <v/>
      </c>
      <c r="E120" s="16">
        <f>IF($A120="","",IFERROR(SUMIF(tblAnahtarB[NormB],$A120,tblVeriB[BelgeAdet]),0))</f>
        <v/>
      </c>
      <c r="F120" s="16">
        <f>IF($A120="","",IFERROR(INDEX(tblVeriB[FormTipi],MATCH($A120,tblAnahtarB[NormB],0)),""))</f>
        <v/>
      </c>
      <c r="G120" s="16">
        <f>IF($A120="","",IFERROR(INDEX(tblVeriA[Donem],MATCH($A120,tblAnahtarA[Norm],0)),""))</f>
        <v/>
      </c>
      <c r="H120" s="16">
        <f>IF(OR($A120="",$B120&lt;&gt;"tutar_farki"),"",IF($E120=0,"BELGE_EKSIK",IF($C120&lt;=toleransKurus*cbb_yuvarlamaCarpan,"YUVARLAMA",IF(AND($F120&lt;&gt;"Ba",$F120&lt;&gt;"Bs"),"TIP_KARISIK",IF($C120&gt;cbb_esikFark*cbb_donemCarpan,"DONEM",IF(LEN($D120)&lt;cbb_unvanMinLen,"UNVAN","TANIMSIZ"))))))</f>
        <v/>
      </c>
    </row>
    <row r="121">
      <c r="A121" s="26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IF($A121="","",IFERROR(INDEX(tblVeriA[Unvan],MATCH($A121,tblAnahtarA[Norm],0)),""))</f>
        <v/>
      </c>
      <c r="E121" s="16">
        <f>IF($A121="","",IFERROR(SUMIF(tblAnahtarB[NormB],$A121,tblVeriB[BelgeAdet]),0))</f>
        <v/>
      </c>
      <c r="F121" s="16">
        <f>IF($A121="","",IFERROR(INDEX(tblVeriB[FormTipi],MATCH($A121,tblAnahtarB[NormB],0)),""))</f>
        <v/>
      </c>
      <c r="G121" s="16">
        <f>IF($A121="","",IFERROR(INDEX(tblVeriA[Donem],MATCH($A121,tblAnahtarA[Norm],0)),""))</f>
        <v/>
      </c>
      <c r="H121" s="16">
        <f>IF(OR($A121="",$B121&lt;&gt;"tutar_farki"),"",IF($E121=0,"BELGE_EKSIK",IF($C121&lt;=toleransKurus*cbb_yuvarlamaCarpan,"YUVARLAMA",IF(AND($F121&lt;&gt;"Ba",$F121&lt;&gt;"Bs"),"TIP_KARISIK",IF($C121&gt;cbb_esikFark*cbb_donemCarpan,"DONEM",IF(LEN($D121)&lt;cbb_unvanMinLen,"UNVAN","TANIMSIZ"))))))</f>
        <v/>
      </c>
    </row>
    <row r="122">
      <c r="A122" s="26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IF($A122="","",IFERROR(INDEX(tblVeriA[Unvan],MATCH($A122,tblAnahtarA[Norm],0)),""))</f>
        <v/>
      </c>
      <c r="E122" s="16">
        <f>IF($A122="","",IFERROR(SUMIF(tblAnahtarB[NormB],$A122,tblVeriB[BelgeAdet]),0))</f>
        <v/>
      </c>
      <c r="F122" s="16">
        <f>IF($A122="","",IFERROR(INDEX(tblVeriB[FormTipi],MATCH($A122,tblAnahtarB[NormB],0)),""))</f>
        <v/>
      </c>
      <c r="G122" s="16">
        <f>IF($A122="","",IFERROR(INDEX(tblVeriA[Donem],MATCH($A122,tblAnahtarA[Norm],0)),""))</f>
        <v/>
      </c>
      <c r="H122" s="16">
        <f>IF(OR($A122="",$B122&lt;&gt;"tutar_farki"),"",IF($E122=0,"BELGE_EKSIK",IF($C122&lt;=toleransKurus*cbb_yuvarlamaCarpan,"YUVARLAMA",IF(AND($F122&lt;&gt;"Ba",$F122&lt;&gt;"Bs"),"TIP_KARISIK",IF($C122&gt;cbb_esikFark*cbb_donemCarpan,"DONEM",IF(LEN($D122)&lt;cbb_unvanMinLen,"UNVAN","TANIMSIZ"))))))</f>
        <v/>
      </c>
    </row>
    <row r="123">
      <c r="A123" s="26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IF($A123="","",IFERROR(INDEX(tblVeriA[Unvan],MATCH($A123,tblAnahtarA[Norm],0)),""))</f>
        <v/>
      </c>
      <c r="E123" s="16">
        <f>IF($A123="","",IFERROR(SUMIF(tblAnahtarB[NormB],$A123,tblVeriB[BelgeAdet]),0))</f>
        <v/>
      </c>
      <c r="F123" s="16">
        <f>IF($A123="","",IFERROR(INDEX(tblVeriB[FormTipi],MATCH($A123,tblAnahtarB[NormB],0)),""))</f>
        <v/>
      </c>
      <c r="G123" s="16">
        <f>IF($A123="","",IFERROR(INDEX(tblVeriA[Donem],MATCH($A123,tblAnahtarA[Norm],0)),""))</f>
        <v/>
      </c>
      <c r="H123" s="16">
        <f>IF(OR($A123="",$B123&lt;&gt;"tutar_farki"),"",IF($E123=0,"BELGE_EKSIK",IF($C123&lt;=toleransKurus*cbb_yuvarlamaCarpan,"YUVARLAMA",IF(AND($F123&lt;&gt;"Ba",$F123&lt;&gt;"Bs"),"TIP_KARISIK",IF($C123&gt;cbb_esikFark*cbb_donemCarpan,"DONEM",IF(LEN($D123)&lt;cbb_unvanMinLen,"UNVAN","TANIMSIZ"))))))</f>
        <v/>
      </c>
    </row>
    <row r="124">
      <c r="A124" s="26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IF($A124="","",IFERROR(INDEX(tblVeriA[Unvan],MATCH($A124,tblAnahtarA[Norm],0)),""))</f>
        <v/>
      </c>
      <c r="E124" s="16">
        <f>IF($A124="","",IFERROR(SUMIF(tblAnahtarB[NormB],$A124,tblVeriB[BelgeAdet]),0))</f>
        <v/>
      </c>
      <c r="F124" s="16">
        <f>IF($A124="","",IFERROR(INDEX(tblVeriB[FormTipi],MATCH($A124,tblAnahtarB[NormB],0)),""))</f>
        <v/>
      </c>
      <c r="G124" s="16">
        <f>IF($A124="","",IFERROR(INDEX(tblVeriA[Donem],MATCH($A124,tblAnahtarA[Norm],0)),""))</f>
        <v/>
      </c>
      <c r="H124" s="16">
        <f>IF(OR($A124="",$B124&lt;&gt;"tutar_farki"),"",IF($E124=0,"BELGE_EKSIK",IF($C124&lt;=toleransKurus*cbb_yuvarlamaCarpan,"YUVARLAMA",IF(AND($F124&lt;&gt;"Ba",$F124&lt;&gt;"Bs"),"TIP_KARISIK",IF($C124&gt;cbb_esikFark*cbb_donemCarpan,"DONEM",IF(LEN($D124)&lt;cbb_unvanMinLen,"UNVAN","TANIMSIZ"))))))</f>
        <v/>
      </c>
    </row>
    <row r="125">
      <c r="A125" s="26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IF($A125="","",IFERROR(INDEX(tblVeriA[Unvan],MATCH($A125,tblAnahtarA[Norm],0)),""))</f>
        <v/>
      </c>
      <c r="E125" s="16">
        <f>IF($A125="","",IFERROR(SUMIF(tblAnahtarB[NormB],$A125,tblVeriB[BelgeAdet]),0))</f>
        <v/>
      </c>
      <c r="F125" s="16">
        <f>IF($A125="","",IFERROR(INDEX(tblVeriB[FormTipi],MATCH($A125,tblAnahtarB[NormB],0)),""))</f>
        <v/>
      </c>
      <c r="G125" s="16">
        <f>IF($A125="","",IFERROR(INDEX(tblVeriA[Donem],MATCH($A125,tblAnahtarA[Norm],0)),""))</f>
        <v/>
      </c>
      <c r="H125" s="16">
        <f>IF(OR($A125="",$B125&lt;&gt;"tutar_farki"),"",IF($E125=0,"BELGE_EKSIK",IF($C125&lt;=toleransKurus*cbb_yuvarlamaCarpan,"YUVARLAMA",IF(AND($F125&lt;&gt;"Ba",$F125&lt;&gt;"Bs"),"TIP_KARISIK",IF($C125&gt;cbb_esikFark*cbb_donemCarpan,"DONEM",IF(LEN($D125)&lt;cbb_unvanMinLen,"UNVAN","TANIMSIZ"))))))</f>
        <v/>
      </c>
    </row>
    <row r="126">
      <c r="A126" s="26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IF($A126="","",IFERROR(INDEX(tblVeriA[Unvan],MATCH($A126,tblAnahtarA[Norm],0)),""))</f>
        <v/>
      </c>
      <c r="E126" s="16">
        <f>IF($A126="","",IFERROR(SUMIF(tblAnahtarB[NormB],$A126,tblVeriB[BelgeAdet]),0))</f>
        <v/>
      </c>
      <c r="F126" s="16">
        <f>IF($A126="","",IFERROR(INDEX(tblVeriB[FormTipi],MATCH($A126,tblAnahtarB[NormB],0)),""))</f>
        <v/>
      </c>
      <c r="G126" s="16">
        <f>IF($A126="","",IFERROR(INDEX(tblVeriA[Donem],MATCH($A126,tblAnahtarA[Norm],0)),""))</f>
        <v/>
      </c>
      <c r="H126" s="16">
        <f>IF(OR($A126="",$B126&lt;&gt;"tutar_farki"),"",IF($E126=0,"BELGE_EKSIK",IF($C126&lt;=toleransKurus*cbb_yuvarlamaCarpan,"YUVARLAMA",IF(AND($F126&lt;&gt;"Ba",$F126&lt;&gt;"Bs"),"TIP_KARISIK",IF($C126&gt;cbb_esikFark*cbb_donemCarpan,"DONEM",IF(LEN($D126)&lt;cbb_unvanMinLen,"UNVAN","TANIMSIZ"))))))</f>
        <v/>
      </c>
    </row>
    <row r="127">
      <c r="A127" s="26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IF($A127="","",IFERROR(INDEX(tblVeriA[Unvan],MATCH($A127,tblAnahtarA[Norm],0)),""))</f>
        <v/>
      </c>
      <c r="E127" s="16">
        <f>IF($A127="","",IFERROR(SUMIF(tblAnahtarB[NormB],$A127,tblVeriB[BelgeAdet]),0))</f>
        <v/>
      </c>
      <c r="F127" s="16">
        <f>IF($A127="","",IFERROR(INDEX(tblVeriB[FormTipi],MATCH($A127,tblAnahtarB[NormB],0)),""))</f>
        <v/>
      </c>
      <c r="G127" s="16">
        <f>IF($A127="","",IFERROR(INDEX(tblVeriA[Donem],MATCH($A127,tblAnahtarA[Norm],0)),""))</f>
        <v/>
      </c>
      <c r="H127" s="16">
        <f>IF(OR($A127="",$B127&lt;&gt;"tutar_farki"),"",IF($E127=0,"BELGE_EKSIK",IF($C127&lt;=toleransKurus*cbb_yuvarlamaCarpan,"YUVARLAMA",IF(AND($F127&lt;&gt;"Ba",$F127&lt;&gt;"Bs"),"TIP_KARISIK",IF($C127&gt;cbb_esikFark*cbb_donemCarpan,"DONEM",IF(LEN($D127)&lt;cbb_unvanMinLen,"UNVAN","TANIMSIZ"))))))</f>
        <v/>
      </c>
    </row>
    <row r="128">
      <c r="A128" s="26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IF($A128="","",IFERROR(INDEX(tblVeriA[Unvan],MATCH($A128,tblAnahtarA[Norm],0)),""))</f>
        <v/>
      </c>
      <c r="E128" s="16">
        <f>IF($A128="","",IFERROR(SUMIF(tblAnahtarB[NormB],$A128,tblVeriB[BelgeAdet]),0))</f>
        <v/>
      </c>
      <c r="F128" s="16">
        <f>IF($A128="","",IFERROR(INDEX(tblVeriB[FormTipi],MATCH($A128,tblAnahtarB[NormB],0)),""))</f>
        <v/>
      </c>
      <c r="G128" s="16">
        <f>IF($A128="","",IFERROR(INDEX(tblVeriA[Donem],MATCH($A128,tblAnahtarA[Norm],0)),""))</f>
        <v/>
      </c>
      <c r="H128" s="16">
        <f>IF(OR($A128="",$B128&lt;&gt;"tutar_farki"),"",IF($E128=0,"BELGE_EKSIK",IF($C128&lt;=toleransKurus*cbb_yuvarlamaCarpan,"YUVARLAMA",IF(AND($F128&lt;&gt;"Ba",$F128&lt;&gt;"Bs"),"TIP_KARISIK",IF($C128&gt;cbb_esikFark*cbb_donemCarpan,"DONEM",IF(LEN($D128)&lt;cbb_unvanMinLen,"UNVAN","TANIMSIZ"))))))</f>
        <v/>
      </c>
    </row>
    <row r="129">
      <c r="A129" s="26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IF($A129="","",IFERROR(INDEX(tblVeriA[Unvan],MATCH($A129,tblAnahtarA[Norm],0)),""))</f>
        <v/>
      </c>
      <c r="E129" s="16">
        <f>IF($A129="","",IFERROR(SUMIF(tblAnahtarB[NormB],$A129,tblVeriB[BelgeAdet]),0))</f>
        <v/>
      </c>
      <c r="F129" s="16">
        <f>IF($A129="","",IFERROR(INDEX(tblVeriB[FormTipi],MATCH($A129,tblAnahtarB[NormB],0)),""))</f>
        <v/>
      </c>
      <c r="G129" s="16">
        <f>IF($A129="","",IFERROR(INDEX(tblVeriA[Donem],MATCH($A129,tblAnahtarA[Norm],0)),""))</f>
        <v/>
      </c>
      <c r="H129" s="16">
        <f>IF(OR($A129="",$B129&lt;&gt;"tutar_farki"),"",IF($E129=0,"BELGE_EKSIK",IF($C129&lt;=toleransKurus*cbb_yuvarlamaCarpan,"YUVARLAMA",IF(AND($F129&lt;&gt;"Ba",$F129&lt;&gt;"Bs"),"TIP_KARISIK",IF($C129&gt;cbb_esikFark*cbb_donemCarpan,"DONEM",IF(LEN($D129)&lt;cbb_unvanMinLen,"UNVAN","TANIMSIZ"))))))</f>
        <v/>
      </c>
    </row>
    <row r="130">
      <c r="A130" s="26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IF($A130="","",IFERROR(INDEX(tblVeriA[Unvan],MATCH($A130,tblAnahtarA[Norm],0)),""))</f>
        <v/>
      </c>
      <c r="E130" s="16">
        <f>IF($A130="","",IFERROR(SUMIF(tblAnahtarB[NormB],$A130,tblVeriB[BelgeAdet]),0))</f>
        <v/>
      </c>
      <c r="F130" s="16">
        <f>IF($A130="","",IFERROR(INDEX(tblVeriB[FormTipi],MATCH($A130,tblAnahtarB[NormB],0)),""))</f>
        <v/>
      </c>
      <c r="G130" s="16">
        <f>IF($A130="","",IFERROR(INDEX(tblVeriA[Donem],MATCH($A130,tblAnahtarA[Norm],0)),""))</f>
        <v/>
      </c>
      <c r="H130" s="16">
        <f>IF(OR($A130="",$B130&lt;&gt;"tutar_farki"),"",IF($E130=0,"BELGE_EKSIK",IF($C130&lt;=toleransKurus*cbb_yuvarlamaCarpan,"YUVARLAMA",IF(AND($F130&lt;&gt;"Ba",$F130&lt;&gt;"Bs"),"TIP_KARISIK",IF($C130&gt;cbb_esikFark*cbb_donemCarpan,"DONEM",IF(LEN($D130)&lt;cbb_unvanMinLen,"UNVAN","TANIMSIZ"))))))</f>
        <v/>
      </c>
    </row>
    <row r="131">
      <c r="A131" s="26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IF($A131="","",IFERROR(INDEX(tblVeriA[Unvan],MATCH($A131,tblAnahtarA[Norm],0)),""))</f>
        <v/>
      </c>
      <c r="E131" s="16">
        <f>IF($A131="","",IFERROR(SUMIF(tblAnahtarB[NormB],$A131,tblVeriB[BelgeAdet]),0))</f>
        <v/>
      </c>
      <c r="F131" s="16">
        <f>IF($A131="","",IFERROR(INDEX(tblVeriB[FormTipi],MATCH($A131,tblAnahtarB[NormB],0)),""))</f>
        <v/>
      </c>
      <c r="G131" s="16">
        <f>IF($A131="","",IFERROR(INDEX(tblVeriA[Donem],MATCH($A131,tblAnahtarA[Norm],0)),""))</f>
        <v/>
      </c>
      <c r="H131" s="16">
        <f>IF(OR($A131="",$B131&lt;&gt;"tutar_farki"),"",IF($E131=0,"BELGE_EKSIK",IF($C131&lt;=toleransKurus*cbb_yuvarlamaCarpan,"YUVARLAMA",IF(AND($F131&lt;&gt;"Ba",$F131&lt;&gt;"Bs"),"TIP_KARISIK",IF($C131&gt;cbb_esikFark*cbb_donemCarpan,"DONEM",IF(LEN($D131)&lt;cbb_unvanMinLen,"UNVAN","TANIMSIZ"))))))</f>
        <v/>
      </c>
    </row>
    <row r="132">
      <c r="A132" s="26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IF($A132="","",IFERROR(INDEX(tblVeriA[Unvan],MATCH($A132,tblAnahtarA[Norm],0)),""))</f>
        <v/>
      </c>
      <c r="E132" s="16">
        <f>IF($A132="","",IFERROR(SUMIF(tblAnahtarB[NormB],$A132,tblVeriB[BelgeAdet]),0))</f>
        <v/>
      </c>
      <c r="F132" s="16">
        <f>IF($A132="","",IFERROR(INDEX(tblVeriB[FormTipi],MATCH($A132,tblAnahtarB[NormB],0)),""))</f>
        <v/>
      </c>
      <c r="G132" s="16">
        <f>IF($A132="","",IFERROR(INDEX(tblVeriA[Donem],MATCH($A132,tblAnahtarA[Norm],0)),""))</f>
        <v/>
      </c>
      <c r="H132" s="16">
        <f>IF(OR($A132="",$B132&lt;&gt;"tutar_farki"),"",IF($E132=0,"BELGE_EKSIK",IF($C132&lt;=toleransKurus*cbb_yuvarlamaCarpan,"YUVARLAMA",IF(AND($F132&lt;&gt;"Ba",$F132&lt;&gt;"Bs"),"TIP_KARISIK",IF($C132&gt;cbb_esikFark*cbb_donemCarpan,"DONEM",IF(LEN($D132)&lt;cbb_unvanMinLen,"UNVAN","TANIMSIZ"))))))</f>
        <v/>
      </c>
    </row>
    <row r="133">
      <c r="A133" s="26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IF($A133="","",IFERROR(INDEX(tblVeriA[Unvan],MATCH($A133,tblAnahtarA[Norm],0)),""))</f>
        <v/>
      </c>
      <c r="E133" s="16">
        <f>IF($A133="","",IFERROR(SUMIF(tblAnahtarB[NormB],$A133,tblVeriB[BelgeAdet]),0))</f>
        <v/>
      </c>
      <c r="F133" s="16">
        <f>IF($A133="","",IFERROR(INDEX(tblVeriB[FormTipi],MATCH($A133,tblAnahtarB[NormB],0)),""))</f>
        <v/>
      </c>
      <c r="G133" s="16">
        <f>IF($A133="","",IFERROR(INDEX(tblVeriA[Donem],MATCH($A133,tblAnahtarA[Norm],0)),""))</f>
        <v/>
      </c>
      <c r="H133" s="16">
        <f>IF(OR($A133="",$B133&lt;&gt;"tutar_farki"),"",IF($E133=0,"BELGE_EKSIK",IF($C133&lt;=toleransKurus*cbb_yuvarlamaCarpan,"YUVARLAMA",IF(AND($F133&lt;&gt;"Ba",$F133&lt;&gt;"Bs"),"TIP_KARISIK",IF($C133&gt;cbb_esikFark*cbb_donemCarpan,"DONEM",IF(LEN($D133)&lt;cbb_unvanMinLen,"UNVAN","TANIMSIZ"))))))</f>
        <v/>
      </c>
    </row>
    <row r="134">
      <c r="A134" s="26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IF($A134="","",IFERROR(INDEX(tblVeriA[Unvan],MATCH($A134,tblAnahtarA[Norm],0)),""))</f>
        <v/>
      </c>
      <c r="E134" s="16">
        <f>IF($A134="","",IFERROR(SUMIF(tblAnahtarB[NormB],$A134,tblVeriB[BelgeAdet]),0))</f>
        <v/>
      </c>
      <c r="F134" s="16">
        <f>IF($A134="","",IFERROR(INDEX(tblVeriB[FormTipi],MATCH($A134,tblAnahtarB[NormB],0)),""))</f>
        <v/>
      </c>
      <c r="G134" s="16">
        <f>IF($A134="","",IFERROR(INDEX(tblVeriA[Donem],MATCH($A134,tblAnahtarA[Norm],0)),""))</f>
        <v/>
      </c>
      <c r="H134" s="16">
        <f>IF(OR($A134="",$B134&lt;&gt;"tutar_farki"),"",IF($E134=0,"BELGE_EKSIK",IF($C134&lt;=toleransKurus*cbb_yuvarlamaCarpan,"YUVARLAMA",IF(AND($F134&lt;&gt;"Ba",$F134&lt;&gt;"Bs"),"TIP_KARISIK",IF($C134&gt;cbb_esikFark*cbb_donemCarpan,"DONEM",IF(LEN($D134)&lt;cbb_unvanMinLen,"UNVAN","TANIMSIZ"))))))</f>
        <v/>
      </c>
    </row>
    <row r="135">
      <c r="A135" s="26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IF($A135="","",IFERROR(INDEX(tblVeriA[Unvan],MATCH($A135,tblAnahtarA[Norm],0)),""))</f>
        <v/>
      </c>
      <c r="E135" s="16">
        <f>IF($A135="","",IFERROR(SUMIF(tblAnahtarB[NormB],$A135,tblVeriB[BelgeAdet]),0))</f>
        <v/>
      </c>
      <c r="F135" s="16">
        <f>IF($A135="","",IFERROR(INDEX(tblVeriB[FormTipi],MATCH($A135,tblAnahtarB[NormB],0)),""))</f>
        <v/>
      </c>
      <c r="G135" s="16">
        <f>IF($A135="","",IFERROR(INDEX(tblVeriA[Donem],MATCH($A135,tblAnahtarA[Norm],0)),""))</f>
        <v/>
      </c>
      <c r="H135" s="16">
        <f>IF(OR($A135="",$B135&lt;&gt;"tutar_farki"),"",IF($E135=0,"BELGE_EKSIK",IF($C135&lt;=toleransKurus*cbb_yuvarlamaCarpan,"YUVARLAMA",IF(AND($F135&lt;&gt;"Ba",$F135&lt;&gt;"Bs"),"TIP_KARISIK",IF($C135&gt;cbb_esikFark*cbb_donemCarpan,"DONEM",IF(LEN($D135)&lt;cbb_unvanMinLen,"UNVAN","TANIMSIZ"))))))</f>
        <v/>
      </c>
    </row>
    <row r="136">
      <c r="A136" s="26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IF($A136="","",IFERROR(INDEX(tblVeriA[Unvan],MATCH($A136,tblAnahtarA[Norm],0)),""))</f>
        <v/>
      </c>
      <c r="E136" s="16">
        <f>IF($A136="","",IFERROR(SUMIF(tblAnahtarB[NormB],$A136,tblVeriB[BelgeAdet]),0))</f>
        <v/>
      </c>
      <c r="F136" s="16">
        <f>IF($A136="","",IFERROR(INDEX(tblVeriB[FormTipi],MATCH($A136,tblAnahtarB[NormB],0)),""))</f>
        <v/>
      </c>
      <c r="G136" s="16">
        <f>IF($A136="","",IFERROR(INDEX(tblVeriA[Donem],MATCH($A136,tblAnahtarA[Norm],0)),""))</f>
        <v/>
      </c>
      <c r="H136" s="16">
        <f>IF(OR($A136="",$B136&lt;&gt;"tutar_farki"),"",IF($E136=0,"BELGE_EKSIK",IF($C136&lt;=toleransKurus*cbb_yuvarlamaCarpan,"YUVARLAMA",IF(AND($F136&lt;&gt;"Ba",$F136&lt;&gt;"Bs"),"TIP_KARISIK",IF($C136&gt;cbb_esikFark*cbb_donemCarpan,"DONEM",IF(LEN($D136)&lt;cbb_unvanMinLen,"UNVAN","TANIMSIZ"))))))</f>
        <v/>
      </c>
    </row>
    <row r="137">
      <c r="A137" s="26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IF($A137="","",IFERROR(INDEX(tblVeriA[Unvan],MATCH($A137,tblAnahtarA[Norm],0)),""))</f>
        <v/>
      </c>
      <c r="E137" s="16">
        <f>IF($A137="","",IFERROR(SUMIF(tblAnahtarB[NormB],$A137,tblVeriB[BelgeAdet]),0))</f>
        <v/>
      </c>
      <c r="F137" s="16">
        <f>IF($A137="","",IFERROR(INDEX(tblVeriB[FormTipi],MATCH($A137,tblAnahtarB[NormB],0)),""))</f>
        <v/>
      </c>
      <c r="G137" s="16">
        <f>IF($A137="","",IFERROR(INDEX(tblVeriA[Donem],MATCH($A137,tblAnahtarA[Norm],0)),""))</f>
        <v/>
      </c>
      <c r="H137" s="16">
        <f>IF(OR($A137="",$B137&lt;&gt;"tutar_farki"),"",IF($E137=0,"BELGE_EKSIK",IF($C137&lt;=toleransKurus*cbb_yuvarlamaCarpan,"YUVARLAMA",IF(AND($F137&lt;&gt;"Ba",$F137&lt;&gt;"Bs"),"TIP_KARISIK",IF($C137&gt;cbb_esikFark*cbb_donemCarpan,"DONEM",IF(LEN($D137)&lt;cbb_unvanMinLen,"UNVAN","TANIMSIZ"))))))</f>
        <v/>
      </c>
    </row>
    <row r="138">
      <c r="A138" s="26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IF($A138="","",IFERROR(INDEX(tblVeriA[Unvan],MATCH($A138,tblAnahtarA[Norm],0)),""))</f>
        <v/>
      </c>
      <c r="E138" s="16">
        <f>IF($A138="","",IFERROR(SUMIF(tblAnahtarB[NormB],$A138,tblVeriB[BelgeAdet]),0))</f>
        <v/>
      </c>
      <c r="F138" s="16">
        <f>IF($A138="","",IFERROR(INDEX(tblVeriB[FormTipi],MATCH($A138,tblAnahtarB[NormB],0)),""))</f>
        <v/>
      </c>
      <c r="G138" s="16">
        <f>IF($A138="","",IFERROR(INDEX(tblVeriA[Donem],MATCH($A138,tblAnahtarA[Norm],0)),""))</f>
        <v/>
      </c>
      <c r="H138" s="16">
        <f>IF(OR($A138="",$B138&lt;&gt;"tutar_farki"),"",IF($E138=0,"BELGE_EKSIK",IF($C138&lt;=toleransKurus*cbb_yuvarlamaCarpan,"YUVARLAMA",IF(AND($F138&lt;&gt;"Ba",$F138&lt;&gt;"Bs"),"TIP_KARISIK",IF($C138&gt;cbb_esikFark*cbb_donemCarpan,"DONEM",IF(LEN($D138)&lt;cbb_unvanMinLen,"UNVAN","TANIMSIZ"))))))</f>
        <v/>
      </c>
    </row>
    <row r="139">
      <c r="A139" s="26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IF($A139="","",IFERROR(INDEX(tblVeriA[Unvan],MATCH($A139,tblAnahtarA[Norm],0)),""))</f>
        <v/>
      </c>
      <c r="E139" s="16">
        <f>IF($A139="","",IFERROR(SUMIF(tblAnahtarB[NormB],$A139,tblVeriB[BelgeAdet]),0))</f>
        <v/>
      </c>
      <c r="F139" s="16">
        <f>IF($A139="","",IFERROR(INDEX(tblVeriB[FormTipi],MATCH($A139,tblAnahtarB[NormB],0)),""))</f>
        <v/>
      </c>
      <c r="G139" s="16">
        <f>IF($A139="","",IFERROR(INDEX(tblVeriA[Donem],MATCH($A139,tblAnahtarA[Norm],0)),""))</f>
        <v/>
      </c>
      <c r="H139" s="16">
        <f>IF(OR($A139="",$B139&lt;&gt;"tutar_farki"),"",IF($E139=0,"BELGE_EKSIK",IF($C139&lt;=toleransKurus*cbb_yuvarlamaCarpan,"YUVARLAMA",IF(AND($F139&lt;&gt;"Ba",$F139&lt;&gt;"Bs"),"TIP_KARISIK",IF($C139&gt;cbb_esikFark*cbb_donemCarpan,"DONEM",IF(LEN($D139)&lt;cbb_unvanMinLen,"UNVAN","TANIMSIZ"))))))</f>
        <v/>
      </c>
    </row>
    <row r="140">
      <c r="A140" s="26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IF($A140="","",IFERROR(INDEX(tblVeriA[Unvan],MATCH($A140,tblAnahtarA[Norm],0)),""))</f>
        <v/>
      </c>
      <c r="E140" s="16">
        <f>IF($A140="","",IFERROR(SUMIF(tblAnahtarB[NormB],$A140,tblVeriB[BelgeAdet]),0))</f>
        <v/>
      </c>
      <c r="F140" s="16">
        <f>IF($A140="","",IFERROR(INDEX(tblVeriB[FormTipi],MATCH($A140,tblAnahtarB[NormB],0)),""))</f>
        <v/>
      </c>
      <c r="G140" s="16">
        <f>IF($A140="","",IFERROR(INDEX(tblVeriA[Donem],MATCH($A140,tblAnahtarA[Norm],0)),""))</f>
        <v/>
      </c>
      <c r="H140" s="16">
        <f>IF(OR($A140="",$B140&lt;&gt;"tutar_farki"),"",IF($E140=0,"BELGE_EKSIK",IF($C140&lt;=toleransKurus*cbb_yuvarlamaCarpan,"YUVARLAMA",IF(AND($F140&lt;&gt;"Ba",$F140&lt;&gt;"Bs"),"TIP_KARISIK",IF($C140&gt;cbb_esikFark*cbb_donemCarpan,"DONEM",IF(LEN($D140)&lt;cbb_unvanMinLen,"UNVAN","TANIMSIZ"))))))</f>
        <v/>
      </c>
    </row>
    <row r="141">
      <c r="A141" s="26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IF($A141="","",IFERROR(INDEX(tblVeriA[Unvan],MATCH($A141,tblAnahtarA[Norm],0)),""))</f>
        <v/>
      </c>
      <c r="E141" s="16">
        <f>IF($A141="","",IFERROR(SUMIF(tblAnahtarB[NormB],$A141,tblVeriB[BelgeAdet]),0))</f>
        <v/>
      </c>
      <c r="F141" s="16">
        <f>IF($A141="","",IFERROR(INDEX(tblVeriB[FormTipi],MATCH($A141,tblAnahtarB[NormB],0)),""))</f>
        <v/>
      </c>
      <c r="G141" s="16">
        <f>IF($A141="","",IFERROR(INDEX(tblVeriA[Donem],MATCH($A141,tblAnahtarA[Norm],0)),""))</f>
        <v/>
      </c>
      <c r="H141" s="16">
        <f>IF(OR($A141="",$B141&lt;&gt;"tutar_farki"),"",IF($E141=0,"BELGE_EKSIK",IF($C141&lt;=toleransKurus*cbb_yuvarlamaCarpan,"YUVARLAMA",IF(AND($F141&lt;&gt;"Ba",$F141&lt;&gt;"Bs"),"TIP_KARISIK",IF($C141&gt;cbb_esikFark*cbb_donemCarpan,"DONEM",IF(LEN($D141)&lt;cbb_unvanMinLen,"UNVAN","TANIMSIZ"))))))</f>
        <v/>
      </c>
    </row>
    <row r="142">
      <c r="A142" s="26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IF($A142="","",IFERROR(INDEX(tblVeriA[Unvan],MATCH($A142,tblAnahtarA[Norm],0)),""))</f>
        <v/>
      </c>
      <c r="E142" s="16">
        <f>IF($A142="","",IFERROR(SUMIF(tblAnahtarB[NormB],$A142,tblVeriB[BelgeAdet]),0))</f>
        <v/>
      </c>
      <c r="F142" s="16">
        <f>IF($A142="","",IFERROR(INDEX(tblVeriB[FormTipi],MATCH($A142,tblAnahtarB[NormB],0)),""))</f>
        <v/>
      </c>
      <c r="G142" s="16">
        <f>IF($A142="","",IFERROR(INDEX(tblVeriA[Donem],MATCH($A142,tblAnahtarA[Norm],0)),""))</f>
        <v/>
      </c>
      <c r="H142" s="16">
        <f>IF(OR($A142="",$B142&lt;&gt;"tutar_farki"),"",IF($E142=0,"BELGE_EKSIK",IF($C142&lt;=toleransKurus*cbb_yuvarlamaCarpan,"YUVARLAMA",IF(AND($F142&lt;&gt;"Ba",$F142&lt;&gt;"Bs"),"TIP_KARISIK",IF($C142&gt;cbb_esikFark*cbb_donemCarpan,"DONEM",IF(LEN($D142)&lt;cbb_unvanMinLen,"UNVAN","TANIMSIZ"))))))</f>
        <v/>
      </c>
    </row>
    <row r="143">
      <c r="A143" s="26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IF($A143="","",IFERROR(INDEX(tblVeriA[Unvan],MATCH($A143,tblAnahtarA[Norm],0)),""))</f>
        <v/>
      </c>
      <c r="E143" s="16">
        <f>IF($A143="","",IFERROR(SUMIF(tblAnahtarB[NormB],$A143,tblVeriB[BelgeAdet]),0))</f>
        <v/>
      </c>
      <c r="F143" s="16">
        <f>IF($A143="","",IFERROR(INDEX(tblVeriB[FormTipi],MATCH($A143,tblAnahtarB[NormB],0)),""))</f>
        <v/>
      </c>
      <c r="G143" s="16">
        <f>IF($A143="","",IFERROR(INDEX(tblVeriA[Donem],MATCH($A143,tblAnahtarA[Norm],0)),""))</f>
        <v/>
      </c>
      <c r="H143" s="16">
        <f>IF(OR($A143="",$B143&lt;&gt;"tutar_farki"),"",IF($E143=0,"BELGE_EKSIK",IF($C143&lt;=toleransKurus*cbb_yuvarlamaCarpan,"YUVARLAMA",IF(AND($F143&lt;&gt;"Ba",$F143&lt;&gt;"Bs"),"TIP_KARISIK",IF($C143&gt;cbb_esikFark*cbb_donemCarpan,"DONEM",IF(LEN($D143)&lt;cbb_unvanMinLen,"UNVAN","TANIMSIZ"))))))</f>
        <v/>
      </c>
    </row>
    <row r="144">
      <c r="A144" s="26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IF($A144="","",IFERROR(INDEX(tblVeriA[Unvan],MATCH($A144,tblAnahtarA[Norm],0)),""))</f>
        <v/>
      </c>
      <c r="E144" s="16">
        <f>IF($A144="","",IFERROR(SUMIF(tblAnahtarB[NormB],$A144,tblVeriB[BelgeAdet]),0))</f>
        <v/>
      </c>
      <c r="F144" s="16">
        <f>IF($A144="","",IFERROR(INDEX(tblVeriB[FormTipi],MATCH($A144,tblAnahtarB[NormB],0)),""))</f>
        <v/>
      </c>
      <c r="G144" s="16">
        <f>IF($A144="","",IFERROR(INDEX(tblVeriA[Donem],MATCH($A144,tblAnahtarA[Norm],0)),""))</f>
        <v/>
      </c>
      <c r="H144" s="16">
        <f>IF(OR($A144="",$B144&lt;&gt;"tutar_farki"),"",IF($E144=0,"BELGE_EKSIK",IF($C144&lt;=toleransKurus*cbb_yuvarlamaCarpan,"YUVARLAMA",IF(AND($F144&lt;&gt;"Ba",$F144&lt;&gt;"Bs"),"TIP_KARISIK",IF($C144&gt;cbb_esikFark*cbb_donemCarpan,"DONEM",IF(LEN($D144)&lt;cbb_unvanMinLen,"UNVAN","TANIMSIZ"))))))</f>
        <v/>
      </c>
    </row>
    <row r="145">
      <c r="A145" s="26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IF($A145="","",IFERROR(INDEX(tblVeriA[Unvan],MATCH($A145,tblAnahtarA[Norm],0)),""))</f>
        <v/>
      </c>
      <c r="E145" s="16">
        <f>IF($A145="","",IFERROR(SUMIF(tblAnahtarB[NormB],$A145,tblVeriB[BelgeAdet]),0))</f>
        <v/>
      </c>
      <c r="F145" s="16">
        <f>IF($A145="","",IFERROR(INDEX(tblVeriB[FormTipi],MATCH($A145,tblAnahtarB[NormB],0)),""))</f>
        <v/>
      </c>
      <c r="G145" s="16">
        <f>IF($A145="","",IFERROR(INDEX(tblVeriA[Donem],MATCH($A145,tblAnahtarA[Norm],0)),""))</f>
        <v/>
      </c>
      <c r="H145" s="16">
        <f>IF(OR($A145="",$B145&lt;&gt;"tutar_farki"),"",IF($E145=0,"BELGE_EKSIK",IF($C145&lt;=toleransKurus*cbb_yuvarlamaCarpan,"YUVARLAMA",IF(AND($F145&lt;&gt;"Ba",$F145&lt;&gt;"Bs"),"TIP_KARISIK",IF($C145&gt;cbb_esikFark*cbb_donemCarpan,"DONEM",IF(LEN($D145)&lt;cbb_unvanMinLen,"UNVAN","TANIMSIZ"))))))</f>
        <v/>
      </c>
    </row>
    <row r="146">
      <c r="A146" s="26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IF($A146="","",IFERROR(INDEX(tblVeriA[Unvan],MATCH($A146,tblAnahtarA[Norm],0)),""))</f>
        <v/>
      </c>
      <c r="E146" s="16">
        <f>IF($A146="","",IFERROR(SUMIF(tblAnahtarB[NormB],$A146,tblVeriB[BelgeAdet]),0))</f>
        <v/>
      </c>
      <c r="F146" s="16">
        <f>IF($A146="","",IFERROR(INDEX(tblVeriB[FormTipi],MATCH($A146,tblAnahtarB[NormB],0)),""))</f>
        <v/>
      </c>
      <c r="G146" s="16">
        <f>IF($A146="","",IFERROR(INDEX(tblVeriA[Donem],MATCH($A146,tblAnahtarA[Norm],0)),""))</f>
        <v/>
      </c>
      <c r="H146" s="16">
        <f>IF(OR($A146="",$B146&lt;&gt;"tutar_farki"),"",IF($E146=0,"BELGE_EKSIK",IF($C146&lt;=toleransKurus*cbb_yuvarlamaCarpan,"YUVARLAMA",IF(AND($F146&lt;&gt;"Ba",$F146&lt;&gt;"Bs"),"TIP_KARISIK",IF($C146&gt;cbb_esikFark*cbb_donemCarpan,"DONEM",IF(LEN($D146)&lt;cbb_unvanMinLen,"UNVAN","TANIMSIZ"))))))</f>
        <v/>
      </c>
    </row>
    <row r="147">
      <c r="A147" s="26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IF($A147="","",IFERROR(INDEX(tblVeriA[Unvan],MATCH($A147,tblAnahtarA[Norm],0)),""))</f>
        <v/>
      </c>
      <c r="E147" s="16">
        <f>IF($A147="","",IFERROR(SUMIF(tblAnahtarB[NormB],$A147,tblVeriB[BelgeAdet]),0))</f>
        <v/>
      </c>
      <c r="F147" s="16">
        <f>IF($A147="","",IFERROR(INDEX(tblVeriB[FormTipi],MATCH($A147,tblAnahtarB[NormB],0)),""))</f>
        <v/>
      </c>
      <c r="G147" s="16">
        <f>IF($A147="","",IFERROR(INDEX(tblVeriA[Donem],MATCH($A147,tblAnahtarA[Norm],0)),""))</f>
        <v/>
      </c>
      <c r="H147" s="16">
        <f>IF(OR($A147="",$B147&lt;&gt;"tutar_farki"),"",IF($E147=0,"BELGE_EKSIK",IF($C147&lt;=toleransKurus*cbb_yuvarlamaCarpan,"YUVARLAMA",IF(AND($F147&lt;&gt;"Ba",$F147&lt;&gt;"Bs"),"TIP_KARISIK",IF($C147&gt;cbb_esikFark*cbb_donemCarpan,"DONEM",IF(LEN($D147)&lt;cbb_unvanMinLen,"UNVAN","TANIMSIZ"))))))</f>
        <v/>
      </c>
    </row>
    <row r="148">
      <c r="A148" s="26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IF($A148="","",IFERROR(INDEX(tblVeriA[Unvan],MATCH($A148,tblAnahtarA[Norm],0)),""))</f>
        <v/>
      </c>
      <c r="E148" s="16">
        <f>IF($A148="","",IFERROR(SUMIF(tblAnahtarB[NormB],$A148,tblVeriB[BelgeAdet]),0))</f>
        <v/>
      </c>
      <c r="F148" s="16">
        <f>IF($A148="","",IFERROR(INDEX(tblVeriB[FormTipi],MATCH($A148,tblAnahtarB[NormB],0)),""))</f>
        <v/>
      </c>
      <c r="G148" s="16">
        <f>IF($A148="","",IFERROR(INDEX(tblVeriA[Donem],MATCH($A148,tblAnahtarA[Norm],0)),""))</f>
        <v/>
      </c>
      <c r="H148" s="16">
        <f>IF(OR($A148="",$B148&lt;&gt;"tutar_farki"),"",IF($E148=0,"BELGE_EKSIK",IF($C148&lt;=toleransKurus*cbb_yuvarlamaCarpan,"YUVARLAMA",IF(AND($F148&lt;&gt;"Ba",$F148&lt;&gt;"Bs"),"TIP_KARISIK",IF($C148&gt;cbb_esikFark*cbb_donemCarpan,"DONEM",IF(LEN($D148)&lt;cbb_unvanMinLen,"UNVAN","TANIMSIZ"))))))</f>
        <v/>
      </c>
    </row>
    <row r="149">
      <c r="A149" s="26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IF($A149="","",IFERROR(INDEX(tblVeriA[Unvan],MATCH($A149,tblAnahtarA[Norm],0)),""))</f>
        <v/>
      </c>
      <c r="E149" s="16">
        <f>IF($A149="","",IFERROR(SUMIF(tblAnahtarB[NormB],$A149,tblVeriB[BelgeAdet]),0))</f>
        <v/>
      </c>
      <c r="F149" s="16">
        <f>IF($A149="","",IFERROR(INDEX(tblVeriB[FormTipi],MATCH($A149,tblAnahtarB[NormB],0)),""))</f>
        <v/>
      </c>
      <c r="G149" s="16">
        <f>IF($A149="","",IFERROR(INDEX(tblVeriA[Donem],MATCH($A149,tblAnahtarA[Norm],0)),""))</f>
        <v/>
      </c>
      <c r="H149" s="16">
        <f>IF(OR($A149="",$B149&lt;&gt;"tutar_farki"),"",IF($E149=0,"BELGE_EKSIK",IF($C149&lt;=toleransKurus*cbb_yuvarlamaCarpan,"YUVARLAMA",IF(AND($F149&lt;&gt;"Ba",$F149&lt;&gt;"Bs"),"TIP_KARISIK",IF($C149&gt;cbb_esikFark*cbb_donemCarpan,"DONEM",IF(LEN($D149)&lt;cbb_unvanMinLen,"UNVAN","TANIMSIZ"))))))</f>
        <v/>
      </c>
    </row>
    <row r="150">
      <c r="A150" s="26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IF($A150="","",IFERROR(INDEX(tblVeriA[Unvan],MATCH($A150,tblAnahtarA[Norm],0)),""))</f>
        <v/>
      </c>
      <c r="E150" s="16">
        <f>IF($A150="","",IFERROR(SUMIF(tblAnahtarB[NormB],$A150,tblVeriB[BelgeAdet]),0))</f>
        <v/>
      </c>
      <c r="F150" s="16">
        <f>IF($A150="","",IFERROR(INDEX(tblVeriB[FormTipi],MATCH($A150,tblAnahtarB[NormB],0)),""))</f>
        <v/>
      </c>
      <c r="G150" s="16">
        <f>IF($A150="","",IFERROR(INDEX(tblVeriA[Donem],MATCH($A150,tblAnahtarA[Norm],0)),""))</f>
        <v/>
      </c>
      <c r="H150" s="16">
        <f>IF(OR($A150="",$B150&lt;&gt;"tutar_farki"),"",IF($E150=0,"BELGE_EKSIK",IF($C150&lt;=toleransKurus*cbb_yuvarlamaCarpan,"YUVARLAMA",IF(AND($F150&lt;&gt;"Ba",$F150&lt;&gt;"Bs"),"TIP_KARISIK",IF($C150&gt;cbb_esikFark*cbb_donemCarpan,"DONEM",IF(LEN($D150)&lt;cbb_unvanMinLen,"UNVAN","TANIMSIZ"))))))</f>
        <v/>
      </c>
    </row>
    <row r="151">
      <c r="A151" s="26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IF($A151="","",IFERROR(INDEX(tblVeriA[Unvan],MATCH($A151,tblAnahtarA[Norm],0)),""))</f>
        <v/>
      </c>
      <c r="E151" s="16">
        <f>IF($A151="","",IFERROR(SUMIF(tblAnahtarB[NormB],$A151,tblVeriB[BelgeAdet]),0))</f>
        <v/>
      </c>
      <c r="F151" s="16">
        <f>IF($A151="","",IFERROR(INDEX(tblVeriB[FormTipi],MATCH($A151,tblAnahtarB[NormB],0)),""))</f>
        <v/>
      </c>
      <c r="G151" s="16">
        <f>IF($A151="","",IFERROR(INDEX(tblVeriA[Donem],MATCH($A151,tblAnahtarA[Norm],0)),""))</f>
        <v/>
      </c>
      <c r="H151" s="16">
        <f>IF(OR($A151="",$B151&lt;&gt;"tutar_farki"),"",IF($E151=0,"BELGE_EKSIK",IF($C151&lt;=toleransKurus*cbb_yuvarlamaCarpan,"YUVARLAMA",IF(AND($F151&lt;&gt;"Ba",$F151&lt;&gt;"Bs"),"TIP_KARISIK",IF($C151&gt;cbb_esikFark*cbb_donemCarpan,"DONEM",IF(LEN($D151)&lt;cbb_unvanMinLen,"UNVAN","TANIMSIZ"))))))</f>
        <v/>
      </c>
    </row>
    <row r="152">
      <c r="A152" s="26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IF($A152="","",IFERROR(INDEX(tblVeriA[Unvan],MATCH($A152,tblAnahtarA[Norm],0)),""))</f>
        <v/>
      </c>
      <c r="E152" s="16">
        <f>IF($A152="","",IFERROR(SUMIF(tblAnahtarB[NormB],$A152,tblVeriB[BelgeAdet]),0))</f>
        <v/>
      </c>
      <c r="F152" s="16">
        <f>IF($A152="","",IFERROR(INDEX(tblVeriB[FormTipi],MATCH($A152,tblAnahtarB[NormB],0)),""))</f>
        <v/>
      </c>
      <c r="G152" s="16">
        <f>IF($A152="","",IFERROR(INDEX(tblVeriA[Donem],MATCH($A152,tblAnahtarA[Norm],0)),""))</f>
        <v/>
      </c>
      <c r="H152" s="16">
        <f>IF(OR($A152="",$B152&lt;&gt;"tutar_farki"),"",IF($E152=0,"BELGE_EKSIK",IF($C152&lt;=toleransKurus*cbb_yuvarlamaCarpan,"YUVARLAMA",IF(AND($F152&lt;&gt;"Ba",$F152&lt;&gt;"Bs"),"TIP_KARISIK",IF($C152&gt;cbb_esikFark*cbb_donemCarpan,"DONEM",IF(LEN($D152)&lt;cbb_unvanMinLen,"UNVAN","TANIMSIZ"))))))</f>
        <v/>
      </c>
    </row>
    <row r="153">
      <c r="A153" s="26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IF($A153="","",IFERROR(INDEX(tblVeriA[Unvan],MATCH($A153,tblAnahtarA[Norm],0)),""))</f>
        <v/>
      </c>
      <c r="E153" s="16">
        <f>IF($A153="","",IFERROR(SUMIF(tblAnahtarB[NormB],$A153,tblVeriB[BelgeAdet]),0))</f>
        <v/>
      </c>
      <c r="F153" s="16">
        <f>IF($A153="","",IFERROR(INDEX(tblVeriB[FormTipi],MATCH($A153,tblAnahtarB[NormB],0)),""))</f>
        <v/>
      </c>
      <c r="G153" s="16">
        <f>IF($A153="","",IFERROR(INDEX(tblVeriA[Donem],MATCH($A153,tblAnahtarA[Norm],0)),""))</f>
        <v/>
      </c>
      <c r="H153" s="16">
        <f>IF(OR($A153="",$B153&lt;&gt;"tutar_farki"),"",IF($E153=0,"BELGE_EKSIK",IF($C153&lt;=toleransKurus*cbb_yuvarlamaCarpan,"YUVARLAMA",IF(AND($F153&lt;&gt;"Ba",$F153&lt;&gt;"Bs"),"TIP_KARISIK",IF($C153&gt;cbb_esikFark*cbb_donemCarpan,"DONEM",IF(LEN($D153)&lt;cbb_unvanMinLen,"UNVAN","TANIMSIZ"))))))</f>
        <v/>
      </c>
    </row>
    <row r="154">
      <c r="A154" s="26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IF($A154="","",IFERROR(INDEX(tblVeriA[Unvan],MATCH($A154,tblAnahtarA[Norm],0)),""))</f>
        <v/>
      </c>
      <c r="E154" s="16">
        <f>IF($A154="","",IFERROR(SUMIF(tblAnahtarB[NormB],$A154,tblVeriB[BelgeAdet]),0))</f>
        <v/>
      </c>
      <c r="F154" s="16">
        <f>IF($A154="","",IFERROR(INDEX(tblVeriB[FormTipi],MATCH($A154,tblAnahtarB[NormB],0)),""))</f>
        <v/>
      </c>
      <c r="G154" s="16">
        <f>IF($A154="","",IFERROR(INDEX(tblVeriA[Donem],MATCH($A154,tblAnahtarA[Norm],0)),""))</f>
        <v/>
      </c>
      <c r="H154" s="16">
        <f>IF(OR($A154="",$B154&lt;&gt;"tutar_farki"),"",IF($E154=0,"BELGE_EKSIK",IF($C154&lt;=toleransKurus*cbb_yuvarlamaCarpan,"YUVARLAMA",IF(AND($F154&lt;&gt;"Ba",$F154&lt;&gt;"Bs"),"TIP_KARISIK",IF($C154&gt;cbb_esikFark*cbb_donemCarpan,"DONEM",IF(LEN($D154)&lt;cbb_unvanMinLen,"UNVAN","TANIMSIZ"))))))</f>
        <v/>
      </c>
    </row>
    <row r="155">
      <c r="A155" s="26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IF($A155="","",IFERROR(INDEX(tblVeriA[Unvan],MATCH($A155,tblAnahtarA[Norm],0)),""))</f>
        <v/>
      </c>
      <c r="E155" s="16">
        <f>IF($A155="","",IFERROR(SUMIF(tblAnahtarB[NormB],$A155,tblVeriB[BelgeAdet]),0))</f>
        <v/>
      </c>
      <c r="F155" s="16">
        <f>IF($A155="","",IFERROR(INDEX(tblVeriB[FormTipi],MATCH($A155,tblAnahtarB[NormB],0)),""))</f>
        <v/>
      </c>
      <c r="G155" s="16">
        <f>IF($A155="","",IFERROR(INDEX(tblVeriA[Donem],MATCH($A155,tblAnahtarA[Norm],0)),""))</f>
        <v/>
      </c>
      <c r="H155" s="16">
        <f>IF(OR($A155="",$B155&lt;&gt;"tutar_farki"),"",IF($E155=0,"BELGE_EKSIK",IF($C155&lt;=toleransKurus*cbb_yuvarlamaCarpan,"YUVARLAMA",IF(AND($F155&lt;&gt;"Ba",$F155&lt;&gt;"Bs"),"TIP_KARISIK",IF($C155&gt;cbb_esikFark*cbb_donemCarpan,"DONEM",IF(LEN($D155)&lt;cbb_unvanMinLen,"UNVAN","TANIMSIZ"))))))</f>
        <v/>
      </c>
    </row>
    <row r="156">
      <c r="A156" s="26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IF($A156="","",IFERROR(INDEX(tblVeriA[Unvan],MATCH($A156,tblAnahtarA[Norm],0)),""))</f>
        <v/>
      </c>
      <c r="E156" s="16">
        <f>IF($A156="","",IFERROR(SUMIF(tblAnahtarB[NormB],$A156,tblVeriB[BelgeAdet]),0))</f>
        <v/>
      </c>
      <c r="F156" s="16">
        <f>IF($A156="","",IFERROR(INDEX(tblVeriB[FormTipi],MATCH($A156,tblAnahtarB[NormB],0)),""))</f>
        <v/>
      </c>
      <c r="G156" s="16">
        <f>IF($A156="","",IFERROR(INDEX(tblVeriA[Donem],MATCH($A156,tblAnahtarA[Norm],0)),""))</f>
        <v/>
      </c>
      <c r="H156" s="16">
        <f>IF(OR($A156="",$B156&lt;&gt;"tutar_farki"),"",IF($E156=0,"BELGE_EKSIK",IF($C156&lt;=toleransKurus*cbb_yuvarlamaCarpan,"YUVARLAMA",IF(AND($F156&lt;&gt;"Ba",$F156&lt;&gt;"Bs"),"TIP_KARISIK",IF($C156&gt;cbb_esikFark*cbb_donemCarpan,"DONEM",IF(LEN($D156)&lt;cbb_unvanMinLen,"UNVAN","TANIMSIZ"))))))</f>
        <v/>
      </c>
    </row>
    <row r="157">
      <c r="A157" s="26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IF($A157="","",IFERROR(INDEX(tblVeriA[Unvan],MATCH($A157,tblAnahtarA[Norm],0)),""))</f>
        <v/>
      </c>
      <c r="E157" s="16">
        <f>IF($A157="","",IFERROR(SUMIF(tblAnahtarB[NormB],$A157,tblVeriB[BelgeAdet]),0))</f>
        <v/>
      </c>
      <c r="F157" s="16">
        <f>IF($A157="","",IFERROR(INDEX(tblVeriB[FormTipi],MATCH($A157,tblAnahtarB[NormB],0)),""))</f>
        <v/>
      </c>
      <c r="G157" s="16">
        <f>IF($A157="","",IFERROR(INDEX(tblVeriA[Donem],MATCH($A157,tblAnahtarA[Norm],0)),""))</f>
        <v/>
      </c>
      <c r="H157" s="16">
        <f>IF(OR($A157="",$B157&lt;&gt;"tutar_farki"),"",IF($E157=0,"BELGE_EKSIK",IF($C157&lt;=toleransKurus*cbb_yuvarlamaCarpan,"YUVARLAMA",IF(AND($F157&lt;&gt;"Ba",$F157&lt;&gt;"Bs"),"TIP_KARISIK",IF($C157&gt;cbb_esikFark*cbb_donemCarpan,"DONEM",IF(LEN($D157)&lt;cbb_unvanMinLen,"UNVAN","TANIMSIZ"))))))</f>
        <v/>
      </c>
    </row>
    <row r="158">
      <c r="A158" s="26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IF($A158="","",IFERROR(INDEX(tblVeriA[Unvan],MATCH($A158,tblAnahtarA[Norm],0)),""))</f>
        <v/>
      </c>
      <c r="E158" s="16">
        <f>IF($A158="","",IFERROR(SUMIF(tblAnahtarB[NormB],$A158,tblVeriB[BelgeAdet]),0))</f>
        <v/>
      </c>
      <c r="F158" s="16">
        <f>IF($A158="","",IFERROR(INDEX(tblVeriB[FormTipi],MATCH($A158,tblAnahtarB[NormB],0)),""))</f>
        <v/>
      </c>
      <c r="G158" s="16">
        <f>IF($A158="","",IFERROR(INDEX(tblVeriA[Donem],MATCH($A158,tblAnahtarA[Norm],0)),""))</f>
        <v/>
      </c>
      <c r="H158" s="16">
        <f>IF(OR($A158="",$B158&lt;&gt;"tutar_farki"),"",IF($E158=0,"BELGE_EKSIK",IF($C158&lt;=toleransKurus*cbb_yuvarlamaCarpan,"YUVARLAMA",IF(AND($F158&lt;&gt;"Ba",$F158&lt;&gt;"Bs"),"TIP_KARISIK",IF($C158&gt;cbb_esikFark*cbb_donemCarpan,"DONEM",IF(LEN($D158)&lt;cbb_unvanMinLen,"UNVAN","TANIMSIZ"))))))</f>
        <v/>
      </c>
    </row>
    <row r="159">
      <c r="A159" s="26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IF($A159="","",IFERROR(INDEX(tblVeriA[Unvan],MATCH($A159,tblAnahtarA[Norm],0)),""))</f>
        <v/>
      </c>
      <c r="E159" s="16">
        <f>IF($A159="","",IFERROR(SUMIF(tblAnahtarB[NormB],$A159,tblVeriB[BelgeAdet]),0))</f>
        <v/>
      </c>
      <c r="F159" s="16">
        <f>IF($A159="","",IFERROR(INDEX(tblVeriB[FormTipi],MATCH($A159,tblAnahtarB[NormB],0)),""))</f>
        <v/>
      </c>
      <c r="G159" s="16">
        <f>IF($A159="","",IFERROR(INDEX(tblVeriA[Donem],MATCH($A159,tblAnahtarA[Norm],0)),""))</f>
        <v/>
      </c>
      <c r="H159" s="16">
        <f>IF(OR($A159="",$B159&lt;&gt;"tutar_farki"),"",IF($E159=0,"BELGE_EKSIK",IF($C159&lt;=toleransKurus*cbb_yuvarlamaCarpan,"YUVARLAMA",IF(AND($F159&lt;&gt;"Ba",$F159&lt;&gt;"Bs"),"TIP_KARISIK",IF($C159&gt;cbb_esikFark*cbb_donemCarpan,"DONEM",IF(LEN($D159)&lt;cbb_unvanMinLen,"UNVAN","TANIMSIZ"))))))</f>
        <v/>
      </c>
    </row>
    <row r="160">
      <c r="A160" s="26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IF($A160="","",IFERROR(INDEX(tblVeriA[Unvan],MATCH($A160,tblAnahtarA[Norm],0)),""))</f>
        <v/>
      </c>
      <c r="E160" s="16">
        <f>IF($A160="","",IFERROR(SUMIF(tblAnahtarB[NormB],$A160,tblVeriB[BelgeAdet]),0))</f>
        <v/>
      </c>
      <c r="F160" s="16">
        <f>IF($A160="","",IFERROR(INDEX(tblVeriB[FormTipi],MATCH($A160,tblAnahtarB[NormB],0)),""))</f>
        <v/>
      </c>
      <c r="G160" s="16">
        <f>IF($A160="","",IFERROR(INDEX(tblVeriA[Donem],MATCH($A160,tblAnahtarA[Norm],0)),""))</f>
        <v/>
      </c>
      <c r="H160" s="16">
        <f>IF(OR($A160="",$B160&lt;&gt;"tutar_farki"),"",IF($E160=0,"BELGE_EKSIK",IF($C160&lt;=toleransKurus*cbb_yuvarlamaCarpan,"YUVARLAMA",IF(AND($F160&lt;&gt;"Ba",$F160&lt;&gt;"Bs"),"TIP_KARISIK",IF($C160&gt;cbb_esikFark*cbb_donemCarpan,"DONEM",IF(LEN($D160)&lt;cbb_unvanMinLen,"UNVAN","TANIMSIZ"))))))</f>
        <v/>
      </c>
    </row>
    <row r="161">
      <c r="A161" s="26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IF($A161="","",IFERROR(INDEX(tblVeriA[Unvan],MATCH($A161,tblAnahtarA[Norm],0)),""))</f>
        <v/>
      </c>
      <c r="E161" s="16">
        <f>IF($A161="","",IFERROR(SUMIF(tblAnahtarB[NormB],$A161,tblVeriB[BelgeAdet]),0))</f>
        <v/>
      </c>
      <c r="F161" s="16">
        <f>IF($A161="","",IFERROR(INDEX(tblVeriB[FormTipi],MATCH($A161,tblAnahtarB[NormB],0)),""))</f>
        <v/>
      </c>
      <c r="G161" s="16">
        <f>IF($A161="","",IFERROR(INDEX(tblVeriA[Donem],MATCH($A161,tblAnahtarA[Norm],0)),""))</f>
        <v/>
      </c>
      <c r="H161" s="16">
        <f>IF(OR($A161="",$B161&lt;&gt;"tutar_farki"),"",IF($E161=0,"BELGE_EKSIK",IF($C161&lt;=toleransKurus*cbb_yuvarlamaCarpan,"YUVARLAMA",IF(AND($F161&lt;&gt;"Ba",$F161&lt;&gt;"Bs"),"TIP_KARISIK",IF($C161&gt;cbb_esikFark*cbb_donemCarpan,"DONEM",IF(LEN($D161)&lt;cbb_unvanMinLen,"UNVAN","TANIMSIZ"))))))</f>
        <v/>
      </c>
    </row>
    <row r="162">
      <c r="A162" s="26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IF($A162="","",IFERROR(INDEX(tblVeriA[Unvan],MATCH($A162,tblAnahtarA[Norm],0)),""))</f>
        <v/>
      </c>
      <c r="E162" s="16">
        <f>IF($A162="","",IFERROR(SUMIF(tblAnahtarB[NormB],$A162,tblVeriB[BelgeAdet]),0))</f>
        <v/>
      </c>
      <c r="F162" s="16">
        <f>IF($A162="","",IFERROR(INDEX(tblVeriB[FormTipi],MATCH($A162,tblAnahtarB[NormB],0)),""))</f>
        <v/>
      </c>
      <c r="G162" s="16">
        <f>IF($A162="","",IFERROR(INDEX(tblVeriA[Donem],MATCH($A162,tblAnahtarA[Norm],0)),""))</f>
        <v/>
      </c>
      <c r="H162" s="16">
        <f>IF(OR($A162="",$B162&lt;&gt;"tutar_farki"),"",IF($E162=0,"BELGE_EKSIK",IF($C162&lt;=toleransKurus*cbb_yuvarlamaCarpan,"YUVARLAMA",IF(AND($F162&lt;&gt;"Ba",$F162&lt;&gt;"Bs"),"TIP_KARISIK",IF($C162&gt;cbb_esikFark*cbb_donemCarpan,"DONEM",IF(LEN($D162)&lt;cbb_unvanMinLen,"UNVAN","TANIMSIZ"))))))</f>
        <v/>
      </c>
    </row>
    <row r="163">
      <c r="A163" s="26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IF($A163="","",IFERROR(INDEX(tblVeriA[Unvan],MATCH($A163,tblAnahtarA[Norm],0)),""))</f>
        <v/>
      </c>
      <c r="E163" s="16">
        <f>IF($A163="","",IFERROR(SUMIF(tblAnahtarB[NormB],$A163,tblVeriB[BelgeAdet]),0))</f>
        <v/>
      </c>
      <c r="F163" s="16">
        <f>IF($A163="","",IFERROR(INDEX(tblVeriB[FormTipi],MATCH($A163,tblAnahtarB[NormB],0)),""))</f>
        <v/>
      </c>
      <c r="G163" s="16">
        <f>IF($A163="","",IFERROR(INDEX(tblVeriA[Donem],MATCH($A163,tblAnahtarA[Norm],0)),""))</f>
        <v/>
      </c>
      <c r="H163" s="16">
        <f>IF(OR($A163="",$B163&lt;&gt;"tutar_farki"),"",IF($E163=0,"BELGE_EKSIK",IF($C163&lt;=toleransKurus*cbb_yuvarlamaCarpan,"YUVARLAMA",IF(AND($F163&lt;&gt;"Ba",$F163&lt;&gt;"Bs"),"TIP_KARISIK",IF($C163&gt;cbb_esikFark*cbb_donemCarpan,"DONEM",IF(LEN($D163)&lt;cbb_unvanMinLen,"UNVAN","TANIMSIZ"))))))</f>
        <v/>
      </c>
    </row>
    <row r="164">
      <c r="A164" s="26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IF($A164="","",IFERROR(INDEX(tblVeriA[Unvan],MATCH($A164,tblAnahtarA[Norm],0)),""))</f>
        <v/>
      </c>
      <c r="E164" s="16">
        <f>IF($A164="","",IFERROR(SUMIF(tblAnahtarB[NormB],$A164,tblVeriB[BelgeAdet]),0))</f>
        <v/>
      </c>
      <c r="F164" s="16">
        <f>IF($A164="","",IFERROR(INDEX(tblVeriB[FormTipi],MATCH($A164,tblAnahtarB[NormB],0)),""))</f>
        <v/>
      </c>
      <c r="G164" s="16">
        <f>IF($A164="","",IFERROR(INDEX(tblVeriA[Donem],MATCH($A164,tblAnahtarA[Norm],0)),""))</f>
        <v/>
      </c>
      <c r="H164" s="16">
        <f>IF(OR($A164="",$B164&lt;&gt;"tutar_farki"),"",IF($E164=0,"BELGE_EKSIK",IF($C164&lt;=toleransKurus*cbb_yuvarlamaCarpan,"YUVARLAMA",IF(AND($F164&lt;&gt;"Ba",$F164&lt;&gt;"Bs"),"TIP_KARISIK",IF($C164&gt;cbb_esikFark*cbb_donemCarpan,"DONEM",IF(LEN($D164)&lt;cbb_unvanMinLen,"UNVAN","TANIMSIZ"))))))</f>
        <v/>
      </c>
    </row>
    <row r="165">
      <c r="A165" s="26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IF($A165="","",IFERROR(INDEX(tblVeriA[Unvan],MATCH($A165,tblAnahtarA[Norm],0)),""))</f>
        <v/>
      </c>
      <c r="E165" s="16">
        <f>IF($A165="","",IFERROR(SUMIF(tblAnahtarB[NormB],$A165,tblVeriB[BelgeAdet]),0))</f>
        <v/>
      </c>
      <c r="F165" s="16">
        <f>IF($A165="","",IFERROR(INDEX(tblVeriB[FormTipi],MATCH($A165,tblAnahtarB[NormB],0)),""))</f>
        <v/>
      </c>
      <c r="G165" s="16">
        <f>IF($A165="","",IFERROR(INDEX(tblVeriA[Donem],MATCH($A165,tblAnahtarA[Norm],0)),""))</f>
        <v/>
      </c>
      <c r="H165" s="16">
        <f>IF(OR($A165="",$B165&lt;&gt;"tutar_farki"),"",IF($E165=0,"BELGE_EKSIK",IF($C165&lt;=toleransKurus*cbb_yuvarlamaCarpan,"YUVARLAMA",IF(AND($F165&lt;&gt;"Ba",$F165&lt;&gt;"Bs"),"TIP_KARISIK",IF($C165&gt;cbb_esikFark*cbb_donemCarpan,"DONEM",IF(LEN($D165)&lt;cbb_unvanMinLen,"UNVAN","TANIMSIZ"))))))</f>
        <v/>
      </c>
    </row>
    <row r="166">
      <c r="A166" s="26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IF($A166="","",IFERROR(INDEX(tblVeriA[Unvan],MATCH($A166,tblAnahtarA[Norm],0)),""))</f>
        <v/>
      </c>
      <c r="E166" s="16">
        <f>IF($A166="","",IFERROR(SUMIF(tblAnahtarB[NormB],$A166,tblVeriB[BelgeAdet]),0))</f>
        <v/>
      </c>
      <c r="F166" s="16">
        <f>IF($A166="","",IFERROR(INDEX(tblVeriB[FormTipi],MATCH($A166,tblAnahtarB[NormB],0)),""))</f>
        <v/>
      </c>
      <c r="G166" s="16">
        <f>IF($A166="","",IFERROR(INDEX(tblVeriA[Donem],MATCH($A166,tblAnahtarA[Norm],0)),""))</f>
        <v/>
      </c>
      <c r="H166" s="16">
        <f>IF(OR($A166="",$B166&lt;&gt;"tutar_farki"),"",IF($E166=0,"BELGE_EKSIK",IF($C166&lt;=toleransKurus*cbb_yuvarlamaCarpan,"YUVARLAMA",IF(AND($F166&lt;&gt;"Ba",$F166&lt;&gt;"Bs"),"TIP_KARISIK",IF($C166&gt;cbb_esikFark*cbb_donemCarpan,"DONEM",IF(LEN($D166)&lt;cbb_unvanMinLen,"UNVAN","TANIMSIZ"))))))</f>
        <v/>
      </c>
    </row>
    <row r="167">
      <c r="A167" s="26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IF($A167="","",IFERROR(INDEX(tblVeriA[Unvan],MATCH($A167,tblAnahtarA[Norm],0)),""))</f>
        <v/>
      </c>
      <c r="E167" s="16">
        <f>IF($A167="","",IFERROR(SUMIF(tblAnahtarB[NormB],$A167,tblVeriB[BelgeAdet]),0))</f>
        <v/>
      </c>
      <c r="F167" s="16">
        <f>IF($A167="","",IFERROR(INDEX(tblVeriB[FormTipi],MATCH($A167,tblAnahtarB[NormB],0)),""))</f>
        <v/>
      </c>
      <c r="G167" s="16">
        <f>IF($A167="","",IFERROR(INDEX(tblVeriA[Donem],MATCH($A167,tblAnahtarA[Norm],0)),""))</f>
        <v/>
      </c>
      <c r="H167" s="16">
        <f>IF(OR($A167="",$B167&lt;&gt;"tutar_farki"),"",IF($E167=0,"BELGE_EKSIK",IF($C167&lt;=toleransKurus*cbb_yuvarlamaCarpan,"YUVARLAMA",IF(AND($F167&lt;&gt;"Ba",$F167&lt;&gt;"Bs"),"TIP_KARISIK",IF($C167&gt;cbb_esikFark*cbb_donemCarpan,"DONEM",IF(LEN($D167)&lt;cbb_unvanMinLen,"UNVAN","TANIMSIZ"))))))</f>
        <v/>
      </c>
    </row>
    <row r="168">
      <c r="A168" s="26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IF($A168="","",IFERROR(INDEX(tblVeriA[Unvan],MATCH($A168,tblAnahtarA[Norm],0)),""))</f>
        <v/>
      </c>
      <c r="E168" s="16">
        <f>IF($A168="","",IFERROR(SUMIF(tblAnahtarB[NormB],$A168,tblVeriB[BelgeAdet]),0))</f>
        <v/>
      </c>
      <c r="F168" s="16">
        <f>IF($A168="","",IFERROR(INDEX(tblVeriB[FormTipi],MATCH($A168,tblAnahtarB[NormB],0)),""))</f>
        <v/>
      </c>
      <c r="G168" s="16">
        <f>IF($A168="","",IFERROR(INDEX(tblVeriA[Donem],MATCH($A168,tblAnahtarA[Norm],0)),""))</f>
        <v/>
      </c>
      <c r="H168" s="16">
        <f>IF(OR($A168="",$B168&lt;&gt;"tutar_farki"),"",IF($E168=0,"BELGE_EKSIK",IF($C168&lt;=toleransKurus*cbb_yuvarlamaCarpan,"YUVARLAMA",IF(AND($F168&lt;&gt;"Ba",$F168&lt;&gt;"Bs"),"TIP_KARISIK",IF($C168&gt;cbb_esikFark*cbb_donemCarpan,"DONEM",IF(LEN($D168)&lt;cbb_unvanMinLen,"UNVAN","TANIMSIZ"))))))</f>
        <v/>
      </c>
    </row>
    <row r="169">
      <c r="A169" s="26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IF($A169="","",IFERROR(INDEX(tblVeriA[Unvan],MATCH($A169,tblAnahtarA[Norm],0)),""))</f>
        <v/>
      </c>
      <c r="E169" s="16">
        <f>IF($A169="","",IFERROR(SUMIF(tblAnahtarB[NormB],$A169,tblVeriB[BelgeAdet]),0))</f>
        <v/>
      </c>
      <c r="F169" s="16">
        <f>IF($A169="","",IFERROR(INDEX(tblVeriB[FormTipi],MATCH($A169,tblAnahtarB[NormB],0)),""))</f>
        <v/>
      </c>
      <c r="G169" s="16">
        <f>IF($A169="","",IFERROR(INDEX(tblVeriA[Donem],MATCH($A169,tblAnahtarA[Norm],0)),""))</f>
        <v/>
      </c>
      <c r="H169" s="16">
        <f>IF(OR($A169="",$B169&lt;&gt;"tutar_farki"),"",IF($E169=0,"BELGE_EKSIK",IF($C169&lt;=toleransKurus*cbb_yuvarlamaCarpan,"YUVARLAMA",IF(AND($F169&lt;&gt;"Ba",$F169&lt;&gt;"Bs"),"TIP_KARISIK",IF($C169&gt;cbb_esikFark*cbb_donemCarpan,"DONEM",IF(LEN($D169)&lt;cbb_unvanMinLen,"UNVAN","TANIMSIZ"))))))</f>
        <v/>
      </c>
    </row>
    <row r="170">
      <c r="A170" s="26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IF($A170="","",IFERROR(INDEX(tblVeriA[Unvan],MATCH($A170,tblAnahtarA[Norm],0)),""))</f>
        <v/>
      </c>
      <c r="E170" s="16">
        <f>IF($A170="","",IFERROR(SUMIF(tblAnahtarB[NormB],$A170,tblVeriB[BelgeAdet]),0))</f>
        <v/>
      </c>
      <c r="F170" s="16">
        <f>IF($A170="","",IFERROR(INDEX(tblVeriB[FormTipi],MATCH($A170,tblAnahtarB[NormB],0)),""))</f>
        <v/>
      </c>
      <c r="G170" s="16">
        <f>IF($A170="","",IFERROR(INDEX(tblVeriA[Donem],MATCH($A170,tblAnahtarA[Norm],0)),""))</f>
        <v/>
      </c>
      <c r="H170" s="16">
        <f>IF(OR($A170="",$B170&lt;&gt;"tutar_farki"),"",IF($E170=0,"BELGE_EKSIK",IF($C170&lt;=toleransKurus*cbb_yuvarlamaCarpan,"YUVARLAMA",IF(AND($F170&lt;&gt;"Ba",$F170&lt;&gt;"Bs"),"TIP_KARISIK",IF($C170&gt;cbb_esikFark*cbb_donemCarpan,"DONEM",IF(LEN($D170)&lt;cbb_unvanMinLen,"UNVAN","TANIMSIZ"))))))</f>
        <v/>
      </c>
    </row>
    <row r="171">
      <c r="A171" s="26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IF($A171="","",IFERROR(INDEX(tblVeriA[Unvan],MATCH($A171,tblAnahtarA[Norm],0)),""))</f>
        <v/>
      </c>
      <c r="E171" s="16">
        <f>IF($A171="","",IFERROR(SUMIF(tblAnahtarB[NormB],$A171,tblVeriB[BelgeAdet]),0))</f>
        <v/>
      </c>
      <c r="F171" s="16">
        <f>IF($A171="","",IFERROR(INDEX(tblVeriB[FormTipi],MATCH($A171,tblAnahtarB[NormB],0)),""))</f>
        <v/>
      </c>
      <c r="G171" s="16">
        <f>IF($A171="","",IFERROR(INDEX(tblVeriA[Donem],MATCH($A171,tblAnahtarA[Norm],0)),""))</f>
        <v/>
      </c>
      <c r="H171" s="16">
        <f>IF(OR($A171="",$B171&lt;&gt;"tutar_farki"),"",IF($E171=0,"BELGE_EKSIK",IF($C171&lt;=toleransKurus*cbb_yuvarlamaCarpan,"YUVARLAMA",IF(AND($F171&lt;&gt;"Ba",$F171&lt;&gt;"Bs"),"TIP_KARISIK",IF($C171&gt;cbb_esikFark*cbb_donemCarpan,"DONEM",IF(LEN($D171)&lt;cbb_unvanMinLen,"UNVAN","TANIMSIZ"))))))</f>
        <v/>
      </c>
    </row>
    <row r="172">
      <c r="A172" s="26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IF($A172="","",IFERROR(INDEX(tblVeriA[Unvan],MATCH($A172,tblAnahtarA[Norm],0)),""))</f>
        <v/>
      </c>
      <c r="E172" s="16">
        <f>IF($A172="","",IFERROR(SUMIF(tblAnahtarB[NormB],$A172,tblVeriB[BelgeAdet]),0))</f>
        <v/>
      </c>
      <c r="F172" s="16">
        <f>IF($A172="","",IFERROR(INDEX(tblVeriB[FormTipi],MATCH($A172,tblAnahtarB[NormB],0)),""))</f>
        <v/>
      </c>
      <c r="G172" s="16">
        <f>IF($A172="","",IFERROR(INDEX(tblVeriA[Donem],MATCH($A172,tblAnahtarA[Norm],0)),""))</f>
        <v/>
      </c>
      <c r="H172" s="16">
        <f>IF(OR($A172="",$B172&lt;&gt;"tutar_farki"),"",IF($E172=0,"BELGE_EKSIK",IF($C172&lt;=toleransKurus*cbb_yuvarlamaCarpan,"YUVARLAMA",IF(AND($F172&lt;&gt;"Ba",$F172&lt;&gt;"Bs"),"TIP_KARISIK",IF($C172&gt;cbb_esikFark*cbb_donemCarpan,"DONEM",IF(LEN($D172)&lt;cbb_unvanMinLen,"UNVAN","TANIMSIZ"))))))</f>
        <v/>
      </c>
    </row>
    <row r="173">
      <c r="A173" s="26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IF($A173="","",IFERROR(INDEX(tblVeriA[Unvan],MATCH($A173,tblAnahtarA[Norm],0)),""))</f>
        <v/>
      </c>
      <c r="E173" s="16">
        <f>IF($A173="","",IFERROR(SUMIF(tblAnahtarB[NormB],$A173,tblVeriB[BelgeAdet]),0))</f>
        <v/>
      </c>
      <c r="F173" s="16">
        <f>IF($A173="","",IFERROR(INDEX(tblVeriB[FormTipi],MATCH($A173,tblAnahtarB[NormB],0)),""))</f>
        <v/>
      </c>
      <c r="G173" s="16">
        <f>IF($A173="","",IFERROR(INDEX(tblVeriA[Donem],MATCH($A173,tblAnahtarA[Norm],0)),""))</f>
        <v/>
      </c>
      <c r="H173" s="16">
        <f>IF(OR($A173="",$B173&lt;&gt;"tutar_farki"),"",IF($E173=0,"BELGE_EKSIK",IF($C173&lt;=toleransKurus*cbb_yuvarlamaCarpan,"YUVARLAMA",IF(AND($F173&lt;&gt;"Ba",$F173&lt;&gt;"Bs"),"TIP_KARISIK",IF($C173&gt;cbb_esikFark*cbb_donemCarpan,"DONEM",IF(LEN($D173)&lt;cbb_unvanMinLen,"UNVAN","TANIMSIZ"))))))</f>
        <v/>
      </c>
    </row>
    <row r="174">
      <c r="A174" s="26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IF($A174="","",IFERROR(INDEX(tblVeriA[Unvan],MATCH($A174,tblAnahtarA[Norm],0)),""))</f>
        <v/>
      </c>
      <c r="E174" s="16">
        <f>IF($A174="","",IFERROR(SUMIF(tblAnahtarB[NormB],$A174,tblVeriB[BelgeAdet]),0))</f>
        <v/>
      </c>
      <c r="F174" s="16">
        <f>IF($A174="","",IFERROR(INDEX(tblVeriB[FormTipi],MATCH($A174,tblAnahtarB[NormB],0)),""))</f>
        <v/>
      </c>
      <c r="G174" s="16">
        <f>IF($A174="","",IFERROR(INDEX(tblVeriA[Donem],MATCH($A174,tblAnahtarA[Norm],0)),""))</f>
        <v/>
      </c>
      <c r="H174" s="16">
        <f>IF(OR($A174="",$B174&lt;&gt;"tutar_farki"),"",IF($E174=0,"BELGE_EKSIK",IF($C174&lt;=toleransKurus*cbb_yuvarlamaCarpan,"YUVARLAMA",IF(AND($F174&lt;&gt;"Ba",$F174&lt;&gt;"Bs"),"TIP_KARISIK",IF($C174&gt;cbb_esikFark*cbb_donemCarpan,"DONEM",IF(LEN($D174)&lt;cbb_unvanMinLen,"UNVAN","TANIMSIZ"))))))</f>
        <v/>
      </c>
    </row>
    <row r="175">
      <c r="A175" s="26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IF($A175="","",IFERROR(INDEX(tblVeriA[Unvan],MATCH($A175,tblAnahtarA[Norm],0)),""))</f>
        <v/>
      </c>
      <c r="E175" s="16">
        <f>IF($A175="","",IFERROR(SUMIF(tblAnahtarB[NormB],$A175,tblVeriB[BelgeAdet]),0))</f>
        <v/>
      </c>
      <c r="F175" s="16">
        <f>IF($A175="","",IFERROR(INDEX(tblVeriB[FormTipi],MATCH($A175,tblAnahtarB[NormB],0)),""))</f>
        <v/>
      </c>
      <c r="G175" s="16">
        <f>IF($A175="","",IFERROR(INDEX(tblVeriA[Donem],MATCH($A175,tblAnahtarA[Norm],0)),""))</f>
        <v/>
      </c>
      <c r="H175" s="16">
        <f>IF(OR($A175="",$B175&lt;&gt;"tutar_farki"),"",IF($E175=0,"BELGE_EKSIK",IF($C175&lt;=toleransKurus*cbb_yuvarlamaCarpan,"YUVARLAMA",IF(AND($F175&lt;&gt;"Ba",$F175&lt;&gt;"Bs"),"TIP_KARISIK",IF($C175&gt;cbb_esikFark*cbb_donemCarpan,"DONEM",IF(LEN($D175)&lt;cbb_unvanMinLen,"UNVAN","TANIMSIZ"))))))</f>
        <v/>
      </c>
    </row>
    <row r="176">
      <c r="A176" s="26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IF($A176="","",IFERROR(INDEX(tblVeriA[Unvan],MATCH($A176,tblAnahtarA[Norm],0)),""))</f>
        <v/>
      </c>
      <c r="E176" s="16">
        <f>IF($A176="","",IFERROR(SUMIF(tblAnahtarB[NormB],$A176,tblVeriB[BelgeAdet]),0))</f>
        <v/>
      </c>
      <c r="F176" s="16">
        <f>IF($A176="","",IFERROR(INDEX(tblVeriB[FormTipi],MATCH($A176,tblAnahtarB[NormB],0)),""))</f>
        <v/>
      </c>
      <c r="G176" s="16">
        <f>IF($A176="","",IFERROR(INDEX(tblVeriA[Donem],MATCH($A176,tblAnahtarA[Norm],0)),""))</f>
        <v/>
      </c>
      <c r="H176" s="16">
        <f>IF(OR($A176="",$B176&lt;&gt;"tutar_farki"),"",IF($E176=0,"BELGE_EKSIK",IF($C176&lt;=toleransKurus*cbb_yuvarlamaCarpan,"YUVARLAMA",IF(AND($F176&lt;&gt;"Ba",$F176&lt;&gt;"Bs"),"TIP_KARISIK",IF($C176&gt;cbb_esikFark*cbb_donemCarpan,"DONEM",IF(LEN($D176)&lt;cbb_unvanMinLen,"UNVAN","TANIMSIZ"))))))</f>
        <v/>
      </c>
    </row>
    <row r="177">
      <c r="A177" s="26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IF($A177="","",IFERROR(INDEX(tblVeriA[Unvan],MATCH($A177,tblAnahtarA[Norm],0)),""))</f>
        <v/>
      </c>
      <c r="E177" s="16">
        <f>IF($A177="","",IFERROR(SUMIF(tblAnahtarB[NormB],$A177,tblVeriB[BelgeAdet]),0))</f>
        <v/>
      </c>
      <c r="F177" s="16">
        <f>IF($A177="","",IFERROR(INDEX(tblVeriB[FormTipi],MATCH($A177,tblAnahtarB[NormB],0)),""))</f>
        <v/>
      </c>
      <c r="G177" s="16">
        <f>IF($A177="","",IFERROR(INDEX(tblVeriA[Donem],MATCH($A177,tblAnahtarA[Norm],0)),""))</f>
        <v/>
      </c>
      <c r="H177" s="16">
        <f>IF(OR($A177="",$B177&lt;&gt;"tutar_farki"),"",IF($E177=0,"BELGE_EKSIK",IF($C177&lt;=toleransKurus*cbb_yuvarlamaCarpan,"YUVARLAMA",IF(AND($F177&lt;&gt;"Ba",$F177&lt;&gt;"Bs"),"TIP_KARISIK",IF($C177&gt;cbb_esikFark*cbb_donemCarpan,"DONEM",IF(LEN($D177)&lt;cbb_unvanMinLen,"UNVAN","TANIMSIZ"))))))</f>
        <v/>
      </c>
    </row>
    <row r="178">
      <c r="A178" s="26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IF($A178="","",IFERROR(INDEX(tblVeriA[Unvan],MATCH($A178,tblAnahtarA[Norm],0)),""))</f>
        <v/>
      </c>
      <c r="E178" s="16">
        <f>IF($A178="","",IFERROR(SUMIF(tblAnahtarB[NormB],$A178,tblVeriB[BelgeAdet]),0))</f>
        <v/>
      </c>
      <c r="F178" s="16">
        <f>IF($A178="","",IFERROR(INDEX(tblVeriB[FormTipi],MATCH($A178,tblAnahtarB[NormB],0)),""))</f>
        <v/>
      </c>
      <c r="G178" s="16">
        <f>IF($A178="","",IFERROR(INDEX(tblVeriA[Donem],MATCH($A178,tblAnahtarA[Norm],0)),""))</f>
        <v/>
      </c>
      <c r="H178" s="16">
        <f>IF(OR($A178="",$B178&lt;&gt;"tutar_farki"),"",IF($E178=0,"BELGE_EKSIK",IF($C178&lt;=toleransKurus*cbb_yuvarlamaCarpan,"YUVARLAMA",IF(AND($F178&lt;&gt;"Ba",$F178&lt;&gt;"Bs"),"TIP_KARISIK",IF($C178&gt;cbb_esikFark*cbb_donemCarpan,"DONEM",IF(LEN($D178)&lt;cbb_unvanMinLen,"UNVAN","TANIMSIZ"))))))</f>
        <v/>
      </c>
    </row>
    <row r="179">
      <c r="A179" s="26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IF($A179="","",IFERROR(INDEX(tblVeriA[Unvan],MATCH($A179,tblAnahtarA[Norm],0)),""))</f>
        <v/>
      </c>
      <c r="E179" s="16">
        <f>IF($A179="","",IFERROR(SUMIF(tblAnahtarB[NormB],$A179,tblVeriB[BelgeAdet]),0))</f>
        <v/>
      </c>
      <c r="F179" s="16">
        <f>IF($A179="","",IFERROR(INDEX(tblVeriB[FormTipi],MATCH($A179,tblAnahtarB[NormB],0)),""))</f>
        <v/>
      </c>
      <c r="G179" s="16">
        <f>IF($A179="","",IFERROR(INDEX(tblVeriA[Donem],MATCH($A179,tblAnahtarA[Norm],0)),""))</f>
        <v/>
      </c>
      <c r="H179" s="16">
        <f>IF(OR($A179="",$B179&lt;&gt;"tutar_farki"),"",IF($E179=0,"BELGE_EKSIK",IF($C179&lt;=toleransKurus*cbb_yuvarlamaCarpan,"YUVARLAMA",IF(AND($F179&lt;&gt;"Ba",$F179&lt;&gt;"Bs"),"TIP_KARISIK",IF($C179&gt;cbb_esikFark*cbb_donemCarpan,"DONEM",IF(LEN($D179)&lt;cbb_unvanMinLen,"UNVAN","TANIMSIZ"))))))</f>
        <v/>
      </c>
    </row>
    <row r="180">
      <c r="A180" s="26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IF($A180="","",IFERROR(INDEX(tblVeriA[Unvan],MATCH($A180,tblAnahtarA[Norm],0)),""))</f>
        <v/>
      </c>
      <c r="E180" s="16">
        <f>IF($A180="","",IFERROR(SUMIF(tblAnahtarB[NormB],$A180,tblVeriB[BelgeAdet]),0))</f>
        <v/>
      </c>
      <c r="F180" s="16">
        <f>IF($A180="","",IFERROR(INDEX(tblVeriB[FormTipi],MATCH($A180,tblAnahtarB[NormB],0)),""))</f>
        <v/>
      </c>
      <c r="G180" s="16">
        <f>IF($A180="","",IFERROR(INDEX(tblVeriA[Donem],MATCH($A180,tblAnahtarA[Norm],0)),""))</f>
        <v/>
      </c>
      <c r="H180" s="16">
        <f>IF(OR($A180="",$B180&lt;&gt;"tutar_farki"),"",IF($E180=0,"BELGE_EKSIK",IF($C180&lt;=toleransKurus*cbb_yuvarlamaCarpan,"YUVARLAMA",IF(AND($F180&lt;&gt;"Ba",$F180&lt;&gt;"Bs"),"TIP_KARISIK",IF($C180&gt;cbb_esikFark*cbb_donemCarpan,"DONEM",IF(LEN($D180)&lt;cbb_unvanMinLen,"UNVAN","TANIMSIZ"))))))</f>
        <v/>
      </c>
    </row>
    <row r="181">
      <c r="A181" s="26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IF($A181="","",IFERROR(INDEX(tblVeriA[Unvan],MATCH($A181,tblAnahtarA[Norm],0)),""))</f>
        <v/>
      </c>
      <c r="E181" s="16">
        <f>IF($A181="","",IFERROR(SUMIF(tblAnahtarB[NormB],$A181,tblVeriB[BelgeAdet]),0))</f>
        <v/>
      </c>
      <c r="F181" s="16">
        <f>IF($A181="","",IFERROR(INDEX(tblVeriB[FormTipi],MATCH($A181,tblAnahtarB[NormB],0)),""))</f>
        <v/>
      </c>
      <c r="G181" s="16">
        <f>IF($A181="","",IFERROR(INDEX(tblVeriA[Donem],MATCH($A181,tblAnahtarA[Norm],0)),""))</f>
        <v/>
      </c>
      <c r="H181" s="16">
        <f>IF(OR($A181="",$B181&lt;&gt;"tutar_farki"),"",IF($E181=0,"BELGE_EKSIK",IF($C181&lt;=toleransKurus*cbb_yuvarlamaCarpan,"YUVARLAMA",IF(AND($F181&lt;&gt;"Ba",$F181&lt;&gt;"Bs"),"TIP_KARISIK",IF($C181&gt;cbb_esikFark*cbb_donemCarpan,"DONEM",IF(LEN($D181)&lt;cbb_unvanMinLen,"UNVAN","TANIMSIZ"))))))</f>
        <v/>
      </c>
    </row>
    <row r="182">
      <c r="A182" s="26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IF($A182="","",IFERROR(INDEX(tblVeriA[Unvan],MATCH($A182,tblAnahtarA[Norm],0)),""))</f>
        <v/>
      </c>
      <c r="E182" s="16">
        <f>IF($A182="","",IFERROR(SUMIF(tblAnahtarB[NormB],$A182,tblVeriB[BelgeAdet]),0))</f>
        <v/>
      </c>
      <c r="F182" s="16">
        <f>IF($A182="","",IFERROR(INDEX(tblVeriB[FormTipi],MATCH($A182,tblAnahtarB[NormB],0)),""))</f>
        <v/>
      </c>
      <c r="G182" s="16">
        <f>IF($A182="","",IFERROR(INDEX(tblVeriA[Donem],MATCH($A182,tblAnahtarA[Norm],0)),""))</f>
        <v/>
      </c>
      <c r="H182" s="16">
        <f>IF(OR($A182="",$B182&lt;&gt;"tutar_farki"),"",IF($E182=0,"BELGE_EKSIK",IF($C182&lt;=toleransKurus*cbb_yuvarlamaCarpan,"YUVARLAMA",IF(AND($F182&lt;&gt;"Ba",$F182&lt;&gt;"Bs"),"TIP_KARISIK",IF($C182&gt;cbb_esikFark*cbb_donemCarpan,"DONEM",IF(LEN($D182)&lt;cbb_unvanMinLen,"UNVAN","TANIMSIZ"))))))</f>
        <v/>
      </c>
    </row>
    <row r="183">
      <c r="A183" s="26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IF($A183="","",IFERROR(INDEX(tblVeriA[Unvan],MATCH($A183,tblAnahtarA[Norm],0)),""))</f>
        <v/>
      </c>
      <c r="E183" s="16">
        <f>IF($A183="","",IFERROR(SUMIF(tblAnahtarB[NormB],$A183,tblVeriB[BelgeAdet]),0))</f>
        <v/>
      </c>
      <c r="F183" s="16">
        <f>IF($A183="","",IFERROR(INDEX(tblVeriB[FormTipi],MATCH($A183,tblAnahtarB[NormB],0)),""))</f>
        <v/>
      </c>
      <c r="G183" s="16">
        <f>IF($A183="","",IFERROR(INDEX(tblVeriA[Donem],MATCH($A183,tblAnahtarA[Norm],0)),""))</f>
        <v/>
      </c>
      <c r="H183" s="16">
        <f>IF(OR($A183="",$B183&lt;&gt;"tutar_farki"),"",IF($E183=0,"BELGE_EKSIK",IF($C183&lt;=toleransKurus*cbb_yuvarlamaCarpan,"YUVARLAMA",IF(AND($F183&lt;&gt;"Ba",$F183&lt;&gt;"Bs"),"TIP_KARISIK",IF($C183&gt;cbb_esikFark*cbb_donemCarpan,"DONEM",IF(LEN($D183)&lt;cbb_unvanMinLen,"UNVAN","TANIMSIZ"))))))</f>
        <v/>
      </c>
    </row>
    <row r="184">
      <c r="A184" s="26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IF($A184="","",IFERROR(INDEX(tblVeriA[Unvan],MATCH($A184,tblAnahtarA[Norm],0)),""))</f>
        <v/>
      </c>
      <c r="E184" s="16">
        <f>IF($A184="","",IFERROR(SUMIF(tblAnahtarB[NormB],$A184,tblVeriB[BelgeAdet]),0))</f>
        <v/>
      </c>
      <c r="F184" s="16">
        <f>IF($A184="","",IFERROR(INDEX(tblVeriB[FormTipi],MATCH($A184,tblAnahtarB[NormB],0)),""))</f>
        <v/>
      </c>
      <c r="G184" s="16">
        <f>IF($A184="","",IFERROR(INDEX(tblVeriA[Donem],MATCH($A184,tblAnahtarA[Norm],0)),""))</f>
        <v/>
      </c>
      <c r="H184" s="16">
        <f>IF(OR($A184="",$B184&lt;&gt;"tutar_farki"),"",IF($E184=0,"BELGE_EKSIK",IF($C184&lt;=toleransKurus*cbb_yuvarlamaCarpan,"YUVARLAMA",IF(AND($F184&lt;&gt;"Ba",$F184&lt;&gt;"Bs"),"TIP_KARISIK",IF($C184&gt;cbb_esikFark*cbb_donemCarpan,"DONEM",IF(LEN($D184)&lt;cbb_unvanMinLen,"UNVAN","TANIMSIZ"))))))</f>
        <v/>
      </c>
    </row>
    <row r="185">
      <c r="A185" s="26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IF($A185="","",IFERROR(INDEX(tblVeriA[Unvan],MATCH($A185,tblAnahtarA[Norm],0)),""))</f>
        <v/>
      </c>
      <c r="E185" s="16">
        <f>IF($A185="","",IFERROR(SUMIF(tblAnahtarB[NormB],$A185,tblVeriB[BelgeAdet]),0))</f>
        <v/>
      </c>
      <c r="F185" s="16">
        <f>IF($A185="","",IFERROR(INDEX(tblVeriB[FormTipi],MATCH($A185,tblAnahtarB[NormB],0)),""))</f>
        <v/>
      </c>
      <c r="G185" s="16">
        <f>IF($A185="","",IFERROR(INDEX(tblVeriA[Donem],MATCH($A185,tblAnahtarA[Norm],0)),""))</f>
        <v/>
      </c>
      <c r="H185" s="16">
        <f>IF(OR($A185="",$B185&lt;&gt;"tutar_farki"),"",IF($E185=0,"BELGE_EKSIK",IF($C185&lt;=toleransKurus*cbb_yuvarlamaCarpan,"YUVARLAMA",IF(AND($F185&lt;&gt;"Ba",$F185&lt;&gt;"Bs"),"TIP_KARISIK",IF($C185&gt;cbb_esikFark*cbb_donemCarpan,"DONEM",IF(LEN($D185)&lt;cbb_unvanMinLen,"UNVAN","TANIMSIZ"))))))</f>
        <v/>
      </c>
    </row>
    <row r="186">
      <c r="A186" s="26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IF($A186="","",IFERROR(INDEX(tblVeriA[Unvan],MATCH($A186,tblAnahtarA[Norm],0)),""))</f>
        <v/>
      </c>
      <c r="E186" s="16">
        <f>IF($A186="","",IFERROR(SUMIF(tblAnahtarB[NormB],$A186,tblVeriB[BelgeAdet]),0))</f>
        <v/>
      </c>
      <c r="F186" s="16">
        <f>IF($A186="","",IFERROR(INDEX(tblVeriB[FormTipi],MATCH($A186,tblAnahtarB[NormB],0)),""))</f>
        <v/>
      </c>
      <c r="G186" s="16">
        <f>IF($A186="","",IFERROR(INDEX(tblVeriA[Donem],MATCH($A186,tblAnahtarA[Norm],0)),""))</f>
        <v/>
      </c>
      <c r="H186" s="16">
        <f>IF(OR($A186="",$B186&lt;&gt;"tutar_farki"),"",IF($E186=0,"BELGE_EKSIK",IF($C186&lt;=toleransKurus*cbb_yuvarlamaCarpan,"YUVARLAMA",IF(AND($F186&lt;&gt;"Ba",$F186&lt;&gt;"Bs"),"TIP_KARISIK",IF($C186&gt;cbb_esikFark*cbb_donemCarpan,"DONEM",IF(LEN($D186)&lt;cbb_unvanMinLen,"UNVAN","TANIMSIZ"))))))</f>
        <v/>
      </c>
    </row>
    <row r="187">
      <c r="A187" s="26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IF($A187="","",IFERROR(INDEX(tblVeriA[Unvan],MATCH($A187,tblAnahtarA[Norm],0)),""))</f>
        <v/>
      </c>
      <c r="E187" s="16">
        <f>IF($A187="","",IFERROR(SUMIF(tblAnahtarB[NormB],$A187,tblVeriB[BelgeAdet]),0))</f>
        <v/>
      </c>
      <c r="F187" s="16">
        <f>IF($A187="","",IFERROR(INDEX(tblVeriB[FormTipi],MATCH($A187,tblAnahtarB[NormB],0)),""))</f>
        <v/>
      </c>
      <c r="G187" s="16">
        <f>IF($A187="","",IFERROR(INDEX(tblVeriA[Donem],MATCH($A187,tblAnahtarA[Norm],0)),""))</f>
        <v/>
      </c>
      <c r="H187" s="16">
        <f>IF(OR($A187="",$B187&lt;&gt;"tutar_farki"),"",IF($E187=0,"BELGE_EKSIK",IF($C187&lt;=toleransKurus*cbb_yuvarlamaCarpan,"YUVARLAMA",IF(AND($F187&lt;&gt;"Ba",$F187&lt;&gt;"Bs"),"TIP_KARISIK",IF($C187&gt;cbb_esikFark*cbb_donemCarpan,"DONEM",IF(LEN($D187)&lt;cbb_unvanMinLen,"UNVAN","TANIMSIZ"))))))</f>
        <v/>
      </c>
    </row>
    <row r="188">
      <c r="A188" s="26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IF($A188="","",IFERROR(INDEX(tblVeriA[Unvan],MATCH($A188,tblAnahtarA[Norm],0)),""))</f>
        <v/>
      </c>
      <c r="E188" s="16">
        <f>IF($A188="","",IFERROR(SUMIF(tblAnahtarB[NormB],$A188,tblVeriB[BelgeAdet]),0))</f>
        <v/>
      </c>
      <c r="F188" s="16">
        <f>IF($A188="","",IFERROR(INDEX(tblVeriB[FormTipi],MATCH($A188,tblAnahtarB[NormB],0)),""))</f>
        <v/>
      </c>
      <c r="G188" s="16">
        <f>IF($A188="","",IFERROR(INDEX(tblVeriA[Donem],MATCH($A188,tblAnahtarA[Norm],0)),""))</f>
        <v/>
      </c>
      <c r="H188" s="16">
        <f>IF(OR($A188="",$B188&lt;&gt;"tutar_farki"),"",IF($E188=0,"BELGE_EKSIK",IF($C188&lt;=toleransKurus*cbb_yuvarlamaCarpan,"YUVARLAMA",IF(AND($F188&lt;&gt;"Ba",$F188&lt;&gt;"Bs"),"TIP_KARISIK",IF($C188&gt;cbb_esikFark*cbb_donemCarpan,"DONEM",IF(LEN($D188)&lt;cbb_unvanMinLen,"UNVAN","TANIMSIZ"))))))</f>
        <v/>
      </c>
    </row>
    <row r="189">
      <c r="A189" s="26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IF($A189="","",IFERROR(INDEX(tblVeriA[Unvan],MATCH($A189,tblAnahtarA[Norm],0)),""))</f>
        <v/>
      </c>
      <c r="E189" s="16">
        <f>IF($A189="","",IFERROR(SUMIF(tblAnahtarB[NormB],$A189,tblVeriB[BelgeAdet]),0))</f>
        <v/>
      </c>
      <c r="F189" s="16">
        <f>IF($A189="","",IFERROR(INDEX(tblVeriB[FormTipi],MATCH($A189,tblAnahtarB[NormB],0)),""))</f>
        <v/>
      </c>
      <c r="G189" s="16">
        <f>IF($A189="","",IFERROR(INDEX(tblVeriA[Donem],MATCH($A189,tblAnahtarA[Norm],0)),""))</f>
        <v/>
      </c>
      <c r="H189" s="16">
        <f>IF(OR($A189="",$B189&lt;&gt;"tutar_farki"),"",IF($E189=0,"BELGE_EKSIK",IF($C189&lt;=toleransKurus*cbb_yuvarlamaCarpan,"YUVARLAMA",IF(AND($F189&lt;&gt;"Ba",$F189&lt;&gt;"Bs"),"TIP_KARISIK",IF($C189&gt;cbb_esikFark*cbb_donemCarpan,"DONEM",IF(LEN($D189)&lt;cbb_unvanMinLen,"UNVAN","TANIMSIZ"))))))</f>
        <v/>
      </c>
    </row>
    <row r="190">
      <c r="A190" s="26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IF($A190="","",IFERROR(INDEX(tblVeriA[Unvan],MATCH($A190,tblAnahtarA[Norm],0)),""))</f>
        <v/>
      </c>
      <c r="E190" s="16">
        <f>IF($A190="","",IFERROR(SUMIF(tblAnahtarB[NormB],$A190,tblVeriB[BelgeAdet]),0))</f>
        <v/>
      </c>
      <c r="F190" s="16">
        <f>IF($A190="","",IFERROR(INDEX(tblVeriB[FormTipi],MATCH($A190,tblAnahtarB[NormB],0)),""))</f>
        <v/>
      </c>
      <c r="G190" s="16">
        <f>IF($A190="","",IFERROR(INDEX(tblVeriA[Donem],MATCH($A190,tblAnahtarA[Norm],0)),""))</f>
        <v/>
      </c>
      <c r="H190" s="16">
        <f>IF(OR($A190="",$B190&lt;&gt;"tutar_farki"),"",IF($E190=0,"BELGE_EKSIK",IF($C190&lt;=toleransKurus*cbb_yuvarlamaCarpan,"YUVARLAMA",IF(AND($F190&lt;&gt;"Ba",$F190&lt;&gt;"Bs"),"TIP_KARISIK",IF($C190&gt;cbb_esikFark*cbb_donemCarpan,"DONEM",IF(LEN($D190)&lt;cbb_unvanMinLen,"UNVAN","TANIMSIZ"))))))</f>
        <v/>
      </c>
    </row>
    <row r="191">
      <c r="A191" s="26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IF($A191="","",IFERROR(INDEX(tblVeriA[Unvan],MATCH($A191,tblAnahtarA[Norm],0)),""))</f>
        <v/>
      </c>
      <c r="E191" s="16">
        <f>IF($A191="","",IFERROR(SUMIF(tblAnahtarB[NormB],$A191,tblVeriB[BelgeAdet]),0))</f>
        <v/>
      </c>
      <c r="F191" s="16">
        <f>IF($A191="","",IFERROR(INDEX(tblVeriB[FormTipi],MATCH($A191,tblAnahtarB[NormB],0)),""))</f>
        <v/>
      </c>
      <c r="G191" s="16">
        <f>IF($A191="","",IFERROR(INDEX(tblVeriA[Donem],MATCH($A191,tblAnahtarA[Norm],0)),""))</f>
        <v/>
      </c>
      <c r="H191" s="16">
        <f>IF(OR($A191="",$B191&lt;&gt;"tutar_farki"),"",IF($E191=0,"BELGE_EKSIK",IF($C191&lt;=toleransKurus*cbb_yuvarlamaCarpan,"YUVARLAMA",IF(AND($F191&lt;&gt;"Ba",$F191&lt;&gt;"Bs"),"TIP_KARISIK",IF($C191&gt;cbb_esikFark*cbb_donemCarpan,"DONEM",IF(LEN($D191)&lt;cbb_unvanMinLen,"UNVAN","TANIMSIZ"))))))</f>
        <v/>
      </c>
    </row>
    <row r="192">
      <c r="A192" s="26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IF($A192="","",IFERROR(INDEX(tblVeriA[Unvan],MATCH($A192,tblAnahtarA[Norm],0)),""))</f>
        <v/>
      </c>
      <c r="E192" s="16">
        <f>IF($A192="","",IFERROR(SUMIF(tblAnahtarB[NormB],$A192,tblVeriB[BelgeAdet]),0))</f>
        <v/>
      </c>
      <c r="F192" s="16">
        <f>IF($A192="","",IFERROR(INDEX(tblVeriB[FormTipi],MATCH($A192,tblAnahtarB[NormB],0)),""))</f>
        <v/>
      </c>
      <c r="G192" s="16">
        <f>IF($A192="","",IFERROR(INDEX(tblVeriA[Donem],MATCH($A192,tblAnahtarA[Norm],0)),""))</f>
        <v/>
      </c>
      <c r="H192" s="16">
        <f>IF(OR($A192="",$B192&lt;&gt;"tutar_farki"),"",IF($E192=0,"BELGE_EKSIK",IF($C192&lt;=toleransKurus*cbb_yuvarlamaCarpan,"YUVARLAMA",IF(AND($F192&lt;&gt;"Ba",$F192&lt;&gt;"Bs"),"TIP_KARISIK",IF($C192&gt;cbb_esikFark*cbb_donemCarpan,"DONEM",IF(LEN($D192)&lt;cbb_unvanMinLen,"UNVAN","TANIMSIZ"))))))</f>
        <v/>
      </c>
    </row>
    <row r="193">
      <c r="A193" s="26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IF($A193="","",IFERROR(INDEX(tblVeriA[Unvan],MATCH($A193,tblAnahtarA[Norm],0)),""))</f>
        <v/>
      </c>
      <c r="E193" s="16">
        <f>IF($A193="","",IFERROR(SUMIF(tblAnahtarB[NormB],$A193,tblVeriB[BelgeAdet]),0))</f>
        <v/>
      </c>
      <c r="F193" s="16">
        <f>IF($A193="","",IFERROR(INDEX(tblVeriB[FormTipi],MATCH($A193,tblAnahtarB[NormB],0)),""))</f>
        <v/>
      </c>
      <c r="G193" s="16">
        <f>IF($A193="","",IFERROR(INDEX(tblVeriA[Donem],MATCH($A193,tblAnahtarA[Norm],0)),""))</f>
        <v/>
      </c>
      <c r="H193" s="16">
        <f>IF(OR($A193="",$B193&lt;&gt;"tutar_farki"),"",IF($E193=0,"BELGE_EKSIK",IF($C193&lt;=toleransKurus*cbb_yuvarlamaCarpan,"YUVARLAMA",IF(AND($F193&lt;&gt;"Ba",$F193&lt;&gt;"Bs"),"TIP_KARISIK",IF($C193&gt;cbb_esikFark*cbb_donemCarpan,"DONEM",IF(LEN($D193)&lt;cbb_unvanMinLen,"UNVAN","TANIMSIZ"))))))</f>
        <v/>
      </c>
    </row>
    <row r="194">
      <c r="A194" s="26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IF($A194="","",IFERROR(INDEX(tblVeriA[Unvan],MATCH($A194,tblAnahtarA[Norm],0)),""))</f>
        <v/>
      </c>
      <c r="E194" s="16">
        <f>IF($A194="","",IFERROR(SUMIF(tblAnahtarB[NormB],$A194,tblVeriB[BelgeAdet]),0))</f>
        <v/>
      </c>
      <c r="F194" s="16">
        <f>IF($A194="","",IFERROR(INDEX(tblVeriB[FormTipi],MATCH($A194,tblAnahtarB[NormB],0)),""))</f>
        <v/>
      </c>
      <c r="G194" s="16">
        <f>IF($A194="","",IFERROR(INDEX(tblVeriA[Donem],MATCH($A194,tblAnahtarA[Norm],0)),""))</f>
        <v/>
      </c>
      <c r="H194" s="16">
        <f>IF(OR($A194="",$B194&lt;&gt;"tutar_farki"),"",IF($E194=0,"BELGE_EKSIK",IF($C194&lt;=toleransKurus*cbb_yuvarlamaCarpan,"YUVARLAMA",IF(AND($F194&lt;&gt;"Ba",$F194&lt;&gt;"Bs"),"TIP_KARISIK",IF($C194&gt;cbb_esikFark*cbb_donemCarpan,"DONEM",IF(LEN($D194)&lt;cbb_unvanMinLen,"UNVAN","TANIMSIZ"))))))</f>
        <v/>
      </c>
    </row>
    <row r="195">
      <c r="A195" s="26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IF($A195="","",IFERROR(INDEX(tblVeriA[Unvan],MATCH($A195,tblAnahtarA[Norm],0)),""))</f>
        <v/>
      </c>
      <c r="E195" s="16">
        <f>IF($A195="","",IFERROR(SUMIF(tblAnahtarB[NormB],$A195,tblVeriB[BelgeAdet]),0))</f>
        <v/>
      </c>
      <c r="F195" s="16">
        <f>IF($A195="","",IFERROR(INDEX(tblVeriB[FormTipi],MATCH($A195,tblAnahtarB[NormB],0)),""))</f>
        <v/>
      </c>
      <c r="G195" s="16">
        <f>IF($A195="","",IFERROR(INDEX(tblVeriA[Donem],MATCH($A195,tblAnahtarA[Norm],0)),""))</f>
        <v/>
      </c>
      <c r="H195" s="16">
        <f>IF(OR($A195="",$B195&lt;&gt;"tutar_farki"),"",IF($E195=0,"BELGE_EKSIK",IF($C195&lt;=toleransKurus*cbb_yuvarlamaCarpan,"YUVARLAMA",IF(AND($F195&lt;&gt;"Ba",$F195&lt;&gt;"Bs"),"TIP_KARISIK",IF($C195&gt;cbb_esikFark*cbb_donemCarpan,"DONEM",IF(LEN($D195)&lt;cbb_unvanMinLen,"UNVAN","TANIMSIZ"))))))</f>
        <v/>
      </c>
    </row>
    <row r="196">
      <c r="A196" s="26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IF($A196="","",IFERROR(INDEX(tblVeriA[Unvan],MATCH($A196,tblAnahtarA[Norm],0)),""))</f>
        <v/>
      </c>
      <c r="E196" s="16">
        <f>IF($A196="","",IFERROR(SUMIF(tblAnahtarB[NormB],$A196,tblVeriB[BelgeAdet]),0))</f>
        <v/>
      </c>
      <c r="F196" s="16">
        <f>IF($A196="","",IFERROR(INDEX(tblVeriB[FormTipi],MATCH($A196,tblAnahtarB[NormB],0)),""))</f>
        <v/>
      </c>
      <c r="G196" s="16">
        <f>IF($A196="","",IFERROR(INDEX(tblVeriA[Donem],MATCH($A196,tblAnahtarA[Norm],0)),""))</f>
        <v/>
      </c>
      <c r="H196" s="16">
        <f>IF(OR($A196="",$B196&lt;&gt;"tutar_farki"),"",IF($E196=0,"BELGE_EKSIK",IF($C196&lt;=toleransKurus*cbb_yuvarlamaCarpan,"YUVARLAMA",IF(AND($F196&lt;&gt;"Ba",$F196&lt;&gt;"Bs"),"TIP_KARISIK",IF($C196&gt;cbb_esikFark*cbb_donemCarpan,"DONEM",IF(LEN($D196)&lt;cbb_unvanMinLen,"UNVAN","TANIMSIZ"))))))</f>
        <v/>
      </c>
    </row>
    <row r="197">
      <c r="A197" s="26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IF($A197="","",IFERROR(INDEX(tblVeriA[Unvan],MATCH($A197,tblAnahtarA[Norm],0)),""))</f>
        <v/>
      </c>
      <c r="E197" s="16">
        <f>IF($A197="","",IFERROR(SUMIF(tblAnahtarB[NormB],$A197,tblVeriB[BelgeAdet]),0))</f>
        <v/>
      </c>
      <c r="F197" s="16">
        <f>IF($A197="","",IFERROR(INDEX(tblVeriB[FormTipi],MATCH($A197,tblAnahtarB[NormB],0)),""))</f>
        <v/>
      </c>
      <c r="G197" s="16">
        <f>IF($A197="","",IFERROR(INDEX(tblVeriA[Donem],MATCH($A197,tblAnahtarA[Norm],0)),""))</f>
        <v/>
      </c>
      <c r="H197" s="16">
        <f>IF(OR($A197="",$B197&lt;&gt;"tutar_farki"),"",IF($E197=0,"BELGE_EKSIK",IF($C197&lt;=toleransKurus*cbb_yuvarlamaCarpan,"YUVARLAMA",IF(AND($F197&lt;&gt;"Ba",$F197&lt;&gt;"Bs"),"TIP_KARISIK",IF($C197&gt;cbb_esikFark*cbb_donemCarpan,"DONEM",IF(LEN($D197)&lt;cbb_unvanMinLen,"UNVAN","TANIMSIZ"))))))</f>
        <v/>
      </c>
    </row>
    <row r="198">
      <c r="A198" s="26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IF($A198="","",IFERROR(INDEX(tblVeriA[Unvan],MATCH($A198,tblAnahtarA[Norm],0)),""))</f>
        <v/>
      </c>
      <c r="E198" s="16">
        <f>IF($A198="","",IFERROR(SUMIF(tblAnahtarB[NormB],$A198,tblVeriB[BelgeAdet]),0))</f>
        <v/>
      </c>
      <c r="F198" s="16">
        <f>IF($A198="","",IFERROR(INDEX(tblVeriB[FormTipi],MATCH($A198,tblAnahtarB[NormB],0)),""))</f>
        <v/>
      </c>
      <c r="G198" s="16">
        <f>IF($A198="","",IFERROR(INDEX(tblVeriA[Donem],MATCH($A198,tblAnahtarA[Norm],0)),""))</f>
        <v/>
      </c>
      <c r="H198" s="16">
        <f>IF(OR($A198="",$B198&lt;&gt;"tutar_farki"),"",IF($E198=0,"BELGE_EKSIK",IF($C198&lt;=toleransKurus*cbb_yuvarlamaCarpan,"YUVARLAMA",IF(AND($F198&lt;&gt;"Ba",$F198&lt;&gt;"Bs"),"TIP_KARISIK",IF($C198&gt;cbb_esikFark*cbb_donemCarpan,"DONEM",IF(LEN($D198)&lt;cbb_unvanMinLen,"UNVAN","TANIMSIZ"))))))</f>
        <v/>
      </c>
    </row>
    <row r="199">
      <c r="A199" s="26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IF($A199="","",IFERROR(INDEX(tblVeriA[Unvan],MATCH($A199,tblAnahtarA[Norm],0)),""))</f>
        <v/>
      </c>
      <c r="E199" s="16">
        <f>IF($A199="","",IFERROR(SUMIF(tblAnahtarB[NormB],$A199,tblVeriB[BelgeAdet]),0))</f>
        <v/>
      </c>
      <c r="F199" s="16">
        <f>IF($A199="","",IFERROR(INDEX(tblVeriB[FormTipi],MATCH($A199,tblAnahtarB[NormB],0)),""))</f>
        <v/>
      </c>
      <c r="G199" s="16">
        <f>IF($A199="","",IFERROR(INDEX(tblVeriA[Donem],MATCH($A199,tblAnahtarA[Norm],0)),""))</f>
        <v/>
      </c>
      <c r="H199" s="16">
        <f>IF(OR($A199="",$B199&lt;&gt;"tutar_farki"),"",IF($E199=0,"BELGE_EKSIK",IF($C199&lt;=toleransKurus*cbb_yuvarlamaCarpan,"YUVARLAMA",IF(AND($F199&lt;&gt;"Ba",$F199&lt;&gt;"Bs"),"TIP_KARISIK",IF($C199&gt;cbb_esikFark*cbb_donemCarpan,"DONEM",IF(LEN($D199)&lt;cbb_unvanMinLen,"UNVAN","TANIMSIZ"))))))</f>
        <v/>
      </c>
    </row>
    <row r="200">
      <c r="A200" s="26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IF($A200="","",IFERROR(INDEX(tblVeriA[Unvan],MATCH($A200,tblAnahtarA[Norm],0)),""))</f>
        <v/>
      </c>
      <c r="E200" s="16">
        <f>IF($A200="","",IFERROR(SUMIF(tblAnahtarB[NormB],$A200,tblVeriB[BelgeAdet]),0))</f>
        <v/>
      </c>
      <c r="F200" s="16">
        <f>IF($A200="","",IFERROR(INDEX(tblVeriB[FormTipi],MATCH($A200,tblAnahtarB[NormB],0)),""))</f>
        <v/>
      </c>
      <c r="G200" s="16">
        <f>IF($A200="","",IFERROR(INDEX(tblVeriA[Donem],MATCH($A200,tblAnahtarA[Norm],0)),""))</f>
        <v/>
      </c>
      <c r="H200" s="16">
        <f>IF(OR($A200="",$B200&lt;&gt;"tutar_farki"),"",IF($E200=0,"BELGE_EKSIK",IF($C200&lt;=toleransKurus*cbb_yuvarlamaCarpan,"YUVARLAMA",IF(AND($F200&lt;&gt;"Ba",$F200&lt;&gt;"Bs"),"TIP_KARISIK",IF($C200&gt;cbb_esikFark*cbb_donemCarpan,"DONEM",IF(LEN($D200)&lt;cbb_unvanMinLen,"UNVAN","TANIMSIZ"))))))</f>
        <v/>
      </c>
    </row>
    <row r="201">
      <c r="A201" s="26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IF($A201="","",IFERROR(INDEX(tblVeriA[Unvan],MATCH($A201,tblAnahtarA[Norm],0)),""))</f>
        <v/>
      </c>
      <c r="E201" s="16">
        <f>IF($A201="","",IFERROR(SUMIF(tblAnahtarB[NormB],$A201,tblVeriB[BelgeAdet]),0))</f>
        <v/>
      </c>
      <c r="F201" s="16">
        <f>IF($A201="","",IFERROR(INDEX(tblVeriB[FormTipi],MATCH($A201,tblAnahtarB[NormB],0)),""))</f>
        <v/>
      </c>
      <c r="G201" s="16">
        <f>IF($A201="","",IFERROR(INDEX(tblVeriA[Donem],MATCH($A201,tblAnahtarA[Norm],0)),""))</f>
        <v/>
      </c>
      <c r="H201" s="16">
        <f>IF(OR($A201="",$B201&lt;&gt;"tutar_farki"),"",IF($E201=0,"BELGE_EKSIK",IF($C201&lt;=toleransKurus*cbb_yuvarlamaCarpan,"YUVARLAMA",IF(AND($F201&lt;&gt;"Ba",$F201&lt;&gt;"Bs"),"TIP_KARISIK",IF($C201&gt;cbb_esikFark*cbb_donemCarpan,"DONEM",IF(LEN($D201)&lt;cbb_unvanMinLen,"UNVAN","TANIMSIZ"))))))</f>
        <v/>
      </c>
    </row>
    <row r="202">
      <c r="A202" s="26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IF($A202="","",IFERROR(INDEX(tblVeriA[Unvan],MATCH($A202,tblAnahtarA[Norm],0)),""))</f>
        <v/>
      </c>
      <c r="E202" s="16">
        <f>IF($A202="","",IFERROR(SUMIF(tblAnahtarB[NormB],$A202,tblVeriB[BelgeAdet]),0))</f>
        <v/>
      </c>
      <c r="F202" s="16">
        <f>IF($A202="","",IFERROR(INDEX(tblVeriB[FormTipi],MATCH($A202,tblAnahtarB[NormB],0)),""))</f>
        <v/>
      </c>
      <c r="G202" s="16">
        <f>IF($A202="","",IFERROR(INDEX(tblVeriA[Donem],MATCH($A202,tblAnahtarA[Norm],0)),""))</f>
        <v/>
      </c>
      <c r="H202" s="16">
        <f>IF(OR($A202="",$B202&lt;&gt;"tutar_farki"),"",IF($E202=0,"BELGE_EKSIK",IF($C202&lt;=toleransKurus*cbb_yuvarlamaCarpan,"YUVARLAMA",IF(AND($F202&lt;&gt;"Ba",$F202&lt;&gt;"Bs"),"TIP_KARISIK",IF($C202&gt;cbb_esikFark*cbb_donemCarpan,"DONEM",IF(LEN($D202)&lt;cbb_unvanMinLen,"UNVAN","TANIMSIZ"))))))</f>
        <v/>
      </c>
    </row>
    <row r="203">
      <c r="A203" s="26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IF($A203="","",IFERROR(INDEX(tblVeriA[Unvan],MATCH($A203,tblAnahtarA[Norm],0)),""))</f>
        <v/>
      </c>
      <c r="E203" s="16">
        <f>IF($A203="","",IFERROR(SUMIF(tblAnahtarB[NormB],$A203,tblVeriB[BelgeAdet]),0))</f>
        <v/>
      </c>
      <c r="F203" s="16">
        <f>IF($A203="","",IFERROR(INDEX(tblVeriB[FormTipi],MATCH($A203,tblAnahtarB[NormB],0)),""))</f>
        <v/>
      </c>
      <c r="G203" s="16">
        <f>IF($A203="","",IFERROR(INDEX(tblVeriA[Donem],MATCH($A203,tblAnahtarA[Norm],0)),""))</f>
        <v/>
      </c>
      <c r="H203" s="16">
        <f>IF(OR($A203="",$B203&lt;&gt;"tutar_farki"),"",IF($E203=0,"BELGE_EKSIK",IF($C203&lt;=toleransKurus*cbb_yuvarlamaCarpan,"YUVARLAMA",IF(AND($F203&lt;&gt;"Ba",$F203&lt;&gt;"Bs"),"TIP_KARISIK",IF($C203&gt;cbb_esikFark*cbb_donemCarpan,"DONEM",IF(LEN($D203)&lt;cbb_unvanMinLen,"UNVAN","TANIMSIZ"))))))</f>
        <v/>
      </c>
    </row>
    <row r="204">
      <c r="A204" s="26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IF($A204="","",IFERROR(INDEX(tblVeriA[Unvan],MATCH($A204,tblAnahtarA[Norm],0)),""))</f>
        <v/>
      </c>
      <c r="E204" s="16">
        <f>IF($A204="","",IFERROR(SUMIF(tblAnahtarB[NormB],$A204,tblVeriB[BelgeAdet]),0))</f>
        <v/>
      </c>
      <c r="F204" s="16">
        <f>IF($A204="","",IFERROR(INDEX(tblVeriB[FormTipi],MATCH($A204,tblAnahtarB[NormB],0)),""))</f>
        <v/>
      </c>
      <c r="G204" s="16">
        <f>IF($A204="","",IFERROR(INDEX(tblVeriA[Donem],MATCH($A204,tblAnahtarA[Norm],0)),""))</f>
        <v/>
      </c>
      <c r="H204" s="16">
        <f>IF(OR($A204="",$B204&lt;&gt;"tutar_farki"),"",IF($E204=0,"BELGE_EKSIK",IF($C204&lt;=toleransKurus*cbb_yuvarlamaCarpan,"YUVARLAMA",IF(AND($F204&lt;&gt;"Ba",$F204&lt;&gt;"Bs"),"TIP_KARISIK",IF($C204&gt;cbb_esikFark*cbb_donemCarpan,"DONEM",IF(LEN($D204)&lt;cbb_unvanMinLen,"UNVAN","TANIMSIZ"))))))</f>
        <v/>
      </c>
    </row>
    <row r="205">
      <c r="A205" s="26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IF($A205="","",IFERROR(INDEX(tblVeriA[Unvan],MATCH($A205,tblAnahtarA[Norm],0)),""))</f>
        <v/>
      </c>
      <c r="E205" s="16">
        <f>IF($A205="","",IFERROR(SUMIF(tblAnahtarB[NormB],$A205,tblVeriB[BelgeAdet]),0))</f>
        <v/>
      </c>
      <c r="F205" s="16">
        <f>IF($A205="","",IFERROR(INDEX(tblVeriB[FormTipi],MATCH($A205,tblAnahtarB[NormB],0)),""))</f>
        <v/>
      </c>
      <c r="G205" s="16">
        <f>IF($A205="","",IFERROR(INDEX(tblVeriA[Donem],MATCH($A205,tblAnahtarA[Norm],0)),""))</f>
        <v/>
      </c>
      <c r="H205" s="16">
        <f>IF(OR($A205="",$B205&lt;&gt;"tutar_farki"),"",IF($E205=0,"BELGE_EKSIK",IF($C205&lt;=toleransKurus*cbb_yuvarlamaCarpan,"YUVARLAMA",IF(AND($F205&lt;&gt;"Ba",$F205&lt;&gt;"Bs"),"TIP_KARISIK",IF($C205&gt;cbb_esikFark*cbb_donemCarpan,"DONEM",IF(LEN($D205)&lt;cbb_unvanMinLen,"UNVAN","TANIMSIZ"))))))</f>
        <v/>
      </c>
    </row>
    <row r="206">
      <c r="A206" s="26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IF($A206="","",IFERROR(INDEX(tblVeriA[Unvan],MATCH($A206,tblAnahtarA[Norm],0)),""))</f>
        <v/>
      </c>
      <c r="E206" s="16">
        <f>IF($A206="","",IFERROR(SUMIF(tblAnahtarB[NormB],$A206,tblVeriB[BelgeAdet]),0))</f>
        <v/>
      </c>
      <c r="F206" s="16">
        <f>IF($A206="","",IFERROR(INDEX(tblVeriB[FormTipi],MATCH($A206,tblAnahtarB[NormB],0)),""))</f>
        <v/>
      </c>
      <c r="G206" s="16">
        <f>IF($A206="","",IFERROR(INDEX(tblVeriA[Donem],MATCH($A206,tblAnahtarA[Norm],0)),""))</f>
        <v/>
      </c>
      <c r="H206" s="16">
        <f>IF(OR($A206="",$B206&lt;&gt;"tutar_farki"),"",IF($E206=0,"BELGE_EKSIK",IF($C206&lt;=toleransKurus*cbb_yuvarlamaCarpan,"YUVARLAMA",IF(AND($F206&lt;&gt;"Ba",$F206&lt;&gt;"Bs"),"TIP_KARISIK",IF($C206&gt;cbb_esikFark*cbb_donemCarpan,"DONEM",IF(LEN($D206)&lt;cbb_unvanMinLen,"UNVAN","TANIMSIZ"))))))</f>
        <v/>
      </c>
    </row>
    <row r="207">
      <c r="A207" s="26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IF($A207="","",IFERROR(INDEX(tblVeriA[Unvan],MATCH($A207,tblAnahtarA[Norm],0)),""))</f>
        <v/>
      </c>
      <c r="E207" s="16">
        <f>IF($A207="","",IFERROR(SUMIF(tblAnahtarB[NormB],$A207,tblVeriB[BelgeAdet]),0))</f>
        <v/>
      </c>
      <c r="F207" s="16">
        <f>IF($A207="","",IFERROR(INDEX(tblVeriB[FormTipi],MATCH($A207,tblAnahtarB[NormB],0)),""))</f>
        <v/>
      </c>
      <c r="G207" s="16">
        <f>IF($A207="","",IFERROR(INDEX(tblVeriA[Donem],MATCH($A207,tblAnahtarA[Norm],0)),""))</f>
        <v/>
      </c>
      <c r="H207" s="16">
        <f>IF(OR($A207="",$B207&lt;&gt;"tutar_farki"),"",IF($E207=0,"BELGE_EKSIK",IF($C207&lt;=toleransKurus*cbb_yuvarlamaCarpan,"YUVARLAMA",IF(AND($F207&lt;&gt;"Ba",$F207&lt;&gt;"Bs"),"TIP_KARISIK",IF($C207&gt;cbb_esikFark*cbb_donemCarpan,"DONEM",IF(LEN($D207)&lt;cbb_unvanMinLen,"UNVAN","TANIMSIZ"))))))</f>
        <v/>
      </c>
    </row>
    <row r="208">
      <c r="A208" s="26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IF($A208="","",IFERROR(INDEX(tblVeriA[Unvan],MATCH($A208,tblAnahtarA[Norm],0)),""))</f>
        <v/>
      </c>
      <c r="E208" s="16">
        <f>IF($A208="","",IFERROR(SUMIF(tblAnahtarB[NormB],$A208,tblVeriB[BelgeAdet]),0))</f>
        <v/>
      </c>
      <c r="F208" s="16">
        <f>IF($A208="","",IFERROR(INDEX(tblVeriB[FormTipi],MATCH($A208,tblAnahtarB[NormB],0)),""))</f>
        <v/>
      </c>
      <c r="G208" s="16">
        <f>IF($A208="","",IFERROR(INDEX(tblVeriA[Donem],MATCH($A208,tblAnahtarA[Norm],0)),""))</f>
        <v/>
      </c>
      <c r="H208" s="16">
        <f>IF(OR($A208="",$B208&lt;&gt;"tutar_farki"),"",IF($E208=0,"BELGE_EKSIK",IF($C208&lt;=toleransKurus*cbb_yuvarlamaCarpan,"YUVARLAMA",IF(AND($F208&lt;&gt;"Ba",$F208&lt;&gt;"Bs"),"TIP_KARISIK",IF($C208&gt;cbb_esikFark*cbb_donemCarpan,"DONEM",IF(LEN($D208)&lt;cbb_unvanMinLen,"UNVAN","TANIMSIZ"))))))</f>
        <v/>
      </c>
    </row>
    <row r="209">
      <c r="A209" s="26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IF($A209="","",IFERROR(INDEX(tblVeriA[Unvan],MATCH($A209,tblAnahtarA[Norm],0)),""))</f>
        <v/>
      </c>
      <c r="E209" s="16">
        <f>IF($A209="","",IFERROR(SUMIF(tblAnahtarB[NormB],$A209,tblVeriB[BelgeAdet]),0))</f>
        <v/>
      </c>
      <c r="F209" s="16">
        <f>IF($A209="","",IFERROR(INDEX(tblVeriB[FormTipi],MATCH($A209,tblAnahtarB[NormB],0)),""))</f>
        <v/>
      </c>
      <c r="G209" s="16">
        <f>IF($A209="","",IFERROR(INDEX(tblVeriA[Donem],MATCH($A209,tblAnahtarA[Norm],0)),""))</f>
        <v/>
      </c>
      <c r="H209" s="16">
        <f>IF(OR($A209="",$B209&lt;&gt;"tutar_farki"),"",IF($E209=0,"BELGE_EKSIK",IF($C209&lt;=toleransKurus*cbb_yuvarlamaCarpan,"YUVARLAMA",IF(AND($F209&lt;&gt;"Ba",$F209&lt;&gt;"Bs"),"TIP_KARISIK",IF($C209&gt;cbb_esikFark*cbb_donemCarpan,"DONEM",IF(LEN($D209)&lt;cbb_unvanMinLen,"UNVAN","TANIMSIZ"))))))</f>
        <v/>
      </c>
    </row>
    <row r="210">
      <c r="A210" s="26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IF($A210="","",IFERROR(INDEX(tblVeriA[Unvan],MATCH($A210,tblAnahtarA[Norm],0)),""))</f>
        <v/>
      </c>
      <c r="E210" s="16">
        <f>IF($A210="","",IFERROR(SUMIF(tblAnahtarB[NormB],$A210,tblVeriB[BelgeAdet]),0))</f>
        <v/>
      </c>
      <c r="F210" s="16">
        <f>IF($A210="","",IFERROR(INDEX(tblVeriB[FormTipi],MATCH($A210,tblAnahtarB[NormB],0)),""))</f>
        <v/>
      </c>
      <c r="G210" s="16">
        <f>IF($A210="","",IFERROR(INDEX(tblVeriA[Donem],MATCH($A210,tblAnahtarA[Norm],0)),""))</f>
        <v/>
      </c>
      <c r="H210" s="16">
        <f>IF(OR($A210="",$B210&lt;&gt;"tutar_farki"),"",IF($E210=0,"BELGE_EKSIK",IF($C210&lt;=toleransKurus*cbb_yuvarlamaCarpan,"YUVARLAMA",IF(AND($F210&lt;&gt;"Ba",$F210&lt;&gt;"Bs"),"TIP_KARISIK",IF($C210&gt;cbb_esikFark*cbb_donemCarpan,"DONEM",IF(LEN($D210)&lt;cbb_unvanMinLen,"UNVAN","TANIMSIZ"))))))</f>
        <v/>
      </c>
    </row>
    <row r="211">
      <c r="A211" s="26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IF($A211="","",IFERROR(INDEX(tblVeriA[Unvan],MATCH($A211,tblAnahtarA[Norm],0)),""))</f>
        <v/>
      </c>
      <c r="E211" s="16">
        <f>IF($A211="","",IFERROR(SUMIF(tblAnahtarB[NormB],$A211,tblVeriB[BelgeAdet]),0))</f>
        <v/>
      </c>
      <c r="F211" s="16">
        <f>IF($A211="","",IFERROR(INDEX(tblVeriB[FormTipi],MATCH($A211,tblAnahtarB[NormB],0)),""))</f>
        <v/>
      </c>
      <c r="G211" s="16">
        <f>IF($A211="","",IFERROR(INDEX(tblVeriA[Donem],MATCH($A211,tblAnahtarA[Norm],0)),""))</f>
        <v/>
      </c>
      <c r="H211" s="16">
        <f>IF(OR($A211="",$B211&lt;&gt;"tutar_farki"),"",IF($E211=0,"BELGE_EKSIK",IF($C211&lt;=toleransKurus*cbb_yuvarlamaCarpan,"YUVARLAMA",IF(AND($F211&lt;&gt;"Ba",$F211&lt;&gt;"Bs"),"TIP_KARISIK",IF($C211&gt;cbb_esikFark*cbb_donemCarpan,"DONEM",IF(LEN($D211)&lt;cbb_unvanMinLen,"UNVAN","TANIMSIZ"))))))</f>
        <v/>
      </c>
    </row>
    <row r="212">
      <c r="A212" s="26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IF($A212="","",IFERROR(INDEX(tblVeriA[Unvan],MATCH($A212,tblAnahtarA[Norm],0)),""))</f>
        <v/>
      </c>
      <c r="E212" s="16">
        <f>IF($A212="","",IFERROR(SUMIF(tblAnahtarB[NormB],$A212,tblVeriB[BelgeAdet]),0))</f>
        <v/>
      </c>
      <c r="F212" s="16">
        <f>IF($A212="","",IFERROR(INDEX(tblVeriB[FormTipi],MATCH($A212,tblAnahtarB[NormB],0)),""))</f>
        <v/>
      </c>
      <c r="G212" s="16">
        <f>IF($A212="","",IFERROR(INDEX(tblVeriA[Donem],MATCH($A212,tblAnahtarA[Norm],0)),""))</f>
        <v/>
      </c>
      <c r="H212" s="16">
        <f>IF(OR($A212="",$B212&lt;&gt;"tutar_farki"),"",IF($E212=0,"BELGE_EKSIK",IF($C212&lt;=toleransKurus*cbb_yuvarlamaCarpan,"YUVARLAMA",IF(AND($F212&lt;&gt;"Ba",$F212&lt;&gt;"Bs"),"TIP_KARISIK",IF($C212&gt;cbb_esikFark*cbb_donemCarpan,"DONEM",IF(LEN($D212)&lt;cbb_unvanMinLen,"UNVAN","TANIMSIZ"))))))</f>
        <v/>
      </c>
    </row>
    <row r="213">
      <c r="A213" s="26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IF($A213="","",IFERROR(INDEX(tblVeriA[Unvan],MATCH($A213,tblAnahtarA[Norm],0)),""))</f>
        <v/>
      </c>
      <c r="E213" s="16">
        <f>IF($A213="","",IFERROR(SUMIF(tblAnahtarB[NormB],$A213,tblVeriB[BelgeAdet]),0))</f>
        <v/>
      </c>
      <c r="F213" s="16">
        <f>IF($A213="","",IFERROR(INDEX(tblVeriB[FormTipi],MATCH($A213,tblAnahtarB[NormB],0)),""))</f>
        <v/>
      </c>
      <c r="G213" s="16">
        <f>IF($A213="","",IFERROR(INDEX(tblVeriA[Donem],MATCH($A213,tblAnahtarA[Norm],0)),""))</f>
        <v/>
      </c>
      <c r="H213" s="16">
        <f>IF(OR($A213="",$B213&lt;&gt;"tutar_farki"),"",IF($E213=0,"BELGE_EKSIK",IF($C213&lt;=toleransKurus*cbb_yuvarlamaCarpan,"YUVARLAMA",IF(AND($F213&lt;&gt;"Ba",$F213&lt;&gt;"Bs"),"TIP_KARISIK",IF($C213&gt;cbb_esikFark*cbb_donemCarpan,"DONEM",IF(LEN($D213)&lt;cbb_unvanMinLen,"UNVAN","TANIMSIZ"))))))</f>
        <v/>
      </c>
    </row>
    <row r="214">
      <c r="A214" s="26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IF($A214="","",IFERROR(INDEX(tblVeriA[Unvan],MATCH($A214,tblAnahtarA[Norm],0)),""))</f>
        <v/>
      </c>
      <c r="E214" s="16">
        <f>IF($A214="","",IFERROR(SUMIF(tblAnahtarB[NormB],$A214,tblVeriB[BelgeAdet]),0))</f>
        <v/>
      </c>
      <c r="F214" s="16">
        <f>IF($A214="","",IFERROR(INDEX(tblVeriB[FormTipi],MATCH($A214,tblAnahtarB[NormB],0)),""))</f>
        <v/>
      </c>
      <c r="G214" s="16">
        <f>IF($A214="","",IFERROR(INDEX(tblVeriA[Donem],MATCH($A214,tblAnahtarA[Norm],0)),""))</f>
        <v/>
      </c>
      <c r="H214" s="16">
        <f>IF(OR($A214="",$B214&lt;&gt;"tutar_farki"),"",IF($E214=0,"BELGE_EKSIK",IF($C214&lt;=toleransKurus*cbb_yuvarlamaCarpan,"YUVARLAMA",IF(AND($F214&lt;&gt;"Ba",$F214&lt;&gt;"Bs"),"TIP_KARISIK",IF($C214&gt;cbb_esikFark*cbb_donemCarpan,"DONEM",IF(LEN($D214)&lt;cbb_unvanMinLen,"UNVAN","TANIMSIZ"))))))</f>
        <v/>
      </c>
    </row>
    <row r="215">
      <c r="A215" s="26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IF($A215="","",IFERROR(INDEX(tblVeriA[Unvan],MATCH($A215,tblAnahtarA[Norm],0)),""))</f>
        <v/>
      </c>
      <c r="E215" s="16">
        <f>IF($A215="","",IFERROR(SUMIF(tblAnahtarB[NormB],$A215,tblVeriB[BelgeAdet]),0))</f>
        <v/>
      </c>
      <c r="F215" s="16">
        <f>IF($A215="","",IFERROR(INDEX(tblVeriB[FormTipi],MATCH($A215,tblAnahtarB[NormB],0)),""))</f>
        <v/>
      </c>
      <c r="G215" s="16">
        <f>IF($A215="","",IFERROR(INDEX(tblVeriA[Donem],MATCH($A215,tblAnahtarA[Norm],0)),""))</f>
        <v/>
      </c>
      <c r="H215" s="16">
        <f>IF(OR($A215="",$B215&lt;&gt;"tutar_farki"),"",IF($E215=0,"BELGE_EKSIK",IF($C215&lt;=toleransKurus*cbb_yuvarlamaCarpan,"YUVARLAMA",IF(AND($F215&lt;&gt;"Ba",$F215&lt;&gt;"Bs"),"TIP_KARISIK",IF($C215&gt;cbb_esikFark*cbb_donemCarpan,"DONEM",IF(LEN($D215)&lt;cbb_unvanMinLen,"UNVAN","TANIMSIZ"))))))</f>
        <v/>
      </c>
    </row>
    <row r="216">
      <c r="A216" s="26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IF($A216="","",IFERROR(INDEX(tblVeriA[Unvan],MATCH($A216,tblAnahtarA[Norm],0)),""))</f>
        <v/>
      </c>
      <c r="E216" s="16">
        <f>IF($A216="","",IFERROR(SUMIF(tblAnahtarB[NormB],$A216,tblVeriB[BelgeAdet]),0))</f>
        <v/>
      </c>
      <c r="F216" s="16">
        <f>IF($A216="","",IFERROR(INDEX(tblVeriB[FormTipi],MATCH($A216,tblAnahtarB[NormB],0)),""))</f>
        <v/>
      </c>
      <c r="G216" s="16">
        <f>IF($A216="","",IFERROR(INDEX(tblVeriA[Donem],MATCH($A216,tblAnahtarA[Norm],0)),""))</f>
        <v/>
      </c>
      <c r="H216" s="16">
        <f>IF(OR($A216="",$B216&lt;&gt;"tutar_farki"),"",IF($E216=0,"BELGE_EKSIK",IF($C216&lt;=toleransKurus*cbb_yuvarlamaCarpan,"YUVARLAMA",IF(AND($F216&lt;&gt;"Ba",$F216&lt;&gt;"Bs"),"TIP_KARISIK",IF($C216&gt;cbb_esikFark*cbb_donemCarpan,"DONEM",IF(LEN($D216)&lt;cbb_unvanMinLen,"UNVAN","TANIMSIZ"))))))</f>
        <v/>
      </c>
    </row>
    <row r="217">
      <c r="A217" s="26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IF($A217="","",IFERROR(INDEX(tblVeriA[Unvan],MATCH($A217,tblAnahtarA[Norm],0)),""))</f>
        <v/>
      </c>
      <c r="E217" s="16">
        <f>IF($A217="","",IFERROR(SUMIF(tblAnahtarB[NormB],$A217,tblVeriB[BelgeAdet]),0))</f>
        <v/>
      </c>
      <c r="F217" s="16">
        <f>IF($A217="","",IFERROR(INDEX(tblVeriB[FormTipi],MATCH($A217,tblAnahtarB[NormB],0)),""))</f>
        <v/>
      </c>
      <c r="G217" s="16">
        <f>IF($A217="","",IFERROR(INDEX(tblVeriA[Donem],MATCH($A217,tblAnahtarA[Norm],0)),""))</f>
        <v/>
      </c>
      <c r="H217" s="16">
        <f>IF(OR($A217="",$B217&lt;&gt;"tutar_farki"),"",IF($E217=0,"BELGE_EKSIK",IF($C217&lt;=toleransKurus*cbb_yuvarlamaCarpan,"YUVARLAMA",IF(AND($F217&lt;&gt;"Ba",$F217&lt;&gt;"Bs"),"TIP_KARISIK",IF($C217&gt;cbb_esikFark*cbb_donemCarpan,"DONEM",IF(LEN($D217)&lt;cbb_unvanMinLen,"UNVAN","TANIMSIZ"))))))</f>
        <v/>
      </c>
    </row>
    <row r="218">
      <c r="A218" s="26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IF($A218="","",IFERROR(INDEX(tblVeriA[Unvan],MATCH($A218,tblAnahtarA[Norm],0)),""))</f>
        <v/>
      </c>
      <c r="E218" s="16">
        <f>IF($A218="","",IFERROR(SUMIF(tblAnahtarB[NormB],$A218,tblVeriB[BelgeAdet]),0))</f>
        <v/>
      </c>
      <c r="F218" s="16">
        <f>IF($A218="","",IFERROR(INDEX(tblVeriB[FormTipi],MATCH($A218,tblAnahtarB[NormB],0)),""))</f>
        <v/>
      </c>
      <c r="G218" s="16">
        <f>IF($A218="","",IFERROR(INDEX(tblVeriA[Donem],MATCH($A218,tblAnahtarA[Norm],0)),""))</f>
        <v/>
      </c>
      <c r="H218" s="16">
        <f>IF(OR($A218="",$B218&lt;&gt;"tutar_farki"),"",IF($E218=0,"BELGE_EKSIK",IF($C218&lt;=toleransKurus*cbb_yuvarlamaCarpan,"YUVARLAMA",IF(AND($F218&lt;&gt;"Ba",$F218&lt;&gt;"Bs"),"TIP_KARISIK",IF($C218&gt;cbb_esikFark*cbb_donemCarpan,"DONEM",IF(LEN($D218)&lt;cbb_unvanMinLen,"UNVAN","TANIMSIZ"))))))</f>
        <v/>
      </c>
    </row>
    <row r="219">
      <c r="A219" s="26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IF($A219="","",IFERROR(INDEX(tblVeriA[Unvan],MATCH($A219,tblAnahtarA[Norm],0)),""))</f>
        <v/>
      </c>
      <c r="E219" s="16">
        <f>IF($A219="","",IFERROR(SUMIF(tblAnahtarB[NormB],$A219,tblVeriB[BelgeAdet]),0))</f>
        <v/>
      </c>
      <c r="F219" s="16">
        <f>IF($A219="","",IFERROR(INDEX(tblVeriB[FormTipi],MATCH($A219,tblAnahtarB[NormB],0)),""))</f>
        <v/>
      </c>
      <c r="G219" s="16">
        <f>IF($A219="","",IFERROR(INDEX(tblVeriA[Donem],MATCH($A219,tblAnahtarA[Norm],0)),""))</f>
        <v/>
      </c>
      <c r="H219" s="16">
        <f>IF(OR($A219="",$B219&lt;&gt;"tutar_farki"),"",IF($E219=0,"BELGE_EKSIK",IF($C219&lt;=toleransKurus*cbb_yuvarlamaCarpan,"YUVARLAMA",IF(AND($F219&lt;&gt;"Ba",$F219&lt;&gt;"Bs"),"TIP_KARISIK",IF($C219&gt;cbb_esikFark*cbb_donemCarpan,"DONEM",IF(LEN($D219)&lt;cbb_unvanMinLen,"UNVAN","TANIMSIZ"))))))</f>
        <v/>
      </c>
    </row>
    <row r="220">
      <c r="A220" s="26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IF($A220="","",IFERROR(INDEX(tblVeriA[Unvan],MATCH($A220,tblAnahtarA[Norm],0)),""))</f>
        <v/>
      </c>
      <c r="E220" s="16">
        <f>IF($A220="","",IFERROR(SUMIF(tblAnahtarB[NormB],$A220,tblVeriB[BelgeAdet]),0))</f>
        <v/>
      </c>
      <c r="F220" s="16">
        <f>IF($A220="","",IFERROR(INDEX(tblVeriB[FormTipi],MATCH($A220,tblAnahtarB[NormB],0)),""))</f>
        <v/>
      </c>
      <c r="G220" s="16">
        <f>IF($A220="","",IFERROR(INDEX(tblVeriA[Donem],MATCH($A220,tblAnahtarA[Norm],0)),""))</f>
        <v/>
      </c>
      <c r="H220" s="16">
        <f>IF(OR($A220="",$B220&lt;&gt;"tutar_farki"),"",IF($E220=0,"BELGE_EKSIK",IF($C220&lt;=toleransKurus*cbb_yuvarlamaCarpan,"YUVARLAMA",IF(AND($F220&lt;&gt;"Ba",$F220&lt;&gt;"Bs"),"TIP_KARISIK",IF($C220&gt;cbb_esikFark*cbb_donemCarpan,"DONEM",IF(LEN($D220)&lt;cbb_unvanMinLen,"UNVAN","TANIMSIZ"))))))</f>
        <v/>
      </c>
    </row>
    <row r="221">
      <c r="A221" s="26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IF($A221="","",IFERROR(INDEX(tblVeriA[Unvan],MATCH($A221,tblAnahtarA[Norm],0)),""))</f>
        <v/>
      </c>
      <c r="E221" s="16">
        <f>IF($A221="","",IFERROR(SUMIF(tblAnahtarB[NormB],$A221,tblVeriB[BelgeAdet]),0))</f>
        <v/>
      </c>
      <c r="F221" s="16">
        <f>IF($A221="","",IFERROR(INDEX(tblVeriB[FormTipi],MATCH($A221,tblAnahtarB[NormB],0)),""))</f>
        <v/>
      </c>
      <c r="G221" s="16">
        <f>IF($A221="","",IFERROR(INDEX(tblVeriA[Donem],MATCH($A221,tblAnahtarA[Norm],0)),""))</f>
        <v/>
      </c>
      <c r="H221" s="16">
        <f>IF(OR($A221="",$B221&lt;&gt;"tutar_farki"),"",IF($E221=0,"BELGE_EKSIK",IF($C221&lt;=toleransKurus*cbb_yuvarlamaCarpan,"YUVARLAMA",IF(AND($F221&lt;&gt;"Ba",$F221&lt;&gt;"Bs"),"TIP_KARISIK",IF($C221&gt;cbb_esikFark*cbb_donemCarpan,"DONEM",IF(LEN($D221)&lt;cbb_unvanMinLen,"UNVAN","TANIMSIZ"))))))</f>
        <v/>
      </c>
    </row>
    <row r="222">
      <c r="A222" s="26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IF($A222="","",IFERROR(INDEX(tblVeriA[Unvan],MATCH($A222,tblAnahtarA[Norm],0)),""))</f>
        <v/>
      </c>
      <c r="E222" s="16">
        <f>IF($A222="","",IFERROR(SUMIF(tblAnahtarB[NormB],$A222,tblVeriB[BelgeAdet]),0))</f>
        <v/>
      </c>
      <c r="F222" s="16">
        <f>IF($A222="","",IFERROR(INDEX(tblVeriB[FormTipi],MATCH($A222,tblAnahtarB[NormB],0)),""))</f>
        <v/>
      </c>
      <c r="G222" s="16">
        <f>IF($A222="","",IFERROR(INDEX(tblVeriA[Donem],MATCH($A222,tblAnahtarA[Norm],0)),""))</f>
        <v/>
      </c>
      <c r="H222" s="16">
        <f>IF(OR($A222="",$B222&lt;&gt;"tutar_farki"),"",IF($E222=0,"BELGE_EKSIK",IF($C222&lt;=toleransKurus*cbb_yuvarlamaCarpan,"YUVARLAMA",IF(AND($F222&lt;&gt;"Ba",$F222&lt;&gt;"Bs"),"TIP_KARISIK",IF($C222&gt;cbb_esikFark*cbb_donemCarpan,"DONEM",IF(LEN($D222)&lt;cbb_unvanMinLen,"UNVAN","TANIMSIZ"))))))</f>
        <v/>
      </c>
    </row>
    <row r="223">
      <c r="A223" s="26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IF($A223="","",IFERROR(INDEX(tblVeriA[Unvan],MATCH($A223,tblAnahtarA[Norm],0)),""))</f>
        <v/>
      </c>
      <c r="E223" s="16">
        <f>IF($A223="","",IFERROR(SUMIF(tblAnahtarB[NormB],$A223,tblVeriB[BelgeAdet]),0))</f>
        <v/>
      </c>
      <c r="F223" s="16">
        <f>IF($A223="","",IFERROR(INDEX(tblVeriB[FormTipi],MATCH($A223,tblAnahtarB[NormB],0)),""))</f>
        <v/>
      </c>
      <c r="G223" s="16">
        <f>IF($A223="","",IFERROR(INDEX(tblVeriA[Donem],MATCH($A223,tblAnahtarA[Norm],0)),""))</f>
        <v/>
      </c>
      <c r="H223" s="16">
        <f>IF(OR($A223="",$B223&lt;&gt;"tutar_farki"),"",IF($E223=0,"BELGE_EKSIK",IF($C223&lt;=toleransKurus*cbb_yuvarlamaCarpan,"YUVARLAMA",IF(AND($F223&lt;&gt;"Ba",$F223&lt;&gt;"Bs"),"TIP_KARISIK",IF($C223&gt;cbb_esikFark*cbb_donemCarpan,"DONEM",IF(LEN($D223)&lt;cbb_unvanMinLen,"UNVAN","TANIMSIZ"))))))</f>
        <v/>
      </c>
    </row>
    <row r="224">
      <c r="A224" s="26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IF($A224="","",IFERROR(INDEX(tblVeriA[Unvan],MATCH($A224,tblAnahtarA[Norm],0)),""))</f>
        <v/>
      </c>
      <c r="E224" s="16">
        <f>IF($A224="","",IFERROR(SUMIF(tblAnahtarB[NormB],$A224,tblVeriB[BelgeAdet]),0))</f>
        <v/>
      </c>
      <c r="F224" s="16">
        <f>IF($A224="","",IFERROR(INDEX(tblVeriB[FormTipi],MATCH($A224,tblAnahtarB[NormB],0)),""))</f>
        <v/>
      </c>
      <c r="G224" s="16">
        <f>IF($A224="","",IFERROR(INDEX(tblVeriA[Donem],MATCH($A224,tblAnahtarA[Norm],0)),""))</f>
        <v/>
      </c>
      <c r="H224" s="16">
        <f>IF(OR($A224="",$B224&lt;&gt;"tutar_farki"),"",IF($E224=0,"BELGE_EKSIK",IF($C224&lt;=toleransKurus*cbb_yuvarlamaCarpan,"YUVARLAMA",IF(AND($F224&lt;&gt;"Ba",$F224&lt;&gt;"Bs"),"TIP_KARISIK",IF($C224&gt;cbb_esikFark*cbb_donemCarpan,"DONEM",IF(LEN($D224)&lt;cbb_unvanMinLen,"UNVAN","TANIMSIZ"))))))</f>
        <v/>
      </c>
    </row>
    <row r="225">
      <c r="A225" s="26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IF($A225="","",IFERROR(INDEX(tblVeriA[Unvan],MATCH($A225,tblAnahtarA[Norm],0)),""))</f>
        <v/>
      </c>
      <c r="E225" s="16">
        <f>IF($A225="","",IFERROR(SUMIF(tblAnahtarB[NormB],$A225,tblVeriB[BelgeAdet]),0))</f>
        <v/>
      </c>
      <c r="F225" s="16">
        <f>IF($A225="","",IFERROR(INDEX(tblVeriB[FormTipi],MATCH($A225,tblAnahtarB[NormB],0)),""))</f>
        <v/>
      </c>
      <c r="G225" s="16">
        <f>IF($A225="","",IFERROR(INDEX(tblVeriA[Donem],MATCH($A225,tblAnahtarA[Norm],0)),""))</f>
        <v/>
      </c>
      <c r="H225" s="16">
        <f>IF(OR($A225="",$B225&lt;&gt;"tutar_farki"),"",IF($E225=0,"BELGE_EKSIK",IF($C225&lt;=toleransKurus*cbb_yuvarlamaCarpan,"YUVARLAMA",IF(AND($F225&lt;&gt;"Ba",$F225&lt;&gt;"Bs"),"TIP_KARISIK",IF($C225&gt;cbb_esikFark*cbb_donemCarpan,"DONEM",IF(LEN($D225)&lt;cbb_unvanMinLen,"UNVAN","TANIMSIZ"))))))</f>
        <v/>
      </c>
    </row>
    <row r="226">
      <c r="A226" s="26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IF($A226="","",IFERROR(INDEX(tblVeriA[Unvan],MATCH($A226,tblAnahtarA[Norm],0)),""))</f>
        <v/>
      </c>
      <c r="E226" s="16">
        <f>IF($A226="","",IFERROR(SUMIF(tblAnahtarB[NormB],$A226,tblVeriB[BelgeAdet]),0))</f>
        <v/>
      </c>
      <c r="F226" s="16">
        <f>IF($A226="","",IFERROR(INDEX(tblVeriB[FormTipi],MATCH($A226,tblAnahtarB[NormB],0)),""))</f>
        <v/>
      </c>
      <c r="G226" s="16">
        <f>IF($A226="","",IFERROR(INDEX(tblVeriA[Donem],MATCH($A226,tblAnahtarA[Norm],0)),""))</f>
        <v/>
      </c>
      <c r="H226" s="16">
        <f>IF(OR($A226="",$B226&lt;&gt;"tutar_farki"),"",IF($E226=0,"BELGE_EKSIK",IF($C226&lt;=toleransKurus*cbb_yuvarlamaCarpan,"YUVARLAMA",IF(AND($F226&lt;&gt;"Ba",$F226&lt;&gt;"Bs"),"TIP_KARISIK",IF($C226&gt;cbb_esikFark*cbb_donemCarpan,"DONEM",IF(LEN($D226)&lt;cbb_unvanMinLen,"UNVAN","TANIMSIZ"))))))</f>
        <v/>
      </c>
    </row>
    <row r="227">
      <c r="A227" s="26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IF($A227="","",IFERROR(INDEX(tblVeriA[Unvan],MATCH($A227,tblAnahtarA[Norm],0)),""))</f>
        <v/>
      </c>
      <c r="E227" s="16">
        <f>IF($A227="","",IFERROR(SUMIF(tblAnahtarB[NormB],$A227,tblVeriB[BelgeAdet]),0))</f>
        <v/>
      </c>
      <c r="F227" s="16">
        <f>IF($A227="","",IFERROR(INDEX(tblVeriB[FormTipi],MATCH($A227,tblAnahtarB[NormB],0)),""))</f>
        <v/>
      </c>
      <c r="G227" s="16">
        <f>IF($A227="","",IFERROR(INDEX(tblVeriA[Donem],MATCH($A227,tblAnahtarA[Norm],0)),""))</f>
        <v/>
      </c>
      <c r="H227" s="16">
        <f>IF(OR($A227="",$B227&lt;&gt;"tutar_farki"),"",IF($E227=0,"BELGE_EKSIK",IF($C227&lt;=toleransKurus*cbb_yuvarlamaCarpan,"YUVARLAMA",IF(AND($F227&lt;&gt;"Ba",$F227&lt;&gt;"Bs"),"TIP_KARISIK",IF($C227&gt;cbb_esikFark*cbb_donemCarpan,"DONEM",IF(LEN($D227)&lt;cbb_unvanMinLen,"UNVAN","TANIMSIZ"))))))</f>
        <v/>
      </c>
    </row>
    <row r="228">
      <c r="A228" s="26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IF($A228="","",IFERROR(INDEX(tblVeriA[Unvan],MATCH($A228,tblAnahtarA[Norm],0)),""))</f>
        <v/>
      </c>
      <c r="E228" s="16">
        <f>IF($A228="","",IFERROR(SUMIF(tblAnahtarB[NormB],$A228,tblVeriB[BelgeAdet]),0))</f>
        <v/>
      </c>
      <c r="F228" s="16">
        <f>IF($A228="","",IFERROR(INDEX(tblVeriB[FormTipi],MATCH($A228,tblAnahtarB[NormB],0)),""))</f>
        <v/>
      </c>
      <c r="G228" s="16">
        <f>IF($A228="","",IFERROR(INDEX(tblVeriA[Donem],MATCH($A228,tblAnahtarA[Norm],0)),""))</f>
        <v/>
      </c>
      <c r="H228" s="16">
        <f>IF(OR($A228="",$B228&lt;&gt;"tutar_farki"),"",IF($E228=0,"BELGE_EKSIK",IF($C228&lt;=toleransKurus*cbb_yuvarlamaCarpan,"YUVARLAMA",IF(AND($F228&lt;&gt;"Ba",$F228&lt;&gt;"Bs"),"TIP_KARISIK",IF($C228&gt;cbb_esikFark*cbb_donemCarpan,"DONEM",IF(LEN($D228)&lt;cbb_unvanMinLen,"UNVAN","TANIMSIZ"))))))</f>
        <v/>
      </c>
    </row>
    <row r="229">
      <c r="A229" s="26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IF($A229="","",IFERROR(INDEX(tblVeriA[Unvan],MATCH($A229,tblAnahtarA[Norm],0)),""))</f>
        <v/>
      </c>
      <c r="E229" s="16">
        <f>IF($A229="","",IFERROR(SUMIF(tblAnahtarB[NormB],$A229,tblVeriB[BelgeAdet]),0))</f>
        <v/>
      </c>
      <c r="F229" s="16">
        <f>IF($A229="","",IFERROR(INDEX(tblVeriB[FormTipi],MATCH($A229,tblAnahtarB[NormB],0)),""))</f>
        <v/>
      </c>
      <c r="G229" s="16">
        <f>IF($A229="","",IFERROR(INDEX(tblVeriA[Donem],MATCH($A229,tblAnahtarA[Norm],0)),""))</f>
        <v/>
      </c>
      <c r="H229" s="16">
        <f>IF(OR($A229="",$B229&lt;&gt;"tutar_farki"),"",IF($E229=0,"BELGE_EKSIK",IF($C229&lt;=toleransKurus*cbb_yuvarlamaCarpan,"YUVARLAMA",IF(AND($F229&lt;&gt;"Ba",$F229&lt;&gt;"Bs"),"TIP_KARISIK",IF($C229&gt;cbb_esikFark*cbb_donemCarpan,"DONEM",IF(LEN($D229)&lt;cbb_unvanMinLen,"UNVAN","TANIMSIZ"))))))</f>
        <v/>
      </c>
    </row>
    <row r="230">
      <c r="A230" s="26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IF($A230="","",IFERROR(INDEX(tblVeriA[Unvan],MATCH($A230,tblAnahtarA[Norm],0)),""))</f>
        <v/>
      </c>
      <c r="E230" s="16">
        <f>IF($A230="","",IFERROR(SUMIF(tblAnahtarB[NormB],$A230,tblVeriB[BelgeAdet]),0))</f>
        <v/>
      </c>
      <c r="F230" s="16">
        <f>IF($A230="","",IFERROR(INDEX(tblVeriB[FormTipi],MATCH($A230,tblAnahtarB[NormB],0)),""))</f>
        <v/>
      </c>
      <c r="G230" s="16">
        <f>IF($A230="","",IFERROR(INDEX(tblVeriA[Donem],MATCH($A230,tblAnahtarA[Norm],0)),""))</f>
        <v/>
      </c>
      <c r="H230" s="16">
        <f>IF(OR($A230="",$B230&lt;&gt;"tutar_farki"),"",IF($E230=0,"BELGE_EKSIK",IF($C230&lt;=toleransKurus*cbb_yuvarlamaCarpan,"YUVARLAMA",IF(AND($F230&lt;&gt;"Ba",$F230&lt;&gt;"Bs"),"TIP_KARISIK",IF($C230&gt;cbb_esikFark*cbb_donemCarpan,"DONEM",IF(LEN($D230)&lt;cbb_unvanMinLen,"UNVAN","TANIMSIZ"))))))</f>
        <v/>
      </c>
    </row>
    <row r="231">
      <c r="A231" s="26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IF($A231="","",IFERROR(INDEX(tblVeriA[Unvan],MATCH($A231,tblAnahtarA[Norm],0)),""))</f>
        <v/>
      </c>
      <c r="E231" s="16">
        <f>IF($A231="","",IFERROR(SUMIF(tblAnahtarB[NormB],$A231,tblVeriB[BelgeAdet]),0))</f>
        <v/>
      </c>
      <c r="F231" s="16">
        <f>IF($A231="","",IFERROR(INDEX(tblVeriB[FormTipi],MATCH($A231,tblAnahtarB[NormB],0)),""))</f>
        <v/>
      </c>
      <c r="G231" s="16">
        <f>IF($A231="","",IFERROR(INDEX(tblVeriA[Donem],MATCH($A231,tblAnahtarA[Norm],0)),""))</f>
        <v/>
      </c>
      <c r="H231" s="16">
        <f>IF(OR($A231="",$B231&lt;&gt;"tutar_farki"),"",IF($E231=0,"BELGE_EKSIK",IF($C231&lt;=toleransKurus*cbb_yuvarlamaCarpan,"YUVARLAMA",IF(AND($F231&lt;&gt;"Ba",$F231&lt;&gt;"Bs"),"TIP_KARISIK",IF($C231&gt;cbb_esikFark*cbb_donemCarpan,"DONEM",IF(LEN($D231)&lt;cbb_unvanMinLen,"UNVAN","TANIMSIZ"))))))</f>
        <v/>
      </c>
    </row>
    <row r="232">
      <c r="A232" s="26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IF($A232="","",IFERROR(INDEX(tblVeriA[Unvan],MATCH($A232,tblAnahtarA[Norm],0)),""))</f>
        <v/>
      </c>
      <c r="E232" s="16">
        <f>IF($A232="","",IFERROR(SUMIF(tblAnahtarB[NormB],$A232,tblVeriB[BelgeAdet]),0))</f>
        <v/>
      </c>
      <c r="F232" s="16">
        <f>IF($A232="","",IFERROR(INDEX(tblVeriB[FormTipi],MATCH($A232,tblAnahtarB[NormB],0)),""))</f>
        <v/>
      </c>
      <c r="G232" s="16">
        <f>IF($A232="","",IFERROR(INDEX(tblVeriA[Donem],MATCH($A232,tblAnahtarA[Norm],0)),""))</f>
        <v/>
      </c>
      <c r="H232" s="16">
        <f>IF(OR($A232="",$B232&lt;&gt;"tutar_farki"),"",IF($E232=0,"BELGE_EKSIK",IF($C232&lt;=toleransKurus*cbb_yuvarlamaCarpan,"YUVARLAMA",IF(AND($F232&lt;&gt;"Ba",$F232&lt;&gt;"Bs"),"TIP_KARISIK",IF($C232&gt;cbb_esikFark*cbb_donemCarpan,"DONEM",IF(LEN($D232)&lt;cbb_unvanMinLen,"UNVAN","TANIMSIZ"))))))</f>
        <v/>
      </c>
    </row>
    <row r="233">
      <c r="A233" s="26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IF($A233="","",IFERROR(INDEX(tblVeriA[Unvan],MATCH($A233,tblAnahtarA[Norm],0)),""))</f>
        <v/>
      </c>
      <c r="E233" s="16">
        <f>IF($A233="","",IFERROR(SUMIF(tblAnahtarB[NormB],$A233,tblVeriB[BelgeAdet]),0))</f>
        <v/>
      </c>
      <c r="F233" s="16">
        <f>IF($A233="","",IFERROR(INDEX(tblVeriB[FormTipi],MATCH($A233,tblAnahtarB[NormB],0)),""))</f>
        <v/>
      </c>
      <c r="G233" s="16">
        <f>IF($A233="","",IFERROR(INDEX(tblVeriA[Donem],MATCH($A233,tblAnahtarA[Norm],0)),""))</f>
        <v/>
      </c>
      <c r="H233" s="16">
        <f>IF(OR($A233="",$B233&lt;&gt;"tutar_farki"),"",IF($E233=0,"BELGE_EKSIK",IF($C233&lt;=toleransKurus*cbb_yuvarlamaCarpan,"YUVARLAMA",IF(AND($F233&lt;&gt;"Ba",$F233&lt;&gt;"Bs"),"TIP_KARISIK",IF($C233&gt;cbb_esikFark*cbb_donemCarpan,"DONEM",IF(LEN($D233)&lt;cbb_unvanMinLen,"UNVAN","TANIMSIZ"))))))</f>
        <v/>
      </c>
    </row>
    <row r="234">
      <c r="A234" s="26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IF($A234="","",IFERROR(INDEX(tblVeriA[Unvan],MATCH($A234,tblAnahtarA[Norm],0)),""))</f>
        <v/>
      </c>
      <c r="E234" s="16">
        <f>IF($A234="","",IFERROR(SUMIF(tblAnahtarB[NormB],$A234,tblVeriB[BelgeAdet]),0))</f>
        <v/>
      </c>
      <c r="F234" s="16">
        <f>IF($A234="","",IFERROR(INDEX(tblVeriB[FormTipi],MATCH($A234,tblAnahtarB[NormB],0)),""))</f>
        <v/>
      </c>
      <c r="G234" s="16">
        <f>IF($A234="","",IFERROR(INDEX(tblVeriA[Donem],MATCH($A234,tblAnahtarA[Norm],0)),""))</f>
        <v/>
      </c>
      <c r="H234" s="16">
        <f>IF(OR($A234="",$B234&lt;&gt;"tutar_farki"),"",IF($E234=0,"BELGE_EKSIK",IF($C234&lt;=toleransKurus*cbb_yuvarlamaCarpan,"YUVARLAMA",IF(AND($F234&lt;&gt;"Ba",$F234&lt;&gt;"Bs"),"TIP_KARISIK",IF($C234&gt;cbb_esikFark*cbb_donemCarpan,"DONEM",IF(LEN($D234)&lt;cbb_unvanMinLen,"UNVAN","TANIMSIZ"))))))</f>
        <v/>
      </c>
    </row>
    <row r="235">
      <c r="A235" s="26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IF($A235="","",IFERROR(INDEX(tblVeriA[Unvan],MATCH($A235,tblAnahtarA[Norm],0)),""))</f>
        <v/>
      </c>
      <c r="E235" s="16">
        <f>IF($A235="","",IFERROR(SUMIF(tblAnahtarB[NormB],$A235,tblVeriB[BelgeAdet]),0))</f>
        <v/>
      </c>
      <c r="F235" s="16">
        <f>IF($A235="","",IFERROR(INDEX(tblVeriB[FormTipi],MATCH($A235,tblAnahtarB[NormB],0)),""))</f>
        <v/>
      </c>
      <c r="G235" s="16">
        <f>IF($A235="","",IFERROR(INDEX(tblVeriA[Donem],MATCH($A235,tblAnahtarA[Norm],0)),""))</f>
        <v/>
      </c>
      <c r="H235" s="16">
        <f>IF(OR($A235="",$B235&lt;&gt;"tutar_farki"),"",IF($E235=0,"BELGE_EKSIK",IF($C235&lt;=toleransKurus*cbb_yuvarlamaCarpan,"YUVARLAMA",IF(AND($F235&lt;&gt;"Ba",$F235&lt;&gt;"Bs"),"TIP_KARISIK",IF($C235&gt;cbb_esikFark*cbb_donemCarpan,"DONEM",IF(LEN($D235)&lt;cbb_unvanMinLen,"UNVAN","TANIMSIZ"))))))</f>
        <v/>
      </c>
    </row>
    <row r="236">
      <c r="A236" s="26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IF($A236="","",IFERROR(INDEX(tblVeriA[Unvan],MATCH($A236,tblAnahtarA[Norm],0)),""))</f>
        <v/>
      </c>
      <c r="E236" s="16">
        <f>IF($A236="","",IFERROR(SUMIF(tblAnahtarB[NormB],$A236,tblVeriB[BelgeAdet]),0))</f>
        <v/>
      </c>
      <c r="F236" s="16">
        <f>IF($A236="","",IFERROR(INDEX(tblVeriB[FormTipi],MATCH($A236,tblAnahtarB[NormB],0)),""))</f>
        <v/>
      </c>
      <c r="G236" s="16">
        <f>IF($A236="","",IFERROR(INDEX(tblVeriA[Donem],MATCH($A236,tblAnahtarA[Norm],0)),""))</f>
        <v/>
      </c>
      <c r="H236" s="16">
        <f>IF(OR($A236="",$B236&lt;&gt;"tutar_farki"),"",IF($E236=0,"BELGE_EKSIK",IF($C236&lt;=toleransKurus*cbb_yuvarlamaCarpan,"YUVARLAMA",IF(AND($F236&lt;&gt;"Ba",$F236&lt;&gt;"Bs"),"TIP_KARISIK",IF($C236&gt;cbb_esikFark*cbb_donemCarpan,"DONEM",IF(LEN($D236)&lt;cbb_unvanMinLen,"UNVAN","TANIMSIZ"))))))</f>
        <v/>
      </c>
    </row>
    <row r="237">
      <c r="A237" s="26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IF($A237="","",IFERROR(INDEX(tblVeriA[Unvan],MATCH($A237,tblAnahtarA[Norm],0)),""))</f>
        <v/>
      </c>
      <c r="E237" s="16">
        <f>IF($A237="","",IFERROR(SUMIF(tblAnahtarB[NormB],$A237,tblVeriB[BelgeAdet]),0))</f>
        <v/>
      </c>
      <c r="F237" s="16">
        <f>IF($A237="","",IFERROR(INDEX(tblVeriB[FormTipi],MATCH($A237,tblAnahtarB[NormB],0)),""))</f>
        <v/>
      </c>
      <c r="G237" s="16">
        <f>IF($A237="","",IFERROR(INDEX(tblVeriA[Donem],MATCH($A237,tblAnahtarA[Norm],0)),""))</f>
        <v/>
      </c>
      <c r="H237" s="16">
        <f>IF(OR($A237="",$B237&lt;&gt;"tutar_farki"),"",IF($E237=0,"BELGE_EKSIK",IF($C237&lt;=toleransKurus*cbb_yuvarlamaCarpan,"YUVARLAMA",IF(AND($F237&lt;&gt;"Ba",$F237&lt;&gt;"Bs"),"TIP_KARISIK",IF($C237&gt;cbb_esikFark*cbb_donemCarpan,"DONEM",IF(LEN($D237)&lt;cbb_unvanMinLen,"UNVAN","TANIMSIZ"))))))</f>
        <v/>
      </c>
    </row>
    <row r="238">
      <c r="A238" s="26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IF($A238="","",IFERROR(INDEX(tblVeriA[Unvan],MATCH($A238,tblAnahtarA[Norm],0)),""))</f>
        <v/>
      </c>
      <c r="E238" s="16">
        <f>IF($A238="","",IFERROR(SUMIF(tblAnahtarB[NormB],$A238,tblVeriB[BelgeAdet]),0))</f>
        <v/>
      </c>
      <c r="F238" s="16">
        <f>IF($A238="","",IFERROR(INDEX(tblVeriB[FormTipi],MATCH($A238,tblAnahtarB[NormB],0)),""))</f>
        <v/>
      </c>
      <c r="G238" s="16">
        <f>IF($A238="","",IFERROR(INDEX(tblVeriA[Donem],MATCH($A238,tblAnahtarA[Norm],0)),""))</f>
        <v/>
      </c>
      <c r="H238" s="16">
        <f>IF(OR($A238="",$B238&lt;&gt;"tutar_farki"),"",IF($E238=0,"BELGE_EKSIK",IF($C238&lt;=toleransKurus*cbb_yuvarlamaCarpan,"YUVARLAMA",IF(AND($F238&lt;&gt;"Ba",$F238&lt;&gt;"Bs"),"TIP_KARISIK",IF($C238&gt;cbb_esikFark*cbb_donemCarpan,"DONEM",IF(LEN($D238)&lt;cbb_unvanMinLen,"UNVAN","TANIMSIZ"))))))</f>
        <v/>
      </c>
    </row>
    <row r="239">
      <c r="A239" s="26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IF($A239="","",IFERROR(INDEX(tblVeriA[Unvan],MATCH($A239,tblAnahtarA[Norm],0)),""))</f>
        <v/>
      </c>
      <c r="E239" s="16">
        <f>IF($A239="","",IFERROR(SUMIF(tblAnahtarB[NormB],$A239,tblVeriB[BelgeAdet]),0))</f>
        <v/>
      </c>
      <c r="F239" s="16">
        <f>IF($A239="","",IFERROR(INDEX(tblVeriB[FormTipi],MATCH($A239,tblAnahtarB[NormB],0)),""))</f>
        <v/>
      </c>
      <c r="G239" s="16">
        <f>IF($A239="","",IFERROR(INDEX(tblVeriA[Donem],MATCH($A239,tblAnahtarA[Norm],0)),""))</f>
        <v/>
      </c>
      <c r="H239" s="16">
        <f>IF(OR($A239="",$B239&lt;&gt;"tutar_farki"),"",IF($E239=0,"BELGE_EKSIK",IF($C239&lt;=toleransKurus*cbb_yuvarlamaCarpan,"YUVARLAMA",IF(AND($F239&lt;&gt;"Ba",$F239&lt;&gt;"Bs"),"TIP_KARISIK",IF($C239&gt;cbb_esikFark*cbb_donemCarpan,"DONEM",IF(LEN($D239)&lt;cbb_unvanMinLen,"UNVAN","TANIMSIZ"))))))</f>
        <v/>
      </c>
    </row>
    <row r="240">
      <c r="A240" s="26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IF($A240="","",IFERROR(INDEX(tblVeriA[Unvan],MATCH($A240,tblAnahtarA[Norm],0)),""))</f>
        <v/>
      </c>
      <c r="E240" s="16">
        <f>IF($A240="","",IFERROR(SUMIF(tblAnahtarB[NormB],$A240,tblVeriB[BelgeAdet]),0))</f>
        <v/>
      </c>
      <c r="F240" s="16">
        <f>IF($A240="","",IFERROR(INDEX(tblVeriB[FormTipi],MATCH($A240,tblAnahtarB[NormB],0)),""))</f>
        <v/>
      </c>
      <c r="G240" s="16">
        <f>IF($A240="","",IFERROR(INDEX(tblVeriA[Donem],MATCH($A240,tblAnahtarA[Norm],0)),""))</f>
        <v/>
      </c>
      <c r="H240" s="16">
        <f>IF(OR($A240="",$B240&lt;&gt;"tutar_farki"),"",IF($E240=0,"BELGE_EKSIK",IF($C240&lt;=toleransKurus*cbb_yuvarlamaCarpan,"YUVARLAMA",IF(AND($F240&lt;&gt;"Ba",$F240&lt;&gt;"Bs"),"TIP_KARISIK",IF($C240&gt;cbb_esikFark*cbb_donemCarpan,"DONEM",IF(LEN($D240)&lt;cbb_unvanMinLen,"UNVAN","TANIMSIZ"))))))</f>
        <v/>
      </c>
    </row>
    <row r="241">
      <c r="A241" s="26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IF($A241="","",IFERROR(INDEX(tblVeriA[Unvan],MATCH($A241,tblAnahtarA[Norm],0)),""))</f>
        <v/>
      </c>
      <c r="E241" s="16">
        <f>IF($A241="","",IFERROR(SUMIF(tblAnahtarB[NormB],$A241,tblVeriB[BelgeAdet]),0))</f>
        <v/>
      </c>
      <c r="F241" s="16">
        <f>IF($A241="","",IFERROR(INDEX(tblVeriB[FormTipi],MATCH($A241,tblAnahtarB[NormB],0)),""))</f>
        <v/>
      </c>
      <c r="G241" s="16">
        <f>IF($A241="","",IFERROR(INDEX(tblVeriA[Donem],MATCH($A241,tblAnahtarA[Norm],0)),""))</f>
        <v/>
      </c>
      <c r="H241" s="16">
        <f>IF(OR($A241="",$B241&lt;&gt;"tutar_farki"),"",IF($E241=0,"BELGE_EKSIK",IF($C241&lt;=toleransKurus*cbb_yuvarlamaCarpan,"YUVARLAMA",IF(AND($F241&lt;&gt;"Ba",$F241&lt;&gt;"Bs"),"TIP_KARISIK",IF($C241&gt;cbb_esikFark*cbb_donemCarpan,"DONEM",IF(LEN($D241)&lt;cbb_unvanMinLen,"UNVAN","TANIMSIZ"))))))</f>
        <v/>
      </c>
    </row>
    <row r="242">
      <c r="A242" s="26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IF($A242="","",IFERROR(INDEX(tblVeriA[Unvan],MATCH($A242,tblAnahtarA[Norm],0)),""))</f>
        <v/>
      </c>
      <c r="E242" s="16">
        <f>IF($A242="","",IFERROR(SUMIF(tblAnahtarB[NormB],$A242,tblVeriB[BelgeAdet]),0))</f>
        <v/>
      </c>
      <c r="F242" s="16">
        <f>IF($A242="","",IFERROR(INDEX(tblVeriB[FormTipi],MATCH($A242,tblAnahtarB[NormB],0)),""))</f>
        <v/>
      </c>
      <c r="G242" s="16">
        <f>IF($A242="","",IFERROR(INDEX(tblVeriA[Donem],MATCH($A242,tblAnahtarA[Norm],0)),""))</f>
        <v/>
      </c>
      <c r="H242" s="16">
        <f>IF(OR($A242="",$B242&lt;&gt;"tutar_farki"),"",IF($E242=0,"BELGE_EKSIK",IF($C242&lt;=toleransKurus*cbb_yuvarlamaCarpan,"YUVARLAMA",IF(AND($F242&lt;&gt;"Ba",$F242&lt;&gt;"Bs"),"TIP_KARISIK",IF($C242&gt;cbb_esikFark*cbb_donemCarpan,"DONEM",IF(LEN($D242)&lt;cbb_unvanMinLen,"UNVAN","TANIMSIZ"))))))</f>
        <v/>
      </c>
    </row>
    <row r="243">
      <c r="A243" s="26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IF($A243="","",IFERROR(INDEX(tblVeriA[Unvan],MATCH($A243,tblAnahtarA[Norm],0)),""))</f>
        <v/>
      </c>
      <c r="E243" s="16">
        <f>IF($A243="","",IFERROR(SUMIF(tblAnahtarB[NormB],$A243,tblVeriB[BelgeAdet]),0))</f>
        <v/>
      </c>
      <c r="F243" s="16">
        <f>IF($A243="","",IFERROR(INDEX(tblVeriB[FormTipi],MATCH($A243,tblAnahtarB[NormB],0)),""))</f>
        <v/>
      </c>
      <c r="G243" s="16">
        <f>IF($A243="","",IFERROR(INDEX(tblVeriA[Donem],MATCH($A243,tblAnahtarA[Norm],0)),""))</f>
        <v/>
      </c>
      <c r="H243" s="16">
        <f>IF(OR($A243="",$B243&lt;&gt;"tutar_farki"),"",IF($E243=0,"BELGE_EKSIK",IF($C243&lt;=toleransKurus*cbb_yuvarlamaCarpan,"YUVARLAMA",IF(AND($F243&lt;&gt;"Ba",$F243&lt;&gt;"Bs"),"TIP_KARISIK",IF($C243&gt;cbb_esikFark*cbb_donemCarpan,"DONEM",IF(LEN($D243)&lt;cbb_unvanMinLen,"UNVAN","TANIMSIZ"))))))</f>
        <v/>
      </c>
    </row>
    <row r="244">
      <c r="A244" s="26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IF($A244="","",IFERROR(INDEX(tblVeriA[Unvan],MATCH($A244,tblAnahtarA[Norm],0)),""))</f>
        <v/>
      </c>
      <c r="E244" s="16">
        <f>IF($A244="","",IFERROR(SUMIF(tblAnahtarB[NormB],$A244,tblVeriB[BelgeAdet]),0))</f>
        <v/>
      </c>
      <c r="F244" s="16">
        <f>IF($A244="","",IFERROR(INDEX(tblVeriB[FormTipi],MATCH($A244,tblAnahtarB[NormB],0)),""))</f>
        <v/>
      </c>
      <c r="G244" s="16">
        <f>IF($A244="","",IFERROR(INDEX(tblVeriA[Donem],MATCH($A244,tblAnahtarA[Norm],0)),""))</f>
        <v/>
      </c>
      <c r="H244" s="16">
        <f>IF(OR($A244="",$B244&lt;&gt;"tutar_farki"),"",IF($E244=0,"BELGE_EKSIK",IF($C244&lt;=toleransKurus*cbb_yuvarlamaCarpan,"YUVARLAMA",IF(AND($F244&lt;&gt;"Ba",$F244&lt;&gt;"Bs"),"TIP_KARISIK",IF($C244&gt;cbb_esikFark*cbb_donemCarpan,"DONEM",IF(LEN($D244)&lt;cbb_unvanMinLen,"UNVAN","TANIMSIZ"))))))</f>
        <v/>
      </c>
    </row>
    <row r="245">
      <c r="A245" s="26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IF($A245="","",IFERROR(INDEX(tblVeriA[Unvan],MATCH($A245,tblAnahtarA[Norm],0)),""))</f>
        <v/>
      </c>
      <c r="E245" s="16">
        <f>IF($A245="","",IFERROR(SUMIF(tblAnahtarB[NormB],$A245,tblVeriB[BelgeAdet]),0))</f>
        <v/>
      </c>
      <c r="F245" s="16">
        <f>IF($A245="","",IFERROR(INDEX(tblVeriB[FormTipi],MATCH($A245,tblAnahtarB[NormB],0)),""))</f>
        <v/>
      </c>
      <c r="G245" s="16">
        <f>IF($A245="","",IFERROR(INDEX(tblVeriA[Donem],MATCH($A245,tblAnahtarA[Norm],0)),""))</f>
        <v/>
      </c>
      <c r="H245" s="16">
        <f>IF(OR($A245="",$B245&lt;&gt;"tutar_farki"),"",IF($E245=0,"BELGE_EKSIK",IF($C245&lt;=toleransKurus*cbb_yuvarlamaCarpan,"YUVARLAMA",IF(AND($F245&lt;&gt;"Ba",$F245&lt;&gt;"Bs"),"TIP_KARISIK",IF($C245&gt;cbb_esikFark*cbb_donemCarpan,"DONEM",IF(LEN($D245)&lt;cbb_unvanMinLen,"UNVAN","TANIMSIZ"))))))</f>
        <v/>
      </c>
    </row>
    <row r="246">
      <c r="A246" s="26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IF($A246="","",IFERROR(INDEX(tblVeriA[Unvan],MATCH($A246,tblAnahtarA[Norm],0)),""))</f>
        <v/>
      </c>
      <c r="E246" s="16">
        <f>IF($A246="","",IFERROR(SUMIF(tblAnahtarB[NormB],$A246,tblVeriB[BelgeAdet]),0))</f>
        <v/>
      </c>
      <c r="F246" s="16">
        <f>IF($A246="","",IFERROR(INDEX(tblVeriB[FormTipi],MATCH($A246,tblAnahtarB[NormB],0)),""))</f>
        <v/>
      </c>
      <c r="G246" s="16">
        <f>IF($A246="","",IFERROR(INDEX(tblVeriA[Donem],MATCH($A246,tblAnahtarA[Norm],0)),""))</f>
        <v/>
      </c>
      <c r="H246" s="16">
        <f>IF(OR($A246="",$B246&lt;&gt;"tutar_farki"),"",IF($E246=0,"BELGE_EKSIK",IF($C246&lt;=toleransKurus*cbb_yuvarlamaCarpan,"YUVARLAMA",IF(AND($F246&lt;&gt;"Ba",$F246&lt;&gt;"Bs"),"TIP_KARISIK",IF($C246&gt;cbb_esikFark*cbb_donemCarpan,"DONEM",IF(LEN($D246)&lt;cbb_unvanMinLen,"UNVAN","TANIMSIZ"))))))</f>
        <v/>
      </c>
    </row>
    <row r="247">
      <c r="A247" s="26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IF($A247="","",IFERROR(INDEX(tblVeriA[Unvan],MATCH($A247,tblAnahtarA[Norm],0)),""))</f>
        <v/>
      </c>
      <c r="E247" s="16">
        <f>IF($A247="","",IFERROR(SUMIF(tblAnahtarB[NormB],$A247,tblVeriB[BelgeAdet]),0))</f>
        <v/>
      </c>
      <c r="F247" s="16">
        <f>IF($A247="","",IFERROR(INDEX(tblVeriB[FormTipi],MATCH($A247,tblAnahtarB[NormB],0)),""))</f>
        <v/>
      </c>
      <c r="G247" s="16">
        <f>IF($A247="","",IFERROR(INDEX(tblVeriA[Donem],MATCH($A247,tblAnahtarA[Norm],0)),""))</f>
        <v/>
      </c>
      <c r="H247" s="16">
        <f>IF(OR($A247="",$B247&lt;&gt;"tutar_farki"),"",IF($E247=0,"BELGE_EKSIK",IF($C247&lt;=toleransKurus*cbb_yuvarlamaCarpan,"YUVARLAMA",IF(AND($F247&lt;&gt;"Ba",$F247&lt;&gt;"Bs"),"TIP_KARISIK",IF($C247&gt;cbb_esikFark*cbb_donemCarpan,"DONEM",IF(LEN($D247)&lt;cbb_unvanMinLen,"UNVAN","TANIMSIZ"))))))</f>
        <v/>
      </c>
    </row>
    <row r="248">
      <c r="A248" s="26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IF($A248="","",IFERROR(INDEX(tblVeriA[Unvan],MATCH($A248,tblAnahtarA[Norm],0)),""))</f>
        <v/>
      </c>
      <c r="E248" s="16">
        <f>IF($A248="","",IFERROR(SUMIF(tblAnahtarB[NormB],$A248,tblVeriB[BelgeAdet]),0))</f>
        <v/>
      </c>
      <c r="F248" s="16">
        <f>IF($A248="","",IFERROR(INDEX(tblVeriB[FormTipi],MATCH($A248,tblAnahtarB[NormB],0)),""))</f>
        <v/>
      </c>
      <c r="G248" s="16">
        <f>IF($A248="","",IFERROR(INDEX(tblVeriA[Donem],MATCH($A248,tblAnahtarA[Norm],0)),""))</f>
        <v/>
      </c>
      <c r="H248" s="16">
        <f>IF(OR($A248="",$B248&lt;&gt;"tutar_farki"),"",IF($E248=0,"BELGE_EKSIK",IF($C248&lt;=toleransKurus*cbb_yuvarlamaCarpan,"YUVARLAMA",IF(AND($F248&lt;&gt;"Ba",$F248&lt;&gt;"Bs"),"TIP_KARISIK",IF($C248&gt;cbb_esikFark*cbb_donemCarpan,"DONEM",IF(LEN($D248)&lt;cbb_unvanMinLen,"UNVAN","TANIMSIZ"))))))</f>
        <v/>
      </c>
    </row>
    <row r="249">
      <c r="A249" s="26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IF($A249="","",IFERROR(INDEX(tblVeriA[Unvan],MATCH($A249,tblAnahtarA[Norm],0)),""))</f>
        <v/>
      </c>
      <c r="E249" s="16">
        <f>IF($A249="","",IFERROR(SUMIF(tblAnahtarB[NormB],$A249,tblVeriB[BelgeAdet]),0))</f>
        <v/>
      </c>
      <c r="F249" s="16">
        <f>IF($A249="","",IFERROR(INDEX(tblVeriB[FormTipi],MATCH($A249,tblAnahtarB[NormB],0)),""))</f>
        <v/>
      </c>
      <c r="G249" s="16">
        <f>IF($A249="","",IFERROR(INDEX(tblVeriA[Donem],MATCH($A249,tblAnahtarA[Norm],0)),""))</f>
        <v/>
      </c>
      <c r="H249" s="16">
        <f>IF(OR($A249="",$B249&lt;&gt;"tutar_farki"),"",IF($E249=0,"BELGE_EKSIK",IF($C249&lt;=toleransKurus*cbb_yuvarlamaCarpan,"YUVARLAMA",IF(AND($F249&lt;&gt;"Ba",$F249&lt;&gt;"Bs"),"TIP_KARISIK",IF($C249&gt;cbb_esikFark*cbb_donemCarpan,"DONEM",IF(LEN($D249)&lt;cbb_unvanMinLen,"UNVAN","TANIMSIZ"))))))</f>
        <v/>
      </c>
    </row>
    <row r="250">
      <c r="A250" s="26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IF($A250="","",IFERROR(INDEX(tblVeriA[Unvan],MATCH($A250,tblAnahtarA[Norm],0)),""))</f>
        <v/>
      </c>
      <c r="E250" s="16">
        <f>IF($A250="","",IFERROR(SUMIF(tblAnahtarB[NormB],$A250,tblVeriB[BelgeAdet]),0))</f>
        <v/>
      </c>
      <c r="F250" s="16">
        <f>IF($A250="","",IFERROR(INDEX(tblVeriB[FormTipi],MATCH($A250,tblAnahtarB[NormB],0)),""))</f>
        <v/>
      </c>
      <c r="G250" s="16">
        <f>IF($A250="","",IFERROR(INDEX(tblVeriA[Donem],MATCH($A250,tblAnahtarA[Norm],0)),""))</f>
        <v/>
      </c>
      <c r="H250" s="16">
        <f>IF(OR($A250="",$B250&lt;&gt;"tutar_farki"),"",IF($E250=0,"BELGE_EKSIK",IF($C250&lt;=toleransKurus*cbb_yuvarlamaCarpan,"YUVARLAMA",IF(AND($F250&lt;&gt;"Ba",$F250&lt;&gt;"Bs"),"TIP_KARISIK",IF($C250&gt;cbb_esikFark*cbb_donemCarpan,"DONEM",IF(LEN($D250)&lt;cbb_unvanMinLen,"UNVAN","TANIMSIZ"))))))</f>
        <v/>
      </c>
    </row>
    <row r="251">
      <c r="A251" s="26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IF($A251="","",IFERROR(INDEX(tblVeriA[Unvan],MATCH($A251,tblAnahtarA[Norm],0)),""))</f>
        <v/>
      </c>
      <c r="E251" s="16">
        <f>IF($A251="","",IFERROR(SUMIF(tblAnahtarB[NormB],$A251,tblVeriB[BelgeAdet]),0))</f>
        <v/>
      </c>
      <c r="F251" s="16">
        <f>IF($A251="","",IFERROR(INDEX(tblVeriB[FormTipi],MATCH($A251,tblAnahtarB[NormB],0)),""))</f>
        <v/>
      </c>
      <c r="G251" s="16">
        <f>IF($A251="","",IFERROR(INDEX(tblVeriA[Donem],MATCH($A251,tblAnahtarA[Norm],0)),""))</f>
        <v/>
      </c>
      <c r="H251" s="16">
        <f>IF(OR($A251="",$B251&lt;&gt;"tutar_farki"),"",IF($E251=0,"BELGE_EKSIK",IF($C251&lt;=toleransKurus*cbb_yuvarlamaCarpan,"YUVARLAMA",IF(AND($F251&lt;&gt;"Ba",$F251&lt;&gt;"Bs"),"TIP_KARISIK",IF($C251&gt;cbb_esikFark*cbb_donemCarpan,"DONEM",IF(LEN($D251)&lt;cbb_unvanMinLen,"UNVAN","TANIMSIZ"))))))</f>
        <v/>
      </c>
    </row>
    <row r="252">
      <c r="A252" s="26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IF($A252="","",IFERROR(INDEX(tblVeriA[Unvan],MATCH($A252,tblAnahtarA[Norm],0)),""))</f>
        <v/>
      </c>
      <c r="E252" s="16">
        <f>IF($A252="","",IFERROR(SUMIF(tblAnahtarB[NormB],$A252,tblVeriB[BelgeAdet]),0))</f>
        <v/>
      </c>
      <c r="F252" s="16">
        <f>IF($A252="","",IFERROR(INDEX(tblVeriB[FormTipi],MATCH($A252,tblAnahtarB[NormB],0)),""))</f>
        <v/>
      </c>
      <c r="G252" s="16">
        <f>IF($A252="","",IFERROR(INDEX(tblVeriA[Donem],MATCH($A252,tblAnahtarA[Norm],0)),""))</f>
        <v/>
      </c>
      <c r="H252" s="16">
        <f>IF(OR($A252="",$B252&lt;&gt;"tutar_farki"),"",IF($E252=0,"BELGE_EKSIK",IF($C252&lt;=toleransKurus*cbb_yuvarlamaCarpan,"YUVARLAMA",IF(AND($F252&lt;&gt;"Ba",$F252&lt;&gt;"Bs"),"TIP_KARISIK",IF($C252&gt;cbb_esikFark*cbb_donemCarpan,"DONEM",IF(LEN($D252)&lt;cbb_unvanMinLen,"UNVAN","TANIMSIZ"))))))</f>
        <v/>
      </c>
    </row>
    <row r="253">
      <c r="A253" s="26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IF($A253="","",IFERROR(INDEX(tblVeriA[Unvan],MATCH($A253,tblAnahtarA[Norm],0)),""))</f>
        <v/>
      </c>
      <c r="E253" s="16">
        <f>IF($A253="","",IFERROR(SUMIF(tblAnahtarB[NormB],$A253,tblVeriB[BelgeAdet]),0))</f>
        <v/>
      </c>
      <c r="F253" s="16">
        <f>IF($A253="","",IFERROR(INDEX(tblVeriB[FormTipi],MATCH($A253,tblAnahtarB[NormB],0)),""))</f>
        <v/>
      </c>
      <c r="G253" s="16">
        <f>IF($A253="","",IFERROR(INDEX(tblVeriA[Donem],MATCH($A253,tblAnahtarA[Norm],0)),""))</f>
        <v/>
      </c>
      <c r="H253" s="16">
        <f>IF(OR($A253="",$B253&lt;&gt;"tutar_farki"),"",IF($E253=0,"BELGE_EKSIK",IF($C253&lt;=toleransKurus*cbb_yuvarlamaCarpan,"YUVARLAMA",IF(AND($F253&lt;&gt;"Ba",$F253&lt;&gt;"Bs"),"TIP_KARISIK",IF($C253&gt;cbb_esikFark*cbb_donemCarpan,"DONEM",IF(LEN($D253)&lt;cbb_unvanMinLen,"UNVAN","TANIMSIZ"))))))</f>
        <v/>
      </c>
    </row>
    <row r="254">
      <c r="A254" s="26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IF($A254="","",IFERROR(INDEX(tblVeriA[Unvan],MATCH($A254,tblAnahtarA[Norm],0)),""))</f>
        <v/>
      </c>
      <c r="E254" s="16">
        <f>IF($A254="","",IFERROR(SUMIF(tblAnahtarB[NormB],$A254,tblVeriB[BelgeAdet]),0))</f>
        <v/>
      </c>
      <c r="F254" s="16">
        <f>IF($A254="","",IFERROR(INDEX(tblVeriB[FormTipi],MATCH($A254,tblAnahtarB[NormB],0)),""))</f>
        <v/>
      </c>
      <c r="G254" s="16">
        <f>IF($A254="","",IFERROR(INDEX(tblVeriA[Donem],MATCH($A254,tblAnahtarA[Norm],0)),""))</f>
        <v/>
      </c>
      <c r="H254" s="16">
        <f>IF(OR($A254="",$B254&lt;&gt;"tutar_farki"),"",IF($E254=0,"BELGE_EKSIK",IF($C254&lt;=toleransKurus*cbb_yuvarlamaCarpan,"YUVARLAMA",IF(AND($F254&lt;&gt;"Ba",$F254&lt;&gt;"Bs"),"TIP_KARISIK",IF($C254&gt;cbb_esikFark*cbb_donemCarpan,"DONEM",IF(LEN($D254)&lt;cbb_unvanMinLen,"UNVAN","TANIMSIZ"))))))</f>
        <v/>
      </c>
    </row>
    <row r="255">
      <c r="A255" s="26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IF($A255="","",IFERROR(INDEX(tblVeriA[Unvan],MATCH($A255,tblAnahtarA[Norm],0)),""))</f>
        <v/>
      </c>
      <c r="E255" s="16">
        <f>IF($A255="","",IFERROR(SUMIF(tblAnahtarB[NormB],$A255,tblVeriB[BelgeAdet]),0))</f>
        <v/>
      </c>
      <c r="F255" s="16">
        <f>IF($A255="","",IFERROR(INDEX(tblVeriB[FormTipi],MATCH($A255,tblAnahtarB[NormB],0)),""))</f>
        <v/>
      </c>
      <c r="G255" s="16">
        <f>IF($A255="","",IFERROR(INDEX(tblVeriA[Donem],MATCH($A255,tblAnahtarA[Norm],0)),""))</f>
        <v/>
      </c>
      <c r="H255" s="16">
        <f>IF(OR($A255="",$B255&lt;&gt;"tutar_farki"),"",IF($E255=0,"BELGE_EKSIK",IF($C255&lt;=toleransKurus*cbb_yuvarlamaCarpan,"YUVARLAMA",IF(AND($F255&lt;&gt;"Ba",$F255&lt;&gt;"Bs"),"TIP_KARISIK",IF($C255&gt;cbb_esikFark*cbb_donemCarpan,"DONEM",IF(LEN($D255)&lt;cbb_unvanMinLen,"UNVAN","TANIMSIZ"))))))</f>
        <v/>
      </c>
    </row>
    <row r="256">
      <c r="A256" s="26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IF($A256="","",IFERROR(INDEX(tblVeriA[Unvan],MATCH($A256,tblAnahtarA[Norm],0)),""))</f>
        <v/>
      </c>
      <c r="E256" s="16">
        <f>IF($A256="","",IFERROR(SUMIF(tblAnahtarB[NormB],$A256,tblVeriB[BelgeAdet]),0))</f>
        <v/>
      </c>
      <c r="F256" s="16">
        <f>IF($A256="","",IFERROR(INDEX(tblVeriB[FormTipi],MATCH($A256,tblAnahtarB[NormB],0)),""))</f>
        <v/>
      </c>
      <c r="G256" s="16">
        <f>IF($A256="","",IFERROR(INDEX(tblVeriA[Donem],MATCH($A256,tblAnahtarA[Norm],0)),""))</f>
        <v/>
      </c>
      <c r="H256" s="16">
        <f>IF(OR($A256="",$B256&lt;&gt;"tutar_farki"),"",IF($E256=0,"BELGE_EKSIK",IF($C256&lt;=toleransKurus*cbb_yuvarlamaCarpan,"YUVARLAMA",IF(AND($F256&lt;&gt;"Ba",$F256&lt;&gt;"Bs"),"TIP_KARISIK",IF($C256&gt;cbb_esikFark*cbb_donemCarpan,"DONEM",IF(LEN($D256)&lt;cbb_unvanMinLen,"UNVAN","TANIMSIZ"))))))</f>
        <v/>
      </c>
    </row>
    <row r="257">
      <c r="A257" s="26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IF($A257="","",IFERROR(INDEX(tblVeriA[Unvan],MATCH($A257,tblAnahtarA[Norm],0)),""))</f>
        <v/>
      </c>
      <c r="E257" s="16">
        <f>IF($A257="","",IFERROR(SUMIF(tblAnahtarB[NormB],$A257,tblVeriB[BelgeAdet]),0))</f>
        <v/>
      </c>
      <c r="F257" s="16">
        <f>IF($A257="","",IFERROR(INDEX(tblVeriB[FormTipi],MATCH($A257,tblAnahtarB[NormB],0)),""))</f>
        <v/>
      </c>
      <c r="G257" s="16">
        <f>IF($A257="","",IFERROR(INDEX(tblVeriA[Donem],MATCH($A257,tblAnahtarA[Norm],0)),""))</f>
        <v/>
      </c>
      <c r="H257" s="16">
        <f>IF(OR($A257="",$B257&lt;&gt;"tutar_farki"),"",IF($E257=0,"BELGE_EKSIK",IF($C257&lt;=toleransKurus*cbb_yuvarlamaCarpan,"YUVARLAMA",IF(AND($F257&lt;&gt;"Ba",$F257&lt;&gt;"Bs"),"TIP_KARISIK",IF($C257&gt;cbb_esikFark*cbb_donemCarpan,"DONEM",IF(LEN($D257)&lt;cbb_unvanMinLen,"UNVAN","TANIMSIZ"))))))</f>
        <v/>
      </c>
    </row>
    <row r="258">
      <c r="A258" s="26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IF($A258="","",IFERROR(INDEX(tblVeriA[Unvan],MATCH($A258,tblAnahtarA[Norm],0)),""))</f>
        <v/>
      </c>
      <c r="E258" s="16">
        <f>IF($A258="","",IFERROR(SUMIF(tblAnahtarB[NormB],$A258,tblVeriB[BelgeAdet]),0))</f>
        <v/>
      </c>
      <c r="F258" s="16">
        <f>IF($A258="","",IFERROR(INDEX(tblVeriB[FormTipi],MATCH($A258,tblAnahtarB[NormB],0)),""))</f>
        <v/>
      </c>
      <c r="G258" s="16">
        <f>IF($A258="","",IFERROR(INDEX(tblVeriA[Donem],MATCH($A258,tblAnahtarA[Norm],0)),""))</f>
        <v/>
      </c>
      <c r="H258" s="16">
        <f>IF(OR($A258="",$B258&lt;&gt;"tutar_farki"),"",IF($E258=0,"BELGE_EKSIK",IF($C258&lt;=toleransKurus*cbb_yuvarlamaCarpan,"YUVARLAMA",IF(AND($F258&lt;&gt;"Ba",$F258&lt;&gt;"Bs"),"TIP_KARISIK",IF($C258&gt;cbb_esikFark*cbb_donemCarpan,"DONEM",IF(LEN($D258)&lt;cbb_unvanMinLen,"UNVAN","TANIMSIZ"))))))</f>
        <v/>
      </c>
    </row>
    <row r="259">
      <c r="A259" s="26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IF($A259="","",IFERROR(INDEX(tblVeriA[Unvan],MATCH($A259,tblAnahtarA[Norm],0)),""))</f>
        <v/>
      </c>
      <c r="E259" s="16">
        <f>IF($A259="","",IFERROR(SUMIF(tblAnahtarB[NormB],$A259,tblVeriB[BelgeAdet]),0))</f>
        <v/>
      </c>
      <c r="F259" s="16">
        <f>IF($A259="","",IFERROR(INDEX(tblVeriB[FormTipi],MATCH($A259,tblAnahtarB[NormB],0)),""))</f>
        <v/>
      </c>
      <c r="G259" s="16">
        <f>IF($A259="","",IFERROR(INDEX(tblVeriA[Donem],MATCH($A259,tblAnahtarA[Norm],0)),""))</f>
        <v/>
      </c>
      <c r="H259" s="16">
        <f>IF(OR($A259="",$B259&lt;&gt;"tutar_farki"),"",IF($E259=0,"BELGE_EKSIK",IF($C259&lt;=toleransKurus*cbb_yuvarlamaCarpan,"YUVARLAMA",IF(AND($F259&lt;&gt;"Ba",$F259&lt;&gt;"Bs"),"TIP_KARISIK",IF($C259&gt;cbb_esikFark*cbb_donemCarpan,"DONEM",IF(LEN($D259)&lt;cbb_unvanMinLen,"UNVAN","TANIMSIZ"))))))</f>
        <v/>
      </c>
    </row>
    <row r="260">
      <c r="A260" s="26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IF($A260="","",IFERROR(INDEX(tblVeriA[Unvan],MATCH($A260,tblAnahtarA[Norm],0)),""))</f>
        <v/>
      </c>
      <c r="E260" s="16">
        <f>IF($A260="","",IFERROR(SUMIF(tblAnahtarB[NormB],$A260,tblVeriB[BelgeAdet]),0))</f>
        <v/>
      </c>
      <c r="F260" s="16">
        <f>IF($A260="","",IFERROR(INDEX(tblVeriB[FormTipi],MATCH($A260,tblAnahtarB[NormB],0)),""))</f>
        <v/>
      </c>
      <c r="G260" s="16">
        <f>IF($A260="","",IFERROR(INDEX(tblVeriA[Donem],MATCH($A260,tblAnahtarA[Norm],0)),""))</f>
        <v/>
      </c>
      <c r="H260" s="16">
        <f>IF(OR($A260="",$B260&lt;&gt;"tutar_farki"),"",IF($E260=0,"BELGE_EKSIK",IF($C260&lt;=toleransKurus*cbb_yuvarlamaCarpan,"YUVARLAMA",IF(AND($F260&lt;&gt;"Ba",$F260&lt;&gt;"Bs"),"TIP_KARISIK",IF($C260&gt;cbb_esikFark*cbb_donemCarpan,"DONEM",IF(LEN($D260)&lt;cbb_unvanMinLen,"UNVAN","TANIMSIZ"))))))</f>
        <v/>
      </c>
    </row>
    <row r="261">
      <c r="A261" s="26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IF($A261="","",IFERROR(INDEX(tblVeriA[Unvan],MATCH($A261,tblAnahtarA[Norm],0)),""))</f>
        <v/>
      </c>
      <c r="E261" s="16">
        <f>IF($A261="","",IFERROR(SUMIF(tblAnahtarB[NormB],$A261,tblVeriB[BelgeAdet]),0))</f>
        <v/>
      </c>
      <c r="F261" s="16">
        <f>IF($A261="","",IFERROR(INDEX(tblVeriB[FormTipi],MATCH($A261,tblAnahtarB[NormB],0)),""))</f>
        <v/>
      </c>
      <c r="G261" s="16">
        <f>IF($A261="","",IFERROR(INDEX(tblVeriA[Donem],MATCH($A261,tblAnahtarA[Norm],0)),""))</f>
        <v/>
      </c>
      <c r="H261" s="16">
        <f>IF(OR($A261="",$B261&lt;&gt;"tutar_farki"),"",IF($E261=0,"BELGE_EKSIK",IF($C261&lt;=toleransKurus*cbb_yuvarlamaCarpan,"YUVARLAMA",IF(AND($F261&lt;&gt;"Ba",$F261&lt;&gt;"Bs"),"TIP_KARISIK",IF($C261&gt;cbb_esikFark*cbb_donemCarpan,"DONEM",IF(LEN($D261)&lt;cbb_unvanMinLen,"UNVAN","TANIMSIZ"))))))</f>
        <v/>
      </c>
    </row>
    <row r="262">
      <c r="A262" s="26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IF($A262="","",IFERROR(INDEX(tblVeriA[Unvan],MATCH($A262,tblAnahtarA[Norm],0)),""))</f>
        <v/>
      </c>
      <c r="E262" s="16">
        <f>IF($A262="","",IFERROR(SUMIF(tblAnahtarB[NormB],$A262,tblVeriB[BelgeAdet]),0))</f>
        <v/>
      </c>
      <c r="F262" s="16">
        <f>IF($A262="","",IFERROR(INDEX(tblVeriB[FormTipi],MATCH($A262,tblAnahtarB[NormB],0)),""))</f>
        <v/>
      </c>
      <c r="G262" s="16">
        <f>IF($A262="","",IFERROR(INDEX(tblVeriA[Donem],MATCH($A262,tblAnahtarA[Norm],0)),""))</f>
        <v/>
      </c>
      <c r="H262" s="16">
        <f>IF(OR($A262="",$B262&lt;&gt;"tutar_farki"),"",IF($E262=0,"BELGE_EKSIK",IF($C262&lt;=toleransKurus*cbb_yuvarlamaCarpan,"YUVARLAMA",IF(AND($F262&lt;&gt;"Ba",$F262&lt;&gt;"Bs"),"TIP_KARISIK",IF($C262&gt;cbb_esikFark*cbb_donemCarpan,"DONEM",IF(LEN($D262)&lt;cbb_unvanMinLen,"UNVAN","TANIMSIZ"))))))</f>
        <v/>
      </c>
    </row>
    <row r="263">
      <c r="A263" s="26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IF($A263="","",IFERROR(INDEX(tblVeriA[Unvan],MATCH($A263,tblAnahtarA[Norm],0)),""))</f>
        <v/>
      </c>
      <c r="E263" s="16">
        <f>IF($A263="","",IFERROR(SUMIF(tblAnahtarB[NormB],$A263,tblVeriB[BelgeAdet]),0))</f>
        <v/>
      </c>
      <c r="F263" s="16">
        <f>IF($A263="","",IFERROR(INDEX(tblVeriB[FormTipi],MATCH($A263,tblAnahtarB[NormB],0)),""))</f>
        <v/>
      </c>
      <c r="G263" s="16">
        <f>IF($A263="","",IFERROR(INDEX(tblVeriA[Donem],MATCH($A263,tblAnahtarA[Norm],0)),""))</f>
        <v/>
      </c>
      <c r="H263" s="16">
        <f>IF(OR($A263="",$B263&lt;&gt;"tutar_farki"),"",IF($E263=0,"BELGE_EKSIK",IF($C263&lt;=toleransKurus*cbb_yuvarlamaCarpan,"YUVARLAMA",IF(AND($F263&lt;&gt;"Ba",$F263&lt;&gt;"Bs"),"TIP_KARISIK",IF($C263&gt;cbb_esikFark*cbb_donemCarpan,"DONEM",IF(LEN($D263)&lt;cbb_unvanMinLen,"UNVAN","TANIMSIZ"))))))</f>
        <v/>
      </c>
    </row>
    <row r="264">
      <c r="A264" s="26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IF($A264="","",IFERROR(INDEX(tblVeriA[Unvan],MATCH($A264,tblAnahtarA[Norm],0)),""))</f>
        <v/>
      </c>
      <c r="E264" s="16">
        <f>IF($A264="","",IFERROR(SUMIF(tblAnahtarB[NormB],$A264,tblVeriB[BelgeAdet]),0))</f>
        <v/>
      </c>
      <c r="F264" s="16">
        <f>IF($A264="","",IFERROR(INDEX(tblVeriB[FormTipi],MATCH($A264,tblAnahtarB[NormB],0)),""))</f>
        <v/>
      </c>
      <c r="G264" s="16">
        <f>IF($A264="","",IFERROR(INDEX(tblVeriA[Donem],MATCH($A264,tblAnahtarA[Norm],0)),""))</f>
        <v/>
      </c>
      <c r="H264" s="16">
        <f>IF(OR($A264="",$B264&lt;&gt;"tutar_farki"),"",IF($E264=0,"BELGE_EKSIK",IF($C264&lt;=toleransKurus*cbb_yuvarlamaCarpan,"YUVARLAMA",IF(AND($F264&lt;&gt;"Ba",$F264&lt;&gt;"Bs"),"TIP_KARISIK",IF($C264&gt;cbb_esikFark*cbb_donemCarpan,"DONEM",IF(LEN($D264)&lt;cbb_unvanMinLen,"UNVAN","TANIMSIZ"))))))</f>
        <v/>
      </c>
    </row>
    <row r="265">
      <c r="A265" s="26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IF($A265="","",IFERROR(INDEX(tblVeriA[Unvan],MATCH($A265,tblAnahtarA[Norm],0)),""))</f>
        <v/>
      </c>
      <c r="E265" s="16">
        <f>IF($A265="","",IFERROR(SUMIF(tblAnahtarB[NormB],$A265,tblVeriB[BelgeAdet]),0))</f>
        <v/>
      </c>
      <c r="F265" s="16">
        <f>IF($A265="","",IFERROR(INDEX(tblVeriB[FormTipi],MATCH($A265,tblAnahtarB[NormB],0)),""))</f>
        <v/>
      </c>
      <c r="G265" s="16">
        <f>IF($A265="","",IFERROR(INDEX(tblVeriA[Donem],MATCH($A265,tblAnahtarA[Norm],0)),""))</f>
        <v/>
      </c>
      <c r="H265" s="16">
        <f>IF(OR($A265="",$B265&lt;&gt;"tutar_farki"),"",IF($E265=0,"BELGE_EKSIK",IF($C265&lt;=toleransKurus*cbb_yuvarlamaCarpan,"YUVARLAMA",IF(AND($F265&lt;&gt;"Ba",$F265&lt;&gt;"Bs"),"TIP_KARISIK",IF($C265&gt;cbb_esikFark*cbb_donemCarpan,"DONEM",IF(LEN($D265)&lt;cbb_unvanMinLen,"UNVAN","TANIMSIZ"))))))</f>
        <v/>
      </c>
    </row>
    <row r="266">
      <c r="A266" s="26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IF($A266="","",IFERROR(INDEX(tblVeriA[Unvan],MATCH($A266,tblAnahtarA[Norm],0)),""))</f>
        <v/>
      </c>
      <c r="E266" s="16">
        <f>IF($A266="","",IFERROR(SUMIF(tblAnahtarB[NormB],$A266,tblVeriB[BelgeAdet]),0))</f>
        <v/>
      </c>
      <c r="F266" s="16">
        <f>IF($A266="","",IFERROR(INDEX(tblVeriB[FormTipi],MATCH($A266,tblAnahtarB[NormB],0)),""))</f>
        <v/>
      </c>
      <c r="G266" s="16">
        <f>IF($A266="","",IFERROR(INDEX(tblVeriA[Donem],MATCH($A266,tblAnahtarA[Norm],0)),""))</f>
        <v/>
      </c>
      <c r="H266" s="16">
        <f>IF(OR($A266="",$B266&lt;&gt;"tutar_farki"),"",IF($E266=0,"BELGE_EKSIK",IF($C266&lt;=toleransKurus*cbb_yuvarlamaCarpan,"YUVARLAMA",IF(AND($F266&lt;&gt;"Ba",$F266&lt;&gt;"Bs"),"TIP_KARISIK",IF($C266&gt;cbb_esikFark*cbb_donemCarpan,"DONEM",IF(LEN($D266)&lt;cbb_unvanMinLen,"UNVAN","TANIMSIZ"))))))</f>
        <v/>
      </c>
    </row>
    <row r="267">
      <c r="A267" s="26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IF($A267="","",IFERROR(INDEX(tblVeriA[Unvan],MATCH($A267,tblAnahtarA[Norm],0)),""))</f>
        <v/>
      </c>
      <c r="E267" s="16">
        <f>IF($A267="","",IFERROR(SUMIF(tblAnahtarB[NormB],$A267,tblVeriB[BelgeAdet]),0))</f>
        <v/>
      </c>
      <c r="F267" s="16">
        <f>IF($A267="","",IFERROR(INDEX(tblVeriB[FormTipi],MATCH($A267,tblAnahtarB[NormB],0)),""))</f>
        <v/>
      </c>
      <c r="G267" s="16">
        <f>IF($A267="","",IFERROR(INDEX(tblVeriA[Donem],MATCH($A267,tblAnahtarA[Norm],0)),""))</f>
        <v/>
      </c>
      <c r="H267" s="16">
        <f>IF(OR($A267="",$B267&lt;&gt;"tutar_farki"),"",IF($E267=0,"BELGE_EKSIK",IF($C267&lt;=toleransKurus*cbb_yuvarlamaCarpan,"YUVARLAMA",IF(AND($F267&lt;&gt;"Ba",$F267&lt;&gt;"Bs"),"TIP_KARISIK",IF($C267&gt;cbb_esikFark*cbb_donemCarpan,"DONEM",IF(LEN($D267)&lt;cbb_unvanMinLen,"UNVAN","TANIMSIZ"))))))</f>
        <v/>
      </c>
    </row>
    <row r="268">
      <c r="A268" s="26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IF($A268="","",IFERROR(INDEX(tblVeriA[Unvan],MATCH($A268,tblAnahtarA[Norm],0)),""))</f>
        <v/>
      </c>
      <c r="E268" s="16">
        <f>IF($A268="","",IFERROR(SUMIF(tblAnahtarB[NormB],$A268,tblVeriB[BelgeAdet]),0))</f>
        <v/>
      </c>
      <c r="F268" s="16">
        <f>IF($A268="","",IFERROR(INDEX(tblVeriB[FormTipi],MATCH($A268,tblAnahtarB[NormB],0)),""))</f>
        <v/>
      </c>
      <c r="G268" s="16">
        <f>IF($A268="","",IFERROR(INDEX(tblVeriA[Donem],MATCH($A268,tblAnahtarA[Norm],0)),""))</f>
        <v/>
      </c>
      <c r="H268" s="16">
        <f>IF(OR($A268="",$B268&lt;&gt;"tutar_farki"),"",IF($E268=0,"BELGE_EKSIK",IF($C268&lt;=toleransKurus*cbb_yuvarlamaCarpan,"YUVARLAMA",IF(AND($F268&lt;&gt;"Ba",$F268&lt;&gt;"Bs"),"TIP_KARISIK",IF($C268&gt;cbb_esikFark*cbb_donemCarpan,"DONEM",IF(LEN($D268)&lt;cbb_unvanMinLen,"UNVAN","TANIMSIZ"))))))</f>
        <v/>
      </c>
    </row>
    <row r="269">
      <c r="A269" s="26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IF($A269="","",IFERROR(INDEX(tblVeriA[Unvan],MATCH($A269,tblAnahtarA[Norm],0)),""))</f>
        <v/>
      </c>
      <c r="E269" s="16">
        <f>IF($A269="","",IFERROR(SUMIF(tblAnahtarB[NormB],$A269,tblVeriB[BelgeAdet]),0))</f>
        <v/>
      </c>
      <c r="F269" s="16">
        <f>IF($A269="","",IFERROR(INDEX(tblVeriB[FormTipi],MATCH($A269,tblAnahtarB[NormB],0)),""))</f>
        <v/>
      </c>
      <c r="G269" s="16">
        <f>IF($A269="","",IFERROR(INDEX(tblVeriA[Donem],MATCH($A269,tblAnahtarA[Norm],0)),""))</f>
        <v/>
      </c>
      <c r="H269" s="16">
        <f>IF(OR($A269="",$B269&lt;&gt;"tutar_farki"),"",IF($E269=0,"BELGE_EKSIK",IF($C269&lt;=toleransKurus*cbb_yuvarlamaCarpan,"YUVARLAMA",IF(AND($F269&lt;&gt;"Ba",$F269&lt;&gt;"Bs"),"TIP_KARISIK",IF($C269&gt;cbb_esikFark*cbb_donemCarpan,"DONEM",IF(LEN($D269)&lt;cbb_unvanMinLen,"UNVAN","TANIMSIZ"))))))</f>
        <v/>
      </c>
    </row>
    <row r="270">
      <c r="A270" s="26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IF($A270="","",IFERROR(INDEX(tblVeriA[Unvan],MATCH($A270,tblAnahtarA[Norm],0)),""))</f>
        <v/>
      </c>
      <c r="E270" s="16">
        <f>IF($A270="","",IFERROR(SUMIF(tblAnahtarB[NormB],$A270,tblVeriB[BelgeAdet]),0))</f>
        <v/>
      </c>
      <c r="F270" s="16">
        <f>IF($A270="","",IFERROR(INDEX(tblVeriB[FormTipi],MATCH($A270,tblAnahtarB[NormB],0)),""))</f>
        <v/>
      </c>
      <c r="G270" s="16">
        <f>IF($A270="","",IFERROR(INDEX(tblVeriA[Donem],MATCH($A270,tblAnahtarA[Norm],0)),""))</f>
        <v/>
      </c>
      <c r="H270" s="16">
        <f>IF(OR($A270="",$B270&lt;&gt;"tutar_farki"),"",IF($E270=0,"BELGE_EKSIK",IF($C270&lt;=toleransKurus*cbb_yuvarlamaCarpan,"YUVARLAMA",IF(AND($F270&lt;&gt;"Ba",$F270&lt;&gt;"Bs"),"TIP_KARISIK",IF($C270&gt;cbb_esikFark*cbb_donemCarpan,"DONEM",IF(LEN($D270)&lt;cbb_unvanMinLen,"UNVAN","TANIMSIZ"))))))</f>
        <v/>
      </c>
    </row>
    <row r="271">
      <c r="A271" s="26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IF($A271="","",IFERROR(INDEX(tblVeriA[Unvan],MATCH($A271,tblAnahtarA[Norm],0)),""))</f>
        <v/>
      </c>
      <c r="E271" s="16">
        <f>IF($A271="","",IFERROR(SUMIF(tblAnahtarB[NormB],$A271,tblVeriB[BelgeAdet]),0))</f>
        <v/>
      </c>
      <c r="F271" s="16">
        <f>IF($A271="","",IFERROR(INDEX(tblVeriB[FormTipi],MATCH($A271,tblAnahtarB[NormB],0)),""))</f>
        <v/>
      </c>
      <c r="G271" s="16">
        <f>IF($A271="","",IFERROR(INDEX(tblVeriA[Donem],MATCH($A271,tblAnahtarA[Norm],0)),""))</f>
        <v/>
      </c>
      <c r="H271" s="16">
        <f>IF(OR($A271="",$B271&lt;&gt;"tutar_farki"),"",IF($E271=0,"BELGE_EKSIK",IF($C271&lt;=toleransKurus*cbb_yuvarlamaCarpan,"YUVARLAMA",IF(AND($F271&lt;&gt;"Ba",$F271&lt;&gt;"Bs"),"TIP_KARISIK",IF($C271&gt;cbb_esikFark*cbb_donemCarpan,"DONEM",IF(LEN($D271)&lt;cbb_unvanMinLen,"UNVAN","TANIMSIZ"))))))</f>
        <v/>
      </c>
    </row>
    <row r="272">
      <c r="A272" s="26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IF($A272="","",IFERROR(INDEX(tblVeriA[Unvan],MATCH($A272,tblAnahtarA[Norm],0)),""))</f>
        <v/>
      </c>
      <c r="E272" s="16">
        <f>IF($A272="","",IFERROR(SUMIF(tblAnahtarB[NormB],$A272,tblVeriB[BelgeAdet]),0))</f>
        <v/>
      </c>
      <c r="F272" s="16">
        <f>IF($A272="","",IFERROR(INDEX(tblVeriB[FormTipi],MATCH($A272,tblAnahtarB[NormB],0)),""))</f>
        <v/>
      </c>
      <c r="G272" s="16">
        <f>IF($A272="","",IFERROR(INDEX(tblVeriA[Donem],MATCH($A272,tblAnahtarA[Norm],0)),""))</f>
        <v/>
      </c>
      <c r="H272" s="16">
        <f>IF(OR($A272="",$B272&lt;&gt;"tutar_farki"),"",IF($E272=0,"BELGE_EKSIK",IF($C272&lt;=toleransKurus*cbb_yuvarlamaCarpan,"YUVARLAMA",IF(AND($F272&lt;&gt;"Ba",$F272&lt;&gt;"Bs"),"TIP_KARISIK",IF($C272&gt;cbb_esikFark*cbb_donemCarpan,"DONEM",IF(LEN($D272)&lt;cbb_unvanMinLen,"UNVAN","TANIMSIZ"))))))</f>
        <v/>
      </c>
    </row>
    <row r="273">
      <c r="A273" s="26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IF($A273="","",IFERROR(INDEX(tblVeriA[Unvan],MATCH($A273,tblAnahtarA[Norm],0)),""))</f>
        <v/>
      </c>
      <c r="E273" s="16">
        <f>IF($A273="","",IFERROR(SUMIF(tblAnahtarB[NormB],$A273,tblVeriB[BelgeAdet]),0))</f>
        <v/>
      </c>
      <c r="F273" s="16">
        <f>IF($A273="","",IFERROR(INDEX(tblVeriB[FormTipi],MATCH($A273,tblAnahtarB[NormB],0)),""))</f>
        <v/>
      </c>
      <c r="G273" s="16">
        <f>IF($A273="","",IFERROR(INDEX(tblVeriA[Donem],MATCH($A273,tblAnahtarA[Norm],0)),""))</f>
        <v/>
      </c>
      <c r="H273" s="16">
        <f>IF(OR($A273="",$B273&lt;&gt;"tutar_farki"),"",IF($E273=0,"BELGE_EKSIK",IF($C273&lt;=toleransKurus*cbb_yuvarlamaCarpan,"YUVARLAMA",IF(AND($F273&lt;&gt;"Ba",$F273&lt;&gt;"Bs"),"TIP_KARISIK",IF($C273&gt;cbb_esikFark*cbb_donemCarpan,"DONEM",IF(LEN($D273)&lt;cbb_unvanMinLen,"UNVAN","TANIMSIZ"))))))</f>
        <v/>
      </c>
    </row>
    <row r="274">
      <c r="A274" s="26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IF($A274="","",IFERROR(INDEX(tblVeriA[Unvan],MATCH($A274,tblAnahtarA[Norm],0)),""))</f>
        <v/>
      </c>
      <c r="E274" s="16">
        <f>IF($A274="","",IFERROR(SUMIF(tblAnahtarB[NormB],$A274,tblVeriB[BelgeAdet]),0))</f>
        <v/>
      </c>
      <c r="F274" s="16">
        <f>IF($A274="","",IFERROR(INDEX(tblVeriB[FormTipi],MATCH($A274,tblAnahtarB[NormB],0)),""))</f>
        <v/>
      </c>
      <c r="G274" s="16">
        <f>IF($A274="","",IFERROR(INDEX(tblVeriA[Donem],MATCH($A274,tblAnahtarA[Norm],0)),""))</f>
        <v/>
      </c>
      <c r="H274" s="16">
        <f>IF(OR($A274="",$B274&lt;&gt;"tutar_farki"),"",IF($E274=0,"BELGE_EKSIK",IF($C274&lt;=toleransKurus*cbb_yuvarlamaCarpan,"YUVARLAMA",IF(AND($F274&lt;&gt;"Ba",$F274&lt;&gt;"Bs"),"TIP_KARISIK",IF($C274&gt;cbb_esikFark*cbb_donemCarpan,"DONEM",IF(LEN($D274)&lt;cbb_unvanMinLen,"UNVAN","TANIMSIZ"))))))</f>
        <v/>
      </c>
    </row>
    <row r="275">
      <c r="A275" s="26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IF($A275="","",IFERROR(INDEX(tblVeriA[Unvan],MATCH($A275,tblAnahtarA[Norm],0)),""))</f>
        <v/>
      </c>
      <c r="E275" s="16">
        <f>IF($A275="","",IFERROR(SUMIF(tblAnahtarB[NormB],$A275,tblVeriB[BelgeAdet]),0))</f>
        <v/>
      </c>
      <c r="F275" s="16">
        <f>IF($A275="","",IFERROR(INDEX(tblVeriB[FormTipi],MATCH($A275,tblAnahtarB[NormB],0)),""))</f>
        <v/>
      </c>
      <c r="G275" s="16">
        <f>IF($A275="","",IFERROR(INDEX(tblVeriA[Donem],MATCH($A275,tblAnahtarA[Norm],0)),""))</f>
        <v/>
      </c>
      <c r="H275" s="16">
        <f>IF(OR($A275="",$B275&lt;&gt;"tutar_farki"),"",IF($E275=0,"BELGE_EKSIK",IF($C275&lt;=toleransKurus*cbb_yuvarlamaCarpan,"YUVARLAMA",IF(AND($F275&lt;&gt;"Ba",$F275&lt;&gt;"Bs"),"TIP_KARISIK",IF($C275&gt;cbb_esikFark*cbb_donemCarpan,"DONEM",IF(LEN($D275)&lt;cbb_unvanMinLen,"UNVAN","TANIMSIZ"))))))</f>
        <v/>
      </c>
    </row>
    <row r="276">
      <c r="A276" s="26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IF($A276="","",IFERROR(INDEX(tblVeriA[Unvan],MATCH($A276,tblAnahtarA[Norm],0)),""))</f>
        <v/>
      </c>
      <c r="E276" s="16">
        <f>IF($A276="","",IFERROR(SUMIF(tblAnahtarB[NormB],$A276,tblVeriB[BelgeAdet]),0))</f>
        <v/>
      </c>
      <c r="F276" s="16">
        <f>IF($A276="","",IFERROR(INDEX(tblVeriB[FormTipi],MATCH($A276,tblAnahtarB[NormB],0)),""))</f>
        <v/>
      </c>
      <c r="G276" s="16">
        <f>IF($A276="","",IFERROR(INDEX(tblVeriA[Donem],MATCH($A276,tblAnahtarA[Norm],0)),""))</f>
        <v/>
      </c>
      <c r="H276" s="16">
        <f>IF(OR($A276="",$B276&lt;&gt;"tutar_farki"),"",IF($E276=0,"BELGE_EKSIK",IF($C276&lt;=toleransKurus*cbb_yuvarlamaCarpan,"YUVARLAMA",IF(AND($F276&lt;&gt;"Ba",$F276&lt;&gt;"Bs"),"TIP_KARISIK",IF($C276&gt;cbb_esikFark*cbb_donemCarpan,"DONEM",IF(LEN($D276)&lt;cbb_unvanMinLen,"UNVAN","TANIMSIZ"))))))</f>
        <v/>
      </c>
    </row>
    <row r="277">
      <c r="A277" s="26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IF($A277="","",IFERROR(INDEX(tblVeriA[Unvan],MATCH($A277,tblAnahtarA[Norm],0)),""))</f>
        <v/>
      </c>
      <c r="E277" s="16">
        <f>IF($A277="","",IFERROR(SUMIF(tblAnahtarB[NormB],$A277,tblVeriB[BelgeAdet]),0))</f>
        <v/>
      </c>
      <c r="F277" s="16">
        <f>IF($A277="","",IFERROR(INDEX(tblVeriB[FormTipi],MATCH($A277,tblAnahtarB[NormB],0)),""))</f>
        <v/>
      </c>
      <c r="G277" s="16">
        <f>IF($A277="","",IFERROR(INDEX(tblVeriA[Donem],MATCH($A277,tblAnahtarA[Norm],0)),""))</f>
        <v/>
      </c>
      <c r="H277" s="16">
        <f>IF(OR($A277="",$B277&lt;&gt;"tutar_farki"),"",IF($E277=0,"BELGE_EKSIK",IF($C277&lt;=toleransKurus*cbb_yuvarlamaCarpan,"YUVARLAMA",IF(AND($F277&lt;&gt;"Ba",$F277&lt;&gt;"Bs"),"TIP_KARISIK",IF($C277&gt;cbb_esikFark*cbb_donemCarpan,"DONEM",IF(LEN($D277)&lt;cbb_unvanMinLen,"UNVAN","TANIMSIZ"))))))</f>
        <v/>
      </c>
    </row>
    <row r="278">
      <c r="A278" s="26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IF($A278="","",IFERROR(INDEX(tblVeriA[Unvan],MATCH($A278,tblAnahtarA[Norm],0)),""))</f>
        <v/>
      </c>
      <c r="E278" s="16">
        <f>IF($A278="","",IFERROR(SUMIF(tblAnahtarB[NormB],$A278,tblVeriB[BelgeAdet]),0))</f>
        <v/>
      </c>
      <c r="F278" s="16">
        <f>IF($A278="","",IFERROR(INDEX(tblVeriB[FormTipi],MATCH($A278,tblAnahtarB[NormB],0)),""))</f>
        <v/>
      </c>
      <c r="G278" s="16">
        <f>IF($A278="","",IFERROR(INDEX(tblVeriA[Donem],MATCH($A278,tblAnahtarA[Norm],0)),""))</f>
        <v/>
      </c>
      <c r="H278" s="16">
        <f>IF(OR($A278="",$B278&lt;&gt;"tutar_farki"),"",IF($E278=0,"BELGE_EKSIK",IF($C278&lt;=toleransKurus*cbb_yuvarlamaCarpan,"YUVARLAMA",IF(AND($F278&lt;&gt;"Ba",$F278&lt;&gt;"Bs"),"TIP_KARISIK",IF($C278&gt;cbb_esikFark*cbb_donemCarpan,"DONEM",IF(LEN($D278)&lt;cbb_unvanMinLen,"UNVAN","TANIMSIZ"))))))</f>
        <v/>
      </c>
    </row>
    <row r="279">
      <c r="A279" s="26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IF($A279="","",IFERROR(INDEX(tblVeriA[Unvan],MATCH($A279,tblAnahtarA[Norm],0)),""))</f>
        <v/>
      </c>
      <c r="E279" s="16">
        <f>IF($A279="","",IFERROR(SUMIF(tblAnahtarB[NormB],$A279,tblVeriB[BelgeAdet]),0))</f>
        <v/>
      </c>
      <c r="F279" s="16">
        <f>IF($A279="","",IFERROR(INDEX(tblVeriB[FormTipi],MATCH($A279,tblAnahtarB[NormB],0)),""))</f>
        <v/>
      </c>
      <c r="G279" s="16">
        <f>IF($A279="","",IFERROR(INDEX(tblVeriA[Donem],MATCH($A279,tblAnahtarA[Norm],0)),""))</f>
        <v/>
      </c>
      <c r="H279" s="16">
        <f>IF(OR($A279="",$B279&lt;&gt;"tutar_farki"),"",IF($E279=0,"BELGE_EKSIK",IF($C279&lt;=toleransKurus*cbb_yuvarlamaCarpan,"YUVARLAMA",IF(AND($F279&lt;&gt;"Ba",$F279&lt;&gt;"Bs"),"TIP_KARISIK",IF($C279&gt;cbb_esikFark*cbb_donemCarpan,"DONEM",IF(LEN($D279)&lt;cbb_unvanMinLen,"UNVAN","TANIMSIZ"))))))</f>
        <v/>
      </c>
    </row>
    <row r="280">
      <c r="A280" s="26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IF($A280="","",IFERROR(INDEX(tblVeriA[Unvan],MATCH($A280,tblAnahtarA[Norm],0)),""))</f>
        <v/>
      </c>
      <c r="E280" s="16">
        <f>IF($A280="","",IFERROR(SUMIF(tblAnahtarB[NormB],$A280,tblVeriB[BelgeAdet]),0))</f>
        <v/>
      </c>
      <c r="F280" s="16">
        <f>IF($A280="","",IFERROR(INDEX(tblVeriB[FormTipi],MATCH($A280,tblAnahtarB[NormB],0)),""))</f>
        <v/>
      </c>
      <c r="G280" s="16">
        <f>IF($A280="","",IFERROR(INDEX(tblVeriA[Donem],MATCH($A280,tblAnahtarA[Norm],0)),""))</f>
        <v/>
      </c>
      <c r="H280" s="16">
        <f>IF(OR($A280="",$B280&lt;&gt;"tutar_farki"),"",IF($E280=0,"BELGE_EKSIK",IF($C280&lt;=toleransKurus*cbb_yuvarlamaCarpan,"YUVARLAMA",IF(AND($F280&lt;&gt;"Ba",$F280&lt;&gt;"Bs"),"TIP_KARISIK",IF($C280&gt;cbb_esikFark*cbb_donemCarpan,"DONEM",IF(LEN($D280)&lt;cbb_unvanMinLen,"UNVAN","TANIMSIZ"))))))</f>
        <v/>
      </c>
    </row>
    <row r="281">
      <c r="A281" s="26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IF($A281="","",IFERROR(INDEX(tblVeriA[Unvan],MATCH($A281,tblAnahtarA[Norm],0)),""))</f>
        <v/>
      </c>
      <c r="E281" s="16">
        <f>IF($A281="","",IFERROR(SUMIF(tblAnahtarB[NormB],$A281,tblVeriB[BelgeAdet]),0))</f>
        <v/>
      </c>
      <c r="F281" s="16">
        <f>IF($A281="","",IFERROR(INDEX(tblVeriB[FormTipi],MATCH($A281,tblAnahtarB[NormB],0)),""))</f>
        <v/>
      </c>
      <c r="G281" s="16">
        <f>IF($A281="","",IFERROR(INDEX(tblVeriA[Donem],MATCH($A281,tblAnahtarA[Norm],0)),""))</f>
        <v/>
      </c>
      <c r="H281" s="16">
        <f>IF(OR($A281="",$B281&lt;&gt;"tutar_farki"),"",IF($E281=0,"BELGE_EKSIK",IF($C281&lt;=toleransKurus*cbb_yuvarlamaCarpan,"YUVARLAMA",IF(AND($F281&lt;&gt;"Ba",$F281&lt;&gt;"Bs"),"TIP_KARISIK",IF($C281&gt;cbb_esikFark*cbb_donemCarpan,"DONEM",IF(LEN($D281)&lt;cbb_unvanMinLen,"UNVAN","TANIMSIZ"))))))</f>
        <v/>
      </c>
    </row>
    <row r="282">
      <c r="A282" s="26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IF($A282="","",IFERROR(INDEX(tblVeriA[Unvan],MATCH($A282,tblAnahtarA[Norm],0)),""))</f>
        <v/>
      </c>
      <c r="E282" s="16">
        <f>IF($A282="","",IFERROR(SUMIF(tblAnahtarB[NormB],$A282,tblVeriB[BelgeAdet]),0))</f>
        <v/>
      </c>
      <c r="F282" s="16">
        <f>IF($A282="","",IFERROR(INDEX(tblVeriB[FormTipi],MATCH($A282,tblAnahtarB[NormB],0)),""))</f>
        <v/>
      </c>
      <c r="G282" s="16">
        <f>IF($A282="","",IFERROR(INDEX(tblVeriA[Donem],MATCH($A282,tblAnahtarA[Norm],0)),""))</f>
        <v/>
      </c>
      <c r="H282" s="16">
        <f>IF(OR($A282="",$B282&lt;&gt;"tutar_farki"),"",IF($E282=0,"BELGE_EKSIK",IF($C282&lt;=toleransKurus*cbb_yuvarlamaCarpan,"YUVARLAMA",IF(AND($F282&lt;&gt;"Ba",$F282&lt;&gt;"Bs"),"TIP_KARISIK",IF($C282&gt;cbb_esikFark*cbb_donemCarpan,"DONEM",IF(LEN($D282)&lt;cbb_unvanMinLen,"UNVAN","TANIMSIZ"))))))</f>
        <v/>
      </c>
    </row>
    <row r="283">
      <c r="A283" s="26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IF($A283="","",IFERROR(INDEX(tblVeriA[Unvan],MATCH($A283,tblAnahtarA[Norm],0)),""))</f>
        <v/>
      </c>
      <c r="E283" s="16">
        <f>IF($A283="","",IFERROR(SUMIF(tblAnahtarB[NormB],$A283,tblVeriB[BelgeAdet]),0))</f>
        <v/>
      </c>
      <c r="F283" s="16">
        <f>IF($A283="","",IFERROR(INDEX(tblVeriB[FormTipi],MATCH($A283,tblAnahtarB[NormB],0)),""))</f>
        <v/>
      </c>
      <c r="G283" s="16">
        <f>IF($A283="","",IFERROR(INDEX(tblVeriA[Donem],MATCH($A283,tblAnahtarA[Norm],0)),""))</f>
        <v/>
      </c>
      <c r="H283" s="16">
        <f>IF(OR($A283="",$B283&lt;&gt;"tutar_farki"),"",IF($E283=0,"BELGE_EKSIK",IF($C283&lt;=toleransKurus*cbb_yuvarlamaCarpan,"YUVARLAMA",IF(AND($F283&lt;&gt;"Ba",$F283&lt;&gt;"Bs"),"TIP_KARISIK",IF($C283&gt;cbb_esikFark*cbb_donemCarpan,"DONEM",IF(LEN($D283)&lt;cbb_unvanMinLen,"UNVAN","TANIMSIZ"))))))</f>
        <v/>
      </c>
    </row>
    <row r="284">
      <c r="A284" s="26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IF($A284="","",IFERROR(INDEX(tblVeriA[Unvan],MATCH($A284,tblAnahtarA[Norm],0)),""))</f>
        <v/>
      </c>
      <c r="E284" s="16">
        <f>IF($A284="","",IFERROR(SUMIF(tblAnahtarB[NormB],$A284,tblVeriB[BelgeAdet]),0))</f>
        <v/>
      </c>
      <c r="F284" s="16">
        <f>IF($A284="","",IFERROR(INDEX(tblVeriB[FormTipi],MATCH($A284,tblAnahtarB[NormB],0)),""))</f>
        <v/>
      </c>
      <c r="G284" s="16">
        <f>IF($A284="","",IFERROR(INDEX(tblVeriA[Donem],MATCH($A284,tblAnahtarA[Norm],0)),""))</f>
        <v/>
      </c>
      <c r="H284" s="16">
        <f>IF(OR($A284="",$B284&lt;&gt;"tutar_farki"),"",IF($E284=0,"BELGE_EKSIK",IF($C284&lt;=toleransKurus*cbb_yuvarlamaCarpan,"YUVARLAMA",IF(AND($F284&lt;&gt;"Ba",$F284&lt;&gt;"Bs"),"TIP_KARISIK",IF($C284&gt;cbb_esikFark*cbb_donemCarpan,"DONEM",IF(LEN($D284)&lt;cbb_unvanMinLen,"UNVAN","TANIMSIZ"))))))</f>
        <v/>
      </c>
    </row>
    <row r="285">
      <c r="A285" s="26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IF($A285="","",IFERROR(INDEX(tblVeriA[Unvan],MATCH($A285,tblAnahtarA[Norm],0)),""))</f>
        <v/>
      </c>
      <c r="E285" s="16">
        <f>IF($A285="","",IFERROR(SUMIF(tblAnahtarB[NormB],$A285,tblVeriB[BelgeAdet]),0))</f>
        <v/>
      </c>
      <c r="F285" s="16">
        <f>IF($A285="","",IFERROR(INDEX(tblVeriB[FormTipi],MATCH($A285,tblAnahtarB[NormB],0)),""))</f>
        <v/>
      </c>
      <c r="G285" s="16">
        <f>IF($A285="","",IFERROR(INDEX(tblVeriA[Donem],MATCH($A285,tblAnahtarA[Norm],0)),""))</f>
        <v/>
      </c>
      <c r="H285" s="16">
        <f>IF(OR($A285="",$B285&lt;&gt;"tutar_farki"),"",IF($E285=0,"BELGE_EKSIK",IF($C285&lt;=toleransKurus*cbb_yuvarlamaCarpan,"YUVARLAMA",IF(AND($F285&lt;&gt;"Ba",$F285&lt;&gt;"Bs"),"TIP_KARISIK",IF($C285&gt;cbb_esikFark*cbb_donemCarpan,"DONEM",IF(LEN($D285)&lt;cbb_unvanMinLen,"UNVAN","TANIMSIZ"))))))</f>
        <v/>
      </c>
    </row>
    <row r="286">
      <c r="A286" s="26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IF($A286="","",IFERROR(INDEX(tblVeriA[Unvan],MATCH($A286,tblAnahtarA[Norm],0)),""))</f>
        <v/>
      </c>
      <c r="E286" s="16">
        <f>IF($A286="","",IFERROR(SUMIF(tblAnahtarB[NormB],$A286,tblVeriB[BelgeAdet]),0))</f>
        <v/>
      </c>
      <c r="F286" s="16">
        <f>IF($A286="","",IFERROR(INDEX(tblVeriB[FormTipi],MATCH($A286,tblAnahtarB[NormB],0)),""))</f>
        <v/>
      </c>
      <c r="G286" s="16">
        <f>IF($A286="","",IFERROR(INDEX(tblVeriA[Donem],MATCH($A286,tblAnahtarA[Norm],0)),""))</f>
        <v/>
      </c>
      <c r="H286" s="16">
        <f>IF(OR($A286="",$B286&lt;&gt;"tutar_farki"),"",IF($E286=0,"BELGE_EKSIK",IF($C286&lt;=toleransKurus*cbb_yuvarlamaCarpan,"YUVARLAMA",IF(AND($F286&lt;&gt;"Ba",$F286&lt;&gt;"Bs"),"TIP_KARISIK",IF($C286&gt;cbb_esikFark*cbb_donemCarpan,"DONEM",IF(LEN($D286)&lt;cbb_unvanMinLen,"UNVAN","TANIMSIZ"))))))</f>
        <v/>
      </c>
    </row>
    <row r="287">
      <c r="A287" s="26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IF($A287="","",IFERROR(INDEX(tblVeriA[Unvan],MATCH($A287,tblAnahtarA[Norm],0)),""))</f>
        <v/>
      </c>
      <c r="E287" s="16">
        <f>IF($A287="","",IFERROR(SUMIF(tblAnahtarB[NormB],$A287,tblVeriB[BelgeAdet]),0))</f>
        <v/>
      </c>
      <c r="F287" s="16">
        <f>IF($A287="","",IFERROR(INDEX(tblVeriB[FormTipi],MATCH($A287,tblAnahtarB[NormB],0)),""))</f>
        <v/>
      </c>
      <c r="G287" s="16">
        <f>IF($A287="","",IFERROR(INDEX(tblVeriA[Donem],MATCH($A287,tblAnahtarA[Norm],0)),""))</f>
        <v/>
      </c>
      <c r="H287" s="16">
        <f>IF(OR($A287="",$B287&lt;&gt;"tutar_farki"),"",IF($E287=0,"BELGE_EKSIK",IF($C287&lt;=toleransKurus*cbb_yuvarlamaCarpan,"YUVARLAMA",IF(AND($F287&lt;&gt;"Ba",$F287&lt;&gt;"Bs"),"TIP_KARISIK",IF($C287&gt;cbb_esikFark*cbb_donemCarpan,"DONEM",IF(LEN($D287)&lt;cbb_unvanMinLen,"UNVAN","TANIMSIZ"))))))</f>
        <v/>
      </c>
    </row>
    <row r="288">
      <c r="A288" s="26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IF($A288="","",IFERROR(INDEX(tblVeriA[Unvan],MATCH($A288,tblAnahtarA[Norm],0)),""))</f>
        <v/>
      </c>
      <c r="E288" s="16">
        <f>IF($A288="","",IFERROR(SUMIF(tblAnahtarB[NormB],$A288,tblVeriB[BelgeAdet]),0))</f>
        <v/>
      </c>
      <c r="F288" s="16">
        <f>IF($A288="","",IFERROR(INDEX(tblVeriB[FormTipi],MATCH($A288,tblAnahtarB[NormB],0)),""))</f>
        <v/>
      </c>
      <c r="G288" s="16">
        <f>IF($A288="","",IFERROR(INDEX(tblVeriA[Donem],MATCH($A288,tblAnahtarA[Norm],0)),""))</f>
        <v/>
      </c>
      <c r="H288" s="16">
        <f>IF(OR($A288="",$B288&lt;&gt;"tutar_farki"),"",IF($E288=0,"BELGE_EKSIK",IF($C288&lt;=toleransKurus*cbb_yuvarlamaCarpan,"YUVARLAMA",IF(AND($F288&lt;&gt;"Ba",$F288&lt;&gt;"Bs"),"TIP_KARISIK",IF($C288&gt;cbb_esikFark*cbb_donemCarpan,"DONEM",IF(LEN($D288)&lt;cbb_unvanMinLen,"UNVAN","TANIMSIZ"))))))</f>
        <v/>
      </c>
    </row>
    <row r="289">
      <c r="A289" s="26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IF($A289="","",IFERROR(INDEX(tblVeriA[Unvan],MATCH($A289,tblAnahtarA[Norm],0)),""))</f>
        <v/>
      </c>
      <c r="E289" s="16">
        <f>IF($A289="","",IFERROR(SUMIF(tblAnahtarB[NormB],$A289,tblVeriB[BelgeAdet]),0))</f>
        <v/>
      </c>
      <c r="F289" s="16">
        <f>IF($A289="","",IFERROR(INDEX(tblVeriB[FormTipi],MATCH($A289,tblAnahtarB[NormB],0)),""))</f>
        <v/>
      </c>
      <c r="G289" s="16">
        <f>IF($A289="","",IFERROR(INDEX(tblVeriA[Donem],MATCH($A289,tblAnahtarA[Norm],0)),""))</f>
        <v/>
      </c>
      <c r="H289" s="16">
        <f>IF(OR($A289="",$B289&lt;&gt;"tutar_farki"),"",IF($E289=0,"BELGE_EKSIK",IF($C289&lt;=toleransKurus*cbb_yuvarlamaCarpan,"YUVARLAMA",IF(AND($F289&lt;&gt;"Ba",$F289&lt;&gt;"Bs"),"TIP_KARISIK",IF($C289&gt;cbb_esikFark*cbb_donemCarpan,"DONEM",IF(LEN($D289)&lt;cbb_unvanMinLen,"UNVAN","TANIMSIZ"))))))</f>
        <v/>
      </c>
    </row>
    <row r="290">
      <c r="A290" s="26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IF($A290="","",IFERROR(INDEX(tblVeriA[Unvan],MATCH($A290,tblAnahtarA[Norm],0)),""))</f>
        <v/>
      </c>
      <c r="E290" s="16">
        <f>IF($A290="","",IFERROR(SUMIF(tblAnahtarB[NormB],$A290,tblVeriB[BelgeAdet]),0))</f>
        <v/>
      </c>
      <c r="F290" s="16">
        <f>IF($A290="","",IFERROR(INDEX(tblVeriB[FormTipi],MATCH($A290,tblAnahtarB[NormB],0)),""))</f>
        <v/>
      </c>
      <c r="G290" s="16">
        <f>IF($A290="","",IFERROR(INDEX(tblVeriA[Donem],MATCH($A290,tblAnahtarA[Norm],0)),""))</f>
        <v/>
      </c>
      <c r="H290" s="16">
        <f>IF(OR($A290="",$B290&lt;&gt;"tutar_farki"),"",IF($E290=0,"BELGE_EKSIK",IF($C290&lt;=toleransKurus*cbb_yuvarlamaCarpan,"YUVARLAMA",IF(AND($F290&lt;&gt;"Ba",$F290&lt;&gt;"Bs"),"TIP_KARISIK",IF($C290&gt;cbb_esikFark*cbb_donemCarpan,"DONEM",IF(LEN($D290)&lt;cbb_unvanMinLen,"UNVAN","TANIMSIZ"))))))</f>
        <v/>
      </c>
    </row>
    <row r="291">
      <c r="A291" s="26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IF($A291="","",IFERROR(INDEX(tblVeriA[Unvan],MATCH($A291,tblAnahtarA[Norm],0)),""))</f>
        <v/>
      </c>
      <c r="E291" s="16">
        <f>IF($A291="","",IFERROR(SUMIF(tblAnahtarB[NormB],$A291,tblVeriB[BelgeAdet]),0))</f>
        <v/>
      </c>
      <c r="F291" s="16">
        <f>IF($A291="","",IFERROR(INDEX(tblVeriB[FormTipi],MATCH($A291,tblAnahtarB[NormB],0)),""))</f>
        <v/>
      </c>
      <c r="G291" s="16">
        <f>IF($A291="","",IFERROR(INDEX(tblVeriA[Donem],MATCH($A291,tblAnahtarA[Norm],0)),""))</f>
        <v/>
      </c>
      <c r="H291" s="16">
        <f>IF(OR($A291="",$B291&lt;&gt;"tutar_farki"),"",IF($E291=0,"BELGE_EKSIK",IF($C291&lt;=toleransKurus*cbb_yuvarlamaCarpan,"YUVARLAMA",IF(AND($F291&lt;&gt;"Ba",$F291&lt;&gt;"Bs"),"TIP_KARISIK",IF($C291&gt;cbb_esikFark*cbb_donemCarpan,"DONEM",IF(LEN($D291)&lt;cbb_unvanMinLen,"UNVAN","TANIMSIZ"))))))</f>
        <v/>
      </c>
    </row>
    <row r="292">
      <c r="A292" s="26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IF($A292="","",IFERROR(INDEX(tblVeriA[Unvan],MATCH($A292,tblAnahtarA[Norm],0)),""))</f>
        <v/>
      </c>
      <c r="E292" s="16">
        <f>IF($A292="","",IFERROR(SUMIF(tblAnahtarB[NormB],$A292,tblVeriB[BelgeAdet]),0))</f>
        <v/>
      </c>
      <c r="F292" s="16">
        <f>IF($A292="","",IFERROR(INDEX(tblVeriB[FormTipi],MATCH($A292,tblAnahtarB[NormB],0)),""))</f>
        <v/>
      </c>
      <c r="G292" s="16">
        <f>IF($A292="","",IFERROR(INDEX(tblVeriA[Donem],MATCH($A292,tblAnahtarA[Norm],0)),""))</f>
        <v/>
      </c>
      <c r="H292" s="16">
        <f>IF(OR($A292="",$B292&lt;&gt;"tutar_farki"),"",IF($E292=0,"BELGE_EKSIK",IF($C292&lt;=toleransKurus*cbb_yuvarlamaCarpan,"YUVARLAMA",IF(AND($F292&lt;&gt;"Ba",$F292&lt;&gt;"Bs"),"TIP_KARISIK",IF($C292&gt;cbb_esikFark*cbb_donemCarpan,"DONEM",IF(LEN($D292)&lt;cbb_unvanMinLen,"UNVAN","TANIMSIZ"))))))</f>
        <v/>
      </c>
    </row>
    <row r="293">
      <c r="A293" s="26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IF($A293="","",IFERROR(INDEX(tblVeriA[Unvan],MATCH($A293,tblAnahtarA[Norm],0)),""))</f>
        <v/>
      </c>
      <c r="E293" s="16">
        <f>IF($A293="","",IFERROR(SUMIF(tblAnahtarB[NormB],$A293,tblVeriB[BelgeAdet]),0))</f>
        <v/>
      </c>
      <c r="F293" s="16">
        <f>IF($A293="","",IFERROR(INDEX(tblVeriB[FormTipi],MATCH($A293,tblAnahtarB[NormB],0)),""))</f>
        <v/>
      </c>
      <c r="G293" s="16">
        <f>IF($A293="","",IFERROR(INDEX(tblVeriA[Donem],MATCH($A293,tblAnahtarA[Norm],0)),""))</f>
        <v/>
      </c>
      <c r="H293" s="16">
        <f>IF(OR($A293="",$B293&lt;&gt;"tutar_farki"),"",IF($E293=0,"BELGE_EKSIK",IF($C293&lt;=toleransKurus*cbb_yuvarlamaCarpan,"YUVARLAMA",IF(AND($F293&lt;&gt;"Ba",$F293&lt;&gt;"Bs"),"TIP_KARISIK",IF($C293&gt;cbb_esikFark*cbb_donemCarpan,"DONEM",IF(LEN($D293)&lt;cbb_unvanMinLen,"UNVAN","TANIMSIZ"))))))</f>
        <v/>
      </c>
    </row>
    <row r="294">
      <c r="A294" s="26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IF($A294="","",IFERROR(INDEX(tblVeriA[Unvan],MATCH($A294,tblAnahtarA[Norm],0)),""))</f>
        <v/>
      </c>
      <c r="E294" s="16">
        <f>IF($A294="","",IFERROR(SUMIF(tblAnahtarB[NormB],$A294,tblVeriB[BelgeAdet]),0))</f>
        <v/>
      </c>
      <c r="F294" s="16">
        <f>IF($A294="","",IFERROR(INDEX(tblVeriB[FormTipi],MATCH($A294,tblAnahtarB[NormB],0)),""))</f>
        <v/>
      </c>
      <c r="G294" s="16">
        <f>IF($A294="","",IFERROR(INDEX(tblVeriA[Donem],MATCH($A294,tblAnahtarA[Norm],0)),""))</f>
        <v/>
      </c>
      <c r="H294" s="16">
        <f>IF(OR($A294="",$B294&lt;&gt;"tutar_farki"),"",IF($E294=0,"BELGE_EKSIK",IF($C294&lt;=toleransKurus*cbb_yuvarlamaCarpan,"YUVARLAMA",IF(AND($F294&lt;&gt;"Ba",$F294&lt;&gt;"Bs"),"TIP_KARISIK",IF($C294&gt;cbb_esikFark*cbb_donemCarpan,"DONEM",IF(LEN($D294)&lt;cbb_unvanMinLen,"UNVAN","TANIMSIZ"))))))</f>
        <v/>
      </c>
    </row>
    <row r="295">
      <c r="A295" s="26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IF($A295="","",IFERROR(INDEX(tblVeriA[Unvan],MATCH($A295,tblAnahtarA[Norm],0)),""))</f>
        <v/>
      </c>
      <c r="E295" s="16">
        <f>IF($A295="","",IFERROR(SUMIF(tblAnahtarB[NormB],$A295,tblVeriB[BelgeAdet]),0))</f>
        <v/>
      </c>
      <c r="F295" s="16">
        <f>IF($A295="","",IFERROR(INDEX(tblVeriB[FormTipi],MATCH($A295,tblAnahtarB[NormB],0)),""))</f>
        <v/>
      </c>
      <c r="G295" s="16">
        <f>IF($A295="","",IFERROR(INDEX(tblVeriA[Donem],MATCH($A295,tblAnahtarA[Norm],0)),""))</f>
        <v/>
      </c>
      <c r="H295" s="16">
        <f>IF(OR($A295="",$B295&lt;&gt;"tutar_farki"),"",IF($E295=0,"BELGE_EKSIK",IF($C295&lt;=toleransKurus*cbb_yuvarlamaCarpan,"YUVARLAMA",IF(AND($F295&lt;&gt;"Ba",$F295&lt;&gt;"Bs"),"TIP_KARISIK",IF($C295&gt;cbb_esikFark*cbb_donemCarpan,"DONEM",IF(LEN($D295)&lt;cbb_unvanMinLen,"UNVAN","TANIMSIZ"))))))</f>
        <v/>
      </c>
    </row>
    <row r="296">
      <c r="A296" s="26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IF($A296="","",IFERROR(INDEX(tblVeriA[Unvan],MATCH($A296,tblAnahtarA[Norm],0)),""))</f>
        <v/>
      </c>
      <c r="E296" s="16">
        <f>IF($A296="","",IFERROR(SUMIF(tblAnahtarB[NormB],$A296,tblVeriB[BelgeAdet]),0))</f>
        <v/>
      </c>
      <c r="F296" s="16">
        <f>IF($A296="","",IFERROR(INDEX(tblVeriB[FormTipi],MATCH($A296,tblAnahtarB[NormB],0)),""))</f>
        <v/>
      </c>
      <c r="G296" s="16">
        <f>IF($A296="","",IFERROR(INDEX(tblVeriA[Donem],MATCH($A296,tblAnahtarA[Norm],0)),""))</f>
        <v/>
      </c>
      <c r="H296" s="16">
        <f>IF(OR($A296="",$B296&lt;&gt;"tutar_farki"),"",IF($E296=0,"BELGE_EKSIK",IF($C296&lt;=toleransKurus*cbb_yuvarlamaCarpan,"YUVARLAMA",IF(AND($F296&lt;&gt;"Ba",$F296&lt;&gt;"Bs"),"TIP_KARISIK",IF($C296&gt;cbb_esikFark*cbb_donemCarpan,"DONEM",IF(LEN($D296)&lt;cbb_unvanMinLen,"UNVAN","TANIMSIZ"))))))</f>
        <v/>
      </c>
    </row>
    <row r="297">
      <c r="A297" s="26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IF($A297="","",IFERROR(INDEX(tblVeriA[Unvan],MATCH($A297,tblAnahtarA[Norm],0)),""))</f>
        <v/>
      </c>
      <c r="E297" s="16">
        <f>IF($A297="","",IFERROR(SUMIF(tblAnahtarB[NormB],$A297,tblVeriB[BelgeAdet]),0))</f>
        <v/>
      </c>
      <c r="F297" s="16">
        <f>IF($A297="","",IFERROR(INDEX(tblVeriB[FormTipi],MATCH($A297,tblAnahtarB[NormB],0)),""))</f>
        <v/>
      </c>
      <c r="G297" s="16">
        <f>IF($A297="","",IFERROR(INDEX(tblVeriA[Donem],MATCH($A297,tblAnahtarA[Norm],0)),""))</f>
        <v/>
      </c>
      <c r="H297" s="16">
        <f>IF(OR($A297="",$B297&lt;&gt;"tutar_farki"),"",IF($E297=0,"BELGE_EKSIK",IF($C297&lt;=toleransKurus*cbb_yuvarlamaCarpan,"YUVARLAMA",IF(AND($F297&lt;&gt;"Ba",$F297&lt;&gt;"Bs"),"TIP_KARISIK",IF($C297&gt;cbb_esikFark*cbb_donemCarpan,"DONEM",IF(LEN($D297)&lt;cbb_unvanMinLen,"UNVAN","TANIMSIZ"))))))</f>
        <v/>
      </c>
    </row>
    <row r="298">
      <c r="A298" s="26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IF($A298="","",IFERROR(INDEX(tblVeriA[Unvan],MATCH($A298,tblAnahtarA[Norm],0)),""))</f>
        <v/>
      </c>
      <c r="E298" s="16">
        <f>IF($A298="","",IFERROR(SUMIF(tblAnahtarB[NormB],$A298,tblVeriB[BelgeAdet]),0))</f>
        <v/>
      </c>
      <c r="F298" s="16">
        <f>IF($A298="","",IFERROR(INDEX(tblVeriB[FormTipi],MATCH($A298,tblAnahtarB[NormB],0)),""))</f>
        <v/>
      </c>
      <c r="G298" s="16">
        <f>IF($A298="","",IFERROR(INDEX(tblVeriA[Donem],MATCH($A298,tblAnahtarA[Norm],0)),""))</f>
        <v/>
      </c>
      <c r="H298" s="16">
        <f>IF(OR($A298="",$B298&lt;&gt;"tutar_farki"),"",IF($E298=0,"BELGE_EKSIK",IF($C298&lt;=toleransKurus*cbb_yuvarlamaCarpan,"YUVARLAMA",IF(AND($F298&lt;&gt;"Ba",$F298&lt;&gt;"Bs"),"TIP_KARISIK",IF($C298&gt;cbb_esikFark*cbb_donemCarpan,"DONEM",IF(LEN($D298)&lt;cbb_unvanMinLen,"UNVAN","TANIMSIZ"))))))</f>
        <v/>
      </c>
    </row>
    <row r="299">
      <c r="A299" s="26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IF($A299="","",IFERROR(INDEX(tblVeriA[Unvan],MATCH($A299,tblAnahtarA[Norm],0)),""))</f>
        <v/>
      </c>
      <c r="E299" s="16">
        <f>IF($A299="","",IFERROR(SUMIF(tblAnahtarB[NormB],$A299,tblVeriB[BelgeAdet]),0))</f>
        <v/>
      </c>
      <c r="F299" s="16">
        <f>IF($A299="","",IFERROR(INDEX(tblVeriB[FormTipi],MATCH($A299,tblAnahtarB[NormB],0)),""))</f>
        <v/>
      </c>
      <c r="G299" s="16">
        <f>IF($A299="","",IFERROR(INDEX(tblVeriA[Donem],MATCH($A299,tblAnahtarA[Norm],0)),""))</f>
        <v/>
      </c>
      <c r="H299" s="16">
        <f>IF(OR($A299="",$B299&lt;&gt;"tutar_farki"),"",IF($E299=0,"BELGE_EKSIK",IF($C299&lt;=toleransKurus*cbb_yuvarlamaCarpan,"YUVARLAMA",IF(AND($F299&lt;&gt;"Ba",$F299&lt;&gt;"Bs"),"TIP_KARISIK",IF($C299&gt;cbb_esikFark*cbb_donemCarpan,"DONEM",IF(LEN($D299)&lt;cbb_unvanMinLen,"UNVAN","TANIMSIZ"))))))</f>
        <v/>
      </c>
    </row>
    <row r="300">
      <c r="A300" s="26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IF($A300="","",IFERROR(INDEX(tblVeriA[Unvan],MATCH($A300,tblAnahtarA[Norm],0)),""))</f>
        <v/>
      </c>
      <c r="E300" s="16">
        <f>IF($A300="","",IFERROR(SUMIF(tblAnahtarB[NormB],$A300,tblVeriB[BelgeAdet]),0))</f>
        <v/>
      </c>
      <c r="F300" s="16">
        <f>IF($A300="","",IFERROR(INDEX(tblVeriB[FormTipi],MATCH($A300,tblAnahtarB[NormB],0)),""))</f>
        <v/>
      </c>
      <c r="G300" s="16">
        <f>IF($A300="","",IFERROR(INDEX(tblVeriA[Donem],MATCH($A300,tblAnahtarA[Norm],0)),""))</f>
        <v/>
      </c>
      <c r="H300" s="16">
        <f>IF(OR($A300="",$B300&lt;&gt;"tutar_farki"),"",IF($E300=0,"BELGE_EKSIK",IF($C300&lt;=toleransKurus*cbb_yuvarlamaCarpan,"YUVARLAMA",IF(AND($F300&lt;&gt;"Ba",$F300&lt;&gt;"Bs"),"TIP_KARISIK",IF($C300&gt;cbb_esikFark*cbb_donemCarpan,"DONEM",IF(LEN($D300)&lt;cbb_unvanMinLen,"UNVAN","TANIMSIZ"))))))</f>
        <v/>
      </c>
    </row>
    <row r="301">
      <c r="A301" s="26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IF($A301="","",IFERROR(INDEX(tblVeriA[Unvan],MATCH($A301,tblAnahtarA[Norm],0)),""))</f>
        <v/>
      </c>
      <c r="E301" s="16">
        <f>IF($A301="","",IFERROR(SUMIF(tblAnahtarB[NormB],$A301,tblVeriB[BelgeAdet]),0))</f>
        <v/>
      </c>
      <c r="F301" s="16">
        <f>IF($A301="","",IFERROR(INDEX(tblVeriB[FormTipi],MATCH($A301,tblAnahtarB[NormB],0)),""))</f>
        <v/>
      </c>
      <c r="G301" s="16">
        <f>IF($A301="","",IFERROR(INDEX(tblVeriA[Donem],MATCH($A301,tblAnahtarA[Norm],0)),""))</f>
        <v/>
      </c>
      <c r="H301" s="16">
        <f>IF(OR($A301="",$B301&lt;&gt;"tutar_farki"),"",IF($E301=0,"BELGE_EKSIK",IF($C301&lt;=toleransKurus*cbb_yuvarlamaCarpan,"YUVARLAMA",IF(AND($F301&lt;&gt;"Ba",$F301&lt;&gt;"Bs"),"TIP_KARISIK",IF($C301&gt;cbb_esikFark*cbb_donemCarpan,"DONEM",IF(LEN($D301)&lt;cbb_unvanMinLen,"UNVAN","TANIMSIZ"))))))</f>
        <v/>
      </c>
    </row>
    <row r="302">
      <c r="A302" s="26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IF($A302="","",IFERROR(INDEX(tblVeriA[Unvan],MATCH($A302,tblAnahtarA[Norm],0)),""))</f>
        <v/>
      </c>
      <c r="E302" s="16">
        <f>IF($A302="","",IFERROR(SUMIF(tblAnahtarB[NormB],$A302,tblVeriB[BelgeAdet]),0))</f>
        <v/>
      </c>
      <c r="F302" s="16">
        <f>IF($A302="","",IFERROR(INDEX(tblVeriB[FormTipi],MATCH($A302,tblAnahtarB[NormB],0)),""))</f>
        <v/>
      </c>
      <c r="G302" s="16">
        <f>IF($A302="","",IFERROR(INDEX(tblVeriA[Donem],MATCH($A302,tblAnahtarA[Norm],0)),""))</f>
        <v/>
      </c>
      <c r="H302" s="16">
        <f>IF(OR($A302="",$B302&lt;&gt;"tutar_farki"),"",IF($E302=0,"BELGE_EKSIK",IF($C302&lt;=toleransKurus*cbb_yuvarlamaCarpan,"YUVARLAMA",IF(AND($F302&lt;&gt;"Ba",$F302&lt;&gt;"Bs"),"TIP_KARISIK",IF($C302&gt;cbb_esikFark*cbb_donemCarpan,"DONEM",IF(LEN($D302)&lt;cbb_unvanMinLen,"UNVAN","TANIMSIZ"))))))</f>
        <v/>
      </c>
    </row>
    <row r="303">
      <c r="A303" s="26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IF($A303="","",IFERROR(INDEX(tblVeriA[Unvan],MATCH($A303,tblAnahtarA[Norm],0)),""))</f>
        <v/>
      </c>
      <c r="E303" s="16">
        <f>IF($A303="","",IFERROR(SUMIF(tblAnahtarB[NormB],$A303,tblVeriB[BelgeAdet]),0))</f>
        <v/>
      </c>
      <c r="F303" s="16">
        <f>IF($A303="","",IFERROR(INDEX(tblVeriB[FormTipi],MATCH($A303,tblAnahtarB[NormB],0)),""))</f>
        <v/>
      </c>
      <c r="G303" s="16">
        <f>IF($A303="","",IFERROR(INDEX(tblVeriA[Donem],MATCH($A303,tblAnahtarA[Norm],0)),""))</f>
        <v/>
      </c>
      <c r="H303" s="16">
        <f>IF(OR($A303="",$B303&lt;&gt;"tutar_farki"),"",IF($E303=0,"BELGE_EKSIK",IF($C303&lt;=toleransKurus*cbb_yuvarlamaCarpan,"YUVARLAMA",IF(AND($F303&lt;&gt;"Ba",$F303&lt;&gt;"Bs"),"TIP_KARISIK",IF($C303&gt;cbb_esikFark*cbb_donemCarpan,"DONEM",IF(LEN($D303)&lt;cbb_unvanMinLen,"UNVAN","TANIMSIZ"))))))</f>
        <v/>
      </c>
    </row>
    <row r="304">
      <c r="A304" s="26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IF($A304="","",IFERROR(INDEX(tblVeriA[Unvan],MATCH($A304,tblAnahtarA[Norm],0)),""))</f>
        <v/>
      </c>
      <c r="E304" s="16">
        <f>IF($A304="","",IFERROR(SUMIF(tblAnahtarB[NormB],$A304,tblVeriB[BelgeAdet]),0))</f>
        <v/>
      </c>
      <c r="F304" s="16">
        <f>IF($A304="","",IFERROR(INDEX(tblVeriB[FormTipi],MATCH($A304,tblAnahtarB[NormB],0)),""))</f>
        <v/>
      </c>
      <c r="G304" s="16">
        <f>IF($A304="","",IFERROR(INDEX(tblVeriA[Donem],MATCH($A304,tblAnahtarA[Norm],0)),""))</f>
        <v/>
      </c>
      <c r="H304" s="16">
        <f>IF(OR($A304="",$B304&lt;&gt;"tutar_farki"),"",IF($E304=0,"BELGE_EKSIK",IF($C304&lt;=toleransKurus*cbb_yuvarlamaCarpan,"YUVARLAMA",IF(AND($F304&lt;&gt;"Ba",$F304&lt;&gt;"Bs"),"TIP_KARISIK",IF($C304&gt;cbb_esikFark*cbb_donemCarpan,"DONEM",IF(LEN($D304)&lt;cbb_unvanMinLen,"UNVAN","TANIMSIZ"))))))</f>
        <v/>
      </c>
    </row>
    <row r="305">
      <c r="A305" s="26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IF($A305="","",IFERROR(INDEX(tblVeriA[Unvan],MATCH($A305,tblAnahtarA[Norm],0)),""))</f>
        <v/>
      </c>
      <c r="E305" s="16">
        <f>IF($A305="","",IFERROR(SUMIF(tblAnahtarB[NormB],$A305,tblVeriB[BelgeAdet]),0))</f>
        <v/>
      </c>
      <c r="F305" s="16">
        <f>IF($A305="","",IFERROR(INDEX(tblVeriB[FormTipi],MATCH($A305,tblAnahtarB[NormB],0)),""))</f>
        <v/>
      </c>
      <c r="G305" s="16">
        <f>IF($A305="","",IFERROR(INDEX(tblVeriA[Donem],MATCH($A305,tblAnahtarA[Norm],0)),""))</f>
        <v/>
      </c>
      <c r="H305" s="16">
        <f>IF(OR($A305="",$B305&lt;&gt;"tutar_farki"),"",IF($E305=0,"BELGE_EKSIK",IF($C305&lt;=toleransKurus*cbb_yuvarlamaCarpan,"YUVARLAMA",IF(AND($F305&lt;&gt;"Ba",$F305&lt;&gt;"Bs"),"TIP_KARISIK",IF($C305&gt;cbb_esikFark*cbb_donemCarpan,"DONEM",IF(LEN($D305)&lt;cbb_unvanMinLen,"UNVAN","TANIMSIZ"))))))</f>
        <v/>
      </c>
    </row>
    <row r="306">
      <c r="A306" s="26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IF($A306="","",IFERROR(INDEX(tblVeriA[Unvan],MATCH($A306,tblAnahtarA[Norm],0)),""))</f>
        <v/>
      </c>
      <c r="E306" s="16">
        <f>IF($A306="","",IFERROR(SUMIF(tblAnahtarB[NormB],$A306,tblVeriB[BelgeAdet]),0))</f>
        <v/>
      </c>
      <c r="F306" s="16">
        <f>IF($A306="","",IFERROR(INDEX(tblVeriB[FormTipi],MATCH($A306,tblAnahtarB[NormB],0)),""))</f>
        <v/>
      </c>
      <c r="G306" s="16">
        <f>IF($A306="","",IFERROR(INDEX(tblVeriA[Donem],MATCH($A306,tblAnahtarA[Norm],0)),""))</f>
        <v/>
      </c>
      <c r="H306" s="16">
        <f>IF(OR($A306="",$B306&lt;&gt;"tutar_farki"),"",IF($E306=0,"BELGE_EKSIK",IF($C306&lt;=toleransKurus*cbb_yuvarlamaCarpan,"YUVARLAMA",IF(AND($F306&lt;&gt;"Ba",$F306&lt;&gt;"Bs"),"TIP_KARISIK",IF($C306&gt;cbb_esikFark*cbb_donemCarpan,"DONEM",IF(LEN($D306)&lt;cbb_unvanMinLen,"UNVAN","TANIMSIZ"))))))</f>
        <v/>
      </c>
    </row>
    <row r="307">
      <c r="A307" s="26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IF($A307="","",IFERROR(INDEX(tblVeriA[Unvan],MATCH($A307,tblAnahtarA[Norm],0)),""))</f>
        <v/>
      </c>
      <c r="E307" s="16">
        <f>IF($A307="","",IFERROR(SUMIF(tblAnahtarB[NormB],$A307,tblVeriB[BelgeAdet]),0))</f>
        <v/>
      </c>
      <c r="F307" s="16">
        <f>IF($A307="","",IFERROR(INDEX(tblVeriB[FormTipi],MATCH($A307,tblAnahtarB[NormB],0)),""))</f>
        <v/>
      </c>
      <c r="G307" s="16">
        <f>IF($A307="","",IFERROR(INDEX(tblVeriA[Donem],MATCH($A307,tblAnahtarA[Norm],0)),""))</f>
        <v/>
      </c>
      <c r="H307" s="16">
        <f>IF(OR($A307="",$B307&lt;&gt;"tutar_farki"),"",IF($E307=0,"BELGE_EKSIK",IF($C307&lt;=toleransKurus*cbb_yuvarlamaCarpan,"YUVARLAMA",IF(AND($F307&lt;&gt;"Ba",$F307&lt;&gt;"Bs"),"TIP_KARISIK",IF($C307&gt;cbb_esikFark*cbb_donemCarpan,"DONEM",IF(LEN($D307)&lt;cbb_unvanMinLen,"UNVAN","TANIMSIZ"))))))</f>
        <v/>
      </c>
    </row>
    <row r="308">
      <c r="A308" s="26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IF($A308="","",IFERROR(INDEX(tblVeriA[Unvan],MATCH($A308,tblAnahtarA[Norm],0)),""))</f>
        <v/>
      </c>
      <c r="E308" s="16">
        <f>IF($A308="","",IFERROR(SUMIF(tblAnahtarB[NormB],$A308,tblVeriB[BelgeAdet]),0))</f>
        <v/>
      </c>
      <c r="F308" s="16">
        <f>IF($A308="","",IFERROR(INDEX(tblVeriB[FormTipi],MATCH($A308,tblAnahtarB[NormB],0)),""))</f>
        <v/>
      </c>
      <c r="G308" s="16">
        <f>IF($A308="","",IFERROR(INDEX(tblVeriA[Donem],MATCH($A308,tblAnahtarA[Norm],0)),""))</f>
        <v/>
      </c>
      <c r="H308" s="16">
        <f>IF(OR($A308="",$B308&lt;&gt;"tutar_farki"),"",IF($E308=0,"BELGE_EKSIK",IF($C308&lt;=toleransKurus*cbb_yuvarlamaCarpan,"YUVARLAMA",IF(AND($F308&lt;&gt;"Ba",$F308&lt;&gt;"Bs"),"TIP_KARISIK",IF($C308&gt;cbb_esikFark*cbb_donemCarpan,"DONEM",IF(LEN($D308)&lt;cbb_unvanMinLen,"UNVAN","TANIMSIZ"))))))</f>
        <v/>
      </c>
    </row>
    <row r="309">
      <c r="A309" s="26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IF($A309="","",IFERROR(INDEX(tblVeriA[Unvan],MATCH($A309,tblAnahtarA[Norm],0)),""))</f>
        <v/>
      </c>
      <c r="E309" s="16">
        <f>IF($A309="","",IFERROR(SUMIF(tblAnahtarB[NormB],$A309,tblVeriB[BelgeAdet]),0))</f>
        <v/>
      </c>
      <c r="F309" s="16">
        <f>IF($A309="","",IFERROR(INDEX(tblVeriB[FormTipi],MATCH($A309,tblAnahtarB[NormB],0)),""))</f>
        <v/>
      </c>
      <c r="G309" s="16">
        <f>IF($A309="","",IFERROR(INDEX(tblVeriA[Donem],MATCH($A309,tblAnahtarA[Norm],0)),""))</f>
        <v/>
      </c>
      <c r="H309" s="16">
        <f>IF(OR($A309="",$B309&lt;&gt;"tutar_farki"),"",IF($E309=0,"BELGE_EKSIK",IF($C309&lt;=toleransKurus*cbb_yuvarlamaCarpan,"YUVARLAMA",IF(AND($F309&lt;&gt;"Ba",$F309&lt;&gt;"Bs"),"TIP_KARISIK",IF($C309&gt;cbb_esikFark*cbb_donemCarpan,"DONEM",IF(LEN($D309)&lt;cbb_unvanMinLen,"UNVAN","TANIMSIZ"))))))</f>
        <v/>
      </c>
    </row>
    <row r="310">
      <c r="A310" s="26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IF($A310="","",IFERROR(INDEX(tblVeriA[Unvan],MATCH($A310,tblAnahtarA[Norm],0)),""))</f>
        <v/>
      </c>
      <c r="E310" s="16">
        <f>IF($A310="","",IFERROR(SUMIF(tblAnahtarB[NormB],$A310,tblVeriB[BelgeAdet]),0))</f>
        <v/>
      </c>
      <c r="F310" s="16">
        <f>IF($A310="","",IFERROR(INDEX(tblVeriB[FormTipi],MATCH($A310,tblAnahtarB[NormB],0)),""))</f>
        <v/>
      </c>
      <c r="G310" s="16">
        <f>IF($A310="","",IFERROR(INDEX(tblVeriA[Donem],MATCH($A310,tblAnahtarA[Norm],0)),""))</f>
        <v/>
      </c>
      <c r="H310" s="16">
        <f>IF(OR($A310="",$B310&lt;&gt;"tutar_farki"),"",IF($E310=0,"BELGE_EKSIK",IF($C310&lt;=toleransKurus*cbb_yuvarlamaCarpan,"YUVARLAMA",IF(AND($F310&lt;&gt;"Ba",$F310&lt;&gt;"Bs"),"TIP_KARISIK",IF($C310&gt;cbb_esikFark*cbb_donemCarpan,"DONEM",IF(LEN($D310)&lt;cbb_unvanMinLen,"UNVAN","TANIMSIZ"))))))</f>
        <v/>
      </c>
    </row>
    <row r="311">
      <c r="A311" s="26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IF($A311="","",IFERROR(INDEX(tblVeriA[Unvan],MATCH($A311,tblAnahtarA[Norm],0)),""))</f>
        <v/>
      </c>
      <c r="E311" s="16">
        <f>IF($A311="","",IFERROR(SUMIF(tblAnahtarB[NormB],$A311,tblVeriB[BelgeAdet]),0))</f>
        <v/>
      </c>
      <c r="F311" s="16">
        <f>IF($A311="","",IFERROR(INDEX(tblVeriB[FormTipi],MATCH($A311,tblAnahtarB[NormB],0)),""))</f>
        <v/>
      </c>
      <c r="G311" s="16">
        <f>IF($A311="","",IFERROR(INDEX(tblVeriA[Donem],MATCH($A311,tblAnahtarA[Norm],0)),""))</f>
        <v/>
      </c>
      <c r="H311" s="16">
        <f>IF(OR($A311="",$B311&lt;&gt;"tutar_farki"),"",IF($E311=0,"BELGE_EKSIK",IF($C311&lt;=toleransKurus*cbb_yuvarlamaCarpan,"YUVARLAMA",IF(AND($F311&lt;&gt;"Ba",$F311&lt;&gt;"Bs"),"TIP_KARISIK",IF($C311&gt;cbb_esikFark*cbb_donemCarpan,"DONEM",IF(LEN($D311)&lt;cbb_unvanMinLen,"UNVAN","TANIMSIZ"))))))</f>
        <v/>
      </c>
    </row>
    <row r="312">
      <c r="A312" s="26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IF($A312="","",IFERROR(INDEX(tblVeriA[Unvan],MATCH($A312,tblAnahtarA[Norm],0)),""))</f>
        <v/>
      </c>
      <c r="E312" s="16">
        <f>IF($A312="","",IFERROR(SUMIF(tblAnahtarB[NormB],$A312,tblVeriB[BelgeAdet]),0))</f>
        <v/>
      </c>
      <c r="F312" s="16">
        <f>IF($A312="","",IFERROR(INDEX(tblVeriB[FormTipi],MATCH($A312,tblAnahtarB[NormB],0)),""))</f>
        <v/>
      </c>
      <c r="G312" s="16">
        <f>IF($A312="","",IFERROR(INDEX(tblVeriA[Donem],MATCH($A312,tblAnahtarA[Norm],0)),""))</f>
        <v/>
      </c>
      <c r="H312" s="16">
        <f>IF(OR($A312="",$B312&lt;&gt;"tutar_farki"),"",IF($E312=0,"BELGE_EKSIK",IF($C312&lt;=toleransKurus*cbb_yuvarlamaCarpan,"YUVARLAMA",IF(AND($F312&lt;&gt;"Ba",$F312&lt;&gt;"Bs"),"TIP_KARISIK",IF($C312&gt;cbb_esikFark*cbb_donemCarpan,"DONEM",IF(LEN($D312)&lt;cbb_unvanMinLen,"UNVAN","TANIMSIZ"))))))</f>
        <v/>
      </c>
    </row>
    <row r="313">
      <c r="A313" s="26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IF($A313="","",IFERROR(INDEX(tblVeriA[Unvan],MATCH($A313,tblAnahtarA[Norm],0)),""))</f>
        <v/>
      </c>
      <c r="E313" s="16">
        <f>IF($A313="","",IFERROR(SUMIF(tblAnahtarB[NormB],$A313,tblVeriB[BelgeAdet]),0))</f>
        <v/>
      </c>
      <c r="F313" s="16">
        <f>IF($A313="","",IFERROR(INDEX(tblVeriB[FormTipi],MATCH($A313,tblAnahtarB[NormB],0)),""))</f>
        <v/>
      </c>
      <c r="G313" s="16">
        <f>IF($A313="","",IFERROR(INDEX(tblVeriA[Donem],MATCH($A313,tblAnahtarA[Norm],0)),""))</f>
        <v/>
      </c>
      <c r="H313" s="16">
        <f>IF(OR($A313="",$B313&lt;&gt;"tutar_farki"),"",IF($E313=0,"BELGE_EKSIK",IF($C313&lt;=toleransKurus*cbb_yuvarlamaCarpan,"YUVARLAMA",IF(AND($F313&lt;&gt;"Ba",$F313&lt;&gt;"Bs"),"TIP_KARISIK",IF($C313&gt;cbb_esikFark*cbb_donemCarpan,"DONEM",IF(LEN($D313)&lt;cbb_unvanMinLen,"UNVAN","TANIMSIZ"))))))</f>
        <v/>
      </c>
    </row>
    <row r="314">
      <c r="A314" s="26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IF($A314="","",IFERROR(INDEX(tblVeriA[Unvan],MATCH($A314,tblAnahtarA[Norm],0)),""))</f>
        <v/>
      </c>
      <c r="E314" s="16">
        <f>IF($A314="","",IFERROR(SUMIF(tblAnahtarB[NormB],$A314,tblVeriB[BelgeAdet]),0))</f>
        <v/>
      </c>
      <c r="F314" s="16">
        <f>IF($A314="","",IFERROR(INDEX(tblVeriB[FormTipi],MATCH($A314,tblAnahtarB[NormB],0)),""))</f>
        <v/>
      </c>
      <c r="G314" s="16">
        <f>IF($A314="","",IFERROR(INDEX(tblVeriA[Donem],MATCH($A314,tblAnahtarA[Norm],0)),""))</f>
        <v/>
      </c>
      <c r="H314" s="16">
        <f>IF(OR($A314="",$B314&lt;&gt;"tutar_farki"),"",IF($E314=0,"BELGE_EKSIK",IF($C314&lt;=toleransKurus*cbb_yuvarlamaCarpan,"YUVARLAMA",IF(AND($F314&lt;&gt;"Ba",$F314&lt;&gt;"Bs"),"TIP_KARISIK",IF($C314&gt;cbb_esikFark*cbb_donemCarpan,"DONEM",IF(LEN($D314)&lt;cbb_unvanMinLen,"UNVAN","TANIMSIZ"))))))</f>
        <v/>
      </c>
    </row>
    <row r="315">
      <c r="A315" s="26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IF($A315="","",IFERROR(INDEX(tblVeriA[Unvan],MATCH($A315,tblAnahtarA[Norm],0)),""))</f>
        <v/>
      </c>
      <c r="E315" s="16">
        <f>IF($A315="","",IFERROR(SUMIF(tblAnahtarB[NormB],$A315,tblVeriB[BelgeAdet]),0))</f>
        <v/>
      </c>
      <c r="F315" s="16">
        <f>IF($A315="","",IFERROR(INDEX(tblVeriB[FormTipi],MATCH($A315,tblAnahtarB[NormB],0)),""))</f>
        <v/>
      </c>
      <c r="G315" s="16">
        <f>IF($A315="","",IFERROR(INDEX(tblVeriA[Donem],MATCH($A315,tblAnahtarA[Norm],0)),""))</f>
        <v/>
      </c>
      <c r="H315" s="16">
        <f>IF(OR($A315="",$B315&lt;&gt;"tutar_farki"),"",IF($E315=0,"BELGE_EKSIK",IF($C315&lt;=toleransKurus*cbb_yuvarlamaCarpan,"YUVARLAMA",IF(AND($F315&lt;&gt;"Ba",$F315&lt;&gt;"Bs"),"TIP_KARISIK",IF($C315&gt;cbb_esikFark*cbb_donemCarpan,"DONEM",IF(LEN($D315)&lt;cbb_unvanMinLen,"UNVAN","TANIMSIZ"))))))</f>
        <v/>
      </c>
    </row>
    <row r="316">
      <c r="A316" s="26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IF($A316="","",IFERROR(INDEX(tblVeriA[Unvan],MATCH($A316,tblAnahtarA[Norm],0)),""))</f>
        <v/>
      </c>
      <c r="E316" s="16">
        <f>IF($A316="","",IFERROR(SUMIF(tblAnahtarB[NormB],$A316,tblVeriB[BelgeAdet]),0))</f>
        <v/>
      </c>
      <c r="F316" s="16">
        <f>IF($A316="","",IFERROR(INDEX(tblVeriB[FormTipi],MATCH($A316,tblAnahtarB[NormB],0)),""))</f>
        <v/>
      </c>
      <c r="G316" s="16">
        <f>IF($A316="","",IFERROR(INDEX(tblVeriA[Donem],MATCH($A316,tblAnahtarA[Norm],0)),""))</f>
        <v/>
      </c>
      <c r="H316" s="16">
        <f>IF(OR($A316="",$B316&lt;&gt;"tutar_farki"),"",IF($E316=0,"BELGE_EKSIK",IF($C316&lt;=toleransKurus*cbb_yuvarlamaCarpan,"YUVARLAMA",IF(AND($F316&lt;&gt;"Ba",$F316&lt;&gt;"Bs"),"TIP_KARISIK",IF($C316&gt;cbb_esikFark*cbb_donemCarpan,"DONEM",IF(LEN($D316)&lt;cbb_unvanMinLen,"UNVAN","TANIMSIZ"))))))</f>
        <v/>
      </c>
    </row>
    <row r="317">
      <c r="A317" s="26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IF($A317="","",IFERROR(INDEX(tblVeriA[Unvan],MATCH($A317,tblAnahtarA[Norm],0)),""))</f>
        <v/>
      </c>
      <c r="E317" s="16">
        <f>IF($A317="","",IFERROR(SUMIF(tblAnahtarB[NormB],$A317,tblVeriB[BelgeAdet]),0))</f>
        <v/>
      </c>
      <c r="F317" s="16">
        <f>IF($A317="","",IFERROR(INDEX(tblVeriB[FormTipi],MATCH($A317,tblAnahtarB[NormB],0)),""))</f>
        <v/>
      </c>
      <c r="G317" s="16">
        <f>IF($A317="","",IFERROR(INDEX(tblVeriA[Donem],MATCH($A317,tblAnahtarA[Norm],0)),""))</f>
        <v/>
      </c>
      <c r="H317" s="16">
        <f>IF(OR($A317="",$B317&lt;&gt;"tutar_farki"),"",IF($E317=0,"BELGE_EKSIK",IF($C317&lt;=toleransKurus*cbb_yuvarlamaCarpan,"YUVARLAMA",IF(AND($F317&lt;&gt;"Ba",$F317&lt;&gt;"Bs"),"TIP_KARISIK",IF($C317&gt;cbb_esikFark*cbb_donemCarpan,"DONEM",IF(LEN($D317)&lt;cbb_unvanMinLen,"UNVAN","TANIMSIZ"))))))</f>
        <v/>
      </c>
    </row>
    <row r="318">
      <c r="A318" s="26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IF($A318="","",IFERROR(INDEX(tblVeriA[Unvan],MATCH($A318,tblAnahtarA[Norm],0)),""))</f>
        <v/>
      </c>
      <c r="E318" s="16">
        <f>IF($A318="","",IFERROR(SUMIF(tblAnahtarB[NormB],$A318,tblVeriB[BelgeAdet]),0))</f>
        <v/>
      </c>
      <c r="F318" s="16">
        <f>IF($A318="","",IFERROR(INDEX(tblVeriB[FormTipi],MATCH($A318,tblAnahtarB[NormB],0)),""))</f>
        <v/>
      </c>
      <c r="G318" s="16">
        <f>IF($A318="","",IFERROR(INDEX(tblVeriA[Donem],MATCH($A318,tblAnahtarA[Norm],0)),""))</f>
        <v/>
      </c>
      <c r="H318" s="16">
        <f>IF(OR($A318="",$B318&lt;&gt;"tutar_farki"),"",IF($E318=0,"BELGE_EKSIK",IF($C318&lt;=toleransKurus*cbb_yuvarlamaCarpan,"YUVARLAMA",IF(AND($F318&lt;&gt;"Ba",$F318&lt;&gt;"Bs"),"TIP_KARISIK",IF($C318&gt;cbb_esikFark*cbb_donemCarpan,"DONEM",IF(LEN($D318)&lt;cbb_unvanMinLen,"UNVAN","TANIMSIZ"))))))</f>
        <v/>
      </c>
    </row>
    <row r="319">
      <c r="A319" s="26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IF($A319="","",IFERROR(INDEX(tblVeriA[Unvan],MATCH($A319,tblAnahtarA[Norm],0)),""))</f>
        <v/>
      </c>
      <c r="E319" s="16">
        <f>IF($A319="","",IFERROR(SUMIF(tblAnahtarB[NormB],$A319,tblVeriB[BelgeAdet]),0))</f>
        <v/>
      </c>
      <c r="F319" s="16">
        <f>IF($A319="","",IFERROR(INDEX(tblVeriB[FormTipi],MATCH($A319,tblAnahtarB[NormB],0)),""))</f>
        <v/>
      </c>
      <c r="G319" s="16">
        <f>IF($A319="","",IFERROR(INDEX(tblVeriA[Donem],MATCH($A319,tblAnahtarA[Norm],0)),""))</f>
        <v/>
      </c>
      <c r="H319" s="16">
        <f>IF(OR($A319="",$B319&lt;&gt;"tutar_farki"),"",IF($E319=0,"BELGE_EKSIK",IF($C319&lt;=toleransKurus*cbb_yuvarlamaCarpan,"YUVARLAMA",IF(AND($F319&lt;&gt;"Ba",$F319&lt;&gt;"Bs"),"TIP_KARISIK",IF($C319&gt;cbb_esikFark*cbb_donemCarpan,"DONEM",IF(LEN($D319)&lt;cbb_unvanMinLen,"UNVAN","TANIMSIZ"))))))</f>
        <v/>
      </c>
    </row>
    <row r="320">
      <c r="A320" s="26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IF($A320="","",IFERROR(INDEX(tblVeriA[Unvan],MATCH($A320,tblAnahtarA[Norm],0)),""))</f>
        <v/>
      </c>
      <c r="E320" s="16">
        <f>IF($A320="","",IFERROR(SUMIF(tblAnahtarB[NormB],$A320,tblVeriB[BelgeAdet]),0))</f>
        <v/>
      </c>
      <c r="F320" s="16">
        <f>IF($A320="","",IFERROR(INDEX(tblVeriB[FormTipi],MATCH($A320,tblAnahtarB[NormB],0)),""))</f>
        <v/>
      </c>
      <c r="G320" s="16">
        <f>IF($A320="","",IFERROR(INDEX(tblVeriA[Donem],MATCH($A320,tblAnahtarA[Norm],0)),""))</f>
        <v/>
      </c>
      <c r="H320" s="16">
        <f>IF(OR($A320="",$B320&lt;&gt;"tutar_farki"),"",IF($E320=0,"BELGE_EKSIK",IF($C320&lt;=toleransKurus*cbb_yuvarlamaCarpan,"YUVARLAMA",IF(AND($F320&lt;&gt;"Ba",$F320&lt;&gt;"Bs"),"TIP_KARISIK",IF($C320&gt;cbb_esikFark*cbb_donemCarpan,"DONEM",IF(LEN($D320)&lt;cbb_unvanMinLen,"UNVAN","TANIMSIZ"))))))</f>
        <v/>
      </c>
    </row>
    <row r="321">
      <c r="A321" s="26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IF($A321="","",IFERROR(INDEX(tblVeriA[Unvan],MATCH($A321,tblAnahtarA[Norm],0)),""))</f>
        <v/>
      </c>
      <c r="E321" s="16">
        <f>IF($A321="","",IFERROR(SUMIF(tblAnahtarB[NormB],$A321,tblVeriB[BelgeAdet]),0))</f>
        <v/>
      </c>
      <c r="F321" s="16">
        <f>IF($A321="","",IFERROR(INDEX(tblVeriB[FormTipi],MATCH($A321,tblAnahtarB[NormB],0)),""))</f>
        <v/>
      </c>
      <c r="G321" s="16">
        <f>IF($A321="","",IFERROR(INDEX(tblVeriA[Donem],MATCH($A321,tblAnahtarA[Norm],0)),""))</f>
        <v/>
      </c>
      <c r="H321" s="16">
        <f>IF(OR($A321="",$B321&lt;&gt;"tutar_farki"),"",IF($E321=0,"BELGE_EKSIK",IF($C321&lt;=toleransKurus*cbb_yuvarlamaCarpan,"YUVARLAMA",IF(AND($F321&lt;&gt;"Ba",$F321&lt;&gt;"Bs"),"TIP_KARISIK",IF($C321&gt;cbb_esikFark*cbb_donemCarpan,"DONEM",IF(LEN($D321)&lt;cbb_unvanMinLen,"UNVAN","TANIMSIZ"))))))</f>
        <v/>
      </c>
    </row>
    <row r="322">
      <c r="A322" s="26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IF($A322="","",IFERROR(INDEX(tblVeriA[Unvan],MATCH($A322,tblAnahtarA[Norm],0)),""))</f>
        <v/>
      </c>
      <c r="E322" s="16">
        <f>IF($A322="","",IFERROR(SUMIF(tblAnahtarB[NormB],$A322,tblVeriB[BelgeAdet]),0))</f>
        <v/>
      </c>
      <c r="F322" s="16">
        <f>IF($A322="","",IFERROR(INDEX(tblVeriB[FormTipi],MATCH($A322,tblAnahtarB[NormB],0)),""))</f>
        <v/>
      </c>
      <c r="G322" s="16">
        <f>IF($A322="","",IFERROR(INDEX(tblVeriA[Donem],MATCH($A322,tblAnahtarA[Norm],0)),""))</f>
        <v/>
      </c>
      <c r="H322" s="16">
        <f>IF(OR($A322="",$B322&lt;&gt;"tutar_farki"),"",IF($E322=0,"BELGE_EKSIK",IF($C322&lt;=toleransKurus*cbb_yuvarlamaCarpan,"YUVARLAMA",IF(AND($F322&lt;&gt;"Ba",$F322&lt;&gt;"Bs"),"TIP_KARISIK",IF($C322&gt;cbb_esikFark*cbb_donemCarpan,"DONEM",IF(LEN($D322)&lt;cbb_unvanMinLen,"UNVAN","TANIMSIZ"))))))</f>
        <v/>
      </c>
    </row>
    <row r="323">
      <c r="A323" s="26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IF($A323="","",IFERROR(INDEX(tblVeriA[Unvan],MATCH($A323,tblAnahtarA[Norm],0)),""))</f>
        <v/>
      </c>
      <c r="E323" s="16">
        <f>IF($A323="","",IFERROR(SUMIF(tblAnahtarB[NormB],$A323,tblVeriB[BelgeAdet]),0))</f>
        <v/>
      </c>
      <c r="F323" s="16">
        <f>IF($A323="","",IFERROR(INDEX(tblVeriB[FormTipi],MATCH($A323,tblAnahtarB[NormB],0)),""))</f>
        <v/>
      </c>
      <c r="G323" s="16">
        <f>IF($A323="","",IFERROR(INDEX(tblVeriA[Donem],MATCH($A323,tblAnahtarA[Norm],0)),""))</f>
        <v/>
      </c>
      <c r="H323" s="16">
        <f>IF(OR($A323="",$B323&lt;&gt;"tutar_farki"),"",IF($E323=0,"BELGE_EKSIK",IF($C323&lt;=toleransKurus*cbb_yuvarlamaCarpan,"YUVARLAMA",IF(AND($F323&lt;&gt;"Ba",$F323&lt;&gt;"Bs"),"TIP_KARISIK",IF($C323&gt;cbb_esikFark*cbb_donemCarpan,"DONEM",IF(LEN($D323)&lt;cbb_unvanMinLen,"UNVAN","TANIMSIZ"))))))</f>
        <v/>
      </c>
    </row>
    <row r="324">
      <c r="A324" s="26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IF($A324="","",IFERROR(INDEX(tblVeriA[Unvan],MATCH($A324,tblAnahtarA[Norm],0)),""))</f>
        <v/>
      </c>
      <c r="E324" s="16">
        <f>IF($A324="","",IFERROR(SUMIF(tblAnahtarB[NormB],$A324,tblVeriB[BelgeAdet]),0))</f>
        <v/>
      </c>
      <c r="F324" s="16">
        <f>IF($A324="","",IFERROR(INDEX(tblVeriB[FormTipi],MATCH($A324,tblAnahtarB[NormB],0)),""))</f>
        <v/>
      </c>
      <c r="G324" s="16">
        <f>IF($A324="","",IFERROR(INDEX(tblVeriA[Donem],MATCH($A324,tblAnahtarA[Norm],0)),""))</f>
        <v/>
      </c>
      <c r="H324" s="16">
        <f>IF(OR($A324="",$B324&lt;&gt;"tutar_farki"),"",IF($E324=0,"BELGE_EKSIK",IF($C324&lt;=toleransKurus*cbb_yuvarlamaCarpan,"YUVARLAMA",IF(AND($F324&lt;&gt;"Ba",$F324&lt;&gt;"Bs"),"TIP_KARISIK",IF($C324&gt;cbb_esikFark*cbb_donemCarpan,"DONEM",IF(LEN($D324)&lt;cbb_unvanMinLen,"UNVAN","TANIMSIZ"))))))</f>
        <v/>
      </c>
    </row>
    <row r="325">
      <c r="A325" s="26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IF($A325="","",IFERROR(INDEX(tblVeriA[Unvan],MATCH($A325,tblAnahtarA[Norm],0)),""))</f>
        <v/>
      </c>
      <c r="E325" s="16">
        <f>IF($A325="","",IFERROR(SUMIF(tblAnahtarB[NormB],$A325,tblVeriB[BelgeAdet]),0))</f>
        <v/>
      </c>
      <c r="F325" s="16">
        <f>IF($A325="","",IFERROR(INDEX(tblVeriB[FormTipi],MATCH($A325,tblAnahtarB[NormB],0)),""))</f>
        <v/>
      </c>
      <c r="G325" s="16">
        <f>IF($A325="","",IFERROR(INDEX(tblVeriA[Donem],MATCH($A325,tblAnahtarA[Norm],0)),""))</f>
        <v/>
      </c>
      <c r="H325" s="16">
        <f>IF(OR($A325="",$B325&lt;&gt;"tutar_farki"),"",IF($E325=0,"BELGE_EKSIK",IF($C325&lt;=toleransKurus*cbb_yuvarlamaCarpan,"YUVARLAMA",IF(AND($F325&lt;&gt;"Ba",$F325&lt;&gt;"Bs"),"TIP_KARISIK",IF($C325&gt;cbb_esikFark*cbb_donemCarpan,"DONEM",IF(LEN($D325)&lt;cbb_unvanMinLen,"UNVAN","TANIMSIZ"))))))</f>
        <v/>
      </c>
    </row>
    <row r="326">
      <c r="A326" s="26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IF($A326="","",IFERROR(INDEX(tblVeriA[Unvan],MATCH($A326,tblAnahtarA[Norm],0)),""))</f>
        <v/>
      </c>
      <c r="E326" s="16">
        <f>IF($A326="","",IFERROR(SUMIF(tblAnahtarB[NormB],$A326,tblVeriB[BelgeAdet]),0))</f>
        <v/>
      </c>
      <c r="F326" s="16">
        <f>IF($A326="","",IFERROR(INDEX(tblVeriB[FormTipi],MATCH($A326,tblAnahtarB[NormB],0)),""))</f>
        <v/>
      </c>
      <c r="G326" s="16">
        <f>IF($A326="","",IFERROR(INDEX(tblVeriA[Donem],MATCH($A326,tblAnahtarA[Norm],0)),""))</f>
        <v/>
      </c>
      <c r="H326" s="16">
        <f>IF(OR($A326="",$B326&lt;&gt;"tutar_farki"),"",IF($E326=0,"BELGE_EKSIK",IF($C326&lt;=toleransKurus*cbb_yuvarlamaCarpan,"YUVARLAMA",IF(AND($F326&lt;&gt;"Ba",$F326&lt;&gt;"Bs"),"TIP_KARISIK",IF($C326&gt;cbb_esikFark*cbb_donemCarpan,"DONEM",IF(LEN($D326)&lt;cbb_unvanMinLen,"UNVAN","TANIMSIZ"))))))</f>
        <v/>
      </c>
    </row>
    <row r="327">
      <c r="A327" s="26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IF($A327="","",IFERROR(INDEX(tblVeriA[Unvan],MATCH($A327,tblAnahtarA[Norm],0)),""))</f>
        <v/>
      </c>
      <c r="E327" s="16">
        <f>IF($A327="","",IFERROR(SUMIF(tblAnahtarB[NormB],$A327,tblVeriB[BelgeAdet]),0))</f>
        <v/>
      </c>
      <c r="F327" s="16">
        <f>IF($A327="","",IFERROR(INDEX(tblVeriB[FormTipi],MATCH($A327,tblAnahtarB[NormB],0)),""))</f>
        <v/>
      </c>
      <c r="G327" s="16">
        <f>IF($A327="","",IFERROR(INDEX(tblVeriA[Donem],MATCH($A327,tblAnahtarA[Norm],0)),""))</f>
        <v/>
      </c>
      <c r="H327" s="16">
        <f>IF(OR($A327="",$B327&lt;&gt;"tutar_farki"),"",IF($E327=0,"BELGE_EKSIK",IF($C327&lt;=toleransKurus*cbb_yuvarlamaCarpan,"YUVARLAMA",IF(AND($F327&lt;&gt;"Ba",$F327&lt;&gt;"Bs"),"TIP_KARISIK",IF($C327&gt;cbb_esikFark*cbb_donemCarpan,"DONEM",IF(LEN($D327)&lt;cbb_unvanMinLen,"UNVAN","TANIMSIZ"))))))</f>
        <v/>
      </c>
    </row>
    <row r="328">
      <c r="A328" s="26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IF($A328="","",IFERROR(INDEX(tblVeriA[Unvan],MATCH($A328,tblAnahtarA[Norm],0)),""))</f>
        <v/>
      </c>
      <c r="E328" s="16">
        <f>IF($A328="","",IFERROR(SUMIF(tblAnahtarB[NormB],$A328,tblVeriB[BelgeAdet]),0))</f>
        <v/>
      </c>
      <c r="F328" s="16">
        <f>IF($A328="","",IFERROR(INDEX(tblVeriB[FormTipi],MATCH($A328,tblAnahtarB[NormB],0)),""))</f>
        <v/>
      </c>
      <c r="G328" s="16">
        <f>IF($A328="","",IFERROR(INDEX(tblVeriA[Donem],MATCH($A328,tblAnahtarA[Norm],0)),""))</f>
        <v/>
      </c>
      <c r="H328" s="16">
        <f>IF(OR($A328="",$B328&lt;&gt;"tutar_farki"),"",IF($E328=0,"BELGE_EKSIK",IF($C328&lt;=toleransKurus*cbb_yuvarlamaCarpan,"YUVARLAMA",IF(AND($F328&lt;&gt;"Ba",$F328&lt;&gt;"Bs"),"TIP_KARISIK",IF($C328&gt;cbb_esikFark*cbb_donemCarpan,"DONEM",IF(LEN($D328)&lt;cbb_unvanMinLen,"UNVAN","TANIMSIZ"))))))</f>
        <v/>
      </c>
    </row>
    <row r="329">
      <c r="A329" s="26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IF($A329="","",IFERROR(INDEX(tblVeriA[Unvan],MATCH($A329,tblAnahtarA[Norm],0)),""))</f>
        <v/>
      </c>
      <c r="E329" s="16">
        <f>IF($A329="","",IFERROR(SUMIF(tblAnahtarB[NormB],$A329,tblVeriB[BelgeAdet]),0))</f>
        <v/>
      </c>
      <c r="F329" s="16">
        <f>IF($A329="","",IFERROR(INDEX(tblVeriB[FormTipi],MATCH($A329,tblAnahtarB[NormB],0)),""))</f>
        <v/>
      </c>
      <c r="G329" s="16">
        <f>IF($A329="","",IFERROR(INDEX(tblVeriA[Donem],MATCH($A329,tblAnahtarA[Norm],0)),""))</f>
        <v/>
      </c>
      <c r="H329" s="16">
        <f>IF(OR($A329="",$B329&lt;&gt;"tutar_farki"),"",IF($E329=0,"BELGE_EKSIK",IF($C329&lt;=toleransKurus*cbb_yuvarlamaCarpan,"YUVARLAMA",IF(AND($F329&lt;&gt;"Ba",$F329&lt;&gt;"Bs"),"TIP_KARISIK",IF($C329&gt;cbb_esikFark*cbb_donemCarpan,"DONEM",IF(LEN($D329)&lt;cbb_unvanMinLen,"UNVAN","TANIMSIZ"))))))</f>
        <v/>
      </c>
    </row>
    <row r="330">
      <c r="A330" s="26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IF($A330="","",IFERROR(INDEX(tblVeriA[Unvan],MATCH($A330,tblAnahtarA[Norm],0)),""))</f>
        <v/>
      </c>
      <c r="E330" s="16">
        <f>IF($A330="","",IFERROR(SUMIF(tblAnahtarB[NormB],$A330,tblVeriB[BelgeAdet]),0))</f>
        <v/>
      </c>
      <c r="F330" s="16">
        <f>IF($A330="","",IFERROR(INDEX(tblVeriB[FormTipi],MATCH($A330,tblAnahtarB[NormB],0)),""))</f>
        <v/>
      </c>
      <c r="G330" s="16">
        <f>IF($A330="","",IFERROR(INDEX(tblVeriA[Donem],MATCH($A330,tblAnahtarA[Norm],0)),""))</f>
        <v/>
      </c>
      <c r="H330" s="16">
        <f>IF(OR($A330="",$B330&lt;&gt;"tutar_farki"),"",IF($E330=0,"BELGE_EKSIK",IF($C330&lt;=toleransKurus*cbb_yuvarlamaCarpan,"YUVARLAMA",IF(AND($F330&lt;&gt;"Ba",$F330&lt;&gt;"Bs"),"TIP_KARISIK",IF($C330&gt;cbb_esikFark*cbb_donemCarpan,"DONEM",IF(LEN($D330)&lt;cbb_unvanMinLen,"UNVAN","TANIMSIZ"))))))</f>
        <v/>
      </c>
    </row>
    <row r="331">
      <c r="A331" s="26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IF($A331="","",IFERROR(INDEX(tblVeriA[Unvan],MATCH($A331,tblAnahtarA[Norm],0)),""))</f>
        <v/>
      </c>
      <c r="E331" s="16">
        <f>IF($A331="","",IFERROR(SUMIF(tblAnahtarB[NormB],$A331,tblVeriB[BelgeAdet]),0))</f>
        <v/>
      </c>
      <c r="F331" s="16">
        <f>IF($A331="","",IFERROR(INDEX(tblVeriB[FormTipi],MATCH($A331,tblAnahtarB[NormB],0)),""))</f>
        <v/>
      </c>
      <c r="G331" s="16">
        <f>IF($A331="","",IFERROR(INDEX(tblVeriA[Donem],MATCH($A331,tblAnahtarA[Norm],0)),""))</f>
        <v/>
      </c>
      <c r="H331" s="16">
        <f>IF(OR($A331="",$B331&lt;&gt;"tutar_farki"),"",IF($E331=0,"BELGE_EKSIK",IF($C331&lt;=toleransKurus*cbb_yuvarlamaCarpan,"YUVARLAMA",IF(AND($F331&lt;&gt;"Ba",$F331&lt;&gt;"Bs"),"TIP_KARISIK",IF($C331&gt;cbb_esikFark*cbb_donemCarpan,"DONEM",IF(LEN($D331)&lt;cbb_unvanMinLen,"UNVAN","TANIMSIZ"))))))</f>
        <v/>
      </c>
    </row>
    <row r="332">
      <c r="A332" s="26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IF($A332="","",IFERROR(INDEX(tblVeriA[Unvan],MATCH($A332,tblAnahtarA[Norm],0)),""))</f>
        <v/>
      </c>
      <c r="E332" s="16">
        <f>IF($A332="","",IFERROR(SUMIF(tblAnahtarB[NormB],$A332,tblVeriB[BelgeAdet]),0))</f>
        <v/>
      </c>
      <c r="F332" s="16">
        <f>IF($A332="","",IFERROR(INDEX(tblVeriB[FormTipi],MATCH($A332,tblAnahtarB[NormB],0)),""))</f>
        <v/>
      </c>
      <c r="G332" s="16">
        <f>IF($A332="","",IFERROR(INDEX(tblVeriA[Donem],MATCH($A332,tblAnahtarA[Norm],0)),""))</f>
        <v/>
      </c>
      <c r="H332" s="16">
        <f>IF(OR($A332="",$B332&lt;&gt;"tutar_farki"),"",IF($E332=0,"BELGE_EKSIK",IF($C332&lt;=toleransKurus*cbb_yuvarlamaCarpan,"YUVARLAMA",IF(AND($F332&lt;&gt;"Ba",$F332&lt;&gt;"Bs"),"TIP_KARISIK",IF($C332&gt;cbb_esikFark*cbb_donemCarpan,"DONEM",IF(LEN($D332)&lt;cbb_unvanMinLen,"UNVAN","TANIMSIZ"))))))</f>
        <v/>
      </c>
    </row>
    <row r="333">
      <c r="A333" s="26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IF($A333="","",IFERROR(INDEX(tblVeriA[Unvan],MATCH($A333,tblAnahtarA[Norm],0)),""))</f>
        <v/>
      </c>
      <c r="E333" s="16">
        <f>IF($A333="","",IFERROR(SUMIF(tblAnahtarB[NormB],$A333,tblVeriB[BelgeAdet]),0))</f>
        <v/>
      </c>
      <c r="F333" s="16">
        <f>IF($A333="","",IFERROR(INDEX(tblVeriB[FormTipi],MATCH($A333,tblAnahtarB[NormB],0)),""))</f>
        <v/>
      </c>
      <c r="G333" s="16">
        <f>IF($A333="","",IFERROR(INDEX(tblVeriA[Donem],MATCH($A333,tblAnahtarA[Norm],0)),""))</f>
        <v/>
      </c>
      <c r="H333" s="16">
        <f>IF(OR($A333="",$B333&lt;&gt;"tutar_farki"),"",IF($E333=0,"BELGE_EKSIK",IF($C333&lt;=toleransKurus*cbb_yuvarlamaCarpan,"YUVARLAMA",IF(AND($F333&lt;&gt;"Ba",$F333&lt;&gt;"Bs"),"TIP_KARISIK",IF($C333&gt;cbb_esikFark*cbb_donemCarpan,"DONEM",IF(LEN($D333)&lt;cbb_unvanMinLen,"UNVAN","TANIMSIZ"))))))</f>
        <v/>
      </c>
    </row>
    <row r="334">
      <c r="A334" s="26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IF($A334="","",IFERROR(INDEX(tblVeriA[Unvan],MATCH($A334,tblAnahtarA[Norm],0)),""))</f>
        <v/>
      </c>
      <c r="E334" s="16">
        <f>IF($A334="","",IFERROR(SUMIF(tblAnahtarB[NormB],$A334,tblVeriB[BelgeAdet]),0))</f>
        <v/>
      </c>
      <c r="F334" s="16">
        <f>IF($A334="","",IFERROR(INDEX(tblVeriB[FormTipi],MATCH($A334,tblAnahtarB[NormB],0)),""))</f>
        <v/>
      </c>
      <c r="G334" s="16">
        <f>IF($A334="","",IFERROR(INDEX(tblVeriA[Donem],MATCH($A334,tblAnahtarA[Norm],0)),""))</f>
        <v/>
      </c>
      <c r="H334" s="16">
        <f>IF(OR($A334="",$B334&lt;&gt;"tutar_farki"),"",IF($E334=0,"BELGE_EKSIK",IF($C334&lt;=toleransKurus*cbb_yuvarlamaCarpan,"YUVARLAMA",IF(AND($F334&lt;&gt;"Ba",$F334&lt;&gt;"Bs"),"TIP_KARISIK",IF($C334&gt;cbb_esikFark*cbb_donemCarpan,"DONEM",IF(LEN($D334)&lt;cbb_unvanMinLen,"UNVAN","TANIMSIZ"))))))</f>
        <v/>
      </c>
    </row>
    <row r="335">
      <c r="A335" s="26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IF($A335="","",IFERROR(INDEX(tblVeriA[Unvan],MATCH($A335,tblAnahtarA[Norm],0)),""))</f>
        <v/>
      </c>
      <c r="E335" s="16">
        <f>IF($A335="","",IFERROR(SUMIF(tblAnahtarB[NormB],$A335,tblVeriB[BelgeAdet]),0))</f>
        <v/>
      </c>
      <c r="F335" s="16">
        <f>IF($A335="","",IFERROR(INDEX(tblVeriB[FormTipi],MATCH($A335,tblAnahtarB[NormB],0)),""))</f>
        <v/>
      </c>
      <c r="G335" s="16">
        <f>IF($A335="","",IFERROR(INDEX(tblVeriA[Donem],MATCH($A335,tblAnahtarA[Norm],0)),""))</f>
        <v/>
      </c>
      <c r="H335" s="16">
        <f>IF(OR($A335="",$B335&lt;&gt;"tutar_farki"),"",IF($E335=0,"BELGE_EKSIK",IF($C335&lt;=toleransKurus*cbb_yuvarlamaCarpan,"YUVARLAMA",IF(AND($F335&lt;&gt;"Ba",$F335&lt;&gt;"Bs"),"TIP_KARISIK",IF($C335&gt;cbb_esikFark*cbb_donemCarpan,"DONEM",IF(LEN($D335)&lt;cbb_unvanMinLen,"UNVAN","TANIMSIZ"))))))</f>
        <v/>
      </c>
    </row>
    <row r="336">
      <c r="A336" s="26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IF($A336="","",IFERROR(INDEX(tblVeriA[Unvan],MATCH($A336,tblAnahtarA[Norm],0)),""))</f>
        <v/>
      </c>
      <c r="E336" s="16">
        <f>IF($A336="","",IFERROR(SUMIF(tblAnahtarB[NormB],$A336,tblVeriB[BelgeAdet]),0))</f>
        <v/>
      </c>
      <c r="F336" s="16">
        <f>IF($A336="","",IFERROR(INDEX(tblVeriB[FormTipi],MATCH($A336,tblAnahtarB[NormB],0)),""))</f>
        <v/>
      </c>
      <c r="G336" s="16">
        <f>IF($A336="","",IFERROR(INDEX(tblVeriA[Donem],MATCH($A336,tblAnahtarA[Norm],0)),""))</f>
        <v/>
      </c>
      <c r="H336" s="16">
        <f>IF(OR($A336="",$B336&lt;&gt;"tutar_farki"),"",IF($E336=0,"BELGE_EKSIK",IF($C336&lt;=toleransKurus*cbb_yuvarlamaCarpan,"YUVARLAMA",IF(AND($F336&lt;&gt;"Ba",$F336&lt;&gt;"Bs"),"TIP_KARISIK",IF($C336&gt;cbb_esikFark*cbb_donemCarpan,"DONEM",IF(LEN($D336)&lt;cbb_unvanMinLen,"UNVAN","TANIMSIZ"))))))</f>
        <v/>
      </c>
    </row>
    <row r="337">
      <c r="A337" s="26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IF($A337="","",IFERROR(INDEX(tblVeriA[Unvan],MATCH($A337,tblAnahtarA[Norm],0)),""))</f>
        <v/>
      </c>
      <c r="E337" s="16">
        <f>IF($A337="","",IFERROR(SUMIF(tblAnahtarB[NormB],$A337,tblVeriB[BelgeAdet]),0))</f>
        <v/>
      </c>
      <c r="F337" s="16">
        <f>IF($A337="","",IFERROR(INDEX(tblVeriB[FormTipi],MATCH($A337,tblAnahtarB[NormB],0)),""))</f>
        <v/>
      </c>
      <c r="G337" s="16">
        <f>IF($A337="","",IFERROR(INDEX(tblVeriA[Donem],MATCH($A337,tblAnahtarA[Norm],0)),""))</f>
        <v/>
      </c>
      <c r="H337" s="16">
        <f>IF(OR($A337="",$B337&lt;&gt;"tutar_farki"),"",IF($E337=0,"BELGE_EKSIK",IF($C337&lt;=toleransKurus*cbb_yuvarlamaCarpan,"YUVARLAMA",IF(AND($F337&lt;&gt;"Ba",$F337&lt;&gt;"Bs"),"TIP_KARISIK",IF($C337&gt;cbb_esikFark*cbb_donemCarpan,"DONEM",IF(LEN($D337)&lt;cbb_unvanMinLen,"UNVAN","TANIMSIZ"))))))</f>
        <v/>
      </c>
    </row>
    <row r="338">
      <c r="A338" s="26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IF($A338="","",IFERROR(INDEX(tblVeriA[Unvan],MATCH($A338,tblAnahtarA[Norm],0)),""))</f>
        <v/>
      </c>
      <c r="E338" s="16">
        <f>IF($A338="","",IFERROR(SUMIF(tblAnahtarB[NormB],$A338,tblVeriB[BelgeAdet]),0))</f>
        <v/>
      </c>
      <c r="F338" s="16">
        <f>IF($A338="","",IFERROR(INDEX(tblVeriB[FormTipi],MATCH($A338,tblAnahtarB[NormB],0)),""))</f>
        <v/>
      </c>
      <c r="G338" s="16">
        <f>IF($A338="","",IFERROR(INDEX(tblVeriA[Donem],MATCH($A338,tblAnahtarA[Norm],0)),""))</f>
        <v/>
      </c>
      <c r="H338" s="16">
        <f>IF(OR($A338="",$B338&lt;&gt;"tutar_farki"),"",IF($E338=0,"BELGE_EKSIK",IF($C338&lt;=toleransKurus*cbb_yuvarlamaCarpan,"YUVARLAMA",IF(AND($F338&lt;&gt;"Ba",$F338&lt;&gt;"Bs"),"TIP_KARISIK",IF($C338&gt;cbb_esikFark*cbb_donemCarpan,"DONEM",IF(LEN($D338)&lt;cbb_unvanMinLen,"UNVAN","TANIMSIZ"))))))</f>
        <v/>
      </c>
    </row>
    <row r="339">
      <c r="A339" s="26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IF($A339="","",IFERROR(INDEX(tblVeriA[Unvan],MATCH($A339,tblAnahtarA[Norm],0)),""))</f>
        <v/>
      </c>
      <c r="E339" s="16">
        <f>IF($A339="","",IFERROR(SUMIF(tblAnahtarB[NormB],$A339,tblVeriB[BelgeAdet]),0))</f>
        <v/>
      </c>
      <c r="F339" s="16">
        <f>IF($A339="","",IFERROR(INDEX(tblVeriB[FormTipi],MATCH($A339,tblAnahtarB[NormB],0)),""))</f>
        <v/>
      </c>
      <c r="G339" s="16">
        <f>IF($A339="","",IFERROR(INDEX(tblVeriA[Donem],MATCH($A339,tblAnahtarA[Norm],0)),""))</f>
        <v/>
      </c>
      <c r="H339" s="16">
        <f>IF(OR($A339="",$B339&lt;&gt;"tutar_farki"),"",IF($E339=0,"BELGE_EKSIK",IF($C339&lt;=toleransKurus*cbb_yuvarlamaCarpan,"YUVARLAMA",IF(AND($F339&lt;&gt;"Ba",$F339&lt;&gt;"Bs"),"TIP_KARISIK",IF($C339&gt;cbb_esikFark*cbb_donemCarpan,"DONEM",IF(LEN($D339)&lt;cbb_unvanMinLen,"UNVAN","TANIMSIZ"))))))</f>
        <v/>
      </c>
    </row>
    <row r="340">
      <c r="A340" s="26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IF($A340="","",IFERROR(INDEX(tblVeriA[Unvan],MATCH($A340,tblAnahtarA[Norm],0)),""))</f>
        <v/>
      </c>
      <c r="E340" s="16">
        <f>IF($A340="","",IFERROR(SUMIF(tblAnahtarB[NormB],$A340,tblVeriB[BelgeAdet]),0))</f>
        <v/>
      </c>
      <c r="F340" s="16">
        <f>IF($A340="","",IFERROR(INDEX(tblVeriB[FormTipi],MATCH($A340,tblAnahtarB[NormB],0)),""))</f>
        <v/>
      </c>
      <c r="G340" s="16">
        <f>IF($A340="","",IFERROR(INDEX(tblVeriA[Donem],MATCH($A340,tblAnahtarA[Norm],0)),""))</f>
        <v/>
      </c>
      <c r="H340" s="16">
        <f>IF(OR($A340="",$B340&lt;&gt;"tutar_farki"),"",IF($E340=0,"BELGE_EKSIK",IF($C340&lt;=toleransKurus*cbb_yuvarlamaCarpan,"YUVARLAMA",IF(AND($F340&lt;&gt;"Ba",$F340&lt;&gt;"Bs"),"TIP_KARISIK",IF($C340&gt;cbb_esikFark*cbb_donemCarpan,"DONEM",IF(LEN($D340)&lt;cbb_unvanMinLen,"UNVAN","TANIMSIZ"))))))</f>
        <v/>
      </c>
    </row>
    <row r="341">
      <c r="A341" s="26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IF($A341="","",IFERROR(INDEX(tblVeriA[Unvan],MATCH($A341,tblAnahtarA[Norm],0)),""))</f>
        <v/>
      </c>
      <c r="E341" s="16">
        <f>IF($A341="","",IFERROR(SUMIF(tblAnahtarB[NormB],$A341,tblVeriB[BelgeAdet]),0))</f>
        <v/>
      </c>
      <c r="F341" s="16">
        <f>IF($A341="","",IFERROR(INDEX(tblVeriB[FormTipi],MATCH($A341,tblAnahtarB[NormB],0)),""))</f>
        <v/>
      </c>
      <c r="G341" s="16">
        <f>IF($A341="","",IFERROR(INDEX(tblVeriA[Donem],MATCH($A341,tblAnahtarA[Norm],0)),""))</f>
        <v/>
      </c>
      <c r="H341" s="16">
        <f>IF(OR($A341="",$B341&lt;&gt;"tutar_farki"),"",IF($E341=0,"BELGE_EKSIK",IF($C341&lt;=toleransKurus*cbb_yuvarlamaCarpan,"YUVARLAMA",IF(AND($F341&lt;&gt;"Ba",$F341&lt;&gt;"Bs"),"TIP_KARISIK",IF($C341&gt;cbb_esikFark*cbb_donemCarpan,"DONEM",IF(LEN($D341)&lt;cbb_unvanMinLen,"UNVAN","TANIMSIZ"))))))</f>
        <v/>
      </c>
    </row>
    <row r="342">
      <c r="A342" s="26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IF($A342="","",IFERROR(INDEX(tblVeriA[Unvan],MATCH($A342,tblAnahtarA[Norm],0)),""))</f>
        <v/>
      </c>
      <c r="E342" s="16">
        <f>IF($A342="","",IFERROR(SUMIF(tblAnahtarB[NormB],$A342,tblVeriB[BelgeAdet]),0))</f>
        <v/>
      </c>
      <c r="F342" s="16">
        <f>IF($A342="","",IFERROR(INDEX(tblVeriB[FormTipi],MATCH($A342,tblAnahtarB[NormB],0)),""))</f>
        <v/>
      </c>
      <c r="G342" s="16">
        <f>IF($A342="","",IFERROR(INDEX(tblVeriA[Donem],MATCH($A342,tblAnahtarA[Norm],0)),""))</f>
        <v/>
      </c>
      <c r="H342" s="16">
        <f>IF(OR($A342="",$B342&lt;&gt;"tutar_farki"),"",IF($E342=0,"BELGE_EKSIK",IF($C342&lt;=toleransKurus*cbb_yuvarlamaCarpan,"YUVARLAMA",IF(AND($F342&lt;&gt;"Ba",$F342&lt;&gt;"Bs"),"TIP_KARISIK",IF($C342&gt;cbb_esikFark*cbb_donemCarpan,"DONEM",IF(LEN($D342)&lt;cbb_unvanMinLen,"UNVAN","TANIMSIZ"))))))</f>
        <v/>
      </c>
    </row>
    <row r="343">
      <c r="A343" s="26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IF($A343="","",IFERROR(INDEX(tblVeriA[Unvan],MATCH($A343,tblAnahtarA[Norm],0)),""))</f>
        <v/>
      </c>
      <c r="E343" s="16">
        <f>IF($A343="","",IFERROR(SUMIF(tblAnahtarB[NormB],$A343,tblVeriB[BelgeAdet]),0))</f>
        <v/>
      </c>
      <c r="F343" s="16">
        <f>IF($A343="","",IFERROR(INDEX(tblVeriB[FormTipi],MATCH($A343,tblAnahtarB[NormB],0)),""))</f>
        <v/>
      </c>
      <c r="G343" s="16">
        <f>IF($A343="","",IFERROR(INDEX(tblVeriA[Donem],MATCH($A343,tblAnahtarA[Norm],0)),""))</f>
        <v/>
      </c>
      <c r="H343" s="16">
        <f>IF(OR($A343="",$B343&lt;&gt;"tutar_farki"),"",IF($E343=0,"BELGE_EKSIK",IF($C343&lt;=toleransKurus*cbb_yuvarlamaCarpan,"YUVARLAMA",IF(AND($F343&lt;&gt;"Ba",$F343&lt;&gt;"Bs"),"TIP_KARISIK",IF($C343&gt;cbb_esikFark*cbb_donemCarpan,"DONEM",IF(LEN($D343)&lt;cbb_unvanMinLen,"UNVAN","TANIMSIZ"))))))</f>
        <v/>
      </c>
    </row>
    <row r="344">
      <c r="A344" s="26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IF($A344="","",IFERROR(INDEX(tblVeriA[Unvan],MATCH($A344,tblAnahtarA[Norm],0)),""))</f>
        <v/>
      </c>
      <c r="E344" s="16">
        <f>IF($A344="","",IFERROR(SUMIF(tblAnahtarB[NormB],$A344,tblVeriB[BelgeAdet]),0))</f>
        <v/>
      </c>
      <c r="F344" s="16">
        <f>IF($A344="","",IFERROR(INDEX(tblVeriB[FormTipi],MATCH($A344,tblAnahtarB[NormB],0)),""))</f>
        <v/>
      </c>
      <c r="G344" s="16">
        <f>IF($A344="","",IFERROR(INDEX(tblVeriA[Donem],MATCH($A344,tblAnahtarA[Norm],0)),""))</f>
        <v/>
      </c>
      <c r="H344" s="16">
        <f>IF(OR($A344="",$B344&lt;&gt;"tutar_farki"),"",IF($E344=0,"BELGE_EKSIK",IF($C344&lt;=toleransKurus*cbb_yuvarlamaCarpan,"YUVARLAMA",IF(AND($F344&lt;&gt;"Ba",$F344&lt;&gt;"Bs"),"TIP_KARISIK",IF($C344&gt;cbb_esikFark*cbb_donemCarpan,"DONEM",IF(LEN($D344)&lt;cbb_unvanMinLen,"UNVAN","TANIMSIZ"))))))</f>
        <v/>
      </c>
    </row>
    <row r="345">
      <c r="A345" s="26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IF($A345="","",IFERROR(INDEX(tblVeriA[Unvan],MATCH($A345,tblAnahtarA[Norm],0)),""))</f>
        <v/>
      </c>
      <c r="E345" s="16">
        <f>IF($A345="","",IFERROR(SUMIF(tblAnahtarB[NormB],$A345,tblVeriB[BelgeAdet]),0))</f>
        <v/>
      </c>
      <c r="F345" s="16">
        <f>IF($A345="","",IFERROR(INDEX(tblVeriB[FormTipi],MATCH($A345,tblAnahtarB[NormB],0)),""))</f>
        <v/>
      </c>
      <c r="G345" s="16">
        <f>IF($A345="","",IFERROR(INDEX(tblVeriA[Donem],MATCH($A345,tblAnahtarA[Norm],0)),""))</f>
        <v/>
      </c>
      <c r="H345" s="16">
        <f>IF(OR($A345="",$B345&lt;&gt;"tutar_farki"),"",IF($E345=0,"BELGE_EKSIK",IF($C345&lt;=toleransKurus*cbb_yuvarlamaCarpan,"YUVARLAMA",IF(AND($F345&lt;&gt;"Ba",$F345&lt;&gt;"Bs"),"TIP_KARISIK",IF($C345&gt;cbb_esikFark*cbb_donemCarpan,"DONEM",IF(LEN($D345)&lt;cbb_unvanMinLen,"UNVAN","TANIMSIZ"))))))</f>
        <v/>
      </c>
    </row>
    <row r="346">
      <c r="A346" s="26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IF($A346="","",IFERROR(INDEX(tblVeriA[Unvan],MATCH($A346,tblAnahtarA[Norm],0)),""))</f>
        <v/>
      </c>
      <c r="E346" s="16">
        <f>IF($A346="","",IFERROR(SUMIF(tblAnahtarB[NormB],$A346,tblVeriB[BelgeAdet]),0))</f>
        <v/>
      </c>
      <c r="F346" s="16">
        <f>IF($A346="","",IFERROR(INDEX(tblVeriB[FormTipi],MATCH($A346,tblAnahtarB[NormB],0)),""))</f>
        <v/>
      </c>
      <c r="G346" s="16">
        <f>IF($A346="","",IFERROR(INDEX(tblVeriA[Donem],MATCH($A346,tblAnahtarA[Norm],0)),""))</f>
        <v/>
      </c>
      <c r="H346" s="16">
        <f>IF(OR($A346="",$B346&lt;&gt;"tutar_farki"),"",IF($E346=0,"BELGE_EKSIK",IF($C346&lt;=toleransKurus*cbb_yuvarlamaCarpan,"YUVARLAMA",IF(AND($F346&lt;&gt;"Ba",$F346&lt;&gt;"Bs"),"TIP_KARISIK",IF($C346&gt;cbb_esikFark*cbb_donemCarpan,"DONEM",IF(LEN($D346)&lt;cbb_unvanMinLen,"UNVAN","TANIMSIZ"))))))</f>
        <v/>
      </c>
    </row>
    <row r="347">
      <c r="A347" s="26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IF($A347="","",IFERROR(INDEX(tblVeriA[Unvan],MATCH($A347,tblAnahtarA[Norm],0)),""))</f>
        <v/>
      </c>
      <c r="E347" s="16">
        <f>IF($A347="","",IFERROR(SUMIF(tblAnahtarB[NormB],$A347,tblVeriB[BelgeAdet]),0))</f>
        <v/>
      </c>
      <c r="F347" s="16">
        <f>IF($A347="","",IFERROR(INDEX(tblVeriB[FormTipi],MATCH($A347,tblAnahtarB[NormB],0)),""))</f>
        <v/>
      </c>
      <c r="G347" s="16">
        <f>IF($A347="","",IFERROR(INDEX(tblVeriA[Donem],MATCH($A347,tblAnahtarA[Norm],0)),""))</f>
        <v/>
      </c>
      <c r="H347" s="16">
        <f>IF(OR($A347="",$B347&lt;&gt;"tutar_farki"),"",IF($E347=0,"BELGE_EKSIK",IF($C347&lt;=toleransKurus*cbb_yuvarlamaCarpan,"YUVARLAMA",IF(AND($F347&lt;&gt;"Ba",$F347&lt;&gt;"Bs"),"TIP_KARISIK",IF($C347&gt;cbb_esikFark*cbb_donemCarpan,"DONEM",IF(LEN($D347)&lt;cbb_unvanMinLen,"UNVAN","TANIMSIZ"))))))</f>
        <v/>
      </c>
    </row>
    <row r="348">
      <c r="A348" s="26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IF($A348="","",IFERROR(INDEX(tblVeriA[Unvan],MATCH($A348,tblAnahtarA[Norm],0)),""))</f>
        <v/>
      </c>
      <c r="E348" s="16">
        <f>IF($A348="","",IFERROR(SUMIF(tblAnahtarB[NormB],$A348,tblVeriB[BelgeAdet]),0))</f>
        <v/>
      </c>
      <c r="F348" s="16">
        <f>IF($A348="","",IFERROR(INDEX(tblVeriB[FormTipi],MATCH($A348,tblAnahtarB[NormB],0)),""))</f>
        <v/>
      </c>
      <c r="G348" s="16">
        <f>IF($A348="","",IFERROR(INDEX(tblVeriA[Donem],MATCH($A348,tblAnahtarA[Norm],0)),""))</f>
        <v/>
      </c>
      <c r="H348" s="16">
        <f>IF(OR($A348="",$B348&lt;&gt;"tutar_farki"),"",IF($E348=0,"BELGE_EKSIK",IF($C348&lt;=toleransKurus*cbb_yuvarlamaCarpan,"YUVARLAMA",IF(AND($F348&lt;&gt;"Ba",$F348&lt;&gt;"Bs"),"TIP_KARISIK",IF($C348&gt;cbb_esikFark*cbb_donemCarpan,"DONEM",IF(LEN($D348)&lt;cbb_unvanMinLen,"UNVAN","TANIMSIZ"))))))</f>
        <v/>
      </c>
    </row>
    <row r="349">
      <c r="A349" s="26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IF($A349="","",IFERROR(INDEX(tblVeriA[Unvan],MATCH($A349,tblAnahtarA[Norm],0)),""))</f>
        <v/>
      </c>
      <c r="E349" s="16">
        <f>IF($A349="","",IFERROR(SUMIF(tblAnahtarB[NormB],$A349,tblVeriB[BelgeAdet]),0))</f>
        <v/>
      </c>
      <c r="F349" s="16">
        <f>IF($A349="","",IFERROR(INDEX(tblVeriB[FormTipi],MATCH($A349,tblAnahtarB[NormB],0)),""))</f>
        <v/>
      </c>
      <c r="G349" s="16">
        <f>IF($A349="","",IFERROR(INDEX(tblVeriA[Donem],MATCH($A349,tblAnahtarA[Norm],0)),""))</f>
        <v/>
      </c>
      <c r="H349" s="16">
        <f>IF(OR($A349="",$B349&lt;&gt;"tutar_farki"),"",IF($E349=0,"BELGE_EKSIK",IF($C349&lt;=toleransKurus*cbb_yuvarlamaCarpan,"YUVARLAMA",IF(AND($F349&lt;&gt;"Ba",$F349&lt;&gt;"Bs"),"TIP_KARISIK",IF($C349&gt;cbb_esikFark*cbb_donemCarpan,"DONEM",IF(LEN($D349)&lt;cbb_unvanMinLen,"UNVAN","TANIMSIZ"))))))</f>
        <v/>
      </c>
    </row>
    <row r="350">
      <c r="A350" s="26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IF($A350="","",IFERROR(INDEX(tblVeriA[Unvan],MATCH($A350,tblAnahtarA[Norm],0)),""))</f>
        <v/>
      </c>
      <c r="E350" s="16">
        <f>IF($A350="","",IFERROR(SUMIF(tblAnahtarB[NormB],$A350,tblVeriB[BelgeAdet]),0))</f>
        <v/>
      </c>
      <c r="F350" s="16">
        <f>IF($A350="","",IFERROR(INDEX(tblVeriB[FormTipi],MATCH($A350,tblAnahtarB[NormB],0)),""))</f>
        <v/>
      </c>
      <c r="G350" s="16">
        <f>IF($A350="","",IFERROR(INDEX(tblVeriA[Donem],MATCH($A350,tblAnahtarA[Norm],0)),""))</f>
        <v/>
      </c>
      <c r="H350" s="16">
        <f>IF(OR($A350="",$B350&lt;&gt;"tutar_farki"),"",IF($E350=0,"BELGE_EKSIK",IF($C350&lt;=toleransKurus*cbb_yuvarlamaCarpan,"YUVARLAMA",IF(AND($F350&lt;&gt;"Ba",$F350&lt;&gt;"Bs"),"TIP_KARISIK",IF($C350&gt;cbb_esikFark*cbb_donemCarpan,"DONEM",IF(LEN($D350)&lt;cbb_unvanMinLen,"UNVAN","TANIMSIZ"))))))</f>
        <v/>
      </c>
    </row>
    <row r="351">
      <c r="A351" s="26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IF($A351="","",IFERROR(INDEX(tblVeriA[Unvan],MATCH($A351,tblAnahtarA[Norm],0)),""))</f>
        <v/>
      </c>
      <c r="E351" s="16">
        <f>IF($A351="","",IFERROR(SUMIF(tblAnahtarB[NormB],$A351,tblVeriB[BelgeAdet]),0))</f>
        <v/>
      </c>
      <c r="F351" s="16">
        <f>IF($A351="","",IFERROR(INDEX(tblVeriB[FormTipi],MATCH($A351,tblAnahtarB[NormB],0)),""))</f>
        <v/>
      </c>
      <c r="G351" s="16">
        <f>IF($A351="","",IFERROR(INDEX(tblVeriA[Donem],MATCH($A351,tblAnahtarA[Norm],0)),""))</f>
        <v/>
      </c>
      <c r="H351" s="16">
        <f>IF(OR($A351="",$B351&lt;&gt;"tutar_farki"),"",IF($E351=0,"BELGE_EKSIK",IF($C351&lt;=toleransKurus*cbb_yuvarlamaCarpan,"YUVARLAMA",IF(AND($F351&lt;&gt;"Ba",$F351&lt;&gt;"Bs"),"TIP_KARISIK",IF($C351&gt;cbb_esikFark*cbb_donemCarpan,"DONEM",IF(LEN($D351)&lt;cbb_unvanMinLen,"UNVAN","TANIMSIZ"))))))</f>
        <v/>
      </c>
    </row>
    <row r="352">
      <c r="A352" s="26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IF($A352="","",IFERROR(INDEX(tblVeriA[Unvan],MATCH($A352,tblAnahtarA[Norm],0)),""))</f>
        <v/>
      </c>
      <c r="E352" s="16">
        <f>IF($A352="","",IFERROR(SUMIF(tblAnahtarB[NormB],$A352,tblVeriB[BelgeAdet]),0))</f>
        <v/>
      </c>
      <c r="F352" s="16">
        <f>IF($A352="","",IFERROR(INDEX(tblVeriB[FormTipi],MATCH($A352,tblAnahtarB[NormB],0)),""))</f>
        <v/>
      </c>
      <c r="G352" s="16">
        <f>IF($A352="","",IFERROR(INDEX(tblVeriA[Donem],MATCH($A352,tblAnahtarA[Norm],0)),""))</f>
        <v/>
      </c>
      <c r="H352" s="16">
        <f>IF(OR($A352="",$B352&lt;&gt;"tutar_farki"),"",IF($E352=0,"BELGE_EKSIK",IF($C352&lt;=toleransKurus*cbb_yuvarlamaCarpan,"YUVARLAMA",IF(AND($F352&lt;&gt;"Ba",$F352&lt;&gt;"Bs"),"TIP_KARISIK",IF($C352&gt;cbb_esikFark*cbb_donemCarpan,"DONEM",IF(LEN($D352)&lt;cbb_unvanMinLen,"UNVAN","TANIMSIZ"))))))</f>
        <v/>
      </c>
    </row>
    <row r="353">
      <c r="A353" s="26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IF($A353="","",IFERROR(INDEX(tblVeriA[Unvan],MATCH($A353,tblAnahtarA[Norm],0)),""))</f>
        <v/>
      </c>
      <c r="E353" s="16">
        <f>IF($A353="","",IFERROR(SUMIF(tblAnahtarB[NormB],$A353,tblVeriB[BelgeAdet]),0))</f>
        <v/>
      </c>
      <c r="F353" s="16">
        <f>IF($A353="","",IFERROR(INDEX(tblVeriB[FormTipi],MATCH($A353,tblAnahtarB[NormB],0)),""))</f>
        <v/>
      </c>
      <c r="G353" s="16">
        <f>IF($A353="","",IFERROR(INDEX(tblVeriA[Donem],MATCH($A353,tblAnahtarA[Norm],0)),""))</f>
        <v/>
      </c>
      <c r="H353" s="16">
        <f>IF(OR($A353="",$B353&lt;&gt;"tutar_farki"),"",IF($E353=0,"BELGE_EKSIK",IF($C353&lt;=toleransKurus*cbb_yuvarlamaCarpan,"YUVARLAMA",IF(AND($F353&lt;&gt;"Ba",$F353&lt;&gt;"Bs"),"TIP_KARISIK",IF($C353&gt;cbb_esikFark*cbb_donemCarpan,"DONEM",IF(LEN($D353)&lt;cbb_unvanMinLen,"UNVAN","TANIMSIZ"))))))</f>
        <v/>
      </c>
    </row>
    <row r="354">
      <c r="A354" s="26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IF($A354="","",IFERROR(INDEX(tblVeriA[Unvan],MATCH($A354,tblAnahtarA[Norm],0)),""))</f>
        <v/>
      </c>
      <c r="E354" s="16">
        <f>IF($A354="","",IFERROR(SUMIF(tblAnahtarB[NormB],$A354,tblVeriB[BelgeAdet]),0))</f>
        <v/>
      </c>
      <c r="F354" s="16">
        <f>IF($A354="","",IFERROR(INDEX(tblVeriB[FormTipi],MATCH($A354,tblAnahtarB[NormB],0)),""))</f>
        <v/>
      </c>
      <c r="G354" s="16">
        <f>IF($A354="","",IFERROR(INDEX(tblVeriA[Donem],MATCH($A354,tblAnahtarA[Norm],0)),""))</f>
        <v/>
      </c>
      <c r="H354" s="16">
        <f>IF(OR($A354="",$B354&lt;&gt;"tutar_farki"),"",IF($E354=0,"BELGE_EKSIK",IF($C354&lt;=toleransKurus*cbb_yuvarlamaCarpan,"YUVARLAMA",IF(AND($F354&lt;&gt;"Ba",$F354&lt;&gt;"Bs"),"TIP_KARISIK",IF($C354&gt;cbb_esikFark*cbb_donemCarpan,"DONEM",IF(LEN($D354)&lt;cbb_unvanMinLen,"UNVAN","TANIMSIZ"))))))</f>
        <v/>
      </c>
    </row>
    <row r="355">
      <c r="A355" s="26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IF($A355="","",IFERROR(INDEX(tblVeriA[Unvan],MATCH($A355,tblAnahtarA[Norm],0)),""))</f>
        <v/>
      </c>
      <c r="E355" s="16">
        <f>IF($A355="","",IFERROR(SUMIF(tblAnahtarB[NormB],$A355,tblVeriB[BelgeAdet]),0))</f>
        <v/>
      </c>
      <c r="F355" s="16">
        <f>IF($A355="","",IFERROR(INDEX(tblVeriB[FormTipi],MATCH($A355,tblAnahtarB[NormB],0)),""))</f>
        <v/>
      </c>
      <c r="G355" s="16">
        <f>IF($A355="","",IFERROR(INDEX(tblVeriA[Donem],MATCH($A355,tblAnahtarA[Norm],0)),""))</f>
        <v/>
      </c>
      <c r="H355" s="16">
        <f>IF(OR($A355="",$B355&lt;&gt;"tutar_farki"),"",IF($E355=0,"BELGE_EKSIK",IF($C355&lt;=toleransKurus*cbb_yuvarlamaCarpan,"YUVARLAMA",IF(AND($F355&lt;&gt;"Ba",$F355&lt;&gt;"Bs"),"TIP_KARISIK",IF($C355&gt;cbb_esikFark*cbb_donemCarpan,"DONEM",IF(LEN($D355)&lt;cbb_unvanMinLen,"UNVAN","TANIMSIZ"))))))</f>
        <v/>
      </c>
    </row>
    <row r="356">
      <c r="A356" s="26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IF($A356="","",IFERROR(INDEX(tblVeriA[Unvan],MATCH($A356,tblAnahtarA[Norm],0)),""))</f>
        <v/>
      </c>
      <c r="E356" s="16">
        <f>IF($A356="","",IFERROR(SUMIF(tblAnahtarB[NormB],$A356,tblVeriB[BelgeAdet]),0))</f>
        <v/>
      </c>
      <c r="F356" s="16">
        <f>IF($A356="","",IFERROR(INDEX(tblVeriB[FormTipi],MATCH($A356,tblAnahtarB[NormB],0)),""))</f>
        <v/>
      </c>
      <c r="G356" s="16">
        <f>IF($A356="","",IFERROR(INDEX(tblVeriA[Donem],MATCH($A356,tblAnahtarA[Norm],0)),""))</f>
        <v/>
      </c>
      <c r="H356" s="16">
        <f>IF(OR($A356="",$B356&lt;&gt;"tutar_farki"),"",IF($E356=0,"BELGE_EKSIK",IF($C356&lt;=toleransKurus*cbb_yuvarlamaCarpan,"YUVARLAMA",IF(AND($F356&lt;&gt;"Ba",$F356&lt;&gt;"Bs"),"TIP_KARISIK",IF($C356&gt;cbb_esikFark*cbb_donemCarpan,"DONEM",IF(LEN($D356)&lt;cbb_unvanMinLen,"UNVAN","TANIMSIZ"))))))</f>
        <v/>
      </c>
    </row>
    <row r="357">
      <c r="A357" s="26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IF($A357="","",IFERROR(INDEX(tblVeriA[Unvan],MATCH($A357,tblAnahtarA[Norm],0)),""))</f>
        <v/>
      </c>
      <c r="E357" s="16">
        <f>IF($A357="","",IFERROR(SUMIF(tblAnahtarB[NormB],$A357,tblVeriB[BelgeAdet]),0))</f>
        <v/>
      </c>
      <c r="F357" s="16">
        <f>IF($A357="","",IFERROR(INDEX(tblVeriB[FormTipi],MATCH($A357,tblAnahtarB[NormB],0)),""))</f>
        <v/>
      </c>
      <c r="G357" s="16">
        <f>IF($A357="","",IFERROR(INDEX(tblVeriA[Donem],MATCH($A357,tblAnahtarA[Norm],0)),""))</f>
        <v/>
      </c>
      <c r="H357" s="16">
        <f>IF(OR($A357="",$B357&lt;&gt;"tutar_farki"),"",IF($E357=0,"BELGE_EKSIK",IF($C357&lt;=toleransKurus*cbb_yuvarlamaCarpan,"YUVARLAMA",IF(AND($F357&lt;&gt;"Ba",$F357&lt;&gt;"Bs"),"TIP_KARISIK",IF($C357&gt;cbb_esikFark*cbb_donemCarpan,"DONEM",IF(LEN($D357)&lt;cbb_unvanMinLen,"UNVAN","TANIMSIZ"))))))</f>
        <v/>
      </c>
    </row>
    <row r="358">
      <c r="A358" s="26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IF($A358="","",IFERROR(INDEX(tblVeriA[Unvan],MATCH($A358,tblAnahtarA[Norm],0)),""))</f>
        <v/>
      </c>
      <c r="E358" s="16">
        <f>IF($A358="","",IFERROR(SUMIF(tblAnahtarB[NormB],$A358,tblVeriB[BelgeAdet]),0))</f>
        <v/>
      </c>
      <c r="F358" s="16">
        <f>IF($A358="","",IFERROR(INDEX(tblVeriB[FormTipi],MATCH($A358,tblAnahtarB[NormB],0)),""))</f>
        <v/>
      </c>
      <c r="G358" s="16">
        <f>IF($A358="","",IFERROR(INDEX(tblVeriA[Donem],MATCH($A358,tblAnahtarA[Norm],0)),""))</f>
        <v/>
      </c>
      <c r="H358" s="16">
        <f>IF(OR($A358="",$B358&lt;&gt;"tutar_farki"),"",IF($E358=0,"BELGE_EKSIK",IF($C358&lt;=toleransKurus*cbb_yuvarlamaCarpan,"YUVARLAMA",IF(AND($F358&lt;&gt;"Ba",$F358&lt;&gt;"Bs"),"TIP_KARISIK",IF($C358&gt;cbb_esikFark*cbb_donemCarpan,"DONEM",IF(LEN($D358)&lt;cbb_unvanMinLen,"UNVAN","TANIMSIZ"))))))</f>
        <v/>
      </c>
    </row>
    <row r="359">
      <c r="A359" s="26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IF($A359="","",IFERROR(INDEX(tblVeriA[Unvan],MATCH($A359,tblAnahtarA[Norm],0)),""))</f>
        <v/>
      </c>
      <c r="E359" s="16">
        <f>IF($A359="","",IFERROR(SUMIF(tblAnahtarB[NormB],$A359,tblVeriB[BelgeAdet]),0))</f>
        <v/>
      </c>
      <c r="F359" s="16">
        <f>IF($A359="","",IFERROR(INDEX(tblVeriB[FormTipi],MATCH($A359,tblAnahtarB[NormB],0)),""))</f>
        <v/>
      </c>
      <c r="G359" s="16">
        <f>IF($A359="","",IFERROR(INDEX(tblVeriA[Donem],MATCH($A359,tblAnahtarA[Norm],0)),""))</f>
        <v/>
      </c>
      <c r="H359" s="16">
        <f>IF(OR($A359="",$B359&lt;&gt;"tutar_farki"),"",IF($E359=0,"BELGE_EKSIK",IF($C359&lt;=toleransKurus*cbb_yuvarlamaCarpan,"YUVARLAMA",IF(AND($F359&lt;&gt;"Ba",$F359&lt;&gt;"Bs"),"TIP_KARISIK",IF($C359&gt;cbb_esikFark*cbb_donemCarpan,"DONEM",IF(LEN($D359)&lt;cbb_unvanMinLen,"UNVAN","TANIMSIZ"))))))</f>
        <v/>
      </c>
    </row>
    <row r="360">
      <c r="A360" s="26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IF($A360="","",IFERROR(INDEX(tblVeriA[Unvan],MATCH($A360,tblAnahtarA[Norm],0)),""))</f>
        <v/>
      </c>
      <c r="E360" s="16">
        <f>IF($A360="","",IFERROR(SUMIF(tblAnahtarB[NormB],$A360,tblVeriB[BelgeAdet]),0))</f>
        <v/>
      </c>
      <c r="F360" s="16">
        <f>IF($A360="","",IFERROR(INDEX(tblVeriB[FormTipi],MATCH($A360,tblAnahtarB[NormB],0)),""))</f>
        <v/>
      </c>
      <c r="G360" s="16">
        <f>IF($A360="","",IFERROR(INDEX(tblVeriA[Donem],MATCH($A360,tblAnahtarA[Norm],0)),""))</f>
        <v/>
      </c>
      <c r="H360" s="16">
        <f>IF(OR($A360="",$B360&lt;&gt;"tutar_farki"),"",IF($E360=0,"BELGE_EKSIK",IF($C360&lt;=toleransKurus*cbb_yuvarlamaCarpan,"YUVARLAMA",IF(AND($F360&lt;&gt;"Ba",$F360&lt;&gt;"Bs"),"TIP_KARISIK",IF($C360&gt;cbb_esikFark*cbb_donemCarpan,"DONEM",IF(LEN($D360)&lt;cbb_unvanMinLen,"UNVAN","TANIMSIZ"))))))</f>
        <v/>
      </c>
    </row>
    <row r="361">
      <c r="A361" s="26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IF($A361="","",IFERROR(INDEX(tblVeriA[Unvan],MATCH($A361,tblAnahtarA[Norm],0)),""))</f>
        <v/>
      </c>
      <c r="E361" s="16">
        <f>IF($A361="","",IFERROR(SUMIF(tblAnahtarB[NormB],$A361,tblVeriB[BelgeAdet]),0))</f>
        <v/>
      </c>
      <c r="F361" s="16">
        <f>IF($A361="","",IFERROR(INDEX(tblVeriB[FormTipi],MATCH($A361,tblAnahtarB[NormB],0)),""))</f>
        <v/>
      </c>
      <c r="G361" s="16">
        <f>IF($A361="","",IFERROR(INDEX(tblVeriA[Donem],MATCH($A361,tblAnahtarA[Norm],0)),""))</f>
        <v/>
      </c>
      <c r="H361" s="16">
        <f>IF(OR($A361="",$B361&lt;&gt;"tutar_farki"),"",IF($E361=0,"BELGE_EKSIK",IF($C361&lt;=toleransKurus*cbb_yuvarlamaCarpan,"YUVARLAMA",IF(AND($F361&lt;&gt;"Ba",$F361&lt;&gt;"Bs"),"TIP_KARISIK",IF($C361&gt;cbb_esikFark*cbb_donemCarpan,"DONEM",IF(LEN($D361)&lt;cbb_unvanMinLen,"UNVAN","TANIMSIZ"))))))</f>
        <v/>
      </c>
    </row>
    <row r="362">
      <c r="A362" s="26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IF($A362="","",IFERROR(INDEX(tblVeriA[Unvan],MATCH($A362,tblAnahtarA[Norm],0)),""))</f>
        <v/>
      </c>
      <c r="E362" s="16">
        <f>IF($A362="","",IFERROR(SUMIF(tblAnahtarB[NormB],$A362,tblVeriB[BelgeAdet]),0))</f>
        <v/>
      </c>
      <c r="F362" s="16">
        <f>IF($A362="","",IFERROR(INDEX(tblVeriB[FormTipi],MATCH($A362,tblAnahtarB[NormB],0)),""))</f>
        <v/>
      </c>
      <c r="G362" s="16">
        <f>IF($A362="","",IFERROR(INDEX(tblVeriA[Donem],MATCH($A362,tblAnahtarA[Norm],0)),""))</f>
        <v/>
      </c>
      <c r="H362" s="16">
        <f>IF(OR($A362="",$B362&lt;&gt;"tutar_farki"),"",IF($E362=0,"BELGE_EKSIK",IF($C362&lt;=toleransKurus*cbb_yuvarlamaCarpan,"YUVARLAMA",IF(AND($F362&lt;&gt;"Ba",$F362&lt;&gt;"Bs"),"TIP_KARISIK",IF($C362&gt;cbb_esikFark*cbb_donemCarpan,"DONEM",IF(LEN($D362)&lt;cbb_unvanMinLen,"UNVAN","TANIMSIZ"))))))</f>
        <v/>
      </c>
    </row>
    <row r="363">
      <c r="A363" s="26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IF($A363="","",IFERROR(INDEX(tblVeriA[Unvan],MATCH($A363,tblAnahtarA[Norm],0)),""))</f>
        <v/>
      </c>
      <c r="E363" s="16">
        <f>IF($A363="","",IFERROR(SUMIF(tblAnahtarB[NormB],$A363,tblVeriB[BelgeAdet]),0))</f>
        <v/>
      </c>
      <c r="F363" s="16">
        <f>IF($A363="","",IFERROR(INDEX(tblVeriB[FormTipi],MATCH($A363,tblAnahtarB[NormB],0)),""))</f>
        <v/>
      </c>
      <c r="G363" s="16">
        <f>IF($A363="","",IFERROR(INDEX(tblVeriA[Donem],MATCH($A363,tblAnahtarA[Norm],0)),""))</f>
        <v/>
      </c>
      <c r="H363" s="16">
        <f>IF(OR($A363="",$B363&lt;&gt;"tutar_farki"),"",IF($E363=0,"BELGE_EKSIK",IF($C363&lt;=toleransKurus*cbb_yuvarlamaCarpan,"YUVARLAMA",IF(AND($F363&lt;&gt;"Ba",$F363&lt;&gt;"Bs"),"TIP_KARISIK",IF($C363&gt;cbb_esikFark*cbb_donemCarpan,"DONEM",IF(LEN($D363)&lt;cbb_unvanMinLen,"UNVAN","TANIMSIZ"))))))</f>
        <v/>
      </c>
    </row>
    <row r="364">
      <c r="A364" s="26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IF($A364="","",IFERROR(INDEX(tblVeriA[Unvan],MATCH($A364,tblAnahtarA[Norm],0)),""))</f>
        <v/>
      </c>
      <c r="E364" s="16">
        <f>IF($A364="","",IFERROR(SUMIF(tblAnahtarB[NormB],$A364,tblVeriB[BelgeAdet]),0))</f>
        <v/>
      </c>
      <c r="F364" s="16">
        <f>IF($A364="","",IFERROR(INDEX(tblVeriB[FormTipi],MATCH($A364,tblAnahtarB[NormB],0)),""))</f>
        <v/>
      </c>
      <c r="G364" s="16">
        <f>IF($A364="","",IFERROR(INDEX(tblVeriA[Donem],MATCH($A364,tblAnahtarA[Norm],0)),""))</f>
        <v/>
      </c>
      <c r="H364" s="16">
        <f>IF(OR($A364="",$B364&lt;&gt;"tutar_farki"),"",IF($E364=0,"BELGE_EKSIK",IF($C364&lt;=toleransKurus*cbb_yuvarlamaCarpan,"YUVARLAMA",IF(AND($F364&lt;&gt;"Ba",$F364&lt;&gt;"Bs"),"TIP_KARISIK",IF($C364&gt;cbb_esikFark*cbb_donemCarpan,"DONEM",IF(LEN($D364)&lt;cbb_unvanMinLen,"UNVAN","TANIMSIZ"))))))</f>
        <v/>
      </c>
    </row>
    <row r="365">
      <c r="A365" s="26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IF($A365="","",IFERROR(INDEX(tblVeriA[Unvan],MATCH($A365,tblAnahtarA[Norm],0)),""))</f>
        <v/>
      </c>
      <c r="E365" s="16">
        <f>IF($A365="","",IFERROR(SUMIF(tblAnahtarB[NormB],$A365,tblVeriB[BelgeAdet]),0))</f>
        <v/>
      </c>
      <c r="F365" s="16">
        <f>IF($A365="","",IFERROR(INDEX(tblVeriB[FormTipi],MATCH($A365,tblAnahtarB[NormB],0)),""))</f>
        <v/>
      </c>
      <c r="G365" s="16">
        <f>IF($A365="","",IFERROR(INDEX(tblVeriA[Donem],MATCH($A365,tblAnahtarA[Norm],0)),""))</f>
        <v/>
      </c>
      <c r="H365" s="16">
        <f>IF(OR($A365="",$B365&lt;&gt;"tutar_farki"),"",IF($E365=0,"BELGE_EKSIK",IF($C365&lt;=toleransKurus*cbb_yuvarlamaCarpan,"YUVARLAMA",IF(AND($F365&lt;&gt;"Ba",$F365&lt;&gt;"Bs"),"TIP_KARISIK",IF($C365&gt;cbb_esikFark*cbb_donemCarpan,"DONEM",IF(LEN($D365)&lt;cbb_unvanMinLen,"UNVAN","TANIMSIZ"))))))</f>
        <v/>
      </c>
    </row>
    <row r="366">
      <c r="A366" s="26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IF($A366="","",IFERROR(INDEX(tblVeriA[Unvan],MATCH($A366,tblAnahtarA[Norm],0)),""))</f>
        <v/>
      </c>
      <c r="E366" s="16">
        <f>IF($A366="","",IFERROR(SUMIF(tblAnahtarB[NormB],$A366,tblVeriB[BelgeAdet]),0))</f>
        <v/>
      </c>
      <c r="F366" s="16">
        <f>IF($A366="","",IFERROR(INDEX(tblVeriB[FormTipi],MATCH($A366,tblAnahtarB[NormB],0)),""))</f>
        <v/>
      </c>
      <c r="G366" s="16">
        <f>IF($A366="","",IFERROR(INDEX(tblVeriA[Donem],MATCH($A366,tblAnahtarA[Norm],0)),""))</f>
        <v/>
      </c>
      <c r="H366" s="16">
        <f>IF(OR($A366="",$B366&lt;&gt;"tutar_farki"),"",IF($E366=0,"BELGE_EKSIK",IF($C366&lt;=toleransKurus*cbb_yuvarlamaCarpan,"YUVARLAMA",IF(AND($F366&lt;&gt;"Ba",$F366&lt;&gt;"Bs"),"TIP_KARISIK",IF($C366&gt;cbb_esikFark*cbb_donemCarpan,"DONEM",IF(LEN($D366)&lt;cbb_unvanMinLen,"UNVAN","TANIMSIZ"))))))</f>
        <v/>
      </c>
    </row>
    <row r="367">
      <c r="A367" s="26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IF($A367="","",IFERROR(INDEX(tblVeriA[Unvan],MATCH($A367,tblAnahtarA[Norm],0)),""))</f>
        <v/>
      </c>
      <c r="E367" s="16">
        <f>IF($A367="","",IFERROR(SUMIF(tblAnahtarB[NormB],$A367,tblVeriB[BelgeAdet]),0))</f>
        <v/>
      </c>
      <c r="F367" s="16">
        <f>IF($A367="","",IFERROR(INDEX(tblVeriB[FormTipi],MATCH($A367,tblAnahtarB[NormB],0)),""))</f>
        <v/>
      </c>
      <c r="G367" s="16">
        <f>IF($A367="","",IFERROR(INDEX(tblVeriA[Donem],MATCH($A367,tblAnahtarA[Norm],0)),""))</f>
        <v/>
      </c>
      <c r="H367" s="16">
        <f>IF(OR($A367="",$B367&lt;&gt;"tutar_farki"),"",IF($E367=0,"BELGE_EKSIK",IF($C367&lt;=toleransKurus*cbb_yuvarlamaCarpan,"YUVARLAMA",IF(AND($F367&lt;&gt;"Ba",$F367&lt;&gt;"Bs"),"TIP_KARISIK",IF($C367&gt;cbb_esikFark*cbb_donemCarpan,"DONEM",IF(LEN($D367)&lt;cbb_unvanMinLen,"UNVAN","TANIMSIZ"))))))</f>
        <v/>
      </c>
    </row>
    <row r="368">
      <c r="A368" s="26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IF($A368="","",IFERROR(INDEX(tblVeriA[Unvan],MATCH($A368,tblAnahtarA[Norm],0)),""))</f>
        <v/>
      </c>
      <c r="E368" s="16">
        <f>IF($A368="","",IFERROR(SUMIF(tblAnahtarB[NormB],$A368,tblVeriB[BelgeAdet]),0))</f>
        <v/>
      </c>
      <c r="F368" s="16">
        <f>IF($A368="","",IFERROR(INDEX(tblVeriB[FormTipi],MATCH($A368,tblAnahtarB[NormB],0)),""))</f>
        <v/>
      </c>
      <c r="G368" s="16">
        <f>IF($A368="","",IFERROR(INDEX(tblVeriA[Donem],MATCH($A368,tblAnahtarA[Norm],0)),""))</f>
        <v/>
      </c>
      <c r="H368" s="16">
        <f>IF(OR($A368="",$B368&lt;&gt;"tutar_farki"),"",IF($E368=0,"BELGE_EKSIK",IF($C368&lt;=toleransKurus*cbb_yuvarlamaCarpan,"YUVARLAMA",IF(AND($F368&lt;&gt;"Ba",$F368&lt;&gt;"Bs"),"TIP_KARISIK",IF($C368&gt;cbb_esikFark*cbb_donemCarpan,"DONEM",IF(LEN($D368)&lt;cbb_unvanMinLen,"UNVAN","TANIMSIZ"))))))</f>
        <v/>
      </c>
    </row>
    <row r="369">
      <c r="A369" s="26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IF($A369="","",IFERROR(INDEX(tblVeriA[Unvan],MATCH($A369,tblAnahtarA[Norm],0)),""))</f>
        <v/>
      </c>
      <c r="E369" s="16">
        <f>IF($A369="","",IFERROR(SUMIF(tblAnahtarB[NormB],$A369,tblVeriB[BelgeAdet]),0))</f>
        <v/>
      </c>
      <c r="F369" s="16">
        <f>IF($A369="","",IFERROR(INDEX(tblVeriB[FormTipi],MATCH($A369,tblAnahtarB[NormB],0)),""))</f>
        <v/>
      </c>
      <c r="G369" s="16">
        <f>IF($A369="","",IFERROR(INDEX(tblVeriA[Donem],MATCH($A369,tblAnahtarA[Norm],0)),""))</f>
        <v/>
      </c>
      <c r="H369" s="16">
        <f>IF(OR($A369="",$B369&lt;&gt;"tutar_farki"),"",IF($E369=0,"BELGE_EKSIK",IF($C369&lt;=toleransKurus*cbb_yuvarlamaCarpan,"YUVARLAMA",IF(AND($F369&lt;&gt;"Ba",$F369&lt;&gt;"Bs"),"TIP_KARISIK",IF($C369&gt;cbb_esikFark*cbb_donemCarpan,"DONEM",IF(LEN($D369)&lt;cbb_unvanMinLen,"UNVAN","TANIMSIZ"))))))</f>
        <v/>
      </c>
    </row>
    <row r="370">
      <c r="A370" s="26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IF($A370="","",IFERROR(INDEX(tblVeriA[Unvan],MATCH($A370,tblAnahtarA[Norm],0)),""))</f>
        <v/>
      </c>
      <c r="E370" s="16">
        <f>IF($A370="","",IFERROR(SUMIF(tblAnahtarB[NormB],$A370,tblVeriB[BelgeAdet]),0))</f>
        <v/>
      </c>
      <c r="F370" s="16">
        <f>IF($A370="","",IFERROR(INDEX(tblVeriB[FormTipi],MATCH($A370,tblAnahtarB[NormB],0)),""))</f>
        <v/>
      </c>
      <c r="G370" s="16">
        <f>IF($A370="","",IFERROR(INDEX(tblVeriA[Donem],MATCH($A370,tblAnahtarA[Norm],0)),""))</f>
        <v/>
      </c>
      <c r="H370" s="16">
        <f>IF(OR($A370="",$B370&lt;&gt;"tutar_farki"),"",IF($E370=0,"BELGE_EKSIK",IF($C370&lt;=toleransKurus*cbb_yuvarlamaCarpan,"YUVARLAMA",IF(AND($F370&lt;&gt;"Ba",$F370&lt;&gt;"Bs"),"TIP_KARISIK",IF($C370&gt;cbb_esikFark*cbb_donemCarpan,"DONEM",IF(LEN($D370)&lt;cbb_unvanMinLen,"UNVAN","TANIMSIZ"))))))</f>
        <v/>
      </c>
    </row>
    <row r="371">
      <c r="A371" s="26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IF($A371="","",IFERROR(INDEX(tblVeriA[Unvan],MATCH($A371,tblAnahtarA[Norm],0)),""))</f>
        <v/>
      </c>
      <c r="E371" s="16">
        <f>IF($A371="","",IFERROR(SUMIF(tblAnahtarB[NormB],$A371,tblVeriB[BelgeAdet]),0))</f>
        <v/>
      </c>
      <c r="F371" s="16">
        <f>IF($A371="","",IFERROR(INDEX(tblVeriB[FormTipi],MATCH($A371,tblAnahtarB[NormB],0)),""))</f>
        <v/>
      </c>
      <c r="G371" s="16">
        <f>IF($A371="","",IFERROR(INDEX(tblVeriA[Donem],MATCH($A371,tblAnahtarA[Norm],0)),""))</f>
        <v/>
      </c>
      <c r="H371" s="16">
        <f>IF(OR($A371="",$B371&lt;&gt;"tutar_farki"),"",IF($E371=0,"BELGE_EKSIK",IF($C371&lt;=toleransKurus*cbb_yuvarlamaCarpan,"YUVARLAMA",IF(AND($F371&lt;&gt;"Ba",$F371&lt;&gt;"Bs"),"TIP_KARISIK",IF($C371&gt;cbb_esikFark*cbb_donemCarpan,"DONEM",IF(LEN($D371)&lt;cbb_unvanMinLen,"UNVAN","TANIMSIZ"))))))</f>
        <v/>
      </c>
    </row>
    <row r="372">
      <c r="A372" s="26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IF($A372="","",IFERROR(INDEX(tblVeriA[Unvan],MATCH($A372,tblAnahtarA[Norm],0)),""))</f>
        <v/>
      </c>
      <c r="E372" s="16">
        <f>IF($A372="","",IFERROR(SUMIF(tblAnahtarB[NormB],$A372,tblVeriB[BelgeAdet]),0))</f>
        <v/>
      </c>
      <c r="F372" s="16">
        <f>IF($A372="","",IFERROR(INDEX(tblVeriB[FormTipi],MATCH($A372,tblAnahtarB[NormB],0)),""))</f>
        <v/>
      </c>
      <c r="G372" s="16">
        <f>IF($A372="","",IFERROR(INDEX(tblVeriA[Donem],MATCH($A372,tblAnahtarA[Norm],0)),""))</f>
        <v/>
      </c>
      <c r="H372" s="16">
        <f>IF(OR($A372="",$B372&lt;&gt;"tutar_farki"),"",IF($E372=0,"BELGE_EKSIK",IF($C372&lt;=toleransKurus*cbb_yuvarlamaCarpan,"YUVARLAMA",IF(AND($F372&lt;&gt;"Ba",$F372&lt;&gt;"Bs"),"TIP_KARISIK",IF($C372&gt;cbb_esikFark*cbb_donemCarpan,"DONEM",IF(LEN($D372)&lt;cbb_unvanMinLen,"UNVAN","TANIMSIZ"))))))</f>
        <v/>
      </c>
    </row>
    <row r="373">
      <c r="A373" s="26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IF($A373="","",IFERROR(INDEX(tblVeriA[Unvan],MATCH($A373,tblAnahtarA[Norm],0)),""))</f>
        <v/>
      </c>
      <c r="E373" s="16">
        <f>IF($A373="","",IFERROR(SUMIF(tblAnahtarB[NormB],$A373,tblVeriB[BelgeAdet]),0))</f>
        <v/>
      </c>
      <c r="F373" s="16">
        <f>IF($A373="","",IFERROR(INDEX(tblVeriB[FormTipi],MATCH($A373,tblAnahtarB[NormB],0)),""))</f>
        <v/>
      </c>
      <c r="G373" s="16">
        <f>IF($A373="","",IFERROR(INDEX(tblVeriA[Donem],MATCH($A373,tblAnahtarA[Norm],0)),""))</f>
        <v/>
      </c>
      <c r="H373" s="16">
        <f>IF(OR($A373="",$B373&lt;&gt;"tutar_farki"),"",IF($E373=0,"BELGE_EKSIK",IF($C373&lt;=toleransKurus*cbb_yuvarlamaCarpan,"YUVARLAMA",IF(AND($F373&lt;&gt;"Ba",$F373&lt;&gt;"Bs"),"TIP_KARISIK",IF($C373&gt;cbb_esikFark*cbb_donemCarpan,"DONEM",IF(LEN($D373)&lt;cbb_unvanMinLen,"UNVAN","TANIMSIZ"))))))</f>
        <v/>
      </c>
    </row>
    <row r="374">
      <c r="A374" s="26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IF($A374="","",IFERROR(INDEX(tblVeriA[Unvan],MATCH($A374,tblAnahtarA[Norm],0)),""))</f>
        <v/>
      </c>
      <c r="E374" s="16">
        <f>IF($A374="","",IFERROR(SUMIF(tblAnahtarB[NormB],$A374,tblVeriB[BelgeAdet]),0))</f>
        <v/>
      </c>
      <c r="F374" s="16">
        <f>IF($A374="","",IFERROR(INDEX(tblVeriB[FormTipi],MATCH($A374,tblAnahtarB[NormB],0)),""))</f>
        <v/>
      </c>
      <c r="G374" s="16">
        <f>IF($A374="","",IFERROR(INDEX(tblVeriA[Donem],MATCH($A374,tblAnahtarA[Norm],0)),""))</f>
        <v/>
      </c>
      <c r="H374" s="16">
        <f>IF(OR($A374="",$B374&lt;&gt;"tutar_farki"),"",IF($E374=0,"BELGE_EKSIK",IF($C374&lt;=toleransKurus*cbb_yuvarlamaCarpan,"YUVARLAMA",IF(AND($F374&lt;&gt;"Ba",$F374&lt;&gt;"Bs"),"TIP_KARISIK",IF($C374&gt;cbb_esikFark*cbb_donemCarpan,"DONEM",IF(LEN($D374)&lt;cbb_unvanMinLen,"UNVAN","TANIMSIZ"))))))</f>
        <v/>
      </c>
    </row>
    <row r="375">
      <c r="A375" s="26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IF($A375="","",IFERROR(INDEX(tblVeriA[Unvan],MATCH($A375,tblAnahtarA[Norm],0)),""))</f>
        <v/>
      </c>
      <c r="E375" s="16">
        <f>IF($A375="","",IFERROR(SUMIF(tblAnahtarB[NormB],$A375,tblVeriB[BelgeAdet]),0))</f>
        <v/>
      </c>
      <c r="F375" s="16">
        <f>IF($A375="","",IFERROR(INDEX(tblVeriB[FormTipi],MATCH($A375,tblAnahtarB[NormB],0)),""))</f>
        <v/>
      </c>
      <c r="G375" s="16">
        <f>IF($A375="","",IFERROR(INDEX(tblVeriA[Donem],MATCH($A375,tblAnahtarA[Norm],0)),""))</f>
        <v/>
      </c>
      <c r="H375" s="16">
        <f>IF(OR($A375="",$B375&lt;&gt;"tutar_farki"),"",IF($E375=0,"BELGE_EKSIK",IF($C375&lt;=toleransKurus*cbb_yuvarlamaCarpan,"YUVARLAMA",IF(AND($F375&lt;&gt;"Ba",$F375&lt;&gt;"Bs"),"TIP_KARISIK",IF($C375&gt;cbb_esikFark*cbb_donemCarpan,"DONEM",IF(LEN($D375)&lt;cbb_unvanMinLen,"UNVAN","TANIMSIZ"))))))</f>
        <v/>
      </c>
    </row>
    <row r="376">
      <c r="A376" s="26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IF($A376="","",IFERROR(INDEX(tblVeriA[Unvan],MATCH($A376,tblAnahtarA[Norm],0)),""))</f>
        <v/>
      </c>
      <c r="E376" s="16">
        <f>IF($A376="","",IFERROR(SUMIF(tblAnahtarB[NormB],$A376,tblVeriB[BelgeAdet]),0))</f>
        <v/>
      </c>
      <c r="F376" s="16">
        <f>IF($A376="","",IFERROR(INDEX(tblVeriB[FormTipi],MATCH($A376,tblAnahtarB[NormB],0)),""))</f>
        <v/>
      </c>
      <c r="G376" s="16">
        <f>IF($A376="","",IFERROR(INDEX(tblVeriA[Donem],MATCH($A376,tblAnahtarA[Norm],0)),""))</f>
        <v/>
      </c>
      <c r="H376" s="16">
        <f>IF(OR($A376="",$B376&lt;&gt;"tutar_farki"),"",IF($E376=0,"BELGE_EKSIK",IF($C376&lt;=toleransKurus*cbb_yuvarlamaCarpan,"YUVARLAMA",IF(AND($F376&lt;&gt;"Ba",$F376&lt;&gt;"Bs"),"TIP_KARISIK",IF($C376&gt;cbb_esikFark*cbb_donemCarpan,"DONEM",IF(LEN($D376)&lt;cbb_unvanMinLen,"UNVAN","TANIMSIZ"))))))</f>
        <v/>
      </c>
    </row>
    <row r="377">
      <c r="A377" s="26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IF($A377="","",IFERROR(INDEX(tblVeriA[Unvan],MATCH($A377,tblAnahtarA[Norm],0)),""))</f>
        <v/>
      </c>
      <c r="E377" s="16">
        <f>IF($A377="","",IFERROR(SUMIF(tblAnahtarB[NormB],$A377,tblVeriB[BelgeAdet]),0))</f>
        <v/>
      </c>
      <c r="F377" s="16">
        <f>IF($A377="","",IFERROR(INDEX(tblVeriB[FormTipi],MATCH($A377,tblAnahtarB[NormB],0)),""))</f>
        <v/>
      </c>
      <c r="G377" s="16">
        <f>IF($A377="","",IFERROR(INDEX(tblVeriA[Donem],MATCH($A377,tblAnahtarA[Norm],0)),""))</f>
        <v/>
      </c>
      <c r="H377" s="16">
        <f>IF(OR($A377="",$B377&lt;&gt;"tutar_farki"),"",IF($E377=0,"BELGE_EKSIK",IF($C377&lt;=toleransKurus*cbb_yuvarlamaCarpan,"YUVARLAMA",IF(AND($F377&lt;&gt;"Ba",$F377&lt;&gt;"Bs"),"TIP_KARISIK",IF($C377&gt;cbb_esikFark*cbb_donemCarpan,"DONEM",IF(LEN($D377)&lt;cbb_unvanMinLen,"UNVAN","TANIMSIZ"))))))</f>
        <v/>
      </c>
    </row>
    <row r="378">
      <c r="A378" s="26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IF($A378="","",IFERROR(INDEX(tblVeriA[Unvan],MATCH($A378,tblAnahtarA[Norm],0)),""))</f>
        <v/>
      </c>
      <c r="E378" s="16">
        <f>IF($A378="","",IFERROR(SUMIF(tblAnahtarB[NormB],$A378,tblVeriB[BelgeAdet]),0))</f>
        <v/>
      </c>
      <c r="F378" s="16">
        <f>IF($A378="","",IFERROR(INDEX(tblVeriB[FormTipi],MATCH($A378,tblAnahtarB[NormB],0)),""))</f>
        <v/>
      </c>
      <c r="G378" s="16">
        <f>IF($A378="","",IFERROR(INDEX(tblVeriA[Donem],MATCH($A378,tblAnahtarA[Norm],0)),""))</f>
        <v/>
      </c>
      <c r="H378" s="16">
        <f>IF(OR($A378="",$B378&lt;&gt;"tutar_farki"),"",IF($E378=0,"BELGE_EKSIK",IF($C378&lt;=toleransKurus*cbb_yuvarlamaCarpan,"YUVARLAMA",IF(AND($F378&lt;&gt;"Ba",$F378&lt;&gt;"Bs"),"TIP_KARISIK",IF($C378&gt;cbb_esikFark*cbb_donemCarpan,"DONEM",IF(LEN($D378)&lt;cbb_unvanMinLen,"UNVAN","TANIMSIZ"))))))</f>
        <v/>
      </c>
    </row>
    <row r="379">
      <c r="A379" s="26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IF($A379="","",IFERROR(INDEX(tblVeriA[Unvan],MATCH($A379,tblAnahtarA[Norm],0)),""))</f>
        <v/>
      </c>
      <c r="E379" s="16">
        <f>IF($A379="","",IFERROR(SUMIF(tblAnahtarB[NormB],$A379,tblVeriB[BelgeAdet]),0))</f>
        <v/>
      </c>
      <c r="F379" s="16">
        <f>IF($A379="","",IFERROR(INDEX(tblVeriB[FormTipi],MATCH($A379,tblAnahtarB[NormB],0)),""))</f>
        <v/>
      </c>
      <c r="G379" s="16">
        <f>IF($A379="","",IFERROR(INDEX(tblVeriA[Donem],MATCH($A379,tblAnahtarA[Norm],0)),""))</f>
        <v/>
      </c>
      <c r="H379" s="16">
        <f>IF(OR($A379="",$B379&lt;&gt;"tutar_farki"),"",IF($E379=0,"BELGE_EKSIK",IF($C379&lt;=toleransKurus*cbb_yuvarlamaCarpan,"YUVARLAMA",IF(AND($F379&lt;&gt;"Ba",$F379&lt;&gt;"Bs"),"TIP_KARISIK",IF($C379&gt;cbb_esikFark*cbb_donemCarpan,"DONEM",IF(LEN($D379)&lt;cbb_unvanMinLen,"UNVAN","TANIMSIZ"))))))</f>
        <v/>
      </c>
    </row>
    <row r="380">
      <c r="A380" s="26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IF($A380="","",IFERROR(INDEX(tblVeriA[Unvan],MATCH($A380,tblAnahtarA[Norm],0)),""))</f>
        <v/>
      </c>
      <c r="E380" s="16">
        <f>IF($A380="","",IFERROR(SUMIF(tblAnahtarB[NormB],$A380,tblVeriB[BelgeAdet]),0))</f>
        <v/>
      </c>
      <c r="F380" s="16">
        <f>IF($A380="","",IFERROR(INDEX(tblVeriB[FormTipi],MATCH($A380,tblAnahtarB[NormB],0)),""))</f>
        <v/>
      </c>
      <c r="G380" s="16">
        <f>IF($A380="","",IFERROR(INDEX(tblVeriA[Donem],MATCH($A380,tblAnahtarA[Norm],0)),""))</f>
        <v/>
      </c>
      <c r="H380" s="16">
        <f>IF(OR($A380="",$B380&lt;&gt;"tutar_farki"),"",IF($E380=0,"BELGE_EKSIK",IF($C380&lt;=toleransKurus*cbb_yuvarlamaCarpan,"YUVARLAMA",IF(AND($F380&lt;&gt;"Ba",$F380&lt;&gt;"Bs"),"TIP_KARISIK",IF($C380&gt;cbb_esikFark*cbb_donemCarpan,"DONEM",IF(LEN($D380)&lt;cbb_unvanMinLen,"UNVAN","TANIMSIZ"))))))</f>
        <v/>
      </c>
    </row>
    <row r="381">
      <c r="A381" s="26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IF($A381="","",IFERROR(INDEX(tblVeriA[Unvan],MATCH($A381,tblAnahtarA[Norm],0)),""))</f>
        <v/>
      </c>
      <c r="E381" s="16">
        <f>IF($A381="","",IFERROR(SUMIF(tblAnahtarB[NormB],$A381,tblVeriB[BelgeAdet]),0))</f>
        <v/>
      </c>
      <c r="F381" s="16">
        <f>IF($A381="","",IFERROR(INDEX(tblVeriB[FormTipi],MATCH($A381,tblAnahtarB[NormB],0)),""))</f>
        <v/>
      </c>
      <c r="G381" s="16">
        <f>IF($A381="","",IFERROR(INDEX(tblVeriA[Donem],MATCH($A381,tblAnahtarA[Norm],0)),""))</f>
        <v/>
      </c>
      <c r="H381" s="16">
        <f>IF(OR($A381="",$B381&lt;&gt;"tutar_farki"),"",IF($E381=0,"BELGE_EKSIK",IF($C381&lt;=toleransKurus*cbb_yuvarlamaCarpan,"YUVARLAMA",IF(AND($F381&lt;&gt;"Ba",$F381&lt;&gt;"Bs"),"TIP_KARISIK",IF($C381&gt;cbb_esikFark*cbb_donemCarpan,"DONEM",IF(LEN($D381)&lt;cbb_unvanMinLen,"UNVAN","TANIMSIZ"))))))</f>
        <v/>
      </c>
    </row>
    <row r="382">
      <c r="A382" s="26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IF($A382="","",IFERROR(INDEX(tblVeriA[Unvan],MATCH($A382,tblAnahtarA[Norm],0)),""))</f>
        <v/>
      </c>
      <c r="E382" s="16">
        <f>IF($A382="","",IFERROR(SUMIF(tblAnahtarB[NormB],$A382,tblVeriB[BelgeAdet]),0))</f>
        <v/>
      </c>
      <c r="F382" s="16">
        <f>IF($A382="","",IFERROR(INDEX(tblVeriB[FormTipi],MATCH($A382,tblAnahtarB[NormB],0)),""))</f>
        <v/>
      </c>
      <c r="G382" s="16">
        <f>IF($A382="","",IFERROR(INDEX(tblVeriA[Donem],MATCH($A382,tblAnahtarA[Norm],0)),""))</f>
        <v/>
      </c>
      <c r="H382" s="16">
        <f>IF(OR($A382="",$B382&lt;&gt;"tutar_farki"),"",IF($E382=0,"BELGE_EKSIK",IF($C382&lt;=toleransKurus*cbb_yuvarlamaCarpan,"YUVARLAMA",IF(AND($F382&lt;&gt;"Ba",$F382&lt;&gt;"Bs"),"TIP_KARISIK",IF($C382&gt;cbb_esikFark*cbb_donemCarpan,"DONEM",IF(LEN($D382)&lt;cbb_unvanMinLen,"UNVAN","TANIMSIZ"))))))</f>
        <v/>
      </c>
    </row>
    <row r="383">
      <c r="A383" s="26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IF($A383="","",IFERROR(INDEX(tblVeriA[Unvan],MATCH($A383,tblAnahtarA[Norm],0)),""))</f>
        <v/>
      </c>
      <c r="E383" s="16">
        <f>IF($A383="","",IFERROR(SUMIF(tblAnahtarB[NormB],$A383,tblVeriB[BelgeAdet]),0))</f>
        <v/>
      </c>
      <c r="F383" s="16">
        <f>IF($A383="","",IFERROR(INDEX(tblVeriB[FormTipi],MATCH($A383,tblAnahtarB[NormB],0)),""))</f>
        <v/>
      </c>
      <c r="G383" s="16">
        <f>IF($A383="","",IFERROR(INDEX(tblVeriA[Donem],MATCH($A383,tblAnahtarA[Norm],0)),""))</f>
        <v/>
      </c>
      <c r="H383" s="16">
        <f>IF(OR($A383="",$B383&lt;&gt;"tutar_farki"),"",IF($E383=0,"BELGE_EKSIK",IF($C383&lt;=toleransKurus*cbb_yuvarlamaCarpan,"YUVARLAMA",IF(AND($F383&lt;&gt;"Ba",$F383&lt;&gt;"Bs"),"TIP_KARISIK",IF($C383&gt;cbb_esikFark*cbb_donemCarpan,"DONEM",IF(LEN($D383)&lt;cbb_unvanMinLen,"UNVAN","TANIMSIZ"))))))</f>
        <v/>
      </c>
    </row>
    <row r="384">
      <c r="A384" s="26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IF($A384="","",IFERROR(INDEX(tblVeriA[Unvan],MATCH($A384,tblAnahtarA[Norm],0)),""))</f>
        <v/>
      </c>
      <c r="E384" s="16">
        <f>IF($A384="","",IFERROR(SUMIF(tblAnahtarB[NormB],$A384,tblVeriB[BelgeAdet]),0))</f>
        <v/>
      </c>
      <c r="F384" s="16">
        <f>IF($A384="","",IFERROR(INDEX(tblVeriB[FormTipi],MATCH($A384,tblAnahtarB[NormB],0)),""))</f>
        <v/>
      </c>
      <c r="G384" s="16">
        <f>IF($A384="","",IFERROR(INDEX(tblVeriA[Donem],MATCH($A384,tblAnahtarA[Norm],0)),""))</f>
        <v/>
      </c>
      <c r="H384" s="16">
        <f>IF(OR($A384="",$B384&lt;&gt;"tutar_farki"),"",IF($E384=0,"BELGE_EKSIK",IF($C384&lt;=toleransKurus*cbb_yuvarlamaCarpan,"YUVARLAMA",IF(AND($F384&lt;&gt;"Ba",$F384&lt;&gt;"Bs"),"TIP_KARISIK",IF($C384&gt;cbb_esikFark*cbb_donemCarpan,"DONEM",IF(LEN($D384)&lt;cbb_unvanMinLen,"UNVAN","TANIMSIZ"))))))</f>
        <v/>
      </c>
    </row>
    <row r="385">
      <c r="A385" s="26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IF($A385="","",IFERROR(INDEX(tblVeriA[Unvan],MATCH($A385,tblAnahtarA[Norm],0)),""))</f>
        <v/>
      </c>
      <c r="E385" s="16">
        <f>IF($A385="","",IFERROR(SUMIF(tblAnahtarB[NormB],$A385,tblVeriB[BelgeAdet]),0))</f>
        <v/>
      </c>
      <c r="F385" s="16">
        <f>IF($A385="","",IFERROR(INDEX(tblVeriB[FormTipi],MATCH($A385,tblAnahtarB[NormB],0)),""))</f>
        <v/>
      </c>
      <c r="G385" s="16">
        <f>IF($A385="","",IFERROR(INDEX(tblVeriA[Donem],MATCH($A385,tblAnahtarA[Norm],0)),""))</f>
        <v/>
      </c>
      <c r="H385" s="16">
        <f>IF(OR($A385="",$B385&lt;&gt;"tutar_farki"),"",IF($E385=0,"BELGE_EKSIK",IF($C385&lt;=toleransKurus*cbb_yuvarlamaCarpan,"YUVARLAMA",IF(AND($F385&lt;&gt;"Ba",$F385&lt;&gt;"Bs"),"TIP_KARISIK",IF($C385&gt;cbb_esikFark*cbb_donemCarpan,"DONEM",IF(LEN($D385)&lt;cbb_unvanMinLen,"UNVAN","TANIMSIZ"))))))</f>
        <v/>
      </c>
    </row>
    <row r="386">
      <c r="A386" s="26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IF($A386="","",IFERROR(INDEX(tblVeriA[Unvan],MATCH($A386,tblAnahtarA[Norm],0)),""))</f>
        <v/>
      </c>
      <c r="E386" s="16">
        <f>IF($A386="","",IFERROR(SUMIF(tblAnahtarB[NormB],$A386,tblVeriB[BelgeAdet]),0))</f>
        <v/>
      </c>
      <c r="F386" s="16">
        <f>IF($A386="","",IFERROR(INDEX(tblVeriB[FormTipi],MATCH($A386,tblAnahtarB[NormB],0)),""))</f>
        <v/>
      </c>
      <c r="G386" s="16">
        <f>IF($A386="","",IFERROR(INDEX(tblVeriA[Donem],MATCH($A386,tblAnahtarA[Norm],0)),""))</f>
        <v/>
      </c>
      <c r="H386" s="16">
        <f>IF(OR($A386="",$B386&lt;&gt;"tutar_farki"),"",IF($E386=0,"BELGE_EKSIK",IF($C386&lt;=toleransKurus*cbb_yuvarlamaCarpan,"YUVARLAMA",IF(AND($F386&lt;&gt;"Ba",$F386&lt;&gt;"Bs"),"TIP_KARISIK",IF($C386&gt;cbb_esikFark*cbb_donemCarpan,"DONEM",IF(LEN($D386)&lt;cbb_unvanMinLen,"UNVAN","TANIMSIZ"))))))</f>
        <v/>
      </c>
    </row>
    <row r="387">
      <c r="A387" s="26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IF($A387="","",IFERROR(INDEX(tblVeriA[Unvan],MATCH($A387,tblAnahtarA[Norm],0)),""))</f>
        <v/>
      </c>
      <c r="E387" s="16">
        <f>IF($A387="","",IFERROR(SUMIF(tblAnahtarB[NormB],$A387,tblVeriB[BelgeAdet]),0))</f>
        <v/>
      </c>
      <c r="F387" s="16">
        <f>IF($A387="","",IFERROR(INDEX(tblVeriB[FormTipi],MATCH($A387,tblAnahtarB[NormB],0)),""))</f>
        <v/>
      </c>
      <c r="G387" s="16">
        <f>IF($A387="","",IFERROR(INDEX(tblVeriA[Donem],MATCH($A387,tblAnahtarA[Norm],0)),""))</f>
        <v/>
      </c>
      <c r="H387" s="16">
        <f>IF(OR($A387="",$B387&lt;&gt;"tutar_farki"),"",IF($E387=0,"BELGE_EKSIK",IF($C387&lt;=toleransKurus*cbb_yuvarlamaCarpan,"YUVARLAMA",IF(AND($F387&lt;&gt;"Ba",$F387&lt;&gt;"Bs"),"TIP_KARISIK",IF($C387&gt;cbb_esikFark*cbb_donemCarpan,"DONEM",IF(LEN($D387)&lt;cbb_unvanMinLen,"UNVAN","TANIMSIZ"))))))</f>
        <v/>
      </c>
    </row>
    <row r="388">
      <c r="A388" s="26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IF($A388="","",IFERROR(INDEX(tblVeriA[Unvan],MATCH($A388,tblAnahtarA[Norm],0)),""))</f>
        <v/>
      </c>
      <c r="E388" s="16">
        <f>IF($A388="","",IFERROR(SUMIF(tblAnahtarB[NormB],$A388,tblVeriB[BelgeAdet]),0))</f>
        <v/>
      </c>
      <c r="F388" s="16">
        <f>IF($A388="","",IFERROR(INDEX(tblVeriB[FormTipi],MATCH($A388,tblAnahtarB[NormB],0)),""))</f>
        <v/>
      </c>
      <c r="G388" s="16">
        <f>IF($A388="","",IFERROR(INDEX(tblVeriA[Donem],MATCH($A388,tblAnahtarA[Norm],0)),""))</f>
        <v/>
      </c>
      <c r="H388" s="16">
        <f>IF(OR($A388="",$B388&lt;&gt;"tutar_farki"),"",IF($E388=0,"BELGE_EKSIK",IF($C388&lt;=toleransKurus*cbb_yuvarlamaCarpan,"YUVARLAMA",IF(AND($F388&lt;&gt;"Ba",$F388&lt;&gt;"Bs"),"TIP_KARISIK",IF($C388&gt;cbb_esikFark*cbb_donemCarpan,"DONEM",IF(LEN($D388)&lt;cbb_unvanMinLen,"UNVAN","TANIMSIZ"))))))</f>
        <v/>
      </c>
    </row>
    <row r="389">
      <c r="A389" s="26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IF($A389="","",IFERROR(INDEX(tblVeriA[Unvan],MATCH($A389,tblAnahtarA[Norm],0)),""))</f>
        <v/>
      </c>
      <c r="E389" s="16">
        <f>IF($A389="","",IFERROR(SUMIF(tblAnahtarB[NormB],$A389,tblVeriB[BelgeAdet]),0))</f>
        <v/>
      </c>
      <c r="F389" s="16">
        <f>IF($A389="","",IFERROR(INDEX(tblVeriB[FormTipi],MATCH($A389,tblAnahtarB[NormB],0)),""))</f>
        <v/>
      </c>
      <c r="G389" s="16">
        <f>IF($A389="","",IFERROR(INDEX(tblVeriA[Donem],MATCH($A389,tblAnahtarA[Norm],0)),""))</f>
        <v/>
      </c>
      <c r="H389" s="16">
        <f>IF(OR($A389="",$B389&lt;&gt;"tutar_farki"),"",IF($E389=0,"BELGE_EKSIK",IF($C389&lt;=toleransKurus*cbb_yuvarlamaCarpan,"YUVARLAMA",IF(AND($F389&lt;&gt;"Ba",$F389&lt;&gt;"Bs"),"TIP_KARISIK",IF($C389&gt;cbb_esikFark*cbb_donemCarpan,"DONEM",IF(LEN($D389)&lt;cbb_unvanMinLen,"UNVAN","TANIMSIZ"))))))</f>
        <v/>
      </c>
    </row>
    <row r="390">
      <c r="A390" s="26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IF($A390="","",IFERROR(INDEX(tblVeriA[Unvan],MATCH($A390,tblAnahtarA[Norm],0)),""))</f>
        <v/>
      </c>
      <c r="E390" s="16">
        <f>IF($A390="","",IFERROR(SUMIF(tblAnahtarB[NormB],$A390,tblVeriB[BelgeAdet]),0))</f>
        <v/>
      </c>
      <c r="F390" s="16">
        <f>IF($A390="","",IFERROR(INDEX(tblVeriB[FormTipi],MATCH($A390,tblAnahtarB[NormB],0)),""))</f>
        <v/>
      </c>
      <c r="G390" s="16">
        <f>IF($A390="","",IFERROR(INDEX(tblVeriA[Donem],MATCH($A390,tblAnahtarA[Norm],0)),""))</f>
        <v/>
      </c>
      <c r="H390" s="16">
        <f>IF(OR($A390="",$B390&lt;&gt;"tutar_farki"),"",IF($E390=0,"BELGE_EKSIK",IF($C390&lt;=toleransKurus*cbb_yuvarlamaCarpan,"YUVARLAMA",IF(AND($F390&lt;&gt;"Ba",$F390&lt;&gt;"Bs"),"TIP_KARISIK",IF($C390&gt;cbb_esikFark*cbb_donemCarpan,"DONEM",IF(LEN($D390)&lt;cbb_unvanMinLen,"UNVAN","TANIMSIZ"))))))</f>
        <v/>
      </c>
    </row>
    <row r="391">
      <c r="A391" s="26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IF($A391="","",IFERROR(INDEX(tblVeriA[Unvan],MATCH($A391,tblAnahtarA[Norm],0)),""))</f>
        <v/>
      </c>
      <c r="E391" s="16">
        <f>IF($A391="","",IFERROR(SUMIF(tblAnahtarB[NormB],$A391,tblVeriB[BelgeAdet]),0))</f>
        <v/>
      </c>
      <c r="F391" s="16">
        <f>IF($A391="","",IFERROR(INDEX(tblVeriB[FormTipi],MATCH($A391,tblAnahtarB[NormB],0)),""))</f>
        <v/>
      </c>
      <c r="G391" s="16">
        <f>IF($A391="","",IFERROR(INDEX(tblVeriA[Donem],MATCH($A391,tblAnahtarA[Norm],0)),""))</f>
        <v/>
      </c>
      <c r="H391" s="16">
        <f>IF(OR($A391="",$B391&lt;&gt;"tutar_farki"),"",IF($E391=0,"BELGE_EKSIK",IF($C391&lt;=toleransKurus*cbb_yuvarlamaCarpan,"YUVARLAMA",IF(AND($F391&lt;&gt;"Ba",$F391&lt;&gt;"Bs"),"TIP_KARISIK",IF($C391&gt;cbb_esikFark*cbb_donemCarpan,"DONEM",IF(LEN($D391)&lt;cbb_unvanMinLen,"UNVAN","TANIMSIZ"))))))</f>
        <v/>
      </c>
    </row>
    <row r="392">
      <c r="A392" s="26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IF($A392="","",IFERROR(INDEX(tblVeriA[Unvan],MATCH($A392,tblAnahtarA[Norm],0)),""))</f>
        <v/>
      </c>
      <c r="E392" s="16">
        <f>IF($A392="","",IFERROR(SUMIF(tblAnahtarB[NormB],$A392,tblVeriB[BelgeAdet]),0))</f>
        <v/>
      </c>
      <c r="F392" s="16">
        <f>IF($A392="","",IFERROR(INDEX(tblVeriB[FormTipi],MATCH($A392,tblAnahtarB[NormB],0)),""))</f>
        <v/>
      </c>
      <c r="G392" s="16">
        <f>IF($A392="","",IFERROR(INDEX(tblVeriA[Donem],MATCH($A392,tblAnahtarA[Norm],0)),""))</f>
        <v/>
      </c>
      <c r="H392" s="16">
        <f>IF(OR($A392="",$B392&lt;&gt;"tutar_farki"),"",IF($E392=0,"BELGE_EKSIK",IF($C392&lt;=toleransKurus*cbb_yuvarlamaCarpan,"YUVARLAMA",IF(AND($F392&lt;&gt;"Ba",$F392&lt;&gt;"Bs"),"TIP_KARISIK",IF($C392&gt;cbb_esikFark*cbb_donemCarpan,"DONEM",IF(LEN($D392)&lt;cbb_unvanMinLen,"UNVAN","TANIMSIZ"))))))</f>
        <v/>
      </c>
    </row>
    <row r="393">
      <c r="A393" s="26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IF($A393="","",IFERROR(INDEX(tblVeriA[Unvan],MATCH($A393,tblAnahtarA[Norm],0)),""))</f>
        <v/>
      </c>
      <c r="E393" s="16">
        <f>IF($A393="","",IFERROR(SUMIF(tblAnahtarB[NormB],$A393,tblVeriB[BelgeAdet]),0))</f>
        <v/>
      </c>
      <c r="F393" s="16">
        <f>IF($A393="","",IFERROR(INDEX(tblVeriB[FormTipi],MATCH($A393,tblAnahtarB[NormB],0)),""))</f>
        <v/>
      </c>
      <c r="G393" s="16">
        <f>IF($A393="","",IFERROR(INDEX(tblVeriA[Donem],MATCH($A393,tblAnahtarA[Norm],0)),""))</f>
        <v/>
      </c>
      <c r="H393" s="16">
        <f>IF(OR($A393="",$B393&lt;&gt;"tutar_farki"),"",IF($E393=0,"BELGE_EKSIK",IF($C393&lt;=toleransKurus*cbb_yuvarlamaCarpan,"YUVARLAMA",IF(AND($F393&lt;&gt;"Ba",$F393&lt;&gt;"Bs"),"TIP_KARISIK",IF($C393&gt;cbb_esikFark*cbb_donemCarpan,"DONEM",IF(LEN($D393)&lt;cbb_unvanMinLen,"UNVAN","TANIMSIZ"))))))</f>
        <v/>
      </c>
    </row>
    <row r="394">
      <c r="A394" s="26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IF($A394="","",IFERROR(INDEX(tblVeriA[Unvan],MATCH($A394,tblAnahtarA[Norm],0)),""))</f>
        <v/>
      </c>
      <c r="E394" s="16">
        <f>IF($A394="","",IFERROR(SUMIF(tblAnahtarB[NormB],$A394,tblVeriB[BelgeAdet]),0))</f>
        <v/>
      </c>
      <c r="F394" s="16">
        <f>IF($A394="","",IFERROR(INDEX(tblVeriB[FormTipi],MATCH($A394,tblAnahtarB[NormB],0)),""))</f>
        <v/>
      </c>
      <c r="G394" s="16">
        <f>IF($A394="","",IFERROR(INDEX(tblVeriA[Donem],MATCH($A394,tblAnahtarA[Norm],0)),""))</f>
        <v/>
      </c>
      <c r="H394" s="16">
        <f>IF(OR($A394="",$B394&lt;&gt;"tutar_farki"),"",IF($E394=0,"BELGE_EKSIK",IF($C394&lt;=toleransKurus*cbb_yuvarlamaCarpan,"YUVARLAMA",IF(AND($F394&lt;&gt;"Ba",$F394&lt;&gt;"Bs"),"TIP_KARISIK",IF($C394&gt;cbb_esikFark*cbb_donemCarpan,"DONEM",IF(LEN($D394)&lt;cbb_unvanMinLen,"UNVAN","TANIMSIZ"))))))</f>
        <v/>
      </c>
    </row>
    <row r="395">
      <c r="A395" s="26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IF($A395="","",IFERROR(INDEX(tblVeriA[Unvan],MATCH($A395,tblAnahtarA[Norm],0)),""))</f>
        <v/>
      </c>
      <c r="E395" s="16">
        <f>IF($A395="","",IFERROR(SUMIF(tblAnahtarB[NormB],$A395,tblVeriB[BelgeAdet]),0))</f>
        <v/>
      </c>
      <c r="F395" s="16">
        <f>IF($A395="","",IFERROR(INDEX(tblVeriB[FormTipi],MATCH($A395,tblAnahtarB[NormB],0)),""))</f>
        <v/>
      </c>
      <c r="G395" s="16">
        <f>IF($A395="","",IFERROR(INDEX(tblVeriA[Donem],MATCH($A395,tblAnahtarA[Norm],0)),""))</f>
        <v/>
      </c>
      <c r="H395" s="16">
        <f>IF(OR($A395="",$B395&lt;&gt;"tutar_farki"),"",IF($E395=0,"BELGE_EKSIK",IF($C395&lt;=toleransKurus*cbb_yuvarlamaCarpan,"YUVARLAMA",IF(AND($F395&lt;&gt;"Ba",$F395&lt;&gt;"Bs"),"TIP_KARISIK",IF($C395&gt;cbb_esikFark*cbb_donemCarpan,"DONEM",IF(LEN($D395)&lt;cbb_unvanMinLen,"UNVAN","TANIMSIZ"))))))</f>
        <v/>
      </c>
    </row>
    <row r="396">
      <c r="A396" s="26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IF($A396="","",IFERROR(INDEX(tblVeriA[Unvan],MATCH($A396,tblAnahtarA[Norm],0)),""))</f>
        <v/>
      </c>
      <c r="E396" s="16">
        <f>IF($A396="","",IFERROR(SUMIF(tblAnahtarB[NormB],$A396,tblVeriB[BelgeAdet]),0))</f>
        <v/>
      </c>
      <c r="F396" s="16">
        <f>IF($A396="","",IFERROR(INDEX(tblVeriB[FormTipi],MATCH($A396,tblAnahtarB[NormB],0)),""))</f>
        <v/>
      </c>
      <c r="G396" s="16">
        <f>IF($A396="","",IFERROR(INDEX(tblVeriA[Donem],MATCH($A396,tblAnahtarA[Norm],0)),""))</f>
        <v/>
      </c>
      <c r="H396" s="16">
        <f>IF(OR($A396="",$B396&lt;&gt;"tutar_farki"),"",IF($E396=0,"BELGE_EKSIK",IF($C396&lt;=toleransKurus*cbb_yuvarlamaCarpan,"YUVARLAMA",IF(AND($F396&lt;&gt;"Ba",$F396&lt;&gt;"Bs"),"TIP_KARISIK",IF($C396&gt;cbb_esikFark*cbb_donemCarpan,"DONEM",IF(LEN($D396)&lt;cbb_unvanMinLen,"UNVAN","TANIMSIZ"))))))</f>
        <v/>
      </c>
    </row>
    <row r="397">
      <c r="A397" s="26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IF($A397="","",IFERROR(INDEX(tblVeriA[Unvan],MATCH($A397,tblAnahtarA[Norm],0)),""))</f>
        <v/>
      </c>
      <c r="E397" s="16">
        <f>IF($A397="","",IFERROR(SUMIF(tblAnahtarB[NormB],$A397,tblVeriB[BelgeAdet]),0))</f>
        <v/>
      </c>
      <c r="F397" s="16">
        <f>IF($A397="","",IFERROR(INDEX(tblVeriB[FormTipi],MATCH($A397,tblAnahtarB[NormB],0)),""))</f>
        <v/>
      </c>
      <c r="G397" s="16">
        <f>IF($A397="","",IFERROR(INDEX(tblVeriA[Donem],MATCH($A397,tblAnahtarA[Norm],0)),""))</f>
        <v/>
      </c>
      <c r="H397" s="16">
        <f>IF(OR($A397="",$B397&lt;&gt;"tutar_farki"),"",IF($E397=0,"BELGE_EKSIK",IF($C397&lt;=toleransKurus*cbb_yuvarlamaCarpan,"YUVARLAMA",IF(AND($F397&lt;&gt;"Ba",$F397&lt;&gt;"Bs"),"TIP_KARISIK",IF($C397&gt;cbb_esikFark*cbb_donemCarpan,"DONEM",IF(LEN($D397)&lt;cbb_unvanMinLen,"UNVAN","TANIMSIZ"))))))</f>
        <v/>
      </c>
    </row>
    <row r="398">
      <c r="A398" s="26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IF($A398="","",IFERROR(INDEX(tblVeriA[Unvan],MATCH($A398,tblAnahtarA[Norm],0)),""))</f>
        <v/>
      </c>
      <c r="E398" s="16">
        <f>IF($A398="","",IFERROR(SUMIF(tblAnahtarB[NormB],$A398,tblVeriB[BelgeAdet]),0))</f>
        <v/>
      </c>
      <c r="F398" s="16">
        <f>IF($A398="","",IFERROR(INDEX(tblVeriB[FormTipi],MATCH($A398,tblAnahtarB[NormB],0)),""))</f>
        <v/>
      </c>
      <c r="G398" s="16">
        <f>IF($A398="","",IFERROR(INDEX(tblVeriA[Donem],MATCH($A398,tblAnahtarA[Norm],0)),""))</f>
        <v/>
      </c>
      <c r="H398" s="16">
        <f>IF(OR($A398="",$B398&lt;&gt;"tutar_farki"),"",IF($E398=0,"BELGE_EKSIK",IF($C398&lt;=toleransKurus*cbb_yuvarlamaCarpan,"YUVARLAMA",IF(AND($F398&lt;&gt;"Ba",$F398&lt;&gt;"Bs"),"TIP_KARISIK",IF($C398&gt;cbb_esikFark*cbb_donemCarpan,"DONEM",IF(LEN($D398)&lt;cbb_unvanMinLen,"UNVAN","TANIMSIZ"))))))</f>
        <v/>
      </c>
    </row>
    <row r="399">
      <c r="A399" s="26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IF($A399="","",IFERROR(INDEX(tblVeriA[Unvan],MATCH($A399,tblAnahtarA[Norm],0)),""))</f>
        <v/>
      </c>
      <c r="E399" s="16">
        <f>IF($A399="","",IFERROR(SUMIF(tblAnahtarB[NormB],$A399,tblVeriB[BelgeAdet]),0))</f>
        <v/>
      </c>
      <c r="F399" s="16">
        <f>IF($A399="","",IFERROR(INDEX(tblVeriB[FormTipi],MATCH($A399,tblAnahtarB[NormB],0)),""))</f>
        <v/>
      </c>
      <c r="G399" s="16">
        <f>IF($A399="","",IFERROR(INDEX(tblVeriA[Donem],MATCH($A399,tblAnahtarA[Norm],0)),""))</f>
        <v/>
      </c>
      <c r="H399" s="16">
        <f>IF(OR($A399="",$B399&lt;&gt;"tutar_farki"),"",IF($E399=0,"BELGE_EKSIK",IF($C399&lt;=toleransKurus*cbb_yuvarlamaCarpan,"YUVARLAMA",IF(AND($F399&lt;&gt;"Ba",$F399&lt;&gt;"Bs"),"TIP_KARISIK",IF($C399&gt;cbb_esikFark*cbb_donemCarpan,"DONEM",IF(LEN($D399)&lt;cbb_unvanMinLen,"UNVAN","TANIMSIZ"))))))</f>
        <v/>
      </c>
    </row>
    <row r="400">
      <c r="A400" s="26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IF($A400="","",IFERROR(INDEX(tblVeriA[Unvan],MATCH($A400,tblAnahtarA[Norm],0)),""))</f>
        <v/>
      </c>
      <c r="E400" s="16">
        <f>IF($A400="","",IFERROR(SUMIF(tblAnahtarB[NormB],$A400,tblVeriB[BelgeAdet]),0))</f>
        <v/>
      </c>
      <c r="F400" s="16">
        <f>IF($A400="","",IFERROR(INDEX(tblVeriB[FormTipi],MATCH($A400,tblAnahtarB[NormB],0)),""))</f>
        <v/>
      </c>
      <c r="G400" s="16">
        <f>IF($A400="","",IFERROR(INDEX(tblVeriA[Donem],MATCH($A400,tblAnahtarA[Norm],0)),""))</f>
        <v/>
      </c>
      <c r="H400" s="16">
        <f>IF(OR($A400="",$B400&lt;&gt;"tutar_farki"),"",IF($E400=0,"BELGE_EKSIK",IF($C400&lt;=toleransKurus*cbb_yuvarlamaCarpan,"YUVARLAMA",IF(AND($F400&lt;&gt;"Ba",$F400&lt;&gt;"Bs"),"TIP_KARISIK",IF($C400&gt;cbb_esikFark*cbb_donemCarpan,"DONEM",IF(LEN($D400)&lt;cbb_unvanMinLen,"UNVAN","TANIMSIZ"))))))</f>
        <v/>
      </c>
    </row>
    <row r="401">
      <c r="A401" s="26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IF($A401="","",IFERROR(INDEX(tblVeriA[Unvan],MATCH($A401,tblAnahtarA[Norm],0)),""))</f>
        <v/>
      </c>
      <c r="E401" s="16">
        <f>IF($A401="","",IFERROR(SUMIF(tblAnahtarB[NormB],$A401,tblVeriB[BelgeAdet]),0))</f>
        <v/>
      </c>
      <c r="F401" s="16">
        <f>IF($A401="","",IFERROR(INDEX(tblVeriB[FormTipi],MATCH($A401,tblAnahtarB[NormB],0)),""))</f>
        <v/>
      </c>
      <c r="G401" s="16">
        <f>IF($A401="","",IFERROR(INDEX(tblVeriA[Donem],MATCH($A401,tblAnahtarA[Norm],0)),""))</f>
        <v/>
      </c>
      <c r="H401" s="16">
        <f>IF(OR($A401="",$B401&lt;&gt;"tutar_farki"),"",IF($E401=0,"BELGE_EKSIK",IF($C401&lt;=toleransKurus*cbb_yuvarlamaCarpan,"YUVARLAMA",IF(AND($F401&lt;&gt;"Ba",$F401&lt;&gt;"Bs"),"TIP_KARISIK",IF($C401&gt;cbb_esikFark*cbb_donemCarpan,"DONEM",IF(LEN($D401)&lt;cbb_unvanMinLen,"UNVAN","TANIMSIZ"))))))</f>
        <v/>
      </c>
    </row>
    <row r="402">
      <c r="A402" s="26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IF($A402="","",IFERROR(INDEX(tblVeriA[Unvan],MATCH($A402,tblAnahtarA[Norm],0)),""))</f>
        <v/>
      </c>
      <c r="E402" s="16">
        <f>IF($A402="","",IFERROR(SUMIF(tblAnahtarB[NormB],$A402,tblVeriB[BelgeAdet]),0))</f>
        <v/>
      </c>
      <c r="F402" s="16">
        <f>IF($A402="","",IFERROR(INDEX(tblVeriB[FormTipi],MATCH($A402,tblAnahtarB[NormB],0)),""))</f>
        <v/>
      </c>
      <c r="G402" s="16">
        <f>IF($A402="","",IFERROR(INDEX(tblVeriA[Donem],MATCH($A402,tblAnahtarA[Norm],0)),""))</f>
        <v/>
      </c>
      <c r="H402" s="16">
        <f>IF(OR($A402="",$B402&lt;&gt;"tutar_farki"),"",IF($E402=0,"BELGE_EKSIK",IF($C402&lt;=toleransKurus*cbb_yuvarlamaCarpan,"YUVARLAMA",IF(AND($F402&lt;&gt;"Ba",$F402&lt;&gt;"Bs"),"TIP_KARISIK",IF($C402&gt;cbb_esikFark*cbb_donemCarpan,"DONEM",IF(LEN($D402)&lt;cbb_unvanMinLen,"UNVAN","TANIMSIZ"))))))</f>
        <v/>
      </c>
    </row>
    <row r="403">
      <c r="A403" s="26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IF($A403="","",IFERROR(INDEX(tblVeriA[Unvan],MATCH($A403,tblAnahtarA[Norm],0)),""))</f>
        <v/>
      </c>
      <c r="E403" s="16">
        <f>IF($A403="","",IFERROR(SUMIF(tblAnahtarB[NormB],$A403,tblVeriB[BelgeAdet]),0))</f>
        <v/>
      </c>
      <c r="F403" s="16">
        <f>IF($A403="","",IFERROR(INDEX(tblVeriB[FormTipi],MATCH($A403,tblAnahtarB[NormB],0)),""))</f>
        <v/>
      </c>
      <c r="G403" s="16">
        <f>IF($A403="","",IFERROR(INDEX(tblVeriA[Donem],MATCH($A403,tblAnahtarA[Norm],0)),""))</f>
        <v/>
      </c>
      <c r="H403" s="16">
        <f>IF(OR($A403="",$B403&lt;&gt;"tutar_farki"),"",IF($E403=0,"BELGE_EKSIK",IF($C403&lt;=toleransKurus*cbb_yuvarlamaCarpan,"YUVARLAMA",IF(AND($F403&lt;&gt;"Ba",$F403&lt;&gt;"Bs"),"TIP_KARISIK",IF($C403&gt;cbb_esikFark*cbb_donemCarpan,"DONEM",IF(LEN($D403)&lt;cbb_unvanMinLen,"UNVAN","TANIMSIZ"))))))</f>
        <v/>
      </c>
    </row>
    <row r="404">
      <c r="A404" s="26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IF($A404="","",IFERROR(INDEX(tblVeriA[Unvan],MATCH($A404,tblAnahtarA[Norm],0)),""))</f>
        <v/>
      </c>
      <c r="E404" s="16">
        <f>IF($A404="","",IFERROR(SUMIF(tblAnahtarB[NormB],$A404,tblVeriB[BelgeAdet]),0))</f>
        <v/>
      </c>
      <c r="F404" s="16">
        <f>IF($A404="","",IFERROR(INDEX(tblVeriB[FormTipi],MATCH($A404,tblAnahtarB[NormB],0)),""))</f>
        <v/>
      </c>
      <c r="G404" s="16">
        <f>IF($A404="","",IFERROR(INDEX(tblVeriA[Donem],MATCH($A404,tblAnahtarA[Norm],0)),""))</f>
        <v/>
      </c>
      <c r="H404" s="16">
        <f>IF(OR($A404="",$B404&lt;&gt;"tutar_farki"),"",IF($E404=0,"BELGE_EKSIK",IF($C404&lt;=toleransKurus*cbb_yuvarlamaCarpan,"YUVARLAMA",IF(AND($F404&lt;&gt;"Ba",$F404&lt;&gt;"Bs"),"TIP_KARISIK",IF($C404&gt;cbb_esikFark*cbb_donemCarpan,"DONEM",IF(LEN($D404)&lt;cbb_unvanMinLen,"UNVAN","TANIMSIZ"))))))</f>
        <v/>
      </c>
    </row>
    <row r="405">
      <c r="A405" s="26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IF($A405="","",IFERROR(INDEX(tblVeriA[Unvan],MATCH($A405,tblAnahtarA[Norm],0)),""))</f>
        <v/>
      </c>
      <c r="E405" s="16">
        <f>IF($A405="","",IFERROR(SUMIF(tblAnahtarB[NormB],$A405,tblVeriB[BelgeAdet]),0))</f>
        <v/>
      </c>
      <c r="F405" s="16">
        <f>IF($A405="","",IFERROR(INDEX(tblVeriB[FormTipi],MATCH($A405,tblAnahtarB[NormB],0)),""))</f>
        <v/>
      </c>
      <c r="G405" s="16">
        <f>IF($A405="","",IFERROR(INDEX(tblVeriA[Donem],MATCH($A405,tblAnahtarA[Norm],0)),""))</f>
        <v/>
      </c>
      <c r="H405" s="16">
        <f>IF(OR($A405="",$B405&lt;&gt;"tutar_farki"),"",IF($E405=0,"BELGE_EKSIK",IF($C405&lt;=toleransKurus*cbb_yuvarlamaCarpan,"YUVARLAMA",IF(AND($F405&lt;&gt;"Ba",$F405&lt;&gt;"Bs"),"TIP_KARISIK",IF($C405&gt;cbb_esikFark*cbb_donemCarpan,"DONEM",IF(LEN($D405)&lt;cbb_unvanMinLen,"UNVAN","TANIMSIZ"))))))</f>
        <v/>
      </c>
    </row>
    <row r="406">
      <c r="A406" s="26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IF($A406="","",IFERROR(INDEX(tblVeriA[Unvan],MATCH($A406,tblAnahtarA[Norm],0)),""))</f>
        <v/>
      </c>
      <c r="E406" s="16">
        <f>IF($A406="","",IFERROR(SUMIF(tblAnahtarB[NormB],$A406,tblVeriB[BelgeAdet]),0))</f>
        <v/>
      </c>
      <c r="F406" s="16">
        <f>IF($A406="","",IFERROR(INDEX(tblVeriB[FormTipi],MATCH($A406,tblAnahtarB[NormB],0)),""))</f>
        <v/>
      </c>
      <c r="G406" s="16">
        <f>IF($A406="","",IFERROR(INDEX(tblVeriA[Donem],MATCH($A406,tblAnahtarA[Norm],0)),""))</f>
        <v/>
      </c>
      <c r="H406" s="16">
        <f>IF(OR($A406="",$B406&lt;&gt;"tutar_farki"),"",IF($E406=0,"BELGE_EKSIK",IF($C406&lt;=toleransKurus*cbb_yuvarlamaCarpan,"YUVARLAMA",IF(AND($F406&lt;&gt;"Ba",$F406&lt;&gt;"Bs"),"TIP_KARISIK",IF($C406&gt;cbb_esikFark*cbb_donemCarpan,"DONEM",IF(LEN($D406)&lt;cbb_unvanMinLen,"UNVAN","TANIMSIZ"))))))</f>
        <v/>
      </c>
    </row>
    <row r="407">
      <c r="A407" s="26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IF($A407="","",IFERROR(INDEX(tblVeriA[Unvan],MATCH($A407,tblAnahtarA[Norm],0)),""))</f>
        <v/>
      </c>
      <c r="E407" s="16">
        <f>IF($A407="","",IFERROR(SUMIF(tblAnahtarB[NormB],$A407,tblVeriB[BelgeAdet]),0))</f>
        <v/>
      </c>
      <c r="F407" s="16">
        <f>IF($A407="","",IFERROR(INDEX(tblVeriB[FormTipi],MATCH($A407,tblAnahtarB[NormB],0)),""))</f>
        <v/>
      </c>
      <c r="G407" s="16">
        <f>IF($A407="","",IFERROR(INDEX(tblVeriA[Donem],MATCH($A407,tblAnahtarA[Norm],0)),""))</f>
        <v/>
      </c>
      <c r="H407" s="16">
        <f>IF(OR($A407="",$B407&lt;&gt;"tutar_farki"),"",IF($E407=0,"BELGE_EKSIK",IF($C407&lt;=toleransKurus*cbb_yuvarlamaCarpan,"YUVARLAMA",IF(AND($F407&lt;&gt;"Ba",$F407&lt;&gt;"Bs"),"TIP_KARISIK",IF($C407&gt;cbb_esikFark*cbb_donemCarpan,"DONEM",IF(LEN($D407)&lt;cbb_unvanMinLen,"UNVAN","TANIMSIZ"))))))</f>
        <v/>
      </c>
    </row>
    <row r="408">
      <c r="A408" s="26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IF($A408="","",IFERROR(INDEX(tblVeriA[Unvan],MATCH($A408,tblAnahtarA[Norm],0)),""))</f>
        <v/>
      </c>
      <c r="E408" s="16">
        <f>IF($A408="","",IFERROR(SUMIF(tblAnahtarB[NormB],$A408,tblVeriB[BelgeAdet]),0))</f>
        <v/>
      </c>
      <c r="F408" s="16">
        <f>IF($A408="","",IFERROR(INDEX(tblVeriB[FormTipi],MATCH($A408,tblAnahtarB[NormB],0)),""))</f>
        <v/>
      </c>
      <c r="G408" s="16">
        <f>IF($A408="","",IFERROR(INDEX(tblVeriA[Donem],MATCH($A408,tblAnahtarA[Norm],0)),""))</f>
        <v/>
      </c>
      <c r="H408" s="16">
        <f>IF(OR($A408="",$B408&lt;&gt;"tutar_farki"),"",IF($E408=0,"BELGE_EKSIK",IF($C408&lt;=toleransKurus*cbb_yuvarlamaCarpan,"YUVARLAMA",IF(AND($F408&lt;&gt;"Ba",$F408&lt;&gt;"Bs"),"TIP_KARISIK",IF($C408&gt;cbb_esikFark*cbb_donemCarpan,"DONEM",IF(LEN($D408)&lt;cbb_unvanMinLen,"UNVAN","TANIMSIZ"))))))</f>
        <v/>
      </c>
    </row>
    <row r="409">
      <c r="A409" s="26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IF($A409="","",IFERROR(INDEX(tblVeriA[Unvan],MATCH($A409,tblAnahtarA[Norm],0)),""))</f>
        <v/>
      </c>
      <c r="E409" s="16">
        <f>IF($A409="","",IFERROR(SUMIF(tblAnahtarB[NormB],$A409,tblVeriB[BelgeAdet]),0))</f>
        <v/>
      </c>
      <c r="F409" s="16">
        <f>IF($A409="","",IFERROR(INDEX(tblVeriB[FormTipi],MATCH($A409,tblAnahtarB[NormB],0)),""))</f>
        <v/>
      </c>
      <c r="G409" s="16">
        <f>IF($A409="","",IFERROR(INDEX(tblVeriA[Donem],MATCH($A409,tblAnahtarA[Norm],0)),""))</f>
        <v/>
      </c>
      <c r="H409" s="16">
        <f>IF(OR($A409="",$B409&lt;&gt;"tutar_farki"),"",IF($E409=0,"BELGE_EKSIK",IF($C409&lt;=toleransKurus*cbb_yuvarlamaCarpan,"YUVARLAMA",IF(AND($F409&lt;&gt;"Ba",$F409&lt;&gt;"Bs"),"TIP_KARISIK",IF($C409&gt;cbb_esikFark*cbb_donemCarpan,"DONEM",IF(LEN($D409)&lt;cbb_unvanMinLen,"UNVAN","TANIMSIZ"))))))</f>
        <v/>
      </c>
    </row>
    <row r="410">
      <c r="A410" s="26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IF($A410="","",IFERROR(INDEX(tblVeriA[Unvan],MATCH($A410,tblAnahtarA[Norm],0)),""))</f>
        <v/>
      </c>
      <c r="E410" s="16">
        <f>IF($A410="","",IFERROR(SUMIF(tblAnahtarB[NormB],$A410,tblVeriB[BelgeAdet]),0))</f>
        <v/>
      </c>
      <c r="F410" s="16">
        <f>IF($A410="","",IFERROR(INDEX(tblVeriB[FormTipi],MATCH($A410,tblAnahtarB[NormB],0)),""))</f>
        <v/>
      </c>
      <c r="G410" s="16">
        <f>IF($A410="","",IFERROR(INDEX(tblVeriA[Donem],MATCH($A410,tblAnahtarA[Norm],0)),""))</f>
        <v/>
      </c>
      <c r="H410" s="16">
        <f>IF(OR($A410="",$B410&lt;&gt;"tutar_farki"),"",IF($E410=0,"BELGE_EKSIK",IF($C410&lt;=toleransKurus*cbb_yuvarlamaCarpan,"YUVARLAMA",IF(AND($F410&lt;&gt;"Ba",$F410&lt;&gt;"Bs"),"TIP_KARISIK",IF($C410&gt;cbb_esikFark*cbb_donemCarpan,"DONEM",IF(LEN($D410)&lt;cbb_unvanMinLen,"UNVAN","TANIMSIZ"))))))</f>
        <v/>
      </c>
    </row>
    <row r="411">
      <c r="A411" s="26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IF($A411="","",IFERROR(INDEX(tblVeriA[Unvan],MATCH($A411,tblAnahtarA[Norm],0)),""))</f>
        <v/>
      </c>
      <c r="E411" s="16">
        <f>IF($A411="","",IFERROR(SUMIF(tblAnahtarB[NormB],$A411,tblVeriB[BelgeAdet]),0))</f>
        <v/>
      </c>
      <c r="F411" s="16">
        <f>IF($A411="","",IFERROR(INDEX(tblVeriB[FormTipi],MATCH($A411,tblAnahtarB[NormB],0)),""))</f>
        <v/>
      </c>
      <c r="G411" s="16">
        <f>IF($A411="","",IFERROR(INDEX(tblVeriA[Donem],MATCH($A411,tblAnahtarA[Norm],0)),""))</f>
        <v/>
      </c>
      <c r="H411" s="16">
        <f>IF(OR($A411="",$B411&lt;&gt;"tutar_farki"),"",IF($E411=0,"BELGE_EKSIK",IF($C411&lt;=toleransKurus*cbb_yuvarlamaCarpan,"YUVARLAMA",IF(AND($F411&lt;&gt;"Ba",$F411&lt;&gt;"Bs"),"TIP_KARISIK",IF($C411&gt;cbb_esikFark*cbb_donemCarpan,"DONEM",IF(LEN($D411)&lt;cbb_unvanMinLen,"UNVAN","TANIMSIZ"))))))</f>
        <v/>
      </c>
    </row>
    <row r="412">
      <c r="A412" s="26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IF($A412="","",IFERROR(INDEX(tblVeriA[Unvan],MATCH($A412,tblAnahtarA[Norm],0)),""))</f>
        <v/>
      </c>
      <c r="E412" s="16">
        <f>IF($A412="","",IFERROR(SUMIF(tblAnahtarB[NormB],$A412,tblVeriB[BelgeAdet]),0))</f>
        <v/>
      </c>
      <c r="F412" s="16">
        <f>IF($A412="","",IFERROR(INDEX(tblVeriB[FormTipi],MATCH($A412,tblAnahtarB[NormB],0)),""))</f>
        <v/>
      </c>
      <c r="G412" s="16">
        <f>IF($A412="","",IFERROR(INDEX(tblVeriA[Donem],MATCH($A412,tblAnahtarA[Norm],0)),""))</f>
        <v/>
      </c>
      <c r="H412" s="16">
        <f>IF(OR($A412="",$B412&lt;&gt;"tutar_farki"),"",IF($E412=0,"BELGE_EKSIK",IF($C412&lt;=toleransKurus*cbb_yuvarlamaCarpan,"YUVARLAMA",IF(AND($F412&lt;&gt;"Ba",$F412&lt;&gt;"Bs"),"TIP_KARISIK",IF($C412&gt;cbb_esikFark*cbb_donemCarpan,"DONEM",IF(LEN($D412)&lt;cbb_unvanMinLen,"UNVAN","TANIMSIZ"))))))</f>
        <v/>
      </c>
    </row>
    <row r="413">
      <c r="A413" s="26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IF($A413="","",IFERROR(INDEX(tblVeriA[Unvan],MATCH($A413,tblAnahtarA[Norm],0)),""))</f>
        <v/>
      </c>
      <c r="E413" s="16">
        <f>IF($A413="","",IFERROR(SUMIF(tblAnahtarB[NormB],$A413,tblVeriB[BelgeAdet]),0))</f>
        <v/>
      </c>
      <c r="F413" s="16">
        <f>IF($A413="","",IFERROR(INDEX(tblVeriB[FormTipi],MATCH($A413,tblAnahtarB[NormB],0)),""))</f>
        <v/>
      </c>
      <c r="G413" s="16">
        <f>IF($A413="","",IFERROR(INDEX(tblVeriA[Donem],MATCH($A413,tblAnahtarA[Norm],0)),""))</f>
        <v/>
      </c>
      <c r="H413" s="16">
        <f>IF(OR($A413="",$B413&lt;&gt;"tutar_farki"),"",IF($E413=0,"BELGE_EKSIK",IF($C413&lt;=toleransKurus*cbb_yuvarlamaCarpan,"YUVARLAMA",IF(AND($F413&lt;&gt;"Ba",$F413&lt;&gt;"Bs"),"TIP_KARISIK",IF($C413&gt;cbb_esikFark*cbb_donemCarpan,"DONEM",IF(LEN($D413)&lt;cbb_unvanMinLen,"UNVAN","TANIMSIZ"))))))</f>
        <v/>
      </c>
    </row>
    <row r="414">
      <c r="A414" s="26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IF($A414="","",IFERROR(INDEX(tblVeriA[Unvan],MATCH($A414,tblAnahtarA[Norm],0)),""))</f>
        <v/>
      </c>
      <c r="E414" s="16">
        <f>IF($A414="","",IFERROR(SUMIF(tblAnahtarB[NormB],$A414,tblVeriB[BelgeAdet]),0))</f>
        <v/>
      </c>
      <c r="F414" s="16">
        <f>IF($A414="","",IFERROR(INDEX(tblVeriB[FormTipi],MATCH($A414,tblAnahtarB[NormB],0)),""))</f>
        <v/>
      </c>
      <c r="G414" s="16">
        <f>IF($A414="","",IFERROR(INDEX(tblVeriA[Donem],MATCH($A414,tblAnahtarA[Norm],0)),""))</f>
        <v/>
      </c>
      <c r="H414" s="16">
        <f>IF(OR($A414="",$B414&lt;&gt;"tutar_farki"),"",IF($E414=0,"BELGE_EKSIK",IF($C414&lt;=toleransKurus*cbb_yuvarlamaCarpan,"YUVARLAMA",IF(AND($F414&lt;&gt;"Ba",$F414&lt;&gt;"Bs"),"TIP_KARISIK",IF($C414&gt;cbb_esikFark*cbb_donemCarpan,"DONEM",IF(LEN($D414)&lt;cbb_unvanMinLen,"UNVAN","TANIMSIZ"))))))</f>
        <v/>
      </c>
    </row>
    <row r="415">
      <c r="A415" s="26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IF($A415="","",IFERROR(INDEX(tblVeriA[Unvan],MATCH($A415,tblAnahtarA[Norm],0)),""))</f>
        <v/>
      </c>
      <c r="E415" s="16">
        <f>IF($A415="","",IFERROR(SUMIF(tblAnahtarB[NormB],$A415,tblVeriB[BelgeAdet]),0))</f>
        <v/>
      </c>
      <c r="F415" s="16">
        <f>IF($A415="","",IFERROR(INDEX(tblVeriB[FormTipi],MATCH($A415,tblAnahtarB[NormB],0)),""))</f>
        <v/>
      </c>
      <c r="G415" s="16">
        <f>IF($A415="","",IFERROR(INDEX(tblVeriA[Donem],MATCH($A415,tblAnahtarA[Norm],0)),""))</f>
        <v/>
      </c>
      <c r="H415" s="16">
        <f>IF(OR($A415="",$B415&lt;&gt;"tutar_farki"),"",IF($E415=0,"BELGE_EKSIK",IF($C415&lt;=toleransKurus*cbb_yuvarlamaCarpan,"YUVARLAMA",IF(AND($F415&lt;&gt;"Ba",$F415&lt;&gt;"Bs"),"TIP_KARISIK",IF($C415&gt;cbb_esikFark*cbb_donemCarpan,"DONEM",IF(LEN($D415)&lt;cbb_unvanMinLen,"UNVAN","TANIMSIZ"))))))</f>
        <v/>
      </c>
    </row>
    <row r="416">
      <c r="A416" s="26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IF($A416="","",IFERROR(INDEX(tblVeriA[Unvan],MATCH($A416,tblAnahtarA[Norm],0)),""))</f>
        <v/>
      </c>
      <c r="E416" s="16">
        <f>IF($A416="","",IFERROR(SUMIF(tblAnahtarB[NormB],$A416,tblVeriB[BelgeAdet]),0))</f>
        <v/>
      </c>
      <c r="F416" s="16">
        <f>IF($A416="","",IFERROR(INDEX(tblVeriB[FormTipi],MATCH($A416,tblAnahtarB[NormB],0)),""))</f>
        <v/>
      </c>
      <c r="G416" s="16">
        <f>IF($A416="","",IFERROR(INDEX(tblVeriA[Donem],MATCH($A416,tblAnahtarA[Norm],0)),""))</f>
        <v/>
      </c>
      <c r="H416" s="16">
        <f>IF(OR($A416="",$B416&lt;&gt;"tutar_farki"),"",IF($E416=0,"BELGE_EKSIK",IF($C416&lt;=toleransKurus*cbb_yuvarlamaCarpan,"YUVARLAMA",IF(AND($F416&lt;&gt;"Ba",$F416&lt;&gt;"Bs"),"TIP_KARISIK",IF($C416&gt;cbb_esikFark*cbb_donemCarpan,"DONEM",IF(LEN($D416)&lt;cbb_unvanMinLen,"UNVAN","TANIMSIZ"))))))</f>
        <v/>
      </c>
    </row>
    <row r="417">
      <c r="A417" s="26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IF($A417="","",IFERROR(INDEX(tblVeriA[Unvan],MATCH($A417,tblAnahtarA[Norm],0)),""))</f>
        <v/>
      </c>
      <c r="E417" s="16">
        <f>IF($A417="","",IFERROR(SUMIF(tblAnahtarB[NormB],$A417,tblVeriB[BelgeAdet]),0))</f>
        <v/>
      </c>
      <c r="F417" s="16">
        <f>IF($A417="","",IFERROR(INDEX(tblVeriB[FormTipi],MATCH($A417,tblAnahtarB[NormB],0)),""))</f>
        <v/>
      </c>
      <c r="G417" s="16">
        <f>IF($A417="","",IFERROR(INDEX(tblVeriA[Donem],MATCH($A417,tblAnahtarA[Norm],0)),""))</f>
        <v/>
      </c>
      <c r="H417" s="16">
        <f>IF(OR($A417="",$B417&lt;&gt;"tutar_farki"),"",IF($E417=0,"BELGE_EKSIK",IF($C417&lt;=toleransKurus*cbb_yuvarlamaCarpan,"YUVARLAMA",IF(AND($F417&lt;&gt;"Ba",$F417&lt;&gt;"Bs"),"TIP_KARISIK",IF($C417&gt;cbb_esikFark*cbb_donemCarpan,"DONEM",IF(LEN($D417)&lt;cbb_unvanMinLen,"UNVAN","TANIMSIZ"))))))</f>
        <v/>
      </c>
    </row>
    <row r="418">
      <c r="A418" s="26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IF($A418="","",IFERROR(INDEX(tblVeriA[Unvan],MATCH($A418,tblAnahtarA[Norm],0)),""))</f>
        <v/>
      </c>
      <c r="E418" s="16">
        <f>IF($A418="","",IFERROR(SUMIF(tblAnahtarB[NormB],$A418,tblVeriB[BelgeAdet]),0))</f>
        <v/>
      </c>
      <c r="F418" s="16">
        <f>IF($A418="","",IFERROR(INDEX(tblVeriB[FormTipi],MATCH($A418,tblAnahtarB[NormB],0)),""))</f>
        <v/>
      </c>
      <c r="G418" s="16">
        <f>IF($A418="","",IFERROR(INDEX(tblVeriA[Donem],MATCH($A418,tblAnahtarA[Norm],0)),""))</f>
        <v/>
      </c>
      <c r="H418" s="16">
        <f>IF(OR($A418="",$B418&lt;&gt;"tutar_farki"),"",IF($E418=0,"BELGE_EKSIK",IF($C418&lt;=toleransKurus*cbb_yuvarlamaCarpan,"YUVARLAMA",IF(AND($F418&lt;&gt;"Ba",$F418&lt;&gt;"Bs"),"TIP_KARISIK",IF($C418&gt;cbb_esikFark*cbb_donemCarpan,"DONEM",IF(LEN($D418)&lt;cbb_unvanMinLen,"UNVAN","TANIMSIZ"))))))</f>
        <v/>
      </c>
    </row>
    <row r="419">
      <c r="A419" s="26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IF($A419="","",IFERROR(INDEX(tblVeriA[Unvan],MATCH($A419,tblAnahtarA[Norm],0)),""))</f>
        <v/>
      </c>
      <c r="E419" s="16">
        <f>IF($A419="","",IFERROR(SUMIF(tblAnahtarB[NormB],$A419,tblVeriB[BelgeAdet]),0))</f>
        <v/>
      </c>
      <c r="F419" s="16">
        <f>IF($A419="","",IFERROR(INDEX(tblVeriB[FormTipi],MATCH($A419,tblAnahtarB[NormB],0)),""))</f>
        <v/>
      </c>
      <c r="G419" s="16">
        <f>IF($A419="","",IFERROR(INDEX(tblVeriA[Donem],MATCH($A419,tblAnahtarA[Norm],0)),""))</f>
        <v/>
      </c>
      <c r="H419" s="16">
        <f>IF(OR($A419="",$B419&lt;&gt;"tutar_farki"),"",IF($E419=0,"BELGE_EKSIK",IF($C419&lt;=toleransKurus*cbb_yuvarlamaCarpan,"YUVARLAMA",IF(AND($F419&lt;&gt;"Ba",$F419&lt;&gt;"Bs"),"TIP_KARISIK",IF($C419&gt;cbb_esikFark*cbb_donemCarpan,"DONEM",IF(LEN($D419)&lt;cbb_unvanMinLen,"UNVAN","TANIMSIZ"))))))</f>
        <v/>
      </c>
    </row>
    <row r="420">
      <c r="A420" s="26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IF($A420="","",IFERROR(INDEX(tblVeriA[Unvan],MATCH($A420,tblAnahtarA[Norm],0)),""))</f>
        <v/>
      </c>
      <c r="E420" s="16">
        <f>IF($A420="","",IFERROR(SUMIF(tblAnahtarB[NormB],$A420,tblVeriB[BelgeAdet]),0))</f>
        <v/>
      </c>
      <c r="F420" s="16">
        <f>IF($A420="","",IFERROR(INDEX(tblVeriB[FormTipi],MATCH($A420,tblAnahtarB[NormB],0)),""))</f>
        <v/>
      </c>
      <c r="G420" s="16">
        <f>IF($A420="","",IFERROR(INDEX(tblVeriA[Donem],MATCH($A420,tblAnahtarA[Norm],0)),""))</f>
        <v/>
      </c>
      <c r="H420" s="16">
        <f>IF(OR($A420="",$B420&lt;&gt;"tutar_farki"),"",IF($E420=0,"BELGE_EKSIK",IF($C420&lt;=toleransKurus*cbb_yuvarlamaCarpan,"YUVARLAMA",IF(AND($F420&lt;&gt;"Ba",$F420&lt;&gt;"Bs"),"TIP_KARISIK",IF($C420&gt;cbb_esikFark*cbb_donemCarpan,"DONEM",IF(LEN($D420)&lt;cbb_unvanMinLen,"UNVAN","TANIMSIZ"))))))</f>
        <v/>
      </c>
    </row>
    <row r="421">
      <c r="A421" s="26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IF($A421="","",IFERROR(INDEX(tblVeriA[Unvan],MATCH($A421,tblAnahtarA[Norm],0)),""))</f>
        <v/>
      </c>
      <c r="E421" s="16">
        <f>IF($A421="","",IFERROR(SUMIF(tblAnahtarB[NormB],$A421,tblVeriB[BelgeAdet]),0))</f>
        <v/>
      </c>
      <c r="F421" s="16">
        <f>IF($A421="","",IFERROR(INDEX(tblVeriB[FormTipi],MATCH($A421,tblAnahtarB[NormB],0)),""))</f>
        <v/>
      </c>
      <c r="G421" s="16">
        <f>IF($A421="","",IFERROR(INDEX(tblVeriA[Donem],MATCH($A421,tblAnahtarA[Norm],0)),""))</f>
        <v/>
      </c>
      <c r="H421" s="16">
        <f>IF(OR($A421="",$B421&lt;&gt;"tutar_farki"),"",IF($E421=0,"BELGE_EKSIK",IF($C421&lt;=toleransKurus*cbb_yuvarlamaCarpan,"YUVARLAMA",IF(AND($F421&lt;&gt;"Ba",$F421&lt;&gt;"Bs"),"TIP_KARISIK",IF($C421&gt;cbb_esikFark*cbb_donemCarpan,"DONEM",IF(LEN($D421)&lt;cbb_unvanMinLen,"UNVAN","TANIMSIZ"))))))</f>
        <v/>
      </c>
    </row>
    <row r="422">
      <c r="A422" s="26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IF($A422="","",IFERROR(INDEX(tblVeriA[Unvan],MATCH($A422,tblAnahtarA[Norm],0)),""))</f>
        <v/>
      </c>
      <c r="E422" s="16">
        <f>IF($A422="","",IFERROR(SUMIF(tblAnahtarB[NormB],$A422,tblVeriB[BelgeAdet]),0))</f>
        <v/>
      </c>
      <c r="F422" s="16">
        <f>IF($A422="","",IFERROR(INDEX(tblVeriB[FormTipi],MATCH($A422,tblAnahtarB[NormB],0)),""))</f>
        <v/>
      </c>
      <c r="G422" s="16">
        <f>IF($A422="","",IFERROR(INDEX(tblVeriA[Donem],MATCH($A422,tblAnahtarA[Norm],0)),""))</f>
        <v/>
      </c>
      <c r="H422" s="16">
        <f>IF(OR($A422="",$B422&lt;&gt;"tutar_farki"),"",IF($E422=0,"BELGE_EKSIK",IF($C422&lt;=toleransKurus*cbb_yuvarlamaCarpan,"YUVARLAMA",IF(AND($F422&lt;&gt;"Ba",$F422&lt;&gt;"Bs"),"TIP_KARISIK",IF($C422&gt;cbb_esikFark*cbb_donemCarpan,"DONEM",IF(LEN($D422)&lt;cbb_unvanMinLen,"UNVAN","TANIMSIZ"))))))</f>
        <v/>
      </c>
    </row>
    <row r="423">
      <c r="A423" s="26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IF($A423="","",IFERROR(INDEX(tblVeriA[Unvan],MATCH($A423,tblAnahtarA[Norm],0)),""))</f>
        <v/>
      </c>
      <c r="E423" s="16">
        <f>IF($A423="","",IFERROR(SUMIF(tblAnahtarB[NormB],$A423,tblVeriB[BelgeAdet]),0))</f>
        <v/>
      </c>
      <c r="F423" s="16">
        <f>IF($A423="","",IFERROR(INDEX(tblVeriB[FormTipi],MATCH($A423,tblAnahtarB[NormB],0)),""))</f>
        <v/>
      </c>
      <c r="G423" s="16">
        <f>IF($A423="","",IFERROR(INDEX(tblVeriA[Donem],MATCH($A423,tblAnahtarA[Norm],0)),""))</f>
        <v/>
      </c>
      <c r="H423" s="16">
        <f>IF(OR($A423="",$B423&lt;&gt;"tutar_farki"),"",IF($E423=0,"BELGE_EKSIK",IF($C423&lt;=toleransKurus*cbb_yuvarlamaCarpan,"YUVARLAMA",IF(AND($F423&lt;&gt;"Ba",$F423&lt;&gt;"Bs"),"TIP_KARISIK",IF($C423&gt;cbb_esikFark*cbb_donemCarpan,"DONEM",IF(LEN($D423)&lt;cbb_unvanMinLen,"UNVAN","TANIMSIZ"))))))</f>
        <v/>
      </c>
    </row>
    <row r="424">
      <c r="A424" s="26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IF($A424="","",IFERROR(INDEX(tblVeriA[Unvan],MATCH($A424,tblAnahtarA[Norm],0)),""))</f>
        <v/>
      </c>
      <c r="E424" s="16">
        <f>IF($A424="","",IFERROR(SUMIF(tblAnahtarB[NormB],$A424,tblVeriB[BelgeAdet]),0))</f>
        <v/>
      </c>
      <c r="F424" s="16">
        <f>IF($A424="","",IFERROR(INDEX(tblVeriB[FormTipi],MATCH($A424,tblAnahtarB[NormB],0)),""))</f>
        <v/>
      </c>
      <c r="G424" s="16">
        <f>IF($A424="","",IFERROR(INDEX(tblVeriA[Donem],MATCH($A424,tblAnahtarA[Norm],0)),""))</f>
        <v/>
      </c>
      <c r="H424" s="16">
        <f>IF(OR($A424="",$B424&lt;&gt;"tutar_farki"),"",IF($E424=0,"BELGE_EKSIK",IF($C424&lt;=toleransKurus*cbb_yuvarlamaCarpan,"YUVARLAMA",IF(AND($F424&lt;&gt;"Ba",$F424&lt;&gt;"Bs"),"TIP_KARISIK",IF($C424&gt;cbb_esikFark*cbb_donemCarpan,"DONEM",IF(LEN($D424)&lt;cbb_unvanMinLen,"UNVAN","TANIMSIZ"))))))</f>
        <v/>
      </c>
    </row>
    <row r="425">
      <c r="A425" s="26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IF($A425="","",IFERROR(INDEX(tblVeriA[Unvan],MATCH($A425,tblAnahtarA[Norm],0)),""))</f>
        <v/>
      </c>
      <c r="E425" s="16">
        <f>IF($A425="","",IFERROR(SUMIF(tblAnahtarB[NormB],$A425,tblVeriB[BelgeAdet]),0))</f>
        <v/>
      </c>
      <c r="F425" s="16">
        <f>IF($A425="","",IFERROR(INDEX(tblVeriB[FormTipi],MATCH($A425,tblAnahtarB[NormB],0)),""))</f>
        <v/>
      </c>
      <c r="G425" s="16">
        <f>IF($A425="","",IFERROR(INDEX(tblVeriA[Donem],MATCH($A425,tblAnahtarA[Norm],0)),""))</f>
        <v/>
      </c>
      <c r="H425" s="16">
        <f>IF(OR($A425="",$B425&lt;&gt;"tutar_farki"),"",IF($E425=0,"BELGE_EKSIK",IF($C425&lt;=toleransKurus*cbb_yuvarlamaCarpan,"YUVARLAMA",IF(AND($F425&lt;&gt;"Ba",$F425&lt;&gt;"Bs"),"TIP_KARISIK",IF($C425&gt;cbb_esikFark*cbb_donemCarpan,"DONEM",IF(LEN($D425)&lt;cbb_unvanMinLen,"UNVAN","TANIMSIZ"))))))</f>
        <v/>
      </c>
    </row>
    <row r="426">
      <c r="A426" s="26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IF($A426="","",IFERROR(INDEX(tblVeriA[Unvan],MATCH($A426,tblAnahtarA[Norm],0)),""))</f>
        <v/>
      </c>
      <c r="E426" s="16">
        <f>IF($A426="","",IFERROR(SUMIF(tblAnahtarB[NormB],$A426,tblVeriB[BelgeAdet]),0))</f>
        <v/>
      </c>
      <c r="F426" s="16">
        <f>IF($A426="","",IFERROR(INDEX(tblVeriB[FormTipi],MATCH($A426,tblAnahtarB[NormB],0)),""))</f>
        <v/>
      </c>
      <c r="G426" s="16">
        <f>IF($A426="","",IFERROR(INDEX(tblVeriA[Donem],MATCH($A426,tblAnahtarA[Norm],0)),""))</f>
        <v/>
      </c>
      <c r="H426" s="16">
        <f>IF(OR($A426="",$B426&lt;&gt;"tutar_farki"),"",IF($E426=0,"BELGE_EKSIK",IF($C426&lt;=toleransKurus*cbb_yuvarlamaCarpan,"YUVARLAMA",IF(AND($F426&lt;&gt;"Ba",$F426&lt;&gt;"Bs"),"TIP_KARISIK",IF($C426&gt;cbb_esikFark*cbb_donemCarpan,"DONEM",IF(LEN($D426)&lt;cbb_unvanMinLen,"UNVAN","TANIMSIZ"))))))</f>
        <v/>
      </c>
    </row>
    <row r="427">
      <c r="A427" s="26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IF($A427="","",IFERROR(INDEX(tblVeriA[Unvan],MATCH($A427,tblAnahtarA[Norm],0)),""))</f>
        <v/>
      </c>
      <c r="E427" s="16">
        <f>IF($A427="","",IFERROR(SUMIF(tblAnahtarB[NormB],$A427,tblVeriB[BelgeAdet]),0))</f>
        <v/>
      </c>
      <c r="F427" s="16">
        <f>IF($A427="","",IFERROR(INDEX(tblVeriB[FormTipi],MATCH($A427,tblAnahtarB[NormB],0)),""))</f>
        <v/>
      </c>
      <c r="G427" s="16">
        <f>IF($A427="","",IFERROR(INDEX(tblVeriA[Donem],MATCH($A427,tblAnahtarA[Norm],0)),""))</f>
        <v/>
      </c>
      <c r="H427" s="16">
        <f>IF(OR($A427="",$B427&lt;&gt;"tutar_farki"),"",IF($E427=0,"BELGE_EKSIK",IF($C427&lt;=toleransKurus*cbb_yuvarlamaCarpan,"YUVARLAMA",IF(AND($F427&lt;&gt;"Ba",$F427&lt;&gt;"Bs"),"TIP_KARISIK",IF($C427&gt;cbb_esikFark*cbb_donemCarpan,"DONEM",IF(LEN($D427)&lt;cbb_unvanMinLen,"UNVAN","TANIMSIZ"))))))</f>
        <v/>
      </c>
    </row>
    <row r="428">
      <c r="A428" s="26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IF($A428="","",IFERROR(INDEX(tblVeriA[Unvan],MATCH($A428,tblAnahtarA[Norm],0)),""))</f>
        <v/>
      </c>
      <c r="E428" s="16">
        <f>IF($A428="","",IFERROR(SUMIF(tblAnahtarB[NormB],$A428,tblVeriB[BelgeAdet]),0))</f>
        <v/>
      </c>
      <c r="F428" s="16">
        <f>IF($A428="","",IFERROR(INDEX(tblVeriB[FormTipi],MATCH($A428,tblAnahtarB[NormB],0)),""))</f>
        <v/>
      </c>
      <c r="G428" s="16">
        <f>IF($A428="","",IFERROR(INDEX(tblVeriA[Donem],MATCH($A428,tblAnahtarA[Norm],0)),""))</f>
        <v/>
      </c>
      <c r="H428" s="16">
        <f>IF(OR($A428="",$B428&lt;&gt;"tutar_farki"),"",IF($E428=0,"BELGE_EKSIK",IF($C428&lt;=toleransKurus*cbb_yuvarlamaCarpan,"YUVARLAMA",IF(AND($F428&lt;&gt;"Ba",$F428&lt;&gt;"Bs"),"TIP_KARISIK",IF($C428&gt;cbb_esikFark*cbb_donemCarpan,"DONEM",IF(LEN($D428)&lt;cbb_unvanMinLen,"UNVAN","TANIMSIZ"))))))</f>
        <v/>
      </c>
    </row>
    <row r="429">
      <c r="A429" s="26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IF($A429="","",IFERROR(INDEX(tblVeriA[Unvan],MATCH($A429,tblAnahtarA[Norm],0)),""))</f>
        <v/>
      </c>
      <c r="E429" s="16">
        <f>IF($A429="","",IFERROR(SUMIF(tblAnahtarB[NormB],$A429,tblVeriB[BelgeAdet]),0))</f>
        <v/>
      </c>
      <c r="F429" s="16">
        <f>IF($A429="","",IFERROR(INDEX(tblVeriB[FormTipi],MATCH($A429,tblAnahtarB[NormB],0)),""))</f>
        <v/>
      </c>
      <c r="G429" s="16">
        <f>IF($A429="","",IFERROR(INDEX(tblVeriA[Donem],MATCH($A429,tblAnahtarA[Norm],0)),""))</f>
        <v/>
      </c>
      <c r="H429" s="16">
        <f>IF(OR($A429="",$B429&lt;&gt;"tutar_farki"),"",IF($E429=0,"BELGE_EKSIK",IF($C429&lt;=toleransKurus*cbb_yuvarlamaCarpan,"YUVARLAMA",IF(AND($F429&lt;&gt;"Ba",$F429&lt;&gt;"Bs"),"TIP_KARISIK",IF($C429&gt;cbb_esikFark*cbb_donemCarpan,"DONEM",IF(LEN($D429)&lt;cbb_unvanMinLen,"UNVAN","TANIMSIZ"))))))</f>
        <v/>
      </c>
    </row>
    <row r="430">
      <c r="A430" s="26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IF($A430="","",IFERROR(INDEX(tblVeriA[Unvan],MATCH($A430,tblAnahtarA[Norm],0)),""))</f>
        <v/>
      </c>
      <c r="E430" s="16">
        <f>IF($A430="","",IFERROR(SUMIF(tblAnahtarB[NormB],$A430,tblVeriB[BelgeAdet]),0))</f>
        <v/>
      </c>
      <c r="F430" s="16">
        <f>IF($A430="","",IFERROR(INDEX(tblVeriB[FormTipi],MATCH($A430,tblAnahtarB[NormB],0)),""))</f>
        <v/>
      </c>
      <c r="G430" s="16">
        <f>IF($A430="","",IFERROR(INDEX(tblVeriA[Donem],MATCH($A430,tblAnahtarA[Norm],0)),""))</f>
        <v/>
      </c>
      <c r="H430" s="16">
        <f>IF(OR($A430="",$B430&lt;&gt;"tutar_farki"),"",IF($E430=0,"BELGE_EKSIK",IF($C430&lt;=toleransKurus*cbb_yuvarlamaCarpan,"YUVARLAMA",IF(AND($F430&lt;&gt;"Ba",$F430&lt;&gt;"Bs"),"TIP_KARISIK",IF($C430&gt;cbb_esikFark*cbb_donemCarpan,"DONEM",IF(LEN($D430)&lt;cbb_unvanMinLen,"UNVAN","TANIMSIZ"))))))</f>
        <v/>
      </c>
    </row>
    <row r="431">
      <c r="A431" s="26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IF($A431="","",IFERROR(INDEX(tblVeriA[Unvan],MATCH($A431,tblAnahtarA[Norm],0)),""))</f>
        <v/>
      </c>
      <c r="E431" s="16">
        <f>IF($A431="","",IFERROR(SUMIF(tblAnahtarB[NormB],$A431,tblVeriB[BelgeAdet]),0))</f>
        <v/>
      </c>
      <c r="F431" s="16">
        <f>IF($A431="","",IFERROR(INDEX(tblVeriB[FormTipi],MATCH($A431,tblAnahtarB[NormB],0)),""))</f>
        <v/>
      </c>
      <c r="G431" s="16">
        <f>IF($A431="","",IFERROR(INDEX(tblVeriA[Donem],MATCH($A431,tblAnahtarA[Norm],0)),""))</f>
        <v/>
      </c>
      <c r="H431" s="16">
        <f>IF(OR($A431="",$B431&lt;&gt;"tutar_farki"),"",IF($E431=0,"BELGE_EKSIK",IF($C431&lt;=toleransKurus*cbb_yuvarlamaCarpan,"YUVARLAMA",IF(AND($F431&lt;&gt;"Ba",$F431&lt;&gt;"Bs"),"TIP_KARISIK",IF($C431&gt;cbb_esikFark*cbb_donemCarpan,"DONEM",IF(LEN($D431)&lt;cbb_unvanMinLen,"UNVAN","TANIMSIZ"))))))</f>
        <v/>
      </c>
    </row>
    <row r="432">
      <c r="A432" s="26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IF($A432="","",IFERROR(INDEX(tblVeriA[Unvan],MATCH($A432,tblAnahtarA[Norm],0)),""))</f>
        <v/>
      </c>
      <c r="E432" s="16">
        <f>IF($A432="","",IFERROR(SUMIF(tblAnahtarB[NormB],$A432,tblVeriB[BelgeAdet]),0))</f>
        <v/>
      </c>
      <c r="F432" s="16">
        <f>IF($A432="","",IFERROR(INDEX(tblVeriB[FormTipi],MATCH($A432,tblAnahtarB[NormB],0)),""))</f>
        <v/>
      </c>
      <c r="G432" s="16">
        <f>IF($A432="","",IFERROR(INDEX(tblVeriA[Donem],MATCH($A432,tblAnahtarA[Norm],0)),""))</f>
        <v/>
      </c>
      <c r="H432" s="16">
        <f>IF(OR($A432="",$B432&lt;&gt;"tutar_farki"),"",IF($E432=0,"BELGE_EKSIK",IF($C432&lt;=toleransKurus*cbb_yuvarlamaCarpan,"YUVARLAMA",IF(AND($F432&lt;&gt;"Ba",$F432&lt;&gt;"Bs"),"TIP_KARISIK",IF($C432&gt;cbb_esikFark*cbb_donemCarpan,"DONEM",IF(LEN($D432)&lt;cbb_unvanMinLen,"UNVAN","TANIMSIZ"))))))</f>
        <v/>
      </c>
    </row>
    <row r="433">
      <c r="A433" s="26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IF($A433="","",IFERROR(INDEX(tblVeriA[Unvan],MATCH($A433,tblAnahtarA[Norm],0)),""))</f>
        <v/>
      </c>
      <c r="E433" s="16">
        <f>IF($A433="","",IFERROR(SUMIF(tblAnahtarB[NormB],$A433,tblVeriB[BelgeAdet]),0))</f>
        <v/>
      </c>
      <c r="F433" s="16">
        <f>IF($A433="","",IFERROR(INDEX(tblVeriB[FormTipi],MATCH($A433,tblAnahtarB[NormB],0)),""))</f>
        <v/>
      </c>
      <c r="G433" s="16">
        <f>IF($A433="","",IFERROR(INDEX(tblVeriA[Donem],MATCH($A433,tblAnahtarA[Norm],0)),""))</f>
        <v/>
      </c>
      <c r="H433" s="16">
        <f>IF(OR($A433="",$B433&lt;&gt;"tutar_farki"),"",IF($E433=0,"BELGE_EKSIK",IF($C433&lt;=toleransKurus*cbb_yuvarlamaCarpan,"YUVARLAMA",IF(AND($F433&lt;&gt;"Ba",$F433&lt;&gt;"Bs"),"TIP_KARISIK",IF($C433&gt;cbb_esikFark*cbb_donemCarpan,"DONEM",IF(LEN($D433)&lt;cbb_unvanMinLen,"UNVAN","TANIMSIZ"))))))</f>
        <v/>
      </c>
    </row>
    <row r="434">
      <c r="A434" s="26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IF($A434="","",IFERROR(INDEX(tblVeriA[Unvan],MATCH($A434,tblAnahtarA[Norm],0)),""))</f>
        <v/>
      </c>
      <c r="E434" s="16">
        <f>IF($A434="","",IFERROR(SUMIF(tblAnahtarB[NormB],$A434,tblVeriB[BelgeAdet]),0))</f>
        <v/>
      </c>
      <c r="F434" s="16">
        <f>IF($A434="","",IFERROR(INDEX(tblVeriB[FormTipi],MATCH($A434,tblAnahtarB[NormB],0)),""))</f>
        <v/>
      </c>
      <c r="G434" s="16">
        <f>IF($A434="","",IFERROR(INDEX(tblVeriA[Donem],MATCH($A434,tblAnahtarA[Norm],0)),""))</f>
        <v/>
      </c>
      <c r="H434" s="16">
        <f>IF(OR($A434="",$B434&lt;&gt;"tutar_farki"),"",IF($E434=0,"BELGE_EKSIK",IF($C434&lt;=toleransKurus*cbb_yuvarlamaCarpan,"YUVARLAMA",IF(AND($F434&lt;&gt;"Ba",$F434&lt;&gt;"Bs"),"TIP_KARISIK",IF($C434&gt;cbb_esikFark*cbb_donemCarpan,"DONEM",IF(LEN($D434)&lt;cbb_unvanMinLen,"UNVAN","TANIMSIZ"))))))</f>
        <v/>
      </c>
    </row>
    <row r="435">
      <c r="A435" s="26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IF($A435="","",IFERROR(INDEX(tblVeriA[Unvan],MATCH($A435,tblAnahtarA[Norm],0)),""))</f>
        <v/>
      </c>
      <c r="E435" s="16">
        <f>IF($A435="","",IFERROR(SUMIF(tblAnahtarB[NormB],$A435,tblVeriB[BelgeAdet]),0))</f>
        <v/>
      </c>
      <c r="F435" s="16">
        <f>IF($A435="","",IFERROR(INDEX(tblVeriB[FormTipi],MATCH($A435,tblAnahtarB[NormB],0)),""))</f>
        <v/>
      </c>
      <c r="G435" s="16">
        <f>IF($A435="","",IFERROR(INDEX(tblVeriA[Donem],MATCH($A435,tblAnahtarA[Norm],0)),""))</f>
        <v/>
      </c>
      <c r="H435" s="16">
        <f>IF(OR($A435="",$B435&lt;&gt;"tutar_farki"),"",IF($E435=0,"BELGE_EKSIK",IF($C435&lt;=toleransKurus*cbb_yuvarlamaCarpan,"YUVARLAMA",IF(AND($F435&lt;&gt;"Ba",$F435&lt;&gt;"Bs"),"TIP_KARISIK",IF($C435&gt;cbb_esikFark*cbb_donemCarpan,"DONEM",IF(LEN($D435)&lt;cbb_unvanMinLen,"UNVAN","TANIMSIZ"))))))</f>
        <v/>
      </c>
    </row>
    <row r="436">
      <c r="A436" s="26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IF($A436="","",IFERROR(INDEX(tblVeriA[Unvan],MATCH($A436,tblAnahtarA[Norm],0)),""))</f>
        <v/>
      </c>
      <c r="E436" s="16">
        <f>IF($A436="","",IFERROR(SUMIF(tblAnahtarB[NormB],$A436,tblVeriB[BelgeAdet]),0))</f>
        <v/>
      </c>
      <c r="F436" s="16">
        <f>IF($A436="","",IFERROR(INDEX(tblVeriB[FormTipi],MATCH($A436,tblAnahtarB[NormB],0)),""))</f>
        <v/>
      </c>
      <c r="G436" s="16">
        <f>IF($A436="","",IFERROR(INDEX(tblVeriA[Donem],MATCH($A436,tblAnahtarA[Norm],0)),""))</f>
        <v/>
      </c>
      <c r="H436" s="16">
        <f>IF(OR($A436="",$B436&lt;&gt;"tutar_farki"),"",IF($E436=0,"BELGE_EKSIK",IF($C436&lt;=toleransKurus*cbb_yuvarlamaCarpan,"YUVARLAMA",IF(AND($F436&lt;&gt;"Ba",$F436&lt;&gt;"Bs"),"TIP_KARISIK",IF($C436&gt;cbb_esikFark*cbb_donemCarpan,"DONEM",IF(LEN($D436)&lt;cbb_unvanMinLen,"UNVAN","TANIMSIZ"))))))</f>
        <v/>
      </c>
    </row>
    <row r="437">
      <c r="A437" s="26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IF($A437="","",IFERROR(INDEX(tblVeriA[Unvan],MATCH($A437,tblAnahtarA[Norm],0)),""))</f>
        <v/>
      </c>
      <c r="E437" s="16">
        <f>IF($A437="","",IFERROR(SUMIF(tblAnahtarB[NormB],$A437,tblVeriB[BelgeAdet]),0))</f>
        <v/>
      </c>
      <c r="F437" s="16">
        <f>IF($A437="","",IFERROR(INDEX(tblVeriB[FormTipi],MATCH($A437,tblAnahtarB[NormB],0)),""))</f>
        <v/>
      </c>
      <c r="G437" s="16">
        <f>IF($A437="","",IFERROR(INDEX(tblVeriA[Donem],MATCH($A437,tblAnahtarA[Norm],0)),""))</f>
        <v/>
      </c>
      <c r="H437" s="16">
        <f>IF(OR($A437="",$B437&lt;&gt;"tutar_farki"),"",IF($E437=0,"BELGE_EKSIK",IF($C437&lt;=toleransKurus*cbb_yuvarlamaCarpan,"YUVARLAMA",IF(AND($F437&lt;&gt;"Ba",$F437&lt;&gt;"Bs"),"TIP_KARISIK",IF($C437&gt;cbb_esikFark*cbb_donemCarpan,"DONEM",IF(LEN($D437)&lt;cbb_unvanMinLen,"UNVAN","TANIMSIZ"))))))</f>
        <v/>
      </c>
    </row>
    <row r="438">
      <c r="A438" s="26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IF($A438="","",IFERROR(INDEX(tblVeriA[Unvan],MATCH($A438,tblAnahtarA[Norm],0)),""))</f>
        <v/>
      </c>
      <c r="E438" s="16">
        <f>IF($A438="","",IFERROR(SUMIF(tblAnahtarB[NormB],$A438,tblVeriB[BelgeAdet]),0))</f>
        <v/>
      </c>
      <c r="F438" s="16">
        <f>IF($A438="","",IFERROR(INDEX(tblVeriB[FormTipi],MATCH($A438,tblAnahtarB[NormB],0)),""))</f>
        <v/>
      </c>
      <c r="G438" s="16">
        <f>IF($A438="","",IFERROR(INDEX(tblVeriA[Donem],MATCH($A438,tblAnahtarA[Norm],0)),""))</f>
        <v/>
      </c>
      <c r="H438" s="16">
        <f>IF(OR($A438="",$B438&lt;&gt;"tutar_farki"),"",IF($E438=0,"BELGE_EKSIK",IF($C438&lt;=toleransKurus*cbb_yuvarlamaCarpan,"YUVARLAMA",IF(AND($F438&lt;&gt;"Ba",$F438&lt;&gt;"Bs"),"TIP_KARISIK",IF($C438&gt;cbb_esikFark*cbb_donemCarpan,"DONEM",IF(LEN($D438)&lt;cbb_unvanMinLen,"UNVAN","TANIMSIZ"))))))</f>
        <v/>
      </c>
    </row>
    <row r="439">
      <c r="A439" s="26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IF($A439="","",IFERROR(INDEX(tblVeriA[Unvan],MATCH($A439,tblAnahtarA[Norm],0)),""))</f>
        <v/>
      </c>
      <c r="E439" s="16">
        <f>IF($A439="","",IFERROR(SUMIF(tblAnahtarB[NormB],$A439,tblVeriB[BelgeAdet]),0))</f>
        <v/>
      </c>
      <c r="F439" s="16">
        <f>IF($A439="","",IFERROR(INDEX(tblVeriB[FormTipi],MATCH($A439,tblAnahtarB[NormB],0)),""))</f>
        <v/>
      </c>
      <c r="G439" s="16">
        <f>IF($A439="","",IFERROR(INDEX(tblVeriA[Donem],MATCH($A439,tblAnahtarA[Norm],0)),""))</f>
        <v/>
      </c>
      <c r="H439" s="16">
        <f>IF(OR($A439="",$B439&lt;&gt;"tutar_farki"),"",IF($E439=0,"BELGE_EKSIK",IF($C439&lt;=toleransKurus*cbb_yuvarlamaCarpan,"YUVARLAMA",IF(AND($F439&lt;&gt;"Ba",$F439&lt;&gt;"Bs"),"TIP_KARISIK",IF($C439&gt;cbb_esikFark*cbb_donemCarpan,"DONEM",IF(LEN($D439)&lt;cbb_unvanMinLen,"UNVAN","TANIMSIZ"))))))</f>
        <v/>
      </c>
    </row>
    <row r="440">
      <c r="A440" s="26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IF($A440="","",IFERROR(INDEX(tblVeriA[Unvan],MATCH($A440,tblAnahtarA[Norm],0)),""))</f>
        <v/>
      </c>
      <c r="E440" s="16">
        <f>IF($A440="","",IFERROR(SUMIF(tblAnahtarB[NormB],$A440,tblVeriB[BelgeAdet]),0))</f>
        <v/>
      </c>
      <c r="F440" s="16">
        <f>IF($A440="","",IFERROR(INDEX(tblVeriB[FormTipi],MATCH($A440,tblAnahtarB[NormB],0)),""))</f>
        <v/>
      </c>
      <c r="G440" s="16">
        <f>IF($A440="","",IFERROR(INDEX(tblVeriA[Donem],MATCH($A440,tblAnahtarA[Norm],0)),""))</f>
        <v/>
      </c>
      <c r="H440" s="16">
        <f>IF(OR($A440="",$B440&lt;&gt;"tutar_farki"),"",IF($E440=0,"BELGE_EKSIK",IF($C440&lt;=toleransKurus*cbb_yuvarlamaCarpan,"YUVARLAMA",IF(AND($F440&lt;&gt;"Ba",$F440&lt;&gt;"Bs"),"TIP_KARISIK",IF($C440&gt;cbb_esikFark*cbb_donemCarpan,"DONEM",IF(LEN($D440)&lt;cbb_unvanMinLen,"UNVAN","TANIMSIZ"))))))</f>
        <v/>
      </c>
    </row>
    <row r="441">
      <c r="A441" s="26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IF($A441="","",IFERROR(INDEX(tblVeriA[Unvan],MATCH($A441,tblAnahtarA[Norm],0)),""))</f>
        <v/>
      </c>
      <c r="E441" s="16">
        <f>IF($A441="","",IFERROR(SUMIF(tblAnahtarB[NormB],$A441,tblVeriB[BelgeAdet]),0))</f>
        <v/>
      </c>
      <c r="F441" s="16">
        <f>IF($A441="","",IFERROR(INDEX(tblVeriB[FormTipi],MATCH($A441,tblAnahtarB[NormB],0)),""))</f>
        <v/>
      </c>
      <c r="G441" s="16">
        <f>IF($A441="","",IFERROR(INDEX(tblVeriA[Donem],MATCH($A441,tblAnahtarA[Norm],0)),""))</f>
        <v/>
      </c>
      <c r="H441" s="16">
        <f>IF(OR($A441="",$B441&lt;&gt;"tutar_farki"),"",IF($E441=0,"BELGE_EKSIK",IF($C441&lt;=toleransKurus*cbb_yuvarlamaCarpan,"YUVARLAMA",IF(AND($F441&lt;&gt;"Ba",$F441&lt;&gt;"Bs"),"TIP_KARISIK",IF($C441&gt;cbb_esikFark*cbb_donemCarpan,"DONEM",IF(LEN($D441)&lt;cbb_unvanMinLen,"UNVAN","TANIMSIZ"))))))</f>
        <v/>
      </c>
    </row>
    <row r="442">
      <c r="A442" s="26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IF($A442="","",IFERROR(INDEX(tblVeriA[Unvan],MATCH($A442,tblAnahtarA[Norm],0)),""))</f>
        <v/>
      </c>
      <c r="E442" s="16">
        <f>IF($A442="","",IFERROR(SUMIF(tblAnahtarB[NormB],$A442,tblVeriB[BelgeAdet]),0))</f>
        <v/>
      </c>
      <c r="F442" s="16">
        <f>IF($A442="","",IFERROR(INDEX(tblVeriB[FormTipi],MATCH($A442,tblAnahtarB[NormB],0)),""))</f>
        <v/>
      </c>
      <c r="G442" s="16">
        <f>IF($A442="","",IFERROR(INDEX(tblVeriA[Donem],MATCH($A442,tblAnahtarA[Norm],0)),""))</f>
        <v/>
      </c>
      <c r="H442" s="16">
        <f>IF(OR($A442="",$B442&lt;&gt;"tutar_farki"),"",IF($E442=0,"BELGE_EKSIK",IF($C442&lt;=toleransKurus*cbb_yuvarlamaCarpan,"YUVARLAMA",IF(AND($F442&lt;&gt;"Ba",$F442&lt;&gt;"Bs"),"TIP_KARISIK",IF($C442&gt;cbb_esikFark*cbb_donemCarpan,"DONEM",IF(LEN($D442)&lt;cbb_unvanMinLen,"UNVAN","TANIMSIZ"))))))</f>
        <v/>
      </c>
    </row>
    <row r="443">
      <c r="A443" s="26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IF($A443="","",IFERROR(INDEX(tblVeriA[Unvan],MATCH($A443,tblAnahtarA[Norm],0)),""))</f>
        <v/>
      </c>
      <c r="E443" s="16">
        <f>IF($A443="","",IFERROR(SUMIF(tblAnahtarB[NormB],$A443,tblVeriB[BelgeAdet]),0))</f>
        <v/>
      </c>
      <c r="F443" s="16">
        <f>IF($A443="","",IFERROR(INDEX(tblVeriB[FormTipi],MATCH($A443,tblAnahtarB[NormB],0)),""))</f>
        <v/>
      </c>
      <c r="G443" s="16">
        <f>IF($A443="","",IFERROR(INDEX(tblVeriA[Donem],MATCH($A443,tblAnahtarA[Norm],0)),""))</f>
        <v/>
      </c>
      <c r="H443" s="16">
        <f>IF(OR($A443="",$B443&lt;&gt;"tutar_farki"),"",IF($E443=0,"BELGE_EKSIK",IF($C443&lt;=toleransKurus*cbb_yuvarlamaCarpan,"YUVARLAMA",IF(AND($F443&lt;&gt;"Ba",$F443&lt;&gt;"Bs"),"TIP_KARISIK",IF($C443&gt;cbb_esikFark*cbb_donemCarpan,"DONEM",IF(LEN($D443)&lt;cbb_unvanMinLen,"UNVAN","TANIMSIZ"))))))</f>
        <v/>
      </c>
    </row>
    <row r="444">
      <c r="A444" s="26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IF($A444="","",IFERROR(INDEX(tblVeriA[Unvan],MATCH($A444,tblAnahtarA[Norm],0)),""))</f>
        <v/>
      </c>
      <c r="E444" s="16">
        <f>IF($A444="","",IFERROR(SUMIF(tblAnahtarB[NormB],$A444,tblVeriB[BelgeAdet]),0))</f>
        <v/>
      </c>
      <c r="F444" s="16">
        <f>IF($A444="","",IFERROR(INDEX(tblVeriB[FormTipi],MATCH($A444,tblAnahtarB[NormB],0)),""))</f>
        <v/>
      </c>
      <c r="G444" s="16">
        <f>IF($A444="","",IFERROR(INDEX(tblVeriA[Donem],MATCH($A444,tblAnahtarA[Norm],0)),""))</f>
        <v/>
      </c>
      <c r="H444" s="16">
        <f>IF(OR($A444="",$B444&lt;&gt;"tutar_farki"),"",IF($E444=0,"BELGE_EKSIK",IF($C444&lt;=toleransKurus*cbb_yuvarlamaCarpan,"YUVARLAMA",IF(AND($F444&lt;&gt;"Ba",$F444&lt;&gt;"Bs"),"TIP_KARISIK",IF($C444&gt;cbb_esikFark*cbb_donemCarpan,"DONEM",IF(LEN($D444)&lt;cbb_unvanMinLen,"UNVAN","TANIMSIZ"))))))</f>
        <v/>
      </c>
    </row>
    <row r="445">
      <c r="A445" s="26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IF($A445="","",IFERROR(INDEX(tblVeriA[Unvan],MATCH($A445,tblAnahtarA[Norm],0)),""))</f>
        <v/>
      </c>
      <c r="E445" s="16">
        <f>IF($A445="","",IFERROR(SUMIF(tblAnahtarB[NormB],$A445,tblVeriB[BelgeAdet]),0))</f>
        <v/>
      </c>
      <c r="F445" s="16">
        <f>IF($A445="","",IFERROR(INDEX(tblVeriB[FormTipi],MATCH($A445,tblAnahtarB[NormB],0)),""))</f>
        <v/>
      </c>
      <c r="G445" s="16">
        <f>IF($A445="","",IFERROR(INDEX(tblVeriA[Donem],MATCH($A445,tblAnahtarA[Norm],0)),""))</f>
        <v/>
      </c>
      <c r="H445" s="16">
        <f>IF(OR($A445="",$B445&lt;&gt;"tutar_farki"),"",IF($E445=0,"BELGE_EKSIK",IF($C445&lt;=toleransKurus*cbb_yuvarlamaCarpan,"YUVARLAMA",IF(AND($F445&lt;&gt;"Ba",$F445&lt;&gt;"Bs"),"TIP_KARISIK",IF($C445&gt;cbb_esikFark*cbb_donemCarpan,"DONEM",IF(LEN($D445)&lt;cbb_unvanMinLen,"UNVAN","TANIMSIZ"))))))</f>
        <v/>
      </c>
    </row>
    <row r="446">
      <c r="A446" s="26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IF($A446="","",IFERROR(INDEX(tblVeriA[Unvan],MATCH($A446,tblAnahtarA[Norm],0)),""))</f>
        <v/>
      </c>
      <c r="E446" s="16">
        <f>IF($A446="","",IFERROR(SUMIF(tblAnahtarB[NormB],$A446,tblVeriB[BelgeAdet]),0))</f>
        <v/>
      </c>
      <c r="F446" s="16">
        <f>IF($A446="","",IFERROR(INDEX(tblVeriB[FormTipi],MATCH($A446,tblAnahtarB[NormB],0)),""))</f>
        <v/>
      </c>
      <c r="G446" s="16">
        <f>IF($A446="","",IFERROR(INDEX(tblVeriA[Donem],MATCH($A446,tblAnahtarA[Norm],0)),""))</f>
        <v/>
      </c>
      <c r="H446" s="16">
        <f>IF(OR($A446="",$B446&lt;&gt;"tutar_farki"),"",IF($E446=0,"BELGE_EKSIK",IF($C446&lt;=toleransKurus*cbb_yuvarlamaCarpan,"YUVARLAMA",IF(AND($F446&lt;&gt;"Ba",$F446&lt;&gt;"Bs"),"TIP_KARISIK",IF($C446&gt;cbb_esikFark*cbb_donemCarpan,"DONEM",IF(LEN($D446)&lt;cbb_unvanMinLen,"UNVAN","TANIMSIZ"))))))</f>
        <v/>
      </c>
    </row>
    <row r="447">
      <c r="A447" s="26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IF($A447="","",IFERROR(INDEX(tblVeriA[Unvan],MATCH($A447,tblAnahtarA[Norm],0)),""))</f>
        <v/>
      </c>
      <c r="E447" s="16">
        <f>IF($A447="","",IFERROR(SUMIF(tblAnahtarB[NormB],$A447,tblVeriB[BelgeAdet]),0))</f>
        <v/>
      </c>
      <c r="F447" s="16">
        <f>IF($A447="","",IFERROR(INDEX(tblVeriB[FormTipi],MATCH($A447,tblAnahtarB[NormB],0)),""))</f>
        <v/>
      </c>
      <c r="G447" s="16">
        <f>IF($A447="","",IFERROR(INDEX(tblVeriA[Donem],MATCH($A447,tblAnahtarA[Norm],0)),""))</f>
        <v/>
      </c>
      <c r="H447" s="16">
        <f>IF(OR($A447="",$B447&lt;&gt;"tutar_farki"),"",IF($E447=0,"BELGE_EKSIK",IF($C447&lt;=toleransKurus*cbb_yuvarlamaCarpan,"YUVARLAMA",IF(AND($F447&lt;&gt;"Ba",$F447&lt;&gt;"Bs"),"TIP_KARISIK",IF($C447&gt;cbb_esikFark*cbb_donemCarpan,"DONEM",IF(LEN($D447)&lt;cbb_unvanMinLen,"UNVAN","TANIMSIZ"))))))</f>
        <v/>
      </c>
    </row>
    <row r="448">
      <c r="A448" s="26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IF($A448="","",IFERROR(INDEX(tblVeriA[Unvan],MATCH($A448,tblAnahtarA[Norm],0)),""))</f>
        <v/>
      </c>
      <c r="E448" s="16">
        <f>IF($A448="","",IFERROR(SUMIF(tblAnahtarB[NormB],$A448,tblVeriB[BelgeAdet]),0))</f>
        <v/>
      </c>
      <c r="F448" s="16">
        <f>IF($A448="","",IFERROR(INDEX(tblVeriB[FormTipi],MATCH($A448,tblAnahtarB[NormB],0)),""))</f>
        <v/>
      </c>
      <c r="G448" s="16">
        <f>IF($A448="","",IFERROR(INDEX(tblVeriA[Donem],MATCH($A448,tblAnahtarA[Norm],0)),""))</f>
        <v/>
      </c>
      <c r="H448" s="16">
        <f>IF(OR($A448="",$B448&lt;&gt;"tutar_farki"),"",IF($E448=0,"BELGE_EKSIK",IF($C448&lt;=toleransKurus*cbb_yuvarlamaCarpan,"YUVARLAMA",IF(AND($F448&lt;&gt;"Ba",$F448&lt;&gt;"Bs"),"TIP_KARISIK",IF($C448&gt;cbb_esikFark*cbb_donemCarpan,"DONEM",IF(LEN($D448)&lt;cbb_unvanMinLen,"UNVAN","TANIMSIZ"))))))</f>
        <v/>
      </c>
    </row>
    <row r="449">
      <c r="A449" s="26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IF($A449="","",IFERROR(INDEX(tblVeriA[Unvan],MATCH($A449,tblAnahtarA[Norm],0)),""))</f>
        <v/>
      </c>
      <c r="E449" s="16">
        <f>IF($A449="","",IFERROR(SUMIF(tblAnahtarB[NormB],$A449,tblVeriB[BelgeAdet]),0))</f>
        <v/>
      </c>
      <c r="F449" s="16">
        <f>IF($A449="","",IFERROR(INDEX(tblVeriB[FormTipi],MATCH($A449,tblAnahtarB[NormB],0)),""))</f>
        <v/>
      </c>
      <c r="G449" s="16">
        <f>IF($A449="","",IFERROR(INDEX(tblVeriA[Donem],MATCH($A449,tblAnahtarA[Norm],0)),""))</f>
        <v/>
      </c>
      <c r="H449" s="16">
        <f>IF(OR($A449="",$B449&lt;&gt;"tutar_farki"),"",IF($E449=0,"BELGE_EKSIK",IF($C449&lt;=toleransKurus*cbb_yuvarlamaCarpan,"YUVARLAMA",IF(AND($F449&lt;&gt;"Ba",$F449&lt;&gt;"Bs"),"TIP_KARISIK",IF($C449&gt;cbb_esikFark*cbb_donemCarpan,"DONEM",IF(LEN($D449)&lt;cbb_unvanMinLen,"UNVAN","TANIMSIZ"))))))</f>
        <v/>
      </c>
    </row>
    <row r="450">
      <c r="A450" s="26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IF($A450="","",IFERROR(INDEX(tblVeriA[Unvan],MATCH($A450,tblAnahtarA[Norm],0)),""))</f>
        <v/>
      </c>
      <c r="E450" s="16">
        <f>IF($A450="","",IFERROR(SUMIF(tblAnahtarB[NormB],$A450,tblVeriB[BelgeAdet]),0))</f>
        <v/>
      </c>
      <c r="F450" s="16">
        <f>IF($A450="","",IFERROR(INDEX(tblVeriB[FormTipi],MATCH($A450,tblAnahtarB[NormB],0)),""))</f>
        <v/>
      </c>
      <c r="G450" s="16">
        <f>IF($A450="","",IFERROR(INDEX(tblVeriA[Donem],MATCH($A450,tblAnahtarA[Norm],0)),""))</f>
        <v/>
      </c>
      <c r="H450" s="16">
        <f>IF(OR($A450="",$B450&lt;&gt;"tutar_farki"),"",IF($E450=0,"BELGE_EKSIK",IF($C450&lt;=toleransKurus*cbb_yuvarlamaCarpan,"YUVARLAMA",IF(AND($F450&lt;&gt;"Ba",$F450&lt;&gt;"Bs"),"TIP_KARISIK",IF($C450&gt;cbb_esikFark*cbb_donemCarpan,"DONEM",IF(LEN($D450)&lt;cbb_unvanMinLen,"UNVAN","TANIMSIZ"))))))</f>
        <v/>
      </c>
    </row>
    <row r="451">
      <c r="A451" s="26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IF($A451="","",IFERROR(INDEX(tblVeriA[Unvan],MATCH($A451,tblAnahtarA[Norm],0)),""))</f>
        <v/>
      </c>
      <c r="E451" s="16">
        <f>IF($A451="","",IFERROR(SUMIF(tblAnahtarB[NormB],$A451,tblVeriB[BelgeAdet]),0))</f>
        <v/>
      </c>
      <c r="F451" s="16">
        <f>IF($A451="","",IFERROR(INDEX(tblVeriB[FormTipi],MATCH($A451,tblAnahtarB[NormB],0)),""))</f>
        <v/>
      </c>
      <c r="G451" s="16">
        <f>IF($A451="","",IFERROR(INDEX(tblVeriA[Donem],MATCH($A451,tblAnahtarA[Norm],0)),""))</f>
        <v/>
      </c>
      <c r="H451" s="16">
        <f>IF(OR($A451="",$B451&lt;&gt;"tutar_farki"),"",IF($E451=0,"BELGE_EKSIK",IF($C451&lt;=toleransKurus*cbb_yuvarlamaCarpan,"YUVARLAMA",IF(AND($F451&lt;&gt;"Ba",$F451&lt;&gt;"Bs"),"TIP_KARISIK",IF($C451&gt;cbb_esikFark*cbb_donemCarpan,"DONEM",IF(LEN($D451)&lt;cbb_unvanMinLen,"UNVAN","TANIMSIZ"))))))</f>
        <v/>
      </c>
    </row>
    <row r="452">
      <c r="A452" s="26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IF($A452="","",IFERROR(INDEX(tblVeriA[Unvan],MATCH($A452,tblAnahtarA[Norm],0)),""))</f>
        <v/>
      </c>
      <c r="E452" s="16">
        <f>IF($A452="","",IFERROR(SUMIF(tblAnahtarB[NormB],$A452,tblVeriB[BelgeAdet]),0))</f>
        <v/>
      </c>
      <c r="F452" s="16">
        <f>IF($A452="","",IFERROR(INDEX(tblVeriB[FormTipi],MATCH($A452,tblAnahtarB[NormB],0)),""))</f>
        <v/>
      </c>
      <c r="G452" s="16">
        <f>IF($A452="","",IFERROR(INDEX(tblVeriA[Donem],MATCH($A452,tblAnahtarA[Norm],0)),""))</f>
        <v/>
      </c>
      <c r="H452" s="16">
        <f>IF(OR($A452="",$B452&lt;&gt;"tutar_farki"),"",IF($E452=0,"BELGE_EKSIK",IF($C452&lt;=toleransKurus*cbb_yuvarlamaCarpan,"YUVARLAMA",IF(AND($F452&lt;&gt;"Ba",$F452&lt;&gt;"Bs"),"TIP_KARISIK",IF($C452&gt;cbb_esikFark*cbb_donemCarpan,"DONEM",IF(LEN($D452)&lt;cbb_unvanMinLen,"UNVAN","TANIMSIZ"))))))</f>
        <v/>
      </c>
    </row>
    <row r="453">
      <c r="A453" s="26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IF($A453="","",IFERROR(INDEX(tblVeriA[Unvan],MATCH($A453,tblAnahtarA[Norm],0)),""))</f>
        <v/>
      </c>
      <c r="E453" s="16">
        <f>IF($A453="","",IFERROR(SUMIF(tblAnahtarB[NormB],$A453,tblVeriB[BelgeAdet]),0))</f>
        <v/>
      </c>
      <c r="F453" s="16">
        <f>IF($A453="","",IFERROR(INDEX(tblVeriB[FormTipi],MATCH($A453,tblAnahtarB[NormB],0)),""))</f>
        <v/>
      </c>
      <c r="G453" s="16">
        <f>IF($A453="","",IFERROR(INDEX(tblVeriA[Donem],MATCH($A453,tblAnahtarA[Norm],0)),""))</f>
        <v/>
      </c>
      <c r="H453" s="16">
        <f>IF(OR($A453="",$B453&lt;&gt;"tutar_farki"),"",IF($E453=0,"BELGE_EKSIK",IF($C453&lt;=toleransKurus*cbb_yuvarlamaCarpan,"YUVARLAMA",IF(AND($F453&lt;&gt;"Ba",$F453&lt;&gt;"Bs"),"TIP_KARISIK",IF($C453&gt;cbb_esikFark*cbb_donemCarpan,"DONEM",IF(LEN($D453)&lt;cbb_unvanMinLen,"UNVAN","TANIMSIZ"))))))</f>
        <v/>
      </c>
    </row>
    <row r="454">
      <c r="A454" s="26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IF($A454="","",IFERROR(INDEX(tblVeriA[Unvan],MATCH($A454,tblAnahtarA[Norm],0)),""))</f>
        <v/>
      </c>
      <c r="E454" s="16">
        <f>IF($A454="","",IFERROR(SUMIF(tblAnahtarB[NormB],$A454,tblVeriB[BelgeAdet]),0))</f>
        <v/>
      </c>
      <c r="F454" s="16">
        <f>IF($A454="","",IFERROR(INDEX(tblVeriB[FormTipi],MATCH($A454,tblAnahtarB[NormB],0)),""))</f>
        <v/>
      </c>
      <c r="G454" s="16">
        <f>IF($A454="","",IFERROR(INDEX(tblVeriA[Donem],MATCH($A454,tblAnahtarA[Norm],0)),""))</f>
        <v/>
      </c>
      <c r="H454" s="16">
        <f>IF(OR($A454="",$B454&lt;&gt;"tutar_farki"),"",IF($E454=0,"BELGE_EKSIK",IF($C454&lt;=toleransKurus*cbb_yuvarlamaCarpan,"YUVARLAMA",IF(AND($F454&lt;&gt;"Ba",$F454&lt;&gt;"Bs"),"TIP_KARISIK",IF($C454&gt;cbb_esikFark*cbb_donemCarpan,"DONEM",IF(LEN($D454)&lt;cbb_unvanMinLen,"UNVAN","TANIMSIZ"))))))</f>
        <v/>
      </c>
    </row>
    <row r="455">
      <c r="A455" s="26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IF($A455="","",IFERROR(INDEX(tblVeriA[Unvan],MATCH($A455,tblAnahtarA[Norm],0)),""))</f>
        <v/>
      </c>
      <c r="E455" s="16">
        <f>IF($A455="","",IFERROR(SUMIF(tblAnahtarB[NormB],$A455,tblVeriB[BelgeAdet]),0))</f>
        <v/>
      </c>
      <c r="F455" s="16">
        <f>IF($A455="","",IFERROR(INDEX(tblVeriB[FormTipi],MATCH($A455,tblAnahtarB[NormB],0)),""))</f>
        <v/>
      </c>
      <c r="G455" s="16">
        <f>IF($A455="","",IFERROR(INDEX(tblVeriA[Donem],MATCH($A455,tblAnahtarA[Norm],0)),""))</f>
        <v/>
      </c>
      <c r="H455" s="16">
        <f>IF(OR($A455="",$B455&lt;&gt;"tutar_farki"),"",IF($E455=0,"BELGE_EKSIK",IF($C455&lt;=toleransKurus*cbb_yuvarlamaCarpan,"YUVARLAMA",IF(AND($F455&lt;&gt;"Ba",$F455&lt;&gt;"Bs"),"TIP_KARISIK",IF($C455&gt;cbb_esikFark*cbb_donemCarpan,"DONEM",IF(LEN($D455)&lt;cbb_unvanMinLen,"UNVAN","TANIMSIZ"))))))</f>
        <v/>
      </c>
    </row>
    <row r="456">
      <c r="A456" s="26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IF($A456="","",IFERROR(INDEX(tblVeriA[Unvan],MATCH($A456,tblAnahtarA[Norm],0)),""))</f>
        <v/>
      </c>
      <c r="E456" s="16">
        <f>IF($A456="","",IFERROR(SUMIF(tblAnahtarB[NormB],$A456,tblVeriB[BelgeAdet]),0))</f>
        <v/>
      </c>
      <c r="F456" s="16">
        <f>IF($A456="","",IFERROR(INDEX(tblVeriB[FormTipi],MATCH($A456,tblAnahtarB[NormB],0)),""))</f>
        <v/>
      </c>
      <c r="G456" s="16">
        <f>IF($A456="","",IFERROR(INDEX(tblVeriA[Donem],MATCH($A456,tblAnahtarA[Norm],0)),""))</f>
        <v/>
      </c>
      <c r="H456" s="16">
        <f>IF(OR($A456="",$B456&lt;&gt;"tutar_farki"),"",IF($E456=0,"BELGE_EKSIK",IF($C456&lt;=toleransKurus*cbb_yuvarlamaCarpan,"YUVARLAMA",IF(AND($F456&lt;&gt;"Ba",$F456&lt;&gt;"Bs"),"TIP_KARISIK",IF($C456&gt;cbb_esikFark*cbb_donemCarpan,"DONEM",IF(LEN($D456)&lt;cbb_unvanMinLen,"UNVAN","TANIMSIZ"))))))</f>
        <v/>
      </c>
    </row>
    <row r="457">
      <c r="A457" s="26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IF($A457="","",IFERROR(INDEX(tblVeriA[Unvan],MATCH($A457,tblAnahtarA[Norm],0)),""))</f>
        <v/>
      </c>
      <c r="E457" s="16">
        <f>IF($A457="","",IFERROR(SUMIF(tblAnahtarB[NormB],$A457,tblVeriB[BelgeAdet]),0))</f>
        <v/>
      </c>
      <c r="F457" s="16">
        <f>IF($A457="","",IFERROR(INDEX(tblVeriB[FormTipi],MATCH($A457,tblAnahtarB[NormB],0)),""))</f>
        <v/>
      </c>
      <c r="G457" s="16">
        <f>IF($A457="","",IFERROR(INDEX(tblVeriA[Donem],MATCH($A457,tblAnahtarA[Norm],0)),""))</f>
        <v/>
      </c>
      <c r="H457" s="16">
        <f>IF(OR($A457="",$B457&lt;&gt;"tutar_farki"),"",IF($E457=0,"BELGE_EKSIK",IF($C457&lt;=toleransKurus*cbb_yuvarlamaCarpan,"YUVARLAMA",IF(AND($F457&lt;&gt;"Ba",$F457&lt;&gt;"Bs"),"TIP_KARISIK",IF($C457&gt;cbb_esikFark*cbb_donemCarpan,"DONEM",IF(LEN($D457)&lt;cbb_unvanMinLen,"UNVAN","TANIMSIZ"))))))</f>
        <v/>
      </c>
    </row>
    <row r="458">
      <c r="A458" s="26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IF($A458="","",IFERROR(INDEX(tblVeriA[Unvan],MATCH($A458,tblAnahtarA[Norm],0)),""))</f>
        <v/>
      </c>
      <c r="E458" s="16">
        <f>IF($A458="","",IFERROR(SUMIF(tblAnahtarB[NormB],$A458,tblVeriB[BelgeAdet]),0))</f>
        <v/>
      </c>
      <c r="F458" s="16">
        <f>IF($A458="","",IFERROR(INDEX(tblVeriB[FormTipi],MATCH($A458,tblAnahtarB[NormB],0)),""))</f>
        <v/>
      </c>
      <c r="G458" s="16">
        <f>IF($A458="","",IFERROR(INDEX(tblVeriA[Donem],MATCH($A458,tblAnahtarA[Norm],0)),""))</f>
        <v/>
      </c>
      <c r="H458" s="16">
        <f>IF(OR($A458="",$B458&lt;&gt;"tutar_farki"),"",IF($E458=0,"BELGE_EKSIK",IF($C458&lt;=toleransKurus*cbb_yuvarlamaCarpan,"YUVARLAMA",IF(AND($F458&lt;&gt;"Ba",$F458&lt;&gt;"Bs"),"TIP_KARISIK",IF($C458&gt;cbb_esikFark*cbb_donemCarpan,"DONEM",IF(LEN($D458)&lt;cbb_unvanMinLen,"UNVAN","TANIMSIZ"))))))</f>
        <v/>
      </c>
    </row>
    <row r="459">
      <c r="A459" s="26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IF($A459="","",IFERROR(INDEX(tblVeriA[Unvan],MATCH($A459,tblAnahtarA[Norm],0)),""))</f>
        <v/>
      </c>
      <c r="E459" s="16">
        <f>IF($A459="","",IFERROR(SUMIF(tblAnahtarB[NormB],$A459,tblVeriB[BelgeAdet]),0))</f>
        <v/>
      </c>
      <c r="F459" s="16">
        <f>IF($A459="","",IFERROR(INDEX(tblVeriB[FormTipi],MATCH($A459,tblAnahtarB[NormB],0)),""))</f>
        <v/>
      </c>
      <c r="G459" s="16">
        <f>IF($A459="","",IFERROR(INDEX(tblVeriA[Donem],MATCH($A459,tblAnahtarA[Norm],0)),""))</f>
        <v/>
      </c>
      <c r="H459" s="16">
        <f>IF(OR($A459="",$B459&lt;&gt;"tutar_farki"),"",IF($E459=0,"BELGE_EKSIK",IF($C459&lt;=toleransKurus*cbb_yuvarlamaCarpan,"YUVARLAMA",IF(AND($F459&lt;&gt;"Ba",$F459&lt;&gt;"Bs"),"TIP_KARISIK",IF($C459&gt;cbb_esikFark*cbb_donemCarpan,"DONEM",IF(LEN($D459)&lt;cbb_unvanMinLen,"UNVAN","TANIMSIZ"))))))</f>
        <v/>
      </c>
    </row>
    <row r="460">
      <c r="A460" s="26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IF($A460="","",IFERROR(INDEX(tblVeriA[Unvan],MATCH($A460,tblAnahtarA[Norm],0)),""))</f>
        <v/>
      </c>
      <c r="E460" s="16">
        <f>IF($A460="","",IFERROR(SUMIF(tblAnahtarB[NormB],$A460,tblVeriB[BelgeAdet]),0))</f>
        <v/>
      </c>
      <c r="F460" s="16">
        <f>IF($A460="","",IFERROR(INDEX(tblVeriB[FormTipi],MATCH($A460,tblAnahtarB[NormB],0)),""))</f>
        <v/>
      </c>
      <c r="G460" s="16">
        <f>IF($A460="","",IFERROR(INDEX(tblVeriA[Donem],MATCH($A460,tblAnahtarA[Norm],0)),""))</f>
        <v/>
      </c>
      <c r="H460" s="16">
        <f>IF(OR($A460="",$B460&lt;&gt;"tutar_farki"),"",IF($E460=0,"BELGE_EKSIK",IF($C460&lt;=toleransKurus*cbb_yuvarlamaCarpan,"YUVARLAMA",IF(AND($F460&lt;&gt;"Ba",$F460&lt;&gt;"Bs"),"TIP_KARISIK",IF($C460&gt;cbb_esikFark*cbb_donemCarpan,"DONEM",IF(LEN($D460)&lt;cbb_unvanMinLen,"UNVAN","TANIMSIZ"))))))</f>
        <v/>
      </c>
    </row>
    <row r="461">
      <c r="A461" s="26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IF($A461="","",IFERROR(INDEX(tblVeriA[Unvan],MATCH($A461,tblAnahtarA[Norm],0)),""))</f>
        <v/>
      </c>
      <c r="E461" s="16">
        <f>IF($A461="","",IFERROR(SUMIF(tblAnahtarB[NormB],$A461,tblVeriB[BelgeAdet]),0))</f>
        <v/>
      </c>
      <c r="F461" s="16">
        <f>IF($A461="","",IFERROR(INDEX(tblVeriB[FormTipi],MATCH($A461,tblAnahtarB[NormB],0)),""))</f>
        <v/>
      </c>
      <c r="G461" s="16">
        <f>IF($A461="","",IFERROR(INDEX(tblVeriA[Donem],MATCH($A461,tblAnahtarA[Norm],0)),""))</f>
        <v/>
      </c>
      <c r="H461" s="16">
        <f>IF(OR($A461="",$B461&lt;&gt;"tutar_farki"),"",IF($E461=0,"BELGE_EKSIK",IF($C461&lt;=toleransKurus*cbb_yuvarlamaCarpan,"YUVARLAMA",IF(AND($F461&lt;&gt;"Ba",$F461&lt;&gt;"Bs"),"TIP_KARISIK",IF($C461&gt;cbb_esikFark*cbb_donemCarpan,"DONEM",IF(LEN($D461)&lt;cbb_unvanMinLen,"UNVAN","TANIMSIZ"))))))</f>
        <v/>
      </c>
    </row>
    <row r="462">
      <c r="A462" s="26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IF($A462="","",IFERROR(INDEX(tblVeriA[Unvan],MATCH($A462,tblAnahtarA[Norm],0)),""))</f>
        <v/>
      </c>
      <c r="E462" s="16">
        <f>IF($A462="","",IFERROR(SUMIF(tblAnahtarB[NormB],$A462,tblVeriB[BelgeAdet]),0))</f>
        <v/>
      </c>
      <c r="F462" s="16">
        <f>IF($A462="","",IFERROR(INDEX(tblVeriB[FormTipi],MATCH($A462,tblAnahtarB[NormB],0)),""))</f>
        <v/>
      </c>
      <c r="G462" s="16">
        <f>IF($A462="","",IFERROR(INDEX(tblVeriA[Donem],MATCH($A462,tblAnahtarA[Norm],0)),""))</f>
        <v/>
      </c>
      <c r="H462" s="16">
        <f>IF(OR($A462="",$B462&lt;&gt;"tutar_farki"),"",IF($E462=0,"BELGE_EKSIK",IF($C462&lt;=toleransKurus*cbb_yuvarlamaCarpan,"YUVARLAMA",IF(AND($F462&lt;&gt;"Ba",$F462&lt;&gt;"Bs"),"TIP_KARISIK",IF($C462&gt;cbb_esikFark*cbb_donemCarpan,"DONEM",IF(LEN($D462)&lt;cbb_unvanMinLen,"UNVAN","TANIMSIZ"))))))</f>
        <v/>
      </c>
    </row>
    <row r="463">
      <c r="A463" s="26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IF($A463="","",IFERROR(INDEX(tblVeriA[Unvan],MATCH($A463,tblAnahtarA[Norm],0)),""))</f>
        <v/>
      </c>
      <c r="E463" s="16">
        <f>IF($A463="","",IFERROR(SUMIF(tblAnahtarB[NormB],$A463,tblVeriB[BelgeAdet]),0))</f>
        <v/>
      </c>
      <c r="F463" s="16">
        <f>IF($A463="","",IFERROR(INDEX(tblVeriB[FormTipi],MATCH($A463,tblAnahtarB[NormB],0)),""))</f>
        <v/>
      </c>
      <c r="G463" s="16">
        <f>IF($A463="","",IFERROR(INDEX(tblVeriA[Donem],MATCH($A463,tblAnahtarA[Norm],0)),""))</f>
        <v/>
      </c>
      <c r="H463" s="16">
        <f>IF(OR($A463="",$B463&lt;&gt;"tutar_farki"),"",IF($E463=0,"BELGE_EKSIK",IF($C463&lt;=toleransKurus*cbb_yuvarlamaCarpan,"YUVARLAMA",IF(AND($F463&lt;&gt;"Ba",$F463&lt;&gt;"Bs"),"TIP_KARISIK",IF($C463&gt;cbb_esikFark*cbb_donemCarpan,"DONEM",IF(LEN($D463)&lt;cbb_unvanMinLen,"UNVAN","TANIMSIZ"))))))</f>
        <v/>
      </c>
    </row>
    <row r="464">
      <c r="A464" s="26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IF($A464="","",IFERROR(INDEX(tblVeriA[Unvan],MATCH($A464,tblAnahtarA[Norm],0)),""))</f>
        <v/>
      </c>
      <c r="E464" s="16">
        <f>IF($A464="","",IFERROR(SUMIF(tblAnahtarB[NormB],$A464,tblVeriB[BelgeAdet]),0))</f>
        <v/>
      </c>
      <c r="F464" s="16">
        <f>IF($A464="","",IFERROR(INDEX(tblVeriB[FormTipi],MATCH($A464,tblAnahtarB[NormB],0)),""))</f>
        <v/>
      </c>
      <c r="G464" s="16">
        <f>IF($A464="","",IFERROR(INDEX(tblVeriA[Donem],MATCH($A464,tblAnahtarA[Norm],0)),""))</f>
        <v/>
      </c>
      <c r="H464" s="16">
        <f>IF(OR($A464="",$B464&lt;&gt;"tutar_farki"),"",IF($E464=0,"BELGE_EKSIK",IF($C464&lt;=toleransKurus*cbb_yuvarlamaCarpan,"YUVARLAMA",IF(AND($F464&lt;&gt;"Ba",$F464&lt;&gt;"Bs"),"TIP_KARISIK",IF($C464&gt;cbb_esikFark*cbb_donemCarpan,"DONEM",IF(LEN($D464)&lt;cbb_unvanMinLen,"UNVAN","TANIMSIZ"))))))</f>
        <v/>
      </c>
    </row>
    <row r="465">
      <c r="A465" s="26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IF($A465="","",IFERROR(INDEX(tblVeriA[Unvan],MATCH($A465,tblAnahtarA[Norm],0)),""))</f>
        <v/>
      </c>
      <c r="E465" s="16">
        <f>IF($A465="","",IFERROR(SUMIF(tblAnahtarB[NormB],$A465,tblVeriB[BelgeAdet]),0))</f>
        <v/>
      </c>
      <c r="F465" s="16">
        <f>IF($A465="","",IFERROR(INDEX(tblVeriB[FormTipi],MATCH($A465,tblAnahtarB[NormB],0)),""))</f>
        <v/>
      </c>
      <c r="G465" s="16">
        <f>IF($A465="","",IFERROR(INDEX(tblVeriA[Donem],MATCH($A465,tblAnahtarA[Norm],0)),""))</f>
        <v/>
      </c>
      <c r="H465" s="16">
        <f>IF(OR($A465="",$B465&lt;&gt;"tutar_farki"),"",IF($E465=0,"BELGE_EKSIK",IF($C465&lt;=toleransKurus*cbb_yuvarlamaCarpan,"YUVARLAMA",IF(AND($F465&lt;&gt;"Ba",$F465&lt;&gt;"Bs"),"TIP_KARISIK",IF($C465&gt;cbb_esikFark*cbb_donemCarpan,"DONEM",IF(LEN($D465)&lt;cbb_unvanMinLen,"UNVAN","TANIMSIZ"))))))</f>
        <v/>
      </c>
    </row>
    <row r="466">
      <c r="A466" s="26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IF($A466="","",IFERROR(INDEX(tblVeriA[Unvan],MATCH($A466,tblAnahtarA[Norm],0)),""))</f>
        <v/>
      </c>
      <c r="E466" s="16">
        <f>IF($A466="","",IFERROR(SUMIF(tblAnahtarB[NormB],$A466,tblVeriB[BelgeAdet]),0))</f>
        <v/>
      </c>
      <c r="F466" s="16">
        <f>IF($A466="","",IFERROR(INDEX(tblVeriB[FormTipi],MATCH($A466,tblAnahtarB[NormB],0)),""))</f>
        <v/>
      </c>
      <c r="G466" s="16">
        <f>IF($A466="","",IFERROR(INDEX(tblVeriA[Donem],MATCH($A466,tblAnahtarA[Norm],0)),""))</f>
        <v/>
      </c>
      <c r="H466" s="16">
        <f>IF(OR($A466="",$B466&lt;&gt;"tutar_farki"),"",IF($E466=0,"BELGE_EKSIK",IF($C466&lt;=toleransKurus*cbb_yuvarlamaCarpan,"YUVARLAMA",IF(AND($F466&lt;&gt;"Ba",$F466&lt;&gt;"Bs"),"TIP_KARISIK",IF($C466&gt;cbb_esikFark*cbb_donemCarpan,"DONEM",IF(LEN($D466)&lt;cbb_unvanMinLen,"UNVAN","TANIMSIZ"))))))</f>
        <v/>
      </c>
    </row>
    <row r="467">
      <c r="A467" s="26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IF($A467="","",IFERROR(INDEX(tblVeriA[Unvan],MATCH($A467,tblAnahtarA[Norm],0)),""))</f>
        <v/>
      </c>
      <c r="E467" s="16">
        <f>IF($A467="","",IFERROR(SUMIF(tblAnahtarB[NormB],$A467,tblVeriB[BelgeAdet]),0))</f>
        <v/>
      </c>
      <c r="F467" s="16">
        <f>IF($A467="","",IFERROR(INDEX(tblVeriB[FormTipi],MATCH($A467,tblAnahtarB[NormB],0)),""))</f>
        <v/>
      </c>
      <c r="G467" s="16">
        <f>IF($A467="","",IFERROR(INDEX(tblVeriA[Donem],MATCH($A467,tblAnahtarA[Norm],0)),""))</f>
        <v/>
      </c>
      <c r="H467" s="16">
        <f>IF(OR($A467="",$B467&lt;&gt;"tutar_farki"),"",IF($E467=0,"BELGE_EKSIK",IF($C467&lt;=toleransKurus*cbb_yuvarlamaCarpan,"YUVARLAMA",IF(AND($F467&lt;&gt;"Ba",$F467&lt;&gt;"Bs"),"TIP_KARISIK",IF($C467&gt;cbb_esikFark*cbb_donemCarpan,"DONEM",IF(LEN($D467)&lt;cbb_unvanMinLen,"UNVAN","TANIMSIZ"))))))</f>
        <v/>
      </c>
    </row>
    <row r="468">
      <c r="A468" s="26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IF($A468="","",IFERROR(INDEX(tblVeriA[Unvan],MATCH($A468,tblAnahtarA[Norm],0)),""))</f>
        <v/>
      </c>
      <c r="E468" s="16">
        <f>IF($A468="","",IFERROR(SUMIF(tblAnahtarB[NormB],$A468,tblVeriB[BelgeAdet]),0))</f>
        <v/>
      </c>
      <c r="F468" s="16">
        <f>IF($A468="","",IFERROR(INDEX(tblVeriB[FormTipi],MATCH($A468,tblAnahtarB[NormB],0)),""))</f>
        <v/>
      </c>
      <c r="G468" s="16">
        <f>IF($A468="","",IFERROR(INDEX(tblVeriA[Donem],MATCH($A468,tblAnahtarA[Norm],0)),""))</f>
        <v/>
      </c>
      <c r="H468" s="16">
        <f>IF(OR($A468="",$B468&lt;&gt;"tutar_farki"),"",IF($E468=0,"BELGE_EKSIK",IF($C468&lt;=toleransKurus*cbb_yuvarlamaCarpan,"YUVARLAMA",IF(AND($F468&lt;&gt;"Ba",$F468&lt;&gt;"Bs"),"TIP_KARISIK",IF($C468&gt;cbb_esikFark*cbb_donemCarpan,"DONEM",IF(LEN($D468)&lt;cbb_unvanMinLen,"UNVAN","TANIMSIZ"))))))</f>
        <v/>
      </c>
    </row>
    <row r="469">
      <c r="A469" s="26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IF($A469="","",IFERROR(INDEX(tblVeriA[Unvan],MATCH($A469,tblAnahtarA[Norm],0)),""))</f>
        <v/>
      </c>
      <c r="E469" s="16">
        <f>IF($A469="","",IFERROR(SUMIF(tblAnahtarB[NormB],$A469,tblVeriB[BelgeAdet]),0))</f>
        <v/>
      </c>
      <c r="F469" s="16">
        <f>IF($A469="","",IFERROR(INDEX(tblVeriB[FormTipi],MATCH($A469,tblAnahtarB[NormB],0)),""))</f>
        <v/>
      </c>
      <c r="G469" s="16">
        <f>IF($A469="","",IFERROR(INDEX(tblVeriA[Donem],MATCH($A469,tblAnahtarA[Norm],0)),""))</f>
        <v/>
      </c>
      <c r="H469" s="16">
        <f>IF(OR($A469="",$B469&lt;&gt;"tutar_farki"),"",IF($E469=0,"BELGE_EKSIK",IF($C469&lt;=toleransKurus*cbb_yuvarlamaCarpan,"YUVARLAMA",IF(AND($F469&lt;&gt;"Ba",$F469&lt;&gt;"Bs"),"TIP_KARISIK",IF($C469&gt;cbb_esikFark*cbb_donemCarpan,"DONEM",IF(LEN($D469)&lt;cbb_unvanMinLen,"UNVAN","TANIMSIZ"))))))</f>
        <v/>
      </c>
    </row>
    <row r="470">
      <c r="A470" s="26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IF($A470="","",IFERROR(INDEX(tblVeriA[Unvan],MATCH($A470,tblAnahtarA[Norm],0)),""))</f>
        <v/>
      </c>
      <c r="E470" s="16">
        <f>IF($A470="","",IFERROR(SUMIF(tblAnahtarB[NormB],$A470,tblVeriB[BelgeAdet]),0))</f>
        <v/>
      </c>
      <c r="F470" s="16">
        <f>IF($A470="","",IFERROR(INDEX(tblVeriB[FormTipi],MATCH($A470,tblAnahtarB[NormB],0)),""))</f>
        <v/>
      </c>
      <c r="G470" s="16">
        <f>IF($A470="","",IFERROR(INDEX(tblVeriA[Donem],MATCH($A470,tblAnahtarA[Norm],0)),""))</f>
        <v/>
      </c>
      <c r="H470" s="16">
        <f>IF(OR($A470="",$B470&lt;&gt;"tutar_farki"),"",IF($E470=0,"BELGE_EKSIK",IF($C470&lt;=toleransKurus*cbb_yuvarlamaCarpan,"YUVARLAMA",IF(AND($F470&lt;&gt;"Ba",$F470&lt;&gt;"Bs"),"TIP_KARISIK",IF($C470&gt;cbb_esikFark*cbb_donemCarpan,"DONEM",IF(LEN($D470)&lt;cbb_unvanMinLen,"UNVAN","TANIMSIZ"))))))</f>
        <v/>
      </c>
    </row>
    <row r="471">
      <c r="A471" s="26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IF($A471="","",IFERROR(INDEX(tblVeriA[Unvan],MATCH($A471,tblAnahtarA[Norm],0)),""))</f>
        <v/>
      </c>
      <c r="E471" s="16">
        <f>IF($A471="","",IFERROR(SUMIF(tblAnahtarB[NormB],$A471,tblVeriB[BelgeAdet]),0))</f>
        <v/>
      </c>
      <c r="F471" s="16">
        <f>IF($A471="","",IFERROR(INDEX(tblVeriB[FormTipi],MATCH($A471,tblAnahtarB[NormB],0)),""))</f>
        <v/>
      </c>
      <c r="G471" s="16">
        <f>IF($A471="","",IFERROR(INDEX(tblVeriA[Donem],MATCH($A471,tblAnahtarA[Norm],0)),""))</f>
        <v/>
      </c>
      <c r="H471" s="16">
        <f>IF(OR($A471="",$B471&lt;&gt;"tutar_farki"),"",IF($E471=0,"BELGE_EKSIK",IF($C471&lt;=toleransKurus*cbb_yuvarlamaCarpan,"YUVARLAMA",IF(AND($F471&lt;&gt;"Ba",$F471&lt;&gt;"Bs"),"TIP_KARISIK",IF($C471&gt;cbb_esikFark*cbb_donemCarpan,"DONEM",IF(LEN($D471)&lt;cbb_unvanMinLen,"UNVAN","TANIMSIZ"))))))</f>
        <v/>
      </c>
    </row>
    <row r="472">
      <c r="A472" s="26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IF($A472="","",IFERROR(INDEX(tblVeriA[Unvan],MATCH($A472,tblAnahtarA[Norm],0)),""))</f>
        <v/>
      </c>
      <c r="E472" s="16">
        <f>IF($A472="","",IFERROR(SUMIF(tblAnahtarB[NormB],$A472,tblVeriB[BelgeAdet]),0))</f>
        <v/>
      </c>
      <c r="F472" s="16">
        <f>IF($A472="","",IFERROR(INDEX(tblVeriB[FormTipi],MATCH($A472,tblAnahtarB[NormB],0)),""))</f>
        <v/>
      </c>
      <c r="G472" s="16">
        <f>IF($A472="","",IFERROR(INDEX(tblVeriA[Donem],MATCH($A472,tblAnahtarA[Norm],0)),""))</f>
        <v/>
      </c>
      <c r="H472" s="16">
        <f>IF(OR($A472="",$B472&lt;&gt;"tutar_farki"),"",IF($E472=0,"BELGE_EKSIK",IF($C472&lt;=toleransKurus*cbb_yuvarlamaCarpan,"YUVARLAMA",IF(AND($F472&lt;&gt;"Ba",$F472&lt;&gt;"Bs"),"TIP_KARISIK",IF($C472&gt;cbb_esikFark*cbb_donemCarpan,"DONEM",IF(LEN($D472)&lt;cbb_unvanMinLen,"UNVAN","TANIMSIZ"))))))</f>
        <v/>
      </c>
    </row>
    <row r="473">
      <c r="A473" s="26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IF($A473="","",IFERROR(INDEX(tblVeriA[Unvan],MATCH($A473,tblAnahtarA[Norm],0)),""))</f>
        <v/>
      </c>
      <c r="E473" s="16">
        <f>IF($A473="","",IFERROR(SUMIF(tblAnahtarB[NormB],$A473,tblVeriB[BelgeAdet]),0))</f>
        <v/>
      </c>
      <c r="F473" s="16">
        <f>IF($A473="","",IFERROR(INDEX(tblVeriB[FormTipi],MATCH($A473,tblAnahtarB[NormB],0)),""))</f>
        <v/>
      </c>
      <c r="G473" s="16">
        <f>IF($A473="","",IFERROR(INDEX(tblVeriA[Donem],MATCH($A473,tblAnahtarA[Norm],0)),""))</f>
        <v/>
      </c>
      <c r="H473" s="16">
        <f>IF(OR($A473="",$B473&lt;&gt;"tutar_farki"),"",IF($E473=0,"BELGE_EKSIK",IF($C473&lt;=toleransKurus*cbb_yuvarlamaCarpan,"YUVARLAMA",IF(AND($F473&lt;&gt;"Ba",$F473&lt;&gt;"Bs"),"TIP_KARISIK",IF($C473&gt;cbb_esikFark*cbb_donemCarpan,"DONEM",IF(LEN($D473)&lt;cbb_unvanMinLen,"UNVAN","TANIMSIZ"))))))</f>
        <v/>
      </c>
    </row>
    <row r="474">
      <c r="A474" s="26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IF($A474="","",IFERROR(INDEX(tblVeriA[Unvan],MATCH($A474,tblAnahtarA[Norm],0)),""))</f>
        <v/>
      </c>
      <c r="E474" s="16">
        <f>IF($A474="","",IFERROR(SUMIF(tblAnahtarB[NormB],$A474,tblVeriB[BelgeAdet]),0))</f>
        <v/>
      </c>
      <c r="F474" s="16">
        <f>IF($A474="","",IFERROR(INDEX(tblVeriB[FormTipi],MATCH($A474,tblAnahtarB[NormB],0)),""))</f>
        <v/>
      </c>
      <c r="G474" s="16">
        <f>IF($A474="","",IFERROR(INDEX(tblVeriA[Donem],MATCH($A474,tblAnahtarA[Norm],0)),""))</f>
        <v/>
      </c>
      <c r="H474" s="16">
        <f>IF(OR($A474="",$B474&lt;&gt;"tutar_farki"),"",IF($E474=0,"BELGE_EKSIK",IF($C474&lt;=toleransKurus*cbb_yuvarlamaCarpan,"YUVARLAMA",IF(AND($F474&lt;&gt;"Ba",$F474&lt;&gt;"Bs"),"TIP_KARISIK",IF($C474&gt;cbb_esikFark*cbb_donemCarpan,"DONEM",IF(LEN($D474)&lt;cbb_unvanMinLen,"UNVAN","TANIMSIZ"))))))</f>
        <v/>
      </c>
    </row>
    <row r="475">
      <c r="A475" s="26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IF($A475="","",IFERROR(INDEX(tblVeriA[Unvan],MATCH($A475,tblAnahtarA[Norm],0)),""))</f>
        <v/>
      </c>
      <c r="E475" s="16">
        <f>IF($A475="","",IFERROR(SUMIF(tblAnahtarB[NormB],$A475,tblVeriB[BelgeAdet]),0))</f>
        <v/>
      </c>
      <c r="F475" s="16">
        <f>IF($A475="","",IFERROR(INDEX(tblVeriB[FormTipi],MATCH($A475,tblAnahtarB[NormB],0)),""))</f>
        <v/>
      </c>
      <c r="G475" s="16">
        <f>IF($A475="","",IFERROR(INDEX(tblVeriA[Donem],MATCH($A475,tblAnahtarA[Norm],0)),""))</f>
        <v/>
      </c>
      <c r="H475" s="16">
        <f>IF(OR($A475="",$B475&lt;&gt;"tutar_farki"),"",IF($E475=0,"BELGE_EKSIK",IF($C475&lt;=toleransKurus*cbb_yuvarlamaCarpan,"YUVARLAMA",IF(AND($F475&lt;&gt;"Ba",$F475&lt;&gt;"Bs"),"TIP_KARISIK",IF($C475&gt;cbb_esikFark*cbb_donemCarpan,"DONEM",IF(LEN($D475)&lt;cbb_unvanMinLen,"UNVAN","TANIMSIZ"))))))</f>
        <v/>
      </c>
    </row>
    <row r="476">
      <c r="A476" s="26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IF($A476="","",IFERROR(INDEX(tblVeriA[Unvan],MATCH($A476,tblAnahtarA[Norm],0)),""))</f>
        <v/>
      </c>
      <c r="E476" s="16">
        <f>IF($A476="","",IFERROR(SUMIF(tblAnahtarB[NormB],$A476,tblVeriB[BelgeAdet]),0))</f>
        <v/>
      </c>
      <c r="F476" s="16">
        <f>IF($A476="","",IFERROR(INDEX(tblVeriB[FormTipi],MATCH($A476,tblAnahtarB[NormB],0)),""))</f>
        <v/>
      </c>
      <c r="G476" s="16">
        <f>IF($A476="","",IFERROR(INDEX(tblVeriA[Donem],MATCH($A476,tblAnahtarA[Norm],0)),""))</f>
        <v/>
      </c>
      <c r="H476" s="16">
        <f>IF(OR($A476="",$B476&lt;&gt;"tutar_farki"),"",IF($E476=0,"BELGE_EKSIK",IF($C476&lt;=toleransKurus*cbb_yuvarlamaCarpan,"YUVARLAMA",IF(AND($F476&lt;&gt;"Ba",$F476&lt;&gt;"Bs"),"TIP_KARISIK",IF($C476&gt;cbb_esikFark*cbb_donemCarpan,"DONEM",IF(LEN($D476)&lt;cbb_unvanMinLen,"UNVAN","TANIMSIZ"))))))</f>
        <v/>
      </c>
    </row>
    <row r="477">
      <c r="A477" s="26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IF($A477="","",IFERROR(INDEX(tblVeriA[Unvan],MATCH($A477,tblAnahtarA[Norm],0)),""))</f>
        <v/>
      </c>
      <c r="E477" s="16">
        <f>IF($A477="","",IFERROR(SUMIF(tblAnahtarB[NormB],$A477,tblVeriB[BelgeAdet]),0))</f>
        <v/>
      </c>
      <c r="F477" s="16">
        <f>IF($A477="","",IFERROR(INDEX(tblVeriB[FormTipi],MATCH($A477,tblAnahtarB[NormB],0)),""))</f>
        <v/>
      </c>
      <c r="G477" s="16">
        <f>IF($A477="","",IFERROR(INDEX(tblVeriA[Donem],MATCH($A477,tblAnahtarA[Norm],0)),""))</f>
        <v/>
      </c>
      <c r="H477" s="16">
        <f>IF(OR($A477="",$B477&lt;&gt;"tutar_farki"),"",IF($E477=0,"BELGE_EKSIK",IF($C477&lt;=toleransKurus*cbb_yuvarlamaCarpan,"YUVARLAMA",IF(AND($F477&lt;&gt;"Ba",$F477&lt;&gt;"Bs"),"TIP_KARISIK",IF($C477&gt;cbb_esikFark*cbb_donemCarpan,"DONEM",IF(LEN($D477)&lt;cbb_unvanMinLen,"UNVAN","TANIMSIZ"))))))</f>
        <v/>
      </c>
    </row>
    <row r="478">
      <c r="A478" s="26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IF($A478="","",IFERROR(INDEX(tblVeriA[Unvan],MATCH($A478,tblAnahtarA[Norm],0)),""))</f>
        <v/>
      </c>
      <c r="E478" s="16">
        <f>IF($A478="","",IFERROR(SUMIF(tblAnahtarB[NormB],$A478,tblVeriB[BelgeAdet]),0))</f>
        <v/>
      </c>
      <c r="F478" s="16">
        <f>IF($A478="","",IFERROR(INDEX(tblVeriB[FormTipi],MATCH($A478,tblAnahtarB[NormB],0)),""))</f>
        <v/>
      </c>
      <c r="G478" s="16">
        <f>IF($A478="","",IFERROR(INDEX(tblVeriA[Donem],MATCH($A478,tblAnahtarA[Norm],0)),""))</f>
        <v/>
      </c>
      <c r="H478" s="16">
        <f>IF(OR($A478="",$B478&lt;&gt;"tutar_farki"),"",IF($E478=0,"BELGE_EKSIK",IF($C478&lt;=toleransKurus*cbb_yuvarlamaCarpan,"YUVARLAMA",IF(AND($F478&lt;&gt;"Ba",$F478&lt;&gt;"Bs"),"TIP_KARISIK",IF($C478&gt;cbb_esikFark*cbb_donemCarpan,"DONEM",IF(LEN($D478)&lt;cbb_unvanMinLen,"UNVAN","TANIMSIZ"))))))</f>
        <v/>
      </c>
    </row>
    <row r="479">
      <c r="A479" s="26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IF($A479="","",IFERROR(INDEX(tblVeriA[Unvan],MATCH($A479,tblAnahtarA[Norm],0)),""))</f>
        <v/>
      </c>
      <c r="E479" s="16">
        <f>IF($A479="","",IFERROR(SUMIF(tblAnahtarB[NormB],$A479,tblVeriB[BelgeAdet]),0))</f>
        <v/>
      </c>
      <c r="F479" s="16">
        <f>IF($A479="","",IFERROR(INDEX(tblVeriB[FormTipi],MATCH($A479,tblAnahtarB[NormB],0)),""))</f>
        <v/>
      </c>
      <c r="G479" s="16">
        <f>IF($A479="","",IFERROR(INDEX(tblVeriA[Donem],MATCH($A479,tblAnahtarA[Norm],0)),""))</f>
        <v/>
      </c>
      <c r="H479" s="16">
        <f>IF(OR($A479="",$B479&lt;&gt;"tutar_farki"),"",IF($E479=0,"BELGE_EKSIK",IF($C479&lt;=toleransKurus*cbb_yuvarlamaCarpan,"YUVARLAMA",IF(AND($F479&lt;&gt;"Ba",$F479&lt;&gt;"Bs"),"TIP_KARISIK",IF($C479&gt;cbb_esikFark*cbb_donemCarpan,"DONEM",IF(LEN($D479)&lt;cbb_unvanMinLen,"UNVAN","TANIMSIZ"))))))</f>
        <v/>
      </c>
    </row>
    <row r="480">
      <c r="A480" s="26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IF($A480="","",IFERROR(INDEX(tblVeriA[Unvan],MATCH($A480,tblAnahtarA[Norm],0)),""))</f>
        <v/>
      </c>
      <c r="E480" s="16">
        <f>IF($A480="","",IFERROR(SUMIF(tblAnahtarB[NormB],$A480,tblVeriB[BelgeAdet]),0))</f>
        <v/>
      </c>
      <c r="F480" s="16">
        <f>IF($A480="","",IFERROR(INDEX(tblVeriB[FormTipi],MATCH($A480,tblAnahtarB[NormB],0)),""))</f>
        <v/>
      </c>
      <c r="G480" s="16">
        <f>IF($A480="","",IFERROR(INDEX(tblVeriA[Donem],MATCH($A480,tblAnahtarA[Norm],0)),""))</f>
        <v/>
      </c>
      <c r="H480" s="16">
        <f>IF(OR($A480="",$B480&lt;&gt;"tutar_farki"),"",IF($E480=0,"BELGE_EKSIK",IF($C480&lt;=toleransKurus*cbb_yuvarlamaCarpan,"YUVARLAMA",IF(AND($F480&lt;&gt;"Ba",$F480&lt;&gt;"Bs"),"TIP_KARISIK",IF($C480&gt;cbb_esikFark*cbb_donemCarpan,"DONEM",IF(LEN($D480)&lt;cbb_unvanMinLen,"UNVAN","TANIMSIZ"))))))</f>
        <v/>
      </c>
    </row>
    <row r="481">
      <c r="A481" s="26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IF($A481="","",IFERROR(INDEX(tblVeriA[Unvan],MATCH($A481,tblAnahtarA[Norm],0)),""))</f>
        <v/>
      </c>
      <c r="E481" s="16">
        <f>IF($A481="","",IFERROR(SUMIF(tblAnahtarB[NormB],$A481,tblVeriB[BelgeAdet]),0))</f>
        <v/>
      </c>
      <c r="F481" s="16">
        <f>IF($A481="","",IFERROR(INDEX(tblVeriB[FormTipi],MATCH($A481,tblAnahtarB[NormB],0)),""))</f>
        <v/>
      </c>
      <c r="G481" s="16">
        <f>IF($A481="","",IFERROR(INDEX(tblVeriA[Donem],MATCH($A481,tblAnahtarA[Norm],0)),""))</f>
        <v/>
      </c>
      <c r="H481" s="16">
        <f>IF(OR($A481="",$B481&lt;&gt;"tutar_farki"),"",IF($E481=0,"BELGE_EKSIK",IF($C481&lt;=toleransKurus*cbb_yuvarlamaCarpan,"YUVARLAMA",IF(AND($F481&lt;&gt;"Ba",$F481&lt;&gt;"Bs"),"TIP_KARISIK",IF($C481&gt;cbb_esikFark*cbb_donemCarpan,"DONEM",IF(LEN($D481)&lt;cbb_unvanMinLen,"UNVAN","TANIMSIZ"))))))</f>
        <v/>
      </c>
    </row>
    <row r="482">
      <c r="A482" s="26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IF($A482="","",IFERROR(INDEX(tblVeriA[Unvan],MATCH($A482,tblAnahtarA[Norm],0)),""))</f>
        <v/>
      </c>
      <c r="E482" s="16">
        <f>IF($A482="","",IFERROR(SUMIF(tblAnahtarB[NormB],$A482,tblVeriB[BelgeAdet]),0))</f>
        <v/>
      </c>
      <c r="F482" s="16">
        <f>IF($A482="","",IFERROR(INDEX(tblVeriB[FormTipi],MATCH($A482,tblAnahtarB[NormB],0)),""))</f>
        <v/>
      </c>
      <c r="G482" s="16">
        <f>IF($A482="","",IFERROR(INDEX(tblVeriA[Donem],MATCH($A482,tblAnahtarA[Norm],0)),""))</f>
        <v/>
      </c>
      <c r="H482" s="16">
        <f>IF(OR($A482="",$B482&lt;&gt;"tutar_farki"),"",IF($E482=0,"BELGE_EKSIK",IF($C482&lt;=toleransKurus*cbb_yuvarlamaCarpan,"YUVARLAMA",IF(AND($F482&lt;&gt;"Ba",$F482&lt;&gt;"Bs"),"TIP_KARISIK",IF($C482&gt;cbb_esikFark*cbb_donemCarpan,"DONEM",IF(LEN($D482)&lt;cbb_unvanMinLen,"UNVAN","TANIMSIZ"))))))</f>
        <v/>
      </c>
    </row>
    <row r="483">
      <c r="A483" s="26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IF($A483="","",IFERROR(INDEX(tblVeriA[Unvan],MATCH($A483,tblAnahtarA[Norm],0)),""))</f>
        <v/>
      </c>
      <c r="E483" s="16">
        <f>IF($A483="","",IFERROR(SUMIF(tblAnahtarB[NormB],$A483,tblVeriB[BelgeAdet]),0))</f>
        <v/>
      </c>
      <c r="F483" s="16">
        <f>IF($A483="","",IFERROR(INDEX(tblVeriB[FormTipi],MATCH($A483,tblAnahtarB[NormB],0)),""))</f>
        <v/>
      </c>
      <c r="G483" s="16">
        <f>IF($A483="","",IFERROR(INDEX(tblVeriA[Donem],MATCH($A483,tblAnahtarA[Norm],0)),""))</f>
        <v/>
      </c>
      <c r="H483" s="16">
        <f>IF(OR($A483="",$B483&lt;&gt;"tutar_farki"),"",IF($E483=0,"BELGE_EKSIK",IF($C483&lt;=toleransKurus*cbb_yuvarlamaCarpan,"YUVARLAMA",IF(AND($F483&lt;&gt;"Ba",$F483&lt;&gt;"Bs"),"TIP_KARISIK",IF($C483&gt;cbb_esikFark*cbb_donemCarpan,"DONEM",IF(LEN($D483)&lt;cbb_unvanMinLen,"UNVAN","TANIMSIZ"))))))</f>
        <v/>
      </c>
    </row>
    <row r="484">
      <c r="A484" s="26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IF($A484="","",IFERROR(INDEX(tblVeriA[Unvan],MATCH($A484,tblAnahtarA[Norm],0)),""))</f>
        <v/>
      </c>
      <c r="E484" s="16">
        <f>IF($A484="","",IFERROR(SUMIF(tblAnahtarB[NormB],$A484,tblVeriB[BelgeAdet]),0))</f>
        <v/>
      </c>
      <c r="F484" s="16">
        <f>IF($A484="","",IFERROR(INDEX(tblVeriB[FormTipi],MATCH($A484,tblAnahtarB[NormB],0)),""))</f>
        <v/>
      </c>
      <c r="G484" s="16">
        <f>IF($A484="","",IFERROR(INDEX(tblVeriA[Donem],MATCH($A484,tblAnahtarA[Norm],0)),""))</f>
        <v/>
      </c>
      <c r="H484" s="16">
        <f>IF(OR($A484="",$B484&lt;&gt;"tutar_farki"),"",IF($E484=0,"BELGE_EKSIK",IF($C484&lt;=toleransKurus*cbb_yuvarlamaCarpan,"YUVARLAMA",IF(AND($F484&lt;&gt;"Ba",$F484&lt;&gt;"Bs"),"TIP_KARISIK",IF($C484&gt;cbb_esikFark*cbb_donemCarpan,"DONEM",IF(LEN($D484)&lt;cbb_unvanMinLen,"UNVAN","TANIMSIZ"))))))</f>
        <v/>
      </c>
    </row>
    <row r="485">
      <c r="A485" s="26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IF($A485="","",IFERROR(INDEX(tblVeriA[Unvan],MATCH($A485,tblAnahtarA[Norm],0)),""))</f>
        <v/>
      </c>
      <c r="E485" s="16">
        <f>IF($A485="","",IFERROR(SUMIF(tblAnahtarB[NormB],$A485,tblVeriB[BelgeAdet]),0))</f>
        <v/>
      </c>
      <c r="F485" s="16">
        <f>IF($A485="","",IFERROR(INDEX(tblVeriB[FormTipi],MATCH($A485,tblAnahtarB[NormB],0)),""))</f>
        <v/>
      </c>
      <c r="G485" s="16">
        <f>IF($A485="","",IFERROR(INDEX(tblVeriA[Donem],MATCH($A485,tblAnahtarA[Norm],0)),""))</f>
        <v/>
      </c>
      <c r="H485" s="16">
        <f>IF(OR($A485="",$B485&lt;&gt;"tutar_farki"),"",IF($E485=0,"BELGE_EKSIK",IF($C485&lt;=toleransKurus*cbb_yuvarlamaCarpan,"YUVARLAMA",IF(AND($F485&lt;&gt;"Ba",$F485&lt;&gt;"Bs"),"TIP_KARISIK",IF($C485&gt;cbb_esikFark*cbb_donemCarpan,"DONEM",IF(LEN($D485)&lt;cbb_unvanMinLen,"UNVAN","TANIMSIZ"))))))</f>
        <v/>
      </c>
    </row>
    <row r="486">
      <c r="A486" s="26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IF($A486="","",IFERROR(INDEX(tblVeriA[Unvan],MATCH($A486,tblAnahtarA[Norm],0)),""))</f>
        <v/>
      </c>
      <c r="E486" s="16">
        <f>IF($A486="","",IFERROR(SUMIF(tblAnahtarB[NormB],$A486,tblVeriB[BelgeAdet]),0))</f>
        <v/>
      </c>
      <c r="F486" s="16">
        <f>IF($A486="","",IFERROR(INDEX(tblVeriB[FormTipi],MATCH($A486,tblAnahtarB[NormB],0)),""))</f>
        <v/>
      </c>
      <c r="G486" s="16">
        <f>IF($A486="","",IFERROR(INDEX(tblVeriA[Donem],MATCH($A486,tblAnahtarA[Norm],0)),""))</f>
        <v/>
      </c>
      <c r="H486" s="16">
        <f>IF(OR($A486="",$B486&lt;&gt;"tutar_farki"),"",IF($E486=0,"BELGE_EKSIK",IF($C486&lt;=toleransKurus*cbb_yuvarlamaCarpan,"YUVARLAMA",IF(AND($F486&lt;&gt;"Ba",$F486&lt;&gt;"Bs"),"TIP_KARISIK",IF($C486&gt;cbb_esikFark*cbb_donemCarpan,"DONEM",IF(LEN($D486)&lt;cbb_unvanMinLen,"UNVAN","TANIMSIZ"))))))</f>
        <v/>
      </c>
    </row>
    <row r="487">
      <c r="A487" s="26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IF($A487="","",IFERROR(INDEX(tblVeriA[Unvan],MATCH($A487,tblAnahtarA[Norm],0)),""))</f>
        <v/>
      </c>
      <c r="E487" s="16">
        <f>IF($A487="","",IFERROR(SUMIF(tblAnahtarB[NormB],$A487,tblVeriB[BelgeAdet]),0))</f>
        <v/>
      </c>
      <c r="F487" s="16">
        <f>IF($A487="","",IFERROR(INDEX(tblVeriB[FormTipi],MATCH($A487,tblAnahtarB[NormB],0)),""))</f>
        <v/>
      </c>
      <c r="G487" s="16">
        <f>IF($A487="","",IFERROR(INDEX(tblVeriA[Donem],MATCH($A487,tblAnahtarA[Norm],0)),""))</f>
        <v/>
      </c>
      <c r="H487" s="16">
        <f>IF(OR($A487="",$B487&lt;&gt;"tutar_farki"),"",IF($E487=0,"BELGE_EKSIK",IF($C487&lt;=toleransKurus*cbb_yuvarlamaCarpan,"YUVARLAMA",IF(AND($F487&lt;&gt;"Ba",$F487&lt;&gt;"Bs"),"TIP_KARISIK",IF($C487&gt;cbb_esikFark*cbb_donemCarpan,"DONEM",IF(LEN($D487)&lt;cbb_unvanMinLen,"UNVAN","TANIMSIZ"))))))</f>
        <v/>
      </c>
    </row>
    <row r="488">
      <c r="A488" s="26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IF($A488="","",IFERROR(INDEX(tblVeriA[Unvan],MATCH($A488,tblAnahtarA[Norm],0)),""))</f>
        <v/>
      </c>
      <c r="E488" s="16">
        <f>IF($A488="","",IFERROR(SUMIF(tblAnahtarB[NormB],$A488,tblVeriB[BelgeAdet]),0))</f>
        <v/>
      </c>
      <c r="F488" s="16">
        <f>IF($A488="","",IFERROR(INDEX(tblVeriB[FormTipi],MATCH($A488,tblAnahtarB[NormB],0)),""))</f>
        <v/>
      </c>
      <c r="G488" s="16">
        <f>IF($A488="","",IFERROR(INDEX(tblVeriA[Donem],MATCH($A488,tblAnahtarA[Norm],0)),""))</f>
        <v/>
      </c>
      <c r="H488" s="16">
        <f>IF(OR($A488="",$B488&lt;&gt;"tutar_farki"),"",IF($E488=0,"BELGE_EKSIK",IF($C488&lt;=toleransKurus*cbb_yuvarlamaCarpan,"YUVARLAMA",IF(AND($F488&lt;&gt;"Ba",$F488&lt;&gt;"Bs"),"TIP_KARISIK",IF($C488&gt;cbb_esikFark*cbb_donemCarpan,"DONEM",IF(LEN($D488)&lt;cbb_unvanMinLen,"UNVAN","TANIMSIZ"))))))</f>
        <v/>
      </c>
    </row>
    <row r="489">
      <c r="A489" s="26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IF($A489="","",IFERROR(INDEX(tblVeriA[Unvan],MATCH($A489,tblAnahtarA[Norm],0)),""))</f>
        <v/>
      </c>
      <c r="E489" s="16">
        <f>IF($A489="","",IFERROR(SUMIF(tblAnahtarB[NormB],$A489,tblVeriB[BelgeAdet]),0))</f>
        <v/>
      </c>
      <c r="F489" s="16">
        <f>IF($A489="","",IFERROR(INDEX(tblVeriB[FormTipi],MATCH($A489,tblAnahtarB[NormB],0)),""))</f>
        <v/>
      </c>
      <c r="G489" s="16">
        <f>IF($A489="","",IFERROR(INDEX(tblVeriA[Donem],MATCH($A489,tblAnahtarA[Norm],0)),""))</f>
        <v/>
      </c>
      <c r="H489" s="16">
        <f>IF(OR($A489="",$B489&lt;&gt;"tutar_farki"),"",IF($E489=0,"BELGE_EKSIK",IF($C489&lt;=toleransKurus*cbb_yuvarlamaCarpan,"YUVARLAMA",IF(AND($F489&lt;&gt;"Ba",$F489&lt;&gt;"Bs"),"TIP_KARISIK",IF($C489&gt;cbb_esikFark*cbb_donemCarpan,"DONEM",IF(LEN($D489)&lt;cbb_unvanMinLen,"UNVAN","TANIMSIZ"))))))</f>
        <v/>
      </c>
    </row>
    <row r="490">
      <c r="A490" s="26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IF($A490="","",IFERROR(INDEX(tblVeriA[Unvan],MATCH($A490,tblAnahtarA[Norm],0)),""))</f>
        <v/>
      </c>
      <c r="E490" s="16">
        <f>IF($A490="","",IFERROR(SUMIF(tblAnahtarB[NormB],$A490,tblVeriB[BelgeAdet]),0))</f>
        <v/>
      </c>
      <c r="F490" s="16">
        <f>IF($A490="","",IFERROR(INDEX(tblVeriB[FormTipi],MATCH($A490,tblAnahtarB[NormB],0)),""))</f>
        <v/>
      </c>
      <c r="G490" s="16">
        <f>IF($A490="","",IFERROR(INDEX(tblVeriA[Donem],MATCH($A490,tblAnahtarA[Norm],0)),""))</f>
        <v/>
      </c>
      <c r="H490" s="16">
        <f>IF(OR($A490="",$B490&lt;&gt;"tutar_farki"),"",IF($E490=0,"BELGE_EKSIK",IF($C490&lt;=toleransKurus*cbb_yuvarlamaCarpan,"YUVARLAMA",IF(AND($F490&lt;&gt;"Ba",$F490&lt;&gt;"Bs"),"TIP_KARISIK",IF($C490&gt;cbb_esikFark*cbb_donemCarpan,"DONEM",IF(LEN($D490)&lt;cbb_unvanMinLen,"UNVAN","TANIMSIZ"))))))</f>
        <v/>
      </c>
    </row>
    <row r="491">
      <c r="A491" s="26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IF($A491="","",IFERROR(INDEX(tblVeriA[Unvan],MATCH($A491,tblAnahtarA[Norm],0)),""))</f>
        <v/>
      </c>
      <c r="E491" s="16">
        <f>IF($A491="","",IFERROR(SUMIF(tblAnahtarB[NormB],$A491,tblVeriB[BelgeAdet]),0))</f>
        <v/>
      </c>
      <c r="F491" s="16">
        <f>IF($A491="","",IFERROR(INDEX(tblVeriB[FormTipi],MATCH($A491,tblAnahtarB[NormB],0)),""))</f>
        <v/>
      </c>
      <c r="G491" s="16">
        <f>IF($A491="","",IFERROR(INDEX(tblVeriA[Donem],MATCH($A491,tblAnahtarA[Norm],0)),""))</f>
        <v/>
      </c>
      <c r="H491" s="16">
        <f>IF(OR($A491="",$B491&lt;&gt;"tutar_farki"),"",IF($E491=0,"BELGE_EKSIK",IF($C491&lt;=toleransKurus*cbb_yuvarlamaCarpan,"YUVARLAMA",IF(AND($F491&lt;&gt;"Ba",$F491&lt;&gt;"Bs"),"TIP_KARISIK",IF($C491&gt;cbb_esikFark*cbb_donemCarpan,"DONEM",IF(LEN($D491)&lt;cbb_unvanMinLen,"UNVAN","TANIMSIZ"))))))</f>
        <v/>
      </c>
    </row>
    <row r="492">
      <c r="A492" s="26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IF($A492="","",IFERROR(INDEX(tblVeriA[Unvan],MATCH($A492,tblAnahtarA[Norm],0)),""))</f>
        <v/>
      </c>
      <c r="E492" s="16">
        <f>IF($A492="","",IFERROR(SUMIF(tblAnahtarB[NormB],$A492,tblVeriB[BelgeAdet]),0))</f>
        <v/>
      </c>
      <c r="F492" s="16">
        <f>IF($A492="","",IFERROR(INDEX(tblVeriB[FormTipi],MATCH($A492,tblAnahtarB[NormB],0)),""))</f>
        <v/>
      </c>
      <c r="G492" s="16">
        <f>IF($A492="","",IFERROR(INDEX(tblVeriA[Donem],MATCH($A492,tblAnahtarA[Norm],0)),""))</f>
        <v/>
      </c>
      <c r="H492" s="16">
        <f>IF(OR($A492="",$B492&lt;&gt;"tutar_farki"),"",IF($E492=0,"BELGE_EKSIK",IF($C492&lt;=toleransKurus*cbb_yuvarlamaCarpan,"YUVARLAMA",IF(AND($F492&lt;&gt;"Ba",$F492&lt;&gt;"Bs"),"TIP_KARISIK",IF($C492&gt;cbb_esikFark*cbb_donemCarpan,"DONEM",IF(LEN($D492)&lt;cbb_unvanMinLen,"UNVAN","TANIMSIZ"))))))</f>
        <v/>
      </c>
    </row>
    <row r="493">
      <c r="A493" s="26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IF($A493="","",IFERROR(INDEX(tblVeriA[Unvan],MATCH($A493,tblAnahtarA[Norm],0)),""))</f>
        <v/>
      </c>
      <c r="E493" s="16">
        <f>IF($A493="","",IFERROR(SUMIF(tblAnahtarB[NormB],$A493,tblVeriB[BelgeAdet]),0))</f>
        <v/>
      </c>
      <c r="F493" s="16">
        <f>IF($A493="","",IFERROR(INDEX(tblVeriB[FormTipi],MATCH($A493,tblAnahtarB[NormB],0)),""))</f>
        <v/>
      </c>
      <c r="G493" s="16">
        <f>IF($A493="","",IFERROR(INDEX(tblVeriA[Donem],MATCH($A493,tblAnahtarA[Norm],0)),""))</f>
        <v/>
      </c>
      <c r="H493" s="16">
        <f>IF(OR($A493="",$B493&lt;&gt;"tutar_farki"),"",IF($E493=0,"BELGE_EKSIK",IF($C493&lt;=toleransKurus*cbb_yuvarlamaCarpan,"YUVARLAMA",IF(AND($F493&lt;&gt;"Ba",$F493&lt;&gt;"Bs"),"TIP_KARISIK",IF($C493&gt;cbb_esikFark*cbb_donemCarpan,"DONEM",IF(LEN($D493)&lt;cbb_unvanMinLen,"UNVAN","TANIMSIZ"))))))</f>
        <v/>
      </c>
    </row>
    <row r="494">
      <c r="A494" s="26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IF($A494="","",IFERROR(INDEX(tblVeriA[Unvan],MATCH($A494,tblAnahtarA[Norm],0)),""))</f>
        <v/>
      </c>
      <c r="E494" s="16">
        <f>IF($A494="","",IFERROR(SUMIF(tblAnahtarB[NormB],$A494,tblVeriB[BelgeAdet]),0))</f>
        <v/>
      </c>
      <c r="F494" s="16">
        <f>IF($A494="","",IFERROR(INDEX(tblVeriB[FormTipi],MATCH($A494,tblAnahtarB[NormB],0)),""))</f>
        <v/>
      </c>
      <c r="G494" s="16">
        <f>IF($A494="","",IFERROR(INDEX(tblVeriA[Donem],MATCH($A494,tblAnahtarA[Norm],0)),""))</f>
        <v/>
      </c>
      <c r="H494" s="16">
        <f>IF(OR($A494="",$B494&lt;&gt;"tutar_farki"),"",IF($E494=0,"BELGE_EKSIK",IF($C494&lt;=toleransKurus*cbb_yuvarlamaCarpan,"YUVARLAMA",IF(AND($F494&lt;&gt;"Ba",$F494&lt;&gt;"Bs"),"TIP_KARISIK",IF($C494&gt;cbb_esikFark*cbb_donemCarpan,"DONEM",IF(LEN($D494)&lt;cbb_unvanMinLen,"UNVAN","TANIMSIZ"))))))</f>
        <v/>
      </c>
    </row>
    <row r="495">
      <c r="A495" s="26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IF($A495="","",IFERROR(INDEX(tblVeriA[Unvan],MATCH($A495,tblAnahtarA[Norm],0)),""))</f>
        <v/>
      </c>
      <c r="E495" s="16">
        <f>IF($A495="","",IFERROR(SUMIF(tblAnahtarB[NormB],$A495,tblVeriB[BelgeAdet]),0))</f>
        <v/>
      </c>
      <c r="F495" s="16">
        <f>IF($A495="","",IFERROR(INDEX(tblVeriB[FormTipi],MATCH($A495,tblAnahtarB[NormB],0)),""))</f>
        <v/>
      </c>
      <c r="G495" s="16">
        <f>IF($A495="","",IFERROR(INDEX(tblVeriA[Donem],MATCH($A495,tblAnahtarA[Norm],0)),""))</f>
        <v/>
      </c>
      <c r="H495" s="16">
        <f>IF(OR($A495="",$B495&lt;&gt;"tutar_farki"),"",IF($E495=0,"BELGE_EKSIK",IF($C495&lt;=toleransKurus*cbb_yuvarlamaCarpan,"YUVARLAMA",IF(AND($F495&lt;&gt;"Ba",$F495&lt;&gt;"Bs"),"TIP_KARISIK",IF($C495&gt;cbb_esikFark*cbb_donemCarpan,"DONEM",IF(LEN($D495)&lt;cbb_unvanMinLen,"UNVAN","TANIMSIZ"))))))</f>
        <v/>
      </c>
    </row>
    <row r="496">
      <c r="A496" s="26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IF($A496="","",IFERROR(INDEX(tblVeriA[Unvan],MATCH($A496,tblAnahtarA[Norm],0)),""))</f>
        <v/>
      </c>
      <c r="E496" s="16">
        <f>IF($A496="","",IFERROR(SUMIF(tblAnahtarB[NormB],$A496,tblVeriB[BelgeAdet]),0))</f>
        <v/>
      </c>
      <c r="F496" s="16">
        <f>IF($A496="","",IFERROR(INDEX(tblVeriB[FormTipi],MATCH($A496,tblAnahtarB[NormB],0)),""))</f>
        <v/>
      </c>
      <c r="G496" s="16">
        <f>IF($A496="","",IFERROR(INDEX(tblVeriA[Donem],MATCH($A496,tblAnahtarA[Norm],0)),""))</f>
        <v/>
      </c>
      <c r="H496" s="16">
        <f>IF(OR($A496="",$B496&lt;&gt;"tutar_farki"),"",IF($E496=0,"BELGE_EKSIK",IF($C496&lt;=toleransKurus*cbb_yuvarlamaCarpan,"YUVARLAMA",IF(AND($F496&lt;&gt;"Ba",$F496&lt;&gt;"Bs"),"TIP_KARISIK",IF($C496&gt;cbb_esikFark*cbb_donemCarpan,"DONEM",IF(LEN($D496)&lt;cbb_unvanMinLen,"UNVAN","TANIMSIZ"))))))</f>
        <v/>
      </c>
    </row>
    <row r="497">
      <c r="A497" s="26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IF($A497="","",IFERROR(INDEX(tblVeriA[Unvan],MATCH($A497,tblAnahtarA[Norm],0)),""))</f>
        <v/>
      </c>
      <c r="E497" s="16">
        <f>IF($A497="","",IFERROR(SUMIF(tblAnahtarB[NormB],$A497,tblVeriB[BelgeAdet]),0))</f>
        <v/>
      </c>
      <c r="F497" s="16">
        <f>IF($A497="","",IFERROR(INDEX(tblVeriB[FormTipi],MATCH($A497,tblAnahtarB[NormB],0)),""))</f>
        <v/>
      </c>
      <c r="G497" s="16">
        <f>IF($A497="","",IFERROR(INDEX(tblVeriA[Donem],MATCH($A497,tblAnahtarA[Norm],0)),""))</f>
        <v/>
      </c>
      <c r="H497" s="16">
        <f>IF(OR($A497="",$B497&lt;&gt;"tutar_farki"),"",IF($E497=0,"BELGE_EKSIK",IF($C497&lt;=toleransKurus*cbb_yuvarlamaCarpan,"YUVARLAMA",IF(AND($F497&lt;&gt;"Ba",$F497&lt;&gt;"Bs"),"TIP_KARISIK",IF($C497&gt;cbb_esikFark*cbb_donemCarpan,"DONEM",IF(LEN($D497)&lt;cbb_unvanMinLen,"UNVAN","TANIMSIZ"))))))</f>
        <v/>
      </c>
    </row>
    <row r="498">
      <c r="A498" s="26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IF($A498="","",IFERROR(INDEX(tblVeriA[Unvan],MATCH($A498,tblAnahtarA[Norm],0)),""))</f>
        <v/>
      </c>
      <c r="E498" s="16">
        <f>IF($A498="","",IFERROR(SUMIF(tblAnahtarB[NormB],$A498,tblVeriB[BelgeAdet]),0))</f>
        <v/>
      </c>
      <c r="F498" s="16">
        <f>IF($A498="","",IFERROR(INDEX(tblVeriB[FormTipi],MATCH($A498,tblAnahtarB[NormB],0)),""))</f>
        <v/>
      </c>
      <c r="G498" s="16">
        <f>IF($A498="","",IFERROR(INDEX(tblVeriA[Donem],MATCH($A498,tblAnahtarA[Norm],0)),""))</f>
        <v/>
      </c>
      <c r="H498" s="16">
        <f>IF(OR($A498="",$B498&lt;&gt;"tutar_farki"),"",IF($E498=0,"BELGE_EKSIK",IF($C498&lt;=toleransKurus*cbb_yuvarlamaCarpan,"YUVARLAMA",IF(AND($F498&lt;&gt;"Ba",$F498&lt;&gt;"Bs"),"TIP_KARISIK",IF($C498&gt;cbb_esikFark*cbb_donemCarpan,"DONEM",IF(LEN($D498)&lt;cbb_unvanMinLen,"UNVAN","TANIMSIZ"))))))</f>
        <v/>
      </c>
    </row>
    <row r="499">
      <c r="A499" s="26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IF($A499="","",IFERROR(INDEX(tblVeriA[Unvan],MATCH($A499,tblAnahtarA[Norm],0)),""))</f>
        <v/>
      </c>
      <c r="E499" s="16">
        <f>IF($A499="","",IFERROR(SUMIF(tblAnahtarB[NormB],$A499,tblVeriB[BelgeAdet]),0))</f>
        <v/>
      </c>
      <c r="F499" s="16">
        <f>IF($A499="","",IFERROR(INDEX(tblVeriB[FormTipi],MATCH($A499,tblAnahtarB[NormB],0)),""))</f>
        <v/>
      </c>
      <c r="G499" s="16">
        <f>IF($A499="","",IFERROR(INDEX(tblVeriA[Donem],MATCH($A499,tblAnahtarA[Norm],0)),""))</f>
        <v/>
      </c>
      <c r="H499" s="16">
        <f>IF(OR($A499="",$B499&lt;&gt;"tutar_farki"),"",IF($E499=0,"BELGE_EKSIK",IF($C499&lt;=toleransKurus*cbb_yuvarlamaCarpan,"YUVARLAMA",IF(AND($F499&lt;&gt;"Ba",$F499&lt;&gt;"Bs"),"TIP_KARISIK",IF($C499&gt;cbb_esikFark*cbb_donemCarpan,"DONEM",IF(LEN($D499)&lt;cbb_unvanMinLen,"UNVAN","TANIMSIZ"))))))</f>
        <v/>
      </c>
    </row>
    <row r="500">
      <c r="A500" s="26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IF($A500="","",IFERROR(INDEX(tblVeriA[Unvan],MATCH($A500,tblAnahtarA[Norm],0)),""))</f>
        <v/>
      </c>
      <c r="E500" s="16">
        <f>IF($A500="","",IFERROR(SUMIF(tblAnahtarB[NormB],$A500,tblVeriB[BelgeAdet]),0))</f>
        <v/>
      </c>
      <c r="F500" s="16">
        <f>IF($A500="","",IFERROR(INDEX(tblVeriB[FormTipi],MATCH($A500,tblAnahtarB[NormB],0)),""))</f>
        <v/>
      </c>
      <c r="G500" s="16">
        <f>IF($A500="","",IFERROR(INDEX(tblVeriA[Donem],MATCH($A500,tblAnahtarA[Norm],0)),""))</f>
        <v/>
      </c>
      <c r="H500" s="16">
        <f>IF(OR($A500="",$B500&lt;&gt;"tutar_farki"),"",IF($E500=0,"BELGE_EKSIK",IF($C500&lt;=toleransKurus*cbb_yuvarlamaCarpan,"YUVARLAMA",IF(AND($F500&lt;&gt;"Ba",$F500&lt;&gt;"Bs"),"TIP_KARISIK",IF($C500&gt;cbb_esikFark*cbb_donemCarpan,"DONEM",IF(LEN($D500)&lt;cbb_unvanMinLen,"UNVAN","TANIMSIZ"))))))</f>
        <v/>
      </c>
    </row>
    <row r="501">
      <c r="A501" s="26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IF($A501="","",IFERROR(INDEX(tblVeriA[Unvan],MATCH($A501,tblAnahtarA[Norm],0)),""))</f>
        <v/>
      </c>
      <c r="E501" s="16">
        <f>IF($A501="","",IFERROR(SUMIF(tblAnahtarB[NormB],$A501,tblVeriB[BelgeAdet]),0))</f>
        <v/>
      </c>
      <c r="F501" s="16">
        <f>IF($A501="","",IFERROR(INDEX(tblVeriB[FormTipi],MATCH($A501,tblAnahtarB[NormB],0)),""))</f>
        <v/>
      </c>
      <c r="G501" s="16">
        <f>IF($A501="","",IFERROR(INDEX(tblVeriA[Donem],MATCH($A501,tblAnahtarA[Norm],0)),""))</f>
        <v/>
      </c>
      <c r="H501" s="16">
        <f>IF(OR($A501="",$B501&lt;&gt;"tutar_farki"),"",IF($E501=0,"BELGE_EKSIK",IF($C501&lt;=toleransKurus*cbb_yuvarlamaCarpan,"YUVARLAMA",IF(AND($F501&lt;&gt;"Ba",$F501&lt;&gt;"Bs"),"TIP_KARISIK",IF($C501&gt;cbb_esikFark*cbb_donemCarpan,"DONEM",IF(LEN($D501)&lt;cbb_unvanMinLen,"UNVAN","TANIMSIZ"))))))</f>
        <v/>
      </c>
    </row>
    <row r="502">
      <c r="A502" s="26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IF($A502="","",IFERROR(INDEX(tblVeriA[Unvan],MATCH($A502,tblAnahtarA[Norm],0)),""))</f>
        <v/>
      </c>
      <c r="E502" s="16">
        <f>IF($A502="","",IFERROR(SUMIF(tblAnahtarB[NormB],$A502,tblVeriB[BelgeAdet]),0))</f>
        <v/>
      </c>
      <c r="F502" s="16">
        <f>IF($A502="","",IFERROR(INDEX(tblVeriB[FormTipi],MATCH($A502,tblAnahtarB[NormB],0)),""))</f>
        <v/>
      </c>
      <c r="G502" s="16">
        <f>IF($A502="","",IFERROR(INDEX(tblVeriA[Donem],MATCH($A502,tblAnahtarA[Norm],0)),""))</f>
        <v/>
      </c>
      <c r="H502" s="16">
        <f>IF(OR($A502="",$B502&lt;&gt;"tutar_farki"),"",IF($E502=0,"BELGE_EKSIK",IF($C502&lt;=toleransKurus*cbb_yuvarlamaCarpan,"YUVARLAMA",IF(AND($F502&lt;&gt;"Ba",$F502&lt;&gt;"Bs"),"TIP_KARISIK",IF($C502&gt;cbb_esikFark*cbb_donemCarpan,"DONEM",IF(LEN($D502)&lt;cbb_unvanMinLen,"UNVAN","TANIMSIZ"))))))</f>
        <v/>
      </c>
    </row>
    <row r="503">
      <c r="A503" s="26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IF($A503="","",IFERROR(INDEX(tblVeriA[Unvan],MATCH($A503,tblAnahtarA[Norm],0)),""))</f>
        <v/>
      </c>
      <c r="E503" s="16">
        <f>IF($A503="","",IFERROR(SUMIF(tblAnahtarB[NormB],$A503,tblVeriB[BelgeAdet]),0))</f>
        <v/>
      </c>
      <c r="F503" s="16">
        <f>IF($A503="","",IFERROR(INDEX(tblVeriB[FormTipi],MATCH($A503,tblAnahtarB[NormB],0)),""))</f>
        <v/>
      </c>
      <c r="G503" s="16">
        <f>IF($A503="","",IFERROR(INDEX(tblVeriA[Donem],MATCH($A503,tblAnahtarA[Norm],0)),""))</f>
        <v/>
      </c>
      <c r="H503" s="16">
        <f>IF(OR($A503="",$B503&lt;&gt;"tutar_farki"),"",IF($E503=0,"BELGE_EKSIK",IF($C503&lt;=toleransKurus*cbb_yuvarlamaCarpan,"YUVARLAMA",IF(AND($F503&lt;&gt;"Ba",$F503&lt;&gt;"Bs"),"TIP_KARISIK",IF($C503&gt;cbb_esikFark*cbb_donemCarpan,"DONEM",IF(LEN($D503)&lt;cbb_unvanMinLen,"UNVAN","TANIMSIZ"))))))</f>
        <v/>
      </c>
    </row>
    <row r="504">
      <c r="A504" s="26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IF($A504="","",IFERROR(INDEX(tblVeriA[Unvan],MATCH($A504,tblAnahtarA[Norm],0)),""))</f>
        <v/>
      </c>
      <c r="E504" s="16">
        <f>IF($A504="","",IFERROR(SUMIF(tblAnahtarB[NormB],$A504,tblVeriB[BelgeAdet]),0))</f>
        <v/>
      </c>
      <c r="F504" s="16">
        <f>IF($A504="","",IFERROR(INDEX(tblVeriB[FormTipi],MATCH($A504,tblAnahtarB[NormB],0)),""))</f>
        <v/>
      </c>
      <c r="G504" s="16">
        <f>IF($A504="","",IFERROR(INDEX(tblVeriA[Donem],MATCH($A504,tblAnahtarA[Norm],0)),""))</f>
        <v/>
      </c>
      <c r="H504" s="16">
        <f>IF(OR($A504="",$B504&lt;&gt;"tutar_farki"),"",IF($E504=0,"BELGE_EKSIK",IF($C504&lt;=toleransKurus*cbb_yuvarlamaCarpan,"YUVARLAMA",IF(AND($F504&lt;&gt;"Ba",$F504&lt;&gt;"Bs"),"TIP_KARISIK",IF($C504&gt;cbb_esikFark*cbb_donemCarpan,"DONEM",IF(LEN($D504)&lt;cbb_unvanMinLen,"UNVAN","TANIMSIZ"))))))</f>
        <v/>
      </c>
    </row>
    <row r="505">
      <c r="A505" s="26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IF($A505="","",IFERROR(INDEX(tblVeriA[Unvan],MATCH($A505,tblAnahtarA[Norm],0)),""))</f>
        <v/>
      </c>
      <c r="E505" s="16">
        <f>IF($A505="","",IFERROR(SUMIF(tblAnahtarB[NormB],$A505,tblVeriB[BelgeAdet]),0))</f>
        <v/>
      </c>
      <c r="F505" s="16">
        <f>IF($A505="","",IFERROR(INDEX(tblVeriB[FormTipi],MATCH($A505,tblAnahtarB[NormB],0)),""))</f>
        <v/>
      </c>
      <c r="G505" s="16">
        <f>IF($A505="","",IFERROR(INDEX(tblVeriA[Donem],MATCH($A505,tblAnahtarA[Norm],0)),""))</f>
        <v/>
      </c>
      <c r="H505" s="16">
        <f>IF(OR($A505="",$B505&lt;&gt;"tutar_farki"),"",IF($E505=0,"BELGE_EKSIK",IF($C505&lt;=toleransKurus*cbb_yuvarlamaCarpan,"YUVARLAMA",IF(AND($F505&lt;&gt;"Ba",$F505&lt;&gt;"Bs"),"TIP_KARISIK",IF($C505&gt;cbb_esikFark*cbb_donemCarpan,"DONEM",IF(LEN($D505)&lt;cbb_unvanMinLen,"UNVAN","TANIMSIZ"))))))</f>
        <v/>
      </c>
    </row>
    <row r="506">
      <c r="A506" s="26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IF($A506="","",IFERROR(INDEX(tblVeriA[Unvan],MATCH($A506,tblAnahtarA[Norm],0)),""))</f>
        <v/>
      </c>
      <c r="E506" s="16">
        <f>IF($A506="","",IFERROR(SUMIF(tblAnahtarB[NormB],$A506,tblVeriB[BelgeAdet]),0))</f>
        <v/>
      </c>
      <c r="F506" s="16">
        <f>IF($A506="","",IFERROR(INDEX(tblVeriB[FormTipi],MATCH($A506,tblAnahtarB[NormB],0)),""))</f>
        <v/>
      </c>
      <c r="G506" s="16">
        <f>IF($A506="","",IFERROR(INDEX(tblVeriA[Donem],MATCH($A506,tblAnahtarA[Norm],0)),""))</f>
        <v/>
      </c>
      <c r="H506" s="16">
        <f>IF(OR($A506="",$B506&lt;&gt;"tutar_farki"),"",IF($E506=0,"BELGE_EKSIK",IF($C506&lt;=toleransKurus*cbb_yuvarlamaCarpan,"YUVARLAMA",IF(AND($F506&lt;&gt;"Ba",$F506&lt;&gt;"Bs"),"TIP_KARISIK",IF($C506&gt;cbb_esikFark*cbb_donemCarpan,"DONEM",IF(LEN($D506)&lt;cbb_unvanMinLen,"UNVAN","TANIMSIZ"))))))</f>
        <v/>
      </c>
    </row>
    <row r="507">
      <c r="A507" s="26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IF($A507="","",IFERROR(INDEX(tblVeriA[Unvan],MATCH($A507,tblAnahtarA[Norm],0)),""))</f>
        <v/>
      </c>
      <c r="E507" s="16">
        <f>IF($A507="","",IFERROR(SUMIF(tblAnahtarB[NormB],$A507,tblVeriB[BelgeAdet]),0))</f>
        <v/>
      </c>
      <c r="F507" s="16">
        <f>IF($A507="","",IFERROR(INDEX(tblVeriB[FormTipi],MATCH($A507,tblAnahtarB[NormB],0)),""))</f>
        <v/>
      </c>
      <c r="G507" s="16">
        <f>IF($A507="","",IFERROR(INDEX(tblVeriA[Donem],MATCH($A507,tblAnahtarA[Norm],0)),""))</f>
        <v/>
      </c>
      <c r="H507" s="16">
        <f>IF(OR($A507="",$B507&lt;&gt;"tutar_farki"),"",IF($E507=0,"BELGE_EKSIK",IF($C507&lt;=toleransKurus*cbb_yuvarlamaCarpan,"YUVARLAMA",IF(AND($F507&lt;&gt;"Ba",$F507&lt;&gt;"Bs"),"TIP_KARISIK",IF($C507&gt;cbb_esikFark*cbb_donemCarpan,"DONEM",IF(LEN($D507)&lt;cbb_unvanMinLen,"UNVAN","TANIMSIZ"))))))</f>
        <v/>
      </c>
    </row>
    <row r="508">
      <c r="A508" s="26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IF($A508="","",IFERROR(INDEX(tblVeriA[Unvan],MATCH($A508,tblAnahtarA[Norm],0)),""))</f>
        <v/>
      </c>
      <c r="E508" s="16">
        <f>IF($A508="","",IFERROR(SUMIF(tblAnahtarB[NormB],$A508,tblVeriB[BelgeAdet]),0))</f>
        <v/>
      </c>
      <c r="F508" s="16">
        <f>IF($A508="","",IFERROR(INDEX(tblVeriB[FormTipi],MATCH($A508,tblAnahtarB[NormB],0)),""))</f>
        <v/>
      </c>
      <c r="G508" s="16">
        <f>IF($A508="","",IFERROR(INDEX(tblVeriA[Donem],MATCH($A508,tblAnahtarA[Norm],0)),""))</f>
        <v/>
      </c>
      <c r="H508" s="16">
        <f>IF(OR($A508="",$B508&lt;&gt;"tutar_farki"),"",IF($E508=0,"BELGE_EKSIK",IF($C508&lt;=toleransKurus*cbb_yuvarlamaCarpan,"YUVARLAMA",IF(AND($F508&lt;&gt;"Ba",$F508&lt;&gt;"Bs"),"TIP_KARISIK",IF($C508&gt;cbb_esikFark*cbb_donemCarpan,"DONEM",IF(LEN($D508)&lt;cbb_unvanMinLen,"UNVAN","TANIMSIZ"))))))</f>
        <v/>
      </c>
    </row>
    <row r="509">
      <c r="A509" s="26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IF($A509="","",IFERROR(INDEX(tblVeriA[Unvan],MATCH($A509,tblAnahtarA[Norm],0)),""))</f>
        <v/>
      </c>
      <c r="E509" s="16">
        <f>IF($A509="","",IFERROR(SUMIF(tblAnahtarB[NormB],$A509,tblVeriB[BelgeAdet]),0))</f>
        <v/>
      </c>
      <c r="F509" s="16">
        <f>IF($A509="","",IFERROR(INDEX(tblVeriB[FormTipi],MATCH($A509,tblAnahtarB[NormB],0)),""))</f>
        <v/>
      </c>
      <c r="G509" s="16">
        <f>IF($A509="","",IFERROR(INDEX(tblVeriA[Donem],MATCH($A509,tblAnahtarA[Norm],0)),""))</f>
        <v/>
      </c>
      <c r="H509" s="16">
        <f>IF(OR($A509="",$B509&lt;&gt;"tutar_farki"),"",IF($E509=0,"BELGE_EKSIK",IF($C509&lt;=toleransKurus*cbb_yuvarlamaCarpan,"YUVARLAMA",IF(AND($F509&lt;&gt;"Ba",$F509&lt;&gt;"Bs"),"TIP_KARISIK",IF($C509&gt;cbb_esikFark*cbb_donemCarpan,"DONEM",IF(LEN($D509)&lt;cbb_unvanMinLen,"UNVAN","TANIMSIZ"))))))</f>
        <v/>
      </c>
    </row>
    <row r="510">
      <c r="A510" s="26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IF($A510="","",IFERROR(INDEX(tblVeriA[Unvan],MATCH($A510,tblAnahtarA[Norm],0)),""))</f>
        <v/>
      </c>
      <c r="E510" s="16">
        <f>IF($A510="","",IFERROR(SUMIF(tblAnahtarB[NormB],$A510,tblVeriB[BelgeAdet]),0))</f>
        <v/>
      </c>
      <c r="F510" s="16">
        <f>IF($A510="","",IFERROR(INDEX(tblVeriB[FormTipi],MATCH($A510,tblAnahtarB[NormB],0)),""))</f>
        <v/>
      </c>
      <c r="G510" s="16">
        <f>IF($A510="","",IFERROR(INDEX(tblVeriA[Donem],MATCH($A510,tblAnahtarA[Norm],0)),""))</f>
        <v/>
      </c>
      <c r="H510" s="16">
        <f>IF(OR($A510="",$B510&lt;&gt;"tutar_farki"),"",IF($E510=0,"BELGE_EKSIK",IF($C510&lt;=toleransKurus*cbb_yuvarlamaCarpan,"YUVARLAMA",IF(AND($F510&lt;&gt;"Ba",$F510&lt;&gt;"Bs"),"TIP_KARISIK",IF($C510&gt;cbb_esikFark*cbb_donemCarpan,"DONEM",IF(LEN($D510)&lt;cbb_unvanMinLen,"UNVAN","TANIMSIZ"))))))</f>
        <v/>
      </c>
    </row>
    <row r="511">
      <c r="A511" s="26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IF($A511="","",IFERROR(INDEX(tblVeriA[Unvan],MATCH($A511,tblAnahtarA[Norm],0)),""))</f>
        <v/>
      </c>
      <c r="E511" s="16">
        <f>IF($A511="","",IFERROR(SUMIF(tblAnahtarB[NormB],$A511,tblVeriB[BelgeAdet]),0))</f>
        <v/>
      </c>
      <c r="F511" s="16">
        <f>IF($A511="","",IFERROR(INDEX(tblVeriB[FormTipi],MATCH($A511,tblAnahtarB[NormB],0)),""))</f>
        <v/>
      </c>
      <c r="G511" s="16">
        <f>IF($A511="","",IFERROR(INDEX(tblVeriA[Donem],MATCH($A511,tblAnahtarA[Norm],0)),""))</f>
        <v/>
      </c>
      <c r="H511" s="16">
        <f>IF(OR($A511="",$B511&lt;&gt;"tutar_farki"),"",IF($E511=0,"BELGE_EKSIK",IF($C511&lt;=toleransKurus*cbb_yuvarlamaCarpan,"YUVARLAMA",IF(AND($F511&lt;&gt;"Ba",$F511&lt;&gt;"Bs"),"TIP_KARISIK",IF($C511&gt;cbb_esikFark*cbb_donemCarpan,"DONEM",IF(LEN($D511)&lt;cbb_unvanMinLen,"UNVAN","TANIMSIZ"))))))</f>
        <v/>
      </c>
    </row>
    <row r="512">
      <c r="A512" s="26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IF($A512="","",IFERROR(INDEX(tblVeriA[Unvan],MATCH($A512,tblAnahtarA[Norm],0)),""))</f>
        <v/>
      </c>
      <c r="E512" s="16">
        <f>IF($A512="","",IFERROR(SUMIF(tblAnahtarB[NormB],$A512,tblVeriB[BelgeAdet]),0))</f>
        <v/>
      </c>
      <c r="F512" s="16">
        <f>IF($A512="","",IFERROR(INDEX(tblVeriB[FormTipi],MATCH($A512,tblAnahtarB[NormB],0)),""))</f>
        <v/>
      </c>
      <c r="G512" s="16">
        <f>IF($A512="","",IFERROR(INDEX(tblVeriA[Donem],MATCH($A512,tblAnahtarA[Norm],0)),""))</f>
        <v/>
      </c>
      <c r="H512" s="16">
        <f>IF(OR($A512="",$B512&lt;&gt;"tutar_farki"),"",IF($E512=0,"BELGE_EKSIK",IF($C512&lt;=toleransKurus*cbb_yuvarlamaCarpan,"YUVARLAMA",IF(AND($F512&lt;&gt;"Ba",$F512&lt;&gt;"Bs"),"TIP_KARISIK",IF($C512&gt;cbb_esikFark*cbb_donemCarpan,"DONEM",IF(LEN($D512)&lt;cbb_unvanMinLen,"UNVAN","TANIMSIZ"))))))</f>
        <v/>
      </c>
    </row>
    <row r="513">
      <c r="A513" s="26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IF($A513="","",IFERROR(INDEX(tblVeriA[Unvan],MATCH($A513,tblAnahtarA[Norm],0)),""))</f>
        <v/>
      </c>
      <c r="E513" s="16">
        <f>IF($A513="","",IFERROR(SUMIF(tblAnahtarB[NormB],$A513,tblVeriB[BelgeAdet]),0))</f>
        <v/>
      </c>
      <c r="F513" s="16">
        <f>IF($A513="","",IFERROR(INDEX(tblVeriB[FormTipi],MATCH($A513,tblAnahtarB[NormB],0)),""))</f>
        <v/>
      </c>
      <c r="G513" s="16">
        <f>IF($A513="","",IFERROR(INDEX(tblVeriA[Donem],MATCH($A513,tblAnahtarA[Norm],0)),""))</f>
        <v/>
      </c>
      <c r="H513" s="16">
        <f>IF(OR($A513="",$B513&lt;&gt;"tutar_farki"),"",IF($E513=0,"BELGE_EKSIK",IF($C513&lt;=toleransKurus*cbb_yuvarlamaCarpan,"YUVARLAMA",IF(AND($F513&lt;&gt;"Ba",$F513&lt;&gt;"Bs"),"TIP_KARISIK",IF($C513&gt;cbb_esikFark*cbb_donemCarpan,"DONEM",IF(LEN($D513)&lt;cbb_unvanMinLen,"UNVAN","TANIMSIZ"))))))</f>
        <v/>
      </c>
    </row>
    <row r="514">
      <c r="A514" s="26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IF($A514="","",IFERROR(INDEX(tblVeriA[Unvan],MATCH($A514,tblAnahtarA[Norm],0)),""))</f>
        <v/>
      </c>
      <c r="E514" s="16">
        <f>IF($A514="","",IFERROR(SUMIF(tblAnahtarB[NormB],$A514,tblVeriB[BelgeAdet]),0))</f>
        <v/>
      </c>
      <c r="F514" s="16">
        <f>IF($A514="","",IFERROR(INDEX(tblVeriB[FormTipi],MATCH($A514,tblAnahtarB[NormB],0)),""))</f>
        <v/>
      </c>
      <c r="G514" s="16">
        <f>IF($A514="","",IFERROR(INDEX(tblVeriA[Donem],MATCH($A514,tblAnahtarA[Norm],0)),""))</f>
        <v/>
      </c>
      <c r="H514" s="16">
        <f>IF(OR($A514="",$B514&lt;&gt;"tutar_farki"),"",IF($E514=0,"BELGE_EKSIK",IF($C514&lt;=toleransKurus*cbb_yuvarlamaCarpan,"YUVARLAMA",IF(AND($F514&lt;&gt;"Ba",$F514&lt;&gt;"Bs"),"TIP_KARISIK",IF($C514&gt;cbb_esikFark*cbb_donemCarpan,"DONEM",IF(LEN($D514)&lt;cbb_unvanMinLen,"UNVAN","TANIMSIZ"))))))</f>
        <v/>
      </c>
    </row>
    <row r="515">
      <c r="A515" s="26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IF($A515="","",IFERROR(INDEX(tblVeriA[Unvan],MATCH($A515,tblAnahtarA[Norm],0)),""))</f>
        <v/>
      </c>
      <c r="E515" s="16">
        <f>IF($A515="","",IFERROR(SUMIF(tblAnahtarB[NormB],$A515,tblVeriB[BelgeAdet]),0))</f>
        <v/>
      </c>
      <c r="F515" s="16">
        <f>IF($A515="","",IFERROR(INDEX(tblVeriB[FormTipi],MATCH($A515,tblAnahtarB[NormB],0)),""))</f>
        <v/>
      </c>
      <c r="G515" s="16">
        <f>IF($A515="","",IFERROR(INDEX(tblVeriA[Donem],MATCH($A515,tblAnahtarA[Norm],0)),""))</f>
        <v/>
      </c>
      <c r="H515" s="16">
        <f>IF(OR($A515="",$B515&lt;&gt;"tutar_farki"),"",IF($E515=0,"BELGE_EKSIK",IF($C515&lt;=toleransKurus*cbb_yuvarlamaCarpan,"YUVARLAMA",IF(AND($F515&lt;&gt;"Ba",$F515&lt;&gt;"Bs"),"TIP_KARISIK",IF($C515&gt;cbb_esikFark*cbb_donemCarpan,"DONEM",IF(LEN($D515)&lt;cbb_unvanMinLen,"UNVAN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3:F13"/>
  </mergeCells>
  <conditionalFormatting sqref="H16:H515">
    <cfRule type="cellIs" priority="1" operator="equal" dxfId="0">
      <formula>"TANIMSIZ"</formula>
    </cfRule>
    <cfRule type="cellIs" priority="2" operator="equal" dxfId="1">
      <formula>"DONEM"</formula>
    </cfRule>
    <cfRule type="cellIs" priority="3" operator="equal" dxfId="1">
      <formula>"UNVAN"</formula>
    </cfRule>
    <cfRule type="cellIs" priority="4" operator="equal" dxfId="1">
      <formula>"YUVARLAMA"</formula>
    </cfRule>
    <cfRule type="cellIs" priority="5" operator="equal" dxfId="1">
      <formula>"BELGE_EKSIK"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AKSIYON — Cari ve Ba-Bs Toplu Mutabakat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>
      <c r="I2" s="28" t="inlineStr">
        <is>
          <t>Şablon</t>
        </is>
      </c>
      <c r="J2" s="37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08" t="inlineStr">
        <is>
          <t>Tutar farkı satırları için düzeltme metni — tek yön (yazmaz, üretir)</t>
        </is>
      </c>
    </row>
    <row r="4"/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6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IF($B6&lt;&gt;"tutar_farki","",IF(ABS($C6)&gt;cbb_esikFark,"YUKSEK","NORMAL"))</f>
        <v/>
      </c>
      <c r="F6" s="16">
        <f>IF($B6&lt;&gt;"tutar_farki","","VKN "&amp;$A6&amp;" için cari↔Ba/Bs fark "&amp;TEXT($C6,"0.00")&amp;" TL. Dayanak: "&amp;$D6&amp;". Düzeltme dosyası üretildi.")</f>
        <v/>
      </c>
      <c r="G6" s="16">
        <f>IF($B6&lt;&gt;"tutar_farki","","Beklemede")</f>
        <v/>
      </c>
    </row>
    <row r="7">
      <c r="A7" s="26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IF($B7&lt;&gt;"tutar_farki","",IF(ABS($C7)&gt;cbb_esikFark,"YUKSEK","NORMAL"))</f>
        <v/>
      </c>
      <c r="F7" s="16">
        <f>IF($B7&lt;&gt;"tutar_farki","","VKN "&amp;$A7&amp;" için cari↔Ba/Bs fark "&amp;TEXT($C7,"0.00")&amp;" TL. Dayanak: "&amp;$D7&amp;". Düzeltme dosyası üretildi.")</f>
        <v/>
      </c>
      <c r="G7" s="16">
        <f>IF($B7&lt;&gt;"tutar_farki","","Beklemede")</f>
        <v/>
      </c>
    </row>
    <row r="8">
      <c r="A8" s="26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IF($B8&lt;&gt;"tutar_farki","",IF(ABS($C8)&gt;cbb_esikFark,"YUKSEK","NORMAL"))</f>
        <v/>
      </c>
      <c r="F8" s="16">
        <f>IF($B8&lt;&gt;"tutar_farki","","VKN "&amp;$A8&amp;" için cari↔Ba/Bs fark "&amp;TEXT($C8,"0.00")&amp;" TL. Dayanak: "&amp;$D8&amp;". Düzeltme dosyası üretildi.")</f>
        <v/>
      </c>
      <c r="G8" s="16">
        <f>IF($B8&lt;&gt;"tutar_farki","","Beklemede")</f>
        <v/>
      </c>
    </row>
    <row r="9">
      <c r="A9" s="26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IF($B9&lt;&gt;"tutar_farki","",IF(ABS($C9)&gt;cbb_esikFark,"YUKSEK","NORMAL"))</f>
        <v/>
      </c>
      <c r="F9" s="16">
        <f>IF($B9&lt;&gt;"tutar_farki","","VKN "&amp;$A9&amp;" için cari↔Ba/Bs fark "&amp;TEXT($C9,"0.00")&amp;" TL. Dayanak: "&amp;$D9&amp;". Düzeltme dosyası üretildi.")</f>
        <v/>
      </c>
      <c r="G9" s="16">
        <f>IF($B9&lt;&gt;"tutar_farki","","Beklemede")</f>
        <v/>
      </c>
    </row>
    <row r="10">
      <c r="A10" s="26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IF($B10&lt;&gt;"tutar_farki","",IF(ABS($C10)&gt;cbb_esikFark,"YUKSEK","NORMAL"))</f>
        <v/>
      </c>
      <c r="F10" s="16">
        <f>IF($B10&lt;&gt;"tutar_farki","","VKN "&amp;$A10&amp;" için cari↔Ba/Bs fark "&amp;TEXT($C10,"0.00")&amp;" TL. Dayanak: "&amp;$D10&amp;". Düzeltme dosyası üretildi.")</f>
        <v/>
      </c>
      <c r="G10" s="16">
        <f>IF($B10&lt;&gt;"tutar_farki","","Beklemede")</f>
        <v/>
      </c>
    </row>
    <row r="11">
      <c r="A11" s="26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IF($B11&lt;&gt;"tutar_farki","",IF(ABS($C11)&gt;cbb_esikFark,"YUKSEK","NORMAL"))</f>
        <v/>
      </c>
      <c r="F11" s="16">
        <f>IF($B11&lt;&gt;"tutar_farki","","VKN "&amp;$A11&amp;" için cari↔Ba/Bs fark "&amp;TEXT($C11,"0.00")&amp;" TL. Dayanak: "&amp;$D11&amp;". Düzeltme dosyası üretildi.")</f>
        <v/>
      </c>
      <c r="G11" s="16">
        <f>IF($B11&lt;&gt;"tutar_farki","","Beklemede")</f>
        <v/>
      </c>
    </row>
    <row r="12">
      <c r="A12" s="26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IF($B12&lt;&gt;"tutar_farki","",IF(ABS($C12)&gt;cbb_esikFark,"YUKSEK","NORMAL"))</f>
        <v/>
      </c>
      <c r="F12" s="16">
        <f>IF($B12&lt;&gt;"tutar_farki","","VKN "&amp;$A12&amp;" için cari↔Ba/Bs fark "&amp;TEXT($C12,"0.00")&amp;" TL. Dayanak: "&amp;$D12&amp;". Düzeltme dosyası üretildi.")</f>
        <v/>
      </c>
      <c r="G12" s="16">
        <f>IF($B12&lt;&gt;"tutar_farki","","Beklemede")</f>
        <v/>
      </c>
    </row>
    <row r="13">
      <c r="A13" s="26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IF($B13&lt;&gt;"tutar_farki","",IF(ABS($C13)&gt;cbb_esikFark,"YUKSEK","NORMAL"))</f>
        <v/>
      </c>
      <c r="F13" s="16">
        <f>IF($B13&lt;&gt;"tutar_farki","","VKN "&amp;$A13&amp;" için cari↔Ba/Bs fark "&amp;TEXT($C13,"0.00")&amp;" TL. Dayanak: "&amp;$D13&amp;". Düzeltme dosyası üretildi.")</f>
        <v/>
      </c>
      <c r="G13" s="16">
        <f>IF($B13&lt;&gt;"tutar_farki","","Beklemede")</f>
        <v/>
      </c>
    </row>
    <row r="14">
      <c r="A14" s="26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IF($B14&lt;&gt;"tutar_farki","",IF(ABS($C14)&gt;cbb_esikFark,"YUKSEK","NORMAL"))</f>
        <v/>
      </c>
      <c r="F14" s="16">
        <f>IF($B14&lt;&gt;"tutar_farki","","VKN "&amp;$A14&amp;" için cari↔Ba/Bs fark "&amp;TEXT($C14,"0.00")&amp;" TL. Dayanak: "&amp;$D14&amp;". Düzeltme dosyası üretildi.")</f>
        <v/>
      </c>
      <c r="G14" s="16">
        <f>IF($B14&lt;&gt;"tutar_farki","","Beklemede")</f>
        <v/>
      </c>
    </row>
    <row r="15">
      <c r="A15" s="26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IF($B15&lt;&gt;"tutar_farki","",IF(ABS($C15)&gt;cbb_esikFark,"YUKSEK","NORMAL"))</f>
        <v/>
      </c>
      <c r="F15" s="16">
        <f>IF($B15&lt;&gt;"tutar_farki","","VKN "&amp;$A15&amp;" için cari↔Ba/Bs fark "&amp;TEXT($C15,"0.00")&amp;" TL. Dayanak: "&amp;$D15&amp;". Düzeltme dosyası üretildi.")</f>
        <v/>
      </c>
      <c r="G15" s="16">
        <f>IF($B15&lt;&gt;"tutar_farki","","Beklemede")</f>
        <v/>
      </c>
    </row>
    <row r="16">
      <c r="A16" s="26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IF($B16&lt;&gt;"tutar_farki","",IF(ABS($C16)&gt;cbb_esikFark,"YUKSEK","NORMAL"))</f>
        <v/>
      </c>
      <c r="F16" s="16">
        <f>IF($B16&lt;&gt;"tutar_farki","","VKN "&amp;$A16&amp;" için cari↔Ba/Bs fark "&amp;TEXT($C16,"0.00")&amp;" TL. Dayanak: "&amp;$D16&amp;". Düzeltme dosyası üretildi.")</f>
        <v/>
      </c>
      <c r="G16" s="16">
        <f>IF($B16&lt;&gt;"tutar_farki","","Beklemede")</f>
        <v/>
      </c>
    </row>
    <row r="17">
      <c r="A17" s="26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IF($B17&lt;&gt;"tutar_farki","",IF(ABS($C17)&gt;cbb_esikFark,"YUKSEK","NORMAL"))</f>
        <v/>
      </c>
      <c r="F17" s="16">
        <f>IF($B17&lt;&gt;"tutar_farki","","VKN "&amp;$A17&amp;" için cari↔Ba/Bs fark "&amp;TEXT($C17,"0.00")&amp;" TL. Dayanak: "&amp;$D17&amp;". Düzeltme dosyası üretildi.")</f>
        <v/>
      </c>
      <c r="G17" s="16">
        <f>IF($B17&lt;&gt;"tutar_farki","","Beklemede")</f>
        <v/>
      </c>
    </row>
    <row r="18">
      <c r="A18" s="26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IF($B18&lt;&gt;"tutar_farki","",IF(ABS($C18)&gt;cbb_esikFark,"YUKSEK","NORMAL"))</f>
        <v/>
      </c>
      <c r="F18" s="16">
        <f>IF($B18&lt;&gt;"tutar_farki","","VKN "&amp;$A18&amp;" için cari↔Ba/Bs fark "&amp;TEXT($C18,"0.00")&amp;" TL. Dayanak: "&amp;$D18&amp;". Düzeltme dosyası üretildi.")</f>
        <v/>
      </c>
      <c r="G18" s="16">
        <f>IF($B18&lt;&gt;"tutar_farki","","Beklemede")</f>
        <v/>
      </c>
    </row>
    <row r="19">
      <c r="A19" s="26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IF($B19&lt;&gt;"tutar_farki","",IF(ABS($C19)&gt;cbb_esikFark,"YUKSEK","NORMAL"))</f>
        <v/>
      </c>
      <c r="F19" s="16">
        <f>IF($B19&lt;&gt;"tutar_farki","","VKN "&amp;$A19&amp;" için cari↔Ba/Bs fark "&amp;TEXT($C19,"0.00")&amp;" TL. Dayanak: "&amp;$D19&amp;". Düzeltme dosyası üretildi.")</f>
        <v/>
      </c>
      <c r="G19" s="16">
        <f>IF($B19&lt;&gt;"tutar_farki","","Beklemede")</f>
        <v/>
      </c>
    </row>
    <row r="20">
      <c r="A20" s="26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IF($B20&lt;&gt;"tutar_farki","",IF(ABS($C20)&gt;cbb_esikFark,"YUKSEK","NORMAL"))</f>
        <v/>
      </c>
      <c r="F20" s="16">
        <f>IF($B20&lt;&gt;"tutar_farki","","VKN "&amp;$A20&amp;" için cari↔Ba/Bs fark "&amp;TEXT($C20,"0.00")&amp;" TL. Dayanak: "&amp;$D20&amp;". Düzeltme dosyası üretildi.")</f>
        <v/>
      </c>
      <c r="G20" s="16">
        <f>IF($B20&lt;&gt;"tutar_farki","","Beklemede")</f>
        <v/>
      </c>
    </row>
    <row r="21">
      <c r="A21" s="26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IF($B21&lt;&gt;"tutar_farki","",IF(ABS($C21)&gt;cbb_esikFark,"YUKSEK","NORMAL"))</f>
        <v/>
      </c>
      <c r="F21" s="16">
        <f>IF($B21&lt;&gt;"tutar_farki","","VKN "&amp;$A21&amp;" için cari↔Ba/Bs fark "&amp;TEXT($C21,"0.00")&amp;" TL. Dayanak: "&amp;$D21&amp;". Düzeltme dosyası üretildi.")</f>
        <v/>
      </c>
      <c r="G21" s="16">
        <f>IF($B21&lt;&gt;"tutar_farki","","Beklemede")</f>
        <v/>
      </c>
    </row>
    <row r="22">
      <c r="A22" s="26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IF($B22&lt;&gt;"tutar_farki","",IF(ABS($C22)&gt;cbb_esikFark,"YUKSEK","NORMAL"))</f>
        <v/>
      </c>
      <c r="F22" s="16">
        <f>IF($B22&lt;&gt;"tutar_farki","","VKN "&amp;$A22&amp;" için cari↔Ba/Bs fark "&amp;TEXT($C22,"0.00")&amp;" TL. Dayanak: "&amp;$D22&amp;". Düzeltme dosyası üretildi.")</f>
        <v/>
      </c>
      <c r="G22" s="16">
        <f>IF($B22&lt;&gt;"tutar_farki","","Beklemede")</f>
        <v/>
      </c>
    </row>
    <row r="23">
      <c r="A23" s="26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IF($B23&lt;&gt;"tutar_farki","",IF(ABS($C23)&gt;cbb_esikFark,"YUKSEK","NORMAL"))</f>
        <v/>
      </c>
      <c r="F23" s="16">
        <f>IF($B23&lt;&gt;"tutar_farki","","VKN "&amp;$A23&amp;" için cari↔Ba/Bs fark "&amp;TEXT($C23,"0.00")&amp;" TL. Dayanak: "&amp;$D23&amp;". Düzeltme dosyası üretildi.")</f>
        <v/>
      </c>
      <c r="G23" s="16">
        <f>IF($B23&lt;&gt;"tutar_farki","","Beklemede")</f>
        <v/>
      </c>
    </row>
    <row r="24">
      <c r="A24" s="26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IF($B24&lt;&gt;"tutar_farki","",IF(ABS($C24)&gt;cbb_esikFark,"YUKSEK","NORMAL"))</f>
        <v/>
      </c>
      <c r="F24" s="16">
        <f>IF($B24&lt;&gt;"tutar_farki","","VKN "&amp;$A24&amp;" için cari↔Ba/Bs fark "&amp;TEXT($C24,"0.00")&amp;" TL. Dayanak: "&amp;$D24&amp;". Düzeltme dosyası üretildi.")</f>
        <v/>
      </c>
      <c r="G24" s="16">
        <f>IF($B24&lt;&gt;"tutar_farki","","Beklemede")</f>
        <v/>
      </c>
    </row>
    <row r="25">
      <c r="A25" s="26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IF($B25&lt;&gt;"tutar_farki","",IF(ABS($C25)&gt;cbb_esikFark,"YUKSEK","NORMAL"))</f>
        <v/>
      </c>
      <c r="F25" s="16">
        <f>IF($B25&lt;&gt;"tutar_farki","","VKN "&amp;$A25&amp;" için cari↔Ba/Bs fark "&amp;TEXT($C25,"0.00")&amp;" TL. Dayanak: "&amp;$D25&amp;". Düzeltme dosyası üretildi.")</f>
        <v/>
      </c>
      <c r="G25" s="16">
        <f>IF($B25&lt;&gt;"tutar_farki","","Beklemede")</f>
        <v/>
      </c>
    </row>
    <row r="26">
      <c r="A26" s="26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IF($B26&lt;&gt;"tutar_farki","",IF(ABS($C26)&gt;cbb_esikFark,"YUKSEK","NORMAL"))</f>
        <v/>
      </c>
      <c r="F26" s="16">
        <f>IF($B26&lt;&gt;"tutar_farki","","VKN "&amp;$A26&amp;" için cari↔Ba/Bs fark "&amp;TEXT($C26,"0.00")&amp;" TL. Dayanak: "&amp;$D26&amp;". Düzeltme dosyası üretildi.")</f>
        <v/>
      </c>
      <c r="G26" s="16">
        <f>IF($B26&lt;&gt;"tutar_farki","","Beklemede")</f>
        <v/>
      </c>
    </row>
    <row r="27">
      <c r="A27" s="26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IF($B27&lt;&gt;"tutar_farki","",IF(ABS($C27)&gt;cbb_esikFark,"YUKSEK","NORMAL"))</f>
        <v/>
      </c>
      <c r="F27" s="16">
        <f>IF($B27&lt;&gt;"tutar_farki","","VKN "&amp;$A27&amp;" için cari↔Ba/Bs fark "&amp;TEXT($C27,"0.00")&amp;" TL. Dayanak: "&amp;$D27&amp;". Düzeltme dosyası üretildi.")</f>
        <v/>
      </c>
      <c r="G27" s="16">
        <f>IF($B27&lt;&gt;"tutar_farki","","Beklemede")</f>
        <v/>
      </c>
    </row>
    <row r="28">
      <c r="A28" s="26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IF($B28&lt;&gt;"tutar_farki","",IF(ABS($C28)&gt;cbb_esikFark,"YUKSEK","NORMAL"))</f>
        <v/>
      </c>
      <c r="F28" s="16">
        <f>IF($B28&lt;&gt;"tutar_farki","","VKN "&amp;$A28&amp;" için cari↔Ba/Bs fark "&amp;TEXT($C28,"0.00")&amp;" TL. Dayanak: "&amp;$D28&amp;". Düzeltme dosyası üretildi.")</f>
        <v/>
      </c>
      <c r="G28" s="16">
        <f>IF($B28&lt;&gt;"tutar_farki","","Beklemede")</f>
        <v/>
      </c>
    </row>
    <row r="29">
      <c r="A29" s="26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IF($B29&lt;&gt;"tutar_farki","",IF(ABS($C29)&gt;cbb_esikFark,"YUKSEK","NORMAL"))</f>
        <v/>
      </c>
      <c r="F29" s="16">
        <f>IF($B29&lt;&gt;"tutar_farki","","VKN "&amp;$A29&amp;" için cari↔Ba/Bs fark "&amp;TEXT($C29,"0.00")&amp;" TL. Dayanak: "&amp;$D29&amp;". Düzeltme dosyası üretildi.")</f>
        <v/>
      </c>
      <c r="G29" s="16">
        <f>IF($B29&lt;&gt;"tutar_farki","","Beklemede")</f>
        <v/>
      </c>
    </row>
    <row r="30">
      <c r="A30" s="26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IF($B30&lt;&gt;"tutar_farki","",IF(ABS($C30)&gt;cbb_esikFark,"YUKSEK","NORMAL"))</f>
        <v/>
      </c>
      <c r="F30" s="16">
        <f>IF($B30&lt;&gt;"tutar_farki","","VKN "&amp;$A30&amp;" için cari↔Ba/Bs fark "&amp;TEXT($C30,"0.00")&amp;" TL. Dayanak: "&amp;$D30&amp;". Düzeltme dosyası üretildi.")</f>
        <v/>
      </c>
      <c r="G30" s="16">
        <f>IF($B30&lt;&gt;"tutar_farki","","Beklemede")</f>
        <v/>
      </c>
    </row>
    <row r="31">
      <c r="A31" s="26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IF($B31&lt;&gt;"tutar_farki","",IF(ABS($C31)&gt;cbb_esikFark,"YUKSEK","NORMAL"))</f>
        <v/>
      </c>
      <c r="F31" s="16">
        <f>IF($B31&lt;&gt;"tutar_farki","","VKN "&amp;$A31&amp;" için cari↔Ba/Bs fark "&amp;TEXT($C31,"0.00")&amp;" TL. Dayanak: "&amp;$D31&amp;". Düzeltme dosyası üretildi.")</f>
        <v/>
      </c>
      <c r="G31" s="16">
        <f>IF($B31&lt;&gt;"tutar_farki","","Beklemede")</f>
        <v/>
      </c>
    </row>
    <row r="32">
      <c r="A32" s="26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IF($B32&lt;&gt;"tutar_farki","",IF(ABS($C32)&gt;cbb_esikFark,"YUKSEK","NORMAL"))</f>
        <v/>
      </c>
      <c r="F32" s="16">
        <f>IF($B32&lt;&gt;"tutar_farki","","VKN "&amp;$A32&amp;" için cari↔Ba/Bs fark "&amp;TEXT($C32,"0.00")&amp;" TL. Dayanak: "&amp;$D32&amp;". Düzeltme dosyası üretildi.")</f>
        <v/>
      </c>
      <c r="G32" s="16">
        <f>IF($B32&lt;&gt;"tutar_farki","","Beklemede")</f>
        <v/>
      </c>
    </row>
    <row r="33">
      <c r="A33" s="26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IF($B33&lt;&gt;"tutar_farki","",IF(ABS($C33)&gt;cbb_esikFark,"YUKSEK","NORMAL"))</f>
        <v/>
      </c>
      <c r="F33" s="16">
        <f>IF($B33&lt;&gt;"tutar_farki","","VKN "&amp;$A33&amp;" için cari↔Ba/Bs fark "&amp;TEXT($C33,"0.00")&amp;" TL. Dayanak: "&amp;$D33&amp;". Düzeltme dosyası üretildi.")</f>
        <v/>
      </c>
      <c r="G33" s="16">
        <f>IF($B33&lt;&gt;"tutar_farki","","Beklemede")</f>
        <v/>
      </c>
    </row>
    <row r="34">
      <c r="A34" s="26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IF($B34&lt;&gt;"tutar_farki","",IF(ABS($C34)&gt;cbb_esikFark,"YUKSEK","NORMAL"))</f>
        <v/>
      </c>
      <c r="F34" s="16">
        <f>IF($B34&lt;&gt;"tutar_farki","","VKN "&amp;$A34&amp;" için cari↔Ba/Bs fark "&amp;TEXT($C34,"0.00")&amp;" TL. Dayanak: "&amp;$D34&amp;". Düzeltme dosyası üretildi.")</f>
        <v/>
      </c>
      <c r="G34" s="16">
        <f>IF($B34&lt;&gt;"tutar_farki","","Beklemede")</f>
        <v/>
      </c>
    </row>
    <row r="35">
      <c r="A35" s="26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IF($B35&lt;&gt;"tutar_farki","",IF(ABS($C35)&gt;cbb_esikFark,"YUKSEK","NORMAL"))</f>
        <v/>
      </c>
      <c r="F35" s="16">
        <f>IF($B35&lt;&gt;"tutar_farki","","VKN "&amp;$A35&amp;" için cari↔Ba/Bs fark "&amp;TEXT($C35,"0.00")&amp;" TL. Dayanak: "&amp;$D35&amp;". Düzeltme dosyası üretildi.")</f>
        <v/>
      </c>
      <c r="G35" s="16">
        <f>IF($B35&lt;&gt;"tutar_farki","","Beklemede")</f>
        <v/>
      </c>
    </row>
    <row r="36">
      <c r="A36" s="26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IF($B36&lt;&gt;"tutar_farki","",IF(ABS($C36)&gt;cbb_esikFark,"YUKSEK","NORMAL"))</f>
        <v/>
      </c>
      <c r="F36" s="16">
        <f>IF($B36&lt;&gt;"tutar_farki","","VKN "&amp;$A36&amp;" için cari↔Ba/Bs fark "&amp;TEXT($C36,"0.00")&amp;" TL. Dayanak: "&amp;$D36&amp;". Düzeltme dosyası üretildi.")</f>
        <v/>
      </c>
      <c r="G36" s="16">
        <f>IF($B36&lt;&gt;"tutar_farki","","Beklemede")</f>
        <v/>
      </c>
    </row>
    <row r="37">
      <c r="A37" s="26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IF($B37&lt;&gt;"tutar_farki","",IF(ABS($C37)&gt;cbb_esikFark,"YUKSEK","NORMAL"))</f>
        <v/>
      </c>
      <c r="F37" s="16">
        <f>IF($B37&lt;&gt;"tutar_farki","","VKN "&amp;$A37&amp;" için cari↔Ba/Bs fark "&amp;TEXT($C37,"0.00")&amp;" TL. Dayanak: "&amp;$D37&amp;". Düzeltme dosyası üretildi.")</f>
        <v/>
      </c>
      <c r="G37" s="16">
        <f>IF($B37&lt;&gt;"tutar_farki","","Beklemede")</f>
        <v/>
      </c>
    </row>
    <row r="38">
      <c r="A38" s="26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IF($B38&lt;&gt;"tutar_farki","",IF(ABS($C38)&gt;cbb_esikFark,"YUKSEK","NORMAL"))</f>
        <v/>
      </c>
      <c r="F38" s="16">
        <f>IF($B38&lt;&gt;"tutar_farki","","VKN "&amp;$A38&amp;" için cari↔Ba/Bs fark "&amp;TEXT($C38,"0.00")&amp;" TL. Dayanak: "&amp;$D38&amp;". Düzeltme dosyası üretildi.")</f>
        <v/>
      </c>
      <c r="G38" s="16">
        <f>IF($B38&lt;&gt;"tutar_farki","","Beklemede")</f>
        <v/>
      </c>
    </row>
    <row r="39">
      <c r="A39" s="26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IF($B39&lt;&gt;"tutar_farki","",IF(ABS($C39)&gt;cbb_esikFark,"YUKSEK","NORMAL"))</f>
        <v/>
      </c>
      <c r="F39" s="16">
        <f>IF($B39&lt;&gt;"tutar_farki","","VKN "&amp;$A39&amp;" için cari↔Ba/Bs fark "&amp;TEXT($C39,"0.00")&amp;" TL. Dayanak: "&amp;$D39&amp;". Düzeltme dosyası üretildi.")</f>
        <v/>
      </c>
      <c r="G39" s="16">
        <f>IF($B39&lt;&gt;"tutar_farki","","Beklemede")</f>
        <v/>
      </c>
    </row>
    <row r="40">
      <c r="A40" s="26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IF($B40&lt;&gt;"tutar_farki","",IF(ABS($C40)&gt;cbb_esikFark,"YUKSEK","NORMAL"))</f>
        <v/>
      </c>
      <c r="F40" s="16">
        <f>IF($B40&lt;&gt;"tutar_farki","","VKN "&amp;$A40&amp;" için cari↔Ba/Bs fark "&amp;TEXT($C40,"0.00")&amp;" TL. Dayanak: "&amp;$D40&amp;". Düzeltme dosyası üretildi.")</f>
        <v/>
      </c>
      <c r="G40" s="16">
        <f>IF($B40&lt;&gt;"tutar_farki","","Beklemede")</f>
        <v/>
      </c>
    </row>
    <row r="41">
      <c r="A41" s="26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IF($B41&lt;&gt;"tutar_farki","",IF(ABS($C41)&gt;cbb_esikFark,"YUKSEK","NORMAL"))</f>
        <v/>
      </c>
      <c r="F41" s="16">
        <f>IF($B41&lt;&gt;"tutar_farki","","VKN "&amp;$A41&amp;" için cari↔Ba/Bs fark "&amp;TEXT($C41,"0.00")&amp;" TL. Dayanak: "&amp;$D41&amp;". Düzeltme dosyası üretildi.")</f>
        <v/>
      </c>
      <c r="G41" s="16">
        <f>IF($B41&lt;&gt;"tutar_farki","","Beklemede")</f>
        <v/>
      </c>
    </row>
    <row r="42">
      <c r="A42" s="26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IF($B42&lt;&gt;"tutar_farki","",IF(ABS($C42)&gt;cbb_esikFark,"YUKSEK","NORMAL"))</f>
        <v/>
      </c>
      <c r="F42" s="16">
        <f>IF($B42&lt;&gt;"tutar_farki","","VKN "&amp;$A42&amp;" için cari↔Ba/Bs fark "&amp;TEXT($C42,"0.00")&amp;" TL. Dayanak: "&amp;$D42&amp;". Düzeltme dosyası üretildi.")</f>
        <v/>
      </c>
      <c r="G42" s="16">
        <f>IF($B42&lt;&gt;"tutar_farki","","Beklemede")</f>
        <v/>
      </c>
    </row>
    <row r="43">
      <c r="A43" s="26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IF($B43&lt;&gt;"tutar_farki","",IF(ABS($C43)&gt;cbb_esikFark,"YUKSEK","NORMAL"))</f>
        <v/>
      </c>
      <c r="F43" s="16">
        <f>IF($B43&lt;&gt;"tutar_farki","","VKN "&amp;$A43&amp;" için cari↔Ba/Bs fark "&amp;TEXT($C43,"0.00")&amp;" TL. Dayanak: "&amp;$D43&amp;". Düzeltme dosyası üretildi.")</f>
        <v/>
      </c>
      <c r="G43" s="16">
        <f>IF($B43&lt;&gt;"tutar_farki","","Beklemede")</f>
        <v/>
      </c>
    </row>
    <row r="44">
      <c r="A44" s="26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IF($B44&lt;&gt;"tutar_farki","",IF(ABS($C44)&gt;cbb_esikFark,"YUKSEK","NORMAL"))</f>
        <v/>
      </c>
      <c r="F44" s="16">
        <f>IF($B44&lt;&gt;"tutar_farki","","VKN "&amp;$A44&amp;" için cari↔Ba/Bs fark "&amp;TEXT($C44,"0.00")&amp;" TL. Dayanak: "&amp;$D44&amp;". Düzeltme dosyası üretildi.")</f>
        <v/>
      </c>
      <c r="G44" s="16">
        <f>IF($B44&lt;&gt;"tutar_farki","","Beklemede")</f>
        <v/>
      </c>
    </row>
    <row r="45">
      <c r="A45" s="26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IF($B45&lt;&gt;"tutar_farki","",IF(ABS($C45)&gt;cbb_esikFark,"YUKSEK","NORMAL"))</f>
        <v/>
      </c>
      <c r="F45" s="16">
        <f>IF($B45&lt;&gt;"tutar_farki","","VKN "&amp;$A45&amp;" için cari↔Ba/Bs fark "&amp;TEXT($C45,"0.00")&amp;" TL. Dayanak: "&amp;$D45&amp;". Düzeltme dosyası üretildi.")</f>
        <v/>
      </c>
      <c r="G45" s="16">
        <f>IF($B45&lt;&gt;"tutar_farki","","Beklemede")</f>
        <v/>
      </c>
    </row>
    <row r="46">
      <c r="A46" s="26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IF($B46&lt;&gt;"tutar_farki","",IF(ABS($C46)&gt;cbb_esikFark,"YUKSEK","NORMAL"))</f>
        <v/>
      </c>
      <c r="F46" s="16">
        <f>IF($B46&lt;&gt;"tutar_farki","","VKN "&amp;$A46&amp;" için cari↔Ba/Bs fark "&amp;TEXT($C46,"0.00")&amp;" TL. Dayanak: "&amp;$D46&amp;". Düzeltme dosyası üretildi.")</f>
        <v/>
      </c>
      <c r="G46" s="16">
        <f>IF($B46&lt;&gt;"tutar_farki","","Beklemede")</f>
        <v/>
      </c>
    </row>
    <row r="47">
      <c r="A47" s="26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IF($B47&lt;&gt;"tutar_farki","",IF(ABS($C47)&gt;cbb_esikFark,"YUKSEK","NORMAL"))</f>
        <v/>
      </c>
      <c r="F47" s="16">
        <f>IF($B47&lt;&gt;"tutar_farki","","VKN "&amp;$A47&amp;" için cari↔Ba/Bs fark "&amp;TEXT($C47,"0.00")&amp;" TL. Dayanak: "&amp;$D47&amp;". Düzeltme dosyası üretildi.")</f>
        <v/>
      </c>
      <c r="G47" s="16">
        <f>IF($B47&lt;&gt;"tutar_farki","","Beklemede")</f>
        <v/>
      </c>
    </row>
    <row r="48">
      <c r="A48" s="26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IF($B48&lt;&gt;"tutar_farki","",IF(ABS($C48)&gt;cbb_esikFark,"YUKSEK","NORMAL"))</f>
        <v/>
      </c>
      <c r="F48" s="16">
        <f>IF($B48&lt;&gt;"tutar_farki","","VKN "&amp;$A48&amp;" için cari↔Ba/Bs fark "&amp;TEXT($C48,"0.00")&amp;" TL. Dayanak: "&amp;$D48&amp;". Düzeltme dosyası üretildi.")</f>
        <v/>
      </c>
      <c r="G48" s="16">
        <f>IF($B48&lt;&gt;"tutar_farki","","Beklemede")</f>
        <v/>
      </c>
    </row>
    <row r="49">
      <c r="A49" s="26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IF($B49&lt;&gt;"tutar_farki","",IF(ABS($C49)&gt;cbb_esikFark,"YUKSEK","NORMAL"))</f>
        <v/>
      </c>
      <c r="F49" s="16">
        <f>IF($B49&lt;&gt;"tutar_farki","","VKN "&amp;$A49&amp;" için cari↔Ba/Bs fark "&amp;TEXT($C49,"0.00")&amp;" TL. Dayanak: "&amp;$D49&amp;". Düzeltme dosyası üretildi.")</f>
        <v/>
      </c>
      <c r="G49" s="16">
        <f>IF($B49&lt;&gt;"tutar_farki","","Beklemede")</f>
        <v/>
      </c>
    </row>
    <row r="50">
      <c r="A50" s="26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IF($B50&lt;&gt;"tutar_farki","",IF(ABS($C50)&gt;cbb_esikFark,"YUKSEK","NORMAL"))</f>
        <v/>
      </c>
      <c r="F50" s="16">
        <f>IF($B50&lt;&gt;"tutar_farki","","VKN "&amp;$A50&amp;" için cari↔Ba/Bs fark "&amp;TEXT($C50,"0.00")&amp;" TL. Dayanak: "&amp;$D50&amp;". Düzeltme dosyası üretildi.")</f>
        <v/>
      </c>
      <c r="G50" s="16">
        <f>IF($B50&lt;&gt;"tutar_farki","","Beklemede")</f>
        <v/>
      </c>
    </row>
    <row r="51">
      <c r="A51" s="26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IF($B51&lt;&gt;"tutar_farki","",IF(ABS($C51)&gt;cbb_esikFark,"YUKSEK","NORMAL"))</f>
        <v/>
      </c>
      <c r="F51" s="16">
        <f>IF($B51&lt;&gt;"tutar_farki","","VKN "&amp;$A51&amp;" için cari↔Ba/Bs fark "&amp;TEXT($C51,"0.00")&amp;" TL. Dayanak: "&amp;$D51&amp;". Düzeltme dosyası üretildi.")</f>
        <v/>
      </c>
      <c r="G51" s="16">
        <f>IF($B51&lt;&gt;"tutar_farki","","Beklemede")</f>
        <v/>
      </c>
    </row>
    <row r="52">
      <c r="A52" s="26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IF($B52&lt;&gt;"tutar_farki","",IF(ABS($C52)&gt;cbb_esikFark,"YUKSEK","NORMAL"))</f>
        <v/>
      </c>
      <c r="F52" s="16">
        <f>IF($B52&lt;&gt;"tutar_farki","","VKN "&amp;$A52&amp;" için cari↔Ba/Bs fark "&amp;TEXT($C52,"0.00")&amp;" TL. Dayanak: "&amp;$D52&amp;". Düzeltme dosyası üretildi.")</f>
        <v/>
      </c>
      <c r="G52" s="16">
        <f>IF($B52&lt;&gt;"tutar_farki","","Beklemede")</f>
        <v/>
      </c>
    </row>
    <row r="53">
      <c r="A53" s="26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IF($B53&lt;&gt;"tutar_farki","",IF(ABS($C53)&gt;cbb_esikFark,"YUKSEK","NORMAL"))</f>
        <v/>
      </c>
      <c r="F53" s="16">
        <f>IF($B53&lt;&gt;"tutar_farki","","VKN "&amp;$A53&amp;" için cari↔Ba/Bs fark "&amp;TEXT($C53,"0.00")&amp;" TL. Dayanak: "&amp;$D53&amp;". Düzeltme dosyası üretildi.")</f>
        <v/>
      </c>
      <c r="G53" s="16">
        <f>IF($B53&lt;&gt;"tutar_farki","","Beklemede")</f>
        <v/>
      </c>
    </row>
    <row r="54">
      <c r="A54" s="26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IF($B54&lt;&gt;"tutar_farki","",IF(ABS($C54)&gt;cbb_esikFark,"YUKSEK","NORMAL"))</f>
        <v/>
      </c>
      <c r="F54" s="16">
        <f>IF($B54&lt;&gt;"tutar_farki","","VKN "&amp;$A54&amp;" için cari↔Ba/Bs fark "&amp;TEXT($C54,"0.00")&amp;" TL. Dayanak: "&amp;$D54&amp;". Düzeltme dosyası üretildi.")</f>
        <v/>
      </c>
      <c r="G54" s="16">
        <f>IF($B54&lt;&gt;"tutar_farki","","Beklemede")</f>
        <v/>
      </c>
    </row>
    <row r="55">
      <c r="A55" s="26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IF($B55&lt;&gt;"tutar_farki","",IF(ABS($C55)&gt;cbb_esikFark,"YUKSEK","NORMAL"))</f>
        <v/>
      </c>
      <c r="F55" s="16">
        <f>IF($B55&lt;&gt;"tutar_farki","","VKN "&amp;$A55&amp;" için cari↔Ba/Bs fark "&amp;TEXT($C55,"0.00")&amp;" TL. Dayanak: "&amp;$D55&amp;". Düzeltme dosyası üretildi.")</f>
        <v/>
      </c>
      <c r="G55" s="16">
        <f>IF($B55&lt;&gt;"tutar_farki","","Beklemede")</f>
        <v/>
      </c>
    </row>
    <row r="56">
      <c r="A56" s="26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IF($B56&lt;&gt;"tutar_farki","",IF(ABS($C56)&gt;cbb_esikFark,"YUKSEK","NORMAL"))</f>
        <v/>
      </c>
      <c r="F56" s="16">
        <f>IF($B56&lt;&gt;"tutar_farki","","VKN "&amp;$A56&amp;" için cari↔Ba/Bs fark "&amp;TEXT($C56,"0.00")&amp;" TL. Dayanak: "&amp;$D56&amp;". Düzeltme dosyası üretildi.")</f>
        <v/>
      </c>
      <c r="G56" s="16">
        <f>IF($B56&lt;&gt;"tutar_farki","","Beklemede")</f>
        <v/>
      </c>
    </row>
    <row r="57">
      <c r="A57" s="26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IF($B57&lt;&gt;"tutar_farki","",IF(ABS($C57)&gt;cbb_esikFark,"YUKSEK","NORMAL"))</f>
        <v/>
      </c>
      <c r="F57" s="16">
        <f>IF($B57&lt;&gt;"tutar_farki","","VKN "&amp;$A57&amp;" için cari↔Ba/Bs fark "&amp;TEXT($C57,"0.00")&amp;" TL. Dayanak: "&amp;$D57&amp;". Düzeltme dosyası üretildi.")</f>
        <v/>
      </c>
      <c r="G57" s="16">
        <f>IF($B57&lt;&gt;"tutar_farki","","Beklemede")</f>
        <v/>
      </c>
    </row>
    <row r="58">
      <c r="A58" s="26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IF($B58&lt;&gt;"tutar_farki","",IF(ABS($C58)&gt;cbb_esikFark,"YUKSEK","NORMAL"))</f>
        <v/>
      </c>
      <c r="F58" s="16">
        <f>IF($B58&lt;&gt;"tutar_farki","","VKN "&amp;$A58&amp;" için cari↔Ba/Bs fark "&amp;TEXT($C58,"0.00")&amp;" TL. Dayanak: "&amp;$D58&amp;". Düzeltme dosyası üretildi.")</f>
        <v/>
      </c>
      <c r="G58" s="16">
        <f>IF($B58&lt;&gt;"tutar_farki","","Beklemede")</f>
        <v/>
      </c>
    </row>
    <row r="59">
      <c r="A59" s="26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IF($B59&lt;&gt;"tutar_farki","",IF(ABS($C59)&gt;cbb_esikFark,"YUKSEK","NORMAL"))</f>
        <v/>
      </c>
      <c r="F59" s="16">
        <f>IF($B59&lt;&gt;"tutar_farki","","VKN "&amp;$A59&amp;" için cari↔Ba/Bs fark "&amp;TEXT($C59,"0.00")&amp;" TL. Dayanak: "&amp;$D59&amp;". Düzeltme dosyası üretildi.")</f>
        <v/>
      </c>
      <c r="G59" s="16">
        <f>IF($B59&lt;&gt;"tutar_farki","","Beklemede")</f>
        <v/>
      </c>
    </row>
    <row r="60">
      <c r="A60" s="26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IF($B60&lt;&gt;"tutar_farki","",IF(ABS($C60)&gt;cbb_esikFark,"YUKSEK","NORMAL"))</f>
        <v/>
      </c>
      <c r="F60" s="16">
        <f>IF($B60&lt;&gt;"tutar_farki","","VKN "&amp;$A60&amp;" için cari↔Ba/Bs fark "&amp;TEXT($C60,"0.00")&amp;" TL. Dayanak: "&amp;$D60&amp;". Düzeltme dosyası üretildi.")</f>
        <v/>
      </c>
      <c r="G60" s="16">
        <f>IF($B60&lt;&gt;"tutar_farki","","Beklemede")</f>
        <v/>
      </c>
    </row>
    <row r="61">
      <c r="A61" s="26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IF($B61&lt;&gt;"tutar_farki","",IF(ABS($C61)&gt;cbb_esikFark,"YUKSEK","NORMAL"))</f>
        <v/>
      </c>
      <c r="F61" s="16">
        <f>IF($B61&lt;&gt;"tutar_farki","","VKN "&amp;$A61&amp;" için cari↔Ba/Bs fark "&amp;TEXT($C61,"0.00")&amp;" TL. Dayanak: "&amp;$D61&amp;". Düzeltme dosyası üretildi.")</f>
        <v/>
      </c>
      <c r="G61" s="16">
        <f>IF($B61&lt;&gt;"tutar_farki","","Beklemede")</f>
        <v/>
      </c>
    </row>
    <row r="62">
      <c r="A62" s="26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IF($B62&lt;&gt;"tutar_farki","",IF(ABS($C62)&gt;cbb_esikFark,"YUKSEK","NORMAL"))</f>
        <v/>
      </c>
      <c r="F62" s="16">
        <f>IF($B62&lt;&gt;"tutar_farki","","VKN "&amp;$A62&amp;" için cari↔Ba/Bs fark "&amp;TEXT($C62,"0.00")&amp;" TL. Dayanak: "&amp;$D62&amp;". Düzeltme dosyası üretildi.")</f>
        <v/>
      </c>
      <c r="G62" s="16">
        <f>IF($B62&lt;&gt;"tutar_farki","","Beklemede")</f>
        <v/>
      </c>
    </row>
    <row r="63">
      <c r="A63" s="26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IF($B63&lt;&gt;"tutar_farki","",IF(ABS($C63)&gt;cbb_esikFark,"YUKSEK","NORMAL"))</f>
        <v/>
      </c>
      <c r="F63" s="16">
        <f>IF($B63&lt;&gt;"tutar_farki","","VKN "&amp;$A63&amp;" için cari↔Ba/Bs fark "&amp;TEXT($C63,"0.00")&amp;" TL. Dayanak: "&amp;$D63&amp;". Düzeltme dosyası üretildi.")</f>
        <v/>
      </c>
      <c r="G63" s="16">
        <f>IF($B63&lt;&gt;"tutar_farki","","Beklemede")</f>
        <v/>
      </c>
    </row>
    <row r="64">
      <c r="A64" s="26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IF($B64&lt;&gt;"tutar_farki","",IF(ABS($C64)&gt;cbb_esikFark,"YUKSEK","NORMAL"))</f>
        <v/>
      </c>
      <c r="F64" s="16">
        <f>IF($B64&lt;&gt;"tutar_farki","","VKN "&amp;$A64&amp;" için cari↔Ba/Bs fark "&amp;TEXT($C64,"0.00")&amp;" TL. Dayanak: "&amp;$D64&amp;". Düzeltme dosyası üretildi.")</f>
        <v/>
      </c>
      <c r="G64" s="16">
        <f>IF($B64&lt;&gt;"tutar_farki","","Beklemede")</f>
        <v/>
      </c>
    </row>
    <row r="65">
      <c r="A65" s="26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IF($B65&lt;&gt;"tutar_farki","",IF(ABS($C65)&gt;cbb_esikFark,"YUKSEK","NORMAL"))</f>
        <v/>
      </c>
      <c r="F65" s="16">
        <f>IF($B65&lt;&gt;"tutar_farki","","VKN "&amp;$A65&amp;" için cari↔Ba/Bs fark "&amp;TEXT($C65,"0.00")&amp;" TL. Dayanak: "&amp;$D65&amp;". Düzeltme dosyası üretildi.")</f>
        <v/>
      </c>
      <c r="G65" s="16">
        <f>IF($B65&lt;&gt;"tutar_farki","","Beklemede")</f>
        <v/>
      </c>
    </row>
    <row r="66">
      <c r="A66" s="26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IF($B66&lt;&gt;"tutar_farki","",IF(ABS($C66)&gt;cbb_esikFark,"YUKSEK","NORMAL"))</f>
        <v/>
      </c>
      <c r="F66" s="16">
        <f>IF($B66&lt;&gt;"tutar_farki","","VKN "&amp;$A66&amp;" için cari↔Ba/Bs fark "&amp;TEXT($C66,"0.00")&amp;" TL. Dayanak: "&amp;$D66&amp;". Düzeltme dosyası üretildi.")</f>
        <v/>
      </c>
      <c r="G66" s="16">
        <f>IF($B66&lt;&gt;"tutar_farki","","Beklemede")</f>
        <v/>
      </c>
    </row>
    <row r="67">
      <c r="A67" s="26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IF($B67&lt;&gt;"tutar_farki","",IF(ABS($C67)&gt;cbb_esikFark,"YUKSEK","NORMAL"))</f>
        <v/>
      </c>
      <c r="F67" s="16">
        <f>IF($B67&lt;&gt;"tutar_farki","","VKN "&amp;$A67&amp;" için cari↔Ba/Bs fark "&amp;TEXT($C67,"0.00")&amp;" TL. Dayanak: "&amp;$D67&amp;". Düzeltme dosyası üretildi.")</f>
        <v/>
      </c>
      <c r="G67" s="16">
        <f>IF($B67&lt;&gt;"tutar_farki","","Beklemede")</f>
        <v/>
      </c>
    </row>
    <row r="68">
      <c r="A68" s="26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IF($B68&lt;&gt;"tutar_farki","",IF(ABS($C68)&gt;cbb_esikFark,"YUKSEK","NORMAL"))</f>
        <v/>
      </c>
      <c r="F68" s="16">
        <f>IF($B68&lt;&gt;"tutar_farki","","VKN "&amp;$A68&amp;" için cari↔Ba/Bs fark "&amp;TEXT($C68,"0.00")&amp;" TL. Dayanak: "&amp;$D68&amp;". Düzeltme dosyası üretildi.")</f>
        <v/>
      </c>
      <c r="G68" s="16">
        <f>IF($B68&lt;&gt;"tutar_farki","","Beklemede")</f>
        <v/>
      </c>
    </row>
    <row r="69">
      <c r="A69" s="26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IF($B69&lt;&gt;"tutar_farki","",IF(ABS($C69)&gt;cbb_esikFark,"YUKSEK","NORMAL"))</f>
        <v/>
      </c>
      <c r="F69" s="16">
        <f>IF($B69&lt;&gt;"tutar_farki","","VKN "&amp;$A69&amp;" için cari↔Ba/Bs fark "&amp;TEXT($C69,"0.00")&amp;" TL. Dayanak: "&amp;$D69&amp;". Düzeltme dosyası üretildi.")</f>
        <v/>
      </c>
      <c r="G69" s="16">
        <f>IF($B69&lt;&gt;"tutar_farki","","Beklemede")</f>
        <v/>
      </c>
    </row>
    <row r="70">
      <c r="A70" s="26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IF($B70&lt;&gt;"tutar_farki","",IF(ABS($C70)&gt;cbb_esikFark,"YUKSEK","NORMAL"))</f>
        <v/>
      </c>
      <c r="F70" s="16">
        <f>IF($B70&lt;&gt;"tutar_farki","","VKN "&amp;$A70&amp;" için cari↔Ba/Bs fark "&amp;TEXT($C70,"0.00")&amp;" TL. Dayanak: "&amp;$D70&amp;". Düzeltme dosyası üretildi.")</f>
        <v/>
      </c>
      <c r="G70" s="16">
        <f>IF($B70&lt;&gt;"tutar_farki","","Beklemede")</f>
        <v/>
      </c>
    </row>
    <row r="71">
      <c r="A71" s="26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IF($B71&lt;&gt;"tutar_farki","",IF(ABS($C71)&gt;cbb_esikFark,"YUKSEK","NORMAL"))</f>
        <v/>
      </c>
      <c r="F71" s="16">
        <f>IF($B71&lt;&gt;"tutar_farki","","VKN "&amp;$A71&amp;" için cari↔Ba/Bs fark "&amp;TEXT($C71,"0.00")&amp;" TL. Dayanak: "&amp;$D71&amp;". Düzeltme dosyası üretildi.")</f>
        <v/>
      </c>
      <c r="G71" s="16">
        <f>IF($B71&lt;&gt;"tutar_farki","","Beklemede")</f>
        <v/>
      </c>
    </row>
    <row r="72">
      <c r="A72" s="26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IF($B72&lt;&gt;"tutar_farki","",IF(ABS($C72)&gt;cbb_esikFark,"YUKSEK","NORMAL"))</f>
        <v/>
      </c>
      <c r="F72" s="16">
        <f>IF($B72&lt;&gt;"tutar_farki","","VKN "&amp;$A72&amp;" için cari↔Ba/Bs fark "&amp;TEXT($C72,"0.00")&amp;" TL. Dayanak: "&amp;$D72&amp;". Düzeltme dosyası üretildi.")</f>
        <v/>
      </c>
      <c r="G72" s="16">
        <f>IF($B72&lt;&gt;"tutar_farki","","Beklemede")</f>
        <v/>
      </c>
    </row>
    <row r="73">
      <c r="A73" s="26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IF($B73&lt;&gt;"tutar_farki","",IF(ABS($C73)&gt;cbb_esikFark,"YUKSEK","NORMAL"))</f>
        <v/>
      </c>
      <c r="F73" s="16">
        <f>IF($B73&lt;&gt;"tutar_farki","","VKN "&amp;$A73&amp;" için cari↔Ba/Bs fark "&amp;TEXT($C73,"0.00")&amp;" TL. Dayanak: "&amp;$D73&amp;". Düzeltme dosyası üretildi.")</f>
        <v/>
      </c>
      <c r="G73" s="16">
        <f>IF($B73&lt;&gt;"tutar_farki","","Beklemede")</f>
        <v/>
      </c>
    </row>
    <row r="74">
      <c r="A74" s="26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IF($B74&lt;&gt;"tutar_farki","",IF(ABS($C74)&gt;cbb_esikFark,"YUKSEK","NORMAL"))</f>
        <v/>
      </c>
      <c r="F74" s="16">
        <f>IF($B74&lt;&gt;"tutar_farki","","VKN "&amp;$A74&amp;" için cari↔Ba/Bs fark "&amp;TEXT($C74,"0.00")&amp;" TL. Dayanak: "&amp;$D74&amp;". Düzeltme dosyası üretildi.")</f>
        <v/>
      </c>
      <c r="G74" s="16">
        <f>IF($B74&lt;&gt;"tutar_farki","","Beklemede")</f>
        <v/>
      </c>
    </row>
    <row r="75">
      <c r="A75" s="26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IF($B75&lt;&gt;"tutar_farki","",IF(ABS($C75)&gt;cbb_esikFark,"YUKSEK","NORMAL"))</f>
        <v/>
      </c>
      <c r="F75" s="16">
        <f>IF($B75&lt;&gt;"tutar_farki","","VKN "&amp;$A75&amp;" için cari↔Ba/Bs fark "&amp;TEXT($C75,"0.00")&amp;" TL. Dayanak: "&amp;$D75&amp;". Düzeltme dosyası üretildi.")</f>
        <v/>
      </c>
      <c r="G75" s="16">
        <f>IF($B75&lt;&gt;"tutar_farki","","Beklemede")</f>
        <v/>
      </c>
    </row>
    <row r="76">
      <c r="A76" s="26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IF($B76&lt;&gt;"tutar_farki","",IF(ABS($C76)&gt;cbb_esikFark,"YUKSEK","NORMAL"))</f>
        <v/>
      </c>
      <c r="F76" s="16">
        <f>IF($B76&lt;&gt;"tutar_farki","","VKN "&amp;$A76&amp;" için cari↔Ba/Bs fark "&amp;TEXT($C76,"0.00")&amp;" TL. Dayanak: "&amp;$D76&amp;". Düzeltme dosyası üretildi.")</f>
        <v/>
      </c>
      <c r="G76" s="16">
        <f>IF($B76&lt;&gt;"tutar_farki","","Beklemede")</f>
        <v/>
      </c>
    </row>
    <row r="77">
      <c r="A77" s="26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IF($B77&lt;&gt;"tutar_farki","",IF(ABS($C77)&gt;cbb_esikFark,"YUKSEK","NORMAL"))</f>
        <v/>
      </c>
      <c r="F77" s="16">
        <f>IF($B77&lt;&gt;"tutar_farki","","VKN "&amp;$A77&amp;" için cari↔Ba/Bs fark "&amp;TEXT($C77,"0.00")&amp;" TL. Dayanak: "&amp;$D77&amp;". Düzeltme dosyası üretildi.")</f>
        <v/>
      </c>
      <c r="G77" s="16">
        <f>IF($B77&lt;&gt;"tutar_farki","","Beklemede")</f>
        <v/>
      </c>
    </row>
    <row r="78">
      <c r="A78" s="26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IF($B78&lt;&gt;"tutar_farki","",IF(ABS($C78)&gt;cbb_esikFark,"YUKSEK","NORMAL"))</f>
        <v/>
      </c>
      <c r="F78" s="16">
        <f>IF($B78&lt;&gt;"tutar_farki","","VKN "&amp;$A78&amp;" için cari↔Ba/Bs fark "&amp;TEXT($C78,"0.00")&amp;" TL. Dayanak: "&amp;$D78&amp;". Düzeltme dosyası üretildi.")</f>
        <v/>
      </c>
      <c r="G78" s="16">
        <f>IF($B78&lt;&gt;"tutar_farki","","Beklemede")</f>
        <v/>
      </c>
    </row>
    <row r="79">
      <c r="A79" s="26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IF($B79&lt;&gt;"tutar_farki","",IF(ABS($C79)&gt;cbb_esikFark,"YUKSEK","NORMAL"))</f>
        <v/>
      </c>
      <c r="F79" s="16">
        <f>IF($B79&lt;&gt;"tutar_farki","","VKN "&amp;$A79&amp;" için cari↔Ba/Bs fark "&amp;TEXT($C79,"0.00")&amp;" TL. Dayanak: "&amp;$D79&amp;". Düzeltme dosyası üretildi.")</f>
        <v/>
      </c>
      <c r="G79" s="16">
        <f>IF($B79&lt;&gt;"tutar_farki","","Beklemede")</f>
        <v/>
      </c>
    </row>
    <row r="80">
      <c r="A80" s="26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IF($B80&lt;&gt;"tutar_farki","",IF(ABS($C80)&gt;cbb_esikFark,"YUKSEK","NORMAL"))</f>
        <v/>
      </c>
      <c r="F80" s="16">
        <f>IF($B80&lt;&gt;"tutar_farki","","VKN "&amp;$A80&amp;" için cari↔Ba/Bs fark "&amp;TEXT($C80,"0.00")&amp;" TL. Dayanak: "&amp;$D80&amp;". Düzeltme dosyası üretildi.")</f>
        <v/>
      </c>
      <c r="G80" s="16">
        <f>IF($B80&lt;&gt;"tutar_farki","","Beklemede")</f>
        <v/>
      </c>
    </row>
    <row r="81">
      <c r="A81" s="26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IF($B81&lt;&gt;"tutar_farki","",IF(ABS($C81)&gt;cbb_esikFark,"YUKSEK","NORMAL"))</f>
        <v/>
      </c>
      <c r="F81" s="16">
        <f>IF($B81&lt;&gt;"tutar_farki","","VKN "&amp;$A81&amp;" için cari↔Ba/Bs fark "&amp;TEXT($C81,"0.00")&amp;" TL. Dayanak: "&amp;$D81&amp;". Düzeltme dosyası üretildi.")</f>
        <v/>
      </c>
      <c r="G81" s="16">
        <f>IF($B81&lt;&gt;"tutar_farki","","Beklemede")</f>
        <v/>
      </c>
    </row>
    <row r="82">
      <c r="A82" s="26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IF($B82&lt;&gt;"tutar_farki","",IF(ABS($C82)&gt;cbb_esikFark,"YUKSEK","NORMAL"))</f>
        <v/>
      </c>
      <c r="F82" s="16">
        <f>IF($B82&lt;&gt;"tutar_farki","","VKN "&amp;$A82&amp;" için cari↔Ba/Bs fark "&amp;TEXT($C82,"0.00")&amp;" TL. Dayanak: "&amp;$D82&amp;". Düzeltme dosyası üretildi.")</f>
        <v/>
      </c>
      <c r="G82" s="16">
        <f>IF($B82&lt;&gt;"tutar_farki","","Beklemede")</f>
        <v/>
      </c>
    </row>
    <row r="83">
      <c r="A83" s="26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IF($B83&lt;&gt;"tutar_farki","",IF(ABS($C83)&gt;cbb_esikFark,"YUKSEK","NORMAL"))</f>
        <v/>
      </c>
      <c r="F83" s="16">
        <f>IF($B83&lt;&gt;"tutar_farki","","VKN "&amp;$A83&amp;" için cari↔Ba/Bs fark "&amp;TEXT($C83,"0.00")&amp;" TL. Dayanak: "&amp;$D83&amp;". Düzeltme dosyası üretildi.")</f>
        <v/>
      </c>
      <c r="G83" s="16">
        <f>IF($B83&lt;&gt;"tutar_farki","","Beklemede")</f>
        <v/>
      </c>
    </row>
    <row r="84">
      <c r="A84" s="26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IF($B84&lt;&gt;"tutar_farki","",IF(ABS($C84)&gt;cbb_esikFark,"YUKSEK","NORMAL"))</f>
        <v/>
      </c>
      <c r="F84" s="16">
        <f>IF($B84&lt;&gt;"tutar_farki","","VKN "&amp;$A84&amp;" için cari↔Ba/Bs fark "&amp;TEXT($C84,"0.00")&amp;" TL. Dayanak: "&amp;$D84&amp;". Düzeltme dosyası üretildi.")</f>
        <v/>
      </c>
      <c r="G84" s="16">
        <f>IF($B84&lt;&gt;"tutar_farki","","Beklemede")</f>
        <v/>
      </c>
    </row>
    <row r="85">
      <c r="A85" s="26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IF($B85&lt;&gt;"tutar_farki","",IF(ABS($C85)&gt;cbb_esikFark,"YUKSEK","NORMAL"))</f>
        <v/>
      </c>
      <c r="F85" s="16">
        <f>IF($B85&lt;&gt;"tutar_farki","","VKN "&amp;$A85&amp;" için cari↔Ba/Bs fark "&amp;TEXT($C85,"0.00")&amp;" TL. Dayanak: "&amp;$D85&amp;". Düzeltme dosyası üretildi.")</f>
        <v/>
      </c>
      <c r="G85" s="16">
        <f>IF($B85&lt;&gt;"tutar_farki","","Beklemede")</f>
        <v/>
      </c>
    </row>
    <row r="86">
      <c r="A86" s="26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IF($B86&lt;&gt;"tutar_farki","",IF(ABS($C86)&gt;cbb_esikFark,"YUKSEK","NORMAL"))</f>
        <v/>
      </c>
      <c r="F86" s="16">
        <f>IF($B86&lt;&gt;"tutar_farki","","VKN "&amp;$A86&amp;" için cari↔Ba/Bs fark "&amp;TEXT($C86,"0.00")&amp;" TL. Dayanak: "&amp;$D86&amp;". Düzeltme dosyası üretildi.")</f>
        <v/>
      </c>
      <c r="G86" s="16">
        <f>IF($B86&lt;&gt;"tutar_farki","","Beklemede")</f>
        <v/>
      </c>
    </row>
    <row r="87">
      <c r="A87" s="26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IF($B87&lt;&gt;"tutar_farki","",IF(ABS($C87)&gt;cbb_esikFark,"YUKSEK","NORMAL"))</f>
        <v/>
      </c>
      <c r="F87" s="16">
        <f>IF($B87&lt;&gt;"tutar_farki","","VKN "&amp;$A87&amp;" için cari↔Ba/Bs fark "&amp;TEXT($C87,"0.00")&amp;" TL. Dayanak: "&amp;$D87&amp;". Düzeltme dosyası üretildi.")</f>
        <v/>
      </c>
      <c r="G87" s="16">
        <f>IF($B87&lt;&gt;"tutar_farki","","Beklemede")</f>
        <v/>
      </c>
    </row>
    <row r="88">
      <c r="A88" s="26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IF($B88&lt;&gt;"tutar_farki","",IF(ABS($C88)&gt;cbb_esikFark,"YUKSEK","NORMAL"))</f>
        <v/>
      </c>
      <c r="F88" s="16">
        <f>IF($B88&lt;&gt;"tutar_farki","","VKN "&amp;$A88&amp;" için cari↔Ba/Bs fark "&amp;TEXT($C88,"0.00")&amp;" TL. Dayanak: "&amp;$D88&amp;". Düzeltme dosyası üretildi.")</f>
        <v/>
      </c>
      <c r="G88" s="16">
        <f>IF($B88&lt;&gt;"tutar_farki","","Beklemede")</f>
        <v/>
      </c>
    </row>
    <row r="89">
      <c r="A89" s="26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IF($B89&lt;&gt;"tutar_farki","",IF(ABS($C89)&gt;cbb_esikFark,"YUKSEK","NORMAL"))</f>
        <v/>
      </c>
      <c r="F89" s="16">
        <f>IF($B89&lt;&gt;"tutar_farki","","VKN "&amp;$A89&amp;" için cari↔Ba/Bs fark "&amp;TEXT($C89,"0.00")&amp;" TL. Dayanak: "&amp;$D89&amp;". Düzeltme dosyası üretildi.")</f>
        <v/>
      </c>
      <c r="G89" s="16">
        <f>IF($B89&lt;&gt;"tutar_farki","","Beklemede")</f>
        <v/>
      </c>
    </row>
    <row r="90">
      <c r="A90" s="26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IF($B90&lt;&gt;"tutar_farki","",IF(ABS($C90)&gt;cbb_esikFark,"YUKSEK","NORMAL"))</f>
        <v/>
      </c>
      <c r="F90" s="16">
        <f>IF($B90&lt;&gt;"tutar_farki","","VKN "&amp;$A90&amp;" için cari↔Ba/Bs fark "&amp;TEXT($C90,"0.00")&amp;" TL. Dayanak: "&amp;$D90&amp;". Düzeltme dosyası üretildi.")</f>
        <v/>
      </c>
      <c r="G90" s="16">
        <f>IF($B90&lt;&gt;"tutar_farki","","Beklemede")</f>
        <v/>
      </c>
    </row>
    <row r="91">
      <c r="A91" s="26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IF($B91&lt;&gt;"tutar_farki","",IF(ABS($C91)&gt;cbb_esikFark,"YUKSEK","NORMAL"))</f>
        <v/>
      </c>
      <c r="F91" s="16">
        <f>IF($B91&lt;&gt;"tutar_farki","","VKN "&amp;$A91&amp;" için cari↔Ba/Bs fark "&amp;TEXT($C91,"0.00")&amp;" TL. Dayanak: "&amp;$D91&amp;". Düzeltme dosyası üretildi.")</f>
        <v/>
      </c>
      <c r="G91" s="16">
        <f>IF($B91&lt;&gt;"tutar_farki","","Beklemede")</f>
        <v/>
      </c>
    </row>
    <row r="92">
      <c r="A92" s="26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IF($B92&lt;&gt;"tutar_farki","",IF(ABS($C92)&gt;cbb_esikFark,"YUKSEK","NORMAL"))</f>
        <v/>
      </c>
      <c r="F92" s="16">
        <f>IF($B92&lt;&gt;"tutar_farki","","VKN "&amp;$A92&amp;" için cari↔Ba/Bs fark "&amp;TEXT($C92,"0.00")&amp;" TL. Dayanak: "&amp;$D92&amp;". Düzeltme dosyası üretildi.")</f>
        <v/>
      </c>
      <c r="G92" s="16">
        <f>IF($B92&lt;&gt;"tutar_farki","","Beklemede")</f>
        <v/>
      </c>
    </row>
    <row r="93">
      <c r="A93" s="26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IF($B93&lt;&gt;"tutar_farki","",IF(ABS($C93)&gt;cbb_esikFark,"YUKSEK","NORMAL"))</f>
        <v/>
      </c>
      <c r="F93" s="16">
        <f>IF($B93&lt;&gt;"tutar_farki","","VKN "&amp;$A93&amp;" için cari↔Ba/Bs fark "&amp;TEXT($C93,"0.00")&amp;" TL. Dayanak: "&amp;$D93&amp;". Düzeltme dosyası üretildi.")</f>
        <v/>
      </c>
      <c r="G93" s="16">
        <f>IF($B93&lt;&gt;"tutar_farki","","Beklemede")</f>
        <v/>
      </c>
    </row>
    <row r="94">
      <c r="A94" s="26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IF($B94&lt;&gt;"tutar_farki","",IF(ABS($C94)&gt;cbb_esikFark,"YUKSEK","NORMAL"))</f>
        <v/>
      </c>
      <c r="F94" s="16">
        <f>IF($B94&lt;&gt;"tutar_farki","","VKN "&amp;$A94&amp;" için cari↔Ba/Bs fark "&amp;TEXT($C94,"0.00")&amp;" TL. Dayanak: "&amp;$D94&amp;". Düzeltme dosyası üretildi.")</f>
        <v/>
      </c>
      <c r="G94" s="16">
        <f>IF($B94&lt;&gt;"tutar_farki","","Beklemede")</f>
        <v/>
      </c>
    </row>
    <row r="95">
      <c r="A95" s="26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IF($B95&lt;&gt;"tutar_farki","",IF(ABS($C95)&gt;cbb_esikFark,"YUKSEK","NORMAL"))</f>
        <v/>
      </c>
      <c r="F95" s="16">
        <f>IF($B95&lt;&gt;"tutar_farki","","VKN "&amp;$A95&amp;" için cari↔Ba/Bs fark "&amp;TEXT($C95,"0.00")&amp;" TL. Dayanak: "&amp;$D95&amp;". Düzeltme dosyası üretildi.")</f>
        <v/>
      </c>
      <c r="G95" s="16">
        <f>IF($B95&lt;&gt;"tutar_farki","","Beklemede")</f>
        <v/>
      </c>
    </row>
    <row r="96">
      <c r="A96" s="26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IF($B96&lt;&gt;"tutar_farki","",IF(ABS($C96)&gt;cbb_esikFark,"YUKSEK","NORMAL"))</f>
        <v/>
      </c>
      <c r="F96" s="16">
        <f>IF($B96&lt;&gt;"tutar_farki","","VKN "&amp;$A96&amp;" için cari↔Ba/Bs fark "&amp;TEXT($C96,"0.00")&amp;" TL. Dayanak: "&amp;$D96&amp;". Düzeltme dosyası üretildi.")</f>
        <v/>
      </c>
      <c r="G96" s="16">
        <f>IF($B96&lt;&gt;"tutar_farki","","Beklemede")</f>
        <v/>
      </c>
    </row>
    <row r="97">
      <c r="A97" s="26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IF($B97&lt;&gt;"tutar_farki","",IF(ABS($C97)&gt;cbb_esikFark,"YUKSEK","NORMAL"))</f>
        <v/>
      </c>
      <c r="F97" s="16">
        <f>IF($B97&lt;&gt;"tutar_farki","","VKN "&amp;$A97&amp;" için cari↔Ba/Bs fark "&amp;TEXT($C97,"0.00")&amp;" TL. Dayanak: "&amp;$D97&amp;". Düzeltme dosyası üretildi.")</f>
        <v/>
      </c>
      <c r="G97" s="16">
        <f>IF($B97&lt;&gt;"tutar_farki","","Beklemede")</f>
        <v/>
      </c>
    </row>
    <row r="98">
      <c r="A98" s="26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IF($B98&lt;&gt;"tutar_farki","",IF(ABS($C98)&gt;cbb_esikFark,"YUKSEK","NORMAL"))</f>
        <v/>
      </c>
      <c r="F98" s="16">
        <f>IF($B98&lt;&gt;"tutar_farki","","VKN "&amp;$A98&amp;" için cari↔Ba/Bs fark "&amp;TEXT($C98,"0.00")&amp;" TL. Dayanak: "&amp;$D98&amp;". Düzeltme dosyası üretildi.")</f>
        <v/>
      </c>
      <c r="G98" s="16">
        <f>IF($B98&lt;&gt;"tutar_farki","","Beklemede")</f>
        <v/>
      </c>
    </row>
    <row r="99">
      <c r="A99" s="26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IF($B99&lt;&gt;"tutar_farki","",IF(ABS($C99)&gt;cbb_esikFark,"YUKSEK","NORMAL"))</f>
        <v/>
      </c>
      <c r="F99" s="16">
        <f>IF($B99&lt;&gt;"tutar_farki","","VKN "&amp;$A99&amp;" için cari↔Ba/Bs fark "&amp;TEXT($C99,"0.00")&amp;" TL. Dayanak: "&amp;$D99&amp;". Düzeltme dosyası üretildi.")</f>
        <v/>
      </c>
      <c r="G99" s="16">
        <f>IF($B99&lt;&gt;"tutar_farki","","Beklemede")</f>
        <v/>
      </c>
    </row>
    <row r="100">
      <c r="A100" s="26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IF($B100&lt;&gt;"tutar_farki","",IF(ABS($C100)&gt;cbb_esikFark,"YUKSEK","NORMAL"))</f>
        <v/>
      </c>
      <c r="F100" s="16">
        <f>IF($B100&lt;&gt;"tutar_farki","","VKN "&amp;$A100&amp;" için cari↔Ba/Bs fark "&amp;TEXT($C100,"0.00")&amp;" TL. Dayanak: "&amp;$D100&amp;". Düzeltme dosyası üretildi.")</f>
        <v/>
      </c>
      <c r="G100" s="16">
        <f>IF($B100&lt;&gt;"tutar_farki","","Beklemede")</f>
        <v/>
      </c>
    </row>
    <row r="101">
      <c r="A101" s="26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IF($B101&lt;&gt;"tutar_farki","",IF(ABS($C101)&gt;cbb_esikFark,"YUKSEK","NORMAL"))</f>
        <v/>
      </c>
      <c r="F101" s="16">
        <f>IF($B101&lt;&gt;"tutar_farki","","VKN "&amp;$A101&amp;" için cari↔Ba/Bs fark "&amp;TEXT($C101,"0.00")&amp;" TL. Dayanak: "&amp;$D101&amp;". Düzeltme dosyası üretildi.")</f>
        <v/>
      </c>
      <c r="G101" s="16">
        <f>IF($B101&lt;&gt;"tutar_farki","","Beklemede")</f>
        <v/>
      </c>
    </row>
    <row r="102">
      <c r="A102" s="26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IF($B102&lt;&gt;"tutar_farki","",IF(ABS($C102)&gt;cbb_esikFark,"YUKSEK","NORMAL"))</f>
        <v/>
      </c>
      <c r="F102" s="16">
        <f>IF($B102&lt;&gt;"tutar_farki","","VKN "&amp;$A102&amp;" için cari↔Ba/Bs fark "&amp;TEXT($C102,"0.00")&amp;" TL. Dayanak: "&amp;$D102&amp;". Düzeltme dosyası üretildi.")</f>
        <v/>
      </c>
      <c r="G102" s="16">
        <f>IF($B102&lt;&gt;"tutar_farki","","Beklemede")</f>
        <v/>
      </c>
    </row>
    <row r="103">
      <c r="A103" s="26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IF($B103&lt;&gt;"tutar_farki","",IF(ABS($C103)&gt;cbb_esikFark,"YUKSEK","NORMAL"))</f>
        <v/>
      </c>
      <c r="F103" s="16">
        <f>IF($B103&lt;&gt;"tutar_farki","","VKN "&amp;$A103&amp;" için cari↔Ba/Bs fark "&amp;TEXT($C103,"0.00")&amp;" TL. Dayanak: "&amp;$D103&amp;". Düzeltme dosyası üretildi.")</f>
        <v/>
      </c>
      <c r="G103" s="16">
        <f>IF($B103&lt;&gt;"tutar_farki","","Beklemede")</f>
        <v/>
      </c>
    </row>
    <row r="104">
      <c r="A104" s="26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IF($B104&lt;&gt;"tutar_farki","",IF(ABS($C104)&gt;cbb_esikFark,"YUKSEK","NORMAL"))</f>
        <v/>
      </c>
      <c r="F104" s="16">
        <f>IF($B104&lt;&gt;"tutar_farki","","VKN "&amp;$A104&amp;" için cari↔Ba/Bs fark "&amp;TEXT($C104,"0.00")&amp;" TL. Dayanak: "&amp;$D104&amp;". Düzeltme dosyası üretildi.")</f>
        <v/>
      </c>
      <c r="G104" s="16">
        <f>IF($B104&lt;&gt;"tutar_farki","","Beklemede")</f>
        <v/>
      </c>
    </row>
    <row r="105">
      <c r="A105" s="26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IF($B105&lt;&gt;"tutar_farki","",IF(ABS($C105)&gt;cbb_esikFark,"YUKSEK","NORMAL"))</f>
        <v/>
      </c>
      <c r="F105" s="16">
        <f>IF($B105&lt;&gt;"tutar_farki","","VKN "&amp;$A105&amp;" için cari↔Ba/Bs fark "&amp;TEXT($C105,"0.00")&amp;" TL. Dayanak: "&amp;$D105&amp;". Düzeltme dosyası üretildi.")</f>
        <v/>
      </c>
      <c r="G105" s="16">
        <f>IF($B105&lt;&gt;"tutar_farki","","Beklemede")</f>
        <v/>
      </c>
    </row>
    <row r="106">
      <c r="A106" s="26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IF($B106&lt;&gt;"tutar_farki","",IF(ABS($C106)&gt;cbb_esikFark,"YUKSEK","NORMAL"))</f>
        <v/>
      </c>
      <c r="F106" s="16">
        <f>IF($B106&lt;&gt;"tutar_farki","","VKN "&amp;$A106&amp;" için cari↔Ba/Bs fark "&amp;TEXT($C106,"0.00")&amp;" TL. Dayanak: "&amp;$D106&amp;". Düzeltme dosyası üretildi.")</f>
        <v/>
      </c>
      <c r="G106" s="16">
        <f>IF($B106&lt;&gt;"tutar_farki","","Beklemede")</f>
        <v/>
      </c>
    </row>
    <row r="107">
      <c r="A107" s="26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IF($B107&lt;&gt;"tutar_farki","",IF(ABS($C107)&gt;cbb_esikFark,"YUKSEK","NORMAL"))</f>
        <v/>
      </c>
      <c r="F107" s="16">
        <f>IF($B107&lt;&gt;"tutar_farki","","VKN "&amp;$A107&amp;" için cari↔Ba/Bs fark "&amp;TEXT($C107,"0.00")&amp;" TL. Dayanak: "&amp;$D107&amp;". Düzeltme dosyası üretildi.")</f>
        <v/>
      </c>
      <c r="G107" s="16">
        <f>IF($B107&lt;&gt;"tutar_farki","","Beklemede")</f>
        <v/>
      </c>
    </row>
    <row r="108">
      <c r="A108" s="26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IF($B108&lt;&gt;"tutar_farki","",IF(ABS($C108)&gt;cbb_esikFark,"YUKSEK","NORMAL"))</f>
        <v/>
      </c>
      <c r="F108" s="16">
        <f>IF($B108&lt;&gt;"tutar_farki","","VKN "&amp;$A108&amp;" için cari↔Ba/Bs fark "&amp;TEXT($C108,"0.00")&amp;" TL. Dayanak: "&amp;$D108&amp;". Düzeltme dosyası üretildi.")</f>
        <v/>
      </c>
      <c r="G108" s="16">
        <f>IF($B108&lt;&gt;"tutar_farki","","Beklemede")</f>
        <v/>
      </c>
    </row>
    <row r="109">
      <c r="A109" s="26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IF($B109&lt;&gt;"tutar_farki","",IF(ABS($C109)&gt;cbb_esikFark,"YUKSEK","NORMAL"))</f>
        <v/>
      </c>
      <c r="F109" s="16">
        <f>IF($B109&lt;&gt;"tutar_farki","","VKN "&amp;$A109&amp;" için cari↔Ba/Bs fark "&amp;TEXT($C109,"0.00")&amp;" TL. Dayanak: "&amp;$D109&amp;". Düzeltme dosyası üretildi.")</f>
        <v/>
      </c>
      <c r="G109" s="16">
        <f>IF($B109&lt;&gt;"tutar_farki","","Beklemede")</f>
        <v/>
      </c>
    </row>
    <row r="110">
      <c r="A110" s="26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IF($B110&lt;&gt;"tutar_farki","",IF(ABS($C110)&gt;cbb_esikFark,"YUKSEK","NORMAL"))</f>
        <v/>
      </c>
      <c r="F110" s="16">
        <f>IF($B110&lt;&gt;"tutar_farki","","VKN "&amp;$A110&amp;" için cari↔Ba/Bs fark "&amp;TEXT($C110,"0.00")&amp;" TL. Dayanak: "&amp;$D110&amp;". Düzeltme dosyası üretildi.")</f>
        <v/>
      </c>
      <c r="G110" s="16">
        <f>IF($B110&lt;&gt;"tutar_farki","","Beklemede")</f>
        <v/>
      </c>
    </row>
    <row r="111">
      <c r="A111" s="26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IF($B111&lt;&gt;"tutar_farki","",IF(ABS($C111)&gt;cbb_esikFark,"YUKSEK","NORMAL"))</f>
        <v/>
      </c>
      <c r="F111" s="16">
        <f>IF($B111&lt;&gt;"tutar_farki","","VKN "&amp;$A111&amp;" için cari↔Ba/Bs fark "&amp;TEXT($C111,"0.00")&amp;" TL. Dayanak: "&amp;$D111&amp;". Düzeltme dosyası üretildi.")</f>
        <v/>
      </c>
      <c r="G111" s="16">
        <f>IF($B111&lt;&gt;"tutar_farki","","Beklemede")</f>
        <v/>
      </c>
    </row>
    <row r="112">
      <c r="A112" s="26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IF($B112&lt;&gt;"tutar_farki","",IF(ABS($C112)&gt;cbb_esikFark,"YUKSEK","NORMAL"))</f>
        <v/>
      </c>
      <c r="F112" s="16">
        <f>IF($B112&lt;&gt;"tutar_farki","","VKN "&amp;$A112&amp;" için cari↔Ba/Bs fark "&amp;TEXT($C112,"0.00")&amp;" TL. Dayanak: "&amp;$D112&amp;". Düzeltme dosyası üretildi.")</f>
        <v/>
      </c>
      <c r="G112" s="16">
        <f>IF($B112&lt;&gt;"tutar_farki","","Beklemede")</f>
        <v/>
      </c>
    </row>
    <row r="113">
      <c r="A113" s="26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IF($B113&lt;&gt;"tutar_farki","",IF(ABS($C113)&gt;cbb_esikFark,"YUKSEK","NORMAL"))</f>
        <v/>
      </c>
      <c r="F113" s="16">
        <f>IF($B113&lt;&gt;"tutar_farki","","VKN "&amp;$A113&amp;" için cari↔Ba/Bs fark "&amp;TEXT($C113,"0.00")&amp;" TL. Dayanak: "&amp;$D113&amp;". Düzeltme dosyası üretildi.")</f>
        <v/>
      </c>
      <c r="G113" s="16">
        <f>IF($B113&lt;&gt;"tutar_farki","","Beklemede")</f>
        <v/>
      </c>
    </row>
    <row r="114">
      <c r="A114" s="26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IF($B114&lt;&gt;"tutar_farki","",IF(ABS($C114)&gt;cbb_esikFark,"YUKSEK","NORMAL"))</f>
        <v/>
      </c>
      <c r="F114" s="16">
        <f>IF($B114&lt;&gt;"tutar_farki","","VKN "&amp;$A114&amp;" için cari↔Ba/Bs fark "&amp;TEXT($C114,"0.00")&amp;" TL. Dayanak: "&amp;$D114&amp;". Düzeltme dosyası üretildi.")</f>
        <v/>
      </c>
      <c r="G114" s="16">
        <f>IF($B114&lt;&gt;"tutar_farki","","Beklemede")</f>
        <v/>
      </c>
    </row>
    <row r="115">
      <c r="A115" s="26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IF($B115&lt;&gt;"tutar_farki","",IF(ABS($C115)&gt;cbb_esikFark,"YUKSEK","NORMAL"))</f>
        <v/>
      </c>
      <c r="F115" s="16">
        <f>IF($B115&lt;&gt;"tutar_farki","","VKN "&amp;$A115&amp;" için cari↔Ba/Bs fark "&amp;TEXT($C115,"0.00")&amp;" TL. Dayanak: "&amp;$D115&amp;". Düzeltme dosyası üretildi.")</f>
        <v/>
      </c>
      <c r="G115" s="16">
        <f>IF($B115&lt;&gt;"tutar_farki","","Beklemede")</f>
        <v/>
      </c>
    </row>
    <row r="116">
      <c r="A116" s="26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IF($B116&lt;&gt;"tutar_farki","",IF(ABS($C116)&gt;cbb_esikFark,"YUKSEK","NORMAL"))</f>
        <v/>
      </c>
      <c r="F116" s="16">
        <f>IF($B116&lt;&gt;"tutar_farki","","VKN "&amp;$A116&amp;" için cari↔Ba/Bs fark "&amp;TEXT($C116,"0.00")&amp;" TL. Dayanak: "&amp;$D116&amp;". Düzeltme dosyası üretildi.")</f>
        <v/>
      </c>
      <c r="G116" s="16">
        <f>IF($B116&lt;&gt;"tutar_farki","","Beklemede")</f>
        <v/>
      </c>
    </row>
    <row r="117">
      <c r="A117" s="26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IF($B117&lt;&gt;"tutar_farki","",IF(ABS($C117)&gt;cbb_esikFark,"YUKSEK","NORMAL"))</f>
        <v/>
      </c>
      <c r="F117" s="16">
        <f>IF($B117&lt;&gt;"tutar_farki","","VKN "&amp;$A117&amp;" için cari↔Ba/Bs fark "&amp;TEXT($C117,"0.00")&amp;" TL. Dayanak: "&amp;$D117&amp;". Düzeltme dosyası üretildi.")</f>
        <v/>
      </c>
      <c r="G117" s="16">
        <f>IF($B117&lt;&gt;"tutar_farki","","Beklemede")</f>
        <v/>
      </c>
    </row>
    <row r="118">
      <c r="A118" s="26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IF($B118&lt;&gt;"tutar_farki","",IF(ABS($C118)&gt;cbb_esikFark,"YUKSEK","NORMAL"))</f>
        <v/>
      </c>
      <c r="F118" s="16">
        <f>IF($B118&lt;&gt;"tutar_farki","","VKN "&amp;$A118&amp;" için cari↔Ba/Bs fark "&amp;TEXT($C118,"0.00")&amp;" TL. Dayanak: "&amp;$D118&amp;". Düzeltme dosyası üretildi.")</f>
        <v/>
      </c>
      <c r="G118" s="16">
        <f>IF($B118&lt;&gt;"tutar_farki","","Beklemede")</f>
        <v/>
      </c>
    </row>
    <row r="119">
      <c r="A119" s="26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IF($B119&lt;&gt;"tutar_farki","",IF(ABS($C119)&gt;cbb_esikFark,"YUKSEK","NORMAL"))</f>
        <v/>
      </c>
      <c r="F119" s="16">
        <f>IF($B119&lt;&gt;"tutar_farki","","VKN "&amp;$A119&amp;" için cari↔Ba/Bs fark "&amp;TEXT($C119,"0.00")&amp;" TL. Dayanak: "&amp;$D119&amp;". Düzeltme dosyası üretildi.")</f>
        <v/>
      </c>
      <c r="G119" s="16">
        <f>IF($B119&lt;&gt;"tutar_farki","","Beklemede")</f>
        <v/>
      </c>
    </row>
    <row r="120">
      <c r="A120" s="26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IF($B120&lt;&gt;"tutar_farki","",IF(ABS($C120)&gt;cbb_esikFark,"YUKSEK","NORMAL"))</f>
        <v/>
      </c>
      <c r="F120" s="16">
        <f>IF($B120&lt;&gt;"tutar_farki","","VKN "&amp;$A120&amp;" için cari↔Ba/Bs fark "&amp;TEXT($C120,"0.00")&amp;" TL. Dayanak: "&amp;$D120&amp;". Düzeltme dosyası üretildi.")</f>
        <v/>
      </c>
      <c r="G120" s="16">
        <f>IF($B120&lt;&gt;"tutar_farki","","Beklemede")</f>
        <v/>
      </c>
    </row>
    <row r="121">
      <c r="A121" s="26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IF($B121&lt;&gt;"tutar_farki","",IF(ABS($C121)&gt;cbb_esikFark,"YUKSEK","NORMAL"))</f>
        <v/>
      </c>
      <c r="F121" s="16">
        <f>IF($B121&lt;&gt;"tutar_farki","","VKN "&amp;$A121&amp;" için cari↔Ba/Bs fark "&amp;TEXT($C121,"0.00")&amp;" TL. Dayanak: "&amp;$D121&amp;". Düzeltme dosyası üretildi.")</f>
        <v/>
      </c>
      <c r="G121" s="16">
        <f>IF($B121&lt;&gt;"tutar_farki","","Beklemede")</f>
        <v/>
      </c>
    </row>
    <row r="122">
      <c r="A122" s="26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IF($B122&lt;&gt;"tutar_farki","",IF(ABS($C122)&gt;cbb_esikFark,"YUKSEK","NORMAL"))</f>
        <v/>
      </c>
      <c r="F122" s="16">
        <f>IF($B122&lt;&gt;"tutar_farki","","VKN "&amp;$A122&amp;" için cari↔Ba/Bs fark "&amp;TEXT($C122,"0.00")&amp;" TL. Dayanak: "&amp;$D122&amp;". Düzeltme dosyası üretildi.")</f>
        <v/>
      </c>
      <c r="G122" s="16">
        <f>IF($B122&lt;&gt;"tutar_farki","","Beklemede")</f>
        <v/>
      </c>
    </row>
    <row r="123">
      <c r="A123" s="26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IF($B123&lt;&gt;"tutar_farki","",IF(ABS($C123)&gt;cbb_esikFark,"YUKSEK","NORMAL"))</f>
        <v/>
      </c>
      <c r="F123" s="16">
        <f>IF($B123&lt;&gt;"tutar_farki","","VKN "&amp;$A123&amp;" için cari↔Ba/Bs fark "&amp;TEXT($C123,"0.00")&amp;" TL. Dayanak: "&amp;$D123&amp;". Düzeltme dosyası üretildi.")</f>
        <v/>
      </c>
      <c r="G123" s="16">
        <f>IF($B123&lt;&gt;"tutar_farki","","Beklemede")</f>
        <v/>
      </c>
    </row>
    <row r="124">
      <c r="A124" s="26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IF($B124&lt;&gt;"tutar_farki","",IF(ABS($C124)&gt;cbb_esikFark,"YUKSEK","NORMAL"))</f>
        <v/>
      </c>
      <c r="F124" s="16">
        <f>IF($B124&lt;&gt;"tutar_farki","","VKN "&amp;$A124&amp;" için cari↔Ba/Bs fark "&amp;TEXT($C124,"0.00")&amp;" TL. Dayanak: "&amp;$D124&amp;". Düzeltme dosyası üretildi.")</f>
        <v/>
      </c>
      <c r="G124" s="16">
        <f>IF($B124&lt;&gt;"tutar_farki","","Beklemede")</f>
        <v/>
      </c>
    </row>
    <row r="125">
      <c r="A125" s="26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IF($B125&lt;&gt;"tutar_farki","",IF(ABS($C125)&gt;cbb_esikFark,"YUKSEK","NORMAL"))</f>
        <v/>
      </c>
      <c r="F125" s="16">
        <f>IF($B125&lt;&gt;"tutar_farki","","VKN "&amp;$A125&amp;" için cari↔Ba/Bs fark "&amp;TEXT($C125,"0.00")&amp;" TL. Dayanak: "&amp;$D125&amp;". Düzeltme dosyası üretildi.")</f>
        <v/>
      </c>
      <c r="G125" s="16">
        <f>IF($B125&lt;&gt;"tutar_farki","","Beklemede")</f>
        <v/>
      </c>
    </row>
    <row r="126">
      <c r="A126" s="26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IF($B126&lt;&gt;"tutar_farki","",IF(ABS($C126)&gt;cbb_esikFark,"YUKSEK","NORMAL"))</f>
        <v/>
      </c>
      <c r="F126" s="16">
        <f>IF($B126&lt;&gt;"tutar_farki","","VKN "&amp;$A126&amp;" için cari↔Ba/Bs fark "&amp;TEXT($C126,"0.00")&amp;" TL. Dayanak: "&amp;$D126&amp;". Düzeltme dosyası üretildi.")</f>
        <v/>
      </c>
      <c r="G126" s="16">
        <f>IF($B126&lt;&gt;"tutar_farki","","Beklemede")</f>
        <v/>
      </c>
    </row>
    <row r="127">
      <c r="A127" s="26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IF($B127&lt;&gt;"tutar_farki","",IF(ABS($C127)&gt;cbb_esikFark,"YUKSEK","NORMAL"))</f>
        <v/>
      </c>
      <c r="F127" s="16">
        <f>IF($B127&lt;&gt;"tutar_farki","","VKN "&amp;$A127&amp;" için cari↔Ba/Bs fark "&amp;TEXT($C127,"0.00")&amp;" TL. Dayanak: "&amp;$D127&amp;". Düzeltme dosyası üretildi.")</f>
        <v/>
      </c>
      <c r="G127" s="16">
        <f>IF($B127&lt;&gt;"tutar_farki","","Beklemede")</f>
        <v/>
      </c>
    </row>
    <row r="128">
      <c r="A128" s="26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IF($B128&lt;&gt;"tutar_farki","",IF(ABS($C128)&gt;cbb_esikFark,"YUKSEK","NORMAL"))</f>
        <v/>
      </c>
      <c r="F128" s="16">
        <f>IF($B128&lt;&gt;"tutar_farki","","VKN "&amp;$A128&amp;" için cari↔Ba/Bs fark "&amp;TEXT($C128,"0.00")&amp;" TL. Dayanak: "&amp;$D128&amp;". Düzeltme dosyası üretildi.")</f>
        <v/>
      </c>
      <c r="G128" s="16">
        <f>IF($B128&lt;&gt;"tutar_farki","","Beklemede")</f>
        <v/>
      </c>
    </row>
    <row r="129">
      <c r="A129" s="26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IF($B129&lt;&gt;"tutar_farki","",IF(ABS($C129)&gt;cbb_esikFark,"YUKSEK","NORMAL"))</f>
        <v/>
      </c>
      <c r="F129" s="16">
        <f>IF($B129&lt;&gt;"tutar_farki","","VKN "&amp;$A129&amp;" için cari↔Ba/Bs fark "&amp;TEXT($C129,"0.00")&amp;" TL. Dayanak: "&amp;$D129&amp;". Düzeltme dosyası üretildi.")</f>
        <v/>
      </c>
      <c r="G129" s="16">
        <f>IF($B129&lt;&gt;"tutar_farki","","Beklemede")</f>
        <v/>
      </c>
    </row>
    <row r="130">
      <c r="A130" s="26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IF($B130&lt;&gt;"tutar_farki","",IF(ABS($C130)&gt;cbb_esikFark,"YUKSEK","NORMAL"))</f>
        <v/>
      </c>
      <c r="F130" s="16">
        <f>IF($B130&lt;&gt;"tutar_farki","","VKN "&amp;$A130&amp;" için cari↔Ba/Bs fark "&amp;TEXT($C130,"0.00")&amp;" TL. Dayanak: "&amp;$D130&amp;". Düzeltme dosyası üretildi.")</f>
        <v/>
      </c>
      <c r="G130" s="16">
        <f>IF($B130&lt;&gt;"tutar_farki","","Beklemede")</f>
        <v/>
      </c>
    </row>
    <row r="131">
      <c r="A131" s="26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IF($B131&lt;&gt;"tutar_farki","",IF(ABS($C131)&gt;cbb_esikFark,"YUKSEK","NORMAL"))</f>
        <v/>
      </c>
      <c r="F131" s="16">
        <f>IF($B131&lt;&gt;"tutar_farki","","VKN "&amp;$A131&amp;" için cari↔Ba/Bs fark "&amp;TEXT($C131,"0.00")&amp;" TL. Dayanak: "&amp;$D131&amp;". Düzeltme dosyası üretildi.")</f>
        <v/>
      </c>
      <c r="G131" s="16">
        <f>IF($B131&lt;&gt;"tutar_farki","","Beklemede")</f>
        <v/>
      </c>
    </row>
    <row r="132">
      <c r="A132" s="26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IF($B132&lt;&gt;"tutar_farki","",IF(ABS($C132)&gt;cbb_esikFark,"YUKSEK","NORMAL"))</f>
        <v/>
      </c>
      <c r="F132" s="16">
        <f>IF($B132&lt;&gt;"tutar_farki","","VKN "&amp;$A132&amp;" için cari↔Ba/Bs fark "&amp;TEXT($C132,"0.00")&amp;" TL. Dayanak: "&amp;$D132&amp;". Düzeltme dosyası üretildi.")</f>
        <v/>
      </c>
      <c r="G132" s="16">
        <f>IF($B132&lt;&gt;"tutar_farki","","Beklemede")</f>
        <v/>
      </c>
    </row>
    <row r="133">
      <c r="A133" s="26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IF($B133&lt;&gt;"tutar_farki","",IF(ABS($C133)&gt;cbb_esikFark,"YUKSEK","NORMAL"))</f>
        <v/>
      </c>
      <c r="F133" s="16">
        <f>IF($B133&lt;&gt;"tutar_farki","","VKN "&amp;$A133&amp;" için cari↔Ba/Bs fark "&amp;TEXT($C133,"0.00")&amp;" TL. Dayanak: "&amp;$D133&amp;". Düzeltme dosyası üretildi.")</f>
        <v/>
      </c>
      <c r="G133" s="16">
        <f>IF($B133&lt;&gt;"tutar_farki","","Beklemede")</f>
        <v/>
      </c>
    </row>
    <row r="134">
      <c r="A134" s="26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IF($B134&lt;&gt;"tutar_farki","",IF(ABS($C134)&gt;cbb_esikFark,"YUKSEK","NORMAL"))</f>
        <v/>
      </c>
      <c r="F134" s="16">
        <f>IF($B134&lt;&gt;"tutar_farki","","VKN "&amp;$A134&amp;" için cari↔Ba/Bs fark "&amp;TEXT($C134,"0.00")&amp;" TL. Dayanak: "&amp;$D134&amp;". Düzeltme dosyası üretildi.")</f>
        <v/>
      </c>
      <c r="G134" s="16">
        <f>IF($B134&lt;&gt;"tutar_farki","","Beklemede")</f>
        <v/>
      </c>
    </row>
    <row r="135">
      <c r="A135" s="26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IF($B135&lt;&gt;"tutar_farki","",IF(ABS($C135)&gt;cbb_esikFark,"YUKSEK","NORMAL"))</f>
        <v/>
      </c>
      <c r="F135" s="16">
        <f>IF($B135&lt;&gt;"tutar_farki","","VKN "&amp;$A135&amp;" için cari↔Ba/Bs fark "&amp;TEXT($C135,"0.00")&amp;" TL. Dayanak: "&amp;$D135&amp;". Düzeltme dosyası üretildi.")</f>
        <v/>
      </c>
      <c r="G135" s="16">
        <f>IF($B135&lt;&gt;"tutar_farki","","Beklemede")</f>
        <v/>
      </c>
    </row>
    <row r="136">
      <c r="A136" s="26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IF($B136&lt;&gt;"tutar_farki","",IF(ABS($C136)&gt;cbb_esikFark,"YUKSEK","NORMAL"))</f>
        <v/>
      </c>
      <c r="F136" s="16">
        <f>IF($B136&lt;&gt;"tutar_farki","","VKN "&amp;$A136&amp;" için cari↔Ba/Bs fark "&amp;TEXT($C136,"0.00")&amp;" TL. Dayanak: "&amp;$D136&amp;". Düzeltme dosyası üretildi.")</f>
        <v/>
      </c>
      <c r="G136" s="16">
        <f>IF($B136&lt;&gt;"tutar_farki","","Beklemede")</f>
        <v/>
      </c>
    </row>
    <row r="137">
      <c r="A137" s="26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IF($B137&lt;&gt;"tutar_farki","",IF(ABS($C137)&gt;cbb_esikFark,"YUKSEK","NORMAL"))</f>
        <v/>
      </c>
      <c r="F137" s="16">
        <f>IF($B137&lt;&gt;"tutar_farki","","VKN "&amp;$A137&amp;" için cari↔Ba/Bs fark "&amp;TEXT($C137,"0.00")&amp;" TL. Dayanak: "&amp;$D137&amp;". Düzeltme dosyası üretildi.")</f>
        <v/>
      </c>
      <c r="G137" s="16">
        <f>IF($B137&lt;&gt;"tutar_farki","","Beklemede")</f>
        <v/>
      </c>
    </row>
    <row r="138">
      <c r="A138" s="26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IF($B138&lt;&gt;"tutar_farki","",IF(ABS($C138)&gt;cbb_esikFark,"YUKSEK","NORMAL"))</f>
        <v/>
      </c>
      <c r="F138" s="16">
        <f>IF($B138&lt;&gt;"tutar_farki","","VKN "&amp;$A138&amp;" için cari↔Ba/Bs fark "&amp;TEXT($C138,"0.00")&amp;" TL. Dayanak: "&amp;$D138&amp;". Düzeltme dosyası üretildi.")</f>
        <v/>
      </c>
      <c r="G138" s="16">
        <f>IF($B138&lt;&gt;"tutar_farki","","Beklemede")</f>
        <v/>
      </c>
    </row>
    <row r="139">
      <c r="A139" s="26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IF($B139&lt;&gt;"tutar_farki","",IF(ABS($C139)&gt;cbb_esikFark,"YUKSEK","NORMAL"))</f>
        <v/>
      </c>
      <c r="F139" s="16">
        <f>IF($B139&lt;&gt;"tutar_farki","","VKN "&amp;$A139&amp;" için cari↔Ba/Bs fark "&amp;TEXT($C139,"0.00")&amp;" TL. Dayanak: "&amp;$D139&amp;". Düzeltme dosyası üretildi.")</f>
        <v/>
      </c>
      <c r="G139" s="16">
        <f>IF($B139&lt;&gt;"tutar_farki","","Beklemede")</f>
        <v/>
      </c>
    </row>
    <row r="140">
      <c r="A140" s="26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IF($B140&lt;&gt;"tutar_farki","",IF(ABS($C140)&gt;cbb_esikFark,"YUKSEK","NORMAL"))</f>
        <v/>
      </c>
      <c r="F140" s="16">
        <f>IF($B140&lt;&gt;"tutar_farki","","VKN "&amp;$A140&amp;" için cari↔Ba/Bs fark "&amp;TEXT($C140,"0.00")&amp;" TL. Dayanak: "&amp;$D140&amp;". Düzeltme dosyası üretildi.")</f>
        <v/>
      </c>
      <c r="G140" s="16">
        <f>IF($B140&lt;&gt;"tutar_farki","","Beklemede")</f>
        <v/>
      </c>
    </row>
    <row r="141">
      <c r="A141" s="26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IF($B141&lt;&gt;"tutar_farki","",IF(ABS($C141)&gt;cbb_esikFark,"YUKSEK","NORMAL"))</f>
        <v/>
      </c>
      <c r="F141" s="16">
        <f>IF($B141&lt;&gt;"tutar_farki","","VKN "&amp;$A141&amp;" için cari↔Ba/Bs fark "&amp;TEXT($C141,"0.00")&amp;" TL. Dayanak: "&amp;$D141&amp;". Düzeltme dosyası üretildi.")</f>
        <v/>
      </c>
      <c r="G141" s="16">
        <f>IF($B141&lt;&gt;"tutar_farki","","Beklemede")</f>
        <v/>
      </c>
    </row>
    <row r="142">
      <c r="A142" s="26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IF($B142&lt;&gt;"tutar_farki","",IF(ABS($C142)&gt;cbb_esikFark,"YUKSEK","NORMAL"))</f>
        <v/>
      </c>
      <c r="F142" s="16">
        <f>IF($B142&lt;&gt;"tutar_farki","","VKN "&amp;$A142&amp;" için cari↔Ba/Bs fark "&amp;TEXT($C142,"0.00")&amp;" TL. Dayanak: "&amp;$D142&amp;". Düzeltme dosyası üretildi.")</f>
        <v/>
      </c>
      <c r="G142" s="16">
        <f>IF($B142&lt;&gt;"tutar_farki","","Beklemede")</f>
        <v/>
      </c>
    </row>
    <row r="143">
      <c r="A143" s="26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IF($B143&lt;&gt;"tutar_farki","",IF(ABS($C143)&gt;cbb_esikFark,"YUKSEK","NORMAL"))</f>
        <v/>
      </c>
      <c r="F143" s="16">
        <f>IF($B143&lt;&gt;"tutar_farki","","VKN "&amp;$A143&amp;" için cari↔Ba/Bs fark "&amp;TEXT($C143,"0.00")&amp;" TL. Dayanak: "&amp;$D143&amp;". Düzeltme dosyası üretildi.")</f>
        <v/>
      </c>
      <c r="G143" s="16">
        <f>IF($B143&lt;&gt;"tutar_farki","","Beklemede")</f>
        <v/>
      </c>
    </row>
    <row r="144">
      <c r="A144" s="26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IF($B144&lt;&gt;"tutar_farki","",IF(ABS($C144)&gt;cbb_esikFark,"YUKSEK","NORMAL"))</f>
        <v/>
      </c>
      <c r="F144" s="16">
        <f>IF($B144&lt;&gt;"tutar_farki","","VKN "&amp;$A144&amp;" için cari↔Ba/Bs fark "&amp;TEXT($C144,"0.00")&amp;" TL. Dayanak: "&amp;$D144&amp;". Düzeltme dosyası üretildi.")</f>
        <v/>
      </c>
      <c r="G144" s="16">
        <f>IF($B144&lt;&gt;"tutar_farki","","Beklemede")</f>
        <v/>
      </c>
    </row>
    <row r="145">
      <c r="A145" s="26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IF($B145&lt;&gt;"tutar_farki","",IF(ABS($C145)&gt;cbb_esikFark,"YUKSEK","NORMAL"))</f>
        <v/>
      </c>
      <c r="F145" s="16">
        <f>IF($B145&lt;&gt;"tutar_farki","","VKN "&amp;$A145&amp;" için cari↔Ba/Bs fark "&amp;TEXT($C145,"0.00")&amp;" TL. Dayanak: "&amp;$D145&amp;". Düzeltme dosyası üretildi.")</f>
        <v/>
      </c>
      <c r="G145" s="16">
        <f>IF($B145&lt;&gt;"tutar_farki","","Beklemede")</f>
        <v/>
      </c>
    </row>
    <row r="146">
      <c r="A146" s="26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IF($B146&lt;&gt;"tutar_farki","",IF(ABS($C146)&gt;cbb_esikFark,"YUKSEK","NORMAL"))</f>
        <v/>
      </c>
      <c r="F146" s="16">
        <f>IF($B146&lt;&gt;"tutar_farki","","VKN "&amp;$A146&amp;" için cari↔Ba/Bs fark "&amp;TEXT($C146,"0.00")&amp;" TL. Dayanak: "&amp;$D146&amp;". Düzeltme dosyası üretildi.")</f>
        <v/>
      </c>
      <c r="G146" s="16">
        <f>IF($B146&lt;&gt;"tutar_farki","","Beklemede")</f>
        <v/>
      </c>
    </row>
    <row r="147">
      <c r="A147" s="26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IF($B147&lt;&gt;"tutar_farki","",IF(ABS($C147)&gt;cbb_esikFark,"YUKSEK","NORMAL"))</f>
        <v/>
      </c>
      <c r="F147" s="16">
        <f>IF($B147&lt;&gt;"tutar_farki","","VKN "&amp;$A147&amp;" için cari↔Ba/Bs fark "&amp;TEXT($C147,"0.00")&amp;" TL. Dayanak: "&amp;$D147&amp;". Düzeltme dosyası üretildi.")</f>
        <v/>
      </c>
      <c r="G147" s="16">
        <f>IF($B147&lt;&gt;"tutar_farki","","Beklemede")</f>
        <v/>
      </c>
    </row>
    <row r="148">
      <c r="A148" s="26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IF($B148&lt;&gt;"tutar_farki","",IF(ABS($C148)&gt;cbb_esikFark,"YUKSEK","NORMAL"))</f>
        <v/>
      </c>
      <c r="F148" s="16">
        <f>IF($B148&lt;&gt;"tutar_farki","","VKN "&amp;$A148&amp;" için cari↔Ba/Bs fark "&amp;TEXT($C148,"0.00")&amp;" TL. Dayanak: "&amp;$D148&amp;". Düzeltme dosyası üretildi.")</f>
        <v/>
      </c>
      <c r="G148" s="16">
        <f>IF($B148&lt;&gt;"tutar_farki","","Beklemede")</f>
        <v/>
      </c>
    </row>
    <row r="149">
      <c r="A149" s="26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IF($B149&lt;&gt;"tutar_farki","",IF(ABS($C149)&gt;cbb_esikFark,"YUKSEK","NORMAL"))</f>
        <v/>
      </c>
      <c r="F149" s="16">
        <f>IF($B149&lt;&gt;"tutar_farki","","VKN "&amp;$A149&amp;" için cari↔Ba/Bs fark "&amp;TEXT($C149,"0.00")&amp;" TL. Dayanak: "&amp;$D149&amp;". Düzeltme dosyası üretildi.")</f>
        <v/>
      </c>
      <c r="G149" s="16">
        <f>IF($B149&lt;&gt;"tutar_farki","","Beklemede")</f>
        <v/>
      </c>
    </row>
    <row r="150">
      <c r="A150" s="26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IF($B150&lt;&gt;"tutar_farki","",IF(ABS($C150)&gt;cbb_esikFark,"YUKSEK","NORMAL"))</f>
        <v/>
      </c>
      <c r="F150" s="16">
        <f>IF($B150&lt;&gt;"tutar_farki","","VKN "&amp;$A150&amp;" için cari↔Ba/Bs fark "&amp;TEXT($C150,"0.00")&amp;" TL. Dayanak: "&amp;$D150&amp;". Düzeltme dosyası üretildi.")</f>
        <v/>
      </c>
      <c r="G150" s="16">
        <f>IF($B150&lt;&gt;"tutar_farki","","Beklemede")</f>
        <v/>
      </c>
    </row>
    <row r="151">
      <c r="A151" s="26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IF($B151&lt;&gt;"tutar_farki","",IF(ABS($C151)&gt;cbb_esikFark,"YUKSEK","NORMAL"))</f>
        <v/>
      </c>
      <c r="F151" s="16">
        <f>IF($B151&lt;&gt;"tutar_farki","","VKN "&amp;$A151&amp;" için cari↔Ba/Bs fark "&amp;TEXT($C151,"0.00")&amp;" TL. Dayanak: "&amp;$D151&amp;". Düzeltme dosyası üretildi.")</f>
        <v/>
      </c>
      <c r="G151" s="16">
        <f>IF($B151&lt;&gt;"tutar_farki","","Beklemede")</f>
        <v/>
      </c>
    </row>
    <row r="152">
      <c r="A152" s="26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IF($B152&lt;&gt;"tutar_farki","",IF(ABS($C152)&gt;cbb_esikFark,"YUKSEK","NORMAL"))</f>
        <v/>
      </c>
      <c r="F152" s="16">
        <f>IF($B152&lt;&gt;"tutar_farki","","VKN "&amp;$A152&amp;" için cari↔Ba/Bs fark "&amp;TEXT($C152,"0.00")&amp;" TL. Dayanak: "&amp;$D152&amp;". Düzeltme dosyası üretildi.")</f>
        <v/>
      </c>
      <c r="G152" s="16">
        <f>IF($B152&lt;&gt;"tutar_farki","","Beklemede")</f>
        <v/>
      </c>
    </row>
    <row r="153">
      <c r="A153" s="26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IF($B153&lt;&gt;"tutar_farki","",IF(ABS($C153)&gt;cbb_esikFark,"YUKSEK","NORMAL"))</f>
        <v/>
      </c>
      <c r="F153" s="16">
        <f>IF($B153&lt;&gt;"tutar_farki","","VKN "&amp;$A153&amp;" için cari↔Ba/Bs fark "&amp;TEXT($C153,"0.00")&amp;" TL. Dayanak: "&amp;$D153&amp;". Düzeltme dosyası üretildi.")</f>
        <v/>
      </c>
      <c r="G153" s="16">
        <f>IF($B153&lt;&gt;"tutar_farki","","Beklemede")</f>
        <v/>
      </c>
    </row>
    <row r="154">
      <c r="A154" s="26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IF($B154&lt;&gt;"tutar_farki","",IF(ABS($C154)&gt;cbb_esikFark,"YUKSEK","NORMAL"))</f>
        <v/>
      </c>
      <c r="F154" s="16">
        <f>IF($B154&lt;&gt;"tutar_farki","","VKN "&amp;$A154&amp;" için cari↔Ba/Bs fark "&amp;TEXT($C154,"0.00")&amp;" TL. Dayanak: "&amp;$D154&amp;". Düzeltme dosyası üretildi.")</f>
        <v/>
      </c>
      <c r="G154" s="16">
        <f>IF($B154&lt;&gt;"tutar_farki","","Beklemede")</f>
        <v/>
      </c>
    </row>
    <row r="155">
      <c r="A155" s="26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IF($B155&lt;&gt;"tutar_farki","",IF(ABS($C155)&gt;cbb_esikFark,"YUKSEK","NORMAL"))</f>
        <v/>
      </c>
      <c r="F155" s="16">
        <f>IF($B155&lt;&gt;"tutar_farki","","VKN "&amp;$A155&amp;" için cari↔Ba/Bs fark "&amp;TEXT($C155,"0.00")&amp;" TL. Dayanak: "&amp;$D155&amp;". Düzeltme dosyası üretildi.")</f>
        <v/>
      </c>
      <c r="G155" s="16">
        <f>IF($B155&lt;&gt;"tutar_farki","","Beklemede")</f>
        <v/>
      </c>
    </row>
    <row r="156">
      <c r="A156" s="26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IF($B156&lt;&gt;"tutar_farki","",IF(ABS($C156)&gt;cbb_esikFark,"YUKSEK","NORMAL"))</f>
        <v/>
      </c>
      <c r="F156" s="16">
        <f>IF($B156&lt;&gt;"tutar_farki","","VKN "&amp;$A156&amp;" için cari↔Ba/Bs fark "&amp;TEXT($C156,"0.00")&amp;" TL. Dayanak: "&amp;$D156&amp;". Düzeltme dosyası üretildi.")</f>
        <v/>
      </c>
      <c r="G156" s="16">
        <f>IF($B156&lt;&gt;"tutar_farki","","Beklemede")</f>
        <v/>
      </c>
    </row>
    <row r="157">
      <c r="A157" s="26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IF($B157&lt;&gt;"tutar_farki","",IF(ABS($C157)&gt;cbb_esikFark,"YUKSEK","NORMAL"))</f>
        <v/>
      </c>
      <c r="F157" s="16">
        <f>IF($B157&lt;&gt;"tutar_farki","","VKN "&amp;$A157&amp;" için cari↔Ba/Bs fark "&amp;TEXT($C157,"0.00")&amp;" TL. Dayanak: "&amp;$D157&amp;". Düzeltme dosyası üretildi.")</f>
        <v/>
      </c>
      <c r="G157" s="16">
        <f>IF($B157&lt;&gt;"tutar_farki","","Beklemede")</f>
        <v/>
      </c>
    </row>
    <row r="158">
      <c r="A158" s="26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IF($B158&lt;&gt;"tutar_farki","",IF(ABS($C158)&gt;cbb_esikFark,"YUKSEK","NORMAL"))</f>
        <v/>
      </c>
      <c r="F158" s="16">
        <f>IF($B158&lt;&gt;"tutar_farki","","VKN "&amp;$A158&amp;" için cari↔Ba/Bs fark "&amp;TEXT($C158,"0.00")&amp;" TL. Dayanak: "&amp;$D158&amp;". Düzeltme dosyası üretildi.")</f>
        <v/>
      </c>
      <c r="G158" s="16">
        <f>IF($B158&lt;&gt;"tutar_farki","","Beklemede")</f>
        <v/>
      </c>
    </row>
    <row r="159">
      <c r="A159" s="26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IF($B159&lt;&gt;"tutar_farki","",IF(ABS($C159)&gt;cbb_esikFark,"YUKSEK","NORMAL"))</f>
        <v/>
      </c>
      <c r="F159" s="16">
        <f>IF($B159&lt;&gt;"tutar_farki","","VKN "&amp;$A159&amp;" için cari↔Ba/Bs fark "&amp;TEXT($C159,"0.00")&amp;" TL. Dayanak: "&amp;$D159&amp;". Düzeltme dosyası üretildi.")</f>
        <v/>
      </c>
      <c r="G159" s="16">
        <f>IF($B159&lt;&gt;"tutar_farki","","Beklemede")</f>
        <v/>
      </c>
    </row>
    <row r="160">
      <c r="A160" s="26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IF($B160&lt;&gt;"tutar_farki","",IF(ABS($C160)&gt;cbb_esikFark,"YUKSEK","NORMAL"))</f>
        <v/>
      </c>
      <c r="F160" s="16">
        <f>IF($B160&lt;&gt;"tutar_farki","","VKN "&amp;$A160&amp;" için cari↔Ba/Bs fark "&amp;TEXT($C160,"0.00")&amp;" TL. Dayanak: "&amp;$D160&amp;". Düzeltme dosyası üretildi.")</f>
        <v/>
      </c>
      <c r="G160" s="16">
        <f>IF($B160&lt;&gt;"tutar_farki","","Beklemede")</f>
        <v/>
      </c>
    </row>
    <row r="161">
      <c r="A161" s="26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IF($B161&lt;&gt;"tutar_farki","",IF(ABS($C161)&gt;cbb_esikFark,"YUKSEK","NORMAL"))</f>
        <v/>
      </c>
      <c r="F161" s="16">
        <f>IF($B161&lt;&gt;"tutar_farki","","VKN "&amp;$A161&amp;" için cari↔Ba/Bs fark "&amp;TEXT($C161,"0.00")&amp;" TL. Dayanak: "&amp;$D161&amp;". Düzeltme dosyası üretildi.")</f>
        <v/>
      </c>
      <c r="G161" s="16">
        <f>IF($B161&lt;&gt;"tutar_farki","","Beklemede")</f>
        <v/>
      </c>
    </row>
    <row r="162">
      <c r="A162" s="26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IF($B162&lt;&gt;"tutar_farki","",IF(ABS($C162)&gt;cbb_esikFark,"YUKSEK","NORMAL"))</f>
        <v/>
      </c>
      <c r="F162" s="16">
        <f>IF($B162&lt;&gt;"tutar_farki","","VKN "&amp;$A162&amp;" için cari↔Ba/Bs fark "&amp;TEXT($C162,"0.00")&amp;" TL. Dayanak: "&amp;$D162&amp;". Düzeltme dosyası üretildi.")</f>
        <v/>
      </c>
      <c r="G162" s="16">
        <f>IF($B162&lt;&gt;"tutar_farki","","Beklemede")</f>
        <v/>
      </c>
    </row>
    <row r="163">
      <c r="A163" s="26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IF($B163&lt;&gt;"tutar_farki","",IF(ABS($C163)&gt;cbb_esikFark,"YUKSEK","NORMAL"))</f>
        <v/>
      </c>
      <c r="F163" s="16">
        <f>IF($B163&lt;&gt;"tutar_farki","","VKN "&amp;$A163&amp;" için cari↔Ba/Bs fark "&amp;TEXT($C163,"0.00")&amp;" TL. Dayanak: "&amp;$D163&amp;". Düzeltme dosyası üretildi.")</f>
        <v/>
      </c>
      <c r="G163" s="16">
        <f>IF($B163&lt;&gt;"tutar_farki","","Beklemede")</f>
        <v/>
      </c>
    </row>
    <row r="164">
      <c r="A164" s="26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IF($B164&lt;&gt;"tutar_farki","",IF(ABS($C164)&gt;cbb_esikFark,"YUKSEK","NORMAL"))</f>
        <v/>
      </c>
      <c r="F164" s="16">
        <f>IF($B164&lt;&gt;"tutar_farki","","VKN "&amp;$A164&amp;" için cari↔Ba/Bs fark "&amp;TEXT($C164,"0.00")&amp;" TL. Dayanak: "&amp;$D164&amp;". Düzeltme dosyası üretildi.")</f>
        <v/>
      </c>
      <c r="G164" s="16">
        <f>IF($B164&lt;&gt;"tutar_farki","","Beklemede")</f>
        <v/>
      </c>
    </row>
    <row r="165">
      <c r="A165" s="26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IF($B165&lt;&gt;"tutar_farki","",IF(ABS($C165)&gt;cbb_esikFark,"YUKSEK","NORMAL"))</f>
        <v/>
      </c>
      <c r="F165" s="16">
        <f>IF($B165&lt;&gt;"tutar_farki","","VKN "&amp;$A165&amp;" için cari↔Ba/Bs fark "&amp;TEXT($C165,"0.00")&amp;" TL. Dayanak: "&amp;$D165&amp;". Düzeltme dosyası üretildi.")</f>
        <v/>
      </c>
      <c r="G165" s="16">
        <f>IF($B165&lt;&gt;"tutar_farki","","Beklemede")</f>
        <v/>
      </c>
    </row>
    <row r="166">
      <c r="A166" s="26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IF($B166&lt;&gt;"tutar_farki","",IF(ABS($C166)&gt;cbb_esikFark,"YUKSEK","NORMAL"))</f>
        <v/>
      </c>
      <c r="F166" s="16">
        <f>IF($B166&lt;&gt;"tutar_farki","","VKN "&amp;$A166&amp;" için cari↔Ba/Bs fark "&amp;TEXT($C166,"0.00")&amp;" TL. Dayanak: "&amp;$D166&amp;". Düzeltme dosyası üretildi.")</f>
        <v/>
      </c>
      <c r="G166" s="16">
        <f>IF($B166&lt;&gt;"tutar_farki","","Beklemede")</f>
        <v/>
      </c>
    </row>
    <row r="167">
      <c r="A167" s="26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IF($B167&lt;&gt;"tutar_farki","",IF(ABS($C167)&gt;cbb_esikFark,"YUKSEK","NORMAL"))</f>
        <v/>
      </c>
      <c r="F167" s="16">
        <f>IF($B167&lt;&gt;"tutar_farki","","VKN "&amp;$A167&amp;" için cari↔Ba/Bs fark "&amp;TEXT($C167,"0.00")&amp;" TL. Dayanak: "&amp;$D167&amp;". Düzeltme dosyası üretildi.")</f>
        <v/>
      </c>
      <c r="G167" s="16">
        <f>IF($B167&lt;&gt;"tutar_farki","","Beklemede")</f>
        <v/>
      </c>
    </row>
    <row r="168">
      <c r="A168" s="26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IF($B168&lt;&gt;"tutar_farki","",IF(ABS($C168)&gt;cbb_esikFark,"YUKSEK","NORMAL"))</f>
        <v/>
      </c>
      <c r="F168" s="16">
        <f>IF($B168&lt;&gt;"tutar_farki","","VKN "&amp;$A168&amp;" için cari↔Ba/Bs fark "&amp;TEXT($C168,"0.00")&amp;" TL. Dayanak: "&amp;$D168&amp;". Düzeltme dosyası üretildi.")</f>
        <v/>
      </c>
      <c r="G168" s="16">
        <f>IF($B168&lt;&gt;"tutar_farki","","Beklemede")</f>
        <v/>
      </c>
    </row>
    <row r="169">
      <c r="A169" s="26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IF($B169&lt;&gt;"tutar_farki","",IF(ABS($C169)&gt;cbb_esikFark,"YUKSEK","NORMAL"))</f>
        <v/>
      </c>
      <c r="F169" s="16">
        <f>IF($B169&lt;&gt;"tutar_farki","","VKN "&amp;$A169&amp;" için cari↔Ba/Bs fark "&amp;TEXT($C169,"0.00")&amp;" TL. Dayanak: "&amp;$D169&amp;". Düzeltme dosyası üretildi.")</f>
        <v/>
      </c>
      <c r="G169" s="16">
        <f>IF($B169&lt;&gt;"tutar_farki","","Beklemede")</f>
        <v/>
      </c>
    </row>
    <row r="170">
      <c r="A170" s="26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IF($B170&lt;&gt;"tutar_farki","",IF(ABS($C170)&gt;cbb_esikFark,"YUKSEK","NORMAL"))</f>
        <v/>
      </c>
      <c r="F170" s="16">
        <f>IF($B170&lt;&gt;"tutar_farki","","VKN "&amp;$A170&amp;" için cari↔Ba/Bs fark "&amp;TEXT($C170,"0.00")&amp;" TL. Dayanak: "&amp;$D170&amp;". Düzeltme dosyası üretildi.")</f>
        <v/>
      </c>
      <c r="G170" s="16">
        <f>IF($B170&lt;&gt;"tutar_farki","","Beklemede")</f>
        <v/>
      </c>
    </row>
    <row r="171">
      <c r="A171" s="26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IF($B171&lt;&gt;"tutar_farki","",IF(ABS($C171)&gt;cbb_esikFark,"YUKSEK","NORMAL"))</f>
        <v/>
      </c>
      <c r="F171" s="16">
        <f>IF($B171&lt;&gt;"tutar_farki","","VKN "&amp;$A171&amp;" için cari↔Ba/Bs fark "&amp;TEXT($C171,"0.00")&amp;" TL. Dayanak: "&amp;$D171&amp;". Düzeltme dosyası üretildi.")</f>
        <v/>
      </c>
      <c r="G171" s="16">
        <f>IF($B171&lt;&gt;"tutar_farki","","Beklemede")</f>
        <v/>
      </c>
    </row>
    <row r="172">
      <c r="A172" s="26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IF($B172&lt;&gt;"tutar_farki","",IF(ABS($C172)&gt;cbb_esikFark,"YUKSEK","NORMAL"))</f>
        <v/>
      </c>
      <c r="F172" s="16">
        <f>IF($B172&lt;&gt;"tutar_farki","","VKN "&amp;$A172&amp;" için cari↔Ba/Bs fark "&amp;TEXT($C172,"0.00")&amp;" TL. Dayanak: "&amp;$D172&amp;". Düzeltme dosyası üretildi.")</f>
        <v/>
      </c>
      <c r="G172" s="16">
        <f>IF($B172&lt;&gt;"tutar_farki","","Beklemede")</f>
        <v/>
      </c>
    </row>
    <row r="173">
      <c r="A173" s="26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IF($B173&lt;&gt;"tutar_farki","",IF(ABS($C173)&gt;cbb_esikFark,"YUKSEK","NORMAL"))</f>
        <v/>
      </c>
      <c r="F173" s="16">
        <f>IF($B173&lt;&gt;"tutar_farki","","VKN "&amp;$A173&amp;" için cari↔Ba/Bs fark "&amp;TEXT($C173,"0.00")&amp;" TL. Dayanak: "&amp;$D173&amp;". Düzeltme dosyası üretildi.")</f>
        <v/>
      </c>
      <c r="G173" s="16">
        <f>IF($B173&lt;&gt;"tutar_farki","","Beklemede")</f>
        <v/>
      </c>
    </row>
    <row r="174">
      <c r="A174" s="26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IF($B174&lt;&gt;"tutar_farki","",IF(ABS($C174)&gt;cbb_esikFark,"YUKSEK","NORMAL"))</f>
        <v/>
      </c>
      <c r="F174" s="16">
        <f>IF($B174&lt;&gt;"tutar_farki","","VKN "&amp;$A174&amp;" için cari↔Ba/Bs fark "&amp;TEXT($C174,"0.00")&amp;" TL. Dayanak: "&amp;$D174&amp;". Düzeltme dosyası üretildi.")</f>
        <v/>
      </c>
      <c r="G174" s="16">
        <f>IF($B174&lt;&gt;"tutar_farki","","Beklemede")</f>
        <v/>
      </c>
    </row>
    <row r="175">
      <c r="A175" s="26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IF($B175&lt;&gt;"tutar_farki","",IF(ABS($C175)&gt;cbb_esikFark,"YUKSEK","NORMAL"))</f>
        <v/>
      </c>
      <c r="F175" s="16">
        <f>IF($B175&lt;&gt;"tutar_farki","","VKN "&amp;$A175&amp;" için cari↔Ba/Bs fark "&amp;TEXT($C175,"0.00")&amp;" TL. Dayanak: "&amp;$D175&amp;". Düzeltme dosyası üretildi.")</f>
        <v/>
      </c>
      <c r="G175" s="16">
        <f>IF($B175&lt;&gt;"tutar_farki","","Beklemede")</f>
        <v/>
      </c>
    </row>
    <row r="176">
      <c r="A176" s="26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IF($B176&lt;&gt;"tutar_farki","",IF(ABS($C176)&gt;cbb_esikFark,"YUKSEK","NORMAL"))</f>
        <v/>
      </c>
      <c r="F176" s="16">
        <f>IF($B176&lt;&gt;"tutar_farki","","VKN "&amp;$A176&amp;" için cari↔Ba/Bs fark "&amp;TEXT($C176,"0.00")&amp;" TL. Dayanak: "&amp;$D176&amp;". Düzeltme dosyası üretildi.")</f>
        <v/>
      </c>
      <c r="G176" s="16">
        <f>IF($B176&lt;&gt;"tutar_farki","","Beklemede")</f>
        <v/>
      </c>
    </row>
    <row r="177">
      <c r="A177" s="26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IF($B177&lt;&gt;"tutar_farki","",IF(ABS($C177)&gt;cbb_esikFark,"YUKSEK","NORMAL"))</f>
        <v/>
      </c>
      <c r="F177" s="16">
        <f>IF($B177&lt;&gt;"tutar_farki","","VKN "&amp;$A177&amp;" için cari↔Ba/Bs fark "&amp;TEXT($C177,"0.00")&amp;" TL. Dayanak: "&amp;$D177&amp;". Düzeltme dosyası üretildi.")</f>
        <v/>
      </c>
      <c r="G177" s="16">
        <f>IF($B177&lt;&gt;"tutar_farki","","Beklemede")</f>
        <v/>
      </c>
    </row>
    <row r="178">
      <c r="A178" s="26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IF($B178&lt;&gt;"tutar_farki","",IF(ABS($C178)&gt;cbb_esikFark,"YUKSEK","NORMAL"))</f>
        <v/>
      </c>
      <c r="F178" s="16">
        <f>IF($B178&lt;&gt;"tutar_farki","","VKN "&amp;$A178&amp;" için cari↔Ba/Bs fark "&amp;TEXT($C178,"0.00")&amp;" TL. Dayanak: "&amp;$D178&amp;". Düzeltme dosyası üretildi.")</f>
        <v/>
      </c>
      <c r="G178" s="16">
        <f>IF($B178&lt;&gt;"tutar_farki","","Beklemede")</f>
        <v/>
      </c>
    </row>
    <row r="179">
      <c r="A179" s="26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IF($B179&lt;&gt;"tutar_farki","",IF(ABS($C179)&gt;cbb_esikFark,"YUKSEK","NORMAL"))</f>
        <v/>
      </c>
      <c r="F179" s="16">
        <f>IF($B179&lt;&gt;"tutar_farki","","VKN "&amp;$A179&amp;" için cari↔Ba/Bs fark "&amp;TEXT($C179,"0.00")&amp;" TL. Dayanak: "&amp;$D179&amp;". Düzeltme dosyası üretildi.")</f>
        <v/>
      </c>
      <c r="G179" s="16">
        <f>IF($B179&lt;&gt;"tutar_farki","","Beklemede")</f>
        <v/>
      </c>
    </row>
    <row r="180">
      <c r="A180" s="26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IF($B180&lt;&gt;"tutar_farki","",IF(ABS($C180)&gt;cbb_esikFark,"YUKSEK","NORMAL"))</f>
        <v/>
      </c>
      <c r="F180" s="16">
        <f>IF($B180&lt;&gt;"tutar_farki","","VKN "&amp;$A180&amp;" için cari↔Ba/Bs fark "&amp;TEXT($C180,"0.00")&amp;" TL. Dayanak: "&amp;$D180&amp;". Düzeltme dosyası üretildi.")</f>
        <v/>
      </c>
      <c r="G180" s="16">
        <f>IF($B180&lt;&gt;"tutar_farki","","Beklemede")</f>
        <v/>
      </c>
    </row>
    <row r="181">
      <c r="A181" s="26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IF($B181&lt;&gt;"tutar_farki","",IF(ABS($C181)&gt;cbb_esikFark,"YUKSEK","NORMAL"))</f>
        <v/>
      </c>
      <c r="F181" s="16">
        <f>IF($B181&lt;&gt;"tutar_farki","","VKN "&amp;$A181&amp;" için cari↔Ba/Bs fark "&amp;TEXT($C181,"0.00")&amp;" TL. Dayanak: "&amp;$D181&amp;". Düzeltme dosyası üretildi.")</f>
        <v/>
      </c>
      <c r="G181" s="16">
        <f>IF($B181&lt;&gt;"tutar_farki","","Beklemede")</f>
        <v/>
      </c>
    </row>
    <row r="182">
      <c r="A182" s="26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IF($B182&lt;&gt;"tutar_farki","",IF(ABS($C182)&gt;cbb_esikFark,"YUKSEK","NORMAL"))</f>
        <v/>
      </c>
      <c r="F182" s="16">
        <f>IF($B182&lt;&gt;"tutar_farki","","VKN "&amp;$A182&amp;" için cari↔Ba/Bs fark "&amp;TEXT($C182,"0.00")&amp;" TL. Dayanak: "&amp;$D182&amp;". Düzeltme dosyası üretildi.")</f>
        <v/>
      </c>
      <c r="G182" s="16">
        <f>IF($B182&lt;&gt;"tutar_farki","","Beklemede")</f>
        <v/>
      </c>
    </row>
    <row r="183">
      <c r="A183" s="26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IF($B183&lt;&gt;"tutar_farki","",IF(ABS($C183)&gt;cbb_esikFark,"YUKSEK","NORMAL"))</f>
        <v/>
      </c>
      <c r="F183" s="16">
        <f>IF($B183&lt;&gt;"tutar_farki","","VKN "&amp;$A183&amp;" için cari↔Ba/Bs fark "&amp;TEXT($C183,"0.00")&amp;" TL. Dayanak: "&amp;$D183&amp;". Düzeltme dosyası üretildi.")</f>
        <v/>
      </c>
      <c r="G183" s="16">
        <f>IF($B183&lt;&gt;"tutar_farki","","Beklemede")</f>
        <v/>
      </c>
    </row>
    <row r="184">
      <c r="A184" s="26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IF($B184&lt;&gt;"tutar_farki","",IF(ABS($C184)&gt;cbb_esikFark,"YUKSEK","NORMAL"))</f>
        <v/>
      </c>
      <c r="F184" s="16">
        <f>IF($B184&lt;&gt;"tutar_farki","","VKN "&amp;$A184&amp;" için cari↔Ba/Bs fark "&amp;TEXT($C184,"0.00")&amp;" TL. Dayanak: "&amp;$D184&amp;". Düzeltme dosyası üretildi.")</f>
        <v/>
      </c>
      <c r="G184" s="16">
        <f>IF($B184&lt;&gt;"tutar_farki","","Beklemede")</f>
        <v/>
      </c>
    </row>
    <row r="185">
      <c r="A185" s="26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IF($B185&lt;&gt;"tutar_farki","",IF(ABS($C185)&gt;cbb_esikFark,"YUKSEK","NORMAL"))</f>
        <v/>
      </c>
      <c r="F185" s="16">
        <f>IF($B185&lt;&gt;"tutar_farki","","VKN "&amp;$A185&amp;" için cari↔Ba/Bs fark "&amp;TEXT($C185,"0.00")&amp;" TL. Dayanak: "&amp;$D185&amp;". Düzeltme dosyası üretildi.")</f>
        <v/>
      </c>
      <c r="G185" s="16">
        <f>IF($B185&lt;&gt;"tutar_farki","","Beklemede")</f>
        <v/>
      </c>
    </row>
    <row r="186">
      <c r="A186" s="26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IF($B186&lt;&gt;"tutar_farki","",IF(ABS($C186)&gt;cbb_esikFark,"YUKSEK","NORMAL"))</f>
        <v/>
      </c>
      <c r="F186" s="16">
        <f>IF($B186&lt;&gt;"tutar_farki","","VKN "&amp;$A186&amp;" için cari↔Ba/Bs fark "&amp;TEXT($C186,"0.00")&amp;" TL. Dayanak: "&amp;$D186&amp;". Düzeltme dosyası üretildi.")</f>
        <v/>
      </c>
      <c r="G186" s="16">
        <f>IF($B186&lt;&gt;"tutar_farki","","Beklemede")</f>
        <v/>
      </c>
    </row>
    <row r="187">
      <c r="A187" s="26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IF($B187&lt;&gt;"tutar_farki","",IF(ABS($C187)&gt;cbb_esikFark,"YUKSEK","NORMAL"))</f>
        <v/>
      </c>
      <c r="F187" s="16">
        <f>IF($B187&lt;&gt;"tutar_farki","","VKN "&amp;$A187&amp;" için cari↔Ba/Bs fark "&amp;TEXT($C187,"0.00")&amp;" TL. Dayanak: "&amp;$D187&amp;". Düzeltme dosyası üretildi.")</f>
        <v/>
      </c>
      <c r="G187" s="16">
        <f>IF($B187&lt;&gt;"tutar_farki","","Beklemede")</f>
        <v/>
      </c>
    </row>
    <row r="188">
      <c r="A188" s="26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IF($B188&lt;&gt;"tutar_farki","",IF(ABS($C188)&gt;cbb_esikFark,"YUKSEK","NORMAL"))</f>
        <v/>
      </c>
      <c r="F188" s="16">
        <f>IF($B188&lt;&gt;"tutar_farki","","VKN "&amp;$A188&amp;" için cari↔Ba/Bs fark "&amp;TEXT($C188,"0.00")&amp;" TL. Dayanak: "&amp;$D188&amp;". Düzeltme dosyası üretildi.")</f>
        <v/>
      </c>
      <c r="G188" s="16">
        <f>IF($B188&lt;&gt;"tutar_farki","","Beklemede")</f>
        <v/>
      </c>
    </row>
    <row r="189">
      <c r="A189" s="26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IF($B189&lt;&gt;"tutar_farki","",IF(ABS($C189)&gt;cbb_esikFark,"YUKSEK","NORMAL"))</f>
        <v/>
      </c>
      <c r="F189" s="16">
        <f>IF($B189&lt;&gt;"tutar_farki","","VKN "&amp;$A189&amp;" için cari↔Ba/Bs fark "&amp;TEXT($C189,"0.00")&amp;" TL. Dayanak: "&amp;$D189&amp;". Düzeltme dosyası üretildi.")</f>
        <v/>
      </c>
      <c r="G189" s="16">
        <f>IF($B189&lt;&gt;"tutar_farki","","Beklemede")</f>
        <v/>
      </c>
    </row>
    <row r="190">
      <c r="A190" s="26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IF($B190&lt;&gt;"tutar_farki","",IF(ABS($C190)&gt;cbb_esikFark,"YUKSEK","NORMAL"))</f>
        <v/>
      </c>
      <c r="F190" s="16">
        <f>IF($B190&lt;&gt;"tutar_farki","","VKN "&amp;$A190&amp;" için cari↔Ba/Bs fark "&amp;TEXT($C190,"0.00")&amp;" TL. Dayanak: "&amp;$D190&amp;". Düzeltme dosyası üretildi.")</f>
        <v/>
      </c>
      <c r="G190" s="16">
        <f>IF($B190&lt;&gt;"tutar_farki","","Beklemede")</f>
        <v/>
      </c>
    </row>
    <row r="191">
      <c r="A191" s="26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IF($B191&lt;&gt;"tutar_farki","",IF(ABS($C191)&gt;cbb_esikFark,"YUKSEK","NORMAL"))</f>
        <v/>
      </c>
      <c r="F191" s="16">
        <f>IF($B191&lt;&gt;"tutar_farki","","VKN "&amp;$A191&amp;" için cari↔Ba/Bs fark "&amp;TEXT($C191,"0.00")&amp;" TL. Dayanak: "&amp;$D191&amp;". Düzeltme dosyası üretildi.")</f>
        <v/>
      </c>
      <c r="G191" s="16">
        <f>IF($B191&lt;&gt;"tutar_farki","","Beklemede")</f>
        <v/>
      </c>
    </row>
    <row r="192">
      <c r="A192" s="26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IF($B192&lt;&gt;"tutar_farki","",IF(ABS($C192)&gt;cbb_esikFark,"YUKSEK","NORMAL"))</f>
        <v/>
      </c>
      <c r="F192" s="16">
        <f>IF($B192&lt;&gt;"tutar_farki","","VKN "&amp;$A192&amp;" için cari↔Ba/Bs fark "&amp;TEXT($C192,"0.00")&amp;" TL. Dayanak: "&amp;$D192&amp;". Düzeltme dosyası üretildi.")</f>
        <v/>
      </c>
      <c r="G192" s="16">
        <f>IF($B192&lt;&gt;"tutar_farki","","Beklemede")</f>
        <v/>
      </c>
    </row>
    <row r="193">
      <c r="A193" s="26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IF($B193&lt;&gt;"tutar_farki","",IF(ABS($C193)&gt;cbb_esikFark,"YUKSEK","NORMAL"))</f>
        <v/>
      </c>
      <c r="F193" s="16">
        <f>IF($B193&lt;&gt;"tutar_farki","","VKN "&amp;$A193&amp;" için cari↔Ba/Bs fark "&amp;TEXT($C193,"0.00")&amp;" TL. Dayanak: "&amp;$D193&amp;". Düzeltme dosyası üretildi.")</f>
        <v/>
      </c>
      <c r="G193" s="16">
        <f>IF($B193&lt;&gt;"tutar_farki","","Beklemede")</f>
        <v/>
      </c>
    </row>
    <row r="194">
      <c r="A194" s="26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IF($B194&lt;&gt;"tutar_farki","",IF(ABS($C194)&gt;cbb_esikFark,"YUKSEK","NORMAL"))</f>
        <v/>
      </c>
      <c r="F194" s="16">
        <f>IF($B194&lt;&gt;"tutar_farki","","VKN "&amp;$A194&amp;" için cari↔Ba/Bs fark "&amp;TEXT($C194,"0.00")&amp;" TL. Dayanak: "&amp;$D194&amp;". Düzeltme dosyası üretildi.")</f>
        <v/>
      </c>
      <c r="G194" s="16">
        <f>IF($B194&lt;&gt;"tutar_farki","","Beklemede")</f>
        <v/>
      </c>
    </row>
    <row r="195">
      <c r="A195" s="26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IF($B195&lt;&gt;"tutar_farki","",IF(ABS($C195)&gt;cbb_esikFark,"YUKSEK","NORMAL"))</f>
        <v/>
      </c>
      <c r="F195" s="16">
        <f>IF($B195&lt;&gt;"tutar_farki","","VKN "&amp;$A195&amp;" için cari↔Ba/Bs fark "&amp;TEXT($C195,"0.00")&amp;" TL. Dayanak: "&amp;$D195&amp;". Düzeltme dosyası üretildi.")</f>
        <v/>
      </c>
      <c r="G195" s="16">
        <f>IF($B195&lt;&gt;"tutar_farki","","Beklemede")</f>
        <v/>
      </c>
    </row>
    <row r="196">
      <c r="A196" s="26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IF($B196&lt;&gt;"tutar_farki","",IF(ABS($C196)&gt;cbb_esikFark,"YUKSEK","NORMAL"))</f>
        <v/>
      </c>
      <c r="F196" s="16">
        <f>IF($B196&lt;&gt;"tutar_farki","","VKN "&amp;$A196&amp;" için cari↔Ba/Bs fark "&amp;TEXT($C196,"0.00")&amp;" TL. Dayanak: "&amp;$D196&amp;". Düzeltme dosyası üretildi.")</f>
        <v/>
      </c>
      <c r="G196" s="16">
        <f>IF($B196&lt;&gt;"tutar_farki","","Beklemede")</f>
        <v/>
      </c>
    </row>
    <row r="197">
      <c r="A197" s="26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IF($B197&lt;&gt;"tutar_farki","",IF(ABS($C197)&gt;cbb_esikFark,"YUKSEK","NORMAL"))</f>
        <v/>
      </c>
      <c r="F197" s="16">
        <f>IF($B197&lt;&gt;"tutar_farki","","VKN "&amp;$A197&amp;" için cari↔Ba/Bs fark "&amp;TEXT($C197,"0.00")&amp;" TL. Dayanak: "&amp;$D197&amp;". Düzeltme dosyası üretildi.")</f>
        <v/>
      </c>
      <c r="G197" s="16">
        <f>IF($B197&lt;&gt;"tutar_farki","","Beklemede")</f>
        <v/>
      </c>
    </row>
    <row r="198">
      <c r="A198" s="26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IF($B198&lt;&gt;"tutar_farki","",IF(ABS($C198)&gt;cbb_esikFark,"YUKSEK","NORMAL"))</f>
        <v/>
      </c>
      <c r="F198" s="16">
        <f>IF($B198&lt;&gt;"tutar_farki","","VKN "&amp;$A198&amp;" için cari↔Ba/Bs fark "&amp;TEXT($C198,"0.00")&amp;" TL. Dayanak: "&amp;$D198&amp;". Düzeltme dosyası üretildi.")</f>
        <v/>
      </c>
      <c r="G198" s="16">
        <f>IF($B198&lt;&gt;"tutar_farki","","Beklemede")</f>
        <v/>
      </c>
    </row>
    <row r="199">
      <c r="A199" s="26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IF($B199&lt;&gt;"tutar_farki","",IF(ABS($C199)&gt;cbb_esikFark,"YUKSEK","NORMAL"))</f>
        <v/>
      </c>
      <c r="F199" s="16">
        <f>IF($B199&lt;&gt;"tutar_farki","","VKN "&amp;$A199&amp;" için cari↔Ba/Bs fark "&amp;TEXT($C199,"0.00")&amp;" TL. Dayanak: "&amp;$D199&amp;". Düzeltme dosyası üretildi.")</f>
        <v/>
      </c>
      <c r="G199" s="16">
        <f>IF($B199&lt;&gt;"tutar_farki","","Beklemede")</f>
        <v/>
      </c>
    </row>
    <row r="200">
      <c r="A200" s="26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IF($B200&lt;&gt;"tutar_farki","",IF(ABS($C200)&gt;cbb_esikFark,"YUKSEK","NORMAL"))</f>
        <v/>
      </c>
      <c r="F200" s="16">
        <f>IF($B200&lt;&gt;"tutar_farki","","VKN "&amp;$A200&amp;" için cari↔Ba/Bs fark "&amp;TEXT($C200,"0.00")&amp;" TL. Dayanak: "&amp;$D200&amp;". Düzeltme dosyası üretildi.")</f>
        <v/>
      </c>
      <c r="G200" s="16">
        <f>IF($B200&lt;&gt;"tutar_farki","","Beklemede")</f>
        <v/>
      </c>
    </row>
    <row r="201">
      <c r="A201" s="26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IF($B201&lt;&gt;"tutar_farki","",IF(ABS($C201)&gt;cbb_esikFark,"YUKSEK","NORMAL"))</f>
        <v/>
      </c>
      <c r="F201" s="16">
        <f>IF($B201&lt;&gt;"tutar_farki","","VKN "&amp;$A201&amp;" için cari↔Ba/Bs fark "&amp;TEXT($C201,"0.00")&amp;" TL. Dayanak: "&amp;$D201&amp;". Düzeltme dosyası üretildi.")</f>
        <v/>
      </c>
      <c r="G201" s="16">
        <f>IF($B201&lt;&gt;"tutar_farki","","Beklemede")</f>
        <v/>
      </c>
    </row>
    <row r="202">
      <c r="A202" s="26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IF($B202&lt;&gt;"tutar_farki","",IF(ABS($C202)&gt;cbb_esikFark,"YUKSEK","NORMAL"))</f>
        <v/>
      </c>
      <c r="F202" s="16">
        <f>IF($B202&lt;&gt;"tutar_farki","","VKN "&amp;$A202&amp;" için cari↔Ba/Bs fark "&amp;TEXT($C202,"0.00")&amp;" TL. Dayanak: "&amp;$D202&amp;". Düzeltme dosyası üretildi.")</f>
        <v/>
      </c>
      <c r="G202" s="16">
        <f>IF($B202&lt;&gt;"tutar_farki","","Beklemede")</f>
        <v/>
      </c>
    </row>
    <row r="203">
      <c r="A203" s="26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IF($B203&lt;&gt;"tutar_farki","",IF(ABS($C203)&gt;cbb_esikFark,"YUKSEK","NORMAL"))</f>
        <v/>
      </c>
      <c r="F203" s="16">
        <f>IF($B203&lt;&gt;"tutar_farki","","VKN "&amp;$A203&amp;" için cari↔Ba/Bs fark "&amp;TEXT($C203,"0.00")&amp;" TL. Dayanak: "&amp;$D203&amp;". Düzeltme dosyası üretildi.")</f>
        <v/>
      </c>
      <c r="G203" s="16">
        <f>IF($B203&lt;&gt;"tutar_farki","","Beklemede")</f>
        <v/>
      </c>
    </row>
    <row r="204">
      <c r="A204" s="26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IF($B204&lt;&gt;"tutar_farki","",IF(ABS($C204)&gt;cbb_esikFark,"YUKSEK","NORMAL"))</f>
        <v/>
      </c>
      <c r="F204" s="16">
        <f>IF($B204&lt;&gt;"tutar_farki","","VKN "&amp;$A204&amp;" için cari↔Ba/Bs fark "&amp;TEXT($C204,"0.00")&amp;" TL. Dayanak: "&amp;$D204&amp;". Düzeltme dosyası üretildi.")</f>
        <v/>
      </c>
      <c r="G204" s="16">
        <f>IF($B204&lt;&gt;"tutar_farki","","Beklemede")</f>
        <v/>
      </c>
    </row>
    <row r="205">
      <c r="A205" s="26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IF($B205&lt;&gt;"tutar_farki","",IF(ABS($C205)&gt;cbb_esikFark,"YUKSEK","NORMAL"))</f>
        <v/>
      </c>
      <c r="F205" s="16">
        <f>IF($B205&lt;&gt;"tutar_farki","","VKN "&amp;$A205&amp;" için cari↔Ba/Bs fark "&amp;TEXT($C205,"0.00")&amp;" TL. Dayanak: "&amp;$D205&amp;". Düzeltme dosyası üretildi.")</f>
        <v/>
      </c>
      <c r="G205" s="16">
        <f>IF($B205&lt;&gt;"tutar_farki","","Beklemede")</f>
        <v/>
      </c>
    </row>
    <row r="206">
      <c r="A206" s="26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IF($B206&lt;&gt;"tutar_farki","",IF(ABS($C206)&gt;cbb_esikFark,"YUKSEK","NORMAL"))</f>
        <v/>
      </c>
      <c r="F206" s="16">
        <f>IF($B206&lt;&gt;"tutar_farki","","VKN "&amp;$A206&amp;" için cari↔Ba/Bs fark "&amp;TEXT($C206,"0.00")&amp;" TL. Dayanak: "&amp;$D206&amp;". Düzeltme dosyası üretildi.")</f>
        <v/>
      </c>
      <c r="G206" s="16">
        <f>IF($B206&lt;&gt;"tutar_farki","","Beklemede")</f>
        <v/>
      </c>
    </row>
    <row r="207">
      <c r="A207" s="26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IF($B207&lt;&gt;"tutar_farki","",IF(ABS($C207)&gt;cbb_esikFark,"YUKSEK","NORMAL"))</f>
        <v/>
      </c>
      <c r="F207" s="16">
        <f>IF($B207&lt;&gt;"tutar_farki","","VKN "&amp;$A207&amp;" için cari↔Ba/Bs fark "&amp;TEXT($C207,"0.00")&amp;" TL. Dayanak: "&amp;$D207&amp;". Düzeltme dosyası üretildi.")</f>
        <v/>
      </c>
      <c r="G207" s="16">
        <f>IF($B207&lt;&gt;"tutar_farki","","Beklemede")</f>
        <v/>
      </c>
    </row>
    <row r="208">
      <c r="A208" s="26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IF($B208&lt;&gt;"tutar_farki","",IF(ABS($C208)&gt;cbb_esikFark,"YUKSEK","NORMAL"))</f>
        <v/>
      </c>
      <c r="F208" s="16">
        <f>IF($B208&lt;&gt;"tutar_farki","","VKN "&amp;$A208&amp;" için cari↔Ba/Bs fark "&amp;TEXT($C208,"0.00")&amp;" TL. Dayanak: "&amp;$D208&amp;". Düzeltme dosyası üretildi.")</f>
        <v/>
      </c>
      <c r="G208" s="16">
        <f>IF($B208&lt;&gt;"tutar_farki","","Beklemede")</f>
        <v/>
      </c>
    </row>
    <row r="209">
      <c r="A209" s="26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IF($B209&lt;&gt;"tutar_farki","",IF(ABS($C209)&gt;cbb_esikFark,"YUKSEK","NORMAL"))</f>
        <v/>
      </c>
      <c r="F209" s="16">
        <f>IF($B209&lt;&gt;"tutar_farki","","VKN "&amp;$A209&amp;" için cari↔Ba/Bs fark "&amp;TEXT($C209,"0.00")&amp;" TL. Dayanak: "&amp;$D209&amp;". Düzeltme dosyası üretildi.")</f>
        <v/>
      </c>
      <c r="G209" s="16">
        <f>IF($B209&lt;&gt;"tutar_farki","","Beklemede")</f>
        <v/>
      </c>
    </row>
    <row r="210">
      <c r="A210" s="26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IF($B210&lt;&gt;"tutar_farki","",IF(ABS($C210)&gt;cbb_esikFark,"YUKSEK","NORMAL"))</f>
        <v/>
      </c>
      <c r="F210" s="16">
        <f>IF($B210&lt;&gt;"tutar_farki","","VKN "&amp;$A210&amp;" için cari↔Ba/Bs fark "&amp;TEXT($C210,"0.00")&amp;" TL. Dayanak: "&amp;$D210&amp;". Düzeltme dosyası üretildi.")</f>
        <v/>
      </c>
      <c r="G210" s="16">
        <f>IF($B210&lt;&gt;"tutar_farki","","Beklemede")</f>
        <v/>
      </c>
    </row>
    <row r="211">
      <c r="A211" s="26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IF($B211&lt;&gt;"tutar_farki","",IF(ABS($C211)&gt;cbb_esikFark,"YUKSEK","NORMAL"))</f>
        <v/>
      </c>
      <c r="F211" s="16">
        <f>IF($B211&lt;&gt;"tutar_farki","","VKN "&amp;$A211&amp;" için cari↔Ba/Bs fark "&amp;TEXT($C211,"0.00")&amp;" TL. Dayanak: "&amp;$D211&amp;". Düzeltme dosyası üretildi.")</f>
        <v/>
      </c>
      <c r="G211" s="16">
        <f>IF($B211&lt;&gt;"tutar_farki","","Beklemede")</f>
        <v/>
      </c>
    </row>
    <row r="212">
      <c r="A212" s="26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IF($B212&lt;&gt;"tutar_farki","",IF(ABS($C212)&gt;cbb_esikFark,"YUKSEK","NORMAL"))</f>
        <v/>
      </c>
      <c r="F212" s="16">
        <f>IF($B212&lt;&gt;"tutar_farki","","VKN "&amp;$A212&amp;" için cari↔Ba/Bs fark "&amp;TEXT($C212,"0.00")&amp;" TL. Dayanak: "&amp;$D212&amp;". Düzeltme dosyası üretildi.")</f>
        <v/>
      </c>
      <c r="G212" s="16">
        <f>IF($B212&lt;&gt;"tutar_farki","","Beklemede")</f>
        <v/>
      </c>
    </row>
    <row r="213">
      <c r="A213" s="26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IF($B213&lt;&gt;"tutar_farki","",IF(ABS($C213)&gt;cbb_esikFark,"YUKSEK","NORMAL"))</f>
        <v/>
      </c>
      <c r="F213" s="16">
        <f>IF($B213&lt;&gt;"tutar_farki","","VKN "&amp;$A213&amp;" için cari↔Ba/Bs fark "&amp;TEXT($C213,"0.00")&amp;" TL. Dayanak: "&amp;$D213&amp;". Düzeltme dosyası üretildi.")</f>
        <v/>
      </c>
      <c r="G213" s="16">
        <f>IF($B213&lt;&gt;"tutar_farki","","Beklemede")</f>
        <v/>
      </c>
    </row>
    <row r="214">
      <c r="A214" s="26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IF($B214&lt;&gt;"tutar_farki","",IF(ABS($C214)&gt;cbb_esikFark,"YUKSEK","NORMAL"))</f>
        <v/>
      </c>
      <c r="F214" s="16">
        <f>IF($B214&lt;&gt;"tutar_farki","","VKN "&amp;$A214&amp;" için cari↔Ba/Bs fark "&amp;TEXT($C214,"0.00")&amp;" TL. Dayanak: "&amp;$D214&amp;". Düzeltme dosyası üretildi.")</f>
        <v/>
      </c>
      <c r="G214" s="16">
        <f>IF($B214&lt;&gt;"tutar_farki","","Beklemede")</f>
        <v/>
      </c>
    </row>
    <row r="215">
      <c r="A215" s="26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IF($B215&lt;&gt;"tutar_farki","",IF(ABS($C215)&gt;cbb_esikFark,"YUKSEK","NORMAL"))</f>
        <v/>
      </c>
      <c r="F215" s="16">
        <f>IF($B215&lt;&gt;"tutar_farki","","VKN "&amp;$A215&amp;" için cari↔Ba/Bs fark "&amp;TEXT($C215,"0.00")&amp;" TL. Dayanak: "&amp;$D215&amp;". Düzeltme dosyası üretildi.")</f>
        <v/>
      </c>
      <c r="G215" s="16">
        <f>IF($B215&lt;&gt;"tutar_farki","","Beklemede")</f>
        <v/>
      </c>
    </row>
    <row r="216">
      <c r="A216" s="26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IF($B216&lt;&gt;"tutar_farki","",IF(ABS($C216)&gt;cbb_esikFark,"YUKSEK","NORMAL"))</f>
        <v/>
      </c>
      <c r="F216" s="16">
        <f>IF($B216&lt;&gt;"tutar_farki","","VKN "&amp;$A216&amp;" için cari↔Ba/Bs fark "&amp;TEXT($C216,"0.00")&amp;" TL. Dayanak: "&amp;$D216&amp;". Düzeltme dosyası üretildi.")</f>
        <v/>
      </c>
      <c r="G216" s="16">
        <f>IF($B216&lt;&gt;"tutar_farki","","Beklemede")</f>
        <v/>
      </c>
    </row>
    <row r="217">
      <c r="A217" s="26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IF($B217&lt;&gt;"tutar_farki","",IF(ABS($C217)&gt;cbb_esikFark,"YUKSEK","NORMAL"))</f>
        <v/>
      </c>
      <c r="F217" s="16">
        <f>IF($B217&lt;&gt;"tutar_farki","","VKN "&amp;$A217&amp;" için cari↔Ba/Bs fark "&amp;TEXT($C217,"0.00")&amp;" TL. Dayanak: "&amp;$D217&amp;". Düzeltme dosyası üretildi.")</f>
        <v/>
      </c>
      <c r="G217" s="16">
        <f>IF($B217&lt;&gt;"tutar_farki","","Beklemede")</f>
        <v/>
      </c>
    </row>
    <row r="218">
      <c r="A218" s="26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IF($B218&lt;&gt;"tutar_farki","",IF(ABS($C218)&gt;cbb_esikFark,"YUKSEK","NORMAL"))</f>
        <v/>
      </c>
      <c r="F218" s="16">
        <f>IF($B218&lt;&gt;"tutar_farki","","VKN "&amp;$A218&amp;" için cari↔Ba/Bs fark "&amp;TEXT($C218,"0.00")&amp;" TL. Dayanak: "&amp;$D218&amp;". Düzeltme dosyası üretildi.")</f>
        <v/>
      </c>
      <c r="G218" s="16">
        <f>IF($B218&lt;&gt;"tutar_farki","","Beklemede")</f>
        <v/>
      </c>
    </row>
    <row r="219">
      <c r="A219" s="26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IF($B219&lt;&gt;"tutar_farki","",IF(ABS($C219)&gt;cbb_esikFark,"YUKSEK","NORMAL"))</f>
        <v/>
      </c>
      <c r="F219" s="16">
        <f>IF($B219&lt;&gt;"tutar_farki","","VKN "&amp;$A219&amp;" için cari↔Ba/Bs fark "&amp;TEXT($C219,"0.00")&amp;" TL. Dayanak: "&amp;$D219&amp;". Düzeltme dosyası üretildi.")</f>
        <v/>
      </c>
      <c r="G219" s="16">
        <f>IF($B219&lt;&gt;"tutar_farki","","Beklemede")</f>
        <v/>
      </c>
    </row>
    <row r="220">
      <c r="A220" s="26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IF($B220&lt;&gt;"tutar_farki","",IF(ABS($C220)&gt;cbb_esikFark,"YUKSEK","NORMAL"))</f>
        <v/>
      </c>
      <c r="F220" s="16">
        <f>IF($B220&lt;&gt;"tutar_farki","","VKN "&amp;$A220&amp;" için cari↔Ba/Bs fark "&amp;TEXT($C220,"0.00")&amp;" TL. Dayanak: "&amp;$D220&amp;". Düzeltme dosyası üretildi.")</f>
        <v/>
      </c>
      <c r="G220" s="16">
        <f>IF($B220&lt;&gt;"tutar_farki","","Beklemede")</f>
        <v/>
      </c>
    </row>
    <row r="221">
      <c r="A221" s="26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IF($B221&lt;&gt;"tutar_farki","",IF(ABS($C221)&gt;cbb_esikFark,"YUKSEK","NORMAL"))</f>
        <v/>
      </c>
      <c r="F221" s="16">
        <f>IF($B221&lt;&gt;"tutar_farki","","VKN "&amp;$A221&amp;" için cari↔Ba/Bs fark "&amp;TEXT($C221,"0.00")&amp;" TL. Dayanak: "&amp;$D221&amp;". Düzeltme dosyası üretildi.")</f>
        <v/>
      </c>
      <c r="G221" s="16">
        <f>IF($B221&lt;&gt;"tutar_farki","","Beklemede")</f>
        <v/>
      </c>
    </row>
    <row r="222">
      <c r="A222" s="26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IF($B222&lt;&gt;"tutar_farki","",IF(ABS($C222)&gt;cbb_esikFark,"YUKSEK","NORMAL"))</f>
        <v/>
      </c>
      <c r="F222" s="16">
        <f>IF($B222&lt;&gt;"tutar_farki","","VKN "&amp;$A222&amp;" için cari↔Ba/Bs fark "&amp;TEXT($C222,"0.00")&amp;" TL. Dayanak: "&amp;$D222&amp;". Düzeltme dosyası üretildi.")</f>
        <v/>
      </c>
      <c r="G222" s="16">
        <f>IF($B222&lt;&gt;"tutar_farki","","Beklemede")</f>
        <v/>
      </c>
    </row>
    <row r="223">
      <c r="A223" s="26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IF($B223&lt;&gt;"tutar_farki","",IF(ABS($C223)&gt;cbb_esikFark,"YUKSEK","NORMAL"))</f>
        <v/>
      </c>
      <c r="F223" s="16">
        <f>IF($B223&lt;&gt;"tutar_farki","","VKN "&amp;$A223&amp;" için cari↔Ba/Bs fark "&amp;TEXT($C223,"0.00")&amp;" TL. Dayanak: "&amp;$D223&amp;". Düzeltme dosyası üretildi.")</f>
        <v/>
      </c>
      <c r="G223" s="16">
        <f>IF($B223&lt;&gt;"tutar_farki","","Beklemede")</f>
        <v/>
      </c>
    </row>
    <row r="224">
      <c r="A224" s="26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IF($B224&lt;&gt;"tutar_farki","",IF(ABS($C224)&gt;cbb_esikFark,"YUKSEK","NORMAL"))</f>
        <v/>
      </c>
      <c r="F224" s="16">
        <f>IF($B224&lt;&gt;"tutar_farki","","VKN "&amp;$A224&amp;" için cari↔Ba/Bs fark "&amp;TEXT($C224,"0.00")&amp;" TL. Dayanak: "&amp;$D224&amp;". Düzeltme dosyası üretildi.")</f>
        <v/>
      </c>
      <c r="G224" s="16">
        <f>IF($B224&lt;&gt;"tutar_farki","","Beklemede")</f>
        <v/>
      </c>
    </row>
    <row r="225">
      <c r="A225" s="26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IF($B225&lt;&gt;"tutar_farki","",IF(ABS($C225)&gt;cbb_esikFark,"YUKSEK","NORMAL"))</f>
        <v/>
      </c>
      <c r="F225" s="16">
        <f>IF($B225&lt;&gt;"tutar_farki","","VKN "&amp;$A225&amp;" için cari↔Ba/Bs fark "&amp;TEXT($C225,"0.00")&amp;" TL. Dayanak: "&amp;$D225&amp;". Düzeltme dosyası üretildi.")</f>
        <v/>
      </c>
      <c r="G225" s="16">
        <f>IF($B225&lt;&gt;"tutar_farki","","Beklemede")</f>
        <v/>
      </c>
    </row>
    <row r="226">
      <c r="A226" s="26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IF($B226&lt;&gt;"tutar_farki","",IF(ABS($C226)&gt;cbb_esikFark,"YUKSEK","NORMAL"))</f>
        <v/>
      </c>
      <c r="F226" s="16">
        <f>IF($B226&lt;&gt;"tutar_farki","","VKN "&amp;$A226&amp;" için cari↔Ba/Bs fark "&amp;TEXT($C226,"0.00")&amp;" TL. Dayanak: "&amp;$D226&amp;". Düzeltme dosyası üretildi.")</f>
        <v/>
      </c>
      <c r="G226" s="16">
        <f>IF($B226&lt;&gt;"tutar_farki","","Beklemede")</f>
        <v/>
      </c>
    </row>
    <row r="227">
      <c r="A227" s="26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IF($B227&lt;&gt;"tutar_farki","",IF(ABS($C227)&gt;cbb_esikFark,"YUKSEK","NORMAL"))</f>
        <v/>
      </c>
      <c r="F227" s="16">
        <f>IF($B227&lt;&gt;"tutar_farki","","VKN "&amp;$A227&amp;" için cari↔Ba/Bs fark "&amp;TEXT($C227,"0.00")&amp;" TL. Dayanak: "&amp;$D227&amp;". Düzeltme dosyası üretildi.")</f>
        <v/>
      </c>
      <c r="G227" s="16">
        <f>IF($B227&lt;&gt;"tutar_farki","","Beklemede")</f>
        <v/>
      </c>
    </row>
    <row r="228">
      <c r="A228" s="26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IF($B228&lt;&gt;"tutar_farki","",IF(ABS($C228)&gt;cbb_esikFark,"YUKSEK","NORMAL"))</f>
        <v/>
      </c>
      <c r="F228" s="16">
        <f>IF($B228&lt;&gt;"tutar_farki","","VKN "&amp;$A228&amp;" için cari↔Ba/Bs fark "&amp;TEXT($C228,"0.00")&amp;" TL. Dayanak: "&amp;$D228&amp;". Düzeltme dosyası üretildi.")</f>
        <v/>
      </c>
      <c r="G228" s="16">
        <f>IF($B228&lt;&gt;"tutar_farki","","Beklemede")</f>
        <v/>
      </c>
    </row>
    <row r="229">
      <c r="A229" s="26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IF($B229&lt;&gt;"tutar_farki","",IF(ABS($C229)&gt;cbb_esikFark,"YUKSEK","NORMAL"))</f>
        <v/>
      </c>
      <c r="F229" s="16">
        <f>IF($B229&lt;&gt;"tutar_farki","","VKN "&amp;$A229&amp;" için cari↔Ba/Bs fark "&amp;TEXT($C229,"0.00")&amp;" TL. Dayanak: "&amp;$D229&amp;". Düzeltme dosyası üretildi.")</f>
        <v/>
      </c>
      <c r="G229" s="16">
        <f>IF($B229&lt;&gt;"tutar_farki","","Beklemede")</f>
        <v/>
      </c>
    </row>
    <row r="230">
      <c r="A230" s="26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IF($B230&lt;&gt;"tutar_farki","",IF(ABS($C230)&gt;cbb_esikFark,"YUKSEK","NORMAL"))</f>
        <v/>
      </c>
      <c r="F230" s="16">
        <f>IF($B230&lt;&gt;"tutar_farki","","VKN "&amp;$A230&amp;" için cari↔Ba/Bs fark "&amp;TEXT($C230,"0.00")&amp;" TL. Dayanak: "&amp;$D230&amp;". Düzeltme dosyası üretildi.")</f>
        <v/>
      </c>
      <c r="G230" s="16">
        <f>IF($B230&lt;&gt;"tutar_farki","","Beklemede")</f>
        <v/>
      </c>
    </row>
    <row r="231">
      <c r="A231" s="26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IF($B231&lt;&gt;"tutar_farki","",IF(ABS($C231)&gt;cbb_esikFark,"YUKSEK","NORMAL"))</f>
        <v/>
      </c>
      <c r="F231" s="16">
        <f>IF($B231&lt;&gt;"tutar_farki","","VKN "&amp;$A231&amp;" için cari↔Ba/Bs fark "&amp;TEXT($C231,"0.00")&amp;" TL. Dayanak: "&amp;$D231&amp;". Düzeltme dosyası üretildi.")</f>
        <v/>
      </c>
      <c r="G231" s="16">
        <f>IF($B231&lt;&gt;"tutar_farki","","Beklemede")</f>
        <v/>
      </c>
    </row>
    <row r="232">
      <c r="A232" s="26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IF($B232&lt;&gt;"tutar_farki","",IF(ABS($C232)&gt;cbb_esikFark,"YUKSEK","NORMAL"))</f>
        <v/>
      </c>
      <c r="F232" s="16">
        <f>IF($B232&lt;&gt;"tutar_farki","","VKN "&amp;$A232&amp;" için cari↔Ba/Bs fark "&amp;TEXT($C232,"0.00")&amp;" TL. Dayanak: "&amp;$D232&amp;". Düzeltme dosyası üretildi.")</f>
        <v/>
      </c>
      <c r="G232" s="16">
        <f>IF($B232&lt;&gt;"tutar_farki","","Beklemede")</f>
        <v/>
      </c>
    </row>
    <row r="233">
      <c r="A233" s="26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IF($B233&lt;&gt;"tutar_farki","",IF(ABS($C233)&gt;cbb_esikFark,"YUKSEK","NORMAL"))</f>
        <v/>
      </c>
      <c r="F233" s="16">
        <f>IF($B233&lt;&gt;"tutar_farki","","VKN "&amp;$A233&amp;" için cari↔Ba/Bs fark "&amp;TEXT($C233,"0.00")&amp;" TL. Dayanak: "&amp;$D233&amp;". Düzeltme dosyası üretildi.")</f>
        <v/>
      </c>
      <c r="G233" s="16">
        <f>IF($B233&lt;&gt;"tutar_farki","","Beklemede")</f>
        <v/>
      </c>
    </row>
    <row r="234">
      <c r="A234" s="26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IF($B234&lt;&gt;"tutar_farki","",IF(ABS($C234)&gt;cbb_esikFark,"YUKSEK","NORMAL"))</f>
        <v/>
      </c>
      <c r="F234" s="16">
        <f>IF($B234&lt;&gt;"tutar_farki","","VKN "&amp;$A234&amp;" için cari↔Ba/Bs fark "&amp;TEXT($C234,"0.00")&amp;" TL. Dayanak: "&amp;$D234&amp;". Düzeltme dosyası üretildi.")</f>
        <v/>
      </c>
      <c r="G234" s="16">
        <f>IF($B234&lt;&gt;"tutar_farki","","Beklemede")</f>
        <v/>
      </c>
    </row>
    <row r="235">
      <c r="A235" s="26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IF($B235&lt;&gt;"tutar_farki","",IF(ABS($C235)&gt;cbb_esikFark,"YUKSEK","NORMAL"))</f>
        <v/>
      </c>
      <c r="F235" s="16">
        <f>IF($B235&lt;&gt;"tutar_farki","","VKN "&amp;$A235&amp;" için cari↔Ba/Bs fark "&amp;TEXT($C235,"0.00")&amp;" TL. Dayanak: "&amp;$D235&amp;". Düzeltme dosyası üretildi.")</f>
        <v/>
      </c>
      <c r="G235" s="16">
        <f>IF($B235&lt;&gt;"tutar_farki","","Beklemede")</f>
        <v/>
      </c>
    </row>
    <row r="236">
      <c r="A236" s="26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IF($B236&lt;&gt;"tutar_farki","",IF(ABS($C236)&gt;cbb_esikFark,"YUKSEK","NORMAL"))</f>
        <v/>
      </c>
      <c r="F236" s="16">
        <f>IF($B236&lt;&gt;"tutar_farki","","VKN "&amp;$A236&amp;" için cari↔Ba/Bs fark "&amp;TEXT($C236,"0.00")&amp;" TL. Dayanak: "&amp;$D236&amp;". Düzeltme dosyası üretildi.")</f>
        <v/>
      </c>
      <c r="G236" s="16">
        <f>IF($B236&lt;&gt;"tutar_farki","","Beklemede")</f>
        <v/>
      </c>
    </row>
    <row r="237">
      <c r="A237" s="26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IF($B237&lt;&gt;"tutar_farki","",IF(ABS($C237)&gt;cbb_esikFark,"YUKSEK","NORMAL"))</f>
        <v/>
      </c>
      <c r="F237" s="16">
        <f>IF($B237&lt;&gt;"tutar_farki","","VKN "&amp;$A237&amp;" için cari↔Ba/Bs fark "&amp;TEXT($C237,"0.00")&amp;" TL. Dayanak: "&amp;$D237&amp;". Düzeltme dosyası üretildi.")</f>
        <v/>
      </c>
      <c r="G237" s="16">
        <f>IF($B237&lt;&gt;"tutar_farki","","Beklemede")</f>
        <v/>
      </c>
    </row>
    <row r="238">
      <c r="A238" s="26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IF($B238&lt;&gt;"tutar_farki","",IF(ABS($C238)&gt;cbb_esikFark,"YUKSEK","NORMAL"))</f>
        <v/>
      </c>
      <c r="F238" s="16">
        <f>IF($B238&lt;&gt;"tutar_farki","","VKN "&amp;$A238&amp;" için cari↔Ba/Bs fark "&amp;TEXT($C238,"0.00")&amp;" TL. Dayanak: "&amp;$D238&amp;". Düzeltme dosyası üretildi.")</f>
        <v/>
      </c>
      <c r="G238" s="16">
        <f>IF($B238&lt;&gt;"tutar_farki","","Beklemede")</f>
        <v/>
      </c>
    </row>
    <row r="239">
      <c r="A239" s="26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IF($B239&lt;&gt;"tutar_farki","",IF(ABS($C239)&gt;cbb_esikFark,"YUKSEK","NORMAL"))</f>
        <v/>
      </c>
      <c r="F239" s="16">
        <f>IF($B239&lt;&gt;"tutar_farki","","VKN "&amp;$A239&amp;" için cari↔Ba/Bs fark "&amp;TEXT($C239,"0.00")&amp;" TL. Dayanak: "&amp;$D239&amp;". Düzeltme dosyası üretildi.")</f>
        <v/>
      </c>
      <c r="G239" s="16">
        <f>IF($B239&lt;&gt;"tutar_farki","","Beklemede")</f>
        <v/>
      </c>
    </row>
    <row r="240">
      <c r="A240" s="26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IF($B240&lt;&gt;"tutar_farki","",IF(ABS($C240)&gt;cbb_esikFark,"YUKSEK","NORMAL"))</f>
        <v/>
      </c>
      <c r="F240" s="16">
        <f>IF($B240&lt;&gt;"tutar_farki","","VKN "&amp;$A240&amp;" için cari↔Ba/Bs fark "&amp;TEXT($C240,"0.00")&amp;" TL. Dayanak: "&amp;$D240&amp;". Düzeltme dosyası üretildi.")</f>
        <v/>
      </c>
      <c r="G240" s="16">
        <f>IF($B240&lt;&gt;"tutar_farki","","Beklemede")</f>
        <v/>
      </c>
    </row>
    <row r="241">
      <c r="A241" s="26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IF($B241&lt;&gt;"tutar_farki","",IF(ABS($C241)&gt;cbb_esikFark,"YUKSEK","NORMAL"))</f>
        <v/>
      </c>
      <c r="F241" s="16">
        <f>IF($B241&lt;&gt;"tutar_farki","","VKN "&amp;$A241&amp;" için cari↔Ba/Bs fark "&amp;TEXT($C241,"0.00")&amp;" TL. Dayanak: "&amp;$D241&amp;". Düzeltme dosyası üretildi.")</f>
        <v/>
      </c>
      <c r="G241" s="16">
        <f>IF($B241&lt;&gt;"tutar_farki","","Beklemede")</f>
        <v/>
      </c>
    </row>
    <row r="242">
      <c r="A242" s="26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IF($B242&lt;&gt;"tutar_farki","",IF(ABS($C242)&gt;cbb_esikFark,"YUKSEK","NORMAL"))</f>
        <v/>
      </c>
      <c r="F242" s="16">
        <f>IF($B242&lt;&gt;"tutar_farki","","VKN "&amp;$A242&amp;" için cari↔Ba/Bs fark "&amp;TEXT($C242,"0.00")&amp;" TL. Dayanak: "&amp;$D242&amp;". Düzeltme dosyası üretildi.")</f>
        <v/>
      </c>
      <c r="G242" s="16">
        <f>IF($B242&lt;&gt;"tutar_farki","","Beklemede")</f>
        <v/>
      </c>
    </row>
    <row r="243">
      <c r="A243" s="26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IF($B243&lt;&gt;"tutar_farki","",IF(ABS($C243)&gt;cbb_esikFark,"YUKSEK","NORMAL"))</f>
        <v/>
      </c>
      <c r="F243" s="16">
        <f>IF($B243&lt;&gt;"tutar_farki","","VKN "&amp;$A243&amp;" için cari↔Ba/Bs fark "&amp;TEXT($C243,"0.00")&amp;" TL. Dayanak: "&amp;$D243&amp;". Düzeltme dosyası üretildi.")</f>
        <v/>
      </c>
      <c r="G243" s="16">
        <f>IF($B243&lt;&gt;"tutar_farki","","Beklemede")</f>
        <v/>
      </c>
    </row>
    <row r="244">
      <c r="A244" s="26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IF($B244&lt;&gt;"tutar_farki","",IF(ABS($C244)&gt;cbb_esikFark,"YUKSEK","NORMAL"))</f>
        <v/>
      </c>
      <c r="F244" s="16">
        <f>IF($B244&lt;&gt;"tutar_farki","","VKN "&amp;$A244&amp;" için cari↔Ba/Bs fark "&amp;TEXT($C244,"0.00")&amp;" TL. Dayanak: "&amp;$D244&amp;". Düzeltme dosyası üretildi.")</f>
        <v/>
      </c>
      <c r="G244" s="16">
        <f>IF($B244&lt;&gt;"tutar_farki","","Beklemede")</f>
        <v/>
      </c>
    </row>
    <row r="245">
      <c r="A245" s="26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IF($B245&lt;&gt;"tutar_farki","",IF(ABS($C245)&gt;cbb_esikFark,"YUKSEK","NORMAL"))</f>
        <v/>
      </c>
      <c r="F245" s="16">
        <f>IF($B245&lt;&gt;"tutar_farki","","VKN "&amp;$A245&amp;" için cari↔Ba/Bs fark "&amp;TEXT($C245,"0.00")&amp;" TL. Dayanak: "&amp;$D245&amp;". Düzeltme dosyası üretildi.")</f>
        <v/>
      </c>
      <c r="G245" s="16">
        <f>IF($B245&lt;&gt;"tutar_farki","","Beklemede")</f>
        <v/>
      </c>
    </row>
    <row r="246">
      <c r="A246" s="26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IF($B246&lt;&gt;"tutar_farki","",IF(ABS($C246)&gt;cbb_esikFark,"YUKSEK","NORMAL"))</f>
        <v/>
      </c>
      <c r="F246" s="16">
        <f>IF($B246&lt;&gt;"tutar_farki","","VKN "&amp;$A246&amp;" için cari↔Ba/Bs fark "&amp;TEXT($C246,"0.00")&amp;" TL. Dayanak: "&amp;$D246&amp;". Düzeltme dosyası üretildi.")</f>
        <v/>
      </c>
      <c r="G246" s="16">
        <f>IF($B246&lt;&gt;"tutar_farki","","Beklemede")</f>
        <v/>
      </c>
    </row>
    <row r="247">
      <c r="A247" s="26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IF($B247&lt;&gt;"tutar_farki","",IF(ABS($C247)&gt;cbb_esikFark,"YUKSEK","NORMAL"))</f>
        <v/>
      </c>
      <c r="F247" s="16">
        <f>IF($B247&lt;&gt;"tutar_farki","","VKN "&amp;$A247&amp;" için cari↔Ba/Bs fark "&amp;TEXT($C247,"0.00")&amp;" TL. Dayanak: "&amp;$D247&amp;". Düzeltme dosyası üretildi.")</f>
        <v/>
      </c>
      <c r="G247" s="16">
        <f>IF($B247&lt;&gt;"tutar_farki","","Beklemede")</f>
        <v/>
      </c>
    </row>
    <row r="248">
      <c r="A248" s="26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IF($B248&lt;&gt;"tutar_farki","",IF(ABS($C248)&gt;cbb_esikFark,"YUKSEK","NORMAL"))</f>
        <v/>
      </c>
      <c r="F248" s="16">
        <f>IF($B248&lt;&gt;"tutar_farki","","VKN "&amp;$A248&amp;" için cari↔Ba/Bs fark "&amp;TEXT($C248,"0.00")&amp;" TL. Dayanak: "&amp;$D248&amp;". Düzeltme dosyası üretildi.")</f>
        <v/>
      </c>
      <c r="G248" s="16">
        <f>IF($B248&lt;&gt;"tutar_farki","","Beklemede")</f>
        <v/>
      </c>
    </row>
    <row r="249">
      <c r="A249" s="26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IF($B249&lt;&gt;"tutar_farki","",IF(ABS($C249)&gt;cbb_esikFark,"YUKSEK","NORMAL"))</f>
        <v/>
      </c>
      <c r="F249" s="16">
        <f>IF($B249&lt;&gt;"tutar_farki","","VKN "&amp;$A249&amp;" için cari↔Ba/Bs fark "&amp;TEXT($C249,"0.00")&amp;" TL. Dayanak: "&amp;$D249&amp;". Düzeltme dosyası üretildi.")</f>
        <v/>
      </c>
      <c r="G249" s="16">
        <f>IF($B249&lt;&gt;"tutar_farki","","Beklemede")</f>
        <v/>
      </c>
    </row>
    <row r="250">
      <c r="A250" s="26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IF($B250&lt;&gt;"tutar_farki","",IF(ABS($C250)&gt;cbb_esikFark,"YUKSEK","NORMAL"))</f>
        <v/>
      </c>
      <c r="F250" s="16">
        <f>IF($B250&lt;&gt;"tutar_farki","","VKN "&amp;$A250&amp;" için cari↔Ba/Bs fark "&amp;TEXT($C250,"0.00")&amp;" TL. Dayanak: "&amp;$D250&amp;". Düzeltme dosyası üretildi.")</f>
        <v/>
      </c>
      <c r="G250" s="16">
        <f>IF($B250&lt;&gt;"tutar_farki","","Beklemede")</f>
        <v/>
      </c>
    </row>
    <row r="251">
      <c r="A251" s="26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IF($B251&lt;&gt;"tutar_farki","",IF(ABS($C251)&gt;cbb_esikFark,"YUKSEK","NORMAL"))</f>
        <v/>
      </c>
      <c r="F251" s="16">
        <f>IF($B251&lt;&gt;"tutar_farki","","VKN "&amp;$A251&amp;" için cari↔Ba/Bs fark "&amp;TEXT($C251,"0.00")&amp;" TL. Dayanak: "&amp;$D251&amp;". Düzeltme dosyası üretildi.")</f>
        <v/>
      </c>
      <c r="G251" s="16">
        <f>IF($B251&lt;&gt;"tutar_farki","","Beklemede")</f>
        <v/>
      </c>
    </row>
    <row r="252">
      <c r="A252" s="26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IF($B252&lt;&gt;"tutar_farki","",IF(ABS($C252)&gt;cbb_esikFark,"YUKSEK","NORMAL"))</f>
        <v/>
      </c>
      <c r="F252" s="16">
        <f>IF($B252&lt;&gt;"tutar_farki","","VKN "&amp;$A252&amp;" için cari↔Ba/Bs fark "&amp;TEXT($C252,"0.00")&amp;" TL. Dayanak: "&amp;$D252&amp;". Düzeltme dosyası üretildi.")</f>
        <v/>
      </c>
      <c r="G252" s="16">
        <f>IF($B252&lt;&gt;"tutar_farki","","Beklemede")</f>
        <v/>
      </c>
    </row>
    <row r="253">
      <c r="A253" s="26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IF($B253&lt;&gt;"tutar_farki","",IF(ABS($C253)&gt;cbb_esikFark,"YUKSEK","NORMAL"))</f>
        <v/>
      </c>
      <c r="F253" s="16">
        <f>IF($B253&lt;&gt;"tutar_farki","","VKN "&amp;$A253&amp;" için cari↔Ba/Bs fark "&amp;TEXT($C253,"0.00")&amp;" TL. Dayanak: "&amp;$D253&amp;". Düzeltme dosyası üretildi.")</f>
        <v/>
      </c>
      <c r="G253" s="16">
        <f>IF($B253&lt;&gt;"tutar_farki","","Beklemede")</f>
        <v/>
      </c>
    </row>
    <row r="254">
      <c r="A254" s="26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IF($B254&lt;&gt;"tutar_farki","",IF(ABS($C254)&gt;cbb_esikFark,"YUKSEK","NORMAL"))</f>
        <v/>
      </c>
      <c r="F254" s="16">
        <f>IF($B254&lt;&gt;"tutar_farki","","VKN "&amp;$A254&amp;" için cari↔Ba/Bs fark "&amp;TEXT($C254,"0.00")&amp;" TL. Dayanak: "&amp;$D254&amp;". Düzeltme dosyası üretildi.")</f>
        <v/>
      </c>
      <c r="G254" s="16">
        <f>IF($B254&lt;&gt;"tutar_farki","","Beklemede")</f>
        <v/>
      </c>
    </row>
    <row r="255">
      <c r="A255" s="26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IF($B255&lt;&gt;"tutar_farki","",IF(ABS($C255)&gt;cbb_esikFark,"YUKSEK","NORMAL"))</f>
        <v/>
      </c>
      <c r="F255" s="16">
        <f>IF($B255&lt;&gt;"tutar_farki","","VKN "&amp;$A255&amp;" için cari↔Ba/Bs fark "&amp;TEXT($C255,"0.00")&amp;" TL. Dayanak: "&amp;$D255&amp;". Düzeltme dosyası üretildi.")</f>
        <v/>
      </c>
      <c r="G255" s="16">
        <f>IF($B255&lt;&gt;"tutar_farki","","Beklemede")</f>
        <v/>
      </c>
    </row>
    <row r="256">
      <c r="A256" s="26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IF($B256&lt;&gt;"tutar_farki","",IF(ABS($C256)&gt;cbb_esikFark,"YUKSEK","NORMAL"))</f>
        <v/>
      </c>
      <c r="F256" s="16">
        <f>IF($B256&lt;&gt;"tutar_farki","","VKN "&amp;$A256&amp;" için cari↔Ba/Bs fark "&amp;TEXT($C256,"0.00")&amp;" TL. Dayanak: "&amp;$D256&amp;". Düzeltme dosyası üretildi.")</f>
        <v/>
      </c>
      <c r="G256" s="16">
        <f>IF($B256&lt;&gt;"tutar_farki","","Beklemede")</f>
        <v/>
      </c>
    </row>
    <row r="257">
      <c r="A257" s="26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IF($B257&lt;&gt;"tutar_farki","",IF(ABS($C257)&gt;cbb_esikFark,"YUKSEK","NORMAL"))</f>
        <v/>
      </c>
      <c r="F257" s="16">
        <f>IF($B257&lt;&gt;"tutar_farki","","VKN "&amp;$A257&amp;" için cari↔Ba/Bs fark "&amp;TEXT($C257,"0.00")&amp;" TL. Dayanak: "&amp;$D257&amp;". Düzeltme dosyası üretildi.")</f>
        <v/>
      </c>
      <c r="G257" s="16">
        <f>IF($B257&lt;&gt;"tutar_farki","","Beklemede")</f>
        <v/>
      </c>
    </row>
    <row r="258">
      <c r="A258" s="26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IF($B258&lt;&gt;"tutar_farki","",IF(ABS($C258)&gt;cbb_esikFark,"YUKSEK","NORMAL"))</f>
        <v/>
      </c>
      <c r="F258" s="16">
        <f>IF($B258&lt;&gt;"tutar_farki","","VKN "&amp;$A258&amp;" için cari↔Ba/Bs fark "&amp;TEXT($C258,"0.00")&amp;" TL. Dayanak: "&amp;$D258&amp;". Düzeltme dosyası üretildi.")</f>
        <v/>
      </c>
      <c r="G258" s="16">
        <f>IF($B258&lt;&gt;"tutar_farki","","Beklemede")</f>
        <v/>
      </c>
    </row>
    <row r="259">
      <c r="A259" s="26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IF($B259&lt;&gt;"tutar_farki","",IF(ABS($C259)&gt;cbb_esikFark,"YUKSEK","NORMAL"))</f>
        <v/>
      </c>
      <c r="F259" s="16">
        <f>IF($B259&lt;&gt;"tutar_farki","","VKN "&amp;$A259&amp;" için cari↔Ba/Bs fark "&amp;TEXT($C259,"0.00")&amp;" TL. Dayanak: "&amp;$D259&amp;". Düzeltme dosyası üretildi.")</f>
        <v/>
      </c>
      <c r="G259" s="16">
        <f>IF($B259&lt;&gt;"tutar_farki","","Beklemede")</f>
        <v/>
      </c>
    </row>
    <row r="260">
      <c r="A260" s="26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IF($B260&lt;&gt;"tutar_farki","",IF(ABS($C260)&gt;cbb_esikFark,"YUKSEK","NORMAL"))</f>
        <v/>
      </c>
      <c r="F260" s="16">
        <f>IF($B260&lt;&gt;"tutar_farki","","VKN "&amp;$A260&amp;" için cari↔Ba/Bs fark "&amp;TEXT($C260,"0.00")&amp;" TL. Dayanak: "&amp;$D260&amp;". Düzeltme dosyası üretildi.")</f>
        <v/>
      </c>
      <c r="G260" s="16">
        <f>IF($B260&lt;&gt;"tutar_farki","","Beklemede")</f>
        <v/>
      </c>
    </row>
    <row r="261">
      <c r="A261" s="26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IF($B261&lt;&gt;"tutar_farki","",IF(ABS($C261)&gt;cbb_esikFark,"YUKSEK","NORMAL"))</f>
        <v/>
      </c>
      <c r="F261" s="16">
        <f>IF($B261&lt;&gt;"tutar_farki","","VKN "&amp;$A261&amp;" için cari↔Ba/Bs fark "&amp;TEXT($C261,"0.00")&amp;" TL. Dayanak: "&amp;$D261&amp;". Düzeltme dosyası üretildi.")</f>
        <v/>
      </c>
      <c r="G261" s="16">
        <f>IF($B261&lt;&gt;"tutar_farki","","Beklemede")</f>
        <v/>
      </c>
    </row>
    <row r="262">
      <c r="A262" s="26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IF($B262&lt;&gt;"tutar_farki","",IF(ABS($C262)&gt;cbb_esikFark,"YUKSEK","NORMAL"))</f>
        <v/>
      </c>
      <c r="F262" s="16">
        <f>IF($B262&lt;&gt;"tutar_farki","","VKN "&amp;$A262&amp;" için cari↔Ba/Bs fark "&amp;TEXT($C262,"0.00")&amp;" TL. Dayanak: "&amp;$D262&amp;". Düzeltme dosyası üretildi.")</f>
        <v/>
      </c>
      <c r="G262" s="16">
        <f>IF($B262&lt;&gt;"tutar_farki","","Beklemede")</f>
        <v/>
      </c>
    </row>
    <row r="263">
      <c r="A263" s="26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IF($B263&lt;&gt;"tutar_farki","",IF(ABS($C263)&gt;cbb_esikFark,"YUKSEK","NORMAL"))</f>
        <v/>
      </c>
      <c r="F263" s="16">
        <f>IF($B263&lt;&gt;"tutar_farki","","VKN "&amp;$A263&amp;" için cari↔Ba/Bs fark "&amp;TEXT($C263,"0.00")&amp;" TL. Dayanak: "&amp;$D263&amp;". Düzeltme dosyası üretildi.")</f>
        <v/>
      </c>
      <c r="G263" s="16">
        <f>IF($B263&lt;&gt;"tutar_farki","","Beklemede")</f>
        <v/>
      </c>
    </row>
    <row r="264">
      <c r="A264" s="26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IF($B264&lt;&gt;"tutar_farki","",IF(ABS($C264)&gt;cbb_esikFark,"YUKSEK","NORMAL"))</f>
        <v/>
      </c>
      <c r="F264" s="16">
        <f>IF($B264&lt;&gt;"tutar_farki","","VKN "&amp;$A264&amp;" için cari↔Ba/Bs fark "&amp;TEXT($C264,"0.00")&amp;" TL. Dayanak: "&amp;$D264&amp;". Düzeltme dosyası üretildi.")</f>
        <v/>
      </c>
      <c r="G264" s="16">
        <f>IF($B264&lt;&gt;"tutar_farki","","Beklemede")</f>
        <v/>
      </c>
    </row>
    <row r="265">
      <c r="A265" s="26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IF($B265&lt;&gt;"tutar_farki","",IF(ABS($C265)&gt;cbb_esikFark,"YUKSEK","NORMAL"))</f>
        <v/>
      </c>
      <c r="F265" s="16">
        <f>IF($B265&lt;&gt;"tutar_farki","","VKN "&amp;$A265&amp;" için cari↔Ba/Bs fark "&amp;TEXT($C265,"0.00")&amp;" TL. Dayanak: "&amp;$D265&amp;". Düzeltme dosyası üretildi.")</f>
        <v/>
      </c>
      <c r="G265" s="16">
        <f>IF($B265&lt;&gt;"tutar_farki","","Beklemede")</f>
        <v/>
      </c>
    </row>
    <row r="266">
      <c r="A266" s="26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IF($B266&lt;&gt;"tutar_farki","",IF(ABS($C266)&gt;cbb_esikFark,"YUKSEK","NORMAL"))</f>
        <v/>
      </c>
      <c r="F266" s="16">
        <f>IF($B266&lt;&gt;"tutar_farki","","VKN "&amp;$A266&amp;" için cari↔Ba/Bs fark "&amp;TEXT($C266,"0.00")&amp;" TL. Dayanak: "&amp;$D266&amp;". Düzeltme dosyası üretildi.")</f>
        <v/>
      </c>
      <c r="G266" s="16">
        <f>IF($B266&lt;&gt;"tutar_farki","","Beklemede")</f>
        <v/>
      </c>
    </row>
    <row r="267">
      <c r="A267" s="26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IF($B267&lt;&gt;"tutar_farki","",IF(ABS($C267)&gt;cbb_esikFark,"YUKSEK","NORMAL"))</f>
        <v/>
      </c>
      <c r="F267" s="16">
        <f>IF($B267&lt;&gt;"tutar_farki","","VKN "&amp;$A267&amp;" için cari↔Ba/Bs fark "&amp;TEXT($C267,"0.00")&amp;" TL. Dayanak: "&amp;$D267&amp;". Düzeltme dosyası üretildi.")</f>
        <v/>
      </c>
      <c r="G267" s="16">
        <f>IF($B267&lt;&gt;"tutar_farki","","Beklemede")</f>
        <v/>
      </c>
    </row>
    <row r="268">
      <c r="A268" s="26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IF($B268&lt;&gt;"tutar_farki","",IF(ABS($C268)&gt;cbb_esikFark,"YUKSEK","NORMAL"))</f>
        <v/>
      </c>
      <c r="F268" s="16">
        <f>IF($B268&lt;&gt;"tutar_farki","","VKN "&amp;$A268&amp;" için cari↔Ba/Bs fark "&amp;TEXT($C268,"0.00")&amp;" TL. Dayanak: "&amp;$D268&amp;". Düzeltme dosyası üretildi.")</f>
        <v/>
      </c>
      <c r="G268" s="16">
        <f>IF($B268&lt;&gt;"tutar_farki","","Beklemede")</f>
        <v/>
      </c>
    </row>
    <row r="269">
      <c r="A269" s="26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IF($B269&lt;&gt;"tutar_farki","",IF(ABS($C269)&gt;cbb_esikFark,"YUKSEK","NORMAL"))</f>
        <v/>
      </c>
      <c r="F269" s="16">
        <f>IF($B269&lt;&gt;"tutar_farki","","VKN "&amp;$A269&amp;" için cari↔Ba/Bs fark "&amp;TEXT($C269,"0.00")&amp;" TL. Dayanak: "&amp;$D269&amp;". Düzeltme dosyası üretildi.")</f>
        <v/>
      </c>
      <c r="G269" s="16">
        <f>IF($B269&lt;&gt;"tutar_farki","","Beklemede")</f>
        <v/>
      </c>
    </row>
    <row r="270">
      <c r="A270" s="26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IF($B270&lt;&gt;"tutar_farki","",IF(ABS($C270)&gt;cbb_esikFark,"YUKSEK","NORMAL"))</f>
        <v/>
      </c>
      <c r="F270" s="16">
        <f>IF($B270&lt;&gt;"tutar_farki","","VKN "&amp;$A270&amp;" için cari↔Ba/Bs fark "&amp;TEXT($C270,"0.00")&amp;" TL. Dayanak: "&amp;$D270&amp;". Düzeltme dosyası üretildi.")</f>
        <v/>
      </c>
      <c r="G270" s="16">
        <f>IF($B270&lt;&gt;"tutar_farki","","Beklemede")</f>
        <v/>
      </c>
    </row>
    <row r="271">
      <c r="A271" s="26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IF($B271&lt;&gt;"tutar_farki","",IF(ABS($C271)&gt;cbb_esikFark,"YUKSEK","NORMAL"))</f>
        <v/>
      </c>
      <c r="F271" s="16">
        <f>IF($B271&lt;&gt;"tutar_farki","","VKN "&amp;$A271&amp;" için cari↔Ba/Bs fark "&amp;TEXT($C271,"0.00")&amp;" TL. Dayanak: "&amp;$D271&amp;". Düzeltme dosyası üretildi.")</f>
        <v/>
      </c>
      <c r="G271" s="16">
        <f>IF($B271&lt;&gt;"tutar_farki","","Beklemede")</f>
        <v/>
      </c>
    </row>
    <row r="272">
      <c r="A272" s="26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IF($B272&lt;&gt;"tutar_farki","",IF(ABS($C272)&gt;cbb_esikFark,"YUKSEK","NORMAL"))</f>
        <v/>
      </c>
      <c r="F272" s="16">
        <f>IF($B272&lt;&gt;"tutar_farki","","VKN "&amp;$A272&amp;" için cari↔Ba/Bs fark "&amp;TEXT($C272,"0.00")&amp;" TL. Dayanak: "&amp;$D272&amp;". Düzeltme dosyası üretildi.")</f>
        <v/>
      </c>
      <c r="G272" s="16">
        <f>IF($B272&lt;&gt;"tutar_farki","","Beklemede")</f>
        <v/>
      </c>
    </row>
    <row r="273">
      <c r="A273" s="26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IF($B273&lt;&gt;"tutar_farki","",IF(ABS($C273)&gt;cbb_esikFark,"YUKSEK","NORMAL"))</f>
        <v/>
      </c>
      <c r="F273" s="16">
        <f>IF($B273&lt;&gt;"tutar_farki","","VKN "&amp;$A273&amp;" için cari↔Ba/Bs fark "&amp;TEXT($C273,"0.00")&amp;" TL. Dayanak: "&amp;$D273&amp;". Düzeltme dosyası üretildi.")</f>
        <v/>
      </c>
      <c r="G273" s="16">
        <f>IF($B273&lt;&gt;"tutar_farki","","Beklemede")</f>
        <v/>
      </c>
    </row>
    <row r="274">
      <c r="A274" s="26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IF($B274&lt;&gt;"tutar_farki","",IF(ABS($C274)&gt;cbb_esikFark,"YUKSEK","NORMAL"))</f>
        <v/>
      </c>
      <c r="F274" s="16">
        <f>IF($B274&lt;&gt;"tutar_farki","","VKN "&amp;$A274&amp;" için cari↔Ba/Bs fark "&amp;TEXT($C274,"0.00")&amp;" TL. Dayanak: "&amp;$D274&amp;". Düzeltme dosyası üretildi.")</f>
        <v/>
      </c>
      <c r="G274" s="16">
        <f>IF($B274&lt;&gt;"tutar_farki","","Beklemede")</f>
        <v/>
      </c>
    </row>
    <row r="275">
      <c r="A275" s="26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IF($B275&lt;&gt;"tutar_farki","",IF(ABS($C275)&gt;cbb_esikFark,"YUKSEK","NORMAL"))</f>
        <v/>
      </c>
      <c r="F275" s="16">
        <f>IF($B275&lt;&gt;"tutar_farki","","VKN "&amp;$A275&amp;" için cari↔Ba/Bs fark "&amp;TEXT($C275,"0.00")&amp;" TL. Dayanak: "&amp;$D275&amp;". Düzeltme dosyası üretildi.")</f>
        <v/>
      </c>
      <c r="G275" s="16">
        <f>IF($B275&lt;&gt;"tutar_farki","","Beklemede")</f>
        <v/>
      </c>
    </row>
    <row r="276">
      <c r="A276" s="26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IF($B276&lt;&gt;"tutar_farki","",IF(ABS($C276)&gt;cbb_esikFark,"YUKSEK","NORMAL"))</f>
        <v/>
      </c>
      <c r="F276" s="16">
        <f>IF($B276&lt;&gt;"tutar_farki","","VKN "&amp;$A276&amp;" için cari↔Ba/Bs fark "&amp;TEXT($C276,"0.00")&amp;" TL. Dayanak: "&amp;$D276&amp;". Düzeltme dosyası üretildi.")</f>
        <v/>
      </c>
      <c r="G276" s="16">
        <f>IF($B276&lt;&gt;"tutar_farki","","Beklemede")</f>
        <v/>
      </c>
    </row>
    <row r="277">
      <c r="A277" s="26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IF($B277&lt;&gt;"tutar_farki","",IF(ABS($C277)&gt;cbb_esikFark,"YUKSEK","NORMAL"))</f>
        <v/>
      </c>
      <c r="F277" s="16">
        <f>IF($B277&lt;&gt;"tutar_farki","","VKN "&amp;$A277&amp;" için cari↔Ba/Bs fark "&amp;TEXT($C277,"0.00")&amp;" TL. Dayanak: "&amp;$D277&amp;". Düzeltme dosyası üretildi.")</f>
        <v/>
      </c>
      <c r="G277" s="16">
        <f>IF($B277&lt;&gt;"tutar_farki","","Beklemede")</f>
        <v/>
      </c>
    </row>
    <row r="278">
      <c r="A278" s="26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IF($B278&lt;&gt;"tutar_farki","",IF(ABS($C278)&gt;cbb_esikFark,"YUKSEK","NORMAL"))</f>
        <v/>
      </c>
      <c r="F278" s="16">
        <f>IF($B278&lt;&gt;"tutar_farki","","VKN "&amp;$A278&amp;" için cari↔Ba/Bs fark "&amp;TEXT($C278,"0.00")&amp;" TL. Dayanak: "&amp;$D278&amp;". Düzeltme dosyası üretildi.")</f>
        <v/>
      </c>
      <c r="G278" s="16">
        <f>IF($B278&lt;&gt;"tutar_farki","","Beklemede")</f>
        <v/>
      </c>
    </row>
    <row r="279">
      <c r="A279" s="26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IF($B279&lt;&gt;"tutar_farki","",IF(ABS($C279)&gt;cbb_esikFark,"YUKSEK","NORMAL"))</f>
        <v/>
      </c>
      <c r="F279" s="16">
        <f>IF($B279&lt;&gt;"tutar_farki","","VKN "&amp;$A279&amp;" için cari↔Ba/Bs fark "&amp;TEXT($C279,"0.00")&amp;" TL. Dayanak: "&amp;$D279&amp;". Düzeltme dosyası üretildi.")</f>
        <v/>
      </c>
      <c r="G279" s="16">
        <f>IF($B279&lt;&gt;"tutar_farki","","Beklemede")</f>
        <v/>
      </c>
    </row>
    <row r="280">
      <c r="A280" s="26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IF($B280&lt;&gt;"tutar_farki","",IF(ABS($C280)&gt;cbb_esikFark,"YUKSEK","NORMAL"))</f>
        <v/>
      </c>
      <c r="F280" s="16">
        <f>IF($B280&lt;&gt;"tutar_farki","","VKN "&amp;$A280&amp;" için cari↔Ba/Bs fark "&amp;TEXT($C280,"0.00")&amp;" TL. Dayanak: "&amp;$D280&amp;". Düzeltme dosyası üretildi.")</f>
        <v/>
      </c>
      <c r="G280" s="16">
        <f>IF($B280&lt;&gt;"tutar_farki","","Beklemede")</f>
        <v/>
      </c>
    </row>
    <row r="281">
      <c r="A281" s="26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IF($B281&lt;&gt;"tutar_farki","",IF(ABS($C281)&gt;cbb_esikFark,"YUKSEK","NORMAL"))</f>
        <v/>
      </c>
      <c r="F281" s="16">
        <f>IF($B281&lt;&gt;"tutar_farki","","VKN "&amp;$A281&amp;" için cari↔Ba/Bs fark "&amp;TEXT($C281,"0.00")&amp;" TL. Dayanak: "&amp;$D281&amp;". Düzeltme dosyası üretildi.")</f>
        <v/>
      </c>
      <c r="G281" s="16">
        <f>IF($B281&lt;&gt;"tutar_farki","","Beklemede")</f>
        <v/>
      </c>
    </row>
    <row r="282">
      <c r="A282" s="26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IF($B282&lt;&gt;"tutar_farki","",IF(ABS($C282)&gt;cbb_esikFark,"YUKSEK","NORMAL"))</f>
        <v/>
      </c>
      <c r="F282" s="16">
        <f>IF($B282&lt;&gt;"tutar_farki","","VKN "&amp;$A282&amp;" için cari↔Ba/Bs fark "&amp;TEXT($C282,"0.00")&amp;" TL. Dayanak: "&amp;$D282&amp;". Düzeltme dosyası üretildi.")</f>
        <v/>
      </c>
      <c r="G282" s="16">
        <f>IF($B282&lt;&gt;"tutar_farki","","Beklemede")</f>
        <v/>
      </c>
    </row>
    <row r="283">
      <c r="A283" s="26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IF($B283&lt;&gt;"tutar_farki","",IF(ABS($C283)&gt;cbb_esikFark,"YUKSEK","NORMAL"))</f>
        <v/>
      </c>
      <c r="F283" s="16">
        <f>IF($B283&lt;&gt;"tutar_farki","","VKN "&amp;$A283&amp;" için cari↔Ba/Bs fark "&amp;TEXT($C283,"0.00")&amp;" TL. Dayanak: "&amp;$D283&amp;". Düzeltme dosyası üretildi.")</f>
        <v/>
      </c>
      <c r="G283" s="16">
        <f>IF($B283&lt;&gt;"tutar_farki","","Beklemede")</f>
        <v/>
      </c>
    </row>
    <row r="284">
      <c r="A284" s="26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IF($B284&lt;&gt;"tutar_farki","",IF(ABS($C284)&gt;cbb_esikFark,"YUKSEK","NORMAL"))</f>
        <v/>
      </c>
      <c r="F284" s="16">
        <f>IF($B284&lt;&gt;"tutar_farki","","VKN "&amp;$A284&amp;" için cari↔Ba/Bs fark "&amp;TEXT($C284,"0.00")&amp;" TL. Dayanak: "&amp;$D284&amp;". Düzeltme dosyası üretildi.")</f>
        <v/>
      </c>
      <c r="G284" s="16">
        <f>IF($B284&lt;&gt;"tutar_farki","","Beklemede")</f>
        <v/>
      </c>
    </row>
    <row r="285">
      <c r="A285" s="26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IF($B285&lt;&gt;"tutar_farki","",IF(ABS($C285)&gt;cbb_esikFark,"YUKSEK","NORMAL"))</f>
        <v/>
      </c>
      <c r="F285" s="16">
        <f>IF($B285&lt;&gt;"tutar_farki","","VKN "&amp;$A285&amp;" için cari↔Ba/Bs fark "&amp;TEXT($C285,"0.00")&amp;" TL. Dayanak: "&amp;$D285&amp;". Düzeltme dosyası üretildi.")</f>
        <v/>
      </c>
      <c r="G285" s="16">
        <f>IF($B285&lt;&gt;"tutar_farki","","Beklemede")</f>
        <v/>
      </c>
    </row>
    <row r="286">
      <c r="A286" s="26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IF($B286&lt;&gt;"tutar_farki","",IF(ABS($C286)&gt;cbb_esikFark,"YUKSEK","NORMAL"))</f>
        <v/>
      </c>
      <c r="F286" s="16">
        <f>IF($B286&lt;&gt;"tutar_farki","","VKN "&amp;$A286&amp;" için cari↔Ba/Bs fark "&amp;TEXT($C286,"0.00")&amp;" TL. Dayanak: "&amp;$D286&amp;". Düzeltme dosyası üretildi.")</f>
        <v/>
      </c>
      <c r="G286" s="16">
        <f>IF($B286&lt;&gt;"tutar_farki","","Beklemede")</f>
        <v/>
      </c>
    </row>
    <row r="287">
      <c r="A287" s="26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IF($B287&lt;&gt;"tutar_farki","",IF(ABS($C287)&gt;cbb_esikFark,"YUKSEK","NORMAL"))</f>
        <v/>
      </c>
      <c r="F287" s="16">
        <f>IF($B287&lt;&gt;"tutar_farki","","VKN "&amp;$A287&amp;" için cari↔Ba/Bs fark "&amp;TEXT($C287,"0.00")&amp;" TL. Dayanak: "&amp;$D287&amp;". Düzeltme dosyası üretildi.")</f>
        <v/>
      </c>
      <c r="G287" s="16">
        <f>IF($B287&lt;&gt;"tutar_farki","","Beklemede")</f>
        <v/>
      </c>
    </row>
    <row r="288">
      <c r="A288" s="26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IF($B288&lt;&gt;"tutar_farki","",IF(ABS($C288)&gt;cbb_esikFark,"YUKSEK","NORMAL"))</f>
        <v/>
      </c>
      <c r="F288" s="16">
        <f>IF($B288&lt;&gt;"tutar_farki","","VKN "&amp;$A288&amp;" için cari↔Ba/Bs fark "&amp;TEXT($C288,"0.00")&amp;" TL. Dayanak: "&amp;$D288&amp;". Düzeltme dosyası üretildi.")</f>
        <v/>
      </c>
      <c r="G288" s="16">
        <f>IF($B288&lt;&gt;"tutar_farki","","Beklemede")</f>
        <v/>
      </c>
    </row>
    <row r="289">
      <c r="A289" s="26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IF($B289&lt;&gt;"tutar_farki","",IF(ABS($C289)&gt;cbb_esikFark,"YUKSEK","NORMAL"))</f>
        <v/>
      </c>
      <c r="F289" s="16">
        <f>IF($B289&lt;&gt;"tutar_farki","","VKN "&amp;$A289&amp;" için cari↔Ba/Bs fark "&amp;TEXT($C289,"0.00")&amp;" TL. Dayanak: "&amp;$D289&amp;". Düzeltme dosyası üretildi.")</f>
        <v/>
      </c>
      <c r="G289" s="16">
        <f>IF($B289&lt;&gt;"tutar_farki","","Beklemede")</f>
        <v/>
      </c>
    </row>
    <row r="290">
      <c r="A290" s="26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IF($B290&lt;&gt;"tutar_farki","",IF(ABS($C290)&gt;cbb_esikFark,"YUKSEK","NORMAL"))</f>
        <v/>
      </c>
      <c r="F290" s="16">
        <f>IF($B290&lt;&gt;"tutar_farki","","VKN "&amp;$A290&amp;" için cari↔Ba/Bs fark "&amp;TEXT($C290,"0.00")&amp;" TL. Dayanak: "&amp;$D290&amp;". Düzeltme dosyası üretildi.")</f>
        <v/>
      </c>
      <c r="G290" s="16">
        <f>IF($B290&lt;&gt;"tutar_farki","","Beklemede")</f>
        <v/>
      </c>
    </row>
    <row r="291">
      <c r="A291" s="26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IF($B291&lt;&gt;"tutar_farki","",IF(ABS($C291)&gt;cbb_esikFark,"YUKSEK","NORMAL"))</f>
        <v/>
      </c>
      <c r="F291" s="16">
        <f>IF($B291&lt;&gt;"tutar_farki","","VKN "&amp;$A291&amp;" için cari↔Ba/Bs fark "&amp;TEXT($C291,"0.00")&amp;" TL. Dayanak: "&amp;$D291&amp;". Düzeltme dosyası üretildi.")</f>
        <v/>
      </c>
      <c r="G291" s="16">
        <f>IF($B291&lt;&gt;"tutar_farki","","Beklemede")</f>
        <v/>
      </c>
    </row>
    <row r="292">
      <c r="A292" s="26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IF($B292&lt;&gt;"tutar_farki","",IF(ABS($C292)&gt;cbb_esikFark,"YUKSEK","NORMAL"))</f>
        <v/>
      </c>
      <c r="F292" s="16">
        <f>IF($B292&lt;&gt;"tutar_farki","","VKN "&amp;$A292&amp;" için cari↔Ba/Bs fark "&amp;TEXT($C292,"0.00")&amp;" TL. Dayanak: "&amp;$D292&amp;". Düzeltme dosyası üretildi.")</f>
        <v/>
      </c>
      <c r="G292" s="16">
        <f>IF($B292&lt;&gt;"tutar_farki","","Beklemede")</f>
        <v/>
      </c>
    </row>
    <row r="293">
      <c r="A293" s="26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IF($B293&lt;&gt;"tutar_farki","",IF(ABS($C293)&gt;cbb_esikFark,"YUKSEK","NORMAL"))</f>
        <v/>
      </c>
      <c r="F293" s="16">
        <f>IF($B293&lt;&gt;"tutar_farki","","VKN "&amp;$A293&amp;" için cari↔Ba/Bs fark "&amp;TEXT($C293,"0.00")&amp;" TL. Dayanak: "&amp;$D293&amp;". Düzeltme dosyası üretildi.")</f>
        <v/>
      </c>
      <c r="G293" s="16">
        <f>IF($B293&lt;&gt;"tutar_farki","","Beklemede")</f>
        <v/>
      </c>
    </row>
    <row r="294">
      <c r="A294" s="26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IF($B294&lt;&gt;"tutar_farki","",IF(ABS($C294)&gt;cbb_esikFark,"YUKSEK","NORMAL"))</f>
        <v/>
      </c>
      <c r="F294" s="16">
        <f>IF($B294&lt;&gt;"tutar_farki","","VKN "&amp;$A294&amp;" için cari↔Ba/Bs fark "&amp;TEXT($C294,"0.00")&amp;" TL. Dayanak: "&amp;$D294&amp;". Düzeltme dosyası üretildi.")</f>
        <v/>
      </c>
      <c r="G294" s="16">
        <f>IF($B294&lt;&gt;"tutar_farki","","Beklemede")</f>
        <v/>
      </c>
    </row>
    <row r="295">
      <c r="A295" s="26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IF($B295&lt;&gt;"tutar_farki","",IF(ABS($C295)&gt;cbb_esikFark,"YUKSEK","NORMAL"))</f>
        <v/>
      </c>
      <c r="F295" s="16">
        <f>IF($B295&lt;&gt;"tutar_farki","","VKN "&amp;$A295&amp;" için cari↔Ba/Bs fark "&amp;TEXT($C295,"0.00")&amp;" TL. Dayanak: "&amp;$D295&amp;". Düzeltme dosyası üretildi.")</f>
        <v/>
      </c>
      <c r="G295" s="16">
        <f>IF($B295&lt;&gt;"tutar_farki","","Beklemede")</f>
        <v/>
      </c>
    </row>
    <row r="296">
      <c r="A296" s="26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IF($B296&lt;&gt;"tutar_farki","",IF(ABS($C296)&gt;cbb_esikFark,"YUKSEK","NORMAL"))</f>
        <v/>
      </c>
      <c r="F296" s="16">
        <f>IF($B296&lt;&gt;"tutar_farki","","VKN "&amp;$A296&amp;" için cari↔Ba/Bs fark "&amp;TEXT($C296,"0.00")&amp;" TL. Dayanak: "&amp;$D296&amp;". Düzeltme dosyası üretildi.")</f>
        <v/>
      </c>
      <c r="G296" s="16">
        <f>IF($B296&lt;&gt;"tutar_farki","","Beklemede")</f>
        <v/>
      </c>
    </row>
    <row r="297">
      <c r="A297" s="26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IF($B297&lt;&gt;"tutar_farki","",IF(ABS($C297)&gt;cbb_esikFark,"YUKSEK","NORMAL"))</f>
        <v/>
      </c>
      <c r="F297" s="16">
        <f>IF($B297&lt;&gt;"tutar_farki","","VKN "&amp;$A297&amp;" için cari↔Ba/Bs fark "&amp;TEXT($C297,"0.00")&amp;" TL. Dayanak: "&amp;$D297&amp;". Düzeltme dosyası üretildi.")</f>
        <v/>
      </c>
      <c r="G297" s="16">
        <f>IF($B297&lt;&gt;"tutar_farki","","Beklemede")</f>
        <v/>
      </c>
    </row>
    <row r="298">
      <c r="A298" s="26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IF($B298&lt;&gt;"tutar_farki","",IF(ABS($C298)&gt;cbb_esikFark,"YUKSEK","NORMAL"))</f>
        <v/>
      </c>
      <c r="F298" s="16">
        <f>IF($B298&lt;&gt;"tutar_farki","","VKN "&amp;$A298&amp;" için cari↔Ba/Bs fark "&amp;TEXT($C298,"0.00")&amp;" TL. Dayanak: "&amp;$D298&amp;". Düzeltme dosyası üretildi.")</f>
        <v/>
      </c>
      <c r="G298" s="16">
        <f>IF($B298&lt;&gt;"tutar_farki","","Beklemede")</f>
        <v/>
      </c>
    </row>
    <row r="299">
      <c r="A299" s="26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IF($B299&lt;&gt;"tutar_farki","",IF(ABS($C299)&gt;cbb_esikFark,"YUKSEK","NORMAL"))</f>
        <v/>
      </c>
      <c r="F299" s="16">
        <f>IF($B299&lt;&gt;"tutar_farki","","VKN "&amp;$A299&amp;" için cari↔Ba/Bs fark "&amp;TEXT($C299,"0.00")&amp;" TL. Dayanak: "&amp;$D299&amp;". Düzeltme dosyası üretildi.")</f>
        <v/>
      </c>
      <c r="G299" s="16">
        <f>IF($B299&lt;&gt;"tutar_farki","","Beklemede")</f>
        <v/>
      </c>
    </row>
    <row r="300">
      <c r="A300" s="26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IF($B300&lt;&gt;"tutar_farki","",IF(ABS($C300)&gt;cbb_esikFark,"YUKSEK","NORMAL"))</f>
        <v/>
      </c>
      <c r="F300" s="16">
        <f>IF($B300&lt;&gt;"tutar_farki","","VKN "&amp;$A300&amp;" için cari↔Ba/Bs fark "&amp;TEXT($C300,"0.00")&amp;" TL. Dayanak: "&amp;$D300&amp;". Düzeltme dosyası üretildi.")</f>
        <v/>
      </c>
      <c r="G300" s="16">
        <f>IF($B300&lt;&gt;"tutar_farki","","Beklemede")</f>
        <v/>
      </c>
    </row>
    <row r="301">
      <c r="A301" s="26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IF($B301&lt;&gt;"tutar_farki","",IF(ABS($C301)&gt;cbb_esikFark,"YUKSEK","NORMAL"))</f>
        <v/>
      </c>
      <c r="F301" s="16">
        <f>IF($B301&lt;&gt;"tutar_farki","","VKN "&amp;$A301&amp;" için cari↔Ba/Bs fark "&amp;TEXT($C301,"0.00")&amp;" TL. Dayanak: "&amp;$D301&amp;". Düzeltme dosyası üretildi.")</f>
        <v/>
      </c>
      <c r="G301" s="16">
        <f>IF($B301&lt;&gt;"tutar_farki","","Beklemede")</f>
        <v/>
      </c>
    </row>
    <row r="302">
      <c r="A302" s="26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IF($B302&lt;&gt;"tutar_farki","",IF(ABS($C302)&gt;cbb_esikFark,"YUKSEK","NORMAL"))</f>
        <v/>
      </c>
      <c r="F302" s="16">
        <f>IF($B302&lt;&gt;"tutar_farki","","VKN "&amp;$A302&amp;" için cari↔Ba/Bs fark "&amp;TEXT($C302,"0.00")&amp;" TL. Dayanak: "&amp;$D302&amp;". Düzeltme dosyası üretildi.")</f>
        <v/>
      </c>
      <c r="G302" s="16">
        <f>IF($B302&lt;&gt;"tutar_farki","","Beklemede")</f>
        <v/>
      </c>
    </row>
    <row r="303">
      <c r="A303" s="26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IF($B303&lt;&gt;"tutar_farki","",IF(ABS($C303)&gt;cbb_esikFark,"YUKSEK","NORMAL"))</f>
        <v/>
      </c>
      <c r="F303" s="16">
        <f>IF($B303&lt;&gt;"tutar_farki","","VKN "&amp;$A303&amp;" için cari↔Ba/Bs fark "&amp;TEXT($C303,"0.00")&amp;" TL. Dayanak: "&amp;$D303&amp;". Düzeltme dosyası üretildi.")</f>
        <v/>
      </c>
      <c r="G303" s="16">
        <f>IF($B303&lt;&gt;"tutar_farki","","Beklemede")</f>
        <v/>
      </c>
    </row>
    <row r="304">
      <c r="A304" s="26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IF($B304&lt;&gt;"tutar_farki","",IF(ABS($C304)&gt;cbb_esikFark,"YUKSEK","NORMAL"))</f>
        <v/>
      </c>
      <c r="F304" s="16">
        <f>IF($B304&lt;&gt;"tutar_farki","","VKN "&amp;$A304&amp;" için cari↔Ba/Bs fark "&amp;TEXT($C304,"0.00")&amp;" TL. Dayanak: "&amp;$D304&amp;". Düzeltme dosyası üretildi.")</f>
        <v/>
      </c>
      <c r="G304" s="16">
        <f>IF($B304&lt;&gt;"tutar_farki","","Beklemede")</f>
        <v/>
      </c>
    </row>
    <row r="305">
      <c r="A305" s="26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IF($B305&lt;&gt;"tutar_farki","",IF(ABS($C305)&gt;cbb_esikFark,"YUKSEK","NORMAL"))</f>
        <v/>
      </c>
      <c r="F305" s="16">
        <f>IF($B305&lt;&gt;"tutar_farki","","VKN "&amp;$A305&amp;" için cari↔Ba/Bs fark "&amp;TEXT($C305,"0.00")&amp;" TL. Dayanak: "&amp;$D305&amp;". Düzeltme dosyası üretildi.")</f>
        <v/>
      </c>
      <c r="G305" s="16">
        <f>IF($B305&lt;&gt;"tutar_farki","","Beklemede")</f>
        <v/>
      </c>
    </row>
    <row r="306">
      <c r="A306" s="26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IF($B306&lt;&gt;"tutar_farki","",IF(ABS($C306)&gt;cbb_esikFark,"YUKSEK","NORMAL"))</f>
        <v/>
      </c>
      <c r="F306" s="16">
        <f>IF($B306&lt;&gt;"tutar_farki","","VKN "&amp;$A306&amp;" için cari↔Ba/Bs fark "&amp;TEXT($C306,"0.00")&amp;" TL. Dayanak: "&amp;$D306&amp;". Düzeltme dosyası üretildi.")</f>
        <v/>
      </c>
      <c r="G306" s="16">
        <f>IF($B306&lt;&gt;"tutar_farki","","Beklemede")</f>
        <v/>
      </c>
    </row>
    <row r="307">
      <c r="A307" s="26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IF($B307&lt;&gt;"tutar_farki","",IF(ABS($C307)&gt;cbb_esikFark,"YUKSEK","NORMAL"))</f>
        <v/>
      </c>
      <c r="F307" s="16">
        <f>IF($B307&lt;&gt;"tutar_farki","","VKN "&amp;$A307&amp;" için cari↔Ba/Bs fark "&amp;TEXT($C307,"0.00")&amp;" TL. Dayanak: "&amp;$D307&amp;". Düzeltme dosyası üretildi.")</f>
        <v/>
      </c>
      <c r="G307" s="16">
        <f>IF($B307&lt;&gt;"tutar_farki","","Beklemede")</f>
        <v/>
      </c>
    </row>
    <row r="308">
      <c r="A308" s="26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IF($B308&lt;&gt;"tutar_farki","",IF(ABS($C308)&gt;cbb_esikFark,"YUKSEK","NORMAL"))</f>
        <v/>
      </c>
      <c r="F308" s="16">
        <f>IF($B308&lt;&gt;"tutar_farki","","VKN "&amp;$A308&amp;" için cari↔Ba/Bs fark "&amp;TEXT($C308,"0.00")&amp;" TL. Dayanak: "&amp;$D308&amp;". Düzeltme dosyası üretildi.")</f>
        <v/>
      </c>
      <c r="G308" s="16">
        <f>IF($B308&lt;&gt;"tutar_farki","","Beklemede")</f>
        <v/>
      </c>
    </row>
    <row r="309">
      <c r="A309" s="26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IF($B309&lt;&gt;"tutar_farki","",IF(ABS($C309)&gt;cbb_esikFark,"YUKSEK","NORMAL"))</f>
        <v/>
      </c>
      <c r="F309" s="16">
        <f>IF($B309&lt;&gt;"tutar_farki","","VKN "&amp;$A309&amp;" için cari↔Ba/Bs fark "&amp;TEXT($C309,"0.00")&amp;" TL. Dayanak: "&amp;$D309&amp;". Düzeltme dosyası üretildi.")</f>
        <v/>
      </c>
      <c r="G309" s="16">
        <f>IF($B309&lt;&gt;"tutar_farki","","Beklemede")</f>
        <v/>
      </c>
    </row>
    <row r="310">
      <c r="A310" s="26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IF($B310&lt;&gt;"tutar_farki","",IF(ABS($C310)&gt;cbb_esikFark,"YUKSEK","NORMAL"))</f>
        <v/>
      </c>
      <c r="F310" s="16">
        <f>IF($B310&lt;&gt;"tutar_farki","","VKN "&amp;$A310&amp;" için cari↔Ba/Bs fark "&amp;TEXT($C310,"0.00")&amp;" TL. Dayanak: "&amp;$D310&amp;". Düzeltme dosyası üretildi.")</f>
        <v/>
      </c>
      <c r="G310" s="16">
        <f>IF($B310&lt;&gt;"tutar_farki","","Beklemede")</f>
        <v/>
      </c>
    </row>
    <row r="311">
      <c r="A311" s="26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IF($B311&lt;&gt;"tutar_farki","",IF(ABS($C311)&gt;cbb_esikFark,"YUKSEK","NORMAL"))</f>
        <v/>
      </c>
      <c r="F311" s="16">
        <f>IF($B311&lt;&gt;"tutar_farki","","VKN "&amp;$A311&amp;" için cari↔Ba/Bs fark "&amp;TEXT($C311,"0.00")&amp;" TL. Dayanak: "&amp;$D311&amp;". Düzeltme dosyası üretildi.")</f>
        <v/>
      </c>
      <c r="G311" s="16">
        <f>IF($B311&lt;&gt;"tutar_farki","","Beklemede")</f>
        <v/>
      </c>
    </row>
    <row r="312">
      <c r="A312" s="26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IF($B312&lt;&gt;"tutar_farki","",IF(ABS($C312)&gt;cbb_esikFark,"YUKSEK","NORMAL"))</f>
        <v/>
      </c>
      <c r="F312" s="16">
        <f>IF($B312&lt;&gt;"tutar_farki","","VKN "&amp;$A312&amp;" için cari↔Ba/Bs fark "&amp;TEXT($C312,"0.00")&amp;" TL. Dayanak: "&amp;$D312&amp;". Düzeltme dosyası üretildi.")</f>
        <v/>
      </c>
      <c r="G312" s="16">
        <f>IF($B312&lt;&gt;"tutar_farki","","Beklemede")</f>
        <v/>
      </c>
    </row>
    <row r="313">
      <c r="A313" s="26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IF($B313&lt;&gt;"tutar_farki","",IF(ABS($C313)&gt;cbb_esikFark,"YUKSEK","NORMAL"))</f>
        <v/>
      </c>
      <c r="F313" s="16">
        <f>IF($B313&lt;&gt;"tutar_farki","","VKN "&amp;$A313&amp;" için cari↔Ba/Bs fark "&amp;TEXT($C313,"0.00")&amp;" TL. Dayanak: "&amp;$D313&amp;". Düzeltme dosyası üretildi.")</f>
        <v/>
      </c>
      <c r="G313" s="16">
        <f>IF($B313&lt;&gt;"tutar_farki","","Beklemede")</f>
        <v/>
      </c>
    </row>
    <row r="314">
      <c r="A314" s="26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IF($B314&lt;&gt;"tutar_farki","",IF(ABS($C314)&gt;cbb_esikFark,"YUKSEK","NORMAL"))</f>
        <v/>
      </c>
      <c r="F314" s="16">
        <f>IF($B314&lt;&gt;"tutar_farki","","VKN "&amp;$A314&amp;" için cari↔Ba/Bs fark "&amp;TEXT($C314,"0.00")&amp;" TL. Dayanak: "&amp;$D314&amp;". Düzeltme dosyası üretildi.")</f>
        <v/>
      </c>
      <c r="G314" s="16">
        <f>IF($B314&lt;&gt;"tutar_farki","","Beklemede")</f>
        <v/>
      </c>
    </row>
    <row r="315">
      <c r="A315" s="26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IF($B315&lt;&gt;"tutar_farki","",IF(ABS($C315)&gt;cbb_esikFark,"YUKSEK","NORMAL"))</f>
        <v/>
      </c>
      <c r="F315" s="16">
        <f>IF($B315&lt;&gt;"tutar_farki","","VKN "&amp;$A315&amp;" için cari↔Ba/Bs fark "&amp;TEXT($C315,"0.00")&amp;" TL. Dayanak: "&amp;$D315&amp;". Düzeltme dosyası üretildi.")</f>
        <v/>
      </c>
      <c r="G315" s="16">
        <f>IF($B315&lt;&gt;"tutar_farki","","Beklemede")</f>
        <v/>
      </c>
    </row>
    <row r="316">
      <c r="A316" s="26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IF($B316&lt;&gt;"tutar_farki","",IF(ABS($C316)&gt;cbb_esikFark,"YUKSEK","NORMAL"))</f>
        <v/>
      </c>
      <c r="F316" s="16">
        <f>IF($B316&lt;&gt;"tutar_farki","","VKN "&amp;$A316&amp;" için cari↔Ba/Bs fark "&amp;TEXT($C316,"0.00")&amp;" TL. Dayanak: "&amp;$D316&amp;". Düzeltme dosyası üretildi.")</f>
        <v/>
      </c>
      <c r="G316" s="16">
        <f>IF($B316&lt;&gt;"tutar_farki","","Beklemede")</f>
        <v/>
      </c>
    </row>
    <row r="317">
      <c r="A317" s="26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IF($B317&lt;&gt;"tutar_farki","",IF(ABS($C317)&gt;cbb_esikFark,"YUKSEK","NORMAL"))</f>
        <v/>
      </c>
      <c r="F317" s="16">
        <f>IF($B317&lt;&gt;"tutar_farki","","VKN "&amp;$A317&amp;" için cari↔Ba/Bs fark "&amp;TEXT($C317,"0.00")&amp;" TL. Dayanak: "&amp;$D317&amp;". Düzeltme dosyası üretildi.")</f>
        <v/>
      </c>
      <c r="G317" s="16">
        <f>IF($B317&lt;&gt;"tutar_farki","","Beklemede")</f>
        <v/>
      </c>
    </row>
    <row r="318">
      <c r="A318" s="26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IF($B318&lt;&gt;"tutar_farki","",IF(ABS($C318)&gt;cbb_esikFark,"YUKSEK","NORMAL"))</f>
        <v/>
      </c>
      <c r="F318" s="16">
        <f>IF($B318&lt;&gt;"tutar_farki","","VKN "&amp;$A318&amp;" için cari↔Ba/Bs fark "&amp;TEXT($C318,"0.00")&amp;" TL. Dayanak: "&amp;$D318&amp;". Düzeltme dosyası üretildi.")</f>
        <v/>
      </c>
      <c r="G318" s="16">
        <f>IF($B318&lt;&gt;"tutar_farki","","Beklemede")</f>
        <v/>
      </c>
    </row>
    <row r="319">
      <c r="A319" s="26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IF($B319&lt;&gt;"tutar_farki","",IF(ABS($C319)&gt;cbb_esikFark,"YUKSEK","NORMAL"))</f>
        <v/>
      </c>
      <c r="F319" s="16">
        <f>IF($B319&lt;&gt;"tutar_farki","","VKN "&amp;$A319&amp;" için cari↔Ba/Bs fark "&amp;TEXT($C319,"0.00")&amp;" TL. Dayanak: "&amp;$D319&amp;". Düzeltme dosyası üretildi.")</f>
        <v/>
      </c>
      <c r="G319" s="16">
        <f>IF($B319&lt;&gt;"tutar_farki","","Beklemede")</f>
        <v/>
      </c>
    </row>
    <row r="320">
      <c r="A320" s="26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IF($B320&lt;&gt;"tutar_farki","",IF(ABS($C320)&gt;cbb_esikFark,"YUKSEK","NORMAL"))</f>
        <v/>
      </c>
      <c r="F320" s="16">
        <f>IF($B320&lt;&gt;"tutar_farki","","VKN "&amp;$A320&amp;" için cari↔Ba/Bs fark "&amp;TEXT($C320,"0.00")&amp;" TL. Dayanak: "&amp;$D320&amp;". Düzeltme dosyası üretildi.")</f>
        <v/>
      </c>
      <c r="G320" s="16">
        <f>IF($B320&lt;&gt;"tutar_farki","","Beklemede")</f>
        <v/>
      </c>
    </row>
    <row r="321">
      <c r="A321" s="26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IF($B321&lt;&gt;"tutar_farki","",IF(ABS($C321)&gt;cbb_esikFark,"YUKSEK","NORMAL"))</f>
        <v/>
      </c>
      <c r="F321" s="16">
        <f>IF($B321&lt;&gt;"tutar_farki","","VKN "&amp;$A321&amp;" için cari↔Ba/Bs fark "&amp;TEXT($C321,"0.00")&amp;" TL. Dayanak: "&amp;$D321&amp;". Düzeltme dosyası üretildi.")</f>
        <v/>
      </c>
      <c r="G321" s="16">
        <f>IF($B321&lt;&gt;"tutar_farki","","Beklemede")</f>
        <v/>
      </c>
    </row>
    <row r="322">
      <c r="A322" s="26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IF($B322&lt;&gt;"tutar_farki","",IF(ABS($C322)&gt;cbb_esikFark,"YUKSEK","NORMAL"))</f>
        <v/>
      </c>
      <c r="F322" s="16">
        <f>IF($B322&lt;&gt;"tutar_farki","","VKN "&amp;$A322&amp;" için cari↔Ba/Bs fark "&amp;TEXT($C322,"0.00")&amp;" TL. Dayanak: "&amp;$D322&amp;". Düzeltme dosyası üretildi.")</f>
        <v/>
      </c>
      <c r="G322" s="16">
        <f>IF($B322&lt;&gt;"tutar_farki","","Beklemede")</f>
        <v/>
      </c>
    </row>
    <row r="323">
      <c r="A323" s="26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IF($B323&lt;&gt;"tutar_farki","",IF(ABS($C323)&gt;cbb_esikFark,"YUKSEK","NORMAL"))</f>
        <v/>
      </c>
      <c r="F323" s="16">
        <f>IF($B323&lt;&gt;"tutar_farki","","VKN "&amp;$A323&amp;" için cari↔Ba/Bs fark "&amp;TEXT($C323,"0.00")&amp;" TL. Dayanak: "&amp;$D323&amp;". Düzeltme dosyası üretildi.")</f>
        <v/>
      </c>
      <c r="G323" s="16">
        <f>IF($B323&lt;&gt;"tutar_farki","","Beklemede")</f>
        <v/>
      </c>
    </row>
    <row r="324">
      <c r="A324" s="26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IF($B324&lt;&gt;"tutar_farki","",IF(ABS($C324)&gt;cbb_esikFark,"YUKSEK","NORMAL"))</f>
        <v/>
      </c>
      <c r="F324" s="16">
        <f>IF($B324&lt;&gt;"tutar_farki","","VKN "&amp;$A324&amp;" için cari↔Ba/Bs fark "&amp;TEXT($C324,"0.00")&amp;" TL. Dayanak: "&amp;$D324&amp;". Düzeltme dosyası üretildi.")</f>
        <v/>
      </c>
      <c r="G324" s="16">
        <f>IF($B324&lt;&gt;"tutar_farki","","Beklemede")</f>
        <v/>
      </c>
    </row>
    <row r="325">
      <c r="A325" s="26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IF($B325&lt;&gt;"tutar_farki","",IF(ABS($C325)&gt;cbb_esikFark,"YUKSEK","NORMAL"))</f>
        <v/>
      </c>
      <c r="F325" s="16">
        <f>IF($B325&lt;&gt;"tutar_farki","","VKN "&amp;$A325&amp;" için cari↔Ba/Bs fark "&amp;TEXT($C325,"0.00")&amp;" TL. Dayanak: "&amp;$D325&amp;". Düzeltme dosyası üretildi.")</f>
        <v/>
      </c>
      <c r="G325" s="16">
        <f>IF($B325&lt;&gt;"tutar_farki","","Beklemede")</f>
        <v/>
      </c>
    </row>
    <row r="326">
      <c r="A326" s="26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IF($B326&lt;&gt;"tutar_farki","",IF(ABS($C326)&gt;cbb_esikFark,"YUKSEK","NORMAL"))</f>
        <v/>
      </c>
      <c r="F326" s="16">
        <f>IF($B326&lt;&gt;"tutar_farki","","VKN "&amp;$A326&amp;" için cari↔Ba/Bs fark "&amp;TEXT($C326,"0.00")&amp;" TL. Dayanak: "&amp;$D326&amp;". Düzeltme dosyası üretildi.")</f>
        <v/>
      </c>
      <c r="G326" s="16">
        <f>IF($B326&lt;&gt;"tutar_farki","","Beklemede")</f>
        <v/>
      </c>
    </row>
    <row r="327">
      <c r="A327" s="26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IF($B327&lt;&gt;"tutar_farki","",IF(ABS($C327)&gt;cbb_esikFark,"YUKSEK","NORMAL"))</f>
        <v/>
      </c>
      <c r="F327" s="16">
        <f>IF($B327&lt;&gt;"tutar_farki","","VKN "&amp;$A327&amp;" için cari↔Ba/Bs fark "&amp;TEXT($C327,"0.00")&amp;" TL. Dayanak: "&amp;$D327&amp;". Düzeltme dosyası üretildi.")</f>
        <v/>
      </c>
      <c r="G327" s="16">
        <f>IF($B327&lt;&gt;"tutar_farki","","Beklemede")</f>
        <v/>
      </c>
    </row>
    <row r="328">
      <c r="A328" s="26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IF($B328&lt;&gt;"tutar_farki","",IF(ABS($C328)&gt;cbb_esikFark,"YUKSEK","NORMAL"))</f>
        <v/>
      </c>
      <c r="F328" s="16">
        <f>IF($B328&lt;&gt;"tutar_farki","","VKN "&amp;$A328&amp;" için cari↔Ba/Bs fark "&amp;TEXT($C328,"0.00")&amp;" TL. Dayanak: "&amp;$D328&amp;". Düzeltme dosyası üretildi.")</f>
        <v/>
      </c>
      <c r="G328" s="16">
        <f>IF($B328&lt;&gt;"tutar_farki","","Beklemede")</f>
        <v/>
      </c>
    </row>
    <row r="329">
      <c r="A329" s="26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IF($B329&lt;&gt;"tutar_farki","",IF(ABS($C329)&gt;cbb_esikFark,"YUKSEK","NORMAL"))</f>
        <v/>
      </c>
      <c r="F329" s="16">
        <f>IF($B329&lt;&gt;"tutar_farki","","VKN "&amp;$A329&amp;" için cari↔Ba/Bs fark "&amp;TEXT($C329,"0.00")&amp;" TL. Dayanak: "&amp;$D329&amp;". Düzeltme dosyası üretildi.")</f>
        <v/>
      </c>
      <c r="G329" s="16">
        <f>IF($B329&lt;&gt;"tutar_farki","","Beklemede")</f>
        <v/>
      </c>
    </row>
    <row r="330">
      <c r="A330" s="26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IF($B330&lt;&gt;"tutar_farki","",IF(ABS($C330)&gt;cbb_esikFark,"YUKSEK","NORMAL"))</f>
        <v/>
      </c>
      <c r="F330" s="16">
        <f>IF($B330&lt;&gt;"tutar_farki","","VKN "&amp;$A330&amp;" için cari↔Ba/Bs fark "&amp;TEXT($C330,"0.00")&amp;" TL. Dayanak: "&amp;$D330&amp;". Düzeltme dosyası üretildi.")</f>
        <v/>
      </c>
      <c r="G330" s="16">
        <f>IF($B330&lt;&gt;"tutar_farki","","Beklemede")</f>
        <v/>
      </c>
    </row>
    <row r="331">
      <c r="A331" s="26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IF($B331&lt;&gt;"tutar_farki","",IF(ABS($C331)&gt;cbb_esikFark,"YUKSEK","NORMAL"))</f>
        <v/>
      </c>
      <c r="F331" s="16">
        <f>IF($B331&lt;&gt;"tutar_farki","","VKN "&amp;$A331&amp;" için cari↔Ba/Bs fark "&amp;TEXT($C331,"0.00")&amp;" TL. Dayanak: "&amp;$D331&amp;". Düzeltme dosyası üretildi.")</f>
        <v/>
      </c>
      <c r="G331" s="16">
        <f>IF($B331&lt;&gt;"tutar_farki","","Beklemede")</f>
        <v/>
      </c>
    </row>
    <row r="332">
      <c r="A332" s="26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IF($B332&lt;&gt;"tutar_farki","",IF(ABS($C332)&gt;cbb_esikFark,"YUKSEK","NORMAL"))</f>
        <v/>
      </c>
      <c r="F332" s="16">
        <f>IF($B332&lt;&gt;"tutar_farki","","VKN "&amp;$A332&amp;" için cari↔Ba/Bs fark "&amp;TEXT($C332,"0.00")&amp;" TL. Dayanak: "&amp;$D332&amp;". Düzeltme dosyası üretildi.")</f>
        <v/>
      </c>
      <c r="G332" s="16">
        <f>IF($B332&lt;&gt;"tutar_farki","","Beklemede")</f>
        <v/>
      </c>
    </row>
    <row r="333">
      <c r="A333" s="26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IF($B333&lt;&gt;"tutar_farki","",IF(ABS($C333)&gt;cbb_esikFark,"YUKSEK","NORMAL"))</f>
        <v/>
      </c>
      <c r="F333" s="16">
        <f>IF($B333&lt;&gt;"tutar_farki","","VKN "&amp;$A333&amp;" için cari↔Ba/Bs fark "&amp;TEXT($C333,"0.00")&amp;" TL. Dayanak: "&amp;$D333&amp;". Düzeltme dosyası üretildi.")</f>
        <v/>
      </c>
      <c r="G333" s="16">
        <f>IF($B333&lt;&gt;"tutar_farki","","Beklemede")</f>
        <v/>
      </c>
    </row>
    <row r="334">
      <c r="A334" s="26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IF($B334&lt;&gt;"tutar_farki","",IF(ABS($C334)&gt;cbb_esikFark,"YUKSEK","NORMAL"))</f>
        <v/>
      </c>
      <c r="F334" s="16">
        <f>IF($B334&lt;&gt;"tutar_farki","","VKN "&amp;$A334&amp;" için cari↔Ba/Bs fark "&amp;TEXT($C334,"0.00")&amp;" TL. Dayanak: "&amp;$D334&amp;". Düzeltme dosyası üretildi.")</f>
        <v/>
      </c>
      <c r="G334" s="16">
        <f>IF($B334&lt;&gt;"tutar_farki","","Beklemede")</f>
        <v/>
      </c>
    </row>
    <row r="335">
      <c r="A335" s="26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IF($B335&lt;&gt;"tutar_farki","",IF(ABS($C335)&gt;cbb_esikFark,"YUKSEK","NORMAL"))</f>
        <v/>
      </c>
      <c r="F335" s="16">
        <f>IF($B335&lt;&gt;"tutar_farki","","VKN "&amp;$A335&amp;" için cari↔Ba/Bs fark "&amp;TEXT($C335,"0.00")&amp;" TL. Dayanak: "&amp;$D335&amp;". Düzeltme dosyası üretildi.")</f>
        <v/>
      </c>
      <c r="G335" s="16">
        <f>IF($B335&lt;&gt;"tutar_farki","","Beklemede")</f>
        <v/>
      </c>
    </row>
    <row r="336">
      <c r="A336" s="26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IF($B336&lt;&gt;"tutar_farki","",IF(ABS($C336)&gt;cbb_esikFark,"YUKSEK","NORMAL"))</f>
        <v/>
      </c>
      <c r="F336" s="16">
        <f>IF($B336&lt;&gt;"tutar_farki","","VKN "&amp;$A336&amp;" için cari↔Ba/Bs fark "&amp;TEXT($C336,"0.00")&amp;" TL. Dayanak: "&amp;$D336&amp;". Düzeltme dosyası üretildi.")</f>
        <v/>
      </c>
      <c r="G336" s="16">
        <f>IF($B336&lt;&gt;"tutar_farki","","Beklemede")</f>
        <v/>
      </c>
    </row>
    <row r="337">
      <c r="A337" s="26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IF($B337&lt;&gt;"tutar_farki","",IF(ABS($C337)&gt;cbb_esikFark,"YUKSEK","NORMAL"))</f>
        <v/>
      </c>
      <c r="F337" s="16">
        <f>IF($B337&lt;&gt;"tutar_farki","","VKN "&amp;$A337&amp;" için cari↔Ba/Bs fark "&amp;TEXT($C337,"0.00")&amp;" TL. Dayanak: "&amp;$D337&amp;". Düzeltme dosyası üretildi.")</f>
        <v/>
      </c>
      <c r="G337" s="16">
        <f>IF($B337&lt;&gt;"tutar_farki","","Beklemede")</f>
        <v/>
      </c>
    </row>
    <row r="338">
      <c r="A338" s="26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IF($B338&lt;&gt;"tutar_farki","",IF(ABS($C338)&gt;cbb_esikFark,"YUKSEK","NORMAL"))</f>
        <v/>
      </c>
      <c r="F338" s="16">
        <f>IF($B338&lt;&gt;"tutar_farki","","VKN "&amp;$A338&amp;" için cari↔Ba/Bs fark "&amp;TEXT($C338,"0.00")&amp;" TL. Dayanak: "&amp;$D338&amp;". Düzeltme dosyası üretildi.")</f>
        <v/>
      </c>
      <c r="G338" s="16">
        <f>IF($B338&lt;&gt;"tutar_farki","","Beklemede")</f>
        <v/>
      </c>
    </row>
    <row r="339">
      <c r="A339" s="26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IF($B339&lt;&gt;"tutar_farki","",IF(ABS($C339)&gt;cbb_esikFark,"YUKSEK","NORMAL"))</f>
        <v/>
      </c>
      <c r="F339" s="16">
        <f>IF($B339&lt;&gt;"tutar_farki","","VKN "&amp;$A339&amp;" için cari↔Ba/Bs fark "&amp;TEXT($C339,"0.00")&amp;" TL. Dayanak: "&amp;$D339&amp;". Düzeltme dosyası üretildi.")</f>
        <v/>
      </c>
      <c r="G339" s="16">
        <f>IF($B339&lt;&gt;"tutar_farki","","Beklemede")</f>
        <v/>
      </c>
    </row>
    <row r="340">
      <c r="A340" s="26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IF($B340&lt;&gt;"tutar_farki","",IF(ABS($C340)&gt;cbb_esikFark,"YUKSEK","NORMAL"))</f>
        <v/>
      </c>
      <c r="F340" s="16">
        <f>IF($B340&lt;&gt;"tutar_farki","","VKN "&amp;$A340&amp;" için cari↔Ba/Bs fark "&amp;TEXT($C340,"0.00")&amp;" TL. Dayanak: "&amp;$D340&amp;". Düzeltme dosyası üretildi.")</f>
        <v/>
      </c>
      <c r="G340" s="16">
        <f>IF($B340&lt;&gt;"tutar_farki","","Beklemede")</f>
        <v/>
      </c>
    </row>
    <row r="341">
      <c r="A341" s="26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IF($B341&lt;&gt;"tutar_farki","",IF(ABS($C341)&gt;cbb_esikFark,"YUKSEK","NORMAL"))</f>
        <v/>
      </c>
      <c r="F341" s="16">
        <f>IF($B341&lt;&gt;"tutar_farki","","VKN "&amp;$A341&amp;" için cari↔Ba/Bs fark "&amp;TEXT($C341,"0.00")&amp;" TL. Dayanak: "&amp;$D341&amp;". Düzeltme dosyası üretildi.")</f>
        <v/>
      </c>
      <c r="G341" s="16">
        <f>IF($B341&lt;&gt;"tutar_farki","","Beklemede")</f>
        <v/>
      </c>
    </row>
    <row r="342">
      <c r="A342" s="26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IF($B342&lt;&gt;"tutar_farki","",IF(ABS($C342)&gt;cbb_esikFark,"YUKSEK","NORMAL"))</f>
        <v/>
      </c>
      <c r="F342" s="16">
        <f>IF($B342&lt;&gt;"tutar_farki","","VKN "&amp;$A342&amp;" için cari↔Ba/Bs fark "&amp;TEXT($C342,"0.00")&amp;" TL. Dayanak: "&amp;$D342&amp;". Düzeltme dosyası üretildi.")</f>
        <v/>
      </c>
      <c r="G342" s="16">
        <f>IF($B342&lt;&gt;"tutar_farki","","Beklemede")</f>
        <v/>
      </c>
    </row>
    <row r="343">
      <c r="A343" s="26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IF($B343&lt;&gt;"tutar_farki","",IF(ABS($C343)&gt;cbb_esikFark,"YUKSEK","NORMAL"))</f>
        <v/>
      </c>
      <c r="F343" s="16">
        <f>IF($B343&lt;&gt;"tutar_farki","","VKN "&amp;$A343&amp;" için cari↔Ba/Bs fark "&amp;TEXT($C343,"0.00")&amp;" TL. Dayanak: "&amp;$D343&amp;". Düzeltme dosyası üretildi.")</f>
        <v/>
      </c>
      <c r="G343" s="16">
        <f>IF($B343&lt;&gt;"tutar_farki","","Beklemede")</f>
        <v/>
      </c>
    </row>
    <row r="344">
      <c r="A344" s="26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IF($B344&lt;&gt;"tutar_farki","",IF(ABS($C344)&gt;cbb_esikFark,"YUKSEK","NORMAL"))</f>
        <v/>
      </c>
      <c r="F344" s="16">
        <f>IF($B344&lt;&gt;"tutar_farki","","VKN "&amp;$A344&amp;" için cari↔Ba/Bs fark "&amp;TEXT($C344,"0.00")&amp;" TL. Dayanak: "&amp;$D344&amp;". Düzeltme dosyası üretildi.")</f>
        <v/>
      </c>
      <c r="G344" s="16">
        <f>IF($B344&lt;&gt;"tutar_farki","","Beklemede")</f>
        <v/>
      </c>
    </row>
    <row r="345">
      <c r="A345" s="26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IF($B345&lt;&gt;"tutar_farki","",IF(ABS($C345)&gt;cbb_esikFark,"YUKSEK","NORMAL"))</f>
        <v/>
      </c>
      <c r="F345" s="16">
        <f>IF($B345&lt;&gt;"tutar_farki","","VKN "&amp;$A345&amp;" için cari↔Ba/Bs fark "&amp;TEXT($C345,"0.00")&amp;" TL. Dayanak: "&amp;$D345&amp;". Düzeltme dosyası üretildi.")</f>
        <v/>
      </c>
      <c r="G345" s="16">
        <f>IF($B345&lt;&gt;"tutar_farki","","Beklemede")</f>
        <v/>
      </c>
    </row>
    <row r="346">
      <c r="A346" s="26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IF($B346&lt;&gt;"tutar_farki","",IF(ABS($C346)&gt;cbb_esikFark,"YUKSEK","NORMAL"))</f>
        <v/>
      </c>
      <c r="F346" s="16">
        <f>IF($B346&lt;&gt;"tutar_farki","","VKN "&amp;$A346&amp;" için cari↔Ba/Bs fark "&amp;TEXT($C346,"0.00")&amp;" TL. Dayanak: "&amp;$D346&amp;". Düzeltme dosyası üretildi.")</f>
        <v/>
      </c>
      <c r="G346" s="16">
        <f>IF($B346&lt;&gt;"tutar_farki","","Beklemede")</f>
        <v/>
      </c>
    </row>
    <row r="347">
      <c r="A347" s="26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IF($B347&lt;&gt;"tutar_farki","",IF(ABS($C347)&gt;cbb_esikFark,"YUKSEK","NORMAL"))</f>
        <v/>
      </c>
      <c r="F347" s="16">
        <f>IF($B347&lt;&gt;"tutar_farki","","VKN "&amp;$A347&amp;" için cari↔Ba/Bs fark "&amp;TEXT($C347,"0.00")&amp;" TL. Dayanak: "&amp;$D347&amp;". Düzeltme dosyası üretildi.")</f>
        <v/>
      </c>
      <c r="G347" s="16">
        <f>IF($B347&lt;&gt;"tutar_farki","","Beklemede")</f>
        <v/>
      </c>
    </row>
    <row r="348">
      <c r="A348" s="26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IF($B348&lt;&gt;"tutar_farki","",IF(ABS($C348)&gt;cbb_esikFark,"YUKSEK","NORMAL"))</f>
        <v/>
      </c>
      <c r="F348" s="16">
        <f>IF($B348&lt;&gt;"tutar_farki","","VKN "&amp;$A348&amp;" için cari↔Ba/Bs fark "&amp;TEXT($C348,"0.00")&amp;" TL. Dayanak: "&amp;$D348&amp;". Düzeltme dosyası üretildi.")</f>
        <v/>
      </c>
      <c r="G348" s="16">
        <f>IF($B348&lt;&gt;"tutar_farki","","Beklemede")</f>
        <v/>
      </c>
    </row>
    <row r="349">
      <c r="A349" s="26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IF($B349&lt;&gt;"tutar_farki","",IF(ABS($C349)&gt;cbb_esikFark,"YUKSEK","NORMAL"))</f>
        <v/>
      </c>
      <c r="F349" s="16">
        <f>IF($B349&lt;&gt;"tutar_farki","","VKN "&amp;$A349&amp;" için cari↔Ba/Bs fark "&amp;TEXT($C349,"0.00")&amp;" TL. Dayanak: "&amp;$D349&amp;". Düzeltme dosyası üretildi.")</f>
        <v/>
      </c>
      <c r="G349" s="16">
        <f>IF($B349&lt;&gt;"tutar_farki","","Beklemede")</f>
        <v/>
      </c>
    </row>
    <row r="350">
      <c r="A350" s="26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IF($B350&lt;&gt;"tutar_farki","",IF(ABS($C350)&gt;cbb_esikFark,"YUKSEK","NORMAL"))</f>
        <v/>
      </c>
      <c r="F350" s="16">
        <f>IF($B350&lt;&gt;"tutar_farki","","VKN "&amp;$A350&amp;" için cari↔Ba/Bs fark "&amp;TEXT($C350,"0.00")&amp;" TL. Dayanak: "&amp;$D350&amp;". Düzeltme dosyası üretildi.")</f>
        <v/>
      </c>
      <c r="G350" s="16">
        <f>IF($B350&lt;&gt;"tutar_farki","","Beklemede")</f>
        <v/>
      </c>
    </row>
    <row r="351">
      <c r="A351" s="26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IF($B351&lt;&gt;"tutar_farki","",IF(ABS($C351)&gt;cbb_esikFark,"YUKSEK","NORMAL"))</f>
        <v/>
      </c>
      <c r="F351" s="16">
        <f>IF($B351&lt;&gt;"tutar_farki","","VKN "&amp;$A351&amp;" için cari↔Ba/Bs fark "&amp;TEXT($C351,"0.00")&amp;" TL. Dayanak: "&amp;$D351&amp;". Düzeltme dosyası üretildi.")</f>
        <v/>
      </c>
      <c r="G351" s="16">
        <f>IF($B351&lt;&gt;"tutar_farki","","Beklemede")</f>
        <v/>
      </c>
    </row>
    <row r="352">
      <c r="A352" s="26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IF($B352&lt;&gt;"tutar_farki","",IF(ABS($C352)&gt;cbb_esikFark,"YUKSEK","NORMAL"))</f>
        <v/>
      </c>
      <c r="F352" s="16">
        <f>IF($B352&lt;&gt;"tutar_farki","","VKN "&amp;$A352&amp;" için cari↔Ba/Bs fark "&amp;TEXT($C352,"0.00")&amp;" TL. Dayanak: "&amp;$D352&amp;". Düzeltme dosyası üretildi.")</f>
        <v/>
      </c>
      <c r="G352" s="16">
        <f>IF($B352&lt;&gt;"tutar_farki","","Beklemede")</f>
        <v/>
      </c>
    </row>
    <row r="353">
      <c r="A353" s="26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IF($B353&lt;&gt;"tutar_farki","",IF(ABS($C353)&gt;cbb_esikFark,"YUKSEK","NORMAL"))</f>
        <v/>
      </c>
      <c r="F353" s="16">
        <f>IF($B353&lt;&gt;"tutar_farki","","VKN "&amp;$A353&amp;" için cari↔Ba/Bs fark "&amp;TEXT($C353,"0.00")&amp;" TL. Dayanak: "&amp;$D353&amp;". Düzeltme dosyası üretildi.")</f>
        <v/>
      </c>
      <c r="G353" s="16">
        <f>IF($B353&lt;&gt;"tutar_farki","","Beklemede")</f>
        <v/>
      </c>
    </row>
    <row r="354">
      <c r="A354" s="26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IF($B354&lt;&gt;"tutar_farki","",IF(ABS($C354)&gt;cbb_esikFark,"YUKSEK","NORMAL"))</f>
        <v/>
      </c>
      <c r="F354" s="16">
        <f>IF($B354&lt;&gt;"tutar_farki","","VKN "&amp;$A354&amp;" için cari↔Ba/Bs fark "&amp;TEXT($C354,"0.00")&amp;" TL. Dayanak: "&amp;$D354&amp;". Düzeltme dosyası üretildi.")</f>
        <v/>
      </c>
      <c r="G354" s="16">
        <f>IF($B354&lt;&gt;"tutar_farki","","Beklemede")</f>
        <v/>
      </c>
    </row>
    <row r="355">
      <c r="A355" s="26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IF($B355&lt;&gt;"tutar_farki","",IF(ABS($C355)&gt;cbb_esikFark,"YUKSEK","NORMAL"))</f>
        <v/>
      </c>
      <c r="F355" s="16">
        <f>IF($B355&lt;&gt;"tutar_farki","","VKN "&amp;$A355&amp;" için cari↔Ba/Bs fark "&amp;TEXT($C355,"0.00")&amp;" TL. Dayanak: "&amp;$D355&amp;". Düzeltme dosyası üretildi.")</f>
        <v/>
      </c>
      <c r="G355" s="16">
        <f>IF($B355&lt;&gt;"tutar_farki","","Beklemede")</f>
        <v/>
      </c>
    </row>
    <row r="356">
      <c r="A356" s="26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IF($B356&lt;&gt;"tutar_farki","",IF(ABS($C356)&gt;cbb_esikFark,"YUKSEK","NORMAL"))</f>
        <v/>
      </c>
      <c r="F356" s="16">
        <f>IF($B356&lt;&gt;"tutar_farki","","VKN "&amp;$A356&amp;" için cari↔Ba/Bs fark "&amp;TEXT($C356,"0.00")&amp;" TL. Dayanak: "&amp;$D356&amp;". Düzeltme dosyası üretildi.")</f>
        <v/>
      </c>
      <c r="G356" s="16">
        <f>IF($B356&lt;&gt;"tutar_farki","","Beklemede")</f>
        <v/>
      </c>
    </row>
    <row r="357">
      <c r="A357" s="26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IF($B357&lt;&gt;"tutar_farki","",IF(ABS($C357)&gt;cbb_esikFark,"YUKSEK","NORMAL"))</f>
        <v/>
      </c>
      <c r="F357" s="16">
        <f>IF($B357&lt;&gt;"tutar_farki","","VKN "&amp;$A357&amp;" için cari↔Ba/Bs fark "&amp;TEXT($C357,"0.00")&amp;" TL. Dayanak: "&amp;$D357&amp;". Düzeltme dosyası üretildi.")</f>
        <v/>
      </c>
      <c r="G357" s="16">
        <f>IF($B357&lt;&gt;"tutar_farki","","Beklemede")</f>
        <v/>
      </c>
    </row>
    <row r="358">
      <c r="A358" s="26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IF($B358&lt;&gt;"tutar_farki","",IF(ABS($C358)&gt;cbb_esikFark,"YUKSEK","NORMAL"))</f>
        <v/>
      </c>
      <c r="F358" s="16">
        <f>IF($B358&lt;&gt;"tutar_farki","","VKN "&amp;$A358&amp;" için cari↔Ba/Bs fark "&amp;TEXT($C358,"0.00")&amp;" TL. Dayanak: "&amp;$D358&amp;". Düzeltme dosyası üretildi.")</f>
        <v/>
      </c>
      <c r="G358" s="16">
        <f>IF($B358&lt;&gt;"tutar_farki","","Beklemede")</f>
        <v/>
      </c>
    </row>
    <row r="359">
      <c r="A359" s="26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IF($B359&lt;&gt;"tutar_farki","",IF(ABS($C359)&gt;cbb_esikFark,"YUKSEK","NORMAL"))</f>
        <v/>
      </c>
      <c r="F359" s="16">
        <f>IF($B359&lt;&gt;"tutar_farki","","VKN "&amp;$A359&amp;" için cari↔Ba/Bs fark "&amp;TEXT($C359,"0.00")&amp;" TL. Dayanak: "&amp;$D359&amp;". Düzeltme dosyası üretildi.")</f>
        <v/>
      </c>
      <c r="G359" s="16">
        <f>IF($B359&lt;&gt;"tutar_farki","","Beklemede")</f>
        <v/>
      </c>
    </row>
    <row r="360">
      <c r="A360" s="26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IF($B360&lt;&gt;"tutar_farki","",IF(ABS($C360)&gt;cbb_esikFark,"YUKSEK","NORMAL"))</f>
        <v/>
      </c>
      <c r="F360" s="16">
        <f>IF($B360&lt;&gt;"tutar_farki","","VKN "&amp;$A360&amp;" için cari↔Ba/Bs fark "&amp;TEXT($C360,"0.00")&amp;" TL. Dayanak: "&amp;$D360&amp;". Düzeltme dosyası üretildi.")</f>
        <v/>
      </c>
      <c r="G360" s="16">
        <f>IF($B360&lt;&gt;"tutar_farki","","Beklemede")</f>
        <v/>
      </c>
    </row>
    <row r="361">
      <c r="A361" s="26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IF($B361&lt;&gt;"tutar_farki","",IF(ABS($C361)&gt;cbb_esikFark,"YUKSEK","NORMAL"))</f>
        <v/>
      </c>
      <c r="F361" s="16">
        <f>IF($B361&lt;&gt;"tutar_farki","","VKN "&amp;$A361&amp;" için cari↔Ba/Bs fark "&amp;TEXT($C361,"0.00")&amp;" TL. Dayanak: "&amp;$D361&amp;". Düzeltme dosyası üretildi.")</f>
        <v/>
      </c>
      <c r="G361" s="16">
        <f>IF($B361&lt;&gt;"tutar_farki","","Beklemede")</f>
        <v/>
      </c>
    </row>
    <row r="362">
      <c r="A362" s="26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IF($B362&lt;&gt;"tutar_farki","",IF(ABS($C362)&gt;cbb_esikFark,"YUKSEK","NORMAL"))</f>
        <v/>
      </c>
      <c r="F362" s="16">
        <f>IF($B362&lt;&gt;"tutar_farki","","VKN "&amp;$A362&amp;" için cari↔Ba/Bs fark "&amp;TEXT($C362,"0.00")&amp;" TL. Dayanak: "&amp;$D362&amp;". Düzeltme dosyası üretildi.")</f>
        <v/>
      </c>
      <c r="G362" s="16">
        <f>IF($B362&lt;&gt;"tutar_farki","","Beklemede")</f>
        <v/>
      </c>
    </row>
    <row r="363">
      <c r="A363" s="26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IF($B363&lt;&gt;"tutar_farki","",IF(ABS($C363)&gt;cbb_esikFark,"YUKSEK","NORMAL"))</f>
        <v/>
      </c>
      <c r="F363" s="16">
        <f>IF($B363&lt;&gt;"tutar_farki","","VKN "&amp;$A363&amp;" için cari↔Ba/Bs fark "&amp;TEXT($C363,"0.00")&amp;" TL. Dayanak: "&amp;$D363&amp;". Düzeltme dosyası üretildi.")</f>
        <v/>
      </c>
      <c r="G363" s="16">
        <f>IF($B363&lt;&gt;"tutar_farki","","Beklemede")</f>
        <v/>
      </c>
    </row>
    <row r="364">
      <c r="A364" s="26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IF($B364&lt;&gt;"tutar_farki","",IF(ABS($C364)&gt;cbb_esikFark,"YUKSEK","NORMAL"))</f>
        <v/>
      </c>
      <c r="F364" s="16">
        <f>IF($B364&lt;&gt;"tutar_farki","","VKN "&amp;$A364&amp;" için cari↔Ba/Bs fark "&amp;TEXT($C364,"0.00")&amp;" TL. Dayanak: "&amp;$D364&amp;". Düzeltme dosyası üretildi.")</f>
        <v/>
      </c>
      <c r="G364" s="16">
        <f>IF($B364&lt;&gt;"tutar_farki","","Beklemede")</f>
        <v/>
      </c>
    </row>
    <row r="365">
      <c r="A365" s="26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IF($B365&lt;&gt;"tutar_farki","",IF(ABS($C365)&gt;cbb_esikFark,"YUKSEK","NORMAL"))</f>
        <v/>
      </c>
      <c r="F365" s="16">
        <f>IF($B365&lt;&gt;"tutar_farki","","VKN "&amp;$A365&amp;" için cari↔Ba/Bs fark "&amp;TEXT($C365,"0.00")&amp;" TL. Dayanak: "&amp;$D365&amp;". Düzeltme dosyası üretildi.")</f>
        <v/>
      </c>
      <c r="G365" s="16">
        <f>IF($B365&lt;&gt;"tutar_farki","","Beklemede")</f>
        <v/>
      </c>
    </row>
    <row r="366">
      <c r="A366" s="26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IF($B366&lt;&gt;"tutar_farki","",IF(ABS($C366)&gt;cbb_esikFark,"YUKSEK","NORMAL"))</f>
        <v/>
      </c>
      <c r="F366" s="16">
        <f>IF($B366&lt;&gt;"tutar_farki","","VKN "&amp;$A366&amp;" için cari↔Ba/Bs fark "&amp;TEXT($C366,"0.00")&amp;" TL. Dayanak: "&amp;$D366&amp;". Düzeltme dosyası üretildi.")</f>
        <v/>
      </c>
      <c r="G366" s="16">
        <f>IF($B366&lt;&gt;"tutar_farki","","Beklemede")</f>
        <v/>
      </c>
    </row>
    <row r="367">
      <c r="A367" s="26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IF($B367&lt;&gt;"tutar_farki","",IF(ABS($C367)&gt;cbb_esikFark,"YUKSEK","NORMAL"))</f>
        <v/>
      </c>
      <c r="F367" s="16">
        <f>IF($B367&lt;&gt;"tutar_farki","","VKN "&amp;$A367&amp;" için cari↔Ba/Bs fark "&amp;TEXT($C367,"0.00")&amp;" TL. Dayanak: "&amp;$D367&amp;". Düzeltme dosyası üretildi.")</f>
        <v/>
      </c>
      <c r="G367" s="16">
        <f>IF($B367&lt;&gt;"tutar_farki","","Beklemede")</f>
        <v/>
      </c>
    </row>
    <row r="368">
      <c r="A368" s="26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IF($B368&lt;&gt;"tutar_farki","",IF(ABS($C368)&gt;cbb_esikFark,"YUKSEK","NORMAL"))</f>
        <v/>
      </c>
      <c r="F368" s="16">
        <f>IF($B368&lt;&gt;"tutar_farki","","VKN "&amp;$A368&amp;" için cari↔Ba/Bs fark "&amp;TEXT($C368,"0.00")&amp;" TL. Dayanak: "&amp;$D368&amp;". Düzeltme dosyası üretildi.")</f>
        <v/>
      </c>
      <c r="G368" s="16">
        <f>IF($B368&lt;&gt;"tutar_farki","","Beklemede")</f>
        <v/>
      </c>
    </row>
    <row r="369">
      <c r="A369" s="26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IF($B369&lt;&gt;"tutar_farki","",IF(ABS($C369)&gt;cbb_esikFark,"YUKSEK","NORMAL"))</f>
        <v/>
      </c>
      <c r="F369" s="16">
        <f>IF($B369&lt;&gt;"tutar_farki","","VKN "&amp;$A369&amp;" için cari↔Ba/Bs fark "&amp;TEXT($C369,"0.00")&amp;" TL. Dayanak: "&amp;$D369&amp;". Düzeltme dosyası üretildi.")</f>
        <v/>
      </c>
      <c r="G369" s="16">
        <f>IF($B369&lt;&gt;"tutar_farki","","Beklemede")</f>
        <v/>
      </c>
    </row>
    <row r="370">
      <c r="A370" s="26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IF($B370&lt;&gt;"tutar_farki","",IF(ABS($C370)&gt;cbb_esikFark,"YUKSEK","NORMAL"))</f>
        <v/>
      </c>
      <c r="F370" s="16">
        <f>IF($B370&lt;&gt;"tutar_farki","","VKN "&amp;$A370&amp;" için cari↔Ba/Bs fark "&amp;TEXT($C370,"0.00")&amp;" TL. Dayanak: "&amp;$D370&amp;". Düzeltme dosyası üretildi.")</f>
        <v/>
      </c>
      <c r="G370" s="16">
        <f>IF($B370&lt;&gt;"tutar_farki","","Beklemede")</f>
        <v/>
      </c>
    </row>
    <row r="371">
      <c r="A371" s="26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IF($B371&lt;&gt;"tutar_farki","",IF(ABS($C371)&gt;cbb_esikFark,"YUKSEK","NORMAL"))</f>
        <v/>
      </c>
      <c r="F371" s="16">
        <f>IF($B371&lt;&gt;"tutar_farki","","VKN "&amp;$A371&amp;" için cari↔Ba/Bs fark "&amp;TEXT($C371,"0.00")&amp;" TL. Dayanak: "&amp;$D371&amp;". Düzeltme dosyası üretildi.")</f>
        <v/>
      </c>
      <c r="G371" s="16">
        <f>IF($B371&lt;&gt;"tutar_farki","","Beklemede")</f>
        <v/>
      </c>
    </row>
    <row r="372">
      <c r="A372" s="26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IF($B372&lt;&gt;"tutar_farki","",IF(ABS($C372)&gt;cbb_esikFark,"YUKSEK","NORMAL"))</f>
        <v/>
      </c>
      <c r="F372" s="16">
        <f>IF($B372&lt;&gt;"tutar_farki","","VKN "&amp;$A372&amp;" için cari↔Ba/Bs fark "&amp;TEXT($C372,"0.00")&amp;" TL. Dayanak: "&amp;$D372&amp;". Düzeltme dosyası üretildi.")</f>
        <v/>
      </c>
      <c r="G372" s="16">
        <f>IF($B372&lt;&gt;"tutar_farki","","Beklemede")</f>
        <v/>
      </c>
    </row>
    <row r="373">
      <c r="A373" s="26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IF($B373&lt;&gt;"tutar_farki","",IF(ABS($C373)&gt;cbb_esikFark,"YUKSEK","NORMAL"))</f>
        <v/>
      </c>
      <c r="F373" s="16">
        <f>IF($B373&lt;&gt;"tutar_farki","","VKN "&amp;$A373&amp;" için cari↔Ba/Bs fark "&amp;TEXT($C373,"0.00")&amp;" TL. Dayanak: "&amp;$D373&amp;". Düzeltme dosyası üretildi.")</f>
        <v/>
      </c>
      <c r="G373" s="16">
        <f>IF($B373&lt;&gt;"tutar_farki","","Beklemede")</f>
        <v/>
      </c>
    </row>
    <row r="374">
      <c r="A374" s="26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IF($B374&lt;&gt;"tutar_farki","",IF(ABS($C374)&gt;cbb_esikFark,"YUKSEK","NORMAL"))</f>
        <v/>
      </c>
      <c r="F374" s="16">
        <f>IF($B374&lt;&gt;"tutar_farki","","VKN "&amp;$A374&amp;" için cari↔Ba/Bs fark "&amp;TEXT($C374,"0.00")&amp;" TL. Dayanak: "&amp;$D374&amp;". Düzeltme dosyası üretildi.")</f>
        <v/>
      </c>
      <c r="G374" s="16">
        <f>IF($B374&lt;&gt;"tutar_farki","","Beklemede")</f>
        <v/>
      </c>
    </row>
    <row r="375">
      <c r="A375" s="26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IF($B375&lt;&gt;"tutar_farki","",IF(ABS($C375)&gt;cbb_esikFark,"YUKSEK","NORMAL"))</f>
        <v/>
      </c>
      <c r="F375" s="16">
        <f>IF($B375&lt;&gt;"tutar_farki","","VKN "&amp;$A375&amp;" için cari↔Ba/Bs fark "&amp;TEXT($C375,"0.00")&amp;" TL. Dayanak: "&amp;$D375&amp;". Düzeltme dosyası üretildi.")</f>
        <v/>
      </c>
      <c r="G375" s="16">
        <f>IF($B375&lt;&gt;"tutar_farki","","Beklemede")</f>
        <v/>
      </c>
    </row>
    <row r="376">
      <c r="A376" s="26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IF($B376&lt;&gt;"tutar_farki","",IF(ABS($C376)&gt;cbb_esikFark,"YUKSEK","NORMAL"))</f>
        <v/>
      </c>
      <c r="F376" s="16">
        <f>IF($B376&lt;&gt;"tutar_farki","","VKN "&amp;$A376&amp;" için cari↔Ba/Bs fark "&amp;TEXT($C376,"0.00")&amp;" TL. Dayanak: "&amp;$D376&amp;". Düzeltme dosyası üretildi.")</f>
        <v/>
      </c>
      <c r="G376" s="16">
        <f>IF($B376&lt;&gt;"tutar_farki","","Beklemede")</f>
        <v/>
      </c>
    </row>
    <row r="377">
      <c r="A377" s="26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IF($B377&lt;&gt;"tutar_farki","",IF(ABS($C377)&gt;cbb_esikFark,"YUKSEK","NORMAL"))</f>
        <v/>
      </c>
      <c r="F377" s="16">
        <f>IF($B377&lt;&gt;"tutar_farki","","VKN "&amp;$A377&amp;" için cari↔Ba/Bs fark "&amp;TEXT($C377,"0.00")&amp;" TL. Dayanak: "&amp;$D377&amp;". Düzeltme dosyası üretildi.")</f>
        <v/>
      </c>
      <c r="G377" s="16">
        <f>IF($B377&lt;&gt;"tutar_farki","","Beklemede")</f>
        <v/>
      </c>
    </row>
    <row r="378">
      <c r="A378" s="26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IF($B378&lt;&gt;"tutar_farki","",IF(ABS($C378)&gt;cbb_esikFark,"YUKSEK","NORMAL"))</f>
        <v/>
      </c>
      <c r="F378" s="16">
        <f>IF($B378&lt;&gt;"tutar_farki","","VKN "&amp;$A378&amp;" için cari↔Ba/Bs fark "&amp;TEXT($C378,"0.00")&amp;" TL. Dayanak: "&amp;$D378&amp;". Düzeltme dosyası üretildi.")</f>
        <v/>
      </c>
      <c r="G378" s="16">
        <f>IF($B378&lt;&gt;"tutar_farki","","Beklemede")</f>
        <v/>
      </c>
    </row>
    <row r="379">
      <c r="A379" s="26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IF($B379&lt;&gt;"tutar_farki","",IF(ABS($C379)&gt;cbb_esikFark,"YUKSEK","NORMAL"))</f>
        <v/>
      </c>
      <c r="F379" s="16">
        <f>IF($B379&lt;&gt;"tutar_farki","","VKN "&amp;$A379&amp;" için cari↔Ba/Bs fark "&amp;TEXT($C379,"0.00")&amp;" TL. Dayanak: "&amp;$D379&amp;". Düzeltme dosyası üretildi.")</f>
        <v/>
      </c>
      <c r="G379" s="16">
        <f>IF($B379&lt;&gt;"tutar_farki","","Beklemede")</f>
        <v/>
      </c>
    </row>
    <row r="380">
      <c r="A380" s="26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IF($B380&lt;&gt;"tutar_farki","",IF(ABS($C380)&gt;cbb_esikFark,"YUKSEK","NORMAL"))</f>
        <v/>
      </c>
      <c r="F380" s="16">
        <f>IF($B380&lt;&gt;"tutar_farki","","VKN "&amp;$A380&amp;" için cari↔Ba/Bs fark "&amp;TEXT($C380,"0.00")&amp;" TL. Dayanak: "&amp;$D380&amp;". Düzeltme dosyası üretildi.")</f>
        <v/>
      </c>
      <c r="G380" s="16">
        <f>IF($B380&lt;&gt;"tutar_farki","","Beklemede")</f>
        <v/>
      </c>
    </row>
    <row r="381">
      <c r="A381" s="26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IF($B381&lt;&gt;"tutar_farki","",IF(ABS($C381)&gt;cbb_esikFark,"YUKSEK","NORMAL"))</f>
        <v/>
      </c>
      <c r="F381" s="16">
        <f>IF($B381&lt;&gt;"tutar_farki","","VKN "&amp;$A381&amp;" için cari↔Ba/Bs fark "&amp;TEXT($C381,"0.00")&amp;" TL. Dayanak: "&amp;$D381&amp;". Düzeltme dosyası üretildi.")</f>
        <v/>
      </c>
      <c r="G381" s="16">
        <f>IF($B381&lt;&gt;"tutar_farki","","Beklemede")</f>
        <v/>
      </c>
    </row>
    <row r="382">
      <c r="A382" s="26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IF($B382&lt;&gt;"tutar_farki","",IF(ABS($C382)&gt;cbb_esikFark,"YUKSEK","NORMAL"))</f>
        <v/>
      </c>
      <c r="F382" s="16">
        <f>IF($B382&lt;&gt;"tutar_farki","","VKN "&amp;$A382&amp;" için cari↔Ba/Bs fark "&amp;TEXT($C382,"0.00")&amp;" TL. Dayanak: "&amp;$D382&amp;". Düzeltme dosyası üretildi.")</f>
        <v/>
      </c>
      <c r="G382" s="16">
        <f>IF($B382&lt;&gt;"tutar_farki","","Beklemede")</f>
        <v/>
      </c>
    </row>
    <row r="383">
      <c r="A383" s="26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IF($B383&lt;&gt;"tutar_farki","",IF(ABS($C383)&gt;cbb_esikFark,"YUKSEK","NORMAL"))</f>
        <v/>
      </c>
      <c r="F383" s="16">
        <f>IF($B383&lt;&gt;"tutar_farki","","VKN "&amp;$A383&amp;" için cari↔Ba/Bs fark "&amp;TEXT($C383,"0.00")&amp;" TL. Dayanak: "&amp;$D383&amp;". Düzeltme dosyası üretildi.")</f>
        <v/>
      </c>
      <c r="G383" s="16">
        <f>IF($B383&lt;&gt;"tutar_farki","","Beklemede")</f>
        <v/>
      </c>
    </row>
    <row r="384">
      <c r="A384" s="26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IF($B384&lt;&gt;"tutar_farki","",IF(ABS($C384)&gt;cbb_esikFark,"YUKSEK","NORMAL"))</f>
        <v/>
      </c>
      <c r="F384" s="16">
        <f>IF($B384&lt;&gt;"tutar_farki","","VKN "&amp;$A384&amp;" için cari↔Ba/Bs fark "&amp;TEXT($C384,"0.00")&amp;" TL. Dayanak: "&amp;$D384&amp;". Düzeltme dosyası üretildi.")</f>
        <v/>
      </c>
      <c r="G384" s="16">
        <f>IF($B384&lt;&gt;"tutar_farki","","Beklemede")</f>
        <v/>
      </c>
    </row>
    <row r="385">
      <c r="A385" s="26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IF($B385&lt;&gt;"tutar_farki","",IF(ABS($C385)&gt;cbb_esikFark,"YUKSEK","NORMAL"))</f>
        <v/>
      </c>
      <c r="F385" s="16">
        <f>IF($B385&lt;&gt;"tutar_farki","","VKN "&amp;$A385&amp;" için cari↔Ba/Bs fark "&amp;TEXT($C385,"0.00")&amp;" TL. Dayanak: "&amp;$D385&amp;". Düzeltme dosyası üretildi.")</f>
        <v/>
      </c>
      <c r="G385" s="16">
        <f>IF($B385&lt;&gt;"tutar_farki","","Beklemede")</f>
        <v/>
      </c>
    </row>
    <row r="386">
      <c r="A386" s="26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IF($B386&lt;&gt;"tutar_farki","",IF(ABS($C386)&gt;cbb_esikFark,"YUKSEK","NORMAL"))</f>
        <v/>
      </c>
      <c r="F386" s="16">
        <f>IF($B386&lt;&gt;"tutar_farki","","VKN "&amp;$A386&amp;" için cari↔Ba/Bs fark "&amp;TEXT($C386,"0.00")&amp;" TL. Dayanak: "&amp;$D386&amp;". Düzeltme dosyası üretildi.")</f>
        <v/>
      </c>
      <c r="G386" s="16">
        <f>IF($B386&lt;&gt;"tutar_farki","","Beklemede")</f>
        <v/>
      </c>
    </row>
    <row r="387">
      <c r="A387" s="26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IF($B387&lt;&gt;"tutar_farki","",IF(ABS($C387)&gt;cbb_esikFark,"YUKSEK","NORMAL"))</f>
        <v/>
      </c>
      <c r="F387" s="16">
        <f>IF($B387&lt;&gt;"tutar_farki","","VKN "&amp;$A387&amp;" için cari↔Ba/Bs fark "&amp;TEXT($C387,"0.00")&amp;" TL. Dayanak: "&amp;$D387&amp;". Düzeltme dosyası üretildi.")</f>
        <v/>
      </c>
      <c r="G387" s="16">
        <f>IF($B387&lt;&gt;"tutar_farki","","Beklemede")</f>
        <v/>
      </c>
    </row>
    <row r="388">
      <c r="A388" s="26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IF($B388&lt;&gt;"tutar_farki","",IF(ABS($C388)&gt;cbb_esikFark,"YUKSEK","NORMAL"))</f>
        <v/>
      </c>
      <c r="F388" s="16">
        <f>IF($B388&lt;&gt;"tutar_farki","","VKN "&amp;$A388&amp;" için cari↔Ba/Bs fark "&amp;TEXT($C388,"0.00")&amp;" TL. Dayanak: "&amp;$D388&amp;". Düzeltme dosyası üretildi.")</f>
        <v/>
      </c>
      <c r="G388" s="16">
        <f>IF($B388&lt;&gt;"tutar_farki","","Beklemede")</f>
        <v/>
      </c>
    </row>
    <row r="389">
      <c r="A389" s="26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IF($B389&lt;&gt;"tutar_farki","",IF(ABS($C389)&gt;cbb_esikFark,"YUKSEK","NORMAL"))</f>
        <v/>
      </c>
      <c r="F389" s="16">
        <f>IF($B389&lt;&gt;"tutar_farki","","VKN "&amp;$A389&amp;" için cari↔Ba/Bs fark "&amp;TEXT($C389,"0.00")&amp;" TL. Dayanak: "&amp;$D389&amp;". Düzeltme dosyası üretildi.")</f>
        <v/>
      </c>
      <c r="G389" s="16">
        <f>IF($B389&lt;&gt;"tutar_farki","","Beklemede")</f>
        <v/>
      </c>
    </row>
    <row r="390">
      <c r="A390" s="26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IF($B390&lt;&gt;"tutar_farki","",IF(ABS($C390)&gt;cbb_esikFark,"YUKSEK","NORMAL"))</f>
        <v/>
      </c>
      <c r="F390" s="16">
        <f>IF($B390&lt;&gt;"tutar_farki","","VKN "&amp;$A390&amp;" için cari↔Ba/Bs fark "&amp;TEXT($C390,"0.00")&amp;" TL. Dayanak: "&amp;$D390&amp;". Düzeltme dosyası üretildi.")</f>
        <v/>
      </c>
      <c r="G390" s="16">
        <f>IF($B390&lt;&gt;"tutar_farki","","Beklemede")</f>
        <v/>
      </c>
    </row>
    <row r="391">
      <c r="A391" s="26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IF($B391&lt;&gt;"tutar_farki","",IF(ABS($C391)&gt;cbb_esikFark,"YUKSEK","NORMAL"))</f>
        <v/>
      </c>
      <c r="F391" s="16">
        <f>IF($B391&lt;&gt;"tutar_farki","","VKN "&amp;$A391&amp;" için cari↔Ba/Bs fark "&amp;TEXT($C391,"0.00")&amp;" TL. Dayanak: "&amp;$D391&amp;". Düzeltme dosyası üretildi.")</f>
        <v/>
      </c>
      <c r="G391" s="16">
        <f>IF($B391&lt;&gt;"tutar_farki","","Beklemede")</f>
        <v/>
      </c>
    </row>
    <row r="392">
      <c r="A392" s="26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IF($B392&lt;&gt;"tutar_farki","",IF(ABS($C392)&gt;cbb_esikFark,"YUKSEK","NORMAL"))</f>
        <v/>
      </c>
      <c r="F392" s="16">
        <f>IF($B392&lt;&gt;"tutar_farki","","VKN "&amp;$A392&amp;" için cari↔Ba/Bs fark "&amp;TEXT($C392,"0.00")&amp;" TL. Dayanak: "&amp;$D392&amp;". Düzeltme dosyası üretildi.")</f>
        <v/>
      </c>
      <c r="G392" s="16">
        <f>IF($B392&lt;&gt;"tutar_farki","","Beklemede")</f>
        <v/>
      </c>
    </row>
    <row r="393">
      <c r="A393" s="26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IF($B393&lt;&gt;"tutar_farki","",IF(ABS($C393)&gt;cbb_esikFark,"YUKSEK","NORMAL"))</f>
        <v/>
      </c>
      <c r="F393" s="16">
        <f>IF($B393&lt;&gt;"tutar_farki","","VKN "&amp;$A393&amp;" için cari↔Ba/Bs fark "&amp;TEXT($C393,"0.00")&amp;" TL. Dayanak: "&amp;$D393&amp;". Düzeltme dosyası üretildi.")</f>
        <v/>
      </c>
      <c r="G393" s="16">
        <f>IF($B393&lt;&gt;"tutar_farki","","Beklemede")</f>
        <v/>
      </c>
    </row>
    <row r="394">
      <c r="A394" s="26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IF($B394&lt;&gt;"tutar_farki","",IF(ABS($C394)&gt;cbb_esikFark,"YUKSEK","NORMAL"))</f>
        <v/>
      </c>
      <c r="F394" s="16">
        <f>IF($B394&lt;&gt;"tutar_farki","","VKN "&amp;$A394&amp;" için cari↔Ba/Bs fark "&amp;TEXT($C394,"0.00")&amp;" TL. Dayanak: "&amp;$D394&amp;". Düzeltme dosyası üretildi.")</f>
        <v/>
      </c>
      <c r="G394" s="16">
        <f>IF($B394&lt;&gt;"tutar_farki","","Beklemede")</f>
        <v/>
      </c>
    </row>
    <row r="395">
      <c r="A395" s="26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IF($B395&lt;&gt;"tutar_farki","",IF(ABS($C395)&gt;cbb_esikFark,"YUKSEK","NORMAL"))</f>
        <v/>
      </c>
      <c r="F395" s="16">
        <f>IF($B395&lt;&gt;"tutar_farki","","VKN "&amp;$A395&amp;" için cari↔Ba/Bs fark "&amp;TEXT($C395,"0.00")&amp;" TL. Dayanak: "&amp;$D395&amp;". Düzeltme dosyası üretildi.")</f>
        <v/>
      </c>
      <c r="G395" s="16">
        <f>IF($B395&lt;&gt;"tutar_farki","","Beklemede")</f>
        <v/>
      </c>
    </row>
    <row r="396">
      <c r="A396" s="26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IF($B396&lt;&gt;"tutar_farki","",IF(ABS($C396)&gt;cbb_esikFark,"YUKSEK","NORMAL"))</f>
        <v/>
      </c>
      <c r="F396" s="16">
        <f>IF($B396&lt;&gt;"tutar_farki","","VKN "&amp;$A396&amp;" için cari↔Ba/Bs fark "&amp;TEXT($C396,"0.00")&amp;" TL. Dayanak: "&amp;$D396&amp;". Düzeltme dosyası üretildi.")</f>
        <v/>
      </c>
      <c r="G396" s="16">
        <f>IF($B396&lt;&gt;"tutar_farki","","Beklemede")</f>
        <v/>
      </c>
    </row>
    <row r="397">
      <c r="A397" s="26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IF($B397&lt;&gt;"tutar_farki","",IF(ABS($C397)&gt;cbb_esikFark,"YUKSEK","NORMAL"))</f>
        <v/>
      </c>
      <c r="F397" s="16">
        <f>IF($B397&lt;&gt;"tutar_farki","","VKN "&amp;$A397&amp;" için cari↔Ba/Bs fark "&amp;TEXT($C397,"0.00")&amp;" TL. Dayanak: "&amp;$D397&amp;". Düzeltme dosyası üretildi.")</f>
        <v/>
      </c>
      <c r="G397" s="16">
        <f>IF($B397&lt;&gt;"tutar_farki","","Beklemede")</f>
        <v/>
      </c>
    </row>
    <row r="398">
      <c r="A398" s="26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IF($B398&lt;&gt;"tutar_farki","",IF(ABS($C398)&gt;cbb_esikFark,"YUKSEK","NORMAL"))</f>
        <v/>
      </c>
      <c r="F398" s="16">
        <f>IF($B398&lt;&gt;"tutar_farki","","VKN "&amp;$A398&amp;" için cari↔Ba/Bs fark "&amp;TEXT($C398,"0.00")&amp;" TL. Dayanak: "&amp;$D398&amp;". Düzeltme dosyası üretildi.")</f>
        <v/>
      </c>
      <c r="G398" s="16">
        <f>IF($B398&lt;&gt;"tutar_farki","","Beklemede")</f>
        <v/>
      </c>
    </row>
    <row r="399">
      <c r="A399" s="26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IF($B399&lt;&gt;"tutar_farki","",IF(ABS($C399)&gt;cbb_esikFark,"YUKSEK","NORMAL"))</f>
        <v/>
      </c>
      <c r="F399" s="16">
        <f>IF($B399&lt;&gt;"tutar_farki","","VKN "&amp;$A399&amp;" için cari↔Ba/Bs fark "&amp;TEXT($C399,"0.00")&amp;" TL. Dayanak: "&amp;$D399&amp;". Düzeltme dosyası üretildi.")</f>
        <v/>
      </c>
      <c r="G399" s="16">
        <f>IF($B399&lt;&gt;"tutar_farki","","Beklemede")</f>
        <v/>
      </c>
    </row>
    <row r="400">
      <c r="A400" s="26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IF($B400&lt;&gt;"tutar_farki","",IF(ABS($C400)&gt;cbb_esikFark,"YUKSEK","NORMAL"))</f>
        <v/>
      </c>
      <c r="F400" s="16">
        <f>IF($B400&lt;&gt;"tutar_farki","","VKN "&amp;$A400&amp;" için cari↔Ba/Bs fark "&amp;TEXT($C400,"0.00")&amp;" TL. Dayanak: "&amp;$D400&amp;". Düzeltme dosyası üretildi.")</f>
        <v/>
      </c>
      <c r="G400" s="16">
        <f>IF($B400&lt;&gt;"tutar_farki","","Beklemede")</f>
        <v/>
      </c>
    </row>
    <row r="401">
      <c r="A401" s="26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IF($B401&lt;&gt;"tutar_farki","",IF(ABS($C401)&gt;cbb_esikFark,"YUKSEK","NORMAL"))</f>
        <v/>
      </c>
      <c r="F401" s="16">
        <f>IF($B401&lt;&gt;"tutar_farki","","VKN "&amp;$A401&amp;" için cari↔Ba/Bs fark "&amp;TEXT($C401,"0.00")&amp;" TL. Dayanak: "&amp;$D401&amp;". Düzeltme dosyası üretildi.")</f>
        <v/>
      </c>
      <c r="G401" s="16">
        <f>IF($B401&lt;&gt;"tutar_farki","","Beklemede")</f>
        <v/>
      </c>
    </row>
    <row r="402">
      <c r="A402" s="26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IF($B402&lt;&gt;"tutar_farki","",IF(ABS($C402)&gt;cbb_esikFark,"YUKSEK","NORMAL"))</f>
        <v/>
      </c>
      <c r="F402" s="16">
        <f>IF($B402&lt;&gt;"tutar_farki","","VKN "&amp;$A402&amp;" için cari↔Ba/Bs fark "&amp;TEXT($C402,"0.00")&amp;" TL. Dayanak: "&amp;$D402&amp;". Düzeltme dosyası üretildi.")</f>
        <v/>
      </c>
      <c r="G402" s="16">
        <f>IF($B402&lt;&gt;"tutar_farki","","Beklemede")</f>
        <v/>
      </c>
    </row>
    <row r="403">
      <c r="A403" s="26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IF($B403&lt;&gt;"tutar_farki","",IF(ABS($C403)&gt;cbb_esikFark,"YUKSEK","NORMAL"))</f>
        <v/>
      </c>
      <c r="F403" s="16">
        <f>IF($B403&lt;&gt;"tutar_farki","","VKN "&amp;$A403&amp;" için cari↔Ba/Bs fark "&amp;TEXT($C403,"0.00")&amp;" TL. Dayanak: "&amp;$D403&amp;". Düzeltme dosyası üretildi.")</f>
        <v/>
      </c>
      <c r="G403" s="16">
        <f>IF($B403&lt;&gt;"tutar_farki","","Beklemede")</f>
        <v/>
      </c>
    </row>
    <row r="404">
      <c r="A404" s="26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IF($B404&lt;&gt;"tutar_farki","",IF(ABS($C404)&gt;cbb_esikFark,"YUKSEK","NORMAL"))</f>
        <v/>
      </c>
      <c r="F404" s="16">
        <f>IF($B404&lt;&gt;"tutar_farki","","VKN "&amp;$A404&amp;" için cari↔Ba/Bs fark "&amp;TEXT($C404,"0.00")&amp;" TL. Dayanak: "&amp;$D404&amp;". Düzeltme dosyası üretildi.")</f>
        <v/>
      </c>
      <c r="G404" s="16">
        <f>IF($B404&lt;&gt;"tutar_farki","","Beklemede")</f>
        <v/>
      </c>
    </row>
    <row r="405">
      <c r="A405" s="26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IF($B405&lt;&gt;"tutar_farki","",IF(ABS($C405)&gt;cbb_esikFark,"YUKSEK","NORMAL"))</f>
        <v/>
      </c>
      <c r="F405" s="16">
        <f>IF($B405&lt;&gt;"tutar_farki","","VKN "&amp;$A405&amp;" için cari↔Ba/Bs fark "&amp;TEXT($C405,"0.00")&amp;" TL. Dayanak: "&amp;$D405&amp;". Düzeltme dosyası üretildi.")</f>
        <v/>
      </c>
      <c r="G405" s="16">
        <f>IF($B405&lt;&gt;"tutar_farki","","Beklemede")</f>
        <v/>
      </c>
    </row>
    <row r="406">
      <c r="A406" s="26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IF($B406&lt;&gt;"tutar_farki","",IF(ABS($C406)&gt;cbb_esikFark,"YUKSEK","NORMAL"))</f>
        <v/>
      </c>
      <c r="F406" s="16">
        <f>IF($B406&lt;&gt;"tutar_farki","","VKN "&amp;$A406&amp;" için cari↔Ba/Bs fark "&amp;TEXT($C406,"0.00")&amp;" TL. Dayanak: "&amp;$D406&amp;". Düzeltme dosyası üretildi.")</f>
        <v/>
      </c>
      <c r="G406" s="16">
        <f>IF($B406&lt;&gt;"tutar_farki","","Beklemede")</f>
        <v/>
      </c>
    </row>
    <row r="407">
      <c r="A407" s="26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IF($B407&lt;&gt;"tutar_farki","",IF(ABS($C407)&gt;cbb_esikFark,"YUKSEK","NORMAL"))</f>
        <v/>
      </c>
      <c r="F407" s="16">
        <f>IF($B407&lt;&gt;"tutar_farki","","VKN "&amp;$A407&amp;" için cari↔Ba/Bs fark "&amp;TEXT($C407,"0.00")&amp;" TL. Dayanak: "&amp;$D407&amp;". Düzeltme dosyası üretildi.")</f>
        <v/>
      </c>
      <c r="G407" s="16">
        <f>IF($B407&lt;&gt;"tutar_farki","","Beklemede")</f>
        <v/>
      </c>
    </row>
    <row r="408">
      <c r="A408" s="26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IF($B408&lt;&gt;"tutar_farki","",IF(ABS($C408)&gt;cbb_esikFark,"YUKSEK","NORMAL"))</f>
        <v/>
      </c>
      <c r="F408" s="16">
        <f>IF($B408&lt;&gt;"tutar_farki","","VKN "&amp;$A408&amp;" için cari↔Ba/Bs fark "&amp;TEXT($C408,"0.00")&amp;" TL. Dayanak: "&amp;$D408&amp;". Düzeltme dosyası üretildi.")</f>
        <v/>
      </c>
      <c r="G408" s="16">
        <f>IF($B408&lt;&gt;"tutar_farki","","Beklemede")</f>
        <v/>
      </c>
    </row>
    <row r="409">
      <c r="A409" s="26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IF($B409&lt;&gt;"tutar_farki","",IF(ABS($C409)&gt;cbb_esikFark,"YUKSEK","NORMAL"))</f>
        <v/>
      </c>
      <c r="F409" s="16">
        <f>IF($B409&lt;&gt;"tutar_farki","","VKN "&amp;$A409&amp;" için cari↔Ba/Bs fark "&amp;TEXT($C409,"0.00")&amp;" TL. Dayanak: "&amp;$D409&amp;". Düzeltme dosyası üretildi.")</f>
        <v/>
      </c>
      <c r="G409" s="16">
        <f>IF($B409&lt;&gt;"tutar_farki","","Beklemede")</f>
        <v/>
      </c>
    </row>
    <row r="410">
      <c r="A410" s="26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IF($B410&lt;&gt;"tutar_farki","",IF(ABS($C410)&gt;cbb_esikFark,"YUKSEK","NORMAL"))</f>
        <v/>
      </c>
      <c r="F410" s="16">
        <f>IF($B410&lt;&gt;"tutar_farki","","VKN "&amp;$A410&amp;" için cari↔Ba/Bs fark "&amp;TEXT($C410,"0.00")&amp;" TL. Dayanak: "&amp;$D410&amp;". Düzeltme dosyası üretildi.")</f>
        <v/>
      </c>
      <c r="G410" s="16">
        <f>IF($B410&lt;&gt;"tutar_farki","","Beklemede")</f>
        <v/>
      </c>
    </row>
    <row r="411">
      <c r="A411" s="26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IF($B411&lt;&gt;"tutar_farki","",IF(ABS($C411)&gt;cbb_esikFark,"YUKSEK","NORMAL"))</f>
        <v/>
      </c>
      <c r="F411" s="16">
        <f>IF($B411&lt;&gt;"tutar_farki","","VKN "&amp;$A411&amp;" için cari↔Ba/Bs fark "&amp;TEXT($C411,"0.00")&amp;" TL. Dayanak: "&amp;$D411&amp;". Düzeltme dosyası üretildi.")</f>
        <v/>
      </c>
      <c r="G411" s="16">
        <f>IF($B411&lt;&gt;"tutar_farki","","Beklemede")</f>
        <v/>
      </c>
    </row>
    <row r="412">
      <c r="A412" s="26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IF($B412&lt;&gt;"tutar_farki","",IF(ABS($C412)&gt;cbb_esikFark,"YUKSEK","NORMAL"))</f>
        <v/>
      </c>
      <c r="F412" s="16">
        <f>IF($B412&lt;&gt;"tutar_farki","","VKN "&amp;$A412&amp;" için cari↔Ba/Bs fark "&amp;TEXT($C412,"0.00")&amp;" TL. Dayanak: "&amp;$D412&amp;". Düzeltme dosyası üretildi.")</f>
        <v/>
      </c>
      <c r="G412" s="16">
        <f>IF($B412&lt;&gt;"tutar_farki","","Beklemede")</f>
        <v/>
      </c>
    </row>
    <row r="413">
      <c r="A413" s="26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IF($B413&lt;&gt;"tutar_farki","",IF(ABS($C413)&gt;cbb_esikFark,"YUKSEK","NORMAL"))</f>
        <v/>
      </c>
      <c r="F413" s="16">
        <f>IF($B413&lt;&gt;"tutar_farki","","VKN "&amp;$A413&amp;" için cari↔Ba/Bs fark "&amp;TEXT($C413,"0.00")&amp;" TL. Dayanak: "&amp;$D413&amp;". Düzeltme dosyası üretildi.")</f>
        <v/>
      </c>
      <c r="G413" s="16">
        <f>IF($B413&lt;&gt;"tutar_farki","","Beklemede")</f>
        <v/>
      </c>
    </row>
    <row r="414">
      <c r="A414" s="26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IF($B414&lt;&gt;"tutar_farki","",IF(ABS($C414)&gt;cbb_esikFark,"YUKSEK","NORMAL"))</f>
        <v/>
      </c>
      <c r="F414" s="16">
        <f>IF($B414&lt;&gt;"tutar_farki","","VKN "&amp;$A414&amp;" için cari↔Ba/Bs fark "&amp;TEXT($C414,"0.00")&amp;" TL. Dayanak: "&amp;$D414&amp;". Düzeltme dosyası üretildi.")</f>
        <v/>
      </c>
      <c r="G414" s="16">
        <f>IF($B414&lt;&gt;"tutar_farki","","Beklemede")</f>
        <v/>
      </c>
    </row>
    <row r="415">
      <c r="A415" s="26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IF($B415&lt;&gt;"tutar_farki","",IF(ABS($C415)&gt;cbb_esikFark,"YUKSEK","NORMAL"))</f>
        <v/>
      </c>
      <c r="F415" s="16">
        <f>IF($B415&lt;&gt;"tutar_farki","","VKN "&amp;$A415&amp;" için cari↔Ba/Bs fark "&amp;TEXT($C415,"0.00")&amp;" TL. Dayanak: "&amp;$D415&amp;". Düzeltme dosyası üretildi.")</f>
        <v/>
      </c>
      <c r="G415" s="16">
        <f>IF($B415&lt;&gt;"tutar_farki","","Beklemede")</f>
        <v/>
      </c>
    </row>
    <row r="416">
      <c r="A416" s="26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IF($B416&lt;&gt;"tutar_farki","",IF(ABS($C416)&gt;cbb_esikFark,"YUKSEK","NORMAL"))</f>
        <v/>
      </c>
      <c r="F416" s="16">
        <f>IF($B416&lt;&gt;"tutar_farki","","VKN "&amp;$A416&amp;" için cari↔Ba/Bs fark "&amp;TEXT($C416,"0.00")&amp;" TL. Dayanak: "&amp;$D416&amp;". Düzeltme dosyası üretildi.")</f>
        <v/>
      </c>
      <c r="G416" s="16">
        <f>IF($B416&lt;&gt;"tutar_farki","","Beklemede")</f>
        <v/>
      </c>
    </row>
    <row r="417">
      <c r="A417" s="26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IF($B417&lt;&gt;"tutar_farki","",IF(ABS($C417)&gt;cbb_esikFark,"YUKSEK","NORMAL"))</f>
        <v/>
      </c>
      <c r="F417" s="16">
        <f>IF($B417&lt;&gt;"tutar_farki","","VKN "&amp;$A417&amp;" için cari↔Ba/Bs fark "&amp;TEXT($C417,"0.00")&amp;" TL. Dayanak: "&amp;$D417&amp;". Düzeltme dosyası üretildi.")</f>
        <v/>
      </c>
      <c r="G417" s="16">
        <f>IF($B417&lt;&gt;"tutar_farki","","Beklemede")</f>
        <v/>
      </c>
    </row>
    <row r="418">
      <c r="A418" s="26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IF($B418&lt;&gt;"tutar_farki","",IF(ABS($C418)&gt;cbb_esikFark,"YUKSEK","NORMAL"))</f>
        <v/>
      </c>
      <c r="F418" s="16">
        <f>IF($B418&lt;&gt;"tutar_farki","","VKN "&amp;$A418&amp;" için cari↔Ba/Bs fark "&amp;TEXT($C418,"0.00")&amp;" TL. Dayanak: "&amp;$D418&amp;". Düzeltme dosyası üretildi.")</f>
        <v/>
      </c>
      <c r="G418" s="16">
        <f>IF($B418&lt;&gt;"tutar_farki","","Beklemede")</f>
        <v/>
      </c>
    </row>
    <row r="419">
      <c r="A419" s="26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IF($B419&lt;&gt;"tutar_farki","",IF(ABS($C419)&gt;cbb_esikFark,"YUKSEK","NORMAL"))</f>
        <v/>
      </c>
      <c r="F419" s="16">
        <f>IF($B419&lt;&gt;"tutar_farki","","VKN "&amp;$A419&amp;" için cari↔Ba/Bs fark "&amp;TEXT($C419,"0.00")&amp;" TL. Dayanak: "&amp;$D419&amp;". Düzeltme dosyası üretildi.")</f>
        <v/>
      </c>
      <c r="G419" s="16">
        <f>IF($B419&lt;&gt;"tutar_farki","","Beklemede")</f>
        <v/>
      </c>
    </row>
    <row r="420">
      <c r="A420" s="26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IF($B420&lt;&gt;"tutar_farki","",IF(ABS($C420)&gt;cbb_esikFark,"YUKSEK","NORMAL"))</f>
        <v/>
      </c>
      <c r="F420" s="16">
        <f>IF($B420&lt;&gt;"tutar_farki","","VKN "&amp;$A420&amp;" için cari↔Ba/Bs fark "&amp;TEXT($C420,"0.00")&amp;" TL. Dayanak: "&amp;$D420&amp;". Düzeltme dosyası üretildi.")</f>
        <v/>
      </c>
      <c r="G420" s="16">
        <f>IF($B420&lt;&gt;"tutar_farki","","Beklemede")</f>
        <v/>
      </c>
    </row>
    <row r="421">
      <c r="A421" s="26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IF($B421&lt;&gt;"tutar_farki","",IF(ABS($C421)&gt;cbb_esikFark,"YUKSEK","NORMAL"))</f>
        <v/>
      </c>
      <c r="F421" s="16">
        <f>IF($B421&lt;&gt;"tutar_farki","","VKN "&amp;$A421&amp;" için cari↔Ba/Bs fark "&amp;TEXT($C421,"0.00")&amp;" TL. Dayanak: "&amp;$D421&amp;". Düzeltme dosyası üretildi.")</f>
        <v/>
      </c>
      <c r="G421" s="16">
        <f>IF($B421&lt;&gt;"tutar_farki","","Beklemede")</f>
        <v/>
      </c>
    </row>
    <row r="422">
      <c r="A422" s="26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IF($B422&lt;&gt;"tutar_farki","",IF(ABS($C422)&gt;cbb_esikFark,"YUKSEK","NORMAL"))</f>
        <v/>
      </c>
      <c r="F422" s="16">
        <f>IF($B422&lt;&gt;"tutar_farki","","VKN "&amp;$A422&amp;" için cari↔Ba/Bs fark "&amp;TEXT($C422,"0.00")&amp;" TL. Dayanak: "&amp;$D422&amp;". Düzeltme dosyası üretildi.")</f>
        <v/>
      </c>
      <c r="G422" s="16">
        <f>IF($B422&lt;&gt;"tutar_farki","","Beklemede")</f>
        <v/>
      </c>
    </row>
    <row r="423">
      <c r="A423" s="26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IF($B423&lt;&gt;"tutar_farki","",IF(ABS($C423)&gt;cbb_esikFark,"YUKSEK","NORMAL"))</f>
        <v/>
      </c>
      <c r="F423" s="16">
        <f>IF($B423&lt;&gt;"tutar_farki","","VKN "&amp;$A423&amp;" için cari↔Ba/Bs fark "&amp;TEXT($C423,"0.00")&amp;" TL. Dayanak: "&amp;$D423&amp;". Düzeltme dosyası üretildi.")</f>
        <v/>
      </c>
      <c r="G423" s="16">
        <f>IF($B423&lt;&gt;"tutar_farki","","Beklemede")</f>
        <v/>
      </c>
    </row>
    <row r="424">
      <c r="A424" s="26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IF($B424&lt;&gt;"tutar_farki","",IF(ABS($C424)&gt;cbb_esikFark,"YUKSEK","NORMAL"))</f>
        <v/>
      </c>
      <c r="F424" s="16">
        <f>IF($B424&lt;&gt;"tutar_farki","","VKN "&amp;$A424&amp;" için cari↔Ba/Bs fark "&amp;TEXT($C424,"0.00")&amp;" TL. Dayanak: "&amp;$D424&amp;". Düzeltme dosyası üretildi.")</f>
        <v/>
      </c>
      <c r="G424" s="16">
        <f>IF($B424&lt;&gt;"tutar_farki","","Beklemede")</f>
        <v/>
      </c>
    </row>
    <row r="425">
      <c r="A425" s="26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IF($B425&lt;&gt;"tutar_farki","",IF(ABS($C425)&gt;cbb_esikFark,"YUKSEK","NORMAL"))</f>
        <v/>
      </c>
      <c r="F425" s="16">
        <f>IF($B425&lt;&gt;"tutar_farki","","VKN "&amp;$A425&amp;" için cari↔Ba/Bs fark "&amp;TEXT($C425,"0.00")&amp;" TL. Dayanak: "&amp;$D425&amp;". Düzeltme dosyası üretildi.")</f>
        <v/>
      </c>
      <c r="G425" s="16">
        <f>IF($B425&lt;&gt;"tutar_farki","","Beklemede")</f>
        <v/>
      </c>
    </row>
    <row r="426">
      <c r="A426" s="26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IF($B426&lt;&gt;"tutar_farki","",IF(ABS($C426)&gt;cbb_esikFark,"YUKSEK","NORMAL"))</f>
        <v/>
      </c>
      <c r="F426" s="16">
        <f>IF($B426&lt;&gt;"tutar_farki","","VKN "&amp;$A426&amp;" için cari↔Ba/Bs fark "&amp;TEXT($C426,"0.00")&amp;" TL. Dayanak: "&amp;$D426&amp;". Düzeltme dosyası üretildi.")</f>
        <v/>
      </c>
      <c r="G426" s="16">
        <f>IF($B426&lt;&gt;"tutar_farki","","Beklemede")</f>
        <v/>
      </c>
    </row>
    <row r="427">
      <c r="A427" s="26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IF($B427&lt;&gt;"tutar_farki","",IF(ABS($C427)&gt;cbb_esikFark,"YUKSEK","NORMAL"))</f>
        <v/>
      </c>
      <c r="F427" s="16">
        <f>IF($B427&lt;&gt;"tutar_farki","","VKN "&amp;$A427&amp;" için cari↔Ba/Bs fark "&amp;TEXT($C427,"0.00")&amp;" TL. Dayanak: "&amp;$D427&amp;". Düzeltme dosyası üretildi.")</f>
        <v/>
      </c>
      <c r="G427" s="16">
        <f>IF($B427&lt;&gt;"tutar_farki","","Beklemede")</f>
        <v/>
      </c>
    </row>
    <row r="428">
      <c r="A428" s="26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IF($B428&lt;&gt;"tutar_farki","",IF(ABS($C428)&gt;cbb_esikFark,"YUKSEK","NORMAL"))</f>
        <v/>
      </c>
      <c r="F428" s="16">
        <f>IF($B428&lt;&gt;"tutar_farki","","VKN "&amp;$A428&amp;" için cari↔Ba/Bs fark "&amp;TEXT($C428,"0.00")&amp;" TL. Dayanak: "&amp;$D428&amp;". Düzeltme dosyası üretildi.")</f>
        <v/>
      </c>
      <c r="G428" s="16">
        <f>IF($B428&lt;&gt;"tutar_farki","","Beklemede")</f>
        <v/>
      </c>
    </row>
    <row r="429">
      <c r="A429" s="26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IF($B429&lt;&gt;"tutar_farki","",IF(ABS($C429)&gt;cbb_esikFark,"YUKSEK","NORMAL"))</f>
        <v/>
      </c>
      <c r="F429" s="16">
        <f>IF($B429&lt;&gt;"tutar_farki","","VKN "&amp;$A429&amp;" için cari↔Ba/Bs fark "&amp;TEXT($C429,"0.00")&amp;" TL. Dayanak: "&amp;$D429&amp;". Düzeltme dosyası üretildi.")</f>
        <v/>
      </c>
      <c r="G429" s="16">
        <f>IF($B429&lt;&gt;"tutar_farki","","Beklemede")</f>
        <v/>
      </c>
    </row>
    <row r="430">
      <c r="A430" s="26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IF($B430&lt;&gt;"tutar_farki","",IF(ABS($C430)&gt;cbb_esikFark,"YUKSEK","NORMAL"))</f>
        <v/>
      </c>
      <c r="F430" s="16">
        <f>IF($B430&lt;&gt;"tutar_farki","","VKN "&amp;$A430&amp;" için cari↔Ba/Bs fark "&amp;TEXT($C430,"0.00")&amp;" TL. Dayanak: "&amp;$D430&amp;". Düzeltme dosyası üretildi.")</f>
        <v/>
      </c>
      <c r="G430" s="16">
        <f>IF($B430&lt;&gt;"tutar_farki","","Beklemede")</f>
        <v/>
      </c>
    </row>
    <row r="431">
      <c r="A431" s="26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IF($B431&lt;&gt;"tutar_farki","",IF(ABS($C431)&gt;cbb_esikFark,"YUKSEK","NORMAL"))</f>
        <v/>
      </c>
      <c r="F431" s="16">
        <f>IF($B431&lt;&gt;"tutar_farki","","VKN "&amp;$A431&amp;" için cari↔Ba/Bs fark "&amp;TEXT($C431,"0.00")&amp;" TL. Dayanak: "&amp;$D431&amp;". Düzeltme dosyası üretildi.")</f>
        <v/>
      </c>
      <c r="G431" s="16">
        <f>IF($B431&lt;&gt;"tutar_farki","","Beklemede")</f>
        <v/>
      </c>
    </row>
    <row r="432">
      <c r="A432" s="26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IF($B432&lt;&gt;"tutar_farki","",IF(ABS($C432)&gt;cbb_esikFark,"YUKSEK","NORMAL"))</f>
        <v/>
      </c>
      <c r="F432" s="16">
        <f>IF($B432&lt;&gt;"tutar_farki","","VKN "&amp;$A432&amp;" için cari↔Ba/Bs fark "&amp;TEXT($C432,"0.00")&amp;" TL. Dayanak: "&amp;$D432&amp;". Düzeltme dosyası üretildi.")</f>
        <v/>
      </c>
      <c r="G432" s="16">
        <f>IF($B432&lt;&gt;"tutar_farki","","Beklemede")</f>
        <v/>
      </c>
    </row>
    <row r="433">
      <c r="A433" s="26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IF($B433&lt;&gt;"tutar_farki","",IF(ABS($C433)&gt;cbb_esikFark,"YUKSEK","NORMAL"))</f>
        <v/>
      </c>
      <c r="F433" s="16">
        <f>IF($B433&lt;&gt;"tutar_farki","","VKN "&amp;$A433&amp;" için cari↔Ba/Bs fark "&amp;TEXT($C433,"0.00")&amp;" TL. Dayanak: "&amp;$D433&amp;". Düzeltme dosyası üretildi.")</f>
        <v/>
      </c>
      <c r="G433" s="16">
        <f>IF($B433&lt;&gt;"tutar_farki","","Beklemede")</f>
        <v/>
      </c>
    </row>
    <row r="434">
      <c r="A434" s="26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IF($B434&lt;&gt;"tutar_farki","",IF(ABS($C434)&gt;cbb_esikFark,"YUKSEK","NORMAL"))</f>
        <v/>
      </c>
      <c r="F434" s="16">
        <f>IF($B434&lt;&gt;"tutar_farki","","VKN "&amp;$A434&amp;" için cari↔Ba/Bs fark "&amp;TEXT($C434,"0.00")&amp;" TL. Dayanak: "&amp;$D434&amp;". Düzeltme dosyası üretildi.")</f>
        <v/>
      </c>
      <c r="G434" s="16">
        <f>IF($B434&lt;&gt;"tutar_farki","","Beklemede")</f>
        <v/>
      </c>
    </row>
    <row r="435">
      <c r="A435" s="26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IF($B435&lt;&gt;"tutar_farki","",IF(ABS($C435)&gt;cbb_esikFark,"YUKSEK","NORMAL"))</f>
        <v/>
      </c>
      <c r="F435" s="16">
        <f>IF($B435&lt;&gt;"tutar_farki","","VKN "&amp;$A435&amp;" için cari↔Ba/Bs fark "&amp;TEXT($C435,"0.00")&amp;" TL. Dayanak: "&amp;$D435&amp;". Düzeltme dosyası üretildi.")</f>
        <v/>
      </c>
      <c r="G435" s="16">
        <f>IF($B435&lt;&gt;"tutar_farki","","Beklemede")</f>
        <v/>
      </c>
    </row>
    <row r="436">
      <c r="A436" s="26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IF($B436&lt;&gt;"tutar_farki","",IF(ABS($C436)&gt;cbb_esikFark,"YUKSEK","NORMAL"))</f>
        <v/>
      </c>
      <c r="F436" s="16">
        <f>IF($B436&lt;&gt;"tutar_farki","","VKN "&amp;$A436&amp;" için cari↔Ba/Bs fark "&amp;TEXT($C436,"0.00")&amp;" TL. Dayanak: "&amp;$D436&amp;". Düzeltme dosyası üretildi.")</f>
        <v/>
      </c>
      <c r="G436" s="16">
        <f>IF($B436&lt;&gt;"tutar_farki","","Beklemede")</f>
        <v/>
      </c>
    </row>
    <row r="437">
      <c r="A437" s="26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IF($B437&lt;&gt;"tutar_farki","",IF(ABS($C437)&gt;cbb_esikFark,"YUKSEK","NORMAL"))</f>
        <v/>
      </c>
      <c r="F437" s="16">
        <f>IF($B437&lt;&gt;"tutar_farki","","VKN "&amp;$A437&amp;" için cari↔Ba/Bs fark "&amp;TEXT($C437,"0.00")&amp;" TL. Dayanak: "&amp;$D437&amp;". Düzeltme dosyası üretildi.")</f>
        <v/>
      </c>
      <c r="G437" s="16">
        <f>IF($B437&lt;&gt;"tutar_farki","","Beklemede")</f>
        <v/>
      </c>
    </row>
    <row r="438">
      <c r="A438" s="26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IF($B438&lt;&gt;"tutar_farki","",IF(ABS($C438)&gt;cbb_esikFark,"YUKSEK","NORMAL"))</f>
        <v/>
      </c>
      <c r="F438" s="16">
        <f>IF($B438&lt;&gt;"tutar_farki","","VKN "&amp;$A438&amp;" için cari↔Ba/Bs fark "&amp;TEXT($C438,"0.00")&amp;" TL. Dayanak: "&amp;$D438&amp;". Düzeltme dosyası üretildi.")</f>
        <v/>
      </c>
      <c r="G438" s="16">
        <f>IF($B438&lt;&gt;"tutar_farki","","Beklemede")</f>
        <v/>
      </c>
    </row>
    <row r="439">
      <c r="A439" s="26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IF($B439&lt;&gt;"tutar_farki","",IF(ABS($C439)&gt;cbb_esikFark,"YUKSEK","NORMAL"))</f>
        <v/>
      </c>
      <c r="F439" s="16">
        <f>IF($B439&lt;&gt;"tutar_farki","","VKN "&amp;$A439&amp;" için cari↔Ba/Bs fark "&amp;TEXT($C439,"0.00")&amp;" TL. Dayanak: "&amp;$D439&amp;". Düzeltme dosyası üretildi.")</f>
        <v/>
      </c>
      <c r="G439" s="16">
        <f>IF($B439&lt;&gt;"tutar_farki","","Beklemede")</f>
        <v/>
      </c>
    </row>
    <row r="440">
      <c r="A440" s="26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IF($B440&lt;&gt;"tutar_farki","",IF(ABS($C440)&gt;cbb_esikFark,"YUKSEK","NORMAL"))</f>
        <v/>
      </c>
      <c r="F440" s="16">
        <f>IF($B440&lt;&gt;"tutar_farki","","VKN "&amp;$A440&amp;" için cari↔Ba/Bs fark "&amp;TEXT($C440,"0.00")&amp;" TL. Dayanak: "&amp;$D440&amp;". Düzeltme dosyası üretildi.")</f>
        <v/>
      </c>
      <c r="G440" s="16">
        <f>IF($B440&lt;&gt;"tutar_farki","","Beklemede")</f>
        <v/>
      </c>
    </row>
    <row r="441">
      <c r="A441" s="26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IF($B441&lt;&gt;"tutar_farki","",IF(ABS($C441)&gt;cbb_esikFark,"YUKSEK","NORMAL"))</f>
        <v/>
      </c>
      <c r="F441" s="16">
        <f>IF($B441&lt;&gt;"tutar_farki","","VKN "&amp;$A441&amp;" için cari↔Ba/Bs fark "&amp;TEXT($C441,"0.00")&amp;" TL. Dayanak: "&amp;$D441&amp;". Düzeltme dosyası üretildi.")</f>
        <v/>
      </c>
      <c r="G441" s="16">
        <f>IF($B441&lt;&gt;"tutar_farki","","Beklemede")</f>
        <v/>
      </c>
    </row>
    <row r="442">
      <c r="A442" s="26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IF($B442&lt;&gt;"tutar_farki","",IF(ABS($C442)&gt;cbb_esikFark,"YUKSEK","NORMAL"))</f>
        <v/>
      </c>
      <c r="F442" s="16">
        <f>IF($B442&lt;&gt;"tutar_farki","","VKN "&amp;$A442&amp;" için cari↔Ba/Bs fark "&amp;TEXT($C442,"0.00")&amp;" TL. Dayanak: "&amp;$D442&amp;". Düzeltme dosyası üretildi.")</f>
        <v/>
      </c>
      <c r="G442" s="16">
        <f>IF($B442&lt;&gt;"tutar_farki","","Beklemede")</f>
        <v/>
      </c>
    </row>
    <row r="443">
      <c r="A443" s="26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IF($B443&lt;&gt;"tutar_farki","",IF(ABS($C443)&gt;cbb_esikFark,"YUKSEK","NORMAL"))</f>
        <v/>
      </c>
      <c r="F443" s="16">
        <f>IF($B443&lt;&gt;"tutar_farki","","VKN "&amp;$A443&amp;" için cari↔Ba/Bs fark "&amp;TEXT($C443,"0.00")&amp;" TL. Dayanak: "&amp;$D443&amp;". Düzeltme dosyası üretildi.")</f>
        <v/>
      </c>
      <c r="G443" s="16">
        <f>IF($B443&lt;&gt;"tutar_farki","","Beklemede")</f>
        <v/>
      </c>
    </row>
    <row r="444">
      <c r="A444" s="26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IF($B444&lt;&gt;"tutar_farki","",IF(ABS($C444)&gt;cbb_esikFark,"YUKSEK","NORMAL"))</f>
        <v/>
      </c>
      <c r="F444" s="16">
        <f>IF($B444&lt;&gt;"tutar_farki","","VKN "&amp;$A444&amp;" için cari↔Ba/Bs fark "&amp;TEXT($C444,"0.00")&amp;" TL. Dayanak: "&amp;$D444&amp;". Düzeltme dosyası üretildi.")</f>
        <v/>
      </c>
      <c r="G444" s="16">
        <f>IF($B444&lt;&gt;"tutar_farki","","Beklemede")</f>
        <v/>
      </c>
    </row>
    <row r="445">
      <c r="A445" s="26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IF($B445&lt;&gt;"tutar_farki","",IF(ABS($C445)&gt;cbb_esikFark,"YUKSEK","NORMAL"))</f>
        <v/>
      </c>
      <c r="F445" s="16">
        <f>IF($B445&lt;&gt;"tutar_farki","","VKN "&amp;$A445&amp;" için cari↔Ba/Bs fark "&amp;TEXT($C445,"0.00")&amp;" TL. Dayanak: "&amp;$D445&amp;". Düzeltme dosyası üretildi.")</f>
        <v/>
      </c>
      <c r="G445" s="16">
        <f>IF($B445&lt;&gt;"tutar_farki","","Beklemede")</f>
        <v/>
      </c>
    </row>
    <row r="446">
      <c r="A446" s="26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IF($B446&lt;&gt;"tutar_farki","",IF(ABS($C446)&gt;cbb_esikFark,"YUKSEK","NORMAL"))</f>
        <v/>
      </c>
      <c r="F446" s="16">
        <f>IF($B446&lt;&gt;"tutar_farki","","VKN "&amp;$A446&amp;" için cari↔Ba/Bs fark "&amp;TEXT($C446,"0.00")&amp;" TL. Dayanak: "&amp;$D446&amp;". Düzeltme dosyası üretildi.")</f>
        <v/>
      </c>
      <c r="G446" s="16">
        <f>IF($B446&lt;&gt;"tutar_farki","","Beklemede")</f>
        <v/>
      </c>
    </row>
    <row r="447">
      <c r="A447" s="26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IF($B447&lt;&gt;"tutar_farki","",IF(ABS($C447)&gt;cbb_esikFark,"YUKSEK","NORMAL"))</f>
        <v/>
      </c>
      <c r="F447" s="16">
        <f>IF($B447&lt;&gt;"tutar_farki","","VKN "&amp;$A447&amp;" için cari↔Ba/Bs fark "&amp;TEXT($C447,"0.00")&amp;" TL. Dayanak: "&amp;$D447&amp;". Düzeltme dosyası üretildi.")</f>
        <v/>
      </c>
      <c r="G447" s="16">
        <f>IF($B447&lt;&gt;"tutar_farki","","Beklemede")</f>
        <v/>
      </c>
    </row>
    <row r="448">
      <c r="A448" s="26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IF($B448&lt;&gt;"tutar_farki","",IF(ABS($C448)&gt;cbb_esikFark,"YUKSEK","NORMAL"))</f>
        <v/>
      </c>
      <c r="F448" s="16">
        <f>IF($B448&lt;&gt;"tutar_farki","","VKN "&amp;$A448&amp;" için cari↔Ba/Bs fark "&amp;TEXT($C448,"0.00")&amp;" TL. Dayanak: "&amp;$D448&amp;". Düzeltme dosyası üretildi.")</f>
        <v/>
      </c>
      <c r="G448" s="16">
        <f>IF($B448&lt;&gt;"tutar_farki","","Beklemede")</f>
        <v/>
      </c>
    </row>
    <row r="449">
      <c r="A449" s="26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IF($B449&lt;&gt;"tutar_farki","",IF(ABS($C449)&gt;cbb_esikFark,"YUKSEK","NORMAL"))</f>
        <v/>
      </c>
      <c r="F449" s="16">
        <f>IF($B449&lt;&gt;"tutar_farki","","VKN "&amp;$A449&amp;" için cari↔Ba/Bs fark "&amp;TEXT($C449,"0.00")&amp;" TL. Dayanak: "&amp;$D449&amp;". Düzeltme dosyası üretildi.")</f>
        <v/>
      </c>
      <c r="G449" s="16">
        <f>IF($B449&lt;&gt;"tutar_farki","","Beklemede")</f>
        <v/>
      </c>
    </row>
    <row r="450">
      <c r="A450" s="26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IF($B450&lt;&gt;"tutar_farki","",IF(ABS($C450)&gt;cbb_esikFark,"YUKSEK","NORMAL"))</f>
        <v/>
      </c>
      <c r="F450" s="16">
        <f>IF($B450&lt;&gt;"tutar_farki","","VKN "&amp;$A450&amp;" için cari↔Ba/Bs fark "&amp;TEXT($C450,"0.00")&amp;" TL. Dayanak: "&amp;$D450&amp;". Düzeltme dosyası üretildi.")</f>
        <v/>
      </c>
      <c r="G450" s="16">
        <f>IF($B450&lt;&gt;"tutar_farki","","Beklemede")</f>
        <v/>
      </c>
    </row>
    <row r="451">
      <c r="A451" s="26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IF($B451&lt;&gt;"tutar_farki","",IF(ABS($C451)&gt;cbb_esikFark,"YUKSEK","NORMAL"))</f>
        <v/>
      </c>
      <c r="F451" s="16">
        <f>IF($B451&lt;&gt;"tutar_farki","","VKN "&amp;$A451&amp;" için cari↔Ba/Bs fark "&amp;TEXT($C451,"0.00")&amp;" TL. Dayanak: "&amp;$D451&amp;". Düzeltme dosyası üretildi.")</f>
        <v/>
      </c>
      <c r="G451" s="16">
        <f>IF($B451&lt;&gt;"tutar_farki","","Beklemede")</f>
        <v/>
      </c>
    </row>
    <row r="452">
      <c r="A452" s="26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IF($B452&lt;&gt;"tutar_farki","",IF(ABS($C452)&gt;cbb_esikFark,"YUKSEK","NORMAL"))</f>
        <v/>
      </c>
      <c r="F452" s="16">
        <f>IF($B452&lt;&gt;"tutar_farki","","VKN "&amp;$A452&amp;" için cari↔Ba/Bs fark "&amp;TEXT($C452,"0.00")&amp;" TL. Dayanak: "&amp;$D452&amp;". Düzeltme dosyası üretildi.")</f>
        <v/>
      </c>
      <c r="G452" s="16">
        <f>IF($B452&lt;&gt;"tutar_farki","","Beklemede")</f>
        <v/>
      </c>
    </row>
    <row r="453">
      <c r="A453" s="26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IF($B453&lt;&gt;"tutar_farki","",IF(ABS($C453)&gt;cbb_esikFark,"YUKSEK","NORMAL"))</f>
        <v/>
      </c>
      <c r="F453" s="16">
        <f>IF($B453&lt;&gt;"tutar_farki","","VKN "&amp;$A453&amp;" için cari↔Ba/Bs fark "&amp;TEXT($C453,"0.00")&amp;" TL. Dayanak: "&amp;$D453&amp;". Düzeltme dosyası üretildi.")</f>
        <v/>
      </c>
      <c r="G453" s="16">
        <f>IF($B453&lt;&gt;"tutar_farki","","Beklemede")</f>
        <v/>
      </c>
    </row>
    <row r="454">
      <c r="A454" s="26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IF($B454&lt;&gt;"tutar_farki","",IF(ABS($C454)&gt;cbb_esikFark,"YUKSEK","NORMAL"))</f>
        <v/>
      </c>
      <c r="F454" s="16">
        <f>IF($B454&lt;&gt;"tutar_farki","","VKN "&amp;$A454&amp;" için cari↔Ba/Bs fark "&amp;TEXT($C454,"0.00")&amp;" TL. Dayanak: "&amp;$D454&amp;". Düzeltme dosyası üretildi.")</f>
        <v/>
      </c>
      <c r="G454" s="16">
        <f>IF($B454&lt;&gt;"tutar_farki","","Beklemede")</f>
        <v/>
      </c>
    </row>
    <row r="455">
      <c r="A455" s="26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IF($B455&lt;&gt;"tutar_farki","",IF(ABS($C455)&gt;cbb_esikFark,"YUKSEK","NORMAL"))</f>
        <v/>
      </c>
      <c r="F455" s="16">
        <f>IF($B455&lt;&gt;"tutar_farki","","VKN "&amp;$A455&amp;" için cari↔Ba/Bs fark "&amp;TEXT($C455,"0.00")&amp;" TL. Dayanak: "&amp;$D455&amp;". Düzeltme dosyası üretildi.")</f>
        <v/>
      </c>
      <c r="G455" s="16">
        <f>IF($B455&lt;&gt;"tutar_farki","","Beklemede")</f>
        <v/>
      </c>
    </row>
    <row r="456">
      <c r="A456" s="26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IF($B456&lt;&gt;"tutar_farki","",IF(ABS($C456)&gt;cbb_esikFark,"YUKSEK","NORMAL"))</f>
        <v/>
      </c>
      <c r="F456" s="16">
        <f>IF($B456&lt;&gt;"tutar_farki","","VKN "&amp;$A456&amp;" için cari↔Ba/Bs fark "&amp;TEXT($C456,"0.00")&amp;" TL. Dayanak: "&amp;$D456&amp;". Düzeltme dosyası üretildi.")</f>
        <v/>
      </c>
      <c r="G456" s="16">
        <f>IF($B456&lt;&gt;"tutar_farki","","Beklemede")</f>
        <v/>
      </c>
    </row>
    <row r="457">
      <c r="A457" s="26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IF($B457&lt;&gt;"tutar_farki","",IF(ABS($C457)&gt;cbb_esikFark,"YUKSEK","NORMAL"))</f>
        <v/>
      </c>
      <c r="F457" s="16">
        <f>IF($B457&lt;&gt;"tutar_farki","","VKN "&amp;$A457&amp;" için cari↔Ba/Bs fark "&amp;TEXT($C457,"0.00")&amp;" TL. Dayanak: "&amp;$D457&amp;". Düzeltme dosyası üretildi.")</f>
        <v/>
      </c>
      <c r="G457" s="16">
        <f>IF($B457&lt;&gt;"tutar_farki","","Beklemede")</f>
        <v/>
      </c>
    </row>
    <row r="458">
      <c r="A458" s="26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IF($B458&lt;&gt;"tutar_farki","",IF(ABS($C458)&gt;cbb_esikFark,"YUKSEK","NORMAL"))</f>
        <v/>
      </c>
      <c r="F458" s="16">
        <f>IF($B458&lt;&gt;"tutar_farki","","VKN "&amp;$A458&amp;" için cari↔Ba/Bs fark "&amp;TEXT($C458,"0.00")&amp;" TL. Dayanak: "&amp;$D458&amp;". Düzeltme dosyası üretildi.")</f>
        <v/>
      </c>
      <c r="G458" s="16">
        <f>IF($B458&lt;&gt;"tutar_farki","","Beklemede")</f>
        <v/>
      </c>
    </row>
    <row r="459">
      <c r="A459" s="26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IF($B459&lt;&gt;"tutar_farki","",IF(ABS($C459)&gt;cbb_esikFark,"YUKSEK","NORMAL"))</f>
        <v/>
      </c>
      <c r="F459" s="16">
        <f>IF($B459&lt;&gt;"tutar_farki","","VKN "&amp;$A459&amp;" için cari↔Ba/Bs fark "&amp;TEXT($C459,"0.00")&amp;" TL. Dayanak: "&amp;$D459&amp;". Düzeltme dosyası üretildi.")</f>
        <v/>
      </c>
      <c r="G459" s="16">
        <f>IF($B459&lt;&gt;"tutar_farki","","Beklemede")</f>
        <v/>
      </c>
    </row>
    <row r="460">
      <c r="A460" s="26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IF($B460&lt;&gt;"tutar_farki","",IF(ABS($C460)&gt;cbb_esikFark,"YUKSEK","NORMAL"))</f>
        <v/>
      </c>
      <c r="F460" s="16">
        <f>IF($B460&lt;&gt;"tutar_farki","","VKN "&amp;$A460&amp;" için cari↔Ba/Bs fark "&amp;TEXT($C460,"0.00")&amp;" TL. Dayanak: "&amp;$D460&amp;". Düzeltme dosyası üretildi.")</f>
        <v/>
      </c>
      <c r="G460" s="16">
        <f>IF($B460&lt;&gt;"tutar_farki","","Beklemede")</f>
        <v/>
      </c>
    </row>
    <row r="461">
      <c r="A461" s="26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IF($B461&lt;&gt;"tutar_farki","",IF(ABS($C461)&gt;cbb_esikFark,"YUKSEK","NORMAL"))</f>
        <v/>
      </c>
      <c r="F461" s="16">
        <f>IF($B461&lt;&gt;"tutar_farki","","VKN "&amp;$A461&amp;" için cari↔Ba/Bs fark "&amp;TEXT($C461,"0.00")&amp;" TL. Dayanak: "&amp;$D461&amp;". Düzeltme dosyası üretildi.")</f>
        <v/>
      </c>
      <c r="G461" s="16">
        <f>IF($B461&lt;&gt;"tutar_farki","","Beklemede")</f>
        <v/>
      </c>
    </row>
    <row r="462">
      <c r="A462" s="26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IF($B462&lt;&gt;"tutar_farki","",IF(ABS($C462)&gt;cbb_esikFark,"YUKSEK","NORMAL"))</f>
        <v/>
      </c>
      <c r="F462" s="16">
        <f>IF($B462&lt;&gt;"tutar_farki","","VKN "&amp;$A462&amp;" için cari↔Ba/Bs fark "&amp;TEXT($C462,"0.00")&amp;" TL. Dayanak: "&amp;$D462&amp;". Düzeltme dosyası üretildi.")</f>
        <v/>
      </c>
      <c r="G462" s="16">
        <f>IF($B462&lt;&gt;"tutar_farki","","Beklemede")</f>
        <v/>
      </c>
    </row>
    <row r="463">
      <c r="A463" s="26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IF($B463&lt;&gt;"tutar_farki","",IF(ABS($C463)&gt;cbb_esikFark,"YUKSEK","NORMAL"))</f>
        <v/>
      </c>
      <c r="F463" s="16">
        <f>IF($B463&lt;&gt;"tutar_farki","","VKN "&amp;$A463&amp;" için cari↔Ba/Bs fark "&amp;TEXT($C463,"0.00")&amp;" TL. Dayanak: "&amp;$D463&amp;". Düzeltme dosyası üretildi.")</f>
        <v/>
      </c>
      <c r="G463" s="16">
        <f>IF($B463&lt;&gt;"tutar_farki","","Beklemede")</f>
        <v/>
      </c>
    </row>
    <row r="464">
      <c r="A464" s="26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IF($B464&lt;&gt;"tutar_farki","",IF(ABS($C464)&gt;cbb_esikFark,"YUKSEK","NORMAL"))</f>
        <v/>
      </c>
      <c r="F464" s="16">
        <f>IF($B464&lt;&gt;"tutar_farki","","VKN "&amp;$A464&amp;" için cari↔Ba/Bs fark "&amp;TEXT($C464,"0.00")&amp;" TL. Dayanak: "&amp;$D464&amp;". Düzeltme dosyası üretildi.")</f>
        <v/>
      </c>
      <c r="G464" s="16">
        <f>IF($B464&lt;&gt;"tutar_farki","","Beklemede")</f>
        <v/>
      </c>
    </row>
    <row r="465">
      <c r="A465" s="26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IF($B465&lt;&gt;"tutar_farki","",IF(ABS($C465)&gt;cbb_esikFark,"YUKSEK","NORMAL"))</f>
        <v/>
      </c>
      <c r="F465" s="16">
        <f>IF($B465&lt;&gt;"tutar_farki","","VKN "&amp;$A465&amp;" için cari↔Ba/Bs fark "&amp;TEXT($C465,"0.00")&amp;" TL. Dayanak: "&amp;$D465&amp;". Düzeltme dosyası üretildi.")</f>
        <v/>
      </c>
      <c r="G465" s="16">
        <f>IF($B465&lt;&gt;"tutar_farki","","Beklemede")</f>
        <v/>
      </c>
    </row>
    <row r="466">
      <c r="A466" s="26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IF($B466&lt;&gt;"tutar_farki","",IF(ABS($C466)&gt;cbb_esikFark,"YUKSEK","NORMAL"))</f>
        <v/>
      </c>
      <c r="F466" s="16">
        <f>IF($B466&lt;&gt;"tutar_farki","","VKN "&amp;$A466&amp;" için cari↔Ba/Bs fark "&amp;TEXT($C466,"0.00")&amp;" TL. Dayanak: "&amp;$D466&amp;". Düzeltme dosyası üretildi.")</f>
        <v/>
      </c>
      <c r="G466" s="16">
        <f>IF($B466&lt;&gt;"tutar_farki","","Beklemede")</f>
        <v/>
      </c>
    </row>
    <row r="467">
      <c r="A467" s="26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IF($B467&lt;&gt;"tutar_farki","",IF(ABS($C467)&gt;cbb_esikFark,"YUKSEK","NORMAL"))</f>
        <v/>
      </c>
      <c r="F467" s="16">
        <f>IF($B467&lt;&gt;"tutar_farki","","VKN "&amp;$A467&amp;" için cari↔Ba/Bs fark "&amp;TEXT($C467,"0.00")&amp;" TL. Dayanak: "&amp;$D467&amp;". Düzeltme dosyası üretildi.")</f>
        <v/>
      </c>
      <c r="G467" s="16">
        <f>IF($B467&lt;&gt;"tutar_farki","","Beklemede")</f>
        <v/>
      </c>
    </row>
    <row r="468">
      <c r="A468" s="26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IF($B468&lt;&gt;"tutar_farki","",IF(ABS($C468)&gt;cbb_esikFark,"YUKSEK","NORMAL"))</f>
        <v/>
      </c>
      <c r="F468" s="16">
        <f>IF($B468&lt;&gt;"tutar_farki","","VKN "&amp;$A468&amp;" için cari↔Ba/Bs fark "&amp;TEXT($C468,"0.00")&amp;" TL. Dayanak: "&amp;$D468&amp;". Düzeltme dosyası üretildi.")</f>
        <v/>
      </c>
      <c r="G468" s="16">
        <f>IF($B468&lt;&gt;"tutar_farki","","Beklemede")</f>
        <v/>
      </c>
    </row>
    <row r="469">
      <c r="A469" s="26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IF($B469&lt;&gt;"tutar_farki","",IF(ABS($C469)&gt;cbb_esikFark,"YUKSEK","NORMAL"))</f>
        <v/>
      </c>
      <c r="F469" s="16">
        <f>IF($B469&lt;&gt;"tutar_farki","","VKN "&amp;$A469&amp;" için cari↔Ba/Bs fark "&amp;TEXT($C469,"0.00")&amp;" TL. Dayanak: "&amp;$D469&amp;". Düzeltme dosyası üretildi.")</f>
        <v/>
      </c>
      <c r="G469" s="16">
        <f>IF($B469&lt;&gt;"tutar_farki","","Beklemede")</f>
        <v/>
      </c>
    </row>
    <row r="470">
      <c r="A470" s="26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IF($B470&lt;&gt;"tutar_farki","",IF(ABS($C470)&gt;cbb_esikFark,"YUKSEK","NORMAL"))</f>
        <v/>
      </c>
      <c r="F470" s="16">
        <f>IF($B470&lt;&gt;"tutar_farki","","VKN "&amp;$A470&amp;" için cari↔Ba/Bs fark "&amp;TEXT($C470,"0.00")&amp;" TL. Dayanak: "&amp;$D470&amp;". Düzeltme dosyası üretildi.")</f>
        <v/>
      </c>
      <c r="G470" s="16">
        <f>IF($B470&lt;&gt;"tutar_farki","","Beklemede")</f>
        <v/>
      </c>
    </row>
    <row r="471">
      <c r="A471" s="26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IF($B471&lt;&gt;"tutar_farki","",IF(ABS($C471)&gt;cbb_esikFark,"YUKSEK","NORMAL"))</f>
        <v/>
      </c>
      <c r="F471" s="16">
        <f>IF($B471&lt;&gt;"tutar_farki","","VKN "&amp;$A471&amp;" için cari↔Ba/Bs fark "&amp;TEXT($C471,"0.00")&amp;" TL. Dayanak: "&amp;$D471&amp;". Düzeltme dosyası üretildi.")</f>
        <v/>
      </c>
      <c r="G471" s="16">
        <f>IF($B471&lt;&gt;"tutar_farki","","Beklemede")</f>
        <v/>
      </c>
    </row>
    <row r="472">
      <c r="A472" s="26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IF($B472&lt;&gt;"tutar_farki","",IF(ABS($C472)&gt;cbb_esikFark,"YUKSEK","NORMAL"))</f>
        <v/>
      </c>
      <c r="F472" s="16">
        <f>IF($B472&lt;&gt;"tutar_farki","","VKN "&amp;$A472&amp;" için cari↔Ba/Bs fark "&amp;TEXT($C472,"0.00")&amp;" TL. Dayanak: "&amp;$D472&amp;". Düzeltme dosyası üretildi.")</f>
        <v/>
      </c>
      <c r="G472" s="16">
        <f>IF($B472&lt;&gt;"tutar_farki","","Beklemede")</f>
        <v/>
      </c>
    </row>
    <row r="473">
      <c r="A473" s="26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IF($B473&lt;&gt;"tutar_farki","",IF(ABS($C473)&gt;cbb_esikFark,"YUKSEK","NORMAL"))</f>
        <v/>
      </c>
      <c r="F473" s="16">
        <f>IF($B473&lt;&gt;"tutar_farki","","VKN "&amp;$A473&amp;" için cari↔Ba/Bs fark "&amp;TEXT($C473,"0.00")&amp;" TL. Dayanak: "&amp;$D473&amp;". Düzeltme dosyası üretildi.")</f>
        <v/>
      </c>
      <c r="G473" s="16">
        <f>IF($B473&lt;&gt;"tutar_farki","","Beklemede")</f>
        <v/>
      </c>
    </row>
    <row r="474">
      <c r="A474" s="26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IF($B474&lt;&gt;"tutar_farki","",IF(ABS($C474)&gt;cbb_esikFark,"YUKSEK","NORMAL"))</f>
        <v/>
      </c>
      <c r="F474" s="16">
        <f>IF($B474&lt;&gt;"tutar_farki","","VKN "&amp;$A474&amp;" için cari↔Ba/Bs fark "&amp;TEXT($C474,"0.00")&amp;" TL. Dayanak: "&amp;$D474&amp;". Düzeltme dosyası üretildi.")</f>
        <v/>
      </c>
      <c r="G474" s="16">
        <f>IF($B474&lt;&gt;"tutar_farki","","Beklemede")</f>
        <v/>
      </c>
    </row>
    <row r="475">
      <c r="A475" s="26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IF($B475&lt;&gt;"tutar_farki","",IF(ABS($C475)&gt;cbb_esikFark,"YUKSEK","NORMAL"))</f>
        <v/>
      </c>
      <c r="F475" s="16">
        <f>IF($B475&lt;&gt;"tutar_farki","","VKN "&amp;$A475&amp;" için cari↔Ba/Bs fark "&amp;TEXT($C475,"0.00")&amp;" TL. Dayanak: "&amp;$D475&amp;". Düzeltme dosyası üretildi.")</f>
        <v/>
      </c>
      <c r="G475" s="16">
        <f>IF($B475&lt;&gt;"tutar_farki","","Beklemede")</f>
        <v/>
      </c>
    </row>
    <row r="476">
      <c r="A476" s="26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IF($B476&lt;&gt;"tutar_farki","",IF(ABS($C476)&gt;cbb_esikFark,"YUKSEK","NORMAL"))</f>
        <v/>
      </c>
      <c r="F476" s="16">
        <f>IF($B476&lt;&gt;"tutar_farki","","VKN "&amp;$A476&amp;" için cari↔Ba/Bs fark "&amp;TEXT($C476,"0.00")&amp;" TL. Dayanak: "&amp;$D476&amp;". Düzeltme dosyası üretildi.")</f>
        <v/>
      </c>
      <c r="G476" s="16">
        <f>IF($B476&lt;&gt;"tutar_farki","","Beklemede")</f>
        <v/>
      </c>
    </row>
    <row r="477">
      <c r="A477" s="26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IF($B477&lt;&gt;"tutar_farki","",IF(ABS($C477)&gt;cbb_esikFark,"YUKSEK","NORMAL"))</f>
        <v/>
      </c>
      <c r="F477" s="16">
        <f>IF($B477&lt;&gt;"tutar_farki","","VKN "&amp;$A477&amp;" için cari↔Ba/Bs fark "&amp;TEXT($C477,"0.00")&amp;" TL. Dayanak: "&amp;$D477&amp;". Düzeltme dosyası üretildi.")</f>
        <v/>
      </c>
      <c r="G477" s="16">
        <f>IF($B477&lt;&gt;"tutar_farki","","Beklemede")</f>
        <v/>
      </c>
    </row>
    <row r="478">
      <c r="A478" s="26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IF($B478&lt;&gt;"tutar_farki","",IF(ABS($C478)&gt;cbb_esikFark,"YUKSEK","NORMAL"))</f>
        <v/>
      </c>
      <c r="F478" s="16">
        <f>IF($B478&lt;&gt;"tutar_farki","","VKN "&amp;$A478&amp;" için cari↔Ba/Bs fark "&amp;TEXT($C478,"0.00")&amp;" TL. Dayanak: "&amp;$D478&amp;". Düzeltme dosyası üretildi.")</f>
        <v/>
      </c>
      <c r="G478" s="16">
        <f>IF($B478&lt;&gt;"tutar_farki","","Beklemede")</f>
        <v/>
      </c>
    </row>
    <row r="479">
      <c r="A479" s="26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IF($B479&lt;&gt;"tutar_farki","",IF(ABS($C479)&gt;cbb_esikFark,"YUKSEK","NORMAL"))</f>
        <v/>
      </c>
      <c r="F479" s="16">
        <f>IF($B479&lt;&gt;"tutar_farki","","VKN "&amp;$A479&amp;" için cari↔Ba/Bs fark "&amp;TEXT($C479,"0.00")&amp;" TL. Dayanak: "&amp;$D479&amp;". Düzeltme dosyası üretildi.")</f>
        <v/>
      </c>
      <c r="G479" s="16">
        <f>IF($B479&lt;&gt;"tutar_farki","","Beklemede")</f>
        <v/>
      </c>
    </row>
    <row r="480">
      <c r="A480" s="26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IF($B480&lt;&gt;"tutar_farki","",IF(ABS($C480)&gt;cbb_esikFark,"YUKSEK","NORMAL"))</f>
        <v/>
      </c>
      <c r="F480" s="16">
        <f>IF($B480&lt;&gt;"tutar_farki","","VKN "&amp;$A480&amp;" için cari↔Ba/Bs fark "&amp;TEXT($C480,"0.00")&amp;" TL. Dayanak: "&amp;$D480&amp;". Düzeltme dosyası üretildi.")</f>
        <v/>
      </c>
      <c r="G480" s="16">
        <f>IF($B480&lt;&gt;"tutar_farki","","Beklemede")</f>
        <v/>
      </c>
    </row>
    <row r="481">
      <c r="A481" s="26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IF($B481&lt;&gt;"tutar_farki","",IF(ABS($C481)&gt;cbb_esikFark,"YUKSEK","NORMAL"))</f>
        <v/>
      </c>
      <c r="F481" s="16">
        <f>IF($B481&lt;&gt;"tutar_farki","","VKN "&amp;$A481&amp;" için cari↔Ba/Bs fark "&amp;TEXT($C481,"0.00")&amp;" TL. Dayanak: "&amp;$D481&amp;". Düzeltme dosyası üretildi.")</f>
        <v/>
      </c>
      <c r="G481" s="16">
        <f>IF($B481&lt;&gt;"tutar_farki","","Beklemede")</f>
        <v/>
      </c>
    </row>
    <row r="482">
      <c r="A482" s="26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IF($B482&lt;&gt;"tutar_farki","",IF(ABS($C482)&gt;cbb_esikFark,"YUKSEK","NORMAL"))</f>
        <v/>
      </c>
      <c r="F482" s="16">
        <f>IF($B482&lt;&gt;"tutar_farki","","VKN "&amp;$A482&amp;" için cari↔Ba/Bs fark "&amp;TEXT($C482,"0.00")&amp;" TL. Dayanak: "&amp;$D482&amp;". Düzeltme dosyası üretildi.")</f>
        <v/>
      </c>
      <c r="G482" s="16">
        <f>IF($B482&lt;&gt;"tutar_farki","","Beklemede")</f>
        <v/>
      </c>
    </row>
    <row r="483">
      <c r="A483" s="26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IF($B483&lt;&gt;"tutar_farki","",IF(ABS($C483)&gt;cbb_esikFark,"YUKSEK","NORMAL"))</f>
        <v/>
      </c>
      <c r="F483" s="16">
        <f>IF($B483&lt;&gt;"tutar_farki","","VKN "&amp;$A483&amp;" için cari↔Ba/Bs fark "&amp;TEXT($C483,"0.00")&amp;" TL. Dayanak: "&amp;$D483&amp;". Düzeltme dosyası üretildi.")</f>
        <v/>
      </c>
      <c r="G483" s="16">
        <f>IF($B483&lt;&gt;"tutar_farki","","Beklemede")</f>
        <v/>
      </c>
    </row>
    <row r="484">
      <c r="A484" s="26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IF($B484&lt;&gt;"tutar_farki","",IF(ABS($C484)&gt;cbb_esikFark,"YUKSEK","NORMAL"))</f>
        <v/>
      </c>
      <c r="F484" s="16">
        <f>IF($B484&lt;&gt;"tutar_farki","","VKN "&amp;$A484&amp;" için cari↔Ba/Bs fark "&amp;TEXT($C484,"0.00")&amp;" TL. Dayanak: "&amp;$D484&amp;". Düzeltme dosyası üretildi.")</f>
        <v/>
      </c>
      <c r="G484" s="16">
        <f>IF($B484&lt;&gt;"tutar_farki","","Beklemede")</f>
        <v/>
      </c>
    </row>
    <row r="485">
      <c r="A485" s="26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IF($B485&lt;&gt;"tutar_farki","",IF(ABS($C485)&gt;cbb_esikFark,"YUKSEK","NORMAL"))</f>
        <v/>
      </c>
      <c r="F485" s="16">
        <f>IF($B485&lt;&gt;"tutar_farki","","VKN "&amp;$A485&amp;" için cari↔Ba/Bs fark "&amp;TEXT($C485,"0.00")&amp;" TL. Dayanak: "&amp;$D485&amp;". Düzeltme dosyası üretildi.")</f>
        <v/>
      </c>
      <c r="G485" s="16">
        <f>IF($B485&lt;&gt;"tutar_farki","","Beklemede")</f>
        <v/>
      </c>
    </row>
    <row r="486">
      <c r="A486" s="26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IF($B486&lt;&gt;"tutar_farki","",IF(ABS($C486)&gt;cbb_esikFark,"YUKSEK","NORMAL"))</f>
        <v/>
      </c>
      <c r="F486" s="16">
        <f>IF($B486&lt;&gt;"tutar_farki","","VKN "&amp;$A486&amp;" için cari↔Ba/Bs fark "&amp;TEXT($C486,"0.00")&amp;" TL. Dayanak: "&amp;$D486&amp;". Düzeltme dosyası üretildi.")</f>
        <v/>
      </c>
      <c r="G486" s="16">
        <f>IF($B486&lt;&gt;"tutar_farki","","Beklemede")</f>
        <v/>
      </c>
    </row>
    <row r="487">
      <c r="A487" s="26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IF($B487&lt;&gt;"tutar_farki","",IF(ABS($C487)&gt;cbb_esikFark,"YUKSEK","NORMAL"))</f>
        <v/>
      </c>
      <c r="F487" s="16">
        <f>IF($B487&lt;&gt;"tutar_farki","","VKN "&amp;$A487&amp;" için cari↔Ba/Bs fark "&amp;TEXT($C487,"0.00")&amp;" TL. Dayanak: "&amp;$D487&amp;". Düzeltme dosyası üretildi.")</f>
        <v/>
      </c>
      <c r="G487" s="16">
        <f>IF($B487&lt;&gt;"tutar_farki","","Beklemede")</f>
        <v/>
      </c>
    </row>
    <row r="488">
      <c r="A488" s="26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IF($B488&lt;&gt;"tutar_farki","",IF(ABS($C488)&gt;cbb_esikFark,"YUKSEK","NORMAL"))</f>
        <v/>
      </c>
      <c r="F488" s="16">
        <f>IF($B488&lt;&gt;"tutar_farki","","VKN "&amp;$A488&amp;" için cari↔Ba/Bs fark "&amp;TEXT($C488,"0.00")&amp;" TL. Dayanak: "&amp;$D488&amp;". Düzeltme dosyası üretildi.")</f>
        <v/>
      </c>
      <c r="G488" s="16">
        <f>IF($B488&lt;&gt;"tutar_farki","","Beklemede")</f>
        <v/>
      </c>
    </row>
    <row r="489">
      <c r="A489" s="26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IF($B489&lt;&gt;"tutar_farki","",IF(ABS($C489)&gt;cbb_esikFark,"YUKSEK","NORMAL"))</f>
        <v/>
      </c>
      <c r="F489" s="16">
        <f>IF($B489&lt;&gt;"tutar_farki","","VKN "&amp;$A489&amp;" için cari↔Ba/Bs fark "&amp;TEXT($C489,"0.00")&amp;" TL. Dayanak: "&amp;$D489&amp;". Düzeltme dosyası üretildi.")</f>
        <v/>
      </c>
      <c r="G489" s="16">
        <f>IF($B489&lt;&gt;"tutar_farki","","Beklemede")</f>
        <v/>
      </c>
    </row>
    <row r="490">
      <c r="A490" s="26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IF($B490&lt;&gt;"tutar_farki","",IF(ABS($C490)&gt;cbb_esikFark,"YUKSEK","NORMAL"))</f>
        <v/>
      </c>
      <c r="F490" s="16">
        <f>IF($B490&lt;&gt;"tutar_farki","","VKN "&amp;$A490&amp;" için cari↔Ba/Bs fark "&amp;TEXT($C490,"0.00")&amp;" TL. Dayanak: "&amp;$D490&amp;". Düzeltme dosyası üretildi.")</f>
        <v/>
      </c>
      <c r="G490" s="16">
        <f>IF($B490&lt;&gt;"tutar_farki","","Beklemede")</f>
        <v/>
      </c>
    </row>
    <row r="491">
      <c r="A491" s="26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IF($B491&lt;&gt;"tutar_farki","",IF(ABS($C491)&gt;cbb_esikFark,"YUKSEK","NORMAL"))</f>
        <v/>
      </c>
      <c r="F491" s="16">
        <f>IF($B491&lt;&gt;"tutar_farki","","VKN "&amp;$A491&amp;" için cari↔Ba/Bs fark "&amp;TEXT($C491,"0.00")&amp;" TL. Dayanak: "&amp;$D491&amp;". Düzeltme dosyası üretildi.")</f>
        <v/>
      </c>
      <c r="G491" s="16">
        <f>IF($B491&lt;&gt;"tutar_farki","","Beklemede")</f>
        <v/>
      </c>
    </row>
    <row r="492">
      <c r="A492" s="26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IF($B492&lt;&gt;"tutar_farki","",IF(ABS($C492)&gt;cbb_esikFark,"YUKSEK","NORMAL"))</f>
        <v/>
      </c>
      <c r="F492" s="16">
        <f>IF($B492&lt;&gt;"tutar_farki","","VKN "&amp;$A492&amp;" için cari↔Ba/Bs fark "&amp;TEXT($C492,"0.00")&amp;" TL. Dayanak: "&amp;$D492&amp;". Düzeltme dosyası üretildi.")</f>
        <v/>
      </c>
      <c r="G492" s="16">
        <f>IF($B492&lt;&gt;"tutar_farki","","Beklemede")</f>
        <v/>
      </c>
    </row>
    <row r="493">
      <c r="A493" s="26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IF($B493&lt;&gt;"tutar_farki","",IF(ABS($C493)&gt;cbb_esikFark,"YUKSEK","NORMAL"))</f>
        <v/>
      </c>
      <c r="F493" s="16">
        <f>IF($B493&lt;&gt;"tutar_farki","","VKN "&amp;$A493&amp;" için cari↔Ba/Bs fark "&amp;TEXT($C493,"0.00")&amp;" TL. Dayanak: "&amp;$D493&amp;". Düzeltme dosyası üretildi.")</f>
        <v/>
      </c>
      <c r="G493" s="16">
        <f>IF($B493&lt;&gt;"tutar_farki","","Beklemede")</f>
        <v/>
      </c>
    </row>
    <row r="494">
      <c r="A494" s="26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IF($B494&lt;&gt;"tutar_farki","",IF(ABS($C494)&gt;cbb_esikFark,"YUKSEK","NORMAL"))</f>
        <v/>
      </c>
      <c r="F494" s="16">
        <f>IF($B494&lt;&gt;"tutar_farki","","VKN "&amp;$A494&amp;" için cari↔Ba/Bs fark "&amp;TEXT($C494,"0.00")&amp;" TL. Dayanak: "&amp;$D494&amp;". Düzeltme dosyası üretildi.")</f>
        <v/>
      </c>
      <c r="G494" s="16">
        <f>IF($B494&lt;&gt;"tutar_farki","","Beklemede")</f>
        <v/>
      </c>
    </row>
    <row r="495">
      <c r="A495" s="26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IF($B495&lt;&gt;"tutar_farki","",IF(ABS($C495)&gt;cbb_esikFark,"YUKSEK","NORMAL"))</f>
        <v/>
      </c>
      <c r="F495" s="16">
        <f>IF($B495&lt;&gt;"tutar_farki","","VKN "&amp;$A495&amp;" için cari↔Ba/Bs fark "&amp;TEXT($C495,"0.00")&amp;" TL. Dayanak: "&amp;$D495&amp;". Düzeltme dosyası üretildi.")</f>
        <v/>
      </c>
      <c r="G495" s="16">
        <f>IF($B495&lt;&gt;"tutar_farki","","Beklemede")</f>
        <v/>
      </c>
    </row>
    <row r="496">
      <c r="A496" s="26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IF($B496&lt;&gt;"tutar_farki","",IF(ABS($C496)&gt;cbb_esikFark,"YUKSEK","NORMAL"))</f>
        <v/>
      </c>
      <c r="F496" s="16">
        <f>IF($B496&lt;&gt;"tutar_farki","","VKN "&amp;$A496&amp;" için cari↔Ba/Bs fark "&amp;TEXT($C496,"0.00")&amp;" TL. Dayanak: "&amp;$D496&amp;". Düzeltme dosyası üretildi.")</f>
        <v/>
      </c>
      <c r="G496" s="16">
        <f>IF($B496&lt;&gt;"tutar_farki","","Beklemede")</f>
        <v/>
      </c>
    </row>
    <row r="497">
      <c r="A497" s="26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IF($B497&lt;&gt;"tutar_farki","",IF(ABS($C497)&gt;cbb_esikFark,"YUKSEK","NORMAL"))</f>
        <v/>
      </c>
      <c r="F497" s="16">
        <f>IF($B497&lt;&gt;"tutar_farki","","VKN "&amp;$A497&amp;" için cari↔Ba/Bs fark "&amp;TEXT($C497,"0.00")&amp;" TL. Dayanak: "&amp;$D497&amp;". Düzeltme dosyası üretildi.")</f>
        <v/>
      </c>
      <c r="G497" s="16">
        <f>IF($B497&lt;&gt;"tutar_farki","","Beklemede")</f>
        <v/>
      </c>
    </row>
    <row r="498">
      <c r="A498" s="26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IF($B498&lt;&gt;"tutar_farki","",IF(ABS($C498)&gt;cbb_esikFark,"YUKSEK","NORMAL"))</f>
        <v/>
      </c>
      <c r="F498" s="16">
        <f>IF($B498&lt;&gt;"tutar_farki","","VKN "&amp;$A498&amp;" için cari↔Ba/Bs fark "&amp;TEXT($C498,"0.00")&amp;" TL. Dayanak: "&amp;$D498&amp;". Düzeltme dosyası üretildi.")</f>
        <v/>
      </c>
      <c r="G498" s="16">
        <f>IF($B498&lt;&gt;"tutar_farki","","Beklemede")</f>
        <v/>
      </c>
    </row>
    <row r="499">
      <c r="A499" s="26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IF($B499&lt;&gt;"tutar_farki","",IF(ABS($C499)&gt;cbb_esikFark,"YUKSEK","NORMAL"))</f>
        <v/>
      </c>
      <c r="F499" s="16">
        <f>IF($B499&lt;&gt;"tutar_farki","","VKN "&amp;$A499&amp;" için cari↔Ba/Bs fark "&amp;TEXT($C499,"0.00")&amp;" TL. Dayanak: "&amp;$D499&amp;". Düzeltme dosyası üretildi.")</f>
        <v/>
      </c>
      <c r="G499" s="16">
        <f>IF($B499&lt;&gt;"tutar_farki","","Beklemede")</f>
        <v/>
      </c>
    </row>
    <row r="500">
      <c r="A500" s="26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IF($B500&lt;&gt;"tutar_farki","",IF(ABS($C500)&gt;cbb_esikFark,"YUKSEK","NORMAL"))</f>
        <v/>
      </c>
      <c r="F500" s="16">
        <f>IF($B500&lt;&gt;"tutar_farki","","VKN "&amp;$A500&amp;" için cari↔Ba/Bs fark "&amp;TEXT($C500,"0.00")&amp;" TL. Dayanak: "&amp;$D500&amp;". Düzeltme dosyası üretildi.")</f>
        <v/>
      </c>
      <c r="G500" s="16">
        <f>IF($B500&lt;&gt;"tutar_farki","","Beklemede")</f>
        <v/>
      </c>
    </row>
    <row r="501">
      <c r="A501" s="26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IF($B501&lt;&gt;"tutar_farki","",IF(ABS($C501)&gt;cbb_esikFark,"YUKSEK","NORMAL"))</f>
        <v/>
      </c>
      <c r="F501" s="16">
        <f>IF($B501&lt;&gt;"tutar_farki","","VKN "&amp;$A501&amp;" için cari↔Ba/Bs fark "&amp;TEXT($C501,"0.00")&amp;" TL. Dayanak: "&amp;$D501&amp;". Düzeltme dosyası üretildi.")</f>
        <v/>
      </c>
      <c r="G501" s="16">
        <f>IF($B501&lt;&gt;"tutar_farki","","Beklemede")</f>
        <v/>
      </c>
    </row>
    <row r="502">
      <c r="A502" s="26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IF($B502&lt;&gt;"tutar_farki","",IF(ABS($C502)&gt;cbb_esikFark,"YUKSEK","NORMAL"))</f>
        <v/>
      </c>
      <c r="F502" s="16">
        <f>IF($B502&lt;&gt;"tutar_farki","","VKN "&amp;$A502&amp;" için cari↔Ba/Bs fark "&amp;TEXT($C502,"0.00")&amp;" TL. Dayanak: "&amp;$D502&amp;". Düzeltme dosyası üretildi.")</f>
        <v/>
      </c>
      <c r="G502" s="16">
        <f>IF($B502&lt;&gt;"tutar_farki","","Beklemede")</f>
        <v/>
      </c>
    </row>
    <row r="503">
      <c r="A503" s="26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IF($B503&lt;&gt;"tutar_farki","",IF(ABS($C503)&gt;cbb_esikFark,"YUKSEK","NORMAL"))</f>
        <v/>
      </c>
      <c r="F503" s="16">
        <f>IF($B503&lt;&gt;"tutar_farki","","VKN "&amp;$A503&amp;" için cari↔Ba/Bs fark "&amp;TEXT($C503,"0.00")&amp;" TL. Dayanak: "&amp;$D503&amp;". Düzeltme dosyası üretildi.")</f>
        <v/>
      </c>
      <c r="G503" s="16">
        <f>IF($B503&lt;&gt;"tutar_farki","","Beklemede")</f>
        <v/>
      </c>
    </row>
    <row r="504">
      <c r="A504" s="26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IF($B504&lt;&gt;"tutar_farki","",IF(ABS($C504)&gt;cbb_esikFark,"YUKSEK","NORMAL"))</f>
        <v/>
      </c>
      <c r="F504" s="16">
        <f>IF($B504&lt;&gt;"tutar_farki","","VKN "&amp;$A504&amp;" için cari↔Ba/Bs fark "&amp;TEXT($C504,"0.00")&amp;" TL. Dayanak: "&amp;$D504&amp;". Düzeltme dosyası üretildi.")</f>
        <v/>
      </c>
      <c r="G504" s="16">
        <f>IF($B504&lt;&gt;"tutar_farki","","Beklemede")</f>
        <v/>
      </c>
    </row>
    <row r="505">
      <c r="A505" s="26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IF($B505&lt;&gt;"tutar_farki","",IF(ABS($C505)&gt;cbb_esikFark,"YUKSEK","NORMAL"))</f>
        <v/>
      </c>
      <c r="F505" s="16">
        <f>IF($B505&lt;&gt;"tutar_farki","","VKN "&amp;$A505&amp;" için cari↔Ba/Bs fark "&amp;TEXT($C505,"0.00")&amp;" TL. Dayanak: "&amp;$D505&amp;". Düzeltme dosyası üretildi.")</f>
        <v/>
      </c>
      <c r="G505" s="16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AC23"/>
  <sheetViews>
    <sheetView showGridLines="0" workbookViewId="0">
      <selection activeCell="A1" sqref="A1"/>
    </sheetView>
  </sheetViews>
  <sheetFormatPr baseColWidth="8" defaultRowHeight="15"/>
  <cols>
    <col width="151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KANIT RAPORU — Cari ve Ba-Bs Toplu Mutabakat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7" t="inlineStr">
        <is>
          <t>Form Ba/Bs Dönem Mutabakat Kanıt Raporu</t>
        </is>
      </c>
    </row>
    <row r="4">
      <c r="A4" s="7" t="inlineStr">
        <is>
          <t>Rapor Tarihi</t>
        </is>
      </c>
      <c r="B4" s="7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39" t="inlineStr">
        <is>
          <t>KARAR</t>
        </is>
      </c>
      <c r="B7" s="40">
        <f>PANO!B4</f>
        <v/>
      </c>
    </row>
    <row r="8"/>
    <row r="9">
      <c r="A9" s="7" t="inlineStr">
        <is>
          <t>Eşleşme Oranı</t>
        </is>
      </c>
      <c r="B9" s="71">
        <f>cbb_eslesmeOrani</f>
        <v/>
      </c>
    </row>
    <row r="10">
      <c r="A10" s="7" t="inlineStr">
        <is>
          <t>Cari Toplam</t>
        </is>
      </c>
      <c r="B10" s="70">
        <f>SUM(tblVeriA[Tutar])</f>
        <v/>
      </c>
    </row>
    <row r="11">
      <c r="A11" s="7" t="inlineStr">
        <is>
          <t>Mutabakat Farkı</t>
        </is>
      </c>
      <c r="B11" s="70">
        <f>cbb_mutabakatFarki</f>
        <v/>
      </c>
    </row>
    <row r="12">
      <c r="A12" s="7" t="inlineStr">
        <is>
          <t>Eşleşti</t>
        </is>
      </c>
      <c r="B12" s="20">
        <f>COUNTIF(tblEslesme[Kova],"eslesti")</f>
        <v/>
      </c>
    </row>
    <row r="13">
      <c r="A13" s="7" t="inlineStr">
        <is>
          <t>Tutar Farkı</t>
        </is>
      </c>
      <c r="B13" s="20">
        <f>COUNTIF(tblEslesme[Kova],"tutar_farki")</f>
        <v/>
      </c>
    </row>
    <row r="14">
      <c r="A14" s="7" t="inlineStr">
        <is>
          <t>Eşleşmedi</t>
        </is>
      </c>
      <c r="B14" s="20">
        <f>COUNTIF(tblEslesme[Kova],"eslesmedi")</f>
        <v/>
      </c>
    </row>
    <row r="15">
      <c r="A15" s="7" t="inlineStr">
        <is>
          <t>Kova Bütünlük</t>
        </is>
      </c>
      <c r="B15" s="39">
        <f>cbb_kovaButunluk</f>
        <v/>
      </c>
    </row>
    <row r="16"/>
    <row r="17">
      <c r="A17" s="18" t="inlineStr">
        <is>
          <t>Varsayımlar</t>
        </is>
      </c>
    </row>
    <row r="18">
      <c r="A18" s="8" t="inlineStr">
        <is>
          <t>Tolerans kuruşu AYARLAR'dan gelir. VKN UPPER/TRIM/SUBSTITUTE ile normalize edilir. Bu çıktı karar destektir; kesin mali/hukuki görüş yerine geçmez.</t>
        </is>
      </c>
    </row>
    <row r="19"/>
    <row r="20">
      <c r="A20" s="18" t="inlineStr">
        <is>
          <t>Önerilen Aksiyonlar</t>
        </is>
      </c>
    </row>
    <row r="21">
      <c r="A21" s="7" t="inlineStr">
        <is>
          <t>1. Tutar farkı satırlarında AKSIYON düzeltme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VKN'leri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&amp;LCari ve Ba-Bs Toplu Mutabakat Motoru | Kanıt&amp;CExcelArşiv&amp;RSayfa &amp;P / &amp;N</oddFooter>
    <evenHeader/>
    <evenFooter>&amp;LCari ve Ba-Bs Toplu Mutabakat Motoru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6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KONTROLLER — Cari ve Ba-Bs Toplu Mutabakat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9" t="inlineStr">
        <is>
          <t>Canlı Kontrol Paneli</t>
        </is>
      </c>
    </row>
    <row r="4"/>
    <row r="5">
      <c r="A5" s="7" t="inlineStr">
        <is>
          <t>A satır sayısı</t>
        </is>
      </c>
      <c r="B5" s="20">
        <f>COUNTA(tblVeriA[VKN])</f>
        <v/>
      </c>
    </row>
    <row r="6">
      <c r="A6" s="7" t="inlineStr">
        <is>
          <t>B satır sayısı</t>
        </is>
      </c>
      <c r="B6" s="20">
        <f>COUNTA(tblVeriB[VKN])</f>
        <v/>
      </c>
    </row>
    <row r="7">
      <c r="A7" s="7" t="inlineStr">
        <is>
          <t>Eşleşti</t>
        </is>
      </c>
      <c r="B7" s="20">
        <f>COUNTIF(tblEslesme[Kova],"eslesti")</f>
        <v/>
      </c>
    </row>
    <row r="8">
      <c r="A8" s="7" t="inlineStr">
        <is>
          <t>Tolerans</t>
        </is>
      </c>
      <c r="B8" s="20">
        <f>COUNTIF(tblEslesme[Kova],"tolerans_icinde")</f>
        <v/>
      </c>
    </row>
    <row r="9">
      <c r="A9" s="7" t="inlineStr">
        <is>
          <t>Tutar farkı</t>
        </is>
      </c>
      <c r="B9" s="20">
        <f>COUNTIF(tblEslesme[Kova],"tutar_farki")</f>
        <v/>
      </c>
    </row>
    <row r="10">
      <c r="A10" s="7" t="inlineStr">
        <is>
          <t>Eşleşmedi</t>
        </is>
      </c>
      <c r="B10" s="20">
        <f>COUNTIF(tblEslesme[Kova],"eslesmedi")</f>
        <v/>
      </c>
    </row>
    <row r="11">
      <c r="A11" s="7" t="inlineStr">
        <is>
          <t>Kova toplam</t>
        </is>
      </c>
      <c r="B11" s="20">
        <f>B7+B8+B9+B10</f>
        <v/>
      </c>
    </row>
    <row r="12">
      <c r="A12" s="7" t="inlineStr">
        <is>
          <t>Bütünlük</t>
        </is>
      </c>
      <c r="B12" s="20">
        <f>IF(B11=B5,"BUTUN","KAYIP")</f>
        <v/>
      </c>
    </row>
    <row r="13">
      <c r="A13" s="7" t="inlineStr">
        <is>
          <t>Duplike A</t>
        </is>
      </c>
      <c r="B13" s="20">
        <f>COUNTIF(tblAnahtarA[Duplike],"EVET")</f>
        <v/>
      </c>
    </row>
    <row r="14">
      <c r="A14" s="7" t="inlineStr">
        <is>
          <t>TANIMSIZ</t>
        </is>
      </c>
      <c r="B14" s="20">
        <f>COUNTIF(tblKok[KokNeden],"TANIMSIZ")</f>
        <v/>
      </c>
    </row>
    <row r="15">
      <c r="A15" s="7" t="inlineStr">
        <is>
          <t>Boş karar yolu</t>
        </is>
      </c>
      <c r="B15" s="39">
        <f>IF(B5=0,"VERİ YOK","VERİ VAR")</f>
        <v/>
      </c>
    </row>
    <row r="16">
      <c r="A16" s="7" t="inlineStr">
        <is>
          <t>Kalite skoru</t>
        </is>
      </c>
      <c r="B16" s="39">
        <f>IF(B5=0,0,ROUND(100*(B7+B8)/MAX(B5,1),0))</f>
        <v/>
      </c>
    </row>
    <row r="17">
      <c r="A17" s="7" t="inlineStr">
        <is>
          <t>Net A</t>
        </is>
      </c>
      <c r="B17" s="70">
        <f>SUM(tblVeriA[Tutar])</f>
        <v/>
      </c>
    </row>
    <row r="18">
      <c r="A18" s="7" t="inlineStr">
        <is>
          <t>Net B</t>
        </is>
      </c>
      <c r="B18" s="70">
        <f>SUM(tblVeriB[BeyanTutar])</f>
        <v/>
      </c>
    </row>
    <row r="19">
      <c r="A19" s="7" t="inlineStr">
        <is>
          <t>Fark kontrol</t>
        </is>
      </c>
      <c r="B19" s="70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ORNEK VERI — Cari ve Ba-Bs Toplu Mutabakat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9" t="inlineStr">
        <is>
          <t>Örnek Senaryo Açıklaması</t>
        </is>
      </c>
    </row>
    <row r="4">
      <c r="A4" s="8" t="inlineStr">
        <is>
          <t>Dosyada 35 satır örnek Ba/Bs mutabakat vardır: eşleşen, tolerans içi, tutar farkı ve eşleşmeyen kovalar kasıtlı üretilmiştir. Kısa/uzun VKN senaryosu satır 3, 7, 11'dedir. VERI_A (cari) ve VERI_B (Ba/Bs) temizleyip kendi dökümünüzü yapıştırın.</t>
        </is>
      </c>
    </row>
    <row r="5"/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8"/>
    <row r="9">
      <c r="A9" s="7" t="inlineStr">
        <is>
          <t>Ölçek sözleşmesi</t>
        </is>
      </c>
      <c r="B9" s="23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AC1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2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88" t="inlineStr">
        <is>
          <t>LISTELER — Cari ve Ba-Bs Toplu Mutabakat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  <c r="J1" s="189" t="n"/>
    </row>
    <row r="2"/>
    <row r="3">
      <c r="A3" s="18" t="inlineStr">
        <is>
          <t>Form Tipi</t>
        </is>
      </c>
      <c r="C3" s="18" t="inlineStr">
        <is>
          <t>İşlem Tipi</t>
        </is>
      </c>
      <c r="E3" s="18" t="inlineStr">
        <is>
          <t>Durum Listesi</t>
        </is>
      </c>
      <c r="G3" s="39" t="inlineStr">
        <is>
          <t>EvetHayir</t>
        </is>
      </c>
    </row>
    <row r="4"/>
    <row r="5"/>
    <row r="6">
      <c r="A6" s="19" t="inlineStr">
        <is>
          <t>FormTipi</t>
        </is>
      </c>
      <c r="C6" s="19" t="inlineStr">
        <is>
          <t>IslemTipi</t>
        </is>
      </c>
      <c r="E6" s="19" t="inlineStr">
        <is>
          <t>Durum</t>
        </is>
      </c>
      <c r="G6" s="19" t="inlineStr">
        <is>
          <t>Secim</t>
        </is>
      </c>
    </row>
    <row r="7">
      <c r="A7" s="13" t="inlineStr">
        <is>
          <t>Ba</t>
        </is>
      </c>
      <c r="C7" s="13" t="inlineStr">
        <is>
          <t>Alış</t>
        </is>
      </c>
      <c r="E7" s="13" t="inlineStr">
        <is>
          <t>Açık</t>
        </is>
      </c>
      <c r="G7" s="13" t="inlineStr">
        <is>
          <t>EVET</t>
        </is>
      </c>
    </row>
    <row r="8">
      <c r="A8" s="13" t="inlineStr">
        <is>
          <t>Bs</t>
        </is>
      </c>
      <c r="C8" s="13" t="inlineStr">
        <is>
          <t>Satış</t>
        </is>
      </c>
      <c r="E8" s="13" t="inlineStr">
        <is>
          <t>Kapalı</t>
        </is>
      </c>
      <c r="G8" s="13" t="inlineStr">
        <is>
          <t>HAYIR</t>
        </is>
      </c>
    </row>
    <row r="9">
      <c r="E9" s="13" t="inlineStr">
        <is>
          <t>İncele</t>
        </is>
      </c>
    </row>
    <row r="10">
      <c r="E10" s="13" t="inlineStr">
        <is>
          <t>Beklemede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8">
    <dataValidation sqref="A7" showDropDown="0" showInputMessage="1" showErrorMessage="1" allowBlank="1" errorTitle="Ad" error="En az 1 karakter" promptTitle="Form Tipi" prompt="Ba/Bs" type="textLength" errorStyle="stop" operator="greaterThan">
      <formula1>1</formula1>
      <formula2>10</formula2>
    </dataValidation>
    <dataValidation sqref="A8" showDropDown="0" showInputMessage="1" showErrorMessage="1" allowBlank="1" errorTitle="Ad" error="En az 1 karakter" promptTitle="Form Tipi" prompt="Ba/Bs" type="textLength" errorStyle="stop" operator="greaterThan">
      <formula1>1</formula1>
      <formula2>10</formula2>
    </dataValidation>
    <dataValidation sqref="C7" showDropDown="0" showInputMessage="1" showErrorMessage="1" allowBlank="1" errorTitle="Tip" error="Geçersiz" promptTitle="İşlem Tipi" prompt="Alış/Satış" type="textLength" errorStyle="stop" operator="greaterThan">
      <formula1>1</formula1>
      <formula2>20</formula2>
    </dataValidation>
    <dataValidation sqref="C8" showDropDown="0" showInputMessage="1" showErrorMessage="1" allowBlank="1" errorTitle="Tip" error="Geçersiz" promptTitle="İşlem Tipi" prompt="Alış/Satış" type="textLength" errorStyle="stop" operator="greaterThan">
      <formula1>1</formula1>
      <formula2>20</formula2>
    </dataValidation>
    <dataValidation sqref="E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C5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37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8" t="inlineStr">
        <is>
          <t>AYARLAR — Cari ve Ba-Bs Toplu Mutabakat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8" t="inlineStr">
        <is>
          <t>Tek kaynak parametreler — kaynak ve yürürlük zorunlu (D10)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cbb_esikEslesme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 — altı DURDUR</t>
        </is>
      </c>
    </row>
    <row r="9">
      <c r="A9" s="7" t="inlineStr">
        <is>
          <t>cbb_esikFark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cbb_azamiTutar</t>
        </is>
      </c>
      <c r="B10" s="69" t="n">
        <v>10000000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cbb_ikincilUzunluk</t>
        </is>
      </c>
      <c r="B11" s="17" t="n">
        <v>9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İkincil VKN uzunluğu</t>
        </is>
      </c>
    </row>
    <row r="12">
      <c r="A12" s="7" t="inlineStr">
        <is>
          <t>cbb_olcekHedef</t>
        </is>
      </c>
      <c r="B12" s="17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cbb_anomaliZ</t>
        </is>
      </c>
      <c r="B13" s="17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cbb_yuzdelikOran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cbb_medyanOran</t>
        </is>
      </c>
      <c r="B15" s="76" t="n">
        <v>0.5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Medyan yüzdelik</t>
        </is>
      </c>
    </row>
    <row r="16">
      <c r="A16" s="7" t="inlineStr">
        <is>
          <t>cbb_yuvarlamaCarpan</t>
        </is>
      </c>
      <c r="B16" s="17" t="n">
        <v>10</v>
      </c>
      <c r="C16" s="7" t="inlineStr">
        <is>
          <t>carpan</t>
        </is>
      </c>
      <c r="D16" s="7" t="inlineStr">
        <is>
          <t>Yuvarlama kök neden</t>
        </is>
      </c>
      <c r="E16" s="7" t="inlineStr">
        <is>
          <t>01.01.2026</t>
        </is>
      </c>
      <c r="F16" s="8" t="inlineStr">
        <is>
          <t>tolerans × çarpan</t>
        </is>
      </c>
    </row>
    <row r="17">
      <c r="A17" s="7" t="inlineStr">
        <is>
          <t>cbb_donemCarpan</t>
        </is>
      </c>
      <c r="B17" s="17" t="n">
        <v>2</v>
      </c>
      <c r="C17" s="7" t="inlineStr">
        <is>
          <t>carpan</t>
        </is>
      </c>
      <c r="D17" s="7" t="inlineStr">
        <is>
          <t>Dönem kök neden</t>
        </is>
      </c>
      <c r="E17" s="7" t="inlineStr">
        <is>
          <t>01.01.2026</t>
        </is>
      </c>
      <c r="F17" s="8" t="inlineStr">
        <is>
          <t>eşik × çarpan</t>
        </is>
      </c>
    </row>
    <row r="18">
      <c r="A18" s="7" t="inlineStr">
        <is>
          <t>cbb_unvanMinLen</t>
        </is>
      </c>
      <c r="B18" s="17" t="n">
        <v>3</v>
      </c>
      <c r="C18" s="7" t="inlineStr">
        <is>
          <t>karakter</t>
        </is>
      </c>
      <c r="D18" s="7" t="inlineStr">
        <is>
          <t>Unvan kök neden</t>
        </is>
      </c>
      <c r="E18" s="7" t="inlineStr">
        <is>
          <t>01.01.2026</t>
        </is>
      </c>
      <c r="F18" s="8" t="inlineStr">
        <is>
          <t>Min unvan uzunluğu</t>
        </is>
      </c>
    </row>
    <row r="19">
      <c r="A19" s="7" t="inlineStr">
        <is>
          <t>cbb_normAnahtar</t>
        </is>
      </c>
      <c r="B19" s="13" t="inlineStr">
        <is>
          <t>UPPER TRIM SUBSTITUTE VKN</t>
        </is>
      </c>
      <c r="C19" s="7" t="inlineStr">
        <is>
          <t>metin</t>
        </is>
      </c>
      <c r="D19" s="7" t="inlineStr">
        <is>
          <t>Ç7 anahtar</t>
        </is>
      </c>
      <c r="E19" s="7" t="inlineStr">
        <is>
          <t>01.01.2026</t>
        </is>
      </c>
      <c r="F19" s="8" t="inlineStr">
        <is>
          <t>Serbest alternatif</t>
        </is>
      </c>
    </row>
    <row r="20">
      <c r="A20" s="7" t="inlineStr">
        <is>
          <t>cbb_tanimsizKova</t>
        </is>
      </c>
      <c r="B20" s="13" t="inlineStr">
        <is>
          <t>TANIMSIZ görünür</t>
        </is>
      </c>
      <c r="C20" s="7" t="inlineStr">
        <is>
          <t>metin</t>
        </is>
      </c>
      <c r="D20" s="7" t="inlineStr">
        <is>
          <t>E04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cbb_kararKapi</t>
        </is>
      </c>
      <c r="B21" s="13" t="inlineStr">
        <is>
          <t>VERİ YOK/UYGUN/İNCELE/DURDUR</t>
        </is>
      </c>
      <c r="C21" s="7" t="inlineStr">
        <is>
          <t>metin</t>
        </is>
      </c>
      <c r="D21" s="7" t="inlineStr">
        <is>
          <t>Karar motoru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cbb_fiyatModeli</t>
        </is>
      </c>
      <c r="B22" s="13" t="inlineStr">
        <is>
          <t>Tek seferlik alım — aylık ücret yok</t>
        </is>
      </c>
      <c r="C22" s="7" t="inlineStr">
        <is>
          <t>metin</t>
        </is>
      </c>
      <c r="D22" s="7" t="inlineStr">
        <is>
          <t>Ürün konumlandırma</t>
        </is>
      </c>
      <c r="E22" s="7" t="inlineStr">
        <is>
          <t>01.01.2026</t>
        </is>
      </c>
      <c r="F22" s="8" t="inlineStr">
        <is>
          <t>R3 ayrım</t>
        </is>
      </c>
    </row>
    <row r="23">
      <c r="A23" s="7" t="inlineStr">
        <is>
          <t>cbb_kvkkBeyani</t>
        </is>
      </c>
      <c r="B23" s="13" t="inlineStr">
        <is>
          <t>Veri cihazdan çıkmaz</t>
        </is>
      </c>
      <c r="C23" s="7" t="inlineStr">
        <is>
          <t>metin</t>
        </is>
      </c>
      <c r="D23" s="7" t="inlineStr">
        <is>
          <t>KVKK beyanı</t>
        </is>
      </c>
      <c r="E23" s="7" t="inlineStr">
        <is>
          <t>01.01.2026</t>
        </is>
      </c>
      <c r="F23" s="8" t="inlineStr">
        <is>
          <t>R3 ayrım</t>
        </is>
      </c>
    </row>
    <row r="24">
      <c r="A24" s="7" t="inlineStr">
        <is>
          <t>cbb_yapistirCalistir</t>
        </is>
      </c>
      <c r="B24" s="13" t="inlineStr">
        <is>
          <t>Kurulum beklemez; yapıştır-çalıştır</t>
        </is>
      </c>
      <c r="C24" s="7" t="inlineStr">
        <is>
          <t>metin</t>
        </is>
      </c>
      <c r="D24" s="7" t="inlineStr">
        <is>
          <t>UX vaadi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cbb_baBsKurali</t>
        </is>
      </c>
      <c r="B25" s="13" t="inlineStr">
        <is>
          <t>Form Ba/Bs eşleştirme kovası kanonik</t>
        </is>
      </c>
      <c r="C25" s="7" t="inlineStr">
        <is>
          <t>metin</t>
        </is>
      </c>
      <c r="D25" s="7" t="inlineStr">
        <is>
          <t>Alan bilgisi</t>
        </is>
      </c>
      <c r="E25" s="7" t="inlineStr">
        <is>
          <t>01.01.2026</t>
        </is>
      </c>
      <c r="F25" s="8" t="inlineStr">
        <is>
          <t>R1 ayrım</t>
        </is>
      </c>
    </row>
    <row r="26">
      <c r="A26" s="7" t="inlineStr">
        <is>
          <t>cbb_itirazMetni</t>
        </is>
      </c>
      <c r="B26" s="13" t="inlineStr">
        <is>
          <t>Düzeltme metni üretir</t>
        </is>
      </c>
      <c r="C26" s="7" t="inlineStr">
        <is>
          <t>metin</t>
        </is>
      </c>
      <c r="D26" s="7" t="inlineStr">
        <is>
          <t>Aksiyon motoru</t>
        </is>
      </c>
      <c r="E26" s="7" t="inlineStr">
        <is>
          <t>01.01.2026</t>
        </is>
      </c>
      <c r="F26" s="8" t="inlineStr">
        <is>
          <t>R1 ayrım</t>
        </is>
      </c>
    </row>
    <row r="27">
      <c r="A27" s="7" t="inlineStr">
        <is>
          <t>cbb_dosyaSurumu</t>
        </is>
      </c>
      <c r="B27" s="13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cbb_firmaUnvan</t>
        </is>
      </c>
      <c r="B28" s="13" t="inlineStr">
        <is>
          <t>Örnek Ticaret A.Ş.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29"/>
    <row r="30"/>
    <row r="31">
      <c r="H31" s="18" t="inlineStr">
        <is>
          <t>Motor Cikti</t>
        </is>
      </c>
      <c r="I31" s="18" t="inlineStr">
        <is>
          <t>Deger</t>
        </is>
      </c>
    </row>
    <row r="32">
      <c r="H32" s="7" t="inlineStr">
        <is>
          <t>cbb_mutabakatFarki</t>
        </is>
      </c>
      <c r="I32" s="70">
        <f>IFERROR(SUM(tblVeriA[Tutar])-SUM(tblVeriB[BeyanTutar]),0)</f>
        <v/>
      </c>
    </row>
    <row r="33">
      <c r="H33" s="7" t="inlineStr">
        <is>
          <t>cbb_eslesmeOrani</t>
        </is>
      </c>
      <c r="I33" s="71">
        <f>IF(COUNTA(tblEslesme[A_Norm])=0,0,(COUNTIF(tblEslesme[Kova],"eslesti")+COUNTIF(tblEslesme[Kova],"tolerans_icinde"))/COUNTA(tblEslesme[A_Norm]))</f>
        <v/>
      </c>
    </row>
    <row r="34">
      <c r="H34" s="7" t="inlineStr">
        <is>
          <t>cbb_kovaButunluk</t>
        </is>
      </c>
      <c r="I34" s="70">
        <f>ESLESTIRME!C2</f>
        <v/>
      </c>
    </row>
    <row r="35">
      <c r="H35" s="7" t="inlineStr">
        <is>
          <t>cbb_modulT1</t>
        </is>
      </c>
      <c r="I35" s="71">
        <f>cbb_eslesmeOrani</f>
        <v/>
      </c>
    </row>
    <row r="36">
      <c r="H36" s="7" t="inlineStr">
        <is>
          <t>cbb_modulT2</t>
        </is>
      </c>
      <c r="I36" s="70">
        <f>IFERROR(IF(COUNTA(tblEslesme[A_Norm])=0,0,SUM(tblEslesme[AbsFark])/COUNTA(tblEslesme[A_Norm])),0)</f>
        <v/>
      </c>
    </row>
    <row r="37">
      <c r="H37" s="7" t="inlineStr">
        <is>
          <t>cbb_modulO1</t>
        </is>
      </c>
      <c r="I37" s="20">
        <f>COUNTIF(tblEslesme[EsikUstu],1)</f>
        <v/>
      </c>
    </row>
    <row r="38">
      <c r="H38" s="7" t="inlineStr">
        <is>
          <t>cbb_modulO2</t>
        </is>
      </c>
      <c r="I38" s="70">
        <f>IFERROR(MAX(PANO!K25:K29),0)</f>
        <v/>
      </c>
    </row>
    <row r="39">
      <c r="H39" s="7" t="inlineStr">
        <is>
          <t>cbb_modulO3</t>
        </is>
      </c>
      <c r="I39" s="70">
        <f>IFERROR(SUM(PANO!K25:K29),0)</f>
        <v/>
      </c>
    </row>
    <row r="40">
      <c r="H40" s="7" t="inlineStr">
        <is>
          <t>cbb_modulO6</t>
        </is>
      </c>
      <c r="I40" s="71">
        <f>IFERROR(IF(SUM(tblVeriA[Tutar])=0,0,MAX(tblEslesme[A_Tutar])/SUM(tblVeriA[Tutar])),0)</f>
        <v/>
      </c>
    </row>
    <row r="41">
      <c r="H41" s="7" t="inlineStr">
        <is>
          <t>cbb_modulO8</t>
        </is>
      </c>
      <c r="I41" s="20">
        <f>IF(COUNTA(tblEslesme[A_Norm])=0,0,ROUND(100*(COUNTIF(tblEslesme[Kova],"eslesti")+COUNTIF(tblEslesme[Kova],"tolerans_icinde"))/COUNTA(tblEslesme[A_Norm]),0))</f>
        <v/>
      </c>
    </row>
    <row r="42">
      <c r="H42" s="7" t="inlineStr">
        <is>
          <t>cbb_modulI1</t>
        </is>
      </c>
      <c r="I42" s="70">
        <f>IFERROR(PERCENTILE(tblVeriA[Tutar],cbb_medyanOran),0)</f>
        <v/>
      </c>
    </row>
    <row r="43">
      <c r="H43" s="7" t="inlineStr">
        <is>
          <t>cbb_modulI2</t>
        </is>
      </c>
      <c r="I43" s="70">
        <f>IFERROR(PERCENTILE(tblVeriA[Tutar],cbb_yuzdelikOran),0)</f>
        <v/>
      </c>
    </row>
    <row r="44"/>
    <row r="45">
      <c r="H45" s="18" t="inlineStr">
        <is>
          <t>Canli Yorumlar</t>
        </is>
      </c>
    </row>
    <row r="46">
      <c r="H46" s="7" t="inlineStr">
        <is>
          <t>cbb_modulT1Yorum</t>
        </is>
      </c>
      <c r="I46" s="8">
        <f>IFERROR(_xlfn.TEXTJOIN(" ",TRUE,"Eşleşme oranı",TEXT(cbb_modulT1,"0.0%")),"-")</f>
        <v/>
      </c>
    </row>
    <row r="47">
      <c r="H47" s="7" t="inlineStr">
        <is>
          <t>cbb_modulT2Yorum</t>
        </is>
      </c>
      <c r="I47" s="8">
        <f>IFERROR(_xlfn.TEXTJOIN(" ",TRUE,"Ort fark",TEXT(cbb_modulT2,"0.00"),"TL"),"-")</f>
        <v/>
      </c>
    </row>
    <row r="48">
      <c r="H48" s="7" t="inlineStr">
        <is>
          <t>cbb_modulO1Yorum</t>
        </is>
      </c>
      <c r="I48" s="8">
        <f>IFERROR(_xlfn.TEXTJOIN(" ",TRUE,"Anomali",TEXT(cbb_modulO1,"0")),"-")</f>
        <v/>
      </c>
    </row>
    <row r="49">
      <c r="H49" s="7" t="inlineStr">
        <is>
          <t>cbb_modulO2Yorum</t>
        </is>
      </c>
      <c r="I49" s="8">
        <f>IFERROR(_xlfn.TEXTJOIN(" ",TRUE,"Tornado zirve",TEXT(cbb_modulO2,"0.00"),"TL"),"-")</f>
        <v/>
      </c>
    </row>
    <row r="50">
      <c r="H50" s="7" t="inlineStr">
        <is>
          <t>cbb_modulO3Yorum</t>
        </is>
      </c>
      <c r="I50" s="8">
        <f>IFERROR(_xlfn.TEXTJOIN(" ",TRUE,"Senaryo etki",TEXT(cbb_modulO3,"0.00"),"TL"),"-")</f>
        <v/>
      </c>
    </row>
    <row r="51">
      <c r="H51" s="7" t="inlineStr">
        <is>
          <t>cbb_modulO6Yorum</t>
        </is>
      </c>
      <c r="I51" s="8">
        <f>IFERROR(_xlfn.TEXTJOIN(" ",TRUE,"VKN yoğunlaşma",TEXT(cbb_modulO6,"0.0%")),"-")</f>
        <v/>
      </c>
    </row>
    <row r="52">
      <c r="H52" s="7" t="inlineStr">
        <is>
          <t>cbb_modulO8Yorum</t>
        </is>
      </c>
      <c r="I52" s="8">
        <f>IFERROR(_xlfn.TEXTJOIN(" ",TRUE,"Kalite",TEXT(cbb_modulO8,"0")),"-")</f>
        <v/>
      </c>
    </row>
    <row r="53">
      <c r="H53" s="7" t="inlineStr">
        <is>
          <t>cbb_modulI1Yorum</t>
        </is>
      </c>
      <c r="I53" s="8">
        <f>IFERROR(_xlfn.TEXTJOIN(" ",TRUE,"Tahmin medyan",TEXT(cbb_modulI1,"0.00"),"TL"),"-")</f>
        <v/>
      </c>
    </row>
    <row r="54">
      <c r="H54" s="7" t="inlineStr">
        <is>
          <t>cbb_modulI2Yorum</t>
        </is>
      </c>
      <c r="I54" s="8">
        <f>IFERROR(_xlfn.TEXTJOIN(" ",TRUE,"P90",TEXT(cbb_modulI2,"0.00"),"TL"),"-")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F4E79"/>
    <outlinePr summaryBelow="1" summaryRight="1"/>
    <pageSetUpPr/>
  </sheetPr>
  <dimension ref="A1:AC20"/>
  <sheetViews>
    <sheetView showGridLines="0" workbookViewId="0">
      <selection activeCell="A1" sqref="A1"/>
    </sheetView>
  </sheetViews>
  <sheetFormatPr baseColWidth="8" defaultRowHeight="15"/>
  <cols>
    <col width="84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KILAVUZ — Cari ve Ba-Bs Toplu Mutabakat Motoru</t>
        </is>
      </c>
      <c r="B1" s="189" t="n"/>
      <c r="C1" s="189" t="n"/>
      <c r="D1" s="189" t="n"/>
      <c r="E1" s="189" t="n"/>
      <c r="F1" s="189" t="n"/>
      <c r="G1" s="189" t="n"/>
      <c r="H1" s="189" t="n"/>
      <c r="I1" s="189" t="n"/>
    </row>
    <row r="2"/>
    <row r="3" ht="22" customHeight="1">
      <c r="A3" s="209" t="inlineStr">
        <is>
          <t>Kullanım Kılavuzu</t>
        </is>
      </c>
    </row>
    <row r="4"/>
    <row r="5">
      <c r="A5" s="8" t="inlineStr">
        <is>
          <t>1. VERI_A: Cari hesap hareketlerini sarı hücrelere yapıştırın (VKN zorunlu).</t>
        </is>
      </c>
    </row>
    <row r="6">
      <c r="A6" s="8" t="inlineStr">
        <is>
          <t>2. VERI_B: Form Ba/Bs beyan satırlarını girin.</t>
        </is>
      </c>
    </row>
    <row r="7">
      <c r="A7" s="8" t="inlineStr">
        <is>
          <t>3. ANAHTAR: VKN normalize, uzunluk, ikincil ve duplike kolonları otomatik dolar.</t>
        </is>
      </c>
    </row>
    <row r="8">
      <c r="A8" s="8" t="inlineStr">
        <is>
          <t>4. MOTOR: Ara hesap adımlarını inceler; PANO'ya besler.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KOK_NEDEN: Tutar farklarını sınıflandırır; TANIMSIZ elle incelenir.</t>
        </is>
      </c>
    </row>
    <row r="11">
      <c r="A11" s="8" t="inlineStr">
        <is>
          <t>7. PANO: Karar kapısı (VERİ YOK / UYGUN / İNCELE / DURDUR) ve KPI'lar.</t>
        </is>
      </c>
    </row>
    <row r="12">
      <c r="A12" s="8" t="inlineStr">
        <is>
          <t>8. AKSIYON: Düzeltme metinlerini kopyalayıp dosyaya ekleyin.</t>
        </is>
      </c>
    </row>
    <row r="13">
      <c r="A13" s="8" t="inlineStr">
        <is>
          <t>9. KANIT_RAPORU: Dönem dosyasına PDF olarak yazdırın.</t>
        </is>
      </c>
    </row>
    <row r="14"/>
    <row r="15">
      <c r="A15" s="24" t="inlineStr">
        <is>
          <t>Sık yapılan hatalar</t>
        </is>
      </c>
    </row>
    <row r="16">
      <c r="A16" s="7" t="inlineStr">
        <is>
          <t>• VKN'yi boşluklu veya eksik haneli bırakmak (normalize edilir ama kontrol edin)</t>
        </is>
      </c>
    </row>
    <row r="17">
      <c r="A17" s="7" t="inlineStr">
        <is>
          <t>• A ve B dönemlerini karıştırmak</t>
        </is>
      </c>
    </row>
    <row r="18">
      <c r="A18" s="7" t="inlineStr">
        <is>
          <t>• Ba tutarını Bs satırına yazmak</t>
        </is>
      </c>
    </row>
    <row r="19"/>
    <row r="20">
      <c r="A20" s="28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2026-08-14T18:48:06Z</dcterms:created>
  <dcterms:modified xmlns:dcterms="http://purl.org/dc/terms/" xmlns:xsi="http://www.w3.org/2001/XMLSchema-instance" xsi:type="dcterms:W3CDTF">2026-09-25T20:44:56Z</dcterms:modified>
</cp:coreProperties>
</file>