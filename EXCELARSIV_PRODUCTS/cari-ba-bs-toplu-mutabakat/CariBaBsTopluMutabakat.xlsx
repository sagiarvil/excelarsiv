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4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77" t="inlineStr">
        <is>
          <t>CARI VE BA-BS TOPLU MUTABAKAT MOTORU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Muhasebe, SMMM · 2026 Q3 Denetim Standardı</t>
        </is>
      </c>
    </row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FARK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1">
      <c r="B11" s="66" t="inlineStr">
        <is>
          <t>CARI VE BA-BS TOPLU MUTABAKAT MOTORU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9" t="inlineStr">
        <is>
          <t>🔍  CARI VE BA-BS TOPLU MUTABAKAT MOTORU —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CARI VE BA-BS TOPLU MUTABAKAT MOTORU — NİHAİ KARAR VE DEĞERLEME</t>
        </is>
      </c>
    </row>
    <row r="3">
      <c r="B3" s="142" t="inlineStr">
        <is>
          <t>Yönetim Kurulu ve İcra Komitesi için Otomatik Finansal Stres Testi Raporu · Muhasebe, SMMM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9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2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7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1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4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Cari ve Ba-Bs Toplu Mutabakat Motoru</t>
        </is>
      </c>
    </row>
    <row r="3" ht="30" customHeight="1">
      <c r="A3" s="3" t="inlineStr">
        <is>
          <t>Cari ve Ba-Bs Toplu Mutabakat Motoru</t>
        </is>
      </c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Cari ve Ba-Bs Toplu Mutabakat Motoru</t>
        </is>
      </c>
    </row>
    <row r="3" ht="20" customHeight="1">
      <c r="A3" s="10" t="inlineStr">
        <is>
          <t>Cari hesap hareketleri — sarı hücrelere yapıştırın / girin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68" t="n">
        <v>46210</v>
      </c>
      <c r="F6" s="69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68" t="n">
        <v>46211</v>
      </c>
      <c r="F7" s="69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68" t="n">
        <v>46212</v>
      </c>
      <c r="F8" s="69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68" t="n">
        <v>46213</v>
      </c>
      <c r="F9" s="69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68" t="n">
        <v>46214</v>
      </c>
      <c r="F10" s="69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68" t="n">
        <v>46215</v>
      </c>
      <c r="F11" s="69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68" t="n">
        <v>46216</v>
      </c>
      <c r="F12" s="69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68" t="n">
        <v>46217</v>
      </c>
      <c r="F13" s="69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68" t="n">
        <v>46218</v>
      </c>
      <c r="F14" s="69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68" t="n">
        <v>46219</v>
      </c>
      <c r="F15" s="69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68" t="n">
        <v>46220</v>
      </c>
      <c r="F16" s="69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68" t="n">
        <v>46221</v>
      </c>
      <c r="F17" s="69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68" t="n">
        <v>46222</v>
      </c>
      <c r="F18" s="69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68" t="n">
        <v>46223</v>
      </c>
      <c r="F19" s="69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68" t="n">
        <v>46224</v>
      </c>
      <c r="F20" s="69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68" t="n">
        <v>46225</v>
      </c>
      <c r="F21" s="69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68" t="n">
        <v>46226</v>
      </c>
      <c r="F22" s="69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68" t="n">
        <v>46227</v>
      </c>
      <c r="F23" s="69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68" t="n">
        <v>46228</v>
      </c>
      <c r="F24" s="69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68" t="n">
        <v>46229</v>
      </c>
      <c r="F25" s="69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68" t="n">
        <v>46230</v>
      </c>
      <c r="F26" s="69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68" t="n">
        <v>46231</v>
      </c>
      <c r="F27" s="69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68" t="n">
        <v>46232</v>
      </c>
      <c r="F28" s="69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68" t="n">
        <v>46233</v>
      </c>
      <c r="F29" s="69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68" t="n">
        <v>46234</v>
      </c>
      <c r="F30" s="69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68" t="n">
        <v>46235</v>
      </c>
      <c r="F31" s="69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68" t="n">
        <v>46236</v>
      </c>
      <c r="F32" s="69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68" t="n">
        <v>46237</v>
      </c>
      <c r="F33" s="69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68" t="n">
        <v>46238</v>
      </c>
      <c r="F34" s="69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68" t="n">
        <v>46239</v>
      </c>
      <c r="F35" s="69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68" t="n">
        <v>46240</v>
      </c>
      <c r="F36" s="69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68" t="n">
        <v>46241</v>
      </c>
      <c r="F37" s="69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68" t="n">
        <v>46242</v>
      </c>
      <c r="F38" s="69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68" t="n">
        <v>46243</v>
      </c>
      <c r="F39" s="69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68" t="n">
        <v>46244</v>
      </c>
      <c r="F40" s="69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68" t="n"/>
      <c r="F41" s="69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68" t="n"/>
      <c r="F42" s="69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68" t="n"/>
      <c r="F43" s="69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68" t="n"/>
      <c r="F44" s="69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68" t="n"/>
      <c r="F45" s="69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68" t="n"/>
      <c r="F46" s="69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68" t="n"/>
      <c r="F47" s="69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68" t="n"/>
      <c r="F48" s="69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68" t="n"/>
      <c r="F49" s="69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68" t="n"/>
      <c r="F50" s="69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68" t="n"/>
      <c r="F51" s="69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68" t="n"/>
      <c r="F52" s="69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68" t="n"/>
      <c r="F53" s="69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68" t="n"/>
      <c r="F54" s="69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68" t="n"/>
      <c r="F55" s="69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68" t="n"/>
      <c r="F56" s="69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68" t="n"/>
      <c r="F57" s="69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68" t="n"/>
      <c r="F58" s="69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68" t="n"/>
      <c r="F59" s="69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68" t="n"/>
      <c r="F60" s="69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68" t="n"/>
      <c r="F61" s="69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68" t="n"/>
      <c r="F62" s="69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68" t="n"/>
      <c r="F63" s="69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68" t="n"/>
      <c r="F64" s="69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68" t="n"/>
      <c r="F65" s="69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68" t="n"/>
      <c r="F66" s="69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68" t="n"/>
      <c r="F67" s="69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68" t="n"/>
      <c r="F68" s="69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68" t="n"/>
      <c r="F69" s="69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68" t="n"/>
      <c r="F70" s="69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68" t="n"/>
      <c r="F71" s="69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68" t="n"/>
      <c r="F72" s="69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68" t="n"/>
      <c r="F73" s="69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68" t="n"/>
      <c r="F74" s="69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68" t="n"/>
      <c r="F75" s="69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68" t="n"/>
      <c r="F76" s="69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68" t="n"/>
      <c r="F77" s="69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68" t="n"/>
      <c r="F78" s="69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68" t="n"/>
      <c r="F79" s="69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68" t="n"/>
      <c r="F80" s="69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68" t="n"/>
      <c r="F81" s="69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68" t="n"/>
      <c r="F82" s="69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68" t="n"/>
      <c r="F83" s="69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68" t="n"/>
      <c r="F84" s="69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68" t="n"/>
      <c r="F85" s="69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68" t="n"/>
      <c r="F86" s="69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68" t="n"/>
      <c r="F87" s="69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68" t="n"/>
      <c r="F88" s="69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68" t="n"/>
      <c r="F89" s="69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68" t="n"/>
      <c r="F90" s="69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68" t="n"/>
      <c r="F91" s="69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68" t="n"/>
      <c r="F92" s="69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68" t="n"/>
      <c r="F93" s="69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68" t="n"/>
      <c r="F94" s="69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68" t="n"/>
      <c r="F95" s="69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68" t="n"/>
      <c r="F96" s="69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68" t="n"/>
      <c r="F97" s="69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68" t="n"/>
      <c r="F98" s="69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68" t="n"/>
      <c r="F99" s="69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68" t="n"/>
      <c r="F100" s="69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68" t="n"/>
      <c r="F101" s="69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68" t="n"/>
      <c r="F102" s="69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68" t="n"/>
      <c r="F103" s="69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68" t="n"/>
      <c r="F104" s="69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68" t="n"/>
      <c r="F105" s="69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68" t="n"/>
      <c r="F106" s="69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68" t="n"/>
      <c r="F107" s="69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68" t="n"/>
      <c r="F108" s="69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68" t="n"/>
      <c r="F109" s="69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68" t="n"/>
      <c r="F110" s="69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68" t="n"/>
      <c r="F111" s="69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68" t="n"/>
      <c r="F112" s="69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68" t="n"/>
      <c r="F113" s="69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68" t="n"/>
      <c r="F114" s="69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68" t="n"/>
      <c r="F115" s="69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68" t="n"/>
      <c r="F116" s="69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68" t="n"/>
      <c r="F117" s="69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68" t="n"/>
      <c r="F118" s="69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68" t="n"/>
      <c r="F119" s="69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68" t="n"/>
      <c r="F120" s="69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68" t="n"/>
      <c r="F121" s="69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68" t="n"/>
      <c r="F122" s="69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68" t="n"/>
      <c r="F123" s="69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68" t="n"/>
      <c r="F124" s="69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68" t="n"/>
      <c r="F125" s="69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68" t="n"/>
      <c r="F126" s="69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68" t="n"/>
      <c r="F127" s="69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68" t="n"/>
      <c r="F128" s="69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68" t="n"/>
      <c r="F129" s="69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68" t="n"/>
      <c r="F130" s="69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68" t="n"/>
      <c r="F131" s="69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68" t="n"/>
      <c r="F132" s="69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68" t="n"/>
      <c r="F133" s="69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68" t="n"/>
      <c r="F134" s="69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68" t="n"/>
      <c r="F135" s="69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68" t="n"/>
      <c r="F136" s="69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68" t="n"/>
      <c r="F137" s="69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68" t="n"/>
      <c r="F138" s="69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68" t="n"/>
      <c r="F139" s="69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68" t="n"/>
      <c r="F140" s="69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68" t="n"/>
      <c r="F141" s="69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68" t="n"/>
      <c r="F142" s="69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68" t="n"/>
      <c r="F143" s="69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68" t="n"/>
      <c r="F144" s="69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68" t="n"/>
      <c r="F145" s="69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68" t="n"/>
      <c r="F146" s="69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68" t="n"/>
      <c r="F147" s="69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68" t="n"/>
      <c r="F148" s="69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68" t="n"/>
      <c r="F149" s="69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68" t="n"/>
      <c r="F150" s="69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68" t="n"/>
      <c r="F151" s="69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68" t="n"/>
      <c r="F152" s="69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68" t="n"/>
      <c r="F153" s="69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68" t="n"/>
      <c r="F154" s="69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68" t="n"/>
      <c r="F155" s="69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68" t="n"/>
      <c r="F156" s="69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68" t="n"/>
      <c r="F157" s="69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68" t="n"/>
      <c r="F158" s="69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68" t="n"/>
      <c r="F159" s="69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68" t="n"/>
      <c r="F160" s="69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68" t="n"/>
      <c r="F161" s="69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68" t="n"/>
      <c r="F162" s="69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68" t="n"/>
      <c r="F163" s="69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68" t="n"/>
      <c r="F164" s="69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68" t="n"/>
      <c r="F165" s="69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68" t="n"/>
      <c r="F166" s="69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68" t="n"/>
      <c r="F167" s="69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68" t="n"/>
      <c r="F168" s="69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68" t="n"/>
      <c r="F169" s="69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68" t="n"/>
      <c r="F170" s="69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68" t="n"/>
      <c r="F171" s="69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68" t="n"/>
      <c r="F172" s="69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68" t="n"/>
      <c r="F173" s="69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68" t="n"/>
      <c r="F174" s="69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68" t="n"/>
      <c r="F175" s="69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68" t="n"/>
      <c r="F176" s="69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68" t="n"/>
      <c r="F177" s="69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68" t="n"/>
      <c r="F178" s="69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68" t="n"/>
      <c r="F179" s="69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68" t="n"/>
      <c r="F180" s="69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68" t="n"/>
      <c r="F181" s="69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68" t="n"/>
      <c r="F182" s="69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68" t="n"/>
      <c r="F183" s="69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68" t="n"/>
      <c r="F184" s="69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68" t="n"/>
      <c r="F185" s="69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68" t="n"/>
      <c r="F186" s="69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68" t="n"/>
      <c r="F187" s="69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68" t="n"/>
      <c r="F188" s="69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68" t="n"/>
      <c r="F189" s="69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68" t="n"/>
      <c r="F190" s="69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68" t="n"/>
      <c r="F191" s="69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68" t="n"/>
      <c r="F192" s="69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68" t="n"/>
      <c r="F193" s="69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68" t="n"/>
      <c r="F194" s="69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68" t="n"/>
      <c r="F195" s="69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68" t="n"/>
      <c r="F196" s="69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68" t="n"/>
      <c r="F197" s="69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68" t="n"/>
      <c r="F198" s="69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68" t="n"/>
      <c r="F199" s="69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68" t="n"/>
      <c r="F200" s="69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68" t="n"/>
      <c r="F201" s="69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68" t="n"/>
      <c r="F202" s="69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68" t="n"/>
      <c r="F203" s="69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68" t="n"/>
      <c r="F204" s="69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68" t="n"/>
      <c r="F205" s="69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68" t="n"/>
      <c r="F206" s="69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68" t="n"/>
      <c r="F207" s="69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68" t="n"/>
      <c r="F208" s="69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68" t="n"/>
      <c r="F209" s="69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68" t="n"/>
      <c r="F210" s="69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68" t="n"/>
      <c r="F211" s="69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68" t="n"/>
      <c r="F212" s="69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68" t="n"/>
      <c r="F213" s="69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68" t="n"/>
      <c r="F214" s="69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68" t="n"/>
      <c r="F215" s="69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68" t="n"/>
      <c r="F216" s="69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68" t="n"/>
      <c r="F217" s="69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68" t="n"/>
      <c r="F218" s="69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68" t="n"/>
      <c r="F219" s="69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68" t="n"/>
      <c r="F220" s="69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68" t="n"/>
      <c r="F221" s="69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68" t="n"/>
      <c r="F222" s="69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68" t="n"/>
      <c r="F223" s="69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68" t="n"/>
      <c r="F224" s="69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68" t="n"/>
      <c r="F225" s="69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68" t="n"/>
      <c r="F226" s="69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68" t="n"/>
      <c r="F227" s="69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68" t="n"/>
      <c r="F228" s="69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68" t="n"/>
      <c r="F229" s="69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68" t="n"/>
      <c r="F230" s="69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68" t="n"/>
      <c r="F231" s="69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68" t="n"/>
      <c r="F232" s="69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68" t="n"/>
      <c r="F233" s="69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68" t="n"/>
      <c r="F234" s="69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68" t="n"/>
      <c r="F235" s="69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68" t="n"/>
      <c r="F236" s="69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68" t="n"/>
      <c r="F237" s="69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68" t="n"/>
      <c r="F238" s="69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68" t="n"/>
      <c r="F239" s="69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68" t="n"/>
      <c r="F240" s="69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68" t="n"/>
      <c r="F241" s="69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68" t="n"/>
      <c r="F242" s="69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68" t="n"/>
      <c r="F243" s="69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68" t="n"/>
      <c r="F244" s="69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68" t="n"/>
      <c r="F245" s="69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68" t="n"/>
      <c r="F246" s="69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68" t="n"/>
      <c r="F247" s="69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68" t="n"/>
      <c r="F248" s="69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68" t="n"/>
      <c r="F249" s="69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68" t="n"/>
      <c r="F250" s="69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68" t="n"/>
      <c r="F251" s="69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68" t="n"/>
      <c r="F252" s="69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68" t="n"/>
      <c r="F253" s="69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68" t="n"/>
      <c r="F254" s="69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68" t="n"/>
      <c r="F255" s="69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68" t="n"/>
      <c r="F256" s="69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68" t="n"/>
      <c r="F257" s="69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68" t="n"/>
      <c r="F258" s="69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68" t="n"/>
      <c r="F259" s="69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68" t="n"/>
      <c r="F260" s="69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68" t="n"/>
      <c r="F261" s="69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68" t="n"/>
      <c r="F262" s="69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68" t="n"/>
      <c r="F263" s="69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68" t="n"/>
      <c r="F264" s="69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68" t="n"/>
      <c r="F265" s="69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68" t="n"/>
      <c r="F266" s="69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68" t="n"/>
      <c r="F267" s="69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68" t="n"/>
      <c r="F268" s="69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68" t="n"/>
      <c r="F269" s="69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68" t="n"/>
      <c r="F270" s="69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68" t="n"/>
      <c r="F271" s="69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68" t="n"/>
      <c r="F272" s="69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68" t="n"/>
      <c r="F273" s="69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68" t="n"/>
      <c r="F274" s="69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68" t="n"/>
      <c r="F275" s="69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68" t="n"/>
      <c r="F276" s="69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68" t="n"/>
      <c r="F277" s="69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68" t="n"/>
      <c r="F278" s="69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68" t="n"/>
      <c r="F279" s="69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68" t="n"/>
      <c r="F280" s="69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68" t="n"/>
      <c r="F281" s="69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68" t="n"/>
      <c r="F282" s="69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68" t="n"/>
      <c r="F283" s="69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68" t="n"/>
      <c r="F284" s="69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68" t="n"/>
      <c r="F285" s="69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68" t="n"/>
      <c r="F286" s="69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68" t="n"/>
      <c r="F287" s="69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68" t="n"/>
      <c r="F288" s="69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68" t="n"/>
      <c r="F289" s="69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68" t="n"/>
      <c r="F290" s="69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68" t="n"/>
      <c r="F291" s="69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68" t="n"/>
      <c r="F292" s="69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68" t="n"/>
      <c r="F293" s="69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68" t="n"/>
      <c r="F294" s="69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68" t="n"/>
      <c r="F295" s="69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68" t="n"/>
      <c r="F296" s="69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68" t="n"/>
      <c r="F297" s="69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68" t="n"/>
      <c r="F298" s="69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68" t="n"/>
      <c r="F299" s="69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68" t="n"/>
      <c r="F300" s="69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68" t="n"/>
      <c r="F301" s="69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68" t="n"/>
      <c r="F302" s="69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68" t="n"/>
      <c r="F303" s="69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68" t="n"/>
      <c r="F304" s="69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68" t="n"/>
      <c r="F305" s="69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68" t="n"/>
      <c r="F306" s="69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68" t="n"/>
      <c r="F307" s="69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68" t="n"/>
      <c r="F308" s="69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68" t="n"/>
      <c r="F309" s="69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68" t="n"/>
      <c r="F310" s="69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68" t="n"/>
      <c r="F311" s="69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68" t="n"/>
      <c r="F312" s="69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68" t="n"/>
      <c r="F313" s="69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68" t="n"/>
      <c r="F314" s="69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68" t="n"/>
      <c r="F315" s="69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68" t="n"/>
      <c r="F316" s="69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68" t="n"/>
      <c r="F317" s="69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68" t="n"/>
      <c r="F318" s="69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68" t="n"/>
      <c r="F319" s="69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68" t="n"/>
      <c r="F320" s="69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68" t="n"/>
      <c r="F321" s="69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68" t="n"/>
      <c r="F322" s="69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68" t="n"/>
      <c r="F323" s="69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68" t="n"/>
      <c r="F324" s="69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68" t="n"/>
      <c r="F325" s="69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68" t="n"/>
      <c r="F326" s="69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68" t="n"/>
      <c r="F327" s="69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68" t="n"/>
      <c r="F328" s="69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68" t="n"/>
      <c r="F329" s="69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68" t="n"/>
      <c r="F330" s="69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68" t="n"/>
      <c r="F331" s="69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68" t="n"/>
      <c r="F332" s="69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68" t="n"/>
      <c r="F333" s="69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68" t="n"/>
      <c r="F334" s="69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68" t="n"/>
      <c r="F335" s="69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68" t="n"/>
      <c r="F336" s="69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68" t="n"/>
      <c r="F337" s="69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68" t="n"/>
      <c r="F338" s="69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68" t="n"/>
      <c r="F339" s="69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68" t="n"/>
      <c r="F340" s="69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68" t="n"/>
      <c r="F341" s="69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68" t="n"/>
      <c r="F342" s="69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68" t="n"/>
      <c r="F343" s="69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68" t="n"/>
      <c r="F344" s="69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68" t="n"/>
      <c r="F345" s="69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68" t="n"/>
      <c r="F346" s="69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68" t="n"/>
      <c r="F347" s="69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68" t="n"/>
      <c r="F348" s="69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68" t="n"/>
      <c r="F349" s="69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68" t="n"/>
      <c r="F350" s="69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68" t="n"/>
      <c r="F351" s="69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68" t="n"/>
      <c r="F352" s="69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68" t="n"/>
      <c r="F353" s="69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68" t="n"/>
      <c r="F354" s="69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68" t="n"/>
      <c r="F355" s="69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68" t="n"/>
      <c r="F356" s="69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68" t="n"/>
      <c r="F357" s="69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68" t="n"/>
      <c r="F358" s="69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68" t="n"/>
      <c r="F359" s="69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68" t="n"/>
      <c r="F360" s="69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68" t="n"/>
      <c r="F361" s="69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68" t="n"/>
      <c r="F362" s="69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68" t="n"/>
      <c r="F363" s="69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68" t="n"/>
      <c r="F364" s="69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68" t="n"/>
      <c r="F365" s="69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68" t="n"/>
      <c r="F366" s="69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68" t="n"/>
      <c r="F367" s="69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68" t="n"/>
      <c r="F368" s="69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68" t="n"/>
      <c r="F369" s="69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68" t="n"/>
      <c r="F370" s="69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68" t="n"/>
      <c r="F371" s="69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68" t="n"/>
      <c r="F372" s="69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68" t="n"/>
      <c r="F373" s="69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68" t="n"/>
      <c r="F374" s="69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68" t="n"/>
      <c r="F375" s="69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68" t="n"/>
      <c r="F376" s="69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68" t="n"/>
      <c r="F377" s="69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68" t="n"/>
      <c r="F378" s="69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68" t="n"/>
      <c r="F379" s="69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68" t="n"/>
      <c r="F380" s="69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68" t="n"/>
      <c r="F381" s="69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68" t="n"/>
      <c r="F382" s="69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68" t="n"/>
      <c r="F383" s="69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68" t="n"/>
      <c r="F384" s="69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68" t="n"/>
      <c r="F385" s="69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68" t="n"/>
      <c r="F386" s="69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68" t="n"/>
      <c r="F387" s="69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68" t="n"/>
      <c r="F388" s="69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68" t="n"/>
      <c r="F389" s="69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68" t="n"/>
      <c r="F390" s="69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68" t="n"/>
      <c r="F391" s="69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68" t="n"/>
      <c r="F392" s="69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68" t="n"/>
      <c r="F393" s="69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68" t="n"/>
      <c r="F394" s="69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68" t="n"/>
      <c r="F395" s="69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68" t="n"/>
      <c r="F396" s="69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68" t="n"/>
      <c r="F397" s="69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68" t="n"/>
      <c r="F398" s="69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68" t="n"/>
      <c r="F399" s="69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68" t="n"/>
      <c r="F400" s="69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68" t="n"/>
      <c r="F401" s="69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68" t="n"/>
      <c r="F402" s="69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68" t="n"/>
      <c r="F403" s="69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68" t="n"/>
      <c r="F404" s="69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68" t="n"/>
      <c r="F405" s="69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68" t="n"/>
      <c r="F406" s="69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68" t="n"/>
      <c r="F407" s="69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68" t="n"/>
      <c r="F408" s="69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68" t="n"/>
      <c r="F409" s="69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68" t="n"/>
      <c r="F410" s="69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68" t="n"/>
      <c r="F411" s="69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68" t="n"/>
      <c r="F412" s="69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68" t="n"/>
      <c r="F413" s="69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68" t="n"/>
      <c r="F414" s="69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68" t="n"/>
      <c r="F415" s="69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68" t="n"/>
      <c r="F416" s="69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68" t="n"/>
      <c r="F417" s="69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68" t="n"/>
      <c r="F418" s="69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68" t="n"/>
      <c r="F419" s="69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68" t="n"/>
      <c r="F420" s="69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68" t="n"/>
      <c r="F421" s="69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68" t="n"/>
      <c r="F422" s="69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68" t="n"/>
      <c r="F423" s="69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68" t="n"/>
      <c r="F424" s="69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68" t="n"/>
      <c r="F425" s="69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68" t="n"/>
      <c r="F426" s="69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68" t="n"/>
      <c r="F427" s="69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68" t="n"/>
      <c r="F428" s="69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68" t="n"/>
      <c r="F429" s="69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68" t="n"/>
      <c r="F430" s="69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68" t="n"/>
      <c r="F431" s="69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68" t="n"/>
      <c r="F432" s="69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68" t="n"/>
      <c r="F433" s="69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68" t="n"/>
      <c r="F434" s="69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68" t="n"/>
      <c r="F435" s="69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68" t="n"/>
      <c r="F436" s="69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68" t="n"/>
      <c r="F437" s="69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68" t="n"/>
      <c r="F438" s="69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68" t="n"/>
      <c r="F439" s="69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68" t="n"/>
      <c r="F440" s="69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68" t="n"/>
      <c r="F441" s="69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68" t="n"/>
      <c r="F442" s="69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68" t="n"/>
      <c r="F443" s="69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68" t="n"/>
      <c r="F444" s="69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68" t="n"/>
      <c r="F445" s="69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68" t="n"/>
      <c r="F446" s="69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68" t="n"/>
      <c r="F447" s="69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68" t="n"/>
      <c r="F448" s="69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68" t="n"/>
      <c r="F449" s="69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68" t="n"/>
      <c r="F450" s="69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68" t="n"/>
      <c r="F451" s="69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68" t="n"/>
      <c r="F452" s="69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68" t="n"/>
      <c r="F453" s="69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68" t="n"/>
      <c r="F454" s="69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68" t="n"/>
      <c r="F455" s="69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68" t="n"/>
      <c r="F456" s="69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68" t="n"/>
      <c r="F457" s="69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68" t="n"/>
      <c r="F458" s="69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68" t="n"/>
      <c r="F459" s="69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68" t="n"/>
      <c r="F460" s="69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68" t="n"/>
      <c r="F461" s="69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68" t="n"/>
      <c r="F462" s="69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68" t="n"/>
      <c r="F463" s="69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68" t="n"/>
      <c r="F464" s="69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68" t="n"/>
      <c r="F465" s="69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68" t="n"/>
      <c r="F466" s="69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68" t="n"/>
      <c r="F467" s="69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68" t="n"/>
      <c r="F468" s="69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68" t="n"/>
      <c r="F469" s="69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68" t="n"/>
      <c r="F470" s="69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68" t="n"/>
      <c r="F471" s="69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68" t="n"/>
      <c r="F472" s="69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68" t="n"/>
      <c r="F473" s="69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68" t="n"/>
      <c r="F474" s="69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68" t="n"/>
      <c r="F475" s="69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68" t="n"/>
      <c r="F476" s="69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68" t="n"/>
      <c r="F477" s="69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68" t="n"/>
      <c r="F478" s="69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68" t="n"/>
      <c r="F479" s="69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68" t="n"/>
      <c r="F480" s="69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68" t="n"/>
      <c r="F481" s="69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68" t="n"/>
      <c r="F482" s="69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68" t="n"/>
      <c r="F483" s="69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68" t="n"/>
      <c r="F484" s="69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68" t="n"/>
      <c r="F485" s="69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68" t="n"/>
      <c r="F486" s="69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68" t="n"/>
      <c r="F487" s="69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68" t="n"/>
      <c r="F488" s="69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68" t="n"/>
      <c r="F489" s="69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68" t="n"/>
      <c r="F490" s="69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68" t="n"/>
      <c r="F491" s="69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68" t="n"/>
      <c r="F492" s="69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68" t="n"/>
      <c r="F493" s="69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68" t="n"/>
      <c r="F494" s="69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68" t="n"/>
      <c r="F495" s="69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68" t="n"/>
      <c r="F496" s="69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68" t="n"/>
      <c r="F497" s="69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68" t="n"/>
      <c r="F498" s="69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68" t="n"/>
      <c r="F499" s="69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68" t="n"/>
      <c r="F500" s="69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68" t="n"/>
      <c r="F501" s="69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68" t="n"/>
      <c r="F502" s="69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68" t="n"/>
      <c r="F503" s="69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68" t="n"/>
      <c r="F504" s="69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68" t="n"/>
      <c r="F505" s="69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VERI B — Cari ve Ba-Bs Toplu Mutabakat Motoru</t>
        </is>
      </c>
    </row>
    <row r="3" ht="20" customHeight="1">
      <c r="A3" s="10" t="inlineStr">
        <is>
          <t>Form Ba / Form Bs beyan satırları — GİB özeti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69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69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69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69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69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69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69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69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69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69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69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69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69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69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69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69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69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69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69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69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69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69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69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69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69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69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69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69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69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69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69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69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69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69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69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69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69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69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69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69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69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69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69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69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69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69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69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69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69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69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69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69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69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69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69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69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69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69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69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69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69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69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69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69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69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69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69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69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69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69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69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69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69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69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69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69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69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69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69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69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69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69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69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69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69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69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69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69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69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69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69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69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69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69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69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69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69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69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69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69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69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69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69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69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69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69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69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69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69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69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69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69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69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69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69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69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69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69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69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69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69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69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69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69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69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69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69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69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69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69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69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69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69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69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69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69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69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69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69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69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69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69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69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69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69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69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69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69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69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69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69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69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69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69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69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69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69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69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69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69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69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69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69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69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69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69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69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69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69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69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69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69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69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69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69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69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69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69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69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69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69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69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69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69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69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69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69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69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69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69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69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69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69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69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69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69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69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69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69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69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69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69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69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69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69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69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69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69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69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69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69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69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69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69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69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69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69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69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69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69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69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69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69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69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69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69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69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69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69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69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69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69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69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69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69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69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69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69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69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69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69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69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69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69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69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69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69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69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69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69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69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69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69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69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69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69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69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69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69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69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69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69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69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69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69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69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69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69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69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69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69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69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69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69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69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69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69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69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69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69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69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69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69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69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69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69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69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69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69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69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69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69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69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69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69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69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69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69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69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69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69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69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69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69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69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69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69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69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69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69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69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69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69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69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69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69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69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69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69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69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69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69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69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69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69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69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69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69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69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69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69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69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69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69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69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69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69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69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69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69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69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69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69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69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69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69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69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69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69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69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69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69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69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69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69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69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69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69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69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69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69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69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69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69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69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69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69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69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69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69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69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69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69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69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69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69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69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69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69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69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69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69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69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69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69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69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69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69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69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69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69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69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69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69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69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69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69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69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69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69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69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69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69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69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69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69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69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69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69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69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69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69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69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69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69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69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69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69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69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69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69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69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69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69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69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69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69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69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69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69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69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69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69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69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69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69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69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69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69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69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69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69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69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69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69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69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69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69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69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69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69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69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69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69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69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69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69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69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69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69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69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69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69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69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69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69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69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69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69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69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69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69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69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69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69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69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69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69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69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69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69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69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69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69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69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69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69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69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69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69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69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69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69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69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69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69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69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69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69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69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Cari ve Ba-Bs Toplu Mutabakat Motoru</t>
        </is>
      </c>
    </row>
    <row r="3" ht="20" customHeight="1">
      <c r="A3" s="10" t="inlineStr">
        <is>
          <t>VKN normalize + uzunluk + ikincil + duplike (Ç7 / E01 / E05)</t>
        </is>
      </c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L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</cols>
  <sheetData>
    <row r="1" ht="26" customHeight="1">
      <c r="A1" s="1" t="inlineStr">
        <is>
          <t>MOTOR — Cari ve Ba-Bs Toplu Mutabakat Motoru</t>
        </is>
      </c>
    </row>
    <row r="3" ht="20" customHeight="1">
      <c r="A3" s="10" t="inlineStr">
        <is>
          <t>Ara hesap adımları — eşleştirme motoru beslemesi (D13)</t>
        </is>
      </c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70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70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70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70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70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70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70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70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70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70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70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71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70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70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71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71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70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70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70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70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70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70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71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Cari ve Ba-Bs Toplu Mutabakat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cari VKN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Cari ve Ba-Bs Toplu Mutabakat Motoru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Cari ve Ba-Bs Toplu Mutabakat Motoru</t>
        </is>
      </c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düzeltme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Cari ve Ba-Bs Toplu Mutabakat Motoru</t>
        </is>
      </c>
    </row>
    <row r="3" ht="28" customHeight="1">
      <c r="A3" s="38" t="inlineStr">
        <is>
          <t>Form Ba/Bs Dönem Mutabakat Kanıt Raporu</t>
        </is>
      </c>
    </row>
    <row r="4">
      <c r="A4" s="7" t="inlineStr">
        <is>
          <t>Rapor Tarihi</t>
        </is>
      </c>
      <c r="B4" s="7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9" t="inlineStr">
        <is>
          <t>KARAR</t>
        </is>
      </c>
      <c r="B7" s="40">
        <f>PANO!B4</f>
        <v/>
      </c>
    </row>
    <row r="9">
      <c r="A9" s="7" t="inlineStr">
        <is>
          <t>Eşleşme Oranı</t>
        </is>
      </c>
      <c r="B9" s="71">
        <f>cbb_eslesmeOrani</f>
        <v/>
      </c>
    </row>
    <row r="10">
      <c r="A10" s="7" t="inlineStr">
        <is>
          <t>Cari Toplam</t>
        </is>
      </c>
      <c r="B10" s="70">
        <f>SUM(tblVeriA[Tutar])</f>
        <v/>
      </c>
    </row>
    <row r="11">
      <c r="A11" s="7" t="inlineStr">
        <is>
          <t>Mutabakat Farkı</t>
        </is>
      </c>
      <c r="B11" s="70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Cari ve Ba-Bs Toplu Mutabakat Motoru</t>
        </is>
      </c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70">
        <f>SUM(tblVeriA[Tutar])</f>
        <v/>
      </c>
    </row>
    <row r="18">
      <c r="A18" s="7" t="inlineStr">
        <is>
          <t>Net B</t>
        </is>
      </c>
      <c r="B18" s="70">
        <f>SUM(tblVeriB[BeyanTutar])</f>
        <v/>
      </c>
    </row>
    <row r="19">
      <c r="A19" s="7" t="inlineStr">
        <is>
          <t>Fark kontrol</t>
        </is>
      </c>
      <c r="B19" s="70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Cari ve Ba-Bs Toplu Mutabakat Motoru</t>
        </is>
      </c>
    </row>
    <row r="3">
      <c r="A3" s="41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Cari ve Ba-Bs Toplu Mutabakat Motoru</t>
        </is>
      </c>
    </row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Cari ve Ba-Bs Toplu Mutabakat Motoru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69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76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70">
        <f>IFERROR(SUM(tblVeriA[Tutar])-SUM(tblVeriB[BeyanTutar]),0)</f>
        <v/>
      </c>
    </row>
    <row r="33">
      <c r="H33" s="7" t="inlineStr">
        <is>
          <t>cbb_eslesmeOrani</t>
        </is>
      </c>
      <c r="I33" s="71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70">
        <f>ESLESTIRME!C2</f>
        <v/>
      </c>
    </row>
    <row r="35">
      <c r="H35" s="7" t="inlineStr">
        <is>
          <t>cbb_modulT1</t>
        </is>
      </c>
      <c r="I35" s="71">
        <f>cbb_eslesmeOrani</f>
        <v/>
      </c>
    </row>
    <row r="36">
      <c r="H36" s="7" t="inlineStr">
        <is>
          <t>cbb_modulT2</t>
        </is>
      </c>
      <c r="I36" s="70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70">
        <f>IFERROR(MAX(PANO!K25:K29),0)</f>
        <v/>
      </c>
    </row>
    <row r="39">
      <c r="H39" s="7" t="inlineStr">
        <is>
          <t>cbb_modulO3</t>
        </is>
      </c>
      <c r="I39" s="70">
        <f>IFERROR(SUM(PANO!K25:K29),0)</f>
        <v/>
      </c>
    </row>
    <row r="40">
      <c r="H40" s="7" t="inlineStr">
        <is>
          <t>cbb_modulO6</t>
        </is>
      </c>
      <c r="I40" s="71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70">
        <f>IFERROR(PERCENTILE(tblVeriA[Tutar],cbb_medyanOran),0)</f>
        <v/>
      </c>
    </row>
    <row r="43">
      <c r="H43" s="7" t="inlineStr">
        <is>
          <t>cbb_modulI2</t>
        </is>
      </c>
      <c r="I43" s="70">
        <f>IFERROR(PERCENTILE(tblVeriA[Tutar],cbb_yuzdelikOran),0)</f>
        <v/>
      </c>
    </row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Cari ve Ba-Bs Toplu Mutabakat Motoru</t>
        </is>
      </c>
    </row>
    <row r="3">
      <c r="A3" s="27" t="inlineStr">
        <is>
          <t>Kullanım Kılavuzu</t>
        </is>
      </c>
    </row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2026-08-14T18:48:06Z</dcterms:created>
  <dcterms:modified xmlns:dcterms="http://purl.org/dc/terms/" xmlns:xsi="http://www.w3.org/2001/XMLSchema-instance" xsi:type="dcterms:W3CDTF">2026-09-25T15:13:30Z</dcterms:modified>
</cp:coreProperties>
</file>