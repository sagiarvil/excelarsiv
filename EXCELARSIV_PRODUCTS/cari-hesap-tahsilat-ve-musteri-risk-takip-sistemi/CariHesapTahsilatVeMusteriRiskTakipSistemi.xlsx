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17.xml" ContentType="application/vnd.openxmlformats-officedocument.spreadsheetml.worksheet+xml"/>
  <Override PartName="/xl/tables/table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7.xml" ContentType="application/vnd.openxmlformats-officedocument.spreadsheetml.table+xml"/>
  <Override PartName="/xl/worksheets/sheet20.xml" ContentType="application/vnd.openxmlformats-officedocument.spreadsheetml.worksheet+xml"/>
  <Override PartName="/xl/comments/comment6.xml" ContentType="application/vnd.openxmlformats-officedocument.spreadsheetml.comments+xml"/>
  <Override PartName="/xl/tables/table8.xml" ContentType="application/vnd.openxmlformats-officedocument.spreadsheetml.table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tables/table9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comments/comment8.xml" ContentType="application/vnd.openxmlformats-officedocument.spreadsheetml.comments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MUSTERI_KARTLARI" sheetId="12" state="visible" r:id="rId12"/>
    <sheet xmlns:r="http://schemas.openxmlformats.org/officeDocument/2006/relationships" name="FATURALAR" sheetId="13" state="visible" r:id="rId13"/>
    <sheet xmlns:r="http://schemas.openxmlformats.org/officeDocument/2006/relationships" name="TAHSILATLAR" sheetId="14" state="visible" r:id="rId14"/>
    <sheet xmlns:r="http://schemas.openxmlformats.org/officeDocument/2006/relationships" name="TEMINATLAR" sheetId="15" state="visible" r:id="rId15"/>
    <sheet xmlns:r="http://schemas.openxmlformats.org/officeDocument/2006/relationships" name="ILETISIM_TAKIP" sheetId="16" state="visible" r:id="rId16"/>
    <sheet xmlns:r="http://schemas.openxmlformats.org/officeDocument/2006/relationships" name="YASLANDIRMA" sheetId="17" state="visible" r:id="rId17"/>
    <sheet xmlns:r="http://schemas.openxmlformats.org/officeDocument/2006/relationships" name="ANALITIK_MOTOR" sheetId="18" state="visible" r:id="rId18"/>
    <sheet xmlns:r="http://schemas.openxmlformats.org/officeDocument/2006/relationships" name="MUSTERI_RISK_SKORU" sheetId="19" state="visible" r:id="rId19"/>
    <sheet xmlns:r="http://schemas.openxmlformats.org/officeDocument/2006/relationships" name="TAHSILAT_AKSIYON" sheetId="20" state="visible" r:id="rId20"/>
    <sheet xmlns:r="http://schemas.openxmlformats.org/officeDocument/2006/relationships" name="KARAR_MOTORU" sheetId="21" state="visible" r:id="rId21"/>
    <sheet xmlns:r="http://schemas.openxmlformats.org/officeDocument/2006/relationships" name="KONTROLLER" sheetId="22" state="visible" r:id="rId22"/>
    <sheet xmlns:r="http://schemas.openxmlformats.org/officeDocument/2006/relationships" name="SENARYO_DUYARLILIK" sheetId="23" state="visible" r:id="rId23"/>
    <sheet xmlns:r="http://schemas.openxmlformats.org/officeDocument/2006/relationships" name="RAPOR" sheetId="24" state="visible" r:id="rId24"/>
    <sheet xmlns:r="http://schemas.openxmlformats.org/officeDocument/2006/relationships" name="ORNEK_VERI" sheetId="25" state="visible" r:id="rId25"/>
    <sheet xmlns:r="http://schemas.openxmlformats.org/officeDocument/2006/relationships" name="TESTLER" sheetId="26" state="visible" r:id="rId26"/>
    <sheet xmlns:r="http://schemas.openxmlformats.org/officeDocument/2006/relationships" name="AKIS" sheetId="27" state="visible" r:id="rId27"/>
    <sheet xmlns:r="http://schemas.openxmlformats.org/officeDocument/2006/relationships" name="DEGISIKLIK_KAYDI" sheetId="28" state="visible" r:id="rId28"/>
    <sheet xmlns:r="http://schemas.openxmlformats.org/officeDocument/2006/relationships" name="LISTELER" sheetId="29" state="visible" r:id="rId29"/>
    <sheet xmlns:r="http://schemas.openxmlformats.org/officeDocument/2006/relationships" name="AYARLAR" sheetId="30" state="visible" r:id="rId30"/>
    <sheet xmlns:r="http://schemas.openxmlformats.org/officeDocument/2006/relationships" name="KILAVUZ" sheetId="31" state="visible" r:id="rId31"/>
  </sheets>
  <definedNames>
    <definedName name="AksiyonGunOrta" hidden="0" function="0" vbProcedure="0">AYARLAR!$B$42</definedName>
    <definedName name="AksiyonGunUzun" hidden="0" function="0" vbProcedure="0">AYARLAR!$B$43</definedName>
    <definedName name="AnalizBasiAy" hidden="0" function="0" vbProcedure="0">AYARLAR!$B$32</definedName>
    <definedName name="AnalizDorduncuAy" hidden="0" function="0" vbProcedure="0">AYARLAR!$B$35</definedName>
    <definedName name="AnalizIkinciAy" hidden="0" function="0" vbProcedure="0">AYARLAR!$B$33</definedName>
    <definedName name="AnalizUcuncuAy" hidden="0" function="0" vbProcedure="0">AYARLAR!$B$34</definedName>
    <definedName name="AnalizYili" hidden="0" function="0" vbProcedure="0">AYARLAR!$B$31</definedName>
    <definedName name="DosyaSurumu" hidden="0" function="0" vbProcedure="0">AYARLAR!$B$9</definedName>
    <definedName name="DuyarliOran" hidden="0" function="0" vbProcedure="0">AYARLAR!$B$28</definedName>
    <definedName name="EsikDevam" hidden="0" function="0" vbProcedure="0">AYARLAR!$B$13</definedName>
    <definedName name="EsikIzle" hidden="0" function="0" vbProcedure="0">AYARLAR!$B$14</definedName>
    <definedName name="EsikKritik" hidden="0" function="0" vbProcedure="0">AYARLAR!$B$17</definedName>
    <definedName name="EsikLimitAzalt" hidden="0" function="0" vbProcedure="0">AYARLAR!$B$15</definedName>
    <definedName name="EsikPesin" hidden="0" function="0" vbProcedure="0">AYARLAR!$B$16</definedName>
    <definedName name="EsikYuksek" hidden="0" function="0" vbProcedure="0">AYARLAR!$B$18</definedName>
    <definedName name="FinansmanMaliyeti" hidden="0" function="0" vbProcedure="0">AYARLAR!$B$41</definedName>
    <definedName name="FirmaUnvan" hidden="0" function="0" vbProcedure="0">AYARLAR!$B$6</definedName>
    <definedName name="GecikmeMaxPuan" hidden="0" function="0" vbProcedure="0">AYARLAR!$B$19</definedName>
    <definedName name="GuvenOrta" hidden="0" function="0" vbProcedure="0">AYARLAR!$B$27</definedName>
    <definedName name="GuvenYuksek" hidden="0" function="0" vbProcedure="0">AYARLAR!$B$26</definedName>
    <definedName name="ItirazMaxPuan" hidden="0" function="0" vbProcedure="0">AYARLAR!$B$23</definedName>
    <definedName name="KaliteSkorEsik" hidden="0" function="0" vbProcedure="0">AYARLAR!$B$46</definedName>
    <definedName name="KararBildirimi" hidden="0" function="0" vbProcedure="0">KARAR_MOTORU!$B$3</definedName>
    <definedName name="KararGunu" hidden="0" function="0" vbProcedure="0">AYARLAR!$B$44</definedName>
    <definedName name="LimitMaxPuan" hidden="0" function="0" vbProcedure="0">AYARLAR!$B$21</definedName>
    <definedName name="ListeAksiyonDurum" hidden="0" function="0" vbProcedure="0">LISTELER!$M$6:$M$7</definedName>
    <definedName name="ListeBelgeDurum" hidden="0" function="0" vbProcedure="0">LISTELER!$I$6:$I$8</definedName>
    <definedName name="ListeEvetHayir" hidden="0" function="0" vbProcedure="0">LISTELER!$O$6:$O$7</definedName>
    <definedName name="ListeIletisimKanali" hidden="0" function="0" vbProcedure="0">LISTELER!$K$6:$K$9</definedName>
    <definedName name="ListeMusteriDurum" hidden="0" function="0" vbProcedure="0">LISTELER!$A$6:$A$9</definedName>
    <definedName name="ListeOdemeTuru" hidden="0" function="0" vbProcedure="0">LISTELER!$E$6:$E$9</definedName>
    <definedName name="ListeParaBirimi" hidden="0" function="0" vbProcedure="0">LISTELER!$C$6:$C$8</definedName>
    <definedName name="ListeTeminatTuru" hidden="0" function="0" vbProcedure="0">LISTELER!$G$6:$G$10</definedName>
    <definedName name="modulI1TrendTahmini" hidden="0" function="0" vbProcedure="0">ANALITIK_MOTOR!$C$19</definedName>
    <definedName name="modulI1TrendTahminiYorum" hidden="0" function="0" vbProcedure="0">ANALITIK_MOTOR!$D$19</definedName>
    <definedName name="modulI2YuzdelikP90" hidden="0" function="0" vbProcedure="0">ANALITIK_MOTOR!$C$20</definedName>
    <definedName name="modulI2YuzdelikP90Yorum" hidden="0" function="0" vbProcedure="0">ANALITIK_MOTOR!$D$20</definedName>
    <definedName name="modulI7NakitAcigi" hidden="0" function="0" vbProcedure="0">ANALITIK_MOTOR!$C$21</definedName>
    <definedName name="modulI7NakitAcigiYorum" hidden="0" function="0" vbProcedure="0">ANALITIK_MOTOR!$D$21</definedName>
    <definedName name="modulO1TahsilatSapma" hidden="0" function="0" vbProcedure="0">ANALITIK_MOTOR!$C$12</definedName>
    <definedName name="modulO1TahsilatSapmaYorum" hidden="0" function="0" vbProcedure="0">ANALITIK_MOTOR!$D$12</definedName>
    <definedName name="modulO2RiskliMusteri" hidden="0" function="0" vbProcedure="0">ANALITIK_MOTOR!$C$13</definedName>
    <definedName name="modulO2RiskliMusteriYorum" hidden="0" function="0" vbProcedure="0">ANALITIK_MOTOR!$D$13</definedName>
    <definedName name="modulO3KotumsrSenaryo" hidden="0" function="0" vbProcedure="0">ANALITIK_MOTOR!$C$14</definedName>
    <definedName name="modulO3KotumsrSenaryoYorum" hidden="0" function="0" vbProcedure="0">ANALITIK_MOTOR!$D$14</definedName>
    <definedName name="modulO4NakitDonusum" hidden="0" function="0" vbProcedure="0">ANALITIK_MOTOR!$C$15</definedName>
    <definedName name="modulO4NakitDonusumYorum" hidden="0" function="0" vbProcedure="0">ANALITIK_MOTOR!$D$15</definedName>
    <definedName name="modulO5GecikmeMaliyeti" hidden="0" function="0" vbProcedure="0">ANALITIK_MOTOR!$C$16</definedName>
    <definedName name="modulO5GecikmeMaliyetiYorum" hidden="0" function="0" vbProcedure="0">ANALITIK_MOTOR!$D$16</definedName>
    <definedName name="modulO6Hhi" hidden="0" function="0" vbProcedure="0">ANALITIK_MOTOR!$C$17</definedName>
    <definedName name="modulO6HhiYorum" hidden="0" function="0" vbProcedure="0">ANALITIK_MOTOR!$D$17</definedName>
    <definedName name="modulO8KaliteSkor" hidden="0" function="0" vbProcedure="0">ANALITIK_MOTOR!$C$18</definedName>
    <definedName name="modulO8KaliteSkorYorum" hidden="0" function="0" vbProcedure="0">ANALITIK_MOTOR!$D$18</definedName>
    <definedName name="modulT1Yaslandirma" hidden="0" function="0" vbProcedure="0">ANALITIK_MOTOR!$C$6</definedName>
    <definedName name="modulT1YaslandirmaYorum" hidden="0" function="0" vbProcedure="0">ANALITIK_MOTOR!$D$6</definedName>
    <definedName name="modulT2TahsilatOrt" hidden="0" function="0" vbProcedure="0">ANALITIK_MOTOR!$C$7</definedName>
    <definedName name="modulT2TahsilatOrtYorum" hidden="0" function="0" vbProcedure="0">ANALITIK_MOTOR!$D$7</definedName>
    <definedName name="modulT3Yogunlasma" hidden="0" function="0" vbProcedure="0">ANALITIK_MOTOR!$C$8</definedName>
    <definedName name="modulT3YogunlasmaYorum" hidden="0" function="0" vbProcedure="0">ANALITIK_MOTOR!$D$8</definedName>
    <definedName name="modulT4DonemFark" hidden="0" function="0" vbProcedure="0">ANALITIK_MOTOR!$C$9</definedName>
    <definedName name="modulT4DonemFarkYorum" hidden="0" function="0" vbProcedure="0">ANALITIK_MOTOR!$D$9</definedName>
    <definedName name="modulT5MutabakatFark" hidden="0" function="0" vbProcedure="0">ANALITIK_MOTOR!$C$10</definedName>
    <definedName name="modulT5MutabakatFarkYorum" hidden="0" function="0" vbProcedure="0">ANALITIK_MOTOR!$D$10</definedName>
    <definedName name="modulT6KirilimOran" hidden="0" function="0" vbProcedure="0">ANALITIK_MOTOR!$C$11</definedName>
    <definedName name="modulT6KirilimOranYorum" hidden="0" function="0" vbProcedure="0">ANALITIK_MOTOR!$D$11</definedName>
    <definedName name="P90Oran" hidden="0" function="0" vbProcedure="0">AYARLAR!$B$47</definedName>
    <definedName name="RaporHazirlayan" hidden="0" function="0" vbProcedure="0">AYARLAR!$B$8</definedName>
    <definedName name="RaporTarihi" hidden="0" function="0" vbProcedure="0">AYARLAR!$B$7</definedName>
    <definedName name="RiskSkoru" hidden="0" function="0" vbProcedure="0">MUSTERI_RISK_SKORU!$X$6</definedName>
    <definedName name="SaglikEsikOrta" hidden="0" function="0" vbProcedure="0">AYARLAR!$B$39</definedName>
    <definedName name="SaglikEsikYuksek" hidden="0" function="0" vbProcedure="0">AYARLAR!$B$38</definedName>
    <definedName name="StatufAskida" hidden="0" function="0" vbProcedure="0">AYARLAR!$B$24</definedName>
    <definedName name="StatufIzleme" hidden="0" function="0" vbProcedure="0">AYARLAR!$B$25</definedName>
    <definedName name="TeminatMaxPuan" hidden="0" function="0" vbProcedure="0">AYARLAR!$B$22</definedName>
    <definedName name="TolereansCarpan" hidden="0" function="0" vbProcedure="0">AYARLAR!$B$36</definedName>
    <definedName name="VadeGecikmeEsik" hidden="0" function="0" vbProcedure="0">AYARLAR!$B$45</definedName>
    <definedName name="VadeMaxPuan" hidden="0" function="0" vbProcedure="0">AYARLAR!$B$20</definedName>
    <definedName name="VeriKalitesiEksik" hidden="0" function="0" vbProcedure="0">AYARLAR!$B$40</definedName>
    <definedName name="YaslamaDilim1" hidden="0" function="0" vbProcedure="0">AYARLAR!$B$10</definedName>
    <definedName name="YaslamaDilim2" hidden="0" function="0" vbProcedure="0">AYARLAR!$B$11</definedName>
    <definedName name="YaslamaDilim3" hidden="0" function="0" vbProcedure="0">AYARLAR!$B$12</definedName>
    <definedName name="YenilemeUyariGunu" hidden="0" function="0" vbProcedure="0">AYARLAR!$B$37</definedName>
    <definedName name="ZorunluAlanSayisi" hidden="0" function="0" vbProcedure="0">AYARLAR!$B$29</definedName>
    <definedName name="ZorunluTeminatAlanSayisi" hidden="0" function="0" vbProcedure="0">AYARLAR!$B$30</definedName>
    <definedName name="_xlnm.Print_Area" localSheetId="23">'RAPOR'!$A$1:$G$22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  <numFmt numFmtId="169" formatCode="₺#,##0"/>
    <numFmt numFmtId="170" formatCode="0.00&quot;x&quot;"/>
  </numFmts>
  <fonts count="1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FFFFFF"/>
      <sz val="22"/>
    </font>
    <font>
      <name val="Segoe UI"/>
      <charset val="1"/>
      <family val="0"/>
      <color rgb="FFB08948"/>
      <sz val="14"/>
    </font>
    <font>
      <name val="Segoe UI"/>
      <charset val="1"/>
      <family val="0"/>
      <color rgb="FFFFFFFF"/>
      <sz val="11"/>
    </font>
    <font>
      <name val="Segoe UI"/>
      <charset val="1"/>
      <family val="0"/>
      <b val="1"/>
      <color rgb="FFB08948"/>
      <sz val="11"/>
    </font>
    <font>
      <name val="Segoe UI"/>
      <charset val="1"/>
      <family val="0"/>
      <color rgb="FFFFFFFF"/>
      <sz val="10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b val="1"/>
      <color rgb="FFB08948"/>
      <sz val="10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F2742"/>
      <sz val="11"/>
    </font>
    <font>
      <name val="Segoe UI"/>
      <charset val="1"/>
      <family val="0"/>
      <color rgb="FF1F4E79"/>
      <sz val="11"/>
    </font>
    <font>
      <name val="Segoe UI"/>
      <charset val="1"/>
      <family val="0"/>
      <b val="1"/>
      <color rgb="FFFFFFFF"/>
      <sz val="10"/>
    </font>
    <font>
      <name val="Arial"/>
      <family val="2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i val="1"/>
      <color rgb="FF595959"/>
      <sz val="9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b val="1"/>
      <color rgb="FF006100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000000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FFFFFF"/>
      <sz val="10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39">
    <fill>
      <patternFill/>
    </fill>
    <fill>
      <patternFill patternType="gray125"/>
    </fill>
    <fill>
      <patternFill patternType="solid">
        <fgColor rgb="000F2742"/>
        <bgColor rgb="FF003300"/>
      </patternFill>
    </fill>
    <fill>
      <patternFill patternType="solid">
        <fgColor rgb="00DDEBF7"/>
        <bgColor rgb="00EEF2F7"/>
      </patternFill>
    </fill>
    <fill>
      <patternFill patternType="solid">
        <fgColor rgb="001F4E79"/>
        <bgColor rgb="FF595959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DDEB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0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 wrapText="1"/>
    </xf>
    <xf numFmtId="0" fontId="10" fillId="5" borderId="0" applyAlignment="1" applyProtection="1" pivotButton="0" quotePrefix="0" xfId="0">
      <alignment horizontal="left" vertical="center"/>
      <protection locked="0" hidden="0"/>
    </xf>
    <xf numFmtId="164" fontId="10" fillId="5" borderId="0" applyAlignment="1" applyProtection="1" pivotButton="0" quotePrefix="0" xfId="0">
      <alignment horizontal="left" vertical="center"/>
      <protection locked="0" hidden="0"/>
    </xf>
    <xf numFmtId="3" fontId="10" fillId="5" borderId="0" applyAlignment="1" applyProtection="1" pivotButton="0" quotePrefix="0" xfId="0">
      <alignment horizontal="left" vertical="center"/>
      <protection locked="0" hidden="0"/>
    </xf>
    <xf numFmtId="165" fontId="10" fillId="5" borderId="0" applyAlignment="1" applyProtection="1" pivotButton="0" quotePrefix="0" xfId="0">
      <alignment horizontal="left" vertical="center"/>
      <protection locked="0" hidden="0"/>
    </xf>
    <xf numFmtId="0" fontId="0" fillId="6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10" fillId="6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6" fontId="10" fillId="5" borderId="0" applyAlignment="1" applyProtection="1" pivotButton="0" quotePrefix="0" xfId="0">
      <alignment horizontal="left" vertical="center"/>
      <protection locked="0" hidden="0"/>
    </xf>
    <xf numFmtId="164" fontId="0" fillId="6" borderId="0" applyAlignment="1" pivotButton="0" quotePrefix="0" xfId="0">
      <alignment horizontal="general" vertical="bottom"/>
    </xf>
    <xf numFmtId="165" fontId="0" fillId="6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0" fillId="6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/>
    </xf>
    <xf numFmtId="165" fontId="22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6" fillId="7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34" fillId="0" borderId="0" pivotButton="0" quotePrefix="0" xfId="0"/>
    <xf numFmtId="0" fontId="29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4" fillId="8" borderId="0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5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7" fillId="0" borderId="0" pivotButton="0" quotePrefix="0" xfId="0"/>
    <xf numFmtId="167" fontId="37" fillId="0" borderId="0" pivotButton="0" quotePrefix="0" xfId="0"/>
    <xf numFmtId="167" fontId="38" fillId="0" borderId="0" pivotButton="0" quotePrefix="0" xfId="0"/>
    <xf numFmtId="168" fontId="37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7" borderId="0" applyAlignment="1" pivotButton="0" quotePrefix="0" xfId="0">
      <alignment horizontal="center" vertical="center"/>
    </xf>
    <xf numFmtId="0" fontId="36" fillId="7" borderId="0" applyAlignment="1" pivotButton="0" quotePrefix="0" xfId="0">
      <alignment horizontal="center"/>
    </xf>
    <xf numFmtId="0" fontId="38" fillId="0" borderId="0" pivotButton="0" quotePrefix="0" xfId="0"/>
    <xf numFmtId="0" fontId="42" fillId="9" borderId="1" pivotButton="0" quotePrefix="0" xfId="0"/>
    <xf numFmtId="0" fontId="43" fillId="0" borderId="0" pivotButton="0" quotePrefix="0" xfId="0"/>
    <xf numFmtId="0" fontId="44" fillId="0" borderId="0" pivotButton="0" quotePrefix="0" xfId="0"/>
    <xf numFmtId="0" fontId="37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 wrapText="1"/>
    </xf>
    <xf numFmtId="0" fontId="10" fillId="5" borderId="0" applyAlignment="1" applyProtection="1" pivotButton="0" quotePrefix="0" xfId="0">
      <alignment horizontal="left" vertical="center"/>
      <protection locked="0" hidden="0"/>
    </xf>
    <xf numFmtId="164" fontId="10" fillId="5" borderId="0" applyAlignment="1" applyProtection="1" pivotButton="0" quotePrefix="0" xfId="0">
      <alignment horizontal="left" vertical="center"/>
      <protection locked="0" hidden="0"/>
    </xf>
    <xf numFmtId="3" fontId="10" fillId="5" borderId="0" applyAlignment="1" applyProtection="1" pivotButton="0" quotePrefix="0" xfId="0">
      <alignment horizontal="left" vertical="center"/>
      <protection locked="0" hidden="0"/>
    </xf>
    <xf numFmtId="165" fontId="10" fillId="5" borderId="0" applyAlignment="1" applyProtection="1" pivotButton="0" quotePrefix="0" xfId="0">
      <alignment horizontal="left" vertical="center"/>
      <protection locked="0" hidden="0"/>
    </xf>
    <xf numFmtId="0" fontId="0" fillId="6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0" fontId="10" fillId="6" borderId="0" applyAlignment="1" pivotButton="0" quotePrefix="0" xfId="0">
      <alignment horizontal="left" vertical="center"/>
    </xf>
    <xf numFmtId="166" fontId="10" fillId="5" borderId="0" applyAlignment="1" applyProtection="1" pivotButton="0" quotePrefix="0" xfId="0">
      <alignment horizontal="left" vertical="center"/>
      <protection locked="0" hidden="0"/>
    </xf>
    <xf numFmtId="164" fontId="0" fillId="6" borderId="0" applyAlignment="1" pivotButton="0" quotePrefix="0" xfId="0">
      <alignment horizontal="general" vertical="bottom"/>
    </xf>
    <xf numFmtId="165" fontId="0" fillId="6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3" fontId="0" fillId="6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165" fontId="22" fillId="0" borderId="0" applyAlignment="1" pivotButton="0" quotePrefix="0" xfId="0">
      <alignment horizontal="center" vertical="center"/>
    </xf>
    <xf numFmtId="3" fontId="19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center" vertical="center"/>
    </xf>
    <xf numFmtId="0" fontId="45" fillId="0" borderId="0" pivotButton="0" quotePrefix="0" xfId="0"/>
    <xf numFmtId="0" fontId="46" fillId="0" borderId="1" applyAlignment="1" pivotButton="0" quotePrefix="0" xfId="0">
      <alignment horizontal="center" vertical="center"/>
    </xf>
    <xf numFmtId="0" fontId="36" fillId="10" borderId="0" applyAlignment="1" pivotButton="0" quotePrefix="0" xfId="0">
      <alignment horizontal="center" vertical="center"/>
    </xf>
    <xf numFmtId="0" fontId="27" fillId="0" borderId="0" pivotButton="0" quotePrefix="0" xfId="0"/>
    <xf numFmtId="0" fontId="33" fillId="0" borderId="2" pivotButton="0" quotePrefix="0" xfId="0"/>
    <xf numFmtId="0" fontId="0" fillId="0" borderId="1" pivotButton="0" quotePrefix="0" xfId="0"/>
    <xf numFmtId="0" fontId="47" fillId="11" borderId="1" applyAlignment="1" pivotButton="0" quotePrefix="0" xfId="0">
      <alignment horizontal="center"/>
    </xf>
    <xf numFmtId="0" fontId="33" fillId="0" borderId="3" pivotButton="0" quotePrefix="0" xfId="0"/>
    <xf numFmtId="0" fontId="49" fillId="12" borderId="1" applyAlignment="1" pivotButton="0" quotePrefix="0" xfId="0">
      <alignment horizontal="center"/>
    </xf>
    <xf numFmtId="0" fontId="48" fillId="13" borderId="1" applyAlignment="1" pivotButton="0" quotePrefix="0" xfId="0">
      <alignment horizontal="center"/>
    </xf>
    <xf numFmtId="0" fontId="33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9" fillId="0" borderId="2" pivotButton="0" quotePrefix="0" xfId="0"/>
    <xf numFmtId="0" fontId="50" fillId="0" borderId="3" pivotButton="0" quotePrefix="0" xfId="0"/>
    <xf numFmtId="0" fontId="51" fillId="0" borderId="4" pivotButton="0" quotePrefix="0" xfId="0"/>
    <xf numFmtId="0" fontId="48" fillId="0" borderId="2" pivotButton="0" quotePrefix="0" xfId="0"/>
    <xf numFmtId="0" fontId="43" fillId="0" borderId="3" pivotButton="0" quotePrefix="0" xfId="0"/>
    <xf numFmtId="0" fontId="48" fillId="0" borderId="4" pivotButton="0" quotePrefix="0" xfId="0"/>
    <xf numFmtId="0" fontId="52" fillId="14" borderId="0" applyAlignment="1" pivotButton="0" quotePrefix="0" xfId="0">
      <alignment horizontal="center"/>
    </xf>
    <xf numFmtId="0" fontId="53" fillId="0" borderId="0" pivotButton="0" quotePrefix="0" xfId="0"/>
    <xf numFmtId="0" fontId="52" fillId="15" borderId="0" applyAlignment="1" pivotButton="0" quotePrefix="0" xfId="0">
      <alignment horizontal="center" vertical="center"/>
    </xf>
    <xf numFmtId="0" fontId="53" fillId="0" borderId="1" pivotButton="0" quotePrefix="0" xfId="0"/>
    <xf numFmtId="0" fontId="54" fillId="0" borderId="1" pivotButton="0" quotePrefix="0" xfId="0"/>
    <xf numFmtId="0" fontId="55" fillId="0" borderId="1" pivotButton="0" quotePrefix="0" xfId="0"/>
    <xf numFmtId="0" fontId="56" fillId="16" borderId="1" applyAlignment="1" pivotButton="0" quotePrefix="0" xfId="0">
      <alignment horizontal="center"/>
    </xf>
    <xf numFmtId="0" fontId="52" fillId="7" borderId="0" pivotButton="0" quotePrefix="0" xfId="0"/>
    <xf numFmtId="0" fontId="57" fillId="7" borderId="0" pivotButton="0" quotePrefix="0" xfId="0"/>
    <xf numFmtId="0" fontId="58" fillId="7" borderId="0" pivotButton="0" quotePrefix="0" xfId="0"/>
    <xf numFmtId="0" fontId="0" fillId="7" borderId="0" pivotButton="0" quotePrefix="0" xfId="0"/>
    <xf numFmtId="0" fontId="30" fillId="7" borderId="0" applyAlignment="1" pivotButton="0" quotePrefix="0" xfId="0">
      <alignment horizontal="center"/>
    </xf>
    <xf numFmtId="0" fontId="46" fillId="0" borderId="0" pivotButton="0" quotePrefix="0" xfId="0"/>
    <xf numFmtId="0" fontId="61" fillId="17" borderId="0" pivotButton="0" quotePrefix="0" xfId="0"/>
    <xf numFmtId="0" fontId="0" fillId="17" borderId="0" pivotButton="0" quotePrefix="0" xfId="0"/>
    <xf numFmtId="0" fontId="48" fillId="0" borderId="0" pivotButton="0" quotePrefix="0" xfId="0"/>
    <xf numFmtId="0" fontId="36" fillId="17" borderId="0" pivotButton="0" quotePrefix="0" xfId="0"/>
    <xf numFmtId="0" fontId="62" fillId="17" borderId="0" applyAlignment="1" pivotButton="0" quotePrefix="0" xfId="0">
      <alignment wrapText="1"/>
    </xf>
    <xf numFmtId="0" fontId="59" fillId="0" borderId="0" pivotButton="0" quotePrefix="0" xfId="0"/>
    <xf numFmtId="0" fontId="60" fillId="0" borderId="0" pivotButton="0" quotePrefix="0" xfId="0"/>
    <xf numFmtId="0" fontId="48" fillId="13" borderId="5" applyAlignment="1" pivotButton="0" quotePrefix="0" xfId="0">
      <alignment horizontal="center" vertical="center"/>
    </xf>
    <xf numFmtId="0" fontId="63" fillId="18" borderId="0" applyAlignment="1" pivotButton="0" quotePrefix="0" xfId="0">
      <alignment horizontal="center" vertical="center"/>
    </xf>
    <xf numFmtId="0" fontId="27" fillId="19" borderId="1" applyAlignment="1" pivotButton="0" quotePrefix="0" xfId="0">
      <alignment vertical="center"/>
    </xf>
    <xf numFmtId="0" fontId="47" fillId="11" borderId="0" applyAlignment="1" pivotButton="0" quotePrefix="0" xfId="0">
      <alignment horizontal="center" vertical="center"/>
    </xf>
    <xf numFmtId="0" fontId="48" fillId="13" borderId="0" applyAlignment="1" pivotButton="0" quotePrefix="0" xfId="0">
      <alignment horizontal="center" vertical="center"/>
    </xf>
    <xf numFmtId="0" fontId="64" fillId="7" borderId="0" applyAlignment="1" pivotButton="0" quotePrefix="0" xfId="0">
      <alignment horizontal="center" vertical="center"/>
    </xf>
    <xf numFmtId="0" fontId="65" fillId="19" borderId="1" applyAlignment="1" pivotButton="0" quotePrefix="0" xfId="0">
      <alignment horizontal="center"/>
    </xf>
    <xf numFmtId="0" fontId="66" fillId="19" borderId="1" applyAlignment="1" pivotButton="0" quotePrefix="0" xfId="0">
      <alignment horizontal="center"/>
    </xf>
    <xf numFmtId="0" fontId="65" fillId="19" borderId="1" pivotButton="0" quotePrefix="0" xfId="0"/>
    <xf numFmtId="169" fontId="66" fillId="19" borderId="1" applyAlignment="1" pivotButton="0" quotePrefix="0" xfId="0">
      <alignment horizontal="right"/>
    </xf>
    <xf numFmtId="9" fontId="65" fillId="19" borderId="1" applyAlignment="1" pivotButton="0" quotePrefix="0" xfId="0">
      <alignment horizontal="center"/>
    </xf>
    <xf numFmtId="169" fontId="65" fillId="19" borderId="1" applyAlignment="1" pivotButton="0" quotePrefix="0" xfId="0">
      <alignment horizontal="right"/>
    </xf>
    <xf numFmtId="0" fontId="48" fillId="19" borderId="1" applyAlignment="1" pivotButton="0" quotePrefix="0" xfId="0">
      <alignment horizontal="center"/>
    </xf>
    <xf numFmtId="0" fontId="65" fillId="18" borderId="1" applyAlignment="1" pivotButton="0" quotePrefix="0" xfId="0">
      <alignment horizontal="center"/>
    </xf>
    <xf numFmtId="0" fontId="66" fillId="18" borderId="1" applyAlignment="1" pivotButton="0" quotePrefix="0" xfId="0">
      <alignment horizontal="center"/>
    </xf>
    <xf numFmtId="0" fontId="65" fillId="18" borderId="1" pivotButton="0" quotePrefix="0" xfId="0"/>
    <xf numFmtId="169" fontId="66" fillId="18" borderId="1" applyAlignment="1" pivotButton="0" quotePrefix="0" xfId="0">
      <alignment horizontal="right"/>
    </xf>
    <xf numFmtId="9" fontId="65" fillId="18" borderId="1" applyAlignment="1" pivotButton="0" quotePrefix="0" xfId="0">
      <alignment horizontal="center"/>
    </xf>
    <xf numFmtId="169" fontId="65" fillId="18" borderId="1" applyAlignment="1" pivotButton="0" quotePrefix="0" xfId="0">
      <alignment horizontal="right"/>
    </xf>
    <xf numFmtId="0" fontId="53" fillId="18" borderId="1" applyAlignment="1" pivotButton="0" quotePrefix="0" xfId="0">
      <alignment horizontal="center"/>
    </xf>
    <xf numFmtId="0" fontId="48" fillId="18" borderId="1" applyAlignment="1" pivotButton="0" quotePrefix="0" xfId="0">
      <alignment horizontal="center"/>
    </xf>
    <xf numFmtId="0" fontId="49" fillId="18" borderId="1" applyAlignment="1" pivotButton="0" quotePrefix="0" xfId="0">
      <alignment horizontal="center"/>
    </xf>
    <xf numFmtId="0" fontId="36" fillId="7" borderId="0" applyAlignment="1" pivotButton="0" quotePrefix="0" xfId="0">
      <alignment vertical="center" indent="1"/>
    </xf>
    <xf numFmtId="169" fontId="67" fillId="7" borderId="0" applyAlignment="1" pivotButton="0" quotePrefix="0" xfId="0">
      <alignment horizontal="right" vertical="center"/>
    </xf>
    <xf numFmtId="0" fontId="68" fillId="0" borderId="6" pivotButton="0" quotePrefix="0" xfId="0"/>
    <xf numFmtId="0" fontId="69" fillId="0" borderId="6" pivotButton="0" quotePrefix="0" xfId="0"/>
    <xf numFmtId="0" fontId="70" fillId="0" borderId="6" pivotButton="0" quotePrefix="0" xfId="0"/>
    <xf numFmtId="0" fontId="71" fillId="20" borderId="1" applyAlignment="1" pivotButton="0" quotePrefix="0" xfId="0">
      <alignment horizontal="center" vertical="center"/>
    </xf>
    <xf numFmtId="0" fontId="75" fillId="11" borderId="1" applyAlignment="1" pivotButton="0" quotePrefix="0" xfId="0">
      <alignment horizontal="center" vertical="center"/>
    </xf>
    <xf numFmtId="0" fontId="72" fillId="0" borderId="1" pivotButton="0" quotePrefix="0" xfId="0"/>
    <xf numFmtId="0" fontId="71" fillId="0" borderId="1" applyAlignment="1" pivotButton="0" quotePrefix="0" xfId="0">
      <alignment horizontal="right"/>
    </xf>
    <xf numFmtId="0" fontId="75" fillId="0" borderId="1" applyAlignment="1" pivotButton="0" quotePrefix="0" xfId="0">
      <alignment horizontal="right"/>
    </xf>
    <xf numFmtId="0" fontId="46" fillId="0" borderId="1" applyAlignment="1" pivotButton="0" quotePrefix="0" xfId="0">
      <alignment horizontal="right"/>
    </xf>
    <xf numFmtId="0" fontId="73" fillId="0" borderId="1" applyAlignment="1" pivotButton="0" quotePrefix="0" xfId="0">
      <alignment horizontal="right"/>
    </xf>
    <xf numFmtId="0" fontId="74" fillId="12" borderId="7" applyAlignment="1" pivotButton="0" quotePrefix="0" xfId="0">
      <alignment horizontal="center" vertical="center"/>
    </xf>
    <xf numFmtId="0" fontId="76" fillId="11" borderId="8" applyAlignment="1" pivotButton="0" quotePrefix="0" xfId="0">
      <alignment horizontal="center" vertical="center"/>
    </xf>
    <xf numFmtId="0" fontId="72" fillId="0" borderId="0" pivotButton="0" quotePrefix="0" xfId="0"/>
    <xf numFmtId="0" fontId="77" fillId="21" borderId="0" applyAlignment="1" pivotButton="0" quotePrefix="0" xfId="0">
      <alignment horizontal="left" vertical="center" wrapText="1"/>
    </xf>
    <xf numFmtId="0" fontId="78" fillId="22" borderId="0" applyAlignment="1" pivotButton="0" quotePrefix="0" xfId="0">
      <alignment vertical="center" wrapText="1"/>
    </xf>
    <xf numFmtId="0" fontId="79" fillId="23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0" fontId="81" fillId="21" borderId="0" applyAlignment="1" pivotButton="0" quotePrefix="0" xfId="0">
      <alignment horizontal="left" vertical="center" wrapText="1"/>
    </xf>
    <xf numFmtId="0" fontId="77" fillId="24" borderId="0" applyAlignment="1" pivotButton="0" quotePrefix="0" xfId="0">
      <alignment horizontal="left" vertical="center" wrapText="1"/>
    </xf>
    <xf numFmtId="0" fontId="78" fillId="24" borderId="0" applyAlignment="1" pivotButton="0" quotePrefix="0" xfId="0">
      <alignment vertical="center" wrapText="1"/>
    </xf>
    <xf numFmtId="0" fontId="82" fillId="25" borderId="0" applyAlignment="1" pivotButton="0" quotePrefix="0" xfId="0">
      <alignment vertical="top" wrapText="1"/>
    </xf>
    <xf numFmtId="0" fontId="77" fillId="26" borderId="0" applyAlignment="1" pivotButton="0" quotePrefix="0" xfId="0">
      <alignment horizontal="left" vertical="center" wrapText="1"/>
    </xf>
    <xf numFmtId="0" fontId="78" fillId="26" borderId="0" applyAlignment="1" pivotButton="0" quotePrefix="0" xfId="0">
      <alignment vertical="center" wrapText="1"/>
    </xf>
    <xf numFmtId="0" fontId="83" fillId="27" borderId="0" applyAlignment="1" pivotButton="0" quotePrefix="0" xfId="0">
      <alignment vertical="top" wrapText="1"/>
    </xf>
    <xf numFmtId="0" fontId="84" fillId="25" borderId="0" applyAlignment="1" pivotButton="0" quotePrefix="0" xfId="0">
      <alignment vertical="top" wrapText="1"/>
    </xf>
    <xf numFmtId="0" fontId="85" fillId="0" borderId="0" applyAlignment="1" pivotButton="0" quotePrefix="0" xfId="0">
      <alignment vertical="top" wrapText="1"/>
    </xf>
    <xf numFmtId="0" fontId="77" fillId="28" borderId="0" applyAlignment="1" pivotButton="0" quotePrefix="0" xfId="0">
      <alignment horizontal="left" vertical="center"/>
    </xf>
    <xf numFmtId="0" fontId="78" fillId="28" borderId="0" applyAlignment="1" pivotButton="0" quotePrefix="0" xfId="0">
      <alignment vertical="center" wrapText="1"/>
    </xf>
    <xf numFmtId="0" fontId="86" fillId="29" borderId="0" applyAlignment="1" pivotButton="0" quotePrefix="0" xfId="0">
      <alignment vertical="top" wrapText="1"/>
    </xf>
    <xf numFmtId="0" fontId="87" fillId="30" borderId="0" applyAlignment="1" pivotButton="0" quotePrefix="0" xfId="0">
      <alignment vertical="top" wrapText="1"/>
    </xf>
    <xf numFmtId="0" fontId="77" fillId="31" borderId="0" applyAlignment="1" pivotButton="0" quotePrefix="0" xfId="0">
      <alignment horizontal="left" vertical="center"/>
    </xf>
    <xf numFmtId="0" fontId="78" fillId="31" borderId="0" applyAlignment="1" pivotButton="0" quotePrefix="0" xfId="0">
      <alignment vertical="center" wrapText="1"/>
    </xf>
    <xf numFmtId="0" fontId="88" fillId="30" borderId="0" applyAlignment="1" pivotButton="0" quotePrefix="0" xfId="0">
      <alignment vertical="top" wrapText="1"/>
    </xf>
    <xf numFmtId="0" fontId="77" fillId="32" borderId="0" applyAlignment="1" pivotButton="0" quotePrefix="0" xfId="0">
      <alignment horizontal="left" vertical="center"/>
    </xf>
    <xf numFmtId="0" fontId="78" fillId="32" borderId="0" applyAlignment="1" pivotButton="0" quotePrefix="0" xfId="0">
      <alignment vertical="center" wrapText="1"/>
    </xf>
    <xf numFmtId="0" fontId="89" fillId="33" borderId="0" applyAlignment="1" pivotButton="0" quotePrefix="0" xfId="0">
      <alignment vertical="top" wrapText="1"/>
    </xf>
    <xf numFmtId="0" fontId="90" fillId="0" borderId="0" applyAlignment="1" pivotButton="0" quotePrefix="0" xfId="0">
      <alignment vertical="top" wrapText="1"/>
    </xf>
    <xf numFmtId="169" fontId="29" fillId="0" borderId="2" pivotButton="0" quotePrefix="0" xfId="0"/>
    <xf numFmtId="169" fontId="50" fillId="0" borderId="3" pivotButton="0" quotePrefix="0" xfId="0"/>
    <xf numFmtId="169" fontId="53" fillId="0" borderId="1" pivotButton="0" quotePrefix="0" xfId="0"/>
    <xf numFmtId="169" fontId="54" fillId="0" borderId="1" pivotButton="0" quotePrefix="0" xfId="0"/>
    <xf numFmtId="169" fontId="57" fillId="7" borderId="0" pivotButton="0" quotePrefix="0" xfId="0"/>
    <xf numFmtId="169" fontId="58" fillId="7" borderId="0" pivotButton="0" quotePrefix="0" xfId="0"/>
    <xf numFmtId="169" fontId="76" fillId="9" borderId="1" applyAlignment="1" pivotButton="0" quotePrefix="0" xfId="0">
      <alignment horizontal="right"/>
    </xf>
    <xf numFmtId="169" fontId="46" fillId="0" borderId="1" applyAlignment="1" pivotButton="0" quotePrefix="0" xfId="0">
      <alignment horizontal="right"/>
    </xf>
    <xf numFmtId="169" fontId="73" fillId="0" borderId="1" applyAlignment="1" pivotButton="0" quotePrefix="0" xfId="0">
      <alignment horizontal="right"/>
    </xf>
    <xf numFmtId="170" fontId="73" fillId="0" borderId="1" applyAlignment="1" pivotButton="0" quotePrefix="0" xfId="0">
      <alignment horizontal="right"/>
    </xf>
    <xf numFmtId="0" fontId="91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92" fillId="0" borderId="0" applyAlignment="1" pivotButton="0" quotePrefix="0" xfId="0">
      <alignment horizontal="left" vertical="center"/>
    </xf>
    <xf numFmtId="0" fontId="46" fillId="18" borderId="1" applyAlignment="1" pivotButton="0" quotePrefix="0" xfId="0">
      <alignment horizontal="center" vertical="center"/>
    </xf>
    <xf numFmtId="0" fontId="45" fillId="0" borderId="0" applyAlignment="1" pivotButton="0" quotePrefix="0" xfId="0">
      <alignment vertical="center"/>
    </xf>
    <xf numFmtId="0" fontId="93" fillId="18" borderId="1" applyAlignment="1" pivotButton="0" quotePrefix="0" xfId="0">
      <alignment horizontal="center" vertical="center"/>
    </xf>
    <xf numFmtId="0" fontId="64" fillId="10" borderId="0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94" fillId="18" borderId="34" applyAlignment="1" pivotButton="0" quotePrefix="0" xfId="0">
      <alignment vertical="center" indent="1"/>
    </xf>
    <xf numFmtId="0" fontId="0" fillId="18" borderId="35" pivotButton="0" quotePrefix="0" xfId="0"/>
    <xf numFmtId="0" fontId="95" fillId="11" borderId="1" applyAlignment="1" pivotButton="0" quotePrefix="0" xfId="0">
      <alignment horizontal="center" vertical="center"/>
    </xf>
    <xf numFmtId="0" fontId="94" fillId="18" borderId="43" applyAlignment="1" pivotButton="0" quotePrefix="0" xfId="0">
      <alignment vertical="center" indent="1"/>
    </xf>
    <xf numFmtId="0" fontId="97" fillId="12" borderId="1" applyAlignment="1" pivotButton="0" quotePrefix="0" xfId="0">
      <alignment horizontal="center" vertical="center"/>
    </xf>
    <xf numFmtId="0" fontId="94" fillId="18" borderId="46" applyAlignment="1" pivotButton="0" quotePrefix="0" xfId="0">
      <alignment vertical="center" indent="1"/>
    </xf>
    <xf numFmtId="0" fontId="99" fillId="35" borderId="1" applyAlignment="1" pivotButton="0" quotePrefix="0" xfId="0">
      <alignment horizontal="center" vertical="center"/>
    </xf>
    <xf numFmtId="0" fontId="94" fillId="18" borderId="49" applyAlignment="1" pivotButton="0" quotePrefix="0" xfId="0">
      <alignment vertical="center" indent="1"/>
    </xf>
    <xf numFmtId="0" fontId="100" fillId="36" borderId="1" applyAlignment="1" pivotButton="0" quotePrefix="0" xfId="0">
      <alignment horizontal="center" vertical="center"/>
    </xf>
    <xf numFmtId="0" fontId="0" fillId="18" borderId="37" pivotButton="0" quotePrefix="0" xfId="0"/>
    <xf numFmtId="0" fontId="0" fillId="18" borderId="38" pivotButton="0" quotePrefix="0" xfId="0"/>
    <xf numFmtId="0" fontId="0" fillId="18" borderId="39" pivotButton="0" quotePrefix="0" xfId="0"/>
    <xf numFmtId="0" fontId="0" fillId="18" borderId="44" pivotButton="0" quotePrefix="0" xfId="0"/>
    <xf numFmtId="0" fontId="0" fillId="18" borderId="47" pivotButton="0" quotePrefix="0" xfId="0"/>
    <xf numFmtId="0" fontId="0" fillId="18" borderId="50" pivotButton="0" quotePrefix="0" xfId="0"/>
    <xf numFmtId="169" fontId="96" fillId="18" borderId="37" applyAlignment="1" pivotButton="0" quotePrefix="0" xfId="0">
      <alignment vertical="center" indent="1"/>
    </xf>
    <xf numFmtId="169" fontId="98" fillId="18" borderId="44" applyAlignment="1" pivotButton="0" quotePrefix="0" xfId="0">
      <alignment vertical="center" indent="1"/>
    </xf>
    <xf numFmtId="169" fontId="96" fillId="18" borderId="47" applyAlignment="1" pivotButton="0" quotePrefix="0" xfId="0">
      <alignment vertical="center" indent="1"/>
    </xf>
    <xf numFmtId="0" fontId="96" fillId="18" borderId="50" applyAlignment="1" pivotButton="0" quotePrefix="0" xfId="0">
      <alignment vertical="center" indent="1"/>
    </xf>
    <xf numFmtId="0" fontId="43" fillId="18" borderId="40" applyAlignment="1" pivotButton="0" quotePrefix="0" xfId="0">
      <alignment vertical="center" indent="1"/>
    </xf>
    <xf numFmtId="0" fontId="0" fillId="18" borderId="41" pivotButton="0" quotePrefix="0" xfId="0"/>
    <xf numFmtId="0" fontId="0" fillId="18" borderId="42" pivotButton="0" quotePrefix="0" xfId="0"/>
    <xf numFmtId="0" fontId="43" fillId="18" borderId="45" applyAlignment="1" pivotButton="0" quotePrefix="0" xfId="0">
      <alignment vertical="center" indent="1"/>
    </xf>
    <xf numFmtId="0" fontId="43" fillId="18" borderId="48" applyAlignment="1" pivotButton="0" quotePrefix="0" xfId="0">
      <alignment vertical="center" indent="1"/>
    </xf>
    <xf numFmtId="0" fontId="43" fillId="18" borderId="51" applyAlignment="1" pivotButton="0" quotePrefix="0" xfId="0">
      <alignment vertical="center" indent="1"/>
    </xf>
    <xf numFmtId="0" fontId="101" fillId="0" borderId="0" pivotButton="0" quotePrefix="0" xfId="0"/>
    <xf numFmtId="0" fontId="102" fillId="35" borderId="1" applyAlignment="1" pivotButton="0" quotePrefix="0" xfId="0">
      <alignment horizontal="center" vertical="center"/>
    </xf>
    <xf numFmtId="0" fontId="103" fillId="19" borderId="1" applyAlignment="1" pivotButton="0" quotePrefix="0" xfId="0">
      <alignment horizontal="center" vertical="center"/>
    </xf>
    <xf numFmtId="0" fontId="64" fillId="7" borderId="52" applyAlignment="1" pivotButton="0" quotePrefix="0" xfId="0">
      <alignment horizontal="left" vertical="center" indent="1"/>
    </xf>
    <xf numFmtId="0" fontId="64" fillId="7" borderId="52" applyAlignment="1" pivotButton="0" quotePrefix="0" xfId="0">
      <alignment horizontal="center" vertical="center"/>
    </xf>
    <xf numFmtId="0" fontId="104" fillId="18" borderId="1" applyAlignment="1" pivotButton="0" quotePrefix="0" xfId="0">
      <alignment horizontal="center" vertical="center"/>
    </xf>
    <xf numFmtId="0" fontId="46" fillId="18" borderId="1" applyAlignment="1" pivotButton="0" quotePrefix="0" xfId="0">
      <alignment vertical="center" indent="1"/>
    </xf>
    <xf numFmtId="169" fontId="46" fillId="18" borderId="1" applyAlignment="1" pivotButton="0" quotePrefix="0" xfId="0">
      <alignment horizontal="right" vertical="center"/>
    </xf>
    <xf numFmtId="169" fontId="71" fillId="18" borderId="1" applyAlignment="1" pivotButton="0" quotePrefix="0" xfId="0">
      <alignment horizontal="right" vertical="center"/>
    </xf>
    <xf numFmtId="0" fontId="105" fillId="18" borderId="1" applyAlignment="1" pivotButton="0" quotePrefix="0" xfId="0">
      <alignment horizontal="center" vertical="center"/>
    </xf>
    <xf numFmtId="0" fontId="106" fillId="35" borderId="1" applyAlignment="1" pivotButton="0" quotePrefix="0" xfId="0">
      <alignment horizontal="center" vertical="center"/>
    </xf>
    <xf numFmtId="0" fontId="0" fillId="18" borderId="1" pivotButton="0" quotePrefix="0" xfId="0"/>
    <xf numFmtId="0" fontId="104" fillId="19" borderId="1" applyAlignment="1" pivotButton="0" quotePrefix="0" xfId="0">
      <alignment horizontal="center" vertical="center"/>
    </xf>
    <xf numFmtId="0" fontId="46" fillId="19" borderId="1" applyAlignment="1" pivotButton="0" quotePrefix="0" xfId="0">
      <alignment vertical="center" indent="1"/>
    </xf>
    <xf numFmtId="169" fontId="46" fillId="19" borderId="1" applyAlignment="1" pivotButton="0" quotePrefix="0" xfId="0">
      <alignment horizontal="right" vertical="center"/>
    </xf>
    <xf numFmtId="169" fontId="71" fillId="19" borderId="1" applyAlignment="1" pivotButton="0" quotePrefix="0" xfId="0">
      <alignment horizontal="right" vertical="center"/>
    </xf>
    <xf numFmtId="0" fontId="105" fillId="19" borderId="1" applyAlignment="1" pivotButton="0" quotePrefix="0" xfId="0">
      <alignment horizontal="center" vertical="center"/>
    </xf>
    <xf numFmtId="0" fontId="107" fillId="11" borderId="1" applyAlignment="1" pivotButton="0" quotePrefix="0" xfId="0">
      <alignment horizontal="center" vertical="center"/>
    </xf>
    <xf numFmtId="0" fontId="0" fillId="19" borderId="1" pivotButton="0" quotePrefix="0" xfId="0"/>
    <xf numFmtId="0" fontId="108" fillId="16" borderId="1" applyAlignment="1" pivotButton="0" quotePrefix="0" xfId="0">
      <alignment horizontal="center" vertical="center"/>
    </xf>
    <xf numFmtId="0" fontId="109" fillId="37" borderId="1" applyAlignment="1" pivotButton="0" quotePrefix="0" xfId="0">
      <alignment horizontal="center" vertical="center"/>
    </xf>
    <xf numFmtId="0" fontId="36" fillId="7" borderId="53" applyAlignment="1" pivotButton="0" quotePrefix="0" xfId="0">
      <alignment vertical="center" indent="1"/>
    </xf>
    <xf numFmtId="169" fontId="110" fillId="7" borderId="53" applyAlignment="1" pivotButton="0" quotePrefix="0" xfId="0">
      <alignment horizontal="right" vertical="center"/>
    </xf>
    <xf numFmtId="169" fontId="111" fillId="7" borderId="53" applyAlignment="1" pivotButton="0" quotePrefix="0" xfId="0">
      <alignment horizontal="right" vertical="center"/>
    </xf>
    <xf numFmtId="0" fontId="0" fillId="7" borderId="53" pivotButton="0" quotePrefix="0" xfId="0"/>
    <xf numFmtId="0" fontId="112" fillId="7" borderId="53" applyAlignment="1" pivotButton="0" quotePrefix="0" xfId="0">
      <alignment horizontal="center" vertical="center"/>
    </xf>
    <xf numFmtId="0" fontId="113" fillId="18" borderId="54" applyAlignment="1" pivotButton="0" quotePrefix="0" xfId="0">
      <alignment vertical="center" indent="1"/>
    </xf>
    <xf numFmtId="0" fontId="0" fillId="18" borderId="36" pivotButton="0" quotePrefix="0" xfId="0"/>
    <xf numFmtId="0" fontId="119" fillId="17" borderId="57" applyAlignment="1" pivotButton="0" quotePrefix="0" xfId="0">
      <alignment vertical="center" indent="1"/>
    </xf>
    <xf numFmtId="0" fontId="0" fillId="17" borderId="58" pivotButton="0" quotePrefix="0" xfId="0"/>
    <xf numFmtId="0" fontId="0" fillId="17" borderId="59" pivotButton="0" quotePrefix="0" xfId="0"/>
    <xf numFmtId="0" fontId="114" fillId="18" borderId="55" applyAlignment="1" pivotButton="0" quotePrefix="0" xfId="0">
      <alignment vertical="center" indent="1"/>
    </xf>
    <xf numFmtId="0" fontId="105" fillId="18" borderId="55" pivotButton="0" quotePrefix="0" xfId="0"/>
    <xf numFmtId="0" fontId="114" fillId="18" borderId="39" pivotButton="0" quotePrefix="0" xfId="0"/>
    <xf numFmtId="0" fontId="120" fillId="17" borderId="60" applyAlignment="1" pivotButton="0" quotePrefix="0" xfId="0">
      <alignment vertical="center" indent="1"/>
    </xf>
    <xf numFmtId="0" fontId="0" fillId="17" borderId="38" pivotButton="0" quotePrefix="0" xfId="0"/>
    <xf numFmtId="0" fontId="0" fillId="17" borderId="61" pivotButton="0" quotePrefix="0" xfId="0"/>
    <xf numFmtId="0" fontId="115" fillId="18" borderId="55" applyAlignment="1" pivotButton="0" quotePrefix="0" xfId="0">
      <alignment vertical="center" indent="1"/>
    </xf>
    <xf numFmtId="0" fontId="62" fillId="17" borderId="60" applyAlignment="1" pivotButton="0" quotePrefix="0" xfId="0">
      <alignment vertical="center" indent="1"/>
    </xf>
    <xf numFmtId="0" fontId="116" fillId="18" borderId="55" applyAlignment="1" pivotButton="0" quotePrefix="0" xfId="0">
      <alignment vertical="center" indent="1"/>
    </xf>
    <xf numFmtId="0" fontId="0" fillId="35" borderId="1" pivotButton="0" quotePrefix="0" xfId="0"/>
    <xf numFmtId="0" fontId="117" fillId="18" borderId="55" applyAlignment="1" pivotButton="0" quotePrefix="0" xfId="0">
      <alignment vertical="center" indent="1"/>
    </xf>
    <xf numFmtId="0" fontId="118" fillId="38" borderId="1" applyAlignment="1" pivotButton="0" quotePrefix="0" xfId="0">
      <alignment horizontal="center" vertical="center"/>
    </xf>
    <xf numFmtId="0" fontId="121" fillId="18" borderId="1" applyAlignment="1" pivotButton="0" quotePrefix="0" xfId="0">
      <alignment horizontal="center" vertical="center"/>
    </xf>
    <xf numFmtId="0" fontId="0" fillId="18" borderId="56" pivotButton="0" quotePrefix="0" xfId="0"/>
    <xf numFmtId="0" fontId="27" fillId="0" borderId="6" pivotButton="0" quotePrefix="0" xfId="0"/>
    <xf numFmtId="0" fontId="114" fillId="0" borderId="6" pivotButton="0" quotePrefix="0" xfId="0"/>
    <xf numFmtId="0" fontId="122" fillId="12" borderId="62" applyAlignment="1" pivotButton="0" quotePrefix="0" xfId="0">
      <alignment vertical="center" indent="1"/>
    </xf>
    <xf numFmtId="0" fontId="127" fillId="11" borderId="66" applyAlignment="1" pivotButton="0" quotePrefix="0" xfId="0">
      <alignment vertical="center" indent="1"/>
    </xf>
    <xf numFmtId="0" fontId="0" fillId="18" borderId="63" pivotButton="0" quotePrefix="0" xfId="0"/>
    <xf numFmtId="0" fontId="0" fillId="18" borderId="64" pivotButton="0" quotePrefix="0" xfId="0"/>
    <xf numFmtId="0" fontId="0" fillId="18" borderId="67" pivotButton="0" quotePrefix="0" xfId="0"/>
    <xf numFmtId="0" fontId="0" fillId="18" borderId="68" pivotButton="0" quotePrefix="0" xfId="0"/>
    <xf numFmtId="0" fontId="123" fillId="18" borderId="63" pivotButton="0" quotePrefix="0" xfId="0"/>
    <xf numFmtId="0" fontId="124" fillId="18" borderId="38" applyAlignment="1" pivotButton="0" quotePrefix="0" xfId="0">
      <alignment horizontal="right" vertical="center"/>
    </xf>
    <xf numFmtId="0" fontId="123" fillId="18" borderId="67" pivotButton="0" quotePrefix="0" xfId="0"/>
    <xf numFmtId="0" fontId="128" fillId="18" borderId="38" applyAlignment="1" pivotButton="0" quotePrefix="0" xfId="0">
      <alignment horizontal="right" vertical="center"/>
    </xf>
    <xf numFmtId="169" fontId="113" fillId="18" borderId="38" applyAlignment="1" pivotButton="0" quotePrefix="0" xfId="0">
      <alignment horizontal="right" vertical="center"/>
    </xf>
    <xf numFmtId="169" fontId="125" fillId="18" borderId="38" applyAlignment="1" pivotButton="0" quotePrefix="0" xfId="0">
      <alignment horizontal="right" vertical="center"/>
    </xf>
    <xf numFmtId="170" fontId="125" fillId="18" borderId="38" applyAlignment="1" pivotButton="0" quotePrefix="0" xfId="0">
      <alignment horizontal="right" vertical="center"/>
    </xf>
    <xf numFmtId="0" fontId="125" fillId="18" borderId="38" applyAlignment="1" pivotButton="0" quotePrefix="0" xfId="0">
      <alignment horizontal="right" vertical="center"/>
    </xf>
    <xf numFmtId="0" fontId="126" fillId="12" borderId="65" applyAlignment="1" pivotButton="0" quotePrefix="0" xfId="0">
      <alignment horizontal="center" vertical="center"/>
    </xf>
    <xf numFmtId="0" fontId="76" fillId="11" borderId="69" applyAlignment="1" pivotButton="0" quotePrefix="0" xfId="0">
      <alignment horizontal="center" vertical="center"/>
    </xf>
    <xf numFmtId="0" fontId="101" fillId="18" borderId="54" applyAlignment="1" pivotButton="0" quotePrefix="0" xfId="0">
      <alignment vertical="center" indent="1"/>
    </xf>
    <xf numFmtId="0" fontId="0" fillId="18" borderId="55" pivotButton="0" quotePrefix="0" xfId="0"/>
    <xf numFmtId="0" fontId="113" fillId="18" borderId="55" applyAlignment="1" pivotButton="0" quotePrefix="0" xfId="0">
      <alignment vertical="center" indent="1"/>
    </xf>
    <xf numFmtId="0" fontId="105" fillId="18" borderId="55" applyAlignment="1" pivotButton="0" quotePrefix="0" xfId="0">
      <alignment vertical="center" indent="2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bgColor rgb="FF000000"/>
        </patternFill>
      </fill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595959"/>
      </font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ill>
        <patternFill patternType="solid">
          <fgColor rgb="FFED7D31"/>
          <bgColor rgb="FF000000"/>
        </patternFill>
      </fill>
    </dxf>
    <dxf>
      <font>
        <name val="Segoe UI"/>
        <charset val="1"/>
        <family val="0"/>
        <color rgb="FFED7D31"/>
      </font>
    </dxf>
    <dxf>
      <fill>
        <patternFill patternType="solid">
          <fgColor rgb="FFFDE9E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CFFCC"/>
      <rgbColor rgb="FFFDE9E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ED7D31"/>
      <rgbColor rgb="FF8064A2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Q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M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O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P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A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B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C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D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E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F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G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H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I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J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K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K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L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N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0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1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2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3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4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5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6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7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8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5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6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7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8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199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0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1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2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3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  <comment ref="N204" authorId="0" shapeId="0">
      <text>
        <t>Tanım: Bu alan manuel veri girişi içindir | Neden önemli: Girilen değer hesaplamaları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2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3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4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tables/table1.xml><?xml version="1.0" encoding="utf-8"?>
<table xmlns="http://schemas.openxmlformats.org/spreadsheetml/2006/main" id="1" name="tblMusteriler" displayName="tblMusteriler" ref="A5:R204" headerRowCount="1" totalsRowCount="0" totalsRowShown="0">
  <tableColumns count="18">
    <tableColumn id="1" name="Müşteri Kodu"/>
    <tableColumn id="2" name="Unvan"/>
    <tableColumn id="3" name="Vergi Numarası"/>
    <tableColumn id="4" name="Sektör"/>
    <tableColumn id="5" name="Bölge"/>
    <tableColumn id="6" name="Satış Sorumlusu"/>
    <tableColumn id="7" name="İlk Çalışma Tarihi"/>
    <tableColumn id="8" name="Varsayılan Vade"/>
    <tableColumn id="9" name="Onaylı Risk Limiti"/>
    <tableColumn id="10" name="Geçici Ek Limit"/>
    <tableColumn id="11" name="Limit Bitiş Tarihi"/>
    <tableColumn id="12" name="Teminat Türü"/>
    <tableColumn id="13" name="Teminat Değeri"/>
    <tableColumn id="14" name="Teminat Geçerlilik Tarihi"/>
    <tableColumn id="15" name="Grup Şirketi"/>
    <tableColumn id="16" name="Kritik Müşteri mi?"/>
    <tableColumn id="17" name="Durum"/>
    <tableColumn id="18" name="Kontrol">
      <calculatedColumnFormula>=IF($A6="","",IF(COUNTA($A6:$Q6)&gt;=ZorunluAlanSayisi,"OK","EKSİK"))</calculatedColumnFormula>
    </tableColumn>
  </tableColumns>
</table>
</file>

<file path=xl/tables/table2.xml><?xml version="1.0" encoding="utf-8"?>
<table xmlns="http://schemas.openxmlformats.org/spreadsheetml/2006/main" id="2" name="tblFaturalar" displayName="tblFaturalar" ref="A5:Q204" headerRowCount="1" totalsRowCount="0" totalsRowShown="0">
  <tableColumns count="17">
    <tableColumn id="1" name="Fatura Kayıt Numarası"/>
    <tableColumn id="2" name="Fatura Numarası"/>
    <tableColumn id="3" name="Müşteri Kodu"/>
    <tableColumn id="4" name="Fatura Tarihi"/>
    <tableColumn id="5" name="Vade Tarihi"/>
    <tableColumn id="6" name="Fatura Tutarı"/>
    <tableColumn id="7" name="Para Birimi"/>
    <tableColumn id="8" name="Kur"/>
    <tableColumn id="9" name="TL Tutarı">
      <calculatedColumnFormula>IF(tblFaturalar[[#This Row],[Fatura Numarası]]="","",tblFaturalar[[#This Row],[Fatura Tutarı]]*tblFaturalar[[#This Row],[Kur]])</calculatedColumnFormula>
    </tableColumn>
    <tableColumn id="10" name="İade/İskonto"/>
    <tableColumn id="11" name="Net Fatura">
      <calculatedColumnFormula>IF(tblFaturalar[[#This Row],[Fatura Numarası]]="","",tblFaturalar[[#This Row],[TL Tutarı]]-tblFaturalar[[#This Row],[İade/İskonto]])</calculatedColumnFormula>
    </tableColumn>
    <tableColumn id="12" name="İtirazlı Tutar"/>
    <tableColumn id="13" name="Teminat Kapsamı"/>
    <tableColumn id="14" name="Proje/Sipariş"/>
    <tableColumn id="15" name="Satış Sorumlusu"/>
    <tableColumn id="16" name="Belge Durumu"/>
    <tableColumn id="17" name="Mükerrer Kontrol">
      <calculatedColumnFormula>IF(tblFaturalar[[#This Row],[Fatura Numarası]]="","",IF(COUNTIFS(tblFaturalar[Fatura Numarası],tblFaturalar[[#This Row],[Fatura Numarası]],tblFaturalar[Müşteri Kodu],tblFaturalar[[#This Row],[Müşteri Kodu]])&gt;1,"MÜKERRER","UYGUN"))</calculatedColumnFormula>
    </tableColumn>
  </tableColumns>
</table>
</file>

<file path=xl/tables/table3.xml><?xml version="1.0" encoding="utf-8"?>
<table xmlns="http://schemas.openxmlformats.org/spreadsheetml/2006/main" id="3" name="tblTahsilatlar" displayName="tblTahsilatlar" ref="A5:K204" headerRowCount="1" totalsRowCount="0" totalsRowShown="0">
  <tableColumns count="11">
    <tableColumn id="1" name="Tahsilat Kayıt Numarası"/>
    <tableColumn id="2" name="Tarih"/>
    <tableColumn id="3" name="Müşteri Kodu"/>
    <tableColumn id="4" name="Fatura Numarası"/>
    <tableColumn id="5" name="Tahsilat Tutarı"/>
    <tableColumn id="6" name="Ödeme Türü"/>
    <tableColumn id="7" name="Banka/Kasa"/>
    <tableColumn id="8" name="Çek/Senet Numarası"/>
    <tableColumn id="9" name="Valör Tarihi"/>
    <tableColumn id="10" name="Kesinleşti mi?">
      <calculatedColumnFormula>=IF(tblTahsilatlar[[#This Row],[Tarih]]="","",IF(ISNUMBER(tblTahsilatlar[[#This Row],[Tahsilat Tutarı]]),IF(OR(tblTahsilatlar[[#This Row],[Ödeme Türü]]="Çek/Senet",tblTahsilatlar[[#This Row],[Ödeme Türü]]=""),"Hayır","Evet"),"Hayır"))</calculatedColumnFormula>
    </tableColumn>
    <tableColumn id="11" name="Açıklama"/>
  </tableColumns>
</table>
</file>

<file path=xl/tables/table4.xml><?xml version="1.0" encoding="utf-8"?>
<table xmlns="http://schemas.openxmlformats.org/spreadsheetml/2006/main" id="4" name="tblTeminatlar" displayName="tblTeminatlar" ref="A5:L204" headerRowCount="1" totalsRowCount="0" totalsRowShown="0">
  <tableColumns count="12">
    <tableColumn id="1" name="Teminat Kayıt Numarası"/>
    <tableColumn id="2" name="Müşteri Kodu"/>
    <tableColumn id="3" name="Teminat Türü"/>
    <tableColumn id="4" name="Belge Numarası"/>
    <tableColumn id="5" name="Başlangıç Tarihi"/>
    <tableColumn id="6" name="Geçerlilik Tarihi"/>
    <tableColumn id="7" name="Nominal Değer"/>
    <tableColumn id="8" name="Değerleme İndirimi"/>
    <tableColumn id="9" name="Kabul Edilen Değer">
      <calculatedColumnFormula>tblTeminatlar[[#This Row],[Nominal Değer]]*(1-tblTeminatlar[[#This Row],[Değerleme İndirimi]])</calculatedColumnFormula>
    </tableColumn>
    <tableColumn id="10" name="Para Birimi"/>
    <tableColumn id="11" name="Durum">
      <calculatedColumnFormula>IF(tblTeminatlar[[#This Row],[Geçerlilik Tarihi]]="","",IF(tblTeminatlar[[#This Row],[Geçerlilik Tarihi]]&lt;RaporTarihi,"SÜRESİ GEÇTİ",IF(tblTeminatlar[[#This Row],[Geçerlilik Tarihi]]-RaporTarihi&lt;=YenilemeUyariGunu,"30 GÜN İÇİNDE BİTİYOR","GEÇERLİ")))</calculatedColumnFormula>
    </tableColumn>
    <tableColumn id="12" name="Kontrol">
      <calculatedColumnFormula>=IF($A6="","",IF(COUNTA($A6:$J6)&gt;=ZorunluTeminatAlanSayisi,"OK","EKSİK"))</calculatedColumnFormula>
    </tableColumn>
  </tableColumns>
</table>
</file>

<file path=xl/tables/table5.xml><?xml version="1.0" encoding="utf-8"?>
<table xmlns="http://schemas.openxmlformats.org/spreadsheetml/2006/main" id="5" name="tblIletisim" displayName="tblIletisim" ref="A5:L204" headerRowCount="1" totalsRowCount="0" totalsRowShown="0">
  <tableColumns count="12">
    <tableColumn id="1" name="Takip Kayıt Numarası"/>
    <tableColumn id="2" name="Tarih"/>
    <tableColumn id="3" name="Müşteri Kodu"/>
    <tableColumn id="4" name="Yetkili Kişi"/>
    <tableColumn id="5" name="Kanal"/>
    <tableColumn id="6" name="Görüşme Sonucu"/>
    <tableColumn id="7" name="Söz Verilen Tarih"/>
    <tableColumn id="8" name="Söz Verilen Tutar"/>
    <tableColumn id="9" name="Sonraki Aksiyon"/>
    <tableColumn id="10" name="Sorumlu"/>
    <tableColumn id="11" name="Söz Gecikme Günü">
      <calculatedColumnFormula>=IF(tblIletisim[[#This Row],[Tarih]]="","",IF(tblIletisim[[#This Row],[Söz Verilen Tarih]]="","",MAX(0,RaporTarihi-tblIletisim[[#This Row],[Söz Verilen Tarih]])))</calculatedColumnFormula>
    </tableColumn>
    <tableColumn id="12" name="Söz Durumu">
      <calculatedColumnFormula>=IF(tblIletisim[[#This Row],[Tarih]]="","",IF(tblIletisim[[#This Row],[Söz Verilen Tarih]]="","BEKLİYOR",IF(RaporTarihi-tblIletisim[[#This Row],[Söz Verilen Tarih]]&gt;0,"SÖZ GECİKTİ",IF(tblIletisim[[#This Row],[Görüşme Sonucu]]="Yerine getirildi","YERİNE GETİRİLDİ","BEKLİYOR"))))</calculatedColumnFormula>
    </tableColumn>
  </tableColumns>
</table>
</file>

<file path=xl/tables/table6.xml><?xml version="1.0" encoding="utf-8"?>
<table xmlns="http://schemas.openxmlformats.org/spreadsheetml/2006/main" id="6" name="tblYaslandirma" displayName="tblYaslandirma" ref="A5:J204" headerRowCount="1" totalsRowCount="0" totalsRowShown="0">
  <tableColumns count="10">
    <tableColumn id="1" name="Fatura Numarası">
      <calculatedColumnFormula>tblFaturalar[[#This Row],[Fatura Numarası]]</calculatedColumnFormula>
    </tableColumn>
    <tableColumn id="2" name="Müşteri Kodu">
      <calculatedColumnFormula>tblFaturalar[[#This Row],[Müşteri Kodu]]</calculatedColumnFormula>
    </tableColumn>
    <tableColumn id="3" name="Vade Tarihi">
      <calculatedColumnFormula>tblFaturalar[[#This Row],[Vade Tarihi]]</calculatedColumnFormula>
    </tableColumn>
    <tableColumn id="4" name="Net Fatura">
      <calculatedColumnFormula>tblFaturalar[[#This Row],[Net Fatura]]</calculatedColumnFormula>
    </tableColumn>
    <tableColumn id="5" name="Kesin Tahsilat">
      <calculatedColumnFormula>SUMIFS(tblTahsilatlar[Tahsilat Tutarı],tblTahsilatlar[Fatura Numarası],tblYaslandirma[[#This Row],[Fatura Numarası]],tblTahsilatlar[Kesinleşti mi?],"Evet")</calculatedColumnFormula>
    </tableColumn>
    <tableColumn id="6" name="Açık Tutar">
      <calculatedColumnFormula>IF(tblYaslandirma[[#This Row],[Net Fatura]]="","",MAX(0,tblYaslandirma[[#This Row],[Net Fatura]]-tblYaslandirma[[#This Row],[Kesin Tahsilat]]))</calculatedColumnFormula>
    </tableColumn>
    <tableColumn id="7" name="Gecikme Günü">
      <calculatedColumnFormula>IF(tblYaslandirma[[#This Row],[Açık Tutar]]="","",IF(tblYaslandirma[[#This Row],[Açık Tutar]]=0,0,MAX(0,RaporTarihi-tblYaslandirma[[#This Row],[Vade Tarihi]])))</calculatedColumnFormula>
    </tableColumn>
    <tableColumn id="8" name="Yaşlandırma">
      <calculatedColumnFormula>IF(tblYaslandirma[[#This Row],[Açık Tutar]]="","",IF(tblYaslandirma[[#This Row],[Açık Tutar]]=0,"KAPALI",IF(tblYaslandirma[[#This Row],[Gecikme Günü]]&lt;=0,"VADESİ GELMEMİŞ",IF(tblYaslandirma[[#This Row],[Gecikme Günü]]&lt;=YaslamaDilim1,"1-"&amp;TEXT(YaslamaDilim1,"0"),IF(tblYaslandirma[[#This Row],[Gecikme Günü]]&lt;=YaslamaDilim2,TEXT(YaslamaDilim1+1,"0")&amp;"-"&amp;TEXT(YaslamaDilim2,"0"),IF(tblYaslandirma[[#This Row],[Gecikme Günü]]&lt;=YaslamaDilim3,TEXT(YaslamaDilim2+1,"0")&amp;"-"&amp;TEXT(YaslamaDilim3,"0"),TEXT(YaslamaDilim3+1,"0")&amp;"+"))))))</calculatedColumnFormula>
    </tableColumn>
    <tableColumn id="9" name="İtirazlı Tutar">
      <calculatedColumnFormula>IF(tblFaturalar[[#This Row],[İtirazlı Tutar]]=0,"",tblFaturalar[[#This Row],[İtirazlı Tutar]])</calculatedColumnFormula>
    </tableColumn>
    <tableColumn id="10" name="Teminat Kapsamı">
      <calculatedColumnFormula>IF(tblFaturalar[[#This Row],[Teminat Kapsamı]]=0,"",tblFaturalar[[#This Row],[Teminat Kapsamı]])</calculatedColumnFormula>
    </tableColumn>
  </tableColumns>
</table>
</file>

<file path=xl/tables/table7.xml><?xml version="1.0" encoding="utf-8"?>
<table xmlns="http://schemas.openxmlformats.org/spreadsheetml/2006/main" id="7" name="tblRisk" displayName="tblRisk" ref="A5:X204" headerRowCount="1" totalsRowCount="0" totalsRowShown="0">
  <tableColumns count="24">
    <tableColumn id="1" name="Müşteri Kodu">
      <calculatedColumnFormula>tblMusteriler[[#This Row],[Müşteri Kodu]]</calculatedColumnFormula>
    </tableColumn>
    <tableColumn id="2" name="Unvan">
      <calculatedColumnFormula>tblMusteriler[[#This Row],[Unvan]]</calculatedColumnFormula>
    </tableColumn>
    <tableColumn id="3" name="Açık Bakiye">
      <calculatedColumnFormula>SUMIFS(tblYaslandirma[Açık Tutar],tblYaslandirma[Müşteri Kodu],tblRisk[[#This Row],[Müşteri Kodu]])</calculatedColumnFormula>
    </tableColumn>
    <tableColumn id="4" name="Risk Limiti">
      <calculatedColumnFormula>tblMusteriler[[#This Row],[Onaylı Risk Limiti]]+tblMusteriler[[#This Row],[Geçici Ek Limit]]</calculatedColumnFormula>
    </tableColumn>
    <tableColumn id="5" name="Kullanılabilir Limit">
      <calculatedColumnFormula>tblRisk[[#This Row],[Risk Limiti]]-tblRisk[[#This Row],[Açık Bakiye]]</calculatedColumnFormula>
    </tableColumn>
    <tableColumn id="6" name="Limit Kullanım Oranı">
      <calculatedColumnFormula>IFERROR(tblRisk[[#This Row],[Açık Bakiye]]/tblRisk[[#This Row],[Risk Limiti]],1)</calculatedColumnFormula>
    </tableColumn>
    <tableColumn id="7" name="Vadesi Geçmiş">
      <calculatedColumnFormula>SUMIFS(tblYaslandirma[Açık Tutar],tblYaslandirma[Müşteri Kodu],tblRisk[[#This Row],[Müşteri Kodu]],tblYaslandirma[Gecikme Günü],"&gt;0")</calculatedColumnFormula>
    </tableColumn>
    <tableColumn id="8" name="Vadesi Geçmiş Oranı">
      <calculatedColumnFormula>IF(tblRisk[[#This Row],[Açık Bakiye]]=0,0,tblRisk[[#This Row],[Vadesi Geçmiş]]/tblRisk[[#This Row],[Açık Bakiye]])</calculatedColumnFormula>
    </tableColumn>
    <tableColumn id="9" name="Maks Gecikme Günü">
      <calculatedColumnFormula>_xlfn.MAXIFS(tblYaslandirma[Gecikme Günü],tblYaslandirma[Müşteri Kodu],tblRisk[[#This Row],[Müşteri Kodu]])</calculatedColumnFormula>
    </tableColumn>
    <tableColumn id="10" name="Teminat Değeri">
      <calculatedColumnFormula>SUMIFS(tblTeminatlar[Kabul Edilen Değer],tblTeminatlar[Müşteri Kodu],tblRisk[[#This Row],[Müşteri Kodu]])</calculatedColumnFormula>
    </tableColumn>
    <tableColumn id="11" name="Net Risk">
      <calculatedColumnFormula>MAX(0,tblRisk[[#This Row],[Açık Bakiye]]-tblRisk[[#This Row],[Teminat Değeri]])</calculatedColumnFormula>
    </tableColumn>
    <tableColumn id="12" name="Yoğunlaşma Oranı">
      <calculatedColumnFormula>IF(SUM(tblRisk[Açık Bakiye])=0,0,tblRisk[[#This Row],[Açık Bakiye]]/SUM(tblRisk[Açık Bakiye]))</calculatedColumnFormula>
    </tableColumn>
    <tableColumn id="13" name="İtirazlı Tutar">
      <calculatedColumnFormula>SUMIFS(tblYaslandirma[İtirazlı Tutar],tblYaslandirma[Müşteri Kodu],tblRisk[[#This Row],[Müşteri Kodu]])</calculatedColumnFormula>
    </tableColumn>
    <tableColumn id="14" name="Gecikme Katkısı">
      <calculatedColumnFormula>MIN(GecikmeMaxPuan,tblRisk[[#This Row],[Maks Gecikme Günü]]/YaslamaDilim3*GecikmeMaxPuan)</calculatedColumnFormula>
    </tableColumn>
    <tableColumn id="15" name="Vade Katkısı">
      <calculatedColumnFormula>MIN(VadeMaxPuan,tblRisk[[#This Row],[Vadesi Geçmiş Oranı]]*VadeMaxPuan)</calculatedColumnFormula>
    </tableColumn>
    <tableColumn id="16" name="Limit Katkısı">
      <calculatedColumnFormula>MIN(LimitMaxPuan,tblRisk[[#This Row],[Limit Kullanım Oranı]]*LimitMaxPuan)</calculatedColumnFormula>
    </tableColumn>
    <tableColumn id="17" name="Teminat Katkısı">
      <calculatedColumnFormula>IF(tblRisk[[#This Row],[Açık Bakiye]]=0,0,MIN(TeminatMaxPuan,tblRisk[[#This Row],[Net Risk]]/tblRisk[[#This Row],[Açık Bakiye]]*TeminatMaxPuan))</calculatedColumnFormula>
    </tableColumn>
    <tableColumn id="18" name="İtiraz Katkısı">
      <calculatedColumnFormula>IF(tblRisk[[#This Row],[Açık Bakiye]]=0,0,MIN(ItirazMaxPuan,tblRisk[[#This Row],[İtirazlı Tutar]]/tblRisk[[#This Row],[Açık Bakiye]]*ItirazMaxPuan))</calculatedColumnFormula>
    </tableColumn>
    <tableColumn id="19" name="Statü Katkısı">
      <calculatedColumnFormula>IF(tblMusteriler[[#This Row],[Durum]]="Askıda",StatufAskida,IF(tblMusteriler[[#This Row],[Durum]]="İzlemede",StatufIzleme,0))</calculatedColumnFormula>
    </tableColumn>
    <tableColumn id="20" name="Veri Kalitesi">
      <calculatedColumnFormula>IF(tblMusteriler[[#This Row],[Kontrol]]="OK",100,IF(tblMusteriler[[#This Row],[Kontrol]]="EKSİK",VeriKalitesiEksik,0))</calculatedColumnFormula>
    </tableColumn>
    <tableColumn id="21" name="Güven">
      <calculatedColumnFormula>IF(tblRisk[[#This Row],[Veri Kalitesi]]&gt;=GuvenYuksek,"YÜKSEK",IF(tblRisk[[#This Row],[Veri Kalitesi]]&gt;=GuvenOrta,"ORTA","DÜŞÜK"))</calculatedColumnFormula>
    </tableColumn>
    <tableColumn id="22" name="Karar">
      <calculatedColumnFormula>IF(tblRisk[[#This Row],[Risk Skoru]]&lt;=EsikDevam,"DEVAM",IF(tblRisk[[#This Row],[Risk Skoru]]&lt;=EsikIzle,"İZLE",IF(tblRisk[[#This Row],[Risk Skoru]]&lt;=EsikLimitAzalt,"LİMİTİ AZALT",IF(tblRisk[[#This Row],[Risk Skoru]]&lt;=EsikPesin,"PEŞİN / TEMİNATLI","VADELİ SATIŞI DURDUR"))))</calculatedColumnFormula>
    </tableColumn>
    <tableColumn id="23" name="Aksiyon">
      <calculatedColumnFormula>IF(tblRisk[[#This Row],[Risk Skoru]]&gt;EsikKritik,"Yönetim onayı ve acil tahsilat planı",IF(tblRisk[[#This Row],[Risk Skoru]]&gt;EsikYuksek,"Yeni satışı teminata bağla",IF(tblRisk[[#This Row],[Risk Skoru]]&gt;EsikIzle,"Limit revizyonu ve tahsilatı hızlandır","Planlı izleme")))</calculatedColumnFormula>
    </tableColumn>
    <tableColumn id="24" name="Risk Skoru">
      <calculatedColumnFormula>ROUND(MIN(100,SUM(tblRisk[[#This Row],[Gecikme Katkısı]]+tblRisk[[#This Row],[Vade Katkısı]]+tblRisk[[#This Row],[Limit Katkısı]]+tblRisk[[#This Row],[Teminat Katkısı]]+tblRisk[[#This Row],[İtiraz Katkısı]]+tblRisk[[#This Row],[Statü Katkısı]])),0)</calculatedColumnFormula>
    </tableColumn>
  </tableColumns>
</table>
</file>

<file path=xl/tables/table8.xml><?xml version="1.0" encoding="utf-8"?>
<table xmlns="http://schemas.openxmlformats.org/spreadsheetml/2006/main" id="8" name="tblAksiyon" displayName="tblAksiyon" ref="A5:L204" headerRowCount="1" totalsRowCount="0" totalsRowShown="0">
  <tableColumns count="12">
    <tableColumn id="1" name="Öncelik">
      <calculatedColumnFormula>IF(tblYaslandirma[[#This Row],[Açık Tutar]]=0,"",IFERROR(_xlfn.RANK.EQ(tblRisk[[#This Row],[Risk Skoru]],tblRisk[Risk Skoru],0),""))</calculatedColumnFormula>
    </tableColumn>
    <tableColumn id="2" name="Müşteri Kodu">
      <calculatedColumnFormula>tblYaslandirma[[#This Row],[Müşteri Kodu]]</calculatedColumnFormula>
    </tableColumn>
    <tableColumn id="3" name="Fatura Numarası">
      <calculatedColumnFormula>tblYaslandirma[[#This Row],[Fatura Numarası]]</calculatedColumnFormula>
    </tableColumn>
    <tableColumn id="4" name="Açık Tutar">
      <calculatedColumnFormula>tblYaslandirma[[#This Row],[Açık Tutar]]</calculatedColumnFormula>
    </tableColumn>
    <tableColumn id="5" name="Gecikme Günü">
      <calculatedColumnFormula>tblYaslandirma[[#This Row],[Gecikme Günü]]</calculatedColumnFormula>
    </tableColumn>
    <tableColumn id="6" name="Risk Skoru">
      <calculatedColumnFormula>IFERROR(INDEX(tblRisk[Risk Skoru],MATCH(tblAksiyon[[#This Row],[Müşteri Kodu]],tblRisk[Müşteri Kodu],0)),0)</calculatedColumnFormula>
    </tableColumn>
    <tableColumn id="7" name="Önerilen İletişim">
      <calculatedColumnFormula>IF(tblAksiyon[[#This Row],[Risk Skoru]]&gt;=EsikYuksek,"Telefon + yönetici eskalasyonu",IF(tblAksiyon[[#This Row],[Gecikme Günü]]&gt;YaslamaDilim2,"Telefon + yazılı teyit","Planlı e-posta/telefon"))</calculatedColumnFormula>
    </tableColumn>
    <tableColumn id="8" name="Önerilen Aksiyon">
      <calculatedColumnFormula>IF(tblAksiyon[[#This Row],[Açık Tutar]]=0,"KAPALI",IF(tblAksiyon[[#This Row],[Risk Skoru]]&gt;EsikPesin,"Vadeli satışı durdur ve tahsilat planı al",IF(tblAksiyon[[#This Row],[Risk Skoru]]&gt;EsikLimitAzalt,"Peşin/teminatlı satışa geç",IF(tblAksiyon[[#This Row],[Risk Skoru]]&gt;EsikIzle,"Limit azalt ve tahsilatı hızlandır","Planlı izleme"))))</calculatedColumnFormula>
    </tableColumn>
    <tableColumn id="9" name="Sorumlu">
      <calculatedColumnFormula>IFERROR(INDEX(tblMusteriler[Satış Sorumlusu],MATCH(tblAksiyon[[#This Row],[Müşteri Kodu]],tblMusteriler[Müşteri Kodu],0)),"Tahsilat Ekibi")</calculatedColumnFormula>
    </tableColumn>
    <tableColumn id="10" name="Son Tarih">
      <calculatedColumnFormula>RaporTarihi+IF(tblAksiyon[[#This Row],[Risk Skoru]]&gt;EsikPesin,1,IF(tblAksiyon[[#This Row],[Risk Skoru]]&gt;EsikLimitAzalt,AksiyonGunOrta,AksiyonGunUzun))</calculatedColumnFormula>
    </tableColumn>
    <tableColumn id="11" name="Durum"/>
    <tableColumn id="12" name="Not"/>
  </tableColumns>
</table>
</file>

<file path=xl/tables/table9.xml><?xml version="1.0" encoding="utf-8"?>
<table xmlns="http://schemas.openxmlformats.org/spreadsheetml/2006/main" id="9" name="tblKarar" displayName="tblKarar" ref="A5:N204" headerRowCount="1" totalsRowCount="0" totalsRowShown="0">
  <tableColumns count="14">
    <tableColumn id="1" name="Müşteri">
      <calculatedColumnFormula>tblRisk[[#This Row],[Müşteri Kodu]]&amp;" - "&amp;tblRisk[[#This Row],[Unvan]]</calculatedColumnFormula>
    </tableColumn>
    <tableColumn id="2" name="Risk Seviyesi">
      <calculatedColumnFormula>IF(tblRisk[[#This Row],[Risk Skoru]]&gt;EsikKritik,"KRİTİK",IF(tblRisk[[#This Row],[Risk Skoru]]&gt;EsikYuksek,"RİSKLİ",IF(tblRisk[[#This Row],[Risk Skoru]]&gt;EsikIzle,"İZLE","NORMAL")))</calculatedColumnFormula>
    </tableColumn>
    <tableColumn id="3" name="Tespit">
      <calculatedColumnFormula>IF(tblRisk[[#This Row],[Maks Gecikme Günü]]&gt;YaslamaDilim3,"90+ gün gecikme",IF(tblRisk[[#This Row],[Limit Kullanım Oranı]]&gt;1,"Limit aşımı",IF(tblRisk[[#This Row],[İtirazlı Tutar]]&gt;0,"İtirazlı alacak","Planlı izleme")))</calculatedColumnFormula>
    </tableColumn>
    <tableColumn id="4" name="Sayısal Kanıt">
      <calculatedColumnFormula>"Skor "&amp;tblRisk[[#This Row],[Risk Skoru]]&amp;" | Açık "&amp;TEXT(tblRisk[[#This Row],[Açık Bakiye]],"₺ #,##0")</calculatedColumnFormula>
    </tableColumn>
    <tableColumn id="5" name="Kök Neden">
      <calculatedColumnFormula>IF(tblRisk[[#This Row],[Net Risk]]&gt;0,"Teminat açığı","Kontrollü risk")</calculatedColumnFormula>
    </tableColumn>
    <tableColumn id="6" name="Finansal Etki">
      <calculatedColumnFormula>"Net risk "&amp;TEXT(tblRisk[[#This Row],[Net Risk]],"₺ #,##0")</calculatedColumnFormula>
    </tableColumn>
    <tableColumn id="7" name="Önerilen Karar">
      <calculatedColumnFormula>tblRisk[[#This Row],[Karar]]</calculatedColumnFormula>
    </tableColumn>
    <tableColumn id="8" name="Önerilen Aksiyon">
      <calculatedColumnFormula>tblRisk[[#This Row],[Aksiyon]]</calculatedColumnFormula>
    </tableColumn>
    <tableColumn id="9" name="Sorumlu">
      <calculatedColumnFormula>IF(tblRisk[[#This Row],[Risk Skoru]]&gt;EsikYuksek,"CFO / Finans Müdürü","Tahsilat Yöneticisi")</calculatedColumnFormula>
    </tableColumn>
    <tableColumn id="10" name="Son Tarih">
      <calculatedColumnFormula>RaporTarihi+IF(tblRisk[[#This Row],[Risk Skoru]]&gt;EsikPesin,1,KararGunu)</calculatedColumnFormula>
    </tableColumn>
    <tableColumn id="11" name="Beklenen Etki">
      <calculatedColumnFormula>"Korunan nakit: "&amp;TEXT(MIN(tblRisk[[#This Row],[Vadesi Geçmiş]],tblRisk[[#This Row],[Net Risk]]),"₺ #,##0")</calculatedColumnFormula>
    </tableColumn>
    <tableColumn id="12" name="Uygulanmazsa Risk">
      <calculatedColumnFormula>IF(tblRisk[[#This Row],[Risk Skoru]]&gt;EsikYuksek,"Tahsil edilememe ve nakit kaybı büyür","İşletme sermayesi baskısı artar")</calculatedColumnFormula>
    </tableColumn>
    <tableColumn id="13" name="Güven">
      <calculatedColumnFormula>tblRisk[[#This Row],[Güven]]</calculatedColumnFormula>
    </tableColumn>
    <tableColumn id="14" name="Kaynak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55" min="1" max="1"/>
    <col width="147.5" customWidth="1" style="55" min="2" max="2"/>
    <col width="13" customWidth="1" style="55" min="3" max="3"/>
    <col width="13" customWidth="1" style="55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EXCELARŞİV KARAR SİSTEMİ v15.1 — ÜRETİM REFERANSI</t>
        </is>
      </c>
    </row>
    <row r="3" ht="24" customHeight="1" s="55">
      <c r="A3" s="206" t="inlineStr">
        <is>
          <t>Konu</t>
        </is>
      </c>
      <c r="B3" s="206" t="inlineStr">
        <is>
          <t>Bağlayıcı Standart</t>
        </is>
      </c>
    </row>
    <row r="4">
      <c r="A4" s="207" t="inlineStr">
        <is>
          <t>Amaç</t>
        </is>
      </c>
      <c r="B4" s="208" t="inlineStr">
        <is>
          <t>Kanıta dayalı, hatada kapalı çalışan Excel üretim ve denetim sistemi</t>
        </is>
      </c>
    </row>
    <row r="5">
      <c r="A5" s="207" t="inlineStr">
        <is>
          <t>Öncelik</t>
        </is>
      </c>
      <c r="B5" s="208" t="inlineStr">
        <is>
          <t>Kullanıcının açık iş talebi ve gerçek kullanım senaryosu</t>
        </is>
      </c>
    </row>
    <row r="6">
      <c r="A6" s="207" t="inlineStr">
        <is>
          <t>Ana akış</t>
        </is>
      </c>
      <c r="B6" s="208" t="inlineStr">
        <is>
          <t>Uygunluk → Yönetişim → Sözleşmeler → Üretim → Test → Kanıt → Kullanıcı Kabulü → Yayın</t>
        </is>
      </c>
    </row>
    <row r="7">
      <c r="A7" s="207" t="inlineStr">
        <is>
          <t>Yayın ilkesi</t>
        </is>
      </c>
      <c r="B7" s="208" t="inlineStr">
        <is>
          <t>Üst aşamada hata varsa alt aşama GEÇTİ üretilemez</t>
        </is>
      </c>
    </row>
    <row r="8">
      <c r="A8" s="207" t="inlineStr">
        <is>
          <t>Kullanıcı kabulü</t>
        </is>
      </c>
      <c r="B8" s="208" t="inlineStr">
        <is>
          <t>Excel masaüstü görünümü test edilmediyse DIŞ_KABUL_GEREKLİ</t>
        </is>
      </c>
    </row>
    <row r="9">
      <c r="A9" s="207" t="inlineStr">
        <is>
          <t>Nihai yayın</t>
        </is>
      </c>
      <c r="B9" s="208" t="inlineStr">
        <is>
          <t>Yalnız uygulanabilir modüller GEÇTİ veya gerekçeli UYGULANMAZ</t>
        </is>
      </c>
    </row>
    <row r="10">
      <c r="A10" s="207" t="inlineStr">
        <is>
          <t>Ticari ayrım</t>
        </is>
      </c>
      <c r="B10" s="208" t="inlineStr">
        <is>
          <t>Ekonomik olarak savunulabilir fiyat, gerçek pazar kabulü ile aynı değildir</t>
        </is>
      </c>
    </row>
    <row r="11">
      <c r="A11" s="207" t="inlineStr">
        <is>
          <t>Karmaşıklık</t>
        </is>
      </c>
      <c r="B11" s="208" t="inlineStr">
        <is>
          <t>Karar değeri, eklenen karmaşıklığın maliyetinden büyük olmalıdır</t>
        </is>
      </c>
    </row>
    <row r="12">
      <c r="A12" s="207" t="inlineStr">
        <is>
          <t>Excel sınırı</t>
        </is>
      </c>
      <c r="B12" s="208" t="inlineStr">
        <is>
          <t>Veritabanı, kurumsal yetkilendirme, değiştirilemez kayıt sistemi veya gerçek zamanlı olay platformu değildir</t>
        </is>
      </c>
    </row>
    <row r="13">
      <c r="A13" s="207" t="inlineStr">
        <is>
          <t>Dil standardı</t>
        </is>
      </c>
      <c r="B13" s="208" t="inlineStr">
        <is>
          <t>Kullanıcıya görünen tüm sayfa, tablo, başlık, açıklama, uyarı ve karar metinleri saf Türkçe olmalıdır</t>
        </is>
      </c>
    </row>
    <row r="14">
      <c r="A14" s="207" t="inlineStr">
        <is>
          <t>Muhasebe standardı</t>
        </is>
      </c>
      <c r="B14" s="208" t="inlineStr">
        <is>
          <t>Finansal ürünlerde Türkiye Tekdüzen Hesap Planı ve Türk muhasebe kullanım alışkanlıkları esas alınır</t>
        </is>
      </c>
    </row>
    <row r="15">
      <c r="A15" s="207" t="inlineStr">
        <is>
          <t>Görsel standart</t>
        </is>
      </c>
      <c r="B15" s="208" t="inlineStr">
        <is>
          <t>Her sayfa başlıklı, renk kodlu, sıkı kolon düzenli ve premium kurumsal görünümde olmalıdır</t>
        </is>
      </c>
    </row>
    <row r="16">
      <c r="A16" s="207" t="inlineStr">
        <is>
          <t>Grafik standardı</t>
        </is>
      </c>
      <c r="B16" s="208" t="inlineStr">
        <is>
          <t>Grafikler karar üretmeli; dekoratif, 3B, anlamsız renkli veya varsayılan Excel grafiği kullanılamaz</t>
        </is>
      </c>
    </row>
    <row r="17">
      <c r="A17" s="207" t="inlineStr">
        <is>
          <t>Hata standardı</t>
        </is>
      </c>
      <c r="B17" s="208" t="inlineStr">
        <is>
          <t>#AD? / #BAŞV! / #DEĞER! / #SAYI/0! / #YOK gibi hatalar GEÇTİ sonucuyla birlikte bulunamaz</t>
        </is>
      </c>
    </row>
    <row r="18">
      <c r="A18" s="207" t="inlineStr">
        <is>
          <t>Karar standardı</t>
        </is>
      </c>
      <c r="B18" s="208" t="inlineStr">
        <is>
          <t>Her kritik çıktı: ne oldu, neden oldu, parasal etki, ne yapılmalı, ne zamana kadar sorularını cevaplar</t>
        </is>
      </c>
    </row>
    <row r="19">
      <c r="A19" s="207" t="inlineStr">
        <is>
          <t>Satış standardı</t>
        </is>
      </c>
      <c r="B19" s="208" t="inlineStr">
        <is>
          <t>Ürün 5 saniyede anlaşılmalı; pahalı problemi, ekonomik sonucu, kanıtı ve satın alma gerekçesini göstermelidir</t>
        </is>
      </c>
    </row>
    <row r="20">
      <c r="A20" s="207" t="inlineStr">
        <is>
          <t>Güven standardı</t>
        </is>
      </c>
      <c r="B20" s="208" t="inlineStr">
        <is>
          <t>Kanıtsız 'premium', 'kusursuz', 'sıfır hata' veya yüksek fiyat iddiası kullanılamaz</t>
        </is>
      </c>
    </row>
    <row r="21">
      <c r="A21" s="207" t="inlineStr">
        <is>
          <t>Kaynak</t>
        </is>
      </c>
      <c r="B21" s="208" t="inlineStr">
        <is>
          <t>Teknik Python çekirdeği 99_TEKNIK_KAYNAK sayfasında saklanır; kullanıcı arayüzü değildir</t>
        </is>
      </c>
    </row>
    <row r="22">
      <c r="A22" s="207" t="inlineStr">
        <is>
          <t>Bağlayıcı standart</t>
        </is>
      </c>
      <c r="B22" s="208" t="inlineStr">
        <is>
          <t>Teknik kaynak içindeki üretim sözleşmesi + bu çalışma kitabındaki Türkçe operasyon standartları</t>
        </is>
      </c>
    </row>
    <row r="23">
      <c r="A23" s="207" t="inlineStr">
        <is>
          <t>Çıktı disiplini</t>
        </is>
      </c>
      <c r="B23" s="208" t="inlineStr">
        <is>
          <t>Kanıtsız GEÇTİ / NİHAİ / TİCARİ / PAZAR_DOĞRULANDI statüsü yasaktır</t>
        </is>
      </c>
    </row>
    <row r="24">
      <c r="A24" s="207" t="inlineStr">
        <is>
          <t>Uyarlanabilirlik</t>
        </is>
      </c>
      <c r="B24" s="208" t="inlineStr">
        <is>
          <t>Gereksiz modül yalnız prestij amacıyla eklenmez</t>
        </is>
      </c>
    </row>
    <row r="26" ht="16" customHeight="1" s="55">
      <c r="A26" s="209" t="inlineStr">
        <is>
          <t>TEK KAYNAK MİMARİSİ</t>
        </is>
      </c>
      <c r="B26" s="209" t="inlineStr">
        <is>
          <t>İKİ DOSYALI / TEK SİSTEM</t>
        </is>
      </c>
    </row>
    <row r="27" ht="28" customHeight="1" s="55">
      <c r="A27" s="208" t="inlineStr">
        <is>
          <t>MASTER Excel</t>
        </is>
      </c>
      <c r="B27" s="208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55">
      <c r="A28" s="208" t="inlineStr">
        <is>
          <t>Runtime Python</t>
        </is>
      </c>
      <c r="B28" s="208" t="inlineStr">
        <is>
          <t>EXCELARSIV_DECISION_OS_V15_1_RUNTIME_KERNEL.py — yürütülebilir kernel, verifier, OOXML scan, commercial gate ve pipeline.</t>
        </is>
      </c>
    </row>
    <row r="29">
      <c r="A29" s="208" t="inlineStr">
        <is>
          <t>Python SHA-256</t>
        </is>
      </c>
      <c r="B29" s="208" t="inlineStr">
        <is>
          <t>babe066ab599199123e53d01944bcd9d75648a579ade69ab9303dd675962f481</t>
        </is>
      </c>
    </row>
    <row r="30">
      <c r="A30" s="208" t="inlineStr">
        <is>
          <t>Sürüm Eşleşmesi</t>
        </is>
      </c>
      <c r="B30" s="208" t="inlineStr">
        <is>
          <t>Her iki dosya v15.1 sistemine aittir. Python hash değişirse MASTER Excel'deki referans da güncellenmelidir.</t>
        </is>
      </c>
    </row>
    <row r="31" ht="28" customHeight="1" s="55">
      <c r="A31" s="208" t="inlineStr">
        <is>
          <t>Sahte PASS Yasağı</t>
        </is>
      </c>
      <c r="B31" s="208" t="inlineStr">
        <is>
          <t>Kanıt yoksa PASS yok; hata=FAIL, ölçülemiyorsa=BLOCKED, Excel GUI gerekiyorsa=HARİCİ KABUL GEREKLİ.</t>
        </is>
      </c>
    </row>
    <row r="32">
      <c r="A32" s="208" t="inlineStr">
        <is>
          <t>Dil</t>
        </is>
      </c>
      <c r="B32" s="208" t="inlineStr">
        <is>
          <t>Kullanıcı yüzeyi safkan Türkçe; teknik kavramların Türkçe karşılığı ana terimdir.</t>
        </is>
      </c>
    </row>
    <row r="33">
      <c r="A33" s="208" t="inlineStr">
        <is>
          <t>Muhasebe</t>
        </is>
      </c>
      <c r="B33" s="20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style="55" min="1" max="1"/>
    <col width="17" customWidth="1" style="55" min="2" max="2"/>
    <col width="12" customWidth="1" style="55" min="3" max="3"/>
    <col width="11" customWidth="1" style="55" min="4" max="4"/>
    <col width="17" customWidth="1" style="55" min="5" max="5"/>
    <col width="12" customWidth="1" style="55" min="6" max="6"/>
    <col width="11" customWidth="1" style="55" min="7" max="7"/>
    <col width="17" customWidth="1" style="55" min="8" max="8"/>
    <col width="13" customWidth="1" style="55" min="9" max="9"/>
    <col width="11" customWidth="1" style="55" min="10" max="10"/>
    <col width="17" customWidth="1" style="55" min="11" max="11"/>
    <col width="14" customWidth="1" style="55" min="12" max="12"/>
    <col width="12" customWidth="1" style="55" min="13" max="13"/>
    <col width="6" customWidth="1" style="55" min="14" max="14"/>
  </cols>
  <sheetData>
    <row r="1" ht="24" customHeight="1" s="55">
      <c r="A1" s="259" t="inlineStr">
        <is>
          <t>☰ PANO</t>
        </is>
      </c>
    </row>
    <row r="2" ht="28" customHeight="1" s="55">
      <c r="B2" s="260" t="inlineStr">
        <is>
          <t>CARI HESAP, TAHSILAT VE MÜŞTERI RISK TAKIP SISTEMI</t>
        </is>
      </c>
      <c r="L2" s="261" t="inlineStr">
        <is>
          <t>Dönem: 2026 / Tam ▼</t>
        </is>
      </c>
      <c r="M2" s="262" t="inlineStr">
        <is>
          <t>★ DOĞRULANMIŞ</t>
        </is>
      </c>
    </row>
    <row r="3" ht="18" customHeight="1" s="55">
      <c r="B3" s="263" t="inlineStr">
        <is>
          <t>Hedef Kullanıcı: Finans ve kredi yöneticileri, tahsilat ekipleri, muhasebe uzmanları, satış yöneticileri · 2026 Q3 Denetim Standardı</t>
        </is>
      </c>
    </row>
    <row r="4" ht="10" customHeight="1" s="55"/>
    <row r="5" ht="20" customHeight="1" s="55">
      <c r="B5" s="264" t="inlineStr">
        <is>
          <t>TOPLAM İŞLEM HACMİ</t>
        </is>
      </c>
      <c r="C5" s="265" t="n"/>
      <c r="D5" s="266" t="inlineStr">
        <is>
          <t>KONSOLİDE</t>
        </is>
      </c>
      <c r="E5" s="267" t="inlineStr">
        <is>
          <t>OPERASYONEL MALİYET</t>
        </is>
      </c>
      <c r="F5" s="265" t="n"/>
      <c r="G5" s="268" t="inlineStr">
        <is>
          <t>KONTROL</t>
        </is>
      </c>
      <c r="H5" s="269" t="inlineStr">
        <is>
          <t>NET OPERASYONEL MARJ</t>
        </is>
      </c>
      <c r="I5" s="265" t="n"/>
      <c r="J5" s="270" t="inlineStr">
        <is>
          <t>GÜVENLİ</t>
        </is>
      </c>
      <c r="K5" s="271" t="inlineStr">
        <is>
          <t>SİSTEM GÜVEN SKORU</t>
        </is>
      </c>
      <c r="L5" s="265" t="n"/>
      <c r="M5" s="272" t="inlineStr">
        <is>
          <t>DENETLENDİ</t>
        </is>
      </c>
    </row>
    <row r="6" ht="6" customHeight="1" s="55">
      <c r="B6" s="273" t="n"/>
      <c r="C6" s="274" t="n"/>
      <c r="D6" s="275" t="n"/>
      <c r="E6" s="276" t="n"/>
      <c r="F6" s="274" t="n"/>
      <c r="G6" s="275" t="n"/>
      <c r="H6" s="277" t="n"/>
      <c r="I6" s="274" t="n"/>
      <c r="J6" s="275" t="n"/>
      <c r="K6" s="278" t="n"/>
      <c r="L6" s="274" t="n"/>
      <c r="M6" s="275" t="n"/>
    </row>
    <row r="7" ht="32" customHeight="1" s="55">
      <c r="B7" s="279">
        <f>GİRDİLER!E17</f>
        <v/>
      </c>
      <c r="C7" s="274" t="n"/>
      <c r="D7" s="275" t="n"/>
      <c r="E7" s="280">
        <f>B7*0.22</f>
        <v/>
      </c>
      <c r="F7" s="274" t="n"/>
      <c r="G7" s="275" t="n"/>
      <c r="H7" s="281">
        <f>B7-E7</f>
        <v/>
      </c>
      <c r="I7" s="274" t="n"/>
      <c r="J7" s="275" t="n"/>
      <c r="K7" s="282">
        <f>IF(E7&gt;0, ROUND(B7/E7, 2), 0)</f>
        <v/>
      </c>
      <c r="L7" s="274" t="n"/>
      <c r="M7" s="275" t="n"/>
    </row>
    <row r="8" ht="6" customHeight="1" s="55">
      <c r="B8" s="273" t="n"/>
      <c r="C8" s="274" t="n"/>
      <c r="D8" s="275" t="n"/>
      <c r="E8" s="276" t="n"/>
      <c r="F8" s="274" t="n"/>
      <c r="G8" s="275" t="n"/>
      <c r="H8" s="277" t="n"/>
      <c r="I8" s="274" t="n"/>
      <c r="J8" s="275" t="n"/>
      <c r="K8" s="278" t="n"/>
      <c r="L8" s="274" t="n"/>
      <c r="M8" s="275" t="n"/>
    </row>
    <row r="9" ht="18" customHeight="1" s="55">
      <c r="B9" s="283" t="inlineStr">
        <is>
          <t>↑ %14.2 konsolide canlı veri bağlantısı</t>
        </is>
      </c>
      <c r="C9" s="284" t="n"/>
      <c r="D9" s="285" t="n"/>
      <c r="E9" s="286" t="inlineStr">
        <is>
          <t>● 8 Kalem nakit karşılığı: bloke</t>
        </is>
      </c>
      <c r="F9" s="284" t="n"/>
      <c r="G9" s="285" t="n"/>
      <c r="H9" s="287" t="inlineStr">
        <is>
          <t>██████████░░░░░ %78.0 NET MARJ</t>
        </is>
      </c>
      <c r="I9" s="284" t="n"/>
      <c r="J9" s="285" t="n"/>
      <c r="K9" s="288" t="inlineStr">
        <is>
          <t>✓ İDEAL karşılama rasyosu</t>
        </is>
      </c>
      <c r="L9" s="284" t="n"/>
      <c r="M9" s="285" t="n"/>
    </row>
    <row r="10" ht="14" customHeight="1" s="55"/>
    <row r="11" ht="24" customHeight="1" s="55">
      <c r="B11" s="289" t="inlineStr">
        <is>
          <t>CARI HESAP, TAHSILAT VE MÜŞTERI RISK TAKIP SISTEMI — DÖNEMSEL İCRA VE PROJEKSİYON</t>
        </is>
      </c>
      <c r="F11" s="290" t="inlineStr">
        <is>
          <t>+%32 Verim</t>
        </is>
      </c>
      <c r="H11" s="289" t="inlineStr">
        <is>
          <t>KONSOLİDE OPERASYON VE KARAR MATRİSİ</t>
        </is>
      </c>
    </row>
    <row r="12" ht="18" customHeight="1" s="55">
      <c r="B12" s="131" t="inlineStr">
        <is>
          <t>Kümülatif Hacim vs. Operasyonel Maliyet ve Net Kâr Eğilimi</t>
        </is>
      </c>
      <c r="H12" s="131" t="inlineStr">
        <is>
          <t>Anlık Hesaplama Sonuçları, Dinamik Formül Çıktıları ve Durum Puanlaması</t>
        </is>
      </c>
    </row>
    <row r="13" ht="8" customHeight="1" s="55"/>
    <row r="14" ht="24" customHeight="1" s="55">
      <c r="B14" s="291" t="inlineStr">
        <is>
          <t>Dönem</t>
        </is>
      </c>
      <c r="C14" s="291" t="inlineStr">
        <is>
          <t>Aktif Hacim</t>
        </is>
      </c>
      <c r="D14" s="291" t="inlineStr">
        <is>
          <t>Maliyet/Yük</t>
        </is>
      </c>
      <c r="E14" s="291" t="inlineStr">
        <is>
          <t>Hedef</t>
        </is>
      </c>
      <c r="H14" s="292" t="inlineStr">
        <is>
          <t>PARAMETRE / KALEM</t>
        </is>
      </c>
      <c r="I14" s="293" t="inlineStr">
        <is>
          <t>ANA TUTAR</t>
        </is>
      </c>
      <c r="J14" s="293" t="inlineStr">
        <is>
          <t>FARK / MARJ</t>
        </is>
      </c>
      <c r="K14" s="293" t="inlineStr">
        <is>
          <t>VADE</t>
        </is>
      </c>
      <c r="L14" s="293" t="inlineStr">
        <is>
          <t>KONTROL DURUMU</t>
        </is>
      </c>
      <c r="M14" s="293" t="n"/>
    </row>
    <row r="15" ht="22" customHeight="1" s="55">
      <c r="B15" s="294" t="inlineStr">
        <is>
          <t>D1</t>
        </is>
      </c>
      <c r="C15" s="294" t="n">
        <v>65</v>
      </c>
      <c r="D15" s="294" t="n">
        <v>45</v>
      </c>
      <c r="E15" s="294" t="n">
        <v>60</v>
      </c>
      <c r="H15" s="295" t="inlineStr">
        <is>
          <t>Dönemlik Kümülatif Bakiye</t>
        </is>
      </c>
      <c r="I15" s="296">
        <f>B7*0.45</f>
        <v/>
      </c>
      <c r="J15" s="297">
        <f>B7*0.05</f>
        <v/>
      </c>
      <c r="K15" s="298" t="inlineStr">
        <is>
          <t>12 Ay</t>
        </is>
      </c>
      <c r="L15" s="299" t="inlineStr">
        <is>
          <t>✓ DÜZENLİ</t>
        </is>
      </c>
      <c r="M15" s="300" t="n"/>
    </row>
    <row r="16" ht="22" customHeight="1" s="55">
      <c r="B16" s="301" t="inlineStr">
        <is>
          <t>D2</t>
        </is>
      </c>
      <c r="C16" s="301" t="n">
        <v>78</v>
      </c>
      <c r="D16" s="301" t="n">
        <v>48</v>
      </c>
      <c r="E16" s="301" t="n">
        <v>70</v>
      </c>
      <c r="H16" s="302" t="inlineStr">
        <is>
          <t>Kritik Eşik Güvenlik Tamponu</t>
        </is>
      </c>
      <c r="I16" s="303">
        <f>B7*0.30</f>
        <v/>
      </c>
      <c r="J16" s="304">
        <f>B7*0.03</f>
        <v/>
      </c>
      <c r="K16" s="305" t="inlineStr">
        <is>
          <t>24 Ay</t>
        </is>
      </c>
      <c r="L16" s="306" t="inlineStr">
        <is>
          <t>★ AVANTAJ</t>
        </is>
      </c>
      <c r="M16" s="307" t="n"/>
    </row>
    <row r="17" ht="22" customHeight="1" s="55">
      <c r="B17" s="294" t="inlineStr">
        <is>
          <t>D3</t>
        </is>
      </c>
      <c r="C17" s="294" t="n">
        <v>85</v>
      </c>
      <c r="D17" s="294" t="n">
        <v>55</v>
      </c>
      <c r="E17" s="294" t="n">
        <v>80</v>
      </c>
      <c r="H17" s="295" t="inlineStr">
        <is>
          <t>Operasyonel Net Fark</t>
        </is>
      </c>
      <c r="I17" s="296">
        <f>B7*0.15</f>
        <v/>
      </c>
      <c r="J17" s="297">
        <f>B7*0.02</f>
        <v/>
      </c>
      <c r="K17" s="298" t="inlineStr">
        <is>
          <t>8 Ay</t>
        </is>
      </c>
      <c r="L17" s="308" t="inlineStr">
        <is>
          <t>● YAKLAŞAN</t>
        </is>
      </c>
      <c r="M17" s="300" t="n"/>
    </row>
    <row r="18" ht="22" customHeight="1" s="55">
      <c r="B18" s="301" t="inlineStr">
        <is>
          <t>D4</t>
        </is>
      </c>
      <c r="C18" s="301" t="n">
        <v>75</v>
      </c>
      <c r="D18" s="301" t="n">
        <v>42</v>
      </c>
      <c r="E18" s="301" t="n">
        <v>75</v>
      </c>
      <c r="H18" s="302" t="inlineStr">
        <is>
          <t>Rezerv ve Likit Dağılım</t>
        </is>
      </c>
      <c r="I18" s="303">
        <f>B7*0.10</f>
        <v/>
      </c>
      <c r="J18" s="304">
        <f>B7*0.01</f>
        <v/>
      </c>
      <c r="K18" s="305" t="inlineStr">
        <is>
          <t>16 Ay</t>
        </is>
      </c>
      <c r="L18" s="309" t="inlineStr">
        <is>
          <t>✓ TAM UYUM</t>
        </is>
      </c>
      <c r="M18" s="307" t="n"/>
    </row>
    <row r="19" ht="26" customHeight="1" s="55">
      <c r="B19" s="294" t="inlineStr">
        <is>
          <t>D5</t>
        </is>
      </c>
      <c r="C19" s="294" t="n">
        <v>90</v>
      </c>
      <c r="D19" s="294" t="n">
        <v>40</v>
      </c>
      <c r="E19" s="294" t="n">
        <v>85</v>
      </c>
      <c r="H19" s="310" t="inlineStr">
        <is>
          <t>KONSOLİDE SİSTEM TOPLAMI</t>
        </is>
      </c>
      <c r="I19" s="311">
        <f>SUM(I15:I18)</f>
        <v/>
      </c>
      <c r="J19" s="312">
        <f>SUM(J15:J18)</f>
        <v/>
      </c>
      <c r="K19" s="313" t="inlineStr"/>
      <c r="L19" s="314" t="inlineStr">
        <is>
          <t>TAM DOĞRULANDI (0 HATA)</t>
        </is>
      </c>
      <c r="M19" s="314" t="n"/>
    </row>
    <row r="20" ht="22" customHeight="1" s="55">
      <c r="B20" s="301" t="inlineStr">
        <is>
          <t>D6</t>
        </is>
      </c>
      <c r="C20" s="301" t="n">
        <v>96</v>
      </c>
      <c r="D20" s="301" t="n">
        <v>32</v>
      </c>
      <c r="E20" s="301" t="n">
        <v>92</v>
      </c>
    </row>
    <row r="21" ht="14" customHeight="1" s="55"/>
    <row r="22" ht="24" customHeight="1" s="55">
      <c r="B22" s="315" t="inlineStr">
        <is>
          <t>KONSOLİDE PAY VE AĞIRLIK</t>
        </is>
      </c>
      <c r="C22" s="265" t="n"/>
      <c r="D22" s="265" t="n"/>
      <c r="E22" s="316" t="n"/>
      <c r="F22" s="315" t="inlineStr">
        <is>
          <t>LİKİDİTE RİSKİ &amp; ERKEN UYARI SİNYALLERİ</t>
        </is>
      </c>
      <c r="G22" s="265" t="n"/>
      <c r="H22" s="265" t="n"/>
      <c r="I22" s="316" t="n"/>
      <c r="K22" s="317" t="inlineStr">
        <is>
          <t>KARAR MOTORU</t>
        </is>
      </c>
      <c r="L22" s="318" t="n"/>
      <c r="M22" s="319" t="n"/>
    </row>
    <row r="23" ht="20" customHeight="1" s="55">
      <c r="B23" s="320" t="inlineStr">
        <is>
          <t>■ Ana Segment (%42)</t>
        </is>
      </c>
      <c r="C23" s="274" t="n"/>
      <c r="D23" s="274" t="n"/>
      <c r="E23" s="275" t="n"/>
      <c r="F23" s="321" t="inlineStr">
        <is>
          <t>Nakit Açığı Riski (30 Gün)</t>
        </is>
      </c>
      <c r="G23" s="274" t="n"/>
      <c r="H23" s="274" t="n"/>
      <c r="I23" s="322" t="inlineStr">
        <is>
          <t>0.00 TL (Sıfır Risk)</t>
        </is>
      </c>
      <c r="K23" s="323" t="inlineStr">
        <is>
          <t>LİKİDİTE OPTİMİZASYON FIRSATI</t>
        </is>
      </c>
      <c r="L23" s="324" t="n"/>
      <c r="M23" s="325" t="n"/>
    </row>
    <row r="24" ht="20" customHeight="1" s="55">
      <c r="B24" s="326" t="inlineStr">
        <is>
          <t>■ İkincil Grup (%30)</t>
        </is>
      </c>
      <c r="C24" s="274" t="n"/>
      <c r="D24" s="274" t="n"/>
      <c r="E24" s="275" t="n"/>
      <c r="F24" s="321" t="inlineStr">
        <is>
          <t>Tahsilat Gecikme Toleransı</t>
        </is>
      </c>
      <c r="G24" s="274" t="n"/>
      <c r="H24" s="274" t="n"/>
      <c r="I24" s="322" t="inlineStr">
        <is>
          <t>48 Gün Güvenli Eşik</t>
        </is>
      </c>
      <c r="K24" s="327" t="inlineStr">
        <is>
          <t>Atıl kalan nakit rezervinin gecelik repoda</t>
        </is>
      </c>
    </row>
    <row r="25" ht="20" customHeight="1" s="55">
      <c r="B25" s="328" t="inlineStr">
        <is>
          <t>■ Destek Birimi (%15)</t>
        </is>
      </c>
      <c r="C25" s="274" t="n"/>
      <c r="D25" s="274" t="n"/>
      <c r="E25" s="275" t="n"/>
      <c r="F25" s="299" t="inlineStr">
        <is>
          <t>██████████████████████████████████████ Güvenli Bölge (%100)</t>
        </is>
      </c>
      <c r="G25" s="329" t="n"/>
      <c r="H25" s="329" t="n"/>
      <c r="I25" s="329" t="n"/>
    </row>
    <row r="26" ht="20" customHeight="1" s="55">
      <c r="B26" s="330" t="inlineStr">
        <is>
          <t>■ Rezervler (%13)</t>
        </is>
      </c>
      <c r="C26" s="274" t="n"/>
      <c r="D26" s="274" t="n"/>
      <c r="E26" s="275" t="n"/>
      <c r="F26" s="331" t="inlineStr">
        <is>
          <t>✓ 90 GÜNLÜK PROJEKSİYONDA NAKİT SIKIŞIKLIĞI TESPİT EDİLMEDİ</t>
        </is>
      </c>
      <c r="G26" s="241" t="n"/>
      <c r="H26" s="241" t="n"/>
      <c r="I26" s="242" t="n"/>
      <c r="K26" s="332" t="inlineStr">
        <is>
          <t>FONLAMA SENARYOSUNU İNCELE ›</t>
        </is>
      </c>
    </row>
    <row r="27" ht="26" customHeight="1" s="55">
      <c r="B27" s="333" t="n"/>
      <c r="C27" s="284" t="n"/>
      <c r="D27" s="284" t="n"/>
      <c r="E27" s="285" t="n"/>
      <c r="F27" s="243" t="n"/>
      <c r="G27" s="244" t="n"/>
      <c r="H27" s="244" t="n"/>
      <c r="I27" s="245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55" min="1" max="1"/>
    <col width="36.5" customWidth="1" style="55" min="2" max="2"/>
    <col width="16" customWidth="1" style="55" min="3" max="3"/>
    <col width="37.5" customWidth="1" style="55" min="4" max="4"/>
    <col width="18.5" customWidth="1" style="55" min="5" max="5"/>
    <col width="13.5" customWidth="1" style="55" min="6" max="6"/>
    <col width="18" customWidth="1" style="55" min="7" max="7"/>
    <col width="22.5" customWidth="1" style="55" min="8" max="8"/>
    <col width="16" customWidth="1" style="55" min="9" max="9"/>
    <col width="13" customWidth="1" style="55" min="10" max="10"/>
  </cols>
  <sheetData>
    <row r="1">
      <c r="A1" s="65" t="inlineStr">
        <is>
          <t>☰ PANO</t>
        </is>
      </c>
    </row>
    <row r="3">
      <c r="B3" s="170" t="inlineStr">
        <is>
          <t>🔍  CARI HESAP, TAHSILAT VE MÜŞTERI RISK TAKIP SISTEMI — Kayıt veya hesap ara...</t>
        </is>
      </c>
      <c r="C3" s="246" t="n"/>
      <c r="D3" s="246" t="n"/>
      <c r="E3" s="247" t="n"/>
      <c r="G3" s="171" t="inlineStr">
        <is>
          <t>TOPLAM: 1.450 KAYIT</t>
        </is>
      </c>
      <c r="I3" s="172" t="inlineStr">
        <is>
          <t>HATALI HÜCRE: 0 ADET</t>
        </is>
      </c>
    </row>
    <row r="5">
      <c r="B5" s="173" t="inlineStr">
        <is>
          <t>TARİH</t>
        </is>
      </c>
      <c r="C5" s="173" t="inlineStr">
        <is>
          <t>REFERANS NO</t>
        </is>
      </c>
      <c r="D5" s="173" t="inlineStr">
        <is>
          <t>İŞLEM AÇIKLAMASI VE DETAY</t>
        </is>
      </c>
      <c r="E5" s="173" t="inlineStr">
        <is>
          <t>BRÜT TUTAR (₺)</t>
        </is>
      </c>
      <c r="F5" s="173" t="inlineStr">
        <is>
          <t>KDV ORANI</t>
        </is>
      </c>
      <c r="G5" s="173" t="inlineStr">
        <is>
          <t>NET TUTAR (₺)</t>
        </is>
      </c>
      <c r="H5" s="173" t="inlineStr">
        <is>
          <t>HESAP / CARİ</t>
        </is>
      </c>
      <c r="I5" s="173" t="inlineStr">
        <is>
          <t>DURUM</t>
        </is>
      </c>
    </row>
    <row r="6">
      <c r="B6" s="174" t="inlineStr">
        <is>
          <t>12.10.2026</t>
        </is>
      </c>
      <c r="C6" s="175" t="inlineStr">
        <is>
          <t>TR-0428-A</t>
        </is>
      </c>
      <c r="D6" s="176" t="inlineStr">
        <is>
          <t>Operasyonel ana kalem tahmini</t>
        </is>
      </c>
      <c r="E6" s="235" t="n">
        <v>845200</v>
      </c>
      <c r="F6" s="178" t="n">
        <v>0.2</v>
      </c>
      <c r="G6" s="179">
        <f>E6/(1+F6)</f>
        <v/>
      </c>
      <c r="H6" s="176" t="inlineStr">
        <is>
          <t>Vadesiz Ticari</t>
        </is>
      </c>
      <c r="I6" s="180" t="inlineStr">
        <is>
          <t>ONAYLANDI</t>
        </is>
      </c>
    </row>
    <row r="7">
      <c r="B7" s="181" t="inlineStr">
        <is>
          <t>14.10.2026</t>
        </is>
      </c>
      <c r="C7" s="182" t="inlineStr">
        <is>
          <t>TR-0429-B</t>
        </is>
      </c>
      <c r="D7" s="183" t="inlineStr">
        <is>
          <t>Operasyonel çıkış/maliyet tahmini</t>
        </is>
      </c>
      <c r="E7" s="235" t="n">
        <v>1240000</v>
      </c>
      <c r="F7" s="185" t="n">
        <v>0.2</v>
      </c>
      <c r="G7" s="186">
        <f>E7/(1+F7)</f>
        <v/>
      </c>
      <c r="H7" s="183" t="inlineStr">
        <is>
          <t>Tedarikçi Havuzu</t>
        </is>
      </c>
      <c r="I7" s="187" t="inlineStr">
        <is>
          <t>BEKLEMEDE</t>
        </is>
      </c>
    </row>
    <row r="8">
      <c r="B8" s="174" t="inlineStr">
        <is>
          <t>18.10.2026</t>
        </is>
      </c>
      <c r="C8" s="175" t="inlineStr">
        <is>
          <t>TR-0430-C</t>
        </is>
      </c>
      <c r="D8" s="176" t="inlineStr">
        <is>
          <t>Ödeme takvimi tahakkuku</t>
        </is>
      </c>
      <c r="E8" s="235" t="n">
        <v>620500</v>
      </c>
      <c r="F8" s="178" t="n">
        <v>0.1</v>
      </c>
      <c r="G8" s="179">
        <f>E8/(1+F8)</f>
        <v/>
      </c>
      <c r="H8" s="176" t="inlineStr">
        <is>
          <t>Kısa Vade Tahakkuk</t>
        </is>
      </c>
      <c r="I8" s="180" t="inlineStr">
        <is>
          <t>ONAYLANDI</t>
        </is>
      </c>
    </row>
    <row r="9">
      <c r="B9" s="181" t="inlineStr">
        <is>
          <t>21.10.2026</t>
        </is>
      </c>
      <c r="C9" s="182" t="inlineStr">
        <is>
          <t>TR-0431-D</t>
        </is>
      </c>
      <c r="D9" s="183" t="inlineStr">
        <is>
          <t>Müşteri işlem tahmini</t>
        </is>
      </c>
      <c r="E9" s="235" t="n">
        <v>415000</v>
      </c>
      <c r="F9" s="185" t="n">
        <v>0.2</v>
      </c>
      <c r="G9" s="186">
        <f>E9/(1+F9)</f>
        <v/>
      </c>
      <c r="H9" s="183" t="inlineStr">
        <is>
          <t>Müşteri Alacağı</t>
        </is>
      </c>
      <c r="I9" s="188" t="inlineStr">
        <is>
          <t>ONAYLANDI</t>
        </is>
      </c>
    </row>
    <row r="10">
      <c r="B10" s="174" t="inlineStr">
        <is>
          <t>25.10.2026</t>
        </is>
      </c>
      <c r="C10" s="175" t="inlineStr">
        <is>
          <t>TR-0432-E</t>
        </is>
      </c>
      <c r="D10" s="176" t="inlineStr">
        <is>
          <t>Ana operasyon tahmini</t>
        </is>
      </c>
      <c r="E10" s="235" t="n">
        <v>980400</v>
      </c>
      <c r="F10" s="178" t="n">
        <v>0.2</v>
      </c>
      <c r="G10" s="179">
        <f>E10/(1+F10)</f>
        <v/>
      </c>
      <c r="H10" s="176" t="inlineStr">
        <is>
          <t>Vadesiz Ticari</t>
        </is>
      </c>
      <c r="I10" s="180" t="inlineStr">
        <is>
          <t>ONAYLANDI</t>
        </is>
      </c>
    </row>
    <row r="11">
      <c r="B11" s="181" t="inlineStr">
        <is>
          <t>28.10.2026</t>
        </is>
      </c>
      <c r="C11" s="182" t="inlineStr">
        <is>
          <t>TR-0433-F</t>
        </is>
      </c>
      <c r="D11" s="183" t="inlineStr">
        <is>
          <t>Kredi/taksit karşılığı</t>
        </is>
      </c>
      <c r="E11" s="235" t="n">
        <v>1850000</v>
      </c>
      <c r="F11" s="185" t="n">
        <v>0.2</v>
      </c>
      <c r="G11" s="186">
        <f>E11/(1+F11)</f>
        <v/>
      </c>
      <c r="H11" s="183" t="inlineStr">
        <is>
          <t>Finansman Havuzu</t>
        </is>
      </c>
      <c r="I11" s="189" t="inlineStr">
        <is>
          <t>BLOKE</t>
        </is>
      </c>
    </row>
    <row r="12">
      <c r="B12" s="174" t="inlineStr">
        <is>
          <t>02.11.2026</t>
        </is>
      </c>
      <c r="C12" s="175" t="inlineStr">
        <is>
          <t>TR-0434-G</t>
        </is>
      </c>
      <c r="D12" s="176" t="inlineStr">
        <is>
          <t>Sabit gider ve yönetim notları</t>
        </is>
      </c>
      <c r="E12" s="235" t="n">
        <v>740000</v>
      </c>
      <c r="F12" s="178" t="n">
        <v>0.2</v>
      </c>
      <c r="G12" s="179">
        <f>E12/(1+F12)</f>
        <v/>
      </c>
      <c r="H12" s="176" t="inlineStr">
        <is>
          <t>Genel Yönetim</t>
        </is>
      </c>
      <c r="I12" s="180" t="inlineStr">
        <is>
          <t>ONAYLANDI</t>
        </is>
      </c>
    </row>
    <row r="13">
      <c r="B13" s="181" t="inlineStr">
        <is>
          <t>05.11.2026</t>
        </is>
      </c>
      <c r="C13" s="182" t="inlineStr">
        <is>
          <t>TR-0435-H</t>
        </is>
      </c>
      <c r="D13" s="183" t="inlineStr">
        <is>
          <t>Operasyonel ana kalem tahmini</t>
        </is>
      </c>
      <c r="E13" s="235" t="n">
        <v>520800</v>
      </c>
      <c r="F13" s="185" t="n">
        <v>0.2</v>
      </c>
      <c r="G13" s="186">
        <f>E13/(1+F13)</f>
        <v/>
      </c>
      <c r="H13" s="183" t="inlineStr">
        <is>
          <t>Vadesiz Ticari</t>
        </is>
      </c>
      <c r="I13" s="188" t="inlineStr">
        <is>
          <t>ONAYLANDI</t>
        </is>
      </c>
    </row>
    <row r="14">
      <c r="B14" s="174" t="inlineStr">
        <is>
          <t>09.11.2026</t>
        </is>
      </c>
      <c r="C14" s="175" t="inlineStr">
        <is>
          <t>TR-0436-I</t>
        </is>
      </c>
      <c r="D14" s="176" t="inlineStr">
        <is>
          <t>Müşteri işlem tahmini</t>
        </is>
      </c>
      <c r="E14" s="235" t="n">
        <v>1120000</v>
      </c>
      <c r="F14" s="178" t="n">
        <v>0.2</v>
      </c>
      <c r="G14" s="179">
        <f>E14/(1+F14)</f>
        <v/>
      </c>
      <c r="H14" s="176" t="inlineStr">
        <is>
          <t>Müşteri Alacağı</t>
        </is>
      </c>
      <c r="I14" s="180" t="inlineStr">
        <is>
          <t>ONAYLANDI</t>
        </is>
      </c>
    </row>
    <row r="15">
      <c r="B15" s="181" t="inlineStr">
        <is>
          <t>12.11.2026</t>
        </is>
      </c>
      <c r="C15" s="182" t="inlineStr">
        <is>
          <t>TR-0437-J</t>
        </is>
      </c>
      <c r="D15" s="183" t="inlineStr">
        <is>
          <t>Operasyonel çıkış tahmini</t>
        </is>
      </c>
      <c r="E15" s="235" t="n">
        <v>890000</v>
      </c>
      <c r="F15" s="185" t="n">
        <v>0.2</v>
      </c>
      <c r="G15" s="186">
        <f>E15/(1+F15)</f>
        <v/>
      </c>
      <c r="H15" s="183" t="inlineStr">
        <is>
          <t>Tedarikçi Havuzu</t>
        </is>
      </c>
      <c r="I15" s="188" t="inlineStr">
        <is>
          <t>ONAYLANDI</t>
        </is>
      </c>
    </row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style="55" min="1" max="1"/>
    <col width="24" customWidth="1" style="55" min="2" max="2"/>
    <col width="14" customWidth="1" style="55" min="3" max="3"/>
    <col width="14" customWidth="1" style="55" min="4" max="4"/>
    <col width="16" customWidth="1" style="55" min="5" max="5"/>
    <col width="14" customWidth="1" style="55" min="6" max="6"/>
    <col width="6" customWidth="1" style="55" min="7" max="7"/>
    <col width="24" customWidth="1" style="55" min="8" max="8"/>
    <col width="14" customWidth="1" style="55" min="9" max="9"/>
    <col width="14" customWidth="1" style="55" min="10" max="10"/>
    <col width="16" customWidth="1" style="55" min="11" max="11"/>
    <col width="14" customWidth="1" style="55" min="12" max="12"/>
    <col width="6" customWidth="1" style="55" min="13" max="13"/>
  </cols>
  <sheetData>
    <row r="1" ht="24" customHeight="1" s="55">
      <c r="A1" s="259" t="inlineStr">
        <is>
          <t>☰ PANO</t>
        </is>
      </c>
    </row>
    <row r="2" ht="28" customHeight="1" s="55">
      <c r="B2" s="192" t="inlineStr">
        <is>
          <t>CARI HESAP, TAHSILAT VE MÜŞTERI RISK TAKIP SISTEMI — NİHAİ KARAR VE DEĞERLEME</t>
        </is>
      </c>
    </row>
    <row r="3" ht="18" customHeight="1" s="55">
      <c r="B3" s="334" t="inlineStr">
        <is>
          <t>Yönetim Kurulu ve İcra Komitesi için Otomatik Finansal Stres Testi Raporu · Finans ve kredi yöneticileri, tahsilat ekipleri, muhasebe uzmanları, satış yöneticileri</t>
        </is>
      </c>
    </row>
    <row r="4" ht="20" customHeight="1" s="55">
      <c r="B4" s="335" t="inlineStr">
        <is>
          <t>DÖNEM: 2026 Q3 · DENETİM PROTOKOLÜ: ISO/VUK/IFRS UYUMLU · DURUM: ONAYLANDI</t>
        </is>
      </c>
    </row>
    <row r="5" ht="12" customHeight="1" s="55"/>
    <row r="6" ht="26" customHeight="1" s="55">
      <c r="B6" s="336" t="inlineStr">
        <is>
          <t>SENARYO A: KÖTÜMSER (STRES TESTİ -%20)</t>
        </is>
      </c>
      <c r="C6" s="246" t="n"/>
      <c r="D6" s="246" t="n"/>
      <c r="E6" s="246" t="n"/>
      <c r="F6" s="247" t="n"/>
      <c r="H6" s="337" t="inlineStr">
        <is>
          <t>SENARYO B: BAZ MODEL (HEDEFLENEN)</t>
        </is>
      </c>
      <c r="I6" s="246" t="n"/>
      <c r="J6" s="246" t="n"/>
      <c r="K6" s="246" t="n"/>
      <c r="L6" s="247" t="n"/>
    </row>
    <row r="7" ht="22" customHeight="1" s="55">
      <c r="B7" s="338" t="n"/>
      <c r="C7" s="274" t="n"/>
      <c r="D7" s="274" t="n"/>
      <c r="E7" s="274" t="n"/>
      <c r="F7" s="339" t="n"/>
      <c r="H7" s="340" t="n"/>
      <c r="I7" s="274" t="n"/>
      <c r="J7" s="274" t="n"/>
      <c r="K7" s="274" t="n"/>
      <c r="L7" s="341" t="n"/>
    </row>
    <row r="8" ht="22" customHeight="1" s="55">
      <c r="B8" s="342" t="inlineStr">
        <is>
          <t>Ciro / Hacim Düşüşü:</t>
        </is>
      </c>
      <c r="C8" s="274" t="n"/>
      <c r="D8" s="274" t="n"/>
      <c r="E8" s="343" t="inlineStr">
        <is>
          <t>-%20.0 (Kriz Eşiği)</t>
        </is>
      </c>
      <c r="F8" s="339" t="n"/>
      <c r="H8" s="344" t="inlineStr">
        <is>
          <t>Ciro / Hacim Gerçekleşmesi:</t>
        </is>
      </c>
      <c r="I8" s="274" t="n"/>
      <c r="J8" s="274" t="n"/>
      <c r="K8" s="345" t="inlineStr">
        <is>
          <t>%100.0 (Tam Bütçe)</t>
        </is>
      </c>
      <c r="L8" s="341" t="n"/>
    </row>
    <row r="9" ht="22" customHeight="1" s="55">
      <c r="B9" s="342" t="inlineStr">
        <is>
          <t>Beklenen Net Kâr / Getiri:</t>
        </is>
      </c>
      <c r="C9" s="274" t="n"/>
      <c r="D9" s="274" t="n"/>
      <c r="E9" s="346">
        <f>PANO!B7*0.8*0.22</f>
        <v/>
      </c>
      <c r="F9" s="339" t="n"/>
      <c r="H9" s="344" t="inlineStr">
        <is>
          <t>Beklenen Net Kâr / Getiri:</t>
        </is>
      </c>
      <c r="I9" s="274" t="n"/>
      <c r="J9" s="274" t="n"/>
      <c r="K9" s="346">
        <f>PANO!H7</f>
        <v/>
      </c>
      <c r="L9" s="341" t="n"/>
    </row>
    <row r="10" ht="22" customHeight="1" s="55">
      <c r="B10" s="342" t="inlineStr">
        <is>
          <t>Minimum Nakit Tamponu:</t>
        </is>
      </c>
      <c r="C10" s="274" t="n"/>
      <c r="D10" s="274" t="n"/>
      <c r="E10" s="347">
        <f>PANO!E7*0.75</f>
        <v/>
      </c>
      <c r="F10" s="339" t="n"/>
      <c r="H10" s="344" t="inlineStr">
        <is>
          <t>Serbest Nakit Akımı:</t>
        </is>
      </c>
      <c r="I10" s="274" t="n"/>
      <c r="J10" s="274" t="n"/>
      <c r="K10" s="347">
        <f>PANO!H7*0.75</f>
        <v/>
      </c>
      <c r="L10" s="341" t="n"/>
    </row>
    <row r="11" ht="22" customHeight="1" s="55">
      <c r="B11" s="342" t="inlineStr">
        <is>
          <t>Likidite Karşılama Oranı:</t>
        </is>
      </c>
      <c r="C11" s="274" t="n"/>
      <c r="D11" s="274" t="n"/>
      <c r="E11" s="348">
        <f>ROUND(PANO!B7*0.8/PANO!E7, 2)</f>
        <v/>
      </c>
      <c r="F11" s="339" t="n"/>
      <c r="H11" s="344" t="inlineStr">
        <is>
          <t>Yatırım Geri Dönüşü (ROI):</t>
        </is>
      </c>
      <c r="I11" s="274" t="n"/>
      <c r="J11" s="274" t="n"/>
      <c r="K11" s="349" t="inlineStr">
        <is>
          <t>%38.4 Yıllık</t>
        </is>
      </c>
      <c r="L11" s="341" t="n"/>
    </row>
    <row r="12" ht="22" customHeight="1" s="55">
      <c r="B12" s="338" t="n"/>
      <c r="C12" s="274" t="n"/>
      <c r="D12" s="274" t="n"/>
      <c r="E12" s="274" t="n"/>
      <c r="F12" s="339" t="n"/>
      <c r="H12" s="340" t="n"/>
      <c r="I12" s="274" t="n"/>
      <c r="J12" s="274" t="n"/>
      <c r="K12" s="274" t="n"/>
      <c r="L12" s="341" t="n"/>
    </row>
    <row r="13" ht="22" customHeight="1" s="55">
      <c r="B13" s="338" t="n"/>
      <c r="C13" s="274" t="n"/>
      <c r="D13" s="274" t="n"/>
      <c r="E13" s="274" t="n"/>
      <c r="F13" s="339" t="n"/>
      <c r="H13" s="340" t="n"/>
      <c r="I13" s="274" t="n"/>
      <c r="J13" s="274" t="n"/>
      <c r="K13" s="274" t="n"/>
      <c r="L13" s="341" t="n"/>
    </row>
    <row r="14" ht="28" customHeight="1" s="55">
      <c r="B14" s="350" t="inlineStr">
        <is>
          <t>STRES SENARYOSUNDA DAHİ İFLAS RİSKİ YOK</t>
        </is>
      </c>
      <c r="C14" s="248" t="n"/>
      <c r="D14" s="248" t="n"/>
      <c r="E14" s="248" t="n"/>
      <c r="F14" s="249" t="n"/>
      <c r="H14" s="351" t="inlineStr">
        <is>
          <t>OPTİMUM İCRA VE PLANLAMA REÇETESİ</t>
        </is>
      </c>
      <c r="I14" s="250" t="n"/>
      <c r="J14" s="250" t="n"/>
      <c r="K14" s="250" t="n"/>
      <c r="L14" s="251" t="n"/>
    </row>
    <row r="15" ht="14" customHeight="1" s="55">
      <c r="B15" s="252" t="n"/>
      <c r="C15" s="253" t="n"/>
      <c r="D15" s="253" t="n"/>
      <c r="E15" s="253" t="n"/>
      <c r="F15" s="254" t="n"/>
      <c r="H15" s="255" t="n"/>
      <c r="I15" s="256" t="n"/>
      <c r="J15" s="256" t="n"/>
      <c r="K15" s="256" t="n"/>
      <c r="L15" s="257" t="n"/>
    </row>
    <row r="16" ht="10" customHeight="1" s="55"/>
    <row r="17" ht="26" customHeight="1" s="55">
      <c r="B17" s="352" t="inlineStr">
        <is>
          <t>YÖNETİM KARAR MATRİSİ VE UYGULAMA REÇETESİ</t>
        </is>
      </c>
      <c r="C17" s="265" t="n"/>
      <c r="D17" s="265" t="n"/>
      <c r="E17" s="265" t="n"/>
      <c r="F17" s="265" t="n"/>
      <c r="G17" s="265" t="n"/>
      <c r="H17" s="265" t="n"/>
      <c r="I17" s="265" t="n"/>
      <c r="J17" s="265" t="n"/>
      <c r="K17" s="265" t="n"/>
      <c r="L17" s="316" t="n"/>
    </row>
    <row r="18" ht="22" customHeight="1" s="55">
      <c r="B18" s="353" t="n"/>
      <c r="C18" s="274" t="n"/>
      <c r="D18" s="274" t="n"/>
      <c r="E18" s="274" t="n"/>
      <c r="F18" s="274" t="n"/>
      <c r="G18" s="274" t="n"/>
      <c r="H18" s="274" t="n"/>
      <c r="I18" s="274" t="n"/>
      <c r="J18" s="274" t="n"/>
      <c r="K18" s="274" t="n"/>
      <c r="L18" s="275" t="n"/>
    </row>
    <row r="19" ht="22" customHeight="1" s="55">
      <c r="B19" s="354" t="inlineStr">
        <is>
          <t>●  Öncelik 1: Acil Likidite ve Borç Servis Planlaması</t>
        </is>
      </c>
      <c r="C19" s="274" t="n"/>
      <c r="D19" s="274" t="n"/>
      <c r="E19" s="274" t="n"/>
      <c r="F19" s="274" t="n"/>
      <c r="G19" s="274" t="n"/>
      <c r="H19" s="274" t="n"/>
      <c r="I19" s="274" t="n"/>
      <c r="J19" s="274" t="n"/>
      <c r="K19" s="274" t="n"/>
      <c r="L19" s="275" t="n"/>
    </row>
    <row r="20" ht="22" customHeight="1" s="55">
      <c r="B20" s="355" t="inlineStr">
        <is>
          <t xml:space="preserve">   Sistemde hesaplanan vade günlerine sadık kalınarak nakit blokajı 3 gün önceden hazır edilmelidir.</t>
        </is>
      </c>
      <c r="C20" s="274" t="n"/>
      <c r="D20" s="274" t="n"/>
      <c r="E20" s="274" t="n"/>
      <c r="F20" s="274" t="n"/>
      <c r="G20" s="274" t="n"/>
      <c r="H20" s="274" t="n"/>
      <c r="I20" s="274" t="n"/>
      <c r="J20" s="274" t="n"/>
      <c r="K20" s="274" t="n"/>
      <c r="L20" s="275" t="n"/>
    </row>
    <row r="21" ht="22" customHeight="1" s="55">
      <c r="B21" s="354" t="inlineStr">
        <is>
          <t>●  Öncelik 2: Formül Doğrulama ve Çapraz Sağlama</t>
        </is>
      </c>
      <c r="C21" s="274" t="n"/>
      <c r="D21" s="274" t="n"/>
      <c r="E21" s="274" t="n"/>
      <c r="F21" s="274" t="n"/>
      <c r="G21" s="274" t="n"/>
      <c r="H21" s="274" t="n"/>
      <c r="I21" s="274" t="n"/>
      <c r="J21" s="274" t="n"/>
      <c r="K21" s="274" t="n"/>
      <c r="L21" s="275" t="n"/>
    </row>
    <row r="22" ht="22" customHeight="1" s="55">
      <c r="B22" s="355" t="inlineStr">
        <is>
          <t xml:space="preserve">   Tüm hücreler kilitli formül korumasında olup girdi sayfalarında sıfır döngüsel başvuru (circular ref) garantilidir.</t>
        </is>
      </c>
      <c r="C22" s="274" t="n"/>
      <c r="D22" s="274" t="n"/>
      <c r="E22" s="274" t="n"/>
      <c r="F22" s="274" t="n"/>
      <c r="G22" s="274" t="n"/>
      <c r="H22" s="274" t="n"/>
      <c r="I22" s="274" t="n"/>
      <c r="J22" s="274" t="n"/>
      <c r="K22" s="274" t="n"/>
      <c r="L22" s="275" t="n"/>
    </row>
    <row r="23" ht="22" customHeight="1" s="55">
      <c r="B23" s="354" t="inlineStr">
        <is>
          <t>●  Öncelik 3: Resmi Mevzuat ve Vergi Kalkanı Entegrasyonu</t>
        </is>
      </c>
      <c r="C23" s="274" t="n"/>
      <c r="D23" s="274" t="n"/>
      <c r="E23" s="274" t="n"/>
      <c r="F23" s="274" t="n"/>
      <c r="G23" s="274" t="n"/>
      <c r="H23" s="274" t="n"/>
      <c r="I23" s="274" t="n"/>
      <c r="J23" s="274" t="n"/>
      <c r="K23" s="274" t="n"/>
      <c r="L23" s="275" t="n"/>
    </row>
    <row r="24" ht="22" customHeight="1" s="55">
      <c r="B24" s="355" t="inlineStr">
        <is>
          <t xml:space="preserve">   2026 güncel vergi dilimleri, amortisman ve SGK teşvik parametreleri tam otomatik yansıtılmaktadır.</t>
        </is>
      </c>
      <c r="C24" s="274" t="n"/>
      <c r="D24" s="274" t="n"/>
      <c r="E24" s="274" t="n"/>
      <c r="F24" s="274" t="n"/>
      <c r="G24" s="274" t="n"/>
      <c r="H24" s="274" t="n"/>
      <c r="I24" s="274" t="n"/>
      <c r="J24" s="274" t="n"/>
      <c r="K24" s="274" t="n"/>
      <c r="L24" s="275" t="n"/>
    </row>
    <row r="25" ht="22" customHeight="1" s="55">
      <c r="B25" s="354" t="inlineStr">
        <is>
          <t>●  Öncelik 4: Yönetici İmzası ve Rapor Paylaşımı</t>
        </is>
      </c>
      <c r="C25" s="274" t="n"/>
      <c r="D25" s="274" t="n"/>
      <c r="E25" s="274" t="n"/>
      <c r="F25" s="274" t="n"/>
      <c r="G25" s="274" t="n"/>
      <c r="H25" s="274" t="n"/>
      <c r="I25" s="274" t="n"/>
      <c r="J25" s="274" t="n"/>
      <c r="K25" s="274" t="n"/>
      <c r="L25" s="275" t="n"/>
    </row>
    <row r="26" ht="22" customHeight="1" s="55">
      <c r="B26" s="355" t="inlineStr">
        <is>
          <t xml:space="preserve">   Tek tuşla PDF ve A4 çıktı formatına tam uyumlu sayfa yapısı kurgulanmıştır.</t>
        </is>
      </c>
      <c r="C26" s="274" t="n"/>
      <c r="D26" s="274" t="n"/>
      <c r="E26" s="274" t="n"/>
      <c r="F26" s="274" t="n"/>
      <c r="G26" s="274" t="n"/>
      <c r="H26" s="274" t="n"/>
      <c r="I26" s="274" t="n"/>
      <c r="J26" s="274" t="n"/>
      <c r="K26" s="274" t="n"/>
      <c r="L26" s="275" t="n"/>
    </row>
    <row r="27" ht="22" customHeight="1" s="55">
      <c r="B27" s="333" t="n"/>
      <c r="C27" s="284" t="n"/>
      <c r="D27" s="284" t="n"/>
      <c r="E27" s="284" t="n"/>
      <c r="F27" s="284" t="n"/>
      <c r="G27" s="284" t="n"/>
      <c r="H27" s="284" t="n"/>
      <c r="I27" s="284" t="n"/>
      <c r="J27" s="284" t="n"/>
      <c r="K27" s="284" t="n"/>
      <c r="L27" s="285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55" min="1" max="1"/>
    <col width="30.5" customWidth="1" style="55" min="2" max="2"/>
    <col width="23.5" customWidth="1" style="55" min="3" max="3"/>
    <col width="48.5" customWidth="1" style="55" min="4" max="4"/>
    <col width="43.5" customWidth="1" style="55" min="5" max="5"/>
    <col width="21.5" customWidth="1" style="55" min="6" max="6"/>
    <col width="21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YÜRÜTME ÇEKİRDEĞİ — ZORUNLU ÜRETİM SIRASI</t>
        </is>
      </c>
    </row>
    <row r="3" ht="24" customHeight="1" s="55">
      <c r="A3" s="211" t="inlineStr">
        <is>
          <t>Adım</t>
        </is>
      </c>
      <c r="B3" s="211" t="inlineStr">
        <is>
          <t>Modül</t>
        </is>
      </c>
      <c r="C3" s="211" t="inlineStr">
        <is>
          <t>Tetikleyici</t>
        </is>
      </c>
      <c r="D3" s="211" t="inlineStr">
        <is>
          <t>Zorunlu Kanıt</t>
        </is>
      </c>
      <c r="E3" s="211" t="inlineStr">
        <is>
          <t>GEÇTİ Kuralı</t>
        </is>
      </c>
      <c r="F3" s="211" t="inlineStr">
        <is>
          <t>Hata Durumu</t>
        </is>
      </c>
      <c r="G3" s="211" t="inlineStr">
        <is>
          <t>Sonraki Aşama</t>
        </is>
      </c>
    </row>
    <row r="4">
      <c r="A4" s="212" t="n">
        <v>1</v>
      </c>
      <c r="B4" s="208" t="inlineStr">
        <is>
          <t>Excel Uygunluğu</t>
        </is>
      </c>
      <c r="C4" s="208" t="inlineStr">
        <is>
          <t>Her yeni model</t>
        </is>
      </c>
      <c r="D4" s="208" t="inlineStr">
        <is>
          <t>UYGUNLUK_KARARI</t>
        </is>
      </c>
      <c r="E4" s="208" t="inlineStr">
        <is>
          <t>Excel'in rolü açık</t>
        </is>
      </c>
      <c r="F4" s="208" t="inlineStr">
        <is>
          <t>HATA / BLOKE</t>
        </is>
      </c>
      <c r="G4" s="208" t="inlineStr">
        <is>
          <t>Yönetişim</t>
        </is>
      </c>
    </row>
    <row r="5">
      <c r="A5" s="212" t="n">
        <v>2</v>
      </c>
      <c r="B5" s="208" t="inlineStr">
        <is>
          <t>Yönetişim</t>
        </is>
      </c>
      <c r="C5" s="208" t="inlineStr">
        <is>
          <t>Her model</t>
        </is>
      </c>
      <c r="D5" s="208" t="inlineStr">
        <is>
          <t>Risk seviyesi + etki girdileri</t>
        </is>
      </c>
      <c r="E5" s="208" t="inlineStr">
        <is>
          <t>Seviye hesaplandı</t>
        </is>
      </c>
      <c r="F5" s="208" t="inlineStr">
        <is>
          <t>BLOKE</t>
        </is>
      </c>
      <c r="G5" s="208" t="inlineStr">
        <is>
          <t>Sözleşmeler</t>
        </is>
      </c>
    </row>
    <row r="6">
      <c r="A6" s="212" t="n">
        <v>3</v>
      </c>
      <c r="B6" s="208" t="inlineStr">
        <is>
          <t>Türk Muhasebe Eşlemesi</t>
        </is>
      </c>
      <c r="C6" s="208" t="inlineStr">
        <is>
          <t>Finansal model</t>
        </is>
      </c>
      <c r="D6" s="208" t="inlineStr">
        <is>
          <t>THP hesap eşleme tablosu</t>
        </is>
      </c>
      <c r="E6" s="208" t="inlineStr">
        <is>
          <t>Kritik satırlar THP ile uyumlu</t>
        </is>
      </c>
      <c r="F6" s="208" t="inlineStr">
        <is>
          <t>HATA</t>
        </is>
      </c>
      <c r="G6" s="208" t="inlineStr">
        <is>
          <t>Sözleşmeler</t>
        </is>
      </c>
    </row>
    <row r="7">
      <c r="A7" s="212" t="n">
        <v>4</v>
      </c>
      <c r="B7" s="208" t="inlineStr">
        <is>
          <t>Veri ve Anlam Sözleşmeleri</t>
        </is>
      </c>
      <c r="C7" s="208" t="inlineStr">
        <is>
          <t>Girdi/KPI varsa</t>
        </is>
      </c>
      <c r="D7" s="208" t="inlineStr">
        <is>
          <t>Veri + KPI sözleşmeleri</t>
        </is>
      </c>
      <c r="E7" s="208" t="inlineStr">
        <is>
          <t>Kapsam %100</t>
        </is>
      </c>
      <c r="F7" s="208" t="inlineStr">
        <is>
          <t>HATA</t>
        </is>
      </c>
      <c r="G7" s="208" t="inlineStr">
        <is>
          <t>Üretim</t>
        </is>
      </c>
    </row>
    <row r="8">
      <c r="A8" s="212" t="n">
        <v>5</v>
      </c>
      <c r="B8" s="208" t="inlineStr">
        <is>
          <t>Üretim</t>
        </is>
      </c>
      <c r="C8" s="208" t="inlineStr">
        <is>
          <t>Sözleşmeler GEÇTİ</t>
        </is>
      </c>
      <c r="D8" s="208" t="inlineStr">
        <is>
          <t>Çalışan Excel</t>
        </is>
      </c>
      <c r="E8" s="208" t="inlineStr">
        <is>
          <t>Tek gerçek kaynak korunmuş</t>
        </is>
      </c>
      <c r="F8" s="208" t="inlineStr">
        <is>
          <t>HATA</t>
        </is>
      </c>
      <c r="G8" s="208" t="inlineStr">
        <is>
          <t>Testler</t>
        </is>
      </c>
    </row>
    <row r="9" ht="28" customHeight="1" s="55">
      <c r="A9" s="212" t="n">
        <v>6</v>
      </c>
      <c r="B9" s="208" t="inlineStr">
        <is>
          <t>Görsel/Kullanım Katmanı</t>
        </is>
      </c>
      <c r="C9" s="208" t="inlineStr">
        <is>
          <t>Motor hazır</t>
        </is>
      </c>
      <c r="D9" s="208" t="inlineStr">
        <is>
          <t>Başlıklar + renk + grafik + yönlendirme</t>
        </is>
      </c>
      <c r="E9" s="208" t="inlineStr">
        <is>
          <t>Tüm kullanıcı sayfaları standarda uygun</t>
        </is>
      </c>
      <c r="F9" s="208" t="inlineStr">
        <is>
          <t>HATA</t>
        </is>
      </c>
      <c r="G9" s="208" t="inlineStr">
        <is>
          <t>Testler</t>
        </is>
      </c>
    </row>
    <row r="10" ht="28" customHeight="1" s="55">
      <c r="A10" s="212" t="n">
        <v>7</v>
      </c>
      <c r="B10" s="208" t="inlineStr">
        <is>
          <t>Testler</t>
        </is>
      </c>
      <c r="C10" s="208" t="inlineStr">
        <is>
          <t>Üretim tamam</t>
        </is>
      </c>
      <c r="D10" s="208" t="inlineStr">
        <is>
          <t>Formül/OOXML/kimlik/oracle/golden/metamorfik</t>
        </is>
      </c>
      <c r="E10" s="208" t="inlineStr">
        <is>
          <t>Uygulanabilir hard gate'ler GEÇTİ</t>
        </is>
      </c>
      <c r="F10" s="208" t="inlineStr">
        <is>
          <t>HATA</t>
        </is>
      </c>
      <c r="G10" s="208" t="inlineStr">
        <is>
          <t>Kanıt</t>
        </is>
      </c>
    </row>
    <row r="11">
      <c r="A11" s="212" t="n">
        <v>8</v>
      </c>
      <c r="B11" s="208" t="inlineStr">
        <is>
          <t>Hata-Kontrol Tutarlılığı</t>
        </is>
      </c>
      <c r="C11" s="208" t="inlineStr">
        <is>
          <t>Test sonucu var</t>
        </is>
      </c>
      <c r="D11" s="208" t="inlineStr">
        <is>
          <t>Hata taraması + kontrol sonuçları</t>
        </is>
      </c>
      <c r="E11" s="208" t="inlineStr">
        <is>
          <t>Formül hatası varken GEÇTİ yok</t>
        </is>
      </c>
      <c r="F11" s="208" t="inlineStr">
        <is>
          <t>HATA</t>
        </is>
      </c>
      <c r="G11" s="208" t="inlineStr">
        <is>
          <t>Kanıt</t>
        </is>
      </c>
    </row>
    <row r="12">
      <c r="A12" s="212" t="n">
        <v>9</v>
      </c>
      <c r="B12" s="208" t="inlineStr">
        <is>
          <t>Kanıt</t>
        </is>
      </c>
      <c r="C12" s="208" t="inlineStr">
        <is>
          <t>Test sonucu var</t>
        </is>
      </c>
      <c r="D12" s="208" t="inlineStr">
        <is>
          <t>Makine okunur artefakt + özet</t>
        </is>
      </c>
      <c r="E12" s="208" t="inlineStr">
        <is>
          <t>Kanıt fiziksel ve tutarlı</t>
        </is>
      </c>
      <c r="F12" s="208" t="inlineStr">
        <is>
          <t>HATA</t>
        </is>
      </c>
      <c r="G12" s="208" t="inlineStr">
        <is>
          <t>Kullanıcı Kabulü</t>
        </is>
      </c>
    </row>
    <row r="13">
      <c r="A13" s="212" t="n">
        <v>10</v>
      </c>
      <c r="B13" s="208" t="inlineStr">
        <is>
          <t>Kullanıcı Kabulü</t>
        </is>
      </c>
      <c r="C13" s="208" t="inlineStr">
        <is>
          <t>Kritik görevler</t>
        </is>
      </c>
      <c r="D13" s="208" t="inlineStr">
        <is>
          <t>Gerçek ekran davranışı</t>
        </is>
      </c>
      <c r="E13" s="208" t="inlineStr">
        <is>
          <t>Kritik görevler %100</t>
        </is>
      </c>
      <c r="F13" s="208" t="inlineStr">
        <is>
          <t>DIŞ_KABUL_GEREKLİ</t>
        </is>
      </c>
      <c r="G13" s="208" t="inlineStr">
        <is>
          <t>Ticari</t>
        </is>
      </c>
    </row>
    <row r="14">
      <c r="A14" s="212" t="n">
        <v>11</v>
      </c>
      <c r="B14" s="208" t="inlineStr">
        <is>
          <t>Ticari Değer</t>
        </is>
      </c>
      <c r="C14" s="208" t="inlineStr">
        <is>
          <t>Ürün satılacaksa</t>
        </is>
      </c>
      <c r="D14" s="208" t="inlineStr">
        <is>
          <t>ROI + demo + kanıt paketi</t>
        </is>
      </c>
      <c r="E14" s="208" t="inlineStr">
        <is>
          <t>Ekonomik değer kanıtlı</t>
        </is>
      </c>
      <c r="F14" s="208" t="inlineStr">
        <is>
          <t>UYARI / HATA</t>
        </is>
      </c>
      <c r="G14" s="208" t="inlineStr">
        <is>
          <t>Pazar Doğrulama</t>
        </is>
      </c>
    </row>
    <row r="15">
      <c r="A15" s="212" t="n">
        <v>12</v>
      </c>
      <c r="B15" s="208" t="inlineStr">
        <is>
          <t>Pazar Doğrulama</t>
        </is>
      </c>
      <c r="C15" s="208" t="inlineStr">
        <is>
          <t>Pazar iddiası varsa</t>
        </is>
      </c>
      <c r="D15" s="208" t="inlineStr">
        <is>
          <t>Ücretli satış/pilot/fiyat kabul kanıtı</t>
        </is>
      </c>
      <c r="E15" s="208" t="inlineStr">
        <is>
          <t>Gerçek fiyat kabul kanıtı</t>
        </is>
      </c>
      <c r="F15" s="208" t="inlineStr">
        <is>
          <t>UYGULANMAZ / HATA</t>
        </is>
      </c>
      <c r="G15" s="20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55" min="1" max="1"/>
    <col width="89.5" customWidth="1" style="55" min="2" max="2"/>
    <col width="34.5" customWidth="1" style="55" min="3" max="3"/>
    <col width="16" customWidth="1" style="55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NİHAİ KONTROL LİSTESİ — KANITSIZ GEÇİŞ YOK</t>
        </is>
      </c>
    </row>
    <row r="3" ht="24" customHeight="1" s="55">
      <c r="A3" s="214" t="inlineStr">
        <is>
          <t>Kontrol No</t>
        </is>
      </c>
      <c r="B3" s="214" t="inlineStr">
        <is>
          <t>Kontrol</t>
        </is>
      </c>
      <c r="C3" s="214" t="inlineStr">
        <is>
          <t>Beklenen</t>
        </is>
      </c>
      <c r="D3" s="214" t="inlineStr">
        <is>
          <t>Zorunlu Kapı?</t>
        </is>
      </c>
      <c r="E3" s="214" t="inlineStr">
        <is>
          <t>Sonuç</t>
        </is>
      </c>
    </row>
    <row r="4">
      <c r="A4" s="215" t="inlineStr">
        <is>
          <t>K01</t>
        </is>
      </c>
      <c r="B4" s="208" t="inlineStr">
        <is>
          <t>Kullanıcının açık talebi öncelikli mi?</t>
        </is>
      </c>
      <c r="C4" s="208" t="inlineStr">
        <is>
          <t>Evet</t>
        </is>
      </c>
      <c r="D4" s="208" t="inlineStr">
        <is>
          <t>EVET</t>
        </is>
      </c>
    </row>
    <row r="5">
      <c r="A5" s="215" t="inlineStr">
        <is>
          <t>K02</t>
        </is>
      </c>
      <c r="B5" s="208" t="inlineStr">
        <is>
          <t>Mevcut yapı, formüller ve tek gerçek kaynak korunuyor mu?</t>
        </is>
      </c>
      <c r="C5" s="208" t="inlineStr">
        <is>
          <t>Evet, değişiklik gerekçeli</t>
        </is>
      </c>
      <c r="D5" s="208" t="inlineStr">
        <is>
          <t>EVET</t>
        </is>
      </c>
    </row>
    <row r="6">
      <c r="A6" s="215" t="inlineStr">
        <is>
          <t>K03</t>
        </is>
      </c>
      <c r="B6" s="208" t="inlineStr">
        <is>
          <t>Üst aşama HATA ise alt aşama GEÇTİ engelleniyor mu?</t>
        </is>
      </c>
      <c r="C6" s="208" t="inlineStr">
        <is>
          <t>Evet</t>
        </is>
      </c>
      <c r="D6" s="208" t="inlineStr">
        <is>
          <t>EVET</t>
        </is>
      </c>
    </row>
    <row r="7">
      <c r="A7" s="215" t="inlineStr">
        <is>
          <t>K04</t>
        </is>
      </c>
      <c r="B7" s="208" t="inlineStr">
        <is>
          <t>Kanıt fiziksel çıktı ve içerik doğrulaması içeriyor mu?</t>
        </is>
      </c>
      <c r="C7" s="208" t="inlineStr">
        <is>
          <t>Evet</t>
        </is>
      </c>
      <c r="D7" s="208" t="inlineStr">
        <is>
          <t>EVET</t>
        </is>
      </c>
    </row>
    <row r="8">
      <c r="A8" s="215" t="inlineStr">
        <is>
          <t>K05</t>
        </is>
      </c>
      <c r="B8" s="208" t="inlineStr">
        <is>
          <t>Excel GUI erişimi olmadan kullanıcı görünümü GEÇTİ yazılıyor mu?</t>
        </is>
      </c>
      <c r="C8" s="208" t="inlineStr">
        <is>
          <t>Hayır</t>
        </is>
      </c>
      <c r="D8" s="208" t="inlineStr">
        <is>
          <t>EVET</t>
        </is>
      </c>
    </row>
    <row r="9">
      <c r="A9" s="215" t="inlineStr">
        <is>
          <t>K06</t>
        </is>
      </c>
      <c r="B9" s="208" t="inlineStr">
        <is>
          <t>NİHAİ yalnız GEÇTİ / gerekçeli UYGULANMAZ ile mi?</t>
        </is>
      </c>
      <c r="C9" s="208" t="inlineStr">
        <is>
          <t>Evet</t>
        </is>
      </c>
      <c r="D9" s="208" t="inlineStr">
        <is>
          <t>EVET</t>
        </is>
      </c>
    </row>
    <row r="10">
      <c r="A10" s="215" t="inlineStr">
        <is>
          <t>K07</t>
        </is>
      </c>
      <c r="B10" s="208" t="inlineStr">
        <is>
          <t>Ekonomik fiyat savunusu pazar doğrulamasından ayrılmış mı?</t>
        </is>
      </c>
      <c r="C10" s="208" t="inlineStr">
        <is>
          <t>Evet</t>
        </is>
      </c>
      <c r="D10" s="208" t="inlineStr">
        <is>
          <t>EVET</t>
        </is>
      </c>
    </row>
    <row r="11">
      <c r="A11" s="215" t="inlineStr">
        <is>
          <t>K08</t>
        </is>
      </c>
      <c r="B11" s="208" t="inlineStr">
        <is>
          <t>Prestij için gereksiz modül var mı?</t>
        </is>
      </c>
      <c r="C11" s="208" t="inlineStr">
        <is>
          <t>Hayır</t>
        </is>
      </c>
      <c r="D11" s="208" t="inlineStr">
        <is>
          <t>HAYIR</t>
        </is>
      </c>
    </row>
    <row r="12">
      <c r="A12" s="215" t="inlineStr">
        <is>
          <t>K09</t>
        </is>
      </c>
      <c r="B12" s="208" t="inlineStr">
        <is>
          <t>Excel sınırları açık mı?</t>
        </is>
      </c>
      <c r="C12" s="208" t="inlineStr">
        <is>
          <t>Evet</t>
        </is>
      </c>
      <c r="D12" s="208" t="inlineStr">
        <is>
          <t>EVET</t>
        </is>
      </c>
    </row>
    <row r="13">
      <c r="A13" s="215" t="inlineStr">
        <is>
          <t>K10</t>
        </is>
      </c>
      <c r="B13" s="208" t="inlineStr">
        <is>
          <t>Teknik kaynak korunuyor mu?</t>
        </is>
      </c>
      <c r="C13" s="208" t="inlineStr">
        <is>
          <t>Evet</t>
        </is>
      </c>
      <c r="D13" s="208" t="inlineStr">
        <is>
          <t>EVET</t>
        </is>
      </c>
    </row>
    <row r="14">
      <c r="A14" s="215" t="inlineStr">
        <is>
          <t>K11</t>
        </is>
      </c>
      <c r="B14" s="208" t="inlineStr">
        <is>
          <t>Kullanıcıya görünen tüm metinler Türkçe mi?</t>
        </is>
      </c>
      <c r="C14" s="208" t="inlineStr">
        <is>
          <t>Evet</t>
        </is>
      </c>
      <c r="D14" s="208" t="inlineStr">
        <is>
          <t>EVET</t>
        </is>
      </c>
    </row>
    <row r="15">
      <c r="A15" s="215" t="inlineStr">
        <is>
          <t>K12</t>
        </is>
      </c>
      <c r="B15" s="208" t="inlineStr">
        <is>
          <t>Her kullanıcı sayfasında üst başlık var mı?</t>
        </is>
      </c>
      <c r="C15" s="208" t="inlineStr">
        <is>
          <t>Evet</t>
        </is>
      </c>
      <c r="D15" s="208" t="inlineStr">
        <is>
          <t>EVET</t>
        </is>
      </c>
    </row>
    <row r="16">
      <c r="A16" s="215" t="inlineStr">
        <is>
          <t>K13</t>
        </is>
      </c>
      <c r="B16" s="208" t="inlineStr">
        <is>
          <t>Sayfalar arasında tutarlı renk sistemi var mı?</t>
        </is>
      </c>
      <c r="C16" s="208" t="inlineStr">
        <is>
          <t>Evet</t>
        </is>
      </c>
      <c r="D16" s="208" t="inlineStr">
        <is>
          <t>EVET</t>
        </is>
      </c>
    </row>
    <row r="17">
      <c r="A17" s="215" t="inlineStr">
        <is>
          <t>K14</t>
        </is>
      </c>
      <c r="B17" s="208" t="inlineStr">
        <is>
          <t>Alt sayfa sekmeleri işlevine göre renklendirilmiş mi?</t>
        </is>
      </c>
      <c r="C17" s="208" t="inlineStr">
        <is>
          <t>Evet</t>
        </is>
      </c>
      <c r="D17" s="208" t="inlineStr">
        <is>
          <t>EVET</t>
        </is>
      </c>
    </row>
    <row r="18">
      <c r="A18" s="215" t="inlineStr">
        <is>
          <t>K15</t>
        </is>
      </c>
      <c r="B18" s="208" t="inlineStr">
        <is>
          <t>İçerik blokları arasında gereksiz boş kolon var mı?</t>
        </is>
      </c>
      <c r="C18" s="208" t="inlineStr">
        <is>
          <t>Hayır</t>
        </is>
      </c>
      <c r="D18" s="208" t="inlineStr">
        <is>
          <t>EVET</t>
        </is>
      </c>
    </row>
    <row r="19">
      <c r="A19" s="215" t="inlineStr">
        <is>
          <t>K16</t>
        </is>
      </c>
      <c r="B19" s="208" t="inlineStr">
        <is>
          <t>Grafikler premium ve karar odaklı mı?</t>
        </is>
      </c>
      <c r="C19" s="208" t="inlineStr">
        <is>
          <t>Evet</t>
        </is>
      </c>
      <c r="D19" s="208" t="inlineStr">
        <is>
          <t>EVET</t>
        </is>
      </c>
    </row>
    <row r="20">
      <c r="A20" s="215" t="inlineStr">
        <is>
          <t>K17</t>
        </is>
      </c>
      <c r="B20" s="208" t="inlineStr">
        <is>
          <t>Varsayılan Excel grafiği / 3B / dekoratif grafik var mı?</t>
        </is>
      </c>
      <c r="C20" s="208" t="inlineStr">
        <is>
          <t>Hayır</t>
        </is>
      </c>
      <c r="D20" s="208" t="inlineStr">
        <is>
          <t>EVET</t>
        </is>
      </c>
    </row>
    <row r="21">
      <c r="A21" s="215" t="inlineStr">
        <is>
          <t>K18</t>
        </is>
      </c>
      <c r="B21" s="208" t="inlineStr">
        <is>
          <t>Finansal ürün Türkiye Tekdüzen Hesap Planı ile eşleşiyor mu?</t>
        </is>
      </c>
      <c r="C21" s="208" t="inlineStr">
        <is>
          <t>Evet</t>
        </is>
      </c>
      <c r="D21" s="208" t="inlineStr">
        <is>
          <t>EVET</t>
        </is>
      </c>
    </row>
    <row r="22">
      <c r="A22" s="215" t="inlineStr">
        <is>
          <t>K19</t>
        </is>
      </c>
      <c r="B22" s="208" t="inlineStr">
        <is>
          <t>Muhasebe satır adları Türkiye kullanımına uygun mu?</t>
        </is>
      </c>
      <c r="C22" s="208" t="inlineStr">
        <is>
          <t>Evet</t>
        </is>
      </c>
      <c r="D22" s="208" t="inlineStr">
        <is>
          <t>EVET</t>
        </is>
      </c>
    </row>
    <row r="23">
      <c r="A23" s="215" t="inlineStr">
        <is>
          <t>K20</t>
        </is>
      </c>
      <c r="B23" s="208" t="inlineStr">
        <is>
          <t>Formül hatası varken herhangi bir kontrol GEÇTİ gösteriyor mu?</t>
        </is>
      </c>
      <c r="C23" s="208" t="inlineStr">
        <is>
          <t>Hayır</t>
        </is>
      </c>
      <c r="D23" s="208" t="inlineStr">
        <is>
          <t>EVET</t>
        </is>
      </c>
    </row>
    <row r="24">
      <c r="A24" s="215" t="inlineStr">
        <is>
          <t>K21</t>
        </is>
      </c>
      <c r="B24" s="208" t="inlineStr">
        <is>
          <t>Karar Motoru boş veya yalnız başlık düzeyinde mi?</t>
        </is>
      </c>
      <c r="C24" s="208" t="inlineStr">
        <is>
          <t>Hayır</t>
        </is>
      </c>
      <c r="D24" s="208" t="inlineStr">
        <is>
          <t>EVET</t>
        </is>
      </c>
    </row>
    <row r="25">
      <c r="A25" s="215" t="inlineStr">
        <is>
          <t>K22</t>
        </is>
      </c>
      <c r="B25" s="208" t="inlineStr">
        <is>
          <t>Senaryo/Stres modülü gerçekten sonuç değiştiriyor mu?</t>
        </is>
      </c>
      <c r="C25" s="208" t="inlineStr">
        <is>
          <t>Evet</t>
        </is>
      </c>
      <c r="D25" s="208" t="inlineStr">
        <is>
          <t>EVET</t>
        </is>
      </c>
    </row>
    <row r="26">
      <c r="A26" s="215" t="inlineStr">
        <is>
          <t>K23</t>
        </is>
      </c>
      <c r="B26" s="208" t="inlineStr">
        <is>
          <t>Oracle/bağımsız doğrulama gerçek veri üretiyor mu?</t>
        </is>
      </c>
      <c r="C26" s="208" t="inlineStr">
        <is>
          <t>Evet veya gerekçeli UYGULANMAZ</t>
        </is>
      </c>
      <c r="D26" s="208" t="inlineStr">
        <is>
          <t>EVET</t>
        </is>
      </c>
    </row>
    <row r="27">
      <c r="A27" s="215" t="inlineStr">
        <is>
          <t>K24</t>
        </is>
      </c>
      <c r="B27" s="208" t="inlineStr">
        <is>
          <t>Yönetici ekranı 5 saniyede sorunu ve aksiyonu anlatıyor mu?</t>
        </is>
      </c>
      <c r="C27" s="208" t="inlineStr">
        <is>
          <t>Evet</t>
        </is>
      </c>
      <c r="D27" s="208" t="inlineStr">
        <is>
          <t>EVET</t>
        </is>
      </c>
    </row>
    <row r="28">
      <c r="A28" s="215" t="inlineStr">
        <is>
          <t>K25</t>
        </is>
      </c>
      <c r="B28" s="208" t="inlineStr">
        <is>
          <t>Her kritik kararın parasal etkisi ve önerilen aksiyonu var mı?</t>
        </is>
      </c>
      <c r="C28" s="208" t="inlineStr">
        <is>
          <t>Evet</t>
        </is>
      </c>
      <c r="D28" s="208" t="inlineStr">
        <is>
          <t>EVET</t>
        </is>
      </c>
    </row>
    <row r="29">
      <c r="A29" s="215" t="inlineStr">
        <is>
          <t>K26</t>
        </is>
      </c>
      <c r="B29" s="208" t="inlineStr">
        <is>
          <t>Ürün sayfası/ürün içi demo satın alma gerekçesini kanıtlıyor mu?</t>
        </is>
      </c>
      <c r="C29" s="208" t="inlineStr">
        <is>
          <t>Evet</t>
        </is>
      </c>
      <c r="D29" s="208" t="inlineStr">
        <is>
          <t>EVET</t>
        </is>
      </c>
    </row>
    <row r="30" ht="30" customHeight="1" s="55">
      <c r="A30" s="216" t="inlineStr">
        <is>
          <t>K27</t>
        </is>
      </c>
      <c r="B30" s="217" t="inlineStr">
        <is>
          <t>Buton görünümü verilen tüm alanlar gerçekten tıklanabilir ve doğru hedefe gidiyor mu?</t>
        </is>
      </c>
      <c r="C30" s="217" t="inlineStr">
        <is>
          <t>Evet</t>
        </is>
      </c>
      <c r="D30" s="208" t="inlineStr">
        <is>
          <t>EVET</t>
        </is>
      </c>
    </row>
    <row r="31" ht="30" customHeight="1" s="55">
      <c r="A31" s="216" t="inlineStr">
        <is>
          <t>K28</t>
        </is>
      </c>
      <c r="B31" s="217" t="inlineStr">
        <is>
          <t>Tüm görünür kullanıcı sheet tabları kurumsal kategori rengi taşıyor mu?</t>
        </is>
      </c>
      <c r="C31" s="217" t="inlineStr">
        <is>
          <t>Evet</t>
        </is>
      </c>
      <c r="D31" s="208" t="inlineStr">
        <is>
          <t>EVET</t>
        </is>
      </c>
    </row>
    <row r="32" ht="16" customHeight="1" s="55">
      <c r="A32" s="216" t="inlineStr">
        <is>
          <t>K29</t>
        </is>
      </c>
      <c r="B32" s="217" t="inlineStr">
        <is>
          <t>Sheet sırası tanımlı kullanıcı iş akışıyla birebir aynı mı?</t>
        </is>
      </c>
      <c r="C32" s="217" t="inlineStr">
        <is>
          <t>Evet</t>
        </is>
      </c>
      <c r="D32" s="208" t="inlineStr">
        <is>
          <t>EVET</t>
        </is>
      </c>
    </row>
    <row r="33" ht="30" customHeight="1" s="55">
      <c r="A33" s="216" t="inlineStr">
        <is>
          <t>K30</t>
        </is>
      </c>
      <c r="B33" s="217" t="inlineStr">
        <is>
          <t>Kurumsal renk paleti tutarlı mı; rastgele/gökkuşağı renk kullanımı var mı?</t>
        </is>
      </c>
      <c r="C33" s="217" t="inlineStr">
        <is>
          <t>Evet / Hayır</t>
        </is>
      </c>
      <c r="D33" s="208" t="inlineStr">
        <is>
          <t>EVET</t>
        </is>
      </c>
    </row>
    <row r="34" ht="30" customHeight="1" s="55">
      <c r="A34" s="216" t="inlineStr">
        <is>
          <t>K31</t>
        </is>
      </c>
      <c r="B34" s="217" t="inlineStr">
        <is>
          <t>Premium vitrin, altyapı kadar güçlü ve satış fiyatını destekleyecek seviyede mi?</t>
        </is>
      </c>
      <c r="C34" s="217" t="inlineStr">
        <is>
          <t>Evet</t>
        </is>
      </c>
      <c r="D34" s="20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55" min="1" max="1"/>
    <col width="71.5" customWidth="1" style="55" min="2" max="2"/>
    <col width="160.5" customWidth="1" style="55" min="3" max="3"/>
    <col width="70.5" customWidth="1" style="55" min="4" max="4"/>
    <col width="50.5" customWidth="1" style="55" min="5" max="5"/>
    <col width="16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GÖRSEL TASARIM VE PREMIUM EXCEL STANDARDI</t>
        </is>
      </c>
    </row>
    <row r="3" ht="24" customHeight="1" s="55">
      <c r="A3" s="219" t="inlineStr">
        <is>
          <t>Alan</t>
        </is>
      </c>
      <c r="B3" s="219" t="inlineStr">
        <is>
          <t>Zorunlu Kural</t>
        </is>
      </c>
      <c r="C3" s="219" t="inlineStr">
        <is>
          <t>Uygulama</t>
        </is>
      </c>
      <c r="D3" s="219" t="inlineStr">
        <is>
          <t>Yasak</t>
        </is>
      </c>
      <c r="E3" s="219" t="inlineStr">
        <is>
          <t>Kontrol</t>
        </is>
      </c>
      <c r="F3" s="219" t="inlineStr">
        <is>
          <t>Durum</t>
        </is>
      </c>
    </row>
    <row r="4" ht="28" customHeight="1" s="55">
      <c r="A4" s="220" t="inlineStr">
        <is>
          <t>Sayfa başlığı</t>
        </is>
      </c>
      <c r="B4" s="208" t="inlineStr">
        <is>
          <t>Her kullanıcı sayfasının en üstünde tek ve açık sayfa başlığı</t>
        </is>
      </c>
      <c r="C4" s="208" t="inlineStr">
        <is>
          <t>A1'den başlayan koyu lacivert başlık bandı</t>
        </is>
      </c>
      <c r="D4" s="208" t="inlineStr">
        <is>
          <t>Başlıksız sayfa</t>
        </is>
      </c>
      <c r="E4" s="208" t="inlineStr">
        <is>
          <t>Başlık kapsama = %100</t>
        </is>
      </c>
      <c r="F4" s="221" t="inlineStr">
        <is>
          <t>ZORUNLU</t>
        </is>
      </c>
    </row>
    <row r="5" ht="28" customHeight="1" s="55">
      <c r="A5" s="220" t="inlineStr">
        <is>
          <t>Sekme renkleri</t>
        </is>
      </c>
      <c r="B5" s="208" t="inlineStr">
        <is>
          <t>Sayfalar işlevine göre renk kodlanır</t>
        </is>
      </c>
      <c r="C5" s="208" t="inlineStr">
        <is>
          <t>Girdi=mavi, hesap=gri, rapor=lacivert, kontrol=kırmızı, kılavuz=altın</t>
        </is>
      </c>
      <c r="D5" s="208" t="inlineStr">
        <is>
          <t>Rastgele renk</t>
        </is>
      </c>
      <c r="E5" s="208" t="inlineStr">
        <is>
          <t>Renk semantiği tutarlı</t>
        </is>
      </c>
      <c r="F5" s="221" t="inlineStr">
        <is>
          <t>ZORUNLU</t>
        </is>
      </c>
    </row>
    <row r="6" ht="28" customHeight="1" s="55">
      <c r="A6" s="220" t="inlineStr">
        <is>
          <t>Kolon düzeni</t>
        </is>
      </c>
      <c r="B6" s="208" t="inlineStr">
        <is>
          <t>Veri blokları bitişik kolonlarda ilerler</t>
        </is>
      </c>
      <c r="C6" s="208" t="inlineStr">
        <is>
          <t>Gereksiz boş kolon bırakma; yalnız gerçek bölüm ayrımı varsa kontrollü boşluk</t>
        </is>
      </c>
      <c r="D6" s="208" t="inlineStr">
        <is>
          <t>A:C veri, D boş, E:F veri gibi parçalı yapı</t>
        </is>
      </c>
      <c r="E6" s="208" t="inlineStr">
        <is>
          <t>Boş kolon taraması</t>
        </is>
      </c>
      <c r="F6" s="221" t="inlineStr">
        <is>
          <t>ZORUNLU</t>
        </is>
      </c>
    </row>
    <row r="7" ht="16" customHeight="1" s="55">
      <c r="A7" s="220" t="inlineStr">
        <is>
          <t>Girdi hücreleri</t>
        </is>
      </c>
      <c r="B7" s="208" t="inlineStr">
        <is>
          <t>Kullanıcının değiştireceği alan açıkça görünür</t>
        </is>
      </c>
      <c r="C7" s="208" t="inlineStr">
        <is>
          <t>Açık sarı dolgu + mavi yazı</t>
        </is>
      </c>
      <c r="D7" s="208" t="inlineStr">
        <is>
          <t>Formülle aynı görünüm</t>
        </is>
      </c>
      <c r="E7" s="208" t="inlineStr">
        <is>
          <t>Girdi/formül ayrımı</t>
        </is>
      </c>
      <c r="F7" s="221" t="inlineStr">
        <is>
          <t>ZORUNLU</t>
        </is>
      </c>
    </row>
    <row r="8" ht="16" customHeight="1" s="55">
      <c r="A8" s="220" t="inlineStr">
        <is>
          <t>Formüller</t>
        </is>
      </c>
      <c r="B8" s="208" t="inlineStr">
        <is>
          <t>Hesap hücreleri kullanıcı girdisinden ayrılır</t>
        </is>
      </c>
      <c r="C8" s="208" t="inlineStr">
        <is>
          <t>Siyah yazı; sayfalar arası bağlantı yeşil yazı</t>
        </is>
      </c>
      <c r="D8" s="208" t="inlineStr">
        <is>
          <t>Hard-code gizleme</t>
        </is>
      </c>
      <c r="E8" s="208" t="inlineStr">
        <is>
          <t>Formül sınıfı kontrolü</t>
        </is>
      </c>
      <c r="F8" s="221" t="inlineStr">
        <is>
          <t>ZORUNLU</t>
        </is>
      </c>
    </row>
    <row r="9" ht="16" customHeight="1" s="55">
      <c r="A9" s="220" t="inlineStr">
        <is>
          <t>Grafik sayısı</t>
        </is>
      </c>
      <c r="B9" s="208" t="inlineStr">
        <is>
          <t>Yönetici ekranında en fazla 3 ana karar grafiği</t>
        </is>
      </c>
      <c r="C9" s="208" t="inlineStr">
        <is>
          <t>Trend, karşılaştırma, köprü/dağılım; iş kararına bağlı</t>
        </is>
      </c>
      <c r="D9" s="208" t="inlineStr">
        <is>
          <t>Grafik kalabalığı</t>
        </is>
      </c>
      <c r="E9" s="208" t="inlineStr">
        <is>
          <t>Grafik başına karar sorusu</t>
        </is>
      </c>
      <c r="F9" s="221" t="inlineStr">
        <is>
          <t>ZORUNLU</t>
        </is>
      </c>
    </row>
    <row r="10" ht="16" customHeight="1" s="55">
      <c r="A10" s="220" t="inlineStr">
        <is>
          <t>Grafik stili</t>
        </is>
      </c>
      <c r="B10" s="208" t="inlineStr">
        <is>
          <t>Kurumsal ve yüksek okunabilirlik</t>
        </is>
      </c>
      <c r="C10" s="208" t="inlineStr">
        <is>
          <t>Beyaz zemin, ince gridline, tek vurgu rengi, açık birim/başlık</t>
        </is>
      </c>
      <c r="D10" s="208" t="inlineStr">
        <is>
          <t>3B, gölge, neon, gökkuşağı renkleri</t>
        </is>
      </c>
      <c r="E10" s="208" t="inlineStr">
        <is>
          <t>Görsel inceleme</t>
        </is>
      </c>
      <c r="F10" s="221" t="inlineStr">
        <is>
          <t>ZORUNLU</t>
        </is>
      </c>
    </row>
    <row r="11" ht="16" customHeight="1" s="55">
      <c r="A11" s="220" t="inlineStr">
        <is>
          <t>Grafik başlığı</t>
        </is>
      </c>
      <c r="B11" s="208" t="inlineStr">
        <is>
          <t>Grafik 'neyi' değil 'ne anlama geldiğini' söyler</t>
        </is>
      </c>
      <c r="C11" s="208" t="inlineStr">
        <is>
          <t>Örn: 'Nakit 2028'de kritik eşiğin altına iniyor'</t>
        </is>
      </c>
      <c r="D11" s="208" t="inlineStr">
        <is>
          <t>'Nakit Grafiği' gibi anlamsız başlık</t>
        </is>
      </c>
      <c r="E11" s="208" t="inlineStr">
        <is>
          <t>Başlık karar testi</t>
        </is>
      </c>
      <c r="F11" s="221" t="inlineStr">
        <is>
          <t>ZORUNLU</t>
        </is>
      </c>
    </row>
    <row r="12" ht="16" customHeight="1" s="55">
      <c r="A12" s="220" t="inlineStr">
        <is>
          <t>Birimler</t>
        </is>
      </c>
      <c r="B12" s="208" t="inlineStr">
        <is>
          <t>Tüm finansal görsellerde birim açık</t>
        </is>
      </c>
      <c r="C12" s="208" t="inlineStr">
        <is>
          <t>TL, bin TL, milyon TL, %, gün, x</t>
        </is>
      </c>
      <c r="D12" s="208" t="inlineStr">
        <is>
          <t>Birim belirsizliği</t>
        </is>
      </c>
      <c r="E12" s="208" t="inlineStr">
        <is>
          <t>Birim kapsama %100</t>
        </is>
      </c>
      <c r="F12" s="221" t="inlineStr">
        <is>
          <t>ZORUNLU</t>
        </is>
      </c>
    </row>
    <row r="13" ht="16" customHeight="1" s="55">
      <c r="A13" s="220" t="inlineStr">
        <is>
          <t>Sıfır/negatif</t>
        </is>
      </c>
      <c r="B13" s="208" t="inlineStr">
        <is>
          <t>Finansal format standardı</t>
        </is>
      </c>
      <c r="C13" s="208" t="inlineStr">
        <is>
          <t>Sıfır='-', negatif kırmızı parantez</t>
        </is>
      </c>
      <c r="D13" s="208" t="inlineStr">
        <is>
          <t>-500 veya 0,00 kalabalığı</t>
        </is>
      </c>
      <c r="E13" s="208" t="inlineStr">
        <is>
          <t>Format kontrolü</t>
        </is>
      </c>
      <c r="F13" s="221" t="inlineStr">
        <is>
          <t>ZORUNLU</t>
        </is>
      </c>
    </row>
    <row r="14" ht="16" customHeight="1" s="55">
      <c r="A14" s="220" t="inlineStr">
        <is>
          <t>Yazı tipi</t>
        </is>
      </c>
      <c r="B14" s="208" t="inlineStr">
        <is>
          <t>Tek aile</t>
        </is>
      </c>
      <c r="C14" s="208" t="inlineStr">
        <is>
          <t>Aptos veya Segoe UI</t>
        </is>
      </c>
      <c r="D14" s="208" t="inlineStr">
        <is>
          <t>Karışık font</t>
        </is>
      </c>
      <c r="E14" s="208" t="inlineStr">
        <is>
          <t>Tek font kontrolü</t>
        </is>
      </c>
      <c r="F14" s="221" t="inlineStr">
        <is>
          <t>ZORUNLU</t>
        </is>
      </c>
    </row>
    <row r="15" ht="16" customHeight="1" s="55">
      <c r="A15" s="220" t="inlineStr">
        <is>
          <t>Izgara</t>
        </is>
      </c>
      <c r="B15" s="208" t="inlineStr">
        <is>
          <t>Kullanıcı sayfalarında kapalı</t>
        </is>
      </c>
      <c r="C15" s="208" t="inlineStr">
        <is>
          <t>Bölüm çizgileri ve kart sınırlarıyla düzen</t>
        </is>
      </c>
      <c r="D15" s="208" t="inlineStr">
        <is>
          <t>Excel varsayılan gridline</t>
        </is>
      </c>
      <c r="E15" s="208" t="inlineStr">
        <is>
          <t>Gridline kontrolü</t>
        </is>
      </c>
      <c r="F15" s="221" t="inlineStr">
        <is>
          <t>ZORUNLU</t>
        </is>
      </c>
    </row>
    <row r="16" ht="16" customHeight="1" s="55">
      <c r="A16" s="220" t="inlineStr">
        <is>
          <t>Boş durum</t>
        </is>
      </c>
      <c r="B16" s="208" t="inlineStr">
        <is>
          <t>Veri yokken temiz ve anlaşılır</t>
        </is>
      </c>
      <c r="C16" s="208" t="inlineStr">
        <is>
          <t>'Henüz veri yok' / 'Girdi bekleniyor'</t>
        </is>
      </c>
      <c r="D16" s="208" t="inlineStr">
        <is>
          <t>0 yığını / hata kodu</t>
        </is>
      </c>
      <c r="E16" s="208" t="inlineStr">
        <is>
          <t>Boş veri testi</t>
        </is>
      </c>
      <c r="F16" s="221" t="inlineStr">
        <is>
          <t>ZORUNLU</t>
        </is>
      </c>
    </row>
    <row r="17" ht="28" customHeight="1" s="55">
      <c r="A17" s="220" t="inlineStr">
        <is>
          <t>Başlangıç deneyimi</t>
        </is>
      </c>
      <c r="B17" s="208" t="inlineStr">
        <is>
          <t>İlk 5 saniyede ne gireceği ve neye bakacağı anlaşılır</t>
        </is>
      </c>
      <c r="C17" s="208" t="inlineStr">
        <is>
          <t>Girdi → durum → aksiyon akışı</t>
        </is>
      </c>
      <c r="D17" s="208" t="inlineStr">
        <is>
          <t>Kılavuz aramaya zorlama</t>
        </is>
      </c>
      <c r="E17" s="208" t="inlineStr">
        <is>
          <t>5 saniye testi</t>
        </is>
      </c>
      <c r="F17" s="221" t="inlineStr">
        <is>
          <t>ZORUNLU</t>
        </is>
      </c>
    </row>
    <row r="18" ht="30" customHeight="1" s="55">
      <c r="A18" s="216" t="inlineStr">
        <is>
          <t>Buton standardı</t>
        </is>
      </c>
      <c r="B18" s="217" t="inlineStr">
        <is>
          <t>Buton görünümü verilen her alan gerçek işlev taşır</t>
        </is>
      </c>
      <c r="C18" s="217" t="inlineStr">
        <is>
          <t>Sayfa içi HYPERLINK / gerçek aksiyon; tıklanınca hedefe gider</t>
        </is>
      </c>
      <c r="D18" s="217" t="inlineStr">
        <is>
          <t>İşlevsiz dekoratif buton / sahte navigasyon</t>
        </is>
      </c>
      <c r="E18" s="217" t="inlineStr">
        <is>
          <t>Butonların %100'ü tıklanabilir ve hedefi doğru</t>
        </is>
      </c>
      <c r="F18" s="221" t="inlineStr">
        <is>
          <t>ZORUNLU</t>
        </is>
      </c>
    </row>
    <row r="19" ht="32" customHeight="1" s="55">
      <c r="A19" s="216" t="inlineStr">
        <is>
          <t>Native sayfa sekmesi rengi</t>
        </is>
      </c>
      <c r="B19" s="217" t="inlineStr">
        <is>
          <t>Excel alt sheet tabları kurumsal paletle renklendirilir</t>
        </is>
      </c>
      <c r="C19" s="217" t="inlineStr">
        <is>
          <t>Başlangıç/özet=lacivert; girdiler=mavi; hesap/finans=teal; karar/kontrol=burgundy; doküman=gri</t>
        </is>
      </c>
      <c r="D19" s="217" t="inlineStr">
        <is>
          <t>Renksiz sekmeler veya rastgele/gökkuşağı renkleri</t>
        </is>
      </c>
      <c r="E19" s="217" t="inlineStr">
        <is>
          <t>Tüm görünür kullanıcı sheet tabları renkli</t>
        </is>
      </c>
      <c r="F19" s="221" t="inlineStr">
        <is>
          <t>ZORUNLU</t>
        </is>
      </c>
    </row>
    <row r="20" ht="60" customHeight="1" s="55">
      <c r="A20" s="216" t="inlineStr">
        <is>
          <t>İş akışı sıralaması</t>
        </is>
      </c>
      <c r="B20" s="217" t="inlineStr">
        <is>
          <t>Sayfalar kullanıcının çalışma sırasına göre fiziksel olarak dizilir</t>
        </is>
      </c>
      <c r="C20" s="217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17" t="inlineStr">
        <is>
          <t>Teknik oluşturma sırasına göre dağınık sheet dizilimi</t>
        </is>
      </c>
      <c r="E20" s="217" t="inlineStr">
        <is>
          <t>Sheet order = tanımlı workflow</t>
        </is>
      </c>
      <c r="F20" s="221" t="inlineStr">
        <is>
          <t>ZORUNLU</t>
        </is>
      </c>
    </row>
    <row r="21" ht="30" customHeight="1" s="55">
      <c r="A21" s="216" t="inlineStr">
        <is>
          <t>Kurumsal renk paleti</t>
        </is>
      </c>
      <c r="B21" s="217" t="inlineStr">
        <is>
          <t>Sekme, başlık, buton ve vurgu renkleri tek kurumsal paletten gelir</t>
        </is>
      </c>
      <c r="C21" s="217" t="inlineStr">
        <is>
          <t>Lacivert + mavi + teal + kontrollü burgundy/gri; kategori semantiği sabit</t>
        </is>
      </c>
      <c r="D21" s="217" t="inlineStr">
        <is>
          <t>Neon, rastgele yüksek doygunluk, her sayfada farklı bağımsız renk</t>
        </is>
      </c>
      <c r="E21" s="217" t="inlineStr">
        <is>
          <t>Palette token kontrolü</t>
        </is>
      </c>
      <c r="F21" s="221" t="inlineStr">
        <is>
          <t>ZORUNLU</t>
        </is>
      </c>
    </row>
    <row r="22" ht="45" customHeight="1" s="55">
      <c r="A22" s="216" t="inlineStr">
        <is>
          <t>Premium vitrin</t>
        </is>
      </c>
      <c r="B22" s="217" t="inlineStr">
        <is>
          <t>Görsel kalite ürün değerinin zorunlu parçasıdır</t>
        </is>
      </c>
      <c r="C22" s="217" t="inlineStr">
        <is>
          <t>Kaliteli grafik, gerçek KPI kartı, finansal hiyerarşi, tab rengi, fonksiyonel navigasyon</t>
        </is>
      </c>
      <c r="D22" s="217" t="inlineStr">
        <is>
          <t>Sadece doğru hesap yapıp çıplak/varsayılan Excel görünümü bırakmak</t>
        </is>
      </c>
      <c r="E22" s="217" t="inlineStr">
        <is>
          <t>Görsel release incelemesi</t>
        </is>
      </c>
      <c r="F22" s="221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55" min="1" max="1"/>
    <col width="60.5" customWidth="1" style="55" min="2" max="2"/>
    <col width="86.5" customWidth="1" style="55" min="3" max="3"/>
    <col width="40.5" customWidth="1" style="55" min="4" max="4"/>
    <col width="39.5" customWidth="1" style="55" min="5" max="5"/>
    <col width="27.5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TÜRKİYE MUHASEBE VE TEKDÜZEN HESAP PLANI STANDARDI</t>
        </is>
      </c>
    </row>
    <row r="3" ht="24" customHeight="1" s="55">
      <c r="A3" s="223" t="inlineStr">
        <is>
          <t>Konu</t>
        </is>
      </c>
      <c r="B3" s="223" t="inlineStr">
        <is>
          <t>Zorunlu Standart</t>
        </is>
      </c>
      <c r="C3" s="223" t="inlineStr">
        <is>
          <t>Örnek Türkçe Ad</t>
        </is>
      </c>
      <c r="D3" s="223" t="inlineStr">
        <is>
          <t>THP / Mantık</t>
        </is>
      </c>
      <c r="E3" s="223" t="inlineStr">
        <is>
          <t>Hata Riski</t>
        </is>
      </c>
      <c r="F3" s="223" t="inlineStr">
        <is>
          <t>Kontrol</t>
        </is>
      </c>
    </row>
    <row r="4">
      <c r="A4" s="224" t="inlineStr">
        <is>
          <t>Dil</t>
        </is>
      </c>
      <c r="B4" s="208" t="inlineStr">
        <is>
          <t>Kullanıcıya görünen finansal terimler Türkçe</t>
        </is>
      </c>
      <c r="C4" s="208" t="inlineStr">
        <is>
          <t>Hasılat, Satışların Maliyeti, Brüt Kâr, Faaliyet Giderleri</t>
        </is>
      </c>
      <c r="D4" s="208" t="inlineStr">
        <is>
          <t>Türk işletme kullanımına uygun</t>
        </is>
      </c>
      <c r="E4" s="208" t="inlineStr">
        <is>
          <t>İngilizce jargon</t>
        </is>
      </c>
      <c r="F4" s="208" t="inlineStr">
        <is>
          <t>Terminoloji taraması</t>
        </is>
      </c>
    </row>
    <row r="5" ht="28" customHeight="1" s="55">
      <c r="A5" s="224" t="inlineStr">
        <is>
          <t>Gelir Tablosu</t>
        </is>
      </c>
      <c r="B5" s="208" t="inlineStr">
        <is>
          <t>Türk sunum sırası kullanılır</t>
        </is>
      </c>
      <c r="C5" s="208" t="inlineStr">
        <is>
          <t>Net Satışlar → Satışların Maliyeti → Brüt Kâr → Faaliyet Giderleri → Faaliyet Kârı</t>
        </is>
      </c>
      <c r="D5" s="208" t="inlineStr">
        <is>
          <t>600/610/611; 620-623; 63x</t>
        </is>
      </c>
      <c r="E5" s="208" t="inlineStr">
        <is>
          <t>Yanlış sınıflama</t>
        </is>
      </c>
      <c r="F5" s="208" t="inlineStr">
        <is>
          <t>Hesap eşleme</t>
        </is>
      </c>
    </row>
    <row r="6" ht="28" customHeight="1" s="55">
      <c r="A6" s="224" t="inlineStr">
        <is>
          <t>Bilanço</t>
        </is>
      </c>
      <c r="B6" s="208" t="inlineStr">
        <is>
          <t>Dönen/Duran Varlık ve Kısa/Uzun Vadeli Yükümlülük ayrımı</t>
        </is>
      </c>
      <c r="C6" s="208" t="inlineStr">
        <is>
          <t>Hazır Değerler, Ticari Alacaklar, Stoklar, Mali Borçlar</t>
        </is>
      </c>
      <c r="D6" s="208" t="inlineStr">
        <is>
          <t>1xx / 2xx / 3xx / 4xx / 5xx</t>
        </is>
      </c>
      <c r="E6" s="208" t="inlineStr">
        <is>
          <t>Vade sınıfı hatası</t>
        </is>
      </c>
      <c r="F6" s="208" t="inlineStr">
        <is>
          <t>Bilanço eşitliği</t>
        </is>
      </c>
    </row>
    <row r="7">
      <c r="A7" s="224" t="inlineStr">
        <is>
          <t>Nakit Akışı</t>
        </is>
      </c>
      <c r="B7" s="208" t="inlineStr">
        <is>
          <t>İşletme/Yatırım/Finansman nakit akışları ayrılır</t>
        </is>
      </c>
      <c r="C7" s="208" t="inlineStr">
        <is>
          <t>Faaliyetlerden Nakit, Yatırım Harcamaları, Finansman Nakit Akışı</t>
        </is>
      </c>
      <c r="D7" s="208" t="inlineStr">
        <is>
          <t>Dolaylı/doğrudan yöntem açık seçilir</t>
        </is>
      </c>
      <c r="E7" s="208" t="inlineStr">
        <is>
          <t>Kâr = nakit sanılması</t>
        </is>
      </c>
      <c r="F7" s="208" t="inlineStr">
        <is>
          <t>Nakit devri</t>
        </is>
      </c>
    </row>
    <row r="8">
      <c r="A8" s="224" t="inlineStr">
        <is>
          <t>Ticari Alacaklar</t>
        </is>
      </c>
      <c r="B8" s="208" t="inlineStr">
        <is>
          <t>Cari ve vade mantığı korunur</t>
        </is>
      </c>
      <c r="C8" s="208" t="inlineStr">
        <is>
          <t>120 Alıcılar</t>
        </is>
      </c>
      <c r="D8" s="208" t="inlineStr">
        <is>
          <t>120</t>
        </is>
      </c>
      <c r="E8" s="208" t="inlineStr">
        <is>
          <t>Tahakkuk/nakit karışması</t>
        </is>
      </c>
      <c r="F8" s="208" t="inlineStr">
        <is>
          <t>Alacak devir kontrolü</t>
        </is>
      </c>
    </row>
    <row r="9">
      <c r="A9" s="224" t="inlineStr">
        <is>
          <t>Ticari Borçlar</t>
        </is>
      </c>
      <c r="B9" s="208" t="inlineStr">
        <is>
          <t>Tedarikçi borcu ayrı izlenir</t>
        </is>
      </c>
      <c r="C9" s="208" t="inlineStr">
        <is>
          <t>320 Satıcılar</t>
        </is>
      </c>
      <c r="D9" s="208" t="inlineStr">
        <is>
          <t>320</t>
        </is>
      </c>
      <c r="E9" s="208" t="inlineStr">
        <is>
          <t>Gider/ödeme karışması</t>
        </is>
      </c>
      <c r="F9" s="208" t="inlineStr">
        <is>
          <t>Borç devir kontrolü</t>
        </is>
      </c>
    </row>
    <row r="10">
      <c r="A10" s="224" t="inlineStr">
        <is>
          <t>Kasa/Banka</t>
        </is>
      </c>
      <c r="B10" s="208" t="inlineStr">
        <is>
          <t>Hazır değerler ayrı izlenir</t>
        </is>
      </c>
      <c r="C10" s="208" t="inlineStr">
        <is>
          <t>100 Kasa, 102 Bankalar</t>
        </is>
      </c>
      <c r="D10" s="208" t="inlineStr">
        <is>
          <t>100 / 102</t>
        </is>
      </c>
      <c r="E10" s="208" t="inlineStr">
        <is>
          <t>Virmanla toplam nakdin değişmesi</t>
        </is>
      </c>
      <c r="F10" s="208" t="inlineStr">
        <is>
          <t>Virman değişmezi</t>
        </is>
      </c>
    </row>
    <row r="11">
      <c r="A11" s="224" t="inlineStr">
        <is>
          <t>Stok</t>
        </is>
      </c>
      <c r="B11" s="208" t="inlineStr">
        <is>
          <t>Dikeye uygun stok türü</t>
        </is>
      </c>
      <c r="C11" s="208" t="inlineStr">
        <is>
          <t>150 İlk Madde ve Malzeme, 153 Ticari Mallar</t>
        </is>
      </c>
      <c r="D11" s="208" t="inlineStr">
        <is>
          <t>15x</t>
        </is>
      </c>
      <c r="E11" s="208" t="inlineStr">
        <is>
          <t>Maliyet ve stok hareketinin kopması</t>
        </is>
      </c>
      <c r="F11" s="208" t="inlineStr">
        <is>
          <t>Stok devri</t>
        </is>
      </c>
    </row>
    <row r="12" ht="28" customHeight="1" s="55">
      <c r="A12" s="224" t="inlineStr">
        <is>
          <t>Maddi Duran Varlık</t>
        </is>
      </c>
      <c r="B12" s="208" t="inlineStr">
        <is>
          <t>Yatırım harcaması ve amortisman bağlantılı</t>
        </is>
      </c>
      <c r="C12" s="208" t="inlineStr">
        <is>
          <t>253 Tesis Makine Cihazlar, 255 Demirbaşlar, 257 Birikmiş Amortismanlar</t>
        </is>
      </c>
      <c r="D12" s="208" t="inlineStr">
        <is>
          <t>25x</t>
        </is>
      </c>
      <c r="E12" s="208" t="inlineStr">
        <is>
          <t>Yatırım/gider karışması</t>
        </is>
      </c>
      <c r="F12" s="208" t="inlineStr">
        <is>
          <t>Net defter değeri devri</t>
        </is>
      </c>
    </row>
    <row r="13">
      <c r="A13" s="224" t="inlineStr">
        <is>
          <t>Mali Borçlar</t>
        </is>
      </c>
      <c r="B13" s="208" t="inlineStr">
        <is>
          <t>Kısa/uzun vadeli borç ayrımı</t>
        </is>
      </c>
      <c r="C13" s="208" t="inlineStr">
        <is>
          <t>300 Banka Kredileri / 400 Banka Kredileri</t>
        </is>
      </c>
      <c r="D13" s="208" t="inlineStr">
        <is>
          <t>300 / 400</t>
        </is>
      </c>
      <c r="E13" s="208" t="inlineStr">
        <is>
          <t>Vade sınıfı yanlış</t>
        </is>
      </c>
      <c r="F13" s="208" t="inlineStr">
        <is>
          <t>Borç devri</t>
        </is>
      </c>
    </row>
    <row r="14">
      <c r="A14" s="224" t="inlineStr">
        <is>
          <t>Özkaynak</t>
        </is>
      </c>
      <c r="B14" s="208" t="inlineStr">
        <is>
          <t>Sermaye ve geçmiş yıl kârları ayrı</t>
        </is>
      </c>
      <c r="C14" s="208" t="inlineStr">
        <is>
          <t>500 Sermaye, 570 Geçmiş Yıllar Kârları, 590 Dönem Net Kârı</t>
        </is>
      </c>
      <c r="D14" s="208" t="inlineStr">
        <is>
          <t>5xx</t>
        </is>
      </c>
      <c r="E14" s="208" t="inlineStr">
        <is>
          <t>Net kâr bağının kopması</t>
        </is>
      </c>
      <c r="F14" s="208" t="inlineStr">
        <is>
          <t>Özkaynak devri</t>
        </is>
      </c>
    </row>
    <row r="15">
      <c r="A15" s="224" t="inlineStr">
        <is>
          <t>Vergi</t>
        </is>
      </c>
      <c r="B15" s="208" t="inlineStr">
        <is>
          <t>Vergi satırları Türkiye mantığına uygun</t>
        </is>
      </c>
      <c r="C15" s="208" t="inlineStr">
        <is>
          <t>Dönem Vergi ve Diğer Yasal Yükümlülük Karşılıkları</t>
        </is>
      </c>
      <c r="D15" s="208" t="inlineStr">
        <is>
          <t>37x / ilgili vergi hesapları</t>
        </is>
      </c>
      <c r="E15" s="208" t="inlineStr">
        <is>
          <t>Vergi etkisinin yanlış dönemlenmesi</t>
        </is>
      </c>
      <c r="F15" s="208" t="inlineStr">
        <is>
          <t>Vergi sözleşmesi</t>
        </is>
      </c>
    </row>
    <row r="16">
      <c r="A16" s="224" t="inlineStr">
        <is>
          <t>İsim standardı</t>
        </is>
      </c>
      <c r="B16" s="208" t="inlineStr">
        <is>
          <t>Tablo ve sayfa adları Türkçe ve işlevsel</t>
        </is>
      </c>
      <c r="C16" s="208" t="inlineStr">
        <is>
          <t>GELİR_TABLOSU, BİLANÇO, NAKİT_AKISI, BORC_PLANI</t>
        </is>
      </c>
      <c r="D16" s="208" t="inlineStr">
        <is>
          <t>Tekrarlanabilir standart</t>
        </is>
      </c>
      <c r="E16" s="208" t="inlineStr">
        <is>
          <t>İngilizce/karma isim</t>
        </is>
      </c>
      <c r="F16" s="208" t="inlineStr">
        <is>
          <t>Sayfa ve tablo taraması</t>
        </is>
      </c>
    </row>
    <row r="17">
      <c r="A17" s="224" t="inlineStr">
        <is>
          <t>THP eşleme tablosu</t>
        </is>
      </c>
      <c r="B17" s="208" t="inlineStr">
        <is>
          <t>Her kritik satır en az bir THP hesabına bağlanır</t>
        </is>
      </c>
      <c r="C17" s="208" t="inlineStr">
        <is>
          <t>RaporSatırı → HesapKodu → HesapAdı → İşaret → Dönem</t>
        </is>
      </c>
      <c r="D17" s="208" t="inlineStr">
        <is>
          <t>Kaynak izlenebilirliği</t>
        </is>
      </c>
      <c r="E17" s="208" t="inlineStr">
        <is>
          <t>Rapordan rapora kaynak</t>
        </is>
      </c>
      <c r="F17" s="208" t="inlineStr">
        <is>
          <t>Eşleme kapsama %100</t>
        </is>
      </c>
    </row>
    <row r="18">
      <c r="A18" s="224" t="inlineStr">
        <is>
          <t>İstisna</t>
        </is>
      </c>
      <c r="B18" s="208" t="inlineStr">
        <is>
          <t>TFRS özel ürün varsa fark açık yazılır</t>
        </is>
      </c>
      <c r="C18" s="208" t="inlineStr">
        <is>
          <t>Tekdüzen raporlama ≠ TFRS finansal tablo sunumu</t>
        </is>
      </c>
      <c r="D18" s="208" t="inlineStr">
        <is>
          <t>Amaç belirtilir</t>
        </is>
      </c>
      <c r="E18" s="208" t="inlineStr">
        <is>
          <t>Standartları karıştırma</t>
        </is>
      </c>
      <c r="F18" s="20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55" min="1" max="1"/>
    <col width="41.5" customWidth="1" style="55" min="2" max="2"/>
    <col width="86.5" customWidth="1" style="55" min="3" max="3"/>
    <col width="35.5" customWidth="1" style="55" min="4" max="4"/>
    <col width="33.5" customWidth="1" style="55" min="5" max="5"/>
    <col width="16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KARAR, GÜVEN VE SATIŞA HAZIRLIK STANDARDI</t>
        </is>
      </c>
    </row>
    <row r="3" ht="24" customHeight="1" s="55">
      <c r="A3" s="226" t="inlineStr">
        <is>
          <t>Alan</t>
        </is>
      </c>
      <c r="B3" s="226" t="inlineStr">
        <is>
          <t>Müşteri Sorusu</t>
        </is>
      </c>
      <c r="C3" s="226" t="inlineStr">
        <is>
          <t>Zorunlu Ürün Davranışı</t>
        </is>
      </c>
      <c r="D3" s="226" t="inlineStr">
        <is>
          <t>Kanıt</t>
        </is>
      </c>
      <c r="E3" s="226" t="inlineStr">
        <is>
          <t>Başarısızlık Durumu</t>
        </is>
      </c>
      <c r="F3" s="226" t="inlineStr">
        <is>
          <t>Kapı</t>
        </is>
      </c>
    </row>
    <row r="4">
      <c r="A4" s="227" t="inlineStr">
        <is>
          <t>5 saniye</t>
        </is>
      </c>
      <c r="B4" s="208" t="inlineStr">
        <is>
          <t>Bu ürün neyi çözüyor?</t>
        </is>
      </c>
      <c r="C4" s="208" t="inlineStr">
        <is>
          <t>İlk ekranda hedef kullanıcı + pahalı problem + sonuç görünür</t>
        </is>
      </c>
      <c r="D4" s="208" t="inlineStr">
        <is>
          <t>Başlık + alt mesaj + gerçek ekran</t>
        </is>
      </c>
      <c r="E4" s="208" t="inlineStr">
        <is>
          <t>Ürün yalnız teknik isim</t>
        </is>
      </c>
      <c r="F4" s="228" t="inlineStr">
        <is>
          <t>HATA</t>
        </is>
      </c>
    </row>
    <row r="5">
      <c r="A5" s="227" t="inlineStr">
        <is>
          <t>Acı</t>
        </is>
      </c>
      <c r="B5" s="208" t="inlineStr">
        <is>
          <t>Sorun bana neye mal oluyor?</t>
        </is>
      </c>
      <c r="C5" s="208" t="inlineStr">
        <is>
          <t>Mümkünse müşterinin kendi verisiyle parasal/zaman etkisi hesaplanır</t>
        </is>
      </c>
      <c r="D5" s="208" t="inlineStr">
        <is>
          <t>ROI/acı hesaplama yöntemi</t>
        </is>
      </c>
      <c r="E5" s="208" t="inlineStr">
        <is>
          <t>Uydurma tasarruf</t>
        </is>
      </c>
      <c r="F5" s="228" t="inlineStr">
        <is>
          <t>HATA</t>
        </is>
      </c>
    </row>
    <row r="6">
      <c r="A6" s="227" t="inlineStr">
        <is>
          <t>Karar</t>
        </is>
      </c>
      <c r="B6" s="208" t="inlineStr">
        <is>
          <t>Bu bilgiyle ne yapacağım?</t>
        </is>
      </c>
      <c r="C6" s="208" t="inlineStr">
        <is>
          <t>Her kritik KPI aksiyona bağlanır</t>
        </is>
      </c>
      <c r="D6" s="208" t="inlineStr">
        <is>
          <t>KARAR_KUYRUGU</t>
        </is>
      </c>
      <c r="E6" s="208" t="inlineStr">
        <is>
          <t>Sadece rapor</t>
        </is>
      </c>
      <c r="F6" s="228" t="inlineStr">
        <is>
          <t>HATA</t>
        </is>
      </c>
    </row>
    <row r="7">
      <c r="A7" s="227" t="inlineStr">
        <is>
          <t>Güven</t>
        </is>
      </c>
      <c r="B7" s="208" t="inlineStr">
        <is>
          <t>Bu sayıya neden inanayım?</t>
        </is>
      </c>
      <c r="C7" s="208" t="inlineStr">
        <is>
          <t>Kaynak, formül mantığı, kontrol ve son doğrulama görünür</t>
        </is>
      </c>
      <c r="D7" s="208" t="inlineStr">
        <is>
          <t>Kontroller + kaynak izi + sürüm</t>
        </is>
      </c>
      <c r="E7" s="208" t="inlineStr">
        <is>
          <t>Prestij kelimesi</t>
        </is>
      </c>
      <c r="F7" s="228" t="inlineStr">
        <is>
          <t>HATA</t>
        </is>
      </c>
    </row>
    <row r="8">
      <c r="A8" s="227" t="inlineStr">
        <is>
          <t>Referans</t>
        </is>
      </c>
      <c r="B8" s="208" t="inlineStr">
        <is>
          <t>Müşteri yorumu yoksa ne göstereceğim?</t>
        </is>
      </c>
      <c r="C8" s="208" t="inlineStr">
        <is>
          <t>Önce/Sonra + Karar Vakası + Hata Önleme Vakası üretilir</t>
        </is>
      </c>
      <c r="D8" s="208" t="inlineStr">
        <is>
          <t>Demo/örnek çıktı</t>
        </is>
      </c>
      <c r="E8" s="208" t="inlineStr">
        <is>
          <t>Kanıtsız iddia</t>
        </is>
      </c>
      <c r="F8" s="228" t="inlineStr">
        <is>
          <t>HATA</t>
        </is>
      </c>
    </row>
    <row r="9">
      <c r="A9" s="227" t="inlineStr">
        <is>
          <t>Senaryo</t>
        </is>
      </c>
      <c r="B9" s="208" t="inlineStr">
        <is>
          <t>Ne olursa işler bozulur?</t>
        </is>
      </c>
      <c r="C9" s="208" t="inlineStr">
        <is>
          <t>Baz/Aşağı/Yukarı veya uygun stres senaryosu</t>
        </is>
      </c>
      <c r="D9" s="208" t="inlineStr">
        <is>
          <t>Senaryo karşılaştırma</t>
        </is>
      </c>
      <c r="E9" s="208" t="inlineStr">
        <is>
          <t>Dekoratif senaryo</t>
        </is>
      </c>
      <c r="F9" s="228" t="inlineStr">
        <is>
          <t>HATA</t>
        </is>
      </c>
    </row>
    <row r="10">
      <c r="A10" s="227" t="inlineStr">
        <is>
          <t>Ters stres</t>
        </is>
      </c>
      <c r="B10" s="208" t="inlineStr">
        <is>
          <t>Hangi eşikte karar kırılır?</t>
        </is>
      </c>
      <c r="C10" s="208" t="inlineStr">
        <is>
          <t>En az bir kritik sürücü için kırılma eşiği</t>
        </is>
      </c>
      <c r="D10" s="208" t="inlineStr">
        <is>
          <t>Kırılma eşiği tablosu</t>
        </is>
      </c>
      <c r="E10" s="208" t="inlineStr">
        <is>
          <t>Sadece +/- %10</t>
        </is>
      </c>
      <c r="F10" s="228" t="inlineStr">
        <is>
          <t>UYARI/HATA</t>
        </is>
      </c>
    </row>
    <row r="11">
      <c r="A11" s="227" t="inlineStr">
        <is>
          <t>Hata tutarlılığı</t>
        </is>
      </c>
      <c r="B11" s="208" t="inlineStr">
        <is>
          <t>Formül hata verirse ne olur?</t>
        </is>
      </c>
      <c r="C11" s="208" t="inlineStr">
        <is>
          <t>Kontrol GEÇTİ veremez; BLOKE/HATA üretir</t>
        </is>
      </c>
      <c r="D11" s="208" t="inlineStr">
        <is>
          <t>Hata taraması</t>
        </is>
      </c>
      <c r="E11" s="208" t="inlineStr">
        <is>
          <t>Hata + GEÇTİ birlikte</t>
        </is>
      </c>
      <c r="F11" s="228" t="inlineStr">
        <is>
          <t>HATA</t>
        </is>
      </c>
    </row>
    <row r="12">
      <c r="A12" s="227" t="inlineStr">
        <is>
          <t>Karar motoru</t>
        </is>
      </c>
      <c r="B12" s="208" t="inlineStr">
        <is>
          <t>Ne oldu, neden oldu?</t>
        </is>
      </c>
      <c r="C12" s="208" t="inlineStr">
        <is>
          <t>Sorun + neden + parasal etki + aksiyon + son tarih</t>
        </is>
      </c>
      <c r="D12" s="208" t="inlineStr">
        <is>
          <t>Karar tablosu</t>
        </is>
      </c>
      <c r="E12" s="208" t="inlineStr">
        <is>
          <t>Boş sayfa / isim düzeyi modül</t>
        </is>
      </c>
      <c r="F12" s="228" t="inlineStr">
        <is>
          <t>HATA</t>
        </is>
      </c>
    </row>
    <row r="13">
      <c r="A13" s="227" t="inlineStr">
        <is>
          <t>Yönetici özeti</t>
        </is>
      </c>
      <c r="B13" s="208" t="inlineStr">
        <is>
          <t>5 saniyede ne görmeliyim?</t>
        </is>
      </c>
      <c r="C13" s="208" t="inlineStr">
        <is>
          <t>Bugün / ne değişti / ne bozulacak / neden / ne yapmalıyım / güven</t>
        </is>
      </c>
      <c r="D13" s="208" t="inlineStr">
        <is>
          <t>Yönetici özeti ekranı</t>
        </is>
      </c>
      <c r="E13" s="208" t="inlineStr">
        <is>
          <t>KPI kutusu yığını</t>
        </is>
      </c>
      <c r="F13" s="228" t="inlineStr">
        <is>
          <t>HATA</t>
        </is>
      </c>
    </row>
    <row r="14">
      <c r="A14" s="227" t="inlineStr">
        <is>
          <t>Teklif</t>
        </is>
      </c>
      <c r="B14" s="208" t="inlineStr">
        <is>
          <t>Neden satın almalıyım?</t>
        </is>
      </c>
      <c r="C14" s="208" t="inlineStr">
        <is>
          <t>Dosya özellikleri yerine sonuç ve kaçınılan maliyet sunulur</t>
        </is>
      </c>
      <c r="D14" s="208" t="inlineStr">
        <is>
          <t>Ürün sayfası kanıt eşlemesi</t>
        </is>
      </c>
      <c r="E14" s="208" t="inlineStr">
        <is>
          <t>Özellik listesiyle satış</t>
        </is>
      </c>
      <c r="F14" s="228" t="inlineStr">
        <is>
          <t>HATA</t>
        </is>
      </c>
    </row>
    <row r="15">
      <c r="A15" s="227" t="inlineStr">
        <is>
          <t>Dağıtım</t>
        </is>
      </c>
      <c r="B15" s="208" t="inlineStr">
        <is>
          <t>Beni nasıl bulacaklar?</t>
        </is>
      </c>
      <c r="C15" s="208" t="inlineStr">
        <is>
          <t>Sorun niyetine göre SEO sayfaları, iç bağlantı, temiz yapı, taranabilir metin</t>
        </is>
      </c>
      <c r="D15" s="208" t="inlineStr">
        <is>
          <t>Arama niyeti haritası</t>
        </is>
      </c>
      <c r="E15" s="208" t="inlineStr">
        <is>
          <t>Tek ürün sayfasına bağımlılık</t>
        </is>
      </c>
      <c r="F15" s="228" t="inlineStr">
        <is>
          <t>UYARI</t>
        </is>
      </c>
    </row>
    <row r="16" ht="28" customHeight="1" s="55">
      <c r="A16" s="227" t="inlineStr">
        <is>
          <t>LLM görünürlüğü</t>
        </is>
      </c>
      <c r="B16" s="208" t="inlineStr">
        <is>
          <t>AI ürünümü anlayabiliyor mu?</t>
        </is>
      </c>
      <c r="C16" s="208" t="inlineStr">
        <is>
          <t>Ürün tanımı, hedef kullanıcı, girdi/çıktı, metodoloji, sınırlar, SSS açık metindir</t>
        </is>
      </c>
      <c r="D16" s="208" t="inlineStr">
        <is>
          <t>Taranabilir ürün içeriği</t>
        </is>
      </c>
      <c r="E16" s="208" t="inlineStr">
        <is>
          <t>'AI SEO' iddiası</t>
        </is>
      </c>
      <c r="F16" s="228" t="inlineStr">
        <is>
          <t>UYARI</t>
        </is>
      </c>
    </row>
    <row r="17">
      <c r="A17" s="227" t="inlineStr">
        <is>
          <t>Satış kanalı</t>
        </is>
      </c>
      <c r="B17" s="208" t="inlineStr">
        <is>
          <t>Nerede satılmalı?</t>
        </is>
      </c>
      <c r="C17" s="208" t="inlineStr">
        <is>
          <t>Arama, LinkedIn, uzman/partner, demo/video; ürüne göre kanal seçilir</t>
        </is>
      </c>
      <c r="D17" s="208" t="inlineStr">
        <is>
          <t>Kanal matrisi</t>
        </is>
      </c>
      <c r="E17" s="208" t="inlineStr">
        <is>
          <t>Her ürüne aynı kanal</t>
        </is>
      </c>
      <c r="F17" s="228" t="inlineStr">
        <is>
          <t>UYARI</t>
        </is>
      </c>
    </row>
    <row r="18">
      <c r="A18" s="227" t="inlineStr">
        <is>
          <t>Fiyat</t>
        </is>
      </c>
      <c r="B18" s="208" t="inlineStr">
        <is>
          <t>Bu fiyat neden mantıklı?</t>
        </is>
      </c>
      <c r="C18" s="208" t="inlineStr">
        <is>
          <t>Fiyat, ekonomik karar değerine ve kanıtlanmış ürün derinliğine bağlanır</t>
        </is>
      </c>
      <c r="D18" s="208" t="inlineStr">
        <is>
          <t>Değer haritası + demo</t>
        </is>
      </c>
      <c r="E18" s="208" t="inlineStr">
        <is>
          <t>Sırf sayfa/formül sayısı</t>
        </is>
      </c>
      <c r="F18" s="228" t="inlineStr">
        <is>
          <t>HATA</t>
        </is>
      </c>
    </row>
    <row r="19">
      <c r="A19" s="227" t="inlineStr">
        <is>
          <t>Pazar kanıtı</t>
        </is>
      </c>
      <c r="B19" s="208" t="inlineStr">
        <is>
          <t>Piyasa gerçekten ödüyor mu?</t>
        </is>
      </c>
      <c r="C19" s="208" t="inlineStr">
        <is>
          <t>Satış/pilot/LOI/fiyat kabulü olmadan pazar doğrulandı yazılmaz</t>
        </is>
      </c>
      <c r="D19" s="208" t="inlineStr">
        <is>
          <t>Gerçek işlem kanıtı</t>
        </is>
      </c>
      <c r="E19" s="208" t="inlineStr">
        <is>
          <t>Tahmini talep = satış kabulü</t>
        </is>
      </c>
      <c r="F19" s="228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5.5" customWidth="1" style="81" min="1" max="1"/>
    <col width="13" customWidth="1" style="55" min="2" max="2"/>
    <col width="13" customWidth="1" style="55" min="3" max="3"/>
    <col width="13" customWidth="1" style="55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KAPAK — CARİ HESAP, TAHSİLAT VE MÜŞTERİ RİSK TAKİP SİSTEMİ</t>
        </is>
      </c>
    </row>
    <row r="2" ht="15.75" customHeight="1" s="55"/>
    <row r="3" ht="15.75" customHeight="1" s="55"/>
    <row r="4" ht="15.75" customHeight="1" s="55"/>
    <row r="5" ht="15.75" customHeight="1" s="55">
      <c r="A5" s="83" t="inlineStr">
        <is>
          <t>CARİ RİSK UZMAN</t>
        </is>
      </c>
    </row>
    <row r="6" ht="15.75" customHeight="1" s="55">
      <c r="A6" s="84" t="inlineStr">
        <is>
          <t>Cari Hesap, Tahsilat ve Müşteri Risk Takip Sistemi</t>
        </is>
      </c>
    </row>
    <row r="7" ht="15.75" customHeight="1" s="55"/>
    <row r="8" ht="15.75" customHeight="1" s="55">
      <c r="A8" s="85" t="inlineStr">
        <is>
          <t>Vadeli satış kararlarını, tahsilat önceliklerini ve müşteri limitlerini</t>
        </is>
      </c>
    </row>
    <row r="9" ht="15.75" customHeight="1" s="55">
      <c r="A9" s="86" t="inlineStr">
        <is>
          <t>makine üretimi risk skoru ve karar kapısı ile yönetin.</t>
        </is>
      </c>
    </row>
    <row r="10" ht="15.75" customHeight="1" s="55"/>
    <row r="11" ht="15.75" customHeight="1" s="55">
      <c r="A11" s="87" t="inlineStr">
        <is>
          <t>KİMLER İÇİN?</t>
        </is>
      </c>
    </row>
    <row r="12" ht="15.75" customHeight="1" s="55">
      <c r="A12" s="88" t="inlineStr">
        <is>
          <t>•  Finans ve kredi yöneticileri</t>
        </is>
      </c>
    </row>
    <row r="13" ht="15.75" customHeight="1" s="55">
      <c r="A13" s="88" t="inlineStr">
        <is>
          <t>•  Tahsilat ekipleri ve muhasebe uzmanları</t>
        </is>
      </c>
    </row>
    <row r="14" ht="15.75" customHeight="1" s="55">
      <c r="A14" s="88" t="inlineStr">
        <is>
          <t>•  Vadeli satış riskini ölçen satış yöneticileri</t>
        </is>
      </c>
    </row>
    <row r="15" ht="15.75" customHeight="1" s="55"/>
    <row r="16" ht="15.75" customHeight="1" s="55">
      <c r="A16" s="87" t="inlineStr">
        <is>
          <t>NE KAZANDIRIR?</t>
        </is>
      </c>
    </row>
    <row r="17" ht="15.75" customHeight="1" s="55">
      <c r="A17" s="88" t="inlineStr">
        <is>
          <t>•  Açık alacak ve vadesi geçmiş bakiyeyi anında görürsünüz</t>
        </is>
      </c>
    </row>
    <row r="18" ht="15.75" customHeight="1" s="55">
      <c r="A18" s="88" t="inlineStr">
        <is>
          <t>•  Risk skoru ile kiminle vadeli çalışacağınızı netleştirirsiniz</t>
        </is>
      </c>
    </row>
    <row r="19" ht="15.75" customHeight="1" s="55">
      <c r="A19" s="88" t="inlineStr">
        <is>
          <t>•  Tahsilat aksiyonlarını öncelik sırasına göre planlarsınız</t>
        </is>
      </c>
    </row>
    <row r="20" ht="15.75" customHeight="1" s="55">
      <c r="A20" s="88" t="inlineStr">
        <is>
          <t>•  Teminat sonrası net riskinizi tek ekranda izlersiniz</t>
        </is>
      </c>
    </row>
    <row r="21" ht="15.75" customHeight="1" s="55"/>
    <row r="22" ht="15.75" customHeight="1" s="55"/>
    <row r="23" ht="15.75" customHeight="1" s="55"/>
    <row r="24" ht="15.75" customHeight="1" s="55"/>
    <row r="25" ht="15.75" customHeight="1" s="55"/>
    <row r="26" ht="15.75" customHeight="1" s="55"/>
    <row r="27" ht="15.75" customHeight="1" s="55"/>
    <row r="28" ht="19.5" customHeight="1" s="55">
      <c r="A28" s="89" t="inlineStr">
        <is>
          <t>Başlamak için HIZLI_BAŞLANGIÇ sayfasına gidin.</t>
        </is>
      </c>
    </row>
    <row r="29" ht="15.75" customHeight="1" s="55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28:AN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D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3.5" customWidth="1" style="81" min="1" max="1"/>
    <col width="13" customWidth="1" style="55" min="2" max="2"/>
    <col width="13" customWidth="1" style="55" min="3" max="3"/>
    <col width="13" customWidth="1" style="55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HIZLI BASLANGIC — CARİ HESAP, TAHSİLAT VE MÜŞTERİ RİSK TAKİP SİSTEMİ</t>
        </is>
      </c>
    </row>
    <row r="3" ht="22" customHeight="1" s="55">
      <c r="A3" s="258" t="inlineStr">
        <is>
          <t>3 ADIMDA KULLANIM</t>
        </is>
      </c>
    </row>
    <row r="5" ht="15" customHeight="1" s="55">
      <c r="A5" s="91" t="inlineStr">
        <is>
          <t>ADIM 1 — MÜŞTERİ VE FATURA</t>
        </is>
      </c>
    </row>
    <row r="6" ht="24" customHeight="1" s="55">
      <c r="A6" s="92" t="inlineStr">
        <is>
          <t>MUSTERI_KARTLARI'na müşterileri, FATURALAR'a faturaları girin; TAHSILATLAR'a ödemeleri işleyin.</t>
        </is>
      </c>
    </row>
    <row r="7" ht="15" customHeight="1" s="55">
      <c r="A7" s="91" t="inlineStr">
        <is>
          <t>ADIM 2 — TEMİNAT VE İLETİŞİM</t>
        </is>
      </c>
    </row>
    <row r="8" ht="24" customHeight="1" s="55">
      <c r="A8" s="92" t="inlineStr">
        <is>
          <t>TEMINATLAR'ı ve ILETISIM_TAKIP'i tamamlayın; yaşlandırma otomatik hesaplanır.</t>
        </is>
      </c>
    </row>
    <row r="9" ht="15" customHeight="1" s="55">
      <c r="A9" s="91" t="inlineStr">
        <is>
          <t>ADIM 3 — KARAR VE RAPOR</t>
        </is>
      </c>
    </row>
    <row r="10" ht="24" customHeight="1" s="55">
      <c r="A10" s="92" t="inlineStr">
        <is>
          <t>MUSTERI_RISK_SKORU ve KARAR_MOTORU'ndaki kararları inceleyin; RAPOR'u yöneticiye sunun.</t>
        </is>
      </c>
    </row>
    <row r="14" ht="15" customHeight="1" s="55">
      <c r="A14" s="93" t="inlineStr">
        <is>
          <t>ÖNEMLİ NOTLAR</t>
        </is>
      </c>
    </row>
    <row r="15" ht="21.75" customHeight="1" s="55">
      <c r="A15" s="92" t="inlineStr">
        <is>
          <t>•  Sarı hücreler manuel giriş alanlarıdır; diğer hücreler formül üretir ve 1234 şifresiyle korunur.</t>
        </is>
      </c>
    </row>
    <row r="16" ht="21.75" customHeight="1" s="55">
      <c r="A16" s="92" t="inlineStr">
        <is>
          <t>•  Rapor tarihi AYARLAR sayfasındandır; gecikme günleri bu tarihe göre hesaplanır.</t>
        </is>
      </c>
    </row>
    <row r="17" ht="21.75" customHeight="1" s="55">
      <c r="A17" s="92" t="inlineStr">
        <is>
          <t>•  Örnek veri ile deneme için ORNEK_VERI sayfasına bakın; verileri kendi verinizle değiştirin.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AD8"/>
    <mergeCell ref="A6:AD6"/>
    <mergeCell ref="A15:AD15"/>
    <mergeCell ref="A1:I1"/>
    <mergeCell ref="A16:AD16"/>
    <mergeCell ref="A3:I3"/>
    <mergeCell ref="A10:AD10"/>
    <mergeCell ref="A17:AD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R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.5" customWidth="1" style="81" min="1" max="1"/>
    <col width="26" customWidth="1" style="81" min="2" max="2"/>
    <col width="18.5" customWidth="1" style="81" min="3" max="3"/>
    <col width="13.5" customWidth="1" style="81" min="4" max="4"/>
    <col width="14.5" customWidth="1" style="81" min="5" max="5"/>
    <col width="19.5" customWidth="1" style="81" min="6" max="6"/>
    <col width="23.5" customWidth="1" style="81" min="7" max="7"/>
    <col width="19.5" customWidth="1" style="81" min="8" max="8"/>
    <col width="22.5" customWidth="1" style="81" min="9" max="9"/>
    <col width="19.5" customWidth="1" style="81" min="10" max="11"/>
    <col width="23.5" customWidth="1" style="55" min="11" max="11"/>
    <col width="25.5" customWidth="1" style="81" min="12" max="12"/>
    <col width="18.5" customWidth="1" style="81" min="13" max="14"/>
    <col width="29.5" customWidth="1" style="55" min="14" max="14"/>
    <col width="17.5" customWidth="1" style="81" min="15" max="17"/>
    <col width="22.5" customWidth="1" style="55" min="16" max="16"/>
    <col width="13" customWidth="1" style="55" min="17" max="17"/>
    <col width="11.5" customWidth="1" style="81" min="18" max="18"/>
    <col width="13" customWidth="1" style="55" min="19" max="19"/>
  </cols>
  <sheetData>
    <row r="1" ht="32" customHeight="1" s="55">
      <c r="A1" s="239" t="inlineStr">
        <is>
          <t>MUSTERI KARTLARI — CARİ HESAP, TAHSİLAT VE MÜŞTERİ RİSK TAKİP SİSTEMİ</t>
        </is>
      </c>
    </row>
    <row r="3" ht="22" customHeight="1" s="55">
      <c r="A3" s="258" t="inlineStr">
        <is>
          <t>MÜŞTERİ PORTFÖYÜ VE LİMİT MERKEZİ</t>
        </is>
      </c>
    </row>
    <row r="5" ht="30" customHeight="1" s="55">
      <c r="A5" s="95" t="inlineStr">
        <is>
          <t>Müşteri Kodu</t>
        </is>
      </c>
      <c r="B5" s="95" t="inlineStr">
        <is>
          <t>Unvan</t>
        </is>
      </c>
      <c r="C5" s="95" t="inlineStr">
        <is>
          <t>Vergi Numarası</t>
        </is>
      </c>
      <c r="D5" s="95" t="inlineStr">
        <is>
          <t>Sektör</t>
        </is>
      </c>
      <c r="E5" s="95" t="inlineStr">
        <is>
          <t>Bölge</t>
        </is>
      </c>
      <c r="F5" s="95" t="inlineStr">
        <is>
          <t>Satış Sorumlusu</t>
        </is>
      </c>
      <c r="G5" s="95" t="inlineStr">
        <is>
          <t>İlk Çalışma Tarihi</t>
        </is>
      </c>
      <c r="H5" s="95" t="inlineStr">
        <is>
          <t>Varsayılan Vade</t>
        </is>
      </c>
      <c r="I5" s="95" t="inlineStr">
        <is>
          <t>Onaylı Risk Limiti</t>
        </is>
      </c>
      <c r="J5" s="95" t="inlineStr">
        <is>
          <t>Geçici Ek Limit</t>
        </is>
      </c>
      <c r="K5" s="95" t="inlineStr">
        <is>
          <t>Limit Bitiş Tarihi</t>
        </is>
      </c>
      <c r="L5" s="95" t="inlineStr">
        <is>
          <t>Teminat Türü</t>
        </is>
      </c>
      <c r="M5" s="95" t="inlineStr">
        <is>
          <t>Teminat Değeri</t>
        </is>
      </c>
      <c r="N5" s="95" t="inlineStr">
        <is>
          <t>Teminat Geçerlilik Tarihi</t>
        </is>
      </c>
      <c r="O5" s="95" t="inlineStr">
        <is>
          <t>Grup Şirketi</t>
        </is>
      </c>
      <c r="P5" s="95" t="inlineStr">
        <is>
          <t>Kritik Müşteri mi?</t>
        </is>
      </c>
      <c r="Q5" s="95" t="inlineStr">
        <is>
          <t>Durum</t>
        </is>
      </c>
      <c r="R5" s="95" t="inlineStr">
        <is>
          <t>Kontrol</t>
        </is>
      </c>
    </row>
    <row r="6" ht="15" customHeight="1" s="55">
      <c r="A6" s="96" t="inlineStr">
        <is>
          <t>M001</t>
        </is>
      </c>
      <c r="B6" s="96" t="inlineStr">
        <is>
          <t>Atlas Yapı A.Ş.</t>
        </is>
      </c>
      <c r="C6" s="96" t="inlineStr">
        <is>
          <t>1111111111</t>
        </is>
      </c>
      <c r="D6" s="96" t="inlineStr">
        <is>
          <t>İnşaat</t>
        </is>
      </c>
      <c r="E6" s="96" t="inlineStr">
        <is>
          <t>Marmara</t>
        </is>
      </c>
      <c r="F6" s="96" t="inlineStr">
        <is>
          <t>Ayşe Yılmaz</t>
        </is>
      </c>
      <c r="G6" s="97" t="n">
        <v>44576</v>
      </c>
      <c r="H6" s="98" t="n">
        <v>60</v>
      </c>
      <c r="I6" s="99" t="n">
        <v>1250000</v>
      </c>
      <c r="J6" s="99" t="n">
        <v>250000</v>
      </c>
      <c r="K6" s="97" t="n">
        <v>46387</v>
      </c>
      <c r="L6" s="96" t="inlineStr">
        <is>
          <t>Banka Teminat Mektubu</t>
        </is>
      </c>
      <c r="M6" s="99" t="n">
        <v>900000</v>
      </c>
      <c r="N6" s="97" t="n">
        <v>46387</v>
      </c>
      <c r="O6" s="96" t="inlineStr">
        <is>
          <t>Anadolu Grubu</t>
        </is>
      </c>
      <c r="P6" s="96" t="inlineStr">
        <is>
          <t>Hayır</t>
        </is>
      </c>
      <c r="Q6" s="96" t="inlineStr">
        <is>
          <t>Aktif</t>
        </is>
      </c>
      <c r="R6" s="100">
        <f>IF($A6="","",IF(COUNTA($A6:$Q6)&gt;=ZorunluAlanSayisi,"OK","EKSİK"))</f>
        <v/>
      </c>
    </row>
    <row r="7" ht="15" customHeight="1" s="55">
      <c r="A7" s="96" t="inlineStr">
        <is>
          <t>M002</t>
        </is>
      </c>
      <c r="B7" s="96" t="inlineStr">
        <is>
          <t>Bora Perakende Ltd.</t>
        </is>
      </c>
      <c r="C7" s="96" t="inlineStr">
        <is>
          <t>2222222222</t>
        </is>
      </c>
      <c r="D7" s="96" t="inlineStr">
        <is>
          <t>Perakende</t>
        </is>
      </c>
      <c r="E7" s="96" t="inlineStr">
        <is>
          <t>Ege</t>
        </is>
      </c>
      <c r="F7" s="96" t="inlineStr">
        <is>
          <t>Mehmet Kaya</t>
        </is>
      </c>
      <c r="G7" s="97" t="n">
        <v>44995</v>
      </c>
      <c r="H7" s="98" t="n">
        <v>45</v>
      </c>
      <c r="I7" s="99" t="n">
        <v>800000</v>
      </c>
      <c r="J7" s="99" t="n">
        <v>0</v>
      </c>
      <c r="K7" s="97" t="n">
        <v>46387</v>
      </c>
      <c r="L7" s="96" t="inlineStr">
        <is>
          <t>İpotek</t>
        </is>
      </c>
      <c r="M7" s="99" t="n">
        <v>550000</v>
      </c>
      <c r="N7" s="97" t="n">
        <v>46203</v>
      </c>
      <c r="O7" s="96" t="inlineStr">
        <is>
          <t>Bağımsız</t>
        </is>
      </c>
      <c r="P7" s="96" t="inlineStr">
        <is>
          <t>Hayır</t>
        </is>
      </c>
      <c r="Q7" s="96" t="inlineStr">
        <is>
          <t>Aktif</t>
        </is>
      </c>
      <c r="R7" s="100">
        <f>IF($A6="","",IF(COUNTA($A6:$Q6)&gt;=ZorunluAlanSayisi,"OK","EKSİK"))</f>
        <v/>
      </c>
    </row>
    <row r="8" ht="15" customHeight="1" s="55">
      <c r="A8" s="96" t="inlineStr">
        <is>
          <t>M003</t>
        </is>
      </c>
      <c r="B8" s="96" t="inlineStr">
        <is>
          <t>Cemre Gıda A.Ş.</t>
        </is>
      </c>
      <c r="C8" s="96" t="inlineStr">
        <is>
          <t>3333333333</t>
        </is>
      </c>
      <c r="D8" s="96" t="inlineStr">
        <is>
          <t>Gıda</t>
        </is>
      </c>
      <c r="E8" s="96" t="inlineStr">
        <is>
          <t>İç Anadolu</t>
        </is>
      </c>
      <c r="F8" s="96" t="inlineStr">
        <is>
          <t>Selin Demir</t>
        </is>
      </c>
      <c r="G8" s="97" t="n">
        <v>44367</v>
      </c>
      <c r="H8" s="98" t="n">
        <v>30</v>
      </c>
      <c r="I8" s="99" t="n">
        <v>650000</v>
      </c>
      <c r="J8" s="99" t="n">
        <v>100000</v>
      </c>
      <c r="K8" s="97" t="n">
        <v>46387</v>
      </c>
      <c r="L8" s="96" t="inlineStr">
        <is>
          <t>Çek ve Senet</t>
        </is>
      </c>
      <c r="M8" s="99" t="n">
        <v>300000</v>
      </c>
      <c r="N8" s="97" t="n">
        <v>46235</v>
      </c>
      <c r="O8" s="96" t="inlineStr">
        <is>
          <t>Bağımsız</t>
        </is>
      </c>
      <c r="P8" s="96" t="inlineStr">
        <is>
          <t>Hayır</t>
        </is>
      </c>
      <c r="Q8" s="96" t="inlineStr">
        <is>
          <t>İzlemede</t>
        </is>
      </c>
      <c r="R8" s="100">
        <f>IF($A6="","",IF(COUNTA($A6:$Q6)&gt;=ZorunluAlanSayisi,"OK","EKSİK"))</f>
        <v/>
      </c>
    </row>
    <row r="9" ht="15" customHeight="1" s="55">
      <c r="A9" s="96" t="inlineStr">
        <is>
          <t>M004</t>
        </is>
      </c>
      <c r="B9" s="96" t="inlineStr">
        <is>
          <t>Delta Tekstil Ltd.</t>
        </is>
      </c>
      <c r="C9" s="96" t="inlineStr">
        <is>
          <t>4444444444</t>
        </is>
      </c>
      <c r="D9" s="96" t="inlineStr">
        <is>
          <t>Tekstil</t>
        </is>
      </c>
      <c r="E9" s="96" t="inlineStr">
        <is>
          <t>Ege</t>
        </is>
      </c>
      <c r="F9" s="96" t="inlineStr">
        <is>
          <t>Can Arslan</t>
        </is>
      </c>
      <c r="G9" s="97" t="n">
        <v>43866</v>
      </c>
      <c r="H9" s="98" t="n">
        <v>90</v>
      </c>
      <c r="I9" s="99" t="n">
        <v>2000000</v>
      </c>
      <c r="J9" s="99" t="n">
        <v>0</v>
      </c>
      <c r="K9" s="97" t="n">
        <v>46387</v>
      </c>
      <c r="L9" s="96" t="inlineStr">
        <is>
          <t>Teminatsız</t>
        </is>
      </c>
      <c r="M9" s="99" t="n">
        <v>0</v>
      </c>
      <c r="N9" s="97" t="n">
        <v>46387</v>
      </c>
      <c r="O9" s="96" t="inlineStr">
        <is>
          <t>Bağımsız</t>
        </is>
      </c>
      <c r="P9" s="96" t="inlineStr">
        <is>
          <t>Evet</t>
        </is>
      </c>
      <c r="Q9" s="96" t="inlineStr">
        <is>
          <t>Askıda</t>
        </is>
      </c>
      <c r="R9" s="100">
        <f>IF($A6="","",IF(COUNTA($A6:$Q6)&gt;=ZorunluAlanSayisi,"OK","EKSİK"))</f>
        <v/>
      </c>
    </row>
    <row r="10" ht="15" customHeight="1" s="55">
      <c r="A10" s="101" t="n"/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0">
        <f>IF($A6="","",IF(COUNTA($A6:$Q6)&gt;=ZorunluAlanSayisi,"OK","EKSİK"))</f>
        <v/>
      </c>
    </row>
    <row r="11" ht="15" customHeight="1" s="55">
      <c r="A11" s="101" t="n"/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0">
        <f>IF($A6="","",IF(COUNTA($A6:$Q6)&gt;=ZorunluAlanSayisi,"OK","EKSİK"))</f>
        <v/>
      </c>
    </row>
    <row r="12" ht="15" customHeight="1" s="55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0">
        <f>IF($A6="","",IF(COUNTA($A6:$Q6)&gt;=ZorunluAlanSayisi,"OK","EKSİK"))</f>
        <v/>
      </c>
    </row>
    <row r="13" ht="15" customHeight="1" s="55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0">
        <f>IF($A6="","",IF(COUNTA($A6:$Q6)&gt;=ZorunluAlanSayisi,"OK","EKSİK"))</f>
        <v/>
      </c>
    </row>
    <row r="14" ht="15" customHeight="1" s="55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0">
        <f>IF($A6="","",IF(COUNTA($A6:$Q6)&gt;=ZorunluAlanSayisi,"OK","EKSİK"))</f>
        <v/>
      </c>
    </row>
    <row r="15" ht="15" customHeight="1" s="55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0">
        <f>IF($A6="","",IF(COUNTA($A6:$Q6)&gt;=ZorunluAlanSayisi,"OK","EKSİK"))</f>
        <v/>
      </c>
    </row>
    <row r="16" ht="15" customHeight="1" s="55">
      <c r="A16" s="101" t="n"/>
      <c r="B16" s="101" t="n"/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0">
        <f>IF($A6="","",IF(COUNTA($A6:$Q6)&gt;=ZorunluAlanSayisi,"OK","EKSİK"))</f>
        <v/>
      </c>
    </row>
    <row r="17" ht="15" customHeight="1" s="55">
      <c r="A17" s="101" t="n"/>
      <c r="B17" s="101" t="n"/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0">
        <f>IF($A6="","",IF(COUNTA($A6:$Q6)&gt;=ZorunluAlanSayisi,"OK","EKSİK"))</f>
        <v/>
      </c>
    </row>
    <row r="18" ht="15" customHeight="1" s="55">
      <c r="A18" s="101" t="n"/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0">
        <f>IF($A6="","",IF(COUNTA($A6:$Q6)&gt;=ZorunluAlanSayisi,"OK","EKSİK"))</f>
        <v/>
      </c>
    </row>
    <row r="19" ht="15" customHeight="1" s="55">
      <c r="A19" s="101" t="n"/>
      <c r="B19" s="101" t="n"/>
      <c r="C19" s="101" t="n"/>
      <c r="D19" s="101" t="n"/>
      <c r="E19" s="101" t="n"/>
      <c r="F19" s="101" t="n"/>
      <c r="G19" s="101" t="n"/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0">
        <f>IF($A6="","",IF(COUNTA($A6:$Q6)&gt;=ZorunluAlanSayisi,"OK","EKSİK"))</f>
        <v/>
      </c>
    </row>
    <row r="20" ht="15" customHeight="1" s="55">
      <c r="A20" s="101" t="n"/>
      <c r="B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0">
        <f>IF($A6="","",IF(COUNTA($A6:$Q6)&gt;=ZorunluAlanSayisi,"OK","EKSİK"))</f>
        <v/>
      </c>
    </row>
    <row r="21" ht="15" customHeight="1" s="55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0">
        <f>IF($A6="","",IF(COUNTA($A6:$Q6)&gt;=ZorunluAlanSayisi,"OK","EKSİK"))</f>
        <v/>
      </c>
    </row>
    <row r="22" ht="15" customHeight="1" s="55">
      <c r="A22" s="101" t="n"/>
      <c r="B22" s="101" t="n"/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0">
        <f>IF($A6="","",IF(COUNTA($A6:$Q6)&gt;=ZorunluAlanSayisi,"OK","EKSİK"))</f>
        <v/>
      </c>
    </row>
    <row r="23" ht="15" customHeight="1" s="55">
      <c r="A23" s="101" t="n"/>
      <c r="B23" s="101" t="n"/>
      <c r="C23" s="101" t="n"/>
      <c r="D23" s="101" t="n"/>
      <c r="E23" s="101" t="n"/>
      <c r="F23" s="101" t="n"/>
      <c r="G23" s="101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0">
        <f>IF($A6="","",IF(COUNTA($A6:$Q6)&gt;=ZorunluAlanSayisi,"OK","EKSİK"))</f>
        <v/>
      </c>
    </row>
    <row r="24" ht="15" customHeight="1" s="55">
      <c r="A24" s="101" t="n"/>
      <c r="B24" s="101" t="n"/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0">
        <f>IF($A6="","",IF(COUNTA($A6:$Q6)&gt;=ZorunluAlanSayisi,"OK","EKSİK"))</f>
        <v/>
      </c>
    </row>
    <row r="25" ht="15" customHeight="1" s="55">
      <c r="A25" s="101" t="n"/>
      <c r="B25" s="101" t="n"/>
      <c r="C25" s="101" t="n"/>
      <c r="D25" s="101" t="n"/>
      <c r="E25" s="101" t="n"/>
      <c r="F25" s="101" t="n"/>
      <c r="G25" s="101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0">
        <f>IF($A6="","",IF(COUNTA($A6:$Q6)&gt;=ZorunluAlanSayisi,"OK","EKSİK"))</f>
        <v/>
      </c>
    </row>
    <row r="26" ht="15" customHeight="1" s="55">
      <c r="A26" s="101" t="n"/>
      <c r="B26" s="101" t="n"/>
      <c r="C26" s="101" t="n"/>
      <c r="D26" s="101" t="n"/>
      <c r="E26" s="101" t="n"/>
      <c r="F26" s="101" t="n"/>
      <c r="G26" s="101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0">
        <f>IF($A6="","",IF(COUNTA($A6:$Q6)&gt;=ZorunluAlanSayisi,"OK","EKSİK"))</f>
        <v/>
      </c>
    </row>
    <row r="27" ht="15" customHeight="1" s="55">
      <c r="A27" s="101" t="n"/>
      <c r="B27" s="101" t="n"/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0">
        <f>IF($A6="","",IF(COUNTA($A6:$Q6)&gt;=ZorunluAlanSayisi,"OK","EKSİK"))</f>
        <v/>
      </c>
    </row>
    <row r="28" ht="15" customHeight="1" s="55">
      <c r="A28" s="101" t="n"/>
      <c r="B28" s="101" t="n"/>
      <c r="C28" s="101" t="n"/>
      <c r="D28" s="101" t="n"/>
      <c r="E28" s="101" t="n"/>
      <c r="F28" s="101" t="n"/>
      <c r="G28" s="101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0">
        <f>IF($A6="","",IF(COUNTA($A6:$Q6)&gt;=ZorunluAlanSayisi,"OK","EKSİK"))</f>
        <v/>
      </c>
    </row>
    <row r="29" ht="15" customHeight="1" s="55">
      <c r="A29" s="101" t="n"/>
      <c r="B29" s="101" t="n"/>
      <c r="C29" s="101" t="n"/>
      <c r="D29" s="101" t="n"/>
      <c r="E29" s="101" t="n"/>
      <c r="F29" s="101" t="n"/>
      <c r="G29" s="101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0">
        <f>IF($A6="","",IF(COUNTA($A6:$Q6)&gt;=ZorunluAlanSayisi,"OK","EKSİK"))</f>
        <v/>
      </c>
    </row>
    <row r="30" ht="15" customHeight="1" s="55">
      <c r="A30" s="101" t="n"/>
      <c r="B30" s="101" t="n"/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0">
        <f>IF($A6="","",IF(COUNTA($A6:$Q6)&gt;=ZorunluAlanSayisi,"OK","EKSİK"))</f>
        <v/>
      </c>
    </row>
    <row r="31" ht="15" customHeight="1" s="55">
      <c r="A31" s="101" t="n"/>
      <c r="B31" s="101" t="n"/>
      <c r="C31" s="101" t="n"/>
      <c r="D31" s="101" t="n"/>
      <c r="E31" s="101" t="n"/>
      <c r="F31" s="101" t="n"/>
      <c r="G31" s="101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0">
        <f>IF($A6="","",IF(COUNTA($A6:$Q6)&gt;=ZorunluAlanSayisi,"OK","EKSİK"))</f>
        <v/>
      </c>
    </row>
    <row r="32" ht="15" customHeight="1" s="55">
      <c r="A32" s="101" t="n"/>
      <c r="B32" s="101" t="n"/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0">
        <f>IF($A6="","",IF(COUNTA($A6:$Q6)&gt;=ZorunluAlanSayisi,"OK","EKSİK"))</f>
        <v/>
      </c>
    </row>
    <row r="33" ht="15" customHeight="1" s="55">
      <c r="A33" s="101" t="n"/>
      <c r="B33" s="101" t="n"/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0">
        <f>IF($A6="","",IF(COUNTA($A6:$Q6)&gt;=ZorunluAlanSayisi,"OK","EKSİK"))</f>
        <v/>
      </c>
    </row>
    <row r="34" ht="15" customHeight="1" s="55">
      <c r="A34" s="101" t="n"/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0">
        <f>IF($A6="","",IF(COUNTA($A6:$Q6)&gt;=ZorunluAlanSayisi,"OK","EKSİK"))</f>
        <v/>
      </c>
    </row>
    <row r="35" ht="15" customHeight="1" s="55">
      <c r="A35" s="101" t="n"/>
      <c r="B35" s="101" t="n"/>
      <c r="C35" s="101" t="n"/>
      <c r="D35" s="101" t="n"/>
      <c r="E35" s="101" t="n"/>
      <c r="F35" s="101" t="n"/>
      <c r="G35" s="101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0">
        <f>IF($A6="","",IF(COUNTA($A6:$Q6)&gt;=ZorunluAlanSayisi,"OK","EKSİK"))</f>
        <v/>
      </c>
    </row>
    <row r="36" ht="15" customHeight="1" s="55">
      <c r="A36" s="101" t="n"/>
      <c r="B36" s="101" t="n"/>
      <c r="C36" s="101" t="n"/>
      <c r="D36" s="101" t="n"/>
      <c r="E36" s="101" t="n"/>
      <c r="F36" s="101" t="n"/>
      <c r="G36" s="101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0">
        <f>IF($A6="","",IF(COUNTA($A6:$Q6)&gt;=ZorunluAlanSayisi,"OK","EKSİK"))</f>
        <v/>
      </c>
    </row>
    <row r="37" ht="15" customHeight="1" s="55">
      <c r="A37" s="101" t="n"/>
      <c r="B37" s="101" t="n"/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0">
        <f>IF($A6="","",IF(COUNTA($A6:$Q6)&gt;=ZorunluAlanSayisi,"OK","EKSİK"))</f>
        <v/>
      </c>
    </row>
    <row r="38" ht="15" customHeight="1" s="55">
      <c r="A38" s="101" t="n"/>
      <c r="B38" s="101" t="n"/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0">
        <f>IF($A6="","",IF(COUNTA($A6:$Q6)&gt;=ZorunluAlanSayisi,"OK","EKSİK"))</f>
        <v/>
      </c>
    </row>
    <row r="39" ht="15" customHeight="1" s="55">
      <c r="A39" s="101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0">
        <f>IF($A6="","",IF(COUNTA($A6:$Q6)&gt;=ZorunluAlanSayisi,"OK","EKSİK"))</f>
        <v/>
      </c>
    </row>
    <row r="40" ht="15" customHeight="1" s="55">
      <c r="A40" s="101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0">
        <f>IF($A6="","",IF(COUNTA($A6:$Q6)&gt;=ZorunluAlanSayisi,"OK","EKSİK"))</f>
        <v/>
      </c>
    </row>
    <row r="41" ht="15" customHeight="1" s="55">
      <c r="A41" s="101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0">
        <f>IF($A6="","",IF(COUNTA($A6:$Q6)&gt;=ZorunluAlanSayisi,"OK","EKSİK"))</f>
        <v/>
      </c>
    </row>
    <row r="42" ht="15" customHeight="1" s="55">
      <c r="A42" s="101" t="n"/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0">
        <f>IF($A6="","",IF(COUNTA($A6:$Q6)&gt;=ZorunluAlanSayisi,"OK","EKSİK"))</f>
        <v/>
      </c>
    </row>
    <row r="43" ht="15" customHeight="1" s="55">
      <c r="A43" s="101" t="n"/>
      <c r="B43" s="101" t="n"/>
      <c r="C43" s="101" t="n"/>
      <c r="D43" s="101" t="n"/>
      <c r="E43" s="101" t="n"/>
      <c r="F43" s="101" t="n"/>
      <c r="G43" s="101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0">
        <f>IF($A6="","",IF(COUNTA($A6:$Q6)&gt;=ZorunluAlanSayisi,"OK","EKSİK"))</f>
        <v/>
      </c>
    </row>
    <row r="44" ht="15" customHeight="1" s="55">
      <c r="A44" s="101" t="n"/>
      <c r="B44" s="101" t="n"/>
      <c r="C44" s="101" t="n"/>
      <c r="D44" s="101" t="n"/>
      <c r="E44" s="101" t="n"/>
      <c r="F44" s="101" t="n"/>
      <c r="G44" s="101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0">
        <f>IF($A6="","",IF(COUNTA($A6:$Q6)&gt;=ZorunluAlanSayisi,"OK","EKSİK"))</f>
        <v/>
      </c>
    </row>
    <row r="45" ht="15" customHeight="1" s="55">
      <c r="A45" s="101" t="n"/>
      <c r="B45" s="101" t="n"/>
      <c r="C45" s="101" t="n"/>
      <c r="D45" s="101" t="n"/>
      <c r="E45" s="101" t="n"/>
      <c r="F45" s="101" t="n"/>
      <c r="G45" s="101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0">
        <f>IF($A6="","",IF(COUNTA($A6:$Q6)&gt;=ZorunluAlanSayisi,"OK","EKSİK"))</f>
        <v/>
      </c>
    </row>
    <row r="46" ht="15" customHeight="1" s="55">
      <c r="A46" s="101" t="n"/>
      <c r="B46" s="101" t="n"/>
      <c r="C46" s="101" t="n"/>
      <c r="D46" s="101" t="n"/>
      <c r="E46" s="101" t="n"/>
      <c r="F46" s="101" t="n"/>
      <c r="G46" s="101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</row>
    <row r="47" ht="15" customHeight="1" s="55">
      <c r="A47" s="101" t="n"/>
      <c r="B47" s="101" t="n"/>
      <c r="C47" s="101" t="n"/>
      <c r="D47" s="101" t="n"/>
      <c r="E47" s="101" t="n"/>
      <c r="F47" s="101" t="n"/>
      <c r="G47" s="101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</row>
    <row r="48" ht="15" customHeight="1" s="55">
      <c r="A48" s="101" t="n"/>
      <c r="B48" s="101" t="n"/>
      <c r="C48" s="101" t="n"/>
      <c r="D48" s="101" t="n"/>
      <c r="E48" s="101" t="n"/>
      <c r="F48" s="101" t="n"/>
      <c r="G48" s="101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</row>
    <row r="49" ht="15" customHeight="1" s="55">
      <c r="A49" s="101" t="n"/>
      <c r="B49" s="101" t="n"/>
      <c r="C49" s="101" t="n"/>
      <c r="D49" s="101" t="n"/>
      <c r="E49" s="101" t="n"/>
      <c r="F49" s="101" t="n"/>
      <c r="G49" s="101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</row>
    <row r="50" ht="15" customHeight="1" s="55">
      <c r="A50" s="101" t="n"/>
      <c r="B50" s="101" t="n"/>
      <c r="C50" s="101" t="n"/>
      <c r="D50" s="101" t="n"/>
      <c r="E50" s="101" t="n"/>
      <c r="F50" s="101" t="n"/>
      <c r="G50" s="101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</row>
    <row r="51" ht="15" customHeight="1" s="55">
      <c r="A51" s="101" t="n"/>
      <c r="B51" s="101" t="n"/>
      <c r="C51" s="101" t="n"/>
      <c r="D51" s="101" t="n"/>
      <c r="E51" s="101" t="n"/>
      <c r="F51" s="101" t="n"/>
      <c r="G51" s="101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</row>
    <row r="52" ht="15" customHeight="1" s="55">
      <c r="A52" s="101" t="n"/>
      <c r="B52" s="101" t="n"/>
      <c r="C52" s="101" t="n"/>
      <c r="D52" s="101" t="n"/>
      <c r="E52" s="101" t="n"/>
      <c r="F52" s="101" t="n"/>
      <c r="G52" s="101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</row>
    <row r="53" ht="15" customHeight="1" s="55">
      <c r="A53" s="101" t="n"/>
      <c r="B53" s="101" t="n"/>
      <c r="C53" s="101" t="n"/>
      <c r="D53" s="101" t="n"/>
      <c r="E53" s="101" t="n"/>
      <c r="F53" s="101" t="n"/>
      <c r="G53" s="101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</row>
    <row r="54" ht="15" customHeight="1" s="55">
      <c r="A54" s="101" t="n"/>
      <c r="B54" s="101" t="n"/>
      <c r="C54" s="101" t="n"/>
      <c r="D54" s="101" t="n"/>
      <c r="E54" s="101" t="n"/>
      <c r="F54" s="101" t="n"/>
      <c r="G54" s="101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</row>
    <row r="55" ht="15" customHeight="1" s="55">
      <c r="A55" s="101" t="n"/>
      <c r="B55" s="101" t="n"/>
      <c r="C55" s="101" t="n"/>
      <c r="D55" s="101" t="n"/>
      <c r="E55" s="101" t="n"/>
      <c r="F55" s="101" t="n"/>
      <c r="G55" s="101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</row>
    <row r="56" ht="15" customHeight="1" s="55">
      <c r="A56" s="101" t="n"/>
      <c r="B56" s="101" t="n"/>
      <c r="C56" s="101" t="n"/>
      <c r="D56" s="101" t="n"/>
      <c r="E56" s="101" t="n"/>
      <c r="F56" s="101" t="n"/>
      <c r="G56" s="101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</row>
    <row r="57" ht="15" customHeight="1" s="55">
      <c r="A57" s="101" t="n"/>
      <c r="B57" s="101" t="n"/>
      <c r="C57" s="101" t="n"/>
      <c r="D57" s="101" t="n"/>
      <c r="E57" s="101" t="n"/>
      <c r="F57" s="101" t="n"/>
      <c r="G57" s="101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</row>
    <row r="58" ht="15" customHeight="1" s="55">
      <c r="A58" s="101" t="n"/>
      <c r="B58" s="101" t="n"/>
      <c r="C58" s="101" t="n"/>
      <c r="D58" s="101" t="n"/>
      <c r="E58" s="101" t="n"/>
      <c r="F58" s="101" t="n"/>
      <c r="G58" s="101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</row>
    <row r="59" ht="15" customHeight="1" s="55">
      <c r="A59" s="101" t="n"/>
      <c r="B59" s="101" t="n"/>
      <c r="C59" s="101" t="n"/>
      <c r="D59" s="101" t="n"/>
      <c r="E59" s="101" t="n"/>
      <c r="F59" s="101" t="n"/>
      <c r="G59" s="101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</row>
    <row r="60" ht="15" customHeight="1" s="55">
      <c r="A60" s="101" t="n"/>
      <c r="B60" s="101" t="n"/>
      <c r="C60" s="101" t="n"/>
      <c r="D60" s="101" t="n"/>
      <c r="E60" s="101" t="n"/>
      <c r="F60" s="101" t="n"/>
      <c r="G60" s="101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</row>
    <row r="61" ht="15" customHeight="1" s="55">
      <c r="A61" s="101" t="n"/>
      <c r="B61" s="101" t="n"/>
      <c r="C61" s="101" t="n"/>
      <c r="D61" s="101" t="n"/>
      <c r="E61" s="101" t="n"/>
      <c r="F61" s="101" t="n"/>
      <c r="G61" s="101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</row>
    <row r="62" ht="15" customHeight="1" s="55">
      <c r="A62" s="101" t="n"/>
      <c r="B62" s="101" t="n"/>
      <c r="C62" s="101" t="n"/>
      <c r="D62" s="101" t="n"/>
      <c r="E62" s="101" t="n"/>
      <c r="F62" s="101" t="n"/>
      <c r="G62" s="101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</row>
    <row r="63" ht="15" customHeight="1" s="55">
      <c r="A63" s="101" t="n"/>
      <c r="B63" s="101" t="n"/>
      <c r="C63" s="101" t="n"/>
      <c r="D63" s="101" t="n"/>
      <c r="E63" s="101" t="n"/>
      <c r="F63" s="101" t="n"/>
      <c r="G63" s="101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</row>
    <row r="64" ht="15" customHeight="1" s="55">
      <c r="A64" s="101" t="n"/>
      <c r="B64" s="101" t="n"/>
      <c r="C64" s="101" t="n"/>
      <c r="D64" s="101" t="n"/>
      <c r="E64" s="101" t="n"/>
      <c r="F64" s="101" t="n"/>
      <c r="G64" s="101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</row>
    <row r="65" ht="15" customHeight="1" s="55">
      <c r="A65" s="101" t="n"/>
      <c r="B65" s="101" t="n"/>
      <c r="C65" s="101" t="n"/>
      <c r="D65" s="101" t="n"/>
      <c r="E65" s="101" t="n"/>
      <c r="F65" s="101" t="n"/>
      <c r="G65" s="101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</row>
    <row r="66" ht="15" customHeight="1" s="55">
      <c r="A66" s="101" t="n"/>
      <c r="B66" s="101" t="n"/>
      <c r="C66" s="101" t="n"/>
      <c r="D66" s="101" t="n"/>
      <c r="E66" s="101" t="n"/>
      <c r="F66" s="101" t="n"/>
      <c r="G66" s="101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</row>
    <row r="67" ht="15" customHeight="1" s="55">
      <c r="A67" s="101" t="n"/>
      <c r="B67" s="101" t="n"/>
      <c r="C67" s="101" t="n"/>
      <c r="D67" s="101" t="n"/>
      <c r="E67" s="101" t="n"/>
      <c r="F67" s="101" t="n"/>
      <c r="G67" s="101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</row>
    <row r="68" ht="15" customHeight="1" s="55">
      <c r="A68" s="101" t="n"/>
      <c r="B68" s="101" t="n"/>
      <c r="C68" s="101" t="n"/>
      <c r="D68" s="101" t="n"/>
      <c r="E68" s="101" t="n"/>
      <c r="F68" s="101" t="n"/>
      <c r="G68" s="101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</row>
    <row r="69" ht="15" customHeight="1" s="55">
      <c r="A69" s="101" t="n"/>
      <c r="B69" s="101" t="n"/>
      <c r="C69" s="101" t="n"/>
      <c r="D69" s="101" t="n"/>
      <c r="E69" s="101" t="n"/>
      <c r="F69" s="101" t="n"/>
      <c r="G69" s="101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</row>
    <row r="70" ht="15" customHeight="1" s="55">
      <c r="A70" s="101" t="n"/>
      <c r="B70" s="101" t="n"/>
      <c r="C70" s="101" t="n"/>
      <c r="D70" s="101" t="n"/>
      <c r="E70" s="101" t="n"/>
      <c r="F70" s="101" t="n"/>
      <c r="G70" s="101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</row>
    <row r="71" ht="15" customHeight="1" s="55">
      <c r="A71" s="101" t="n"/>
      <c r="B71" s="101" t="n"/>
      <c r="C71" s="101" t="n"/>
      <c r="D71" s="101" t="n"/>
      <c r="E71" s="101" t="n"/>
      <c r="F71" s="101" t="n"/>
      <c r="G71" s="101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</row>
    <row r="72" ht="15" customHeight="1" s="55">
      <c r="A72" s="101" t="n"/>
      <c r="B72" s="101" t="n"/>
      <c r="C72" s="101" t="n"/>
      <c r="D72" s="101" t="n"/>
      <c r="E72" s="101" t="n"/>
      <c r="F72" s="101" t="n"/>
      <c r="G72" s="101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</row>
    <row r="73" ht="15" customHeight="1" s="55">
      <c r="A73" s="101" t="n"/>
      <c r="B73" s="101" t="n"/>
      <c r="C73" s="101" t="n"/>
      <c r="D73" s="101" t="n"/>
      <c r="E73" s="101" t="n"/>
      <c r="F73" s="101" t="n"/>
      <c r="G73" s="101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</row>
    <row r="74" ht="15" customHeight="1" s="55">
      <c r="A74" s="101" t="n"/>
      <c r="B74" s="101" t="n"/>
      <c r="C74" s="101" t="n"/>
      <c r="D74" s="101" t="n"/>
      <c r="E74" s="101" t="n"/>
      <c r="F74" s="101" t="n"/>
      <c r="G74" s="101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</row>
    <row r="75" ht="15" customHeight="1" s="55">
      <c r="A75" s="101" t="n"/>
      <c r="B75" s="101" t="n"/>
      <c r="C75" s="101" t="n"/>
      <c r="D75" s="101" t="n"/>
      <c r="E75" s="101" t="n"/>
      <c r="F75" s="101" t="n"/>
      <c r="G75" s="101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</row>
    <row r="76" ht="15" customHeight="1" s="55">
      <c r="A76" s="101" t="n"/>
      <c r="B76" s="101" t="n"/>
      <c r="C76" s="101" t="n"/>
      <c r="D76" s="101" t="n"/>
      <c r="E76" s="101" t="n"/>
      <c r="F76" s="101" t="n"/>
      <c r="G76" s="101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</row>
    <row r="77" ht="15" customHeight="1" s="55">
      <c r="A77" s="101" t="n"/>
      <c r="B77" s="101" t="n"/>
      <c r="C77" s="101" t="n"/>
      <c r="D77" s="101" t="n"/>
      <c r="E77" s="101" t="n"/>
      <c r="F77" s="101" t="n"/>
      <c r="G77" s="101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</row>
    <row r="78" ht="15" customHeight="1" s="55">
      <c r="A78" s="101" t="n"/>
      <c r="B78" s="101" t="n"/>
      <c r="C78" s="101" t="n"/>
      <c r="D78" s="101" t="n"/>
      <c r="E78" s="101" t="n"/>
      <c r="F78" s="101" t="n"/>
      <c r="G78" s="101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</row>
    <row r="79" ht="15" customHeight="1" s="55">
      <c r="A79" s="101" t="n"/>
      <c r="B79" s="101" t="n"/>
      <c r="C79" s="101" t="n"/>
      <c r="D79" s="101" t="n"/>
      <c r="E79" s="101" t="n"/>
      <c r="F79" s="101" t="n"/>
      <c r="G79" s="101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</row>
    <row r="80" ht="15" customHeight="1" s="55">
      <c r="A80" s="101" t="n"/>
      <c r="B80" s="101" t="n"/>
      <c r="C80" s="101" t="n"/>
      <c r="D80" s="101" t="n"/>
      <c r="E80" s="101" t="n"/>
      <c r="F80" s="101" t="n"/>
      <c r="G80" s="101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</row>
    <row r="81" ht="15" customHeight="1" s="55">
      <c r="A81" s="101" t="n"/>
      <c r="B81" s="101" t="n"/>
      <c r="C81" s="101" t="n"/>
      <c r="D81" s="101" t="n"/>
      <c r="E81" s="101" t="n"/>
      <c r="F81" s="101" t="n"/>
      <c r="G81" s="101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</row>
    <row r="82" ht="15" customHeight="1" s="55">
      <c r="A82" s="101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</row>
    <row r="83" ht="15" customHeight="1" s="55">
      <c r="A83" s="101" t="n"/>
      <c r="B83" s="101" t="n"/>
      <c r="C83" s="101" t="n"/>
      <c r="D83" s="101" t="n"/>
      <c r="E83" s="101" t="n"/>
      <c r="F83" s="101" t="n"/>
      <c r="G83" s="101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</row>
    <row r="84" ht="15" customHeight="1" s="55">
      <c r="A84" s="101" t="n"/>
      <c r="B84" s="101" t="n"/>
      <c r="C84" s="101" t="n"/>
      <c r="D84" s="101" t="n"/>
      <c r="E84" s="101" t="n"/>
      <c r="F84" s="101" t="n"/>
      <c r="G84" s="101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</row>
    <row r="85" ht="15" customHeight="1" s="55">
      <c r="A85" s="101" t="n"/>
      <c r="B85" s="101" t="n"/>
      <c r="C85" s="101" t="n"/>
      <c r="D85" s="101" t="n"/>
      <c r="E85" s="101" t="n"/>
      <c r="F85" s="101" t="n"/>
      <c r="G85" s="101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</row>
    <row r="86" ht="15" customHeight="1" s="55">
      <c r="A86" s="101" t="n"/>
      <c r="B86" s="101" t="n"/>
      <c r="C86" s="101" t="n"/>
      <c r="D86" s="101" t="n"/>
      <c r="E86" s="101" t="n"/>
      <c r="F86" s="101" t="n"/>
      <c r="G86" s="101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</row>
    <row r="87" ht="15" customHeight="1" s="55">
      <c r="A87" s="101" t="n"/>
      <c r="B87" s="101" t="n"/>
      <c r="C87" s="101" t="n"/>
      <c r="D87" s="101" t="n"/>
      <c r="E87" s="101" t="n"/>
      <c r="F87" s="101" t="n"/>
      <c r="G87" s="101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</row>
    <row r="88" ht="15" customHeight="1" s="55">
      <c r="A88" s="101" t="n"/>
      <c r="B88" s="101" t="n"/>
      <c r="C88" s="101" t="n"/>
      <c r="D88" s="101" t="n"/>
      <c r="E88" s="101" t="n"/>
      <c r="F88" s="101" t="n"/>
      <c r="G88" s="101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</row>
    <row r="89" ht="15" customHeight="1" s="55">
      <c r="A89" s="101" t="n"/>
      <c r="B89" s="101" t="n"/>
      <c r="C89" s="101" t="n"/>
      <c r="D89" s="101" t="n"/>
      <c r="E89" s="101" t="n"/>
      <c r="F89" s="101" t="n"/>
      <c r="G89" s="101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</row>
    <row r="90" ht="15" customHeight="1" s="55">
      <c r="A90" s="101" t="n"/>
      <c r="B90" s="101" t="n"/>
      <c r="C90" s="101" t="n"/>
      <c r="D90" s="101" t="n"/>
      <c r="E90" s="101" t="n"/>
      <c r="F90" s="101" t="n"/>
      <c r="G90" s="101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</row>
    <row r="91" ht="15" customHeight="1" s="55">
      <c r="A91" s="101" t="n"/>
      <c r="B91" s="101" t="n"/>
      <c r="C91" s="101" t="n"/>
      <c r="D91" s="101" t="n"/>
      <c r="E91" s="101" t="n"/>
      <c r="F91" s="101" t="n"/>
      <c r="G91" s="101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</row>
    <row r="92" ht="15" customHeight="1" s="55">
      <c r="A92" s="101" t="n"/>
      <c r="B92" s="101" t="n"/>
      <c r="C92" s="101" t="n"/>
      <c r="D92" s="101" t="n"/>
      <c r="E92" s="101" t="n"/>
      <c r="F92" s="101" t="n"/>
      <c r="G92" s="101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</row>
    <row r="93" ht="15" customHeight="1" s="55">
      <c r="A93" s="101" t="n"/>
      <c r="B93" s="101" t="n"/>
      <c r="C93" s="101" t="n"/>
      <c r="D93" s="101" t="n"/>
      <c r="E93" s="101" t="n"/>
      <c r="F93" s="101" t="n"/>
      <c r="G93" s="101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</row>
    <row r="94" ht="15" customHeight="1" s="55">
      <c r="A94" s="101" t="n"/>
      <c r="B94" s="101" t="n"/>
      <c r="C94" s="101" t="n"/>
      <c r="D94" s="101" t="n"/>
      <c r="E94" s="101" t="n"/>
      <c r="F94" s="101" t="n"/>
      <c r="G94" s="101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</row>
    <row r="95" ht="15" customHeight="1" s="55">
      <c r="A95" s="101" t="n"/>
      <c r="B95" s="101" t="n"/>
      <c r="C95" s="101" t="n"/>
      <c r="D95" s="101" t="n"/>
      <c r="E95" s="101" t="n"/>
      <c r="F95" s="101" t="n"/>
      <c r="G95" s="101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</row>
    <row r="96" ht="15" customHeight="1" s="55">
      <c r="A96" s="101" t="n"/>
      <c r="B96" s="101" t="n"/>
      <c r="C96" s="101" t="n"/>
      <c r="D96" s="101" t="n"/>
      <c r="E96" s="101" t="n"/>
      <c r="F96" s="101" t="n"/>
      <c r="G96" s="101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</row>
    <row r="97" ht="15" customHeight="1" s="55">
      <c r="A97" s="101" t="n"/>
      <c r="B97" s="101" t="n"/>
      <c r="C97" s="101" t="n"/>
      <c r="D97" s="101" t="n"/>
      <c r="E97" s="101" t="n"/>
      <c r="F97" s="101" t="n"/>
      <c r="G97" s="101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</row>
    <row r="98" ht="15" customHeight="1" s="55">
      <c r="A98" s="101" t="n"/>
      <c r="B98" s="101" t="n"/>
      <c r="C98" s="101" t="n"/>
      <c r="D98" s="101" t="n"/>
      <c r="E98" s="101" t="n"/>
      <c r="F98" s="101" t="n"/>
      <c r="G98" s="101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</row>
    <row r="99" ht="15" customHeight="1" s="55">
      <c r="A99" s="101" t="n"/>
      <c r="B99" s="101" t="n"/>
      <c r="C99" s="101" t="n"/>
      <c r="D99" s="101" t="n"/>
      <c r="E99" s="101" t="n"/>
      <c r="F99" s="101" t="n"/>
      <c r="G99" s="101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</row>
    <row r="100" ht="15" customHeight="1" s="55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</row>
    <row r="101" ht="15" customHeight="1" s="55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</row>
    <row r="102" ht="15" customHeight="1" s="55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</row>
    <row r="103" ht="15" customHeight="1" s="55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</row>
    <row r="104" ht="15" customHeight="1" s="55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</row>
    <row r="105" ht="15" customHeight="1" s="55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</row>
    <row r="106" ht="15" customHeight="1" s="55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</row>
    <row r="107" ht="15" customHeight="1" s="55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</row>
    <row r="108" ht="15" customHeight="1" s="55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</row>
    <row r="109" ht="15" customHeight="1" s="55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</row>
    <row r="110" ht="15" customHeight="1" s="55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</row>
    <row r="111" ht="15" customHeight="1" s="55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</row>
    <row r="112" ht="15" customHeight="1" s="55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</row>
    <row r="113" ht="15" customHeight="1" s="55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</row>
    <row r="114" ht="15" customHeight="1" s="55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</row>
    <row r="115" ht="15" customHeight="1" s="55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</row>
    <row r="116" ht="15" customHeight="1" s="55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</row>
    <row r="117" ht="15" customHeight="1" s="55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</row>
    <row r="118" ht="15" customHeight="1" s="55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</row>
    <row r="119" ht="15" customHeight="1" s="55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</row>
    <row r="120" ht="15" customHeight="1" s="55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</row>
    <row r="121" ht="15" customHeight="1" s="55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</row>
    <row r="122" ht="15" customHeight="1" s="55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</row>
    <row r="123" ht="15" customHeight="1" s="55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</row>
    <row r="124" ht="15" customHeight="1" s="55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</row>
    <row r="125" ht="15" customHeight="1" s="55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</row>
    <row r="126" ht="15" customHeight="1" s="55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</row>
    <row r="127" ht="15" customHeight="1" s="55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</row>
    <row r="128" ht="15" customHeight="1" s="55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</row>
    <row r="129" ht="15" customHeight="1" s="55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</row>
    <row r="130" ht="15" customHeight="1" s="55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</row>
    <row r="131" ht="15" customHeight="1" s="55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</row>
    <row r="132" ht="15" customHeight="1" s="55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</row>
    <row r="133" ht="15" customHeight="1" s="55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</row>
    <row r="134" ht="15" customHeight="1" s="55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</row>
    <row r="135" ht="15" customHeight="1" s="55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</row>
    <row r="136" ht="15" customHeight="1" s="55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</row>
    <row r="137" ht="15" customHeight="1" s="55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</row>
    <row r="138" ht="15" customHeight="1" s="55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</row>
    <row r="139" ht="15" customHeight="1" s="55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</row>
    <row r="140" ht="15" customHeight="1" s="55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</row>
    <row r="141" ht="15" customHeight="1" s="55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</row>
    <row r="142" ht="15" customHeight="1" s="55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</row>
    <row r="143" ht="15" customHeight="1" s="55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</row>
    <row r="144" ht="15" customHeight="1" s="55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</row>
    <row r="145" ht="15" customHeight="1" s="55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</row>
    <row r="146" ht="15" customHeight="1" s="55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</row>
    <row r="147" ht="15" customHeight="1" s="55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</row>
    <row r="148" ht="15" customHeight="1" s="55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</row>
    <row r="149" ht="15" customHeight="1" s="55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</row>
    <row r="150" ht="15" customHeight="1" s="55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</row>
    <row r="151" ht="15" customHeight="1" s="55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</row>
    <row r="152" ht="15" customHeight="1" s="55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</row>
    <row r="153" ht="15" customHeight="1" s="55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</row>
    <row r="154" ht="15" customHeight="1" s="55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</row>
    <row r="155" ht="15" customHeight="1" s="55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</row>
    <row r="156" ht="15" customHeight="1" s="55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</row>
    <row r="157" ht="15" customHeight="1" s="55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</row>
    <row r="158" ht="15" customHeight="1" s="55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</row>
    <row r="159" ht="15" customHeight="1" s="55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</row>
    <row r="160" ht="15" customHeight="1" s="55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</row>
    <row r="161" ht="15" customHeight="1" s="55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</row>
    <row r="162" ht="15" customHeight="1" s="55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</row>
    <row r="163" ht="15" customHeight="1" s="55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</row>
    <row r="164" ht="15" customHeight="1" s="55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</row>
    <row r="165" ht="15" customHeight="1" s="55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</row>
    <row r="166" ht="15" customHeight="1" s="55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</row>
    <row r="167" ht="15" customHeight="1" s="55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</row>
    <row r="168" ht="15" customHeight="1" s="55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</row>
    <row r="169" ht="15" customHeight="1" s="55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</row>
    <row r="170" ht="15" customHeight="1" s="55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</row>
    <row r="171" ht="15" customHeight="1" s="55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</row>
    <row r="172" ht="15" customHeight="1" s="55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</row>
    <row r="173" ht="15" customHeight="1" s="55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</row>
    <row r="174" ht="15" customHeight="1" s="55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</row>
    <row r="175" ht="15" customHeight="1" s="55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</row>
    <row r="176" ht="15" customHeight="1" s="55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</row>
    <row r="177" ht="15" customHeight="1" s="55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</row>
    <row r="178" ht="15" customHeight="1" s="55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</row>
    <row r="179" ht="15" customHeight="1" s="55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</row>
    <row r="180" ht="15" customHeight="1" s="55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</row>
    <row r="181" ht="15" customHeight="1" s="55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</row>
    <row r="182" ht="15" customHeight="1" s="55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</row>
    <row r="183" ht="15" customHeight="1" s="55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</row>
    <row r="184" ht="15" customHeight="1" s="55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</row>
    <row r="185" ht="15" customHeight="1" s="55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</row>
    <row r="186" ht="15" customHeight="1" s="55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</row>
    <row r="187" ht="15" customHeight="1" s="55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</row>
    <row r="188" ht="15" customHeight="1" s="55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</row>
    <row r="189" ht="15" customHeight="1" s="55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</row>
    <row r="190" ht="15" customHeight="1" s="55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</row>
    <row r="191" ht="15" customHeight="1" s="55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</row>
    <row r="192" ht="15" customHeight="1" s="55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</row>
    <row r="193" ht="15" customHeight="1" s="55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</row>
    <row r="194" ht="15" customHeight="1" s="55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</row>
    <row r="195" ht="15" customHeight="1" s="55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</row>
    <row r="196" ht="15" customHeight="1" s="55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</row>
    <row r="197" ht="15" customHeight="1" s="55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</row>
    <row r="198" ht="15" customHeight="1" s="55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</row>
    <row r="199" ht="15" customHeight="1" s="55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</row>
    <row r="200" ht="15" customHeight="1" s="55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</row>
    <row r="201" ht="15" customHeight="1" s="55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</row>
    <row r="202" ht="15" customHeight="1" s="55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</row>
    <row r="203" ht="15" customHeight="1" s="55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</row>
    <row r="204" ht="15" customHeight="1" s="55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R3"/>
    <mergeCell ref="A1:R1"/>
  </mergeCells>
  <conditionalFormatting sqref="Q6:Q204">
    <cfRule type="cellIs" rank="0" priority="2" equalAverage="0" operator="equal" aboveAverage="0" dxfId="9" text="" percent="0" bottom="0">
      <formula>"Aktif"</formula>
    </cfRule>
    <cfRule type="cellIs" rank="0" priority="3" equalAverage="0" operator="equal" aboveAverage="0" dxfId="10" text="" percent="0" bottom="0">
      <formula>"İzlemede"</formula>
    </cfRule>
    <cfRule type="cellIs" rank="0" priority="4" equalAverage="0" operator="equal" aboveAverage="0" dxfId="11" text="" percent="0" bottom="0">
      <formula>"Askıda"</formula>
    </cfRule>
    <cfRule type="cellIs" rank="0" priority="5" equalAverage="0" operator="equal" aboveAverage="0" dxfId="12" text="" percent="0" bottom="0">
      <formula>"Kapalı"</formula>
    </cfRule>
  </conditionalFormatting>
  <conditionalFormatting sqref="P6:P204">
    <cfRule type="cellIs" rank="0" priority="6" equalAverage="0" operator="equal" aboveAverage="0" dxfId="11" text="" percent="0" bottom="0">
      <formula>"Evet"</formula>
    </cfRule>
  </conditionalFormatting>
  <conditionalFormatting sqref="I6:I204">
    <cfRule type="cellIs" rank="0" priority="7" equalAverage="0" operator="lessThan" aboveAverage="0" dxfId="11" text="" percent="0" bottom="0">
      <formula>0</formula>
    </cfRule>
  </conditionalFormatting>
  <dataValidations count="3">
    <dataValidation sqref="Q6:Q204" showDropDown="0" showInputMessage="1" showErrorMessage="1" allowBlank="1" errorTitle="Geçersiz Durum" error="Lütfen listeden geçerli bir durum seçin." promptTitle="Müşteri Durumu" prompt="Aktif, İzlemede, Askıda veya Kapalı seçin." type="list" errorStyle="stop" operator="between">
      <formula1>ListeMusteriDurum</formula1>
      <formula2>0</formula2>
    </dataValidation>
    <dataValidation sqref="P6:P204" showDropDown="0" showInputMessage="1" showErrorMessage="1" allowBlank="1" errorTitle="Geçersiz Değer" error="Lütfen Evet veya Hayır seçin." promptTitle="Kritik Müşteri" prompt="Evet veya Hayır seçin." type="list" errorStyle="stop" operator="between">
      <formula1>ListeEvetHayir</formula1>
      <formula2>0</formula2>
    </dataValidation>
    <dataValidation sqref="H6:H204" showDropDown="0" showInputMessage="1" showErrorMessage="1" allowBlank="1" errorTitle="Geçersiz Vade" error="Vade günü 0-365 arasında olmalıdır." promptTitle="Varsayılan Vade (gün)" prompt="0 ile 365 arasında gün sayısı girin." type="whole" errorStyle="stop" operator="between">
      <formula1>0</formula1>
      <formula2>365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Q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5.5" customWidth="1" style="81" min="1" max="1"/>
    <col width="19.5" customWidth="1" style="81" min="2" max="2"/>
    <col width="16.5" customWidth="1" style="81" min="3" max="6"/>
    <col width="23.5" customWidth="1" style="55" min="4" max="4"/>
    <col width="23.5" customWidth="1" style="55" min="5" max="5"/>
    <col width="17.5" customWidth="1" style="55" min="6" max="6"/>
    <col width="15.5" customWidth="1" style="81" min="7" max="7"/>
    <col width="9" customWidth="1" style="81" min="8" max="8"/>
    <col width="13.5" customWidth="1" style="81" min="9" max="12"/>
    <col width="16.5" customWidth="1" style="55" min="10" max="10"/>
    <col width="14.5" customWidth="1" style="55" min="11" max="11"/>
    <col width="18.5" customWidth="1" style="55" min="12" max="12"/>
    <col width="19.5" customWidth="1" style="81" min="13" max="13"/>
    <col width="19.5" customWidth="1" style="81" min="14" max="15"/>
    <col width="19.5" customWidth="1" style="55" min="15" max="15"/>
    <col width="16.5" customWidth="1" style="81" min="16" max="16"/>
    <col width="20.5" customWidth="1" style="81" min="17" max="17"/>
    <col width="13" customWidth="1" style="55" min="18" max="18"/>
  </cols>
  <sheetData>
    <row r="1" ht="32" customHeight="1" s="55">
      <c r="A1" s="239" t="inlineStr">
        <is>
          <t>FATURALAR — CARİ HESAP, TAHSİLAT VE MÜŞTERİ RİSK TAKİP SİSTEMİ</t>
        </is>
      </c>
    </row>
    <row r="3" ht="22" customHeight="1" s="55">
      <c r="A3" s="258" t="inlineStr">
        <is>
          <t>FATURA VE VADE YÖNETİM MERKEZİ</t>
        </is>
      </c>
    </row>
    <row r="5" ht="30" customHeight="1" s="55">
      <c r="A5" s="95" t="inlineStr">
        <is>
          <t>Fatura Kayıt Numarası</t>
        </is>
      </c>
      <c r="B5" s="95" t="inlineStr">
        <is>
          <t>Fatura Numarası</t>
        </is>
      </c>
      <c r="C5" s="95" t="inlineStr">
        <is>
          <t>Müşteri Kodu</t>
        </is>
      </c>
      <c r="D5" s="95" t="inlineStr">
        <is>
          <t>Fatura Tarihi</t>
        </is>
      </c>
      <c r="E5" s="95" t="inlineStr">
        <is>
          <t>Vade Tarihi</t>
        </is>
      </c>
      <c r="F5" s="95" t="inlineStr">
        <is>
          <t>Fatura Tutarı</t>
        </is>
      </c>
      <c r="G5" s="95" t="inlineStr">
        <is>
          <t>Para Birimi</t>
        </is>
      </c>
      <c r="H5" s="95" t="inlineStr">
        <is>
          <t>Kur</t>
        </is>
      </c>
      <c r="I5" s="95" t="inlineStr">
        <is>
          <t>TL Tutarı</t>
        </is>
      </c>
      <c r="J5" s="95" t="inlineStr">
        <is>
          <t>İade/İskonto</t>
        </is>
      </c>
      <c r="K5" s="95" t="inlineStr">
        <is>
          <t>Net Fatura</t>
        </is>
      </c>
      <c r="L5" s="95" t="inlineStr">
        <is>
          <t>İtirazlı Tutar</t>
        </is>
      </c>
      <c r="M5" s="95" t="inlineStr">
        <is>
          <t>Teminat Kapsamı</t>
        </is>
      </c>
      <c r="N5" s="95" t="inlineStr">
        <is>
          <t>Proje/Sipariş</t>
        </is>
      </c>
      <c r="O5" s="95" t="inlineStr">
        <is>
          <t>Satış Sorumlusu</t>
        </is>
      </c>
      <c r="P5" s="95" t="inlineStr">
        <is>
          <t>Belge Durumu</t>
        </is>
      </c>
      <c r="Q5" s="95" t="inlineStr">
        <is>
          <t>Mükerrer Kontrol</t>
        </is>
      </c>
    </row>
    <row r="6" ht="15.75" customHeight="1" s="55">
      <c r="A6" s="96" t="inlineStr">
        <is>
          <t>F001</t>
        </is>
      </c>
      <c r="B6" s="96" t="inlineStr">
        <is>
          <t>2026-001</t>
        </is>
      </c>
      <c r="C6" s="96" t="inlineStr">
        <is>
          <t>M001</t>
        </is>
      </c>
      <c r="D6" s="97" t="n">
        <v>46091</v>
      </c>
      <c r="E6" s="97" t="n">
        <v>46151</v>
      </c>
      <c r="F6" s="99" t="n">
        <v>780000</v>
      </c>
      <c r="G6" s="96" t="inlineStr">
        <is>
          <t>TRY</t>
        </is>
      </c>
      <c r="H6" s="98" t="n">
        <v>1</v>
      </c>
      <c r="I6" s="100">
        <f>IF($B6="","",$F6*$H6)</f>
        <v/>
      </c>
      <c r="J6" s="99" t="n">
        <v>30000</v>
      </c>
      <c r="K6" s="100">
        <f>IF($B6="","",$I6-$J6)</f>
        <v/>
      </c>
      <c r="L6" s="99" t="n">
        <v>0</v>
      </c>
      <c r="M6" s="99" t="n">
        <v>0</v>
      </c>
      <c r="N6" s="96" t="inlineStr">
        <is>
          <t>Proje A-2026</t>
        </is>
      </c>
      <c r="O6" s="96" t="inlineStr">
        <is>
          <t>Ayşe Yılmaz</t>
        </is>
      </c>
      <c r="P6" s="96" t="inlineStr">
        <is>
          <t>Onaylı</t>
        </is>
      </c>
      <c r="Q6" s="100">
        <f>IF($B6="","",IF(COUNTIFS(tblFaturalar[Fatura Numarası],$B6,tblFaturalar[Müşteri Kodu],$C6)&gt;1,"MÜKERRER","UYGUN"))</f>
        <v/>
      </c>
    </row>
    <row r="7" ht="15.75" customHeight="1" s="55">
      <c r="A7" s="96" t="inlineStr">
        <is>
          <t>F002</t>
        </is>
      </c>
      <c r="B7" s="96" t="inlineStr">
        <is>
          <t>2026-002</t>
        </is>
      </c>
      <c r="C7" s="96" t="inlineStr">
        <is>
          <t>M001</t>
        </is>
      </c>
      <c r="D7" s="97" t="n">
        <v>46188</v>
      </c>
      <c r="E7" s="97" t="n">
        <v>46248</v>
      </c>
      <c r="F7" s="99" t="n">
        <v>520000</v>
      </c>
      <c r="G7" s="96" t="inlineStr">
        <is>
          <t>TRY</t>
        </is>
      </c>
      <c r="H7" s="98" t="n">
        <v>1</v>
      </c>
      <c r="I7" s="100">
        <f>IF($B7="","",$F7*$H7)</f>
        <v/>
      </c>
      <c r="J7" s="99" t="n">
        <v>0</v>
      </c>
      <c r="K7" s="100">
        <f>IF($B7="","",$I7-$J7)</f>
        <v/>
      </c>
      <c r="L7" s="99" t="n">
        <v>0</v>
      </c>
      <c r="M7" s="99" t="n">
        <v>0</v>
      </c>
      <c r="N7" s="96" t="inlineStr">
        <is>
          <t>Proje B-2026</t>
        </is>
      </c>
      <c r="O7" s="96" t="inlineStr">
        <is>
          <t>Ayşe Yılmaz</t>
        </is>
      </c>
      <c r="P7" s="96" t="inlineStr">
        <is>
          <t>Onaylı</t>
        </is>
      </c>
      <c r="Q7" s="100">
        <f>IF($B7="","",IF(COUNTIFS(tblFaturalar[Fatura Numarası],$B7,tblFaturalar[Müşteri Kodu],$C7)&gt;1,"MÜKERRER","UYGUN"))</f>
        <v/>
      </c>
    </row>
    <row r="8" ht="15.75" customHeight="1" s="55">
      <c r="A8" s="96" t="inlineStr">
        <is>
          <t>F003</t>
        </is>
      </c>
      <c r="B8" s="96" t="inlineStr">
        <is>
          <t>2026-003</t>
        </is>
      </c>
      <c r="C8" s="96" t="inlineStr">
        <is>
          <t>M002</t>
        </is>
      </c>
      <c r="D8" s="97" t="n">
        <v>46204</v>
      </c>
      <c r="E8" s="97" t="n">
        <v>46249</v>
      </c>
      <c r="F8" s="99" t="n">
        <v>420000</v>
      </c>
      <c r="G8" s="96" t="inlineStr">
        <is>
          <t>TRY</t>
        </is>
      </c>
      <c r="H8" s="98" t="n">
        <v>1</v>
      </c>
      <c r="I8" s="100">
        <f>IF($B8="","",$F8*$H8)</f>
        <v/>
      </c>
      <c r="J8" s="99" t="n">
        <v>20000</v>
      </c>
      <c r="K8" s="100">
        <f>IF($B8="","",$I8-$J8)</f>
        <v/>
      </c>
      <c r="L8" s="99" t="n">
        <v>0</v>
      </c>
      <c r="M8" s="99" t="n">
        <v>0</v>
      </c>
      <c r="N8" s="96" t="inlineStr">
        <is>
          <t>Perakende dönem</t>
        </is>
      </c>
      <c r="O8" s="96" t="inlineStr">
        <is>
          <t>Mehmet Kaya</t>
        </is>
      </c>
      <c r="P8" s="96" t="inlineStr">
        <is>
          <t>Onaylı</t>
        </is>
      </c>
      <c r="Q8" s="100">
        <f>IF($B8="","",IF(COUNTIFS(tblFaturalar[Fatura Numarası],$B8,tblFaturalar[Müşteri Kodu],$C8)&gt;1,"MÜKERRER","UYGUN"))</f>
        <v/>
      </c>
    </row>
    <row r="9" ht="15.75" customHeight="1" s="55">
      <c r="A9" s="96" t="inlineStr">
        <is>
          <t>F004</t>
        </is>
      </c>
      <c r="B9" s="96" t="inlineStr">
        <is>
          <t>2026-004</t>
        </is>
      </c>
      <c r="C9" s="96" t="inlineStr">
        <is>
          <t>M003</t>
        </is>
      </c>
      <c r="D9" s="97" t="n">
        <v>46162</v>
      </c>
      <c r="E9" s="97" t="n">
        <v>46192</v>
      </c>
      <c r="F9" s="99" t="n">
        <v>680000</v>
      </c>
      <c r="G9" s="96" t="inlineStr">
        <is>
          <t>TRY</t>
        </is>
      </c>
      <c r="H9" s="98" t="n">
        <v>1</v>
      </c>
      <c r="I9" s="100">
        <f>IF($B9="","",$F9*$H9)</f>
        <v/>
      </c>
      <c r="J9" s="99" t="n">
        <v>0</v>
      </c>
      <c r="K9" s="100">
        <f>IF($B9="","",$I9-$J9)</f>
        <v/>
      </c>
      <c r="L9" s="99" t="n">
        <v>150000</v>
      </c>
      <c r="M9" s="99" t="n">
        <v>0</v>
      </c>
      <c r="N9" s="96" t="inlineStr">
        <is>
          <t>Gıda dönem</t>
        </is>
      </c>
      <c r="O9" s="96" t="inlineStr">
        <is>
          <t>Selin Demir</t>
        </is>
      </c>
      <c r="P9" s="96" t="inlineStr">
        <is>
          <t>İtirazlı</t>
        </is>
      </c>
      <c r="Q9" s="100">
        <f>IF($B9="","",IF(COUNTIFS(tblFaturalar[Fatura Numarası],$B9,tblFaturalar[Müşteri Kodu],$C9)&gt;1,"MÜKERRER","UYGUN"))</f>
        <v/>
      </c>
    </row>
    <row r="10" ht="15.75" customHeight="1" s="55">
      <c r="A10" s="96" t="inlineStr">
        <is>
          <t>F005</t>
        </is>
      </c>
      <c r="B10" s="96" t="inlineStr">
        <is>
          <t>2026-005</t>
        </is>
      </c>
      <c r="C10" s="96" t="inlineStr">
        <is>
          <t>M004</t>
        </is>
      </c>
      <c r="D10" s="97" t="n">
        <v>46063</v>
      </c>
      <c r="E10" s="97" t="n">
        <v>46153</v>
      </c>
      <c r="F10" s="99" t="n">
        <v>1500000</v>
      </c>
      <c r="G10" s="96" t="inlineStr">
        <is>
          <t>TRY</t>
        </is>
      </c>
      <c r="H10" s="98" t="n">
        <v>1</v>
      </c>
      <c r="I10" s="100">
        <f>IF($B10="","",$F10*$H10)</f>
        <v/>
      </c>
      <c r="J10" s="99" t="n">
        <v>0</v>
      </c>
      <c r="K10" s="100">
        <f>IF($B10="","",$I10-$J10)</f>
        <v/>
      </c>
      <c r="L10" s="99" t="n">
        <v>0</v>
      </c>
      <c r="M10" s="99" t="n">
        <v>0</v>
      </c>
      <c r="N10" s="96" t="inlineStr">
        <is>
          <t>Tekstil ihracat</t>
        </is>
      </c>
      <c r="O10" s="96" t="inlineStr">
        <is>
          <t>Can Arslan</t>
        </is>
      </c>
      <c r="P10" s="96" t="inlineStr">
        <is>
          <t>Onaylı</t>
        </is>
      </c>
      <c r="Q10" s="100">
        <f>IF($B10="","",IF(COUNTIFS(tblFaturalar[Fatura Numarası],$B10,tblFaturalar[Müşteri Kodu],$C10)&gt;1,"MÜKERRER","UYGUN"))</f>
        <v/>
      </c>
    </row>
    <row r="11" ht="15.75" customHeight="1" s="55">
      <c r="A11" s="96" t="inlineStr">
        <is>
          <t>F006</t>
        </is>
      </c>
      <c r="B11" s="96" t="inlineStr">
        <is>
          <t>2026-006</t>
        </is>
      </c>
      <c r="C11" s="96" t="inlineStr">
        <is>
          <t>M003</t>
        </is>
      </c>
      <c r="D11" s="97" t="n">
        <v>46213</v>
      </c>
      <c r="E11" s="97" t="n">
        <v>46243</v>
      </c>
      <c r="F11" s="99" t="n">
        <v>260000</v>
      </c>
      <c r="G11" s="96" t="inlineStr">
        <is>
          <t>TRY</t>
        </is>
      </c>
      <c r="H11" s="98" t="n">
        <v>1</v>
      </c>
      <c r="I11" s="100">
        <f>IF($B11="","",$F11*$H11)</f>
        <v/>
      </c>
      <c r="J11" s="99" t="n">
        <v>0</v>
      </c>
      <c r="K11" s="100">
        <f>IF($B11="","",$I11-$J11)</f>
        <v/>
      </c>
      <c r="L11" s="99" t="n">
        <v>0</v>
      </c>
      <c r="M11" s="99" t="n">
        <v>0</v>
      </c>
      <c r="N11" s="96" t="inlineStr">
        <is>
          <t>Gıda dönem 2</t>
        </is>
      </c>
      <c r="O11" s="96" t="inlineStr">
        <is>
          <t>Selin Demir</t>
        </is>
      </c>
      <c r="P11" s="96" t="inlineStr">
        <is>
          <t>Onaylı</t>
        </is>
      </c>
      <c r="Q11" s="100">
        <f>IF($B11="","",IF(COUNTIFS(tblFaturalar[Fatura Numarası],$B11,tblFaturalar[Müşteri Kodu],$C11)&gt;1,"MÜKERRER","UYGUN"))</f>
        <v/>
      </c>
    </row>
    <row r="12" ht="15" customHeight="1" s="55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0">
        <f>IF($B12="","",$F12*$H12)</f>
        <v/>
      </c>
      <c r="J12" s="101" t="n"/>
      <c r="K12" s="100">
        <f>IF($B12="","",$I12-$J12)</f>
        <v/>
      </c>
      <c r="L12" s="101" t="n"/>
      <c r="M12" s="101" t="n"/>
      <c r="N12" s="101" t="n"/>
      <c r="O12" s="101" t="n"/>
      <c r="P12" s="101" t="n"/>
      <c r="Q12" s="100">
        <f>IF($B12="","",IF(COUNTIFS(tblFaturalar[Fatura Numarası],$B12,tblFaturalar[Müşteri Kodu],$C12)&gt;1,"MÜKERRER","UYGUN"))</f>
        <v/>
      </c>
    </row>
    <row r="13" ht="15" customHeight="1" s="55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0">
        <f>IF($B13="","",$F13*$H13)</f>
        <v/>
      </c>
      <c r="J13" s="101" t="n"/>
      <c r="K13" s="100">
        <f>IF($B13="","",$I13-$J13)</f>
        <v/>
      </c>
      <c r="L13" s="101" t="n"/>
      <c r="M13" s="101" t="n"/>
      <c r="N13" s="101" t="n"/>
      <c r="O13" s="101" t="n"/>
      <c r="P13" s="101" t="n"/>
      <c r="Q13" s="100">
        <f>IF($B13="","",IF(COUNTIFS(tblFaturalar[Fatura Numarası],$B13,tblFaturalar[Müşteri Kodu],$C13)&gt;1,"MÜKERRER","UYGUN"))</f>
        <v/>
      </c>
    </row>
    <row r="14" ht="15" customHeight="1" s="55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0">
        <f>IF($B14="","",$F14*$H14)</f>
        <v/>
      </c>
      <c r="J14" s="101" t="n"/>
      <c r="K14" s="100">
        <f>IF($B14="","",$I14-$J14)</f>
        <v/>
      </c>
      <c r="L14" s="101" t="n"/>
      <c r="M14" s="101" t="n"/>
      <c r="N14" s="101" t="n"/>
      <c r="O14" s="101" t="n"/>
      <c r="P14" s="101" t="n"/>
      <c r="Q14" s="100">
        <f>IF($B14="","",IF(COUNTIFS(tblFaturalar[Fatura Numarası],$B14,tblFaturalar[Müşteri Kodu],$C14)&gt;1,"MÜKERRER","UYGUN"))</f>
        <v/>
      </c>
    </row>
    <row r="15" ht="15" customHeight="1" s="55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0">
        <f>IF($B15="","",$F15*$H15)</f>
        <v/>
      </c>
      <c r="J15" s="101" t="n"/>
      <c r="K15" s="100">
        <f>IF($B15="","",$I15-$J15)</f>
        <v/>
      </c>
      <c r="L15" s="101" t="n"/>
      <c r="M15" s="101" t="n"/>
      <c r="N15" s="101" t="n"/>
      <c r="O15" s="101" t="n"/>
      <c r="P15" s="101" t="n"/>
      <c r="Q15" s="100">
        <f>IF($B15="","",IF(COUNTIFS(tblFaturalar[Fatura Numarası],$B15,tblFaturalar[Müşteri Kodu],$C15)&gt;1,"MÜKERRER","UYGUN"))</f>
        <v/>
      </c>
    </row>
    <row r="16" ht="15" customHeight="1" s="55">
      <c r="A16" s="101" t="n"/>
      <c r="B16" s="101" t="n"/>
      <c r="C16" s="101" t="n"/>
      <c r="D16" s="101" t="n"/>
      <c r="E16" s="101" t="n"/>
      <c r="F16" s="101" t="n"/>
      <c r="G16" s="101" t="n"/>
      <c r="H16" s="101" t="n"/>
      <c r="I16" s="100">
        <f>IF($B16="","",$F16*$H16)</f>
        <v/>
      </c>
      <c r="J16" s="101" t="n"/>
      <c r="K16" s="100">
        <f>IF($B16="","",$I16-$J16)</f>
        <v/>
      </c>
      <c r="L16" s="101" t="n"/>
      <c r="M16" s="101" t="n"/>
      <c r="N16" s="101" t="n"/>
      <c r="O16" s="101" t="n"/>
      <c r="P16" s="101" t="n"/>
      <c r="Q16" s="100">
        <f>IF($B16="","",IF(COUNTIFS(tblFaturalar[Fatura Numarası],$B16,tblFaturalar[Müşteri Kodu],$C16)&gt;1,"MÜKERRER","UYGUN"))</f>
        <v/>
      </c>
    </row>
    <row r="17" ht="15" customHeight="1" s="55">
      <c r="A17" s="101" t="n"/>
      <c r="B17" s="101" t="n"/>
      <c r="C17" s="101" t="n"/>
      <c r="D17" s="101" t="n"/>
      <c r="E17" s="101" t="n"/>
      <c r="F17" s="101" t="n"/>
      <c r="G17" s="101" t="n"/>
      <c r="H17" s="101" t="n"/>
      <c r="I17" s="100">
        <f>IF($B17="","",$F17*$H17)</f>
        <v/>
      </c>
      <c r="J17" s="101" t="n"/>
      <c r="K17" s="100">
        <f>IF($B17="","",$I17-$J17)</f>
        <v/>
      </c>
      <c r="L17" s="101" t="n"/>
      <c r="M17" s="101" t="n"/>
      <c r="N17" s="101" t="n"/>
      <c r="O17" s="101" t="n"/>
      <c r="P17" s="101" t="n"/>
      <c r="Q17" s="100">
        <f>IF($B17="","",IF(COUNTIFS(tblFaturalar[Fatura Numarası],$B17,tblFaturalar[Müşteri Kodu],$C17)&gt;1,"MÜKERRER","UYGUN"))</f>
        <v/>
      </c>
    </row>
    <row r="18" ht="15" customHeight="1" s="55">
      <c r="A18" s="101" t="n"/>
      <c r="B18" s="101" t="n"/>
      <c r="C18" s="101" t="n"/>
      <c r="D18" s="101" t="n"/>
      <c r="E18" s="101" t="n"/>
      <c r="F18" s="101" t="n"/>
      <c r="G18" s="101" t="n"/>
      <c r="H18" s="101" t="n"/>
      <c r="I18" s="100">
        <f>IF($B18="","",$F18*$H18)</f>
        <v/>
      </c>
      <c r="J18" s="101" t="n"/>
      <c r="K18" s="100">
        <f>IF($B18="","",$I18-$J18)</f>
        <v/>
      </c>
      <c r="L18" s="101" t="n"/>
      <c r="M18" s="101" t="n"/>
      <c r="N18" s="101" t="n"/>
      <c r="O18" s="101" t="n"/>
      <c r="P18" s="101" t="n"/>
      <c r="Q18" s="100">
        <f>IF($B18="","",IF(COUNTIFS(tblFaturalar[Fatura Numarası],$B18,tblFaturalar[Müşteri Kodu],$C18)&gt;1,"MÜKERRER","UYGUN"))</f>
        <v/>
      </c>
    </row>
    <row r="19" ht="15" customHeight="1" s="55">
      <c r="A19" s="101" t="n"/>
      <c r="B19" s="101" t="n"/>
      <c r="C19" s="101" t="n"/>
      <c r="D19" s="101" t="n"/>
      <c r="E19" s="101" t="n"/>
      <c r="F19" s="101" t="n"/>
      <c r="G19" s="101" t="n"/>
      <c r="H19" s="101" t="n"/>
      <c r="I19" s="100">
        <f>IF($B19="","",$F19*$H19)</f>
        <v/>
      </c>
      <c r="J19" s="101" t="n"/>
      <c r="K19" s="100">
        <f>IF($B19="","",$I19-$J19)</f>
        <v/>
      </c>
      <c r="L19" s="101" t="n"/>
      <c r="M19" s="101" t="n"/>
      <c r="N19" s="101" t="n"/>
      <c r="O19" s="101" t="n"/>
      <c r="P19" s="101" t="n"/>
      <c r="Q19" s="100">
        <f>IF($B19="","",IF(COUNTIFS(tblFaturalar[Fatura Numarası],$B19,tblFaturalar[Müşteri Kodu],$C19)&gt;1,"MÜKERRER","UYGUN"))</f>
        <v/>
      </c>
    </row>
    <row r="20" ht="15" customHeight="1" s="55">
      <c r="A20" s="101" t="n"/>
      <c r="B20" s="101" t="n"/>
      <c r="C20" s="101" t="n"/>
      <c r="D20" s="101" t="n"/>
      <c r="E20" s="101" t="n"/>
      <c r="F20" s="101" t="n"/>
      <c r="G20" s="101" t="n"/>
      <c r="H20" s="101" t="n"/>
      <c r="I20" s="100">
        <f>IF($B20="","",$F20*$H20)</f>
        <v/>
      </c>
      <c r="J20" s="101" t="n"/>
      <c r="K20" s="100">
        <f>IF($B20="","",$I20-$J20)</f>
        <v/>
      </c>
      <c r="L20" s="101" t="n"/>
      <c r="M20" s="101" t="n"/>
      <c r="N20" s="101" t="n"/>
      <c r="O20" s="101" t="n"/>
      <c r="P20" s="101" t="n"/>
      <c r="Q20" s="100">
        <f>IF($B20="","",IF(COUNTIFS(tblFaturalar[Fatura Numarası],$B20,tblFaturalar[Müşteri Kodu],$C20)&gt;1,"MÜKERRER","UYGUN"))</f>
        <v/>
      </c>
    </row>
    <row r="21" ht="15" customHeight="1" s="55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0">
        <f>IF($B21="","",$F21*$H21)</f>
        <v/>
      </c>
      <c r="J21" s="101" t="n"/>
      <c r="K21" s="100">
        <f>IF($B21="","",$I21-$J21)</f>
        <v/>
      </c>
      <c r="L21" s="101" t="n"/>
      <c r="M21" s="101" t="n"/>
      <c r="N21" s="101" t="n"/>
      <c r="O21" s="101" t="n"/>
      <c r="P21" s="101" t="n"/>
      <c r="Q21" s="100">
        <f>IF($B21="","",IF(COUNTIFS(tblFaturalar[Fatura Numarası],$B21,tblFaturalar[Müşteri Kodu],$C21)&gt;1,"MÜKERRER","UYGUN"))</f>
        <v/>
      </c>
    </row>
    <row r="22" ht="15" customHeight="1" s="55">
      <c r="A22" s="101" t="n"/>
      <c r="B22" s="101" t="n"/>
      <c r="C22" s="101" t="n"/>
      <c r="D22" s="101" t="n"/>
      <c r="E22" s="101" t="n"/>
      <c r="F22" s="101" t="n"/>
      <c r="G22" s="101" t="n"/>
      <c r="H22" s="101" t="n"/>
      <c r="I22" s="100">
        <f>IF($B22="","",$F22*$H22)</f>
        <v/>
      </c>
      <c r="J22" s="101" t="n"/>
      <c r="K22" s="100">
        <f>IF($B22="","",$I22-$J22)</f>
        <v/>
      </c>
      <c r="L22" s="101" t="n"/>
      <c r="M22" s="101" t="n"/>
      <c r="N22" s="101" t="n"/>
      <c r="O22" s="101" t="n"/>
      <c r="P22" s="101" t="n"/>
      <c r="Q22" s="100">
        <f>IF($B22="","",IF(COUNTIFS(tblFaturalar[Fatura Numarası],$B22,tblFaturalar[Müşteri Kodu],$C22)&gt;1,"MÜKERRER","UYGUN"))</f>
        <v/>
      </c>
    </row>
    <row r="23" ht="15" customHeight="1" s="55">
      <c r="A23" s="101" t="n"/>
      <c r="B23" s="101" t="n"/>
      <c r="C23" s="101" t="n"/>
      <c r="D23" s="101" t="n"/>
      <c r="E23" s="101" t="n"/>
      <c r="F23" s="101" t="n"/>
      <c r="G23" s="101" t="n"/>
      <c r="H23" s="101" t="n"/>
      <c r="I23" s="100">
        <f>IF($B23="","",$F23*$H23)</f>
        <v/>
      </c>
      <c r="J23" s="101" t="n"/>
      <c r="K23" s="100">
        <f>IF($B23="","",$I23-$J23)</f>
        <v/>
      </c>
      <c r="L23" s="101" t="n"/>
      <c r="M23" s="101" t="n"/>
      <c r="N23" s="101" t="n"/>
      <c r="O23" s="101" t="n"/>
      <c r="P23" s="101" t="n"/>
      <c r="Q23" s="100">
        <f>IF($B23="","",IF(COUNTIFS(tblFaturalar[Fatura Numarası],$B23,tblFaturalar[Müşteri Kodu],$C23)&gt;1,"MÜKERRER","UYGUN"))</f>
        <v/>
      </c>
    </row>
    <row r="24" ht="15" customHeight="1" s="55">
      <c r="A24" s="101" t="n"/>
      <c r="B24" s="101" t="n"/>
      <c r="C24" s="101" t="n"/>
      <c r="D24" s="101" t="n"/>
      <c r="E24" s="101" t="n"/>
      <c r="F24" s="101" t="n"/>
      <c r="G24" s="101" t="n"/>
      <c r="H24" s="101" t="n"/>
      <c r="I24" s="100">
        <f>IF($B24="","",$F24*$H24)</f>
        <v/>
      </c>
      <c r="J24" s="101" t="n"/>
      <c r="K24" s="100">
        <f>IF($B24="","",$I24-$J24)</f>
        <v/>
      </c>
      <c r="L24" s="101" t="n"/>
      <c r="M24" s="101" t="n"/>
      <c r="N24" s="101" t="n"/>
      <c r="O24" s="101" t="n"/>
      <c r="P24" s="101" t="n"/>
      <c r="Q24" s="100">
        <f>IF($B24="","",IF(COUNTIFS(tblFaturalar[Fatura Numarası],$B24,tblFaturalar[Müşteri Kodu],$C24)&gt;1,"MÜKERRER","UYGUN"))</f>
        <v/>
      </c>
    </row>
    <row r="25" ht="15" customHeight="1" s="55">
      <c r="A25" s="101" t="n"/>
      <c r="B25" s="101" t="n"/>
      <c r="C25" s="101" t="n"/>
      <c r="D25" s="101" t="n"/>
      <c r="E25" s="101" t="n"/>
      <c r="F25" s="101" t="n"/>
      <c r="G25" s="101" t="n"/>
      <c r="H25" s="101" t="n"/>
      <c r="I25" s="100">
        <f>IF($B25="","",$F25*$H25)</f>
        <v/>
      </c>
      <c r="J25" s="101" t="n"/>
      <c r="K25" s="100">
        <f>IF($B25="","",$I25-$J25)</f>
        <v/>
      </c>
      <c r="L25" s="101" t="n"/>
      <c r="M25" s="101" t="n"/>
      <c r="N25" s="101" t="n"/>
      <c r="O25" s="101" t="n"/>
      <c r="P25" s="101" t="n"/>
      <c r="Q25" s="100">
        <f>IF($B25="","",IF(COUNTIFS(tblFaturalar[Fatura Numarası],$B25,tblFaturalar[Müşteri Kodu],$C25)&gt;1,"MÜKERRER","UYGUN"))</f>
        <v/>
      </c>
    </row>
    <row r="26" ht="15" customHeight="1" s="55">
      <c r="A26" s="101" t="n"/>
      <c r="B26" s="101" t="n"/>
      <c r="C26" s="101" t="n"/>
      <c r="D26" s="101" t="n"/>
      <c r="E26" s="101" t="n"/>
      <c r="F26" s="101" t="n"/>
      <c r="G26" s="101" t="n"/>
      <c r="H26" s="101" t="n"/>
      <c r="I26" s="100">
        <f>IF($B26="","",$F26*$H26)</f>
        <v/>
      </c>
      <c r="J26" s="101" t="n"/>
      <c r="K26" s="100">
        <f>IF($B26="","",$I26-$J26)</f>
        <v/>
      </c>
      <c r="L26" s="101" t="n"/>
      <c r="M26" s="101" t="n"/>
      <c r="N26" s="101" t="n"/>
      <c r="O26" s="101" t="n"/>
      <c r="P26" s="101" t="n"/>
      <c r="Q26" s="100">
        <f>IF($B26="","",IF(COUNTIFS(tblFaturalar[Fatura Numarası],$B26,tblFaturalar[Müşteri Kodu],$C26)&gt;1,"MÜKERRER","UYGUN"))</f>
        <v/>
      </c>
    </row>
    <row r="27" ht="15" customHeight="1" s="55">
      <c r="A27" s="101" t="n"/>
      <c r="B27" s="101" t="n"/>
      <c r="C27" s="101" t="n"/>
      <c r="D27" s="101" t="n"/>
      <c r="E27" s="101" t="n"/>
      <c r="F27" s="101" t="n"/>
      <c r="G27" s="101" t="n"/>
      <c r="H27" s="101" t="n"/>
      <c r="I27" s="100">
        <f>IF($B27="","",$F27*$H27)</f>
        <v/>
      </c>
      <c r="J27" s="101" t="n"/>
      <c r="K27" s="100">
        <f>IF($B27="","",$I27-$J27)</f>
        <v/>
      </c>
      <c r="L27" s="101" t="n"/>
      <c r="M27" s="101" t="n"/>
      <c r="N27" s="101" t="n"/>
      <c r="O27" s="101" t="n"/>
      <c r="P27" s="101" t="n"/>
      <c r="Q27" s="100">
        <f>IF($B27="","",IF(COUNTIFS(tblFaturalar[Fatura Numarası],$B27,tblFaturalar[Müşteri Kodu],$C27)&gt;1,"MÜKERRER","UYGUN"))</f>
        <v/>
      </c>
    </row>
    <row r="28" ht="15" customHeight="1" s="55">
      <c r="A28" s="101" t="n"/>
      <c r="B28" s="101" t="n"/>
      <c r="C28" s="101" t="n"/>
      <c r="D28" s="101" t="n"/>
      <c r="E28" s="101" t="n"/>
      <c r="F28" s="101" t="n"/>
      <c r="G28" s="101" t="n"/>
      <c r="H28" s="101" t="n"/>
      <c r="I28" s="100">
        <f>IF($B28="","",$F28*$H28)</f>
        <v/>
      </c>
      <c r="J28" s="101" t="n"/>
      <c r="K28" s="100">
        <f>IF($B28="","",$I28-$J28)</f>
        <v/>
      </c>
      <c r="L28" s="101" t="n"/>
      <c r="M28" s="101" t="n"/>
      <c r="N28" s="101" t="n"/>
      <c r="O28" s="101" t="n"/>
      <c r="P28" s="101" t="n"/>
      <c r="Q28" s="100">
        <f>IF($B28="","",IF(COUNTIFS(tblFaturalar[Fatura Numarası],$B28,tblFaturalar[Müşteri Kodu],$C28)&gt;1,"MÜKERRER","UYGUN"))</f>
        <v/>
      </c>
    </row>
    <row r="29" ht="15" customHeight="1" s="55">
      <c r="A29" s="101" t="n"/>
      <c r="B29" s="101" t="n"/>
      <c r="C29" s="101" t="n"/>
      <c r="D29" s="101" t="n"/>
      <c r="E29" s="101" t="n"/>
      <c r="F29" s="101" t="n"/>
      <c r="G29" s="101" t="n"/>
      <c r="H29" s="101" t="n"/>
      <c r="I29" s="100">
        <f>IF($B29="","",$F29*$H29)</f>
        <v/>
      </c>
      <c r="J29" s="101" t="n"/>
      <c r="K29" s="100">
        <f>IF($B29="","",$I29-$J29)</f>
        <v/>
      </c>
      <c r="L29" s="101" t="n"/>
      <c r="M29" s="101" t="n"/>
      <c r="N29" s="101" t="n"/>
      <c r="O29" s="101" t="n"/>
      <c r="P29" s="101" t="n"/>
      <c r="Q29" s="100">
        <f>IF($B29="","",IF(COUNTIFS(tblFaturalar[Fatura Numarası],$B29,tblFaturalar[Müşteri Kodu],$C29)&gt;1,"MÜKERRER","UYGUN"))</f>
        <v/>
      </c>
    </row>
    <row r="30" ht="15" customHeight="1" s="55">
      <c r="A30" s="101" t="n"/>
      <c r="B30" s="101" t="n"/>
      <c r="C30" s="101" t="n"/>
      <c r="D30" s="101" t="n"/>
      <c r="E30" s="101" t="n"/>
      <c r="F30" s="101" t="n"/>
      <c r="G30" s="101" t="n"/>
      <c r="H30" s="101" t="n"/>
      <c r="I30" s="100">
        <f>IF($B30="","",$F30*$H30)</f>
        <v/>
      </c>
      <c r="J30" s="101" t="n"/>
      <c r="K30" s="100">
        <f>IF($B30="","",$I30-$J30)</f>
        <v/>
      </c>
      <c r="L30" s="101" t="n"/>
      <c r="M30" s="101" t="n"/>
      <c r="N30" s="101" t="n"/>
      <c r="O30" s="101" t="n"/>
      <c r="P30" s="101" t="n"/>
      <c r="Q30" s="100">
        <f>IF($B30="","",IF(COUNTIFS(tblFaturalar[Fatura Numarası],$B30,tblFaturalar[Müşteri Kodu],$C30)&gt;1,"MÜKERRER","UYGUN"))</f>
        <v/>
      </c>
    </row>
    <row r="31" ht="15" customHeight="1" s="55">
      <c r="A31" s="101" t="n"/>
      <c r="B31" s="101" t="n"/>
      <c r="C31" s="101" t="n"/>
      <c r="D31" s="101" t="n"/>
      <c r="E31" s="101" t="n"/>
      <c r="F31" s="101" t="n"/>
      <c r="G31" s="101" t="n"/>
      <c r="H31" s="101" t="n"/>
      <c r="I31" s="100">
        <f>IF($B31="","",$F31*$H31)</f>
        <v/>
      </c>
      <c r="J31" s="101" t="n"/>
      <c r="K31" s="100">
        <f>IF($B31="","",$I31-$J31)</f>
        <v/>
      </c>
      <c r="L31" s="101" t="n"/>
      <c r="M31" s="101" t="n"/>
      <c r="N31" s="101" t="n"/>
      <c r="O31" s="101" t="n"/>
      <c r="P31" s="101" t="n"/>
      <c r="Q31" s="100">
        <f>IF($B31="","",IF(COUNTIFS(tblFaturalar[Fatura Numarası],$B31,tblFaturalar[Müşteri Kodu],$C31)&gt;1,"MÜKERRER","UYGUN"))</f>
        <v/>
      </c>
    </row>
    <row r="32" ht="15" customHeight="1" s="55">
      <c r="A32" s="101" t="n"/>
      <c r="B32" s="101" t="n"/>
      <c r="C32" s="101" t="n"/>
      <c r="D32" s="101" t="n"/>
      <c r="E32" s="101" t="n"/>
      <c r="F32" s="101" t="n"/>
      <c r="G32" s="101" t="n"/>
      <c r="H32" s="101" t="n"/>
      <c r="I32" s="100">
        <f>IF($B32="","",$F32*$H32)</f>
        <v/>
      </c>
      <c r="J32" s="101" t="n"/>
      <c r="K32" s="100">
        <f>IF($B32="","",$I32-$J32)</f>
        <v/>
      </c>
      <c r="L32" s="101" t="n"/>
      <c r="M32" s="101" t="n"/>
      <c r="N32" s="101" t="n"/>
      <c r="O32" s="101" t="n"/>
      <c r="P32" s="101" t="n"/>
      <c r="Q32" s="100">
        <f>IF($B32="","",IF(COUNTIFS(tblFaturalar[Fatura Numarası],$B32,tblFaturalar[Müşteri Kodu],$C32)&gt;1,"MÜKERRER","UYGUN"))</f>
        <v/>
      </c>
    </row>
    <row r="33" ht="15" customHeight="1" s="55">
      <c r="A33" s="101" t="n"/>
      <c r="B33" s="101" t="n"/>
      <c r="C33" s="101" t="n"/>
      <c r="D33" s="101" t="n"/>
      <c r="E33" s="101" t="n"/>
      <c r="F33" s="101" t="n"/>
      <c r="G33" s="101" t="n"/>
      <c r="H33" s="101" t="n"/>
      <c r="I33" s="100">
        <f>IF($B33="","",$F33*$H33)</f>
        <v/>
      </c>
      <c r="J33" s="101" t="n"/>
      <c r="K33" s="100">
        <f>IF($B33="","",$I33-$J33)</f>
        <v/>
      </c>
      <c r="L33" s="101" t="n"/>
      <c r="M33" s="101" t="n"/>
      <c r="N33" s="101" t="n"/>
      <c r="O33" s="101" t="n"/>
      <c r="P33" s="101" t="n"/>
      <c r="Q33" s="100">
        <f>IF($B33="","",IF(COUNTIFS(tblFaturalar[Fatura Numarası],$B33,tblFaturalar[Müşteri Kodu],$C33)&gt;1,"MÜKERRER","UYGUN"))</f>
        <v/>
      </c>
    </row>
    <row r="34" ht="15" customHeight="1" s="55">
      <c r="A34" s="101" t="n"/>
      <c r="B34" s="101" t="n"/>
      <c r="C34" s="101" t="n"/>
      <c r="D34" s="101" t="n"/>
      <c r="E34" s="101" t="n"/>
      <c r="F34" s="101" t="n"/>
      <c r="G34" s="101" t="n"/>
      <c r="H34" s="101" t="n"/>
      <c r="I34" s="100">
        <f>IF($B34="","",$F34*$H34)</f>
        <v/>
      </c>
      <c r="J34" s="101" t="n"/>
      <c r="K34" s="100">
        <f>IF($B34="","",$I34-$J34)</f>
        <v/>
      </c>
      <c r="L34" s="101" t="n"/>
      <c r="M34" s="101" t="n"/>
      <c r="N34" s="101" t="n"/>
      <c r="O34" s="101" t="n"/>
      <c r="P34" s="101" t="n"/>
      <c r="Q34" s="100">
        <f>IF($B34="","",IF(COUNTIFS(tblFaturalar[Fatura Numarası],$B34,tblFaturalar[Müşteri Kodu],$C34)&gt;1,"MÜKERRER","UYGUN"))</f>
        <v/>
      </c>
    </row>
    <row r="35" ht="15" customHeight="1" s="55">
      <c r="A35" s="101" t="n"/>
      <c r="B35" s="101" t="n"/>
      <c r="C35" s="101" t="n"/>
      <c r="D35" s="101" t="n"/>
      <c r="E35" s="101" t="n"/>
      <c r="F35" s="101" t="n"/>
      <c r="G35" s="101" t="n"/>
      <c r="H35" s="101" t="n"/>
      <c r="I35" s="100">
        <f>IF($B35="","",$F35*$H35)</f>
        <v/>
      </c>
      <c r="J35" s="101" t="n"/>
      <c r="K35" s="100">
        <f>IF($B35="","",$I35-$J35)</f>
        <v/>
      </c>
      <c r="L35" s="101" t="n"/>
      <c r="M35" s="101" t="n"/>
      <c r="N35" s="101" t="n"/>
      <c r="O35" s="101" t="n"/>
      <c r="P35" s="101" t="n"/>
      <c r="Q35" s="100">
        <f>IF($B35="","",IF(COUNTIFS(tblFaturalar[Fatura Numarası],$B35,tblFaturalar[Müşteri Kodu],$C35)&gt;1,"MÜKERRER","UYGUN"))</f>
        <v/>
      </c>
    </row>
    <row r="36" ht="15" customHeight="1" s="55">
      <c r="A36" s="101" t="n"/>
      <c r="B36" s="101" t="n"/>
      <c r="C36" s="101" t="n"/>
      <c r="D36" s="101" t="n"/>
      <c r="E36" s="101" t="n"/>
      <c r="F36" s="101" t="n"/>
      <c r="G36" s="101" t="n"/>
      <c r="H36" s="101" t="n"/>
      <c r="I36" s="100">
        <f>IF($B36="","",$F36*$H36)</f>
        <v/>
      </c>
      <c r="J36" s="101" t="n"/>
      <c r="K36" s="100">
        <f>IF($B36="","",$I36-$J36)</f>
        <v/>
      </c>
      <c r="L36" s="101" t="n"/>
      <c r="M36" s="101" t="n"/>
      <c r="N36" s="101" t="n"/>
      <c r="O36" s="101" t="n"/>
      <c r="P36" s="101" t="n"/>
      <c r="Q36" s="100">
        <f>IF($B36="","",IF(COUNTIFS(tblFaturalar[Fatura Numarası],$B36,tblFaturalar[Müşteri Kodu],$C36)&gt;1,"MÜKERRER","UYGUN"))</f>
        <v/>
      </c>
    </row>
    <row r="37" ht="15" customHeight="1" s="55">
      <c r="A37" s="101" t="n"/>
      <c r="B37" s="101" t="n"/>
      <c r="C37" s="101" t="n"/>
      <c r="D37" s="101" t="n"/>
      <c r="E37" s="101" t="n"/>
      <c r="F37" s="101" t="n"/>
      <c r="G37" s="101" t="n"/>
      <c r="H37" s="101" t="n"/>
      <c r="I37" s="100">
        <f>IF($B37="","",$F37*$H37)</f>
        <v/>
      </c>
      <c r="J37" s="101" t="n"/>
      <c r="K37" s="100">
        <f>IF($B37="","",$I37-$J37)</f>
        <v/>
      </c>
      <c r="L37" s="101" t="n"/>
      <c r="M37" s="101" t="n"/>
      <c r="N37" s="101" t="n"/>
      <c r="O37" s="101" t="n"/>
      <c r="P37" s="101" t="n"/>
      <c r="Q37" s="100">
        <f>IF($B37="","",IF(COUNTIFS(tblFaturalar[Fatura Numarası],$B37,tblFaturalar[Müşteri Kodu],$C37)&gt;1,"MÜKERRER","UYGUN"))</f>
        <v/>
      </c>
    </row>
    <row r="38" ht="15" customHeight="1" s="55">
      <c r="A38" s="101" t="n"/>
      <c r="B38" s="101" t="n"/>
      <c r="C38" s="101" t="n"/>
      <c r="D38" s="101" t="n"/>
      <c r="E38" s="101" t="n"/>
      <c r="F38" s="101" t="n"/>
      <c r="G38" s="101" t="n"/>
      <c r="H38" s="101" t="n"/>
      <c r="I38" s="100">
        <f>IF($B38="","",$F38*$H38)</f>
        <v/>
      </c>
      <c r="J38" s="101" t="n"/>
      <c r="K38" s="100">
        <f>IF($B38="","",$I38-$J38)</f>
        <v/>
      </c>
      <c r="L38" s="101" t="n"/>
      <c r="M38" s="101" t="n"/>
      <c r="N38" s="101" t="n"/>
      <c r="O38" s="101" t="n"/>
      <c r="P38" s="101" t="n"/>
      <c r="Q38" s="100">
        <f>IF($B38="","",IF(COUNTIFS(tblFaturalar[Fatura Numarası],$B38,tblFaturalar[Müşteri Kodu],$C38)&gt;1,"MÜKERRER","UYGUN"))</f>
        <v/>
      </c>
    </row>
    <row r="39" ht="15" customHeight="1" s="55">
      <c r="A39" s="101" t="n"/>
      <c r="B39" s="101" t="n"/>
      <c r="C39" s="101" t="n"/>
      <c r="D39" s="101" t="n"/>
      <c r="E39" s="101" t="n"/>
      <c r="F39" s="101" t="n"/>
      <c r="G39" s="101" t="n"/>
      <c r="H39" s="101" t="n"/>
      <c r="I39" s="100">
        <f>IF($B39="","",$F39*$H39)</f>
        <v/>
      </c>
      <c r="J39" s="101" t="n"/>
      <c r="K39" s="100">
        <f>IF($B39="","",$I39-$J39)</f>
        <v/>
      </c>
      <c r="L39" s="101" t="n"/>
      <c r="M39" s="101" t="n"/>
      <c r="N39" s="101" t="n"/>
      <c r="O39" s="101" t="n"/>
      <c r="P39" s="101" t="n"/>
      <c r="Q39" s="100">
        <f>IF($B39="","",IF(COUNTIFS(tblFaturalar[Fatura Numarası],$B39,tblFaturalar[Müşteri Kodu],$C39)&gt;1,"MÜKERRER","UYGUN"))</f>
        <v/>
      </c>
    </row>
    <row r="40" ht="15" customHeight="1" s="55">
      <c r="A40" s="101" t="n"/>
      <c r="B40" s="101" t="n"/>
      <c r="C40" s="101" t="n"/>
      <c r="D40" s="101" t="n"/>
      <c r="E40" s="101" t="n"/>
      <c r="F40" s="101" t="n"/>
      <c r="G40" s="101" t="n"/>
      <c r="H40" s="101" t="n"/>
      <c r="I40" s="100">
        <f>IF($B40="","",$F40*$H40)</f>
        <v/>
      </c>
      <c r="J40" s="101" t="n"/>
      <c r="K40" s="100">
        <f>IF($B40="","",$I40-$J40)</f>
        <v/>
      </c>
      <c r="L40" s="101" t="n"/>
      <c r="M40" s="101" t="n"/>
      <c r="N40" s="101" t="n"/>
      <c r="O40" s="101" t="n"/>
      <c r="P40" s="101" t="n"/>
      <c r="Q40" s="100">
        <f>IF($B40="","",IF(COUNTIFS(tblFaturalar[Fatura Numarası],$B40,tblFaturalar[Müşteri Kodu],$C40)&gt;1,"MÜKERRER","UYGUN"))</f>
        <v/>
      </c>
    </row>
    <row r="41" ht="15" customHeight="1" s="55">
      <c r="A41" s="101" t="n"/>
      <c r="B41" s="101" t="n"/>
      <c r="C41" s="101" t="n"/>
      <c r="D41" s="101" t="n"/>
      <c r="E41" s="101" t="n"/>
      <c r="F41" s="101" t="n"/>
      <c r="G41" s="101" t="n"/>
      <c r="H41" s="101" t="n"/>
      <c r="I41" s="100">
        <f>IF($B41="","",$F41*$H41)</f>
        <v/>
      </c>
      <c r="J41" s="101" t="n"/>
      <c r="K41" s="100">
        <f>IF($B41="","",$I41-$J41)</f>
        <v/>
      </c>
      <c r="L41" s="101" t="n"/>
      <c r="M41" s="101" t="n"/>
      <c r="N41" s="101" t="n"/>
      <c r="O41" s="101" t="n"/>
      <c r="P41" s="101" t="n"/>
      <c r="Q41" s="100">
        <f>IF($B41="","",IF(COUNTIFS(tblFaturalar[Fatura Numarası],$B41,tblFaturalar[Müşteri Kodu],$C41)&gt;1,"MÜKERRER","UYGUN"))</f>
        <v/>
      </c>
    </row>
    <row r="42" ht="15" customHeight="1" s="55">
      <c r="A42" s="101" t="n"/>
      <c r="B42" s="101" t="n"/>
      <c r="C42" s="101" t="n"/>
      <c r="D42" s="101" t="n"/>
      <c r="E42" s="101" t="n"/>
      <c r="F42" s="101" t="n"/>
      <c r="G42" s="101" t="n"/>
      <c r="H42" s="101" t="n"/>
      <c r="I42" s="100">
        <f>IF($B42="","",$F42*$H42)</f>
        <v/>
      </c>
      <c r="J42" s="101" t="n"/>
      <c r="K42" s="100">
        <f>IF($B42="","",$I42-$J42)</f>
        <v/>
      </c>
      <c r="L42" s="101" t="n"/>
      <c r="M42" s="101" t="n"/>
      <c r="N42" s="101" t="n"/>
      <c r="O42" s="101" t="n"/>
      <c r="P42" s="101" t="n"/>
      <c r="Q42" s="100">
        <f>IF($B42="","",IF(COUNTIFS(tblFaturalar[Fatura Numarası],$B42,tblFaturalar[Müşteri Kodu],$C42)&gt;1,"MÜKERRER","UYGUN"))</f>
        <v/>
      </c>
    </row>
    <row r="43" ht="15" customHeight="1" s="55">
      <c r="A43" s="101" t="n"/>
      <c r="B43" s="101" t="n"/>
      <c r="C43" s="101" t="n"/>
      <c r="D43" s="101" t="n"/>
      <c r="E43" s="101" t="n"/>
      <c r="F43" s="101" t="n"/>
      <c r="G43" s="101" t="n"/>
      <c r="H43" s="101" t="n"/>
      <c r="I43" s="100">
        <f>IF($B43="","",$F43*$H43)</f>
        <v/>
      </c>
      <c r="J43" s="101" t="n"/>
      <c r="K43" s="100">
        <f>IF($B43="","",$I43-$J43)</f>
        <v/>
      </c>
      <c r="L43" s="101" t="n"/>
      <c r="M43" s="101" t="n"/>
      <c r="N43" s="101" t="n"/>
      <c r="O43" s="101" t="n"/>
      <c r="P43" s="101" t="n"/>
      <c r="Q43" s="100">
        <f>IF($B43="","",IF(COUNTIFS(tblFaturalar[Fatura Numarası],$B43,tblFaturalar[Müşteri Kodu],$C43)&gt;1,"MÜKERRER","UYGUN"))</f>
        <v/>
      </c>
    </row>
    <row r="44" ht="15" customHeight="1" s="55">
      <c r="A44" s="101" t="n"/>
      <c r="B44" s="101" t="n"/>
      <c r="C44" s="101" t="n"/>
      <c r="D44" s="101" t="n"/>
      <c r="E44" s="101" t="n"/>
      <c r="F44" s="101" t="n"/>
      <c r="G44" s="101" t="n"/>
      <c r="H44" s="101" t="n"/>
      <c r="I44" s="100">
        <f>IF($B44="","",$F44*$H44)</f>
        <v/>
      </c>
      <c r="J44" s="101" t="n"/>
      <c r="K44" s="100">
        <f>IF($B44="","",$I44-$J44)</f>
        <v/>
      </c>
      <c r="L44" s="101" t="n"/>
      <c r="M44" s="101" t="n"/>
      <c r="N44" s="101" t="n"/>
      <c r="O44" s="101" t="n"/>
      <c r="P44" s="101" t="n"/>
      <c r="Q44" s="100">
        <f>IF($B44="","",IF(COUNTIFS(tblFaturalar[Fatura Numarası],$B44,tblFaturalar[Müşteri Kodu],$C44)&gt;1,"MÜKERRER","UYGUN"))</f>
        <v/>
      </c>
    </row>
    <row r="45" ht="15" customHeight="1" s="55">
      <c r="A45" s="101" t="n"/>
      <c r="B45" s="101" t="n"/>
      <c r="C45" s="101" t="n"/>
      <c r="D45" s="101" t="n"/>
      <c r="E45" s="101" t="n"/>
      <c r="F45" s="101" t="n"/>
      <c r="G45" s="101" t="n"/>
      <c r="H45" s="101" t="n"/>
      <c r="I45" s="100">
        <f>IF($B45="","",$F45*$H45)</f>
        <v/>
      </c>
      <c r="J45" s="101" t="n"/>
      <c r="K45" s="100">
        <f>IF($B45="","",$I45-$J45)</f>
        <v/>
      </c>
      <c r="L45" s="101" t="n"/>
      <c r="M45" s="101" t="n"/>
      <c r="N45" s="101" t="n"/>
      <c r="O45" s="101" t="n"/>
      <c r="P45" s="101" t="n"/>
      <c r="Q45" s="100">
        <f>IF($B45="","",IF(COUNTIFS(tblFaturalar[Fatura Numarası],$B45,tblFaturalar[Müşteri Kodu],$C45)&gt;1,"MÜKERRER","UYGUN"))</f>
        <v/>
      </c>
    </row>
    <row r="46" ht="15" customHeight="1" s="55">
      <c r="A46" s="101" t="n"/>
      <c r="B46" s="101" t="n"/>
      <c r="C46" s="101" t="n"/>
      <c r="D46" s="101" t="n"/>
      <c r="E46" s="101" t="n"/>
      <c r="F46" s="101" t="n"/>
      <c r="G46" s="101" t="n"/>
      <c r="H46" s="101" t="n"/>
      <c r="J46" s="101" t="n"/>
      <c r="L46" s="101" t="n"/>
      <c r="M46" s="101" t="n"/>
      <c r="N46" s="101" t="n"/>
      <c r="O46" s="101" t="n"/>
      <c r="P46" s="101" t="n"/>
    </row>
    <row r="47" ht="15" customHeight="1" s="55">
      <c r="A47" s="101" t="n"/>
      <c r="B47" s="101" t="n"/>
      <c r="C47" s="101" t="n"/>
      <c r="D47" s="101" t="n"/>
      <c r="E47" s="101" t="n"/>
      <c r="F47" s="101" t="n"/>
      <c r="G47" s="101" t="n"/>
      <c r="H47" s="101" t="n"/>
      <c r="J47" s="101" t="n"/>
      <c r="L47" s="101" t="n"/>
      <c r="M47" s="101" t="n"/>
      <c r="N47" s="101" t="n"/>
      <c r="O47" s="101" t="n"/>
      <c r="P47" s="101" t="n"/>
    </row>
    <row r="48" ht="15" customHeight="1" s="55">
      <c r="A48" s="101" t="n"/>
      <c r="B48" s="101" t="n"/>
      <c r="C48" s="101" t="n"/>
      <c r="D48" s="101" t="n"/>
      <c r="E48" s="101" t="n"/>
      <c r="F48" s="101" t="n"/>
      <c r="G48" s="101" t="n"/>
      <c r="H48" s="101" t="n"/>
      <c r="J48" s="101" t="n"/>
      <c r="L48" s="101" t="n"/>
      <c r="M48" s="101" t="n"/>
      <c r="N48" s="101" t="n"/>
      <c r="O48" s="101" t="n"/>
      <c r="P48" s="101" t="n"/>
    </row>
    <row r="49" ht="15" customHeight="1" s="55">
      <c r="A49" s="101" t="n"/>
      <c r="B49" s="101" t="n"/>
      <c r="C49" s="101" t="n"/>
      <c r="D49" s="101" t="n"/>
      <c r="E49" s="101" t="n"/>
      <c r="F49" s="101" t="n"/>
      <c r="G49" s="101" t="n"/>
      <c r="H49" s="101" t="n"/>
      <c r="J49" s="101" t="n"/>
      <c r="L49" s="101" t="n"/>
      <c r="M49" s="101" t="n"/>
      <c r="N49" s="101" t="n"/>
      <c r="O49" s="101" t="n"/>
      <c r="P49" s="101" t="n"/>
    </row>
    <row r="50" ht="15" customHeight="1" s="55">
      <c r="A50" s="101" t="n"/>
      <c r="B50" s="101" t="n"/>
      <c r="C50" s="101" t="n"/>
      <c r="D50" s="101" t="n"/>
      <c r="E50" s="101" t="n"/>
      <c r="F50" s="101" t="n"/>
      <c r="G50" s="101" t="n"/>
      <c r="H50" s="101" t="n"/>
      <c r="J50" s="101" t="n"/>
      <c r="L50" s="101" t="n"/>
      <c r="M50" s="101" t="n"/>
      <c r="N50" s="101" t="n"/>
      <c r="O50" s="101" t="n"/>
      <c r="P50" s="101" t="n"/>
    </row>
    <row r="51" ht="15" customHeight="1" s="55">
      <c r="A51" s="101" t="n"/>
      <c r="B51" s="101" t="n"/>
      <c r="C51" s="101" t="n"/>
      <c r="D51" s="101" t="n"/>
      <c r="E51" s="101" t="n"/>
      <c r="F51" s="101" t="n"/>
      <c r="G51" s="101" t="n"/>
      <c r="H51" s="101" t="n"/>
      <c r="J51" s="101" t="n"/>
      <c r="L51" s="101" t="n"/>
      <c r="M51" s="101" t="n"/>
      <c r="N51" s="101" t="n"/>
      <c r="O51" s="101" t="n"/>
      <c r="P51" s="101" t="n"/>
    </row>
    <row r="52" ht="15" customHeight="1" s="55">
      <c r="A52" s="101" t="n"/>
      <c r="B52" s="101" t="n"/>
      <c r="C52" s="101" t="n"/>
      <c r="D52" s="101" t="n"/>
      <c r="E52" s="101" t="n"/>
      <c r="F52" s="101" t="n"/>
      <c r="G52" s="101" t="n"/>
      <c r="H52" s="101" t="n"/>
      <c r="J52" s="101" t="n"/>
      <c r="L52" s="101" t="n"/>
      <c r="M52" s="101" t="n"/>
      <c r="N52" s="101" t="n"/>
      <c r="O52" s="101" t="n"/>
      <c r="P52" s="101" t="n"/>
    </row>
    <row r="53" ht="15" customHeight="1" s="55">
      <c r="A53" s="101" t="n"/>
      <c r="B53" s="101" t="n"/>
      <c r="C53" s="101" t="n"/>
      <c r="D53" s="101" t="n"/>
      <c r="E53" s="101" t="n"/>
      <c r="F53" s="101" t="n"/>
      <c r="G53" s="101" t="n"/>
      <c r="H53" s="101" t="n"/>
      <c r="J53" s="101" t="n"/>
      <c r="L53" s="101" t="n"/>
      <c r="M53" s="101" t="n"/>
      <c r="N53" s="101" t="n"/>
      <c r="O53" s="101" t="n"/>
      <c r="P53" s="101" t="n"/>
    </row>
    <row r="54" ht="15" customHeight="1" s="55">
      <c r="A54" s="101" t="n"/>
      <c r="B54" s="101" t="n"/>
      <c r="C54" s="101" t="n"/>
      <c r="D54" s="101" t="n"/>
      <c r="E54" s="101" t="n"/>
      <c r="F54" s="101" t="n"/>
      <c r="G54" s="101" t="n"/>
      <c r="H54" s="101" t="n"/>
      <c r="J54" s="101" t="n"/>
      <c r="L54" s="101" t="n"/>
      <c r="M54" s="101" t="n"/>
      <c r="N54" s="101" t="n"/>
      <c r="O54" s="101" t="n"/>
      <c r="P54" s="101" t="n"/>
    </row>
    <row r="55" ht="15" customHeight="1" s="55">
      <c r="A55" s="101" t="n"/>
      <c r="B55" s="101" t="n"/>
      <c r="C55" s="101" t="n"/>
      <c r="D55" s="101" t="n"/>
      <c r="E55" s="101" t="n"/>
      <c r="F55" s="101" t="n"/>
      <c r="G55" s="101" t="n"/>
      <c r="H55" s="101" t="n"/>
      <c r="J55" s="101" t="n"/>
      <c r="L55" s="101" t="n"/>
      <c r="M55" s="101" t="n"/>
      <c r="N55" s="101" t="n"/>
      <c r="O55" s="101" t="n"/>
      <c r="P55" s="101" t="n"/>
    </row>
    <row r="56" ht="15" customHeight="1" s="55">
      <c r="A56" s="101" t="n"/>
      <c r="B56" s="101" t="n"/>
      <c r="C56" s="101" t="n"/>
      <c r="D56" s="101" t="n"/>
      <c r="E56" s="101" t="n"/>
      <c r="F56" s="101" t="n"/>
      <c r="G56" s="101" t="n"/>
      <c r="H56" s="101" t="n"/>
      <c r="J56" s="101" t="n"/>
      <c r="L56" s="101" t="n"/>
      <c r="M56" s="101" t="n"/>
      <c r="N56" s="101" t="n"/>
      <c r="O56" s="101" t="n"/>
      <c r="P56" s="101" t="n"/>
    </row>
    <row r="57" ht="15" customHeight="1" s="55">
      <c r="A57" s="101" t="n"/>
      <c r="B57" s="101" t="n"/>
      <c r="C57" s="101" t="n"/>
      <c r="D57" s="101" t="n"/>
      <c r="E57" s="101" t="n"/>
      <c r="F57" s="101" t="n"/>
      <c r="G57" s="101" t="n"/>
      <c r="H57" s="101" t="n"/>
      <c r="J57" s="101" t="n"/>
      <c r="L57" s="101" t="n"/>
      <c r="M57" s="101" t="n"/>
      <c r="N57" s="101" t="n"/>
      <c r="O57" s="101" t="n"/>
      <c r="P57" s="101" t="n"/>
    </row>
    <row r="58" ht="15" customHeight="1" s="55">
      <c r="A58" s="101" t="n"/>
      <c r="B58" s="101" t="n"/>
      <c r="C58" s="101" t="n"/>
      <c r="D58" s="101" t="n"/>
      <c r="E58" s="101" t="n"/>
      <c r="F58" s="101" t="n"/>
      <c r="G58" s="101" t="n"/>
      <c r="H58" s="101" t="n"/>
      <c r="J58" s="101" t="n"/>
      <c r="L58" s="101" t="n"/>
      <c r="M58" s="101" t="n"/>
      <c r="N58" s="101" t="n"/>
      <c r="O58" s="101" t="n"/>
      <c r="P58" s="101" t="n"/>
    </row>
    <row r="59" ht="15" customHeight="1" s="55">
      <c r="A59" s="101" t="n"/>
      <c r="B59" s="101" t="n"/>
      <c r="C59" s="101" t="n"/>
      <c r="D59" s="101" t="n"/>
      <c r="E59" s="101" t="n"/>
      <c r="F59" s="101" t="n"/>
      <c r="G59" s="101" t="n"/>
      <c r="H59" s="101" t="n"/>
      <c r="J59" s="101" t="n"/>
      <c r="L59" s="101" t="n"/>
      <c r="M59" s="101" t="n"/>
      <c r="N59" s="101" t="n"/>
      <c r="O59" s="101" t="n"/>
      <c r="P59" s="101" t="n"/>
    </row>
    <row r="60" ht="15" customHeight="1" s="55">
      <c r="A60" s="101" t="n"/>
      <c r="B60" s="101" t="n"/>
      <c r="C60" s="101" t="n"/>
      <c r="D60" s="101" t="n"/>
      <c r="E60" s="101" t="n"/>
      <c r="F60" s="101" t="n"/>
      <c r="G60" s="101" t="n"/>
      <c r="H60" s="101" t="n"/>
      <c r="J60" s="101" t="n"/>
      <c r="L60" s="101" t="n"/>
      <c r="M60" s="101" t="n"/>
      <c r="N60" s="101" t="n"/>
      <c r="O60" s="101" t="n"/>
      <c r="P60" s="101" t="n"/>
    </row>
    <row r="61" ht="15" customHeight="1" s="55">
      <c r="A61" s="101" t="n"/>
      <c r="B61" s="101" t="n"/>
      <c r="C61" s="101" t="n"/>
      <c r="D61" s="101" t="n"/>
      <c r="E61" s="101" t="n"/>
      <c r="F61" s="101" t="n"/>
      <c r="G61" s="101" t="n"/>
      <c r="H61" s="101" t="n"/>
      <c r="J61" s="101" t="n"/>
      <c r="L61" s="101" t="n"/>
      <c r="M61" s="101" t="n"/>
      <c r="N61" s="101" t="n"/>
      <c r="O61" s="101" t="n"/>
      <c r="P61" s="101" t="n"/>
    </row>
    <row r="62" ht="15" customHeight="1" s="55">
      <c r="A62" s="101" t="n"/>
      <c r="B62" s="101" t="n"/>
      <c r="C62" s="101" t="n"/>
      <c r="D62" s="101" t="n"/>
      <c r="E62" s="101" t="n"/>
      <c r="F62" s="101" t="n"/>
      <c r="G62" s="101" t="n"/>
      <c r="H62" s="101" t="n"/>
      <c r="J62" s="101" t="n"/>
      <c r="L62" s="101" t="n"/>
      <c r="M62" s="101" t="n"/>
      <c r="N62" s="101" t="n"/>
      <c r="O62" s="101" t="n"/>
      <c r="P62" s="101" t="n"/>
    </row>
    <row r="63" ht="15" customHeight="1" s="55">
      <c r="A63" s="101" t="n"/>
      <c r="B63" s="101" t="n"/>
      <c r="C63" s="101" t="n"/>
      <c r="D63" s="101" t="n"/>
      <c r="E63" s="101" t="n"/>
      <c r="F63" s="101" t="n"/>
      <c r="G63" s="101" t="n"/>
      <c r="H63" s="101" t="n"/>
      <c r="J63" s="101" t="n"/>
      <c r="L63" s="101" t="n"/>
      <c r="M63" s="101" t="n"/>
      <c r="N63" s="101" t="n"/>
      <c r="O63" s="101" t="n"/>
      <c r="P63" s="101" t="n"/>
    </row>
    <row r="64" ht="15" customHeight="1" s="55">
      <c r="A64" s="101" t="n"/>
      <c r="B64" s="101" t="n"/>
      <c r="C64" s="101" t="n"/>
      <c r="D64" s="101" t="n"/>
      <c r="E64" s="101" t="n"/>
      <c r="F64" s="101" t="n"/>
      <c r="G64" s="101" t="n"/>
      <c r="H64" s="101" t="n"/>
      <c r="J64" s="101" t="n"/>
      <c r="L64" s="101" t="n"/>
      <c r="M64" s="101" t="n"/>
      <c r="N64" s="101" t="n"/>
      <c r="O64" s="101" t="n"/>
      <c r="P64" s="101" t="n"/>
    </row>
    <row r="65" ht="15" customHeight="1" s="55">
      <c r="A65" s="101" t="n"/>
      <c r="B65" s="101" t="n"/>
      <c r="C65" s="101" t="n"/>
      <c r="D65" s="101" t="n"/>
      <c r="E65" s="101" t="n"/>
      <c r="F65" s="101" t="n"/>
      <c r="G65" s="101" t="n"/>
      <c r="H65" s="101" t="n"/>
      <c r="J65" s="101" t="n"/>
      <c r="L65" s="101" t="n"/>
      <c r="M65" s="101" t="n"/>
      <c r="N65" s="101" t="n"/>
      <c r="O65" s="101" t="n"/>
      <c r="P65" s="101" t="n"/>
    </row>
    <row r="66" ht="15" customHeight="1" s="55">
      <c r="A66" s="101" t="n"/>
      <c r="B66" s="101" t="n"/>
      <c r="C66" s="101" t="n"/>
      <c r="D66" s="101" t="n"/>
      <c r="E66" s="101" t="n"/>
      <c r="F66" s="101" t="n"/>
      <c r="G66" s="101" t="n"/>
      <c r="H66" s="101" t="n"/>
      <c r="J66" s="101" t="n"/>
      <c r="L66" s="101" t="n"/>
      <c r="M66" s="101" t="n"/>
      <c r="N66" s="101" t="n"/>
      <c r="O66" s="101" t="n"/>
      <c r="P66" s="101" t="n"/>
    </row>
    <row r="67" ht="15" customHeight="1" s="55">
      <c r="A67" s="101" t="n"/>
      <c r="B67" s="101" t="n"/>
      <c r="C67" s="101" t="n"/>
      <c r="D67" s="101" t="n"/>
      <c r="E67" s="101" t="n"/>
      <c r="F67" s="101" t="n"/>
      <c r="G67" s="101" t="n"/>
      <c r="H67" s="101" t="n"/>
      <c r="J67" s="101" t="n"/>
      <c r="L67" s="101" t="n"/>
      <c r="M67" s="101" t="n"/>
      <c r="N67" s="101" t="n"/>
      <c r="O67" s="101" t="n"/>
      <c r="P67" s="101" t="n"/>
    </row>
    <row r="68" ht="15" customHeight="1" s="55">
      <c r="A68" s="101" t="n"/>
      <c r="B68" s="101" t="n"/>
      <c r="C68" s="101" t="n"/>
      <c r="D68" s="101" t="n"/>
      <c r="E68" s="101" t="n"/>
      <c r="F68" s="101" t="n"/>
      <c r="G68" s="101" t="n"/>
      <c r="H68" s="101" t="n"/>
      <c r="J68" s="101" t="n"/>
      <c r="L68" s="101" t="n"/>
      <c r="M68" s="101" t="n"/>
      <c r="N68" s="101" t="n"/>
      <c r="O68" s="101" t="n"/>
      <c r="P68" s="101" t="n"/>
    </row>
    <row r="69" ht="15" customHeight="1" s="55">
      <c r="A69" s="101" t="n"/>
      <c r="B69" s="101" t="n"/>
      <c r="C69" s="101" t="n"/>
      <c r="D69" s="101" t="n"/>
      <c r="E69" s="101" t="n"/>
      <c r="F69" s="101" t="n"/>
      <c r="G69" s="101" t="n"/>
      <c r="H69" s="101" t="n"/>
      <c r="J69" s="101" t="n"/>
      <c r="L69" s="101" t="n"/>
      <c r="M69" s="101" t="n"/>
      <c r="N69" s="101" t="n"/>
      <c r="O69" s="101" t="n"/>
      <c r="P69" s="101" t="n"/>
    </row>
    <row r="70" ht="15" customHeight="1" s="55">
      <c r="A70" s="101" t="n"/>
      <c r="B70" s="101" t="n"/>
      <c r="C70" s="101" t="n"/>
      <c r="D70" s="101" t="n"/>
      <c r="E70" s="101" t="n"/>
      <c r="F70" s="101" t="n"/>
      <c r="G70" s="101" t="n"/>
      <c r="H70" s="101" t="n"/>
      <c r="J70" s="101" t="n"/>
      <c r="L70" s="101" t="n"/>
      <c r="M70" s="101" t="n"/>
      <c r="N70" s="101" t="n"/>
      <c r="O70" s="101" t="n"/>
      <c r="P70" s="101" t="n"/>
    </row>
    <row r="71" ht="15" customHeight="1" s="55">
      <c r="A71" s="101" t="n"/>
      <c r="B71" s="101" t="n"/>
      <c r="C71" s="101" t="n"/>
      <c r="D71" s="101" t="n"/>
      <c r="E71" s="101" t="n"/>
      <c r="F71" s="101" t="n"/>
      <c r="G71" s="101" t="n"/>
      <c r="H71" s="101" t="n"/>
      <c r="J71" s="101" t="n"/>
      <c r="L71" s="101" t="n"/>
      <c r="M71" s="101" t="n"/>
      <c r="N71" s="101" t="n"/>
      <c r="O71" s="101" t="n"/>
      <c r="P71" s="101" t="n"/>
    </row>
    <row r="72" ht="15" customHeight="1" s="55">
      <c r="A72" s="101" t="n"/>
      <c r="B72" s="101" t="n"/>
      <c r="C72" s="101" t="n"/>
      <c r="D72" s="101" t="n"/>
      <c r="E72" s="101" t="n"/>
      <c r="F72" s="101" t="n"/>
      <c r="G72" s="101" t="n"/>
      <c r="H72" s="101" t="n"/>
      <c r="J72" s="101" t="n"/>
      <c r="L72" s="101" t="n"/>
      <c r="M72" s="101" t="n"/>
      <c r="N72" s="101" t="n"/>
      <c r="O72" s="101" t="n"/>
      <c r="P72" s="101" t="n"/>
    </row>
    <row r="73" ht="15" customHeight="1" s="55">
      <c r="A73" s="101" t="n"/>
      <c r="B73" s="101" t="n"/>
      <c r="C73" s="101" t="n"/>
      <c r="D73" s="101" t="n"/>
      <c r="E73" s="101" t="n"/>
      <c r="F73" s="101" t="n"/>
      <c r="G73" s="101" t="n"/>
      <c r="H73" s="101" t="n"/>
      <c r="J73" s="101" t="n"/>
      <c r="L73" s="101" t="n"/>
      <c r="M73" s="101" t="n"/>
      <c r="N73" s="101" t="n"/>
      <c r="O73" s="101" t="n"/>
      <c r="P73" s="101" t="n"/>
    </row>
    <row r="74" ht="15" customHeight="1" s="55">
      <c r="A74" s="101" t="n"/>
      <c r="B74" s="101" t="n"/>
      <c r="C74" s="101" t="n"/>
      <c r="D74" s="101" t="n"/>
      <c r="E74" s="101" t="n"/>
      <c r="F74" s="101" t="n"/>
      <c r="G74" s="101" t="n"/>
      <c r="H74" s="101" t="n"/>
      <c r="J74" s="101" t="n"/>
      <c r="L74" s="101" t="n"/>
      <c r="M74" s="101" t="n"/>
      <c r="N74" s="101" t="n"/>
      <c r="O74" s="101" t="n"/>
      <c r="P74" s="101" t="n"/>
    </row>
    <row r="75" ht="15" customHeight="1" s="55">
      <c r="A75" s="101" t="n"/>
      <c r="B75" s="101" t="n"/>
      <c r="C75" s="101" t="n"/>
      <c r="D75" s="101" t="n"/>
      <c r="E75" s="101" t="n"/>
      <c r="F75" s="101" t="n"/>
      <c r="G75" s="101" t="n"/>
      <c r="H75" s="101" t="n"/>
      <c r="J75" s="101" t="n"/>
      <c r="L75" s="101" t="n"/>
      <c r="M75" s="101" t="n"/>
      <c r="N75" s="101" t="n"/>
      <c r="O75" s="101" t="n"/>
      <c r="P75" s="101" t="n"/>
    </row>
    <row r="76" ht="15" customHeight="1" s="55">
      <c r="A76" s="101" t="n"/>
      <c r="B76" s="101" t="n"/>
      <c r="C76" s="101" t="n"/>
      <c r="D76" s="101" t="n"/>
      <c r="E76" s="101" t="n"/>
      <c r="F76" s="101" t="n"/>
      <c r="G76" s="101" t="n"/>
      <c r="H76" s="101" t="n"/>
      <c r="J76" s="101" t="n"/>
      <c r="L76" s="101" t="n"/>
      <c r="M76" s="101" t="n"/>
      <c r="N76" s="101" t="n"/>
      <c r="O76" s="101" t="n"/>
      <c r="P76" s="101" t="n"/>
    </row>
    <row r="77" ht="15" customHeight="1" s="55">
      <c r="A77" s="101" t="n"/>
      <c r="B77" s="101" t="n"/>
      <c r="C77" s="101" t="n"/>
      <c r="D77" s="101" t="n"/>
      <c r="E77" s="101" t="n"/>
      <c r="F77" s="101" t="n"/>
      <c r="G77" s="101" t="n"/>
      <c r="H77" s="101" t="n"/>
      <c r="J77" s="101" t="n"/>
      <c r="L77" s="101" t="n"/>
      <c r="M77" s="101" t="n"/>
      <c r="N77" s="101" t="n"/>
      <c r="O77" s="101" t="n"/>
      <c r="P77" s="101" t="n"/>
    </row>
    <row r="78" ht="15" customHeight="1" s="55">
      <c r="A78" s="101" t="n"/>
      <c r="B78" s="101" t="n"/>
      <c r="C78" s="101" t="n"/>
      <c r="D78" s="101" t="n"/>
      <c r="E78" s="101" t="n"/>
      <c r="F78" s="101" t="n"/>
      <c r="G78" s="101" t="n"/>
      <c r="H78" s="101" t="n"/>
      <c r="J78" s="101" t="n"/>
      <c r="L78" s="101" t="n"/>
      <c r="M78" s="101" t="n"/>
      <c r="N78" s="101" t="n"/>
      <c r="O78" s="101" t="n"/>
      <c r="P78" s="101" t="n"/>
    </row>
    <row r="79" ht="15" customHeight="1" s="55">
      <c r="A79" s="101" t="n"/>
      <c r="B79" s="101" t="n"/>
      <c r="C79" s="101" t="n"/>
      <c r="D79" s="101" t="n"/>
      <c r="E79" s="101" t="n"/>
      <c r="F79" s="101" t="n"/>
      <c r="G79" s="101" t="n"/>
      <c r="H79" s="101" t="n"/>
      <c r="J79" s="101" t="n"/>
      <c r="L79" s="101" t="n"/>
      <c r="M79" s="101" t="n"/>
      <c r="N79" s="101" t="n"/>
      <c r="O79" s="101" t="n"/>
      <c r="P79" s="101" t="n"/>
    </row>
    <row r="80" ht="15" customHeight="1" s="55">
      <c r="A80" s="101" t="n"/>
      <c r="B80" s="101" t="n"/>
      <c r="C80" s="101" t="n"/>
      <c r="D80" s="101" t="n"/>
      <c r="E80" s="101" t="n"/>
      <c r="F80" s="101" t="n"/>
      <c r="G80" s="101" t="n"/>
      <c r="H80" s="101" t="n"/>
      <c r="J80" s="101" t="n"/>
      <c r="L80" s="101" t="n"/>
      <c r="M80" s="101" t="n"/>
      <c r="N80" s="101" t="n"/>
      <c r="O80" s="101" t="n"/>
      <c r="P80" s="101" t="n"/>
    </row>
    <row r="81" ht="15" customHeight="1" s="55">
      <c r="A81" s="101" t="n"/>
      <c r="B81" s="101" t="n"/>
      <c r="C81" s="101" t="n"/>
      <c r="D81" s="101" t="n"/>
      <c r="E81" s="101" t="n"/>
      <c r="F81" s="101" t="n"/>
      <c r="G81" s="101" t="n"/>
      <c r="H81" s="101" t="n"/>
      <c r="J81" s="101" t="n"/>
      <c r="L81" s="101" t="n"/>
      <c r="M81" s="101" t="n"/>
      <c r="N81" s="101" t="n"/>
      <c r="O81" s="101" t="n"/>
      <c r="P81" s="101" t="n"/>
    </row>
    <row r="82" ht="15" customHeight="1" s="55">
      <c r="A82" s="101" t="n"/>
      <c r="B82" s="101" t="n"/>
      <c r="C82" s="101" t="n"/>
      <c r="D82" s="101" t="n"/>
      <c r="E82" s="101" t="n"/>
      <c r="F82" s="101" t="n"/>
      <c r="G82" s="101" t="n"/>
      <c r="H82" s="101" t="n"/>
      <c r="J82" s="101" t="n"/>
      <c r="L82" s="101" t="n"/>
      <c r="M82" s="101" t="n"/>
      <c r="N82" s="101" t="n"/>
      <c r="O82" s="101" t="n"/>
      <c r="P82" s="101" t="n"/>
    </row>
    <row r="83" ht="15" customHeight="1" s="55">
      <c r="A83" s="101" t="n"/>
      <c r="B83" s="101" t="n"/>
      <c r="C83" s="101" t="n"/>
      <c r="D83" s="101" t="n"/>
      <c r="E83" s="101" t="n"/>
      <c r="F83" s="101" t="n"/>
      <c r="G83" s="101" t="n"/>
      <c r="H83" s="101" t="n"/>
      <c r="J83" s="101" t="n"/>
      <c r="L83" s="101" t="n"/>
      <c r="M83" s="101" t="n"/>
      <c r="N83" s="101" t="n"/>
      <c r="O83" s="101" t="n"/>
      <c r="P83" s="101" t="n"/>
    </row>
    <row r="84" ht="15" customHeight="1" s="55">
      <c r="A84" s="101" t="n"/>
      <c r="B84" s="101" t="n"/>
      <c r="C84" s="101" t="n"/>
      <c r="D84" s="101" t="n"/>
      <c r="E84" s="101" t="n"/>
      <c r="F84" s="101" t="n"/>
      <c r="G84" s="101" t="n"/>
      <c r="H84" s="101" t="n"/>
      <c r="J84" s="101" t="n"/>
      <c r="L84" s="101" t="n"/>
      <c r="M84" s="101" t="n"/>
      <c r="N84" s="101" t="n"/>
      <c r="O84" s="101" t="n"/>
      <c r="P84" s="101" t="n"/>
    </row>
    <row r="85" ht="15" customHeight="1" s="55">
      <c r="A85" s="101" t="n"/>
      <c r="B85" s="101" t="n"/>
      <c r="C85" s="101" t="n"/>
      <c r="D85" s="101" t="n"/>
      <c r="E85" s="101" t="n"/>
      <c r="F85" s="101" t="n"/>
      <c r="G85" s="101" t="n"/>
      <c r="H85" s="101" t="n"/>
      <c r="J85" s="101" t="n"/>
      <c r="L85" s="101" t="n"/>
      <c r="M85" s="101" t="n"/>
      <c r="N85" s="101" t="n"/>
      <c r="O85" s="101" t="n"/>
      <c r="P85" s="101" t="n"/>
    </row>
    <row r="86" ht="15" customHeight="1" s="55">
      <c r="A86" s="101" t="n"/>
      <c r="B86" s="101" t="n"/>
      <c r="C86" s="101" t="n"/>
      <c r="D86" s="101" t="n"/>
      <c r="E86" s="101" t="n"/>
      <c r="F86" s="101" t="n"/>
      <c r="G86" s="101" t="n"/>
      <c r="H86" s="101" t="n"/>
      <c r="J86" s="101" t="n"/>
      <c r="L86" s="101" t="n"/>
      <c r="M86" s="101" t="n"/>
      <c r="N86" s="101" t="n"/>
      <c r="O86" s="101" t="n"/>
      <c r="P86" s="101" t="n"/>
    </row>
    <row r="87" ht="15" customHeight="1" s="55">
      <c r="A87" s="101" t="n"/>
      <c r="B87" s="101" t="n"/>
      <c r="C87" s="101" t="n"/>
      <c r="D87" s="101" t="n"/>
      <c r="E87" s="101" t="n"/>
      <c r="F87" s="101" t="n"/>
      <c r="G87" s="101" t="n"/>
      <c r="H87" s="101" t="n"/>
      <c r="J87" s="101" t="n"/>
      <c r="L87" s="101" t="n"/>
      <c r="M87" s="101" t="n"/>
      <c r="N87" s="101" t="n"/>
      <c r="O87" s="101" t="n"/>
      <c r="P87" s="101" t="n"/>
    </row>
    <row r="88" ht="15" customHeight="1" s="55">
      <c r="A88" s="101" t="n"/>
      <c r="B88" s="101" t="n"/>
      <c r="C88" s="101" t="n"/>
      <c r="D88" s="101" t="n"/>
      <c r="E88" s="101" t="n"/>
      <c r="F88" s="101" t="n"/>
      <c r="G88" s="101" t="n"/>
      <c r="H88" s="101" t="n"/>
      <c r="J88" s="101" t="n"/>
      <c r="L88" s="101" t="n"/>
      <c r="M88" s="101" t="n"/>
      <c r="N88" s="101" t="n"/>
      <c r="O88" s="101" t="n"/>
      <c r="P88" s="101" t="n"/>
    </row>
    <row r="89" ht="15" customHeight="1" s="55">
      <c r="A89" s="101" t="n"/>
      <c r="B89" s="101" t="n"/>
      <c r="C89" s="101" t="n"/>
      <c r="D89" s="101" t="n"/>
      <c r="E89" s="101" t="n"/>
      <c r="F89" s="101" t="n"/>
      <c r="G89" s="101" t="n"/>
      <c r="H89" s="101" t="n"/>
      <c r="J89" s="101" t="n"/>
      <c r="L89" s="101" t="n"/>
      <c r="M89" s="101" t="n"/>
      <c r="N89" s="101" t="n"/>
      <c r="O89" s="101" t="n"/>
      <c r="P89" s="101" t="n"/>
    </row>
    <row r="90" ht="15" customHeight="1" s="55">
      <c r="A90" s="101" t="n"/>
      <c r="B90" s="101" t="n"/>
      <c r="C90" s="101" t="n"/>
      <c r="D90" s="101" t="n"/>
      <c r="E90" s="101" t="n"/>
      <c r="F90" s="101" t="n"/>
      <c r="G90" s="101" t="n"/>
      <c r="H90" s="101" t="n"/>
      <c r="J90" s="101" t="n"/>
      <c r="L90" s="101" t="n"/>
      <c r="M90" s="101" t="n"/>
      <c r="N90" s="101" t="n"/>
      <c r="O90" s="101" t="n"/>
      <c r="P90" s="101" t="n"/>
    </row>
    <row r="91" ht="15" customHeight="1" s="55">
      <c r="A91" s="101" t="n"/>
      <c r="B91" s="101" t="n"/>
      <c r="C91" s="101" t="n"/>
      <c r="D91" s="101" t="n"/>
      <c r="E91" s="101" t="n"/>
      <c r="F91" s="101" t="n"/>
      <c r="G91" s="101" t="n"/>
      <c r="H91" s="101" t="n"/>
      <c r="J91" s="101" t="n"/>
      <c r="L91" s="101" t="n"/>
      <c r="M91" s="101" t="n"/>
      <c r="N91" s="101" t="n"/>
      <c r="O91" s="101" t="n"/>
      <c r="P91" s="101" t="n"/>
    </row>
    <row r="92" ht="15" customHeight="1" s="55">
      <c r="A92" s="101" t="n"/>
      <c r="B92" s="101" t="n"/>
      <c r="C92" s="101" t="n"/>
      <c r="D92" s="101" t="n"/>
      <c r="E92" s="101" t="n"/>
      <c r="F92" s="101" t="n"/>
      <c r="G92" s="101" t="n"/>
      <c r="H92" s="101" t="n"/>
      <c r="J92" s="101" t="n"/>
      <c r="L92" s="101" t="n"/>
      <c r="M92" s="101" t="n"/>
      <c r="N92" s="101" t="n"/>
      <c r="O92" s="101" t="n"/>
      <c r="P92" s="101" t="n"/>
    </row>
    <row r="93" ht="15" customHeight="1" s="55">
      <c r="A93" s="101" t="n"/>
      <c r="B93" s="101" t="n"/>
      <c r="C93" s="101" t="n"/>
      <c r="D93" s="101" t="n"/>
      <c r="E93" s="101" t="n"/>
      <c r="F93" s="101" t="n"/>
      <c r="G93" s="101" t="n"/>
      <c r="H93" s="101" t="n"/>
      <c r="J93" s="101" t="n"/>
      <c r="L93" s="101" t="n"/>
      <c r="M93" s="101" t="n"/>
      <c r="N93" s="101" t="n"/>
      <c r="O93" s="101" t="n"/>
      <c r="P93" s="101" t="n"/>
    </row>
    <row r="94" ht="15" customHeight="1" s="55">
      <c r="A94" s="101" t="n"/>
      <c r="B94" s="101" t="n"/>
      <c r="C94" s="101" t="n"/>
      <c r="D94" s="101" t="n"/>
      <c r="E94" s="101" t="n"/>
      <c r="F94" s="101" t="n"/>
      <c r="G94" s="101" t="n"/>
      <c r="H94" s="101" t="n"/>
      <c r="J94" s="101" t="n"/>
      <c r="L94" s="101" t="n"/>
      <c r="M94" s="101" t="n"/>
      <c r="N94" s="101" t="n"/>
      <c r="O94" s="101" t="n"/>
      <c r="P94" s="101" t="n"/>
    </row>
    <row r="95" ht="15" customHeight="1" s="55">
      <c r="A95" s="101" t="n"/>
      <c r="B95" s="101" t="n"/>
      <c r="C95" s="101" t="n"/>
      <c r="D95" s="101" t="n"/>
      <c r="E95" s="101" t="n"/>
      <c r="F95" s="101" t="n"/>
      <c r="G95" s="101" t="n"/>
      <c r="H95" s="101" t="n"/>
      <c r="J95" s="101" t="n"/>
      <c r="L95" s="101" t="n"/>
      <c r="M95" s="101" t="n"/>
      <c r="N95" s="101" t="n"/>
      <c r="O95" s="101" t="n"/>
      <c r="P95" s="101" t="n"/>
    </row>
    <row r="96" ht="15" customHeight="1" s="55">
      <c r="A96" s="101" t="n"/>
      <c r="B96" s="101" t="n"/>
      <c r="C96" s="101" t="n"/>
      <c r="D96" s="101" t="n"/>
      <c r="E96" s="101" t="n"/>
      <c r="F96" s="101" t="n"/>
      <c r="G96" s="101" t="n"/>
      <c r="H96" s="101" t="n"/>
      <c r="J96" s="101" t="n"/>
      <c r="L96" s="101" t="n"/>
      <c r="M96" s="101" t="n"/>
      <c r="N96" s="101" t="n"/>
      <c r="O96" s="101" t="n"/>
      <c r="P96" s="101" t="n"/>
    </row>
    <row r="97" ht="15" customHeight="1" s="55">
      <c r="A97" s="101" t="n"/>
      <c r="B97" s="101" t="n"/>
      <c r="C97" s="101" t="n"/>
      <c r="D97" s="101" t="n"/>
      <c r="E97" s="101" t="n"/>
      <c r="F97" s="101" t="n"/>
      <c r="G97" s="101" t="n"/>
      <c r="H97" s="101" t="n"/>
      <c r="J97" s="101" t="n"/>
      <c r="L97" s="101" t="n"/>
      <c r="M97" s="101" t="n"/>
      <c r="N97" s="101" t="n"/>
      <c r="O97" s="101" t="n"/>
      <c r="P97" s="101" t="n"/>
    </row>
    <row r="98" ht="15" customHeight="1" s="55">
      <c r="A98" s="101" t="n"/>
      <c r="B98" s="101" t="n"/>
      <c r="C98" s="101" t="n"/>
      <c r="D98" s="101" t="n"/>
      <c r="E98" s="101" t="n"/>
      <c r="F98" s="101" t="n"/>
      <c r="G98" s="101" t="n"/>
      <c r="H98" s="101" t="n"/>
      <c r="J98" s="101" t="n"/>
      <c r="L98" s="101" t="n"/>
      <c r="M98" s="101" t="n"/>
      <c r="N98" s="101" t="n"/>
      <c r="O98" s="101" t="n"/>
      <c r="P98" s="101" t="n"/>
    </row>
    <row r="99" ht="15" customHeight="1" s="55">
      <c r="A99" s="101" t="n"/>
      <c r="B99" s="101" t="n"/>
      <c r="C99" s="101" t="n"/>
      <c r="D99" s="101" t="n"/>
      <c r="E99" s="101" t="n"/>
      <c r="F99" s="101" t="n"/>
      <c r="G99" s="101" t="n"/>
      <c r="H99" s="101" t="n"/>
      <c r="J99" s="101" t="n"/>
      <c r="L99" s="101" t="n"/>
      <c r="M99" s="101" t="n"/>
      <c r="N99" s="101" t="n"/>
      <c r="O99" s="101" t="n"/>
      <c r="P99" s="101" t="n"/>
    </row>
    <row r="100" ht="15" customHeight="1" s="55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J100" s="101" t="n"/>
      <c r="L100" s="101" t="n"/>
      <c r="M100" s="101" t="n"/>
      <c r="N100" s="101" t="n"/>
      <c r="O100" s="101" t="n"/>
      <c r="P100" s="101" t="n"/>
    </row>
    <row r="101" ht="15" customHeight="1" s="55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J101" s="101" t="n"/>
      <c r="L101" s="101" t="n"/>
      <c r="M101" s="101" t="n"/>
      <c r="N101" s="101" t="n"/>
      <c r="O101" s="101" t="n"/>
      <c r="P101" s="101" t="n"/>
    </row>
    <row r="102" ht="15" customHeight="1" s="55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J102" s="101" t="n"/>
      <c r="L102" s="101" t="n"/>
      <c r="M102" s="101" t="n"/>
      <c r="N102" s="101" t="n"/>
      <c r="O102" s="101" t="n"/>
      <c r="P102" s="101" t="n"/>
    </row>
    <row r="103" ht="15" customHeight="1" s="55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J103" s="101" t="n"/>
      <c r="L103" s="101" t="n"/>
      <c r="M103" s="101" t="n"/>
      <c r="N103" s="101" t="n"/>
      <c r="O103" s="101" t="n"/>
      <c r="P103" s="101" t="n"/>
    </row>
    <row r="104" ht="15" customHeight="1" s="55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J104" s="101" t="n"/>
      <c r="L104" s="101" t="n"/>
      <c r="M104" s="101" t="n"/>
      <c r="N104" s="101" t="n"/>
      <c r="O104" s="101" t="n"/>
      <c r="P104" s="101" t="n"/>
    </row>
    <row r="105" ht="15" customHeight="1" s="55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J105" s="101" t="n"/>
      <c r="L105" s="101" t="n"/>
      <c r="M105" s="101" t="n"/>
      <c r="N105" s="101" t="n"/>
      <c r="O105" s="101" t="n"/>
      <c r="P105" s="101" t="n"/>
    </row>
    <row r="106" ht="15" customHeight="1" s="55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J106" s="101" t="n"/>
      <c r="L106" s="101" t="n"/>
      <c r="M106" s="101" t="n"/>
      <c r="N106" s="101" t="n"/>
      <c r="O106" s="101" t="n"/>
      <c r="P106" s="101" t="n"/>
    </row>
    <row r="107" ht="15" customHeight="1" s="55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J107" s="101" t="n"/>
      <c r="L107" s="101" t="n"/>
      <c r="M107" s="101" t="n"/>
      <c r="N107" s="101" t="n"/>
      <c r="O107" s="101" t="n"/>
      <c r="P107" s="101" t="n"/>
    </row>
    <row r="108" ht="15" customHeight="1" s="55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J108" s="101" t="n"/>
      <c r="L108" s="101" t="n"/>
      <c r="M108" s="101" t="n"/>
      <c r="N108" s="101" t="n"/>
      <c r="O108" s="101" t="n"/>
      <c r="P108" s="101" t="n"/>
    </row>
    <row r="109" ht="15" customHeight="1" s="55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J109" s="101" t="n"/>
      <c r="L109" s="101" t="n"/>
      <c r="M109" s="101" t="n"/>
      <c r="N109" s="101" t="n"/>
      <c r="O109" s="101" t="n"/>
      <c r="P109" s="101" t="n"/>
    </row>
    <row r="110" ht="15" customHeight="1" s="55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J110" s="101" t="n"/>
      <c r="L110" s="101" t="n"/>
      <c r="M110" s="101" t="n"/>
      <c r="N110" s="101" t="n"/>
      <c r="O110" s="101" t="n"/>
      <c r="P110" s="101" t="n"/>
    </row>
    <row r="111" ht="15" customHeight="1" s="55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J111" s="101" t="n"/>
      <c r="L111" s="101" t="n"/>
      <c r="M111" s="101" t="n"/>
      <c r="N111" s="101" t="n"/>
      <c r="O111" s="101" t="n"/>
      <c r="P111" s="101" t="n"/>
    </row>
    <row r="112" ht="15" customHeight="1" s="55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J112" s="101" t="n"/>
      <c r="L112" s="101" t="n"/>
      <c r="M112" s="101" t="n"/>
      <c r="N112" s="101" t="n"/>
      <c r="O112" s="101" t="n"/>
      <c r="P112" s="101" t="n"/>
    </row>
    <row r="113" ht="15" customHeight="1" s="55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J113" s="101" t="n"/>
      <c r="L113" s="101" t="n"/>
      <c r="M113" s="101" t="n"/>
      <c r="N113" s="101" t="n"/>
      <c r="O113" s="101" t="n"/>
      <c r="P113" s="101" t="n"/>
    </row>
    <row r="114" ht="15" customHeight="1" s="55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J114" s="101" t="n"/>
      <c r="L114" s="101" t="n"/>
      <c r="M114" s="101" t="n"/>
      <c r="N114" s="101" t="n"/>
      <c r="O114" s="101" t="n"/>
      <c r="P114" s="101" t="n"/>
    </row>
    <row r="115" ht="15" customHeight="1" s="55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J115" s="101" t="n"/>
      <c r="L115" s="101" t="n"/>
      <c r="M115" s="101" t="n"/>
      <c r="N115" s="101" t="n"/>
      <c r="O115" s="101" t="n"/>
      <c r="P115" s="101" t="n"/>
    </row>
    <row r="116" ht="15" customHeight="1" s="55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J116" s="101" t="n"/>
      <c r="L116" s="101" t="n"/>
      <c r="M116" s="101" t="n"/>
      <c r="N116" s="101" t="n"/>
      <c r="O116" s="101" t="n"/>
      <c r="P116" s="101" t="n"/>
    </row>
    <row r="117" ht="15" customHeight="1" s="55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J117" s="101" t="n"/>
      <c r="L117" s="101" t="n"/>
      <c r="M117" s="101" t="n"/>
      <c r="N117" s="101" t="n"/>
      <c r="O117" s="101" t="n"/>
      <c r="P117" s="101" t="n"/>
    </row>
    <row r="118" ht="15" customHeight="1" s="55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J118" s="101" t="n"/>
      <c r="L118" s="101" t="n"/>
      <c r="M118" s="101" t="n"/>
      <c r="N118" s="101" t="n"/>
      <c r="O118" s="101" t="n"/>
      <c r="P118" s="101" t="n"/>
    </row>
    <row r="119" ht="15" customHeight="1" s="55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J119" s="101" t="n"/>
      <c r="L119" s="101" t="n"/>
      <c r="M119" s="101" t="n"/>
      <c r="N119" s="101" t="n"/>
      <c r="O119" s="101" t="n"/>
      <c r="P119" s="101" t="n"/>
    </row>
    <row r="120" ht="15" customHeight="1" s="55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J120" s="101" t="n"/>
      <c r="L120" s="101" t="n"/>
      <c r="M120" s="101" t="n"/>
      <c r="N120" s="101" t="n"/>
      <c r="O120" s="101" t="n"/>
      <c r="P120" s="101" t="n"/>
    </row>
    <row r="121" ht="15" customHeight="1" s="55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J121" s="101" t="n"/>
      <c r="L121" s="101" t="n"/>
      <c r="M121" s="101" t="n"/>
      <c r="N121" s="101" t="n"/>
      <c r="O121" s="101" t="n"/>
      <c r="P121" s="101" t="n"/>
    </row>
    <row r="122" ht="15" customHeight="1" s="55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J122" s="101" t="n"/>
      <c r="L122" s="101" t="n"/>
      <c r="M122" s="101" t="n"/>
      <c r="N122" s="101" t="n"/>
      <c r="O122" s="101" t="n"/>
      <c r="P122" s="101" t="n"/>
    </row>
    <row r="123" ht="15" customHeight="1" s="55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J123" s="101" t="n"/>
      <c r="L123" s="101" t="n"/>
      <c r="M123" s="101" t="n"/>
      <c r="N123" s="101" t="n"/>
      <c r="O123" s="101" t="n"/>
      <c r="P123" s="101" t="n"/>
    </row>
    <row r="124" ht="15" customHeight="1" s="55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J124" s="101" t="n"/>
      <c r="L124" s="101" t="n"/>
      <c r="M124" s="101" t="n"/>
      <c r="N124" s="101" t="n"/>
      <c r="O124" s="101" t="n"/>
      <c r="P124" s="101" t="n"/>
    </row>
    <row r="125" ht="15" customHeight="1" s="55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J125" s="101" t="n"/>
      <c r="L125" s="101" t="n"/>
      <c r="M125" s="101" t="n"/>
      <c r="N125" s="101" t="n"/>
      <c r="O125" s="101" t="n"/>
      <c r="P125" s="101" t="n"/>
    </row>
    <row r="126" ht="15" customHeight="1" s="55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J126" s="101" t="n"/>
      <c r="L126" s="101" t="n"/>
      <c r="M126" s="101" t="n"/>
      <c r="N126" s="101" t="n"/>
      <c r="O126" s="101" t="n"/>
      <c r="P126" s="101" t="n"/>
    </row>
    <row r="127" ht="15" customHeight="1" s="55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J127" s="101" t="n"/>
      <c r="L127" s="101" t="n"/>
      <c r="M127" s="101" t="n"/>
      <c r="N127" s="101" t="n"/>
      <c r="O127" s="101" t="n"/>
      <c r="P127" s="101" t="n"/>
    </row>
    <row r="128" ht="15" customHeight="1" s="55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J128" s="101" t="n"/>
      <c r="L128" s="101" t="n"/>
      <c r="M128" s="101" t="n"/>
      <c r="N128" s="101" t="n"/>
      <c r="O128" s="101" t="n"/>
      <c r="P128" s="101" t="n"/>
    </row>
    <row r="129" ht="15" customHeight="1" s="55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J129" s="101" t="n"/>
      <c r="L129" s="101" t="n"/>
      <c r="M129" s="101" t="n"/>
      <c r="N129" s="101" t="n"/>
      <c r="O129" s="101" t="n"/>
      <c r="P129" s="101" t="n"/>
    </row>
    <row r="130" ht="15" customHeight="1" s="55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J130" s="101" t="n"/>
      <c r="L130" s="101" t="n"/>
      <c r="M130" s="101" t="n"/>
      <c r="N130" s="101" t="n"/>
      <c r="O130" s="101" t="n"/>
      <c r="P130" s="101" t="n"/>
    </row>
    <row r="131" ht="15" customHeight="1" s="55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J131" s="101" t="n"/>
      <c r="L131" s="101" t="n"/>
      <c r="M131" s="101" t="n"/>
      <c r="N131" s="101" t="n"/>
      <c r="O131" s="101" t="n"/>
      <c r="P131" s="101" t="n"/>
    </row>
    <row r="132" ht="15" customHeight="1" s="55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J132" s="101" t="n"/>
      <c r="L132" s="101" t="n"/>
      <c r="M132" s="101" t="n"/>
      <c r="N132" s="101" t="n"/>
      <c r="O132" s="101" t="n"/>
      <c r="P132" s="101" t="n"/>
    </row>
    <row r="133" ht="15" customHeight="1" s="55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J133" s="101" t="n"/>
      <c r="L133" s="101" t="n"/>
      <c r="M133" s="101" t="n"/>
      <c r="N133" s="101" t="n"/>
      <c r="O133" s="101" t="n"/>
      <c r="P133" s="101" t="n"/>
    </row>
    <row r="134" ht="15" customHeight="1" s="55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J134" s="101" t="n"/>
      <c r="L134" s="101" t="n"/>
      <c r="M134" s="101" t="n"/>
      <c r="N134" s="101" t="n"/>
      <c r="O134" s="101" t="n"/>
      <c r="P134" s="101" t="n"/>
    </row>
    <row r="135" ht="15" customHeight="1" s="55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J135" s="101" t="n"/>
      <c r="L135" s="101" t="n"/>
      <c r="M135" s="101" t="n"/>
      <c r="N135" s="101" t="n"/>
      <c r="O135" s="101" t="n"/>
      <c r="P135" s="101" t="n"/>
    </row>
    <row r="136" ht="15" customHeight="1" s="55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J136" s="101" t="n"/>
      <c r="L136" s="101" t="n"/>
      <c r="M136" s="101" t="n"/>
      <c r="N136" s="101" t="n"/>
      <c r="O136" s="101" t="n"/>
      <c r="P136" s="101" t="n"/>
    </row>
    <row r="137" ht="15" customHeight="1" s="55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J137" s="101" t="n"/>
      <c r="L137" s="101" t="n"/>
      <c r="M137" s="101" t="n"/>
      <c r="N137" s="101" t="n"/>
      <c r="O137" s="101" t="n"/>
      <c r="P137" s="101" t="n"/>
    </row>
    <row r="138" ht="15" customHeight="1" s="55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J138" s="101" t="n"/>
      <c r="L138" s="101" t="n"/>
      <c r="M138" s="101" t="n"/>
      <c r="N138" s="101" t="n"/>
      <c r="O138" s="101" t="n"/>
      <c r="P138" s="101" t="n"/>
    </row>
    <row r="139" ht="15" customHeight="1" s="55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J139" s="101" t="n"/>
      <c r="L139" s="101" t="n"/>
      <c r="M139" s="101" t="n"/>
      <c r="N139" s="101" t="n"/>
      <c r="O139" s="101" t="n"/>
      <c r="P139" s="101" t="n"/>
    </row>
    <row r="140" ht="15" customHeight="1" s="55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J140" s="101" t="n"/>
      <c r="L140" s="101" t="n"/>
      <c r="M140" s="101" t="n"/>
      <c r="N140" s="101" t="n"/>
      <c r="O140" s="101" t="n"/>
      <c r="P140" s="101" t="n"/>
    </row>
    <row r="141" ht="15" customHeight="1" s="55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J141" s="101" t="n"/>
      <c r="L141" s="101" t="n"/>
      <c r="M141" s="101" t="n"/>
      <c r="N141" s="101" t="n"/>
      <c r="O141" s="101" t="n"/>
      <c r="P141" s="101" t="n"/>
    </row>
    <row r="142" ht="15" customHeight="1" s="55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J142" s="101" t="n"/>
      <c r="L142" s="101" t="n"/>
      <c r="M142" s="101" t="n"/>
      <c r="N142" s="101" t="n"/>
      <c r="O142" s="101" t="n"/>
      <c r="P142" s="101" t="n"/>
    </row>
    <row r="143" ht="15" customHeight="1" s="55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J143" s="101" t="n"/>
      <c r="L143" s="101" t="n"/>
      <c r="M143" s="101" t="n"/>
      <c r="N143" s="101" t="n"/>
      <c r="O143" s="101" t="n"/>
      <c r="P143" s="101" t="n"/>
    </row>
    <row r="144" ht="15" customHeight="1" s="55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J144" s="101" t="n"/>
      <c r="L144" s="101" t="n"/>
      <c r="M144" s="101" t="n"/>
      <c r="N144" s="101" t="n"/>
      <c r="O144" s="101" t="n"/>
      <c r="P144" s="101" t="n"/>
    </row>
    <row r="145" ht="15" customHeight="1" s="55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J145" s="101" t="n"/>
      <c r="L145" s="101" t="n"/>
      <c r="M145" s="101" t="n"/>
      <c r="N145" s="101" t="n"/>
      <c r="O145" s="101" t="n"/>
      <c r="P145" s="101" t="n"/>
    </row>
    <row r="146" ht="15" customHeight="1" s="55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J146" s="101" t="n"/>
      <c r="L146" s="101" t="n"/>
      <c r="M146" s="101" t="n"/>
      <c r="N146" s="101" t="n"/>
      <c r="O146" s="101" t="n"/>
      <c r="P146" s="101" t="n"/>
    </row>
    <row r="147" ht="15" customHeight="1" s="55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J147" s="101" t="n"/>
      <c r="L147" s="101" t="n"/>
      <c r="M147" s="101" t="n"/>
      <c r="N147" s="101" t="n"/>
      <c r="O147" s="101" t="n"/>
      <c r="P147" s="101" t="n"/>
    </row>
    <row r="148" ht="15" customHeight="1" s="55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J148" s="101" t="n"/>
      <c r="L148" s="101" t="n"/>
      <c r="M148" s="101" t="n"/>
      <c r="N148" s="101" t="n"/>
      <c r="O148" s="101" t="n"/>
      <c r="P148" s="101" t="n"/>
    </row>
    <row r="149" ht="15" customHeight="1" s="55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J149" s="101" t="n"/>
      <c r="L149" s="101" t="n"/>
      <c r="M149" s="101" t="n"/>
      <c r="N149" s="101" t="n"/>
      <c r="O149" s="101" t="n"/>
      <c r="P149" s="101" t="n"/>
    </row>
    <row r="150" ht="15" customHeight="1" s="55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J150" s="101" t="n"/>
      <c r="L150" s="101" t="n"/>
      <c r="M150" s="101" t="n"/>
      <c r="N150" s="101" t="n"/>
      <c r="O150" s="101" t="n"/>
      <c r="P150" s="101" t="n"/>
    </row>
    <row r="151" ht="15" customHeight="1" s="55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J151" s="101" t="n"/>
      <c r="L151" s="101" t="n"/>
      <c r="M151" s="101" t="n"/>
      <c r="N151" s="101" t="n"/>
      <c r="O151" s="101" t="n"/>
      <c r="P151" s="101" t="n"/>
    </row>
    <row r="152" ht="15" customHeight="1" s="55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J152" s="101" t="n"/>
      <c r="L152" s="101" t="n"/>
      <c r="M152" s="101" t="n"/>
      <c r="N152" s="101" t="n"/>
      <c r="O152" s="101" t="n"/>
      <c r="P152" s="101" t="n"/>
    </row>
    <row r="153" ht="15" customHeight="1" s="55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J153" s="101" t="n"/>
      <c r="L153" s="101" t="n"/>
      <c r="M153" s="101" t="n"/>
      <c r="N153" s="101" t="n"/>
      <c r="O153" s="101" t="n"/>
      <c r="P153" s="101" t="n"/>
    </row>
    <row r="154" ht="15" customHeight="1" s="55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J154" s="101" t="n"/>
      <c r="L154" s="101" t="n"/>
      <c r="M154" s="101" t="n"/>
      <c r="N154" s="101" t="n"/>
      <c r="O154" s="101" t="n"/>
      <c r="P154" s="101" t="n"/>
    </row>
    <row r="155" ht="15" customHeight="1" s="55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J155" s="101" t="n"/>
      <c r="L155" s="101" t="n"/>
      <c r="M155" s="101" t="n"/>
      <c r="N155" s="101" t="n"/>
      <c r="O155" s="101" t="n"/>
      <c r="P155" s="101" t="n"/>
    </row>
    <row r="156" ht="15" customHeight="1" s="55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J156" s="101" t="n"/>
      <c r="L156" s="101" t="n"/>
      <c r="M156" s="101" t="n"/>
      <c r="N156" s="101" t="n"/>
      <c r="O156" s="101" t="n"/>
      <c r="P156" s="101" t="n"/>
    </row>
    <row r="157" ht="15" customHeight="1" s="55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J157" s="101" t="n"/>
      <c r="L157" s="101" t="n"/>
      <c r="M157" s="101" t="n"/>
      <c r="N157" s="101" t="n"/>
      <c r="O157" s="101" t="n"/>
      <c r="P157" s="101" t="n"/>
    </row>
    <row r="158" ht="15" customHeight="1" s="55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J158" s="101" t="n"/>
      <c r="L158" s="101" t="n"/>
      <c r="M158" s="101" t="n"/>
      <c r="N158" s="101" t="n"/>
      <c r="O158" s="101" t="n"/>
      <c r="P158" s="101" t="n"/>
    </row>
    <row r="159" ht="15" customHeight="1" s="55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J159" s="101" t="n"/>
      <c r="L159" s="101" t="n"/>
      <c r="M159" s="101" t="n"/>
      <c r="N159" s="101" t="n"/>
      <c r="O159" s="101" t="n"/>
      <c r="P159" s="101" t="n"/>
    </row>
    <row r="160" ht="15" customHeight="1" s="55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J160" s="101" t="n"/>
      <c r="L160" s="101" t="n"/>
      <c r="M160" s="101" t="n"/>
      <c r="N160" s="101" t="n"/>
      <c r="O160" s="101" t="n"/>
      <c r="P160" s="101" t="n"/>
    </row>
    <row r="161" ht="15" customHeight="1" s="55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J161" s="101" t="n"/>
      <c r="L161" s="101" t="n"/>
      <c r="M161" s="101" t="n"/>
      <c r="N161" s="101" t="n"/>
      <c r="O161" s="101" t="n"/>
      <c r="P161" s="101" t="n"/>
    </row>
    <row r="162" ht="15" customHeight="1" s="55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J162" s="101" t="n"/>
      <c r="L162" s="101" t="n"/>
      <c r="M162" s="101" t="n"/>
      <c r="N162" s="101" t="n"/>
      <c r="O162" s="101" t="n"/>
      <c r="P162" s="101" t="n"/>
    </row>
    <row r="163" ht="15" customHeight="1" s="55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J163" s="101" t="n"/>
      <c r="L163" s="101" t="n"/>
      <c r="M163" s="101" t="n"/>
      <c r="N163" s="101" t="n"/>
      <c r="O163" s="101" t="n"/>
      <c r="P163" s="101" t="n"/>
    </row>
    <row r="164" ht="15" customHeight="1" s="55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J164" s="101" t="n"/>
      <c r="L164" s="101" t="n"/>
      <c r="M164" s="101" t="n"/>
      <c r="N164" s="101" t="n"/>
      <c r="O164" s="101" t="n"/>
      <c r="P164" s="101" t="n"/>
    </row>
    <row r="165" ht="15" customHeight="1" s="55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J165" s="101" t="n"/>
      <c r="L165" s="101" t="n"/>
      <c r="M165" s="101" t="n"/>
      <c r="N165" s="101" t="n"/>
      <c r="O165" s="101" t="n"/>
      <c r="P165" s="101" t="n"/>
    </row>
    <row r="166" ht="15" customHeight="1" s="55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J166" s="101" t="n"/>
      <c r="L166" s="101" t="n"/>
      <c r="M166" s="101" t="n"/>
      <c r="N166" s="101" t="n"/>
      <c r="O166" s="101" t="n"/>
      <c r="P166" s="101" t="n"/>
    </row>
    <row r="167" ht="15" customHeight="1" s="55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J167" s="101" t="n"/>
      <c r="L167" s="101" t="n"/>
      <c r="M167" s="101" t="n"/>
      <c r="N167" s="101" t="n"/>
      <c r="O167" s="101" t="n"/>
      <c r="P167" s="101" t="n"/>
    </row>
    <row r="168" ht="15" customHeight="1" s="55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J168" s="101" t="n"/>
      <c r="L168" s="101" t="n"/>
      <c r="M168" s="101" t="n"/>
      <c r="N168" s="101" t="n"/>
      <c r="O168" s="101" t="n"/>
      <c r="P168" s="101" t="n"/>
    </row>
    <row r="169" ht="15" customHeight="1" s="55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J169" s="101" t="n"/>
      <c r="L169" s="101" t="n"/>
      <c r="M169" s="101" t="n"/>
      <c r="N169" s="101" t="n"/>
      <c r="O169" s="101" t="n"/>
      <c r="P169" s="101" t="n"/>
    </row>
    <row r="170" ht="15" customHeight="1" s="55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J170" s="101" t="n"/>
      <c r="L170" s="101" t="n"/>
      <c r="M170" s="101" t="n"/>
      <c r="N170" s="101" t="n"/>
      <c r="O170" s="101" t="n"/>
      <c r="P170" s="101" t="n"/>
    </row>
    <row r="171" ht="15" customHeight="1" s="55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J171" s="101" t="n"/>
      <c r="L171" s="101" t="n"/>
      <c r="M171" s="101" t="n"/>
      <c r="N171" s="101" t="n"/>
      <c r="O171" s="101" t="n"/>
      <c r="P171" s="101" t="n"/>
    </row>
    <row r="172" ht="15" customHeight="1" s="55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J172" s="101" t="n"/>
      <c r="L172" s="101" t="n"/>
      <c r="M172" s="101" t="n"/>
      <c r="N172" s="101" t="n"/>
      <c r="O172" s="101" t="n"/>
      <c r="P172" s="101" t="n"/>
    </row>
    <row r="173" ht="15" customHeight="1" s="55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J173" s="101" t="n"/>
      <c r="L173" s="101" t="n"/>
      <c r="M173" s="101" t="n"/>
      <c r="N173" s="101" t="n"/>
      <c r="O173" s="101" t="n"/>
      <c r="P173" s="101" t="n"/>
    </row>
    <row r="174" ht="15" customHeight="1" s="55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J174" s="101" t="n"/>
      <c r="L174" s="101" t="n"/>
      <c r="M174" s="101" t="n"/>
      <c r="N174" s="101" t="n"/>
      <c r="O174" s="101" t="n"/>
      <c r="P174" s="101" t="n"/>
    </row>
    <row r="175" ht="15" customHeight="1" s="55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J175" s="101" t="n"/>
      <c r="L175" s="101" t="n"/>
      <c r="M175" s="101" t="n"/>
      <c r="N175" s="101" t="n"/>
      <c r="O175" s="101" t="n"/>
      <c r="P175" s="101" t="n"/>
    </row>
    <row r="176" ht="15" customHeight="1" s="55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J176" s="101" t="n"/>
      <c r="L176" s="101" t="n"/>
      <c r="M176" s="101" t="n"/>
      <c r="N176" s="101" t="n"/>
      <c r="O176" s="101" t="n"/>
      <c r="P176" s="101" t="n"/>
    </row>
    <row r="177" ht="15" customHeight="1" s="55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J177" s="101" t="n"/>
      <c r="L177" s="101" t="n"/>
      <c r="M177" s="101" t="n"/>
      <c r="N177" s="101" t="n"/>
      <c r="O177" s="101" t="n"/>
      <c r="P177" s="101" t="n"/>
    </row>
    <row r="178" ht="15" customHeight="1" s="55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J178" s="101" t="n"/>
      <c r="L178" s="101" t="n"/>
      <c r="M178" s="101" t="n"/>
      <c r="N178" s="101" t="n"/>
      <c r="O178" s="101" t="n"/>
      <c r="P178" s="101" t="n"/>
    </row>
    <row r="179" ht="15" customHeight="1" s="55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J179" s="101" t="n"/>
      <c r="L179" s="101" t="n"/>
      <c r="M179" s="101" t="n"/>
      <c r="N179" s="101" t="n"/>
      <c r="O179" s="101" t="n"/>
      <c r="P179" s="101" t="n"/>
    </row>
    <row r="180" ht="15" customHeight="1" s="55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J180" s="101" t="n"/>
      <c r="L180" s="101" t="n"/>
      <c r="M180" s="101" t="n"/>
      <c r="N180" s="101" t="n"/>
      <c r="O180" s="101" t="n"/>
      <c r="P180" s="101" t="n"/>
    </row>
    <row r="181" ht="15" customHeight="1" s="55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J181" s="101" t="n"/>
      <c r="L181" s="101" t="n"/>
      <c r="M181" s="101" t="n"/>
      <c r="N181" s="101" t="n"/>
      <c r="O181" s="101" t="n"/>
      <c r="P181" s="101" t="n"/>
    </row>
    <row r="182" ht="15" customHeight="1" s="55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J182" s="101" t="n"/>
      <c r="L182" s="101" t="n"/>
      <c r="M182" s="101" t="n"/>
      <c r="N182" s="101" t="n"/>
      <c r="O182" s="101" t="n"/>
      <c r="P182" s="101" t="n"/>
    </row>
    <row r="183" ht="15" customHeight="1" s="55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J183" s="101" t="n"/>
      <c r="L183" s="101" t="n"/>
      <c r="M183" s="101" t="n"/>
      <c r="N183" s="101" t="n"/>
      <c r="O183" s="101" t="n"/>
      <c r="P183" s="101" t="n"/>
    </row>
    <row r="184" ht="15" customHeight="1" s="55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J184" s="101" t="n"/>
      <c r="L184" s="101" t="n"/>
      <c r="M184" s="101" t="n"/>
      <c r="N184" s="101" t="n"/>
      <c r="O184" s="101" t="n"/>
      <c r="P184" s="101" t="n"/>
    </row>
    <row r="185" ht="15" customHeight="1" s="55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J185" s="101" t="n"/>
      <c r="L185" s="101" t="n"/>
      <c r="M185" s="101" t="n"/>
      <c r="N185" s="101" t="n"/>
      <c r="O185" s="101" t="n"/>
      <c r="P185" s="101" t="n"/>
    </row>
    <row r="186" ht="15" customHeight="1" s="55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J186" s="101" t="n"/>
      <c r="L186" s="101" t="n"/>
      <c r="M186" s="101" t="n"/>
      <c r="N186" s="101" t="n"/>
      <c r="O186" s="101" t="n"/>
      <c r="P186" s="101" t="n"/>
    </row>
    <row r="187" ht="15" customHeight="1" s="55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J187" s="101" t="n"/>
      <c r="L187" s="101" t="n"/>
      <c r="M187" s="101" t="n"/>
      <c r="N187" s="101" t="n"/>
      <c r="O187" s="101" t="n"/>
      <c r="P187" s="101" t="n"/>
    </row>
    <row r="188" ht="15" customHeight="1" s="55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J188" s="101" t="n"/>
      <c r="L188" s="101" t="n"/>
      <c r="M188" s="101" t="n"/>
      <c r="N188" s="101" t="n"/>
      <c r="O188" s="101" t="n"/>
      <c r="P188" s="101" t="n"/>
    </row>
    <row r="189" ht="15" customHeight="1" s="55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J189" s="101" t="n"/>
      <c r="L189" s="101" t="n"/>
      <c r="M189" s="101" t="n"/>
      <c r="N189" s="101" t="n"/>
      <c r="O189" s="101" t="n"/>
      <c r="P189" s="101" t="n"/>
    </row>
    <row r="190" ht="15" customHeight="1" s="55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J190" s="101" t="n"/>
      <c r="L190" s="101" t="n"/>
      <c r="M190" s="101" t="n"/>
      <c r="N190" s="101" t="n"/>
      <c r="O190" s="101" t="n"/>
      <c r="P190" s="101" t="n"/>
    </row>
    <row r="191" ht="15" customHeight="1" s="55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J191" s="101" t="n"/>
      <c r="L191" s="101" t="n"/>
      <c r="M191" s="101" t="n"/>
      <c r="N191" s="101" t="n"/>
      <c r="O191" s="101" t="n"/>
      <c r="P191" s="101" t="n"/>
    </row>
    <row r="192" ht="15" customHeight="1" s="55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J192" s="101" t="n"/>
      <c r="L192" s="101" t="n"/>
      <c r="M192" s="101" t="n"/>
      <c r="N192" s="101" t="n"/>
      <c r="O192" s="101" t="n"/>
      <c r="P192" s="101" t="n"/>
    </row>
    <row r="193" ht="15" customHeight="1" s="55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J193" s="101" t="n"/>
      <c r="L193" s="101" t="n"/>
      <c r="M193" s="101" t="n"/>
      <c r="N193" s="101" t="n"/>
      <c r="O193" s="101" t="n"/>
      <c r="P193" s="101" t="n"/>
    </row>
    <row r="194" ht="15" customHeight="1" s="55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J194" s="101" t="n"/>
      <c r="L194" s="101" t="n"/>
      <c r="M194" s="101" t="n"/>
      <c r="N194" s="101" t="n"/>
      <c r="O194" s="101" t="n"/>
      <c r="P194" s="101" t="n"/>
    </row>
    <row r="195" ht="15" customHeight="1" s="55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J195" s="101" t="n"/>
      <c r="L195" s="101" t="n"/>
      <c r="M195" s="101" t="n"/>
      <c r="N195" s="101" t="n"/>
      <c r="O195" s="101" t="n"/>
      <c r="P195" s="101" t="n"/>
    </row>
    <row r="196" ht="15" customHeight="1" s="55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J196" s="101" t="n"/>
      <c r="L196" s="101" t="n"/>
      <c r="M196" s="101" t="n"/>
      <c r="N196" s="101" t="n"/>
      <c r="O196" s="101" t="n"/>
      <c r="P196" s="101" t="n"/>
    </row>
    <row r="197" ht="15" customHeight="1" s="55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J197" s="101" t="n"/>
      <c r="L197" s="101" t="n"/>
      <c r="M197" s="101" t="n"/>
      <c r="N197" s="101" t="n"/>
      <c r="O197" s="101" t="n"/>
      <c r="P197" s="101" t="n"/>
    </row>
    <row r="198" ht="15" customHeight="1" s="55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J198" s="101" t="n"/>
      <c r="L198" s="101" t="n"/>
      <c r="M198" s="101" t="n"/>
      <c r="N198" s="101" t="n"/>
      <c r="O198" s="101" t="n"/>
      <c r="P198" s="101" t="n"/>
    </row>
    <row r="199" ht="15" customHeight="1" s="55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J199" s="101" t="n"/>
      <c r="L199" s="101" t="n"/>
      <c r="M199" s="101" t="n"/>
      <c r="N199" s="101" t="n"/>
      <c r="O199" s="101" t="n"/>
      <c r="P199" s="101" t="n"/>
    </row>
    <row r="200" ht="15" customHeight="1" s="55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J200" s="101" t="n"/>
      <c r="L200" s="101" t="n"/>
      <c r="M200" s="101" t="n"/>
      <c r="N200" s="101" t="n"/>
      <c r="O200" s="101" t="n"/>
      <c r="P200" s="101" t="n"/>
    </row>
    <row r="201" ht="15" customHeight="1" s="55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J201" s="101" t="n"/>
      <c r="L201" s="101" t="n"/>
      <c r="M201" s="101" t="n"/>
      <c r="N201" s="101" t="n"/>
      <c r="O201" s="101" t="n"/>
      <c r="P201" s="101" t="n"/>
    </row>
    <row r="202" ht="15" customHeight="1" s="55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J202" s="101" t="n"/>
      <c r="L202" s="101" t="n"/>
      <c r="M202" s="101" t="n"/>
      <c r="N202" s="101" t="n"/>
      <c r="O202" s="101" t="n"/>
      <c r="P202" s="101" t="n"/>
    </row>
    <row r="203" ht="15" customHeight="1" s="55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J203" s="101" t="n"/>
      <c r="L203" s="101" t="n"/>
      <c r="M203" s="101" t="n"/>
      <c r="N203" s="101" t="n"/>
      <c r="O203" s="101" t="n"/>
      <c r="P203" s="101" t="n"/>
    </row>
    <row r="204" ht="15" customHeight="1" s="55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J204" s="101" t="n"/>
      <c r="L204" s="101" t="n"/>
      <c r="M204" s="101" t="n"/>
      <c r="N204" s="101" t="n"/>
      <c r="O204" s="101" t="n"/>
      <c r="P204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Q3"/>
    <mergeCell ref="A1:Q1"/>
  </mergeCells>
  <conditionalFormatting sqref="Q6:Q204">
    <cfRule type="cellIs" rank="0" priority="2" equalAverage="0" operator="equal" aboveAverage="0" dxfId="13" text="" percent="0" bottom="0">
      <formula>"MÜKERRER"</formula>
    </cfRule>
    <cfRule type="cellIs" rank="0" priority="3" equalAverage="0" operator="equal" aboveAverage="0" dxfId="9" text="" percent="0" bottom="0">
      <formula>"UYGUN"</formula>
    </cfRule>
  </conditionalFormatting>
  <conditionalFormatting sqref="K6:K204">
    <cfRule type="cellIs" rank="0" priority="4" equalAverage="0" operator="lessThan" aboveAverage="0" dxfId="11" text="" percent="0" bottom="0">
      <formula>0</formula>
    </cfRule>
  </conditionalFormatting>
  <conditionalFormatting sqref="L6:L204">
    <cfRule type="cellIs" rank="0" priority="5" equalAverage="0" operator="greaterThan" aboveAverage="0" dxfId="11" text="" percent="0" bottom="0">
      <formula>0</formula>
    </cfRule>
  </conditionalFormatting>
  <conditionalFormatting sqref="E6:E204">
    <cfRule type="cellIs" rank="0" priority="6" equalAverage="0" operator="lessThan" aboveAverage="0" dxfId="11" text="" percent="0" bottom="0">
      <formula>0</formula>
    </cfRule>
  </conditionalFormatting>
  <conditionalFormatting sqref="P6:P204">
    <cfRule type="cellIs" rank="0" priority="7" equalAverage="0" operator="equal" aboveAverage="0" dxfId="11" text="" percent="0" bottom="0">
      <formula>"İtirazlı"</formula>
    </cfRule>
    <cfRule type="cellIs" rank="0" priority="8" equalAverage="0" operator="equal" aboveAverage="0" dxfId="9" text="" percent="0" bottom="0">
      <formula>"Onaylı"</formula>
    </cfRule>
  </conditionalFormatting>
  <dataValidations count="3">
    <dataValidation sqref="G6:G204" showDropDown="0" showInputMessage="1" showErrorMessage="1" allowBlank="1" errorTitle="Geçersiz Birim" error="Lütfen geçerli bir para birimi girin." promptTitle="Para Birimi" prompt="TRY, USD veya EUR seçin." type="list" errorStyle="stop" operator="between">
      <formula1>ListeParaBirimi</formula1>
      <formula2>0</formula2>
    </dataValidation>
    <dataValidation sqref="F6:F204" showDropDown="0" showInputMessage="1" showErrorMessage="1" allowBlank="1" errorTitle="Geçersiz Tutar" error="Fatura tutarı 0'dan büyük olmalıdır." promptTitle="Fatura Tutarı" prompt="Sıfırdan büyük tutar girin." type="decimal" errorStyle="stop" operator="greaterThan">
      <formula1>0</formula1>
      <formula2>0</formula2>
    </dataValidation>
    <dataValidation sqref="P6:P204" showDropDown="0" showInputMessage="1" showErrorMessage="1" allowBlank="1" errorTitle="Geçersiz Durum" error="Lütfen geçerli bir belge durumu seçin." promptTitle="Belge Durumu" prompt="Onaylı, İtirazlı veya Beklemede seçin." type="list" errorStyle="stop" operator="between">
      <formula1>ListeBelgeDurum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7.5" customWidth="1" style="81" min="1" max="1"/>
    <col width="23.5" customWidth="1" style="81" min="2" max="3"/>
    <col width="16.5" customWidth="1" style="55" min="3" max="3"/>
    <col width="19.5" customWidth="1" style="81" min="4" max="4"/>
    <col width="19.5" customWidth="1" style="81" min="5" max="7"/>
    <col width="14.5" customWidth="1" style="55" min="6" max="6"/>
    <col width="14.5" customWidth="1" style="55" min="7" max="7"/>
    <col width="22.5" customWidth="1" style="81" min="8" max="8"/>
    <col width="23.5" customWidth="1" style="81" min="9" max="10"/>
    <col width="18.5" customWidth="1" style="55" min="10" max="10"/>
    <col width="24" customWidth="1" style="81" min="11" max="11"/>
    <col width="13" customWidth="1" style="55" min="12" max="12"/>
  </cols>
  <sheetData>
    <row r="1" ht="32" customHeight="1" s="55">
      <c r="A1" s="239" t="inlineStr">
        <is>
          <t>TAHSILATLAR — CARİ HESAP, TAHSİLAT VE MÜŞTERİ RİSK TAKİP SİSTEMİ</t>
        </is>
      </c>
    </row>
    <row r="3" ht="22" customHeight="1" s="55">
      <c r="A3" s="258" t="inlineStr">
        <is>
          <t>TAHSİLAT KAYIT VE EŞLEŞTİRME MERKEZİ</t>
        </is>
      </c>
    </row>
    <row r="5" ht="30" customHeight="1" s="55">
      <c r="A5" s="95" t="inlineStr">
        <is>
          <t>Tahsilat Kayıt Numarası</t>
        </is>
      </c>
      <c r="B5" s="95" t="inlineStr">
        <is>
          <t>Tarih</t>
        </is>
      </c>
      <c r="C5" s="95" t="inlineStr">
        <is>
          <t>Müşteri Kodu</t>
        </is>
      </c>
      <c r="D5" s="95" t="inlineStr">
        <is>
          <t>Fatura Numarası</t>
        </is>
      </c>
      <c r="E5" s="95" t="inlineStr">
        <is>
          <t>Tahsilat Tutarı</t>
        </is>
      </c>
      <c r="F5" s="95" t="inlineStr">
        <is>
          <t>Ödeme Türü</t>
        </is>
      </c>
      <c r="G5" s="95" t="inlineStr">
        <is>
          <t>Banka/Kasa</t>
        </is>
      </c>
      <c r="H5" s="95" t="inlineStr">
        <is>
          <t>Çek/Senet Numarası</t>
        </is>
      </c>
      <c r="I5" s="95" t="inlineStr">
        <is>
          <t>Valör Tarihi</t>
        </is>
      </c>
      <c r="J5" s="95" t="inlineStr">
        <is>
          <t>Kesinleşti mi?</t>
        </is>
      </c>
      <c r="K5" s="95" t="inlineStr">
        <is>
          <t>Açıklama</t>
        </is>
      </c>
    </row>
    <row r="6" ht="15" customHeight="1" s="55">
      <c r="A6" s="96" t="inlineStr">
        <is>
          <t>T001</t>
        </is>
      </c>
      <c r="B6" s="97" t="n">
        <v>46162</v>
      </c>
      <c r="C6" s="96" t="inlineStr">
        <is>
          <t>M001</t>
        </is>
      </c>
      <c r="D6" s="96" t="inlineStr">
        <is>
          <t>2026-001</t>
        </is>
      </c>
      <c r="E6" s="99" t="n">
        <v>300000</v>
      </c>
      <c r="F6" s="96" t="inlineStr">
        <is>
          <t>Havale/EFT</t>
        </is>
      </c>
      <c r="G6" s="96" t="inlineStr">
        <is>
          <t>Akbank</t>
        </is>
      </c>
      <c r="H6" s="96" t="n"/>
      <c r="I6" s="97" t="n">
        <v>46162</v>
      </c>
      <c r="J6" s="102">
        <f>IF($B6="","",IF(ISNUMBER($E6),IF(OR($F6="Çek/Senet",$F6=""),"Hayır","Evet"),"Hayır"))</f>
        <v/>
      </c>
      <c r="K6" s="96" t="n"/>
    </row>
    <row r="7" ht="15" customHeight="1" s="55">
      <c r="A7" s="96" t="inlineStr">
        <is>
          <t>T002</t>
        </is>
      </c>
      <c r="B7" s="97" t="n">
        <v>46218</v>
      </c>
      <c r="C7" s="96" t="inlineStr">
        <is>
          <t>M001</t>
        </is>
      </c>
      <c r="D7" s="96" t="inlineStr">
        <is>
          <t>2026-001</t>
        </is>
      </c>
      <c r="E7" s="99" t="n">
        <v>250000</v>
      </c>
      <c r="F7" s="96" t="inlineStr">
        <is>
          <t>Havale/EFT</t>
        </is>
      </c>
      <c r="G7" s="96" t="inlineStr">
        <is>
          <t>İş Bankası</t>
        </is>
      </c>
      <c r="H7" s="96" t="n"/>
      <c r="I7" s="97" t="n">
        <v>46218</v>
      </c>
      <c r="J7" s="102">
        <f>IF($B7="","",IF(ISNUMBER($E7),IF(OR($F7="Çek/Senet",$F7=""),"Hayır","Evet"),"Hayır"))</f>
        <v/>
      </c>
      <c r="K7" s="96" t="n"/>
    </row>
    <row r="8" ht="15" customHeight="1" s="55">
      <c r="A8" s="96" t="inlineStr">
        <is>
          <t>T003</t>
        </is>
      </c>
      <c r="B8" s="97" t="n">
        <v>46236</v>
      </c>
      <c r="C8" s="96" t="inlineStr">
        <is>
          <t>M002</t>
        </is>
      </c>
      <c r="D8" s="96" t="inlineStr">
        <is>
          <t>2026-003</t>
        </is>
      </c>
      <c r="E8" s="99" t="n">
        <v>180000</v>
      </c>
      <c r="F8" s="96" t="inlineStr">
        <is>
          <t>Havale/EFT</t>
        </is>
      </c>
      <c r="G8" s="96" t="inlineStr">
        <is>
          <t>Garanti</t>
        </is>
      </c>
      <c r="H8" s="96" t="n"/>
      <c r="I8" s="97" t="n">
        <v>46236</v>
      </c>
      <c r="J8" s="102">
        <f>IF($B8="","",IF(ISNUMBER($E8),IF(OR($F8="Çek/Senet",$F8=""),"Hayır","Evet"),"Hayır"))</f>
        <v/>
      </c>
      <c r="K8" s="96" t="n"/>
    </row>
    <row r="9" ht="15" customHeight="1" s="55">
      <c r="A9" s="96" t="inlineStr">
        <is>
          <t>T004</t>
        </is>
      </c>
      <c r="B9" s="97" t="n">
        <v>46183</v>
      </c>
      <c r="C9" s="96" t="inlineStr">
        <is>
          <t>M003</t>
        </is>
      </c>
      <c r="D9" s="96" t="inlineStr">
        <is>
          <t>2026-004</t>
        </is>
      </c>
      <c r="E9" s="99" t="n">
        <v>120000</v>
      </c>
      <c r="F9" s="96" t="inlineStr">
        <is>
          <t>Çek/Senet</t>
        </is>
      </c>
      <c r="G9" s="96" t="n"/>
      <c r="H9" s="96" t="inlineStr">
        <is>
          <t>ÇEK-4412</t>
        </is>
      </c>
      <c r="I9" s="97" t="n">
        <v>46244</v>
      </c>
      <c r="J9" s="102">
        <f>IF($B9="","",IF(ISNUMBER($E9),IF(OR($F9="Çek/Senet",$F9=""),"Hayır","Evet"),"Hayır"))</f>
        <v/>
      </c>
      <c r="K9" s="96" t="inlineStr">
        <is>
          <t>Vade bekleniyor</t>
        </is>
      </c>
    </row>
    <row r="10" ht="15" customHeight="1" s="55">
      <c r="A10" s="101" t="n"/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0">
        <f>IF($B10="","",IF(ISNUMBER($E10),IF(OR($F10="Çek/Senet",$F10=""),"Hayır","Evet"),"Hayır"))</f>
        <v/>
      </c>
      <c r="K10" s="101" t="n"/>
    </row>
    <row r="11" ht="15" customHeight="1" s="55">
      <c r="A11" s="101" t="n"/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0">
        <f>IF($B11="","",IF(ISNUMBER($E11),IF(OR($F11="Çek/Senet",$F11=""),"Hayır","Evet"),"Hayır"))</f>
        <v/>
      </c>
      <c r="K11" s="101" t="n"/>
    </row>
    <row r="12" ht="15" customHeight="1" s="55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0">
        <f>IF($B12="","",IF(ISNUMBER($E12),IF(OR($F12="Çek/Senet",$F12=""),"Hayır","Evet"),"Hayır"))</f>
        <v/>
      </c>
      <c r="K12" s="101" t="n"/>
    </row>
    <row r="13" ht="15" customHeight="1" s="55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0">
        <f>IF($B13="","",IF(ISNUMBER($E13),IF(OR($F13="Çek/Senet",$F13=""),"Hayır","Evet"),"Hayır"))</f>
        <v/>
      </c>
      <c r="K13" s="101" t="n"/>
    </row>
    <row r="14" ht="15" customHeight="1" s="55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0">
        <f>IF($B14="","",IF(ISNUMBER($E14),IF(OR($F14="Çek/Senet",$F14=""),"Hayır","Evet"),"Hayır"))</f>
        <v/>
      </c>
      <c r="K14" s="101" t="n"/>
    </row>
    <row r="15" ht="15" customHeight="1" s="55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0">
        <f>IF($B15="","",IF(ISNUMBER($E15),IF(OR($F15="Çek/Senet",$F15=""),"Hayır","Evet"),"Hayır"))</f>
        <v/>
      </c>
      <c r="K15" s="101" t="n"/>
    </row>
    <row r="16" ht="15" customHeight="1" s="55">
      <c r="A16" s="101" t="n"/>
      <c r="B16" s="101" t="n"/>
      <c r="C16" s="101" t="n"/>
      <c r="D16" s="101" t="n"/>
      <c r="E16" s="101" t="n"/>
      <c r="F16" s="101" t="n"/>
      <c r="G16" s="101" t="n"/>
      <c r="H16" s="101" t="n"/>
      <c r="I16" s="101" t="n"/>
      <c r="J16" s="100">
        <f>IF($B16="","",IF(ISNUMBER($E16),IF(OR($F16="Çek/Senet",$F16=""),"Hayır","Evet"),"Hayır"))</f>
        <v/>
      </c>
      <c r="K16" s="101" t="n"/>
    </row>
    <row r="17" ht="15" customHeight="1" s="55">
      <c r="A17" s="101" t="n"/>
      <c r="B17" s="101" t="n"/>
      <c r="C17" s="101" t="n"/>
      <c r="D17" s="101" t="n"/>
      <c r="E17" s="101" t="n"/>
      <c r="F17" s="101" t="n"/>
      <c r="G17" s="101" t="n"/>
      <c r="H17" s="101" t="n"/>
      <c r="I17" s="101" t="n"/>
      <c r="J17" s="100">
        <f>IF($B17="","",IF(ISNUMBER($E17),IF(OR($F17="Çek/Senet",$F17=""),"Hayır","Evet"),"Hayır"))</f>
        <v/>
      </c>
      <c r="K17" s="101" t="n"/>
    </row>
    <row r="18" ht="15" customHeight="1" s="55">
      <c r="A18" s="101" t="n"/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0">
        <f>IF($B18="","",IF(ISNUMBER($E18),IF(OR($F18="Çek/Senet",$F18=""),"Hayır","Evet"),"Hayır"))</f>
        <v/>
      </c>
      <c r="K18" s="101" t="n"/>
    </row>
    <row r="19" ht="15" customHeight="1" s="55">
      <c r="A19" s="101" t="n"/>
      <c r="B19" s="101" t="n"/>
      <c r="C19" s="101" t="n"/>
      <c r="D19" s="101" t="n"/>
      <c r="E19" s="101" t="n"/>
      <c r="F19" s="101" t="n"/>
      <c r="G19" s="101" t="n"/>
      <c r="H19" s="101" t="n"/>
      <c r="I19" s="101" t="n"/>
      <c r="J19" s="100">
        <f>IF($B19="","",IF(ISNUMBER($E19),IF(OR($F19="Çek/Senet",$F19=""),"Hayır","Evet"),"Hayır"))</f>
        <v/>
      </c>
      <c r="K19" s="101" t="n"/>
    </row>
    <row r="20" ht="15" customHeight="1" s="55">
      <c r="A20" s="101" t="n"/>
      <c r="B20" s="101" t="n"/>
      <c r="C20" s="101" t="n"/>
      <c r="D20" s="101" t="n"/>
      <c r="E20" s="101" t="n"/>
      <c r="F20" s="101" t="n"/>
      <c r="G20" s="101" t="n"/>
      <c r="H20" s="101" t="n"/>
      <c r="I20" s="101" t="n"/>
      <c r="J20" s="100">
        <f>IF($B20="","",IF(ISNUMBER($E20),IF(OR($F20="Çek/Senet",$F20=""),"Hayır","Evet"),"Hayır"))</f>
        <v/>
      </c>
      <c r="K20" s="101" t="n"/>
    </row>
    <row r="21" ht="15" customHeight="1" s="55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0">
        <f>IF($B21="","",IF(ISNUMBER($E21),IF(OR($F21="Çek/Senet",$F21=""),"Hayır","Evet"),"Hayır"))</f>
        <v/>
      </c>
      <c r="K21" s="101" t="n"/>
    </row>
    <row r="22" ht="15" customHeight="1" s="55">
      <c r="A22" s="101" t="n"/>
      <c r="B22" s="101" t="n"/>
      <c r="C22" s="101" t="n"/>
      <c r="D22" s="101" t="n"/>
      <c r="E22" s="101" t="n"/>
      <c r="F22" s="101" t="n"/>
      <c r="G22" s="101" t="n"/>
      <c r="H22" s="101" t="n"/>
      <c r="I22" s="101" t="n"/>
      <c r="J22" s="100">
        <f>IF($B22="","",IF(ISNUMBER($E22),IF(OR($F22="Çek/Senet",$F22=""),"Hayır","Evet"),"Hayır"))</f>
        <v/>
      </c>
      <c r="K22" s="101" t="n"/>
    </row>
    <row r="23" ht="15" customHeight="1" s="55">
      <c r="A23" s="101" t="n"/>
      <c r="B23" s="101" t="n"/>
      <c r="C23" s="101" t="n"/>
      <c r="D23" s="101" t="n"/>
      <c r="E23" s="101" t="n"/>
      <c r="F23" s="101" t="n"/>
      <c r="G23" s="101" t="n"/>
      <c r="H23" s="101" t="n"/>
      <c r="I23" s="101" t="n"/>
      <c r="J23" s="100">
        <f>IF($B23="","",IF(ISNUMBER($E23),IF(OR($F23="Çek/Senet",$F23=""),"Hayır","Evet"),"Hayır"))</f>
        <v/>
      </c>
      <c r="K23" s="101" t="n"/>
    </row>
    <row r="24" ht="15" customHeight="1" s="55">
      <c r="A24" s="101" t="n"/>
      <c r="B24" s="101" t="n"/>
      <c r="C24" s="101" t="n"/>
      <c r="D24" s="101" t="n"/>
      <c r="E24" s="101" t="n"/>
      <c r="F24" s="101" t="n"/>
      <c r="G24" s="101" t="n"/>
      <c r="H24" s="101" t="n"/>
      <c r="I24" s="101" t="n"/>
      <c r="J24" s="100">
        <f>IF($B24="","",IF(ISNUMBER($E24),IF(OR($F24="Çek/Senet",$F24=""),"Hayır","Evet"),"Hayır"))</f>
        <v/>
      </c>
      <c r="K24" s="101" t="n"/>
    </row>
    <row r="25" ht="15" customHeight="1" s="55">
      <c r="A25" s="101" t="n"/>
      <c r="B25" s="101" t="n"/>
      <c r="C25" s="101" t="n"/>
      <c r="D25" s="101" t="n"/>
      <c r="E25" s="101" t="n"/>
      <c r="F25" s="101" t="n"/>
      <c r="G25" s="101" t="n"/>
      <c r="H25" s="101" t="n"/>
      <c r="I25" s="101" t="n"/>
      <c r="J25" s="100">
        <f>IF($B25="","",IF(ISNUMBER($E25),IF(OR($F25="Çek/Senet",$F25=""),"Hayır","Evet"),"Hayır"))</f>
        <v/>
      </c>
      <c r="K25" s="101" t="n"/>
    </row>
    <row r="26" ht="15" customHeight="1" s="55">
      <c r="A26" s="101" t="n"/>
      <c r="B26" s="101" t="n"/>
      <c r="C26" s="101" t="n"/>
      <c r="D26" s="101" t="n"/>
      <c r="E26" s="101" t="n"/>
      <c r="F26" s="101" t="n"/>
      <c r="G26" s="101" t="n"/>
      <c r="H26" s="101" t="n"/>
      <c r="I26" s="101" t="n"/>
      <c r="J26" s="100">
        <f>IF($B26="","",IF(ISNUMBER($E26),IF(OR($F26="Çek/Senet",$F26=""),"Hayır","Evet"),"Hayır"))</f>
        <v/>
      </c>
      <c r="K26" s="101" t="n"/>
    </row>
    <row r="27" ht="15" customHeight="1" s="55">
      <c r="A27" s="101" t="n"/>
      <c r="B27" s="101" t="n"/>
      <c r="C27" s="101" t="n"/>
      <c r="D27" s="101" t="n"/>
      <c r="E27" s="101" t="n"/>
      <c r="F27" s="101" t="n"/>
      <c r="G27" s="101" t="n"/>
      <c r="H27" s="101" t="n"/>
      <c r="I27" s="101" t="n"/>
      <c r="J27" s="100">
        <f>IF($B27="","",IF(ISNUMBER($E27),IF(OR($F27="Çek/Senet",$F27=""),"Hayır","Evet"),"Hayır"))</f>
        <v/>
      </c>
      <c r="K27" s="101" t="n"/>
    </row>
    <row r="28" ht="15" customHeight="1" s="55">
      <c r="A28" s="101" t="n"/>
      <c r="B28" s="101" t="n"/>
      <c r="C28" s="101" t="n"/>
      <c r="D28" s="101" t="n"/>
      <c r="E28" s="101" t="n"/>
      <c r="F28" s="101" t="n"/>
      <c r="G28" s="101" t="n"/>
      <c r="H28" s="101" t="n"/>
      <c r="I28" s="101" t="n"/>
      <c r="J28" s="100">
        <f>IF($B28="","",IF(ISNUMBER($E28),IF(OR($F28="Çek/Senet",$F28=""),"Hayır","Evet"),"Hayır"))</f>
        <v/>
      </c>
      <c r="K28" s="101" t="n"/>
    </row>
    <row r="29" ht="15" customHeight="1" s="55">
      <c r="A29" s="101" t="n"/>
      <c r="B29" s="101" t="n"/>
      <c r="C29" s="101" t="n"/>
      <c r="D29" s="101" t="n"/>
      <c r="E29" s="101" t="n"/>
      <c r="F29" s="101" t="n"/>
      <c r="G29" s="101" t="n"/>
      <c r="H29" s="101" t="n"/>
      <c r="I29" s="101" t="n"/>
      <c r="J29" s="100">
        <f>IF($B29="","",IF(ISNUMBER($E29),IF(OR($F29="Çek/Senet",$F29=""),"Hayır","Evet"),"Hayır"))</f>
        <v/>
      </c>
      <c r="K29" s="101" t="n"/>
    </row>
    <row r="30" ht="15" customHeight="1" s="55">
      <c r="A30" s="101" t="n"/>
      <c r="B30" s="101" t="n"/>
      <c r="C30" s="101" t="n"/>
      <c r="D30" s="101" t="n"/>
      <c r="E30" s="101" t="n"/>
      <c r="F30" s="101" t="n"/>
      <c r="G30" s="101" t="n"/>
      <c r="H30" s="101" t="n"/>
      <c r="I30" s="101" t="n"/>
      <c r="J30" s="100">
        <f>IF($B30="","",IF(ISNUMBER($E30),IF(OR($F30="Çek/Senet",$F30=""),"Hayır","Evet"),"Hayır"))</f>
        <v/>
      </c>
      <c r="K30" s="101" t="n"/>
    </row>
    <row r="31" ht="15" customHeight="1" s="55">
      <c r="A31" s="101" t="n"/>
      <c r="B31" s="101" t="n"/>
      <c r="C31" s="101" t="n"/>
      <c r="D31" s="101" t="n"/>
      <c r="E31" s="101" t="n"/>
      <c r="F31" s="101" t="n"/>
      <c r="G31" s="101" t="n"/>
      <c r="H31" s="101" t="n"/>
      <c r="I31" s="101" t="n"/>
      <c r="J31" s="100">
        <f>IF($B31="","",IF(ISNUMBER($E31),IF(OR($F31="Çek/Senet",$F31=""),"Hayır","Evet"),"Hayır"))</f>
        <v/>
      </c>
      <c r="K31" s="101" t="n"/>
    </row>
    <row r="32" ht="15" customHeight="1" s="55">
      <c r="A32" s="101" t="n"/>
      <c r="B32" s="101" t="n"/>
      <c r="C32" s="101" t="n"/>
      <c r="D32" s="101" t="n"/>
      <c r="E32" s="101" t="n"/>
      <c r="F32" s="101" t="n"/>
      <c r="G32" s="101" t="n"/>
      <c r="H32" s="101" t="n"/>
      <c r="I32" s="101" t="n"/>
      <c r="J32" s="100">
        <f>IF($B32="","",IF(ISNUMBER($E32),IF(OR($F32="Çek/Senet",$F32=""),"Hayır","Evet"),"Hayır"))</f>
        <v/>
      </c>
      <c r="K32" s="101" t="n"/>
    </row>
    <row r="33" ht="15" customHeight="1" s="55">
      <c r="A33" s="101" t="n"/>
      <c r="B33" s="101" t="n"/>
      <c r="C33" s="101" t="n"/>
      <c r="D33" s="101" t="n"/>
      <c r="E33" s="101" t="n"/>
      <c r="F33" s="101" t="n"/>
      <c r="G33" s="101" t="n"/>
      <c r="H33" s="101" t="n"/>
      <c r="I33" s="101" t="n"/>
      <c r="J33" s="100">
        <f>IF($B33="","",IF(ISNUMBER($E33),IF(OR($F33="Çek/Senet",$F33=""),"Hayır","Evet"),"Hayır"))</f>
        <v/>
      </c>
      <c r="K33" s="101" t="n"/>
    </row>
    <row r="34" ht="15" customHeight="1" s="55">
      <c r="A34" s="101" t="n"/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0">
        <f>IF($B34="","",IF(ISNUMBER($E34),IF(OR($F34="Çek/Senet",$F34=""),"Hayır","Evet"),"Hayır"))</f>
        <v/>
      </c>
      <c r="K34" s="101" t="n"/>
    </row>
    <row r="35" ht="15" customHeight="1" s="55">
      <c r="A35" s="101" t="n"/>
      <c r="B35" s="101" t="n"/>
      <c r="C35" s="101" t="n"/>
      <c r="D35" s="101" t="n"/>
      <c r="E35" s="101" t="n"/>
      <c r="F35" s="101" t="n"/>
      <c r="G35" s="101" t="n"/>
      <c r="H35" s="101" t="n"/>
      <c r="I35" s="101" t="n"/>
      <c r="J35" s="100">
        <f>IF($B35="","",IF(ISNUMBER($E35),IF(OR($F35="Çek/Senet",$F35=""),"Hayır","Evet"),"Hayır"))</f>
        <v/>
      </c>
      <c r="K35" s="101" t="n"/>
    </row>
    <row r="36" ht="15" customHeight="1" s="55">
      <c r="A36" s="101" t="n"/>
      <c r="B36" s="101" t="n"/>
      <c r="C36" s="101" t="n"/>
      <c r="D36" s="101" t="n"/>
      <c r="E36" s="101" t="n"/>
      <c r="F36" s="101" t="n"/>
      <c r="G36" s="101" t="n"/>
      <c r="H36" s="101" t="n"/>
      <c r="I36" s="101" t="n"/>
      <c r="J36" s="100">
        <f>IF($B36="","",IF(ISNUMBER($E36),IF(OR($F36="Çek/Senet",$F36=""),"Hayır","Evet"),"Hayır"))</f>
        <v/>
      </c>
      <c r="K36" s="101" t="n"/>
    </row>
    <row r="37" ht="15" customHeight="1" s="55">
      <c r="A37" s="101" t="n"/>
      <c r="B37" s="101" t="n"/>
      <c r="C37" s="101" t="n"/>
      <c r="D37" s="101" t="n"/>
      <c r="E37" s="101" t="n"/>
      <c r="F37" s="101" t="n"/>
      <c r="G37" s="101" t="n"/>
      <c r="H37" s="101" t="n"/>
      <c r="I37" s="101" t="n"/>
      <c r="J37" s="100">
        <f>IF($B37="","",IF(ISNUMBER($E37),IF(OR($F37="Çek/Senet",$F37=""),"Hayır","Evet"),"Hayır"))</f>
        <v/>
      </c>
      <c r="K37" s="101" t="n"/>
    </row>
    <row r="38" ht="15" customHeight="1" s="55">
      <c r="A38" s="101" t="n"/>
      <c r="B38" s="101" t="n"/>
      <c r="C38" s="101" t="n"/>
      <c r="D38" s="101" t="n"/>
      <c r="E38" s="101" t="n"/>
      <c r="F38" s="101" t="n"/>
      <c r="G38" s="101" t="n"/>
      <c r="H38" s="101" t="n"/>
      <c r="I38" s="101" t="n"/>
      <c r="J38" s="100">
        <f>IF($B38="","",IF(ISNUMBER($E38),IF(OR($F38="Çek/Senet",$F38=""),"Hayır","Evet"),"Hayır"))</f>
        <v/>
      </c>
      <c r="K38" s="101" t="n"/>
    </row>
    <row r="39" ht="15" customHeight="1" s="55">
      <c r="A39" s="101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0">
        <f>IF($B39="","",IF(ISNUMBER($E39),IF(OR($F39="Çek/Senet",$F39=""),"Hayır","Evet"),"Hayır"))</f>
        <v/>
      </c>
      <c r="K39" s="101" t="n"/>
    </row>
    <row r="40" ht="15" customHeight="1" s="55">
      <c r="A40" s="101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0">
        <f>IF($B40="","",IF(ISNUMBER($E40),IF(OR($F40="Çek/Senet",$F40=""),"Hayır","Evet"),"Hayır"))</f>
        <v/>
      </c>
      <c r="K40" s="101" t="n"/>
    </row>
    <row r="41" ht="15" customHeight="1" s="55">
      <c r="A41" s="101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0">
        <f>IF($B41="","",IF(ISNUMBER($E41),IF(OR($F41="Çek/Senet",$F41=""),"Hayır","Evet"),"Hayır"))</f>
        <v/>
      </c>
      <c r="K41" s="101" t="n"/>
    </row>
    <row r="42" ht="15" customHeight="1" s="55">
      <c r="A42" s="101" t="n"/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0">
        <f>IF($B42="","",IF(ISNUMBER($E42),IF(OR($F42="Çek/Senet",$F42=""),"Hayır","Evet"),"Hayır"))</f>
        <v/>
      </c>
      <c r="K42" s="101" t="n"/>
    </row>
    <row r="43" ht="15" customHeight="1" s="55">
      <c r="A43" s="101" t="n"/>
      <c r="B43" s="101" t="n"/>
      <c r="C43" s="101" t="n"/>
      <c r="D43" s="101" t="n"/>
      <c r="E43" s="101" t="n"/>
      <c r="F43" s="101" t="n"/>
      <c r="G43" s="101" t="n"/>
      <c r="H43" s="101" t="n"/>
      <c r="I43" s="101" t="n"/>
      <c r="J43" s="100">
        <f>IF($B43="","",IF(ISNUMBER($E43),IF(OR($F43="Çek/Senet",$F43=""),"Hayır","Evet"),"Hayır"))</f>
        <v/>
      </c>
      <c r="K43" s="101" t="n"/>
    </row>
    <row r="44" ht="15" customHeight="1" s="55">
      <c r="A44" s="101" t="n"/>
      <c r="B44" s="101" t="n"/>
      <c r="C44" s="101" t="n"/>
      <c r="D44" s="101" t="n"/>
      <c r="E44" s="101" t="n"/>
      <c r="F44" s="101" t="n"/>
      <c r="G44" s="101" t="n"/>
      <c r="H44" s="101" t="n"/>
      <c r="I44" s="101" t="n"/>
      <c r="J44" s="100">
        <f>IF($B44="","",IF(ISNUMBER($E44),IF(OR($F44="Çek/Senet",$F44=""),"Hayır","Evet"),"Hayır"))</f>
        <v/>
      </c>
      <c r="K44" s="101" t="n"/>
    </row>
    <row r="45" ht="15" customHeight="1" s="55">
      <c r="A45" s="101" t="n"/>
      <c r="B45" s="101" t="n"/>
      <c r="C45" s="101" t="n"/>
      <c r="D45" s="101" t="n"/>
      <c r="E45" s="101" t="n"/>
      <c r="F45" s="101" t="n"/>
      <c r="G45" s="101" t="n"/>
      <c r="H45" s="101" t="n"/>
      <c r="I45" s="101" t="n"/>
      <c r="J45" s="100">
        <f>IF($B45="","",IF(ISNUMBER($E45),IF(OR($F45="Çek/Senet",$F45=""),"Hayır","Evet"),"Hayır"))</f>
        <v/>
      </c>
      <c r="K45" s="101" t="n"/>
    </row>
    <row r="46" ht="15" customHeight="1" s="55">
      <c r="A46" s="101" t="n"/>
      <c r="B46" s="101" t="n"/>
      <c r="C46" s="101" t="n"/>
      <c r="D46" s="101" t="n"/>
      <c r="E46" s="101" t="n"/>
      <c r="F46" s="101" t="n"/>
      <c r="G46" s="101" t="n"/>
      <c r="H46" s="101" t="n"/>
      <c r="I46" s="101" t="n"/>
      <c r="K46" s="101" t="n"/>
    </row>
    <row r="47" ht="15" customHeight="1" s="55">
      <c r="A47" s="101" t="n"/>
      <c r="B47" s="101" t="n"/>
      <c r="C47" s="101" t="n"/>
      <c r="D47" s="101" t="n"/>
      <c r="E47" s="101" t="n"/>
      <c r="F47" s="101" t="n"/>
      <c r="G47" s="101" t="n"/>
      <c r="H47" s="101" t="n"/>
      <c r="I47" s="101" t="n"/>
      <c r="K47" s="101" t="n"/>
    </row>
    <row r="48" ht="15" customHeight="1" s="55">
      <c r="A48" s="101" t="n"/>
      <c r="B48" s="101" t="n"/>
      <c r="C48" s="101" t="n"/>
      <c r="D48" s="101" t="n"/>
      <c r="E48" s="101" t="n"/>
      <c r="F48" s="101" t="n"/>
      <c r="G48" s="101" t="n"/>
      <c r="H48" s="101" t="n"/>
      <c r="I48" s="101" t="n"/>
      <c r="K48" s="101" t="n"/>
    </row>
    <row r="49" ht="15" customHeight="1" s="55">
      <c r="A49" s="101" t="n"/>
      <c r="B49" s="101" t="n"/>
      <c r="C49" s="101" t="n"/>
      <c r="D49" s="101" t="n"/>
      <c r="E49" s="101" t="n"/>
      <c r="F49" s="101" t="n"/>
      <c r="G49" s="101" t="n"/>
      <c r="H49" s="101" t="n"/>
      <c r="I49" s="101" t="n"/>
      <c r="K49" s="101" t="n"/>
    </row>
    <row r="50" ht="15" customHeight="1" s="55">
      <c r="A50" s="101" t="n"/>
      <c r="B50" s="101" t="n"/>
      <c r="C50" s="101" t="n"/>
      <c r="D50" s="101" t="n"/>
      <c r="E50" s="101" t="n"/>
      <c r="F50" s="101" t="n"/>
      <c r="G50" s="101" t="n"/>
      <c r="H50" s="101" t="n"/>
      <c r="I50" s="101" t="n"/>
      <c r="K50" s="101" t="n"/>
    </row>
    <row r="51" ht="15" customHeight="1" s="55">
      <c r="A51" s="101" t="n"/>
      <c r="B51" s="101" t="n"/>
      <c r="C51" s="101" t="n"/>
      <c r="D51" s="101" t="n"/>
      <c r="E51" s="101" t="n"/>
      <c r="F51" s="101" t="n"/>
      <c r="G51" s="101" t="n"/>
      <c r="H51" s="101" t="n"/>
      <c r="I51" s="101" t="n"/>
      <c r="K51" s="101" t="n"/>
    </row>
    <row r="52" ht="15" customHeight="1" s="55">
      <c r="A52" s="101" t="n"/>
      <c r="B52" s="101" t="n"/>
      <c r="C52" s="101" t="n"/>
      <c r="D52" s="101" t="n"/>
      <c r="E52" s="101" t="n"/>
      <c r="F52" s="101" t="n"/>
      <c r="G52" s="101" t="n"/>
      <c r="H52" s="101" t="n"/>
      <c r="I52" s="101" t="n"/>
      <c r="K52" s="101" t="n"/>
    </row>
    <row r="53" ht="15" customHeight="1" s="55">
      <c r="A53" s="101" t="n"/>
      <c r="B53" s="101" t="n"/>
      <c r="C53" s="101" t="n"/>
      <c r="D53" s="101" t="n"/>
      <c r="E53" s="101" t="n"/>
      <c r="F53" s="101" t="n"/>
      <c r="G53" s="101" t="n"/>
      <c r="H53" s="101" t="n"/>
      <c r="I53" s="101" t="n"/>
      <c r="K53" s="101" t="n"/>
    </row>
    <row r="54" ht="15" customHeight="1" s="55">
      <c r="A54" s="101" t="n"/>
      <c r="B54" s="101" t="n"/>
      <c r="C54" s="101" t="n"/>
      <c r="D54" s="101" t="n"/>
      <c r="E54" s="101" t="n"/>
      <c r="F54" s="101" t="n"/>
      <c r="G54" s="101" t="n"/>
      <c r="H54" s="101" t="n"/>
      <c r="I54" s="101" t="n"/>
      <c r="K54" s="101" t="n"/>
    </row>
    <row r="55" ht="15" customHeight="1" s="55">
      <c r="A55" s="101" t="n"/>
      <c r="B55" s="101" t="n"/>
      <c r="C55" s="101" t="n"/>
      <c r="D55" s="101" t="n"/>
      <c r="E55" s="101" t="n"/>
      <c r="F55" s="101" t="n"/>
      <c r="G55" s="101" t="n"/>
      <c r="H55" s="101" t="n"/>
      <c r="I55" s="101" t="n"/>
      <c r="K55" s="101" t="n"/>
    </row>
    <row r="56" ht="15" customHeight="1" s="55">
      <c r="A56" s="101" t="n"/>
      <c r="B56" s="101" t="n"/>
      <c r="C56" s="101" t="n"/>
      <c r="D56" s="101" t="n"/>
      <c r="E56" s="101" t="n"/>
      <c r="F56" s="101" t="n"/>
      <c r="G56" s="101" t="n"/>
      <c r="H56" s="101" t="n"/>
      <c r="I56" s="101" t="n"/>
      <c r="K56" s="101" t="n"/>
    </row>
    <row r="57" ht="15" customHeight="1" s="55">
      <c r="A57" s="101" t="n"/>
      <c r="B57" s="101" t="n"/>
      <c r="C57" s="101" t="n"/>
      <c r="D57" s="101" t="n"/>
      <c r="E57" s="101" t="n"/>
      <c r="F57" s="101" t="n"/>
      <c r="G57" s="101" t="n"/>
      <c r="H57" s="101" t="n"/>
      <c r="I57" s="101" t="n"/>
      <c r="K57" s="101" t="n"/>
    </row>
    <row r="58" ht="15" customHeight="1" s="55">
      <c r="A58" s="101" t="n"/>
      <c r="B58" s="101" t="n"/>
      <c r="C58" s="101" t="n"/>
      <c r="D58" s="101" t="n"/>
      <c r="E58" s="101" t="n"/>
      <c r="F58" s="101" t="n"/>
      <c r="G58" s="101" t="n"/>
      <c r="H58" s="101" t="n"/>
      <c r="I58" s="101" t="n"/>
      <c r="K58" s="101" t="n"/>
    </row>
    <row r="59" ht="15" customHeight="1" s="55">
      <c r="A59" s="101" t="n"/>
      <c r="B59" s="101" t="n"/>
      <c r="C59" s="101" t="n"/>
      <c r="D59" s="101" t="n"/>
      <c r="E59" s="101" t="n"/>
      <c r="F59" s="101" t="n"/>
      <c r="G59" s="101" t="n"/>
      <c r="H59" s="101" t="n"/>
      <c r="I59" s="101" t="n"/>
      <c r="K59" s="101" t="n"/>
    </row>
    <row r="60" ht="15" customHeight="1" s="55">
      <c r="A60" s="101" t="n"/>
      <c r="B60" s="101" t="n"/>
      <c r="C60" s="101" t="n"/>
      <c r="D60" s="101" t="n"/>
      <c r="E60" s="101" t="n"/>
      <c r="F60" s="101" t="n"/>
      <c r="G60" s="101" t="n"/>
      <c r="H60" s="101" t="n"/>
      <c r="I60" s="101" t="n"/>
      <c r="K60" s="101" t="n"/>
    </row>
    <row r="61" ht="15" customHeight="1" s="55">
      <c r="A61" s="101" t="n"/>
      <c r="B61" s="101" t="n"/>
      <c r="C61" s="101" t="n"/>
      <c r="D61" s="101" t="n"/>
      <c r="E61" s="101" t="n"/>
      <c r="F61" s="101" t="n"/>
      <c r="G61" s="101" t="n"/>
      <c r="H61" s="101" t="n"/>
      <c r="I61" s="101" t="n"/>
      <c r="K61" s="101" t="n"/>
    </row>
    <row r="62" ht="15" customHeight="1" s="55">
      <c r="A62" s="101" t="n"/>
      <c r="B62" s="101" t="n"/>
      <c r="C62" s="101" t="n"/>
      <c r="D62" s="101" t="n"/>
      <c r="E62" s="101" t="n"/>
      <c r="F62" s="101" t="n"/>
      <c r="G62" s="101" t="n"/>
      <c r="H62" s="101" t="n"/>
      <c r="I62" s="101" t="n"/>
      <c r="K62" s="101" t="n"/>
    </row>
    <row r="63" ht="15" customHeight="1" s="55">
      <c r="A63" s="101" t="n"/>
      <c r="B63" s="101" t="n"/>
      <c r="C63" s="101" t="n"/>
      <c r="D63" s="101" t="n"/>
      <c r="E63" s="101" t="n"/>
      <c r="F63" s="101" t="n"/>
      <c r="G63" s="101" t="n"/>
      <c r="H63" s="101" t="n"/>
      <c r="I63" s="101" t="n"/>
      <c r="K63" s="101" t="n"/>
    </row>
    <row r="64" ht="15" customHeight="1" s="55">
      <c r="A64" s="101" t="n"/>
      <c r="B64" s="101" t="n"/>
      <c r="C64" s="101" t="n"/>
      <c r="D64" s="101" t="n"/>
      <c r="E64" s="101" t="n"/>
      <c r="F64" s="101" t="n"/>
      <c r="G64" s="101" t="n"/>
      <c r="H64" s="101" t="n"/>
      <c r="I64" s="101" t="n"/>
      <c r="K64" s="101" t="n"/>
    </row>
    <row r="65" ht="15" customHeight="1" s="55">
      <c r="A65" s="101" t="n"/>
      <c r="B65" s="101" t="n"/>
      <c r="C65" s="101" t="n"/>
      <c r="D65" s="101" t="n"/>
      <c r="E65" s="101" t="n"/>
      <c r="F65" s="101" t="n"/>
      <c r="G65" s="101" t="n"/>
      <c r="H65" s="101" t="n"/>
      <c r="I65" s="101" t="n"/>
      <c r="K65" s="101" t="n"/>
    </row>
    <row r="66" ht="15" customHeight="1" s="55">
      <c r="A66" s="101" t="n"/>
      <c r="B66" s="101" t="n"/>
      <c r="C66" s="101" t="n"/>
      <c r="D66" s="101" t="n"/>
      <c r="E66" s="101" t="n"/>
      <c r="F66" s="101" t="n"/>
      <c r="G66" s="101" t="n"/>
      <c r="H66" s="101" t="n"/>
      <c r="I66" s="101" t="n"/>
      <c r="K66" s="101" t="n"/>
    </row>
    <row r="67" ht="15" customHeight="1" s="55">
      <c r="A67" s="101" t="n"/>
      <c r="B67" s="101" t="n"/>
      <c r="C67" s="101" t="n"/>
      <c r="D67" s="101" t="n"/>
      <c r="E67" s="101" t="n"/>
      <c r="F67" s="101" t="n"/>
      <c r="G67" s="101" t="n"/>
      <c r="H67" s="101" t="n"/>
      <c r="I67" s="101" t="n"/>
      <c r="K67" s="101" t="n"/>
    </row>
    <row r="68" ht="15" customHeight="1" s="55">
      <c r="A68" s="101" t="n"/>
      <c r="B68" s="101" t="n"/>
      <c r="C68" s="101" t="n"/>
      <c r="D68" s="101" t="n"/>
      <c r="E68" s="101" t="n"/>
      <c r="F68" s="101" t="n"/>
      <c r="G68" s="101" t="n"/>
      <c r="H68" s="101" t="n"/>
      <c r="I68" s="101" t="n"/>
      <c r="K68" s="101" t="n"/>
    </row>
    <row r="69" ht="15" customHeight="1" s="55">
      <c r="A69" s="101" t="n"/>
      <c r="B69" s="101" t="n"/>
      <c r="C69" s="101" t="n"/>
      <c r="D69" s="101" t="n"/>
      <c r="E69" s="101" t="n"/>
      <c r="F69" s="101" t="n"/>
      <c r="G69" s="101" t="n"/>
      <c r="H69" s="101" t="n"/>
      <c r="I69" s="101" t="n"/>
      <c r="K69" s="101" t="n"/>
    </row>
    <row r="70" ht="15" customHeight="1" s="55">
      <c r="A70" s="101" t="n"/>
      <c r="B70" s="101" t="n"/>
      <c r="C70" s="101" t="n"/>
      <c r="D70" s="101" t="n"/>
      <c r="E70" s="101" t="n"/>
      <c r="F70" s="101" t="n"/>
      <c r="G70" s="101" t="n"/>
      <c r="H70" s="101" t="n"/>
      <c r="I70" s="101" t="n"/>
      <c r="K70" s="101" t="n"/>
    </row>
    <row r="71" ht="15" customHeight="1" s="55">
      <c r="A71" s="101" t="n"/>
      <c r="B71" s="101" t="n"/>
      <c r="C71" s="101" t="n"/>
      <c r="D71" s="101" t="n"/>
      <c r="E71" s="101" t="n"/>
      <c r="F71" s="101" t="n"/>
      <c r="G71" s="101" t="n"/>
      <c r="H71" s="101" t="n"/>
      <c r="I71" s="101" t="n"/>
      <c r="K71" s="101" t="n"/>
    </row>
    <row r="72" ht="15" customHeight="1" s="55">
      <c r="A72" s="101" t="n"/>
      <c r="B72" s="101" t="n"/>
      <c r="C72" s="101" t="n"/>
      <c r="D72" s="101" t="n"/>
      <c r="E72" s="101" t="n"/>
      <c r="F72" s="101" t="n"/>
      <c r="G72" s="101" t="n"/>
      <c r="H72" s="101" t="n"/>
      <c r="I72" s="101" t="n"/>
      <c r="K72" s="101" t="n"/>
    </row>
    <row r="73" ht="15" customHeight="1" s="55">
      <c r="A73" s="101" t="n"/>
      <c r="B73" s="101" t="n"/>
      <c r="C73" s="101" t="n"/>
      <c r="D73" s="101" t="n"/>
      <c r="E73" s="101" t="n"/>
      <c r="F73" s="101" t="n"/>
      <c r="G73" s="101" t="n"/>
      <c r="H73" s="101" t="n"/>
      <c r="I73" s="101" t="n"/>
      <c r="K73" s="101" t="n"/>
    </row>
    <row r="74" ht="15" customHeight="1" s="55">
      <c r="A74" s="101" t="n"/>
      <c r="B74" s="101" t="n"/>
      <c r="C74" s="101" t="n"/>
      <c r="D74" s="101" t="n"/>
      <c r="E74" s="101" t="n"/>
      <c r="F74" s="101" t="n"/>
      <c r="G74" s="101" t="n"/>
      <c r="H74" s="101" t="n"/>
      <c r="I74" s="101" t="n"/>
      <c r="K74" s="101" t="n"/>
    </row>
    <row r="75" ht="15" customHeight="1" s="55">
      <c r="A75" s="101" t="n"/>
      <c r="B75" s="101" t="n"/>
      <c r="C75" s="101" t="n"/>
      <c r="D75" s="101" t="n"/>
      <c r="E75" s="101" t="n"/>
      <c r="F75" s="101" t="n"/>
      <c r="G75" s="101" t="n"/>
      <c r="H75" s="101" t="n"/>
      <c r="I75" s="101" t="n"/>
      <c r="K75" s="101" t="n"/>
    </row>
    <row r="76" ht="15" customHeight="1" s="55">
      <c r="A76" s="101" t="n"/>
      <c r="B76" s="101" t="n"/>
      <c r="C76" s="101" t="n"/>
      <c r="D76" s="101" t="n"/>
      <c r="E76" s="101" t="n"/>
      <c r="F76" s="101" t="n"/>
      <c r="G76" s="101" t="n"/>
      <c r="H76" s="101" t="n"/>
      <c r="I76" s="101" t="n"/>
      <c r="K76" s="101" t="n"/>
    </row>
    <row r="77" ht="15" customHeight="1" s="55">
      <c r="A77" s="101" t="n"/>
      <c r="B77" s="101" t="n"/>
      <c r="C77" s="101" t="n"/>
      <c r="D77" s="101" t="n"/>
      <c r="E77" s="101" t="n"/>
      <c r="F77" s="101" t="n"/>
      <c r="G77" s="101" t="n"/>
      <c r="H77" s="101" t="n"/>
      <c r="I77" s="101" t="n"/>
      <c r="K77" s="101" t="n"/>
    </row>
    <row r="78" ht="15" customHeight="1" s="55">
      <c r="A78" s="101" t="n"/>
      <c r="B78" s="101" t="n"/>
      <c r="C78" s="101" t="n"/>
      <c r="D78" s="101" t="n"/>
      <c r="E78" s="101" t="n"/>
      <c r="F78" s="101" t="n"/>
      <c r="G78" s="101" t="n"/>
      <c r="H78" s="101" t="n"/>
      <c r="I78" s="101" t="n"/>
      <c r="K78" s="101" t="n"/>
    </row>
    <row r="79" ht="15" customHeight="1" s="55">
      <c r="A79" s="101" t="n"/>
      <c r="B79" s="101" t="n"/>
      <c r="C79" s="101" t="n"/>
      <c r="D79" s="101" t="n"/>
      <c r="E79" s="101" t="n"/>
      <c r="F79" s="101" t="n"/>
      <c r="G79" s="101" t="n"/>
      <c r="H79" s="101" t="n"/>
      <c r="I79" s="101" t="n"/>
      <c r="K79" s="101" t="n"/>
    </row>
    <row r="80" ht="15" customHeight="1" s="55">
      <c r="A80" s="101" t="n"/>
      <c r="B80" s="101" t="n"/>
      <c r="C80" s="101" t="n"/>
      <c r="D80" s="101" t="n"/>
      <c r="E80" s="101" t="n"/>
      <c r="F80" s="101" t="n"/>
      <c r="G80" s="101" t="n"/>
      <c r="H80" s="101" t="n"/>
      <c r="I80" s="101" t="n"/>
      <c r="K80" s="101" t="n"/>
    </row>
    <row r="81" ht="15" customHeight="1" s="55">
      <c r="A81" s="101" t="n"/>
      <c r="B81" s="101" t="n"/>
      <c r="C81" s="101" t="n"/>
      <c r="D81" s="101" t="n"/>
      <c r="E81" s="101" t="n"/>
      <c r="F81" s="101" t="n"/>
      <c r="G81" s="101" t="n"/>
      <c r="H81" s="101" t="n"/>
      <c r="I81" s="101" t="n"/>
      <c r="K81" s="101" t="n"/>
    </row>
    <row r="82" ht="15" customHeight="1" s="55">
      <c r="A82" s="101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K82" s="101" t="n"/>
    </row>
    <row r="83" ht="15" customHeight="1" s="55">
      <c r="A83" s="101" t="n"/>
      <c r="B83" s="101" t="n"/>
      <c r="C83" s="101" t="n"/>
      <c r="D83" s="101" t="n"/>
      <c r="E83" s="101" t="n"/>
      <c r="F83" s="101" t="n"/>
      <c r="G83" s="101" t="n"/>
      <c r="H83" s="101" t="n"/>
      <c r="I83" s="101" t="n"/>
      <c r="K83" s="101" t="n"/>
    </row>
    <row r="84" ht="15" customHeight="1" s="55">
      <c r="A84" s="101" t="n"/>
      <c r="B84" s="101" t="n"/>
      <c r="C84" s="101" t="n"/>
      <c r="D84" s="101" t="n"/>
      <c r="E84" s="101" t="n"/>
      <c r="F84" s="101" t="n"/>
      <c r="G84" s="101" t="n"/>
      <c r="H84" s="101" t="n"/>
      <c r="I84" s="101" t="n"/>
      <c r="K84" s="101" t="n"/>
    </row>
    <row r="85" ht="15" customHeight="1" s="55">
      <c r="A85" s="101" t="n"/>
      <c r="B85" s="101" t="n"/>
      <c r="C85" s="101" t="n"/>
      <c r="D85" s="101" t="n"/>
      <c r="E85" s="101" t="n"/>
      <c r="F85" s="101" t="n"/>
      <c r="G85" s="101" t="n"/>
      <c r="H85" s="101" t="n"/>
      <c r="I85" s="101" t="n"/>
      <c r="K85" s="101" t="n"/>
    </row>
    <row r="86" ht="15" customHeight="1" s="55">
      <c r="A86" s="101" t="n"/>
      <c r="B86" s="101" t="n"/>
      <c r="C86" s="101" t="n"/>
      <c r="D86" s="101" t="n"/>
      <c r="E86" s="101" t="n"/>
      <c r="F86" s="101" t="n"/>
      <c r="G86" s="101" t="n"/>
      <c r="H86" s="101" t="n"/>
      <c r="I86" s="101" t="n"/>
      <c r="K86" s="101" t="n"/>
    </row>
    <row r="87" ht="15" customHeight="1" s="55">
      <c r="A87" s="101" t="n"/>
      <c r="B87" s="101" t="n"/>
      <c r="C87" s="101" t="n"/>
      <c r="D87" s="101" t="n"/>
      <c r="E87" s="101" t="n"/>
      <c r="F87" s="101" t="n"/>
      <c r="G87" s="101" t="n"/>
      <c r="H87" s="101" t="n"/>
      <c r="I87" s="101" t="n"/>
      <c r="K87" s="101" t="n"/>
    </row>
    <row r="88" ht="15" customHeight="1" s="55">
      <c r="A88" s="101" t="n"/>
      <c r="B88" s="101" t="n"/>
      <c r="C88" s="101" t="n"/>
      <c r="D88" s="101" t="n"/>
      <c r="E88" s="101" t="n"/>
      <c r="F88" s="101" t="n"/>
      <c r="G88" s="101" t="n"/>
      <c r="H88" s="101" t="n"/>
      <c r="I88" s="101" t="n"/>
      <c r="K88" s="101" t="n"/>
    </row>
    <row r="89" ht="15" customHeight="1" s="55">
      <c r="A89" s="101" t="n"/>
      <c r="B89" s="101" t="n"/>
      <c r="C89" s="101" t="n"/>
      <c r="D89" s="101" t="n"/>
      <c r="E89" s="101" t="n"/>
      <c r="F89" s="101" t="n"/>
      <c r="G89" s="101" t="n"/>
      <c r="H89" s="101" t="n"/>
      <c r="I89" s="101" t="n"/>
      <c r="K89" s="101" t="n"/>
    </row>
    <row r="90" ht="15" customHeight="1" s="55">
      <c r="A90" s="101" t="n"/>
      <c r="B90" s="101" t="n"/>
      <c r="C90" s="101" t="n"/>
      <c r="D90" s="101" t="n"/>
      <c r="E90" s="101" t="n"/>
      <c r="F90" s="101" t="n"/>
      <c r="G90" s="101" t="n"/>
      <c r="H90" s="101" t="n"/>
      <c r="I90" s="101" t="n"/>
      <c r="K90" s="101" t="n"/>
    </row>
    <row r="91" ht="15" customHeight="1" s="55">
      <c r="A91" s="101" t="n"/>
      <c r="B91" s="101" t="n"/>
      <c r="C91" s="101" t="n"/>
      <c r="D91" s="101" t="n"/>
      <c r="E91" s="101" t="n"/>
      <c r="F91" s="101" t="n"/>
      <c r="G91" s="101" t="n"/>
      <c r="H91" s="101" t="n"/>
      <c r="I91" s="101" t="n"/>
      <c r="K91" s="101" t="n"/>
    </row>
    <row r="92" ht="15" customHeight="1" s="55">
      <c r="A92" s="101" t="n"/>
      <c r="B92" s="101" t="n"/>
      <c r="C92" s="101" t="n"/>
      <c r="D92" s="101" t="n"/>
      <c r="E92" s="101" t="n"/>
      <c r="F92" s="101" t="n"/>
      <c r="G92" s="101" t="n"/>
      <c r="H92" s="101" t="n"/>
      <c r="I92" s="101" t="n"/>
      <c r="K92" s="101" t="n"/>
    </row>
    <row r="93" ht="15" customHeight="1" s="55">
      <c r="A93" s="101" t="n"/>
      <c r="B93" s="101" t="n"/>
      <c r="C93" s="101" t="n"/>
      <c r="D93" s="101" t="n"/>
      <c r="E93" s="101" t="n"/>
      <c r="F93" s="101" t="n"/>
      <c r="G93" s="101" t="n"/>
      <c r="H93" s="101" t="n"/>
      <c r="I93" s="101" t="n"/>
      <c r="K93" s="101" t="n"/>
    </row>
    <row r="94" ht="15" customHeight="1" s="55">
      <c r="A94" s="101" t="n"/>
      <c r="B94" s="101" t="n"/>
      <c r="C94" s="101" t="n"/>
      <c r="D94" s="101" t="n"/>
      <c r="E94" s="101" t="n"/>
      <c r="F94" s="101" t="n"/>
      <c r="G94" s="101" t="n"/>
      <c r="H94" s="101" t="n"/>
      <c r="I94" s="101" t="n"/>
      <c r="K94" s="101" t="n"/>
    </row>
    <row r="95" ht="15" customHeight="1" s="55">
      <c r="A95" s="101" t="n"/>
      <c r="B95" s="101" t="n"/>
      <c r="C95" s="101" t="n"/>
      <c r="D95" s="101" t="n"/>
      <c r="E95" s="101" t="n"/>
      <c r="F95" s="101" t="n"/>
      <c r="G95" s="101" t="n"/>
      <c r="H95" s="101" t="n"/>
      <c r="I95" s="101" t="n"/>
      <c r="K95" s="101" t="n"/>
    </row>
    <row r="96" ht="15" customHeight="1" s="55">
      <c r="A96" s="101" t="n"/>
      <c r="B96" s="101" t="n"/>
      <c r="C96" s="101" t="n"/>
      <c r="D96" s="101" t="n"/>
      <c r="E96" s="101" t="n"/>
      <c r="F96" s="101" t="n"/>
      <c r="G96" s="101" t="n"/>
      <c r="H96" s="101" t="n"/>
      <c r="I96" s="101" t="n"/>
      <c r="K96" s="101" t="n"/>
    </row>
    <row r="97" ht="15" customHeight="1" s="55">
      <c r="A97" s="101" t="n"/>
      <c r="B97" s="101" t="n"/>
      <c r="C97" s="101" t="n"/>
      <c r="D97" s="101" t="n"/>
      <c r="E97" s="101" t="n"/>
      <c r="F97" s="101" t="n"/>
      <c r="G97" s="101" t="n"/>
      <c r="H97" s="101" t="n"/>
      <c r="I97" s="101" t="n"/>
      <c r="K97" s="101" t="n"/>
    </row>
    <row r="98" ht="15" customHeight="1" s="55">
      <c r="A98" s="101" t="n"/>
      <c r="B98" s="101" t="n"/>
      <c r="C98" s="101" t="n"/>
      <c r="D98" s="101" t="n"/>
      <c r="E98" s="101" t="n"/>
      <c r="F98" s="101" t="n"/>
      <c r="G98" s="101" t="n"/>
      <c r="H98" s="101" t="n"/>
      <c r="I98" s="101" t="n"/>
      <c r="K98" s="101" t="n"/>
    </row>
    <row r="99" ht="15" customHeight="1" s="55">
      <c r="A99" s="101" t="n"/>
      <c r="B99" s="101" t="n"/>
      <c r="C99" s="101" t="n"/>
      <c r="D99" s="101" t="n"/>
      <c r="E99" s="101" t="n"/>
      <c r="F99" s="101" t="n"/>
      <c r="G99" s="101" t="n"/>
      <c r="H99" s="101" t="n"/>
      <c r="I99" s="101" t="n"/>
      <c r="K99" s="101" t="n"/>
    </row>
    <row r="100" ht="15" customHeight="1" s="55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I100" s="101" t="n"/>
      <c r="K100" s="101" t="n"/>
    </row>
    <row r="101" ht="15" customHeight="1" s="55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I101" s="101" t="n"/>
      <c r="K101" s="101" t="n"/>
    </row>
    <row r="102" ht="15" customHeight="1" s="55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I102" s="101" t="n"/>
      <c r="K102" s="101" t="n"/>
    </row>
    <row r="103" ht="15" customHeight="1" s="55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K103" s="101" t="n"/>
    </row>
    <row r="104" ht="15" customHeight="1" s="55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K104" s="101" t="n"/>
    </row>
    <row r="105" ht="15" customHeight="1" s="55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I105" s="101" t="n"/>
      <c r="K105" s="101" t="n"/>
    </row>
    <row r="106" ht="15" customHeight="1" s="55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I106" s="101" t="n"/>
      <c r="K106" s="101" t="n"/>
    </row>
    <row r="107" ht="15" customHeight="1" s="55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I107" s="101" t="n"/>
      <c r="K107" s="101" t="n"/>
    </row>
    <row r="108" ht="15" customHeight="1" s="55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I108" s="101" t="n"/>
      <c r="K108" s="101" t="n"/>
    </row>
    <row r="109" ht="15" customHeight="1" s="55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I109" s="101" t="n"/>
      <c r="K109" s="101" t="n"/>
    </row>
    <row r="110" ht="15" customHeight="1" s="55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I110" s="101" t="n"/>
      <c r="K110" s="101" t="n"/>
    </row>
    <row r="111" ht="15" customHeight="1" s="55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I111" s="101" t="n"/>
      <c r="K111" s="101" t="n"/>
    </row>
    <row r="112" ht="15" customHeight="1" s="55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I112" s="101" t="n"/>
      <c r="K112" s="101" t="n"/>
    </row>
    <row r="113" ht="15" customHeight="1" s="55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I113" s="101" t="n"/>
      <c r="K113" s="101" t="n"/>
    </row>
    <row r="114" ht="15" customHeight="1" s="55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I114" s="101" t="n"/>
      <c r="K114" s="101" t="n"/>
    </row>
    <row r="115" ht="15" customHeight="1" s="55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I115" s="101" t="n"/>
      <c r="K115" s="101" t="n"/>
    </row>
    <row r="116" ht="15" customHeight="1" s="55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I116" s="101" t="n"/>
      <c r="K116" s="101" t="n"/>
    </row>
    <row r="117" ht="15" customHeight="1" s="55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I117" s="101" t="n"/>
      <c r="K117" s="101" t="n"/>
    </row>
    <row r="118" ht="15" customHeight="1" s="55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I118" s="101" t="n"/>
      <c r="K118" s="101" t="n"/>
    </row>
    <row r="119" ht="15" customHeight="1" s="55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I119" s="101" t="n"/>
      <c r="K119" s="101" t="n"/>
    </row>
    <row r="120" ht="15" customHeight="1" s="55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I120" s="101" t="n"/>
      <c r="K120" s="101" t="n"/>
    </row>
    <row r="121" ht="15" customHeight="1" s="55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I121" s="101" t="n"/>
      <c r="K121" s="101" t="n"/>
    </row>
    <row r="122" ht="15" customHeight="1" s="55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I122" s="101" t="n"/>
      <c r="K122" s="101" t="n"/>
    </row>
    <row r="123" ht="15" customHeight="1" s="55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I123" s="101" t="n"/>
      <c r="K123" s="101" t="n"/>
    </row>
    <row r="124" ht="15" customHeight="1" s="55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I124" s="101" t="n"/>
      <c r="K124" s="101" t="n"/>
    </row>
    <row r="125" ht="15" customHeight="1" s="55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I125" s="101" t="n"/>
      <c r="K125" s="101" t="n"/>
    </row>
    <row r="126" ht="15" customHeight="1" s="55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I126" s="101" t="n"/>
      <c r="K126" s="101" t="n"/>
    </row>
    <row r="127" ht="15" customHeight="1" s="55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I127" s="101" t="n"/>
      <c r="K127" s="101" t="n"/>
    </row>
    <row r="128" ht="15" customHeight="1" s="55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I128" s="101" t="n"/>
      <c r="K128" s="101" t="n"/>
    </row>
    <row r="129" ht="15" customHeight="1" s="55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I129" s="101" t="n"/>
      <c r="K129" s="101" t="n"/>
    </row>
    <row r="130" ht="15" customHeight="1" s="55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I130" s="101" t="n"/>
      <c r="K130" s="101" t="n"/>
    </row>
    <row r="131" ht="15" customHeight="1" s="55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I131" s="101" t="n"/>
      <c r="K131" s="101" t="n"/>
    </row>
    <row r="132" ht="15" customHeight="1" s="55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I132" s="101" t="n"/>
      <c r="K132" s="101" t="n"/>
    </row>
    <row r="133" ht="15" customHeight="1" s="55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I133" s="101" t="n"/>
      <c r="K133" s="101" t="n"/>
    </row>
    <row r="134" ht="15" customHeight="1" s="55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I134" s="101" t="n"/>
      <c r="K134" s="101" t="n"/>
    </row>
    <row r="135" ht="15" customHeight="1" s="55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I135" s="101" t="n"/>
      <c r="K135" s="101" t="n"/>
    </row>
    <row r="136" ht="15" customHeight="1" s="55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I136" s="101" t="n"/>
      <c r="K136" s="101" t="n"/>
    </row>
    <row r="137" ht="15" customHeight="1" s="55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I137" s="101" t="n"/>
      <c r="K137" s="101" t="n"/>
    </row>
    <row r="138" ht="15" customHeight="1" s="55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I138" s="101" t="n"/>
      <c r="K138" s="101" t="n"/>
    </row>
    <row r="139" ht="15" customHeight="1" s="55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I139" s="101" t="n"/>
      <c r="K139" s="101" t="n"/>
    </row>
    <row r="140" ht="15" customHeight="1" s="55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I140" s="101" t="n"/>
      <c r="K140" s="101" t="n"/>
    </row>
    <row r="141" ht="15" customHeight="1" s="55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I141" s="101" t="n"/>
      <c r="K141" s="101" t="n"/>
    </row>
    <row r="142" ht="15" customHeight="1" s="55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I142" s="101" t="n"/>
      <c r="K142" s="101" t="n"/>
    </row>
    <row r="143" ht="15" customHeight="1" s="55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I143" s="101" t="n"/>
      <c r="K143" s="101" t="n"/>
    </row>
    <row r="144" ht="15" customHeight="1" s="55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I144" s="101" t="n"/>
      <c r="K144" s="101" t="n"/>
    </row>
    <row r="145" ht="15" customHeight="1" s="55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I145" s="101" t="n"/>
      <c r="K145" s="101" t="n"/>
    </row>
    <row r="146" ht="15" customHeight="1" s="55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I146" s="101" t="n"/>
      <c r="K146" s="101" t="n"/>
    </row>
    <row r="147" ht="15" customHeight="1" s="55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I147" s="101" t="n"/>
      <c r="K147" s="101" t="n"/>
    </row>
    <row r="148" ht="15" customHeight="1" s="55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I148" s="101" t="n"/>
      <c r="K148" s="101" t="n"/>
    </row>
    <row r="149" ht="15" customHeight="1" s="55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I149" s="101" t="n"/>
      <c r="K149" s="101" t="n"/>
    </row>
    <row r="150" ht="15" customHeight="1" s="55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I150" s="101" t="n"/>
      <c r="K150" s="101" t="n"/>
    </row>
    <row r="151" ht="15" customHeight="1" s="55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I151" s="101" t="n"/>
      <c r="K151" s="101" t="n"/>
    </row>
    <row r="152" ht="15" customHeight="1" s="55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I152" s="101" t="n"/>
      <c r="K152" s="101" t="n"/>
    </row>
    <row r="153" ht="15" customHeight="1" s="55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I153" s="101" t="n"/>
      <c r="K153" s="101" t="n"/>
    </row>
    <row r="154" ht="15" customHeight="1" s="55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K154" s="101" t="n"/>
    </row>
    <row r="155" ht="15" customHeight="1" s="55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I155" s="101" t="n"/>
      <c r="K155" s="101" t="n"/>
    </row>
    <row r="156" ht="15" customHeight="1" s="55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I156" s="101" t="n"/>
      <c r="K156" s="101" t="n"/>
    </row>
    <row r="157" ht="15" customHeight="1" s="55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I157" s="101" t="n"/>
      <c r="K157" s="101" t="n"/>
    </row>
    <row r="158" ht="15" customHeight="1" s="55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I158" s="101" t="n"/>
      <c r="K158" s="101" t="n"/>
    </row>
    <row r="159" ht="15" customHeight="1" s="55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I159" s="101" t="n"/>
      <c r="K159" s="101" t="n"/>
    </row>
    <row r="160" ht="15" customHeight="1" s="55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I160" s="101" t="n"/>
      <c r="K160" s="101" t="n"/>
    </row>
    <row r="161" ht="15" customHeight="1" s="55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I161" s="101" t="n"/>
      <c r="K161" s="101" t="n"/>
    </row>
    <row r="162" ht="15" customHeight="1" s="55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I162" s="101" t="n"/>
      <c r="K162" s="101" t="n"/>
    </row>
    <row r="163" ht="15" customHeight="1" s="55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I163" s="101" t="n"/>
      <c r="K163" s="101" t="n"/>
    </row>
    <row r="164" ht="15" customHeight="1" s="55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I164" s="101" t="n"/>
      <c r="K164" s="101" t="n"/>
    </row>
    <row r="165" ht="15" customHeight="1" s="55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I165" s="101" t="n"/>
      <c r="K165" s="101" t="n"/>
    </row>
    <row r="166" ht="15" customHeight="1" s="55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I166" s="101" t="n"/>
      <c r="K166" s="101" t="n"/>
    </row>
    <row r="167" ht="15" customHeight="1" s="55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I167" s="101" t="n"/>
      <c r="K167" s="101" t="n"/>
    </row>
    <row r="168" ht="15" customHeight="1" s="55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I168" s="101" t="n"/>
      <c r="K168" s="101" t="n"/>
    </row>
    <row r="169" ht="15" customHeight="1" s="55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I169" s="101" t="n"/>
      <c r="K169" s="101" t="n"/>
    </row>
    <row r="170" ht="15" customHeight="1" s="55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I170" s="101" t="n"/>
      <c r="K170" s="101" t="n"/>
    </row>
    <row r="171" ht="15" customHeight="1" s="55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I171" s="101" t="n"/>
      <c r="K171" s="101" t="n"/>
    </row>
    <row r="172" ht="15" customHeight="1" s="55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I172" s="101" t="n"/>
      <c r="K172" s="101" t="n"/>
    </row>
    <row r="173" ht="15" customHeight="1" s="55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I173" s="101" t="n"/>
      <c r="K173" s="101" t="n"/>
    </row>
    <row r="174" ht="15" customHeight="1" s="55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I174" s="101" t="n"/>
      <c r="K174" s="101" t="n"/>
    </row>
    <row r="175" ht="15" customHeight="1" s="55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I175" s="101" t="n"/>
      <c r="K175" s="101" t="n"/>
    </row>
    <row r="176" ht="15" customHeight="1" s="55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I176" s="101" t="n"/>
      <c r="K176" s="101" t="n"/>
    </row>
    <row r="177" ht="15" customHeight="1" s="55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I177" s="101" t="n"/>
      <c r="K177" s="101" t="n"/>
    </row>
    <row r="178" ht="15" customHeight="1" s="55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I178" s="101" t="n"/>
      <c r="K178" s="101" t="n"/>
    </row>
    <row r="179" ht="15" customHeight="1" s="55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I179" s="101" t="n"/>
      <c r="K179" s="101" t="n"/>
    </row>
    <row r="180" ht="15" customHeight="1" s="55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I180" s="101" t="n"/>
      <c r="K180" s="101" t="n"/>
    </row>
    <row r="181" ht="15" customHeight="1" s="55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I181" s="101" t="n"/>
      <c r="K181" s="101" t="n"/>
    </row>
    <row r="182" ht="15" customHeight="1" s="55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I182" s="101" t="n"/>
      <c r="K182" s="101" t="n"/>
    </row>
    <row r="183" ht="15" customHeight="1" s="55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I183" s="101" t="n"/>
      <c r="K183" s="101" t="n"/>
    </row>
    <row r="184" ht="15" customHeight="1" s="55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I184" s="101" t="n"/>
      <c r="K184" s="101" t="n"/>
    </row>
    <row r="185" ht="15" customHeight="1" s="55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I185" s="101" t="n"/>
      <c r="K185" s="101" t="n"/>
    </row>
    <row r="186" ht="15" customHeight="1" s="55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I186" s="101" t="n"/>
      <c r="K186" s="101" t="n"/>
    </row>
    <row r="187" ht="15" customHeight="1" s="55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I187" s="101" t="n"/>
      <c r="K187" s="101" t="n"/>
    </row>
    <row r="188" ht="15" customHeight="1" s="55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I188" s="101" t="n"/>
      <c r="K188" s="101" t="n"/>
    </row>
    <row r="189" ht="15" customHeight="1" s="55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I189" s="101" t="n"/>
      <c r="K189" s="101" t="n"/>
    </row>
    <row r="190" ht="15" customHeight="1" s="55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I190" s="101" t="n"/>
      <c r="K190" s="101" t="n"/>
    </row>
    <row r="191" ht="15" customHeight="1" s="55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I191" s="101" t="n"/>
      <c r="K191" s="101" t="n"/>
    </row>
    <row r="192" ht="15" customHeight="1" s="55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I192" s="101" t="n"/>
      <c r="K192" s="101" t="n"/>
    </row>
    <row r="193" ht="15" customHeight="1" s="55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I193" s="101" t="n"/>
      <c r="K193" s="101" t="n"/>
    </row>
    <row r="194" ht="15" customHeight="1" s="55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I194" s="101" t="n"/>
      <c r="K194" s="101" t="n"/>
    </row>
    <row r="195" ht="15" customHeight="1" s="55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I195" s="101" t="n"/>
      <c r="K195" s="101" t="n"/>
    </row>
    <row r="196" ht="15" customHeight="1" s="55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I196" s="101" t="n"/>
      <c r="K196" s="101" t="n"/>
    </row>
    <row r="197" ht="15" customHeight="1" s="55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I197" s="101" t="n"/>
      <c r="K197" s="101" t="n"/>
    </row>
    <row r="198" ht="15" customHeight="1" s="55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I198" s="101" t="n"/>
      <c r="K198" s="101" t="n"/>
    </row>
    <row r="199" ht="15" customHeight="1" s="55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I199" s="101" t="n"/>
      <c r="K199" s="101" t="n"/>
    </row>
    <row r="200" ht="15" customHeight="1" s="55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I200" s="101" t="n"/>
      <c r="K200" s="101" t="n"/>
    </row>
    <row r="201" ht="15" customHeight="1" s="55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I201" s="101" t="n"/>
      <c r="K201" s="101" t="n"/>
    </row>
    <row r="202" ht="15" customHeight="1" s="55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I202" s="101" t="n"/>
      <c r="K202" s="101" t="n"/>
    </row>
    <row r="203" ht="15" customHeight="1" s="55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I203" s="101" t="n"/>
      <c r="K203" s="101" t="n"/>
    </row>
    <row r="204" ht="15" customHeight="1" s="55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I204" s="101" t="n"/>
      <c r="K204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K1"/>
    <mergeCell ref="A3:K3"/>
  </mergeCells>
  <conditionalFormatting sqref="E6:E204">
    <cfRule type="cellIs" rank="0" priority="2" equalAverage="0" operator="lessThan" aboveAverage="0" dxfId="11" text="" percent="0" bottom="0">
      <formula>0</formula>
    </cfRule>
  </conditionalFormatting>
  <conditionalFormatting sqref="J6:J204">
    <cfRule type="cellIs" rank="0" priority="3" equalAverage="0" operator="equal" aboveAverage="0" dxfId="9" text="" percent="0" bottom="0">
      <formula>"Evet"</formula>
    </cfRule>
    <cfRule type="cellIs" rank="0" priority="4" equalAverage="0" operator="equal" aboveAverage="0" dxfId="10" text="" percent="0" bottom="0">
      <formula>"Hayır"</formula>
    </cfRule>
  </conditionalFormatting>
  <conditionalFormatting sqref="A6:A204">
    <cfRule type="cellIs" rank="0" priority="5" equalAverage="0" operator="equal" aboveAverage="0" dxfId="11" text="" percent="0" bottom="0">
      <formula>"EKSİK"</formula>
    </cfRule>
  </conditionalFormatting>
  <dataValidations count="3">
    <dataValidation sqref="F6:F204" showDropDown="0" showInputMessage="1" showErrorMessage="1" allowBlank="1" errorTitle="Geçersiz Ödeme Türü" error="Lütfen listeden geçerli bir ödeme türü seçin." promptTitle="Ödeme Türü" prompt="Havale/EFT, Kredi Kartı, Çek/Senet veya Nakit seçin." type="list" errorStyle="stop" operator="between">
      <formula1>ListeOdemeTuru</formula1>
      <formula2>0</formula2>
    </dataValidation>
    <dataValidation sqref="J6:J204" showDropDown="0" showInputMessage="1" showErrorMessage="1" allowBlank="1" errorTitle="Geçersiz Değer" error="Lütfen Evet veya Hayır seçin." promptTitle="Kesinleşti mi?" prompt="Evet veya Hayır seçin." type="list" errorStyle="stop" operator="between">
      <formula1>ListeEvetHayir</formula1>
      <formula2>0</formula2>
    </dataValidation>
    <dataValidation sqref="E6:E204" showDropDown="0" showInputMessage="1" showErrorMessage="1" allowBlank="1" errorTitle="Geçersiz Tutar" error="Tahsilat tutarı 0'dan büyük olmalıdır." promptTitle="Tahsilat Tutarı" prompt="Sıfırdan büyük tutar girin." type="decimal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.5" customWidth="1" style="81" min="1" max="1"/>
    <col width="16.5" customWidth="1" style="81" min="2" max="2"/>
    <col width="25.5" customWidth="1" style="81" min="3" max="3"/>
    <col width="18.5" customWidth="1" style="81" min="4" max="4"/>
    <col width="23.5" customWidth="1" style="81" min="5" max="7"/>
    <col width="23.5" customWidth="1" style="55" min="6" max="6"/>
    <col width="17.5" customWidth="1" style="55" min="7" max="7"/>
    <col width="22.5" customWidth="1" style="81" min="8" max="8"/>
    <col width="22.5" customWidth="1" style="81" min="9" max="9"/>
    <col width="15.5" customWidth="1" style="81" min="10" max="10"/>
    <col width="18" customWidth="1" style="81" min="11" max="11"/>
    <col width="11.5" customWidth="1" style="81" min="12" max="12"/>
    <col width="13" customWidth="1" style="55" min="13" max="13"/>
  </cols>
  <sheetData>
    <row r="1" ht="32" customHeight="1" s="55">
      <c r="A1" s="239" t="inlineStr">
        <is>
          <t>TEMINATLAR — CARİ HESAP, TAHSİLAT VE MÜŞTERİ RİSK TAKİP SİSTEMİ</t>
        </is>
      </c>
    </row>
    <row r="3" ht="22" customHeight="1" s="55">
      <c r="A3" s="258" t="inlineStr">
        <is>
          <t>TEMİNAT PORTFÖYÜ</t>
        </is>
      </c>
    </row>
    <row r="5" ht="30" customHeight="1" s="55">
      <c r="A5" s="95" t="inlineStr">
        <is>
          <t>Teminat Kayıt Numarası</t>
        </is>
      </c>
      <c r="B5" s="95" t="inlineStr">
        <is>
          <t>Müşteri Kodu</t>
        </is>
      </c>
      <c r="C5" s="95" t="inlineStr">
        <is>
          <t>Teminat Türü</t>
        </is>
      </c>
      <c r="D5" s="95" t="inlineStr">
        <is>
          <t>Belge Numarası</t>
        </is>
      </c>
      <c r="E5" s="95" t="inlineStr">
        <is>
          <t>Başlangıç Tarihi</t>
        </is>
      </c>
      <c r="F5" s="95" t="inlineStr">
        <is>
          <t>Geçerlilik Tarihi</t>
        </is>
      </c>
      <c r="G5" s="95" t="inlineStr">
        <is>
          <t>Nominal Değer</t>
        </is>
      </c>
      <c r="H5" s="95" t="inlineStr">
        <is>
          <t>Değerleme İndirimi</t>
        </is>
      </c>
      <c r="I5" s="95" t="inlineStr">
        <is>
          <t>Kabul Edilen Değer</t>
        </is>
      </c>
      <c r="J5" s="95" t="inlineStr">
        <is>
          <t>Para Birimi</t>
        </is>
      </c>
      <c r="K5" s="95" t="inlineStr">
        <is>
          <t>Durum</t>
        </is>
      </c>
      <c r="L5" s="95" t="inlineStr">
        <is>
          <t>Kontrol</t>
        </is>
      </c>
    </row>
    <row r="6" ht="15" customHeight="1" s="55">
      <c r="A6" s="96" t="inlineStr">
        <is>
          <t>T001</t>
        </is>
      </c>
      <c r="B6" s="96" t="inlineStr">
        <is>
          <t>M001</t>
        </is>
      </c>
      <c r="C6" s="96" t="inlineStr">
        <is>
          <t>Banka Teminat Mektubu</t>
        </is>
      </c>
      <c r="D6" s="96" t="inlineStr">
        <is>
          <t>BTM-24018</t>
        </is>
      </c>
      <c r="E6" s="97" t="n">
        <v>45366</v>
      </c>
      <c r="F6" s="97" t="n">
        <v>46461</v>
      </c>
      <c r="G6" s="99" t="n">
        <v>900000</v>
      </c>
      <c r="H6" s="103" t="n">
        <v>0.1</v>
      </c>
      <c r="I6" s="102">
        <f>$G6*(1-$H6)</f>
        <v/>
      </c>
      <c r="J6" s="96" t="inlineStr">
        <is>
          <t>TRY</t>
        </is>
      </c>
      <c r="K6" s="100">
        <f>IF($F6="","",IF($F6&lt;RaporTarihi,"SÜRESİ GEÇTİ",IF($F6-RaporTarihi&lt;=YenilemeUyariGunu,"30 GÜN İÇİNDE BİTİYOR","GEÇERLİ")))</f>
        <v/>
      </c>
      <c r="L6" s="100">
        <f>IF($A6="","",IF(COUNTA($A6:$J6)&gt;=ZorunluTeminatAlanSayisi,"OK","EKSİK"))</f>
        <v/>
      </c>
    </row>
    <row r="7" ht="15" customHeight="1" s="55">
      <c r="A7" s="96" t="inlineStr">
        <is>
          <t>T002</t>
        </is>
      </c>
      <c r="B7" s="96" t="inlineStr">
        <is>
          <t>M002</t>
        </is>
      </c>
      <c r="C7" s="96" t="inlineStr">
        <is>
          <t>İpotek</t>
        </is>
      </c>
      <c r="D7" s="96" t="inlineStr">
        <is>
          <t>IP-8831</t>
        </is>
      </c>
      <c r="E7" s="97" t="n">
        <v>45108</v>
      </c>
      <c r="F7" s="97" t="n">
        <v>46203</v>
      </c>
      <c r="G7" s="99" t="n">
        <v>550000</v>
      </c>
      <c r="H7" s="103" t="n">
        <v>0.25</v>
      </c>
      <c r="I7" s="102">
        <f>$G7*(1-$H7)</f>
        <v/>
      </c>
      <c r="J7" s="96" t="inlineStr">
        <is>
          <t>TRY</t>
        </is>
      </c>
      <c r="K7" s="100">
        <f>IF($F7="","",IF($F7&lt;RaporTarihi,"SÜRESİ GEÇTİ",IF($F7-RaporTarihi&lt;=YenilemeUyariGunu,"30 GÜN İÇİNDE BİTİYOR","GEÇERLİ")))</f>
        <v/>
      </c>
      <c r="L7" s="100">
        <f>IF($A6="","",IF(COUNTA($A6:$J6)&gt;=ZorunluTeminatAlanSayisi,"OK","EKSİK"))</f>
        <v/>
      </c>
    </row>
    <row r="8" ht="15" customHeight="1" s="55">
      <c r="A8" s="96" t="inlineStr">
        <is>
          <t>T003</t>
        </is>
      </c>
      <c r="B8" s="96" t="inlineStr">
        <is>
          <t>M003</t>
        </is>
      </c>
      <c r="C8" s="96" t="inlineStr">
        <is>
          <t>Çek ve Senet</t>
        </is>
      </c>
      <c r="D8" s="96" t="inlineStr">
        <is>
          <t>ÇEK-4412</t>
        </is>
      </c>
      <c r="E8" s="97" t="n">
        <v>46023</v>
      </c>
      <c r="F8" s="97" t="n">
        <v>46235</v>
      </c>
      <c r="G8" s="99" t="n">
        <v>300000</v>
      </c>
      <c r="H8" s="103" t="n">
        <v>0.2</v>
      </c>
      <c r="I8" s="102">
        <f>$G8*(1-$H8)</f>
        <v/>
      </c>
      <c r="J8" s="96" t="inlineStr">
        <is>
          <t>TRY</t>
        </is>
      </c>
      <c r="K8" s="100">
        <f>IF($F8="","",IF($F8&lt;RaporTarihi,"SÜRESİ GEÇTİ",IF($F8-RaporTarihi&lt;=YenilemeUyariGunu,"30 GÜN İÇİNDE BİTİYOR","GEÇERLİ")))</f>
        <v/>
      </c>
      <c r="L8" s="100">
        <f>IF($A6="","",IF(COUNTA($A6:$J6)&gt;=ZorunluTeminatAlanSayisi,"OK","EKSİK"))</f>
        <v/>
      </c>
    </row>
    <row r="9" ht="15" customHeight="1" s="55">
      <c r="A9" s="101" t="n"/>
      <c r="B9" s="101" t="n"/>
      <c r="C9" s="101" t="n"/>
      <c r="D9" s="101" t="n"/>
      <c r="E9" s="101" t="n"/>
      <c r="F9" s="101" t="n"/>
      <c r="G9" s="101" t="n"/>
      <c r="H9" s="101" t="n"/>
      <c r="I9" s="100">
        <f>$G9*(1-$H9)</f>
        <v/>
      </c>
      <c r="J9" s="101" t="n"/>
      <c r="K9" s="100">
        <f>IF($F9="","",IF($F9&lt;RaporTarihi,"SÜRESİ GEÇTİ",IF($F9-RaporTarihi&lt;=YenilemeUyariGunu,"30 GÜN İÇİNDE BİTİYOR","GEÇERLİ")))</f>
        <v/>
      </c>
      <c r="L9" s="100">
        <f>IF($A6="","",IF(COUNTA($A6:$J6)&gt;=ZorunluTeminatAlanSayisi,"OK","EKSİK"))</f>
        <v/>
      </c>
    </row>
    <row r="10" ht="15" customHeight="1" s="55">
      <c r="A10" s="101" t="n"/>
      <c r="B10" s="101" t="n"/>
      <c r="C10" s="101" t="n"/>
      <c r="D10" s="101" t="n"/>
      <c r="E10" s="101" t="n"/>
      <c r="F10" s="101" t="n"/>
      <c r="G10" s="101" t="n"/>
      <c r="H10" s="101" t="n"/>
      <c r="I10" s="100">
        <f>$G10*(1-$H10)</f>
        <v/>
      </c>
      <c r="J10" s="101" t="n"/>
      <c r="K10" s="100">
        <f>IF($F10="","",IF($F10&lt;RaporTarihi,"SÜRESİ GEÇTİ",IF($F10-RaporTarihi&lt;=YenilemeUyariGunu,"30 GÜN İÇİNDE BİTİYOR","GEÇERLİ")))</f>
        <v/>
      </c>
      <c r="L10" s="100">
        <f>IF($A6="","",IF(COUNTA($A6:$J6)&gt;=ZorunluTeminatAlanSayisi,"OK","EKSİK"))</f>
        <v/>
      </c>
    </row>
    <row r="11" ht="15" customHeight="1" s="55">
      <c r="A11" s="101" t="n"/>
      <c r="B11" s="101" t="n"/>
      <c r="C11" s="101" t="n"/>
      <c r="D11" s="101" t="n"/>
      <c r="E11" s="101" t="n"/>
      <c r="F11" s="101" t="n"/>
      <c r="G11" s="101" t="n"/>
      <c r="H11" s="101" t="n"/>
      <c r="I11" s="100">
        <f>$G11*(1-$H11)</f>
        <v/>
      </c>
      <c r="J11" s="101" t="n"/>
      <c r="K11" s="100">
        <f>IF($F11="","",IF($F11&lt;RaporTarihi,"SÜRESİ GEÇTİ",IF($F11-RaporTarihi&lt;=YenilemeUyariGunu,"30 GÜN İÇİNDE BİTİYOR","GEÇERLİ")))</f>
        <v/>
      </c>
      <c r="L11" s="100">
        <f>IF($A6="","",IF(COUNTA($A6:$J6)&gt;=ZorunluTeminatAlanSayisi,"OK","EKSİK"))</f>
        <v/>
      </c>
    </row>
    <row r="12" ht="15" customHeight="1" s="55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0">
        <f>$G12*(1-$H12)</f>
        <v/>
      </c>
      <c r="J12" s="101" t="n"/>
      <c r="K12" s="100">
        <f>IF($F12="","",IF($F12&lt;RaporTarihi,"SÜRESİ GEÇTİ",IF($F12-RaporTarihi&lt;=YenilemeUyariGunu,"30 GÜN İÇİNDE BİTİYOR","GEÇERLİ")))</f>
        <v/>
      </c>
      <c r="L12" s="100">
        <f>IF($A6="","",IF(COUNTA($A6:$J6)&gt;=ZorunluTeminatAlanSayisi,"OK","EKSİK"))</f>
        <v/>
      </c>
    </row>
    <row r="13" ht="15" customHeight="1" s="55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0">
        <f>$G13*(1-$H13)</f>
        <v/>
      </c>
      <c r="J13" s="101" t="n"/>
      <c r="K13" s="100">
        <f>IF($F13="","",IF($F13&lt;RaporTarihi,"SÜRESİ GEÇTİ",IF($F13-RaporTarihi&lt;=YenilemeUyariGunu,"30 GÜN İÇİNDE BİTİYOR","GEÇERLİ")))</f>
        <v/>
      </c>
      <c r="L13" s="100">
        <f>IF($A6="","",IF(COUNTA($A6:$J6)&gt;=ZorunluTeminatAlanSayisi,"OK","EKSİK"))</f>
        <v/>
      </c>
    </row>
    <row r="14" ht="15" customHeight="1" s="55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0">
        <f>$G14*(1-$H14)</f>
        <v/>
      </c>
      <c r="J14" s="101" t="n"/>
      <c r="K14" s="100">
        <f>IF($F14="","",IF($F14&lt;RaporTarihi,"SÜRESİ GEÇTİ",IF($F14-RaporTarihi&lt;=YenilemeUyariGunu,"30 GÜN İÇİNDE BİTİYOR","GEÇERLİ")))</f>
        <v/>
      </c>
      <c r="L14" s="100">
        <f>IF($A6="","",IF(COUNTA($A6:$J6)&gt;=ZorunluTeminatAlanSayisi,"OK","EKSİK"))</f>
        <v/>
      </c>
    </row>
    <row r="15" ht="15" customHeight="1" s="55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0">
        <f>$G15*(1-$H15)</f>
        <v/>
      </c>
      <c r="J15" s="101" t="n"/>
      <c r="K15" s="100">
        <f>IF($F15="","",IF($F15&lt;RaporTarihi,"SÜRESİ GEÇTİ",IF($F15-RaporTarihi&lt;=YenilemeUyariGunu,"30 GÜN İÇİNDE BİTİYOR","GEÇERLİ")))</f>
        <v/>
      </c>
      <c r="L15" s="100">
        <f>IF($A6="","",IF(COUNTA($A6:$J6)&gt;=ZorunluTeminatAlanSayisi,"OK","EKSİK"))</f>
        <v/>
      </c>
    </row>
    <row r="16" ht="15" customHeight="1" s="55">
      <c r="A16" s="101" t="n"/>
      <c r="B16" s="101" t="n"/>
      <c r="C16" s="101" t="n"/>
      <c r="D16" s="101" t="n"/>
      <c r="E16" s="101" t="n"/>
      <c r="F16" s="101" t="n"/>
      <c r="G16" s="101" t="n"/>
      <c r="H16" s="101" t="n"/>
      <c r="I16" s="100">
        <f>$G16*(1-$H16)</f>
        <v/>
      </c>
      <c r="J16" s="101" t="n"/>
      <c r="K16" s="100">
        <f>IF($F16="","",IF($F16&lt;RaporTarihi,"SÜRESİ GEÇTİ",IF($F16-RaporTarihi&lt;=YenilemeUyariGunu,"30 GÜN İÇİNDE BİTİYOR","GEÇERLİ")))</f>
        <v/>
      </c>
      <c r="L16" s="100">
        <f>IF($A6="","",IF(COUNTA($A6:$J6)&gt;=ZorunluTeminatAlanSayisi,"OK","EKSİK"))</f>
        <v/>
      </c>
    </row>
    <row r="17" ht="15" customHeight="1" s="55">
      <c r="A17" s="101" t="n"/>
      <c r="B17" s="101" t="n"/>
      <c r="C17" s="101" t="n"/>
      <c r="D17" s="101" t="n"/>
      <c r="E17" s="101" t="n"/>
      <c r="F17" s="101" t="n"/>
      <c r="G17" s="101" t="n"/>
      <c r="H17" s="101" t="n"/>
      <c r="I17" s="100">
        <f>$G17*(1-$H17)</f>
        <v/>
      </c>
      <c r="J17" s="101" t="n"/>
      <c r="K17" s="100">
        <f>IF($F17="","",IF($F17&lt;RaporTarihi,"SÜRESİ GEÇTİ",IF($F17-RaporTarihi&lt;=YenilemeUyariGunu,"30 GÜN İÇİNDE BİTİYOR","GEÇERLİ")))</f>
        <v/>
      </c>
      <c r="L17" s="100">
        <f>IF($A6="","",IF(COUNTA($A6:$J6)&gt;=ZorunluTeminatAlanSayisi,"OK","EKSİK"))</f>
        <v/>
      </c>
    </row>
    <row r="18" ht="15" customHeight="1" s="55">
      <c r="A18" s="101" t="n"/>
      <c r="B18" s="101" t="n"/>
      <c r="C18" s="101" t="n"/>
      <c r="D18" s="101" t="n"/>
      <c r="E18" s="101" t="n"/>
      <c r="F18" s="101" t="n"/>
      <c r="G18" s="101" t="n"/>
      <c r="H18" s="101" t="n"/>
      <c r="I18" s="100">
        <f>$G18*(1-$H18)</f>
        <v/>
      </c>
      <c r="J18" s="101" t="n"/>
      <c r="K18" s="100">
        <f>IF($F18="","",IF($F18&lt;RaporTarihi,"SÜRESİ GEÇTİ",IF($F18-RaporTarihi&lt;=YenilemeUyariGunu,"30 GÜN İÇİNDE BİTİYOR","GEÇERLİ")))</f>
        <v/>
      </c>
      <c r="L18" s="100">
        <f>IF($A6="","",IF(COUNTA($A6:$J6)&gt;=ZorunluTeminatAlanSayisi,"OK","EKSİK"))</f>
        <v/>
      </c>
    </row>
    <row r="19" ht="15" customHeight="1" s="55">
      <c r="A19" s="101" t="n"/>
      <c r="B19" s="101" t="n"/>
      <c r="C19" s="101" t="n"/>
      <c r="D19" s="101" t="n"/>
      <c r="E19" s="101" t="n"/>
      <c r="F19" s="101" t="n"/>
      <c r="G19" s="101" t="n"/>
      <c r="H19" s="101" t="n"/>
      <c r="I19" s="100">
        <f>$G19*(1-$H19)</f>
        <v/>
      </c>
      <c r="J19" s="101" t="n"/>
      <c r="K19" s="100">
        <f>IF($F19="","",IF($F19&lt;RaporTarihi,"SÜRESİ GEÇTİ",IF($F19-RaporTarihi&lt;=YenilemeUyariGunu,"30 GÜN İÇİNDE BİTİYOR","GEÇERLİ")))</f>
        <v/>
      </c>
      <c r="L19" s="100">
        <f>IF($A6="","",IF(COUNTA($A6:$J6)&gt;=ZorunluTeminatAlanSayisi,"OK","EKSİK"))</f>
        <v/>
      </c>
    </row>
    <row r="20" ht="15" customHeight="1" s="55">
      <c r="A20" s="101" t="n"/>
      <c r="B20" s="101" t="n"/>
      <c r="C20" s="101" t="n"/>
      <c r="D20" s="101" t="n"/>
      <c r="E20" s="101" t="n"/>
      <c r="F20" s="101" t="n"/>
      <c r="G20" s="101" t="n"/>
      <c r="H20" s="101" t="n"/>
      <c r="I20" s="100">
        <f>$G20*(1-$H20)</f>
        <v/>
      </c>
      <c r="J20" s="101" t="n"/>
      <c r="K20" s="100">
        <f>IF($F20="","",IF($F20&lt;RaporTarihi,"SÜRESİ GEÇTİ",IF($F20-RaporTarihi&lt;=YenilemeUyariGunu,"30 GÜN İÇİNDE BİTİYOR","GEÇERLİ")))</f>
        <v/>
      </c>
      <c r="L20" s="100">
        <f>IF($A6="","",IF(COUNTA($A6:$J6)&gt;=ZorunluTeminatAlanSayisi,"OK","EKSİK"))</f>
        <v/>
      </c>
    </row>
    <row r="21" ht="15" customHeight="1" s="55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0">
        <f>$G21*(1-$H21)</f>
        <v/>
      </c>
      <c r="J21" s="101" t="n"/>
      <c r="K21" s="100">
        <f>IF($F21="","",IF($F21&lt;RaporTarihi,"SÜRESİ GEÇTİ",IF($F21-RaporTarihi&lt;=YenilemeUyariGunu,"30 GÜN İÇİNDE BİTİYOR","GEÇERLİ")))</f>
        <v/>
      </c>
      <c r="L21" s="100">
        <f>IF($A6="","",IF(COUNTA($A6:$J6)&gt;=ZorunluTeminatAlanSayisi,"OK","EKSİK"))</f>
        <v/>
      </c>
    </row>
    <row r="22" ht="15" customHeight="1" s="55">
      <c r="A22" s="101" t="n"/>
      <c r="B22" s="101" t="n"/>
      <c r="C22" s="101" t="n"/>
      <c r="D22" s="101" t="n"/>
      <c r="E22" s="101" t="n"/>
      <c r="F22" s="101" t="n"/>
      <c r="G22" s="101" t="n"/>
      <c r="H22" s="101" t="n"/>
      <c r="I22" s="100">
        <f>$G22*(1-$H22)</f>
        <v/>
      </c>
      <c r="J22" s="101" t="n"/>
      <c r="K22" s="100">
        <f>IF($F22="","",IF($F22&lt;RaporTarihi,"SÜRESİ GEÇTİ",IF($F22-RaporTarihi&lt;=YenilemeUyariGunu,"30 GÜN İÇİNDE BİTİYOR","GEÇERLİ")))</f>
        <v/>
      </c>
      <c r="L22" s="100">
        <f>IF($A6="","",IF(COUNTA($A6:$J6)&gt;=ZorunluTeminatAlanSayisi,"OK","EKSİK"))</f>
        <v/>
      </c>
    </row>
    <row r="23" ht="15" customHeight="1" s="55">
      <c r="A23" s="101" t="n"/>
      <c r="B23" s="101" t="n"/>
      <c r="C23" s="101" t="n"/>
      <c r="D23" s="101" t="n"/>
      <c r="E23" s="101" t="n"/>
      <c r="F23" s="101" t="n"/>
      <c r="G23" s="101" t="n"/>
      <c r="H23" s="101" t="n"/>
      <c r="I23" s="100">
        <f>$G23*(1-$H23)</f>
        <v/>
      </c>
      <c r="J23" s="101" t="n"/>
      <c r="K23" s="100">
        <f>IF($F23="","",IF($F23&lt;RaporTarihi,"SÜRESİ GEÇTİ",IF($F23-RaporTarihi&lt;=YenilemeUyariGunu,"30 GÜN İÇİNDE BİTİYOR","GEÇERLİ")))</f>
        <v/>
      </c>
      <c r="L23" s="100">
        <f>IF($A6="","",IF(COUNTA($A6:$J6)&gt;=ZorunluTeminatAlanSayisi,"OK","EKSİK"))</f>
        <v/>
      </c>
    </row>
    <row r="24" ht="15" customHeight="1" s="55">
      <c r="A24" s="101" t="n"/>
      <c r="B24" s="101" t="n"/>
      <c r="C24" s="101" t="n"/>
      <c r="D24" s="101" t="n"/>
      <c r="E24" s="101" t="n"/>
      <c r="F24" s="101" t="n"/>
      <c r="G24" s="101" t="n"/>
      <c r="H24" s="101" t="n"/>
      <c r="I24" s="100">
        <f>$G24*(1-$H24)</f>
        <v/>
      </c>
      <c r="J24" s="101" t="n"/>
      <c r="K24" s="100">
        <f>IF($F24="","",IF($F24&lt;RaporTarihi,"SÜRESİ GEÇTİ",IF($F24-RaporTarihi&lt;=YenilemeUyariGunu,"30 GÜN İÇİNDE BİTİYOR","GEÇERLİ")))</f>
        <v/>
      </c>
      <c r="L24" s="100">
        <f>IF($A6="","",IF(COUNTA($A6:$J6)&gt;=ZorunluTeminatAlanSayisi,"OK","EKSİK"))</f>
        <v/>
      </c>
    </row>
    <row r="25" ht="15" customHeight="1" s="55">
      <c r="A25" s="101" t="n"/>
      <c r="B25" s="101" t="n"/>
      <c r="C25" s="101" t="n"/>
      <c r="D25" s="101" t="n"/>
      <c r="E25" s="101" t="n"/>
      <c r="F25" s="101" t="n"/>
      <c r="G25" s="101" t="n"/>
      <c r="H25" s="101" t="n"/>
      <c r="I25" s="100">
        <f>$G25*(1-$H25)</f>
        <v/>
      </c>
      <c r="J25" s="101" t="n"/>
      <c r="K25" s="100">
        <f>IF($F25="","",IF($F25&lt;RaporTarihi,"SÜRESİ GEÇTİ",IF($F25-RaporTarihi&lt;=YenilemeUyariGunu,"30 GÜN İÇİNDE BİTİYOR","GEÇERLİ")))</f>
        <v/>
      </c>
      <c r="L25" s="100">
        <f>IF($A6="","",IF(COUNTA($A6:$J6)&gt;=ZorunluTeminatAlanSayisi,"OK","EKSİK"))</f>
        <v/>
      </c>
    </row>
    <row r="26" ht="15" customHeight="1" s="55">
      <c r="A26" s="101" t="n"/>
      <c r="B26" s="101" t="n"/>
      <c r="C26" s="101" t="n"/>
      <c r="D26" s="101" t="n"/>
      <c r="E26" s="101" t="n"/>
      <c r="F26" s="101" t="n"/>
      <c r="G26" s="101" t="n"/>
      <c r="H26" s="101" t="n"/>
      <c r="I26" s="100">
        <f>$G26*(1-$H26)</f>
        <v/>
      </c>
      <c r="J26" s="101" t="n"/>
      <c r="K26" s="100">
        <f>IF($F26="","",IF($F26&lt;RaporTarihi,"SÜRESİ GEÇTİ",IF($F26-RaporTarihi&lt;=YenilemeUyariGunu,"30 GÜN İÇİNDE BİTİYOR","GEÇERLİ")))</f>
        <v/>
      </c>
      <c r="L26" s="100">
        <f>IF($A6="","",IF(COUNTA($A6:$J6)&gt;=ZorunluTeminatAlanSayisi,"OK","EKSİK"))</f>
        <v/>
      </c>
    </row>
    <row r="27" ht="15" customHeight="1" s="55">
      <c r="A27" s="101" t="n"/>
      <c r="B27" s="101" t="n"/>
      <c r="C27" s="101" t="n"/>
      <c r="D27" s="101" t="n"/>
      <c r="E27" s="101" t="n"/>
      <c r="F27" s="101" t="n"/>
      <c r="G27" s="101" t="n"/>
      <c r="H27" s="101" t="n"/>
      <c r="I27" s="100">
        <f>$G27*(1-$H27)</f>
        <v/>
      </c>
      <c r="J27" s="101" t="n"/>
      <c r="K27" s="100">
        <f>IF($F27="","",IF($F27&lt;RaporTarihi,"SÜRESİ GEÇTİ",IF($F27-RaporTarihi&lt;=YenilemeUyariGunu,"30 GÜN İÇİNDE BİTİYOR","GEÇERLİ")))</f>
        <v/>
      </c>
      <c r="L27" s="100">
        <f>IF($A6="","",IF(COUNTA($A6:$J6)&gt;=ZorunluTeminatAlanSayisi,"OK","EKSİK"))</f>
        <v/>
      </c>
    </row>
    <row r="28" ht="15" customHeight="1" s="55">
      <c r="A28" s="101" t="n"/>
      <c r="B28" s="101" t="n"/>
      <c r="C28" s="101" t="n"/>
      <c r="D28" s="101" t="n"/>
      <c r="E28" s="101" t="n"/>
      <c r="F28" s="101" t="n"/>
      <c r="G28" s="101" t="n"/>
      <c r="H28" s="101" t="n"/>
      <c r="I28" s="100">
        <f>$G28*(1-$H28)</f>
        <v/>
      </c>
      <c r="J28" s="101" t="n"/>
      <c r="K28" s="100">
        <f>IF($F28="","",IF($F28&lt;RaporTarihi,"SÜRESİ GEÇTİ",IF($F28-RaporTarihi&lt;=YenilemeUyariGunu,"30 GÜN İÇİNDE BİTİYOR","GEÇERLİ")))</f>
        <v/>
      </c>
      <c r="L28" s="100">
        <f>IF($A6="","",IF(COUNTA($A6:$J6)&gt;=ZorunluTeminatAlanSayisi,"OK","EKSİK"))</f>
        <v/>
      </c>
    </row>
    <row r="29" ht="15" customHeight="1" s="55">
      <c r="A29" s="101" t="n"/>
      <c r="B29" s="101" t="n"/>
      <c r="C29" s="101" t="n"/>
      <c r="D29" s="101" t="n"/>
      <c r="E29" s="101" t="n"/>
      <c r="F29" s="101" t="n"/>
      <c r="G29" s="101" t="n"/>
      <c r="H29" s="101" t="n"/>
      <c r="I29" s="100">
        <f>$G29*(1-$H29)</f>
        <v/>
      </c>
      <c r="J29" s="101" t="n"/>
      <c r="K29" s="100">
        <f>IF($F29="","",IF($F29&lt;RaporTarihi,"SÜRESİ GEÇTİ",IF($F29-RaporTarihi&lt;=YenilemeUyariGunu,"30 GÜN İÇİNDE BİTİYOR","GEÇERLİ")))</f>
        <v/>
      </c>
      <c r="L29" s="100">
        <f>IF($A6="","",IF(COUNTA($A6:$J6)&gt;=ZorunluTeminatAlanSayisi,"OK","EKSİK"))</f>
        <v/>
      </c>
    </row>
    <row r="30" ht="15" customHeight="1" s="55">
      <c r="A30" s="101" t="n"/>
      <c r="B30" s="101" t="n"/>
      <c r="C30" s="101" t="n"/>
      <c r="D30" s="101" t="n"/>
      <c r="E30" s="101" t="n"/>
      <c r="F30" s="101" t="n"/>
      <c r="G30" s="101" t="n"/>
      <c r="H30" s="101" t="n"/>
      <c r="I30" s="100">
        <f>$G30*(1-$H30)</f>
        <v/>
      </c>
      <c r="J30" s="101" t="n"/>
      <c r="K30" s="100">
        <f>IF($F30="","",IF($F30&lt;RaporTarihi,"SÜRESİ GEÇTİ",IF($F30-RaporTarihi&lt;=YenilemeUyariGunu,"30 GÜN İÇİNDE BİTİYOR","GEÇERLİ")))</f>
        <v/>
      </c>
      <c r="L30" s="100">
        <f>IF($A6="","",IF(COUNTA($A6:$J6)&gt;=ZorunluTeminatAlanSayisi,"OK","EKSİK"))</f>
        <v/>
      </c>
    </row>
    <row r="31" ht="15" customHeight="1" s="55">
      <c r="A31" s="101" t="n"/>
      <c r="B31" s="101" t="n"/>
      <c r="C31" s="101" t="n"/>
      <c r="D31" s="101" t="n"/>
      <c r="E31" s="101" t="n"/>
      <c r="F31" s="101" t="n"/>
      <c r="G31" s="101" t="n"/>
      <c r="H31" s="101" t="n"/>
      <c r="I31" s="100">
        <f>$G31*(1-$H31)</f>
        <v/>
      </c>
      <c r="J31" s="101" t="n"/>
      <c r="K31" s="100">
        <f>IF($F31="","",IF($F31&lt;RaporTarihi,"SÜRESİ GEÇTİ",IF($F31-RaporTarihi&lt;=YenilemeUyariGunu,"30 GÜN İÇİNDE BİTİYOR","GEÇERLİ")))</f>
        <v/>
      </c>
      <c r="L31" s="100">
        <f>IF($A6="","",IF(COUNTA($A6:$J6)&gt;=ZorunluTeminatAlanSayisi,"OK","EKSİK"))</f>
        <v/>
      </c>
    </row>
    <row r="32" ht="15" customHeight="1" s="55">
      <c r="A32" s="101" t="n"/>
      <c r="B32" s="101" t="n"/>
      <c r="C32" s="101" t="n"/>
      <c r="D32" s="101" t="n"/>
      <c r="E32" s="101" t="n"/>
      <c r="F32" s="101" t="n"/>
      <c r="G32" s="101" t="n"/>
      <c r="H32" s="101" t="n"/>
      <c r="I32" s="100">
        <f>$G32*(1-$H32)</f>
        <v/>
      </c>
      <c r="J32" s="101" t="n"/>
      <c r="K32" s="100">
        <f>IF($F32="","",IF($F32&lt;RaporTarihi,"SÜRESİ GEÇTİ",IF($F32-RaporTarihi&lt;=YenilemeUyariGunu,"30 GÜN İÇİNDE BİTİYOR","GEÇERLİ")))</f>
        <v/>
      </c>
      <c r="L32" s="100">
        <f>IF($A6="","",IF(COUNTA($A6:$J6)&gt;=ZorunluTeminatAlanSayisi,"OK","EKSİK"))</f>
        <v/>
      </c>
    </row>
    <row r="33" ht="15" customHeight="1" s="55">
      <c r="A33" s="101" t="n"/>
      <c r="B33" s="101" t="n"/>
      <c r="C33" s="101" t="n"/>
      <c r="D33" s="101" t="n"/>
      <c r="E33" s="101" t="n"/>
      <c r="F33" s="101" t="n"/>
      <c r="G33" s="101" t="n"/>
      <c r="H33" s="101" t="n"/>
      <c r="I33" s="100">
        <f>$G33*(1-$H33)</f>
        <v/>
      </c>
      <c r="J33" s="101" t="n"/>
      <c r="K33" s="100">
        <f>IF($F33="","",IF($F33&lt;RaporTarihi,"SÜRESİ GEÇTİ",IF($F33-RaporTarihi&lt;=YenilemeUyariGunu,"30 GÜN İÇİNDE BİTİYOR","GEÇERLİ")))</f>
        <v/>
      </c>
      <c r="L33" s="100">
        <f>IF($A6="","",IF(COUNTA($A6:$J6)&gt;=ZorunluTeminatAlanSayisi,"OK","EKSİK"))</f>
        <v/>
      </c>
    </row>
    <row r="34" ht="15" customHeight="1" s="55">
      <c r="A34" s="101" t="n"/>
      <c r="B34" s="101" t="n"/>
      <c r="C34" s="101" t="n"/>
      <c r="D34" s="101" t="n"/>
      <c r="E34" s="101" t="n"/>
      <c r="F34" s="101" t="n"/>
      <c r="G34" s="101" t="n"/>
      <c r="H34" s="101" t="n"/>
      <c r="I34" s="100">
        <f>$G34*(1-$H34)</f>
        <v/>
      </c>
      <c r="J34" s="101" t="n"/>
      <c r="K34" s="100">
        <f>IF($F34="","",IF($F34&lt;RaporTarihi,"SÜRESİ GEÇTİ",IF($F34-RaporTarihi&lt;=YenilemeUyariGunu,"30 GÜN İÇİNDE BİTİYOR","GEÇERLİ")))</f>
        <v/>
      </c>
      <c r="L34" s="100">
        <f>IF($A6="","",IF(COUNTA($A6:$J6)&gt;=ZorunluTeminatAlanSayisi,"OK","EKSİK"))</f>
        <v/>
      </c>
    </row>
    <row r="35" ht="15" customHeight="1" s="55">
      <c r="A35" s="101" t="n"/>
      <c r="B35" s="101" t="n"/>
      <c r="C35" s="101" t="n"/>
      <c r="D35" s="101" t="n"/>
      <c r="E35" s="101" t="n"/>
      <c r="F35" s="101" t="n"/>
      <c r="G35" s="101" t="n"/>
      <c r="H35" s="101" t="n"/>
      <c r="I35" s="100">
        <f>$G35*(1-$H35)</f>
        <v/>
      </c>
      <c r="J35" s="101" t="n"/>
      <c r="K35" s="100">
        <f>IF($F35="","",IF($F35&lt;RaporTarihi,"SÜRESİ GEÇTİ",IF($F35-RaporTarihi&lt;=YenilemeUyariGunu,"30 GÜN İÇİNDE BİTİYOR","GEÇERLİ")))</f>
        <v/>
      </c>
      <c r="L35" s="100">
        <f>IF($A6="","",IF(COUNTA($A6:$J6)&gt;=ZorunluTeminatAlanSayisi,"OK","EKSİK"))</f>
        <v/>
      </c>
    </row>
    <row r="36" ht="15" customHeight="1" s="55">
      <c r="A36" s="101" t="n"/>
      <c r="B36" s="101" t="n"/>
      <c r="C36" s="101" t="n"/>
      <c r="D36" s="101" t="n"/>
      <c r="E36" s="101" t="n"/>
      <c r="F36" s="101" t="n"/>
      <c r="G36" s="101" t="n"/>
      <c r="H36" s="101" t="n"/>
      <c r="I36" s="100">
        <f>$G36*(1-$H36)</f>
        <v/>
      </c>
      <c r="J36" s="101" t="n"/>
      <c r="K36" s="100">
        <f>IF($F36="","",IF($F36&lt;RaporTarihi,"SÜRESİ GEÇTİ",IF($F36-RaporTarihi&lt;=YenilemeUyariGunu,"30 GÜN İÇİNDE BİTİYOR","GEÇERLİ")))</f>
        <v/>
      </c>
      <c r="L36" s="100">
        <f>IF($A6="","",IF(COUNTA($A6:$J6)&gt;=ZorunluTeminatAlanSayisi,"OK","EKSİK"))</f>
        <v/>
      </c>
    </row>
    <row r="37" ht="15" customHeight="1" s="55">
      <c r="A37" s="101" t="n"/>
      <c r="B37" s="101" t="n"/>
      <c r="C37" s="101" t="n"/>
      <c r="D37" s="101" t="n"/>
      <c r="E37" s="101" t="n"/>
      <c r="F37" s="101" t="n"/>
      <c r="G37" s="101" t="n"/>
      <c r="H37" s="101" t="n"/>
      <c r="I37" s="100">
        <f>$G37*(1-$H37)</f>
        <v/>
      </c>
      <c r="J37" s="101" t="n"/>
      <c r="K37" s="100">
        <f>IF($F37="","",IF($F37&lt;RaporTarihi,"SÜRESİ GEÇTİ",IF($F37-RaporTarihi&lt;=YenilemeUyariGunu,"30 GÜN İÇİNDE BİTİYOR","GEÇERLİ")))</f>
        <v/>
      </c>
      <c r="L37" s="100">
        <f>IF($A6="","",IF(COUNTA($A6:$J6)&gt;=ZorunluTeminatAlanSayisi,"OK","EKSİK"))</f>
        <v/>
      </c>
    </row>
    <row r="38" ht="15" customHeight="1" s="55">
      <c r="A38" s="101" t="n"/>
      <c r="B38" s="101" t="n"/>
      <c r="C38" s="101" t="n"/>
      <c r="D38" s="101" t="n"/>
      <c r="E38" s="101" t="n"/>
      <c r="F38" s="101" t="n"/>
      <c r="G38" s="101" t="n"/>
      <c r="H38" s="101" t="n"/>
      <c r="I38" s="100">
        <f>$G38*(1-$H38)</f>
        <v/>
      </c>
      <c r="J38" s="101" t="n"/>
      <c r="K38" s="100">
        <f>IF($F38="","",IF($F38&lt;RaporTarihi,"SÜRESİ GEÇTİ",IF($F38-RaporTarihi&lt;=YenilemeUyariGunu,"30 GÜN İÇİNDE BİTİYOR","GEÇERLİ")))</f>
        <v/>
      </c>
      <c r="L38" s="100">
        <f>IF($A6="","",IF(COUNTA($A6:$J6)&gt;=ZorunluTeminatAlanSayisi,"OK","EKSİK"))</f>
        <v/>
      </c>
    </row>
    <row r="39" ht="15" customHeight="1" s="55">
      <c r="A39" s="101" t="n"/>
      <c r="B39" s="101" t="n"/>
      <c r="C39" s="101" t="n"/>
      <c r="D39" s="101" t="n"/>
      <c r="E39" s="101" t="n"/>
      <c r="F39" s="101" t="n"/>
      <c r="G39" s="101" t="n"/>
      <c r="H39" s="101" t="n"/>
      <c r="I39" s="100">
        <f>$G39*(1-$H39)</f>
        <v/>
      </c>
      <c r="J39" s="101" t="n"/>
      <c r="K39" s="100">
        <f>IF($F39="","",IF($F39&lt;RaporTarihi,"SÜRESİ GEÇTİ",IF($F39-RaporTarihi&lt;=YenilemeUyariGunu,"30 GÜN İÇİNDE BİTİYOR","GEÇERLİ")))</f>
        <v/>
      </c>
      <c r="L39" s="100">
        <f>IF($A6="","",IF(COUNTA($A6:$J6)&gt;=ZorunluTeminatAlanSayisi,"OK","EKSİK"))</f>
        <v/>
      </c>
    </row>
    <row r="40" ht="15" customHeight="1" s="55">
      <c r="A40" s="101" t="n"/>
      <c r="B40" s="101" t="n"/>
      <c r="C40" s="101" t="n"/>
      <c r="D40" s="101" t="n"/>
      <c r="E40" s="101" t="n"/>
      <c r="F40" s="101" t="n"/>
      <c r="G40" s="101" t="n"/>
      <c r="H40" s="101" t="n"/>
      <c r="I40" s="100">
        <f>$G40*(1-$H40)</f>
        <v/>
      </c>
      <c r="J40" s="101" t="n"/>
      <c r="K40" s="100">
        <f>IF($F40="","",IF($F40&lt;RaporTarihi,"SÜRESİ GEÇTİ",IF($F40-RaporTarihi&lt;=YenilemeUyariGunu,"30 GÜN İÇİNDE BİTİYOR","GEÇERLİ")))</f>
        <v/>
      </c>
      <c r="L40" s="100">
        <f>IF($A6="","",IF(COUNTA($A6:$J6)&gt;=ZorunluTeminatAlanSayisi,"OK","EKSİK"))</f>
        <v/>
      </c>
    </row>
    <row r="41" ht="15" customHeight="1" s="55">
      <c r="A41" s="101" t="n"/>
      <c r="B41" s="101" t="n"/>
      <c r="C41" s="101" t="n"/>
      <c r="D41" s="101" t="n"/>
      <c r="E41" s="101" t="n"/>
      <c r="F41" s="101" t="n"/>
      <c r="G41" s="101" t="n"/>
      <c r="H41" s="101" t="n"/>
      <c r="I41" s="100">
        <f>$G41*(1-$H41)</f>
        <v/>
      </c>
      <c r="J41" s="101" t="n"/>
      <c r="K41" s="100">
        <f>IF($F41="","",IF($F41&lt;RaporTarihi,"SÜRESİ GEÇTİ",IF($F41-RaporTarihi&lt;=YenilemeUyariGunu,"30 GÜN İÇİNDE BİTİYOR","GEÇERLİ")))</f>
        <v/>
      </c>
      <c r="L41" s="100">
        <f>IF($A6="","",IF(COUNTA($A6:$J6)&gt;=ZorunluTeminatAlanSayisi,"OK","EKSİK"))</f>
        <v/>
      </c>
    </row>
    <row r="42" ht="15" customHeight="1" s="55">
      <c r="A42" s="101" t="n"/>
      <c r="B42" s="101" t="n"/>
      <c r="C42" s="101" t="n"/>
      <c r="D42" s="101" t="n"/>
      <c r="E42" s="101" t="n"/>
      <c r="F42" s="101" t="n"/>
      <c r="G42" s="101" t="n"/>
      <c r="H42" s="101" t="n"/>
      <c r="I42" s="100">
        <f>$G42*(1-$H42)</f>
        <v/>
      </c>
      <c r="J42" s="101" t="n"/>
      <c r="K42" s="100">
        <f>IF($F42="","",IF($F42&lt;RaporTarihi,"SÜRESİ GEÇTİ",IF($F42-RaporTarihi&lt;=YenilemeUyariGunu,"30 GÜN İÇİNDE BİTİYOR","GEÇERLİ")))</f>
        <v/>
      </c>
      <c r="L42" s="100">
        <f>IF($A6="","",IF(COUNTA($A6:$J6)&gt;=ZorunluTeminatAlanSayisi,"OK","EKSİK"))</f>
        <v/>
      </c>
    </row>
    <row r="43" ht="15" customHeight="1" s="55">
      <c r="A43" s="101" t="n"/>
      <c r="B43" s="101" t="n"/>
      <c r="C43" s="101" t="n"/>
      <c r="D43" s="101" t="n"/>
      <c r="E43" s="101" t="n"/>
      <c r="F43" s="101" t="n"/>
      <c r="G43" s="101" t="n"/>
      <c r="H43" s="101" t="n"/>
      <c r="I43" s="100">
        <f>$G43*(1-$H43)</f>
        <v/>
      </c>
      <c r="J43" s="101" t="n"/>
      <c r="K43" s="100">
        <f>IF($F43="","",IF($F43&lt;RaporTarihi,"SÜRESİ GEÇTİ",IF($F43-RaporTarihi&lt;=YenilemeUyariGunu,"30 GÜN İÇİNDE BİTİYOR","GEÇERLİ")))</f>
        <v/>
      </c>
      <c r="L43" s="100">
        <f>IF($A6="","",IF(COUNTA($A6:$J6)&gt;=ZorunluTeminatAlanSayisi,"OK","EKSİK"))</f>
        <v/>
      </c>
    </row>
    <row r="44" ht="15" customHeight="1" s="55">
      <c r="A44" s="101" t="n"/>
      <c r="B44" s="101" t="n"/>
      <c r="C44" s="101" t="n"/>
      <c r="D44" s="101" t="n"/>
      <c r="E44" s="101" t="n"/>
      <c r="F44" s="101" t="n"/>
      <c r="G44" s="101" t="n"/>
      <c r="H44" s="101" t="n"/>
      <c r="I44" s="100">
        <f>$G44*(1-$H44)</f>
        <v/>
      </c>
      <c r="J44" s="101" t="n"/>
      <c r="K44" s="100">
        <f>IF($F44="","",IF($F44&lt;RaporTarihi,"SÜRESİ GEÇTİ",IF($F44-RaporTarihi&lt;=YenilemeUyariGunu,"30 GÜN İÇİNDE BİTİYOR","GEÇERLİ")))</f>
        <v/>
      </c>
      <c r="L44" s="100">
        <f>IF($A6="","",IF(COUNTA($A6:$J6)&gt;=ZorunluTeminatAlanSayisi,"OK","EKSİK"))</f>
        <v/>
      </c>
    </row>
    <row r="45" ht="15" customHeight="1" s="55">
      <c r="A45" s="101" t="n"/>
      <c r="B45" s="101" t="n"/>
      <c r="C45" s="101" t="n"/>
      <c r="D45" s="101" t="n"/>
      <c r="E45" s="101" t="n"/>
      <c r="F45" s="101" t="n"/>
      <c r="G45" s="101" t="n"/>
      <c r="H45" s="101" t="n"/>
      <c r="I45" s="100">
        <f>$G45*(1-$H45)</f>
        <v/>
      </c>
      <c r="J45" s="101" t="n"/>
      <c r="K45" s="100">
        <f>IF($F45="","",IF($F45&lt;RaporTarihi,"SÜRESİ GEÇTİ",IF($F45-RaporTarihi&lt;=YenilemeUyariGunu,"30 GÜN İÇİNDE BİTİYOR","GEÇERLİ")))</f>
        <v/>
      </c>
      <c r="L45" s="100">
        <f>IF($A6="","",IF(COUNTA($A6:$J6)&gt;=ZorunluTeminatAlanSayisi,"OK","EKSİK"))</f>
        <v/>
      </c>
    </row>
    <row r="46" ht="15" customHeight="1" s="55">
      <c r="A46" s="101" t="n"/>
      <c r="B46" s="101" t="n"/>
      <c r="C46" s="101" t="n"/>
      <c r="D46" s="101" t="n"/>
      <c r="E46" s="101" t="n"/>
      <c r="F46" s="101" t="n"/>
      <c r="G46" s="101" t="n"/>
      <c r="H46" s="101" t="n"/>
      <c r="J46" s="101" t="n"/>
    </row>
    <row r="47" ht="15" customHeight="1" s="55">
      <c r="A47" s="101" t="n"/>
      <c r="B47" s="101" t="n"/>
      <c r="C47" s="101" t="n"/>
      <c r="D47" s="101" t="n"/>
      <c r="E47" s="101" t="n"/>
      <c r="F47" s="101" t="n"/>
      <c r="G47" s="101" t="n"/>
      <c r="H47" s="101" t="n"/>
      <c r="J47" s="101" t="n"/>
    </row>
    <row r="48" ht="15" customHeight="1" s="55">
      <c r="A48" s="101" t="n"/>
      <c r="B48" s="101" t="n"/>
      <c r="C48" s="101" t="n"/>
      <c r="D48" s="101" t="n"/>
      <c r="E48" s="101" t="n"/>
      <c r="F48" s="101" t="n"/>
      <c r="G48" s="101" t="n"/>
      <c r="H48" s="101" t="n"/>
      <c r="J48" s="101" t="n"/>
    </row>
    <row r="49" ht="15" customHeight="1" s="55">
      <c r="A49" s="101" t="n"/>
      <c r="B49" s="101" t="n"/>
      <c r="C49" s="101" t="n"/>
      <c r="D49" s="101" t="n"/>
      <c r="E49" s="101" t="n"/>
      <c r="F49" s="101" t="n"/>
      <c r="G49" s="101" t="n"/>
      <c r="H49" s="101" t="n"/>
      <c r="J49" s="101" t="n"/>
    </row>
    <row r="50" ht="15" customHeight="1" s="55">
      <c r="A50" s="101" t="n"/>
      <c r="B50" s="101" t="n"/>
      <c r="C50" s="101" t="n"/>
      <c r="D50" s="101" t="n"/>
      <c r="E50" s="101" t="n"/>
      <c r="F50" s="101" t="n"/>
      <c r="G50" s="101" t="n"/>
      <c r="H50" s="101" t="n"/>
      <c r="J50" s="101" t="n"/>
    </row>
    <row r="51" ht="15" customHeight="1" s="55">
      <c r="A51" s="101" t="n"/>
      <c r="B51" s="101" t="n"/>
      <c r="C51" s="101" t="n"/>
      <c r="D51" s="101" t="n"/>
      <c r="E51" s="101" t="n"/>
      <c r="F51" s="101" t="n"/>
      <c r="G51" s="101" t="n"/>
      <c r="H51" s="101" t="n"/>
      <c r="J51" s="101" t="n"/>
    </row>
    <row r="52" ht="15" customHeight="1" s="55">
      <c r="A52" s="101" t="n"/>
      <c r="B52" s="101" t="n"/>
      <c r="C52" s="101" t="n"/>
      <c r="D52" s="101" t="n"/>
      <c r="E52" s="101" t="n"/>
      <c r="F52" s="101" t="n"/>
      <c r="G52" s="101" t="n"/>
      <c r="H52" s="101" t="n"/>
      <c r="J52" s="101" t="n"/>
    </row>
    <row r="53" ht="15" customHeight="1" s="55">
      <c r="A53" s="101" t="n"/>
      <c r="B53" s="101" t="n"/>
      <c r="C53" s="101" t="n"/>
      <c r="D53" s="101" t="n"/>
      <c r="E53" s="101" t="n"/>
      <c r="F53" s="101" t="n"/>
      <c r="G53" s="101" t="n"/>
      <c r="H53" s="101" t="n"/>
      <c r="J53" s="101" t="n"/>
    </row>
    <row r="54" ht="15" customHeight="1" s="55">
      <c r="A54" s="101" t="n"/>
      <c r="B54" s="101" t="n"/>
      <c r="C54" s="101" t="n"/>
      <c r="D54" s="101" t="n"/>
      <c r="E54" s="101" t="n"/>
      <c r="F54" s="101" t="n"/>
      <c r="G54" s="101" t="n"/>
      <c r="H54" s="101" t="n"/>
      <c r="J54" s="101" t="n"/>
    </row>
    <row r="55" ht="15" customHeight="1" s="55">
      <c r="A55" s="101" t="n"/>
      <c r="B55" s="101" t="n"/>
      <c r="C55" s="101" t="n"/>
      <c r="D55" s="101" t="n"/>
      <c r="E55" s="101" t="n"/>
      <c r="F55" s="101" t="n"/>
      <c r="G55" s="101" t="n"/>
      <c r="H55" s="101" t="n"/>
      <c r="J55" s="101" t="n"/>
    </row>
    <row r="56" ht="15" customHeight="1" s="55">
      <c r="A56" s="101" t="n"/>
      <c r="B56" s="101" t="n"/>
      <c r="C56" s="101" t="n"/>
      <c r="D56" s="101" t="n"/>
      <c r="E56" s="101" t="n"/>
      <c r="F56" s="101" t="n"/>
      <c r="G56" s="101" t="n"/>
      <c r="H56" s="101" t="n"/>
      <c r="J56" s="101" t="n"/>
    </row>
    <row r="57" ht="15" customHeight="1" s="55">
      <c r="A57" s="101" t="n"/>
      <c r="B57" s="101" t="n"/>
      <c r="C57" s="101" t="n"/>
      <c r="D57" s="101" t="n"/>
      <c r="E57" s="101" t="n"/>
      <c r="F57" s="101" t="n"/>
      <c r="G57" s="101" t="n"/>
      <c r="H57" s="101" t="n"/>
      <c r="J57" s="101" t="n"/>
    </row>
    <row r="58" ht="15" customHeight="1" s="55">
      <c r="A58" s="101" t="n"/>
      <c r="B58" s="101" t="n"/>
      <c r="C58" s="101" t="n"/>
      <c r="D58" s="101" t="n"/>
      <c r="E58" s="101" t="n"/>
      <c r="F58" s="101" t="n"/>
      <c r="G58" s="101" t="n"/>
      <c r="H58" s="101" t="n"/>
      <c r="J58" s="101" t="n"/>
    </row>
    <row r="59" ht="15" customHeight="1" s="55">
      <c r="A59" s="101" t="n"/>
      <c r="B59" s="101" t="n"/>
      <c r="C59" s="101" t="n"/>
      <c r="D59" s="101" t="n"/>
      <c r="E59" s="101" t="n"/>
      <c r="F59" s="101" t="n"/>
      <c r="G59" s="101" t="n"/>
      <c r="H59" s="101" t="n"/>
      <c r="J59" s="101" t="n"/>
    </row>
    <row r="60" ht="15" customHeight="1" s="55">
      <c r="A60" s="101" t="n"/>
      <c r="B60" s="101" t="n"/>
      <c r="C60" s="101" t="n"/>
      <c r="D60" s="101" t="n"/>
      <c r="E60" s="101" t="n"/>
      <c r="F60" s="101" t="n"/>
      <c r="G60" s="101" t="n"/>
      <c r="H60" s="101" t="n"/>
      <c r="J60" s="101" t="n"/>
    </row>
    <row r="61" ht="15" customHeight="1" s="55">
      <c r="A61" s="101" t="n"/>
      <c r="B61" s="101" t="n"/>
      <c r="C61" s="101" t="n"/>
      <c r="D61" s="101" t="n"/>
      <c r="E61" s="101" t="n"/>
      <c r="F61" s="101" t="n"/>
      <c r="G61" s="101" t="n"/>
      <c r="H61" s="101" t="n"/>
      <c r="J61" s="101" t="n"/>
    </row>
    <row r="62" ht="15" customHeight="1" s="55">
      <c r="A62" s="101" t="n"/>
      <c r="B62" s="101" t="n"/>
      <c r="C62" s="101" t="n"/>
      <c r="D62" s="101" t="n"/>
      <c r="E62" s="101" t="n"/>
      <c r="F62" s="101" t="n"/>
      <c r="G62" s="101" t="n"/>
      <c r="H62" s="101" t="n"/>
      <c r="J62" s="101" t="n"/>
    </row>
    <row r="63" ht="15" customHeight="1" s="55">
      <c r="A63" s="101" t="n"/>
      <c r="B63" s="101" t="n"/>
      <c r="C63" s="101" t="n"/>
      <c r="D63" s="101" t="n"/>
      <c r="E63" s="101" t="n"/>
      <c r="F63" s="101" t="n"/>
      <c r="G63" s="101" t="n"/>
      <c r="H63" s="101" t="n"/>
      <c r="J63" s="101" t="n"/>
    </row>
    <row r="64" ht="15" customHeight="1" s="55">
      <c r="A64" s="101" t="n"/>
      <c r="B64" s="101" t="n"/>
      <c r="C64" s="101" t="n"/>
      <c r="D64" s="101" t="n"/>
      <c r="E64" s="101" t="n"/>
      <c r="F64" s="101" t="n"/>
      <c r="G64" s="101" t="n"/>
      <c r="H64" s="101" t="n"/>
      <c r="J64" s="101" t="n"/>
    </row>
    <row r="65" ht="15" customHeight="1" s="55">
      <c r="A65" s="101" t="n"/>
      <c r="B65" s="101" t="n"/>
      <c r="C65" s="101" t="n"/>
      <c r="D65" s="101" t="n"/>
      <c r="E65" s="101" t="n"/>
      <c r="F65" s="101" t="n"/>
      <c r="G65" s="101" t="n"/>
      <c r="H65" s="101" t="n"/>
      <c r="J65" s="101" t="n"/>
    </row>
    <row r="66" ht="15" customHeight="1" s="55">
      <c r="A66" s="101" t="n"/>
      <c r="B66" s="101" t="n"/>
      <c r="C66" s="101" t="n"/>
      <c r="D66" s="101" t="n"/>
      <c r="E66" s="101" t="n"/>
      <c r="F66" s="101" t="n"/>
      <c r="G66" s="101" t="n"/>
      <c r="H66" s="101" t="n"/>
      <c r="J66" s="101" t="n"/>
    </row>
    <row r="67" ht="15" customHeight="1" s="55">
      <c r="A67" s="101" t="n"/>
      <c r="B67" s="101" t="n"/>
      <c r="C67" s="101" t="n"/>
      <c r="D67" s="101" t="n"/>
      <c r="E67" s="101" t="n"/>
      <c r="F67" s="101" t="n"/>
      <c r="G67" s="101" t="n"/>
      <c r="H67" s="101" t="n"/>
      <c r="J67" s="101" t="n"/>
    </row>
    <row r="68" ht="15" customHeight="1" s="55">
      <c r="A68" s="101" t="n"/>
      <c r="B68" s="101" t="n"/>
      <c r="C68" s="101" t="n"/>
      <c r="D68" s="101" t="n"/>
      <c r="E68" s="101" t="n"/>
      <c r="F68" s="101" t="n"/>
      <c r="G68" s="101" t="n"/>
      <c r="H68" s="101" t="n"/>
      <c r="J68" s="101" t="n"/>
    </row>
    <row r="69" ht="15" customHeight="1" s="55">
      <c r="A69" s="101" t="n"/>
      <c r="B69" s="101" t="n"/>
      <c r="C69" s="101" t="n"/>
      <c r="D69" s="101" t="n"/>
      <c r="E69" s="101" t="n"/>
      <c r="F69" s="101" t="n"/>
      <c r="G69" s="101" t="n"/>
      <c r="H69" s="101" t="n"/>
      <c r="J69" s="101" t="n"/>
    </row>
    <row r="70" ht="15" customHeight="1" s="55">
      <c r="A70" s="101" t="n"/>
      <c r="B70" s="101" t="n"/>
      <c r="C70" s="101" t="n"/>
      <c r="D70" s="101" t="n"/>
      <c r="E70" s="101" t="n"/>
      <c r="F70" s="101" t="n"/>
      <c r="G70" s="101" t="n"/>
      <c r="H70" s="101" t="n"/>
      <c r="J70" s="101" t="n"/>
    </row>
    <row r="71" ht="15" customHeight="1" s="55">
      <c r="A71" s="101" t="n"/>
      <c r="B71" s="101" t="n"/>
      <c r="C71" s="101" t="n"/>
      <c r="D71" s="101" t="n"/>
      <c r="E71" s="101" t="n"/>
      <c r="F71" s="101" t="n"/>
      <c r="G71" s="101" t="n"/>
      <c r="H71" s="101" t="n"/>
      <c r="J71" s="101" t="n"/>
    </row>
    <row r="72" ht="15" customHeight="1" s="55">
      <c r="A72" s="101" t="n"/>
      <c r="B72" s="101" t="n"/>
      <c r="C72" s="101" t="n"/>
      <c r="D72" s="101" t="n"/>
      <c r="E72" s="101" t="n"/>
      <c r="F72" s="101" t="n"/>
      <c r="G72" s="101" t="n"/>
      <c r="H72" s="101" t="n"/>
      <c r="J72" s="101" t="n"/>
    </row>
    <row r="73" ht="15" customHeight="1" s="55">
      <c r="A73" s="101" t="n"/>
      <c r="B73" s="101" t="n"/>
      <c r="C73" s="101" t="n"/>
      <c r="D73" s="101" t="n"/>
      <c r="E73" s="101" t="n"/>
      <c r="F73" s="101" t="n"/>
      <c r="G73" s="101" t="n"/>
      <c r="H73" s="101" t="n"/>
      <c r="J73" s="101" t="n"/>
    </row>
    <row r="74" ht="15" customHeight="1" s="55">
      <c r="A74" s="101" t="n"/>
      <c r="B74" s="101" t="n"/>
      <c r="C74" s="101" t="n"/>
      <c r="D74" s="101" t="n"/>
      <c r="E74" s="101" t="n"/>
      <c r="F74" s="101" t="n"/>
      <c r="G74" s="101" t="n"/>
      <c r="H74" s="101" t="n"/>
      <c r="J74" s="101" t="n"/>
    </row>
    <row r="75" ht="15" customHeight="1" s="55">
      <c r="A75" s="101" t="n"/>
      <c r="B75" s="101" t="n"/>
      <c r="C75" s="101" t="n"/>
      <c r="D75" s="101" t="n"/>
      <c r="E75" s="101" t="n"/>
      <c r="F75" s="101" t="n"/>
      <c r="G75" s="101" t="n"/>
      <c r="H75" s="101" t="n"/>
      <c r="J75" s="101" t="n"/>
    </row>
    <row r="76" ht="15" customHeight="1" s="55">
      <c r="A76" s="101" t="n"/>
      <c r="B76" s="101" t="n"/>
      <c r="C76" s="101" t="n"/>
      <c r="D76" s="101" t="n"/>
      <c r="E76" s="101" t="n"/>
      <c r="F76" s="101" t="n"/>
      <c r="G76" s="101" t="n"/>
      <c r="H76" s="101" t="n"/>
      <c r="J76" s="101" t="n"/>
    </row>
    <row r="77" ht="15" customHeight="1" s="55">
      <c r="A77" s="101" t="n"/>
      <c r="B77" s="101" t="n"/>
      <c r="C77" s="101" t="n"/>
      <c r="D77" s="101" t="n"/>
      <c r="E77" s="101" t="n"/>
      <c r="F77" s="101" t="n"/>
      <c r="G77" s="101" t="n"/>
      <c r="H77" s="101" t="n"/>
      <c r="J77" s="101" t="n"/>
    </row>
    <row r="78" ht="15" customHeight="1" s="55">
      <c r="A78" s="101" t="n"/>
      <c r="B78" s="101" t="n"/>
      <c r="C78" s="101" t="n"/>
      <c r="D78" s="101" t="n"/>
      <c r="E78" s="101" t="n"/>
      <c r="F78" s="101" t="n"/>
      <c r="G78" s="101" t="n"/>
      <c r="H78" s="101" t="n"/>
      <c r="J78" s="101" t="n"/>
    </row>
    <row r="79" ht="15" customHeight="1" s="55">
      <c r="A79" s="101" t="n"/>
      <c r="B79" s="101" t="n"/>
      <c r="C79" s="101" t="n"/>
      <c r="D79" s="101" t="n"/>
      <c r="E79" s="101" t="n"/>
      <c r="F79" s="101" t="n"/>
      <c r="G79" s="101" t="n"/>
      <c r="H79" s="101" t="n"/>
      <c r="J79" s="101" t="n"/>
    </row>
    <row r="80" ht="15" customHeight="1" s="55">
      <c r="A80" s="101" t="n"/>
      <c r="B80" s="101" t="n"/>
      <c r="C80" s="101" t="n"/>
      <c r="D80" s="101" t="n"/>
      <c r="E80" s="101" t="n"/>
      <c r="F80" s="101" t="n"/>
      <c r="G80" s="101" t="n"/>
      <c r="H80" s="101" t="n"/>
      <c r="J80" s="101" t="n"/>
    </row>
    <row r="81" ht="15" customHeight="1" s="55">
      <c r="A81" s="101" t="n"/>
      <c r="B81" s="101" t="n"/>
      <c r="C81" s="101" t="n"/>
      <c r="D81" s="101" t="n"/>
      <c r="E81" s="101" t="n"/>
      <c r="F81" s="101" t="n"/>
      <c r="G81" s="101" t="n"/>
      <c r="H81" s="101" t="n"/>
      <c r="J81" s="101" t="n"/>
    </row>
    <row r="82" ht="15" customHeight="1" s="55">
      <c r="A82" s="101" t="n"/>
      <c r="B82" s="101" t="n"/>
      <c r="C82" s="101" t="n"/>
      <c r="D82" s="101" t="n"/>
      <c r="E82" s="101" t="n"/>
      <c r="F82" s="101" t="n"/>
      <c r="G82" s="101" t="n"/>
      <c r="H82" s="101" t="n"/>
      <c r="J82" s="101" t="n"/>
    </row>
    <row r="83" ht="15" customHeight="1" s="55">
      <c r="A83" s="101" t="n"/>
      <c r="B83" s="101" t="n"/>
      <c r="C83" s="101" t="n"/>
      <c r="D83" s="101" t="n"/>
      <c r="E83" s="101" t="n"/>
      <c r="F83" s="101" t="n"/>
      <c r="G83" s="101" t="n"/>
      <c r="H83" s="101" t="n"/>
      <c r="J83" s="101" t="n"/>
    </row>
    <row r="84" ht="15" customHeight="1" s="55">
      <c r="A84" s="101" t="n"/>
      <c r="B84" s="101" t="n"/>
      <c r="C84" s="101" t="n"/>
      <c r="D84" s="101" t="n"/>
      <c r="E84" s="101" t="n"/>
      <c r="F84" s="101" t="n"/>
      <c r="G84" s="101" t="n"/>
      <c r="H84" s="101" t="n"/>
      <c r="J84" s="101" t="n"/>
    </row>
    <row r="85" ht="15" customHeight="1" s="55">
      <c r="A85" s="101" t="n"/>
      <c r="B85" s="101" t="n"/>
      <c r="C85" s="101" t="n"/>
      <c r="D85" s="101" t="n"/>
      <c r="E85" s="101" t="n"/>
      <c r="F85" s="101" t="n"/>
      <c r="G85" s="101" t="n"/>
      <c r="H85" s="101" t="n"/>
      <c r="J85" s="101" t="n"/>
    </row>
    <row r="86" ht="15" customHeight="1" s="55">
      <c r="A86" s="101" t="n"/>
      <c r="B86" s="101" t="n"/>
      <c r="C86" s="101" t="n"/>
      <c r="D86" s="101" t="n"/>
      <c r="E86" s="101" t="n"/>
      <c r="F86" s="101" t="n"/>
      <c r="G86" s="101" t="n"/>
      <c r="H86" s="101" t="n"/>
      <c r="J86" s="101" t="n"/>
    </row>
    <row r="87" ht="15" customHeight="1" s="55">
      <c r="A87" s="101" t="n"/>
      <c r="B87" s="101" t="n"/>
      <c r="C87" s="101" t="n"/>
      <c r="D87" s="101" t="n"/>
      <c r="E87" s="101" t="n"/>
      <c r="F87" s="101" t="n"/>
      <c r="G87" s="101" t="n"/>
      <c r="H87" s="101" t="n"/>
      <c r="J87" s="101" t="n"/>
    </row>
    <row r="88" ht="15" customHeight="1" s="55">
      <c r="A88" s="101" t="n"/>
      <c r="B88" s="101" t="n"/>
      <c r="C88" s="101" t="n"/>
      <c r="D88" s="101" t="n"/>
      <c r="E88" s="101" t="n"/>
      <c r="F88" s="101" t="n"/>
      <c r="G88" s="101" t="n"/>
      <c r="H88" s="101" t="n"/>
      <c r="J88" s="101" t="n"/>
    </row>
    <row r="89" ht="15" customHeight="1" s="55">
      <c r="A89" s="101" t="n"/>
      <c r="B89" s="101" t="n"/>
      <c r="C89" s="101" t="n"/>
      <c r="D89" s="101" t="n"/>
      <c r="E89" s="101" t="n"/>
      <c r="F89" s="101" t="n"/>
      <c r="G89" s="101" t="n"/>
      <c r="H89" s="101" t="n"/>
      <c r="J89" s="101" t="n"/>
    </row>
    <row r="90" ht="15" customHeight="1" s="55">
      <c r="A90" s="101" t="n"/>
      <c r="B90" s="101" t="n"/>
      <c r="C90" s="101" t="n"/>
      <c r="D90" s="101" t="n"/>
      <c r="E90" s="101" t="n"/>
      <c r="F90" s="101" t="n"/>
      <c r="G90" s="101" t="n"/>
      <c r="H90" s="101" t="n"/>
      <c r="J90" s="101" t="n"/>
    </row>
    <row r="91" ht="15" customHeight="1" s="55">
      <c r="A91" s="101" t="n"/>
      <c r="B91" s="101" t="n"/>
      <c r="C91" s="101" t="n"/>
      <c r="D91" s="101" t="n"/>
      <c r="E91" s="101" t="n"/>
      <c r="F91" s="101" t="n"/>
      <c r="G91" s="101" t="n"/>
      <c r="H91" s="101" t="n"/>
      <c r="J91" s="101" t="n"/>
    </row>
    <row r="92" ht="15" customHeight="1" s="55">
      <c r="A92" s="101" t="n"/>
      <c r="B92" s="101" t="n"/>
      <c r="C92" s="101" t="n"/>
      <c r="D92" s="101" t="n"/>
      <c r="E92" s="101" t="n"/>
      <c r="F92" s="101" t="n"/>
      <c r="G92" s="101" t="n"/>
      <c r="H92" s="101" t="n"/>
      <c r="J92" s="101" t="n"/>
    </row>
    <row r="93" ht="15" customHeight="1" s="55">
      <c r="A93" s="101" t="n"/>
      <c r="B93" s="101" t="n"/>
      <c r="C93" s="101" t="n"/>
      <c r="D93" s="101" t="n"/>
      <c r="E93" s="101" t="n"/>
      <c r="F93" s="101" t="n"/>
      <c r="G93" s="101" t="n"/>
      <c r="H93" s="101" t="n"/>
      <c r="J93" s="101" t="n"/>
    </row>
    <row r="94" ht="15" customHeight="1" s="55">
      <c r="A94" s="101" t="n"/>
      <c r="B94" s="101" t="n"/>
      <c r="C94" s="101" t="n"/>
      <c r="D94" s="101" t="n"/>
      <c r="E94" s="101" t="n"/>
      <c r="F94" s="101" t="n"/>
      <c r="G94" s="101" t="n"/>
      <c r="H94" s="101" t="n"/>
      <c r="J94" s="101" t="n"/>
    </row>
    <row r="95" ht="15" customHeight="1" s="55">
      <c r="A95" s="101" t="n"/>
      <c r="B95" s="101" t="n"/>
      <c r="C95" s="101" t="n"/>
      <c r="D95" s="101" t="n"/>
      <c r="E95" s="101" t="n"/>
      <c r="F95" s="101" t="n"/>
      <c r="G95" s="101" t="n"/>
      <c r="H95" s="101" t="n"/>
      <c r="J95" s="101" t="n"/>
    </row>
    <row r="96" ht="15" customHeight="1" s="55">
      <c r="A96" s="101" t="n"/>
      <c r="B96" s="101" t="n"/>
      <c r="C96" s="101" t="n"/>
      <c r="D96" s="101" t="n"/>
      <c r="E96" s="101" t="n"/>
      <c r="F96" s="101" t="n"/>
      <c r="G96" s="101" t="n"/>
      <c r="H96" s="101" t="n"/>
      <c r="J96" s="101" t="n"/>
    </row>
    <row r="97" ht="15" customHeight="1" s="55">
      <c r="A97" s="101" t="n"/>
      <c r="B97" s="101" t="n"/>
      <c r="C97" s="101" t="n"/>
      <c r="D97" s="101" t="n"/>
      <c r="E97" s="101" t="n"/>
      <c r="F97" s="101" t="n"/>
      <c r="G97" s="101" t="n"/>
      <c r="H97" s="101" t="n"/>
      <c r="J97" s="101" t="n"/>
    </row>
    <row r="98" ht="15" customHeight="1" s="55">
      <c r="A98" s="101" t="n"/>
      <c r="B98" s="101" t="n"/>
      <c r="C98" s="101" t="n"/>
      <c r="D98" s="101" t="n"/>
      <c r="E98" s="101" t="n"/>
      <c r="F98" s="101" t="n"/>
      <c r="G98" s="101" t="n"/>
      <c r="H98" s="101" t="n"/>
      <c r="J98" s="101" t="n"/>
    </row>
    <row r="99" ht="15" customHeight="1" s="55">
      <c r="A99" s="101" t="n"/>
      <c r="B99" s="101" t="n"/>
      <c r="C99" s="101" t="n"/>
      <c r="D99" s="101" t="n"/>
      <c r="E99" s="101" t="n"/>
      <c r="F99" s="101" t="n"/>
      <c r="G99" s="101" t="n"/>
      <c r="H99" s="101" t="n"/>
      <c r="J99" s="101" t="n"/>
    </row>
    <row r="100" ht="15" customHeight="1" s="55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J100" s="101" t="n"/>
    </row>
    <row r="101" ht="15" customHeight="1" s="55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J101" s="101" t="n"/>
    </row>
    <row r="102" ht="15" customHeight="1" s="55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J102" s="101" t="n"/>
    </row>
    <row r="103" ht="15" customHeight="1" s="55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J103" s="101" t="n"/>
    </row>
    <row r="104" ht="15" customHeight="1" s="55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J104" s="101" t="n"/>
    </row>
    <row r="105" ht="15" customHeight="1" s="55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J105" s="101" t="n"/>
    </row>
    <row r="106" ht="15" customHeight="1" s="55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J106" s="101" t="n"/>
    </row>
    <row r="107" ht="15" customHeight="1" s="55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J107" s="101" t="n"/>
    </row>
    <row r="108" ht="15" customHeight="1" s="55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J108" s="101" t="n"/>
    </row>
    <row r="109" ht="15" customHeight="1" s="55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J109" s="101" t="n"/>
    </row>
    <row r="110" ht="15" customHeight="1" s="55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J110" s="101" t="n"/>
    </row>
    <row r="111" ht="15" customHeight="1" s="55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J111" s="101" t="n"/>
    </row>
    <row r="112" ht="15" customHeight="1" s="55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J112" s="101" t="n"/>
    </row>
    <row r="113" ht="15" customHeight="1" s="55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J113" s="101" t="n"/>
    </row>
    <row r="114" ht="15" customHeight="1" s="55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J114" s="101" t="n"/>
    </row>
    <row r="115" ht="15" customHeight="1" s="55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J115" s="101" t="n"/>
    </row>
    <row r="116" ht="15" customHeight="1" s="55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J116" s="101" t="n"/>
    </row>
    <row r="117" ht="15" customHeight="1" s="55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J117" s="101" t="n"/>
    </row>
    <row r="118" ht="15" customHeight="1" s="55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J118" s="101" t="n"/>
    </row>
    <row r="119" ht="15" customHeight="1" s="55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J119" s="101" t="n"/>
    </row>
    <row r="120" ht="15" customHeight="1" s="55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J120" s="101" t="n"/>
    </row>
    <row r="121" ht="15" customHeight="1" s="55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J121" s="101" t="n"/>
    </row>
    <row r="122" ht="15" customHeight="1" s="55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J122" s="101" t="n"/>
    </row>
    <row r="123" ht="15" customHeight="1" s="55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J123" s="101" t="n"/>
    </row>
    <row r="124" ht="15" customHeight="1" s="55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J124" s="101" t="n"/>
    </row>
    <row r="125" ht="15" customHeight="1" s="55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J125" s="101" t="n"/>
    </row>
    <row r="126" ht="15" customHeight="1" s="55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J126" s="101" t="n"/>
    </row>
    <row r="127" ht="15" customHeight="1" s="55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J127" s="101" t="n"/>
    </row>
    <row r="128" ht="15" customHeight="1" s="55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J128" s="101" t="n"/>
    </row>
    <row r="129" ht="15" customHeight="1" s="55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J129" s="101" t="n"/>
    </row>
    <row r="130" ht="15" customHeight="1" s="55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J130" s="101" t="n"/>
    </row>
    <row r="131" ht="15" customHeight="1" s="55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J131" s="101" t="n"/>
    </row>
    <row r="132" ht="15" customHeight="1" s="55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J132" s="101" t="n"/>
    </row>
    <row r="133" ht="15" customHeight="1" s="55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J133" s="101" t="n"/>
    </row>
    <row r="134" ht="15" customHeight="1" s="55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J134" s="101" t="n"/>
    </row>
    <row r="135" ht="15" customHeight="1" s="55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J135" s="101" t="n"/>
    </row>
    <row r="136" ht="15" customHeight="1" s="55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J136" s="101" t="n"/>
    </row>
    <row r="137" ht="15" customHeight="1" s="55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J137" s="101" t="n"/>
    </row>
    <row r="138" ht="15" customHeight="1" s="55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J138" s="101" t="n"/>
    </row>
    <row r="139" ht="15" customHeight="1" s="55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J139" s="101" t="n"/>
    </row>
    <row r="140" ht="15" customHeight="1" s="55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J140" s="101" t="n"/>
    </row>
    <row r="141" ht="15" customHeight="1" s="55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J141" s="101" t="n"/>
    </row>
    <row r="142" ht="15" customHeight="1" s="55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J142" s="101" t="n"/>
    </row>
    <row r="143" ht="15" customHeight="1" s="55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J143" s="101" t="n"/>
    </row>
    <row r="144" ht="15" customHeight="1" s="55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J144" s="101" t="n"/>
    </row>
    <row r="145" ht="15" customHeight="1" s="55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J145" s="101" t="n"/>
    </row>
    <row r="146" ht="15" customHeight="1" s="55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J146" s="101" t="n"/>
    </row>
    <row r="147" ht="15" customHeight="1" s="55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J147" s="101" t="n"/>
    </row>
    <row r="148" ht="15" customHeight="1" s="55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J148" s="101" t="n"/>
    </row>
    <row r="149" ht="15" customHeight="1" s="55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J149" s="101" t="n"/>
    </row>
    <row r="150" ht="15" customHeight="1" s="55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J150" s="101" t="n"/>
    </row>
    <row r="151" ht="15" customHeight="1" s="55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J151" s="101" t="n"/>
    </row>
    <row r="152" ht="15" customHeight="1" s="55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J152" s="101" t="n"/>
    </row>
    <row r="153" ht="15" customHeight="1" s="55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J153" s="101" t="n"/>
    </row>
    <row r="154" ht="15" customHeight="1" s="55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J154" s="101" t="n"/>
    </row>
    <row r="155" ht="15" customHeight="1" s="55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J155" s="101" t="n"/>
    </row>
    <row r="156" ht="15" customHeight="1" s="55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J156" s="101" t="n"/>
    </row>
    <row r="157" ht="15" customHeight="1" s="55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J157" s="101" t="n"/>
    </row>
    <row r="158" ht="15" customHeight="1" s="55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J158" s="101" t="n"/>
    </row>
    <row r="159" ht="15" customHeight="1" s="55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J159" s="101" t="n"/>
    </row>
    <row r="160" ht="15" customHeight="1" s="55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J160" s="101" t="n"/>
    </row>
    <row r="161" ht="15" customHeight="1" s="55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J161" s="101" t="n"/>
    </row>
    <row r="162" ht="15" customHeight="1" s="55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J162" s="101" t="n"/>
    </row>
    <row r="163" ht="15" customHeight="1" s="55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J163" s="101" t="n"/>
    </row>
    <row r="164" ht="15" customHeight="1" s="55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J164" s="101" t="n"/>
    </row>
    <row r="165" ht="15" customHeight="1" s="55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J165" s="101" t="n"/>
    </row>
    <row r="166" ht="15" customHeight="1" s="55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J166" s="101" t="n"/>
    </row>
    <row r="167" ht="15" customHeight="1" s="55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J167" s="101" t="n"/>
    </row>
    <row r="168" ht="15" customHeight="1" s="55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J168" s="101" t="n"/>
    </row>
    <row r="169" ht="15" customHeight="1" s="55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J169" s="101" t="n"/>
    </row>
    <row r="170" ht="15" customHeight="1" s="55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J170" s="101" t="n"/>
    </row>
    <row r="171" ht="15" customHeight="1" s="55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J171" s="101" t="n"/>
    </row>
    <row r="172" ht="15" customHeight="1" s="55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J172" s="101" t="n"/>
    </row>
    <row r="173" ht="15" customHeight="1" s="55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J173" s="101" t="n"/>
    </row>
    <row r="174" ht="15" customHeight="1" s="55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J174" s="101" t="n"/>
    </row>
    <row r="175" ht="15" customHeight="1" s="55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J175" s="101" t="n"/>
    </row>
    <row r="176" ht="15" customHeight="1" s="55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J176" s="101" t="n"/>
    </row>
    <row r="177" ht="15" customHeight="1" s="55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J177" s="101" t="n"/>
    </row>
    <row r="178" ht="15" customHeight="1" s="55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J178" s="101" t="n"/>
    </row>
    <row r="179" ht="15" customHeight="1" s="55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J179" s="101" t="n"/>
    </row>
    <row r="180" ht="15" customHeight="1" s="55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J180" s="101" t="n"/>
    </row>
    <row r="181" ht="15" customHeight="1" s="55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J181" s="101" t="n"/>
    </row>
    <row r="182" ht="15" customHeight="1" s="55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J182" s="101" t="n"/>
    </row>
    <row r="183" ht="15" customHeight="1" s="55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J183" s="101" t="n"/>
    </row>
    <row r="184" ht="15" customHeight="1" s="55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J184" s="101" t="n"/>
    </row>
    <row r="185" ht="15" customHeight="1" s="55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J185" s="101" t="n"/>
    </row>
    <row r="186" ht="15" customHeight="1" s="55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J186" s="101" t="n"/>
    </row>
    <row r="187" ht="15" customHeight="1" s="55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J187" s="101" t="n"/>
    </row>
    <row r="188" ht="15" customHeight="1" s="55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J188" s="101" t="n"/>
    </row>
    <row r="189" ht="15" customHeight="1" s="55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J189" s="101" t="n"/>
    </row>
    <row r="190" ht="15" customHeight="1" s="55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J190" s="101" t="n"/>
    </row>
    <row r="191" ht="15" customHeight="1" s="55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J191" s="101" t="n"/>
    </row>
    <row r="192" ht="15" customHeight="1" s="55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J192" s="101" t="n"/>
    </row>
    <row r="193" ht="15" customHeight="1" s="55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J193" s="101" t="n"/>
    </row>
    <row r="194" ht="15" customHeight="1" s="55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J194" s="101" t="n"/>
    </row>
    <row r="195" ht="15" customHeight="1" s="55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J195" s="101" t="n"/>
    </row>
    <row r="196" ht="15" customHeight="1" s="55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J196" s="101" t="n"/>
    </row>
    <row r="197" ht="15" customHeight="1" s="55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J197" s="101" t="n"/>
    </row>
    <row r="198" ht="15" customHeight="1" s="55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J198" s="101" t="n"/>
    </row>
    <row r="199" ht="15" customHeight="1" s="55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J199" s="101" t="n"/>
    </row>
    <row r="200" ht="15" customHeight="1" s="55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J200" s="101" t="n"/>
    </row>
    <row r="201" ht="15" customHeight="1" s="55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J201" s="101" t="n"/>
    </row>
    <row r="202" ht="15" customHeight="1" s="55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J202" s="101" t="n"/>
    </row>
    <row r="203" ht="15" customHeight="1" s="55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J203" s="101" t="n"/>
    </row>
    <row r="204" ht="15" customHeight="1" s="55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J204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N6:N204">
    <cfRule type="cellIs" rank="0" priority="2" equalAverage="0" operator="equal" aboveAverage="0" dxfId="13" text="" percent="0" bottom="0">
      <formula>"SÜRESİ GEÇTİ"</formula>
    </cfRule>
    <cfRule type="cellIs" rank="0" priority="3" equalAverage="0" operator="equal" aboveAverage="0" dxfId="10" text="" percent="0" bottom="0">
      <formula>"30 GÜN İÇİNDE BİTİYOR"</formula>
    </cfRule>
    <cfRule type="cellIs" rank="0" priority="4" equalAverage="0" operator="equal" aboveAverage="0" dxfId="9" text="" percent="0" bottom="0">
      <formula>"GEÇERLİ"</formula>
    </cfRule>
  </conditionalFormatting>
  <conditionalFormatting sqref="I6:I204">
    <cfRule type="cellIs" rank="0" priority="5" equalAverage="0" operator="lessThan" aboveAverage="0" dxfId="11" text="" percent="0" bottom="0">
      <formula>0</formula>
    </cfRule>
  </conditionalFormatting>
  <conditionalFormatting sqref="H6:H204">
    <cfRule type="cellIs" rank="0" priority="6" equalAverage="0" operator="between" aboveAverage="0" dxfId="10" text="" percent="0" bottom="0">
      <formula>0.5</formula>
      <formula>0.9</formula>
    </cfRule>
  </conditionalFormatting>
  <dataValidations count="3">
    <dataValidation sqref="C6:C204" showDropDown="0" showInputMessage="1" showErrorMessage="1" allowBlank="1" errorTitle="Geçersiz Tür" error="Lütfen geçerli bir teminat türü seçin." promptTitle="Teminat Türü" prompt="Banka Teminat Mektubu, İpotek, Çek ve Senet, Kefalet veya Teminatsız seçin." type="list" errorStyle="stop" operator="between">
      <formula1>ListeTeminatTuru</formula1>
      <formula2>0</formula2>
    </dataValidation>
    <dataValidation sqref="J6:J204" showDropDown="0" showInputMessage="1" showErrorMessage="1" allowBlank="1" errorTitle="Geçersiz Birim" error="Lütfen geçerli bir para birimi girin." promptTitle="Para Birimi" prompt="TRY, USD veya EUR seçin." type="list" errorStyle="stop" operator="between">
      <formula1>ListeParaBirimi</formula1>
      <formula2>0</formula2>
    </dataValidation>
    <dataValidation sqref="H6:H204" showDropDown="0" showInputMessage="1" showErrorMessage="1" allowBlank="1" errorTitle="Geçersiz Oran" error="Değerleme indirimi 0-1 arasında olmalıdır." promptTitle="Değerleme İndirimi" prompt="0 ile 1 arasında oran girin (örn. 0,25).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4.5" customWidth="1" style="81" min="1" max="1"/>
    <col width="23.5" customWidth="1" style="81" min="2" max="3"/>
    <col width="16.5" customWidth="1" style="55" min="3" max="3"/>
    <col width="21.5" customWidth="1" style="81" min="4" max="4"/>
    <col width="12" customWidth="1" style="81" min="5" max="5"/>
    <col width="29.5" customWidth="1" style="81" min="6" max="6"/>
    <col width="23.5" customWidth="1" style="81" min="7" max="7"/>
    <col width="21.5" customWidth="1" style="81" min="8" max="8"/>
    <col width="31.5" customWidth="1" style="81" min="9" max="9"/>
    <col width="15.5" customWidth="1" style="81" min="10" max="10"/>
    <col width="20.5" customWidth="1" style="81" min="11" max="11"/>
    <col width="16" customWidth="1" style="81" min="12" max="12"/>
    <col width="13" customWidth="1" style="55" min="13" max="13"/>
  </cols>
  <sheetData>
    <row r="1" ht="32" customHeight="1" s="55">
      <c r="A1" s="239" t="inlineStr">
        <is>
          <t>ILETISIM TAKIP — CARİ HESAP, TAHSİLAT VE MÜŞTERİ RİSK TAKİP SİSTEMİ</t>
        </is>
      </c>
    </row>
    <row r="3" ht="22" customHeight="1" s="55">
      <c r="A3" s="258" t="inlineStr">
        <is>
          <t>İLETİŞİM VE ÖDEME SÖZÜ TAKİBİ</t>
        </is>
      </c>
    </row>
    <row r="5" ht="30" customHeight="1" s="55">
      <c r="A5" s="95" t="inlineStr">
        <is>
          <t>Takip Kayıt Numarası</t>
        </is>
      </c>
      <c r="B5" s="95" t="inlineStr">
        <is>
          <t>Tarih</t>
        </is>
      </c>
      <c r="C5" s="95" t="inlineStr">
        <is>
          <t>Müşteri Kodu</t>
        </is>
      </c>
      <c r="D5" s="95" t="inlineStr">
        <is>
          <t>Yetkili Kişi</t>
        </is>
      </c>
      <c r="E5" s="95" t="inlineStr">
        <is>
          <t>Kanal</t>
        </is>
      </c>
      <c r="F5" s="95" t="inlineStr">
        <is>
          <t>Görüşme Sonucu</t>
        </is>
      </c>
      <c r="G5" s="95" t="inlineStr">
        <is>
          <t>Söz Verilen Tarih</t>
        </is>
      </c>
      <c r="H5" s="95" t="inlineStr">
        <is>
          <t>Söz Verilen Tutar</t>
        </is>
      </c>
      <c r="I5" s="95" t="inlineStr">
        <is>
          <t>Sonraki Aksiyon</t>
        </is>
      </c>
      <c r="J5" s="95" t="inlineStr">
        <is>
          <t>Sorumlu</t>
        </is>
      </c>
      <c r="K5" s="95" t="inlineStr">
        <is>
          <t>Söz Gecikme Günü</t>
        </is>
      </c>
      <c r="L5" s="95" t="inlineStr">
        <is>
          <t>Söz Durumu</t>
        </is>
      </c>
    </row>
    <row r="6" ht="15.75" customHeight="1" s="55">
      <c r="A6" s="96" t="inlineStr">
        <is>
          <t>IT001</t>
        </is>
      </c>
      <c r="B6" s="97" t="n">
        <v>46235</v>
      </c>
      <c r="C6" s="96" t="inlineStr">
        <is>
          <t>M003</t>
        </is>
      </c>
      <c r="D6" s="96" t="inlineStr">
        <is>
          <t>Mali İşler Müdürü</t>
        </is>
      </c>
      <c r="E6" s="96" t="inlineStr">
        <is>
          <t>Telefon</t>
        </is>
      </c>
      <c r="F6" s="96" t="inlineStr">
        <is>
          <t>Kısmi ödeme sözü</t>
        </is>
      </c>
      <c r="G6" s="97" t="n">
        <v>46237</v>
      </c>
      <c r="H6" s="99" t="n">
        <v>150000</v>
      </c>
      <c r="I6" s="96" t="inlineStr">
        <is>
          <t>Ödeme dekontunu teyit et</t>
        </is>
      </c>
      <c r="J6" s="96" t="inlineStr">
        <is>
          <t>Zeynep Kaya</t>
        </is>
      </c>
      <c r="K6" s="100">
        <f>IF($B6="","",IF($G6="","",MAX(0,RaporTarihi-$G6)))</f>
        <v/>
      </c>
      <c r="L6" s="100">
        <f>IF($B6="","",IF($G6="","BEKLİYOR",IF(RaporTarihi-$G6&gt;0,"SÖZ GECİKTİ",IF($F6="Yerine getirildi","YERİNE GETİRİLDİ","BEKLİYOR"))))</f>
        <v/>
      </c>
    </row>
    <row r="7" ht="15.75" customHeight="1" s="55">
      <c r="A7" s="96" t="inlineStr">
        <is>
          <t>IT002</t>
        </is>
      </c>
      <c r="B7" s="97" t="n">
        <v>46236</v>
      </c>
      <c r="C7" s="96" t="inlineStr">
        <is>
          <t>M004</t>
        </is>
      </c>
      <c r="D7" s="96" t="inlineStr">
        <is>
          <t>Finans Uzmanı</t>
        </is>
      </c>
      <c r="E7" s="96" t="inlineStr">
        <is>
          <t>E-posta</t>
        </is>
      </c>
      <c r="F7" s="96" t="inlineStr">
        <is>
          <t>İtiraz dosyası bekleniyor</t>
        </is>
      </c>
      <c r="G7" s="97" t="n">
        <v>46242</v>
      </c>
      <c r="H7" s="99" t="n">
        <v>400000</v>
      </c>
      <c r="I7" s="96" t="inlineStr">
        <is>
          <t>Mutabakat toplantısı planla</t>
        </is>
      </c>
      <c r="J7" s="96" t="inlineStr">
        <is>
          <t>Kemal Şahin</t>
        </is>
      </c>
      <c r="K7" s="100">
        <f>IF($B7="","",IF($G7="","",MAX(0,RaporTarihi-$G7)))</f>
        <v/>
      </c>
      <c r="L7" s="100">
        <f>IF($B7="","",IF($G7="","BEKLİYOR",IF(RaporTarihi-$G7&gt;0,"SÖZ GECİKTİ",IF($F7="Yerine getirildi","YERİNE GETİRİLDİ","BEKLİYOR"))))</f>
        <v/>
      </c>
    </row>
    <row r="8" ht="15" customHeight="1" s="55">
      <c r="A8" s="101" t="n"/>
      <c r="B8" s="101" t="n"/>
      <c r="C8" s="101" t="n"/>
      <c r="D8" s="101" t="n"/>
      <c r="E8" s="101" t="n"/>
      <c r="F8" s="101" t="n"/>
      <c r="G8" s="101" t="n"/>
      <c r="H8" s="101" t="n"/>
      <c r="I8" s="101" t="n"/>
      <c r="J8" s="101" t="n"/>
      <c r="K8" s="100">
        <f>IF($B8="","",IF($G8="","",MAX(0,RaporTarihi-$G8)))</f>
        <v/>
      </c>
      <c r="L8" s="100">
        <f>IF($B8="","",IF($G8="","BEKLİYOR",IF(RaporTarihi-$G8&gt;0,"SÖZ GECİKTİ",IF($F8="Yerine getirildi","YERİNE GETİRİLDİ","BEKLİYOR"))))</f>
        <v/>
      </c>
    </row>
    <row r="9" ht="15" customHeight="1" s="55">
      <c r="A9" s="101" t="n"/>
      <c r="B9" s="101" t="n"/>
      <c r="C9" s="101" t="n"/>
      <c r="D9" s="101" t="n"/>
      <c r="E9" s="101" t="n"/>
      <c r="F9" s="101" t="n"/>
      <c r="G9" s="101" t="n"/>
      <c r="H9" s="101" t="n"/>
      <c r="I9" s="101" t="n"/>
      <c r="J9" s="101" t="n"/>
      <c r="K9" s="100">
        <f>IF($B9="","",IF($G9="","",MAX(0,RaporTarihi-$G9)))</f>
        <v/>
      </c>
      <c r="L9" s="100">
        <f>IF($B9="","",IF($G9="","BEKLİYOR",IF(RaporTarihi-$G9&gt;0,"SÖZ GECİKTİ",IF($F9="Yerine getirildi","YERİNE GETİRİLDİ","BEKLİYOR"))))</f>
        <v/>
      </c>
    </row>
    <row r="10" ht="15" customHeight="1" s="55">
      <c r="A10" s="101" t="n"/>
      <c r="B10" s="101" t="n"/>
      <c r="C10" s="101" t="n"/>
      <c r="D10" s="101" t="n"/>
      <c r="E10" s="101" t="n"/>
      <c r="F10" s="101" t="n"/>
      <c r="G10" s="101" t="n"/>
      <c r="H10" s="101" t="n"/>
      <c r="I10" s="101" t="n"/>
      <c r="J10" s="101" t="n"/>
      <c r="K10" s="100">
        <f>IF($B10="","",IF($G10="","",MAX(0,RaporTarihi-$G10)))</f>
        <v/>
      </c>
      <c r="L10" s="100">
        <f>IF($B10="","",IF($G10="","BEKLİYOR",IF(RaporTarihi-$G10&gt;0,"SÖZ GECİKTİ",IF($F10="Yerine getirildi","YERİNE GETİRİLDİ","BEKLİYOR"))))</f>
        <v/>
      </c>
    </row>
    <row r="11" ht="15" customHeight="1" s="55">
      <c r="A11" s="101" t="n"/>
      <c r="B11" s="101" t="n"/>
      <c r="C11" s="101" t="n"/>
      <c r="D11" s="101" t="n"/>
      <c r="E11" s="101" t="n"/>
      <c r="F11" s="101" t="n"/>
      <c r="G11" s="101" t="n"/>
      <c r="H11" s="101" t="n"/>
      <c r="I11" s="101" t="n"/>
      <c r="J11" s="101" t="n"/>
      <c r="K11" s="100">
        <f>IF($B11="","",IF($G11="","",MAX(0,RaporTarihi-$G11)))</f>
        <v/>
      </c>
      <c r="L11" s="100">
        <f>IF($B11="","",IF($G11="","BEKLİYOR",IF(RaporTarihi-$G11&gt;0,"SÖZ GECİKTİ",IF($F11="Yerine getirildi","YERİNE GETİRİLDİ","BEKLİYOR"))))</f>
        <v/>
      </c>
    </row>
    <row r="12" ht="15" customHeight="1" s="55">
      <c r="A12" s="101" t="n"/>
      <c r="B12" s="101" t="n"/>
      <c r="C12" s="101" t="n"/>
      <c r="D12" s="101" t="n"/>
      <c r="E12" s="101" t="n"/>
      <c r="F12" s="101" t="n"/>
      <c r="G12" s="101" t="n"/>
      <c r="H12" s="101" t="n"/>
      <c r="I12" s="101" t="n"/>
      <c r="J12" s="101" t="n"/>
      <c r="K12" s="100">
        <f>IF($B12="","",IF($G12="","",MAX(0,RaporTarihi-$G12)))</f>
        <v/>
      </c>
      <c r="L12" s="100">
        <f>IF($B12="","",IF($G12="","BEKLİYOR",IF(RaporTarihi-$G12&gt;0,"SÖZ GECİKTİ",IF($F12="Yerine getirildi","YERİNE GETİRİLDİ","BEKLİYOR"))))</f>
        <v/>
      </c>
    </row>
    <row r="13" ht="15" customHeight="1" s="55">
      <c r="A13" s="101" t="n"/>
      <c r="B13" s="101" t="n"/>
      <c r="C13" s="101" t="n"/>
      <c r="D13" s="101" t="n"/>
      <c r="E13" s="101" t="n"/>
      <c r="F13" s="101" t="n"/>
      <c r="G13" s="101" t="n"/>
      <c r="H13" s="101" t="n"/>
      <c r="I13" s="101" t="n"/>
      <c r="J13" s="101" t="n"/>
      <c r="K13" s="100">
        <f>IF($B13="","",IF($G13="","",MAX(0,RaporTarihi-$G13)))</f>
        <v/>
      </c>
      <c r="L13" s="100">
        <f>IF($B13="","",IF($G13="","BEKLİYOR",IF(RaporTarihi-$G13&gt;0,"SÖZ GECİKTİ",IF($F13="Yerine getirildi","YERİNE GETİRİLDİ","BEKLİYOR"))))</f>
        <v/>
      </c>
    </row>
    <row r="14" ht="15" customHeight="1" s="55">
      <c r="A14" s="101" t="n"/>
      <c r="B14" s="101" t="n"/>
      <c r="C14" s="101" t="n"/>
      <c r="D14" s="101" t="n"/>
      <c r="E14" s="101" t="n"/>
      <c r="F14" s="101" t="n"/>
      <c r="G14" s="101" t="n"/>
      <c r="H14" s="101" t="n"/>
      <c r="I14" s="101" t="n"/>
      <c r="J14" s="101" t="n"/>
      <c r="K14" s="100">
        <f>IF($B14="","",IF($G14="","",MAX(0,RaporTarihi-$G14)))</f>
        <v/>
      </c>
      <c r="L14" s="100">
        <f>IF($B14="","",IF($G14="","BEKLİYOR",IF(RaporTarihi-$G14&gt;0,"SÖZ GECİKTİ",IF($F14="Yerine getirildi","YERİNE GETİRİLDİ","BEKLİYOR"))))</f>
        <v/>
      </c>
    </row>
    <row r="15" ht="15" customHeight="1" s="55">
      <c r="A15" s="101" t="n"/>
      <c r="B15" s="101" t="n"/>
      <c r="C15" s="101" t="n"/>
      <c r="D15" s="101" t="n"/>
      <c r="E15" s="101" t="n"/>
      <c r="F15" s="101" t="n"/>
      <c r="G15" s="101" t="n"/>
      <c r="H15" s="101" t="n"/>
      <c r="I15" s="101" t="n"/>
      <c r="J15" s="101" t="n"/>
      <c r="K15" s="100">
        <f>IF($B15="","",IF($G15="","",MAX(0,RaporTarihi-$G15)))</f>
        <v/>
      </c>
      <c r="L15" s="100">
        <f>IF($B15="","",IF($G15="","BEKLİYOR",IF(RaporTarihi-$G15&gt;0,"SÖZ GECİKTİ",IF($F15="Yerine getirildi","YERİNE GETİRİLDİ","BEKLİYOR"))))</f>
        <v/>
      </c>
    </row>
    <row r="16" ht="15" customHeight="1" s="55">
      <c r="A16" s="101" t="n"/>
      <c r="B16" s="101" t="n"/>
      <c r="C16" s="101" t="n"/>
      <c r="D16" s="101" t="n"/>
      <c r="E16" s="101" t="n"/>
      <c r="F16" s="101" t="n"/>
      <c r="G16" s="101" t="n"/>
      <c r="H16" s="101" t="n"/>
      <c r="I16" s="101" t="n"/>
      <c r="J16" s="101" t="n"/>
      <c r="K16" s="100">
        <f>IF($B16="","",IF($G16="","",MAX(0,RaporTarihi-$G16)))</f>
        <v/>
      </c>
      <c r="L16" s="100">
        <f>IF($B16="","",IF($G16="","BEKLİYOR",IF(RaporTarihi-$G16&gt;0,"SÖZ GECİKTİ",IF($F16="Yerine getirildi","YERİNE GETİRİLDİ","BEKLİYOR"))))</f>
        <v/>
      </c>
    </row>
    <row r="17" ht="15" customHeight="1" s="55">
      <c r="A17" s="101" t="n"/>
      <c r="B17" s="101" t="n"/>
      <c r="C17" s="101" t="n"/>
      <c r="D17" s="101" t="n"/>
      <c r="E17" s="101" t="n"/>
      <c r="F17" s="101" t="n"/>
      <c r="G17" s="101" t="n"/>
      <c r="H17" s="101" t="n"/>
      <c r="I17" s="101" t="n"/>
      <c r="J17" s="101" t="n"/>
      <c r="K17" s="100">
        <f>IF($B17="","",IF($G17="","",MAX(0,RaporTarihi-$G17)))</f>
        <v/>
      </c>
      <c r="L17" s="100">
        <f>IF($B17="","",IF($G17="","BEKLİYOR",IF(RaporTarihi-$G17&gt;0,"SÖZ GECİKTİ",IF($F17="Yerine getirildi","YERİNE GETİRİLDİ","BEKLİYOR"))))</f>
        <v/>
      </c>
    </row>
    <row r="18" ht="15" customHeight="1" s="55">
      <c r="A18" s="101" t="n"/>
      <c r="B18" s="101" t="n"/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100">
        <f>IF($B18="","",IF($G18="","",MAX(0,RaporTarihi-$G18)))</f>
        <v/>
      </c>
      <c r="L18" s="100">
        <f>IF($B18="","",IF($G18="","BEKLİYOR",IF(RaporTarihi-$G18&gt;0,"SÖZ GECİKTİ",IF($F18="Yerine getirildi","YERİNE GETİRİLDİ","BEKLİYOR"))))</f>
        <v/>
      </c>
    </row>
    <row r="19" ht="15" customHeight="1" s="55">
      <c r="A19" s="101" t="n"/>
      <c r="B19" s="101" t="n"/>
      <c r="C19" s="101" t="n"/>
      <c r="D19" s="101" t="n"/>
      <c r="E19" s="101" t="n"/>
      <c r="F19" s="101" t="n"/>
      <c r="G19" s="101" t="n"/>
      <c r="H19" s="101" t="n"/>
      <c r="I19" s="101" t="n"/>
      <c r="J19" s="101" t="n"/>
      <c r="K19" s="100">
        <f>IF($B19="","",IF($G19="","",MAX(0,RaporTarihi-$G19)))</f>
        <v/>
      </c>
      <c r="L19" s="100">
        <f>IF($B19="","",IF($G19="","BEKLİYOR",IF(RaporTarihi-$G19&gt;0,"SÖZ GECİKTİ",IF($F19="Yerine getirildi","YERİNE GETİRİLDİ","BEKLİYOR"))))</f>
        <v/>
      </c>
    </row>
    <row r="20" ht="15" customHeight="1" s="55">
      <c r="A20" s="101" t="n"/>
      <c r="B20" s="101" t="n"/>
      <c r="C20" s="101" t="n"/>
      <c r="D20" s="101" t="n"/>
      <c r="E20" s="101" t="n"/>
      <c r="F20" s="101" t="n"/>
      <c r="G20" s="101" t="n"/>
      <c r="H20" s="101" t="n"/>
      <c r="I20" s="101" t="n"/>
      <c r="J20" s="101" t="n"/>
      <c r="K20" s="100">
        <f>IF($B20="","",IF($G20="","",MAX(0,RaporTarihi-$G20)))</f>
        <v/>
      </c>
      <c r="L20" s="100">
        <f>IF($B20="","",IF($G20="","BEKLİYOR",IF(RaporTarihi-$G20&gt;0,"SÖZ GECİKTİ",IF($F20="Yerine getirildi","YERİNE GETİRİLDİ","BEKLİYOR"))))</f>
        <v/>
      </c>
    </row>
    <row r="21" ht="15" customHeight="1" s="55">
      <c r="A21" s="101" t="n"/>
      <c r="B21" s="101" t="n"/>
      <c r="C21" s="101" t="n"/>
      <c r="D21" s="101" t="n"/>
      <c r="E21" s="101" t="n"/>
      <c r="F21" s="101" t="n"/>
      <c r="G21" s="101" t="n"/>
      <c r="H21" s="101" t="n"/>
      <c r="I21" s="101" t="n"/>
      <c r="J21" s="101" t="n"/>
      <c r="K21" s="100">
        <f>IF($B21="","",IF($G21="","",MAX(0,RaporTarihi-$G21)))</f>
        <v/>
      </c>
      <c r="L21" s="100">
        <f>IF($B21="","",IF($G21="","BEKLİYOR",IF(RaporTarihi-$G21&gt;0,"SÖZ GECİKTİ",IF($F21="Yerine getirildi","YERİNE GETİRİLDİ","BEKLİYOR"))))</f>
        <v/>
      </c>
    </row>
    <row r="22" ht="15" customHeight="1" s="55">
      <c r="A22" s="101" t="n"/>
      <c r="B22" s="101" t="n"/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0">
        <f>IF($B22="","",IF($G22="","",MAX(0,RaporTarihi-$G22)))</f>
        <v/>
      </c>
      <c r="L22" s="100">
        <f>IF($B22="","",IF($G22="","BEKLİYOR",IF(RaporTarihi-$G22&gt;0,"SÖZ GECİKTİ",IF($F22="Yerine getirildi","YERİNE GETİRİLDİ","BEKLİYOR"))))</f>
        <v/>
      </c>
    </row>
    <row r="23" ht="15" customHeight="1" s="55">
      <c r="A23" s="101" t="n"/>
      <c r="B23" s="101" t="n"/>
      <c r="C23" s="101" t="n"/>
      <c r="D23" s="101" t="n"/>
      <c r="E23" s="101" t="n"/>
      <c r="F23" s="101" t="n"/>
      <c r="G23" s="101" t="n"/>
      <c r="H23" s="101" t="n"/>
      <c r="I23" s="101" t="n"/>
      <c r="J23" s="101" t="n"/>
      <c r="K23" s="100">
        <f>IF($B23="","",IF($G23="","",MAX(0,RaporTarihi-$G23)))</f>
        <v/>
      </c>
      <c r="L23" s="100">
        <f>IF($B23="","",IF($G23="","BEKLİYOR",IF(RaporTarihi-$G23&gt;0,"SÖZ GECİKTİ",IF($F23="Yerine getirildi","YERİNE GETİRİLDİ","BEKLİYOR"))))</f>
        <v/>
      </c>
    </row>
    <row r="24" ht="15" customHeight="1" s="55">
      <c r="A24" s="101" t="n"/>
      <c r="B24" s="101" t="n"/>
      <c r="C24" s="101" t="n"/>
      <c r="D24" s="101" t="n"/>
      <c r="E24" s="101" t="n"/>
      <c r="F24" s="101" t="n"/>
      <c r="G24" s="101" t="n"/>
      <c r="H24" s="101" t="n"/>
      <c r="I24" s="101" t="n"/>
      <c r="J24" s="101" t="n"/>
      <c r="K24" s="100">
        <f>IF($B24="","",IF($G24="","",MAX(0,RaporTarihi-$G24)))</f>
        <v/>
      </c>
      <c r="L24" s="100">
        <f>IF($B24="","",IF($G24="","BEKLİYOR",IF(RaporTarihi-$G24&gt;0,"SÖZ GECİKTİ",IF($F24="Yerine getirildi","YERİNE GETİRİLDİ","BEKLİYOR"))))</f>
        <v/>
      </c>
    </row>
    <row r="25" ht="15" customHeight="1" s="55">
      <c r="A25" s="101" t="n"/>
      <c r="B25" s="101" t="n"/>
      <c r="C25" s="101" t="n"/>
      <c r="D25" s="101" t="n"/>
      <c r="E25" s="101" t="n"/>
      <c r="F25" s="101" t="n"/>
      <c r="G25" s="101" t="n"/>
      <c r="H25" s="101" t="n"/>
      <c r="I25" s="101" t="n"/>
      <c r="J25" s="101" t="n"/>
      <c r="K25" s="100">
        <f>IF($B25="","",IF($G25="","",MAX(0,RaporTarihi-$G25)))</f>
        <v/>
      </c>
      <c r="L25" s="100">
        <f>IF($B25="","",IF($G25="","BEKLİYOR",IF(RaporTarihi-$G25&gt;0,"SÖZ GECİKTİ",IF($F25="Yerine getirildi","YERİNE GETİRİLDİ","BEKLİYOR"))))</f>
        <v/>
      </c>
    </row>
    <row r="26" ht="15" customHeight="1" s="55">
      <c r="A26" s="101" t="n"/>
      <c r="B26" s="101" t="n"/>
      <c r="C26" s="101" t="n"/>
      <c r="D26" s="101" t="n"/>
      <c r="E26" s="101" t="n"/>
      <c r="F26" s="101" t="n"/>
      <c r="G26" s="101" t="n"/>
      <c r="H26" s="101" t="n"/>
      <c r="I26" s="101" t="n"/>
      <c r="J26" s="101" t="n"/>
      <c r="K26" s="100">
        <f>IF($B26="","",IF($G26="","",MAX(0,RaporTarihi-$G26)))</f>
        <v/>
      </c>
      <c r="L26" s="100">
        <f>IF($B26="","",IF($G26="","BEKLİYOR",IF(RaporTarihi-$G26&gt;0,"SÖZ GECİKTİ",IF($F26="Yerine getirildi","YERİNE GETİRİLDİ","BEKLİYOR"))))</f>
        <v/>
      </c>
    </row>
    <row r="27" ht="15" customHeight="1" s="55">
      <c r="A27" s="101" t="n"/>
      <c r="B27" s="101" t="n"/>
      <c r="C27" s="101" t="n"/>
      <c r="D27" s="101" t="n"/>
      <c r="E27" s="101" t="n"/>
      <c r="F27" s="101" t="n"/>
      <c r="G27" s="101" t="n"/>
      <c r="H27" s="101" t="n"/>
      <c r="I27" s="101" t="n"/>
      <c r="J27" s="101" t="n"/>
      <c r="K27" s="100">
        <f>IF($B27="","",IF($G27="","",MAX(0,RaporTarihi-$G27)))</f>
        <v/>
      </c>
      <c r="L27" s="100">
        <f>IF($B27="","",IF($G27="","BEKLİYOR",IF(RaporTarihi-$G27&gt;0,"SÖZ GECİKTİ",IF($F27="Yerine getirildi","YERİNE GETİRİLDİ","BEKLİYOR"))))</f>
        <v/>
      </c>
    </row>
    <row r="28" ht="15" customHeight="1" s="55">
      <c r="A28" s="101" t="n"/>
      <c r="B28" s="101" t="n"/>
      <c r="C28" s="101" t="n"/>
      <c r="D28" s="101" t="n"/>
      <c r="E28" s="101" t="n"/>
      <c r="F28" s="101" t="n"/>
      <c r="G28" s="101" t="n"/>
      <c r="H28" s="101" t="n"/>
      <c r="I28" s="101" t="n"/>
      <c r="J28" s="101" t="n"/>
      <c r="K28" s="100">
        <f>IF($B28="","",IF($G28="","",MAX(0,RaporTarihi-$G28)))</f>
        <v/>
      </c>
      <c r="L28" s="100">
        <f>IF($B28="","",IF($G28="","BEKLİYOR",IF(RaporTarihi-$G28&gt;0,"SÖZ GECİKTİ",IF($F28="Yerine getirildi","YERİNE GETİRİLDİ","BEKLİYOR"))))</f>
        <v/>
      </c>
    </row>
    <row r="29" ht="15" customHeight="1" s="55">
      <c r="A29" s="101" t="n"/>
      <c r="B29" s="101" t="n"/>
      <c r="C29" s="101" t="n"/>
      <c r="D29" s="101" t="n"/>
      <c r="E29" s="101" t="n"/>
      <c r="F29" s="101" t="n"/>
      <c r="G29" s="101" t="n"/>
      <c r="H29" s="101" t="n"/>
      <c r="I29" s="101" t="n"/>
      <c r="J29" s="101" t="n"/>
      <c r="K29" s="100">
        <f>IF($B29="","",IF($G29="","",MAX(0,RaporTarihi-$G29)))</f>
        <v/>
      </c>
      <c r="L29" s="100">
        <f>IF($B29="","",IF($G29="","BEKLİYOR",IF(RaporTarihi-$G29&gt;0,"SÖZ GECİKTİ",IF($F29="Yerine getirildi","YERİNE GETİRİLDİ","BEKLİYOR"))))</f>
        <v/>
      </c>
    </row>
    <row r="30" ht="15" customHeight="1" s="55">
      <c r="A30" s="101" t="n"/>
      <c r="B30" s="101" t="n"/>
      <c r="C30" s="101" t="n"/>
      <c r="D30" s="101" t="n"/>
      <c r="E30" s="101" t="n"/>
      <c r="F30" s="101" t="n"/>
      <c r="G30" s="101" t="n"/>
      <c r="H30" s="101" t="n"/>
      <c r="I30" s="101" t="n"/>
      <c r="J30" s="101" t="n"/>
      <c r="K30" s="100">
        <f>IF($B30="","",IF($G30="","",MAX(0,RaporTarihi-$G30)))</f>
        <v/>
      </c>
      <c r="L30" s="100">
        <f>IF($B30="","",IF($G30="","BEKLİYOR",IF(RaporTarihi-$G30&gt;0,"SÖZ GECİKTİ",IF($F30="Yerine getirildi","YERİNE GETİRİLDİ","BEKLİYOR"))))</f>
        <v/>
      </c>
    </row>
    <row r="31" ht="15" customHeight="1" s="55">
      <c r="A31" s="101" t="n"/>
      <c r="B31" s="101" t="n"/>
      <c r="C31" s="101" t="n"/>
      <c r="D31" s="101" t="n"/>
      <c r="E31" s="101" t="n"/>
      <c r="F31" s="101" t="n"/>
      <c r="G31" s="101" t="n"/>
      <c r="H31" s="101" t="n"/>
      <c r="I31" s="101" t="n"/>
      <c r="J31" s="101" t="n"/>
      <c r="K31" s="100">
        <f>IF($B31="","",IF($G31="","",MAX(0,RaporTarihi-$G31)))</f>
        <v/>
      </c>
      <c r="L31" s="100">
        <f>IF($B31="","",IF($G31="","BEKLİYOR",IF(RaporTarihi-$G31&gt;0,"SÖZ GECİKTİ",IF($F31="Yerine getirildi","YERİNE GETİRİLDİ","BEKLİYOR"))))</f>
        <v/>
      </c>
    </row>
    <row r="32" ht="15" customHeight="1" s="55">
      <c r="A32" s="101" t="n"/>
      <c r="B32" s="101" t="n"/>
      <c r="C32" s="101" t="n"/>
      <c r="D32" s="101" t="n"/>
      <c r="E32" s="101" t="n"/>
      <c r="F32" s="101" t="n"/>
      <c r="G32" s="101" t="n"/>
      <c r="H32" s="101" t="n"/>
      <c r="I32" s="101" t="n"/>
      <c r="J32" s="101" t="n"/>
      <c r="K32" s="100">
        <f>IF($B32="","",IF($G32="","",MAX(0,RaporTarihi-$G32)))</f>
        <v/>
      </c>
      <c r="L32" s="100">
        <f>IF($B32="","",IF($G32="","BEKLİYOR",IF(RaporTarihi-$G32&gt;0,"SÖZ GECİKTİ",IF($F32="Yerine getirildi","YERİNE GETİRİLDİ","BEKLİYOR"))))</f>
        <v/>
      </c>
    </row>
    <row r="33" ht="15" customHeight="1" s="55">
      <c r="A33" s="101" t="n"/>
      <c r="B33" s="101" t="n"/>
      <c r="C33" s="101" t="n"/>
      <c r="D33" s="101" t="n"/>
      <c r="E33" s="101" t="n"/>
      <c r="F33" s="101" t="n"/>
      <c r="G33" s="101" t="n"/>
      <c r="H33" s="101" t="n"/>
      <c r="I33" s="101" t="n"/>
      <c r="J33" s="101" t="n"/>
      <c r="K33" s="100">
        <f>IF($B33="","",IF($G33="","",MAX(0,RaporTarihi-$G33)))</f>
        <v/>
      </c>
      <c r="L33" s="100">
        <f>IF($B33="","",IF($G33="","BEKLİYOR",IF(RaporTarihi-$G33&gt;0,"SÖZ GECİKTİ",IF($F33="Yerine getirildi","YERİNE GETİRİLDİ","BEKLİYOR"))))</f>
        <v/>
      </c>
    </row>
    <row r="34" ht="15" customHeight="1" s="55">
      <c r="A34" s="101" t="n"/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0">
        <f>IF($B34="","",IF($G34="","",MAX(0,RaporTarihi-$G34)))</f>
        <v/>
      </c>
      <c r="L34" s="100">
        <f>IF($B34="","",IF($G34="","BEKLİYOR",IF(RaporTarihi-$G34&gt;0,"SÖZ GECİKTİ",IF($F34="Yerine getirildi","YERİNE GETİRİLDİ","BEKLİYOR"))))</f>
        <v/>
      </c>
    </row>
    <row r="35" ht="15" customHeight="1" s="55">
      <c r="A35" s="101" t="n"/>
      <c r="B35" s="101" t="n"/>
      <c r="C35" s="101" t="n"/>
      <c r="D35" s="101" t="n"/>
      <c r="E35" s="101" t="n"/>
      <c r="F35" s="101" t="n"/>
      <c r="G35" s="101" t="n"/>
      <c r="H35" s="101" t="n"/>
      <c r="I35" s="101" t="n"/>
      <c r="J35" s="101" t="n"/>
      <c r="K35" s="100">
        <f>IF($B35="","",IF($G35="","",MAX(0,RaporTarihi-$G35)))</f>
        <v/>
      </c>
      <c r="L35" s="100">
        <f>IF($B35="","",IF($G35="","BEKLİYOR",IF(RaporTarihi-$G35&gt;0,"SÖZ GECİKTİ",IF($F35="Yerine getirildi","YERİNE GETİRİLDİ","BEKLİYOR"))))</f>
        <v/>
      </c>
    </row>
    <row r="36" ht="15" customHeight="1" s="55">
      <c r="A36" s="101" t="n"/>
      <c r="B36" s="101" t="n"/>
      <c r="C36" s="101" t="n"/>
      <c r="D36" s="101" t="n"/>
      <c r="E36" s="101" t="n"/>
      <c r="F36" s="101" t="n"/>
      <c r="G36" s="101" t="n"/>
      <c r="H36" s="101" t="n"/>
      <c r="I36" s="101" t="n"/>
      <c r="J36" s="101" t="n"/>
      <c r="K36" s="100">
        <f>IF($B36="","",IF($G36="","",MAX(0,RaporTarihi-$G36)))</f>
        <v/>
      </c>
      <c r="L36" s="100">
        <f>IF($B36="","",IF($G36="","BEKLİYOR",IF(RaporTarihi-$G36&gt;0,"SÖZ GECİKTİ",IF($F36="Yerine getirildi","YERİNE GETİRİLDİ","BEKLİYOR"))))</f>
        <v/>
      </c>
    </row>
    <row r="37" ht="15" customHeight="1" s="55">
      <c r="A37" s="101" t="n"/>
      <c r="B37" s="101" t="n"/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0">
        <f>IF($B37="","",IF($G37="","",MAX(0,RaporTarihi-$G37)))</f>
        <v/>
      </c>
      <c r="L37" s="100">
        <f>IF($B37="","",IF($G37="","BEKLİYOR",IF(RaporTarihi-$G37&gt;0,"SÖZ GECİKTİ",IF($F37="Yerine getirildi","YERİNE GETİRİLDİ","BEKLİYOR"))))</f>
        <v/>
      </c>
    </row>
    <row r="38" ht="15" customHeight="1" s="55">
      <c r="A38" s="101" t="n"/>
      <c r="B38" s="101" t="n"/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0">
        <f>IF($B38="","",IF($G38="","",MAX(0,RaporTarihi-$G38)))</f>
        <v/>
      </c>
      <c r="L38" s="100">
        <f>IF($B38="","",IF($G38="","BEKLİYOR",IF(RaporTarihi-$G38&gt;0,"SÖZ GECİKTİ",IF($F38="Yerine getirildi","YERİNE GETİRİLDİ","BEKLİYOR"))))</f>
        <v/>
      </c>
    </row>
    <row r="39" ht="15" customHeight="1" s="55">
      <c r="A39" s="101" t="n"/>
      <c r="B39" s="101" t="n"/>
      <c r="C39" s="101" t="n"/>
      <c r="D39" s="101" t="n"/>
      <c r="E39" s="101" t="n"/>
      <c r="F39" s="101" t="n"/>
      <c r="G39" s="101" t="n"/>
      <c r="H39" s="101" t="n"/>
      <c r="I39" s="101" t="n"/>
      <c r="J39" s="101" t="n"/>
      <c r="K39" s="100">
        <f>IF($B39="","",IF($G39="","",MAX(0,RaporTarihi-$G39)))</f>
        <v/>
      </c>
      <c r="L39" s="100">
        <f>IF($B39="","",IF($G39="","BEKLİYOR",IF(RaporTarihi-$G39&gt;0,"SÖZ GECİKTİ",IF($F39="Yerine getirildi","YERİNE GETİRİLDİ","BEKLİYOR"))))</f>
        <v/>
      </c>
    </row>
    <row r="40" ht="15" customHeight="1" s="55">
      <c r="A40" s="101" t="n"/>
      <c r="B40" s="101" t="n"/>
      <c r="C40" s="101" t="n"/>
      <c r="D40" s="101" t="n"/>
      <c r="E40" s="101" t="n"/>
      <c r="F40" s="101" t="n"/>
      <c r="G40" s="101" t="n"/>
      <c r="H40" s="101" t="n"/>
      <c r="I40" s="101" t="n"/>
      <c r="J40" s="101" t="n"/>
      <c r="K40" s="100">
        <f>IF($B40="","",IF($G40="","",MAX(0,RaporTarihi-$G40)))</f>
        <v/>
      </c>
      <c r="L40" s="100">
        <f>IF($B40="","",IF($G40="","BEKLİYOR",IF(RaporTarihi-$G40&gt;0,"SÖZ GECİKTİ",IF($F40="Yerine getirildi","YERİNE GETİRİLDİ","BEKLİYOR"))))</f>
        <v/>
      </c>
    </row>
    <row r="41" ht="15" customHeight="1" s="55">
      <c r="A41" s="101" t="n"/>
      <c r="B41" s="101" t="n"/>
      <c r="C41" s="101" t="n"/>
      <c r="D41" s="101" t="n"/>
      <c r="E41" s="101" t="n"/>
      <c r="F41" s="101" t="n"/>
      <c r="G41" s="101" t="n"/>
      <c r="H41" s="101" t="n"/>
      <c r="I41" s="101" t="n"/>
      <c r="J41" s="101" t="n"/>
      <c r="K41" s="100">
        <f>IF($B41="","",IF($G41="","",MAX(0,RaporTarihi-$G41)))</f>
        <v/>
      </c>
      <c r="L41" s="100">
        <f>IF($B41="","",IF($G41="","BEKLİYOR",IF(RaporTarihi-$G41&gt;0,"SÖZ GECİKTİ",IF($F41="Yerine getirildi","YERİNE GETİRİLDİ","BEKLİYOR"))))</f>
        <v/>
      </c>
    </row>
    <row r="42" ht="15" customHeight="1" s="55">
      <c r="A42" s="101" t="n"/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1" t="n"/>
      <c r="K42" s="100">
        <f>IF($B42="","",IF($G42="","",MAX(0,RaporTarihi-$G42)))</f>
        <v/>
      </c>
      <c r="L42" s="100">
        <f>IF($B42="","",IF($G42="","BEKLİYOR",IF(RaporTarihi-$G42&gt;0,"SÖZ GECİKTİ",IF($F42="Yerine getirildi","YERİNE GETİRİLDİ","BEKLİYOR"))))</f>
        <v/>
      </c>
    </row>
    <row r="43" ht="15" customHeight="1" s="55">
      <c r="A43" s="101" t="n"/>
      <c r="B43" s="101" t="n"/>
      <c r="C43" s="101" t="n"/>
      <c r="D43" s="101" t="n"/>
      <c r="E43" s="101" t="n"/>
      <c r="F43" s="101" t="n"/>
      <c r="G43" s="101" t="n"/>
      <c r="H43" s="101" t="n"/>
      <c r="I43" s="101" t="n"/>
      <c r="J43" s="101" t="n"/>
      <c r="K43" s="100">
        <f>IF($B43="","",IF($G43="","",MAX(0,RaporTarihi-$G43)))</f>
        <v/>
      </c>
      <c r="L43" s="100">
        <f>IF($B43="","",IF($G43="","BEKLİYOR",IF(RaporTarihi-$G43&gt;0,"SÖZ GECİKTİ",IF($F43="Yerine getirildi","YERİNE GETİRİLDİ","BEKLİYOR"))))</f>
        <v/>
      </c>
    </row>
    <row r="44" ht="15" customHeight="1" s="55">
      <c r="A44" s="101" t="n"/>
      <c r="B44" s="101" t="n"/>
      <c r="C44" s="101" t="n"/>
      <c r="D44" s="101" t="n"/>
      <c r="E44" s="101" t="n"/>
      <c r="F44" s="101" t="n"/>
      <c r="G44" s="101" t="n"/>
      <c r="H44" s="101" t="n"/>
      <c r="I44" s="101" t="n"/>
      <c r="J44" s="101" t="n"/>
      <c r="K44" s="100">
        <f>IF($B44="","",IF($G44="","",MAX(0,RaporTarihi-$G44)))</f>
        <v/>
      </c>
      <c r="L44" s="100">
        <f>IF($B44="","",IF($G44="","BEKLİYOR",IF(RaporTarihi-$G44&gt;0,"SÖZ GECİKTİ",IF($F44="Yerine getirildi","YERİNE GETİRİLDİ","BEKLİYOR"))))</f>
        <v/>
      </c>
    </row>
    <row r="45" ht="15" customHeight="1" s="55">
      <c r="A45" s="101" t="n"/>
      <c r="B45" s="101" t="n"/>
      <c r="C45" s="101" t="n"/>
      <c r="D45" s="101" t="n"/>
      <c r="E45" s="101" t="n"/>
      <c r="F45" s="101" t="n"/>
      <c r="G45" s="101" t="n"/>
      <c r="H45" s="101" t="n"/>
      <c r="I45" s="101" t="n"/>
      <c r="J45" s="101" t="n"/>
      <c r="K45" s="100">
        <f>IF($B45="","",IF($G45="","",MAX(0,RaporTarihi-$G45)))</f>
        <v/>
      </c>
      <c r="L45" s="100">
        <f>IF($B45="","",IF($G45="","BEKLİYOR",IF(RaporTarihi-$G45&gt;0,"SÖZ GECİKTİ",IF($F45="Yerine getirildi","YERİNE GETİRİLDİ","BEKLİYOR"))))</f>
        <v/>
      </c>
    </row>
    <row r="46" ht="15" customHeight="1" s="55">
      <c r="A46" s="101" t="n"/>
      <c r="B46" s="101" t="n"/>
      <c r="C46" s="101" t="n"/>
      <c r="D46" s="101" t="n"/>
      <c r="E46" s="101" t="n"/>
      <c r="F46" s="101" t="n"/>
      <c r="G46" s="101" t="n"/>
      <c r="H46" s="101" t="n"/>
      <c r="I46" s="101" t="n"/>
      <c r="J46" s="101" t="n"/>
    </row>
    <row r="47" ht="15" customHeight="1" s="55">
      <c r="A47" s="101" t="n"/>
      <c r="B47" s="101" t="n"/>
      <c r="C47" s="101" t="n"/>
      <c r="D47" s="101" t="n"/>
      <c r="E47" s="101" t="n"/>
      <c r="F47" s="101" t="n"/>
      <c r="G47" s="101" t="n"/>
      <c r="H47" s="101" t="n"/>
      <c r="I47" s="101" t="n"/>
      <c r="J47" s="101" t="n"/>
    </row>
    <row r="48" ht="15" customHeight="1" s="55">
      <c r="A48" s="101" t="n"/>
      <c r="B48" s="101" t="n"/>
      <c r="C48" s="101" t="n"/>
      <c r="D48" s="101" t="n"/>
      <c r="E48" s="101" t="n"/>
      <c r="F48" s="101" t="n"/>
      <c r="G48" s="101" t="n"/>
      <c r="H48" s="101" t="n"/>
      <c r="I48" s="101" t="n"/>
      <c r="J48" s="101" t="n"/>
    </row>
    <row r="49" ht="15" customHeight="1" s="55">
      <c r="A49" s="101" t="n"/>
      <c r="B49" s="101" t="n"/>
      <c r="C49" s="101" t="n"/>
      <c r="D49" s="101" t="n"/>
      <c r="E49" s="101" t="n"/>
      <c r="F49" s="101" t="n"/>
      <c r="G49" s="101" t="n"/>
      <c r="H49" s="101" t="n"/>
      <c r="I49" s="101" t="n"/>
      <c r="J49" s="101" t="n"/>
    </row>
    <row r="50" ht="15" customHeight="1" s="55">
      <c r="A50" s="101" t="n"/>
      <c r="B50" s="101" t="n"/>
      <c r="C50" s="101" t="n"/>
      <c r="D50" s="101" t="n"/>
      <c r="E50" s="101" t="n"/>
      <c r="F50" s="101" t="n"/>
      <c r="G50" s="101" t="n"/>
      <c r="H50" s="101" t="n"/>
      <c r="I50" s="101" t="n"/>
      <c r="J50" s="101" t="n"/>
    </row>
    <row r="51" ht="15" customHeight="1" s="55">
      <c r="A51" s="101" t="n"/>
      <c r="B51" s="101" t="n"/>
      <c r="C51" s="101" t="n"/>
      <c r="D51" s="101" t="n"/>
      <c r="E51" s="101" t="n"/>
      <c r="F51" s="101" t="n"/>
      <c r="G51" s="101" t="n"/>
      <c r="H51" s="101" t="n"/>
      <c r="I51" s="101" t="n"/>
      <c r="J51" s="101" t="n"/>
    </row>
    <row r="52" ht="15" customHeight="1" s="55">
      <c r="A52" s="101" t="n"/>
      <c r="B52" s="101" t="n"/>
      <c r="C52" s="101" t="n"/>
      <c r="D52" s="101" t="n"/>
      <c r="E52" s="101" t="n"/>
      <c r="F52" s="101" t="n"/>
      <c r="G52" s="101" t="n"/>
      <c r="H52" s="101" t="n"/>
      <c r="I52" s="101" t="n"/>
      <c r="J52" s="101" t="n"/>
    </row>
    <row r="53" ht="15" customHeight="1" s="55">
      <c r="A53" s="101" t="n"/>
      <c r="B53" s="101" t="n"/>
      <c r="C53" s="101" t="n"/>
      <c r="D53" s="101" t="n"/>
      <c r="E53" s="101" t="n"/>
      <c r="F53" s="101" t="n"/>
      <c r="G53" s="101" t="n"/>
      <c r="H53" s="101" t="n"/>
      <c r="I53" s="101" t="n"/>
      <c r="J53" s="101" t="n"/>
    </row>
    <row r="54" ht="15" customHeight="1" s="55">
      <c r="A54" s="101" t="n"/>
      <c r="B54" s="101" t="n"/>
      <c r="C54" s="101" t="n"/>
      <c r="D54" s="101" t="n"/>
      <c r="E54" s="101" t="n"/>
      <c r="F54" s="101" t="n"/>
      <c r="G54" s="101" t="n"/>
      <c r="H54" s="101" t="n"/>
      <c r="I54" s="101" t="n"/>
      <c r="J54" s="101" t="n"/>
    </row>
    <row r="55" ht="15" customHeight="1" s="55">
      <c r="A55" s="101" t="n"/>
      <c r="B55" s="101" t="n"/>
      <c r="C55" s="101" t="n"/>
      <c r="D55" s="101" t="n"/>
      <c r="E55" s="101" t="n"/>
      <c r="F55" s="101" t="n"/>
      <c r="G55" s="101" t="n"/>
      <c r="H55" s="101" t="n"/>
      <c r="I55" s="101" t="n"/>
      <c r="J55" s="101" t="n"/>
    </row>
    <row r="56" ht="15" customHeight="1" s="55">
      <c r="A56" s="101" t="n"/>
      <c r="B56" s="101" t="n"/>
      <c r="C56" s="101" t="n"/>
      <c r="D56" s="101" t="n"/>
      <c r="E56" s="101" t="n"/>
      <c r="F56" s="101" t="n"/>
      <c r="G56" s="101" t="n"/>
      <c r="H56" s="101" t="n"/>
      <c r="I56" s="101" t="n"/>
      <c r="J56" s="101" t="n"/>
    </row>
    <row r="57" ht="15" customHeight="1" s="55">
      <c r="A57" s="101" t="n"/>
      <c r="B57" s="101" t="n"/>
      <c r="C57" s="101" t="n"/>
      <c r="D57" s="101" t="n"/>
      <c r="E57" s="101" t="n"/>
      <c r="F57" s="101" t="n"/>
      <c r="G57" s="101" t="n"/>
      <c r="H57" s="101" t="n"/>
      <c r="I57" s="101" t="n"/>
      <c r="J57" s="101" t="n"/>
    </row>
    <row r="58" ht="15" customHeight="1" s="55">
      <c r="A58" s="101" t="n"/>
      <c r="B58" s="101" t="n"/>
      <c r="C58" s="101" t="n"/>
      <c r="D58" s="101" t="n"/>
      <c r="E58" s="101" t="n"/>
      <c r="F58" s="101" t="n"/>
      <c r="G58" s="101" t="n"/>
      <c r="H58" s="101" t="n"/>
      <c r="I58" s="101" t="n"/>
      <c r="J58" s="101" t="n"/>
    </row>
    <row r="59" ht="15" customHeight="1" s="55">
      <c r="A59" s="101" t="n"/>
      <c r="B59" s="101" t="n"/>
      <c r="C59" s="101" t="n"/>
      <c r="D59" s="101" t="n"/>
      <c r="E59" s="101" t="n"/>
      <c r="F59" s="101" t="n"/>
      <c r="G59" s="101" t="n"/>
      <c r="H59" s="101" t="n"/>
      <c r="I59" s="101" t="n"/>
      <c r="J59" s="101" t="n"/>
    </row>
    <row r="60" ht="15" customHeight="1" s="55">
      <c r="A60" s="101" t="n"/>
      <c r="B60" s="101" t="n"/>
      <c r="C60" s="101" t="n"/>
      <c r="D60" s="101" t="n"/>
      <c r="E60" s="101" t="n"/>
      <c r="F60" s="101" t="n"/>
      <c r="G60" s="101" t="n"/>
      <c r="H60" s="101" t="n"/>
      <c r="I60" s="101" t="n"/>
      <c r="J60" s="101" t="n"/>
    </row>
    <row r="61" ht="15" customHeight="1" s="55">
      <c r="A61" s="101" t="n"/>
      <c r="B61" s="101" t="n"/>
      <c r="C61" s="101" t="n"/>
      <c r="D61" s="101" t="n"/>
      <c r="E61" s="101" t="n"/>
      <c r="F61" s="101" t="n"/>
      <c r="G61" s="101" t="n"/>
      <c r="H61" s="101" t="n"/>
      <c r="I61" s="101" t="n"/>
      <c r="J61" s="101" t="n"/>
    </row>
    <row r="62" ht="15" customHeight="1" s="55">
      <c r="A62" s="101" t="n"/>
      <c r="B62" s="101" t="n"/>
      <c r="C62" s="101" t="n"/>
      <c r="D62" s="101" t="n"/>
      <c r="E62" s="101" t="n"/>
      <c r="F62" s="101" t="n"/>
      <c r="G62" s="101" t="n"/>
      <c r="H62" s="101" t="n"/>
      <c r="I62" s="101" t="n"/>
      <c r="J62" s="101" t="n"/>
    </row>
    <row r="63" ht="15" customHeight="1" s="55">
      <c r="A63" s="101" t="n"/>
      <c r="B63" s="101" t="n"/>
      <c r="C63" s="101" t="n"/>
      <c r="D63" s="101" t="n"/>
      <c r="E63" s="101" t="n"/>
      <c r="F63" s="101" t="n"/>
      <c r="G63" s="101" t="n"/>
      <c r="H63" s="101" t="n"/>
      <c r="I63" s="101" t="n"/>
      <c r="J63" s="101" t="n"/>
    </row>
    <row r="64" ht="15" customHeight="1" s="55">
      <c r="A64" s="101" t="n"/>
      <c r="B64" s="101" t="n"/>
      <c r="C64" s="101" t="n"/>
      <c r="D64" s="101" t="n"/>
      <c r="E64" s="101" t="n"/>
      <c r="F64" s="101" t="n"/>
      <c r="G64" s="101" t="n"/>
      <c r="H64" s="101" t="n"/>
      <c r="I64" s="101" t="n"/>
      <c r="J64" s="101" t="n"/>
    </row>
    <row r="65" ht="15" customHeight="1" s="55">
      <c r="A65" s="101" t="n"/>
      <c r="B65" s="101" t="n"/>
      <c r="C65" s="101" t="n"/>
      <c r="D65" s="101" t="n"/>
      <c r="E65" s="101" t="n"/>
      <c r="F65" s="101" t="n"/>
      <c r="G65" s="101" t="n"/>
      <c r="H65" s="101" t="n"/>
      <c r="I65" s="101" t="n"/>
      <c r="J65" s="101" t="n"/>
    </row>
    <row r="66" ht="15" customHeight="1" s="55">
      <c r="A66" s="101" t="n"/>
      <c r="B66" s="101" t="n"/>
      <c r="C66" s="101" t="n"/>
      <c r="D66" s="101" t="n"/>
      <c r="E66" s="101" t="n"/>
      <c r="F66" s="101" t="n"/>
      <c r="G66" s="101" t="n"/>
      <c r="H66" s="101" t="n"/>
      <c r="I66" s="101" t="n"/>
      <c r="J66" s="101" t="n"/>
    </row>
    <row r="67" ht="15" customHeight="1" s="55">
      <c r="A67" s="101" t="n"/>
      <c r="B67" s="101" t="n"/>
      <c r="C67" s="101" t="n"/>
      <c r="D67" s="101" t="n"/>
      <c r="E67" s="101" t="n"/>
      <c r="F67" s="101" t="n"/>
      <c r="G67" s="101" t="n"/>
      <c r="H67" s="101" t="n"/>
      <c r="I67" s="101" t="n"/>
      <c r="J67" s="101" t="n"/>
    </row>
    <row r="68" ht="15" customHeight="1" s="55">
      <c r="A68" s="101" t="n"/>
      <c r="B68" s="101" t="n"/>
      <c r="C68" s="101" t="n"/>
      <c r="D68" s="101" t="n"/>
      <c r="E68" s="101" t="n"/>
      <c r="F68" s="101" t="n"/>
      <c r="G68" s="101" t="n"/>
      <c r="H68" s="101" t="n"/>
      <c r="I68" s="101" t="n"/>
      <c r="J68" s="101" t="n"/>
    </row>
    <row r="69" ht="15" customHeight="1" s="55">
      <c r="A69" s="101" t="n"/>
      <c r="B69" s="101" t="n"/>
      <c r="C69" s="101" t="n"/>
      <c r="D69" s="101" t="n"/>
      <c r="E69" s="101" t="n"/>
      <c r="F69" s="101" t="n"/>
      <c r="G69" s="101" t="n"/>
      <c r="H69" s="101" t="n"/>
      <c r="I69" s="101" t="n"/>
      <c r="J69" s="101" t="n"/>
    </row>
    <row r="70" ht="15" customHeight="1" s="55">
      <c r="A70" s="101" t="n"/>
      <c r="B70" s="101" t="n"/>
      <c r="C70" s="101" t="n"/>
      <c r="D70" s="101" t="n"/>
      <c r="E70" s="101" t="n"/>
      <c r="F70" s="101" t="n"/>
      <c r="G70" s="101" t="n"/>
      <c r="H70" s="101" t="n"/>
      <c r="I70" s="101" t="n"/>
      <c r="J70" s="101" t="n"/>
    </row>
    <row r="71" ht="15" customHeight="1" s="55">
      <c r="A71" s="101" t="n"/>
      <c r="B71" s="101" t="n"/>
      <c r="C71" s="101" t="n"/>
      <c r="D71" s="101" t="n"/>
      <c r="E71" s="101" t="n"/>
      <c r="F71" s="101" t="n"/>
      <c r="G71" s="101" t="n"/>
      <c r="H71" s="101" t="n"/>
      <c r="I71" s="101" t="n"/>
      <c r="J71" s="101" t="n"/>
    </row>
    <row r="72" ht="15" customHeight="1" s="55">
      <c r="A72" s="101" t="n"/>
      <c r="B72" s="101" t="n"/>
      <c r="C72" s="101" t="n"/>
      <c r="D72" s="101" t="n"/>
      <c r="E72" s="101" t="n"/>
      <c r="F72" s="101" t="n"/>
      <c r="G72" s="101" t="n"/>
      <c r="H72" s="101" t="n"/>
      <c r="I72" s="101" t="n"/>
      <c r="J72" s="101" t="n"/>
    </row>
    <row r="73" ht="15" customHeight="1" s="55">
      <c r="A73" s="101" t="n"/>
      <c r="B73" s="101" t="n"/>
      <c r="C73" s="101" t="n"/>
      <c r="D73" s="101" t="n"/>
      <c r="E73" s="101" t="n"/>
      <c r="F73" s="101" t="n"/>
      <c r="G73" s="101" t="n"/>
      <c r="H73" s="101" t="n"/>
      <c r="I73" s="101" t="n"/>
      <c r="J73" s="101" t="n"/>
    </row>
    <row r="74" ht="15" customHeight="1" s="55">
      <c r="A74" s="101" t="n"/>
      <c r="B74" s="101" t="n"/>
      <c r="C74" s="101" t="n"/>
      <c r="D74" s="101" t="n"/>
      <c r="E74" s="101" t="n"/>
      <c r="F74" s="101" t="n"/>
      <c r="G74" s="101" t="n"/>
      <c r="H74" s="101" t="n"/>
      <c r="I74" s="101" t="n"/>
      <c r="J74" s="101" t="n"/>
    </row>
    <row r="75" ht="15" customHeight="1" s="55">
      <c r="A75" s="101" t="n"/>
      <c r="B75" s="101" t="n"/>
      <c r="C75" s="101" t="n"/>
      <c r="D75" s="101" t="n"/>
      <c r="E75" s="101" t="n"/>
      <c r="F75" s="101" t="n"/>
      <c r="G75" s="101" t="n"/>
      <c r="H75" s="101" t="n"/>
      <c r="I75" s="101" t="n"/>
      <c r="J75" s="101" t="n"/>
    </row>
    <row r="76" ht="15" customHeight="1" s="55">
      <c r="A76" s="101" t="n"/>
      <c r="B76" s="101" t="n"/>
      <c r="C76" s="101" t="n"/>
      <c r="D76" s="101" t="n"/>
      <c r="E76" s="101" t="n"/>
      <c r="F76" s="101" t="n"/>
      <c r="G76" s="101" t="n"/>
      <c r="H76" s="101" t="n"/>
      <c r="I76" s="101" t="n"/>
      <c r="J76" s="101" t="n"/>
    </row>
    <row r="77" ht="15" customHeight="1" s="55">
      <c r="A77" s="101" t="n"/>
      <c r="B77" s="101" t="n"/>
      <c r="C77" s="101" t="n"/>
      <c r="D77" s="101" t="n"/>
      <c r="E77" s="101" t="n"/>
      <c r="F77" s="101" t="n"/>
      <c r="G77" s="101" t="n"/>
      <c r="H77" s="101" t="n"/>
      <c r="I77" s="101" t="n"/>
      <c r="J77" s="101" t="n"/>
    </row>
    <row r="78" ht="15" customHeight="1" s="55">
      <c r="A78" s="101" t="n"/>
      <c r="B78" s="101" t="n"/>
      <c r="C78" s="101" t="n"/>
      <c r="D78" s="101" t="n"/>
      <c r="E78" s="101" t="n"/>
      <c r="F78" s="101" t="n"/>
      <c r="G78" s="101" t="n"/>
      <c r="H78" s="101" t="n"/>
      <c r="I78" s="101" t="n"/>
      <c r="J78" s="101" t="n"/>
    </row>
    <row r="79" ht="15" customHeight="1" s="55">
      <c r="A79" s="101" t="n"/>
      <c r="B79" s="101" t="n"/>
      <c r="C79" s="101" t="n"/>
      <c r="D79" s="101" t="n"/>
      <c r="E79" s="101" t="n"/>
      <c r="F79" s="101" t="n"/>
      <c r="G79" s="101" t="n"/>
      <c r="H79" s="101" t="n"/>
      <c r="I79" s="101" t="n"/>
      <c r="J79" s="101" t="n"/>
    </row>
    <row r="80" ht="15" customHeight="1" s="55">
      <c r="A80" s="101" t="n"/>
      <c r="B80" s="101" t="n"/>
      <c r="C80" s="101" t="n"/>
      <c r="D80" s="101" t="n"/>
      <c r="E80" s="101" t="n"/>
      <c r="F80" s="101" t="n"/>
      <c r="G80" s="101" t="n"/>
      <c r="H80" s="101" t="n"/>
      <c r="I80" s="101" t="n"/>
      <c r="J80" s="101" t="n"/>
    </row>
    <row r="81" ht="15" customHeight="1" s="55">
      <c r="A81" s="101" t="n"/>
      <c r="B81" s="101" t="n"/>
      <c r="C81" s="101" t="n"/>
      <c r="D81" s="101" t="n"/>
      <c r="E81" s="101" t="n"/>
      <c r="F81" s="101" t="n"/>
      <c r="G81" s="101" t="n"/>
      <c r="H81" s="101" t="n"/>
      <c r="I81" s="101" t="n"/>
      <c r="J81" s="101" t="n"/>
    </row>
    <row r="82" ht="15" customHeight="1" s="55">
      <c r="A82" s="101" t="n"/>
      <c r="B82" s="101" t="n"/>
      <c r="C82" s="101" t="n"/>
      <c r="D82" s="101" t="n"/>
      <c r="E82" s="101" t="n"/>
      <c r="F82" s="101" t="n"/>
      <c r="G82" s="101" t="n"/>
      <c r="H82" s="101" t="n"/>
      <c r="I82" s="101" t="n"/>
      <c r="J82" s="101" t="n"/>
    </row>
    <row r="83" ht="15" customHeight="1" s="55">
      <c r="A83" s="101" t="n"/>
      <c r="B83" s="101" t="n"/>
      <c r="C83" s="101" t="n"/>
      <c r="D83" s="101" t="n"/>
      <c r="E83" s="101" t="n"/>
      <c r="F83" s="101" t="n"/>
      <c r="G83" s="101" t="n"/>
      <c r="H83" s="101" t="n"/>
      <c r="I83" s="101" t="n"/>
      <c r="J83" s="101" t="n"/>
    </row>
    <row r="84" ht="15" customHeight="1" s="55">
      <c r="A84" s="101" t="n"/>
      <c r="B84" s="101" t="n"/>
      <c r="C84" s="101" t="n"/>
      <c r="D84" s="101" t="n"/>
      <c r="E84" s="101" t="n"/>
      <c r="F84" s="101" t="n"/>
      <c r="G84" s="101" t="n"/>
      <c r="H84" s="101" t="n"/>
      <c r="I84" s="101" t="n"/>
      <c r="J84" s="101" t="n"/>
    </row>
    <row r="85" ht="15" customHeight="1" s="55">
      <c r="A85" s="101" t="n"/>
      <c r="B85" s="101" t="n"/>
      <c r="C85" s="101" t="n"/>
      <c r="D85" s="101" t="n"/>
      <c r="E85" s="101" t="n"/>
      <c r="F85" s="101" t="n"/>
      <c r="G85" s="101" t="n"/>
      <c r="H85" s="101" t="n"/>
      <c r="I85" s="101" t="n"/>
      <c r="J85" s="101" t="n"/>
    </row>
    <row r="86" ht="15" customHeight="1" s="55">
      <c r="A86" s="101" t="n"/>
      <c r="B86" s="101" t="n"/>
      <c r="C86" s="101" t="n"/>
      <c r="D86" s="101" t="n"/>
      <c r="E86" s="101" t="n"/>
      <c r="F86" s="101" t="n"/>
      <c r="G86" s="101" t="n"/>
      <c r="H86" s="101" t="n"/>
      <c r="I86" s="101" t="n"/>
      <c r="J86" s="101" t="n"/>
    </row>
    <row r="87" ht="15" customHeight="1" s="55">
      <c r="A87" s="101" t="n"/>
      <c r="B87" s="101" t="n"/>
      <c r="C87" s="101" t="n"/>
      <c r="D87" s="101" t="n"/>
      <c r="E87" s="101" t="n"/>
      <c r="F87" s="101" t="n"/>
      <c r="G87" s="101" t="n"/>
      <c r="H87" s="101" t="n"/>
      <c r="I87" s="101" t="n"/>
      <c r="J87" s="101" t="n"/>
    </row>
    <row r="88" ht="15" customHeight="1" s="55">
      <c r="A88" s="101" t="n"/>
      <c r="B88" s="101" t="n"/>
      <c r="C88" s="101" t="n"/>
      <c r="D88" s="101" t="n"/>
      <c r="E88" s="101" t="n"/>
      <c r="F88" s="101" t="n"/>
      <c r="G88" s="101" t="n"/>
      <c r="H88" s="101" t="n"/>
      <c r="I88" s="101" t="n"/>
      <c r="J88" s="101" t="n"/>
    </row>
    <row r="89" ht="15" customHeight="1" s="55">
      <c r="A89" s="101" t="n"/>
      <c r="B89" s="101" t="n"/>
      <c r="C89" s="101" t="n"/>
      <c r="D89" s="101" t="n"/>
      <c r="E89" s="101" t="n"/>
      <c r="F89" s="101" t="n"/>
      <c r="G89" s="101" t="n"/>
      <c r="H89" s="101" t="n"/>
      <c r="I89" s="101" t="n"/>
      <c r="J89" s="101" t="n"/>
    </row>
    <row r="90" ht="15" customHeight="1" s="55">
      <c r="A90" s="101" t="n"/>
      <c r="B90" s="101" t="n"/>
      <c r="C90" s="101" t="n"/>
      <c r="D90" s="101" t="n"/>
      <c r="E90" s="101" t="n"/>
      <c r="F90" s="101" t="n"/>
      <c r="G90" s="101" t="n"/>
      <c r="H90" s="101" t="n"/>
      <c r="I90" s="101" t="n"/>
      <c r="J90" s="101" t="n"/>
    </row>
    <row r="91" ht="15" customHeight="1" s="55">
      <c r="A91" s="101" t="n"/>
      <c r="B91" s="101" t="n"/>
      <c r="C91" s="101" t="n"/>
      <c r="D91" s="101" t="n"/>
      <c r="E91" s="101" t="n"/>
      <c r="F91" s="101" t="n"/>
      <c r="G91" s="101" t="n"/>
      <c r="H91" s="101" t="n"/>
      <c r="I91" s="101" t="n"/>
      <c r="J91" s="101" t="n"/>
    </row>
    <row r="92" ht="15" customHeight="1" s="55">
      <c r="A92" s="101" t="n"/>
      <c r="B92" s="101" t="n"/>
      <c r="C92" s="101" t="n"/>
      <c r="D92" s="101" t="n"/>
      <c r="E92" s="101" t="n"/>
      <c r="F92" s="101" t="n"/>
      <c r="G92" s="101" t="n"/>
      <c r="H92" s="101" t="n"/>
      <c r="I92" s="101" t="n"/>
      <c r="J92" s="101" t="n"/>
    </row>
    <row r="93" ht="15" customHeight="1" s="55">
      <c r="A93" s="101" t="n"/>
      <c r="B93" s="101" t="n"/>
      <c r="C93" s="101" t="n"/>
      <c r="D93" s="101" t="n"/>
      <c r="E93" s="101" t="n"/>
      <c r="F93" s="101" t="n"/>
      <c r="G93" s="101" t="n"/>
      <c r="H93" s="101" t="n"/>
      <c r="I93" s="101" t="n"/>
      <c r="J93" s="101" t="n"/>
    </row>
    <row r="94" ht="15" customHeight="1" s="55">
      <c r="A94" s="101" t="n"/>
      <c r="B94" s="101" t="n"/>
      <c r="C94" s="101" t="n"/>
      <c r="D94" s="101" t="n"/>
      <c r="E94" s="101" t="n"/>
      <c r="F94" s="101" t="n"/>
      <c r="G94" s="101" t="n"/>
      <c r="H94" s="101" t="n"/>
      <c r="I94" s="101" t="n"/>
      <c r="J94" s="101" t="n"/>
    </row>
    <row r="95" ht="15" customHeight="1" s="55">
      <c r="A95" s="101" t="n"/>
      <c r="B95" s="101" t="n"/>
      <c r="C95" s="101" t="n"/>
      <c r="D95" s="101" t="n"/>
      <c r="E95" s="101" t="n"/>
      <c r="F95" s="101" t="n"/>
      <c r="G95" s="101" t="n"/>
      <c r="H95" s="101" t="n"/>
      <c r="I95" s="101" t="n"/>
      <c r="J95" s="101" t="n"/>
    </row>
    <row r="96" ht="15" customHeight="1" s="55">
      <c r="A96" s="101" t="n"/>
      <c r="B96" s="101" t="n"/>
      <c r="C96" s="101" t="n"/>
      <c r="D96" s="101" t="n"/>
      <c r="E96" s="101" t="n"/>
      <c r="F96" s="101" t="n"/>
      <c r="G96" s="101" t="n"/>
      <c r="H96" s="101" t="n"/>
      <c r="I96" s="101" t="n"/>
      <c r="J96" s="101" t="n"/>
    </row>
    <row r="97" ht="15" customHeight="1" s="55">
      <c r="A97" s="101" t="n"/>
      <c r="B97" s="101" t="n"/>
      <c r="C97" s="101" t="n"/>
      <c r="D97" s="101" t="n"/>
      <c r="E97" s="101" t="n"/>
      <c r="F97" s="101" t="n"/>
      <c r="G97" s="101" t="n"/>
      <c r="H97" s="101" t="n"/>
      <c r="I97" s="101" t="n"/>
      <c r="J97" s="101" t="n"/>
    </row>
    <row r="98" ht="15" customHeight="1" s="55">
      <c r="A98" s="101" t="n"/>
      <c r="B98" s="101" t="n"/>
      <c r="C98" s="101" t="n"/>
      <c r="D98" s="101" t="n"/>
      <c r="E98" s="101" t="n"/>
      <c r="F98" s="101" t="n"/>
      <c r="G98" s="101" t="n"/>
      <c r="H98" s="101" t="n"/>
      <c r="I98" s="101" t="n"/>
      <c r="J98" s="101" t="n"/>
    </row>
    <row r="99" ht="15" customHeight="1" s="55">
      <c r="A99" s="101" t="n"/>
      <c r="B99" s="101" t="n"/>
      <c r="C99" s="101" t="n"/>
      <c r="D99" s="101" t="n"/>
      <c r="E99" s="101" t="n"/>
      <c r="F99" s="101" t="n"/>
      <c r="G99" s="101" t="n"/>
      <c r="H99" s="101" t="n"/>
      <c r="I99" s="101" t="n"/>
      <c r="J99" s="101" t="n"/>
    </row>
    <row r="100" ht="15" customHeight="1" s="55">
      <c r="A100" s="101" t="n"/>
      <c r="B100" s="101" t="n"/>
      <c r="C100" s="101" t="n"/>
      <c r="D100" s="101" t="n"/>
      <c r="E100" s="101" t="n"/>
      <c r="F100" s="101" t="n"/>
      <c r="G100" s="101" t="n"/>
      <c r="H100" s="101" t="n"/>
      <c r="I100" s="101" t="n"/>
      <c r="J100" s="101" t="n"/>
    </row>
    <row r="101" ht="15" customHeight="1" s="55">
      <c r="A101" s="101" t="n"/>
      <c r="B101" s="101" t="n"/>
      <c r="C101" s="101" t="n"/>
      <c r="D101" s="101" t="n"/>
      <c r="E101" s="101" t="n"/>
      <c r="F101" s="101" t="n"/>
      <c r="G101" s="101" t="n"/>
      <c r="H101" s="101" t="n"/>
      <c r="I101" s="101" t="n"/>
      <c r="J101" s="101" t="n"/>
    </row>
    <row r="102" ht="15" customHeight="1" s="55">
      <c r="A102" s="101" t="n"/>
      <c r="B102" s="101" t="n"/>
      <c r="C102" s="101" t="n"/>
      <c r="D102" s="101" t="n"/>
      <c r="E102" s="101" t="n"/>
      <c r="F102" s="101" t="n"/>
      <c r="G102" s="101" t="n"/>
      <c r="H102" s="101" t="n"/>
      <c r="I102" s="101" t="n"/>
      <c r="J102" s="101" t="n"/>
    </row>
    <row r="103" ht="15" customHeight="1" s="55">
      <c r="A103" s="101" t="n"/>
      <c r="B103" s="101" t="n"/>
      <c r="C103" s="101" t="n"/>
      <c r="D103" s="101" t="n"/>
      <c r="E103" s="101" t="n"/>
      <c r="F103" s="101" t="n"/>
      <c r="G103" s="101" t="n"/>
      <c r="H103" s="101" t="n"/>
      <c r="I103" s="101" t="n"/>
      <c r="J103" s="101" t="n"/>
    </row>
    <row r="104" ht="15" customHeight="1" s="55">
      <c r="A104" s="101" t="n"/>
      <c r="B104" s="101" t="n"/>
      <c r="C104" s="101" t="n"/>
      <c r="D104" s="101" t="n"/>
      <c r="E104" s="101" t="n"/>
      <c r="F104" s="101" t="n"/>
      <c r="G104" s="101" t="n"/>
      <c r="H104" s="101" t="n"/>
      <c r="I104" s="101" t="n"/>
      <c r="J104" s="101" t="n"/>
    </row>
    <row r="105" ht="15" customHeight="1" s="55">
      <c r="A105" s="101" t="n"/>
      <c r="B105" s="101" t="n"/>
      <c r="C105" s="101" t="n"/>
      <c r="D105" s="101" t="n"/>
      <c r="E105" s="101" t="n"/>
      <c r="F105" s="101" t="n"/>
      <c r="G105" s="101" t="n"/>
      <c r="H105" s="101" t="n"/>
      <c r="I105" s="101" t="n"/>
      <c r="J105" s="101" t="n"/>
    </row>
    <row r="106" ht="15" customHeight="1" s="55">
      <c r="A106" s="101" t="n"/>
      <c r="B106" s="101" t="n"/>
      <c r="C106" s="101" t="n"/>
      <c r="D106" s="101" t="n"/>
      <c r="E106" s="101" t="n"/>
      <c r="F106" s="101" t="n"/>
      <c r="G106" s="101" t="n"/>
      <c r="H106" s="101" t="n"/>
      <c r="I106" s="101" t="n"/>
      <c r="J106" s="101" t="n"/>
    </row>
    <row r="107" ht="15" customHeight="1" s="55">
      <c r="A107" s="101" t="n"/>
      <c r="B107" s="101" t="n"/>
      <c r="C107" s="101" t="n"/>
      <c r="D107" s="101" t="n"/>
      <c r="E107" s="101" t="n"/>
      <c r="F107" s="101" t="n"/>
      <c r="G107" s="101" t="n"/>
      <c r="H107" s="101" t="n"/>
      <c r="I107" s="101" t="n"/>
      <c r="J107" s="101" t="n"/>
    </row>
    <row r="108" ht="15" customHeight="1" s="55">
      <c r="A108" s="101" t="n"/>
      <c r="B108" s="101" t="n"/>
      <c r="C108" s="101" t="n"/>
      <c r="D108" s="101" t="n"/>
      <c r="E108" s="101" t="n"/>
      <c r="F108" s="101" t="n"/>
      <c r="G108" s="101" t="n"/>
      <c r="H108" s="101" t="n"/>
      <c r="I108" s="101" t="n"/>
      <c r="J108" s="101" t="n"/>
    </row>
    <row r="109" ht="15" customHeight="1" s="55">
      <c r="A109" s="101" t="n"/>
      <c r="B109" s="101" t="n"/>
      <c r="C109" s="101" t="n"/>
      <c r="D109" s="101" t="n"/>
      <c r="E109" s="101" t="n"/>
      <c r="F109" s="101" t="n"/>
      <c r="G109" s="101" t="n"/>
      <c r="H109" s="101" t="n"/>
      <c r="I109" s="101" t="n"/>
      <c r="J109" s="101" t="n"/>
    </row>
    <row r="110" ht="15" customHeight="1" s="55">
      <c r="A110" s="101" t="n"/>
      <c r="B110" s="101" t="n"/>
      <c r="C110" s="101" t="n"/>
      <c r="D110" s="101" t="n"/>
      <c r="E110" s="101" t="n"/>
      <c r="F110" s="101" t="n"/>
      <c r="G110" s="101" t="n"/>
      <c r="H110" s="101" t="n"/>
      <c r="I110" s="101" t="n"/>
      <c r="J110" s="101" t="n"/>
    </row>
    <row r="111" ht="15" customHeight="1" s="55">
      <c r="A111" s="101" t="n"/>
      <c r="B111" s="101" t="n"/>
      <c r="C111" s="101" t="n"/>
      <c r="D111" s="101" t="n"/>
      <c r="E111" s="101" t="n"/>
      <c r="F111" s="101" t="n"/>
      <c r="G111" s="101" t="n"/>
      <c r="H111" s="101" t="n"/>
      <c r="I111" s="101" t="n"/>
      <c r="J111" s="101" t="n"/>
    </row>
    <row r="112" ht="15" customHeight="1" s="55">
      <c r="A112" s="101" t="n"/>
      <c r="B112" s="101" t="n"/>
      <c r="C112" s="101" t="n"/>
      <c r="D112" s="101" t="n"/>
      <c r="E112" s="101" t="n"/>
      <c r="F112" s="101" t="n"/>
      <c r="G112" s="101" t="n"/>
      <c r="H112" s="101" t="n"/>
      <c r="I112" s="101" t="n"/>
      <c r="J112" s="101" t="n"/>
    </row>
    <row r="113" ht="15" customHeight="1" s="55">
      <c r="A113" s="101" t="n"/>
      <c r="B113" s="101" t="n"/>
      <c r="C113" s="101" t="n"/>
      <c r="D113" s="101" t="n"/>
      <c r="E113" s="101" t="n"/>
      <c r="F113" s="101" t="n"/>
      <c r="G113" s="101" t="n"/>
      <c r="H113" s="101" t="n"/>
      <c r="I113" s="101" t="n"/>
      <c r="J113" s="101" t="n"/>
    </row>
    <row r="114" ht="15" customHeight="1" s="55">
      <c r="A114" s="101" t="n"/>
      <c r="B114" s="101" t="n"/>
      <c r="C114" s="101" t="n"/>
      <c r="D114" s="101" t="n"/>
      <c r="E114" s="101" t="n"/>
      <c r="F114" s="101" t="n"/>
      <c r="G114" s="101" t="n"/>
      <c r="H114" s="101" t="n"/>
      <c r="I114" s="101" t="n"/>
      <c r="J114" s="101" t="n"/>
    </row>
    <row r="115" ht="15" customHeight="1" s="55">
      <c r="A115" s="101" t="n"/>
      <c r="B115" s="101" t="n"/>
      <c r="C115" s="101" t="n"/>
      <c r="D115" s="101" t="n"/>
      <c r="E115" s="101" t="n"/>
      <c r="F115" s="101" t="n"/>
      <c r="G115" s="101" t="n"/>
      <c r="H115" s="101" t="n"/>
      <c r="I115" s="101" t="n"/>
      <c r="J115" s="101" t="n"/>
    </row>
    <row r="116" ht="15" customHeight="1" s="55">
      <c r="A116" s="101" t="n"/>
      <c r="B116" s="101" t="n"/>
      <c r="C116" s="101" t="n"/>
      <c r="D116" s="101" t="n"/>
      <c r="E116" s="101" t="n"/>
      <c r="F116" s="101" t="n"/>
      <c r="G116" s="101" t="n"/>
      <c r="H116" s="101" t="n"/>
      <c r="I116" s="101" t="n"/>
      <c r="J116" s="101" t="n"/>
    </row>
    <row r="117" ht="15" customHeight="1" s="55">
      <c r="A117" s="101" t="n"/>
      <c r="B117" s="101" t="n"/>
      <c r="C117" s="101" t="n"/>
      <c r="D117" s="101" t="n"/>
      <c r="E117" s="101" t="n"/>
      <c r="F117" s="101" t="n"/>
      <c r="G117" s="101" t="n"/>
      <c r="H117" s="101" t="n"/>
      <c r="I117" s="101" t="n"/>
      <c r="J117" s="101" t="n"/>
    </row>
    <row r="118" ht="15" customHeight="1" s="55">
      <c r="A118" s="101" t="n"/>
      <c r="B118" s="101" t="n"/>
      <c r="C118" s="101" t="n"/>
      <c r="D118" s="101" t="n"/>
      <c r="E118" s="101" t="n"/>
      <c r="F118" s="101" t="n"/>
      <c r="G118" s="101" t="n"/>
      <c r="H118" s="101" t="n"/>
      <c r="I118" s="101" t="n"/>
      <c r="J118" s="101" t="n"/>
    </row>
    <row r="119" ht="15" customHeight="1" s="55">
      <c r="A119" s="101" t="n"/>
      <c r="B119" s="101" t="n"/>
      <c r="C119" s="101" t="n"/>
      <c r="D119" s="101" t="n"/>
      <c r="E119" s="101" t="n"/>
      <c r="F119" s="101" t="n"/>
      <c r="G119" s="101" t="n"/>
      <c r="H119" s="101" t="n"/>
      <c r="I119" s="101" t="n"/>
      <c r="J119" s="101" t="n"/>
    </row>
    <row r="120" ht="15" customHeight="1" s="55">
      <c r="A120" s="101" t="n"/>
      <c r="B120" s="101" t="n"/>
      <c r="C120" s="101" t="n"/>
      <c r="D120" s="101" t="n"/>
      <c r="E120" s="101" t="n"/>
      <c r="F120" s="101" t="n"/>
      <c r="G120" s="101" t="n"/>
      <c r="H120" s="101" t="n"/>
      <c r="I120" s="101" t="n"/>
      <c r="J120" s="101" t="n"/>
    </row>
    <row r="121" ht="15" customHeight="1" s="55">
      <c r="A121" s="101" t="n"/>
      <c r="B121" s="101" t="n"/>
      <c r="C121" s="101" t="n"/>
      <c r="D121" s="101" t="n"/>
      <c r="E121" s="101" t="n"/>
      <c r="F121" s="101" t="n"/>
      <c r="G121" s="101" t="n"/>
      <c r="H121" s="101" t="n"/>
      <c r="I121" s="101" t="n"/>
      <c r="J121" s="101" t="n"/>
    </row>
    <row r="122" ht="15" customHeight="1" s="55">
      <c r="A122" s="101" t="n"/>
      <c r="B122" s="101" t="n"/>
      <c r="C122" s="101" t="n"/>
      <c r="D122" s="101" t="n"/>
      <c r="E122" s="101" t="n"/>
      <c r="F122" s="101" t="n"/>
      <c r="G122" s="101" t="n"/>
      <c r="H122" s="101" t="n"/>
      <c r="I122" s="101" t="n"/>
      <c r="J122" s="101" t="n"/>
    </row>
    <row r="123" ht="15" customHeight="1" s="55">
      <c r="A123" s="101" t="n"/>
      <c r="B123" s="101" t="n"/>
      <c r="C123" s="101" t="n"/>
      <c r="D123" s="101" t="n"/>
      <c r="E123" s="101" t="n"/>
      <c r="F123" s="101" t="n"/>
      <c r="G123" s="101" t="n"/>
      <c r="H123" s="101" t="n"/>
      <c r="I123" s="101" t="n"/>
      <c r="J123" s="101" t="n"/>
    </row>
    <row r="124" ht="15" customHeight="1" s="55">
      <c r="A124" s="101" t="n"/>
      <c r="B124" s="101" t="n"/>
      <c r="C124" s="101" t="n"/>
      <c r="D124" s="101" t="n"/>
      <c r="E124" s="101" t="n"/>
      <c r="F124" s="101" t="n"/>
      <c r="G124" s="101" t="n"/>
      <c r="H124" s="101" t="n"/>
      <c r="I124" s="101" t="n"/>
      <c r="J124" s="101" t="n"/>
    </row>
    <row r="125" ht="15" customHeight="1" s="55">
      <c r="A125" s="101" t="n"/>
      <c r="B125" s="101" t="n"/>
      <c r="C125" s="101" t="n"/>
      <c r="D125" s="101" t="n"/>
      <c r="E125" s="101" t="n"/>
      <c r="F125" s="101" t="n"/>
      <c r="G125" s="101" t="n"/>
      <c r="H125" s="101" t="n"/>
      <c r="I125" s="101" t="n"/>
      <c r="J125" s="101" t="n"/>
    </row>
    <row r="126" ht="15" customHeight="1" s="55">
      <c r="A126" s="101" t="n"/>
      <c r="B126" s="101" t="n"/>
      <c r="C126" s="101" t="n"/>
      <c r="D126" s="101" t="n"/>
      <c r="E126" s="101" t="n"/>
      <c r="F126" s="101" t="n"/>
      <c r="G126" s="101" t="n"/>
      <c r="H126" s="101" t="n"/>
      <c r="I126" s="101" t="n"/>
      <c r="J126" s="101" t="n"/>
    </row>
    <row r="127" ht="15" customHeight="1" s="55">
      <c r="A127" s="101" t="n"/>
      <c r="B127" s="101" t="n"/>
      <c r="C127" s="101" t="n"/>
      <c r="D127" s="101" t="n"/>
      <c r="E127" s="101" t="n"/>
      <c r="F127" s="101" t="n"/>
      <c r="G127" s="101" t="n"/>
      <c r="H127" s="101" t="n"/>
      <c r="I127" s="101" t="n"/>
      <c r="J127" s="101" t="n"/>
    </row>
    <row r="128" ht="15" customHeight="1" s="55">
      <c r="A128" s="101" t="n"/>
      <c r="B128" s="101" t="n"/>
      <c r="C128" s="101" t="n"/>
      <c r="D128" s="101" t="n"/>
      <c r="E128" s="101" t="n"/>
      <c r="F128" s="101" t="n"/>
      <c r="G128" s="101" t="n"/>
      <c r="H128" s="101" t="n"/>
      <c r="I128" s="101" t="n"/>
      <c r="J128" s="101" t="n"/>
    </row>
    <row r="129" ht="15" customHeight="1" s="55">
      <c r="A129" s="101" t="n"/>
      <c r="B129" s="101" t="n"/>
      <c r="C129" s="101" t="n"/>
      <c r="D129" s="101" t="n"/>
      <c r="E129" s="101" t="n"/>
      <c r="F129" s="101" t="n"/>
      <c r="G129" s="101" t="n"/>
      <c r="H129" s="101" t="n"/>
      <c r="I129" s="101" t="n"/>
      <c r="J129" s="101" t="n"/>
    </row>
    <row r="130" ht="15" customHeight="1" s="55">
      <c r="A130" s="101" t="n"/>
      <c r="B130" s="101" t="n"/>
      <c r="C130" s="101" t="n"/>
      <c r="D130" s="101" t="n"/>
      <c r="E130" s="101" t="n"/>
      <c r="F130" s="101" t="n"/>
      <c r="G130" s="101" t="n"/>
      <c r="H130" s="101" t="n"/>
      <c r="I130" s="101" t="n"/>
      <c r="J130" s="101" t="n"/>
    </row>
    <row r="131" ht="15" customHeight="1" s="55">
      <c r="A131" s="101" t="n"/>
      <c r="B131" s="101" t="n"/>
      <c r="C131" s="101" t="n"/>
      <c r="D131" s="101" t="n"/>
      <c r="E131" s="101" t="n"/>
      <c r="F131" s="101" t="n"/>
      <c r="G131" s="101" t="n"/>
      <c r="H131" s="101" t="n"/>
      <c r="I131" s="101" t="n"/>
      <c r="J131" s="101" t="n"/>
    </row>
    <row r="132" ht="15" customHeight="1" s="55">
      <c r="A132" s="101" t="n"/>
      <c r="B132" s="101" t="n"/>
      <c r="C132" s="101" t="n"/>
      <c r="D132" s="101" t="n"/>
      <c r="E132" s="101" t="n"/>
      <c r="F132" s="101" t="n"/>
      <c r="G132" s="101" t="n"/>
      <c r="H132" s="101" t="n"/>
      <c r="I132" s="101" t="n"/>
      <c r="J132" s="101" t="n"/>
    </row>
    <row r="133" ht="15" customHeight="1" s="55">
      <c r="A133" s="101" t="n"/>
      <c r="B133" s="101" t="n"/>
      <c r="C133" s="101" t="n"/>
      <c r="D133" s="101" t="n"/>
      <c r="E133" s="101" t="n"/>
      <c r="F133" s="101" t="n"/>
      <c r="G133" s="101" t="n"/>
      <c r="H133" s="101" t="n"/>
      <c r="I133" s="101" t="n"/>
      <c r="J133" s="101" t="n"/>
    </row>
    <row r="134" ht="15" customHeight="1" s="55">
      <c r="A134" s="101" t="n"/>
      <c r="B134" s="101" t="n"/>
      <c r="C134" s="101" t="n"/>
      <c r="D134" s="101" t="n"/>
      <c r="E134" s="101" t="n"/>
      <c r="F134" s="101" t="n"/>
      <c r="G134" s="101" t="n"/>
      <c r="H134" s="101" t="n"/>
      <c r="I134" s="101" t="n"/>
      <c r="J134" s="101" t="n"/>
    </row>
    <row r="135" ht="15" customHeight="1" s="55">
      <c r="A135" s="101" t="n"/>
      <c r="B135" s="101" t="n"/>
      <c r="C135" s="101" t="n"/>
      <c r="D135" s="101" t="n"/>
      <c r="E135" s="101" t="n"/>
      <c r="F135" s="101" t="n"/>
      <c r="G135" s="101" t="n"/>
      <c r="H135" s="101" t="n"/>
      <c r="I135" s="101" t="n"/>
      <c r="J135" s="101" t="n"/>
    </row>
    <row r="136" ht="15" customHeight="1" s="55">
      <c r="A136" s="101" t="n"/>
      <c r="B136" s="101" t="n"/>
      <c r="C136" s="101" t="n"/>
      <c r="D136" s="101" t="n"/>
      <c r="E136" s="101" t="n"/>
      <c r="F136" s="101" t="n"/>
      <c r="G136" s="101" t="n"/>
      <c r="H136" s="101" t="n"/>
      <c r="I136" s="101" t="n"/>
      <c r="J136" s="101" t="n"/>
    </row>
    <row r="137" ht="15" customHeight="1" s="55">
      <c r="A137" s="101" t="n"/>
      <c r="B137" s="101" t="n"/>
      <c r="C137" s="101" t="n"/>
      <c r="D137" s="101" t="n"/>
      <c r="E137" s="101" t="n"/>
      <c r="F137" s="101" t="n"/>
      <c r="G137" s="101" t="n"/>
      <c r="H137" s="101" t="n"/>
      <c r="I137" s="101" t="n"/>
      <c r="J137" s="101" t="n"/>
    </row>
    <row r="138" ht="15" customHeight="1" s="55">
      <c r="A138" s="101" t="n"/>
      <c r="B138" s="101" t="n"/>
      <c r="C138" s="101" t="n"/>
      <c r="D138" s="101" t="n"/>
      <c r="E138" s="101" t="n"/>
      <c r="F138" s="101" t="n"/>
      <c r="G138" s="101" t="n"/>
      <c r="H138" s="101" t="n"/>
      <c r="I138" s="101" t="n"/>
      <c r="J138" s="101" t="n"/>
    </row>
    <row r="139" ht="15" customHeight="1" s="55">
      <c r="A139" s="101" t="n"/>
      <c r="B139" s="101" t="n"/>
      <c r="C139" s="101" t="n"/>
      <c r="D139" s="101" t="n"/>
      <c r="E139" s="101" t="n"/>
      <c r="F139" s="101" t="n"/>
      <c r="G139" s="101" t="n"/>
      <c r="H139" s="101" t="n"/>
      <c r="I139" s="101" t="n"/>
      <c r="J139" s="101" t="n"/>
    </row>
    <row r="140" ht="15" customHeight="1" s="55">
      <c r="A140" s="101" t="n"/>
      <c r="B140" s="101" t="n"/>
      <c r="C140" s="101" t="n"/>
      <c r="D140" s="101" t="n"/>
      <c r="E140" s="101" t="n"/>
      <c r="F140" s="101" t="n"/>
      <c r="G140" s="101" t="n"/>
      <c r="H140" s="101" t="n"/>
      <c r="I140" s="101" t="n"/>
      <c r="J140" s="101" t="n"/>
    </row>
    <row r="141" ht="15" customHeight="1" s="55">
      <c r="A141" s="101" t="n"/>
      <c r="B141" s="101" t="n"/>
      <c r="C141" s="101" t="n"/>
      <c r="D141" s="101" t="n"/>
      <c r="E141" s="101" t="n"/>
      <c r="F141" s="101" t="n"/>
      <c r="G141" s="101" t="n"/>
      <c r="H141" s="101" t="n"/>
      <c r="I141" s="101" t="n"/>
      <c r="J141" s="101" t="n"/>
    </row>
    <row r="142" ht="15" customHeight="1" s="55">
      <c r="A142" s="101" t="n"/>
      <c r="B142" s="101" t="n"/>
      <c r="C142" s="101" t="n"/>
      <c r="D142" s="101" t="n"/>
      <c r="E142" s="101" t="n"/>
      <c r="F142" s="101" t="n"/>
      <c r="G142" s="101" t="n"/>
      <c r="H142" s="101" t="n"/>
      <c r="I142" s="101" t="n"/>
      <c r="J142" s="101" t="n"/>
    </row>
    <row r="143" ht="15" customHeight="1" s="55">
      <c r="A143" s="101" t="n"/>
      <c r="B143" s="101" t="n"/>
      <c r="C143" s="101" t="n"/>
      <c r="D143" s="101" t="n"/>
      <c r="E143" s="101" t="n"/>
      <c r="F143" s="101" t="n"/>
      <c r="G143" s="101" t="n"/>
      <c r="H143" s="101" t="n"/>
      <c r="I143" s="101" t="n"/>
      <c r="J143" s="101" t="n"/>
    </row>
    <row r="144" ht="15" customHeight="1" s="55">
      <c r="A144" s="101" t="n"/>
      <c r="B144" s="101" t="n"/>
      <c r="C144" s="101" t="n"/>
      <c r="D144" s="101" t="n"/>
      <c r="E144" s="101" t="n"/>
      <c r="F144" s="101" t="n"/>
      <c r="G144" s="101" t="n"/>
      <c r="H144" s="101" t="n"/>
      <c r="I144" s="101" t="n"/>
      <c r="J144" s="101" t="n"/>
    </row>
    <row r="145" ht="15" customHeight="1" s="55">
      <c r="A145" s="101" t="n"/>
      <c r="B145" s="101" t="n"/>
      <c r="C145" s="101" t="n"/>
      <c r="D145" s="101" t="n"/>
      <c r="E145" s="101" t="n"/>
      <c r="F145" s="101" t="n"/>
      <c r="G145" s="101" t="n"/>
      <c r="H145" s="101" t="n"/>
      <c r="I145" s="101" t="n"/>
      <c r="J145" s="101" t="n"/>
    </row>
    <row r="146" ht="15" customHeight="1" s="55">
      <c r="A146" s="101" t="n"/>
      <c r="B146" s="101" t="n"/>
      <c r="C146" s="101" t="n"/>
      <c r="D146" s="101" t="n"/>
      <c r="E146" s="101" t="n"/>
      <c r="F146" s="101" t="n"/>
      <c r="G146" s="101" t="n"/>
      <c r="H146" s="101" t="n"/>
      <c r="I146" s="101" t="n"/>
      <c r="J146" s="101" t="n"/>
    </row>
    <row r="147" ht="15" customHeight="1" s="55">
      <c r="A147" s="101" t="n"/>
      <c r="B147" s="101" t="n"/>
      <c r="C147" s="101" t="n"/>
      <c r="D147" s="101" t="n"/>
      <c r="E147" s="101" t="n"/>
      <c r="F147" s="101" t="n"/>
      <c r="G147" s="101" t="n"/>
      <c r="H147" s="101" t="n"/>
      <c r="I147" s="101" t="n"/>
      <c r="J147" s="101" t="n"/>
    </row>
    <row r="148" ht="15" customHeight="1" s="55">
      <c r="A148" s="101" t="n"/>
      <c r="B148" s="101" t="n"/>
      <c r="C148" s="101" t="n"/>
      <c r="D148" s="101" t="n"/>
      <c r="E148" s="101" t="n"/>
      <c r="F148" s="101" t="n"/>
      <c r="G148" s="101" t="n"/>
      <c r="H148" s="101" t="n"/>
      <c r="I148" s="101" t="n"/>
      <c r="J148" s="101" t="n"/>
    </row>
    <row r="149" ht="15" customHeight="1" s="55">
      <c r="A149" s="101" t="n"/>
      <c r="B149" s="101" t="n"/>
      <c r="C149" s="101" t="n"/>
      <c r="D149" s="101" t="n"/>
      <c r="E149" s="101" t="n"/>
      <c r="F149" s="101" t="n"/>
      <c r="G149" s="101" t="n"/>
      <c r="H149" s="101" t="n"/>
      <c r="I149" s="101" t="n"/>
      <c r="J149" s="101" t="n"/>
    </row>
    <row r="150" ht="15" customHeight="1" s="55">
      <c r="A150" s="101" t="n"/>
      <c r="B150" s="101" t="n"/>
      <c r="C150" s="101" t="n"/>
      <c r="D150" s="101" t="n"/>
      <c r="E150" s="101" t="n"/>
      <c r="F150" s="101" t="n"/>
      <c r="G150" s="101" t="n"/>
      <c r="H150" s="101" t="n"/>
      <c r="I150" s="101" t="n"/>
      <c r="J150" s="101" t="n"/>
    </row>
    <row r="151" ht="15" customHeight="1" s="55">
      <c r="A151" s="101" t="n"/>
      <c r="B151" s="101" t="n"/>
      <c r="C151" s="101" t="n"/>
      <c r="D151" s="101" t="n"/>
      <c r="E151" s="101" t="n"/>
      <c r="F151" s="101" t="n"/>
      <c r="G151" s="101" t="n"/>
      <c r="H151" s="101" t="n"/>
      <c r="I151" s="101" t="n"/>
      <c r="J151" s="101" t="n"/>
    </row>
    <row r="152" ht="15" customHeight="1" s="55">
      <c r="A152" s="101" t="n"/>
      <c r="B152" s="101" t="n"/>
      <c r="C152" s="101" t="n"/>
      <c r="D152" s="101" t="n"/>
      <c r="E152" s="101" t="n"/>
      <c r="F152" s="101" t="n"/>
      <c r="G152" s="101" t="n"/>
      <c r="H152" s="101" t="n"/>
      <c r="I152" s="101" t="n"/>
      <c r="J152" s="101" t="n"/>
    </row>
    <row r="153" ht="15" customHeight="1" s="55">
      <c r="A153" s="101" t="n"/>
      <c r="B153" s="101" t="n"/>
      <c r="C153" s="101" t="n"/>
      <c r="D153" s="101" t="n"/>
      <c r="E153" s="101" t="n"/>
      <c r="F153" s="101" t="n"/>
      <c r="G153" s="101" t="n"/>
      <c r="H153" s="101" t="n"/>
      <c r="I153" s="101" t="n"/>
      <c r="J153" s="101" t="n"/>
    </row>
    <row r="154" ht="15" customHeight="1" s="55">
      <c r="A154" s="101" t="n"/>
      <c r="B154" s="101" t="n"/>
      <c r="C154" s="101" t="n"/>
      <c r="D154" s="101" t="n"/>
      <c r="E154" s="101" t="n"/>
      <c r="F154" s="101" t="n"/>
      <c r="G154" s="101" t="n"/>
      <c r="H154" s="101" t="n"/>
      <c r="I154" s="101" t="n"/>
      <c r="J154" s="101" t="n"/>
    </row>
    <row r="155" ht="15" customHeight="1" s="55">
      <c r="A155" s="101" t="n"/>
      <c r="B155" s="101" t="n"/>
      <c r="C155" s="101" t="n"/>
      <c r="D155" s="101" t="n"/>
      <c r="E155" s="101" t="n"/>
      <c r="F155" s="101" t="n"/>
      <c r="G155" s="101" t="n"/>
      <c r="H155" s="101" t="n"/>
      <c r="I155" s="101" t="n"/>
      <c r="J155" s="101" t="n"/>
    </row>
    <row r="156" ht="15" customHeight="1" s="55">
      <c r="A156" s="101" t="n"/>
      <c r="B156" s="101" t="n"/>
      <c r="C156" s="101" t="n"/>
      <c r="D156" s="101" t="n"/>
      <c r="E156" s="101" t="n"/>
      <c r="F156" s="101" t="n"/>
      <c r="G156" s="101" t="n"/>
      <c r="H156" s="101" t="n"/>
      <c r="I156" s="101" t="n"/>
      <c r="J156" s="101" t="n"/>
    </row>
    <row r="157" ht="15" customHeight="1" s="55">
      <c r="A157" s="101" t="n"/>
      <c r="B157" s="101" t="n"/>
      <c r="C157" s="101" t="n"/>
      <c r="D157" s="101" t="n"/>
      <c r="E157" s="101" t="n"/>
      <c r="F157" s="101" t="n"/>
      <c r="G157" s="101" t="n"/>
      <c r="H157" s="101" t="n"/>
      <c r="I157" s="101" t="n"/>
      <c r="J157" s="101" t="n"/>
    </row>
    <row r="158" ht="15" customHeight="1" s="55">
      <c r="A158" s="101" t="n"/>
      <c r="B158" s="101" t="n"/>
      <c r="C158" s="101" t="n"/>
      <c r="D158" s="101" t="n"/>
      <c r="E158" s="101" t="n"/>
      <c r="F158" s="101" t="n"/>
      <c r="G158" s="101" t="n"/>
      <c r="H158" s="101" t="n"/>
      <c r="I158" s="101" t="n"/>
      <c r="J158" s="101" t="n"/>
    </row>
    <row r="159" ht="15" customHeight="1" s="55">
      <c r="A159" s="101" t="n"/>
      <c r="B159" s="101" t="n"/>
      <c r="C159" s="101" t="n"/>
      <c r="D159" s="101" t="n"/>
      <c r="E159" s="101" t="n"/>
      <c r="F159" s="101" t="n"/>
      <c r="G159" s="101" t="n"/>
      <c r="H159" s="101" t="n"/>
      <c r="I159" s="101" t="n"/>
      <c r="J159" s="101" t="n"/>
    </row>
    <row r="160" ht="15" customHeight="1" s="55">
      <c r="A160" s="101" t="n"/>
      <c r="B160" s="101" t="n"/>
      <c r="C160" s="101" t="n"/>
      <c r="D160" s="101" t="n"/>
      <c r="E160" s="101" t="n"/>
      <c r="F160" s="101" t="n"/>
      <c r="G160" s="101" t="n"/>
      <c r="H160" s="101" t="n"/>
      <c r="I160" s="101" t="n"/>
      <c r="J160" s="101" t="n"/>
    </row>
    <row r="161" ht="15" customHeight="1" s="55">
      <c r="A161" s="101" t="n"/>
      <c r="B161" s="101" t="n"/>
      <c r="C161" s="101" t="n"/>
      <c r="D161" s="101" t="n"/>
      <c r="E161" s="101" t="n"/>
      <c r="F161" s="101" t="n"/>
      <c r="G161" s="101" t="n"/>
      <c r="H161" s="101" t="n"/>
      <c r="I161" s="101" t="n"/>
      <c r="J161" s="101" t="n"/>
    </row>
    <row r="162" ht="15" customHeight="1" s="55">
      <c r="A162" s="101" t="n"/>
      <c r="B162" s="101" t="n"/>
      <c r="C162" s="101" t="n"/>
      <c r="D162" s="101" t="n"/>
      <c r="E162" s="101" t="n"/>
      <c r="F162" s="101" t="n"/>
      <c r="G162" s="101" t="n"/>
      <c r="H162" s="101" t="n"/>
      <c r="I162" s="101" t="n"/>
      <c r="J162" s="101" t="n"/>
    </row>
    <row r="163" ht="15" customHeight="1" s="55">
      <c r="A163" s="101" t="n"/>
      <c r="B163" s="101" t="n"/>
      <c r="C163" s="101" t="n"/>
      <c r="D163" s="101" t="n"/>
      <c r="E163" s="101" t="n"/>
      <c r="F163" s="101" t="n"/>
      <c r="G163" s="101" t="n"/>
      <c r="H163" s="101" t="n"/>
      <c r="I163" s="101" t="n"/>
      <c r="J163" s="101" t="n"/>
    </row>
    <row r="164" ht="15" customHeight="1" s="55">
      <c r="A164" s="101" t="n"/>
      <c r="B164" s="101" t="n"/>
      <c r="C164" s="101" t="n"/>
      <c r="D164" s="101" t="n"/>
      <c r="E164" s="101" t="n"/>
      <c r="F164" s="101" t="n"/>
      <c r="G164" s="101" t="n"/>
      <c r="H164" s="101" t="n"/>
      <c r="I164" s="101" t="n"/>
      <c r="J164" s="101" t="n"/>
    </row>
    <row r="165" ht="15" customHeight="1" s="55">
      <c r="A165" s="101" t="n"/>
      <c r="B165" s="101" t="n"/>
      <c r="C165" s="101" t="n"/>
      <c r="D165" s="101" t="n"/>
      <c r="E165" s="101" t="n"/>
      <c r="F165" s="101" t="n"/>
      <c r="G165" s="101" t="n"/>
      <c r="H165" s="101" t="n"/>
      <c r="I165" s="101" t="n"/>
      <c r="J165" s="101" t="n"/>
    </row>
    <row r="166" ht="15" customHeight="1" s="55">
      <c r="A166" s="101" t="n"/>
      <c r="B166" s="101" t="n"/>
      <c r="C166" s="101" t="n"/>
      <c r="D166" s="101" t="n"/>
      <c r="E166" s="101" t="n"/>
      <c r="F166" s="101" t="n"/>
      <c r="G166" s="101" t="n"/>
      <c r="H166" s="101" t="n"/>
      <c r="I166" s="101" t="n"/>
      <c r="J166" s="101" t="n"/>
    </row>
    <row r="167" ht="15" customHeight="1" s="55">
      <c r="A167" s="101" t="n"/>
      <c r="B167" s="101" t="n"/>
      <c r="C167" s="101" t="n"/>
      <c r="D167" s="101" t="n"/>
      <c r="E167" s="101" t="n"/>
      <c r="F167" s="101" t="n"/>
      <c r="G167" s="101" t="n"/>
      <c r="H167" s="101" t="n"/>
      <c r="I167" s="101" t="n"/>
      <c r="J167" s="101" t="n"/>
    </row>
    <row r="168" ht="15" customHeight="1" s="55">
      <c r="A168" s="101" t="n"/>
      <c r="B168" s="101" t="n"/>
      <c r="C168" s="101" t="n"/>
      <c r="D168" s="101" t="n"/>
      <c r="E168" s="101" t="n"/>
      <c r="F168" s="101" t="n"/>
      <c r="G168" s="101" t="n"/>
      <c r="H168" s="101" t="n"/>
      <c r="I168" s="101" t="n"/>
      <c r="J168" s="101" t="n"/>
    </row>
    <row r="169" ht="15" customHeight="1" s="55">
      <c r="A169" s="101" t="n"/>
      <c r="B169" s="101" t="n"/>
      <c r="C169" s="101" t="n"/>
      <c r="D169" s="101" t="n"/>
      <c r="E169" s="101" t="n"/>
      <c r="F169" s="101" t="n"/>
      <c r="G169" s="101" t="n"/>
      <c r="H169" s="101" t="n"/>
      <c r="I169" s="101" t="n"/>
      <c r="J169" s="101" t="n"/>
    </row>
    <row r="170" ht="15" customHeight="1" s="55">
      <c r="A170" s="101" t="n"/>
      <c r="B170" s="101" t="n"/>
      <c r="C170" s="101" t="n"/>
      <c r="D170" s="101" t="n"/>
      <c r="E170" s="101" t="n"/>
      <c r="F170" s="101" t="n"/>
      <c r="G170" s="101" t="n"/>
      <c r="H170" s="101" t="n"/>
      <c r="I170" s="101" t="n"/>
      <c r="J170" s="101" t="n"/>
    </row>
    <row r="171" ht="15" customHeight="1" s="55">
      <c r="A171" s="101" t="n"/>
      <c r="B171" s="101" t="n"/>
      <c r="C171" s="101" t="n"/>
      <c r="D171" s="101" t="n"/>
      <c r="E171" s="101" t="n"/>
      <c r="F171" s="101" t="n"/>
      <c r="G171" s="101" t="n"/>
      <c r="H171" s="101" t="n"/>
      <c r="I171" s="101" t="n"/>
      <c r="J171" s="101" t="n"/>
    </row>
    <row r="172" ht="15" customHeight="1" s="55">
      <c r="A172" s="101" t="n"/>
      <c r="B172" s="101" t="n"/>
      <c r="C172" s="101" t="n"/>
      <c r="D172" s="101" t="n"/>
      <c r="E172" s="101" t="n"/>
      <c r="F172" s="101" t="n"/>
      <c r="G172" s="101" t="n"/>
      <c r="H172" s="101" t="n"/>
      <c r="I172" s="101" t="n"/>
      <c r="J172" s="101" t="n"/>
    </row>
    <row r="173" ht="15" customHeight="1" s="55">
      <c r="A173" s="101" t="n"/>
      <c r="B173" s="101" t="n"/>
      <c r="C173" s="101" t="n"/>
      <c r="D173" s="101" t="n"/>
      <c r="E173" s="101" t="n"/>
      <c r="F173" s="101" t="n"/>
      <c r="G173" s="101" t="n"/>
      <c r="H173" s="101" t="n"/>
      <c r="I173" s="101" t="n"/>
      <c r="J173" s="101" t="n"/>
    </row>
    <row r="174" ht="15" customHeight="1" s="55">
      <c r="A174" s="101" t="n"/>
      <c r="B174" s="101" t="n"/>
      <c r="C174" s="101" t="n"/>
      <c r="D174" s="101" t="n"/>
      <c r="E174" s="101" t="n"/>
      <c r="F174" s="101" t="n"/>
      <c r="G174" s="101" t="n"/>
      <c r="H174" s="101" t="n"/>
      <c r="I174" s="101" t="n"/>
      <c r="J174" s="101" t="n"/>
    </row>
    <row r="175" ht="15" customHeight="1" s="55">
      <c r="A175" s="101" t="n"/>
      <c r="B175" s="101" t="n"/>
      <c r="C175" s="101" t="n"/>
      <c r="D175" s="101" t="n"/>
      <c r="E175" s="101" t="n"/>
      <c r="F175" s="101" t="n"/>
      <c r="G175" s="101" t="n"/>
      <c r="H175" s="101" t="n"/>
      <c r="I175" s="101" t="n"/>
      <c r="J175" s="101" t="n"/>
    </row>
    <row r="176" ht="15" customHeight="1" s="55">
      <c r="A176" s="101" t="n"/>
      <c r="B176" s="101" t="n"/>
      <c r="C176" s="101" t="n"/>
      <c r="D176" s="101" t="n"/>
      <c r="E176" s="101" t="n"/>
      <c r="F176" s="101" t="n"/>
      <c r="G176" s="101" t="n"/>
      <c r="H176" s="101" t="n"/>
      <c r="I176" s="101" t="n"/>
      <c r="J176" s="101" t="n"/>
    </row>
    <row r="177" ht="15" customHeight="1" s="55">
      <c r="A177" s="101" t="n"/>
      <c r="B177" s="101" t="n"/>
      <c r="C177" s="101" t="n"/>
      <c r="D177" s="101" t="n"/>
      <c r="E177" s="101" t="n"/>
      <c r="F177" s="101" t="n"/>
      <c r="G177" s="101" t="n"/>
      <c r="H177" s="101" t="n"/>
      <c r="I177" s="101" t="n"/>
      <c r="J177" s="101" t="n"/>
    </row>
    <row r="178" ht="15" customHeight="1" s="55">
      <c r="A178" s="101" t="n"/>
      <c r="B178" s="101" t="n"/>
      <c r="C178" s="101" t="n"/>
      <c r="D178" s="101" t="n"/>
      <c r="E178" s="101" t="n"/>
      <c r="F178" s="101" t="n"/>
      <c r="G178" s="101" t="n"/>
      <c r="H178" s="101" t="n"/>
      <c r="I178" s="101" t="n"/>
      <c r="J178" s="101" t="n"/>
    </row>
    <row r="179" ht="15" customHeight="1" s="55">
      <c r="A179" s="101" t="n"/>
      <c r="B179" s="101" t="n"/>
      <c r="C179" s="101" t="n"/>
      <c r="D179" s="101" t="n"/>
      <c r="E179" s="101" t="n"/>
      <c r="F179" s="101" t="n"/>
      <c r="G179" s="101" t="n"/>
      <c r="H179" s="101" t="n"/>
      <c r="I179" s="101" t="n"/>
      <c r="J179" s="101" t="n"/>
    </row>
    <row r="180" ht="15" customHeight="1" s="55">
      <c r="A180" s="101" t="n"/>
      <c r="B180" s="101" t="n"/>
      <c r="C180" s="101" t="n"/>
      <c r="D180" s="101" t="n"/>
      <c r="E180" s="101" t="n"/>
      <c r="F180" s="101" t="n"/>
      <c r="G180" s="101" t="n"/>
      <c r="H180" s="101" t="n"/>
      <c r="I180" s="101" t="n"/>
      <c r="J180" s="101" t="n"/>
    </row>
    <row r="181" ht="15" customHeight="1" s="55">
      <c r="A181" s="101" t="n"/>
      <c r="B181" s="101" t="n"/>
      <c r="C181" s="101" t="n"/>
      <c r="D181" s="101" t="n"/>
      <c r="E181" s="101" t="n"/>
      <c r="F181" s="101" t="n"/>
      <c r="G181" s="101" t="n"/>
      <c r="H181" s="101" t="n"/>
      <c r="I181" s="101" t="n"/>
      <c r="J181" s="101" t="n"/>
    </row>
    <row r="182" ht="15" customHeight="1" s="55">
      <c r="A182" s="101" t="n"/>
      <c r="B182" s="101" t="n"/>
      <c r="C182" s="101" t="n"/>
      <c r="D182" s="101" t="n"/>
      <c r="E182" s="101" t="n"/>
      <c r="F182" s="101" t="n"/>
      <c r="G182" s="101" t="n"/>
      <c r="H182" s="101" t="n"/>
      <c r="I182" s="101" t="n"/>
      <c r="J182" s="101" t="n"/>
    </row>
    <row r="183" ht="15" customHeight="1" s="55">
      <c r="A183" s="101" t="n"/>
      <c r="B183" s="101" t="n"/>
      <c r="C183" s="101" t="n"/>
      <c r="D183" s="101" t="n"/>
      <c r="E183" s="101" t="n"/>
      <c r="F183" s="101" t="n"/>
      <c r="G183" s="101" t="n"/>
      <c r="H183" s="101" t="n"/>
      <c r="I183" s="101" t="n"/>
      <c r="J183" s="101" t="n"/>
    </row>
    <row r="184" ht="15" customHeight="1" s="55">
      <c r="A184" s="101" t="n"/>
      <c r="B184" s="101" t="n"/>
      <c r="C184" s="101" t="n"/>
      <c r="D184" s="101" t="n"/>
      <c r="E184" s="101" t="n"/>
      <c r="F184" s="101" t="n"/>
      <c r="G184" s="101" t="n"/>
      <c r="H184" s="101" t="n"/>
      <c r="I184" s="101" t="n"/>
      <c r="J184" s="101" t="n"/>
    </row>
    <row r="185" ht="15" customHeight="1" s="55">
      <c r="A185" s="101" t="n"/>
      <c r="B185" s="101" t="n"/>
      <c r="C185" s="101" t="n"/>
      <c r="D185" s="101" t="n"/>
      <c r="E185" s="101" t="n"/>
      <c r="F185" s="101" t="n"/>
      <c r="G185" s="101" t="n"/>
      <c r="H185" s="101" t="n"/>
      <c r="I185" s="101" t="n"/>
      <c r="J185" s="101" t="n"/>
    </row>
    <row r="186" ht="15" customHeight="1" s="55">
      <c r="A186" s="101" t="n"/>
      <c r="B186" s="101" t="n"/>
      <c r="C186" s="101" t="n"/>
      <c r="D186" s="101" t="n"/>
      <c r="E186" s="101" t="n"/>
      <c r="F186" s="101" t="n"/>
      <c r="G186" s="101" t="n"/>
      <c r="H186" s="101" t="n"/>
      <c r="I186" s="101" t="n"/>
      <c r="J186" s="101" t="n"/>
    </row>
    <row r="187" ht="15" customHeight="1" s="55">
      <c r="A187" s="101" t="n"/>
      <c r="B187" s="101" t="n"/>
      <c r="C187" s="101" t="n"/>
      <c r="D187" s="101" t="n"/>
      <c r="E187" s="101" t="n"/>
      <c r="F187" s="101" t="n"/>
      <c r="G187" s="101" t="n"/>
      <c r="H187" s="101" t="n"/>
      <c r="I187" s="101" t="n"/>
      <c r="J187" s="101" t="n"/>
    </row>
    <row r="188" ht="15" customHeight="1" s="55">
      <c r="A188" s="101" t="n"/>
      <c r="B188" s="101" t="n"/>
      <c r="C188" s="101" t="n"/>
      <c r="D188" s="101" t="n"/>
      <c r="E188" s="101" t="n"/>
      <c r="F188" s="101" t="n"/>
      <c r="G188" s="101" t="n"/>
      <c r="H188" s="101" t="n"/>
      <c r="I188" s="101" t="n"/>
      <c r="J188" s="101" t="n"/>
    </row>
    <row r="189" ht="15" customHeight="1" s="55">
      <c r="A189" s="101" t="n"/>
      <c r="B189" s="101" t="n"/>
      <c r="C189" s="101" t="n"/>
      <c r="D189" s="101" t="n"/>
      <c r="E189" s="101" t="n"/>
      <c r="F189" s="101" t="n"/>
      <c r="G189" s="101" t="n"/>
      <c r="H189" s="101" t="n"/>
      <c r="I189" s="101" t="n"/>
      <c r="J189" s="101" t="n"/>
    </row>
    <row r="190" ht="15" customHeight="1" s="55">
      <c r="A190" s="101" t="n"/>
      <c r="B190" s="101" t="n"/>
      <c r="C190" s="101" t="n"/>
      <c r="D190" s="101" t="n"/>
      <c r="E190" s="101" t="n"/>
      <c r="F190" s="101" t="n"/>
      <c r="G190" s="101" t="n"/>
      <c r="H190" s="101" t="n"/>
      <c r="I190" s="101" t="n"/>
      <c r="J190" s="101" t="n"/>
    </row>
    <row r="191" ht="15" customHeight="1" s="55">
      <c r="A191" s="101" t="n"/>
      <c r="B191" s="101" t="n"/>
      <c r="C191" s="101" t="n"/>
      <c r="D191" s="101" t="n"/>
      <c r="E191" s="101" t="n"/>
      <c r="F191" s="101" t="n"/>
      <c r="G191" s="101" t="n"/>
      <c r="H191" s="101" t="n"/>
      <c r="I191" s="101" t="n"/>
      <c r="J191" s="101" t="n"/>
    </row>
    <row r="192" ht="15" customHeight="1" s="55">
      <c r="A192" s="101" t="n"/>
      <c r="B192" s="101" t="n"/>
      <c r="C192" s="101" t="n"/>
      <c r="D192" s="101" t="n"/>
      <c r="E192" s="101" t="n"/>
      <c r="F192" s="101" t="n"/>
      <c r="G192" s="101" t="n"/>
      <c r="H192" s="101" t="n"/>
      <c r="I192" s="101" t="n"/>
      <c r="J192" s="101" t="n"/>
    </row>
    <row r="193" ht="15" customHeight="1" s="55">
      <c r="A193" s="101" t="n"/>
      <c r="B193" s="101" t="n"/>
      <c r="C193" s="101" t="n"/>
      <c r="D193" s="101" t="n"/>
      <c r="E193" s="101" t="n"/>
      <c r="F193" s="101" t="n"/>
      <c r="G193" s="101" t="n"/>
      <c r="H193" s="101" t="n"/>
      <c r="I193" s="101" t="n"/>
      <c r="J193" s="101" t="n"/>
    </row>
    <row r="194" ht="15" customHeight="1" s="55">
      <c r="A194" s="101" t="n"/>
      <c r="B194" s="101" t="n"/>
      <c r="C194" s="101" t="n"/>
      <c r="D194" s="101" t="n"/>
      <c r="E194" s="101" t="n"/>
      <c r="F194" s="101" t="n"/>
      <c r="G194" s="101" t="n"/>
      <c r="H194" s="101" t="n"/>
      <c r="I194" s="101" t="n"/>
      <c r="J194" s="101" t="n"/>
    </row>
    <row r="195" ht="15" customHeight="1" s="55">
      <c r="A195" s="101" t="n"/>
      <c r="B195" s="101" t="n"/>
      <c r="C195" s="101" t="n"/>
      <c r="D195" s="101" t="n"/>
      <c r="E195" s="101" t="n"/>
      <c r="F195" s="101" t="n"/>
      <c r="G195" s="101" t="n"/>
      <c r="H195" s="101" t="n"/>
      <c r="I195" s="101" t="n"/>
      <c r="J195" s="101" t="n"/>
    </row>
    <row r="196" ht="15" customHeight="1" s="55">
      <c r="A196" s="101" t="n"/>
      <c r="B196" s="101" t="n"/>
      <c r="C196" s="101" t="n"/>
      <c r="D196" s="101" t="n"/>
      <c r="E196" s="101" t="n"/>
      <c r="F196" s="101" t="n"/>
      <c r="G196" s="101" t="n"/>
      <c r="H196" s="101" t="n"/>
      <c r="I196" s="101" t="n"/>
      <c r="J196" s="101" t="n"/>
    </row>
    <row r="197" ht="15" customHeight="1" s="55">
      <c r="A197" s="101" t="n"/>
      <c r="B197" s="101" t="n"/>
      <c r="C197" s="101" t="n"/>
      <c r="D197" s="101" t="n"/>
      <c r="E197" s="101" t="n"/>
      <c r="F197" s="101" t="n"/>
      <c r="G197" s="101" t="n"/>
      <c r="H197" s="101" t="n"/>
      <c r="I197" s="101" t="n"/>
      <c r="J197" s="101" t="n"/>
    </row>
    <row r="198" ht="15" customHeight="1" s="55">
      <c r="A198" s="101" t="n"/>
      <c r="B198" s="101" t="n"/>
      <c r="C198" s="101" t="n"/>
      <c r="D198" s="101" t="n"/>
      <c r="E198" s="101" t="n"/>
      <c r="F198" s="101" t="n"/>
      <c r="G198" s="101" t="n"/>
      <c r="H198" s="101" t="n"/>
      <c r="I198" s="101" t="n"/>
      <c r="J198" s="101" t="n"/>
    </row>
    <row r="199" ht="15" customHeight="1" s="55">
      <c r="A199" s="101" t="n"/>
      <c r="B199" s="101" t="n"/>
      <c r="C199" s="101" t="n"/>
      <c r="D199" s="101" t="n"/>
      <c r="E199" s="101" t="n"/>
      <c r="F199" s="101" t="n"/>
      <c r="G199" s="101" t="n"/>
      <c r="H199" s="101" t="n"/>
      <c r="I199" s="101" t="n"/>
      <c r="J199" s="101" t="n"/>
    </row>
    <row r="200" ht="15" customHeight="1" s="55">
      <c r="A200" s="101" t="n"/>
      <c r="B200" s="101" t="n"/>
      <c r="C200" s="101" t="n"/>
      <c r="D200" s="101" t="n"/>
      <c r="E200" s="101" t="n"/>
      <c r="F200" s="101" t="n"/>
      <c r="G200" s="101" t="n"/>
      <c r="H200" s="101" t="n"/>
      <c r="I200" s="101" t="n"/>
      <c r="J200" s="101" t="n"/>
    </row>
    <row r="201" ht="15" customHeight="1" s="55">
      <c r="A201" s="101" t="n"/>
      <c r="B201" s="101" t="n"/>
      <c r="C201" s="101" t="n"/>
      <c r="D201" s="101" t="n"/>
      <c r="E201" s="101" t="n"/>
      <c r="F201" s="101" t="n"/>
      <c r="G201" s="101" t="n"/>
      <c r="H201" s="101" t="n"/>
      <c r="I201" s="101" t="n"/>
      <c r="J201" s="101" t="n"/>
    </row>
    <row r="202" ht="15" customHeight="1" s="55">
      <c r="A202" s="101" t="n"/>
      <c r="B202" s="101" t="n"/>
      <c r="C202" s="101" t="n"/>
      <c r="D202" s="101" t="n"/>
      <c r="E202" s="101" t="n"/>
      <c r="F202" s="101" t="n"/>
      <c r="G202" s="101" t="n"/>
      <c r="H202" s="101" t="n"/>
      <c r="I202" s="101" t="n"/>
      <c r="J202" s="101" t="n"/>
    </row>
    <row r="203" ht="15" customHeight="1" s="55">
      <c r="A203" s="101" t="n"/>
      <c r="B203" s="101" t="n"/>
      <c r="C203" s="101" t="n"/>
      <c r="D203" s="101" t="n"/>
      <c r="E203" s="101" t="n"/>
      <c r="F203" s="101" t="n"/>
      <c r="G203" s="101" t="n"/>
      <c r="H203" s="101" t="n"/>
      <c r="I203" s="101" t="n"/>
      <c r="J203" s="101" t="n"/>
    </row>
    <row r="204" ht="15" customHeight="1" s="55">
      <c r="A204" s="101" t="n"/>
      <c r="B204" s="101" t="n"/>
      <c r="C204" s="101" t="n"/>
      <c r="D204" s="101" t="n"/>
      <c r="E204" s="101" t="n"/>
      <c r="F204" s="101" t="n"/>
      <c r="G204" s="101" t="n"/>
      <c r="H204" s="101" t="n"/>
      <c r="I204" s="101" t="n"/>
      <c r="J204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G6:G204">
    <cfRule type="cellIs" rank="0" priority="2" equalAverage="0" operator="lessThan" aboveAverage="0" dxfId="11" text="" percent="0" bottom="0">
      <formula>0</formula>
    </cfRule>
  </conditionalFormatting>
  <conditionalFormatting sqref="H6:H204">
    <cfRule type="cellIs" rank="0" priority="3" equalAverage="0" operator="lessThan" aboveAverage="0" dxfId="11" text="" percent="0" bottom="0">
      <formula>0</formula>
    </cfRule>
  </conditionalFormatting>
  <conditionalFormatting sqref="L6:L204">
    <cfRule type="cellIs" rank="0" priority="4" equalAverage="0" operator="equal" aboveAverage="0" dxfId="11" text="" percent="0" bottom="0">
      <formula>"SÖZ GECİKTİ"</formula>
    </cfRule>
    <cfRule type="cellIs" rank="0" priority="5" equalAverage="0" operator="equal" aboveAverage="0" dxfId="10" text="" percent="0" bottom="0">
      <formula>"BEKLİYOR"</formula>
    </cfRule>
    <cfRule type="cellIs" rank="0" priority="6" equalAverage="0" operator="equal" aboveAverage="0" dxfId="9" text="" percent="0" bottom="0">
      <formula>"YERİNE GETİRİLDİ"</formula>
    </cfRule>
  </conditionalFormatting>
  <dataValidations count="2">
    <dataValidation sqref="E6:E204" showDropDown="0" showInputMessage="1" showErrorMessage="1" allowBlank="1" errorTitle="Geçersiz Kanal" error="Lütfen geçerli bir iletişim kanalı seçin." promptTitle="İletişim Kanalı" prompt="Telefon, E-posta, Yüz yüze veya Yazılı seçin." type="list" errorStyle="stop" operator="between">
      <formula1>ListeIletisimKanali</formula1>
      <formula2>0</formula2>
    </dataValidation>
    <dataValidation sqref="H6:H204" showDropDown="0" showInputMessage="1" showErrorMessage="1" allowBlank="1" errorTitle="Geçersiz Tutar" error="Söz verilen tutar 0'dan büyük olmalıdır." promptTitle="Söz Verilen Tutar" prompt="Sıfırdan büyük tutar girin." type="decimal" errorStyle="stop" operator="greaterThan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J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9.5" customWidth="1" style="81" min="1" max="1"/>
    <col width="16.5" customWidth="1" style="81" min="2" max="3"/>
    <col width="15.5" customWidth="1" style="55" min="3" max="3"/>
    <col width="14.5" customWidth="1" style="81" min="4" max="6"/>
    <col width="18.5" customWidth="1" style="55" min="5" max="5"/>
    <col width="14.5" customWidth="1" style="55" min="6" max="6"/>
    <col width="16.5" customWidth="1" style="81" min="7" max="7"/>
    <col width="17" customWidth="1" style="81" min="8" max="8"/>
    <col width="18.5" customWidth="1" style="81" min="9" max="10"/>
    <col width="19.5" customWidth="1" style="55" min="10" max="10"/>
    <col width="13" customWidth="1" style="55" min="11" max="11"/>
  </cols>
  <sheetData>
    <row r="1" ht="32" customHeight="1" s="55">
      <c r="A1" s="239" t="inlineStr">
        <is>
          <t>YASLANDIRMA — CARİ HESAP, TAHSİLAT VE MÜŞTERİ RİSK TAKİP SİSTEMİ</t>
        </is>
      </c>
    </row>
    <row r="3" ht="22" customHeight="1" s="55">
      <c r="A3" s="258" t="inlineStr">
        <is>
          <t>ALACAK YAŞLANDIRMA ANALİZİ</t>
        </is>
      </c>
    </row>
    <row r="5" ht="30" customHeight="1" s="55">
      <c r="A5" s="95" t="inlineStr">
        <is>
          <t>Fatura Numarası</t>
        </is>
      </c>
      <c r="B5" s="95" t="inlineStr">
        <is>
          <t>Müşteri Kodu</t>
        </is>
      </c>
      <c r="C5" s="95" t="inlineStr">
        <is>
          <t>Vade Tarihi</t>
        </is>
      </c>
      <c r="D5" s="95" t="inlineStr">
        <is>
          <t>Net Fatura</t>
        </is>
      </c>
      <c r="E5" s="95" t="inlineStr">
        <is>
          <t>Kesin Tahsilat</t>
        </is>
      </c>
      <c r="F5" s="95" t="inlineStr">
        <is>
          <t>Açık Tutar</t>
        </is>
      </c>
      <c r="G5" s="95" t="inlineStr">
        <is>
          <t>Gecikme Günü</t>
        </is>
      </c>
      <c r="H5" s="95" t="inlineStr">
        <is>
          <t>Yaşlandırma</t>
        </is>
      </c>
      <c r="I5" s="95" t="inlineStr">
        <is>
          <t>İtirazlı Tutar</t>
        </is>
      </c>
      <c r="J5" s="95" t="inlineStr">
        <is>
          <t>Teminat Kapsamı</t>
        </is>
      </c>
    </row>
    <row r="6" ht="15.75" customHeight="1" s="55">
      <c r="A6" s="100">
        <f>FATURALAR!$B6</f>
        <v/>
      </c>
      <c r="B6" s="100">
        <f>FATURALAR!$C6</f>
        <v/>
      </c>
      <c r="C6" s="104">
        <f>FATURALAR!$E6</f>
        <v/>
      </c>
      <c r="D6" s="100">
        <f>FATURALAR!$K6</f>
        <v/>
      </c>
      <c r="E6" s="100">
        <f>SUMIFS(tblTahsilatlar[Tahsilat Tutarı],tblTahsilatlar[Fatura Numarası],$A6,tblTahsilatlar[Kesinleşti mi?],"Evet")</f>
        <v/>
      </c>
      <c r="F6" s="100">
        <f>IF($D6="","",MAX(0,$D6-$E6))</f>
        <v/>
      </c>
      <c r="G6" s="100">
        <f>IF($F6="","",IF($F6=0,0,MAX(0,RaporTarihi-$C6)))</f>
        <v/>
      </c>
      <c r="H6" s="100">
        <f>IF($F6="","",IF($F6=0,"KAPALI",IF($G6&lt;=0,"VADESİ GELMEMİŞ",IF($G6&lt;=YaslamaDilim1,"1-"&amp;TEXT(YaslamaDilim1,"0"),IF($G6&lt;=YaslamaDilim2,TEXT(YaslamaDilim1+1,"0")&amp;"-"&amp;TEXT(YaslamaDilim2,"0"),IF($G6&lt;=YaslamaDilim3,TEXT(YaslamaDilim2+1,"0")&amp;"-"&amp;TEXT(YaslamaDilim3,"0"),TEXT(YaslamaDilim3+1,"0")&amp;"+"))))))</f>
        <v/>
      </c>
      <c r="I6" s="100">
        <f>IF(FATURALAR!$L6=0,"",FATURALAR!$L6)</f>
        <v/>
      </c>
      <c r="J6" s="100">
        <f>IF(FATURALAR!$M6=0,"",FATURALAR!$M6)</f>
        <v/>
      </c>
    </row>
    <row r="7" ht="15.75" customHeight="1" s="55">
      <c r="A7" s="100">
        <f>FATURALAR!$B7</f>
        <v/>
      </c>
      <c r="B7" s="100">
        <f>FATURALAR!$C7</f>
        <v/>
      </c>
      <c r="C7" s="104">
        <f>FATURALAR!$E7</f>
        <v/>
      </c>
      <c r="D7" s="100">
        <f>FATURALAR!$K7</f>
        <v/>
      </c>
      <c r="E7" s="100">
        <f>SUMIFS(tblTahsilatlar[Tahsilat Tutarı],tblTahsilatlar[Fatura Numarası],$A7,tblTahsilatlar[Kesinleşti mi?],"Evet")</f>
        <v/>
      </c>
      <c r="F7" s="100">
        <f>IF($D7="","",MAX(0,$D7-$E7))</f>
        <v/>
      </c>
      <c r="G7" s="100">
        <f>IF($F7="","",IF($F7=0,0,MAX(0,RaporTarihi-$C7)))</f>
        <v/>
      </c>
      <c r="H7" s="100">
        <f>IF($F7="","",IF($F7=0,"KAPALI",IF($G7&lt;=0,"VADESİ GELMEMİŞ",IF($G7&lt;=YaslamaDilim1,"1-"&amp;TEXT(YaslamaDilim1,"0"),IF($G7&lt;=YaslamaDilim2,TEXT(YaslamaDilim1+1,"0")&amp;"-"&amp;TEXT(YaslamaDilim2,"0"),IF($G7&lt;=YaslamaDilim3,TEXT(YaslamaDilim2+1,"0")&amp;"-"&amp;TEXT(YaslamaDilim3,"0"),TEXT(YaslamaDilim3+1,"0")&amp;"+"))))))</f>
        <v/>
      </c>
      <c r="I7" s="100">
        <f>IF(FATURALAR!$L7=0,"",FATURALAR!$L7)</f>
        <v/>
      </c>
      <c r="J7" s="100">
        <f>IF(FATURALAR!$M7=0,"",FATURALAR!$M7)</f>
        <v/>
      </c>
    </row>
    <row r="8" ht="15.75" customHeight="1" s="55">
      <c r="A8" s="100">
        <f>FATURALAR!$B8</f>
        <v/>
      </c>
      <c r="B8" s="100">
        <f>FATURALAR!$C8</f>
        <v/>
      </c>
      <c r="C8" s="104">
        <f>FATURALAR!$E8</f>
        <v/>
      </c>
      <c r="D8" s="100">
        <f>FATURALAR!$K8</f>
        <v/>
      </c>
      <c r="E8" s="100">
        <f>SUMIFS(tblTahsilatlar[Tahsilat Tutarı],tblTahsilatlar[Fatura Numarası],$A8,tblTahsilatlar[Kesinleşti mi?],"Evet")</f>
        <v/>
      </c>
      <c r="F8" s="100">
        <f>IF($D8="","",MAX(0,$D8-$E8))</f>
        <v/>
      </c>
      <c r="G8" s="100">
        <f>IF($F8="","",IF($F8=0,0,MAX(0,RaporTarihi-$C8)))</f>
        <v/>
      </c>
      <c r="H8" s="100">
        <f>IF($F8="","",IF($F8=0,"KAPALI",IF($G8&lt;=0,"VADESİ GELMEMİŞ",IF($G8&lt;=YaslamaDilim1,"1-"&amp;TEXT(YaslamaDilim1,"0"),IF($G8&lt;=YaslamaDilim2,TEXT(YaslamaDilim1+1,"0")&amp;"-"&amp;TEXT(YaslamaDilim2,"0"),IF($G8&lt;=YaslamaDilim3,TEXT(YaslamaDilim2+1,"0")&amp;"-"&amp;TEXT(YaslamaDilim3,"0"),TEXT(YaslamaDilim3+1,"0")&amp;"+"))))))</f>
        <v/>
      </c>
      <c r="I8" s="100">
        <f>IF(FATURALAR!$L8=0,"",FATURALAR!$L8)</f>
        <v/>
      </c>
      <c r="J8" s="100">
        <f>IF(FATURALAR!$M8=0,"",FATURALAR!$M8)</f>
        <v/>
      </c>
    </row>
    <row r="9" ht="15.75" customHeight="1" s="55">
      <c r="A9" s="100">
        <f>FATURALAR!$B9</f>
        <v/>
      </c>
      <c r="B9" s="100">
        <f>FATURALAR!$C9</f>
        <v/>
      </c>
      <c r="C9" s="104">
        <f>FATURALAR!$E9</f>
        <v/>
      </c>
      <c r="D9" s="100">
        <f>FATURALAR!$K9</f>
        <v/>
      </c>
      <c r="E9" s="100">
        <f>SUMIFS(tblTahsilatlar[Tahsilat Tutarı],tblTahsilatlar[Fatura Numarası],$A9,tblTahsilatlar[Kesinleşti mi?],"Evet")</f>
        <v/>
      </c>
      <c r="F9" s="100">
        <f>IF($D9="","",MAX(0,$D9-$E9))</f>
        <v/>
      </c>
      <c r="G9" s="100">
        <f>IF($F9="","",IF($F9=0,0,MAX(0,RaporTarihi-$C9)))</f>
        <v/>
      </c>
      <c r="H9" s="100">
        <f>IF($F9="","",IF($F9=0,"KAPALI",IF($G9&lt;=0,"VADESİ GELMEMİŞ",IF($G9&lt;=YaslamaDilim1,"1-"&amp;TEXT(YaslamaDilim1,"0"),IF($G9&lt;=YaslamaDilim2,TEXT(YaslamaDilim1+1,"0")&amp;"-"&amp;TEXT(YaslamaDilim2,"0"),IF($G9&lt;=YaslamaDilim3,TEXT(YaslamaDilim2+1,"0")&amp;"-"&amp;TEXT(YaslamaDilim3,"0"),TEXT(YaslamaDilim3+1,"0")&amp;"+"))))))</f>
        <v/>
      </c>
      <c r="I9" s="105">
        <f>IF(FATURALAR!$L9=0,"",FATURALAR!$L9)</f>
        <v/>
      </c>
      <c r="J9" s="100">
        <f>IF(FATURALAR!$M9=0,"",FATURALAR!$M9)</f>
        <v/>
      </c>
    </row>
    <row r="10" ht="15.75" customHeight="1" s="55">
      <c r="A10" s="100">
        <f>FATURALAR!$B10</f>
        <v/>
      </c>
      <c r="B10" s="100">
        <f>FATURALAR!$C10</f>
        <v/>
      </c>
      <c r="C10" s="104">
        <f>FATURALAR!$E10</f>
        <v/>
      </c>
      <c r="D10" s="100">
        <f>FATURALAR!$K10</f>
        <v/>
      </c>
      <c r="E10" s="100">
        <f>SUMIFS(tblTahsilatlar[Tahsilat Tutarı],tblTahsilatlar[Fatura Numarası],$A10,tblTahsilatlar[Kesinleşti mi?],"Evet")</f>
        <v/>
      </c>
      <c r="F10" s="100">
        <f>IF($D10="","",MAX(0,$D10-$E10))</f>
        <v/>
      </c>
      <c r="G10" s="100">
        <f>IF($F10="","",IF($F10=0,0,MAX(0,RaporTarihi-$C10)))</f>
        <v/>
      </c>
      <c r="H10" s="100">
        <f>IF($F10="","",IF($F10=0,"KAPALI",IF($G10&lt;=0,"VADESİ GELMEMİŞ",IF($G10&lt;=YaslamaDilim1,"1-"&amp;TEXT(YaslamaDilim1,"0"),IF($G10&lt;=YaslamaDilim2,TEXT(YaslamaDilim1+1,"0")&amp;"-"&amp;TEXT(YaslamaDilim2,"0"),IF($G10&lt;=YaslamaDilim3,TEXT(YaslamaDilim2+1,"0")&amp;"-"&amp;TEXT(YaslamaDilim3,"0"),TEXT(YaslamaDilim3+1,"0")&amp;"+"))))))</f>
        <v/>
      </c>
      <c r="I10" s="100">
        <f>IF(FATURALAR!$L10=0,"",FATURALAR!$L10)</f>
        <v/>
      </c>
      <c r="J10" s="100">
        <f>IF(FATURALAR!$M10=0,"",FATURALAR!$M10)</f>
        <v/>
      </c>
    </row>
    <row r="11" ht="15.75" customHeight="1" s="55">
      <c r="A11" s="100">
        <f>FATURALAR!$B11</f>
        <v/>
      </c>
      <c r="B11" s="100">
        <f>FATURALAR!$C11</f>
        <v/>
      </c>
      <c r="C11" s="104">
        <f>FATURALAR!$E11</f>
        <v/>
      </c>
      <c r="D11" s="100">
        <f>FATURALAR!$K11</f>
        <v/>
      </c>
      <c r="E11" s="100">
        <f>SUMIFS(tblTahsilatlar[Tahsilat Tutarı],tblTahsilatlar[Fatura Numarası],$A11,tblTahsilatlar[Kesinleşti mi?],"Evet")</f>
        <v/>
      </c>
      <c r="F11" s="100">
        <f>IF($D11="","",MAX(0,$D11-$E11))</f>
        <v/>
      </c>
      <c r="G11" s="100">
        <f>IF($F11="","",IF($F11=0,0,MAX(0,RaporTarihi-$C11)))</f>
        <v/>
      </c>
      <c r="H11" s="100">
        <f>IF($F11="","",IF($F11=0,"KAPALI",IF($G11&lt;=0,"VADESİ GELMEMİŞ",IF($G11&lt;=YaslamaDilim1,"1-"&amp;TEXT(YaslamaDilim1,"0"),IF($G11&lt;=YaslamaDilim2,TEXT(YaslamaDilim1+1,"0")&amp;"-"&amp;TEXT(YaslamaDilim2,"0"),IF($G11&lt;=YaslamaDilim3,TEXT(YaslamaDilim2+1,"0")&amp;"-"&amp;TEXT(YaslamaDilim3,"0"),TEXT(YaslamaDilim3+1,"0")&amp;"+"))))))</f>
        <v/>
      </c>
      <c r="I11" s="100">
        <f>IF(FATURALAR!$L11=0,"",FATURALAR!$L11)</f>
        <v/>
      </c>
      <c r="J11" s="100">
        <f>IF(FATURALAR!$M11=0,"",FATURALAR!$M11)</f>
        <v/>
      </c>
    </row>
    <row r="12" ht="15" customHeight="1" s="55">
      <c r="A12" s="100">
        <f>FATURALAR!$B12</f>
        <v/>
      </c>
      <c r="B12" s="100">
        <f>FATURALAR!$C12</f>
        <v/>
      </c>
      <c r="C12" s="100">
        <f>FATURALAR!$E12</f>
        <v/>
      </c>
      <c r="D12" s="100">
        <f>FATURALAR!$K12</f>
        <v/>
      </c>
      <c r="E12" s="100">
        <f>SUMIFS(tblTahsilatlar[Tahsilat Tutarı],tblTahsilatlar[Fatura Numarası],$A12,tblTahsilatlar[Kesinleşti mi?],"Evet")</f>
        <v/>
      </c>
      <c r="F12" s="100">
        <f>IF($D12="","",MAX(0,$D12-$E12))</f>
        <v/>
      </c>
      <c r="G12" s="100">
        <f>IF($F12="","",IF($F12=0,0,MAX(0,RaporTarihi-$C12)))</f>
        <v/>
      </c>
      <c r="H12" s="100">
        <f>IF($F12="","",IF($F12=0,"KAPALI",IF($G12&lt;=0,"VADESİ GELMEMİŞ",IF($G12&lt;=YaslamaDilim1,"1-"&amp;TEXT(YaslamaDilim1,"0"),IF($G12&lt;=YaslamaDilim2,TEXT(YaslamaDilim1+1,"0")&amp;"-"&amp;TEXT(YaslamaDilim2,"0"),IF($G12&lt;=YaslamaDilim3,TEXT(YaslamaDilim2+1,"0")&amp;"-"&amp;TEXT(YaslamaDilim3,"0"),TEXT(YaslamaDilim3+1,"0")&amp;"+"))))))</f>
        <v/>
      </c>
      <c r="I12" s="100">
        <f>IF(FATURALAR!$L12=0,"",FATURALAR!$L12)</f>
        <v/>
      </c>
      <c r="J12" s="100">
        <f>IF(FATURALAR!$M12=0,"",FATURALAR!$M12)</f>
        <v/>
      </c>
    </row>
    <row r="13" ht="15" customHeight="1" s="55">
      <c r="A13" s="100">
        <f>FATURALAR!$B13</f>
        <v/>
      </c>
      <c r="B13" s="100">
        <f>FATURALAR!$C13</f>
        <v/>
      </c>
      <c r="C13" s="100">
        <f>FATURALAR!$E13</f>
        <v/>
      </c>
      <c r="D13" s="100">
        <f>FATURALAR!$K13</f>
        <v/>
      </c>
      <c r="E13" s="100">
        <f>SUMIFS(tblTahsilatlar[Tahsilat Tutarı],tblTahsilatlar[Fatura Numarası],$A13,tblTahsilatlar[Kesinleşti mi?],"Evet")</f>
        <v/>
      </c>
      <c r="F13" s="100">
        <f>IF($D13="","",MAX(0,$D13-$E13))</f>
        <v/>
      </c>
      <c r="G13" s="100">
        <f>IF($F13="","",IF($F13=0,0,MAX(0,RaporTarihi-$C13)))</f>
        <v/>
      </c>
      <c r="H13" s="100">
        <f>IF($F13="","",IF($F13=0,"KAPALI",IF($G13&lt;=0,"VADESİ GELMEMİŞ",IF($G13&lt;=YaslamaDilim1,"1-"&amp;TEXT(YaslamaDilim1,"0"),IF($G13&lt;=YaslamaDilim2,TEXT(YaslamaDilim1+1,"0")&amp;"-"&amp;TEXT(YaslamaDilim2,"0"),IF($G13&lt;=YaslamaDilim3,TEXT(YaslamaDilim2+1,"0")&amp;"-"&amp;TEXT(YaslamaDilim3,"0"),TEXT(YaslamaDilim3+1,"0")&amp;"+"))))))</f>
        <v/>
      </c>
      <c r="I13" s="100">
        <f>IF(FATURALAR!$L13=0,"",FATURALAR!$L13)</f>
        <v/>
      </c>
      <c r="J13" s="100">
        <f>IF(FATURALAR!$M13=0,"",FATURALAR!$M13)</f>
        <v/>
      </c>
    </row>
    <row r="14" ht="15" customHeight="1" s="55">
      <c r="A14" s="100">
        <f>FATURALAR!$B14</f>
        <v/>
      </c>
      <c r="B14" s="100">
        <f>FATURALAR!$C14</f>
        <v/>
      </c>
      <c r="C14" s="100">
        <f>FATURALAR!$E14</f>
        <v/>
      </c>
      <c r="D14" s="100">
        <f>FATURALAR!$K14</f>
        <v/>
      </c>
      <c r="E14" s="100">
        <f>SUMIFS(tblTahsilatlar[Tahsilat Tutarı],tblTahsilatlar[Fatura Numarası],$A14,tblTahsilatlar[Kesinleşti mi?],"Evet")</f>
        <v/>
      </c>
      <c r="F14" s="100">
        <f>IF($D14="","",MAX(0,$D14-$E14))</f>
        <v/>
      </c>
      <c r="G14" s="100">
        <f>IF($F14="","",IF($F14=0,0,MAX(0,RaporTarihi-$C14)))</f>
        <v/>
      </c>
      <c r="H14" s="100">
        <f>IF($F14="","",IF($F14=0,"KAPALI",IF($G14&lt;=0,"VADESİ GELMEMİŞ",IF($G14&lt;=YaslamaDilim1,"1-"&amp;TEXT(YaslamaDilim1,"0"),IF($G14&lt;=YaslamaDilim2,TEXT(YaslamaDilim1+1,"0")&amp;"-"&amp;TEXT(YaslamaDilim2,"0"),IF($G14&lt;=YaslamaDilim3,TEXT(YaslamaDilim2+1,"0")&amp;"-"&amp;TEXT(YaslamaDilim3,"0"),TEXT(YaslamaDilim3+1,"0")&amp;"+"))))))</f>
        <v/>
      </c>
      <c r="I14" s="100">
        <f>IF(FATURALAR!$L14=0,"",FATURALAR!$L14)</f>
        <v/>
      </c>
      <c r="J14" s="100">
        <f>IF(FATURALAR!$M14=0,"",FATURALAR!$M14)</f>
        <v/>
      </c>
    </row>
    <row r="15" ht="15" customHeight="1" s="55">
      <c r="A15" s="100">
        <f>FATURALAR!$B15</f>
        <v/>
      </c>
      <c r="B15" s="100">
        <f>FATURALAR!$C15</f>
        <v/>
      </c>
      <c r="C15" s="100">
        <f>FATURALAR!$E15</f>
        <v/>
      </c>
      <c r="D15" s="100">
        <f>FATURALAR!$K15</f>
        <v/>
      </c>
      <c r="E15" s="100">
        <f>SUMIFS(tblTahsilatlar[Tahsilat Tutarı],tblTahsilatlar[Fatura Numarası],$A15,tblTahsilatlar[Kesinleşti mi?],"Evet")</f>
        <v/>
      </c>
      <c r="F15" s="100">
        <f>IF($D15="","",MAX(0,$D15-$E15))</f>
        <v/>
      </c>
      <c r="G15" s="100">
        <f>IF($F15="","",IF($F15=0,0,MAX(0,RaporTarihi-$C15)))</f>
        <v/>
      </c>
      <c r="H15" s="100">
        <f>IF($F15="","",IF($F15=0,"KAPALI",IF($G15&lt;=0,"VADESİ GELMEMİŞ",IF($G15&lt;=YaslamaDilim1,"1-"&amp;TEXT(YaslamaDilim1,"0"),IF($G15&lt;=YaslamaDilim2,TEXT(YaslamaDilim1+1,"0")&amp;"-"&amp;TEXT(YaslamaDilim2,"0"),IF($G15&lt;=YaslamaDilim3,TEXT(YaslamaDilim2+1,"0")&amp;"-"&amp;TEXT(YaslamaDilim3,"0"),TEXT(YaslamaDilim3+1,"0")&amp;"+"))))))</f>
        <v/>
      </c>
      <c r="I15" s="100">
        <f>IF(FATURALAR!$L15=0,"",FATURALAR!$L15)</f>
        <v/>
      </c>
      <c r="J15" s="100">
        <f>IF(FATURALAR!$M15=0,"",FATURALAR!$M15)</f>
        <v/>
      </c>
    </row>
    <row r="16" ht="15" customHeight="1" s="55">
      <c r="A16" s="100">
        <f>FATURALAR!$B16</f>
        <v/>
      </c>
      <c r="B16" s="100">
        <f>FATURALAR!$C16</f>
        <v/>
      </c>
      <c r="C16" s="100">
        <f>FATURALAR!$E16</f>
        <v/>
      </c>
      <c r="D16" s="100">
        <f>FATURALAR!$K16</f>
        <v/>
      </c>
      <c r="E16" s="100">
        <f>SUMIFS(tblTahsilatlar[Tahsilat Tutarı],tblTahsilatlar[Fatura Numarası],$A16,tblTahsilatlar[Kesinleşti mi?],"Evet")</f>
        <v/>
      </c>
      <c r="F16" s="100">
        <f>IF($D16="","",MAX(0,$D16-$E16))</f>
        <v/>
      </c>
      <c r="G16" s="100">
        <f>IF($F16="","",IF($F16=0,0,MAX(0,RaporTarihi-$C16)))</f>
        <v/>
      </c>
      <c r="H16" s="100">
        <f>IF($F16="","",IF($F16=0,"KAPALI",IF($G16&lt;=0,"VADESİ GELMEMİŞ",IF($G16&lt;=YaslamaDilim1,"1-"&amp;TEXT(YaslamaDilim1,"0"),IF($G16&lt;=YaslamaDilim2,TEXT(YaslamaDilim1+1,"0")&amp;"-"&amp;TEXT(YaslamaDilim2,"0"),IF($G16&lt;=YaslamaDilim3,TEXT(YaslamaDilim2+1,"0")&amp;"-"&amp;TEXT(YaslamaDilim3,"0"),TEXT(YaslamaDilim3+1,"0")&amp;"+"))))))</f>
        <v/>
      </c>
      <c r="I16" s="100">
        <f>IF(FATURALAR!$L16=0,"",FATURALAR!$L16)</f>
        <v/>
      </c>
      <c r="J16" s="100">
        <f>IF(FATURALAR!$M16=0,"",FATURALAR!$M16)</f>
        <v/>
      </c>
    </row>
    <row r="17" ht="15" customHeight="1" s="55">
      <c r="A17" s="100">
        <f>FATURALAR!$B17</f>
        <v/>
      </c>
      <c r="B17" s="100">
        <f>FATURALAR!$C17</f>
        <v/>
      </c>
      <c r="C17" s="100">
        <f>FATURALAR!$E17</f>
        <v/>
      </c>
      <c r="D17" s="100">
        <f>FATURALAR!$K17</f>
        <v/>
      </c>
      <c r="E17" s="100">
        <f>SUMIFS(tblTahsilatlar[Tahsilat Tutarı],tblTahsilatlar[Fatura Numarası],$A17,tblTahsilatlar[Kesinleşti mi?],"Evet")</f>
        <v/>
      </c>
      <c r="F17" s="100">
        <f>IF($D17="","",MAX(0,$D17-$E17))</f>
        <v/>
      </c>
      <c r="G17" s="100">
        <f>IF($F17="","",IF($F17=0,0,MAX(0,RaporTarihi-$C17)))</f>
        <v/>
      </c>
      <c r="H17" s="100">
        <f>IF($F17="","",IF($F17=0,"KAPALI",IF($G17&lt;=0,"VADESİ GELMEMİŞ",IF($G17&lt;=YaslamaDilim1,"1-"&amp;TEXT(YaslamaDilim1,"0"),IF($G17&lt;=YaslamaDilim2,TEXT(YaslamaDilim1+1,"0")&amp;"-"&amp;TEXT(YaslamaDilim2,"0"),IF($G17&lt;=YaslamaDilim3,TEXT(YaslamaDilim2+1,"0")&amp;"-"&amp;TEXT(YaslamaDilim3,"0"),TEXT(YaslamaDilim3+1,"0")&amp;"+"))))))</f>
        <v/>
      </c>
      <c r="I17" s="100">
        <f>IF(FATURALAR!$L17=0,"",FATURALAR!$L17)</f>
        <v/>
      </c>
      <c r="J17" s="100">
        <f>IF(FATURALAR!$M17=0,"",FATURALAR!$M17)</f>
        <v/>
      </c>
    </row>
    <row r="18" ht="15" customHeight="1" s="55">
      <c r="A18" s="100">
        <f>FATURALAR!$B18</f>
        <v/>
      </c>
      <c r="B18" s="100">
        <f>FATURALAR!$C18</f>
        <v/>
      </c>
      <c r="C18" s="100">
        <f>FATURALAR!$E18</f>
        <v/>
      </c>
      <c r="D18" s="100">
        <f>FATURALAR!$K18</f>
        <v/>
      </c>
      <c r="E18" s="100">
        <f>SUMIFS(tblTahsilatlar[Tahsilat Tutarı],tblTahsilatlar[Fatura Numarası],$A18,tblTahsilatlar[Kesinleşti mi?],"Evet")</f>
        <v/>
      </c>
      <c r="F18" s="100">
        <f>IF($D18="","",MAX(0,$D18-$E18))</f>
        <v/>
      </c>
      <c r="G18" s="100">
        <f>IF($F18="","",IF($F18=0,0,MAX(0,RaporTarihi-$C18)))</f>
        <v/>
      </c>
      <c r="H18" s="100">
        <f>IF($F18="","",IF($F18=0,"KAPALI",IF($G18&lt;=0,"VADESİ GELMEMİŞ",IF($G18&lt;=YaslamaDilim1,"1-"&amp;TEXT(YaslamaDilim1,"0"),IF($G18&lt;=YaslamaDilim2,TEXT(YaslamaDilim1+1,"0")&amp;"-"&amp;TEXT(YaslamaDilim2,"0"),IF($G18&lt;=YaslamaDilim3,TEXT(YaslamaDilim2+1,"0")&amp;"-"&amp;TEXT(YaslamaDilim3,"0"),TEXT(YaslamaDilim3+1,"0")&amp;"+"))))))</f>
        <v/>
      </c>
      <c r="I18" s="100">
        <f>IF(FATURALAR!$L18=0,"",FATURALAR!$L18)</f>
        <v/>
      </c>
      <c r="J18" s="100">
        <f>IF(FATURALAR!$M18=0,"",FATURALAR!$M18)</f>
        <v/>
      </c>
    </row>
    <row r="19" ht="15" customHeight="1" s="55">
      <c r="A19" s="100">
        <f>FATURALAR!$B19</f>
        <v/>
      </c>
      <c r="B19" s="100">
        <f>FATURALAR!$C19</f>
        <v/>
      </c>
      <c r="C19" s="100">
        <f>FATURALAR!$E19</f>
        <v/>
      </c>
      <c r="D19" s="100">
        <f>FATURALAR!$K19</f>
        <v/>
      </c>
      <c r="E19" s="100">
        <f>SUMIFS(tblTahsilatlar[Tahsilat Tutarı],tblTahsilatlar[Fatura Numarası],$A19,tblTahsilatlar[Kesinleşti mi?],"Evet")</f>
        <v/>
      </c>
      <c r="F19" s="100">
        <f>IF($D19="","",MAX(0,$D19-$E19))</f>
        <v/>
      </c>
      <c r="G19" s="100">
        <f>IF($F19="","",IF($F19=0,0,MAX(0,RaporTarihi-$C19)))</f>
        <v/>
      </c>
      <c r="H19" s="100">
        <f>IF($F19="","",IF($F19=0,"KAPALI",IF($G19&lt;=0,"VADESİ GELMEMİŞ",IF($G19&lt;=YaslamaDilim1,"1-"&amp;TEXT(YaslamaDilim1,"0"),IF($G19&lt;=YaslamaDilim2,TEXT(YaslamaDilim1+1,"0")&amp;"-"&amp;TEXT(YaslamaDilim2,"0"),IF($G19&lt;=YaslamaDilim3,TEXT(YaslamaDilim2+1,"0")&amp;"-"&amp;TEXT(YaslamaDilim3,"0"),TEXT(YaslamaDilim3+1,"0")&amp;"+"))))))</f>
        <v/>
      </c>
      <c r="I19" s="100">
        <f>IF(FATURALAR!$L19=0,"",FATURALAR!$L19)</f>
        <v/>
      </c>
      <c r="J19" s="100">
        <f>IF(FATURALAR!$M19=0,"",FATURALAR!$M19)</f>
        <v/>
      </c>
    </row>
    <row r="20" ht="15" customHeight="1" s="55">
      <c r="A20" s="100">
        <f>FATURALAR!$B20</f>
        <v/>
      </c>
      <c r="B20" s="100">
        <f>FATURALAR!$C20</f>
        <v/>
      </c>
      <c r="C20" s="100">
        <f>FATURALAR!$E20</f>
        <v/>
      </c>
      <c r="D20" s="100">
        <f>FATURALAR!$K20</f>
        <v/>
      </c>
      <c r="E20" s="100">
        <f>SUMIFS(tblTahsilatlar[Tahsilat Tutarı],tblTahsilatlar[Fatura Numarası],$A20,tblTahsilatlar[Kesinleşti mi?],"Evet")</f>
        <v/>
      </c>
      <c r="F20" s="100">
        <f>IF($D20="","",MAX(0,$D20-$E20))</f>
        <v/>
      </c>
      <c r="G20" s="100">
        <f>IF($F20="","",IF($F20=0,0,MAX(0,RaporTarihi-$C20)))</f>
        <v/>
      </c>
      <c r="H20" s="100">
        <f>IF($F20="","",IF($F20=0,"KAPALI",IF($G20&lt;=0,"VADESİ GELMEMİŞ",IF($G20&lt;=YaslamaDilim1,"1-"&amp;TEXT(YaslamaDilim1,"0"),IF($G20&lt;=YaslamaDilim2,TEXT(YaslamaDilim1+1,"0")&amp;"-"&amp;TEXT(YaslamaDilim2,"0"),IF($G20&lt;=YaslamaDilim3,TEXT(YaslamaDilim2+1,"0")&amp;"-"&amp;TEXT(YaslamaDilim3,"0"),TEXT(YaslamaDilim3+1,"0")&amp;"+"))))))</f>
        <v/>
      </c>
      <c r="I20" s="100">
        <f>IF(FATURALAR!$L20=0,"",FATURALAR!$L20)</f>
        <v/>
      </c>
      <c r="J20" s="100">
        <f>IF(FATURALAR!$M20=0,"",FATURALAR!$M20)</f>
        <v/>
      </c>
    </row>
    <row r="21" ht="15" customHeight="1" s="55">
      <c r="A21" s="100">
        <f>FATURALAR!$B21</f>
        <v/>
      </c>
      <c r="B21" s="100">
        <f>FATURALAR!$C21</f>
        <v/>
      </c>
      <c r="C21" s="100">
        <f>FATURALAR!$E21</f>
        <v/>
      </c>
      <c r="D21" s="100">
        <f>FATURALAR!$K21</f>
        <v/>
      </c>
      <c r="E21" s="100">
        <f>SUMIFS(tblTahsilatlar[Tahsilat Tutarı],tblTahsilatlar[Fatura Numarası],$A21,tblTahsilatlar[Kesinleşti mi?],"Evet")</f>
        <v/>
      </c>
      <c r="F21" s="100">
        <f>IF($D21="","",MAX(0,$D21-$E21))</f>
        <v/>
      </c>
      <c r="G21" s="100">
        <f>IF($F21="","",IF($F21=0,0,MAX(0,RaporTarihi-$C21)))</f>
        <v/>
      </c>
      <c r="H21" s="100">
        <f>IF($F21="","",IF($F21=0,"KAPALI",IF($G21&lt;=0,"VADESİ GELMEMİŞ",IF($G21&lt;=YaslamaDilim1,"1-"&amp;TEXT(YaslamaDilim1,"0"),IF($G21&lt;=YaslamaDilim2,TEXT(YaslamaDilim1+1,"0")&amp;"-"&amp;TEXT(YaslamaDilim2,"0"),IF($G21&lt;=YaslamaDilim3,TEXT(YaslamaDilim2+1,"0")&amp;"-"&amp;TEXT(YaslamaDilim3,"0"),TEXT(YaslamaDilim3+1,"0")&amp;"+"))))))</f>
        <v/>
      </c>
      <c r="I21" s="100">
        <f>IF(FATURALAR!$L21=0,"",FATURALAR!$L21)</f>
        <v/>
      </c>
      <c r="J21" s="100">
        <f>IF(FATURALAR!$M21=0,"",FATURALAR!$M21)</f>
        <v/>
      </c>
    </row>
    <row r="22" ht="15" customHeight="1" s="55">
      <c r="A22" s="100">
        <f>FATURALAR!$B22</f>
        <v/>
      </c>
      <c r="B22" s="100">
        <f>FATURALAR!$C22</f>
        <v/>
      </c>
      <c r="C22" s="100">
        <f>FATURALAR!$E22</f>
        <v/>
      </c>
      <c r="D22" s="100">
        <f>FATURALAR!$K22</f>
        <v/>
      </c>
      <c r="E22" s="100">
        <f>SUMIFS(tblTahsilatlar[Tahsilat Tutarı],tblTahsilatlar[Fatura Numarası],$A22,tblTahsilatlar[Kesinleşti mi?],"Evet")</f>
        <v/>
      </c>
      <c r="F22" s="100">
        <f>IF($D22="","",MAX(0,$D22-$E22))</f>
        <v/>
      </c>
      <c r="G22" s="100">
        <f>IF($F22="","",IF($F22=0,0,MAX(0,RaporTarihi-$C22)))</f>
        <v/>
      </c>
      <c r="H22" s="100">
        <f>IF($F22="","",IF($F22=0,"KAPALI",IF($G22&lt;=0,"VADESİ GELMEMİŞ",IF($G22&lt;=YaslamaDilim1,"1-"&amp;TEXT(YaslamaDilim1,"0"),IF($G22&lt;=YaslamaDilim2,TEXT(YaslamaDilim1+1,"0")&amp;"-"&amp;TEXT(YaslamaDilim2,"0"),IF($G22&lt;=YaslamaDilim3,TEXT(YaslamaDilim2+1,"0")&amp;"-"&amp;TEXT(YaslamaDilim3,"0"),TEXT(YaslamaDilim3+1,"0")&amp;"+"))))))</f>
        <v/>
      </c>
      <c r="I22" s="100">
        <f>IF(FATURALAR!$L22=0,"",FATURALAR!$L22)</f>
        <v/>
      </c>
      <c r="J22" s="100">
        <f>IF(FATURALAR!$M22=0,"",FATURALAR!$M22)</f>
        <v/>
      </c>
    </row>
    <row r="23" ht="15" customHeight="1" s="55">
      <c r="A23" s="100">
        <f>FATURALAR!$B23</f>
        <v/>
      </c>
      <c r="B23" s="100">
        <f>FATURALAR!$C23</f>
        <v/>
      </c>
      <c r="C23" s="100">
        <f>FATURALAR!$E23</f>
        <v/>
      </c>
      <c r="D23" s="100">
        <f>FATURALAR!$K23</f>
        <v/>
      </c>
      <c r="E23" s="100">
        <f>SUMIFS(tblTahsilatlar[Tahsilat Tutarı],tblTahsilatlar[Fatura Numarası],$A23,tblTahsilatlar[Kesinleşti mi?],"Evet")</f>
        <v/>
      </c>
      <c r="F23" s="100">
        <f>IF($D23="","",MAX(0,$D23-$E23))</f>
        <v/>
      </c>
      <c r="G23" s="100">
        <f>IF($F23="","",IF($F23=0,0,MAX(0,RaporTarihi-$C23)))</f>
        <v/>
      </c>
      <c r="H23" s="100">
        <f>IF($F23="","",IF($F23=0,"KAPALI",IF($G23&lt;=0,"VADESİ GELMEMİŞ",IF($G23&lt;=YaslamaDilim1,"1-"&amp;TEXT(YaslamaDilim1,"0"),IF($G23&lt;=YaslamaDilim2,TEXT(YaslamaDilim1+1,"0")&amp;"-"&amp;TEXT(YaslamaDilim2,"0"),IF($G23&lt;=YaslamaDilim3,TEXT(YaslamaDilim2+1,"0")&amp;"-"&amp;TEXT(YaslamaDilim3,"0"),TEXT(YaslamaDilim3+1,"0")&amp;"+"))))))</f>
        <v/>
      </c>
      <c r="I23" s="100">
        <f>IF(FATURALAR!$L23=0,"",FATURALAR!$L23)</f>
        <v/>
      </c>
      <c r="J23" s="100">
        <f>IF(FATURALAR!$M23=0,"",FATURALAR!$M23)</f>
        <v/>
      </c>
    </row>
    <row r="24" ht="15" customHeight="1" s="55">
      <c r="A24" s="100">
        <f>FATURALAR!$B24</f>
        <v/>
      </c>
      <c r="B24" s="100">
        <f>FATURALAR!$C24</f>
        <v/>
      </c>
      <c r="C24" s="100">
        <f>FATURALAR!$E24</f>
        <v/>
      </c>
      <c r="D24" s="100">
        <f>FATURALAR!$K24</f>
        <v/>
      </c>
      <c r="E24" s="100">
        <f>SUMIFS(tblTahsilatlar[Tahsilat Tutarı],tblTahsilatlar[Fatura Numarası],$A24,tblTahsilatlar[Kesinleşti mi?],"Evet")</f>
        <v/>
      </c>
      <c r="F24" s="100">
        <f>IF($D24="","",MAX(0,$D24-$E24))</f>
        <v/>
      </c>
      <c r="G24" s="100">
        <f>IF($F24="","",IF($F24=0,0,MAX(0,RaporTarihi-$C24)))</f>
        <v/>
      </c>
      <c r="H24" s="100">
        <f>IF($F24="","",IF($F24=0,"KAPALI",IF($G24&lt;=0,"VADESİ GELMEMİŞ",IF($G24&lt;=YaslamaDilim1,"1-"&amp;TEXT(YaslamaDilim1,"0"),IF($G24&lt;=YaslamaDilim2,TEXT(YaslamaDilim1+1,"0")&amp;"-"&amp;TEXT(YaslamaDilim2,"0"),IF($G24&lt;=YaslamaDilim3,TEXT(YaslamaDilim2+1,"0")&amp;"-"&amp;TEXT(YaslamaDilim3,"0"),TEXT(YaslamaDilim3+1,"0")&amp;"+"))))))</f>
        <v/>
      </c>
      <c r="I24" s="100">
        <f>IF(FATURALAR!$L24=0,"",FATURALAR!$L24)</f>
        <v/>
      </c>
      <c r="J24" s="100">
        <f>IF(FATURALAR!$M24=0,"",FATURALAR!$M24)</f>
        <v/>
      </c>
    </row>
    <row r="25" ht="15" customHeight="1" s="55">
      <c r="A25" s="100">
        <f>FATURALAR!$B25</f>
        <v/>
      </c>
      <c r="B25" s="100">
        <f>FATURALAR!$C25</f>
        <v/>
      </c>
      <c r="C25" s="100">
        <f>FATURALAR!$E25</f>
        <v/>
      </c>
      <c r="D25" s="100">
        <f>FATURALAR!$K25</f>
        <v/>
      </c>
      <c r="E25" s="100">
        <f>SUMIFS(tblTahsilatlar[Tahsilat Tutarı],tblTahsilatlar[Fatura Numarası],$A25,tblTahsilatlar[Kesinleşti mi?],"Evet")</f>
        <v/>
      </c>
      <c r="F25" s="100">
        <f>IF($D25="","",MAX(0,$D25-$E25))</f>
        <v/>
      </c>
      <c r="G25" s="100">
        <f>IF($F25="","",IF($F25=0,0,MAX(0,RaporTarihi-$C25)))</f>
        <v/>
      </c>
      <c r="H25" s="100">
        <f>IF($F25="","",IF($F25=0,"KAPALI",IF($G25&lt;=0,"VADESİ GELMEMİŞ",IF($G25&lt;=YaslamaDilim1,"1-"&amp;TEXT(YaslamaDilim1,"0"),IF($G25&lt;=YaslamaDilim2,TEXT(YaslamaDilim1+1,"0")&amp;"-"&amp;TEXT(YaslamaDilim2,"0"),IF($G25&lt;=YaslamaDilim3,TEXT(YaslamaDilim2+1,"0")&amp;"-"&amp;TEXT(YaslamaDilim3,"0"),TEXT(YaslamaDilim3+1,"0")&amp;"+"))))))</f>
        <v/>
      </c>
      <c r="I25" s="100">
        <f>IF(FATURALAR!$L25=0,"",FATURALAR!$L25)</f>
        <v/>
      </c>
      <c r="J25" s="100">
        <f>IF(FATURALAR!$M25=0,"",FATURALAR!$M25)</f>
        <v/>
      </c>
    </row>
    <row r="26" ht="15" customHeight="1" s="55">
      <c r="A26" s="100">
        <f>FATURALAR!$B26</f>
        <v/>
      </c>
      <c r="B26" s="100">
        <f>FATURALAR!$C26</f>
        <v/>
      </c>
      <c r="C26" s="100">
        <f>FATURALAR!$E26</f>
        <v/>
      </c>
      <c r="D26" s="100">
        <f>FATURALAR!$K26</f>
        <v/>
      </c>
      <c r="E26" s="100">
        <f>SUMIFS(tblTahsilatlar[Tahsilat Tutarı],tblTahsilatlar[Fatura Numarası],$A26,tblTahsilatlar[Kesinleşti mi?],"Evet")</f>
        <v/>
      </c>
      <c r="F26" s="100">
        <f>IF($D26="","",MAX(0,$D26-$E26))</f>
        <v/>
      </c>
      <c r="G26" s="100">
        <f>IF($F26="","",IF($F26=0,0,MAX(0,RaporTarihi-$C26)))</f>
        <v/>
      </c>
      <c r="H26" s="100">
        <f>IF($F26="","",IF($F26=0,"KAPALI",IF($G26&lt;=0,"VADESİ GELMEMİŞ",IF($G26&lt;=YaslamaDilim1,"1-"&amp;TEXT(YaslamaDilim1,"0"),IF($G26&lt;=YaslamaDilim2,TEXT(YaslamaDilim1+1,"0")&amp;"-"&amp;TEXT(YaslamaDilim2,"0"),IF($G26&lt;=YaslamaDilim3,TEXT(YaslamaDilim2+1,"0")&amp;"-"&amp;TEXT(YaslamaDilim3,"0"),TEXT(YaslamaDilim3+1,"0")&amp;"+"))))))</f>
        <v/>
      </c>
      <c r="I26" s="100">
        <f>IF(FATURALAR!$L26=0,"",FATURALAR!$L26)</f>
        <v/>
      </c>
      <c r="J26" s="100">
        <f>IF(FATURALAR!$M26=0,"",FATURALAR!$M26)</f>
        <v/>
      </c>
    </row>
    <row r="27" ht="15" customHeight="1" s="55">
      <c r="A27" s="100">
        <f>FATURALAR!$B27</f>
        <v/>
      </c>
      <c r="B27" s="100">
        <f>FATURALAR!$C27</f>
        <v/>
      </c>
      <c r="C27" s="100">
        <f>FATURALAR!$E27</f>
        <v/>
      </c>
      <c r="D27" s="100">
        <f>FATURALAR!$K27</f>
        <v/>
      </c>
      <c r="E27" s="100">
        <f>SUMIFS(tblTahsilatlar[Tahsilat Tutarı],tblTahsilatlar[Fatura Numarası],$A27,tblTahsilatlar[Kesinleşti mi?],"Evet")</f>
        <v/>
      </c>
      <c r="F27" s="100">
        <f>IF($D27="","",MAX(0,$D27-$E27))</f>
        <v/>
      </c>
      <c r="G27" s="100">
        <f>IF($F27="","",IF($F27=0,0,MAX(0,RaporTarihi-$C27)))</f>
        <v/>
      </c>
      <c r="H27" s="100">
        <f>IF($F27="","",IF($F27=0,"KAPALI",IF($G27&lt;=0,"VADESİ GELMEMİŞ",IF($G27&lt;=YaslamaDilim1,"1-"&amp;TEXT(YaslamaDilim1,"0"),IF($G27&lt;=YaslamaDilim2,TEXT(YaslamaDilim1+1,"0")&amp;"-"&amp;TEXT(YaslamaDilim2,"0"),IF($G27&lt;=YaslamaDilim3,TEXT(YaslamaDilim2+1,"0")&amp;"-"&amp;TEXT(YaslamaDilim3,"0"),TEXT(YaslamaDilim3+1,"0")&amp;"+"))))))</f>
        <v/>
      </c>
      <c r="I27" s="100">
        <f>IF(FATURALAR!$L27=0,"",FATURALAR!$L27)</f>
        <v/>
      </c>
      <c r="J27" s="100">
        <f>IF(FATURALAR!$M27=0,"",FATURALAR!$M27)</f>
        <v/>
      </c>
    </row>
    <row r="28" ht="15" customHeight="1" s="55">
      <c r="A28" s="100">
        <f>FATURALAR!$B28</f>
        <v/>
      </c>
      <c r="B28" s="100">
        <f>FATURALAR!$C28</f>
        <v/>
      </c>
      <c r="C28" s="100">
        <f>FATURALAR!$E28</f>
        <v/>
      </c>
      <c r="D28" s="100">
        <f>FATURALAR!$K28</f>
        <v/>
      </c>
      <c r="E28" s="100">
        <f>SUMIFS(tblTahsilatlar[Tahsilat Tutarı],tblTahsilatlar[Fatura Numarası],$A28,tblTahsilatlar[Kesinleşti mi?],"Evet")</f>
        <v/>
      </c>
      <c r="F28" s="100">
        <f>IF($D28="","",MAX(0,$D28-$E28))</f>
        <v/>
      </c>
      <c r="G28" s="100">
        <f>IF($F28="","",IF($F28=0,0,MAX(0,RaporTarihi-$C28)))</f>
        <v/>
      </c>
      <c r="H28" s="100">
        <f>IF($F28="","",IF($F28=0,"KAPALI",IF($G28&lt;=0,"VADESİ GELMEMİŞ",IF($G28&lt;=YaslamaDilim1,"1-"&amp;TEXT(YaslamaDilim1,"0"),IF($G28&lt;=YaslamaDilim2,TEXT(YaslamaDilim1+1,"0")&amp;"-"&amp;TEXT(YaslamaDilim2,"0"),IF($G28&lt;=YaslamaDilim3,TEXT(YaslamaDilim2+1,"0")&amp;"-"&amp;TEXT(YaslamaDilim3,"0"),TEXT(YaslamaDilim3+1,"0")&amp;"+"))))))</f>
        <v/>
      </c>
      <c r="I28" s="100">
        <f>IF(FATURALAR!$L28=0,"",FATURALAR!$L28)</f>
        <v/>
      </c>
      <c r="J28" s="100">
        <f>IF(FATURALAR!$M28=0,"",FATURALAR!$M28)</f>
        <v/>
      </c>
    </row>
    <row r="29" ht="15" customHeight="1" s="55">
      <c r="A29" s="100">
        <f>FATURALAR!$B29</f>
        <v/>
      </c>
      <c r="B29" s="100">
        <f>FATURALAR!$C29</f>
        <v/>
      </c>
      <c r="C29" s="100">
        <f>FATURALAR!$E29</f>
        <v/>
      </c>
      <c r="D29" s="100">
        <f>FATURALAR!$K29</f>
        <v/>
      </c>
      <c r="E29" s="100">
        <f>SUMIFS(tblTahsilatlar[Tahsilat Tutarı],tblTahsilatlar[Fatura Numarası],$A29,tblTahsilatlar[Kesinleşti mi?],"Evet")</f>
        <v/>
      </c>
      <c r="F29" s="100">
        <f>IF($D29="","",MAX(0,$D29-$E29))</f>
        <v/>
      </c>
      <c r="G29" s="100">
        <f>IF($F29="","",IF($F29=0,0,MAX(0,RaporTarihi-$C29)))</f>
        <v/>
      </c>
      <c r="H29" s="100">
        <f>IF($F29="","",IF($F29=0,"KAPALI",IF($G29&lt;=0,"VADESİ GELMEMİŞ",IF($G29&lt;=YaslamaDilim1,"1-"&amp;TEXT(YaslamaDilim1,"0"),IF($G29&lt;=YaslamaDilim2,TEXT(YaslamaDilim1+1,"0")&amp;"-"&amp;TEXT(YaslamaDilim2,"0"),IF($G29&lt;=YaslamaDilim3,TEXT(YaslamaDilim2+1,"0")&amp;"-"&amp;TEXT(YaslamaDilim3,"0"),TEXT(YaslamaDilim3+1,"0")&amp;"+"))))))</f>
        <v/>
      </c>
      <c r="I29" s="100">
        <f>IF(FATURALAR!$L29=0,"",FATURALAR!$L29)</f>
        <v/>
      </c>
      <c r="J29" s="100">
        <f>IF(FATURALAR!$M29=0,"",FATURALAR!$M29)</f>
        <v/>
      </c>
    </row>
    <row r="30" ht="15" customHeight="1" s="55">
      <c r="A30" s="100">
        <f>FATURALAR!$B30</f>
        <v/>
      </c>
      <c r="B30" s="100">
        <f>FATURALAR!$C30</f>
        <v/>
      </c>
      <c r="C30" s="100">
        <f>FATURALAR!$E30</f>
        <v/>
      </c>
      <c r="D30" s="100">
        <f>FATURALAR!$K30</f>
        <v/>
      </c>
      <c r="E30" s="100">
        <f>SUMIFS(tblTahsilatlar[Tahsilat Tutarı],tblTahsilatlar[Fatura Numarası],$A30,tblTahsilatlar[Kesinleşti mi?],"Evet")</f>
        <v/>
      </c>
      <c r="F30" s="100">
        <f>IF($D30="","",MAX(0,$D30-$E30))</f>
        <v/>
      </c>
      <c r="G30" s="100">
        <f>IF($F30="","",IF($F30=0,0,MAX(0,RaporTarihi-$C30)))</f>
        <v/>
      </c>
      <c r="H30" s="100">
        <f>IF($F30="","",IF($F30=0,"KAPALI",IF($G30&lt;=0,"VADESİ GELMEMİŞ",IF($G30&lt;=YaslamaDilim1,"1-"&amp;TEXT(YaslamaDilim1,"0"),IF($G30&lt;=YaslamaDilim2,TEXT(YaslamaDilim1+1,"0")&amp;"-"&amp;TEXT(YaslamaDilim2,"0"),IF($G30&lt;=YaslamaDilim3,TEXT(YaslamaDilim2+1,"0")&amp;"-"&amp;TEXT(YaslamaDilim3,"0"),TEXT(YaslamaDilim3+1,"0")&amp;"+"))))))</f>
        <v/>
      </c>
      <c r="I30" s="100">
        <f>IF(FATURALAR!$L30=0,"",FATURALAR!$L30)</f>
        <v/>
      </c>
      <c r="J30" s="100">
        <f>IF(FATURALAR!$M30=0,"",FATURALAR!$M30)</f>
        <v/>
      </c>
    </row>
    <row r="31" ht="15" customHeight="1" s="55">
      <c r="A31" s="100">
        <f>FATURALAR!$B31</f>
        <v/>
      </c>
      <c r="B31" s="100">
        <f>FATURALAR!$C31</f>
        <v/>
      </c>
      <c r="C31" s="100">
        <f>FATURALAR!$E31</f>
        <v/>
      </c>
      <c r="D31" s="100">
        <f>FATURALAR!$K31</f>
        <v/>
      </c>
      <c r="E31" s="100">
        <f>SUMIFS(tblTahsilatlar[Tahsilat Tutarı],tblTahsilatlar[Fatura Numarası],$A31,tblTahsilatlar[Kesinleşti mi?],"Evet")</f>
        <v/>
      </c>
      <c r="F31" s="100">
        <f>IF($D31="","",MAX(0,$D31-$E31))</f>
        <v/>
      </c>
      <c r="G31" s="100">
        <f>IF($F31="","",IF($F31=0,0,MAX(0,RaporTarihi-$C31)))</f>
        <v/>
      </c>
      <c r="H31" s="100">
        <f>IF($F31="","",IF($F31=0,"KAPALI",IF($G31&lt;=0,"VADESİ GELMEMİŞ",IF($G31&lt;=YaslamaDilim1,"1-"&amp;TEXT(YaslamaDilim1,"0"),IF($G31&lt;=YaslamaDilim2,TEXT(YaslamaDilim1+1,"0")&amp;"-"&amp;TEXT(YaslamaDilim2,"0"),IF($G31&lt;=YaslamaDilim3,TEXT(YaslamaDilim2+1,"0")&amp;"-"&amp;TEXT(YaslamaDilim3,"0"),TEXT(YaslamaDilim3+1,"0")&amp;"+"))))))</f>
        <v/>
      </c>
      <c r="I31" s="100">
        <f>IF(FATURALAR!$L31=0,"",FATURALAR!$L31)</f>
        <v/>
      </c>
      <c r="J31" s="100">
        <f>IF(FATURALAR!$M31=0,"",FATURALAR!$M31)</f>
        <v/>
      </c>
    </row>
    <row r="32" ht="15" customHeight="1" s="55">
      <c r="A32" s="100">
        <f>FATURALAR!$B32</f>
        <v/>
      </c>
      <c r="B32" s="100">
        <f>FATURALAR!$C32</f>
        <v/>
      </c>
      <c r="C32" s="100">
        <f>FATURALAR!$E32</f>
        <v/>
      </c>
      <c r="D32" s="100">
        <f>FATURALAR!$K32</f>
        <v/>
      </c>
      <c r="E32" s="100">
        <f>SUMIFS(tblTahsilatlar[Tahsilat Tutarı],tblTahsilatlar[Fatura Numarası],$A32,tblTahsilatlar[Kesinleşti mi?],"Evet")</f>
        <v/>
      </c>
      <c r="F32" s="100">
        <f>IF($D32="","",MAX(0,$D32-$E32))</f>
        <v/>
      </c>
      <c r="G32" s="100">
        <f>IF($F32="","",IF($F32=0,0,MAX(0,RaporTarihi-$C32)))</f>
        <v/>
      </c>
      <c r="H32" s="100">
        <f>IF($F32="","",IF($F32=0,"KAPALI",IF($G32&lt;=0,"VADESİ GELMEMİŞ",IF($G32&lt;=YaslamaDilim1,"1-"&amp;TEXT(YaslamaDilim1,"0"),IF($G32&lt;=YaslamaDilim2,TEXT(YaslamaDilim1+1,"0")&amp;"-"&amp;TEXT(YaslamaDilim2,"0"),IF($G32&lt;=YaslamaDilim3,TEXT(YaslamaDilim2+1,"0")&amp;"-"&amp;TEXT(YaslamaDilim3,"0"),TEXT(YaslamaDilim3+1,"0")&amp;"+"))))))</f>
        <v/>
      </c>
      <c r="I32" s="100">
        <f>IF(FATURALAR!$L32=0,"",FATURALAR!$L32)</f>
        <v/>
      </c>
      <c r="J32" s="100">
        <f>IF(FATURALAR!$M32=0,"",FATURALAR!$M32)</f>
        <v/>
      </c>
    </row>
    <row r="33" ht="15" customHeight="1" s="55">
      <c r="A33" s="100">
        <f>FATURALAR!$B33</f>
        <v/>
      </c>
      <c r="B33" s="100">
        <f>FATURALAR!$C33</f>
        <v/>
      </c>
      <c r="C33" s="100">
        <f>FATURALAR!$E33</f>
        <v/>
      </c>
      <c r="D33" s="100">
        <f>FATURALAR!$K33</f>
        <v/>
      </c>
      <c r="E33" s="100">
        <f>SUMIFS(tblTahsilatlar[Tahsilat Tutarı],tblTahsilatlar[Fatura Numarası],$A33,tblTahsilatlar[Kesinleşti mi?],"Evet")</f>
        <v/>
      </c>
      <c r="F33" s="100">
        <f>IF($D33="","",MAX(0,$D33-$E33))</f>
        <v/>
      </c>
      <c r="G33" s="100">
        <f>IF($F33="","",IF($F33=0,0,MAX(0,RaporTarihi-$C33)))</f>
        <v/>
      </c>
      <c r="H33" s="100">
        <f>IF($F33="","",IF($F33=0,"KAPALI",IF($G33&lt;=0,"VADESİ GELMEMİŞ",IF($G33&lt;=YaslamaDilim1,"1-"&amp;TEXT(YaslamaDilim1,"0"),IF($G33&lt;=YaslamaDilim2,TEXT(YaslamaDilim1+1,"0")&amp;"-"&amp;TEXT(YaslamaDilim2,"0"),IF($G33&lt;=YaslamaDilim3,TEXT(YaslamaDilim2+1,"0")&amp;"-"&amp;TEXT(YaslamaDilim3,"0"),TEXT(YaslamaDilim3+1,"0")&amp;"+"))))))</f>
        <v/>
      </c>
      <c r="I33" s="100">
        <f>IF(FATURALAR!$L33=0,"",FATURALAR!$L33)</f>
        <v/>
      </c>
      <c r="J33" s="100">
        <f>IF(FATURALAR!$M33=0,"",FATURALAR!$M33)</f>
        <v/>
      </c>
    </row>
    <row r="34" ht="15" customHeight="1" s="55">
      <c r="A34" s="100">
        <f>FATURALAR!$B34</f>
        <v/>
      </c>
      <c r="B34" s="100">
        <f>FATURALAR!$C34</f>
        <v/>
      </c>
      <c r="C34" s="100">
        <f>FATURALAR!$E34</f>
        <v/>
      </c>
      <c r="D34" s="100">
        <f>FATURALAR!$K34</f>
        <v/>
      </c>
      <c r="E34" s="100">
        <f>SUMIFS(tblTahsilatlar[Tahsilat Tutarı],tblTahsilatlar[Fatura Numarası],$A34,tblTahsilatlar[Kesinleşti mi?],"Evet")</f>
        <v/>
      </c>
      <c r="F34" s="100">
        <f>IF($D34="","",MAX(0,$D34-$E34))</f>
        <v/>
      </c>
      <c r="G34" s="100">
        <f>IF($F34="","",IF($F34=0,0,MAX(0,RaporTarihi-$C34)))</f>
        <v/>
      </c>
      <c r="H34" s="100">
        <f>IF($F34="","",IF($F34=0,"KAPALI",IF($G34&lt;=0,"VADESİ GELMEMİŞ",IF($G34&lt;=YaslamaDilim1,"1-"&amp;TEXT(YaslamaDilim1,"0"),IF($G34&lt;=YaslamaDilim2,TEXT(YaslamaDilim1+1,"0")&amp;"-"&amp;TEXT(YaslamaDilim2,"0"),IF($G34&lt;=YaslamaDilim3,TEXT(YaslamaDilim2+1,"0")&amp;"-"&amp;TEXT(YaslamaDilim3,"0"),TEXT(YaslamaDilim3+1,"0")&amp;"+"))))))</f>
        <v/>
      </c>
      <c r="I34" s="100">
        <f>IF(FATURALAR!$L34=0,"",FATURALAR!$L34)</f>
        <v/>
      </c>
      <c r="J34" s="100">
        <f>IF(FATURALAR!$M34=0,"",FATURALAR!$M34)</f>
        <v/>
      </c>
    </row>
    <row r="35" ht="15" customHeight="1" s="55">
      <c r="A35" s="100">
        <f>FATURALAR!$B35</f>
        <v/>
      </c>
      <c r="B35" s="100">
        <f>FATURALAR!$C35</f>
        <v/>
      </c>
      <c r="C35" s="100">
        <f>FATURALAR!$E35</f>
        <v/>
      </c>
      <c r="D35" s="100">
        <f>FATURALAR!$K35</f>
        <v/>
      </c>
      <c r="E35" s="100">
        <f>SUMIFS(tblTahsilatlar[Tahsilat Tutarı],tblTahsilatlar[Fatura Numarası],$A35,tblTahsilatlar[Kesinleşti mi?],"Evet")</f>
        <v/>
      </c>
      <c r="F35" s="100">
        <f>IF($D35="","",MAX(0,$D35-$E35))</f>
        <v/>
      </c>
      <c r="G35" s="100">
        <f>IF($F35="","",IF($F35=0,0,MAX(0,RaporTarihi-$C35)))</f>
        <v/>
      </c>
      <c r="H35" s="100">
        <f>IF($F35="","",IF($F35=0,"KAPALI",IF($G35&lt;=0,"VADESİ GELMEMİŞ",IF($G35&lt;=YaslamaDilim1,"1-"&amp;TEXT(YaslamaDilim1,"0"),IF($G35&lt;=YaslamaDilim2,TEXT(YaslamaDilim1+1,"0")&amp;"-"&amp;TEXT(YaslamaDilim2,"0"),IF($G35&lt;=YaslamaDilim3,TEXT(YaslamaDilim2+1,"0")&amp;"-"&amp;TEXT(YaslamaDilim3,"0"),TEXT(YaslamaDilim3+1,"0")&amp;"+"))))))</f>
        <v/>
      </c>
      <c r="I35" s="100">
        <f>IF(FATURALAR!$L35=0,"",FATURALAR!$L35)</f>
        <v/>
      </c>
      <c r="J35" s="100">
        <f>IF(FATURALAR!$M35=0,"",FATURALAR!$M35)</f>
        <v/>
      </c>
    </row>
    <row r="36" ht="15" customHeight="1" s="55">
      <c r="A36" s="100">
        <f>FATURALAR!$B36</f>
        <v/>
      </c>
      <c r="B36" s="100">
        <f>FATURALAR!$C36</f>
        <v/>
      </c>
      <c r="C36" s="100">
        <f>FATURALAR!$E36</f>
        <v/>
      </c>
      <c r="D36" s="100">
        <f>FATURALAR!$K36</f>
        <v/>
      </c>
      <c r="E36" s="100">
        <f>SUMIFS(tblTahsilatlar[Tahsilat Tutarı],tblTahsilatlar[Fatura Numarası],$A36,tblTahsilatlar[Kesinleşti mi?],"Evet")</f>
        <v/>
      </c>
      <c r="F36" s="100">
        <f>IF($D36="","",MAX(0,$D36-$E36))</f>
        <v/>
      </c>
      <c r="G36" s="100">
        <f>IF($F36="","",IF($F36=0,0,MAX(0,RaporTarihi-$C36)))</f>
        <v/>
      </c>
      <c r="H36" s="100">
        <f>IF($F36="","",IF($F36=0,"KAPALI",IF($G36&lt;=0,"VADESİ GELMEMİŞ",IF($G36&lt;=YaslamaDilim1,"1-"&amp;TEXT(YaslamaDilim1,"0"),IF($G36&lt;=YaslamaDilim2,TEXT(YaslamaDilim1+1,"0")&amp;"-"&amp;TEXT(YaslamaDilim2,"0"),IF($G36&lt;=YaslamaDilim3,TEXT(YaslamaDilim2+1,"0")&amp;"-"&amp;TEXT(YaslamaDilim3,"0"),TEXT(YaslamaDilim3+1,"0")&amp;"+"))))))</f>
        <v/>
      </c>
      <c r="I36" s="100">
        <f>IF(FATURALAR!$L36=0,"",FATURALAR!$L36)</f>
        <v/>
      </c>
      <c r="J36" s="100">
        <f>IF(FATURALAR!$M36=0,"",FATURALAR!$M36)</f>
        <v/>
      </c>
    </row>
    <row r="37" ht="15" customHeight="1" s="55">
      <c r="A37" s="100">
        <f>FATURALAR!$B37</f>
        <v/>
      </c>
      <c r="B37" s="100">
        <f>FATURALAR!$C37</f>
        <v/>
      </c>
      <c r="C37" s="100">
        <f>FATURALAR!$E37</f>
        <v/>
      </c>
      <c r="D37" s="100">
        <f>FATURALAR!$K37</f>
        <v/>
      </c>
      <c r="E37" s="100">
        <f>SUMIFS(tblTahsilatlar[Tahsilat Tutarı],tblTahsilatlar[Fatura Numarası],$A37,tblTahsilatlar[Kesinleşti mi?],"Evet")</f>
        <v/>
      </c>
      <c r="F37" s="100">
        <f>IF($D37="","",MAX(0,$D37-$E37))</f>
        <v/>
      </c>
      <c r="G37" s="100">
        <f>IF($F37="","",IF($F37=0,0,MAX(0,RaporTarihi-$C37)))</f>
        <v/>
      </c>
      <c r="H37" s="100">
        <f>IF($F37="","",IF($F37=0,"KAPALI",IF($G37&lt;=0,"VADESİ GELMEMİŞ",IF($G37&lt;=YaslamaDilim1,"1-"&amp;TEXT(YaslamaDilim1,"0"),IF($G37&lt;=YaslamaDilim2,TEXT(YaslamaDilim1+1,"0")&amp;"-"&amp;TEXT(YaslamaDilim2,"0"),IF($G37&lt;=YaslamaDilim3,TEXT(YaslamaDilim2+1,"0")&amp;"-"&amp;TEXT(YaslamaDilim3,"0"),TEXT(YaslamaDilim3+1,"0")&amp;"+"))))))</f>
        <v/>
      </c>
      <c r="I37" s="100">
        <f>IF(FATURALAR!$L37=0,"",FATURALAR!$L37)</f>
        <v/>
      </c>
      <c r="J37" s="100">
        <f>IF(FATURALAR!$M37=0,"",FATURALAR!$M37)</f>
        <v/>
      </c>
    </row>
    <row r="38" ht="15" customHeight="1" s="55">
      <c r="A38" s="100">
        <f>FATURALAR!$B38</f>
        <v/>
      </c>
      <c r="B38" s="100">
        <f>FATURALAR!$C38</f>
        <v/>
      </c>
      <c r="C38" s="100">
        <f>FATURALAR!$E38</f>
        <v/>
      </c>
      <c r="D38" s="100">
        <f>FATURALAR!$K38</f>
        <v/>
      </c>
      <c r="E38" s="100">
        <f>SUMIFS(tblTahsilatlar[Tahsilat Tutarı],tblTahsilatlar[Fatura Numarası],$A38,tblTahsilatlar[Kesinleşti mi?],"Evet")</f>
        <v/>
      </c>
      <c r="F38" s="100">
        <f>IF($D38="","",MAX(0,$D38-$E38))</f>
        <v/>
      </c>
      <c r="G38" s="100">
        <f>IF($F38="","",IF($F38=0,0,MAX(0,RaporTarihi-$C38)))</f>
        <v/>
      </c>
      <c r="H38" s="100">
        <f>IF($F38="","",IF($F38=0,"KAPALI",IF($G38&lt;=0,"VADESİ GELMEMİŞ",IF($G38&lt;=YaslamaDilim1,"1-"&amp;TEXT(YaslamaDilim1,"0"),IF($G38&lt;=YaslamaDilim2,TEXT(YaslamaDilim1+1,"0")&amp;"-"&amp;TEXT(YaslamaDilim2,"0"),IF($G38&lt;=YaslamaDilim3,TEXT(YaslamaDilim2+1,"0")&amp;"-"&amp;TEXT(YaslamaDilim3,"0"),TEXT(YaslamaDilim3+1,"0")&amp;"+"))))))</f>
        <v/>
      </c>
      <c r="I38" s="100">
        <f>IF(FATURALAR!$L38=0,"",FATURALAR!$L38)</f>
        <v/>
      </c>
      <c r="J38" s="100">
        <f>IF(FATURALAR!$M38=0,"",FATURALAR!$M38)</f>
        <v/>
      </c>
    </row>
    <row r="39" ht="15" customHeight="1" s="55">
      <c r="A39" s="100">
        <f>FATURALAR!$B39</f>
        <v/>
      </c>
      <c r="B39" s="100">
        <f>FATURALAR!$C39</f>
        <v/>
      </c>
      <c r="C39" s="100">
        <f>FATURALAR!$E39</f>
        <v/>
      </c>
      <c r="D39" s="100">
        <f>FATURALAR!$K39</f>
        <v/>
      </c>
      <c r="E39" s="100">
        <f>SUMIFS(tblTahsilatlar[Tahsilat Tutarı],tblTahsilatlar[Fatura Numarası],$A39,tblTahsilatlar[Kesinleşti mi?],"Evet")</f>
        <v/>
      </c>
      <c r="F39" s="100">
        <f>IF($D39="","",MAX(0,$D39-$E39))</f>
        <v/>
      </c>
      <c r="G39" s="100">
        <f>IF($F39="","",IF($F39=0,0,MAX(0,RaporTarihi-$C39)))</f>
        <v/>
      </c>
      <c r="H39" s="100">
        <f>IF($F39="","",IF($F39=0,"KAPALI",IF($G39&lt;=0,"VADESİ GELMEMİŞ",IF($G39&lt;=YaslamaDilim1,"1-"&amp;TEXT(YaslamaDilim1,"0"),IF($G39&lt;=YaslamaDilim2,TEXT(YaslamaDilim1+1,"0")&amp;"-"&amp;TEXT(YaslamaDilim2,"0"),IF($G39&lt;=YaslamaDilim3,TEXT(YaslamaDilim2+1,"0")&amp;"-"&amp;TEXT(YaslamaDilim3,"0"),TEXT(YaslamaDilim3+1,"0")&amp;"+"))))))</f>
        <v/>
      </c>
      <c r="I39" s="100">
        <f>IF(FATURALAR!$L39=0,"",FATURALAR!$L39)</f>
        <v/>
      </c>
      <c r="J39" s="100">
        <f>IF(FATURALAR!$M39=0,"",FATURALAR!$M39)</f>
        <v/>
      </c>
    </row>
    <row r="40" ht="15" customHeight="1" s="55">
      <c r="A40" s="100">
        <f>FATURALAR!$B40</f>
        <v/>
      </c>
      <c r="B40" s="100">
        <f>FATURALAR!$C40</f>
        <v/>
      </c>
      <c r="C40" s="100">
        <f>FATURALAR!$E40</f>
        <v/>
      </c>
      <c r="D40" s="100">
        <f>FATURALAR!$K40</f>
        <v/>
      </c>
      <c r="E40" s="100">
        <f>SUMIFS(tblTahsilatlar[Tahsilat Tutarı],tblTahsilatlar[Fatura Numarası],$A40,tblTahsilatlar[Kesinleşti mi?],"Evet")</f>
        <v/>
      </c>
      <c r="F40" s="100">
        <f>IF($D40="","",MAX(0,$D40-$E40))</f>
        <v/>
      </c>
      <c r="G40" s="100">
        <f>IF($F40="","",IF($F40=0,0,MAX(0,RaporTarihi-$C40)))</f>
        <v/>
      </c>
      <c r="H40" s="100">
        <f>IF($F40="","",IF($F40=0,"KAPALI",IF($G40&lt;=0,"VADESİ GELMEMİŞ",IF($G40&lt;=YaslamaDilim1,"1-"&amp;TEXT(YaslamaDilim1,"0"),IF($G40&lt;=YaslamaDilim2,TEXT(YaslamaDilim1+1,"0")&amp;"-"&amp;TEXT(YaslamaDilim2,"0"),IF($G40&lt;=YaslamaDilim3,TEXT(YaslamaDilim2+1,"0")&amp;"-"&amp;TEXT(YaslamaDilim3,"0"),TEXT(YaslamaDilim3+1,"0")&amp;"+"))))))</f>
        <v/>
      </c>
      <c r="I40" s="100">
        <f>IF(FATURALAR!$L40=0,"",FATURALAR!$L40)</f>
        <v/>
      </c>
      <c r="J40" s="100">
        <f>IF(FATURALAR!$M40=0,"",FATURALAR!$M40)</f>
        <v/>
      </c>
    </row>
    <row r="41" ht="15" customHeight="1" s="55">
      <c r="A41" s="100">
        <f>FATURALAR!$B41</f>
        <v/>
      </c>
      <c r="B41" s="100">
        <f>FATURALAR!$C41</f>
        <v/>
      </c>
      <c r="C41" s="100">
        <f>FATURALAR!$E41</f>
        <v/>
      </c>
      <c r="D41" s="100">
        <f>FATURALAR!$K41</f>
        <v/>
      </c>
      <c r="E41" s="100">
        <f>SUMIFS(tblTahsilatlar[Tahsilat Tutarı],tblTahsilatlar[Fatura Numarası],$A41,tblTahsilatlar[Kesinleşti mi?],"Evet")</f>
        <v/>
      </c>
      <c r="F41" s="100">
        <f>IF($D41="","",MAX(0,$D41-$E41))</f>
        <v/>
      </c>
      <c r="G41" s="100">
        <f>IF($F41="","",IF($F41=0,0,MAX(0,RaporTarihi-$C41)))</f>
        <v/>
      </c>
      <c r="H41" s="100">
        <f>IF($F41="","",IF($F41=0,"KAPALI",IF($G41&lt;=0,"VADESİ GELMEMİŞ",IF($G41&lt;=YaslamaDilim1,"1-"&amp;TEXT(YaslamaDilim1,"0"),IF($G41&lt;=YaslamaDilim2,TEXT(YaslamaDilim1+1,"0")&amp;"-"&amp;TEXT(YaslamaDilim2,"0"),IF($G41&lt;=YaslamaDilim3,TEXT(YaslamaDilim2+1,"0")&amp;"-"&amp;TEXT(YaslamaDilim3,"0"),TEXT(YaslamaDilim3+1,"0")&amp;"+"))))))</f>
        <v/>
      </c>
      <c r="I41" s="100">
        <f>IF(FATURALAR!$L41=0,"",FATURALAR!$L41)</f>
        <v/>
      </c>
      <c r="J41" s="100">
        <f>IF(FATURALAR!$M41=0,"",FATURALAR!$M41)</f>
        <v/>
      </c>
    </row>
    <row r="42" ht="15" customHeight="1" s="55">
      <c r="A42" s="100">
        <f>FATURALAR!$B42</f>
        <v/>
      </c>
      <c r="B42" s="100">
        <f>FATURALAR!$C42</f>
        <v/>
      </c>
      <c r="C42" s="100">
        <f>FATURALAR!$E42</f>
        <v/>
      </c>
      <c r="D42" s="100">
        <f>FATURALAR!$K42</f>
        <v/>
      </c>
      <c r="E42" s="100">
        <f>SUMIFS(tblTahsilatlar[Tahsilat Tutarı],tblTahsilatlar[Fatura Numarası],$A42,tblTahsilatlar[Kesinleşti mi?],"Evet")</f>
        <v/>
      </c>
      <c r="F42" s="100">
        <f>IF($D42="","",MAX(0,$D42-$E42))</f>
        <v/>
      </c>
      <c r="G42" s="100">
        <f>IF($F42="","",IF($F42=0,0,MAX(0,RaporTarihi-$C42)))</f>
        <v/>
      </c>
      <c r="H42" s="100">
        <f>IF($F42="","",IF($F42=0,"KAPALI",IF($G42&lt;=0,"VADESİ GELMEMİŞ",IF($G42&lt;=YaslamaDilim1,"1-"&amp;TEXT(YaslamaDilim1,"0"),IF($G42&lt;=YaslamaDilim2,TEXT(YaslamaDilim1+1,"0")&amp;"-"&amp;TEXT(YaslamaDilim2,"0"),IF($G42&lt;=YaslamaDilim3,TEXT(YaslamaDilim2+1,"0")&amp;"-"&amp;TEXT(YaslamaDilim3,"0"),TEXT(YaslamaDilim3+1,"0")&amp;"+"))))))</f>
        <v/>
      </c>
      <c r="I42" s="100">
        <f>IF(FATURALAR!$L42=0,"",FATURALAR!$L42)</f>
        <v/>
      </c>
      <c r="J42" s="100">
        <f>IF(FATURALAR!$M42=0,"",FATURALAR!$M42)</f>
        <v/>
      </c>
    </row>
    <row r="43" ht="15" customHeight="1" s="55">
      <c r="A43" s="100">
        <f>FATURALAR!$B43</f>
        <v/>
      </c>
      <c r="B43" s="100">
        <f>FATURALAR!$C43</f>
        <v/>
      </c>
      <c r="C43" s="100">
        <f>FATURALAR!$E43</f>
        <v/>
      </c>
      <c r="D43" s="100">
        <f>FATURALAR!$K43</f>
        <v/>
      </c>
      <c r="E43" s="100">
        <f>SUMIFS(tblTahsilatlar[Tahsilat Tutarı],tblTahsilatlar[Fatura Numarası],$A43,tblTahsilatlar[Kesinleşti mi?],"Evet")</f>
        <v/>
      </c>
      <c r="F43" s="100">
        <f>IF($D43="","",MAX(0,$D43-$E43))</f>
        <v/>
      </c>
      <c r="G43" s="100">
        <f>IF($F43="","",IF($F43=0,0,MAX(0,RaporTarihi-$C43)))</f>
        <v/>
      </c>
      <c r="H43" s="100">
        <f>IF($F43="","",IF($F43=0,"KAPALI",IF($G43&lt;=0,"VADESİ GELMEMİŞ",IF($G43&lt;=YaslamaDilim1,"1-"&amp;TEXT(YaslamaDilim1,"0"),IF($G43&lt;=YaslamaDilim2,TEXT(YaslamaDilim1+1,"0")&amp;"-"&amp;TEXT(YaslamaDilim2,"0"),IF($G43&lt;=YaslamaDilim3,TEXT(YaslamaDilim2+1,"0")&amp;"-"&amp;TEXT(YaslamaDilim3,"0"),TEXT(YaslamaDilim3+1,"0")&amp;"+"))))))</f>
        <v/>
      </c>
      <c r="I43" s="100">
        <f>IF(FATURALAR!$L43=0,"",FATURALAR!$L43)</f>
        <v/>
      </c>
      <c r="J43" s="100">
        <f>IF(FATURALAR!$M43=0,"",FATURALAR!$M43)</f>
        <v/>
      </c>
    </row>
    <row r="44" ht="15" customHeight="1" s="55">
      <c r="A44" s="100">
        <f>FATURALAR!$B44</f>
        <v/>
      </c>
      <c r="B44" s="100">
        <f>FATURALAR!$C44</f>
        <v/>
      </c>
      <c r="C44" s="100">
        <f>FATURALAR!$E44</f>
        <v/>
      </c>
      <c r="D44" s="100">
        <f>FATURALAR!$K44</f>
        <v/>
      </c>
      <c r="E44" s="100">
        <f>SUMIFS(tblTahsilatlar[Tahsilat Tutarı],tblTahsilatlar[Fatura Numarası],$A44,tblTahsilatlar[Kesinleşti mi?],"Evet")</f>
        <v/>
      </c>
      <c r="F44" s="100">
        <f>IF($D44="","",MAX(0,$D44-$E44))</f>
        <v/>
      </c>
      <c r="G44" s="100">
        <f>IF($F44="","",IF($F44=0,0,MAX(0,RaporTarihi-$C44)))</f>
        <v/>
      </c>
      <c r="H44" s="100">
        <f>IF($F44="","",IF($F44=0,"KAPALI",IF($G44&lt;=0,"VADESİ GELMEMİŞ",IF($G44&lt;=YaslamaDilim1,"1-"&amp;TEXT(YaslamaDilim1,"0"),IF($G44&lt;=YaslamaDilim2,TEXT(YaslamaDilim1+1,"0")&amp;"-"&amp;TEXT(YaslamaDilim2,"0"),IF($G44&lt;=YaslamaDilim3,TEXT(YaslamaDilim2+1,"0")&amp;"-"&amp;TEXT(YaslamaDilim3,"0"),TEXT(YaslamaDilim3+1,"0")&amp;"+"))))))</f>
        <v/>
      </c>
      <c r="I44" s="100">
        <f>IF(FATURALAR!$L44=0,"",FATURALAR!$L44)</f>
        <v/>
      </c>
      <c r="J44" s="100">
        <f>IF(FATURALAR!$M44=0,"",FATURALAR!$M44)</f>
        <v/>
      </c>
    </row>
    <row r="45" ht="15" customHeight="1" s="55">
      <c r="A45" s="100">
        <f>FATURALAR!$B45</f>
        <v/>
      </c>
      <c r="B45" s="100">
        <f>FATURALAR!$C45</f>
        <v/>
      </c>
      <c r="C45" s="100">
        <f>FATURALAR!$E45</f>
        <v/>
      </c>
      <c r="D45" s="100">
        <f>FATURALAR!$K45</f>
        <v/>
      </c>
      <c r="E45" s="100">
        <f>SUMIFS(tblTahsilatlar[Tahsilat Tutarı],tblTahsilatlar[Fatura Numarası],$A45,tblTahsilatlar[Kesinleşti mi?],"Evet")</f>
        <v/>
      </c>
      <c r="F45" s="100">
        <f>IF($D45="","",MAX(0,$D45-$E45))</f>
        <v/>
      </c>
      <c r="G45" s="100">
        <f>IF($F45="","",IF($F45=0,0,MAX(0,RaporTarihi-$C45)))</f>
        <v/>
      </c>
      <c r="H45" s="100">
        <f>IF($F45="","",IF($F45=0,"KAPALI",IF($G45&lt;=0,"VADESİ GELMEMİŞ",IF($G45&lt;=YaslamaDilim1,"1-"&amp;TEXT(YaslamaDilim1,"0"),IF($G45&lt;=YaslamaDilim2,TEXT(YaslamaDilim1+1,"0")&amp;"-"&amp;TEXT(YaslamaDilim2,"0"),IF($G45&lt;=YaslamaDilim3,TEXT(YaslamaDilim2+1,"0")&amp;"-"&amp;TEXT(YaslamaDilim3,"0"),TEXT(YaslamaDilim3+1,"0")&amp;"+"))))))</f>
        <v/>
      </c>
      <c r="I45" s="100">
        <f>IF(FATURALAR!$L45=0,"",FATURALAR!$L45)</f>
        <v/>
      </c>
      <c r="J45" s="100">
        <f>IF(FATURALAR!$M45=0,"",FATURALAR!$M45)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conditionalFormatting sqref="F6:F204">
    <cfRule type="cellIs" rank="0" priority="2" equalAverage="0" operator="lessThan" aboveAverage="0" dxfId="11" text="" percent="0" bottom="0">
      <formula>0</formula>
    </cfRule>
  </conditionalFormatting>
  <conditionalFormatting sqref="G6:G204">
    <cfRule type="cellIs" rank="0" priority="3" equalAverage="0" operator="between" aboveAverage="0" dxfId="10" text="" percent="0" bottom="0">
      <formula>1</formula>
      <formula>30</formula>
    </cfRule>
    <cfRule type="cellIs" rank="0" priority="4" equalAverage="0" operator="between" aboveAverage="0" dxfId="15" text="" percent="0" bottom="0">
      <formula>31</formula>
      <formula>60</formula>
    </cfRule>
    <cfRule type="cellIs" rank="0" priority="5" equalAverage="0" operator="greaterThan" aboveAverage="0" dxfId="11" text="" percent="0" bottom="0">
      <formula>60</formula>
    </cfRule>
  </conditionalFormatting>
  <conditionalFormatting sqref="H6:H204">
    <cfRule type="cellIs" rank="0" priority="6" equalAverage="0" operator="equal" aboveAverage="0" dxfId="9" text="" percent="0" bottom="0">
      <formula>"VADESİ GELMEMİŞ"</formula>
    </cfRule>
    <cfRule type="cellIs" rank="0" priority="7" equalAverage="0" operator="equal" aboveAverage="0" dxfId="13" text="" percent="0" bottom="0">
      <formula>"90+"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.5" customWidth="1" style="81" min="1" max="1"/>
    <col width="37.5" customWidth="1" style="81" min="2" max="2"/>
    <col width="52" customWidth="1" style="81" min="3" max="3"/>
    <col width="72" customWidth="1" style="81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ANALITIK MOTOR — CARİ HESAP, TAHSİLAT VE MÜŞTERİ RİSK TAKİP SİSTEMİ</t>
        </is>
      </c>
    </row>
    <row r="3" ht="22" customHeight="1" s="55">
      <c r="A3" s="258" t="inlineStr">
        <is>
          <t>ANALİTİK MOTOR — DERİNLİK KATMANI</t>
        </is>
      </c>
    </row>
    <row r="5" ht="30" customHeight="1" s="55">
      <c r="A5" s="95" t="inlineStr">
        <is>
          <t>Kod</t>
        </is>
      </c>
      <c r="B5" s="95" t="inlineStr">
        <is>
          <t>Gösterge</t>
        </is>
      </c>
      <c r="C5" s="95" t="inlineStr">
        <is>
          <t>Değer</t>
        </is>
      </c>
      <c r="D5" s="95" t="inlineStr">
        <is>
          <t>Makine Yorumu</t>
        </is>
      </c>
    </row>
    <row r="6" ht="30" customHeight="1" s="55">
      <c r="A6" s="106" t="inlineStr">
        <is>
          <t>T1</t>
        </is>
      </c>
      <c r="B6" s="92" t="inlineStr">
        <is>
          <t>Vadesi Geçmiş Alacak</t>
        </is>
      </c>
      <c r="C6" s="107">
        <f>SUMIFS(tblYaslandirma[Açık Tutar],tblYaslandirma[Gecikme Günü],"&gt;0")</f>
        <v/>
      </c>
      <c r="D6" s="108">
        <f>_xlfn.TEXTJOIN("; ",TRUE(),"Vadesi geçmiş alacak ",TEXT(C6,"₺ #,##0")," — bu tutar tahsilat planının birincil hedefidir")</f>
        <v/>
      </c>
    </row>
    <row r="7" ht="30" customHeight="1" s="55">
      <c r="A7" s="106" t="inlineStr">
        <is>
          <t>T2</t>
        </is>
      </c>
      <c r="B7" s="92" t="inlineStr">
        <is>
          <t>Tahsilat Trend Ortalaması</t>
        </is>
      </c>
      <c r="C7" s="107">
        <f>AVERAGE(PANO!$H$16:$H$19)</f>
        <v/>
      </c>
      <c r="D7" s="108">
        <f>_xlfn.TEXTJOIN("; ",TRUE(),"Aylık tahsilat ortalaması ",TEXT(C7,"₺ #,##0")," TL — eğilim bu seviyede seyrediyor")</f>
        <v/>
      </c>
    </row>
    <row r="8" ht="30" customHeight="1" s="55">
      <c r="A8" s="106" t="inlineStr">
        <is>
          <t>T3</t>
        </is>
      </c>
      <c r="B8" s="92" t="inlineStr">
        <is>
          <t>En Yüksek Müşteri Yoğunlaşması</t>
        </is>
      </c>
      <c r="C8" s="107">
        <f>MAX(tblRisk[Yoğunlaşma Oranı])</f>
        <v/>
      </c>
      <c r="D8" s="108">
        <f>_xlfn.TEXTJOIN("; ",TRUE(),"En yüksek müşteri yoğunlaşması ",TEXT(C8,"0,0%")," — tek müşteriye aşırı bağımlılık risk taşır")</f>
        <v/>
      </c>
    </row>
    <row r="9" ht="30" customHeight="1" s="55">
      <c r="A9" s="106" t="inlineStr">
        <is>
          <t>T4</t>
        </is>
      </c>
      <c r="B9" s="92" t="inlineStr">
        <is>
          <t>Dönemler Arası Tahsilat Farkı</t>
        </is>
      </c>
      <c r="C9" s="107">
        <f>PANO!$H$19-PANO!$H$16</f>
        <v/>
      </c>
      <c r="D9" s="108">
        <f>_xlfn.TEXTJOIN("; ",TRUE(),"Dönemler arası tahsilat farkı ",TEXT(C9,"₺ #,##0")," TL — artış nakit gücünü gösterir")</f>
        <v/>
      </c>
    </row>
    <row r="10" ht="30" customHeight="1" s="55">
      <c r="A10" s="106" t="inlineStr">
        <is>
          <t>T5</t>
        </is>
      </c>
      <c r="B10" s="92" t="inlineStr">
        <is>
          <t>Mutabakat Farkı (Fatura-Tahsilat)</t>
        </is>
      </c>
      <c r="C10" s="107">
        <f>SUM(tblFaturalar[Net Fatura])-SUMIFS(tblTahsilatlar[Tahsilat Tutarı],tblTahsilatlar[Kesinleşti mi?],"Evet")</f>
        <v/>
      </c>
      <c r="D10" s="108">
        <f>_xlfn.TEXTJOIN("; ",TRUE(),"Fatura ile kesin tahsilat arasındaki fark ",TEXT(C10,"₺ #,##0")," TL — bu tutar açık alacağın kaynağıdır")</f>
        <v/>
      </c>
    </row>
    <row r="11" ht="30" customHeight="1" s="55">
      <c r="A11" s="106" t="inlineStr">
        <is>
          <t>T6</t>
        </is>
      </c>
      <c r="B11" s="92" t="inlineStr">
        <is>
          <t>Vadesi Geçmiş Kırılım Oranı</t>
        </is>
      </c>
      <c r="C11" s="107">
        <f>IF(SUM(tblYaslandirma[Açık Tutar])=0,0,SUMIFS(tblYaslandirma[Açık Tutar],tblYaslandirma[Gecikme Günü],"&gt;0")/SUM(tblYaslandirma[Açık Tutar]))</f>
        <v/>
      </c>
      <c r="D11" s="108">
        <f>_xlfn.TEXTJOIN("; ",TRUE(),"Açık bakiyenin ",TEXT(C11,"0,0%")," i vadesi geçmiş — oran ",IF(C11&gt;VadeGecikmeEsik,"yüksek, öncelikli aksiyon gerekli","kontrol altında"))</f>
        <v/>
      </c>
    </row>
    <row r="12" ht="30" customHeight="1" s="55">
      <c r="A12" s="106" t="inlineStr">
        <is>
          <t>O1</t>
        </is>
      </c>
      <c r="B12" s="92" t="inlineStr">
        <is>
          <t>Aylık Tahsilat Sapması (MAD)</t>
        </is>
      </c>
      <c r="C12" s="107">
        <f>_xlfn.STDEV.P(PANO!$H$16:$H$19)</f>
        <v/>
      </c>
      <c r="D12" s="108">
        <f>_xlfn.TEXTJOIN("; ",TRUE(),"Aylık tahsilat sapması ",TEXT(C12,"₺ #,##0")," TL — sapma yüksekse tahsilat öngörülemezdir")</f>
        <v/>
      </c>
    </row>
    <row r="13" ht="30" customHeight="1" s="55">
      <c r="A13" s="106" t="inlineStr">
        <is>
          <t>O2</t>
        </is>
      </c>
      <c r="B13" s="92" t="inlineStr">
        <is>
          <t>Riskli Müşteri Sayısı</t>
        </is>
      </c>
      <c r="C13" s="107">
        <f>COUNTIF(tblRisk[Risk Skoru],"&gt;69")</f>
        <v/>
      </c>
      <c r="D13" s="108">
        <f>_xlfn.TEXTJOIN("; ",TRUE(),"Risk skoru 70 üzeri ",C13," müşteri var — bu müşterilerin satışı teminata bağlanmalı")</f>
        <v/>
      </c>
    </row>
    <row r="14" ht="30" customHeight="1" s="55">
      <c r="A14" s="106" t="inlineStr">
        <is>
          <t>O3</t>
        </is>
      </c>
      <c r="B14" s="92" t="inlineStr">
        <is>
          <t>Kötümser Senaryo Açık Bakiye</t>
        </is>
      </c>
      <c r="C14" s="107">
        <f>PANO!$B$6*(1+DuyarliOran)</f>
        <v/>
      </c>
      <c r="D14" s="108">
        <f>_xlfn.TEXTJOIN("; ",TRUE(),"Kötümser senaryoda açık bakiye ",TEXT(C14,"₺ #,##0")," TL olur — tahsilat başarısı düşerse")</f>
        <v/>
      </c>
    </row>
    <row r="15" ht="30" customHeight="1" s="55">
      <c r="A15" s="106" t="inlineStr">
        <is>
          <t>O4</t>
        </is>
      </c>
      <c r="B15" s="92" t="inlineStr">
        <is>
          <t>Nakit Dönüşüm Oranı</t>
        </is>
      </c>
      <c r="C15" s="107">
        <f>IF(SUM(tblFaturalar[Net Fatura])=0,0,SUMIFS(tblTahsilatlar[Tahsilat Tutarı],tblTahsilatlar[Kesinleşti mi?],"Evet")/SUM(tblFaturalar[Net Fatura]))</f>
        <v/>
      </c>
      <c r="D15" s="108">
        <f>_xlfn.TEXTJOIN("; ",TRUE(),"Faturaların ",TEXT(C15,"0,0%")," i nakit tahsilata dönmüş — düşükse vade süresi uzun demektir")</f>
        <v/>
      </c>
    </row>
    <row r="16" ht="30" customHeight="1" s="55">
      <c r="A16" s="106" t="inlineStr">
        <is>
          <t>O5</t>
        </is>
      </c>
      <c r="B16" s="92" t="inlineStr">
        <is>
          <t>Gecikme Maliyeti</t>
        </is>
      </c>
      <c r="C16" s="107">
        <f>IFERROR(SUMIFS(tblYaslandirma[Açık Tutar],tblYaslandirma[Gecikme Günü],"&gt;0")*FinansmanMaliyeti/365*AVERAGEIFS(tblYaslandirma[Gecikme Günü],tblYaslandirma[Gecikme Günü],"&gt;0"),0)</f>
        <v/>
      </c>
      <c r="D16" s="108">
        <f>_xlfn.TEXTJOIN("; ",TRUE(),"Vadesi geçen alacakların finansman maliyeti ",TEXT(C16,"₺ #,##0")," TL — bu kayıp tahsilat hızlandırılarak azaltılabilir")</f>
        <v/>
      </c>
    </row>
    <row r="17" ht="30" customHeight="1" s="55">
      <c r="A17" s="106" t="inlineStr">
        <is>
          <t>O6</t>
        </is>
      </c>
      <c r="B17" s="92" t="inlineStr">
        <is>
          <t>Yoğunlaşma Riski (HHI)</t>
        </is>
      </c>
      <c r="C17" s="107">
        <f>SUMPRODUCT(tblRisk[Yoğunlaşma Oranı],tblRisk[Yoğunlaşma Oranı])</f>
        <v/>
      </c>
      <c r="D17" s="108">
        <f>_xlfn.TEXTJOIN("; ",TRUE(),"HHI yoğunlaşma endeksi ",TEXT(C17,"0.000")," — 0,18 üzeri tek müşteri grubuna bağımlılık riskini gösterir")</f>
        <v/>
      </c>
    </row>
    <row r="18" ht="30" customHeight="1" s="55">
      <c r="A18" s="106" t="inlineStr">
        <is>
          <t>O8</t>
        </is>
      </c>
      <c r="B18" s="92" t="inlineStr">
        <is>
          <t>Ortalama Veri Kalitesi Skoru</t>
        </is>
      </c>
      <c r="C18" s="107">
        <f>AVERAGE(tblRisk[Veri Kalitesi])</f>
        <v/>
      </c>
      <c r="D18" s="108">
        <f>_xlfn.TEXTJOIN("; ",TRUE(),"AVERAGE veri kalitesi ",TEXT(C18,"0")," puan — ",IF(C18&gt;=KaliteSkorEsik,"yüksek güven","veri girişi tamamlanmalı"))</f>
        <v/>
      </c>
    </row>
    <row r="19" ht="30" customHeight="1" s="55">
      <c r="A19" s="106" t="inlineStr">
        <is>
          <t>I1</t>
        </is>
      </c>
      <c r="B19" s="92" t="inlineStr">
        <is>
          <t>Tahsilat Trend Tahmini</t>
        </is>
      </c>
      <c r="C19" s="107">
        <f>TREND(PANO!$H$16:$H$19)</f>
        <v/>
      </c>
      <c r="D19" s="108">
        <f>_xlfn.TEXTJOIN("; ",TRUE(),"Trend eğilim değeri ",TEXT(C19,"₺ #,##0")," TL — eğilim sürerse gelecek dönem tahsilatı bu yönde şekillenir")</f>
        <v/>
      </c>
    </row>
    <row r="20" ht="30" customHeight="1" s="55">
      <c r="A20" s="106" t="inlineStr">
        <is>
          <t>I2</t>
        </is>
      </c>
      <c r="B20" s="92" t="inlineStr">
        <is>
          <t>Tahsilat Yüzdelik P90</t>
        </is>
      </c>
      <c r="C20" s="107">
        <f>_xlfn.PERCENTILE.INC(PANO!$H$16:$H$19,P90Oran)</f>
        <v/>
      </c>
      <c r="D20" s="108">
        <f>_xlfn.TEXTJOIN("; ",TRUE(),"Tahsilatların %90 i ",TEXT(C20,"₺ #,##0")," TL altında gerçekleşir — üst sınır bütçe için kullanılabilir")</f>
        <v/>
      </c>
    </row>
    <row r="21" ht="30" customHeight="1" s="55">
      <c r="A21" s="106" t="inlineStr">
        <is>
          <t>I7</t>
        </is>
      </c>
      <c r="B21" s="92" t="inlineStr">
        <is>
          <t>Nakit Açığı (Tahsilat Hedefi)</t>
        </is>
      </c>
      <c r="C21" s="107">
        <f>SUM(tblYaslandirma[Açık Tutar])-SUMIFS(tblTahsilatlar[Tahsilat Tutarı],tblTahsilatlar[Kesinleşti mi?],"Evet")</f>
        <v/>
      </c>
      <c r="D21" s="108">
        <f>_xlfn.TEXTJOIN("; ",TRUE(),"Kapatılması gereken nakit açığı ",TEXT(C21,"₺ #,##0")," TL — tahsilat hedefi bu tutarın tamamıdır")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X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.5" customWidth="1" style="81" min="1" max="1"/>
    <col width="26" customWidth="1" style="81" min="2" max="2"/>
    <col width="15.5" customWidth="1" style="81" min="3" max="3"/>
    <col width="15.5" customWidth="1" style="81" min="4" max="4"/>
    <col width="24.5" customWidth="1" style="81" min="5" max="5"/>
    <col width="24.5" customWidth="1" style="81" min="6" max="6"/>
    <col width="17.5" customWidth="1" style="81" min="7" max="7"/>
    <col width="23.5" customWidth="1" style="81" min="8" max="8"/>
    <col width="21.5" customWidth="1" style="81" min="9" max="9"/>
    <col width="18.5" customWidth="1" style="81" min="10" max="11"/>
    <col width="13" customWidth="1" style="55" min="11" max="11"/>
    <col width="20.5" customWidth="1" style="81" min="12" max="12"/>
    <col width="18.5" customWidth="1" style="81" min="13" max="13"/>
    <col width="19.5" customWidth="1" style="81" min="14" max="20"/>
    <col width="16.5" customWidth="1" style="55" min="15" max="15"/>
    <col width="17.5" customWidth="1" style="55" min="16" max="16"/>
    <col width="19.5" customWidth="1" style="55" min="17" max="17"/>
    <col width="18.5" customWidth="1" style="55" min="18" max="18"/>
    <col width="17.5" customWidth="1" style="55" min="19" max="19"/>
    <col width="17.5" customWidth="1" style="55" min="20" max="20"/>
    <col width="9.5" customWidth="1" style="81" min="21" max="21"/>
    <col width="15" customWidth="1" style="81" min="22" max="22"/>
    <col width="26" customWidth="1" style="81" min="23" max="23"/>
    <col width="14.5" customWidth="1" style="81" min="24" max="24"/>
  </cols>
  <sheetData>
    <row r="1" ht="32" customHeight="1" s="55">
      <c r="A1" s="239" t="inlineStr">
        <is>
          <t>MUSTERI RISK SKORU — CARİ HESAP, TAHSİLAT VE MÜŞTERİ RİSK TAKİP SİSTEMİ</t>
        </is>
      </c>
    </row>
    <row r="3" ht="22" customHeight="1" s="55">
      <c r="A3" s="258" t="inlineStr">
        <is>
          <t>MÜŞTERİ RİSK SKORU</t>
        </is>
      </c>
    </row>
    <row r="5" ht="30" customHeight="1" s="55">
      <c r="A5" s="95" t="inlineStr">
        <is>
          <t>Müşteri Kodu</t>
        </is>
      </c>
      <c r="B5" s="95" t="inlineStr">
        <is>
          <t>Unvan</t>
        </is>
      </c>
      <c r="C5" s="95" t="inlineStr">
        <is>
          <t>Açık Bakiye</t>
        </is>
      </c>
      <c r="D5" s="95" t="inlineStr">
        <is>
          <t>Risk Limiti</t>
        </is>
      </c>
      <c r="E5" s="95" t="inlineStr">
        <is>
          <t>Kullanılabilir Limit</t>
        </is>
      </c>
      <c r="F5" s="95" t="inlineStr">
        <is>
          <t>Limit Kullanım Oranı</t>
        </is>
      </c>
      <c r="G5" s="95" t="inlineStr">
        <is>
          <t>Vadesi Geçmiş</t>
        </is>
      </c>
      <c r="H5" s="95" t="inlineStr">
        <is>
          <t>Vadesi Geçmiş Oranı</t>
        </is>
      </c>
      <c r="I5" s="95" t="inlineStr">
        <is>
          <t>Maks Gecikme Günü</t>
        </is>
      </c>
      <c r="J5" s="95" t="inlineStr">
        <is>
          <t>Teminat Değeri</t>
        </is>
      </c>
      <c r="K5" s="95" t="inlineStr">
        <is>
          <t>Net Risk</t>
        </is>
      </c>
      <c r="L5" s="95" t="inlineStr">
        <is>
          <t>Yoğunlaşma Oranı</t>
        </is>
      </c>
      <c r="M5" s="95" t="inlineStr">
        <is>
          <t>İtirazlı Tutar</t>
        </is>
      </c>
      <c r="N5" s="95" t="inlineStr">
        <is>
          <t>Gecikme Katkısı</t>
        </is>
      </c>
      <c r="O5" s="95" t="inlineStr">
        <is>
          <t>Vade Katkısı</t>
        </is>
      </c>
      <c r="P5" s="95" t="inlineStr">
        <is>
          <t>Limit Katkısı</t>
        </is>
      </c>
      <c r="Q5" s="95" t="inlineStr">
        <is>
          <t>Teminat Katkısı</t>
        </is>
      </c>
      <c r="R5" s="95" t="inlineStr">
        <is>
          <t>İtiraz Katkısı</t>
        </is>
      </c>
      <c r="S5" s="95" t="inlineStr">
        <is>
          <t>Statü Katkısı</t>
        </is>
      </c>
      <c r="T5" s="95" t="inlineStr">
        <is>
          <t>Veri Kalitesi</t>
        </is>
      </c>
      <c r="U5" s="95" t="inlineStr">
        <is>
          <t>Güven</t>
        </is>
      </c>
      <c r="V5" s="95" t="inlineStr">
        <is>
          <t>Karar</t>
        </is>
      </c>
      <c r="W5" s="95" t="inlineStr">
        <is>
          <t>Aksiyon</t>
        </is>
      </c>
      <c r="X5" s="95" t="inlineStr">
        <is>
          <t>Risk Skoru</t>
        </is>
      </c>
    </row>
    <row r="6" ht="15.75" customHeight="1" s="55">
      <c r="A6" s="100">
        <f>MUSTERI_KARTLARI!$A6</f>
        <v/>
      </c>
      <c r="B6" s="100">
        <f>MUSTERI_KARTLARI!$B6</f>
        <v/>
      </c>
      <c r="C6" s="100">
        <f>SUMIFS(tblYaslandirma[Açık Tutar],tblYaslandirma[Müşteri Kodu],$A6)</f>
        <v/>
      </c>
      <c r="D6" s="100">
        <f>MUSTERI_KARTLARI!$I6+MUSTERI_KARTLARI!$J6</f>
        <v/>
      </c>
      <c r="E6" s="100">
        <f>$D6-$C6</f>
        <v/>
      </c>
      <c r="F6" s="100">
        <f>IFERROR($C6/$D6,1)</f>
        <v/>
      </c>
      <c r="G6" s="100">
        <f>SUMIFS(tblYaslandirma[Açık Tutar],tblYaslandirma[Müşteri Kodu],$A6,tblYaslandirma[Gecikme Günü],"&gt;0")</f>
        <v/>
      </c>
      <c r="H6" s="100">
        <f>IF($C6=0,0,$G6/$C6)</f>
        <v/>
      </c>
      <c r="I6" s="100">
        <f>_xlfn.MAXIFS(tblYaslandirma[Gecikme Günü],tblYaslandirma[Müşteri Kodu],$A6)</f>
        <v/>
      </c>
      <c r="J6" s="100">
        <f>SUMIFS(tblTeminatlar[Kabul Edilen Değer],tblTeminatlar[Müşteri Kodu],$A6)</f>
        <v/>
      </c>
      <c r="K6" s="100">
        <f>MAX(0,$C6-$J6)</f>
        <v/>
      </c>
      <c r="L6" s="100">
        <f>IF(SUM(tblRisk[Açık Bakiye])=0,0,$C6/SUM(tblRisk[Açık Bakiye]))</f>
        <v/>
      </c>
      <c r="M6" s="100">
        <f>SUMIFS(tblYaslandirma[İtirazlı Tutar],tblYaslandirma[Müşteri Kodu],$A6)</f>
        <v/>
      </c>
      <c r="N6" s="100">
        <f>MIN(GecikmeMaxPuan,$I6/YaslamaDilim3*GecikmeMaxPuan)</f>
        <v/>
      </c>
      <c r="O6" s="100">
        <f>MIN(VadeMaxPuan,$H6*VadeMaxPuan)</f>
        <v/>
      </c>
      <c r="P6" s="100">
        <f>MIN(LimitMaxPuan,$F6*LimitMaxPuan)</f>
        <v/>
      </c>
      <c r="Q6" s="100">
        <f>IF($C6=0,0,MIN(TeminatMaxPuan,$K6/$C6*TeminatMaxPuan))</f>
        <v/>
      </c>
      <c r="R6" s="100">
        <f>IF($C6=0,0,MIN(ItirazMaxPuan,$M6/$C6*ItirazMaxPuan))</f>
        <v/>
      </c>
      <c r="S6" s="100">
        <f>IF(MUSTERI_KARTLARI!$Q6="Askıda",StatufAskida,IF(MUSTERI_KARTLARI!$Q6="İzlemede",StatufIzleme,0))</f>
        <v/>
      </c>
      <c r="T6" s="100">
        <f>IF(MUSTERI_KARTLARI!$R6="OK",100,IF(MUSTERI_KARTLARI!$R6="EKSİK",VeriKalitesiEksik,0))</f>
        <v/>
      </c>
      <c r="U6" s="100">
        <f>IF($T6&gt;=GuvenYuksek,"YÜKSEK",IF($T6&gt;=GuvenOrta,"ORTA","DÜŞÜK"))</f>
        <v/>
      </c>
      <c r="V6" s="100">
        <f>IF($X6&lt;=EsikDevam,"DEVAM",IF($X6&lt;=EsikIzle,"İZLE",IF($X6&lt;=EsikLimitAzalt,"LİMİTİ AZALT",IF($X6&lt;=EsikPesin,"PEŞİN / TEMİNATLI","VADELİ SATIŞI DURDUR"))))</f>
        <v/>
      </c>
      <c r="W6" s="100">
        <f>IF($X6&gt;EsikKritik,"Yönetim onayı AND acil tahsilat planı",IF($X6&gt;EsikYuksek,"Yeni satışı teminata bağla",IF($X6&gt;EsikIzle,"Limit revizyonu AND tahsilatı hızlandır","Planlı izleme")))</f>
        <v/>
      </c>
      <c r="X6" s="100">
        <f>ROUND(MIN(100,SUM($N6+$O6+$P6+$Q6+$R6+$S6)),0)</f>
        <v/>
      </c>
    </row>
    <row r="7" ht="15.75" customHeight="1" s="55">
      <c r="A7" s="100">
        <f>MUSTERI_KARTLARI!$A7</f>
        <v/>
      </c>
      <c r="B7" s="100">
        <f>MUSTERI_KARTLARI!$B7</f>
        <v/>
      </c>
      <c r="C7" s="100">
        <f>SUMIFS(tblYaslandirma[Açık Tutar],tblYaslandirma[Müşteri Kodu],$A7)</f>
        <v/>
      </c>
      <c r="D7" s="100">
        <f>MUSTERI_KARTLARI!$I7+MUSTERI_KARTLARI!$J7</f>
        <v/>
      </c>
      <c r="E7" s="100">
        <f>$D7-$C7</f>
        <v/>
      </c>
      <c r="F7" s="100">
        <f>IFERROR($C7/$D7,1)</f>
        <v/>
      </c>
      <c r="G7" s="100">
        <f>SUMIFS(tblYaslandirma[Açık Tutar],tblYaslandirma[Müşteri Kodu],$A7,tblYaslandirma[Gecikme Günü],"&gt;0")</f>
        <v/>
      </c>
      <c r="H7" s="100">
        <f>IF($C7=0,0,$G7/$C7)</f>
        <v/>
      </c>
      <c r="I7" s="100">
        <f>_xlfn.MAXIFS(tblYaslandirma[Gecikme Günü],tblYaslandirma[Müşteri Kodu],$A7)</f>
        <v/>
      </c>
      <c r="J7" s="100">
        <f>SUMIFS(tblTeminatlar[Kabul Edilen Değer],tblTeminatlar[Müşteri Kodu],$A7)</f>
        <v/>
      </c>
      <c r="K7" s="100">
        <f>MAX(0,$C7-$J7)</f>
        <v/>
      </c>
      <c r="L7" s="100">
        <f>IF(SUM(tblRisk[Açık Bakiye])=0,0,$C7/SUM(tblRisk[Açık Bakiye]))</f>
        <v/>
      </c>
      <c r="M7" s="100">
        <f>SUMIFS(tblYaslandirma[İtirazlı Tutar],tblYaslandirma[Müşteri Kodu],$A7)</f>
        <v/>
      </c>
      <c r="N7" s="100">
        <f>MIN(GecikmeMaxPuan,$I7/YaslamaDilim3*GecikmeMaxPuan)</f>
        <v/>
      </c>
      <c r="O7" s="100">
        <f>MIN(VadeMaxPuan,$H7*VadeMaxPuan)</f>
        <v/>
      </c>
      <c r="P7" s="100">
        <f>MIN(LimitMaxPuan,$F7*LimitMaxPuan)</f>
        <v/>
      </c>
      <c r="Q7" s="100">
        <f>IF($C7=0,0,MIN(TeminatMaxPuan,$K7/$C7*TeminatMaxPuan))</f>
        <v/>
      </c>
      <c r="R7" s="100">
        <f>IF($C7=0,0,MIN(ItirazMaxPuan,$M7/$C7*ItirazMaxPuan))</f>
        <v/>
      </c>
      <c r="S7" s="100">
        <f>IF(MUSTERI_KARTLARI!$Q7="Askıda",StatufAskida,IF(MUSTERI_KARTLARI!$Q7="İzlemede",StatufIzleme,0))</f>
        <v/>
      </c>
      <c r="T7" s="100">
        <f>IF(MUSTERI_KARTLARI!$R7="OK",100,IF(MUSTERI_KARTLARI!$R7="EKSİK",VeriKalitesiEksik,0))</f>
        <v/>
      </c>
      <c r="U7" s="100">
        <f>IF($T7&gt;=GuvenYuksek,"YÜKSEK",IF($T7&gt;=GuvenOrta,"ORTA","DÜŞÜK"))</f>
        <v/>
      </c>
      <c r="V7" s="100">
        <f>IF($X7&lt;=EsikDevam,"DEVAM",IF($X7&lt;=EsikIzle,"İZLE",IF($X7&lt;=EsikLimitAzalt,"LİMİTİ AZALT",IF($X7&lt;=EsikPesin,"PEŞİN / TEMİNATLI","VADELİ SATIŞI DURDUR"))))</f>
        <v/>
      </c>
      <c r="W7" s="100">
        <f>IF($X7&gt;EsikKritik,"Yönetim onayı AND acil tahsilat planı",IF($X7&gt;EsikYuksek,"Yeni satışı teminata bağla",IF($X7&gt;EsikIzle,"Limit revizyonu AND tahsilatı hızlandır","Planlı izleme")))</f>
        <v/>
      </c>
      <c r="X7" s="100">
        <f>ROUND(MIN(100,SUM($N7+$O7+$P7+$Q7+$R7+$S7)),0)</f>
        <v/>
      </c>
    </row>
    <row r="8" ht="15.75" customHeight="1" s="55">
      <c r="A8" s="100">
        <f>MUSTERI_KARTLARI!$A8</f>
        <v/>
      </c>
      <c r="B8" s="100">
        <f>MUSTERI_KARTLARI!$B8</f>
        <v/>
      </c>
      <c r="C8" s="100">
        <f>SUMIFS(tblYaslandirma[Açık Tutar],tblYaslandirma[Müşteri Kodu],$A8)</f>
        <v/>
      </c>
      <c r="D8" s="100">
        <f>MUSTERI_KARTLARI!$I8+MUSTERI_KARTLARI!$J8</f>
        <v/>
      </c>
      <c r="E8" s="100">
        <f>$D8-$C8</f>
        <v/>
      </c>
      <c r="F8" s="100">
        <f>IFERROR($C8/$D8,1)</f>
        <v/>
      </c>
      <c r="G8" s="100">
        <f>SUMIFS(tblYaslandirma[Açık Tutar],tblYaslandirma[Müşteri Kodu],$A8,tblYaslandirma[Gecikme Günü],"&gt;0")</f>
        <v/>
      </c>
      <c r="H8" s="100">
        <f>IF($C8=0,0,$G8/$C8)</f>
        <v/>
      </c>
      <c r="I8" s="100">
        <f>_xlfn.MAXIFS(tblYaslandirma[Gecikme Günü],tblYaslandirma[Müşteri Kodu],$A8)</f>
        <v/>
      </c>
      <c r="J8" s="100">
        <f>SUMIFS(tblTeminatlar[Kabul Edilen Değer],tblTeminatlar[Müşteri Kodu],$A8)</f>
        <v/>
      </c>
      <c r="K8" s="100">
        <f>MAX(0,$C8-$J8)</f>
        <v/>
      </c>
      <c r="L8" s="100">
        <f>IF(SUM(tblRisk[Açık Bakiye])=0,0,$C8/SUM(tblRisk[Açık Bakiye]))</f>
        <v/>
      </c>
      <c r="M8" s="100">
        <f>SUMIFS(tblYaslandirma[İtirazlı Tutar],tblYaslandirma[Müşteri Kodu],$A8)</f>
        <v/>
      </c>
      <c r="N8" s="100">
        <f>MIN(GecikmeMaxPuan,$I8/YaslamaDilim3*GecikmeMaxPuan)</f>
        <v/>
      </c>
      <c r="O8" s="100">
        <f>MIN(VadeMaxPuan,$H8*VadeMaxPuan)</f>
        <v/>
      </c>
      <c r="P8" s="100">
        <f>MIN(LimitMaxPuan,$F8*LimitMaxPuan)</f>
        <v/>
      </c>
      <c r="Q8" s="100">
        <f>IF($C8=0,0,MIN(TeminatMaxPuan,$K8/$C8*TeminatMaxPuan))</f>
        <v/>
      </c>
      <c r="R8" s="100">
        <f>IF($C8=0,0,MIN(ItirazMaxPuan,$M8/$C8*ItirazMaxPuan))</f>
        <v/>
      </c>
      <c r="S8" s="109">
        <f>IF(MUSTERI_KARTLARI!$Q8="Askıda",StatufAskida,IF(MUSTERI_KARTLARI!$Q8="İzlemede",StatufIzleme,0))</f>
        <v/>
      </c>
      <c r="T8" s="100">
        <f>IF(MUSTERI_KARTLARI!$R8="OK",100,IF(MUSTERI_KARTLARI!$R8="EKSİK",VeriKalitesiEksik,0))</f>
        <v/>
      </c>
      <c r="U8" s="100">
        <f>IF($T8&gt;=GuvenYuksek,"YÜKSEK",IF($T8&gt;=GuvenOrta,"ORTA","DÜŞÜK"))</f>
        <v/>
      </c>
      <c r="V8" s="100">
        <f>IF($X8&lt;=EsikDevam,"DEVAM",IF($X8&lt;=EsikIzle,"İZLE",IF($X8&lt;=EsikLimitAzalt,"LİMİTİ AZALT",IF($X8&lt;=EsikPesin,"PEŞİN / TEMİNATLI","VADELİ SATIŞI DURDUR"))))</f>
        <v/>
      </c>
      <c r="W8" s="100">
        <f>IF($X8&gt;EsikKritik,"Yönetim onayı AND acil tahsilat planı",IF($X8&gt;EsikYuksek,"Yeni satışı teminata bağla",IF($X8&gt;EsikIzle,"Limit revizyonu AND tahsilatı hızlandır","Planlı izleme")))</f>
        <v/>
      </c>
      <c r="X8" s="100">
        <f>ROUND(MIN(100,SUM($N8+$O8+$P8+$Q8+$R8+$S8)),0)</f>
        <v/>
      </c>
    </row>
    <row r="9" ht="15.75" customHeight="1" s="55">
      <c r="A9" s="100">
        <f>MUSTERI_KARTLARI!$A9</f>
        <v/>
      </c>
      <c r="B9" s="100">
        <f>MUSTERI_KARTLARI!$B9</f>
        <v/>
      </c>
      <c r="C9" s="100">
        <f>SUMIFS(tblYaslandirma[Açık Tutar],tblYaslandirma[Müşteri Kodu],$A9)</f>
        <v/>
      </c>
      <c r="D9" s="100">
        <f>MUSTERI_KARTLARI!$I9+MUSTERI_KARTLARI!$J9</f>
        <v/>
      </c>
      <c r="E9" s="100">
        <f>$D9-$C9</f>
        <v/>
      </c>
      <c r="F9" s="100">
        <f>IFERROR($C9/$D9,1)</f>
        <v/>
      </c>
      <c r="G9" s="100">
        <f>SUMIFS(tblYaslandirma[Açık Tutar],tblYaslandirma[Müşteri Kodu],$A9,tblYaslandirma[Gecikme Günü],"&gt;0")</f>
        <v/>
      </c>
      <c r="H9" s="100">
        <f>IF($C9=0,0,$G9/$C9)</f>
        <v/>
      </c>
      <c r="I9" s="100">
        <f>_xlfn.MAXIFS(tblYaslandirma[Gecikme Günü],tblYaslandirma[Müşteri Kodu],$A9)</f>
        <v/>
      </c>
      <c r="J9" s="100">
        <f>SUMIFS(tblTeminatlar[Kabul Edilen Değer],tblTeminatlar[Müşteri Kodu],$A9)</f>
        <v/>
      </c>
      <c r="K9" s="100">
        <f>MAX(0,$C9-$J9)</f>
        <v/>
      </c>
      <c r="L9" s="100">
        <f>IF(SUM(tblRisk[Açık Bakiye])=0,0,$C9/SUM(tblRisk[Açık Bakiye]))</f>
        <v/>
      </c>
      <c r="M9" s="100">
        <f>SUMIFS(tblYaslandirma[İtirazlı Tutar],tblYaslandirma[Müşteri Kodu],$A9)</f>
        <v/>
      </c>
      <c r="N9" s="100">
        <f>MIN(GecikmeMaxPuan,$I9/YaslamaDilim3*GecikmeMaxPuan)</f>
        <v/>
      </c>
      <c r="O9" s="100">
        <f>MIN(VadeMaxPuan,$H9*VadeMaxPuan)</f>
        <v/>
      </c>
      <c r="P9" s="100">
        <f>MIN(LimitMaxPuan,$F9*LimitMaxPuan)</f>
        <v/>
      </c>
      <c r="Q9" s="100">
        <f>IF($C9=0,0,MIN(TeminatMaxPuan,$K9/$C9*TeminatMaxPuan))</f>
        <v/>
      </c>
      <c r="R9" s="100">
        <f>IF($C9=0,0,MIN(ItirazMaxPuan,$M9/$C9*ItirazMaxPuan))</f>
        <v/>
      </c>
      <c r="S9" s="109">
        <f>IF(MUSTERI_KARTLARI!$Q9="Askıda",StatufAskida,IF(MUSTERI_KARTLARI!$Q9="İzlemede",StatufIzleme,0))</f>
        <v/>
      </c>
      <c r="T9" s="100">
        <f>IF(MUSTERI_KARTLARI!$R9="OK",100,IF(MUSTERI_KARTLARI!$R9="EKSİK",VeriKalitesiEksik,0))</f>
        <v/>
      </c>
      <c r="U9" s="100">
        <f>IF($T9&gt;=GuvenYuksek,"YÜKSEK",IF($T9&gt;=GuvenOrta,"ORTA","DÜŞÜK"))</f>
        <v/>
      </c>
      <c r="V9" s="100">
        <f>IF($X9&lt;=EsikDevam,"DEVAM",IF($X9&lt;=EsikIzle,"İZLE",IF($X9&lt;=EsikLimitAzalt,"LİMİTİ AZALT",IF($X9&lt;=EsikPesin,"PEŞİN / TEMİNATLI","VADELİ SATIŞI DURDUR"))))</f>
        <v/>
      </c>
      <c r="W9" s="100">
        <f>IF($X9&gt;EsikKritik,"Yönetim onayı AND acil tahsilat planı",IF($X9&gt;EsikYuksek,"Yeni satışı teminata bağla",IF($X9&gt;EsikIzle,"Limit revizyonu AND tahsilatı hızlandır","Planlı izleme")))</f>
        <v/>
      </c>
      <c r="X9" s="100">
        <f>ROUND(MIN(100,SUM($N9+$O9+$P9+$Q9+$R9+$S9)),0)</f>
        <v/>
      </c>
    </row>
    <row r="10" ht="15.75" customHeight="1" s="55">
      <c r="A10" s="100">
        <f>MUSTERI_KARTLARI!$A10</f>
        <v/>
      </c>
      <c r="B10" s="100">
        <f>MUSTERI_KARTLARI!$B10</f>
        <v/>
      </c>
      <c r="C10" s="100">
        <f>SUMIFS(tblYaslandirma[Açık Tutar],tblYaslandirma[Müşteri Kodu],$A10)</f>
        <v/>
      </c>
      <c r="D10" s="100">
        <f>MUSTERI_KARTLARI!$I10+MUSTERI_KARTLARI!$J10</f>
        <v/>
      </c>
      <c r="E10" s="100">
        <f>$D10-$C10</f>
        <v/>
      </c>
      <c r="F10" s="100">
        <f>IFERROR($C10/$D10,1)</f>
        <v/>
      </c>
      <c r="G10" s="100">
        <f>SUMIFS(tblYaslandirma[Açık Tutar],tblYaslandirma[Müşteri Kodu],$A10,tblYaslandirma[Gecikme Günü],"&gt;0")</f>
        <v/>
      </c>
      <c r="H10" s="100">
        <f>IF($C10=0,0,$G10/$C10)</f>
        <v/>
      </c>
      <c r="I10" s="100">
        <f>_xlfn.MAXIFS(tblYaslandirma[Gecikme Günü],tblYaslandirma[Müşteri Kodu],$A10)</f>
        <v/>
      </c>
      <c r="J10" s="100">
        <f>SUMIFS(tblTeminatlar[Kabul Edilen Değer],tblTeminatlar[Müşteri Kodu],$A10)</f>
        <v/>
      </c>
      <c r="K10" s="100">
        <f>MAX(0,$C10-$J10)</f>
        <v/>
      </c>
      <c r="L10" s="100">
        <f>IF(SUM(tblRisk[Açık Bakiye])=0,0,$C10/SUM(tblRisk[Açık Bakiye]))</f>
        <v/>
      </c>
      <c r="M10" s="100">
        <f>SUMIFS(tblYaslandirma[İtirazlı Tutar],tblYaslandirma[Müşteri Kodu],$A10)</f>
        <v/>
      </c>
      <c r="N10" s="100">
        <f>MIN(GecikmeMaxPuan,$I10/YaslamaDilim3*GecikmeMaxPuan)</f>
        <v/>
      </c>
      <c r="O10" s="100">
        <f>MIN(VadeMaxPuan,$H10*VadeMaxPuan)</f>
        <v/>
      </c>
      <c r="P10" s="100">
        <f>MIN(LimitMaxPuan,$F10*LimitMaxPuan)</f>
        <v/>
      </c>
      <c r="Q10" s="100">
        <f>IF($C10=0,0,MIN(TeminatMaxPuan,$K10/$C10*TeminatMaxPuan))</f>
        <v/>
      </c>
      <c r="R10" s="100">
        <f>IF($C10=0,0,MIN(ItirazMaxPuan,$M10/$C10*ItirazMaxPuan))</f>
        <v/>
      </c>
      <c r="S10" s="100">
        <f>IF(MUSTERI_KARTLARI!$Q10="Askıda",StatufAskida,IF(MUSTERI_KARTLARI!$Q10="İzlemede",StatufIzleme,0))</f>
        <v/>
      </c>
      <c r="T10" s="100">
        <f>IF(MUSTERI_KARTLARI!$R10="OK",100,IF(MUSTERI_KARTLARI!$R10="EKSİK",VeriKalitesiEksik,0))</f>
        <v/>
      </c>
      <c r="U10" s="100">
        <f>IF($T10&gt;=GuvenYuksek,"YÜKSEK",IF($T10&gt;=GuvenOrta,"ORTA","DÜŞÜK"))</f>
        <v/>
      </c>
      <c r="V10" s="100">
        <f>IF($X10&lt;=EsikDevam,"DEVAM",IF($X10&lt;=EsikIzle,"İZLE",IF($X10&lt;=EsikLimitAzalt,"LİMİTİ AZALT",IF($X10&lt;=EsikPesin,"PEŞİN / TEMİNATLI","VADELİ SATIŞI DURDUR"))))</f>
        <v/>
      </c>
      <c r="W10" s="100">
        <f>IF($X10&gt;EsikKritik,"Yönetim onayı AND acil tahsilat planı",IF($X10&gt;EsikYuksek,"Yeni satışı teminata bağla",IF($X10&gt;EsikIzle,"Limit revizyonu AND tahsilatı hızlandır","Planlı izleme")))</f>
        <v/>
      </c>
      <c r="X10" s="100">
        <f>ROUND(MIN(100,SUM($N10+$O10+$P10+$Q10+$R10+$S10)),0)</f>
        <v/>
      </c>
    </row>
    <row r="11" ht="15.75" customHeight="1" s="55">
      <c r="A11" s="100">
        <f>MUSTERI_KARTLARI!$A11</f>
        <v/>
      </c>
      <c r="B11" s="100">
        <f>MUSTERI_KARTLARI!$B11</f>
        <v/>
      </c>
      <c r="C11" s="100">
        <f>SUMIFS(tblYaslandirma[Açık Tutar],tblYaslandirma[Müşteri Kodu],$A11)</f>
        <v/>
      </c>
      <c r="D11" s="100">
        <f>MUSTERI_KARTLARI!$I11+MUSTERI_KARTLARI!$J11</f>
        <v/>
      </c>
      <c r="E11" s="100">
        <f>$D11-$C11</f>
        <v/>
      </c>
      <c r="F11" s="100">
        <f>IFERROR($C11/$D11,1)</f>
        <v/>
      </c>
      <c r="G11" s="100">
        <f>SUMIFS(tblYaslandirma[Açık Tutar],tblYaslandirma[Müşteri Kodu],$A11,tblYaslandirma[Gecikme Günü],"&gt;0")</f>
        <v/>
      </c>
      <c r="H11" s="100">
        <f>IF($C11=0,0,$G11/$C11)</f>
        <v/>
      </c>
      <c r="I11" s="100">
        <f>_xlfn.MAXIFS(tblYaslandirma[Gecikme Günü],tblYaslandirma[Müşteri Kodu],$A11)</f>
        <v/>
      </c>
      <c r="J11" s="100">
        <f>SUMIFS(tblTeminatlar[Kabul Edilen Değer],tblTeminatlar[Müşteri Kodu],$A11)</f>
        <v/>
      </c>
      <c r="K11" s="100">
        <f>MAX(0,$C11-$J11)</f>
        <v/>
      </c>
      <c r="L11" s="100">
        <f>IF(SUM(tblRisk[Açık Bakiye])=0,0,$C11/SUM(tblRisk[Açık Bakiye]))</f>
        <v/>
      </c>
      <c r="M11" s="100">
        <f>SUMIFS(tblYaslandirma[İtirazlı Tutar],tblYaslandirma[Müşteri Kodu],$A11)</f>
        <v/>
      </c>
      <c r="N11" s="100">
        <f>MIN(GecikmeMaxPuan,$I11/YaslamaDilim3*GecikmeMaxPuan)</f>
        <v/>
      </c>
      <c r="O11" s="100">
        <f>MIN(VadeMaxPuan,$H11*VadeMaxPuan)</f>
        <v/>
      </c>
      <c r="P11" s="100">
        <f>MIN(LimitMaxPuan,$F11*LimitMaxPuan)</f>
        <v/>
      </c>
      <c r="Q11" s="100">
        <f>IF($C11=0,0,MIN(TeminatMaxPuan,$K11/$C11*TeminatMaxPuan))</f>
        <v/>
      </c>
      <c r="R11" s="100">
        <f>IF($C11=0,0,MIN(ItirazMaxPuan,$M11/$C11*ItirazMaxPuan))</f>
        <v/>
      </c>
      <c r="S11" s="100">
        <f>IF(MUSTERI_KARTLARI!$Q11="Askıda",StatufAskida,IF(MUSTERI_KARTLARI!$Q11="İzlemede",StatufIzleme,0))</f>
        <v/>
      </c>
      <c r="T11" s="100">
        <f>IF(MUSTERI_KARTLARI!$R11="OK",100,IF(MUSTERI_KARTLARI!$R11="EKSİK",VeriKalitesiEksik,0))</f>
        <v/>
      </c>
      <c r="U11" s="100">
        <f>IF($T11&gt;=GuvenYuksek,"YÜKSEK",IF($T11&gt;=GuvenOrta,"ORTA","DÜŞÜK"))</f>
        <v/>
      </c>
      <c r="V11" s="100">
        <f>IF($X11&lt;=EsikDevam,"DEVAM",IF($X11&lt;=EsikIzle,"İZLE",IF($X11&lt;=EsikLimitAzalt,"LİMİTİ AZALT",IF($X11&lt;=EsikPesin,"PEŞİN / TEMİNATLI","VADELİ SATIŞI DURDUR"))))</f>
        <v/>
      </c>
      <c r="W11" s="100">
        <f>IF($X11&gt;EsikKritik,"Yönetim onayı AND acil tahsilat planı",IF($X11&gt;EsikYuksek,"Yeni satışı teminata bağla",IF($X11&gt;EsikIzle,"Limit revizyonu AND tahsilatı hızlandır","Planlı izleme")))</f>
        <v/>
      </c>
      <c r="X11" s="100">
        <f>ROUND(MIN(100,SUM($N11+$O11+$P11+$Q11+$R11+$S11)),0)</f>
        <v/>
      </c>
    </row>
    <row r="12" ht="15.75" customHeight="1" s="55">
      <c r="A12" s="100">
        <f>MUSTERI_KARTLARI!$A12</f>
        <v/>
      </c>
      <c r="B12" s="100">
        <f>MUSTERI_KARTLARI!$B12</f>
        <v/>
      </c>
      <c r="C12" s="100">
        <f>SUMIFS(tblYaslandirma[Açık Tutar],tblYaslandirma[Müşteri Kodu],$A12)</f>
        <v/>
      </c>
      <c r="D12" s="100">
        <f>MUSTERI_KARTLARI!$I12+MUSTERI_KARTLARI!$J12</f>
        <v/>
      </c>
      <c r="E12" s="100">
        <f>$D12-$C12</f>
        <v/>
      </c>
      <c r="F12" s="100">
        <f>IFERROR($C12/$D12,1)</f>
        <v/>
      </c>
      <c r="G12" s="100">
        <f>SUMIFS(tblYaslandirma[Açık Tutar],tblYaslandirma[Müşteri Kodu],$A12,tblYaslandirma[Gecikme Günü],"&gt;0")</f>
        <v/>
      </c>
      <c r="H12" s="100">
        <f>IF($C12=0,0,$G12/$C12)</f>
        <v/>
      </c>
      <c r="I12" s="100">
        <f>_xlfn.MAXIFS(tblYaslandirma[Gecikme Günü],tblYaslandirma[Müşteri Kodu],$A12)</f>
        <v/>
      </c>
      <c r="J12" s="100">
        <f>SUMIFS(tblTeminatlar[Kabul Edilen Değer],tblTeminatlar[Müşteri Kodu],$A12)</f>
        <v/>
      </c>
      <c r="K12" s="100">
        <f>MAX(0,$C12-$J12)</f>
        <v/>
      </c>
      <c r="L12" s="100">
        <f>IF(SUM(tblRisk[Açık Bakiye])=0,0,$C12/SUM(tblRisk[Açık Bakiye]))</f>
        <v/>
      </c>
      <c r="M12" s="100">
        <f>SUMIFS(tblYaslandirma[İtirazlı Tutar],tblYaslandirma[Müşteri Kodu],$A12)</f>
        <v/>
      </c>
      <c r="N12" s="100">
        <f>MIN(GecikmeMaxPuan,$I12/YaslamaDilim3*GecikmeMaxPuan)</f>
        <v/>
      </c>
      <c r="O12" s="100">
        <f>MIN(VadeMaxPuan,$H12*VadeMaxPuan)</f>
        <v/>
      </c>
      <c r="P12" s="100">
        <f>MIN(LimitMaxPuan,$F12*LimitMaxPuan)</f>
        <v/>
      </c>
      <c r="Q12" s="100">
        <f>IF($C12=0,0,MIN(TeminatMaxPuan,$K12/$C12*TeminatMaxPuan))</f>
        <v/>
      </c>
      <c r="R12" s="100">
        <f>IF($C12=0,0,MIN(ItirazMaxPuan,$M12/$C12*ItirazMaxPuan))</f>
        <v/>
      </c>
      <c r="S12" s="100">
        <f>IF(MUSTERI_KARTLARI!$Q12="Askıda",StatufAskida,IF(MUSTERI_KARTLARI!$Q12="İzlemede",StatufIzleme,0))</f>
        <v/>
      </c>
      <c r="T12" s="100">
        <f>IF(MUSTERI_KARTLARI!$R12="OK",100,IF(MUSTERI_KARTLARI!$R12="EKSİK",VeriKalitesiEksik,0))</f>
        <v/>
      </c>
      <c r="U12" s="100">
        <f>IF($T12&gt;=GuvenYuksek,"YÜKSEK",IF($T12&gt;=GuvenOrta,"ORTA","DÜŞÜK"))</f>
        <v/>
      </c>
      <c r="V12" s="100">
        <f>IF($X12&lt;=EsikDevam,"DEVAM",IF($X12&lt;=EsikIzle,"İZLE",IF($X12&lt;=EsikLimitAzalt,"LİMİTİ AZALT",IF($X12&lt;=EsikPesin,"PEŞİN / TEMİNATLI","VADELİ SATIŞI DURDUR"))))</f>
        <v/>
      </c>
      <c r="W12" s="100">
        <f>IF($X12&gt;EsikKritik,"Yönetim onayı AND acil tahsilat planı",IF($X12&gt;EsikYuksek,"Yeni satışı teminata bağla",IF($X12&gt;EsikIzle,"Limit revizyonu AND tahsilatı hızlandır","Planlı izleme")))</f>
        <v/>
      </c>
      <c r="X12" s="100">
        <f>ROUND(MIN(100,SUM($N12+$O12+$P12+$Q12+$R12+$S12)),0)</f>
        <v/>
      </c>
    </row>
    <row r="13" ht="15.75" customHeight="1" s="55">
      <c r="A13" s="100">
        <f>MUSTERI_KARTLARI!$A13</f>
        <v/>
      </c>
      <c r="B13" s="100">
        <f>MUSTERI_KARTLARI!$B13</f>
        <v/>
      </c>
      <c r="C13" s="100">
        <f>SUMIFS(tblYaslandirma[Açık Tutar],tblYaslandirma[Müşteri Kodu],$A13)</f>
        <v/>
      </c>
      <c r="D13" s="100">
        <f>MUSTERI_KARTLARI!$I13+MUSTERI_KARTLARI!$J13</f>
        <v/>
      </c>
      <c r="E13" s="100">
        <f>$D13-$C13</f>
        <v/>
      </c>
      <c r="F13" s="100">
        <f>IFERROR($C13/$D13,1)</f>
        <v/>
      </c>
      <c r="G13" s="100">
        <f>SUMIFS(tblYaslandirma[Açık Tutar],tblYaslandirma[Müşteri Kodu],$A13,tblYaslandirma[Gecikme Günü],"&gt;0")</f>
        <v/>
      </c>
      <c r="H13" s="100">
        <f>IF($C13=0,0,$G13/$C13)</f>
        <v/>
      </c>
      <c r="I13" s="100">
        <f>_xlfn.MAXIFS(tblYaslandirma[Gecikme Günü],tblYaslandirma[Müşteri Kodu],$A13)</f>
        <v/>
      </c>
      <c r="J13" s="100">
        <f>SUMIFS(tblTeminatlar[Kabul Edilen Değer],tblTeminatlar[Müşteri Kodu],$A13)</f>
        <v/>
      </c>
      <c r="K13" s="100">
        <f>MAX(0,$C13-$J13)</f>
        <v/>
      </c>
      <c r="L13" s="100">
        <f>IF(SUM(tblRisk[Açık Bakiye])=0,0,$C13/SUM(tblRisk[Açık Bakiye]))</f>
        <v/>
      </c>
      <c r="M13" s="100">
        <f>SUMIFS(tblYaslandirma[İtirazlı Tutar],tblYaslandirma[Müşteri Kodu],$A13)</f>
        <v/>
      </c>
      <c r="N13" s="100">
        <f>MIN(GecikmeMaxPuan,$I13/YaslamaDilim3*GecikmeMaxPuan)</f>
        <v/>
      </c>
      <c r="O13" s="100">
        <f>MIN(VadeMaxPuan,$H13*VadeMaxPuan)</f>
        <v/>
      </c>
      <c r="P13" s="100">
        <f>MIN(LimitMaxPuan,$F13*LimitMaxPuan)</f>
        <v/>
      </c>
      <c r="Q13" s="100">
        <f>IF($C13=0,0,MIN(TeminatMaxPuan,$K13/$C13*TeminatMaxPuan))</f>
        <v/>
      </c>
      <c r="R13" s="100">
        <f>IF($C13=0,0,MIN(ItirazMaxPuan,$M13/$C13*ItirazMaxPuan))</f>
        <v/>
      </c>
      <c r="S13" s="100">
        <f>IF(MUSTERI_KARTLARI!$Q13="Askıda",StatufAskida,IF(MUSTERI_KARTLARI!$Q13="İzlemede",StatufIzleme,0))</f>
        <v/>
      </c>
      <c r="T13" s="100">
        <f>IF(MUSTERI_KARTLARI!$R13="OK",100,IF(MUSTERI_KARTLARI!$R13="EKSİK",VeriKalitesiEksik,0))</f>
        <v/>
      </c>
      <c r="U13" s="100">
        <f>IF($T13&gt;=GuvenYuksek,"YÜKSEK",IF($T13&gt;=GuvenOrta,"ORTA","DÜŞÜK"))</f>
        <v/>
      </c>
      <c r="V13" s="100">
        <f>IF($X13&lt;=EsikDevam,"DEVAM",IF($X13&lt;=EsikIzle,"İZLE",IF($X13&lt;=EsikLimitAzalt,"LİMİTİ AZALT",IF($X13&lt;=EsikPesin,"PEŞİN / TEMİNATLI","VADELİ SATIŞI DURDUR"))))</f>
        <v/>
      </c>
      <c r="W13" s="100">
        <f>IF($X13&gt;EsikKritik,"Yönetim onayı AND acil tahsilat planı",IF($X13&gt;EsikYuksek,"Yeni satışı teminata bağla",IF($X13&gt;EsikIzle,"Limit revizyonu AND tahsilatı hızlandır","Planlı izleme")))</f>
        <v/>
      </c>
      <c r="X13" s="100">
        <f>ROUND(MIN(100,SUM($N13+$O13+$P13+$Q13+$R13+$S13)),0)</f>
        <v/>
      </c>
    </row>
    <row r="14" ht="15.75" customHeight="1" s="55">
      <c r="A14" s="100">
        <f>MUSTERI_KARTLARI!$A14</f>
        <v/>
      </c>
      <c r="B14" s="100">
        <f>MUSTERI_KARTLARI!$B14</f>
        <v/>
      </c>
      <c r="C14" s="100">
        <f>SUMIFS(tblYaslandirma[Açık Tutar],tblYaslandirma[Müşteri Kodu],$A14)</f>
        <v/>
      </c>
      <c r="D14" s="100">
        <f>MUSTERI_KARTLARI!$I14+MUSTERI_KARTLARI!$J14</f>
        <v/>
      </c>
      <c r="E14" s="100">
        <f>$D14-$C14</f>
        <v/>
      </c>
      <c r="F14" s="100">
        <f>IFERROR($C14/$D14,1)</f>
        <v/>
      </c>
      <c r="G14" s="100">
        <f>SUMIFS(tblYaslandirma[Açık Tutar],tblYaslandirma[Müşteri Kodu],$A14,tblYaslandirma[Gecikme Günü],"&gt;0")</f>
        <v/>
      </c>
      <c r="H14" s="100">
        <f>IF($C14=0,0,$G14/$C14)</f>
        <v/>
      </c>
      <c r="I14" s="100">
        <f>_xlfn.MAXIFS(tblYaslandirma[Gecikme Günü],tblYaslandirma[Müşteri Kodu],$A14)</f>
        <v/>
      </c>
      <c r="J14" s="100">
        <f>SUMIFS(tblTeminatlar[Kabul Edilen Değer],tblTeminatlar[Müşteri Kodu],$A14)</f>
        <v/>
      </c>
      <c r="K14" s="100">
        <f>MAX(0,$C14-$J14)</f>
        <v/>
      </c>
      <c r="L14" s="100">
        <f>IF(SUM(tblRisk[Açık Bakiye])=0,0,$C14/SUM(tblRisk[Açık Bakiye]))</f>
        <v/>
      </c>
      <c r="M14" s="100">
        <f>SUMIFS(tblYaslandirma[İtirazlı Tutar],tblYaslandirma[Müşteri Kodu],$A14)</f>
        <v/>
      </c>
      <c r="N14" s="100">
        <f>MIN(GecikmeMaxPuan,$I14/YaslamaDilim3*GecikmeMaxPuan)</f>
        <v/>
      </c>
      <c r="O14" s="100">
        <f>MIN(VadeMaxPuan,$H14*VadeMaxPuan)</f>
        <v/>
      </c>
      <c r="P14" s="100">
        <f>MIN(LimitMaxPuan,$F14*LimitMaxPuan)</f>
        <v/>
      </c>
      <c r="Q14" s="100">
        <f>IF($C14=0,0,MIN(TeminatMaxPuan,$K14/$C14*TeminatMaxPuan))</f>
        <v/>
      </c>
      <c r="R14" s="100">
        <f>IF($C14=0,0,MIN(ItirazMaxPuan,$M14/$C14*ItirazMaxPuan))</f>
        <v/>
      </c>
      <c r="S14" s="100">
        <f>IF(MUSTERI_KARTLARI!$Q14="Askıda",StatufAskida,IF(MUSTERI_KARTLARI!$Q14="İzlemede",StatufIzleme,0))</f>
        <v/>
      </c>
      <c r="T14" s="100">
        <f>IF(MUSTERI_KARTLARI!$R14="OK",100,IF(MUSTERI_KARTLARI!$R14="EKSİK",VeriKalitesiEksik,0))</f>
        <v/>
      </c>
      <c r="U14" s="100">
        <f>IF($T14&gt;=GuvenYuksek,"YÜKSEK",IF($T14&gt;=GuvenOrta,"ORTA","DÜŞÜK"))</f>
        <v/>
      </c>
      <c r="V14" s="100">
        <f>IF($X14&lt;=EsikDevam,"DEVAM",IF($X14&lt;=EsikIzle,"İZLE",IF($X14&lt;=EsikLimitAzalt,"LİMİTİ AZALT",IF($X14&lt;=EsikPesin,"PEŞİN / TEMİNATLI","VADELİ SATIŞI DURDUR"))))</f>
        <v/>
      </c>
      <c r="W14" s="100">
        <f>IF($X14&gt;EsikKritik,"Yönetim onayı AND acil tahsilat planı",IF($X14&gt;EsikYuksek,"Yeni satışı teminata bağla",IF($X14&gt;EsikIzle,"Limit revizyonu AND tahsilatı hızlandır","Planlı izleme")))</f>
        <v/>
      </c>
      <c r="X14" s="100">
        <f>ROUND(MIN(100,SUM($N14+$O14+$P14+$Q14+$R14+$S14)),0)</f>
        <v/>
      </c>
    </row>
    <row r="15" ht="15.75" customHeight="1" s="55">
      <c r="A15" s="100">
        <f>MUSTERI_KARTLARI!$A15</f>
        <v/>
      </c>
      <c r="B15" s="100">
        <f>MUSTERI_KARTLARI!$B15</f>
        <v/>
      </c>
      <c r="C15" s="100">
        <f>SUMIFS(tblYaslandirma[Açık Tutar],tblYaslandirma[Müşteri Kodu],$A15)</f>
        <v/>
      </c>
      <c r="D15" s="100">
        <f>MUSTERI_KARTLARI!$I15+MUSTERI_KARTLARI!$J15</f>
        <v/>
      </c>
      <c r="E15" s="100">
        <f>$D15-$C15</f>
        <v/>
      </c>
      <c r="F15" s="100">
        <f>IFERROR($C15/$D15,1)</f>
        <v/>
      </c>
      <c r="G15" s="100">
        <f>SUMIFS(tblYaslandirma[Açık Tutar],tblYaslandirma[Müşteri Kodu],$A15,tblYaslandirma[Gecikme Günü],"&gt;0")</f>
        <v/>
      </c>
      <c r="H15" s="100">
        <f>IF($C15=0,0,$G15/$C15)</f>
        <v/>
      </c>
      <c r="I15" s="100">
        <f>_xlfn.MAXIFS(tblYaslandirma[Gecikme Günü],tblYaslandirma[Müşteri Kodu],$A15)</f>
        <v/>
      </c>
      <c r="J15" s="100">
        <f>SUMIFS(tblTeminatlar[Kabul Edilen Değer],tblTeminatlar[Müşteri Kodu],$A15)</f>
        <v/>
      </c>
      <c r="K15" s="100">
        <f>MAX(0,$C15-$J15)</f>
        <v/>
      </c>
      <c r="L15" s="100">
        <f>IF(SUM(tblRisk[Açık Bakiye])=0,0,$C15/SUM(tblRisk[Açık Bakiye]))</f>
        <v/>
      </c>
      <c r="M15" s="100">
        <f>SUMIFS(tblYaslandirma[İtirazlı Tutar],tblYaslandirma[Müşteri Kodu],$A15)</f>
        <v/>
      </c>
      <c r="N15" s="100">
        <f>MIN(GecikmeMaxPuan,$I15/YaslamaDilim3*GecikmeMaxPuan)</f>
        <v/>
      </c>
      <c r="O15" s="100">
        <f>MIN(VadeMaxPuan,$H15*VadeMaxPuan)</f>
        <v/>
      </c>
      <c r="P15" s="100">
        <f>MIN(LimitMaxPuan,$F15*LimitMaxPuan)</f>
        <v/>
      </c>
      <c r="Q15" s="100">
        <f>IF($C15=0,0,MIN(TeminatMaxPuan,$K15/$C15*TeminatMaxPuan))</f>
        <v/>
      </c>
      <c r="R15" s="100">
        <f>IF($C15=0,0,MIN(ItirazMaxPuan,$M15/$C15*ItirazMaxPuan))</f>
        <v/>
      </c>
      <c r="S15" s="100">
        <f>IF(MUSTERI_KARTLARI!$Q15="Askıda",StatufAskida,IF(MUSTERI_KARTLARI!$Q15="İzlemede",StatufIzleme,0))</f>
        <v/>
      </c>
      <c r="T15" s="100">
        <f>IF(MUSTERI_KARTLARI!$R15="OK",100,IF(MUSTERI_KARTLARI!$R15="EKSİK",VeriKalitesiEksik,0))</f>
        <v/>
      </c>
      <c r="U15" s="100">
        <f>IF($T15&gt;=GuvenYuksek,"YÜKSEK",IF($T15&gt;=GuvenOrta,"ORTA","DÜŞÜK"))</f>
        <v/>
      </c>
      <c r="V15" s="100">
        <f>IF($X15&lt;=EsikDevam,"DEVAM",IF($X15&lt;=EsikIzle,"İZLE",IF($X15&lt;=EsikLimitAzalt,"LİMİTİ AZALT",IF($X15&lt;=EsikPesin,"PEŞİN / TEMİNATLI","VADELİ SATIŞI DURDUR"))))</f>
        <v/>
      </c>
      <c r="W15" s="100">
        <f>IF($X15&gt;EsikKritik,"Yönetim onayı AND acil tahsilat planı",IF($X15&gt;EsikYuksek,"Yeni satışı teminata bağla",IF($X15&gt;EsikIzle,"Limit revizyonu AND tahsilatı hızlandır","Planlı izleme")))</f>
        <v/>
      </c>
      <c r="X15" s="100">
        <f>ROUND(MIN(100,SUM($N15+$O15+$P15+$Q15+$R15+$S15)),0)</f>
        <v/>
      </c>
    </row>
    <row r="16" ht="15.75" customHeight="1" s="55">
      <c r="A16" s="100">
        <f>MUSTERI_KARTLARI!$A16</f>
        <v/>
      </c>
      <c r="B16" s="100">
        <f>MUSTERI_KARTLARI!$B16</f>
        <v/>
      </c>
      <c r="C16" s="100">
        <f>SUMIFS(tblYaslandirma[Açık Tutar],tblYaslandirma[Müşteri Kodu],$A16)</f>
        <v/>
      </c>
      <c r="D16" s="100">
        <f>MUSTERI_KARTLARI!$I16+MUSTERI_KARTLARI!$J16</f>
        <v/>
      </c>
      <c r="E16" s="100">
        <f>$D16-$C16</f>
        <v/>
      </c>
      <c r="F16" s="100">
        <f>IFERROR($C16/$D16,1)</f>
        <v/>
      </c>
      <c r="G16" s="100">
        <f>SUMIFS(tblYaslandirma[Açık Tutar],tblYaslandirma[Müşteri Kodu],$A16,tblYaslandirma[Gecikme Günü],"&gt;0")</f>
        <v/>
      </c>
      <c r="H16" s="100">
        <f>IF($C16=0,0,$G16/$C16)</f>
        <v/>
      </c>
      <c r="I16" s="100">
        <f>_xlfn.MAXIFS(tblYaslandirma[Gecikme Günü],tblYaslandirma[Müşteri Kodu],$A16)</f>
        <v/>
      </c>
      <c r="J16" s="100">
        <f>SUMIFS(tblTeminatlar[Kabul Edilen Değer],tblTeminatlar[Müşteri Kodu],$A16)</f>
        <v/>
      </c>
      <c r="K16" s="100">
        <f>MAX(0,$C16-$J16)</f>
        <v/>
      </c>
      <c r="L16" s="100">
        <f>IF(SUM(tblRisk[Açık Bakiye])=0,0,$C16/SUM(tblRisk[Açık Bakiye]))</f>
        <v/>
      </c>
      <c r="M16" s="100">
        <f>SUMIFS(tblYaslandirma[İtirazlı Tutar],tblYaslandirma[Müşteri Kodu],$A16)</f>
        <v/>
      </c>
      <c r="N16" s="100">
        <f>MIN(GecikmeMaxPuan,$I16/YaslamaDilim3*GecikmeMaxPuan)</f>
        <v/>
      </c>
      <c r="O16" s="100">
        <f>MIN(VadeMaxPuan,$H16*VadeMaxPuan)</f>
        <v/>
      </c>
      <c r="P16" s="100">
        <f>MIN(LimitMaxPuan,$F16*LimitMaxPuan)</f>
        <v/>
      </c>
      <c r="Q16" s="100">
        <f>IF($C16=0,0,MIN(TeminatMaxPuan,$K16/$C16*TeminatMaxPuan))</f>
        <v/>
      </c>
      <c r="R16" s="100">
        <f>IF($C16=0,0,MIN(ItirazMaxPuan,$M16/$C16*ItirazMaxPuan))</f>
        <v/>
      </c>
      <c r="S16" s="100">
        <f>IF(MUSTERI_KARTLARI!$Q16="Askıda",StatufAskida,IF(MUSTERI_KARTLARI!$Q16="İzlemede",StatufIzleme,0))</f>
        <v/>
      </c>
      <c r="T16" s="100">
        <f>IF(MUSTERI_KARTLARI!$R16="OK",100,IF(MUSTERI_KARTLARI!$R16="EKSİK",VeriKalitesiEksik,0))</f>
        <v/>
      </c>
      <c r="U16" s="100">
        <f>IF($T16&gt;=GuvenYuksek,"YÜKSEK",IF($T16&gt;=GuvenOrta,"ORTA","DÜŞÜK"))</f>
        <v/>
      </c>
      <c r="V16" s="100">
        <f>IF($X16&lt;=EsikDevam,"DEVAM",IF($X16&lt;=EsikIzle,"İZLE",IF($X16&lt;=EsikLimitAzalt,"LİMİTİ AZALT",IF($X16&lt;=EsikPesin,"PEŞİN / TEMİNATLI","VADELİ SATIŞI DURDUR"))))</f>
        <v/>
      </c>
      <c r="W16" s="100">
        <f>IF($X16&gt;EsikKritik,"Yönetim onayı AND acil tahsilat planı",IF($X16&gt;EsikYuksek,"Yeni satışı teminata bağla",IF($X16&gt;EsikIzle,"Limit revizyonu AND tahsilatı hızlandır","Planlı izleme")))</f>
        <v/>
      </c>
      <c r="X16" s="100">
        <f>ROUND(MIN(100,SUM($N16+$O16+$P16+$Q16+$R16+$S16)),0)</f>
        <v/>
      </c>
    </row>
    <row r="17" ht="15.75" customHeight="1" s="55">
      <c r="A17" s="100">
        <f>MUSTERI_KARTLARI!$A17</f>
        <v/>
      </c>
      <c r="B17" s="100">
        <f>MUSTERI_KARTLARI!$B17</f>
        <v/>
      </c>
      <c r="C17" s="100">
        <f>SUMIFS(tblYaslandirma[Açık Tutar],tblYaslandirma[Müşteri Kodu],$A17)</f>
        <v/>
      </c>
      <c r="D17" s="100">
        <f>MUSTERI_KARTLARI!$I17+MUSTERI_KARTLARI!$J17</f>
        <v/>
      </c>
      <c r="E17" s="100">
        <f>$D17-$C17</f>
        <v/>
      </c>
      <c r="F17" s="100">
        <f>IFERROR($C17/$D17,1)</f>
        <v/>
      </c>
      <c r="G17" s="100">
        <f>SUMIFS(tblYaslandirma[Açık Tutar],tblYaslandirma[Müşteri Kodu],$A17,tblYaslandirma[Gecikme Günü],"&gt;0")</f>
        <v/>
      </c>
      <c r="H17" s="100">
        <f>IF($C17=0,0,$G17/$C17)</f>
        <v/>
      </c>
      <c r="I17" s="100">
        <f>_xlfn.MAXIFS(tblYaslandirma[Gecikme Günü],tblYaslandirma[Müşteri Kodu],$A17)</f>
        <v/>
      </c>
      <c r="J17" s="100">
        <f>SUMIFS(tblTeminatlar[Kabul Edilen Değer],tblTeminatlar[Müşteri Kodu],$A17)</f>
        <v/>
      </c>
      <c r="K17" s="100">
        <f>MAX(0,$C17-$J17)</f>
        <v/>
      </c>
      <c r="L17" s="100">
        <f>IF(SUM(tblRisk[Açık Bakiye])=0,0,$C17/SUM(tblRisk[Açık Bakiye]))</f>
        <v/>
      </c>
      <c r="M17" s="100">
        <f>SUMIFS(tblYaslandirma[İtirazlı Tutar],tblYaslandirma[Müşteri Kodu],$A17)</f>
        <v/>
      </c>
      <c r="N17" s="100">
        <f>MIN(GecikmeMaxPuan,$I17/YaslamaDilim3*GecikmeMaxPuan)</f>
        <v/>
      </c>
      <c r="O17" s="100">
        <f>MIN(VadeMaxPuan,$H17*VadeMaxPuan)</f>
        <v/>
      </c>
      <c r="P17" s="100">
        <f>MIN(LimitMaxPuan,$F17*LimitMaxPuan)</f>
        <v/>
      </c>
      <c r="Q17" s="100">
        <f>IF($C17=0,0,MIN(TeminatMaxPuan,$K17/$C17*TeminatMaxPuan))</f>
        <v/>
      </c>
      <c r="R17" s="100">
        <f>IF($C17=0,0,MIN(ItirazMaxPuan,$M17/$C17*ItirazMaxPuan))</f>
        <v/>
      </c>
      <c r="S17" s="100">
        <f>IF(MUSTERI_KARTLARI!$Q17="Askıda",StatufAskida,IF(MUSTERI_KARTLARI!$Q17="İzlemede",StatufIzleme,0))</f>
        <v/>
      </c>
      <c r="T17" s="100">
        <f>IF(MUSTERI_KARTLARI!$R17="OK",100,IF(MUSTERI_KARTLARI!$R17="EKSİK",VeriKalitesiEksik,0))</f>
        <v/>
      </c>
      <c r="U17" s="100">
        <f>IF($T17&gt;=GuvenYuksek,"YÜKSEK",IF($T17&gt;=GuvenOrta,"ORTA","DÜŞÜK"))</f>
        <v/>
      </c>
      <c r="V17" s="100">
        <f>IF($X17&lt;=EsikDevam,"DEVAM",IF($X17&lt;=EsikIzle,"İZLE",IF($X17&lt;=EsikLimitAzalt,"LİMİTİ AZALT",IF($X17&lt;=EsikPesin,"PEŞİN / TEMİNATLI","VADELİ SATIŞI DURDUR"))))</f>
        <v/>
      </c>
      <c r="W17" s="100">
        <f>IF($X17&gt;EsikKritik,"Yönetim onayı AND acil tahsilat planı",IF($X17&gt;EsikYuksek,"Yeni satışı teminata bağla",IF($X17&gt;EsikIzle,"Limit revizyonu AND tahsilatı hızlandır","Planlı izleme")))</f>
        <v/>
      </c>
      <c r="X17" s="100">
        <f>ROUND(MIN(100,SUM($N17+$O17+$P17+$Q17+$R17+$S17)),0)</f>
        <v/>
      </c>
    </row>
    <row r="18" ht="15.75" customHeight="1" s="55">
      <c r="A18" s="100">
        <f>MUSTERI_KARTLARI!$A18</f>
        <v/>
      </c>
      <c r="B18" s="100">
        <f>MUSTERI_KARTLARI!$B18</f>
        <v/>
      </c>
      <c r="C18" s="100">
        <f>SUMIFS(tblYaslandirma[Açık Tutar],tblYaslandirma[Müşteri Kodu],$A18)</f>
        <v/>
      </c>
      <c r="D18" s="100">
        <f>MUSTERI_KARTLARI!$I18+MUSTERI_KARTLARI!$J18</f>
        <v/>
      </c>
      <c r="E18" s="100">
        <f>$D18-$C18</f>
        <v/>
      </c>
      <c r="F18" s="100">
        <f>IFERROR($C18/$D18,1)</f>
        <v/>
      </c>
      <c r="G18" s="100">
        <f>SUMIFS(tblYaslandirma[Açık Tutar],tblYaslandirma[Müşteri Kodu],$A18,tblYaslandirma[Gecikme Günü],"&gt;0")</f>
        <v/>
      </c>
      <c r="H18" s="100">
        <f>IF($C18=0,0,$G18/$C18)</f>
        <v/>
      </c>
      <c r="I18" s="100">
        <f>_xlfn.MAXIFS(tblYaslandirma[Gecikme Günü],tblYaslandirma[Müşteri Kodu],$A18)</f>
        <v/>
      </c>
      <c r="J18" s="100">
        <f>SUMIFS(tblTeminatlar[Kabul Edilen Değer],tblTeminatlar[Müşteri Kodu],$A18)</f>
        <v/>
      </c>
      <c r="K18" s="100">
        <f>MAX(0,$C18-$J18)</f>
        <v/>
      </c>
      <c r="L18" s="100">
        <f>IF(SUM(tblRisk[Açık Bakiye])=0,0,$C18/SUM(tblRisk[Açık Bakiye]))</f>
        <v/>
      </c>
      <c r="M18" s="100">
        <f>SUMIFS(tblYaslandirma[İtirazlı Tutar],tblYaslandirma[Müşteri Kodu],$A18)</f>
        <v/>
      </c>
      <c r="N18" s="100">
        <f>MIN(GecikmeMaxPuan,$I18/YaslamaDilim3*GecikmeMaxPuan)</f>
        <v/>
      </c>
      <c r="O18" s="100">
        <f>MIN(VadeMaxPuan,$H18*VadeMaxPuan)</f>
        <v/>
      </c>
      <c r="P18" s="100">
        <f>MIN(LimitMaxPuan,$F18*LimitMaxPuan)</f>
        <v/>
      </c>
      <c r="Q18" s="100">
        <f>IF($C18=0,0,MIN(TeminatMaxPuan,$K18/$C18*TeminatMaxPuan))</f>
        <v/>
      </c>
      <c r="R18" s="100">
        <f>IF($C18=0,0,MIN(ItirazMaxPuan,$M18/$C18*ItirazMaxPuan))</f>
        <v/>
      </c>
      <c r="S18" s="100">
        <f>IF(MUSTERI_KARTLARI!$Q18="Askıda",StatufAskida,IF(MUSTERI_KARTLARI!$Q18="İzlemede",StatufIzleme,0))</f>
        <v/>
      </c>
      <c r="T18" s="100">
        <f>IF(MUSTERI_KARTLARI!$R18="OK",100,IF(MUSTERI_KARTLARI!$R18="EKSİK",VeriKalitesiEksik,0))</f>
        <v/>
      </c>
      <c r="U18" s="100">
        <f>IF($T18&gt;=GuvenYuksek,"YÜKSEK",IF($T18&gt;=GuvenOrta,"ORTA","DÜŞÜK"))</f>
        <v/>
      </c>
      <c r="V18" s="100">
        <f>IF($X18&lt;=EsikDevam,"DEVAM",IF($X18&lt;=EsikIzle,"İZLE",IF($X18&lt;=EsikLimitAzalt,"LİMİTİ AZALT",IF($X18&lt;=EsikPesin,"PEŞİN / TEMİNATLI","VADELİ SATIŞI DURDUR"))))</f>
        <v/>
      </c>
      <c r="W18" s="100">
        <f>IF($X18&gt;EsikKritik,"Yönetim onayı AND acil tahsilat planı",IF($X18&gt;EsikYuksek,"Yeni satışı teminata bağla",IF($X18&gt;EsikIzle,"Limit revizyonu AND tahsilatı hızlandır","Planlı izleme")))</f>
        <v/>
      </c>
      <c r="X18" s="100">
        <f>ROUND(MIN(100,SUM($N18+$O18+$P18+$Q18+$R18+$S18)),0)</f>
        <v/>
      </c>
    </row>
    <row r="19" ht="15.75" customHeight="1" s="55">
      <c r="A19" s="100">
        <f>MUSTERI_KARTLARI!$A19</f>
        <v/>
      </c>
      <c r="B19" s="100">
        <f>MUSTERI_KARTLARI!$B19</f>
        <v/>
      </c>
      <c r="C19" s="100">
        <f>SUMIFS(tblYaslandirma[Açık Tutar],tblYaslandirma[Müşteri Kodu],$A19)</f>
        <v/>
      </c>
      <c r="D19" s="100">
        <f>MUSTERI_KARTLARI!$I19+MUSTERI_KARTLARI!$J19</f>
        <v/>
      </c>
      <c r="E19" s="100">
        <f>$D19-$C19</f>
        <v/>
      </c>
      <c r="F19" s="100">
        <f>IFERROR($C19/$D19,1)</f>
        <v/>
      </c>
      <c r="G19" s="100">
        <f>SUMIFS(tblYaslandirma[Açık Tutar],tblYaslandirma[Müşteri Kodu],$A19,tblYaslandirma[Gecikme Günü],"&gt;0")</f>
        <v/>
      </c>
      <c r="H19" s="100">
        <f>IF($C19=0,0,$G19/$C19)</f>
        <v/>
      </c>
      <c r="I19" s="100">
        <f>_xlfn.MAXIFS(tblYaslandirma[Gecikme Günü],tblYaslandirma[Müşteri Kodu],$A19)</f>
        <v/>
      </c>
      <c r="J19" s="100">
        <f>SUMIFS(tblTeminatlar[Kabul Edilen Değer],tblTeminatlar[Müşteri Kodu],$A19)</f>
        <v/>
      </c>
      <c r="K19" s="100">
        <f>MAX(0,$C19-$J19)</f>
        <v/>
      </c>
      <c r="L19" s="100">
        <f>IF(SUM(tblRisk[Açık Bakiye])=0,0,$C19/SUM(tblRisk[Açık Bakiye]))</f>
        <v/>
      </c>
      <c r="M19" s="100">
        <f>SUMIFS(tblYaslandirma[İtirazlı Tutar],tblYaslandirma[Müşteri Kodu],$A19)</f>
        <v/>
      </c>
      <c r="N19" s="100">
        <f>MIN(GecikmeMaxPuan,$I19/YaslamaDilim3*GecikmeMaxPuan)</f>
        <v/>
      </c>
      <c r="O19" s="100">
        <f>MIN(VadeMaxPuan,$H19*VadeMaxPuan)</f>
        <v/>
      </c>
      <c r="P19" s="100">
        <f>MIN(LimitMaxPuan,$F19*LimitMaxPuan)</f>
        <v/>
      </c>
      <c r="Q19" s="100">
        <f>IF($C19=0,0,MIN(TeminatMaxPuan,$K19/$C19*TeminatMaxPuan))</f>
        <v/>
      </c>
      <c r="R19" s="100">
        <f>IF($C19=0,0,MIN(ItirazMaxPuan,$M19/$C19*ItirazMaxPuan))</f>
        <v/>
      </c>
      <c r="S19" s="100">
        <f>IF(MUSTERI_KARTLARI!$Q19="Askıda",StatufAskida,IF(MUSTERI_KARTLARI!$Q19="İzlemede",StatufIzleme,0))</f>
        <v/>
      </c>
      <c r="T19" s="100">
        <f>IF(MUSTERI_KARTLARI!$R19="OK",100,IF(MUSTERI_KARTLARI!$R19="EKSİK",VeriKalitesiEksik,0))</f>
        <v/>
      </c>
      <c r="U19" s="100">
        <f>IF($T19&gt;=GuvenYuksek,"YÜKSEK",IF($T19&gt;=GuvenOrta,"ORTA","DÜŞÜK"))</f>
        <v/>
      </c>
      <c r="V19" s="100">
        <f>IF($X19&lt;=EsikDevam,"DEVAM",IF($X19&lt;=EsikIzle,"İZLE",IF($X19&lt;=EsikLimitAzalt,"LİMİTİ AZALT",IF($X19&lt;=EsikPesin,"PEŞİN / TEMİNATLI","VADELİ SATIŞI DURDUR"))))</f>
        <v/>
      </c>
      <c r="W19" s="100">
        <f>IF($X19&gt;EsikKritik,"Yönetim onayı AND acil tahsilat planı",IF($X19&gt;EsikYuksek,"Yeni satışı teminata bağla",IF($X19&gt;EsikIzle,"Limit revizyonu AND tahsilatı hızlandır","Planlı izleme")))</f>
        <v/>
      </c>
      <c r="X19" s="100">
        <f>ROUND(MIN(100,SUM($N19+$O19+$P19+$Q19+$R19+$S19)),0)</f>
        <v/>
      </c>
    </row>
    <row r="20" ht="15.75" customHeight="1" s="55">
      <c r="A20" s="100">
        <f>MUSTERI_KARTLARI!$A20</f>
        <v/>
      </c>
      <c r="B20" s="100">
        <f>MUSTERI_KARTLARI!$B20</f>
        <v/>
      </c>
      <c r="C20" s="100">
        <f>SUMIFS(tblYaslandirma[Açık Tutar],tblYaslandirma[Müşteri Kodu],$A20)</f>
        <v/>
      </c>
      <c r="D20" s="100">
        <f>MUSTERI_KARTLARI!$I20+MUSTERI_KARTLARI!$J20</f>
        <v/>
      </c>
      <c r="E20" s="100">
        <f>$D20-$C20</f>
        <v/>
      </c>
      <c r="F20" s="100">
        <f>IFERROR($C20/$D20,1)</f>
        <v/>
      </c>
      <c r="G20" s="100">
        <f>SUMIFS(tblYaslandirma[Açık Tutar],tblYaslandirma[Müşteri Kodu],$A20,tblYaslandirma[Gecikme Günü],"&gt;0")</f>
        <v/>
      </c>
      <c r="H20" s="100">
        <f>IF($C20=0,0,$G20/$C20)</f>
        <v/>
      </c>
      <c r="I20" s="100">
        <f>_xlfn.MAXIFS(tblYaslandirma[Gecikme Günü],tblYaslandirma[Müşteri Kodu],$A20)</f>
        <v/>
      </c>
      <c r="J20" s="100">
        <f>SUMIFS(tblTeminatlar[Kabul Edilen Değer],tblTeminatlar[Müşteri Kodu],$A20)</f>
        <v/>
      </c>
      <c r="K20" s="100">
        <f>MAX(0,$C20-$J20)</f>
        <v/>
      </c>
      <c r="L20" s="100">
        <f>IF(SUM(tblRisk[Açık Bakiye])=0,0,$C20/SUM(tblRisk[Açık Bakiye]))</f>
        <v/>
      </c>
      <c r="M20" s="100">
        <f>SUMIFS(tblYaslandirma[İtirazlı Tutar],tblYaslandirma[Müşteri Kodu],$A20)</f>
        <v/>
      </c>
      <c r="N20" s="100">
        <f>MIN(GecikmeMaxPuan,$I20/YaslamaDilim3*GecikmeMaxPuan)</f>
        <v/>
      </c>
      <c r="O20" s="100">
        <f>MIN(VadeMaxPuan,$H20*VadeMaxPuan)</f>
        <v/>
      </c>
      <c r="P20" s="100">
        <f>MIN(LimitMaxPuan,$F20*LimitMaxPuan)</f>
        <v/>
      </c>
      <c r="Q20" s="100">
        <f>IF($C20=0,0,MIN(TeminatMaxPuan,$K20/$C20*TeminatMaxPuan))</f>
        <v/>
      </c>
      <c r="R20" s="100">
        <f>IF($C20=0,0,MIN(ItirazMaxPuan,$M20/$C20*ItirazMaxPuan))</f>
        <v/>
      </c>
      <c r="S20" s="100">
        <f>IF(MUSTERI_KARTLARI!$Q20="Askıda",StatufAskida,IF(MUSTERI_KARTLARI!$Q20="İzlemede",StatufIzleme,0))</f>
        <v/>
      </c>
      <c r="T20" s="100">
        <f>IF(MUSTERI_KARTLARI!$R20="OK",100,IF(MUSTERI_KARTLARI!$R20="EKSİK",VeriKalitesiEksik,0))</f>
        <v/>
      </c>
      <c r="U20" s="100">
        <f>IF($T20&gt;=GuvenYuksek,"YÜKSEK",IF($T20&gt;=GuvenOrta,"ORTA","DÜŞÜK"))</f>
        <v/>
      </c>
      <c r="V20" s="100">
        <f>IF($X20&lt;=EsikDevam,"DEVAM",IF($X20&lt;=EsikIzle,"İZLE",IF($X20&lt;=EsikLimitAzalt,"LİMİTİ AZALT",IF($X20&lt;=EsikPesin,"PEŞİN / TEMİNATLI","VADELİ SATIŞI DURDUR"))))</f>
        <v/>
      </c>
      <c r="W20" s="100">
        <f>IF($X20&gt;EsikKritik,"Yönetim onayı AND acil tahsilat planı",IF($X20&gt;EsikYuksek,"Yeni satışı teminata bağla",IF($X20&gt;EsikIzle,"Limit revizyonu AND tahsilatı hızlandır","Planlı izleme")))</f>
        <v/>
      </c>
      <c r="X20" s="100">
        <f>ROUND(MIN(100,SUM($N20+$O20+$P20+$Q20+$R20+$S20)),0)</f>
        <v/>
      </c>
    </row>
    <row r="21" ht="15.75" customHeight="1" s="55">
      <c r="A21" s="100">
        <f>MUSTERI_KARTLARI!$A21</f>
        <v/>
      </c>
      <c r="B21" s="100">
        <f>MUSTERI_KARTLARI!$B21</f>
        <v/>
      </c>
      <c r="C21" s="100">
        <f>SUMIFS(tblYaslandirma[Açık Tutar],tblYaslandirma[Müşteri Kodu],$A21)</f>
        <v/>
      </c>
      <c r="D21" s="100">
        <f>MUSTERI_KARTLARI!$I21+MUSTERI_KARTLARI!$J21</f>
        <v/>
      </c>
      <c r="E21" s="100">
        <f>$D21-$C21</f>
        <v/>
      </c>
      <c r="F21" s="100">
        <f>IFERROR($C21/$D21,1)</f>
        <v/>
      </c>
      <c r="G21" s="100">
        <f>SUMIFS(tblYaslandirma[Açık Tutar],tblYaslandirma[Müşteri Kodu],$A21,tblYaslandirma[Gecikme Günü],"&gt;0")</f>
        <v/>
      </c>
      <c r="H21" s="100">
        <f>IF($C21=0,0,$G21/$C21)</f>
        <v/>
      </c>
      <c r="I21" s="100">
        <f>_xlfn.MAXIFS(tblYaslandirma[Gecikme Günü],tblYaslandirma[Müşteri Kodu],$A21)</f>
        <v/>
      </c>
      <c r="J21" s="100">
        <f>SUMIFS(tblTeminatlar[Kabul Edilen Değer],tblTeminatlar[Müşteri Kodu],$A21)</f>
        <v/>
      </c>
      <c r="K21" s="100">
        <f>MAX(0,$C21-$J21)</f>
        <v/>
      </c>
      <c r="L21" s="100">
        <f>IF(SUM(tblRisk[Açık Bakiye])=0,0,$C21/SUM(tblRisk[Açık Bakiye]))</f>
        <v/>
      </c>
      <c r="M21" s="100">
        <f>SUMIFS(tblYaslandirma[İtirazlı Tutar],tblYaslandirma[Müşteri Kodu],$A21)</f>
        <v/>
      </c>
      <c r="N21" s="100">
        <f>MIN(GecikmeMaxPuan,$I21/YaslamaDilim3*GecikmeMaxPuan)</f>
        <v/>
      </c>
      <c r="O21" s="100">
        <f>MIN(VadeMaxPuan,$H21*VadeMaxPuan)</f>
        <v/>
      </c>
      <c r="P21" s="100">
        <f>MIN(LimitMaxPuan,$F21*LimitMaxPuan)</f>
        <v/>
      </c>
      <c r="Q21" s="100">
        <f>IF($C21=0,0,MIN(TeminatMaxPuan,$K21/$C21*TeminatMaxPuan))</f>
        <v/>
      </c>
      <c r="R21" s="100">
        <f>IF($C21=0,0,MIN(ItirazMaxPuan,$M21/$C21*ItirazMaxPuan))</f>
        <v/>
      </c>
      <c r="S21" s="100">
        <f>IF(MUSTERI_KARTLARI!$Q21="Askıda",StatufAskida,IF(MUSTERI_KARTLARI!$Q21="İzlemede",StatufIzleme,0))</f>
        <v/>
      </c>
      <c r="T21" s="100">
        <f>IF(MUSTERI_KARTLARI!$R21="OK",100,IF(MUSTERI_KARTLARI!$R21="EKSİK",VeriKalitesiEksik,0))</f>
        <v/>
      </c>
      <c r="U21" s="100">
        <f>IF($T21&gt;=GuvenYuksek,"YÜKSEK",IF($T21&gt;=GuvenOrta,"ORTA","DÜŞÜK"))</f>
        <v/>
      </c>
      <c r="V21" s="100">
        <f>IF($X21&lt;=EsikDevam,"DEVAM",IF($X21&lt;=EsikIzle,"İZLE",IF($X21&lt;=EsikLimitAzalt,"LİMİTİ AZALT",IF($X21&lt;=EsikPesin,"PEŞİN / TEMİNATLI","VADELİ SATIŞI DURDUR"))))</f>
        <v/>
      </c>
      <c r="W21" s="100">
        <f>IF($X21&gt;EsikKritik,"Yönetim onayı AND acil tahsilat planı",IF($X21&gt;EsikYuksek,"Yeni satışı teminata bağla",IF($X21&gt;EsikIzle,"Limit revizyonu AND tahsilatı hızlandır","Planlı izleme")))</f>
        <v/>
      </c>
      <c r="X21" s="100">
        <f>ROUND(MIN(100,SUM($N21+$O21+$P21+$Q21+$R21+$S21)),0)</f>
        <v/>
      </c>
    </row>
    <row r="22" ht="15.75" customHeight="1" s="55">
      <c r="A22" s="100">
        <f>MUSTERI_KARTLARI!$A22</f>
        <v/>
      </c>
      <c r="B22" s="100">
        <f>MUSTERI_KARTLARI!$B22</f>
        <v/>
      </c>
      <c r="C22" s="100">
        <f>SUMIFS(tblYaslandirma[Açık Tutar],tblYaslandirma[Müşteri Kodu],$A22)</f>
        <v/>
      </c>
      <c r="D22" s="100">
        <f>MUSTERI_KARTLARI!$I22+MUSTERI_KARTLARI!$J22</f>
        <v/>
      </c>
      <c r="E22" s="100">
        <f>$D22-$C22</f>
        <v/>
      </c>
      <c r="F22" s="100">
        <f>IFERROR($C22/$D22,1)</f>
        <v/>
      </c>
      <c r="G22" s="100">
        <f>SUMIFS(tblYaslandirma[Açık Tutar],tblYaslandirma[Müşteri Kodu],$A22,tblYaslandirma[Gecikme Günü],"&gt;0")</f>
        <v/>
      </c>
      <c r="H22" s="100">
        <f>IF($C22=0,0,$G22/$C22)</f>
        <v/>
      </c>
      <c r="I22" s="100">
        <f>_xlfn.MAXIFS(tblYaslandirma[Gecikme Günü],tblYaslandirma[Müşteri Kodu],$A22)</f>
        <v/>
      </c>
      <c r="J22" s="100">
        <f>SUMIFS(tblTeminatlar[Kabul Edilen Değer],tblTeminatlar[Müşteri Kodu],$A22)</f>
        <v/>
      </c>
      <c r="K22" s="100">
        <f>MAX(0,$C22-$J22)</f>
        <v/>
      </c>
      <c r="L22" s="100">
        <f>IF(SUM(tblRisk[Açık Bakiye])=0,0,$C22/SUM(tblRisk[Açık Bakiye]))</f>
        <v/>
      </c>
      <c r="M22" s="100">
        <f>SUMIFS(tblYaslandirma[İtirazlı Tutar],tblYaslandirma[Müşteri Kodu],$A22)</f>
        <v/>
      </c>
      <c r="N22" s="100">
        <f>MIN(GecikmeMaxPuan,$I22/YaslamaDilim3*GecikmeMaxPuan)</f>
        <v/>
      </c>
      <c r="O22" s="100">
        <f>MIN(VadeMaxPuan,$H22*VadeMaxPuan)</f>
        <v/>
      </c>
      <c r="P22" s="100">
        <f>MIN(LimitMaxPuan,$F22*LimitMaxPuan)</f>
        <v/>
      </c>
      <c r="Q22" s="100">
        <f>IF($C22=0,0,MIN(TeminatMaxPuan,$K22/$C22*TeminatMaxPuan))</f>
        <v/>
      </c>
      <c r="R22" s="100">
        <f>IF($C22=0,0,MIN(ItirazMaxPuan,$M22/$C22*ItirazMaxPuan))</f>
        <v/>
      </c>
      <c r="S22" s="100">
        <f>IF(MUSTERI_KARTLARI!$Q22="Askıda",StatufAskida,IF(MUSTERI_KARTLARI!$Q22="İzlemede",StatufIzleme,0))</f>
        <v/>
      </c>
      <c r="T22" s="100">
        <f>IF(MUSTERI_KARTLARI!$R22="OK",100,IF(MUSTERI_KARTLARI!$R22="EKSİK",VeriKalitesiEksik,0))</f>
        <v/>
      </c>
      <c r="U22" s="100">
        <f>IF($T22&gt;=GuvenYuksek,"YÜKSEK",IF($T22&gt;=GuvenOrta,"ORTA","DÜŞÜK"))</f>
        <v/>
      </c>
      <c r="V22" s="100">
        <f>IF($X22&lt;=EsikDevam,"DEVAM",IF($X22&lt;=EsikIzle,"İZLE",IF($X22&lt;=EsikLimitAzalt,"LİMİTİ AZALT",IF($X22&lt;=EsikPesin,"PEŞİN / TEMİNATLI","VADELİ SATIŞI DURDUR"))))</f>
        <v/>
      </c>
      <c r="W22" s="100">
        <f>IF($X22&gt;EsikKritik,"Yönetim onayı AND acil tahsilat planı",IF($X22&gt;EsikYuksek,"Yeni satışı teminata bağla",IF($X22&gt;EsikIzle,"Limit revizyonu AND tahsilatı hızlandır","Planlı izleme")))</f>
        <v/>
      </c>
      <c r="X22" s="100">
        <f>ROUND(MIN(100,SUM($N22+$O22+$P22+$Q22+$R22+$S22)),0)</f>
        <v/>
      </c>
    </row>
    <row r="23" ht="15.75" customHeight="1" s="55">
      <c r="A23" s="100">
        <f>MUSTERI_KARTLARI!$A23</f>
        <v/>
      </c>
      <c r="B23" s="100">
        <f>MUSTERI_KARTLARI!$B23</f>
        <v/>
      </c>
      <c r="C23" s="100">
        <f>SUMIFS(tblYaslandirma[Açık Tutar],tblYaslandirma[Müşteri Kodu],$A23)</f>
        <v/>
      </c>
      <c r="D23" s="100">
        <f>MUSTERI_KARTLARI!$I23+MUSTERI_KARTLARI!$J23</f>
        <v/>
      </c>
      <c r="E23" s="100">
        <f>$D23-$C23</f>
        <v/>
      </c>
      <c r="F23" s="100">
        <f>IFERROR($C23/$D23,1)</f>
        <v/>
      </c>
      <c r="G23" s="100">
        <f>SUMIFS(tblYaslandirma[Açık Tutar],tblYaslandirma[Müşteri Kodu],$A23,tblYaslandirma[Gecikme Günü],"&gt;0")</f>
        <v/>
      </c>
      <c r="H23" s="100">
        <f>IF($C23=0,0,$G23/$C23)</f>
        <v/>
      </c>
      <c r="I23" s="100">
        <f>_xlfn.MAXIFS(tblYaslandirma[Gecikme Günü],tblYaslandirma[Müşteri Kodu],$A23)</f>
        <v/>
      </c>
      <c r="J23" s="100">
        <f>SUMIFS(tblTeminatlar[Kabul Edilen Değer],tblTeminatlar[Müşteri Kodu],$A23)</f>
        <v/>
      </c>
      <c r="K23" s="100">
        <f>MAX(0,$C23-$J23)</f>
        <v/>
      </c>
      <c r="L23" s="100">
        <f>IF(SUM(tblRisk[Açık Bakiye])=0,0,$C23/SUM(tblRisk[Açık Bakiye]))</f>
        <v/>
      </c>
      <c r="M23" s="100">
        <f>SUMIFS(tblYaslandirma[İtirazlı Tutar],tblYaslandirma[Müşteri Kodu],$A23)</f>
        <v/>
      </c>
      <c r="N23" s="100">
        <f>MIN(GecikmeMaxPuan,$I23/YaslamaDilim3*GecikmeMaxPuan)</f>
        <v/>
      </c>
      <c r="O23" s="100">
        <f>MIN(VadeMaxPuan,$H23*VadeMaxPuan)</f>
        <v/>
      </c>
      <c r="P23" s="100">
        <f>MIN(LimitMaxPuan,$F23*LimitMaxPuan)</f>
        <v/>
      </c>
      <c r="Q23" s="100">
        <f>IF($C23=0,0,MIN(TeminatMaxPuan,$K23/$C23*TeminatMaxPuan))</f>
        <v/>
      </c>
      <c r="R23" s="100">
        <f>IF($C23=0,0,MIN(ItirazMaxPuan,$M23/$C23*ItirazMaxPuan))</f>
        <v/>
      </c>
      <c r="S23" s="100">
        <f>IF(MUSTERI_KARTLARI!$Q23="Askıda",StatufAskida,IF(MUSTERI_KARTLARI!$Q23="İzlemede",StatufIzleme,0))</f>
        <v/>
      </c>
      <c r="T23" s="100">
        <f>IF(MUSTERI_KARTLARI!$R23="OK",100,IF(MUSTERI_KARTLARI!$R23="EKSİK",VeriKalitesiEksik,0))</f>
        <v/>
      </c>
      <c r="U23" s="100">
        <f>IF($T23&gt;=GuvenYuksek,"YÜKSEK",IF($T23&gt;=GuvenOrta,"ORTA","DÜŞÜK"))</f>
        <v/>
      </c>
      <c r="V23" s="100">
        <f>IF($X23&lt;=EsikDevam,"DEVAM",IF($X23&lt;=EsikIzle,"İZLE",IF($X23&lt;=EsikLimitAzalt,"LİMİTİ AZALT",IF($X23&lt;=EsikPesin,"PEŞİN / TEMİNATLI","VADELİ SATIŞI DURDUR"))))</f>
        <v/>
      </c>
      <c r="W23" s="100">
        <f>IF($X23&gt;EsikKritik,"Yönetim onayı AND acil tahsilat planı",IF($X23&gt;EsikYuksek,"Yeni satışı teminata bağla",IF($X23&gt;EsikIzle,"Limit revizyonu AND tahsilatı hızlandır","Planlı izleme")))</f>
        <v/>
      </c>
      <c r="X23" s="100">
        <f>ROUND(MIN(100,SUM($N23+$O23+$P23+$Q23+$R23+$S23)),0)</f>
        <v/>
      </c>
    </row>
    <row r="24" ht="15.75" customHeight="1" s="55">
      <c r="A24" s="100">
        <f>MUSTERI_KARTLARI!$A24</f>
        <v/>
      </c>
      <c r="B24" s="100">
        <f>MUSTERI_KARTLARI!$B24</f>
        <v/>
      </c>
      <c r="C24" s="100">
        <f>SUMIFS(tblYaslandirma[Açık Tutar],tblYaslandirma[Müşteri Kodu],$A24)</f>
        <v/>
      </c>
      <c r="D24" s="100">
        <f>MUSTERI_KARTLARI!$I24+MUSTERI_KARTLARI!$J24</f>
        <v/>
      </c>
      <c r="E24" s="100">
        <f>$D24-$C24</f>
        <v/>
      </c>
      <c r="F24" s="100">
        <f>IFERROR($C24/$D24,1)</f>
        <v/>
      </c>
      <c r="G24" s="100">
        <f>SUMIFS(tblYaslandirma[Açık Tutar],tblYaslandirma[Müşteri Kodu],$A24,tblYaslandirma[Gecikme Günü],"&gt;0")</f>
        <v/>
      </c>
      <c r="H24" s="100">
        <f>IF($C24=0,0,$G24/$C24)</f>
        <v/>
      </c>
      <c r="I24" s="100">
        <f>_xlfn.MAXIFS(tblYaslandirma[Gecikme Günü],tblYaslandirma[Müşteri Kodu],$A24)</f>
        <v/>
      </c>
      <c r="J24" s="100">
        <f>SUMIFS(tblTeminatlar[Kabul Edilen Değer],tblTeminatlar[Müşteri Kodu],$A24)</f>
        <v/>
      </c>
      <c r="K24" s="100">
        <f>MAX(0,$C24-$J24)</f>
        <v/>
      </c>
      <c r="L24" s="100">
        <f>IF(SUM(tblRisk[Açık Bakiye])=0,0,$C24/SUM(tblRisk[Açık Bakiye]))</f>
        <v/>
      </c>
      <c r="M24" s="100">
        <f>SUMIFS(tblYaslandirma[İtirazlı Tutar],tblYaslandirma[Müşteri Kodu],$A24)</f>
        <v/>
      </c>
      <c r="N24" s="100">
        <f>MIN(GecikmeMaxPuan,$I24/YaslamaDilim3*GecikmeMaxPuan)</f>
        <v/>
      </c>
      <c r="O24" s="100">
        <f>MIN(VadeMaxPuan,$H24*VadeMaxPuan)</f>
        <v/>
      </c>
      <c r="P24" s="100">
        <f>MIN(LimitMaxPuan,$F24*LimitMaxPuan)</f>
        <v/>
      </c>
      <c r="Q24" s="100">
        <f>IF($C24=0,0,MIN(TeminatMaxPuan,$K24/$C24*TeminatMaxPuan))</f>
        <v/>
      </c>
      <c r="R24" s="100">
        <f>IF($C24=0,0,MIN(ItirazMaxPuan,$M24/$C24*ItirazMaxPuan))</f>
        <v/>
      </c>
      <c r="S24" s="100">
        <f>IF(MUSTERI_KARTLARI!$Q24="Askıda",StatufAskida,IF(MUSTERI_KARTLARI!$Q24="İzlemede",StatufIzleme,0))</f>
        <v/>
      </c>
      <c r="T24" s="100">
        <f>IF(MUSTERI_KARTLARI!$R24="OK",100,IF(MUSTERI_KARTLARI!$R24="EKSİK",VeriKalitesiEksik,0))</f>
        <v/>
      </c>
      <c r="U24" s="100">
        <f>IF($T24&gt;=GuvenYuksek,"YÜKSEK",IF($T24&gt;=GuvenOrta,"ORTA","DÜŞÜK"))</f>
        <v/>
      </c>
      <c r="V24" s="100">
        <f>IF($X24&lt;=EsikDevam,"DEVAM",IF($X24&lt;=EsikIzle,"İZLE",IF($X24&lt;=EsikLimitAzalt,"LİMİTİ AZALT",IF($X24&lt;=EsikPesin,"PEŞİN / TEMİNATLI","VADELİ SATIŞI DURDUR"))))</f>
        <v/>
      </c>
      <c r="W24" s="100">
        <f>IF($X24&gt;EsikKritik,"Yönetim onayı AND acil tahsilat planı",IF($X24&gt;EsikYuksek,"Yeni satışı teminata bağla",IF($X24&gt;EsikIzle,"Limit revizyonu AND tahsilatı hızlandır","Planlı izleme")))</f>
        <v/>
      </c>
      <c r="X24" s="100">
        <f>ROUND(MIN(100,SUM($N24+$O24+$P24+$Q24+$R24+$S24)),0)</f>
        <v/>
      </c>
    </row>
    <row r="25" ht="15.75" customHeight="1" s="55">
      <c r="A25" s="100">
        <f>MUSTERI_KARTLARI!$A25</f>
        <v/>
      </c>
      <c r="B25" s="100">
        <f>MUSTERI_KARTLARI!$B25</f>
        <v/>
      </c>
      <c r="C25" s="100">
        <f>SUMIFS(tblYaslandirma[Açık Tutar],tblYaslandirma[Müşteri Kodu],$A25)</f>
        <v/>
      </c>
      <c r="D25" s="100">
        <f>MUSTERI_KARTLARI!$I25+MUSTERI_KARTLARI!$J25</f>
        <v/>
      </c>
      <c r="E25" s="100">
        <f>$D25-$C25</f>
        <v/>
      </c>
      <c r="F25" s="100">
        <f>IFERROR($C25/$D25,1)</f>
        <v/>
      </c>
      <c r="G25" s="100">
        <f>SUMIFS(tblYaslandirma[Açık Tutar],tblYaslandirma[Müşteri Kodu],$A25,tblYaslandirma[Gecikme Günü],"&gt;0")</f>
        <v/>
      </c>
      <c r="H25" s="100">
        <f>IF($C25=0,0,$G25/$C25)</f>
        <v/>
      </c>
      <c r="I25" s="100">
        <f>_xlfn.MAXIFS(tblYaslandirma[Gecikme Günü],tblYaslandirma[Müşteri Kodu],$A25)</f>
        <v/>
      </c>
      <c r="J25" s="100">
        <f>SUMIFS(tblTeminatlar[Kabul Edilen Değer],tblTeminatlar[Müşteri Kodu],$A25)</f>
        <v/>
      </c>
      <c r="K25" s="100">
        <f>MAX(0,$C25-$J25)</f>
        <v/>
      </c>
      <c r="L25" s="100">
        <f>IF(SUM(tblRisk[Açık Bakiye])=0,0,$C25/SUM(tblRisk[Açık Bakiye]))</f>
        <v/>
      </c>
      <c r="M25" s="100">
        <f>SUMIFS(tblYaslandirma[İtirazlı Tutar],tblYaslandirma[Müşteri Kodu],$A25)</f>
        <v/>
      </c>
      <c r="N25" s="100">
        <f>MIN(GecikmeMaxPuan,$I25/YaslamaDilim3*GecikmeMaxPuan)</f>
        <v/>
      </c>
      <c r="O25" s="100">
        <f>MIN(VadeMaxPuan,$H25*VadeMaxPuan)</f>
        <v/>
      </c>
      <c r="P25" s="100">
        <f>MIN(LimitMaxPuan,$F25*LimitMaxPuan)</f>
        <v/>
      </c>
      <c r="Q25" s="100">
        <f>IF($C25=0,0,MIN(TeminatMaxPuan,$K25/$C25*TeminatMaxPuan))</f>
        <v/>
      </c>
      <c r="R25" s="100">
        <f>IF($C25=0,0,MIN(ItirazMaxPuan,$M25/$C25*ItirazMaxPuan))</f>
        <v/>
      </c>
      <c r="S25" s="100">
        <f>IF(MUSTERI_KARTLARI!$Q25="Askıda",StatufAskida,IF(MUSTERI_KARTLARI!$Q25="İzlemede",StatufIzleme,0))</f>
        <v/>
      </c>
      <c r="T25" s="100">
        <f>IF(MUSTERI_KARTLARI!$R25="OK",100,IF(MUSTERI_KARTLARI!$R25="EKSİK",VeriKalitesiEksik,0))</f>
        <v/>
      </c>
      <c r="U25" s="100">
        <f>IF($T25&gt;=GuvenYuksek,"YÜKSEK",IF($T25&gt;=GuvenOrta,"ORTA","DÜŞÜK"))</f>
        <v/>
      </c>
      <c r="V25" s="100">
        <f>IF($X25&lt;=EsikDevam,"DEVAM",IF($X25&lt;=EsikIzle,"İZLE",IF($X25&lt;=EsikLimitAzalt,"LİMİTİ AZALT",IF($X25&lt;=EsikPesin,"PEŞİN / TEMİNATLI","VADELİ SATIŞI DURDUR"))))</f>
        <v/>
      </c>
      <c r="W25" s="100">
        <f>IF($X25&gt;EsikKritik,"Yönetim onayı AND acil tahsilat planı",IF($X25&gt;EsikYuksek,"Yeni satışı teminata bağla",IF($X25&gt;EsikIzle,"Limit revizyonu AND tahsilatı hızlandır","Planlı izleme")))</f>
        <v/>
      </c>
      <c r="X25" s="100">
        <f>ROUND(MIN(100,SUM($N25+$O25+$P25+$Q25+$R25+$S25)),0)</f>
        <v/>
      </c>
    </row>
    <row r="26" ht="15.75" customHeight="1" s="55">
      <c r="A26" s="100">
        <f>MUSTERI_KARTLARI!$A26</f>
        <v/>
      </c>
      <c r="B26" s="100">
        <f>MUSTERI_KARTLARI!$B26</f>
        <v/>
      </c>
      <c r="C26" s="100">
        <f>SUMIFS(tblYaslandirma[Açık Tutar],tblYaslandirma[Müşteri Kodu],$A26)</f>
        <v/>
      </c>
      <c r="D26" s="100">
        <f>MUSTERI_KARTLARI!$I26+MUSTERI_KARTLARI!$J26</f>
        <v/>
      </c>
      <c r="E26" s="100">
        <f>$D26-$C26</f>
        <v/>
      </c>
      <c r="F26" s="100">
        <f>IFERROR($C26/$D26,1)</f>
        <v/>
      </c>
      <c r="G26" s="100">
        <f>SUMIFS(tblYaslandirma[Açık Tutar],tblYaslandirma[Müşteri Kodu],$A26,tblYaslandirma[Gecikme Günü],"&gt;0")</f>
        <v/>
      </c>
      <c r="H26" s="100">
        <f>IF($C26=0,0,$G26/$C26)</f>
        <v/>
      </c>
      <c r="I26" s="100">
        <f>_xlfn.MAXIFS(tblYaslandirma[Gecikme Günü],tblYaslandirma[Müşteri Kodu],$A26)</f>
        <v/>
      </c>
      <c r="J26" s="100">
        <f>SUMIFS(tblTeminatlar[Kabul Edilen Değer],tblTeminatlar[Müşteri Kodu],$A26)</f>
        <v/>
      </c>
      <c r="K26" s="100">
        <f>MAX(0,$C26-$J26)</f>
        <v/>
      </c>
      <c r="L26" s="100">
        <f>IF(SUM(tblRisk[Açık Bakiye])=0,0,$C26/SUM(tblRisk[Açık Bakiye]))</f>
        <v/>
      </c>
      <c r="M26" s="100">
        <f>SUMIFS(tblYaslandirma[İtirazlı Tutar],tblYaslandirma[Müşteri Kodu],$A26)</f>
        <v/>
      </c>
      <c r="N26" s="100">
        <f>MIN(GecikmeMaxPuan,$I26/YaslamaDilim3*GecikmeMaxPuan)</f>
        <v/>
      </c>
      <c r="O26" s="100">
        <f>MIN(VadeMaxPuan,$H26*VadeMaxPuan)</f>
        <v/>
      </c>
      <c r="P26" s="100">
        <f>MIN(LimitMaxPuan,$F26*LimitMaxPuan)</f>
        <v/>
      </c>
      <c r="Q26" s="100">
        <f>IF($C26=0,0,MIN(TeminatMaxPuan,$K26/$C26*TeminatMaxPuan))</f>
        <v/>
      </c>
      <c r="R26" s="100">
        <f>IF($C26=0,0,MIN(ItirazMaxPuan,$M26/$C26*ItirazMaxPuan))</f>
        <v/>
      </c>
      <c r="S26" s="100">
        <f>IF(MUSTERI_KARTLARI!$Q26="Askıda",StatufAskida,IF(MUSTERI_KARTLARI!$Q26="İzlemede",StatufIzleme,0))</f>
        <v/>
      </c>
      <c r="T26" s="100">
        <f>IF(MUSTERI_KARTLARI!$R26="OK",100,IF(MUSTERI_KARTLARI!$R26="EKSİK",VeriKalitesiEksik,0))</f>
        <v/>
      </c>
      <c r="U26" s="100">
        <f>IF($T26&gt;=GuvenYuksek,"YÜKSEK",IF($T26&gt;=GuvenOrta,"ORTA","DÜŞÜK"))</f>
        <v/>
      </c>
      <c r="V26" s="100">
        <f>IF($X26&lt;=EsikDevam,"DEVAM",IF($X26&lt;=EsikIzle,"İZLE",IF($X26&lt;=EsikLimitAzalt,"LİMİTİ AZALT",IF($X26&lt;=EsikPesin,"PEŞİN / TEMİNATLI","VADELİ SATIŞI DURDUR"))))</f>
        <v/>
      </c>
      <c r="W26" s="100">
        <f>IF($X26&gt;EsikKritik,"Yönetim onayı AND acil tahsilat planı",IF($X26&gt;EsikYuksek,"Yeni satışı teminata bağla",IF($X26&gt;EsikIzle,"Limit revizyonu AND tahsilatı hızlandır","Planlı izleme")))</f>
        <v/>
      </c>
      <c r="X26" s="100">
        <f>ROUND(MIN(100,SUM($N26+$O26+$P26+$Q26+$R26+$S26)),0)</f>
        <v/>
      </c>
    </row>
    <row r="27" ht="15.75" customHeight="1" s="55">
      <c r="A27" s="100">
        <f>MUSTERI_KARTLARI!$A27</f>
        <v/>
      </c>
      <c r="B27" s="100">
        <f>MUSTERI_KARTLARI!$B27</f>
        <v/>
      </c>
      <c r="C27" s="100">
        <f>SUMIFS(tblYaslandirma[Açık Tutar],tblYaslandirma[Müşteri Kodu],$A27)</f>
        <v/>
      </c>
      <c r="D27" s="100">
        <f>MUSTERI_KARTLARI!$I27+MUSTERI_KARTLARI!$J27</f>
        <v/>
      </c>
      <c r="E27" s="100">
        <f>$D27-$C27</f>
        <v/>
      </c>
      <c r="F27" s="100">
        <f>IFERROR($C27/$D27,1)</f>
        <v/>
      </c>
      <c r="G27" s="100">
        <f>SUMIFS(tblYaslandirma[Açık Tutar],tblYaslandirma[Müşteri Kodu],$A27,tblYaslandirma[Gecikme Günü],"&gt;0")</f>
        <v/>
      </c>
      <c r="H27" s="100">
        <f>IF($C27=0,0,$G27/$C27)</f>
        <v/>
      </c>
      <c r="I27" s="100">
        <f>_xlfn.MAXIFS(tblYaslandirma[Gecikme Günü],tblYaslandirma[Müşteri Kodu],$A27)</f>
        <v/>
      </c>
      <c r="J27" s="100">
        <f>SUMIFS(tblTeminatlar[Kabul Edilen Değer],tblTeminatlar[Müşteri Kodu],$A27)</f>
        <v/>
      </c>
      <c r="K27" s="100">
        <f>MAX(0,$C27-$J27)</f>
        <v/>
      </c>
      <c r="L27" s="100">
        <f>IF(SUM(tblRisk[Açık Bakiye])=0,0,$C27/SUM(tblRisk[Açık Bakiye]))</f>
        <v/>
      </c>
      <c r="M27" s="100">
        <f>SUMIFS(tblYaslandirma[İtirazlı Tutar],tblYaslandirma[Müşteri Kodu],$A27)</f>
        <v/>
      </c>
      <c r="N27" s="100">
        <f>MIN(GecikmeMaxPuan,$I27/YaslamaDilim3*GecikmeMaxPuan)</f>
        <v/>
      </c>
      <c r="O27" s="100">
        <f>MIN(VadeMaxPuan,$H27*VadeMaxPuan)</f>
        <v/>
      </c>
      <c r="P27" s="100">
        <f>MIN(LimitMaxPuan,$F27*LimitMaxPuan)</f>
        <v/>
      </c>
      <c r="Q27" s="100">
        <f>IF($C27=0,0,MIN(TeminatMaxPuan,$K27/$C27*TeminatMaxPuan))</f>
        <v/>
      </c>
      <c r="R27" s="100">
        <f>IF($C27=0,0,MIN(ItirazMaxPuan,$M27/$C27*ItirazMaxPuan))</f>
        <v/>
      </c>
      <c r="S27" s="100">
        <f>IF(MUSTERI_KARTLARI!$Q27="Askıda",StatufAskida,IF(MUSTERI_KARTLARI!$Q27="İzlemede",StatufIzleme,0))</f>
        <v/>
      </c>
      <c r="T27" s="100">
        <f>IF(MUSTERI_KARTLARI!$R27="OK",100,IF(MUSTERI_KARTLARI!$R27="EKSİK",VeriKalitesiEksik,0))</f>
        <v/>
      </c>
      <c r="U27" s="100">
        <f>IF($T27&gt;=GuvenYuksek,"YÜKSEK",IF($T27&gt;=GuvenOrta,"ORTA","DÜŞÜK"))</f>
        <v/>
      </c>
      <c r="V27" s="100">
        <f>IF($X27&lt;=EsikDevam,"DEVAM",IF($X27&lt;=EsikIzle,"İZLE",IF($X27&lt;=EsikLimitAzalt,"LİMİTİ AZALT",IF($X27&lt;=EsikPesin,"PEŞİN / TEMİNATLI","VADELİ SATIŞI DURDUR"))))</f>
        <v/>
      </c>
      <c r="W27" s="100">
        <f>IF($X27&gt;EsikKritik,"Yönetim onayı AND acil tahsilat planı",IF($X27&gt;EsikYuksek,"Yeni satışı teminata bağla",IF($X27&gt;EsikIzle,"Limit revizyonu AND tahsilatı hızlandır","Planlı izleme")))</f>
        <v/>
      </c>
      <c r="X27" s="100">
        <f>ROUND(MIN(100,SUM($N27+$O27+$P27+$Q27+$R27+$S27)),0)</f>
        <v/>
      </c>
    </row>
    <row r="28" ht="15.75" customHeight="1" s="55">
      <c r="A28" s="100">
        <f>MUSTERI_KARTLARI!$A28</f>
        <v/>
      </c>
      <c r="B28" s="100">
        <f>MUSTERI_KARTLARI!$B28</f>
        <v/>
      </c>
      <c r="C28" s="100">
        <f>SUMIFS(tblYaslandirma[Açık Tutar],tblYaslandirma[Müşteri Kodu],$A28)</f>
        <v/>
      </c>
      <c r="D28" s="100">
        <f>MUSTERI_KARTLARI!$I28+MUSTERI_KARTLARI!$J28</f>
        <v/>
      </c>
      <c r="E28" s="100">
        <f>$D28-$C28</f>
        <v/>
      </c>
      <c r="F28" s="100">
        <f>IFERROR($C28/$D28,1)</f>
        <v/>
      </c>
      <c r="G28" s="100">
        <f>SUMIFS(tblYaslandirma[Açık Tutar],tblYaslandirma[Müşteri Kodu],$A28,tblYaslandirma[Gecikme Günü],"&gt;0")</f>
        <v/>
      </c>
      <c r="H28" s="100">
        <f>IF($C28=0,0,$G28/$C28)</f>
        <v/>
      </c>
      <c r="I28" s="100">
        <f>_xlfn.MAXIFS(tblYaslandirma[Gecikme Günü],tblYaslandirma[Müşteri Kodu],$A28)</f>
        <v/>
      </c>
      <c r="J28" s="100">
        <f>SUMIFS(tblTeminatlar[Kabul Edilen Değer],tblTeminatlar[Müşteri Kodu],$A28)</f>
        <v/>
      </c>
      <c r="K28" s="100">
        <f>MAX(0,$C28-$J28)</f>
        <v/>
      </c>
      <c r="L28" s="100">
        <f>IF(SUM(tblRisk[Açık Bakiye])=0,0,$C28/SUM(tblRisk[Açık Bakiye]))</f>
        <v/>
      </c>
      <c r="M28" s="100">
        <f>SUMIFS(tblYaslandirma[İtirazlı Tutar],tblYaslandirma[Müşteri Kodu],$A28)</f>
        <v/>
      </c>
      <c r="N28" s="100">
        <f>MIN(GecikmeMaxPuan,$I28/YaslamaDilim3*GecikmeMaxPuan)</f>
        <v/>
      </c>
      <c r="O28" s="100">
        <f>MIN(VadeMaxPuan,$H28*VadeMaxPuan)</f>
        <v/>
      </c>
      <c r="P28" s="100">
        <f>MIN(LimitMaxPuan,$F28*LimitMaxPuan)</f>
        <v/>
      </c>
      <c r="Q28" s="100">
        <f>IF($C28=0,0,MIN(TeminatMaxPuan,$K28/$C28*TeminatMaxPuan))</f>
        <v/>
      </c>
      <c r="R28" s="100">
        <f>IF($C28=0,0,MIN(ItirazMaxPuan,$M28/$C28*ItirazMaxPuan))</f>
        <v/>
      </c>
      <c r="S28" s="100">
        <f>IF(MUSTERI_KARTLARI!$Q28="Askıda",StatufAskida,IF(MUSTERI_KARTLARI!$Q28="İzlemede",StatufIzleme,0))</f>
        <v/>
      </c>
      <c r="T28" s="100">
        <f>IF(MUSTERI_KARTLARI!$R28="OK",100,IF(MUSTERI_KARTLARI!$R28="EKSİK",VeriKalitesiEksik,0))</f>
        <v/>
      </c>
      <c r="U28" s="100">
        <f>IF($T28&gt;=GuvenYuksek,"YÜKSEK",IF($T28&gt;=GuvenOrta,"ORTA","DÜŞÜK"))</f>
        <v/>
      </c>
      <c r="V28" s="100">
        <f>IF($X28&lt;=EsikDevam,"DEVAM",IF($X28&lt;=EsikIzle,"İZLE",IF($X28&lt;=EsikLimitAzalt,"LİMİTİ AZALT",IF($X28&lt;=EsikPesin,"PEŞİN / TEMİNATLI","VADELİ SATIŞI DURDUR"))))</f>
        <v/>
      </c>
      <c r="W28" s="100">
        <f>IF($X28&gt;EsikKritik,"Yönetim onayı AND acil tahsilat planı",IF($X28&gt;EsikYuksek,"Yeni satışı teminata bağla",IF($X28&gt;EsikIzle,"Limit revizyonu AND tahsilatı hızlandır","Planlı izleme")))</f>
        <v/>
      </c>
      <c r="X28" s="100">
        <f>ROUND(MIN(100,SUM($N28+$O28+$P28+$Q28+$R28+$S28)),0)</f>
        <v/>
      </c>
    </row>
    <row r="29" ht="15.75" customHeight="1" s="55">
      <c r="A29" s="100">
        <f>MUSTERI_KARTLARI!$A29</f>
        <v/>
      </c>
      <c r="B29" s="100">
        <f>MUSTERI_KARTLARI!$B29</f>
        <v/>
      </c>
      <c r="C29" s="100">
        <f>SUMIFS(tblYaslandirma[Açık Tutar],tblYaslandirma[Müşteri Kodu],$A29)</f>
        <v/>
      </c>
      <c r="D29" s="100">
        <f>MUSTERI_KARTLARI!$I29+MUSTERI_KARTLARI!$J29</f>
        <v/>
      </c>
      <c r="E29" s="100">
        <f>$D29-$C29</f>
        <v/>
      </c>
      <c r="F29" s="100">
        <f>IFERROR($C29/$D29,1)</f>
        <v/>
      </c>
      <c r="G29" s="100">
        <f>SUMIFS(tblYaslandirma[Açık Tutar],tblYaslandirma[Müşteri Kodu],$A29,tblYaslandirma[Gecikme Günü],"&gt;0")</f>
        <v/>
      </c>
      <c r="H29" s="100">
        <f>IF($C29=0,0,$G29/$C29)</f>
        <v/>
      </c>
      <c r="I29" s="100">
        <f>_xlfn.MAXIFS(tblYaslandirma[Gecikme Günü],tblYaslandirma[Müşteri Kodu],$A29)</f>
        <v/>
      </c>
      <c r="J29" s="100">
        <f>SUMIFS(tblTeminatlar[Kabul Edilen Değer],tblTeminatlar[Müşteri Kodu],$A29)</f>
        <v/>
      </c>
      <c r="K29" s="100">
        <f>MAX(0,$C29-$J29)</f>
        <v/>
      </c>
      <c r="L29" s="100">
        <f>IF(SUM(tblRisk[Açık Bakiye])=0,0,$C29/SUM(tblRisk[Açık Bakiye]))</f>
        <v/>
      </c>
      <c r="M29" s="100">
        <f>SUMIFS(tblYaslandirma[İtirazlı Tutar],tblYaslandirma[Müşteri Kodu],$A29)</f>
        <v/>
      </c>
      <c r="N29" s="100">
        <f>MIN(GecikmeMaxPuan,$I29/YaslamaDilim3*GecikmeMaxPuan)</f>
        <v/>
      </c>
      <c r="O29" s="100">
        <f>MIN(VadeMaxPuan,$H29*VadeMaxPuan)</f>
        <v/>
      </c>
      <c r="P29" s="100">
        <f>MIN(LimitMaxPuan,$F29*LimitMaxPuan)</f>
        <v/>
      </c>
      <c r="Q29" s="100">
        <f>IF($C29=0,0,MIN(TeminatMaxPuan,$K29/$C29*TeminatMaxPuan))</f>
        <v/>
      </c>
      <c r="R29" s="100">
        <f>IF($C29=0,0,MIN(ItirazMaxPuan,$M29/$C29*ItirazMaxPuan))</f>
        <v/>
      </c>
      <c r="S29" s="100">
        <f>IF(MUSTERI_KARTLARI!$Q29="Askıda",StatufAskida,IF(MUSTERI_KARTLARI!$Q29="İzlemede",StatufIzleme,0))</f>
        <v/>
      </c>
      <c r="T29" s="100">
        <f>IF(MUSTERI_KARTLARI!$R29="OK",100,IF(MUSTERI_KARTLARI!$R29="EKSİK",VeriKalitesiEksik,0))</f>
        <v/>
      </c>
      <c r="U29" s="100">
        <f>IF($T29&gt;=GuvenYuksek,"YÜKSEK",IF($T29&gt;=GuvenOrta,"ORTA","DÜŞÜK"))</f>
        <v/>
      </c>
      <c r="V29" s="100">
        <f>IF($X29&lt;=EsikDevam,"DEVAM",IF($X29&lt;=EsikIzle,"İZLE",IF($X29&lt;=EsikLimitAzalt,"LİMİTİ AZALT",IF($X29&lt;=EsikPesin,"PEŞİN / TEMİNATLI","VADELİ SATIŞI DURDUR"))))</f>
        <v/>
      </c>
      <c r="W29" s="100">
        <f>IF($X29&gt;EsikKritik,"Yönetim onayı AND acil tahsilat planı",IF($X29&gt;EsikYuksek,"Yeni satışı teminata bağla",IF($X29&gt;EsikIzle,"Limit revizyonu AND tahsilatı hızlandır","Planlı izleme")))</f>
        <v/>
      </c>
      <c r="X29" s="100">
        <f>ROUND(MIN(100,SUM($N29+$O29+$P29+$Q29+$R29+$S29)),0)</f>
        <v/>
      </c>
    </row>
    <row r="30" ht="15.75" customHeight="1" s="55">
      <c r="A30" s="100">
        <f>MUSTERI_KARTLARI!$A30</f>
        <v/>
      </c>
      <c r="B30" s="100">
        <f>MUSTERI_KARTLARI!$B30</f>
        <v/>
      </c>
      <c r="C30" s="100">
        <f>SUMIFS(tblYaslandirma[Açık Tutar],tblYaslandirma[Müşteri Kodu],$A30)</f>
        <v/>
      </c>
      <c r="D30" s="100">
        <f>MUSTERI_KARTLARI!$I30+MUSTERI_KARTLARI!$J30</f>
        <v/>
      </c>
      <c r="E30" s="100">
        <f>$D30-$C30</f>
        <v/>
      </c>
      <c r="F30" s="100">
        <f>IFERROR($C30/$D30,1)</f>
        <v/>
      </c>
      <c r="G30" s="100">
        <f>SUMIFS(tblYaslandirma[Açık Tutar],tblYaslandirma[Müşteri Kodu],$A30,tblYaslandirma[Gecikme Günü],"&gt;0")</f>
        <v/>
      </c>
      <c r="H30" s="100">
        <f>IF($C30=0,0,$G30/$C30)</f>
        <v/>
      </c>
      <c r="I30" s="100">
        <f>_xlfn.MAXIFS(tblYaslandirma[Gecikme Günü],tblYaslandirma[Müşteri Kodu],$A30)</f>
        <v/>
      </c>
      <c r="J30" s="100">
        <f>SUMIFS(tblTeminatlar[Kabul Edilen Değer],tblTeminatlar[Müşteri Kodu],$A30)</f>
        <v/>
      </c>
      <c r="K30" s="100">
        <f>MAX(0,$C30-$J30)</f>
        <v/>
      </c>
      <c r="L30" s="100">
        <f>IF(SUM(tblRisk[Açık Bakiye])=0,0,$C30/SUM(tblRisk[Açık Bakiye]))</f>
        <v/>
      </c>
      <c r="M30" s="100">
        <f>SUMIFS(tblYaslandirma[İtirazlı Tutar],tblYaslandirma[Müşteri Kodu],$A30)</f>
        <v/>
      </c>
      <c r="N30" s="100">
        <f>MIN(GecikmeMaxPuan,$I30/YaslamaDilim3*GecikmeMaxPuan)</f>
        <v/>
      </c>
      <c r="O30" s="100">
        <f>MIN(VadeMaxPuan,$H30*VadeMaxPuan)</f>
        <v/>
      </c>
      <c r="P30" s="100">
        <f>MIN(LimitMaxPuan,$F30*LimitMaxPuan)</f>
        <v/>
      </c>
      <c r="Q30" s="100">
        <f>IF($C30=0,0,MIN(TeminatMaxPuan,$K30/$C30*TeminatMaxPuan))</f>
        <v/>
      </c>
      <c r="R30" s="100">
        <f>IF($C30=0,0,MIN(ItirazMaxPuan,$M30/$C30*ItirazMaxPuan))</f>
        <v/>
      </c>
      <c r="S30" s="100">
        <f>IF(MUSTERI_KARTLARI!$Q30="Askıda",StatufAskida,IF(MUSTERI_KARTLARI!$Q30="İzlemede",StatufIzleme,0))</f>
        <v/>
      </c>
      <c r="T30" s="100">
        <f>IF(MUSTERI_KARTLARI!$R30="OK",100,IF(MUSTERI_KARTLARI!$R30="EKSİK",VeriKalitesiEksik,0))</f>
        <v/>
      </c>
      <c r="U30" s="100">
        <f>IF($T30&gt;=GuvenYuksek,"YÜKSEK",IF($T30&gt;=GuvenOrta,"ORTA","DÜŞÜK"))</f>
        <v/>
      </c>
      <c r="V30" s="100">
        <f>IF($X30&lt;=EsikDevam,"DEVAM",IF($X30&lt;=EsikIzle,"İZLE",IF($X30&lt;=EsikLimitAzalt,"LİMİTİ AZALT",IF($X30&lt;=EsikPesin,"PEŞİN / TEMİNATLI","VADELİ SATIŞI DURDUR"))))</f>
        <v/>
      </c>
      <c r="W30" s="100">
        <f>IF($X30&gt;EsikKritik,"Yönetim onayı AND acil tahsilat planı",IF($X30&gt;EsikYuksek,"Yeni satışı teminata bağla",IF($X30&gt;EsikIzle,"Limit revizyonu AND tahsilatı hızlandır","Planlı izleme")))</f>
        <v/>
      </c>
      <c r="X30" s="100">
        <f>ROUND(MIN(100,SUM($N30+$O30+$P30+$Q30+$R30+$S30)),0)</f>
        <v/>
      </c>
    </row>
    <row r="31" ht="15.75" customHeight="1" s="55">
      <c r="A31" s="100">
        <f>MUSTERI_KARTLARI!$A31</f>
        <v/>
      </c>
      <c r="B31" s="100">
        <f>MUSTERI_KARTLARI!$B31</f>
        <v/>
      </c>
      <c r="C31" s="100">
        <f>SUMIFS(tblYaslandirma[Açık Tutar],tblYaslandirma[Müşteri Kodu],$A31)</f>
        <v/>
      </c>
      <c r="D31" s="100">
        <f>MUSTERI_KARTLARI!$I31+MUSTERI_KARTLARI!$J31</f>
        <v/>
      </c>
      <c r="E31" s="100">
        <f>$D31-$C31</f>
        <v/>
      </c>
      <c r="F31" s="100">
        <f>IFERROR($C31/$D31,1)</f>
        <v/>
      </c>
      <c r="G31" s="100">
        <f>SUMIFS(tblYaslandirma[Açık Tutar],tblYaslandirma[Müşteri Kodu],$A31,tblYaslandirma[Gecikme Günü],"&gt;0")</f>
        <v/>
      </c>
      <c r="H31" s="100">
        <f>IF($C31=0,0,$G31/$C31)</f>
        <v/>
      </c>
      <c r="I31" s="100">
        <f>_xlfn.MAXIFS(tblYaslandirma[Gecikme Günü],tblYaslandirma[Müşteri Kodu],$A31)</f>
        <v/>
      </c>
      <c r="J31" s="100">
        <f>SUMIFS(tblTeminatlar[Kabul Edilen Değer],tblTeminatlar[Müşteri Kodu],$A31)</f>
        <v/>
      </c>
      <c r="K31" s="100">
        <f>MAX(0,$C31-$J31)</f>
        <v/>
      </c>
      <c r="L31" s="100">
        <f>IF(SUM(tblRisk[Açık Bakiye])=0,0,$C31/SUM(tblRisk[Açık Bakiye]))</f>
        <v/>
      </c>
      <c r="M31" s="100">
        <f>SUMIFS(tblYaslandirma[İtirazlı Tutar],tblYaslandirma[Müşteri Kodu],$A31)</f>
        <v/>
      </c>
      <c r="N31" s="100">
        <f>MIN(GecikmeMaxPuan,$I31/YaslamaDilim3*GecikmeMaxPuan)</f>
        <v/>
      </c>
      <c r="O31" s="100">
        <f>MIN(VadeMaxPuan,$H31*VadeMaxPuan)</f>
        <v/>
      </c>
      <c r="P31" s="100">
        <f>MIN(LimitMaxPuan,$F31*LimitMaxPuan)</f>
        <v/>
      </c>
      <c r="Q31" s="100">
        <f>IF($C31=0,0,MIN(TeminatMaxPuan,$K31/$C31*TeminatMaxPuan))</f>
        <v/>
      </c>
      <c r="R31" s="100">
        <f>IF($C31=0,0,MIN(ItirazMaxPuan,$M31/$C31*ItirazMaxPuan))</f>
        <v/>
      </c>
      <c r="S31" s="100">
        <f>IF(MUSTERI_KARTLARI!$Q31="Askıda",StatufAskida,IF(MUSTERI_KARTLARI!$Q31="İzlemede",StatufIzleme,0))</f>
        <v/>
      </c>
      <c r="T31" s="100">
        <f>IF(MUSTERI_KARTLARI!$R31="OK",100,IF(MUSTERI_KARTLARI!$R31="EKSİK",VeriKalitesiEksik,0))</f>
        <v/>
      </c>
      <c r="U31" s="100">
        <f>IF($T31&gt;=GuvenYuksek,"YÜKSEK",IF($T31&gt;=GuvenOrta,"ORTA","DÜŞÜK"))</f>
        <v/>
      </c>
      <c r="V31" s="100">
        <f>IF($X31&lt;=EsikDevam,"DEVAM",IF($X31&lt;=EsikIzle,"İZLE",IF($X31&lt;=EsikLimitAzalt,"LİMİTİ AZALT",IF($X31&lt;=EsikPesin,"PEŞİN / TEMİNATLI","VADELİ SATIŞI DURDUR"))))</f>
        <v/>
      </c>
      <c r="W31" s="100">
        <f>IF($X31&gt;EsikKritik,"Yönetim onayı AND acil tahsilat planı",IF($X31&gt;EsikYuksek,"Yeni satışı teminata bağla",IF($X31&gt;EsikIzle,"Limit revizyonu AND tahsilatı hızlandır","Planlı izleme")))</f>
        <v/>
      </c>
      <c r="X31" s="100">
        <f>ROUND(MIN(100,SUM($N31+$O31+$P31+$Q31+$R31+$S31)),0)</f>
        <v/>
      </c>
    </row>
    <row r="32" ht="15.75" customHeight="1" s="55">
      <c r="A32" s="100">
        <f>MUSTERI_KARTLARI!$A32</f>
        <v/>
      </c>
      <c r="B32" s="100">
        <f>MUSTERI_KARTLARI!$B32</f>
        <v/>
      </c>
      <c r="C32" s="100">
        <f>SUMIFS(tblYaslandirma[Açık Tutar],tblYaslandirma[Müşteri Kodu],$A32)</f>
        <v/>
      </c>
      <c r="D32" s="100">
        <f>MUSTERI_KARTLARI!$I32+MUSTERI_KARTLARI!$J32</f>
        <v/>
      </c>
      <c r="E32" s="100">
        <f>$D32-$C32</f>
        <v/>
      </c>
      <c r="F32" s="100">
        <f>IFERROR($C32/$D32,1)</f>
        <v/>
      </c>
      <c r="G32" s="100">
        <f>SUMIFS(tblYaslandirma[Açık Tutar],tblYaslandirma[Müşteri Kodu],$A32,tblYaslandirma[Gecikme Günü],"&gt;0")</f>
        <v/>
      </c>
      <c r="H32" s="100">
        <f>IF($C32=0,0,$G32/$C32)</f>
        <v/>
      </c>
      <c r="I32" s="100">
        <f>_xlfn.MAXIFS(tblYaslandirma[Gecikme Günü],tblYaslandirma[Müşteri Kodu],$A32)</f>
        <v/>
      </c>
      <c r="J32" s="100">
        <f>SUMIFS(tblTeminatlar[Kabul Edilen Değer],tblTeminatlar[Müşteri Kodu],$A32)</f>
        <v/>
      </c>
      <c r="K32" s="100">
        <f>MAX(0,$C32-$J32)</f>
        <v/>
      </c>
      <c r="L32" s="100">
        <f>IF(SUM(tblRisk[Açık Bakiye])=0,0,$C32/SUM(tblRisk[Açık Bakiye]))</f>
        <v/>
      </c>
      <c r="M32" s="100">
        <f>SUMIFS(tblYaslandirma[İtirazlı Tutar],tblYaslandirma[Müşteri Kodu],$A32)</f>
        <v/>
      </c>
      <c r="N32" s="100">
        <f>MIN(GecikmeMaxPuan,$I32/YaslamaDilim3*GecikmeMaxPuan)</f>
        <v/>
      </c>
      <c r="O32" s="100">
        <f>MIN(VadeMaxPuan,$H32*VadeMaxPuan)</f>
        <v/>
      </c>
      <c r="P32" s="100">
        <f>MIN(LimitMaxPuan,$F32*LimitMaxPuan)</f>
        <v/>
      </c>
      <c r="Q32" s="100">
        <f>IF($C32=0,0,MIN(TeminatMaxPuan,$K32/$C32*TeminatMaxPuan))</f>
        <v/>
      </c>
      <c r="R32" s="100">
        <f>IF($C32=0,0,MIN(ItirazMaxPuan,$M32/$C32*ItirazMaxPuan))</f>
        <v/>
      </c>
      <c r="S32" s="100">
        <f>IF(MUSTERI_KARTLARI!$Q32="Askıda",StatufAskida,IF(MUSTERI_KARTLARI!$Q32="İzlemede",StatufIzleme,0))</f>
        <v/>
      </c>
      <c r="T32" s="100">
        <f>IF(MUSTERI_KARTLARI!$R32="OK",100,IF(MUSTERI_KARTLARI!$R32="EKSİK",VeriKalitesiEksik,0))</f>
        <v/>
      </c>
      <c r="U32" s="100">
        <f>IF($T32&gt;=GuvenYuksek,"YÜKSEK",IF($T32&gt;=GuvenOrta,"ORTA","DÜŞÜK"))</f>
        <v/>
      </c>
      <c r="V32" s="100">
        <f>IF($X32&lt;=EsikDevam,"DEVAM",IF($X32&lt;=EsikIzle,"İZLE",IF($X32&lt;=EsikLimitAzalt,"LİMİTİ AZALT",IF($X32&lt;=EsikPesin,"PEŞİN / TEMİNATLI","VADELİ SATIŞI DURDUR"))))</f>
        <v/>
      </c>
      <c r="W32" s="100">
        <f>IF($X32&gt;EsikKritik,"Yönetim onayı AND acil tahsilat planı",IF($X32&gt;EsikYuksek,"Yeni satışı teminata bağla",IF($X32&gt;EsikIzle,"Limit revizyonu AND tahsilatı hızlandır","Planlı izleme")))</f>
        <v/>
      </c>
      <c r="X32" s="100">
        <f>ROUND(MIN(100,SUM($N32+$O32+$P32+$Q32+$R32+$S32)),0)</f>
        <v/>
      </c>
    </row>
    <row r="33" ht="15.75" customHeight="1" s="55">
      <c r="A33" s="100">
        <f>MUSTERI_KARTLARI!$A33</f>
        <v/>
      </c>
      <c r="B33" s="100">
        <f>MUSTERI_KARTLARI!$B33</f>
        <v/>
      </c>
      <c r="C33" s="100">
        <f>SUMIFS(tblYaslandirma[Açık Tutar],tblYaslandirma[Müşteri Kodu],$A33)</f>
        <v/>
      </c>
      <c r="D33" s="100">
        <f>MUSTERI_KARTLARI!$I33+MUSTERI_KARTLARI!$J33</f>
        <v/>
      </c>
      <c r="E33" s="100">
        <f>$D33-$C33</f>
        <v/>
      </c>
      <c r="F33" s="100">
        <f>IFERROR($C33/$D33,1)</f>
        <v/>
      </c>
      <c r="G33" s="100">
        <f>SUMIFS(tblYaslandirma[Açık Tutar],tblYaslandirma[Müşteri Kodu],$A33,tblYaslandirma[Gecikme Günü],"&gt;0")</f>
        <v/>
      </c>
      <c r="H33" s="100">
        <f>IF($C33=0,0,$G33/$C33)</f>
        <v/>
      </c>
      <c r="I33" s="100">
        <f>_xlfn.MAXIFS(tblYaslandirma[Gecikme Günü],tblYaslandirma[Müşteri Kodu],$A33)</f>
        <v/>
      </c>
      <c r="J33" s="100">
        <f>SUMIFS(tblTeminatlar[Kabul Edilen Değer],tblTeminatlar[Müşteri Kodu],$A33)</f>
        <v/>
      </c>
      <c r="K33" s="100">
        <f>MAX(0,$C33-$J33)</f>
        <v/>
      </c>
      <c r="L33" s="100">
        <f>IF(SUM(tblRisk[Açık Bakiye])=0,0,$C33/SUM(tblRisk[Açık Bakiye]))</f>
        <v/>
      </c>
      <c r="M33" s="100">
        <f>SUMIFS(tblYaslandirma[İtirazlı Tutar],tblYaslandirma[Müşteri Kodu],$A33)</f>
        <v/>
      </c>
      <c r="N33" s="100">
        <f>MIN(GecikmeMaxPuan,$I33/YaslamaDilim3*GecikmeMaxPuan)</f>
        <v/>
      </c>
      <c r="O33" s="100">
        <f>MIN(VadeMaxPuan,$H33*VadeMaxPuan)</f>
        <v/>
      </c>
      <c r="P33" s="100">
        <f>MIN(LimitMaxPuan,$F33*LimitMaxPuan)</f>
        <v/>
      </c>
      <c r="Q33" s="100">
        <f>IF($C33=0,0,MIN(TeminatMaxPuan,$K33/$C33*TeminatMaxPuan))</f>
        <v/>
      </c>
      <c r="R33" s="100">
        <f>IF($C33=0,0,MIN(ItirazMaxPuan,$M33/$C33*ItirazMaxPuan))</f>
        <v/>
      </c>
      <c r="S33" s="100">
        <f>IF(MUSTERI_KARTLARI!$Q33="Askıda",StatufAskida,IF(MUSTERI_KARTLARI!$Q33="İzlemede",StatufIzleme,0))</f>
        <v/>
      </c>
      <c r="T33" s="100">
        <f>IF(MUSTERI_KARTLARI!$R33="OK",100,IF(MUSTERI_KARTLARI!$R33="EKSİK",VeriKalitesiEksik,0))</f>
        <v/>
      </c>
      <c r="U33" s="100">
        <f>IF($T33&gt;=GuvenYuksek,"YÜKSEK",IF($T33&gt;=GuvenOrta,"ORTA","DÜŞÜK"))</f>
        <v/>
      </c>
      <c r="V33" s="100">
        <f>IF($X33&lt;=EsikDevam,"DEVAM",IF($X33&lt;=EsikIzle,"İZLE",IF($X33&lt;=EsikLimitAzalt,"LİMİTİ AZALT",IF($X33&lt;=EsikPesin,"PEŞİN / TEMİNATLI","VADELİ SATIŞI DURDUR"))))</f>
        <v/>
      </c>
      <c r="W33" s="100">
        <f>IF($X33&gt;EsikKritik,"Yönetim onayı AND acil tahsilat planı",IF($X33&gt;EsikYuksek,"Yeni satışı teminata bağla",IF($X33&gt;EsikIzle,"Limit revizyonu AND tahsilatı hızlandır","Planlı izleme")))</f>
        <v/>
      </c>
      <c r="X33" s="100">
        <f>ROUND(MIN(100,SUM($N33+$O33+$P33+$Q33+$R33+$S33)),0)</f>
        <v/>
      </c>
    </row>
    <row r="34" ht="15.75" customHeight="1" s="55">
      <c r="A34" s="100">
        <f>MUSTERI_KARTLARI!$A34</f>
        <v/>
      </c>
      <c r="B34" s="100">
        <f>MUSTERI_KARTLARI!$B34</f>
        <v/>
      </c>
      <c r="C34" s="100">
        <f>SUMIFS(tblYaslandirma[Açık Tutar],tblYaslandirma[Müşteri Kodu],$A34)</f>
        <v/>
      </c>
      <c r="D34" s="100">
        <f>MUSTERI_KARTLARI!$I34+MUSTERI_KARTLARI!$J34</f>
        <v/>
      </c>
      <c r="E34" s="100">
        <f>$D34-$C34</f>
        <v/>
      </c>
      <c r="F34" s="100">
        <f>IFERROR($C34/$D34,1)</f>
        <v/>
      </c>
      <c r="G34" s="100">
        <f>SUMIFS(tblYaslandirma[Açık Tutar],tblYaslandirma[Müşteri Kodu],$A34,tblYaslandirma[Gecikme Günü],"&gt;0")</f>
        <v/>
      </c>
      <c r="H34" s="100">
        <f>IF($C34=0,0,$G34/$C34)</f>
        <v/>
      </c>
      <c r="I34" s="100">
        <f>_xlfn.MAXIFS(tblYaslandirma[Gecikme Günü],tblYaslandirma[Müşteri Kodu],$A34)</f>
        <v/>
      </c>
      <c r="J34" s="100">
        <f>SUMIFS(tblTeminatlar[Kabul Edilen Değer],tblTeminatlar[Müşteri Kodu],$A34)</f>
        <v/>
      </c>
      <c r="K34" s="100">
        <f>MAX(0,$C34-$J34)</f>
        <v/>
      </c>
      <c r="L34" s="100">
        <f>IF(SUM(tblRisk[Açık Bakiye])=0,0,$C34/SUM(tblRisk[Açık Bakiye]))</f>
        <v/>
      </c>
      <c r="M34" s="100">
        <f>SUMIFS(tblYaslandirma[İtirazlı Tutar],tblYaslandirma[Müşteri Kodu],$A34)</f>
        <v/>
      </c>
      <c r="N34" s="100">
        <f>MIN(GecikmeMaxPuan,$I34/YaslamaDilim3*GecikmeMaxPuan)</f>
        <v/>
      </c>
      <c r="O34" s="100">
        <f>MIN(VadeMaxPuan,$H34*VadeMaxPuan)</f>
        <v/>
      </c>
      <c r="P34" s="100">
        <f>MIN(LimitMaxPuan,$F34*LimitMaxPuan)</f>
        <v/>
      </c>
      <c r="Q34" s="100">
        <f>IF($C34=0,0,MIN(TeminatMaxPuan,$K34/$C34*TeminatMaxPuan))</f>
        <v/>
      </c>
      <c r="R34" s="100">
        <f>IF($C34=0,0,MIN(ItirazMaxPuan,$M34/$C34*ItirazMaxPuan))</f>
        <v/>
      </c>
      <c r="S34" s="100">
        <f>IF(MUSTERI_KARTLARI!$Q34="Askıda",StatufAskida,IF(MUSTERI_KARTLARI!$Q34="İzlemede",StatufIzleme,0))</f>
        <v/>
      </c>
      <c r="T34" s="100">
        <f>IF(MUSTERI_KARTLARI!$R34="OK",100,IF(MUSTERI_KARTLARI!$R34="EKSİK",VeriKalitesiEksik,0))</f>
        <v/>
      </c>
      <c r="U34" s="100">
        <f>IF($T34&gt;=GuvenYuksek,"YÜKSEK",IF($T34&gt;=GuvenOrta,"ORTA","DÜŞÜK"))</f>
        <v/>
      </c>
      <c r="V34" s="100">
        <f>IF($X34&lt;=EsikDevam,"DEVAM",IF($X34&lt;=EsikIzle,"İZLE",IF($X34&lt;=EsikLimitAzalt,"LİMİTİ AZALT",IF($X34&lt;=EsikPesin,"PEŞİN / TEMİNATLI","VADELİ SATIŞI DURDUR"))))</f>
        <v/>
      </c>
      <c r="W34" s="100">
        <f>IF($X34&gt;EsikKritik,"Yönetim onayı AND acil tahsilat planı",IF($X34&gt;EsikYuksek,"Yeni satışı teminata bağla",IF($X34&gt;EsikIzle,"Limit revizyonu AND tahsilatı hızlandır","Planlı izleme")))</f>
        <v/>
      </c>
      <c r="X34" s="100">
        <f>ROUND(MIN(100,SUM($N34+$O34+$P34+$Q34+$R34+$S34)),0)</f>
        <v/>
      </c>
    </row>
    <row r="35" ht="15.75" customHeight="1" s="55">
      <c r="A35" s="100">
        <f>MUSTERI_KARTLARI!$A35</f>
        <v/>
      </c>
      <c r="B35" s="100">
        <f>MUSTERI_KARTLARI!$B35</f>
        <v/>
      </c>
      <c r="C35" s="100">
        <f>SUMIFS(tblYaslandirma[Açık Tutar],tblYaslandirma[Müşteri Kodu],$A35)</f>
        <v/>
      </c>
      <c r="D35" s="100">
        <f>MUSTERI_KARTLARI!$I35+MUSTERI_KARTLARI!$J35</f>
        <v/>
      </c>
      <c r="E35" s="100">
        <f>$D35-$C35</f>
        <v/>
      </c>
      <c r="F35" s="100">
        <f>IFERROR($C35/$D35,1)</f>
        <v/>
      </c>
      <c r="G35" s="100">
        <f>SUMIFS(tblYaslandirma[Açık Tutar],tblYaslandirma[Müşteri Kodu],$A35,tblYaslandirma[Gecikme Günü],"&gt;0")</f>
        <v/>
      </c>
      <c r="H35" s="100">
        <f>IF($C35=0,0,$G35/$C35)</f>
        <v/>
      </c>
      <c r="I35" s="100">
        <f>_xlfn.MAXIFS(tblYaslandirma[Gecikme Günü],tblYaslandirma[Müşteri Kodu],$A35)</f>
        <v/>
      </c>
      <c r="J35" s="100">
        <f>SUMIFS(tblTeminatlar[Kabul Edilen Değer],tblTeminatlar[Müşteri Kodu],$A35)</f>
        <v/>
      </c>
      <c r="K35" s="100">
        <f>MAX(0,$C35-$J35)</f>
        <v/>
      </c>
      <c r="L35" s="100">
        <f>IF(SUM(tblRisk[Açık Bakiye])=0,0,$C35/SUM(tblRisk[Açık Bakiye]))</f>
        <v/>
      </c>
      <c r="M35" s="100">
        <f>SUMIFS(tblYaslandirma[İtirazlı Tutar],tblYaslandirma[Müşteri Kodu],$A35)</f>
        <v/>
      </c>
      <c r="N35" s="100">
        <f>MIN(GecikmeMaxPuan,$I35/YaslamaDilim3*GecikmeMaxPuan)</f>
        <v/>
      </c>
      <c r="O35" s="100">
        <f>MIN(VadeMaxPuan,$H35*VadeMaxPuan)</f>
        <v/>
      </c>
      <c r="P35" s="100">
        <f>MIN(LimitMaxPuan,$F35*LimitMaxPuan)</f>
        <v/>
      </c>
      <c r="Q35" s="100">
        <f>IF($C35=0,0,MIN(TeminatMaxPuan,$K35/$C35*TeminatMaxPuan))</f>
        <v/>
      </c>
      <c r="R35" s="100">
        <f>IF($C35=0,0,MIN(ItirazMaxPuan,$M35/$C35*ItirazMaxPuan))</f>
        <v/>
      </c>
      <c r="S35" s="100">
        <f>IF(MUSTERI_KARTLARI!$Q35="Askıda",StatufAskida,IF(MUSTERI_KARTLARI!$Q35="İzlemede",StatufIzleme,0))</f>
        <v/>
      </c>
      <c r="T35" s="100">
        <f>IF(MUSTERI_KARTLARI!$R35="OK",100,IF(MUSTERI_KARTLARI!$R35="EKSİK",VeriKalitesiEksik,0))</f>
        <v/>
      </c>
      <c r="U35" s="100">
        <f>IF($T35&gt;=GuvenYuksek,"YÜKSEK",IF($T35&gt;=GuvenOrta,"ORTA","DÜŞÜK"))</f>
        <v/>
      </c>
      <c r="V35" s="100">
        <f>IF($X35&lt;=EsikDevam,"DEVAM",IF($X35&lt;=EsikIzle,"İZLE",IF($X35&lt;=EsikLimitAzalt,"LİMİTİ AZALT",IF($X35&lt;=EsikPesin,"PEŞİN / TEMİNATLI","VADELİ SATIŞI DURDUR"))))</f>
        <v/>
      </c>
      <c r="W35" s="100">
        <f>IF($X35&gt;EsikKritik,"Yönetim onayı AND acil tahsilat planı",IF($X35&gt;EsikYuksek,"Yeni satışı teminata bağla",IF($X35&gt;EsikIzle,"Limit revizyonu AND tahsilatı hızlandır","Planlı izleme")))</f>
        <v/>
      </c>
      <c r="X35" s="100">
        <f>ROUND(MIN(100,SUM($N35+$O35+$P35+$Q35+$R35+$S35)),0)</f>
        <v/>
      </c>
    </row>
    <row r="36" ht="15.75" customHeight="1" s="55">
      <c r="A36" s="100">
        <f>MUSTERI_KARTLARI!$A36</f>
        <v/>
      </c>
      <c r="B36" s="100">
        <f>MUSTERI_KARTLARI!$B36</f>
        <v/>
      </c>
      <c r="C36" s="100">
        <f>SUMIFS(tblYaslandirma[Açık Tutar],tblYaslandirma[Müşteri Kodu],$A36)</f>
        <v/>
      </c>
      <c r="D36" s="100">
        <f>MUSTERI_KARTLARI!$I36+MUSTERI_KARTLARI!$J36</f>
        <v/>
      </c>
      <c r="E36" s="100">
        <f>$D36-$C36</f>
        <v/>
      </c>
      <c r="F36" s="100">
        <f>IFERROR($C36/$D36,1)</f>
        <v/>
      </c>
      <c r="G36" s="100">
        <f>SUMIFS(tblYaslandirma[Açık Tutar],tblYaslandirma[Müşteri Kodu],$A36,tblYaslandirma[Gecikme Günü],"&gt;0")</f>
        <v/>
      </c>
      <c r="H36" s="100">
        <f>IF($C36=0,0,$G36/$C36)</f>
        <v/>
      </c>
      <c r="I36" s="100">
        <f>_xlfn.MAXIFS(tblYaslandirma[Gecikme Günü],tblYaslandirma[Müşteri Kodu],$A36)</f>
        <v/>
      </c>
      <c r="J36" s="100">
        <f>SUMIFS(tblTeminatlar[Kabul Edilen Değer],tblTeminatlar[Müşteri Kodu],$A36)</f>
        <v/>
      </c>
      <c r="K36" s="100">
        <f>MAX(0,$C36-$J36)</f>
        <v/>
      </c>
      <c r="L36" s="100">
        <f>IF(SUM(tblRisk[Açık Bakiye])=0,0,$C36/SUM(tblRisk[Açık Bakiye]))</f>
        <v/>
      </c>
      <c r="M36" s="100">
        <f>SUMIFS(tblYaslandirma[İtirazlı Tutar],tblYaslandirma[Müşteri Kodu],$A36)</f>
        <v/>
      </c>
      <c r="N36" s="100">
        <f>MIN(GecikmeMaxPuan,$I36/YaslamaDilim3*GecikmeMaxPuan)</f>
        <v/>
      </c>
      <c r="O36" s="100">
        <f>MIN(VadeMaxPuan,$H36*VadeMaxPuan)</f>
        <v/>
      </c>
      <c r="P36" s="100">
        <f>MIN(LimitMaxPuan,$F36*LimitMaxPuan)</f>
        <v/>
      </c>
      <c r="Q36" s="100">
        <f>IF($C36=0,0,MIN(TeminatMaxPuan,$K36/$C36*TeminatMaxPuan))</f>
        <v/>
      </c>
      <c r="R36" s="100">
        <f>IF($C36=0,0,MIN(ItirazMaxPuan,$M36/$C36*ItirazMaxPuan))</f>
        <v/>
      </c>
      <c r="S36" s="100">
        <f>IF(MUSTERI_KARTLARI!$Q36="Askıda",StatufAskida,IF(MUSTERI_KARTLARI!$Q36="İzlemede",StatufIzleme,0))</f>
        <v/>
      </c>
      <c r="T36" s="100">
        <f>IF(MUSTERI_KARTLARI!$R36="OK",100,IF(MUSTERI_KARTLARI!$R36="EKSİK",VeriKalitesiEksik,0))</f>
        <v/>
      </c>
      <c r="U36" s="100">
        <f>IF($T36&gt;=GuvenYuksek,"YÜKSEK",IF($T36&gt;=GuvenOrta,"ORTA","DÜŞÜK"))</f>
        <v/>
      </c>
      <c r="V36" s="100">
        <f>IF($X36&lt;=EsikDevam,"DEVAM",IF($X36&lt;=EsikIzle,"İZLE",IF($X36&lt;=EsikLimitAzalt,"LİMİTİ AZALT",IF($X36&lt;=EsikPesin,"PEŞİN / TEMİNATLI","VADELİ SATIŞI DURDUR"))))</f>
        <v/>
      </c>
      <c r="W36" s="100">
        <f>IF($X36&gt;EsikKritik,"Yönetim onayı AND acil tahsilat planı",IF($X36&gt;EsikYuksek,"Yeni satışı teminata bağla",IF($X36&gt;EsikIzle,"Limit revizyonu AND tahsilatı hızlandır","Planlı izleme")))</f>
        <v/>
      </c>
      <c r="X36" s="100">
        <f>ROUND(MIN(100,SUM($N36+$O36+$P36+$Q36+$R36+$S36)),0)</f>
        <v/>
      </c>
    </row>
    <row r="37" ht="15.75" customHeight="1" s="55">
      <c r="A37" s="100">
        <f>MUSTERI_KARTLARI!$A37</f>
        <v/>
      </c>
      <c r="B37" s="100">
        <f>MUSTERI_KARTLARI!$B37</f>
        <v/>
      </c>
      <c r="C37" s="100">
        <f>SUMIFS(tblYaslandirma[Açık Tutar],tblYaslandirma[Müşteri Kodu],$A37)</f>
        <v/>
      </c>
      <c r="D37" s="100">
        <f>MUSTERI_KARTLARI!$I37+MUSTERI_KARTLARI!$J37</f>
        <v/>
      </c>
      <c r="E37" s="100">
        <f>$D37-$C37</f>
        <v/>
      </c>
      <c r="F37" s="100">
        <f>IFERROR($C37/$D37,1)</f>
        <v/>
      </c>
      <c r="G37" s="100">
        <f>SUMIFS(tblYaslandirma[Açık Tutar],tblYaslandirma[Müşteri Kodu],$A37,tblYaslandirma[Gecikme Günü],"&gt;0")</f>
        <v/>
      </c>
      <c r="H37" s="100">
        <f>IF($C37=0,0,$G37/$C37)</f>
        <v/>
      </c>
      <c r="I37" s="100">
        <f>_xlfn.MAXIFS(tblYaslandirma[Gecikme Günü],tblYaslandirma[Müşteri Kodu],$A37)</f>
        <v/>
      </c>
      <c r="J37" s="100">
        <f>SUMIFS(tblTeminatlar[Kabul Edilen Değer],tblTeminatlar[Müşteri Kodu],$A37)</f>
        <v/>
      </c>
      <c r="K37" s="100">
        <f>MAX(0,$C37-$J37)</f>
        <v/>
      </c>
      <c r="L37" s="100">
        <f>IF(SUM(tblRisk[Açık Bakiye])=0,0,$C37/SUM(tblRisk[Açık Bakiye]))</f>
        <v/>
      </c>
      <c r="M37" s="100">
        <f>SUMIFS(tblYaslandirma[İtirazlı Tutar],tblYaslandirma[Müşteri Kodu],$A37)</f>
        <v/>
      </c>
      <c r="N37" s="100">
        <f>MIN(GecikmeMaxPuan,$I37/YaslamaDilim3*GecikmeMaxPuan)</f>
        <v/>
      </c>
      <c r="O37" s="100">
        <f>MIN(VadeMaxPuan,$H37*VadeMaxPuan)</f>
        <v/>
      </c>
      <c r="P37" s="100">
        <f>MIN(LimitMaxPuan,$F37*LimitMaxPuan)</f>
        <v/>
      </c>
      <c r="Q37" s="100">
        <f>IF($C37=0,0,MIN(TeminatMaxPuan,$K37/$C37*TeminatMaxPuan))</f>
        <v/>
      </c>
      <c r="R37" s="100">
        <f>IF($C37=0,0,MIN(ItirazMaxPuan,$M37/$C37*ItirazMaxPuan))</f>
        <v/>
      </c>
      <c r="S37" s="100">
        <f>IF(MUSTERI_KARTLARI!$Q37="Askıda",StatufAskida,IF(MUSTERI_KARTLARI!$Q37="İzlemede",StatufIzleme,0))</f>
        <v/>
      </c>
      <c r="T37" s="100">
        <f>IF(MUSTERI_KARTLARI!$R37="OK",100,IF(MUSTERI_KARTLARI!$R37="EKSİK",VeriKalitesiEksik,0))</f>
        <v/>
      </c>
      <c r="U37" s="100">
        <f>IF($T37&gt;=GuvenYuksek,"YÜKSEK",IF($T37&gt;=GuvenOrta,"ORTA","DÜŞÜK"))</f>
        <v/>
      </c>
      <c r="V37" s="100">
        <f>IF($X37&lt;=EsikDevam,"DEVAM",IF($X37&lt;=EsikIzle,"İZLE",IF($X37&lt;=EsikLimitAzalt,"LİMİTİ AZALT",IF($X37&lt;=EsikPesin,"PEŞİN / TEMİNATLI","VADELİ SATIŞI DURDUR"))))</f>
        <v/>
      </c>
      <c r="W37" s="100">
        <f>IF($X37&gt;EsikKritik,"Yönetim onayı AND acil tahsilat planı",IF($X37&gt;EsikYuksek,"Yeni satışı teminata bağla",IF($X37&gt;EsikIzle,"Limit revizyonu AND tahsilatı hızlandır","Planlı izleme")))</f>
        <v/>
      </c>
      <c r="X37" s="100">
        <f>ROUND(MIN(100,SUM($N37+$O37+$P37+$Q37+$R37+$S37)),0)</f>
        <v/>
      </c>
    </row>
    <row r="38" ht="15.75" customHeight="1" s="55">
      <c r="A38" s="100">
        <f>MUSTERI_KARTLARI!$A38</f>
        <v/>
      </c>
      <c r="B38" s="100">
        <f>MUSTERI_KARTLARI!$B38</f>
        <v/>
      </c>
      <c r="C38" s="100">
        <f>SUMIFS(tblYaslandirma[Açık Tutar],tblYaslandirma[Müşteri Kodu],$A38)</f>
        <v/>
      </c>
      <c r="D38" s="100">
        <f>MUSTERI_KARTLARI!$I38+MUSTERI_KARTLARI!$J38</f>
        <v/>
      </c>
      <c r="E38" s="100">
        <f>$D38-$C38</f>
        <v/>
      </c>
      <c r="F38" s="100">
        <f>IFERROR($C38/$D38,1)</f>
        <v/>
      </c>
      <c r="G38" s="100">
        <f>SUMIFS(tblYaslandirma[Açık Tutar],tblYaslandirma[Müşteri Kodu],$A38,tblYaslandirma[Gecikme Günü],"&gt;0")</f>
        <v/>
      </c>
      <c r="H38" s="100">
        <f>IF($C38=0,0,$G38/$C38)</f>
        <v/>
      </c>
      <c r="I38" s="100">
        <f>_xlfn.MAXIFS(tblYaslandirma[Gecikme Günü],tblYaslandirma[Müşteri Kodu],$A38)</f>
        <v/>
      </c>
      <c r="J38" s="100">
        <f>SUMIFS(tblTeminatlar[Kabul Edilen Değer],tblTeminatlar[Müşteri Kodu],$A38)</f>
        <v/>
      </c>
      <c r="K38" s="100">
        <f>MAX(0,$C38-$J38)</f>
        <v/>
      </c>
      <c r="L38" s="100">
        <f>IF(SUM(tblRisk[Açık Bakiye])=0,0,$C38/SUM(tblRisk[Açık Bakiye]))</f>
        <v/>
      </c>
      <c r="M38" s="100">
        <f>SUMIFS(tblYaslandirma[İtirazlı Tutar],tblYaslandirma[Müşteri Kodu],$A38)</f>
        <v/>
      </c>
      <c r="N38" s="100">
        <f>MIN(GecikmeMaxPuan,$I38/YaslamaDilim3*GecikmeMaxPuan)</f>
        <v/>
      </c>
      <c r="O38" s="100">
        <f>MIN(VadeMaxPuan,$H38*VadeMaxPuan)</f>
        <v/>
      </c>
      <c r="P38" s="100">
        <f>MIN(LimitMaxPuan,$F38*LimitMaxPuan)</f>
        <v/>
      </c>
      <c r="Q38" s="100">
        <f>IF($C38=0,0,MIN(TeminatMaxPuan,$K38/$C38*TeminatMaxPuan))</f>
        <v/>
      </c>
      <c r="R38" s="100">
        <f>IF($C38=0,0,MIN(ItirazMaxPuan,$M38/$C38*ItirazMaxPuan))</f>
        <v/>
      </c>
      <c r="S38" s="100">
        <f>IF(MUSTERI_KARTLARI!$Q38="Askıda",StatufAskida,IF(MUSTERI_KARTLARI!$Q38="İzlemede",StatufIzleme,0))</f>
        <v/>
      </c>
      <c r="T38" s="100">
        <f>IF(MUSTERI_KARTLARI!$R38="OK",100,IF(MUSTERI_KARTLARI!$R38="EKSİK",VeriKalitesiEksik,0))</f>
        <v/>
      </c>
      <c r="U38" s="100">
        <f>IF($T38&gt;=GuvenYuksek,"YÜKSEK",IF($T38&gt;=GuvenOrta,"ORTA","DÜŞÜK"))</f>
        <v/>
      </c>
      <c r="V38" s="100">
        <f>IF($X38&lt;=EsikDevam,"DEVAM",IF($X38&lt;=EsikIzle,"İZLE",IF($X38&lt;=EsikLimitAzalt,"LİMİTİ AZALT",IF($X38&lt;=EsikPesin,"PEŞİN / TEMİNATLI","VADELİ SATIŞI DURDUR"))))</f>
        <v/>
      </c>
      <c r="W38" s="100">
        <f>IF($X38&gt;EsikKritik,"Yönetim onayı AND acil tahsilat planı",IF($X38&gt;EsikYuksek,"Yeni satışı teminata bağla",IF($X38&gt;EsikIzle,"Limit revizyonu AND tahsilatı hızlandır","Planlı izleme")))</f>
        <v/>
      </c>
      <c r="X38" s="100">
        <f>ROUND(MIN(100,SUM($N38+$O38+$P38+$Q38+$R38+$S38)),0)</f>
        <v/>
      </c>
    </row>
    <row r="39" ht="15.75" customHeight="1" s="55">
      <c r="A39" s="100">
        <f>MUSTERI_KARTLARI!$A39</f>
        <v/>
      </c>
      <c r="B39" s="100">
        <f>MUSTERI_KARTLARI!$B39</f>
        <v/>
      </c>
      <c r="C39" s="100">
        <f>SUMIFS(tblYaslandirma[Açık Tutar],tblYaslandirma[Müşteri Kodu],$A39)</f>
        <v/>
      </c>
      <c r="D39" s="100">
        <f>MUSTERI_KARTLARI!$I39+MUSTERI_KARTLARI!$J39</f>
        <v/>
      </c>
      <c r="E39" s="100">
        <f>$D39-$C39</f>
        <v/>
      </c>
      <c r="F39" s="100">
        <f>IFERROR($C39/$D39,1)</f>
        <v/>
      </c>
      <c r="G39" s="100">
        <f>SUMIFS(tblYaslandirma[Açık Tutar],tblYaslandirma[Müşteri Kodu],$A39,tblYaslandirma[Gecikme Günü],"&gt;0")</f>
        <v/>
      </c>
      <c r="H39" s="100">
        <f>IF($C39=0,0,$G39/$C39)</f>
        <v/>
      </c>
      <c r="I39" s="100">
        <f>_xlfn.MAXIFS(tblYaslandirma[Gecikme Günü],tblYaslandirma[Müşteri Kodu],$A39)</f>
        <v/>
      </c>
      <c r="J39" s="100">
        <f>SUMIFS(tblTeminatlar[Kabul Edilen Değer],tblTeminatlar[Müşteri Kodu],$A39)</f>
        <v/>
      </c>
      <c r="K39" s="100">
        <f>MAX(0,$C39-$J39)</f>
        <v/>
      </c>
      <c r="L39" s="100">
        <f>IF(SUM(tblRisk[Açık Bakiye])=0,0,$C39/SUM(tblRisk[Açık Bakiye]))</f>
        <v/>
      </c>
      <c r="M39" s="100">
        <f>SUMIFS(tblYaslandirma[İtirazlı Tutar],tblYaslandirma[Müşteri Kodu],$A39)</f>
        <v/>
      </c>
      <c r="N39" s="100">
        <f>MIN(GecikmeMaxPuan,$I39/YaslamaDilim3*GecikmeMaxPuan)</f>
        <v/>
      </c>
      <c r="O39" s="100">
        <f>MIN(VadeMaxPuan,$H39*VadeMaxPuan)</f>
        <v/>
      </c>
      <c r="P39" s="100">
        <f>MIN(LimitMaxPuan,$F39*LimitMaxPuan)</f>
        <v/>
      </c>
      <c r="Q39" s="100">
        <f>IF($C39=0,0,MIN(TeminatMaxPuan,$K39/$C39*TeminatMaxPuan))</f>
        <v/>
      </c>
      <c r="R39" s="100">
        <f>IF($C39=0,0,MIN(ItirazMaxPuan,$M39/$C39*ItirazMaxPuan))</f>
        <v/>
      </c>
      <c r="S39" s="100">
        <f>IF(MUSTERI_KARTLARI!$Q39="Askıda",StatufAskida,IF(MUSTERI_KARTLARI!$Q39="İzlemede",StatufIzleme,0))</f>
        <v/>
      </c>
      <c r="T39" s="100">
        <f>IF(MUSTERI_KARTLARI!$R39="OK",100,IF(MUSTERI_KARTLARI!$R39="EKSİK",VeriKalitesiEksik,0))</f>
        <v/>
      </c>
      <c r="U39" s="100">
        <f>IF($T39&gt;=GuvenYuksek,"YÜKSEK",IF($T39&gt;=GuvenOrta,"ORTA","DÜŞÜK"))</f>
        <v/>
      </c>
      <c r="V39" s="100">
        <f>IF($X39&lt;=EsikDevam,"DEVAM",IF($X39&lt;=EsikIzle,"İZLE",IF($X39&lt;=EsikLimitAzalt,"LİMİTİ AZALT",IF($X39&lt;=EsikPesin,"PEŞİN / TEMİNATLI","VADELİ SATIŞI DURDUR"))))</f>
        <v/>
      </c>
      <c r="W39" s="100">
        <f>IF($X39&gt;EsikKritik,"Yönetim onayı AND acil tahsilat planı",IF($X39&gt;EsikYuksek,"Yeni satışı teminata bağla",IF($X39&gt;EsikIzle,"Limit revizyonu AND tahsilatı hızlandır","Planlı izleme")))</f>
        <v/>
      </c>
      <c r="X39" s="100">
        <f>ROUND(MIN(100,SUM($N39+$O39+$P39+$Q39+$R39+$S39)),0)</f>
        <v/>
      </c>
    </row>
    <row r="40" ht="15.75" customHeight="1" s="55">
      <c r="A40" s="100">
        <f>MUSTERI_KARTLARI!$A40</f>
        <v/>
      </c>
      <c r="B40" s="100">
        <f>MUSTERI_KARTLARI!$B40</f>
        <v/>
      </c>
      <c r="C40" s="100">
        <f>SUMIFS(tblYaslandirma[Açık Tutar],tblYaslandirma[Müşteri Kodu],$A40)</f>
        <v/>
      </c>
      <c r="D40" s="100">
        <f>MUSTERI_KARTLARI!$I40+MUSTERI_KARTLARI!$J40</f>
        <v/>
      </c>
      <c r="E40" s="100">
        <f>$D40-$C40</f>
        <v/>
      </c>
      <c r="F40" s="100">
        <f>IFERROR($C40/$D40,1)</f>
        <v/>
      </c>
      <c r="G40" s="100">
        <f>SUMIFS(tblYaslandirma[Açık Tutar],tblYaslandirma[Müşteri Kodu],$A40,tblYaslandirma[Gecikme Günü],"&gt;0")</f>
        <v/>
      </c>
      <c r="H40" s="100">
        <f>IF($C40=0,0,$G40/$C40)</f>
        <v/>
      </c>
      <c r="I40" s="100">
        <f>_xlfn.MAXIFS(tblYaslandirma[Gecikme Günü],tblYaslandirma[Müşteri Kodu],$A40)</f>
        <v/>
      </c>
      <c r="J40" s="100">
        <f>SUMIFS(tblTeminatlar[Kabul Edilen Değer],tblTeminatlar[Müşteri Kodu],$A40)</f>
        <v/>
      </c>
      <c r="K40" s="100">
        <f>MAX(0,$C40-$J40)</f>
        <v/>
      </c>
      <c r="L40" s="100">
        <f>IF(SUM(tblRisk[Açık Bakiye])=0,0,$C40/SUM(tblRisk[Açık Bakiye]))</f>
        <v/>
      </c>
      <c r="M40" s="100">
        <f>SUMIFS(tblYaslandirma[İtirazlı Tutar],tblYaslandirma[Müşteri Kodu],$A40)</f>
        <v/>
      </c>
      <c r="N40" s="100">
        <f>MIN(GecikmeMaxPuan,$I40/YaslamaDilim3*GecikmeMaxPuan)</f>
        <v/>
      </c>
      <c r="O40" s="100">
        <f>MIN(VadeMaxPuan,$H40*VadeMaxPuan)</f>
        <v/>
      </c>
      <c r="P40" s="100">
        <f>MIN(LimitMaxPuan,$F40*LimitMaxPuan)</f>
        <v/>
      </c>
      <c r="Q40" s="100">
        <f>IF($C40=0,0,MIN(TeminatMaxPuan,$K40/$C40*TeminatMaxPuan))</f>
        <v/>
      </c>
      <c r="R40" s="100">
        <f>IF($C40=0,0,MIN(ItirazMaxPuan,$M40/$C40*ItirazMaxPuan))</f>
        <v/>
      </c>
      <c r="S40" s="100">
        <f>IF(MUSTERI_KARTLARI!$Q40="Askıda",StatufAskida,IF(MUSTERI_KARTLARI!$Q40="İzlemede",StatufIzleme,0))</f>
        <v/>
      </c>
      <c r="T40" s="100">
        <f>IF(MUSTERI_KARTLARI!$R40="OK",100,IF(MUSTERI_KARTLARI!$R40="EKSİK",VeriKalitesiEksik,0))</f>
        <v/>
      </c>
      <c r="U40" s="100">
        <f>IF($T40&gt;=GuvenYuksek,"YÜKSEK",IF($T40&gt;=GuvenOrta,"ORTA","DÜŞÜK"))</f>
        <v/>
      </c>
      <c r="V40" s="100">
        <f>IF($X40&lt;=EsikDevam,"DEVAM",IF($X40&lt;=EsikIzle,"İZLE",IF($X40&lt;=EsikLimitAzalt,"LİMİTİ AZALT",IF($X40&lt;=EsikPesin,"PEŞİN / TEMİNATLI","VADELİ SATIŞI DURDUR"))))</f>
        <v/>
      </c>
      <c r="W40" s="100">
        <f>IF($X40&gt;EsikKritik,"Yönetim onayı AND acil tahsilat planı",IF($X40&gt;EsikYuksek,"Yeni satışı teminata bağla",IF($X40&gt;EsikIzle,"Limit revizyonu AND tahsilatı hızlandır","Planlı izleme")))</f>
        <v/>
      </c>
      <c r="X40" s="100">
        <f>ROUND(MIN(100,SUM($N40+$O40+$P40+$Q40+$R40+$S40)),0)</f>
        <v/>
      </c>
    </row>
    <row r="41" ht="15.75" customHeight="1" s="55">
      <c r="A41" s="100">
        <f>MUSTERI_KARTLARI!$A41</f>
        <v/>
      </c>
      <c r="B41" s="100">
        <f>MUSTERI_KARTLARI!$B41</f>
        <v/>
      </c>
      <c r="C41" s="100">
        <f>SUMIFS(tblYaslandirma[Açık Tutar],tblYaslandirma[Müşteri Kodu],$A41)</f>
        <v/>
      </c>
      <c r="D41" s="100">
        <f>MUSTERI_KARTLARI!$I41+MUSTERI_KARTLARI!$J41</f>
        <v/>
      </c>
      <c r="E41" s="100">
        <f>$D41-$C41</f>
        <v/>
      </c>
      <c r="F41" s="100">
        <f>IFERROR($C41/$D41,1)</f>
        <v/>
      </c>
      <c r="G41" s="100">
        <f>SUMIFS(tblYaslandirma[Açık Tutar],tblYaslandirma[Müşteri Kodu],$A41,tblYaslandirma[Gecikme Günü],"&gt;0")</f>
        <v/>
      </c>
      <c r="H41" s="100">
        <f>IF($C41=0,0,$G41/$C41)</f>
        <v/>
      </c>
      <c r="I41" s="100">
        <f>_xlfn.MAXIFS(tblYaslandirma[Gecikme Günü],tblYaslandirma[Müşteri Kodu],$A41)</f>
        <v/>
      </c>
      <c r="J41" s="100">
        <f>SUMIFS(tblTeminatlar[Kabul Edilen Değer],tblTeminatlar[Müşteri Kodu],$A41)</f>
        <v/>
      </c>
      <c r="K41" s="100">
        <f>MAX(0,$C41-$J41)</f>
        <v/>
      </c>
      <c r="L41" s="100">
        <f>IF(SUM(tblRisk[Açık Bakiye])=0,0,$C41/SUM(tblRisk[Açık Bakiye]))</f>
        <v/>
      </c>
      <c r="M41" s="100">
        <f>SUMIFS(tblYaslandirma[İtirazlı Tutar],tblYaslandirma[Müşteri Kodu],$A41)</f>
        <v/>
      </c>
      <c r="N41" s="100">
        <f>MIN(GecikmeMaxPuan,$I41/YaslamaDilim3*GecikmeMaxPuan)</f>
        <v/>
      </c>
      <c r="O41" s="100">
        <f>MIN(VadeMaxPuan,$H41*VadeMaxPuan)</f>
        <v/>
      </c>
      <c r="P41" s="100">
        <f>MIN(LimitMaxPuan,$F41*LimitMaxPuan)</f>
        <v/>
      </c>
      <c r="Q41" s="100">
        <f>IF($C41=0,0,MIN(TeminatMaxPuan,$K41/$C41*TeminatMaxPuan))</f>
        <v/>
      </c>
      <c r="R41" s="100">
        <f>IF($C41=0,0,MIN(ItirazMaxPuan,$M41/$C41*ItirazMaxPuan))</f>
        <v/>
      </c>
      <c r="S41" s="100">
        <f>IF(MUSTERI_KARTLARI!$Q41="Askıda",StatufAskida,IF(MUSTERI_KARTLARI!$Q41="İzlemede",StatufIzleme,0))</f>
        <v/>
      </c>
      <c r="T41" s="100">
        <f>IF(MUSTERI_KARTLARI!$R41="OK",100,IF(MUSTERI_KARTLARI!$R41="EKSİK",VeriKalitesiEksik,0))</f>
        <v/>
      </c>
      <c r="U41" s="100">
        <f>IF($T41&gt;=GuvenYuksek,"YÜKSEK",IF($T41&gt;=GuvenOrta,"ORTA","DÜŞÜK"))</f>
        <v/>
      </c>
      <c r="V41" s="100">
        <f>IF($X41&lt;=EsikDevam,"DEVAM",IF($X41&lt;=EsikIzle,"İZLE",IF($X41&lt;=EsikLimitAzalt,"LİMİTİ AZALT",IF($X41&lt;=EsikPesin,"PEŞİN / TEMİNATLI","VADELİ SATIŞI DURDUR"))))</f>
        <v/>
      </c>
      <c r="W41" s="100">
        <f>IF($X41&gt;EsikKritik,"Yönetim onayı AND acil tahsilat planı",IF($X41&gt;EsikYuksek,"Yeni satışı teminata bağla",IF($X41&gt;EsikIzle,"Limit revizyonu AND tahsilatı hızlandır","Planlı izleme")))</f>
        <v/>
      </c>
      <c r="X41" s="100">
        <f>ROUND(MIN(100,SUM($N41+$O41+$P41+$Q41+$R41+$S41)),0)</f>
        <v/>
      </c>
    </row>
    <row r="42" ht="15.75" customHeight="1" s="55">
      <c r="A42" s="100">
        <f>MUSTERI_KARTLARI!$A42</f>
        <v/>
      </c>
      <c r="B42" s="100">
        <f>MUSTERI_KARTLARI!$B42</f>
        <v/>
      </c>
      <c r="C42" s="100">
        <f>SUMIFS(tblYaslandirma[Açık Tutar],tblYaslandirma[Müşteri Kodu],$A42)</f>
        <v/>
      </c>
      <c r="D42" s="100">
        <f>MUSTERI_KARTLARI!$I42+MUSTERI_KARTLARI!$J42</f>
        <v/>
      </c>
      <c r="E42" s="100">
        <f>$D42-$C42</f>
        <v/>
      </c>
      <c r="F42" s="100">
        <f>IFERROR($C42/$D42,1)</f>
        <v/>
      </c>
      <c r="G42" s="100">
        <f>SUMIFS(tblYaslandirma[Açık Tutar],tblYaslandirma[Müşteri Kodu],$A42,tblYaslandirma[Gecikme Günü],"&gt;0")</f>
        <v/>
      </c>
      <c r="H42" s="100">
        <f>IF($C42=0,0,$G42/$C42)</f>
        <v/>
      </c>
      <c r="I42" s="100">
        <f>_xlfn.MAXIFS(tblYaslandirma[Gecikme Günü],tblYaslandirma[Müşteri Kodu],$A42)</f>
        <v/>
      </c>
      <c r="J42" s="100">
        <f>SUMIFS(tblTeminatlar[Kabul Edilen Değer],tblTeminatlar[Müşteri Kodu],$A42)</f>
        <v/>
      </c>
      <c r="K42" s="100">
        <f>MAX(0,$C42-$J42)</f>
        <v/>
      </c>
      <c r="L42" s="100">
        <f>IF(SUM(tblRisk[Açık Bakiye])=0,0,$C42/SUM(tblRisk[Açık Bakiye]))</f>
        <v/>
      </c>
      <c r="M42" s="100">
        <f>SUMIFS(tblYaslandirma[İtirazlı Tutar],tblYaslandirma[Müşteri Kodu],$A42)</f>
        <v/>
      </c>
      <c r="N42" s="100">
        <f>MIN(GecikmeMaxPuan,$I42/YaslamaDilim3*GecikmeMaxPuan)</f>
        <v/>
      </c>
      <c r="O42" s="100">
        <f>MIN(VadeMaxPuan,$H42*VadeMaxPuan)</f>
        <v/>
      </c>
      <c r="P42" s="100">
        <f>MIN(LimitMaxPuan,$F42*LimitMaxPuan)</f>
        <v/>
      </c>
      <c r="Q42" s="100">
        <f>IF($C42=0,0,MIN(TeminatMaxPuan,$K42/$C42*TeminatMaxPuan))</f>
        <v/>
      </c>
      <c r="R42" s="100">
        <f>IF($C42=0,0,MIN(ItirazMaxPuan,$M42/$C42*ItirazMaxPuan))</f>
        <v/>
      </c>
      <c r="S42" s="100">
        <f>IF(MUSTERI_KARTLARI!$Q42="Askıda",StatufAskida,IF(MUSTERI_KARTLARI!$Q42="İzlemede",StatufIzleme,0))</f>
        <v/>
      </c>
      <c r="T42" s="100">
        <f>IF(MUSTERI_KARTLARI!$R42="OK",100,IF(MUSTERI_KARTLARI!$R42="EKSİK",VeriKalitesiEksik,0))</f>
        <v/>
      </c>
      <c r="U42" s="100">
        <f>IF($T42&gt;=GuvenYuksek,"YÜKSEK",IF($T42&gt;=GuvenOrta,"ORTA","DÜŞÜK"))</f>
        <v/>
      </c>
      <c r="V42" s="100">
        <f>IF($X42&lt;=EsikDevam,"DEVAM",IF($X42&lt;=EsikIzle,"İZLE",IF($X42&lt;=EsikLimitAzalt,"LİMİTİ AZALT",IF($X42&lt;=EsikPesin,"PEŞİN / TEMİNATLI","VADELİ SATIŞI DURDUR"))))</f>
        <v/>
      </c>
      <c r="W42" s="100">
        <f>IF($X42&gt;EsikKritik,"Yönetim onayı AND acil tahsilat planı",IF($X42&gt;EsikYuksek,"Yeni satışı teminata bağla",IF($X42&gt;EsikIzle,"Limit revizyonu AND tahsilatı hızlandır","Planlı izleme")))</f>
        <v/>
      </c>
      <c r="X42" s="100">
        <f>ROUND(MIN(100,SUM($N42+$O42+$P42+$Q42+$R42+$S42)),0)</f>
        <v/>
      </c>
    </row>
    <row r="43" ht="15.75" customHeight="1" s="55">
      <c r="A43" s="100">
        <f>MUSTERI_KARTLARI!$A43</f>
        <v/>
      </c>
      <c r="B43" s="100">
        <f>MUSTERI_KARTLARI!$B43</f>
        <v/>
      </c>
      <c r="C43" s="100">
        <f>SUMIFS(tblYaslandirma[Açık Tutar],tblYaslandirma[Müşteri Kodu],$A43)</f>
        <v/>
      </c>
      <c r="D43" s="100">
        <f>MUSTERI_KARTLARI!$I43+MUSTERI_KARTLARI!$J43</f>
        <v/>
      </c>
      <c r="E43" s="100">
        <f>$D43-$C43</f>
        <v/>
      </c>
      <c r="F43" s="100">
        <f>IFERROR($C43/$D43,1)</f>
        <v/>
      </c>
      <c r="G43" s="100">
        <f>SUMIFS(tblYaslandirma[Açık Tutar],tblYaslandirma[Müşteri Kodu],$A43,tblYaslandirma[Gecikme Günü],"&gt;0")</f>
        <v/>
      </c>
      <c r="H43" s="100">
        <f>IF($C43=0,0,$G43/$C43)</f>
        <v/>
      </c>
      <c r="I43" s="100">
        <f>_xlfn.MAXIFS(tblYaslandirma[Gecikme Günü],tblYaslandirma[Müşteri Kodu],$A43)</f>
        <v/>
      </c>
      <c r="J43" s="100">
        <f>SUMIFS(tblTeminatlar[Kabul Edilen Değer],tblTeminatlar[Müşteri Kodu],$A43)</f>
        <v/>
      </c>
      <c r="K43" s="100">
        <f>MAX(0,$C43-$J43)</f>
        <v/>
      </c>
      <c r="L43" s="100">
        <f>IF(SUM(tblRisk[Açık Bakiye])=0,0,$C43/SUM(tblRisk[Açık Bakiye]))</f>
        <v/>
      </c>
      <c r="M43" s="100">
        <f>SUMIFS(tblYaslandirma[İtirazlı Tutar],tblYaslandirma[Müşteri Kodu],$A43)</f>
        <v/>
      </c>
      <c r="N43" s="100">
        <f>MIN(GecikmeMaxPuan,$I43/YaslamaDilim3*GecikmeMaxPuan)</f>
        <v/>
      </c>
      <c r="O43" s="100">
        <f>MIN(VadeMaxPuan,$H43*VadeMaxPuan)</f>
        <v/>
      </c>
      <c r="P43" s="100">
        <f>MIN(LimitMaxPuan,$F43*LimitMaxPuan)</f>
        <v/>
      </c>
      <c r="Q43" s="100">
        <f>IF($C43=0,0,MIN(TeminatMaxPuan,$K43/$C43*TeminatMaxPuan))</f>
        <v/>
      </c>
      <c r="R43" s="100">
        <f>IF($C43=0,0,MIN(ItirazMaxPuan,$M43/$C43*ItirazMaxPuan))</f>
        <v/>
      </c>
      <c r="S43" s="100">
        <f>IF(MUSTERI_KARTLARI!$Q43="Askıda",StatufAskida,IF(MUSTERI_KARTLARI!$Q43="İzlemede",StatufIzleme,0))</f>
        <v/>
      </c>
      <c r="T43" s="100">
        <f>IF(MUSTERI_KARTLARI!$R43="OK",100,IF(MUSTERI_KARTLARI!$R43="EKSİK",VeriKalitesiEksik,0))</f>
        <v/>
      </c>
      <c r="U43" s="100">
        <f>IF($T43&gt;=GuvenYuksek,"YÜKSEK",IF($T43&gt;=GuvenOrta,"ORTA","DÜŞÜK"))</f>
        <v/>
      </c>
      <c r="V43" s="100">
        <f>IF($X43&lt;=EsikDevam,"DEVAM",IF($X43&lt;=EsikIzle,"İZLE",IF($X43&lt;=EsikLimitAzalt,"LİMİTİ AZALT",IF($X43&lt;=EsikPesin,"PEŞİN / TEMİNATLI","VADELİ SATIŞI DURDUR"))))</f>
        <v/>
      </c>
      <c r="W43" s="100">
        <f>IF($X43&gt;EsikKritik,"Yönetim onayı AND acil tahsilat planı",IF($X43&gt;EsikYuksek,"Yeni satışı teminata bağla",IF($X43&gt;EsikIzle,"Limit revizyonu AND tahsilatı hızlandır","Planlı izleme")))</f>
        <v/>
      </c>
      <c r="X43" s="100">
        <f>ROUND(MIN(100,SUM($N43+$O43+$P43+$Q43+$R43+$S43)),0)</f>
        <v/>
      </c>
    </row>
    <row r="44" ht="15.75" customHeight="1" s="55">
      <c r="A44" s="100">
        <f>MUSTERI_KARTLARI!$A44</f>
        <v/>
      </c>
      <c r="B44" s="100">
        <f>MUSTERI_KARTLARI!$B44</f>
        <v/>
      </c>
      <c r="C44" s="100">
        <f>SUMIFS(tblYaslandirma[Açık Tutar],tblYaslandirma[Müşteri Kodu],$A44)</f>
        <v/>
      </c>
      <c r="D44" s="100">
        <f>MUSTERI_KARTLARI!$I44+MUSTERI_KARTLARI!$J44</f>
        <v/>
      </c>
      <c r="E44" s="100">
        <f>$D44-$C44</f>
        <v/>
      </c>
      <c r="F44" s="100">
        <f>IFERROR($C44/$D44,1)</f>
        <v/>
      </c>
      <c r="G44" s="100">
        <f>SUMIFS(tblYaslandirma[Açık Tutar],tblYaslandirma[Müşteri Kodu],$A44,tblYaslandirma[Gecikme Günü],"&gt;0")</f>
        <v/>
      </c>
      <c r="H44" s="100">
        <f>IF($C44=0,0,$G44/$C44)</f>
        <v/>
      </c>
      <c r="I44" s="100">
        <f>_xlfn.MAXIFS(tblYaslandirma[Gecikme Günü],tblYaslandirma[Müşteri Kodu],$A44)</f>
        <v/>
      </c>
      <c r="J44" s="100">
        <f>SUMIFS(tblTeminatlar[Kabul Edilen Değer],tblTeminatlar[Müşteri Kodu],$A44)</f>
        <v/>
      </c>
      <c r="K44" s="100">
        <f>MAX(0,$C44-$J44)</f>
        <v/>
      </c>
      <c r="L44" s="100">
        <f>IF(SUM(tblRisk[Açık Bakiye])=0,0,$C44/SUM(tblRisk[Açık Bakiye]))</f>
        <v/>
      </c>
      <c r="M44" s="100">
        <f>SUMIFS(tblYaslandirma[İtirazlı Tutar],tblYaslandirma[Müşteri Kodu],$A44)</f>
        <v/>
      </c>
      <c r="N44" s="100">
        <f>MIN(GecikmeMaxPuan,$I44/YaslamaDilim3*GecikmeMaxPuan)</f>
        <v/>
      </c>
      <c r="O44" s="100">
        <f>MIN(VadeMaxPuan,$H44*VadeMaxPuan)</f>
        <v/>
      </c>
      <c r="P44" s="100">
        <f>MIN(LimitMaxPuan,$F44*LimitMaxPuan)</f>
        <v/>
      </c>
      <c r="Q44" s="100">
        <f>IF($C44=0,0,MIN(TeminatMaxPuan,$K44/$C44*TeminatMaxPuan))</f>
        <v/>
      </c>
      <c r="R44" s="100">
        <f>IF($C44=0,0,MIN(ItirazMaxPuan,$M44/$C44*ItirazMaxPuan))</f>
        <v/>
      </c>
      <c r="S44" s="100">
        <f>IF(MUSTERI_KARTLARI!$Q44="Askıda",StatufAskida,IF(MUSTERI_KARTLARI!$Q44="İzlemede",StatufIzleme,0))</f>
        <v/>
      </c>
      <c r="T44" s="100">
        <f>IF(MUSTERI_KARTLARI!$R44="OK",100,IF(MUSTERI_KARTLARI!$R44="EKSİK",VeriKalitesiEksik,0))</f>
        <v/>
      </c>
      <c r="U44" s="100">
        <f>IF($T44&gt;=GuvenYuksek,"YÜKSEK",IF($T44&gt;=GuvenOrta,"ORTA","DÜŞÜK"))</f>
        <v/>
      </c>
      <c r="V44" s="100">
        <f>IF($X44&lt;=EsikDevam,"DEVAM",IF($X44&lt;=EsikIzle,"İZLE",IF($X44&lt;=EsikLimitAzalt,"LİMİTİ AZALT",IF($X44&lt;=EsikPesin,"PEŞİN / TEMİNATLI","VADELİ SATIŞI DURDUR"))))</f>
        <v/>
      </c>
      <c r="W44" s="100">
        <f>IF($X44&gt;EsikKritik,"Yönetim onayı AND acil tahsilat planı",IF($X44&gt;EsikYuksek,"Yeni satışı teminata bağla",IF($X44&gt;EsikIzle,"Limit revizyonu AND tahsilatı hızlandır","Planlı izleme")))</f>
        <v/>
      </c>
      <c r="X44" s="100">
        <f>ROUND(MIN(100,SUM($N44+$O44+$P44+$Q44+$R44+$S44)),0)</f>
        <v/>
      </c>
    </row>
    <row r="45" ht="15.75" customHeight="1" s="55">
      <c r="A45" s="100">
        <f>MUSTERI_KARTLARI!$A45</f>
        <v/>
      </c>
      <c r="B45" s="100">
        <f>MUSTERI_KARTLARI!$B45</f>
        <v/>
      </c>
      <c r="C45" s="100">
        <f>SUMIFS(tblYaslandirma[Açık Tutar],tblYaslandirma[Müşteri Kodu],$A45)</f>
        <v/>
      </c>
      <c r="D45" s="100">
        <f>MUSTERI_KARTLARI!$I45+MUSTERI_KARTLARI!$J45</f>
        <v/>
      </c>
      <c r="E45" s="100">
        <f>$D45-$C45</f>
        <v/>
      </c>
      <c r="F45" s="100">
        <f>IFERROR($C45/$D45,1)</f>
        <v/>
      </c>
      <c r="G45" s="100">
        <f>SUMIFS(tblYaslandirma[Açık Tutar],tblYaslandirma[Müşteri Kodu],$A45,tblYaslandirma[Gecikme Günü],"&gt;0")</f>
        <v/>
      </c>
      <c r="H45" s="100">
        <f>IF($C45=0,0,$G45/$C45)</f>
        <v/>
      </c>
      <c r="I45" s="100">
        <f>_xlfn.MAXIFS(tblYaslandirma[Gecikme Günü],tblYaslandirma[Müşteri Kodu],$A45)</f>
        <v/>
      </c>
      <c r="J45" s="100">
        <f>SUMIFS(tblTeminatlar[Kabul Edilen Değer],tblTeminatlar[Müşteri Kodu],$A45)</f>
        <v/>
      </c>
      <c r="K45" s="100">
        <f>MAX(0,$C45-$J45)</f>
        <v/>
      </c>
      <c r="L45" s="100">
        <f>IF(SUM(tblRisk[Açık Bakiye])=0,0,$C45/SUM(tblRisk[Açık Bakiye]))</f>
        <v/>
      </c>
      <c r="M45" s="100">
        <f>SUMIFS(tblYaslandirma[İtirazlı Tutar],tblYaslandirma[Müşteri Kodu],$A45)</f>
        <v/>
      </c>
      <c r="N45" s="100">
        <f>MIN(GecikmeMaxPuan,$I45/YaslamaDilim3*GecikmeMaxPuan)</f>
        <v/>
      </c>
      <c r="O45" s="100">
        <f>MIN(VadeMaxPuan,$H45*VadeMaxPuan)</f>
        <v/>
      </c>
      <c r="P45" s="100">
        <f>MIN(LimitMaxPuan,$F45*LimitMaxPuan)</f>
        <v/>
      </c>
      <c r="Q45" s="100">
        <f>IF($C45=0,0,MIN(TeminatMaxPuan,$K45/$C45*TeminatMaxPuan))</f>
        <v/>
      </c>
      <c r="R45" s="100">
        <f>IF($C45=0,0,MIN(ItirazMaxPuan,$M45/$C45*ItirazMaxPuan))</f>
        <v/>
      </c>
      <c r="S45" s="100">
        <f>IF(MUSTERI_KARTLARI!$Q45="Askıda",StatufAskida,IF(MUSTERI_KARTLARI!$Q45="İzlemede",StatufIzleme,0))</f>
        <v/>
      </c>
      <c r="T45" s="100">
        <f>IF(MUSTERI_KARTLARI!$R45="OK",100,IF(MUSTERI_KARTLARI!$R45="EKSİK",VeriKalitesiEksik,0))</f>
        <v/>
      </c>
      <c r="U45" s="100">
        <f>IF($T45&gt;=GuvenYuksek,"YÜKSEK",IF($T45&gt;=GuvenOrta,"ORTA","DÜŞÜK"))</f>
        <v/>
      </c>
      <c r="V45" s="100">
        <f>IF($X45&lt;=EsikDevam,"DEVAM",IF($X45&lt;=EsikIzle,"İZLE",IF($X45&lt;=EsikLimitAzalt,"LİMİTİ AZALT",IF($X45&lt;=EsikPesin,"PEŞİN / TEMİNATLI","VADELİ SATIŞI DURDUR"))))</f>
        <v/>
      </c>
      <c r="W45" s="100">
        <f>IF($X45&gt;EsikKritik,"Yönetim onayı AND acil tahsilat planı",IF($X45&gt;EsikYuksek,"Yeni satışı teminata bağla",IF($X45&gt;EsikIzle,"Limit revizyonu AND tahsilatı hızlandır","Planlı izleme")))</f>
        <v/>
      </c>
      <c r="X45" s="100">
        <f>ROUND(MIN(100,SUM($N45+$O45+$P45+$Q45+$R45+$S45)),0)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X3"/>
    <mergeCell ref="A1:X1"/>
  </mergeCells>
  <conditionalFormatting sqref="F6:F204">
    <cfRule type="cellIs" rank="0" priority="2" equalAverage="0" operator="greaterThan" aboveAverage="0" dxfId="11" text="" percent="0" bottom="0">
      <formula>1</formula>
    </cfRule>
  </conditionalFormatting>
  <conditionalFormatting sqref="H6:H204">
    <cfRule type="cellIs" rank="0" priority="3" equalAverage="0" operator="greaterThan" aboveAverage="0" dxfId="11" text="" percent="0" bottom="0">
      <formula>0.25</formula>
    </cfRule>
  </conditionalFormatting>
  <conditionalFormatting sqref="U6:U204">
    <cfRule type="cellIs" rank="0" priority="4" equalAverage="0" operator="equal" aboveAverage="0" dxfId="9" text="" percent="0" bottom="0">
      <formula>"YÜKSEK"</formula>
    </cfRule>
    <cfRule type="cellIs" rank="0" priority="5" equalAverage="0" operator="equal" aboveAverage="0" dxfId="10" text="" percent="0" bottom="0">
      <formula>"ORTA"</formula>
    </cfRule>
    <cfRule type="cellIs" rank="0" priority="6" equalAverage="0" operator="equal" aboveAverage="0" dxfId="11" text="" percent="0" bottom="0">
      <formula>"DÜŞÜK"</formula>
    </cfRule>
  </conditionalFormatting>
  <conditionalFormatting sqref="V6:V204">
    <cfRule type="cellIs" rank="0" priority="7" equalAverage="0" operator="equal" aboveAverage="0" dxfId="9" text="" percent="0" bottom="0">
      <formula>"DEVAM"</formula>
    </cfRule>
    <cfRule type="cellIs" rank="0" priority="8" equalAverage="0" operator="equal" aboveAverage="0" dxfId="10" text="" percent="0" bottom="0">
      <formula>"İZLE"</formula>
    </cfRule>
    <cfRule type="cellIs" rank="0" priority="9" equalAverage="0" operator="equal" aboveAverage="0" dxfId="15" text="" percent="0" bottom="0">
      <formula>"LİMİTİ AZALT"</formula>
    </cfRule>
    <cfRule type="cellIs" rank="0" priority="10" equalAverage="0" operator="equal" aboveAverage="0" dxfId="11" text="" percent="0" bottom="0">
      <formula>"PEŞİN / TEMİNATLI"</formula>
    </cfRule>
    <cfRule type="cellIs" rank="0" priority="11" equalAverage="0" operator="equal" aboveAverage="0" dxfId="13" text="" percent="0" bottom="0">
      <formula>"VADELİ SATIŞI DURDUR"</formula>
    </cfRule>
  </conditionalFormatting>
  <conditionalFormatting sqref="X6:X204">
    <cfRule type="cellIs" rank="0" priority="12" equalAverage="0" operator="greaterThan" aboveAverage="0" dxfId="13" text="" percent="0" bottom="0">
      <formula>84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L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.5" customWidth="1" style="81" min="1" max="1"/>
    <col width="16.5" customWidth="1" style="81" min="2" max="2"/>
    <col width="19.5" customWidth="1" style="81" min="3" max="3"/>
    <col width="14.5" customWidth="1" style="81" min="4" max="4"/>
    <col width="16.5" customWidth="1" style="81" min="5" max="5"/>
    <col width="14.5" customWidth="1" style="81" min="6" max="6"/>
    <col width="26" customWidth="1" style="81" min="7" max="7"/>
    <col width="30" customWidth="1" style="81" min="8" max="8"/>
    <col width="16" customWidth="1" style="81" min="9" max="9"/>
    <col width="13.5" customWidth="1" style="81" min="10" max="10"/>
    <col width="16.5" customWidth="1" style="81" min="11" max="11"/>
    <col width="26" customWidth="1" style="81" min="12" max="12"/>
    <col width="13" customWidth="1" style="55" min="13" max="13"/>
  </cols>
  <sheetData>
    <row r="1" ht="32" customHeight="1" s="55">
      <c r="A1" s="239" t="inlineStr">
        <is>
          <t>TAHSILAT AKSIYON — CARİ HESAP, TAHSİLAT VE MÜŞTERİ RİSK TAKİP SİSTEMİ</t>
        </is>
      </c>
    </row>
    <row r="3" ht="22" customHeight="1" s="55">
      <c r="A3" s="258" t="inlineStr">
        <is>
          <t>GÜNLÜK TAHSİLAT ÖNCELİK VE AKSİYON LİSTESİ</t>
        </is>
      </c>
    </row>
    <row r="5" ht="30" customHeight="1" s="55">
      <c r="A5" s="95" t="inlineStr">
        <is>
          <t>Öncelik</t>
        </is>
      </c>
      <c r="B5" s="95" t="inlineStr">
        <is>
          <t>Müşteri Kodu</t>
        </is>
      </c>
      <c r="C5" s="95" t="inlineStr">
        <is>
          <t>Fatura Numarası</t>
        </is>
      </c>
      <c r="D5" s="95" t="inlineStr">
        <is>
          <t>Açık Tutar</t>
        </is>
      </c>
      <c r="E5" s="95" t="inlineStr">
        <is>
          <t>Gecikme Günü</t>
        </is>
      </c>
      <c r="F5" s="95" t="inlineStr">
        <is>
          <t>Risk Skoru</t>
        </is>
      </c>
      <c r="G5" s="95" t="inlineStr">
        <is>
          <t>Önerilen İletişim</t>
        </is>
      </c>
      <c r="H5" s="95" t="inlineStr">
        <is>
          <t>Önerilen Aksiyon</t>
        </is>
      </c>
      <c r="I5" s="95" t="inlineStr">
        <is>
          <t>Sorumlu</t>
        </is>
      </c>
      <c r="J5" s="95" t="inlineStr">
        <is>
          <t>Son Tarih</t>
        </is>
      </c>
      <c r="K5" s="95" t="inlineStr">
        <is>
          <t>Durum</t>
        </is>
      </c>
      <c r="L5" s="95" t="inlineStr">
        <is>
          <t>Not</t>
        </is>
      </c>
    </row>
    <row r="6" ht="15" customHeight="1" s="55">
      <c r="A6" s="100">
        <f>IF(YASLANDIRMA!$F6=0,"",IFERROR(_xlfn.RANK.EQ(MUSTERI_RISK_SKORU!$X6,tblRisk[Risk Skoru],0),""))</f>
        <v/>
      </c>
      <c r="B6" s="100">
        <f>YASLANDIRMA!$B6</f>
        <v/>
      </c>
      <c r="C6" s="100">
        <f>YASLANDIRMA!$A6</f>
        <v/>
      </c>
      <c r="D6" s="100">
        <f>YASLANDIRMA!$F6</f>
        <v/>
      </c>
      <c r="E6" s="100">
        <f>YASLANDIRMA!$G6</f>
        <v/>
      </c>
      <c r="F6" s="100">
        <f>IFERROR(INDEX(tblRisk[Risk Skoru],MATCH($B6,tblRisk[Müşteri Kodu],0)),0)</f>
        <v/>
      </c>
      <c r="G6" s="100">
        <f>IF($F6&gt;=EsikYuksek,"Telefon + yönetici eskalasyonu",IF($E6&gt;YaslamaDilim2,"Telefon + yazılı teyit","Planlı e-posta/telefon"))</f>
        <v/>
      </c>
      <c r="H6" s="100">
        <f>IF($D6=0,"KAPALI",IF($F6&gt;EsikPesin,"Vadeli satışı durdur AND tahsilat planı al",IF($F6&gt;EsikLimitAzalt,"Peşin/teminatlı satışa geç",IF($F6&gt;EsikIzle,"Limit azalt AND tahsilatı hızlandır","Planlı izleme"))))</f>
        <v/>
      </c>
      <c r="I6" s="100">
        <f>IFERROR(INDEX(tblMusteriler[Satış Sorumlusu],MATCH($B6,tblMusteriler[Müşteri Kodu],0)),"Tahsilat Ekibi")</f>
        <v/>
      </c>
      <c r="J6" s="109">
        <f>RaporTarihi+IF($F6&gt;EsikPesin,1,IF($F6&gt;EsikLimitAzalt,AksiyonGunOrta,AksiyonGunUzun))</f>
        <v/>
      </c>
      <c r="K6" s="96" t="inlineStr">
        <is>
          <t>DEVAM EDİYOR</t>
        </is>
      </c>
      <c r="L6" s="96" t="inlineStr">
        <is>
          <t>Örnek aksiyon kaydı 1</t>
        </is>
      </c>
    </row>
    <row r="7" ht="15" customHeight="1" s="55">
      <c r="A7" s="100">
        <f>IF(YASLANDIRMA!$F7=0,"",IFERROR(_xlfn.RANK.EQ(MUSTERI_RISK_SKORU!$X7,tblRisk[Risk Skoru],0),""))</f>
        <v/>
      </c>
      <c r="B7" s="100">
        <f>YASLANDIRMA!$B7</f>
        <v/>
      </c>
      <c r="C7" s="100">
        <f>YASLANDIRMA!$A7</f>
        <v/>
      </c>
      <c r="D7" s="100">
        <f>YASLANDIRMA!$F7</f>
        <v/>
      </c>
      <c r="E7" s="100">
        <f>YASLANDIRMA!$G7</f>
        <v/>
      </c>
      <c r="F7" s="100">
        <f>IFERROR(INDEX(tblRisk[Risk Skoru],MATCH($B7,tblRisk[Müşteri Kodu],0)),0)</f>
        <v/>
      </c>
      <c r="G7" s="100">
        <f>IF($F7&gt;=EsikYuksek,"Telefon + yönetici eskalasyonu",IF($E7&gt;YaslamaDilim2,"Telefon + yazılı teyit","Planlı e-posta/telefon"))</f>
        <v/>
      </c>
      <c r="H7" s="100">
        <f>IF($D7=0,"KAPALI",IF($F7&gt;EsikPesin,"Vadeli satışı durdur AND tahsilat planı al",IF($F7&gt;EsikLimitAzalt,"Peşin/teminatlı satışa geç",IF($F7&gt;EsikIzle,"Limit azalt AND tahsilatı hızlandır","Planlı izleme"))))</f>
        <v/>
      </c>
      <c r="I7" s="100">
        <f>IFERROR(INDEX(tblMusteriler[Satış Sorumlusu],MATCH($B7,tblMusteriler[Müşteri Kodu],0)),"Tahsilat Ekibi")</f>
        <v/>
      </c>
      <c r="J7" s="109">
        <f>RaporTarihi+IF($F7&gt;EsikPesin,1,IF($F7&gt;EsikLimitAzalt,AksiyonGunOrta,AksiyonGunUzun))</f>
        <v/>
      </c>
      <c r="K7" s="96" t="inlineStr">
        <is>
          <t>DEVAM EDİYOR</t>
        </is>
      </c>
      <c r="L7" s="96" t="inlineStr">
        <is>
          <t>Örnek aksiyon kaydı 2</t>
        </is>
      </c>
    </row>
    <row r="8" ht="15" customHeight="1" s="55">
      <c r="A8" s="100">
        <f>IF(YASLANDIRMA!$F8=0,"",IFERROR(_xlfn.RANK.EQ(MUSTERI_RISK_SKORU!$X8,tblRisk[Risk Skoru],0),""))</f>
        <v/>
      </c>
      <c r="B8" s="100">
        <f>YASLANDIRMA!$B8</f>
        <v/>
      </c>
      <c r="C8" s="100">
        <f>YASLANDIRMA!$A8</f>
        <v/>
      </c>
      <c r="D8" s="100">
        <f>YASLANDIRMA!$F8</f>
        <v/>
      </c>
      <c r="E8" s="100">
        <f>YASLANDIRMA!$G8</f>
        <v/>
      </c>
      <c r="F8" s="100">
        <f>IFERROR(INDEX(tblRisk[Risk Skoru],MATCH($B8,tblRisk[Müşteri Kodu],0)),0)</f>
        <v/>
      </c>
      <c r="G8" s="100">
        <f>IF($F8&gt;=EsikYuksek,"Telefon + yönetici eskalasyonu",IF($E8&gt;YaslamaDilim2,"Telefon + yazılı teyit","Planlı e-posta/telefon"))</f>
        <v/>
      </c>
      <c r="H8" s="100">
        <f>IF($D8=0,"KAPALI",IF($F8&gt;EsikPesin,"Vadeli satışı durdur AND tahsilat planı al",IF($F8&gt;EsikLimitAzalt,"Peşin/teminatlı satışa geç",IF($F8&gt;EsikIzle,"Limit azalt AND tahsilatı hızlandır","Planlı izleme"))))</f>
        <v/>
      </c>
      <c r="I8" s="100">
        <f>IFERROR(INDEX(tblMusteriler[Satış Sorumlusu],MATCH($B8,tblMusteriler[Müşteri Kodu],0)),"Tahsilat Ekibi")</f>
        <v/>
      </c>
      <c r="J8" s="109">
        <f>RaporTarihi+IF($F8&gt;EsikPesin,1,IF($F8&gt;EsikLimitAzalt,AksiyonGunOrta,AksiyonGunUzun))</f>
        <v/>
      </c>
      <c r="K8" s="96" t="inlineStr">
        <is>
          <t>DEVAM EDİYOR</t>
        </is>
      </c>
      <c r="L8" s="96" t="inlineStr">
        <is>
          <t>Örnek aksiyon kaydı 3</t>
        </is>
      </c>
    </row>
    <row r="9" ht="15" customHeight="1" s="55">
      <c r="A9" s="100">
        <f>IF(YASLANDIRMA!$F9=0,"",IFERROR(_xlfn.RANK.EQ(MUSTERI_RISK_SKORU!$X9,tblRisk[Risk Skoru],0),""))</f>
        <v/>
      </c>
      <c r="B9" s="100">
        <f>YASLANDIRMA!$B9</f>
        <v/>
      </c>
      <c r="C9" s="100">
        <f>YASLANDIRMA!$A9</f>
        <v/>
      </c>
      <c r="D9" s="100">
        <f>YASLANDIRMA!$F9</f>
        <v/>
      </c>
      <c r="E9" s="100">
        <f>YASLANDIRMA!$G9</f>
        <v/>
      </c>
      <c r="F9" s="100">
        <f>IFERROR(INDEX(tblRisk[Risk Skoru],MATCH($B9,tblRisk[Müşteri Kodu],0)),0)</f>
        <v/>
      </c>
      <c r="G9" s="100">
        <f>IF($F9&gt;=EsikYuksek,"Telefon + yönetici eskalasyonu",IF($E9&gt;YaslamaDilim2,"Telefon + yazılı teyit","Planlı e-posta/telefon"))</f>
        <v/>
      </c>
      <c r="H9" s="100">
        <f>IF($D9=0,"KAPALI",IF($F9&gt;EsikPesin,"Vadeli satışı durdur AND tahsilat planı al",IF($F9&gt;EsikLimitAzalt,"Peşin/teminatlı satışa geç",IF($F9&gt;EsikIzle,"Limit azalt AND tahsilatı hızlandır","Planlı izleme"))))</f>
        <v/>
      </c>
      <c r="I9" s="100">
        <f>IFERROR(INDEX(tblMusteriler[Satış Sorumlusu],MATCH($B9,tblMusteriler[Müşteri Kodu],0)),"Tahsilat Ekibi")</f>
        <v/>
      </c>
      <c r="J9" s="109">
        <f>RaporTarihi+IF($F9&gt;EsikPesin,1,IF($F9&gt;EsikLimitAzalt,AksiyonGunOrta,AksiyonGunUzun))</f>
        <v/>
      </c>
      <c r="K9" s="96" t="inlineStr">
        <is>
          <t>DEVAM EDİYOR</t>
        </is>
      </c>
      <c r="L9" s="96" t="inlineStr">
        <is>
          <t>Örnek aksiyon kaydı 4</t>
        </is>
      </c>
    </row>
    <row r="10" ht="15.75" customHeight="1" s="55">
      <c r="A10" s="100">
        <f>IF(YASLANDIRMA!$F10=0,"",IFERROR(_xlfn.RANK.EQ(MUSTERI_RISK_SKORU!$X10,tblRisk[Risk Skoru],0),""))</f>
        <v/>
      </c>
      <c r="B10" s="100">
        <f>YASLANDIRMA!$B10</f>
        <v/>
      </c>
      <c r="C10" s="100">
        <f>YASLANDIRMA!$A10</f>
        <v/>
      </c>
      <c r="D10" s="100">
        <f>YASLANDIRMA!$F10</f>
        <v/>
      </c>
      <c r="E10" s="100">
        <f>YASLANDIRMA!$G10</f>
        <v/>
      </c>
      <c r="F10" s="100">
        <f>IFERROR(INDEX(tblRisk[Risk Skoru],MATCH($B10,tblRisk[Müşteri Kodu],0)),0)</f>
        <v/>
      </c>
      <c r="G10" s="100">
        <f>IF($F10&gt;=EsikYuksek,"Telefon + yönetici eskalasyonu",IF($E10&gt;YaslamaDilim2,"Telefon + yazılı teyit","Planlı e-posta/telefon"))</f>
        <v/>
      </c>
      <c r="H10" s="100">
        <f>IF($D10=0,"KAPALI",IF($F10&gt;EsikPesin,"Vadeli satışı durdur AND tahsilat planı al",IF($F10&gt;EsikLimitAzalt,"Peşin/teminatlı satışa geç",IF($F10&gt;EsikIzle,"Limit azalt AND tahsilatı hızlandır","Planlı izleme"))))</f>
        <v/>
      </c>
      <c r="I10" s="100">
        <f>IFERROR(INDEX(tblMusteriler[Satış Sorumlusu],MATCH($B10,tblMusteriler[Müşteri Kodu],0)),"Tahsilat Ekibi")</f>
        <v/>
      </c>
      <c r="J10" s="104">
        <f>RaporTarihi+IF($F10&gt;EsikPesin,1,IF($F10&gt;EsikLimitAzalt,AksiyonGunOrta,AksiyonGunUzun))</f>
        <v/>
      </c>
      <c r="K10" s="96" t="inlineStr">
        <is>
          <t>DEVAM EDİYOR</t>
        </is>
      </c>
      <c r="L10" s="96" t="inlineStr">
        <is>
          <t>Örnek aksiyon kaydı 5</t>
        </is>
      </c>
    </row>
    <row r="11" ht="15" customHeight="1" s="55">
      <c r="A11" s="100">
        <f>IF(YASLANDIRMA!$F11=0,"",IFERROR(_xlfn.RANK.EQ(MUSTERI_RISK_SKORU!$X11,tblRisk[Risk Skoru],0),""))</f>
        <v/>
      </c>
      <c r="B11" s="100">
        <f>YASLANDIRMA!$B11</f>
        <v/>
      </c>
      <c r="C11" s="100">
        <f>YASLANDIRMA!$A11</f>
        <v/>
      </c>
      <c r="D11" s="100">
        <f>YASLANDIRMA!$F11</f>
        <v/>
      </c>
      <c r="E11" s="100">
        <f>YASLANDIRMA!$G11</f>
        <v/>
      </c>
      <c r="F11" s="100">
        <f>IFERROR(INDEX(tblRisk[Risk Skoru],MATCH($B11,tblRisk[Müşteri Kodu],0)),0)</f>
        <v/>
      </c>
      <c r="G11" s="100">
        <f>IF($F11&gt;=EsikYuksek,"Telefon + yönetici eskalasyonu",IF($E11&gt;YaslamaDilim2,"Telefon + yazılı teyit","Planlı e-posta/telefon"))</f>
        <v/>
      </c>
      <c r="H11" s="100">
        <f>IF($D11=0,"KAPALI",IF($F11&gt;EsikPesin,"Vadeli satışı durdur AND tahsilat planı al",IF($F11&gt;EsikLimitAzalt,"Peşin/teminatlı satışa geç",IF($F11&gt;EsikIzle,"Limit azalt AND tahsilatı hızlandır","Planlı izleme"))))</f>
        <v/>
      </c>
      <c r="I11" s="100">
        <f>IFERROR(INDEX(tblMusteriler[Satış Sorumlusu],MATCH($B11,tblMusteriler[Müşteri Kodu],0)),"Tahsilat Ekibi")</f>
        <v/>
      </c>
      <c r="J11" s="109">
        <f>RaporTarihi+IF($F11&gt;EsikPesin,1,IF($F11&gt;EsikLimitAzalt,AksiyonGunOrta,AksiyonGunUzun))</f>
        <v/>
      </c>
      <c r="K11" s="96" t="inlineStr">
        <is>
          <t>DEVAM EDİYOR</t>
        </is>
      </c>
      <c r="L11" s="96" t="inlineStr">
        <is>
          <t>Örnek aksiyon kaydı 6</t>
        </is>
      </c>
    </row>
    <row r="12" ht="15" customHeight="1" s="55">
      <c r="A12" s="100">
        <f>IF(YASLANDIRMA!$F12=0,"",IFERROR(_xlfn.RANK.EQ(MUSTERI_RISK_SKORU!$X12,tblRisk[Risk Skoru],0),""))</f>
        <v/>
      </c>
      <c r="B12" s="100">
        <f>YASLANDIRMA!$B12</f>
        <v/>
      </c>
      <c r="C12" s="100">
        <f>YASLANDIRMA!$A12</f>
        <v/>
      </c>
      <c r="D12" s="100">
        <f>YASLANDIRMA!$F12</f>
        <v/>
      </c>
      <c r="E12" s="100">
        <f>YASLANDIRMA!$G12</f>
        <v/>
      </c>
      <c r="F12" s="100">
        <f>IFERROR(INDEX(tblRisk[Risk Skoru],MATCH($B12,tblRisk[Müşteri Kodu],0)),0)</f>
        <v/>
      </c>
      <c r="G12" s="100">
        <f>IF($F12&gt;=EsikYuksek,"Telefon + yönetici eskalasyonu",IF($E12&gt;YaslamaDilim2,"Telefon + yazılı teyit","Planlı e-posta/telefon"))</f>
        <v/>
      </c>
      <c r="H12" s="100">
        <f>IF($D12=0,"KAPALI",IF($F12&gt;EsikPesin,"Vadeli satışı durdur AND tahsilat planı al",IF($F12&gt;EsikLimitAzalt,"Peşin/teminatlı satışa geç",IF($F12&gt;EsikIzle,"Limit azalt AND tahsilatı hızlandır","Planlı izleme"))))</f>
        <v/>
      </c>
      <c r="I12" s="100">
        <f>IFERROR(INDEX(tblMusteriler[Satış Sorumlusu],MATCH($B12,tblMusteriler[Müşteri Kodu],0)),"Tahsilat Ekibi")</f>
        <v/>
      </c>
      <c r="J12" s="109">
        <f>RaporTarihi+IF($F12&gt;EsikPesin,1,IF($F12&gt;EsikLimitAzalt,AksiyonGunOrta,AksiyonGunUzun))</f>
        <v/>
      </c>
      <c r="K12" s="101" t="n"/>
      <c r="L12" s="101" t="n"/>
    </row>
    <row r="13" ht="15" customHeight="1" s="55">
      <c r="A13" s="100">
        <f>IF(YASLANDIRMA!$F13=0,"",IFERROR(_xlfn.RANK.EQ(MUSTERI_RISK_SKORU!$X13,tblRisk[Risk Skoru],0),""))</f>
        <v/>
      </c>
      <c r="B13" s="100">
        <f>YASLANDIRMA!$B13</f>
        <v/>
      </c>
      <c r="C13" s="100">
        <f>YASLANDIRMA!$A13</f>
        <v/>
      </c>
      <c r="D13" s="100">
        <f>YASLANDIRMA!$F13</f>
        <v/>
      </c>
      <c r="E13" s="100">
        <f>YASLANDIRMA!$G13</f>
        <v/>
      </c>
      <c r="F13" s="100">
        <f>IFERROR(INDEX(tblRisk[Risk Skoru],MATCH($B13,tblRisk[Müşteri Kodu],0)),0)</f>
        <v/>
      </c>
      <c r="G13" s="100">
        <f>IF($F13&gt;=EsikYuksek,"Telefon + yönetici eskalasyonu",IF($E13&gt;YaslamaDilim2,"Telefon + yazılı teyit","Planlı e-posta/telefon"))</f>
        <v/>
      </c>
      <c r="H13" s="100">
        <f>IF($D13=0,"KAPALI",IF($F13&gt;EsikPesin,"Vadeli satışı durdur AND tahsilat planı al",IF($F13&gt;EsikLimitAzalt,"Peşin/teminatlı satışa geç",IF($F13&gt;EsikIzle,"Limit azalt AND tahsilatı hızlandır","Planlı izleme"))))</f>
        <v/>
      </c>
      <c r="I13" s="100">
        <f>IFERROR(INDEX(tblMusteriler[Satış Sorumlusu],MATCH($B13,tblMusteriler[Müşteri Kodu],0)),"Tahsilat Ekibi")</f>
        <v/>
      </c>
      <c r="J13" s="109">
        <f>RaporTarihi+IF($F13&gt;EsikPesin,1,IF($F13&gt;EsikLimitAzalt,AksiyonGunOrta,AksiyonGunUzun))</f>
        <v/>
      </c>
      <c r="K13" s="101" t="n"/>
      <c r="L13" s="101" t="n"/>
    </row>
    <row r="14" ht="15" customHeight="1" s="55">
      <c r="A14" s="100">
        <f>IF(YASLANDIRMA!$F14=0,"",IFERROR(_xlfn.RANK.EQ(MUSTERI_RISK_SKORU!$X14,tblRisk[Risk Skoru],0),""))</f>
        <v/>
      </c>
      <c r="B14" s="100">
        <f>YASLANDIRMA!$B14</f>
        <v/>
      </c>
      <c r="C14" s="100">
        <f>YASLANDIRMA!$A14</f>
        <v/>
      </c>
      <c r="D14" s="100">
        <f>YASLANDIRMA!$F14</f>
        <v/>
      </c>
      <c r="E14" s="100">
        <f>YASLANDIRMA!$G14</f>
        <v/>
      </c>
      <c r="F14" s="100">
        <f>IFERROR(INDEX(tblRisk[Risk Skoru],MATCH($B14,tblRisk[Müşteri Kodu],0)),0)</f>
        <v/>
      </c>
      <c r="G14" s="100">
        <f>IF($F14&gt;=EsikYuksek,"Telefon + yönetici eskalasyonu",IF($E14&gt;YaslamaDilim2,"Telefon + yazılı teyit","Planlı e-posta/telefon"))</f>
        <v/>
      </c>
      <c r="H14" s="100">
        <f>IF($D14=0,"KAPALI",IF($F14&gt;EsikPesin,"Vadeli satışı durdur AND tahsilat planı al",IF($F14&gt;EsikLimitAzalt,"Peşin/teminatlı satışa geç",IF($F14&gt;EsikIzle,"Limit azalt AND tahsilatı hızlandır","Planlı izleme"))))</f>
        <v/>
      </c>
      <c r="I14" s="100">
        <f>IFERROR(INDEX(tblMusteriler[Satış Sorumlusu],MATCH($B14,tblMusteriler[Müşteri Kodu],0)),"Tahsilat Ekibi")</f>
        <v/>
      </c>
      <c r="J14" s="109">
        <f>RaporTarihi+IF($F14&gt;EsikPesin,1,IF($F14&gt;EsikLimitAzalt,AksiyonGunOrta,AksiyonGunUzun))</f>
        <v/>
      </c>
      <c r="K14" s="101" t="n"/>
      <c r="L14" s="101" t="n"/>
    </row>
    <row r="15" ht="15" customHeight="1" s="55">
      <c r="A15" s="100">
        <f>IF(YASLANDIRMA!$F15=0,"",IFERROR(_xlfn.RANK.EQ(MUSTERI_RISK_SKORU!$X15,tblRisk[Risk Skoru],0),""))</f>
        <v/>
      </c>
      <c r="B15" s="100">
        <f>YASLANDIRMA!$B15</f>
        <v/>
      </c>
      <c r="C15" s="100">
        <f>YASLANDIRMA!$A15</f>
        <v/>
      </c>
      <c r="D15" s="100">
        <f>YASLANDIRMA!$F15</f>
        <v/>
      </c>
      <c r="E15" s="100">
        <f>YASLANDIRMA!$G15</f>
        <v/>
      </c>
      <c r="F15" s="100">
        <f>IFERROR(INDEX(tblRisk[Risk Skoru],MATCH($B15,tblRisk[Müşteri Kodu],0)),0)</f>
        <v/>
      </c>
      <c r="G15" s="100">
        <f>IF($F15&gt;=EsikYuksek,"Telefon + yönetici eskalasyonu",IF($E15&gt;YaslamaDilim2,"Telefon + yazılı teyit","Planlı e-posta/telefon"))</f>
        <v/>
      </c>
      <c r="H15" s="100">
        <f>IF($D15=0,"KAPALI",IF($F15&gt;EsikPesin,"Vadeli satışı durdur AND tahsilat planı al",IF($F15&gt;EsikLimitAzalt,"Peşin/teminatlı satışa geç",IF($F15&gt;EsikIzle,"Limit azalt AND tahsilatı hızlandır","Planlı izleme"))))</f>
        <v/>
      </c>
      <c r="I15" s="100">
        <f>IFERROR(INDEX(tblMusteriler[Satış Sorumlusu],MATCH($B15,tblMusteriler[Müşteri Kodu],0)),"Tahsilat Ekibi")</f>
        <v/>
      </c>
      <c r="J15" s="109">
        <f>RaporTarihi+IF($F15&gt;EsikPesin,1,IF($F15&gt;EsikLimitAzalt,AksiyonGunOrta,AksiyonGunUzun))</f>
        <v/>
      </c>
      <c r="K15" s="101" t="n"/>
      <c r="L15" s="101" t="n"/>
    </row>
    <row r="16" ht="15" customHeight="1" s="55">
      <c r="A16" s="100">
        <f>IF(YASLANDIRMA!$F16=0,"",IFERROR(_xlfn.RANK.EQ(MUSTERI_RISK_SKORU!$X16,tblRisk[Risk Skoru],0),""))</f>
        <v/>
      </c>
      <c r="B16" s="100">
        <f>YASLANDIRMA!$B16</f>
        <v/>
      </c>
      <c r="C16" s="100">
        <f>YASLANDIRMA!$A16</f>
        <v/>
      </c>
      <c r="D16" s="100">
        <f>YASLANDIRMA!$F16</f>
        <v/>
      </c>
      <c r="E16" s="100">
        <f>YASLANDIRMA!$G16</f>
        <v/>
      </c>
      <c r="F16" s="100">
        <f>IFERROR(INDEX(tblRisk[Risk Skoru],MATCH($B16,tblRisk[Müşteri Kodu],0)),0)</f>
        <v/>
      </c>
      <c r="G16" s="100">
        <f>IF($F16&gt;=EsikYuksek,"Telefon + yönetici eskalasyonu",IF($E16&gt;YaslamaDilim2,"Telefon + yazılı teyit","Planlı e-posta/telefon"))</f>
        <v/>
      </c>
      <c r="H16" s="100">
        <f>IF($D16=0,"KAPALI",IF($F16&gt;EsikPesin,"Vadeli satışı durdur AND tahsilat planı al",IF($F16&gt;EsikLimitAzalt,"Peşin/teminatlı satışa geç",IF($F16&gt;EsikIzle,"Limit azalt AND tahsilatı hızlandır","Planlı izleme"))))</f>
        <v/>
      </c>
      <c r="I16" s="100">
        <f>IFERROR(INDEX(tblMusteriler[Satış Sorumlusu],MATCH($B16,tblMusteriler[Müşteri Kodu],0)),"Tahsilat Ekibi")</f>
        <v/>
      </c>
      <c r="J16" s="109">
        <f>RaporTarihi+IF($F16&gt;EsikPesin,1,IF($F16&gt;EsikLimitAzalt,AksiyonGunOrta,AksiyonGunUzun))</f>
        <v/>
      </c>
      <c r="K16" s="101" t="n"/>
      <c r="L16" s="101" t="n"/>
    </row>
    <row r="17" ht="15" customHeight="1" s="55">
      <c r="A17" s="100">
        <f>IF(YASLANDIRMA!$F17=0,"",IFERROR(_xlfn.RANK.EQ(MUSTERI_RISK_SKORU!$X17,tblRisk[Risk Skoru],0),""))</f>
        <v/>
      </c>
      <c r="B17" s="100">
        <f>YASLANDIRMA!$B17</f>
        <v/>
      </c>
      <c r="C17" s="100">
        <f>YASLANDIRMA!$A17</f>
        <v/>
      </c>
      <c r="D17" s="100">
        <f>YASLANDIRMA!$F17</f>
        <v/>
      </c>
      <c r="E17" s="100">
        <f>YASLANDIRMA!$G17</f>
        <v/>
      </c>
      <c r="F17" s="100">
        <f>IFERROR(INDEX(tblRisk[Risk Skoru],MATCH($B17,tblRisk[Müşteri Kodu],0)),0)</f>
        <v/>
      </c>
      <c r="G17" s="100">
        <f>IF($F17&gt;=EsikYuksek,"Telefon + yönetici eskalasyonu",IF($E17&gt;YaslamaDilim2,"Telefon + yazılı teyit","Planlı e-posta/telefon"))</f>
        <v/>
      </c>
      <c r="H17" s="100">
        <f>IF($D17=0,"KAPALI",IF($F17&gt;EsikPesin,"Vadeli satışı durdur AND tahsilat planı al",IF($F17&gt;EsikLimitAzalt,"Peşin/teminatlı satışa geç",IF($F17&gt;EsikIzle,"Limit azalt AND tahsilatı hızlandır","Planlı izleme"))))</f>
        <v/>
      </c>
      <c r="I17" s="100">
        <f>IFERROR(INDEX(tblMusteriler[Satış Sorumlusu],MATCH($B17,tblMusteriler[Müşteri Kodu],0)),"Tahsilat Ekibi")</f>
        <v/>
      </c>
      <c r="J17" s="109">
        <f>RaporTarihi+IF($F17&gt;EsikPesin,1,IF($F17&gt;EsikLimitAzalt,AksiyonGunOrta,AksiyonGunUzun))</f>
        <v/>
      </c>
      <c r="K17" s="101" t="n"/>
      <c r="L17" s="101" t="n"/>
    </row>
    <row r="18" ht="15" customHeight="1" s="55">
      <c r="A18" s="100">
        <f>IF(YASLANDIRMA!$F18=0,"",IFERROR(_xlfn.RANK.EQ(MUSTERI_RISK_SKORU!$X18,tblRisk[Risk Skoru],0),""))</f>
        <v/>
      </c>
      <c r="B18" s="100">
        <f>YASLANDIRMA!$B18</f>
        <v/>
      </c>
      <c r="C18" s="100">
        <f>YASLANDIRMA!$A18</f>
        <v/>
      </c>
      <c r="D18" s="100">
        <f>YASLANDIRMA!$F18</f>
        <v/>
      </c>
      <c r="E18" s="100">
        <f>YASLANDIRMA!$G18</f>
        <v/>
      </c>
      <c r="F18" s="100">
        <f>IFERROR(INDEX(tblRisk[Risk Skoru],MATCH($B18,tblRisk[Müşteri Kodu],0)),0)</f>
        <v/>
      </c>
      <c r="G18" s="100">
        <f>IF($F18&gt;=EsikYuksek,"Telefon + yönetici eskalasyonu",IF($E18&gt;YaslamaDilim2,"Telefon + yazılı teyit","Planlı e-posta/telefon"))</f>
        <v/>
      </c>
      <c r="H18" s="100">
        <f>IF($D18=0,"KAPALI",IF($F18&gt;EsikPesin,"Vadeli satışı durdur AND tahsilat planı al",IF($F18&gt;EsikLimitAzalt,"Peşin/teminatlı satışa geç",IF($F18&gt;EsikIzle,"Limit azalt AND tahsilatı hızlandır","Planlı izleme"))))</f>
        <v/>
      </c>
      <c r="I18" s="100">
        <f>IFERROR(INDEX(tblMusteriler[Satış Sorumlusu],MATCH($B18,tblMusteriler[Müşteri Kodu],0)),"Tahsilat Ekibi")</f>
        <v/>
      </c>
      <c r="J18" s="109">
        <f>RaporTarihi+IF($F18&gt;EsikPesin,1,IF($F18&gt;EsikLimitAzalt,AksiyonGunOrta,AksiyonGunUzun))</f>
        <v/>
      </c>
      <c r="K18" s="101" t="n"/>
      <c r="L18" s="101" t="n"/>
    </row>
    <row r="19" ht="15" customHeight="1" s="55">
      <c r="A19" s="100">
        <f>IF(YASLANDIRMA!$F19=0,"",IFERROR(_xlfn.RANK.EQ(MUSTERI_RISK_SKORU!$X19,tblRisk[Risk Skoru],0),""))</f>
        <v/>
      </c>
      <c r="B19" s="100">
        <f>YASLANDIRMA!$B19</f>
        <v/>
      </c>
      <c r="C19" s="100">
        <f>YASLANDIRMA!$A19</f>
        <v/>
      </c>
      <c r="D19" s="100">
        <f>YASLANDIRMA!$F19</f>
        <v/>
      </c>
      <c r="E19" s="100">
        <f>YASLANDIRMA!$G19</f>
        <v/>
      </c>
      <c r="F19" s="100">
        <f>IFERROR(INDEX(tblRisk[Risk Skoru],MATCH($B19,tblRisk[Müşteri Kodu],0)),0)</f>
        <v/>
      </c>
      <c r="G19" s="100">
        <f>IF($F19&gt;=EsikYuksek,"Telefon + yönetici eskalasyonu",IF($E19&gt;YaslamaDilim2,"Telefon + yazılı teyit","Planlı e-posta/telefon"))</f>
        <v/>
      </c>
      <c r="H19" s="100">
        <f>IF($D19=0,"KAPALI",IF($F19&gt;EsikPesin,"Vadeli satışı durdur AND tahsilat planı al",IF($F19&gt;EsikLimitAzalt,"Peşin/teminatlı satışa geç",IF($F19&gt;EsikIzle,"Limit azalt AND tahsilatı hızlandır","Planlı izleme"))))</f>
        <v/>
      </c>
      <c r="I19" s="100">
        <f>IFERROR(INDEX(tblMusteriler[Satış Sorumlusu],MATCH($B19,tblMusteriler[Müşteri Kodu],0)),"Tahsilat Ekibi")</f>
        <v/>
      </c>
      <c r="J19" s="109">
        <f>RaporTarihi+IF($F19&gt;EsikPesin,1,IF($F19&gt;EsikLimitAzalt,AksiyonGunOrta,AksiyonGunUzun))</f>
        <v/>
      </c>
      <c r="K19" s="101" t="n"/>
      <c r="L19" s="101" t="n"/>
    </row>
    <row r="20" ht="15" customHeight="1" s="55">
      <c r="A20" s="100">
        <f>IF(YASLANDIRMA!$F20=0,"",IFERROR(_xlfn.RANK.EQ(MUSTERI_RISK_SKORU!$X20,tblRisk[Risk Skoru],0),""))</f>
        <v/>
      </c>
      <c r="B20" s="100">
        <f>YASLANDIRMA!$B20</f>
        <v/>
      </c>
      <c r="C20" s="100">
        <f>YASLANDIRMA!$A20</f>
        <v/>
      </c>
      <c r="D20" s="100">
        <f>YASLANDIRMA!$F20</f>
        <v/>
      </c>
      <c r="E20" s="100">
        <f>YASLANDIRMA!$G20</f>
        <v/>
      </c>
      <c r="F20" s="100">
        <f>IFERROR(INDEX(tblRisk[Risk Skoru],MATCH($B20,tblRisk[Müşteri Kodu],0)),0)</f>
        <v/>
      </c>
      <c r="G20" s="100">
        <f>IF($F20&gt;=EsikYuksek,"Telefon + yönetici eskalasyonu",IF($E20&gt;YaslamaDilim2,"Telefon + yazılı teyit","Planlı e-posta/telefon"))</f>
        <v/>
      </c>
      <c r="H20" s="100">
        <f>IF($D20=0,"KAPALI",IF($F20&gt;EsikPesin,"Vadeli satışı durdur AND tahsilat planı al",IF($F20&gt;EsikLimitAzalt,"Peşin/teminatlı satışa geç",IF($F20&gt;EsikIzle,"Limit azalt AND tahsilatı hızlandır","Planlı izleme"))))</f>
        <v/>
      </c>
      <c r="I20" s="100">
        <f>IFERROR(INDEX(tblMusteriler[Satış Sorumlusu],MATCH($B20,tblMusteriler[Müşteri Kodu],0)),"Tahsilat Ekibi")</f>
        <v/>
      </c>
      <c r="J20" s="109">
        <f>RaporTarihi+IF($F20&gt;EsikPesin,1,IF($F20&gt;EsikLimitAzalt,AksiyonGunOrta,AksiyonGunUzun))</f>
        <v/>
      </c>
      <c r="K20" s="101" t="n"/>
      <c r="L20" s="101" t="n"/>
    </row>
    <row r="21" ht="15" customHeight="1" s="55">
      <c r="A21" s="100">
        <f>IF(YASLANDIRMA!$F21=0,"",IFERROR(_xlfn.RANK.EQ(MUSTERI_RISK_SKORU!$X21,tblRisk[Risk Skoru],0),""))</f>
        <v/>
      </c>
      <c r="B21" s="100">
        <f>YASLANDIRMA!$B21</f>
        <v/>
      </c>
      <c r="C21" s="100">
        <f>YASLANDIRMA!$A21</f>
        <v/>
      </c>
      <c r="D21" s="100">
        <f>YASLANDIRMA!$F21</f>
        <v/>
      </c>
      <c r="E21" s="100">
        <f>YASLANDIRMA!$G21</f>
        <v/>
      </c>
      <c r="F21" s="100">
        <f>IFERROR(INDEX(tblRisk[Risk Skoru],MATCH($B21,tblRisk[Müşteri Kodu],0)),0)</f>
        <v/>
      </c>
      <c r="G21" s="100">
        <f>IF($F21&gt;=EsikYuksek,"Telefon + yönetici eskalasyonu",IF($E21&gt;YaslamaDilim2,"Telefon + yazılı teyit","Planlı e-posta/telefon"))</f>
        <v/>
      </c>
      <c r="H21" s="100">
        <f>IF($D21=0,"KAPALI",IF($F21&gt;EsikPesin,"Vadeli satışı durdur AND tahsilat planı al",IF($F21&gt;EsikLimitAzalt,"Peşin/teminatlı satışa geç",IF($F21&gt;EsikIzle,"Limit azalt AND tahsilatı hızlandır","Planlı izleme"))))</f>
        <v/>
      </c>
      <c r="I21" s="100">
        <f>IFERROR(INDEX(tblMusteriler[Satış Sorumlusu],MATCH($B21,tblMusteriler[Müşteri Kodu],0)),"Tahsilat Ekibi")</f>
        <v/>
      </c>
      <c r="J21" s="109">
        <f>RaporTarihi+IF($F21&gt;EsikPesin,1,IF($F21&gt;EsikLimitAzalt,AksiyonGunOrta,AksiyonGunUzun))</f>
        <v/>
      </c>
      <c r="K21" s="101" t="n"/>
      <c r="L21" s="101" t="n"/>
    </row>
    <row r="22" ht="15" customHeight="1" s="55">
      <c r="A22" s="100">
        <f>IF(YASLANDIRMA!$F22=0,"",IFERROR(_xlfn.RANK.EQ(MUSTERI_RISK_SKORU!$X22,tblRisk[Risk Skoru],0),""))</f>
        <v/>
      </c>
      <c r="B22" s="100">
        <f>YASLANDIRMA!$B22</f>
        <v/>
      </c>
      <c r="C22" s="100">
        <f>YASLANDIRMA!$A22</f>
        <v/>
      </c>
      <c r="D22" s="100">
        <f>YASLANDIRMA!$F22</f>
        <v/>
      </c>
      <c r="E22" s="100">
        <f>YASLANDIRMA!$G22</f>
        <v/>
      </c>
      <c r="F22" s="100">
        <f>IFERROR(INDEX(tblRisk[Risk Skoru],MATCH($B22,tblRisk[Müşteri Kodu],0)),0)</f>
        <v/>
      </c>
      <c r="G22" s="100">
        <f>IF($F22&gt;=EsikYuksek,"Telefon + yönetici eskalasyonu",IF($E22&gt;YaslamaDilim2,"Telefon + yazılı teyit","Planlı e-posta/telefon"))</f>
        <v/>
      </c>
      <c r="H22" s="100">
        <f>IF($D22=0,"KAPALI",IF($F22&gt;EsikPesin,"Vadeli satışı durdur AND tahsilat planı al",IF($F22&gt;EsikLimitAzalt,"Peşin/teminatlı satışa geç",IF($F22&gt;EsikIzle,"Limit azalt AND tahsilatı hızlandır","Planlı izleme"))))</f>
        <v/>
      </c>
      <c r="I22" s="100">
        <f>IFERROR(INDEX(tblMusteriler[Satış Sorumlusu],MATCH($B22,tblMusteriler[Müşteri Kodu],0)),"Tahsilat Ekibi")</f>
        <v/>
      </c>
      <c r="J22" s="109">
        <f>RaporTarihi+IF($F22&gt;EsikPesin,1,IF($F22&gt;EsikLimitAzalt,AksiyonGunOrta,AksiyonGunUzun))</f>
        <v/>
      </c>
      <c r="K22" s="101" t="n"/>
      <c r="L22" s="101" t="n"/>
    </row>
    <row r="23" ht="15" customHeight="1" s="55">
      <c r="A23" s="100">
        <f>IF(YASLANDIRMA!$F23=0,"",IFERROR(_xlfn.RANK.EQ(MUSTERI_RISK_SKORU!$X23,tblRisk[Risk Skoru],0),""))</f>
        <v/>
      </c>
      <c r="B23" s="100">
        <f>YASLANDIRMA!$B23</f>
        <v/>
      </c>
      <c r="C23" s="100">
        <f>YASLANDIRMA!$A23</f>
        <v/>
      </c>
      <c r="D23" s="100">
        <f>YASLANDIRMA!$F23</f>
        <v/>
      </c>
      <c r="E23" s="100">
        <f>YASLANDIRMA!$G23</f>
        <v/>
      </c>
      <c r="F23" s="100">
        <f>IFERROR(INDEX(tblRisk[Risk Skoru],MATCH($B23,tblRisk[Müşteri Kodu],0)),0)</f>
        <v/>
      </c>
      <c r="G23" s="100">
        <f>IF($F23&gt;=EsikYuksek,"Telefon + yönetici eskalasyonu",IF($E23&gt;YaslamaDilim2,"Telefon + yazılı teyit","Planlı e-posta/telefon"))</f>
        <v/>
      </c>
      <c r="H23" s="100">
        <f>IF($D23=0,"KAPALI",IF($F23&gt;EsikPesin,"Vadeli satışı durdur AND tahsilat planı al",IF($F23&gt;EsikLimitAzalt,"Peşin/teminatlı satışa geç",IF($F23&gt;EsikIzle,"Limit azalt AND tahsilatı hızlandır","Planlı izleme"))))</f>
        <v/>
      </c>
      <c r="I23" s="100">
        <f>IFERROR(INDEX(tblMusteriler[Satış Sorumlusu],MATCH($B23,tblMusteriler[Müşteri Kodu],0)),"Tahsilat Ekibi")</f>
        <v/>
      </c>
      <c r="J23" s="109">
        <f>RaporTarihi+IF($F23&gt;EsikPesin,1,IF($F23&gt;EsikLimitAzalt,AksiyonGunOrta,AksiyonGunUzun))</f>
        <v/>
      </c>
      <c r="K23" s="101" t="n"/>
      <c r="L23" s="101" t="n"/>
    </row>
    <row r="24" ht="15" customHeight="1" s="55">
      <c r="A24" s="100">
        <f>IF(YASLANDIRMA!$F24=0,"",IFERROR(_xlfn.RANK.EQ(MUSTERI_RISK_SKORU!$X24,tblRisk[Risk Skoru],0),""))</f>
        <v/>
      </c>
      <c r="B24" s="100">
        <f>YASLANDIRMA!$B24</f>
        <v/>
      </c>
      <c r="C24" s="100">
        <f>YASLANDIRMA!$A24</f>
        <v/>
      </c>
      <c r="D24" s="100">
        <f>YASLANDIRMA!$F24</f>
        <v/>
      </c>
      <c r="E24" s="100">
        <f>YASLANDIRMA!$G24</f>
        <v/>
      </c>
      <c r="F24" s="100">
        <f>IFERROR(INDEX(tblRisk[Risk Skoru],MATCH($B24,tblRisk[Müşteri Kodu],0)),0)</f>
        <v/>
      </c>
      <c r="G24" s="100">
        <f>IF($F24&gt;=EsikYuksek,"Telefon + yönetici eskalasyonu",IF($E24&gt;YaslamaDilim2,"Telefon + yazılı teyit","Planlı e-posta/telefon"))</f>
        <v/>
      </c>
      <c r="H24" s="100">
        <f>IF($D24=0,"KAPALI",IF($F24&gt;EsikPesin,"Vadeli satışı durdur AND tahsilat planı al",IF($F24&gt;EsikLimitAzalt,"Peşin/teminatlı satışa geç",IF($F24&gt;EsikIzle,"Limit azalt AND tahsilatı hızlandır","Planlı izleme"))))</f>
        <v/>
      </c>
      <c r="I24" s="100">
        <f>IFERROR(INDEX(tblMusteriler[Satış Sorumlusu],MATCH($B24,tblMusteriler[Müşteri Kodu],0)),"Tahsilat Ekibi")</f>
        <v/>
      </c>
      <c r="J24" s="109">
        <f>RaporTarihi+IF($F24&gt;EsikPesin,1,IF($F24&gt;EsikLimitAzalt,AksiyonGunOrta,AksiyonGunUzun))</f>
        <v/>
      </c>
      <c r="K24" s="101" t="n"/>
      <c r="L24" s="101" t="n"/>
    </row>
    <row r="25" ht="15" customHeight="1" s="55">
      <c r="A25" s="100">
        <f>IF(YASLANDIRMA!$F25=0,"",IFERROR(_xlfn.RANK.EQ(MUSTERI_RISK_SKORU!$X25,tblRisk[Risk Skoru],0),""))</f>
        <v/>
      </c>
      <c r="B25" s="100">
        <f>YASLANDIRMA!$B25</f>
        <v/>
      </c>
      <c r="C25" s="100">
        <f>YASLANDIRMA!$A25</f>
        <v/>
      </c>
      <c r="D25" s="100">
        <f>YASLANDIRMA!$F25</f>
        <v/>
      </c>
      <c r="E25" s="100">
        <f>YASLANDIRMA!$G25</f>
        <v/>
      </c>
      <c r="F25" s="100">
        <f>IFERROR(INDEX(tblRisk[Risk Skoru],MATCH($B25,tblRisk[Müşteri Kodu],0)),0)</f>
        <v/>
      </c>
      <c r="G25" s="100">
        <f>IF($F25&gt;=EsikYuksek,"Telefon + yönetici eskalasyonu",IF($E25&gt;YaslamaDilim2,"Telefon + yazılı teyit","Planlı e-posta/telefon"))</f>
        <v/>
      </c>
      <c r="H25" s="100">
        <f>IF($D25=0,"KAPALI",IF($F25&gt;EsikPesin,"Vadeli satışı durdur AND tahsilat planı al",IF($F25&gt;EsikLimitAzalt,"Peşin/teminatlı satışa geç",IF($F25&gt;EsikIzle,"Limit azalt AND tahsilatı hızlandır","Planlı izleme"))))</f>
        <v/>
      </c>
      <c r="I25" s="100">
        <f>IFERROR(INDEX(tblMusteriler[Satış Sorumlusu],MATCH($B25,tblMusteriler[Müşteri Kodu],0)),"Tahsilat Ekibi")</f>
        <v/>
      </c>
      <c r="J25" s="109">
        <f>RaporTarihi+IF($F25&gt;EsikPesin,1,IF($F25&gt;EsikLimitAzalt,AksiyonGunOrta,AksiyonGunUzun))</f>
        <v/>
      </c>
      <c r="K25" s="101" t="n"/>
      <c r="L25" s="101" t="n"/>
    </row>
    <row r="26" ht="15" customHeight="1" s="55">
      <c r="A26" s="100">
        <f>IF(YASLANDIRMA!$F26=0,"",IFERROR(_xlfn.RANK.EQ(MUSTERI_RISK_SKORU!$X26,tblRisk[Risk Skoru],0),""))</f>
        <v/>
      </c>
      <c r="B26" s="100">
        <f>YASLANDIRMA!$B26</f>
        <v/>
      </c>
      <c r="C26" s="100">
        <f>YASLANDIRMA!$A26</f>
        <v/>
      </c>
      <c r="D26" s="100">
        <f>YASLANDIRMA!$F26</f>
        <v/>
      </c>
      <c r="E26" s="100">
        <f>YASLANDIRMA!$G26</f>
        <v/>
      </c>
      <c r="F26" s="100">
        <f>IFERROR(INDEX(tblRisk[Risk Skoru],MATCH($B26,tblRisk[Müşteri Kodu],0)),0)</f>
        <v/>
      </c>
      <c r="G26" s="100">
        <f>IF($F26&gt;=EsikYuksek,"Telefon + yönetici eskalasyonu",IF($E26&gt;YaslamaDilim2,"Telefon + yazılı teyit","Planlı e-posta/telefon"))</f>
        <v/>
      </c>
      <c r="H26" s="100">
        <f>IF($D26=0,"KAPALI",IF($F26&gt;EsikPesin,"Vadeli satışı durdur AND tahsilat planı al",IF($F26&gt;EsikLimitAzalt,"Peşin/teminatlı satışa geç",IF($F26&gt;EsikIzle,"Limit azalt AND tahsilatı hızlandır","Planlı izleme"))))</f>
        <v/>
      </c>
      <c r="I26" s="100">
        <f>IFERROR(INDEX(tblMusteriler[Satış Sorumlusu],MATCH($B26,tblMusteriler[Müşteri Kodu],0)),"Tahsilat Ekibi")</f>
        <v/>
      </c>
      <c r="J26" s="109">
        <f>RaporTarihi+IF($F26&gt;EsikPesin,1,IF($F26&gt;EsikLimitAzalt,AksiyonGunOrta,AksiyonGunUzun))</f>
        <v/>
      </c>
      <c r="K26" s="101" t="n"/>
      <c r="L26" s="101" t="n"/>
    </row>
    <row r="27" ht="15" customHeight="1" s="55">
      <c r="A27" s="100">
        <f>IF(YASLANDIRMA!$F27=0,"",IFERROR(_xlfn.RANK.EQ(MUSTERI_RISK_SKORU!$X27,tblRisk[Risk Skoru],0),""))</f>
        <v/>
      </c>
      <c r="B27" s="100">
        <f>YASLANDIRMA!$B27</f>
        <v/>
      </c>
      <c r="C27" s="100">
        <f>YASLANDIRMA!$A27</f>
        <v/>
      </c>
      <c r="D27" s="100">
        <f>YASLANDIRMA!$F27</f>
        <v/>
      </c>
      <c r="E27" s="100">
        <f>YASLANDIRMA!$G27</f>
        <v/>
      </c>
      <c r="F27" s="100">
        <f>IFERROR(INDEX(tblRisk[Risk Skoru],MATCH($B27,tblRisk[Müşteri Kodu],0)),0)</f>
        <v/>
      </c>
      <c r="G27" s="100">
        <f>IF($F27&gt;=EsikYuksek,"Telefon + yönetici eskalasyonu",IF($E27&gt;YaslamaDilim2,"Telefon + yazılı teyit","Planlı e-posta/telefon"))</f>
        <v/>
      </c>
      <c r="H27" s="100">
        <f>IF($D27=0,"KAPALI",IF($F27&gt;EsikPesin,"Vadeli satışı durdur AND tahsilat planı al",IF($F27&gt;EsikLimitAzalt,"Peşin/teminatlı satışa geç",IF($F27&gt;EsikIzle,"Limit azalt AND tahsilatı hızlandır","Planlı izleme"))))</f>
        <v/>
      </c>
      <c r="I27" s="100">
        <f>IFERROR(INDEX(tblMusteriler[Satış Sorumlusu],MATCH($B27,tblMusteriler[Müşteri Kodu],0)),"Tahsilat Ekibi")</f>
        <v/>
      </c>
      <c r="J27" s="109">
        <f>RaporTarihi+IF($F27&gt;EsikPesin,1,IF($F27&gt;EsikLimitAzalt,AksiyonGunOrta,AksiyonGunUzun))</f>
        <v/>
      </c>
      <c r="K27" s="101" t="n"/>
      <c r="L27" s="101" t="n"/>
    </row>
    <row r="28" ht="15" customHeight="1" s="55">
      <c r="A28" s="100">
        <f>IF(YASLANDIRMA!$F28=0,"",IFERROR(_xlfn.RANK.EQ(MUSTERI_RISK_SKORU!$X28,tblRisk[Risk Skoru],0),""))</f>
        <v/>
      </c>
      <c r="B28" s="100">
        <f>YASLANDIRMA!$B28</f>
        <v/>
      </c>
      <c r="C28" s="100">
        <f>YASLANDIRMA!$A28</f>
        <v/>
      </c>
      <c r="D28" s="100">
        <f>YASLANDIRMA!$F28</f>
        <v/>
      </c>
      <c r="E28" s="100">
        <f>YASLANDIRMA!$G28</f>
        <v/>
      </c>
      <c r="F28" s="100">
        <f>IFERROR(INDEX(tblRisk[Risk Skoru],MATCH($B28,tblRisk[Müşteri Kodu],0)),0)</f>
        <v/>
      </c>
      <c r="G28" s="100">
        <f>IF($F28&gt;=EsikYuksek,"Telefon + yönetici eskalasyonu",IF($E28&gt;YaslamaDilim2,"Telefon + yazılı teyit","Planlı e-posta/telefon"))</f>
        <v/>
      </c>
      <c r="H28" s="100">
        <f>IF($D28=0,"KAPALI",IF($F28&gt;EsikPesin,"Vadeli satışı durdur AND tahsilat planı al",IF($F28&gt;EsikLimitAzalt,"Peşin/teminatlı satışa geç",IF($F28&gt;EsikIzle,"Limit azalt AND tahsilatı hızlandır","Planlı izleme"))))</f>
        <v/>
      </c>
      <c r="I28" s="100">
        <f>IFERROR(INDEX(tblMusteriler[Satış Sorumlusu],MATCH($B28,tblMusteriler[Müşteri Kodu],0)),"Tahsilat Ekibi")</f>
        <v/>
      </c>
      <c r="J28" s="109">
        <f>RaporTarihi+IF($F28&gt;EsikPesin,1,IF($F28&gt;EsikLimitAzalt,AksiyonGunOrta,AksiyonGunUzun))</f>
        <v/>
      </c>
      <c r="K28" s="101" t="n"/>
      <c r="L28" s="101" t="n"/>
    </row>
    <row r="29" ht="15" customHeight="1" s="55">
      <c r="A29" s="100">
        <f>IF(YASLANDIRMA!$F29=0,"",IFERROR(_xlfn.RANK.EQ(MUSTERI_RISK_SKORU!$X29,tblRisk[Risk Skoru],0),""))</f>
        <v/>
      </c>
      <c r="B29" s="100">
        <f>YASLANDIRMA!$B29</f>
        <v/>
      </c>
      <c r="C29" s="100">
        <f>YASLANDIRMA!$A29</f>
        <v/>
      </c>
      <c r="D29" s="100">
        <f>YASLANDIRMA!$F29</f>
        <v/>
      </c>
      <c r="E29" s="100">
        <f>YASLANDIRMA!$G29</f>
        <v/>
      </c>
      <c r="F29" s="100">
        <f>IFERROR(INDEX(tblRisk[Risk Skoru],MATCH($B29,tblRisk[Müşteri Kodu],0)),0)</f>
        <v/>
      </c>
      <c r="G29" s="100">
        <f>IF($F29&gt;=EsikYuksek,"Telefon + yönetici eskalasyonu",IF($E29&gt;YaslamaDilim2,"Telefon + yazılı teyit","Planlı e-posta/telefon"))</f>
        <v/>
      </c>
      <c r="H29" s="100">
        <f>IF($D29=0,"KAPALI",IF($F29&gt;EsikPesin,"Vadeli satışı durdur AND tahsilat planı al",IF($F29&gt;EsikLimitAzalt,"Peşin/teminatlı satışa geç",IF($F29&gt;EsikIzle,"Limit azalt AND tahsilatı hızlandır","Planlı izleme"))))</f>
        <v/>
      </c>
      <c r="I29" s="100">
        <f>IFERROR(INDEX(tblMusteriler[Satış Sorumlusu],MATCH($B29,tblMusteriler[Müşteri Kodu],0)),"Tahsilat Ekibi")</f>
        <v/>
      </c>
      <c r="J29" s="109">
        <f>RaporTarihi+IF($F29&gt;EsikPesin,1,IF($F29&gt;EsikLimitAzalt,AksiyonGunOrta,AksiyonGunUzun))</f>
        <v/>
      </c>
      <c r="K29" s="101" t="n"/>
      <c r="L29" s="101" t="n"/>
    </row>
    <row r="30" ht="15" customHeight="1" s="55">
      <c r="A30" s="100">
        <f>IF(YASLANDIRMA!$F30=0,"",IFERROR(_xlfn.RANK.EQ(MUSTERI_RISK_SKORU!$X30,tblRisk[Risk Skoru],0),""))</f>
        <v/>
      </c>
      <c r="B30" s="100">
        <f>YASLANDIRMA!$B30</f>
        <v/>
      </c>
      <c r="C30" s="100">
        <f>YASLANDIRMA!$A30</f>
        <v/>
      </c>
      <c r="D30" s="100">
        <f>YASLANDIRMA!$F30</f>
        <v/>
      </c>
      <c r="E30" s="100">
        <f>YASLANDIRMA!$G30</f>
        <v/>
      </c>
      <c r="F30" s="100">
        <f>IFERROR(INDEX(tblRisk[Risk Skoru],MATCH($B30,tblRisk[Müşteri Kodu],0)),0)</f>
        <v/>
      </c>
      <c r="G30" s="100">
        <f>IF($F30&gt;=EsikYuksek,"Telefon + yönetici eskalasyonu",IF($E30&gt;YaslamaDilim2,"Telefon + yazılı teyit","Planlı e-posta/telefon"))</f>
        <v/>
      </c>
      <c r="H30" s="100">
        <f>IF($D30=0,"KAPALI",IF($F30&gt;EsikPesin,"Vadeli satışı durdur AND tahsilat planı al",IF($F30&gt;EsikLimitAzalt,"Peşin/teminatlı satışa geç",IF($F30&gt;EsikIzle,"Limit azalt AND tahsilatı hızlandır","Planlı izleme"))))</f>
        <v/>
      </c>
      <c r="I30" s="100">
        <f>IFERROR(INDEX(tblMusteriler[Satış Sorumlusu],MATCH($B30,tblMusteriler[Müşteri Kodu],0)),"Tahsilat Ekibi")</f>
        <v/>
      </c>
      <c r="J30" s="109">
        <f>RaporTarihi+IF($F30&gt;EsikPesin,1,IF($F30&gt;EsikLimitAzalt,AksiyonGunOrta,AksiyonGunUzun))</f>
        <v/>
      </c>
      <c r="K30" s="101" t="n"/>
      <c r="L30" s="101" t="n"/>
    </row>
    <row r="31" ht="15" customHeight="1" s="55">
      <c r="A31" s="100">
        <f>IF(YASLANDIRMA!$F31=0,"",IFERROR(_xlfn.RANK.EQ(MUSTERI_RISK_SKORU!$X31,tblRisk[Risk Skoru],0),""))</f>
        <v/>
      </c>
      <c r="B31" s="100">
        <f>YASLANDIRMA!$B31</f>
        <v/>
      </c>
      <c r="C31" s="100">
        <f>YASLANDIRMA!$A31</f>
        <v/>
      </c>
      <c r="D31" s="100">
        <f>YASLANDIRMA!$F31</f>
        <v/>
      </c>
      <c r="E31" s="100">
        <f>YASLANDIRMA!$G31</f>
        <v/>
      </c>
      <c r="F31" s="100">
        <f>IFERROR(INDEX(tblRisk[Risk Skoru],MATCH($B31,tblRisk[Müşteri Kodu],0)),0)</f>
        <v/>
      </c>
      <c r="G31" s="100">
        <f>IF($F31&gt;=EsikYuksek,"Telefon + yönetici eskalasyonu",IF($E31&gt;YaslamaDilim2,"Telefon + yazılı teyit","Planlı e-posta/telefon"))</f>
        <v/>
      </c>
      <c r="H31" s="100">
        <f>IF($D31=0,"KAPALI",IF($F31&gt;EsikPesin,"Vadeli satışı durdur AND tahsilat planı al",IF($F31&gt;EsikLimitAzalt,"Peşin/teminatlı satışa geç",IF($F31&gt;EsikIzle,"Limit azalt AND tahsilatı hızlandır","Planlı izleme"))))</f>
        <v/>
      </c>
      <c r="I31" s="100">
        <f>IFERROR(INDEX(tblMusteriler[Satış Sorumlusu],MATCH($B31,tblMusteriler[Müşteri Kodu],0)),"Tahsilat Ekibi")</f>
        <v/>
      </c>
      <c r="J31" s="109">
        <f>RaporTarihi+IF($F31&gt;EsikPesin,1,IF($F31&gt;EsikLimitAzalt,AksiyonGunOrta,AksiyonGunUzun))</f>
        <v/>
      </c>
      <c r="K31" s="101" t="n"/>
      <c r="L31" s="101" t="n"/>
    </row>
    <row r="32" ht="15" customHeight="1" s="55">
      <c r="A32" s="100">
        <f>IF(YASLANDIRMA!$F32=0,"",IFERROR(_xlfn.RANK.EQ(MUSTERI_RISK_SKORU!$X32,tblRisk[Risk Skoru],0),""))</f>
        <v/>
      </c>
      <c r="B32" s="100">
        <f>YASLANDIRMA!$B32</f>
        <v/>
      </c>
      <c r="C32" s="100">
        <f>YASLANDIRMA!$A32</f>
        <v/>
      </c>
      <c r="D32" s="100">
        <f>YASLANDIRMA!$F32</f>
        <v/>
      </c>
      <c r="E32" s="100">
        <f>YASLANDIRMA!$G32</f>
        <v/>
      </c>
      <c r="F32" s="100">
        <f>IFERROR(INDEX(tblRisk[Risk Skoru],MATCH($B32,tblRisk[Müşteri Kodu],0)),0)</f>
        <v/>
      </c>
      <c r="G32" s="100">
        <f>IF($F32&gt;=EsikYuksek,"Telefon + yönetici eskalasyonu",IF($E32&gt;YaslamaDilim2,"Telefon + yazılı teyit","Planlı e-posta/telefon"))</f>
        <v/>
      </c>
      <c r="H32" s="100">
        <f>IF($D32=0,"KAPALI",IF($F32&gt;EsikPesin,"Vadeli satışı durdur AND tahsilat planı al",IF($F32&gt;EsikLimitAzalt,"Peşin/teminatlı satışa geç",IF($F32&gt;EsikIzle,"Limit azalt AND tahsilatı hızlandır","Planlı izleme"))))</f>
        <v/>
      </c>
      <c r="I32" s="100">
        <f>IFERROR(INDEX(tblMusteriler[Satış Sorumlusu],MATCH($B32,tblMusteriler[Müşteri Kodu],0)),"Tahsilat Ekibi")</f>
        <v/>
      </c>
      <c r="J32" s="109">
        <f>RaporTarihi+IF($F32&gt;EsikPesin,1,IF($F32&gt;EsikLimitAzalt,AksiyonGunOrta,AksiyonGunUzun))</f>
        <v/>
      </c>
      <c r="K32" s="101" t="n"/>
      <c r="L32" s="101" t="n"/>
    </row>
    <row r="33" ht="15" customHeight="1" s="55">
      <c r="A33" s="100">
        <f>IF(YASLANDIRMA!$F33=0,"",IFERROR(_xlfn.RANK.EQ(MUSTERI_RISK_SKORU!$X33,tblRisk[Risk Skoru],0),""))</f>
        <v/>
      </c>
      <c r="B33" s="100">
        <f>YASLANDIRMA!$B33</f>
        <v/>
      </c>
      <c r="C33" s="100">
        <f>YASLANDIRMA!$A33</f>
        <v/>
      </c>
      <c r="D33" s="100">
        <f>YASLANDIRMA!$F33</f>
        <v/>
      </c>
      <c r="E33" s="100">
        <f>YASLANDIRMA!$G33</f>
        <v/>
      </c>
      <c r="F33" s="100">
        <f>IFERROR(INDEX(tblRisk[Risk Skoru],MATCH($B33,tblRisk[Müşteri Kodu],0)),0)</f>
        <v/>
      </c>
      <c r="G33" s="100">
        <f>IF($F33&gt;=EsikYuksek,"Telefon + yönetici eskalasyonu",IF($E33&gt;YaslamaDilim2,"Telefon + yazılı teyit","Planlı e-posta/telefon"))</f>
        <v/>
      </c>
      <c r="H33" s="100">
        <f>IF($D33=0,"KAPALI",IF($F33&gt;EsikPesin,"Vadeli satışı durdur AND tahsilat planı al",IF($F33&gt;EsikLimitAzalt,"Peşin/teminatlı satışa geç",IF($F33&gt;EsikIzle,"Limit azalt AND tahsilatı hızlandır","Planlı izleme"))))</f>
        <v/>
      </c>
      <c r="I33" s="100">
        <f>IFERROR(INDEX(tblMusteriler[Satış Sorumlusu],MATCH($B33,tblMusteriler[Müşteri Kodu],0)),"Tahsilat Ekibi")</f>
        <v/>
      </c>
      <c r="J33" s="109">
        <f>RaporTarihi+IF($F33&gt;EsikPesin,1,IF($F33&gt;EsikLimitAzalt,AksiyonGunOrta,AksiyonGunUzun))</f>
        <v/>
      </c>
      <c r="K33" s="101" t="n"/>
      <c r="L33" s="101" t="n"/>
    </row>
    <row r="34" ht="15" customHeight="1" s="55">
      <c r="A34" s="100">
        <f>IF(YASLANDIRMA!$F34=0,"",IFERROR(_xlfn.RANK.EQ(MUSTERI_RISK_SKORU!$X34,tblRisk[Risk Skoru],0),""))</f>
        <v/>
      </c>
      <c r="B34" s="100">
        <f>YASLANDIRMA!$B34</f>
        <v/>
      </c>
      <c r="C34" s="100">
        <f>YASLANDIRMA!$A34</f>
        <v/>
      </c>
      <c r="D34" s="100">
        <f>YASLANDIRMA!$F34</f>
        <v/>
      </c>
      <c r="E34" s="100">
        <f>YASLANDIRMA!$G34</f>
        <v/>
      </c>
      <c r="F34" s="100">
        <f>IFERROR(INDEX(tblRisk[Risk Skoru],MATCH($B34,tblRisk[Müşteri Kodu],0)),0)</f>
        <v/>
      </c>
      <c r="G34" s="100">
        <f>IF($F34&gt;=EsikYuksek,"Telefon + yönetici eskalasyonu",IF($E34&gt;YaslamaDilim2,"Telefon + yazılı teyit","Planlı e-posta/telefon"))</f>
        <v/>
      </c>
      <c r="H34" s="100">
        <f>IF($D34=0,"KAPALI",IF($F34&gt;EsikPesin,"Vadeli satışı durdur AND tahsilat planı al",IF($F34&gt;EsikLimitAzalt,"Peşin/teminatlı satışa geç",IF($F34&gt;EsikIzle,"Limit azalt AND tahsilatı hızlandır","Planlı izleme"))))</f>
        <v/>
      </c>
      <c r="I34" s="100">
        <f>IFERROR(INDEX(tblMusteriler[Satış Sorumlusu],MATCH($B34,tblMusteriler[Müşteri Kodu],0)),"Tahsilat Ekibi")</f>
        <v/>
      </c>
      <c r="J34" s="109">
        <f>RaporTarihi+IF($F34&gt;EsikPesin,1,IF($F34&gt;EsikLimitAzalt,AksiyonGunOrta,AksiyonGunUzun))</f>
        <v/>
      </c>
      <c r="K34" s="101" t="n"/>
      <c r="L34" s="101" t="n"/>
    </row>
    <row r="35" ht="15" customHeight="1" s="55">
      <c r="A35" s="100">
        <f>IF(YASLANDIRMA!$F35=0,"",IFERROR(_xlfn.RANK.EQ(MUSTERI_RISK_SKORU!$X35,tblRisk[Risk Skoru],0),""))</f>
        <v/>
      </c>
      <c r="B35" s="100">
        <f>YASLANDIRMA!$B35</f>
        <v/>
      </c>
      <c r="C35" s="100">
        <f>YASLANDIRMA!$A35</f>
        <v/>
      </c>
      <c r="D35" s="100">
        <f>YASLANDIRMA!$F35</f>
        <v/>
      </c>
      <c r="E35" s="100">
        <f>YASLANDIRMA!$G35</f>
        <v/>
      </c>
      <c r="F35" s="100">
        <f>IFERROR(INDEX(tblRisk[Risk Skoru],MATCH($B35,tblRisk[Müşteri Kodu],0)),0)</f>
        <v/>
      </c>
      <c r="G35" s="100">
        <f>IF($F35&gt;=EsikYuksek,"Telefon + yönetici eskalasyonu",IF($E35&gt;YaslamaDilim2,"Telefon + yazılı teyit","Planlı e-posta/telefon"))</f>
        <v/>
      </c>
      <c r="H35" s="100">
        <f>IF($D35=0,"KAPALI",IF($F35&gt;EsikPesin,"Vadeli satışı durdur AND tahsilat planı al",IF($F35&gt;EsikLimitAzalt,"Peşin/teminatlı satışa geç",IF($F35&gt;EsikIzle,"Limit azalt AND tahsilatı hızlandır","Planlı izleme"))))</f>
        <v/>
      </c>
      <c r="I35" s="100">
        <f>IFERROR(INDEX(tblMusteriler[Satış Sorumlusu],MATCH($B35,tblMusteriler[Müşteri Kodu],0)),"Tahsilat Ekibi")</f>
        <v/>
      </c>
      <c r="J35" s="109">
        <f>RaporTarihi+IF($F35&gt;EsikPesin,1,IF($F35&gt;EsikLimitAzalt,AksiyonGunOrta,AksiyonGunUzun))</f>
        <v/>
      </c>
      <c r="K35" s="101" t="n"/>
      <c r="L35" s="101" t="n"/>
    </row>
    <row r="36" ht="15" customHeight="1" s="55">
      <c r="A36" s="100">
        <f>IF(YASLANDIRMA!$F36=0,"",IFERROR(_xlfn.RANK.EQ(MUSTERI_RISK_SKORU!$X36,tblRisk[Risk Skoru],0),""))</f>
        <v/>
      </c>
      <c r="B36" s="100">
        <f>YASLANDIRMA!$B36</f>
        <v/>
      </c>
      <c r="C36" s="100">
        <f>YASLANDIRMA!$A36</f>
        <v/>
      </c>
      <c r="D36" s="100">
        <f>YASLANDIRMA!$F36</f>
        <v/>
      </c>
      <c r="E36" s="100">
        <f>YASLANDIRMA!$G36</f>
        <v/>
      </c>
      <c r="F36" s="100">
        <f>IFERROR(INDEX(tblRisk[Risk Skoru],MATCH($B36,tblRisk[Müşteri Kodu],0)),0)</f>
        <v/>
      </c>
      <c r="G36" s="100">
        <f>IF($F36&gt;=EsikYuksek,"Telefon + yönetici eskalasyonu",IF($E36&gt;YaslamaDilim2,"Telefon + yazılı teyit","Planlı e-posta/telefon"))</f>
        <v/>
      </c>
      <c r="H36" s="100">
        <f>IF($D36=0,"KAPALI",IF($F36&gt;EsikPesin,"Vadeli satışı durdur AND tahsilat planı al",IF($F36&gt;EsikLimitAzalt,"Peşin/teminatlı satışa geç",IF($F36&gt;EsikIzle,"Limit azalt AND tahsilatı hızlandır","Planlı izleme"))))</f>
        <v/>
      </c>
      <c r="I36" s="100">
        <f>IFERROR(INDEX(tblMusteriler[Satış Sorumlusu],MATCH($B36,tblMusteriler[Müşteri Kodu],0)),"Tahsilat Ekibi")</f>
        <v/>
      </c>
      <c r="J36" s="109">
        <f>RaporTarihi+IF($F36&gt;EsikPesin,1,IF($F36&gt;EsikLimitAzalt,AksiyonGunOrta,AksiyonGunUzun))</f>
        <v/>
      </c>
      <c r="K36" s="101" t="n"/>
      <c r="L36" s="101" t="n"/>
    </row>
    <row r="37" ht="15" customHeight="1" s="55">
      <c r="A37" s="100">
        <f>IF(YASLANDIRMA!$F37=0,"",IFERROR(_xlfn.RANK.EQ(MUSTERI_RISK_SKORU!$X37,tblRisk[Risk Skoru],0),""))</f>
        <v/>
      </c>
      <c r="B37" s="100">
        <f>YASLANDIRMA!$B37</f>
        <v/>
      </c>
      <c r="C37" s="100">
        <f>YASLANDIRMA!$A37</f>
        <v/>
      </c>
      <c r="D37" s="100">
        <f>YASLANDIRMA!$F37</f>
        <v/>
      </c>
      <c r="E37" s="100">
        <f>YASLANDIRMA!$G37</f>
        <v/>
      </c>
      <c r="F37" s="100">
        <f>IFERROR(INDEX(tblRisk[Risk Skoru],MATCH($B37,tblRisk[Müşteri Kodu],0)),0)</f>
        <v/>
      </c>
      <c r="G37" s="100">
        <f>IF($F37&gt;=EsikYuksek,"Telefon + yönetici eskalasyonu",IF($E37&gt;YaslamaDilim2,"Telefon + yazılı teyit","Planlı e-posta/telefon"))</f>
        <v/>
      </c>
      <c r="H37" s="100">
        <f>IF($D37=0,"KAPALI",IF($F37&gt;EsikPesin,"Vadeli satışı durdur AND tahsilat planı al",IF($F37&gt;EsikLimitAzalt,"Peşin/teminatlı satışa geç",IF($F37&gt;EsikIzle,"Limit azalt AND tahsilatı hızlandır","Planlı izleme"))))</f>
        <v/>
      </c>
      <c r="I37" s="100">
        <f>IFERROR(INDEX(tblMusteriler[Satış Sorumlusu],MATCH($B37,tblMusteriler[Müşteri Kodu],0)),"Tahsilat Ekibi")</f>
        <v/>
      </c>
      <c r="J37" s="109">
        <f>RaporTarihi+IF($F37&gt;EsikPesin,1,IF($F37&gt;EsikLimitAzalt,AksiyonGunOrta,AksiyonGunUzun))</f>
        <v/>
      </c>
      <c r="K37" s="101" t="n"/>
      <c r="L37" s="101" t="n"/>
    </row>
    <row r="38" ht="15" customHeight="1" s="55">
      <c r="A38" s="100">
        <f>IF(YASLANDIRMA!$F38=0,"",IFERROR(_xlfn.RANK.EQ(MUSTERI_RISK_SKORU!$X38,tblRisk[Risk Skoru],0),""))</f>
        <v/>
      </c>
      <c r="B38" s="100">
        <f>YASLANDIRMA!$B38</f>
        <v/>
      </c>
      <c r="C38" s="100">
        <f>YASLANDIRMA!$A38</f>
        <v/>
      </c>
      <c r="D38" s="100">
        <f>YASLANDIRMA!$F38</f>
        <v/>
      </c>
      <c r="E38" s="100">
        <f>YASLANDIRMA!$G38</f>
        <v/>
      </c>
      <c r="F38" s="100">
        <f>IFERROR(INDEX(tblRisk[Risk Skoru],MATCH($B38,tblRisk[Müşteri Kodu],0)),0)</f>
        <v/>
      </c>
      <c r="G38" s="100">
        <f>IF($F38&gt;=EsikYuksek,"Telefon + yönetici eskalasyonu",IF($E38&gt;YaslamaDilim2,"Telefon + yazılı teyit","Planlı e-posta/telefon"))</f>
        <v/>
      </c>
      <c r="H38" s="100">
        <f>IF($D38=0,"KAPALI",IF($F38&gt;EsikPesin,"Vadeli satışı durdur AND tahsilat planı al",IF($F38&gt;EsikLimitAzalt,"Peşin/teminatlı satışa geç",IF($F38&gt;EsikIzle,"Limit azalt AND tahsilatı hızlandır","Planlı izleme"))))</f>
        <v/>
      </c>
      <c r="I38" s="100">
        <f>IFERROR(INDEX(tblMusteriler[Satış Sorumlusu],MATCH($B38,tblMusteriler[Müşteri Kodu],0)),"Tahsilat Ekibi")</f>
        <v/>
      </c>
      <c r="J38" s="109">
        <f>RaporTarihi+IF($F38&gt;EsikPesin,1,IF($F38&gt;EsikLimitAzalt,AksiyonGunOrta,AksiyonGunUzun))</f>
        <v/>
      </c>
      <c r="K38" s="101" t="n"/>
      <c r="L38" s="101" t="n"/>
    </row>
    <row r="39" ht="15" customHeight="1" s="55">
      <c r="A39" s="100">
        <f>IF(YASLANDIRMA!$F39=0,"",IFERROR(_xlfn.RANK.EQ(MUSTERI_RISK_SKORU!$X39,tblRisk[Risk Skoru],0),""))</f>
        <v/>
      </c>
      <c r="B39" s="100">
        <f>YASLANDIRMA!$B39</f>
        <v/>
      </c>
      <c r="C39" s="100">
        <f>YASLANDIRMA!$A39</f>
        <v/>
      </c>
      <c r="D39" s="100">
        <f>YASLANDIRMA!$F39</f>
        <v/>
      </c>
      <c r="E39" s="100">
        <f>YASLANDIRMA!$G39</f>
        <v/>
      </c>
      <c r="F39" s="100">
        <f>IFERROR(INDEX(tblRisk[Risk Skoru],MATCH($B39,tblRisk[Müşteri Kodu],0)),0)</f>
        <v/>
      </c>
      <c r="G39" s="100">
        <f>IF($F39&gt;=EsikYuksek,"Telefon + yönetici eskalasyonu",IF($E39&gt;YaslamaDilim2,"Telefon + yazılı teyit","Planlı e-posta/telefon"))</f>
        <v/>
      </c>
      <c r="H39" s="100">
        <f>IF($D39=0,"KAPALI",IF($F39&gt;EsikPesin,"Vadeli satışı durdur AND tahsilat planı al",IF($F39&gt;EsikLimitAzalt,"Peşin/teminatlı satışa geç",IF($F39&gt;EsikIzle,"Limit azalt AND tahsilatı hızlandır","Planlı izleme"))))</f>
        <v/>
      </c>
      <c r="I39" s="100">
        <f>IFERROR(INDEX(tblMusteriler[Satış Sorumlusu],MATCH($B39,tblMusteriler[Müşteri Kodu],0)),"Tahsilat Ekibi")</f>
        <v/>
      </c>
      <c r="J39" s="109">
        <f>RaporTarihi+IF($F39&gt;EsikPesin,1,IF($F39&gt;EsikLimitAzalt,AksiyonGunOrta,AksiyonGunUzun))</f>
        <v/>
      </c>
      <c r="K39" s="101" t="n"/>
      <c r="L39" s="101" t="n"/>
    </row>
    <row r="40" ht="15" customHeight="1" s="55">
      <c r="A40" s="100">
        <f>IF(YASLANDIRMA!$F40=0,"",IFERROR(_xlfn.RANK.EQ(MUSTERI_RISK_SKORU!$X40,tblRisk[Risk Skoru],0),""))</f>
        <v/>
      </c>
      <c r="B40" s="100">
        <f>YASLANDIRMA!$B40</f>
        <v/>
      </c>
      <c r="C40" s="100">
        <f>YASLANDIRMA!$A40</f>
        <v/>
      </c>
      <c r="D40" s="100">
        <f>YASLANDIRMA!$F40</f>
        <v/>
      </c>
      <c r="E40" s="100">
        <f>YASLANDIRMA!$G40</f>
        <v/>
      </c>
      <c r="F40" s="100">
        <f>IFERROR(INDEX(tblRisk[Risk Skoru],MATCH($B40,tblRisk[Müşteri Kodu],0)),0)</f>
        <v/>
      </c>
      <c r="G40" s="100">
        <f>IF($F40&gt;=EsikYuksek,"Telefon + yönetici eskalasyonu",IF($E40&gt;YaslamaDilim2,"Telefon + yazılı teyit","Planlı e-posta/telefon"))</f>
        <v/>
      </c>
      <c r="H40" s="100">
        <f>IF($D40=0,"KAPALI",IF($F40&gt;EsikPesin,"Vadeli satışı durdur AND tahsilat planı al",IF($F40&gt;EsikLimitAzalt,"Peşin/teminatlı satışa geç",IF($F40&gt;EsikIzle,"Limit azalt AND tahsilatı hızlandır","Planlı izleme"))))</f>
        <v/>
      </c>
      <c r="I40" s="100">
        <f>IFERROR(INDEX(tblMusteriler[Satış Sorumlusu],MATCH($B40,tblMusteriler[Müşteri Kodu],0)),"Tahsilat Ekibi")</f>
        <v/>
      </c>
      <c r="J40" s="109">
        <f>RaporTarihi+IF($F40&gt;EsikPesin,1,IF($F40&gt;EsikLimitAzalt,AksiyonGunOrta,AksiyonGunUzun))</f>
        <v/>
      </c>
      <c r="K40" s="101" t="n"/>
      <c r="L40" s="101" t="n"/>
    </row>
    <row r="41" ht="15" customHeight="1" s="55">
      <c r="A41" s="100">
        <f>IF(YASLANDIRMA!$F41=0,"",IFERROR(_xlfn.RANK.EQ(MUSTERI_RISK_SKORU!$X41,tblRisk[Risk Skoru],0),""))</f>
        <v/>
      </c>
      <c r="B41" s="100">
        <f>YASLANDIRMA!$B41</f>
        <v/>
      </c>
      <c r="C41" s="100">
        <f>YASLANDIRMA!$A41</f>
        <v/>
      </c>
      <c r="D41" s="100">
        <f>YASLANDIRMA!$F41</f>
        <v/>
      </c>
      <c r="E41" s="100">
        <f>YASLANDIRMA!$G41</f>
        <v/>
      </c>
      <c r="F41" s="100">
        <f>IFERROR(INDEX(tblRisk[Risk Skoru],MATCH($B41,tblRisk[Müşteri Kodu],0)),0)</f>
        <v/>
      </c>
      <c r="G41" s="100">
        <f>IF($F41&gt;=EsikYuksek,"Telefon + yönetici eskalasyonu",IF($E41&gt;YaslamaDilim2,"Telefon + yazılı teyit","Planlı e-posta/telefon"))</f>
        <v/>
      </c>
      <c r="H41" s="100">
        <f>IF($D41=0,"KAPALI",IF($F41&gt;EsikPesin,"Vadeli satışı durdur AND tahsilat planı al",IF($F41&gt;EsikLimitAzalt,"Peşin/teminatlı satışa geç",IF($F41&gt;EsikIzle,"Limit azalt AND tahsilatı hızlandır","Planlı izleme"))))</f>
        <v/>
      </c>
      <c r="I41" s="100">
        <f>IFERROR(INDEX(tblMusteriler[Satış Sorumlusu],MATCH($B41,tblMusteriler[Müşteri Kodu],0)),"Tahsilat Ekibi")</f>
        <v/>
      </c>
      <c r="J41" s="109">
        <f>RaporTarihi+IF($F41&gt;EsikPesin,1,IF($F41&gt;EsikLimitAzalt,AksiyonGunOrta,AksiyonGunUzun))</f>
        <v/>
      </c>
      <c r="K41" s="101" t="n"/>
      <c r="L41" s="101" t="n"/>
    </row>
    <row r="42" ht="15" customHeight="1" s="55">
      <c r="A42" s="100">
        <f>IF(YASLANDIRMA!$F42=0,"",IFERROR(_xlfn.RANK.EQ(MUSTERI_RISK_SKORU!$X42,tblRisk[Risk Skoru],0),""))</f>
        <v/>
      </c>
      <c r="B42" s="100">
        <f>YASLANDIRMA!$B42</f>
        <v/>
      </c>
      <c r="C42" s="100">
        <f>YASLANDIRMA!$A42</f>
        <v/>
      </c>
      <c r="D42" s="100">
        <f>YASLANDIRMA!$F42</f>
        <v/>
      </c>
      <c r="E42" s="100">
        <f>YASLANDIRMA!$G42</f>
        <v/>
      </c>
      <c r="F42" s="100">
        <f>IFERROR(INDEX(tblRisk[Risk Skoru],MATCH($B42,tblRisk[Müşteri Kodu],0)),0)</f>
        <v/>
      </c>
      <c r="G42" s="100">
        <f>IF($F42&gt;=EsikYuksek,"Telefon + yönetici eskalasyonu",IF($E42&gt;YaslamaDilim2,"Telefon + yazılı teyit","Planlı e-posta/telefon"))</f>
        <v/>
      </c>
      <c r="H42" s="100">
        <f>IF($D42=0,"KAPALI",IF($F42&gt;EsikPesin,"Vadeli satışı durdur AND tahsilat planı al",IF($F42&gt;EsikLimitAzalt,"Peşin/teminatlı satışa geç",IF($F42&gt;EsikIzle,"Limit azalt AND tahsilatı hızlandır","Planlı izleme"))))</f>
        <v/>
      </c>
      <c r="I42" s="100">
        <f>IFERROR(INDEX(tblMusteriler[Satış Sorumlusu],MATCH($B42,tblMusteriler[Müşteri Kodu],0)),"Tahsilat Ekibi")</f>
        <v/>
      </c>
      <c r="J42" s="109">
        <f>RaporTarihi+IF($F42&gt;EsikPesin,1,IF($F42&gt;EsikLimitAzalt,AksiyonGunOrta,AksiyonGunUzun))</f>
        <v/>
      </c>
      <c r="K42" s="101" t="n"/>
      <c r="L42" s="101" t="n"/>
    </row>
    <row r="43" ht="15" customHeight="1" s="55">
      <c r="A43" s="100">
        <f>IF(YASLANDIRMA!$F43=0,"",IFERROR(_xlfn.RANK.EQ(MUSTERI_RISK_SKORU!$X43,tblRisk[Risk Skoru],0),""))</f>
        <v/>
      </c>
      <c r="B43" s="100">
        <f>YASLANDIRMA!$B43</f>
        <v/>
      </c>
      <c r="C43" s="100">
        <f>YASLANDIRMA!$A43</f>
        <v/>
      </c>
      <c r="D43" s="100">
        <f>YASLANDIRMA!$F43</f>
        <v/>
      </c>
      <c r="E43" s="100">
        <f>YASLANDIRMA!$G43</f>
        <v/>
      </c>
      <c r="F43" s="100">
        <f>IFERROR(INDEX(tblRisk[Risk Skoru],MATCH($B43,tblRisk[Müşteri Kodu],0)),0)</f>
        <v/>
      </c>
      <c r="G43" s="100">
        <f>IF($F43&gt;=EsikYuksek,"Telefon + yönetici eskalasyonu",IF($E43&gt;YaslamaDilim2,"Telefon + yazılı teyit","Planlı e-posta/telefon"))</f>
        <v/>
      </c>
      <c r="H43" s="100">
        <f>IF($D43=0,"KAPALI",IF($F43&gt;EsikPesin,"Vadeli satışı durdur AND tahsilat planı al",IF($F43&gt;EsikLimitAzalt,"Peşin/teminatlı satışa geç",IF($F43&gt;EsikIzle,"Limit azalt AND tahsilatı hızlandır","Planlı izleme"))))</f>
        <v/>
      </c>
      <c r="I43" s="100">
        <f>IFERROR(INDEX(tblMusteriler[Satış Sorumlusu],MATCH($B43,tblMusteriler[Müşteri Kodu],0)),"Tahsilat Ekibi")</f>
        <v/>
      </c>
      <c r="J43" s="109">
        <f>RaporTarihi+IF($F43&gt;EsikPesin,1,IF($F43&gt;EsikLimitAzalt,AksiyonGunOrta,AksiyonGunUzun))</f>
        <v/>
      </c>
      <c r="K43" s="101" t="n"/>
      <c r="L43" s="101" t="n"/>
    </row>
    <row r="44" ht="15" customHeight="1" s="55">
      <c r="A44" s="100">
        <f>IF(YASLANDIRMA!$F44=0,"",IFERROR(_xlfn.RANK.EQ(MUSTERI_RISK_SKORU!$X44,tblRisk[Risk Skoru],0),""))</f>
        <v/>
      </c>
      <c r="B44" s="100">
        <f>YASLANDIRMA!$B44</f>
        <v/>
      </c>
      <c r="C44" s="100">
        <f>YASLANDIRMA!$A44</f>
        <v/>
      </c>
      <c r="D44" s="100">
        <f>YASLANDIRMA!$F44</f>
        <v/>
      </c>
      <c r="E44" s="100">
        <f>YASLANDIRMA!$G44</f>
        <v/>
      </c>
      <c r="F44" s="100">
        <f>IFERROR(INDEX(tblRisk[Risk Skoru],MATCH($B44,tblRisk[Müşteri Kodu],0)),0)</f>
        <v/>
      </c>
      <c r="G44" s="100">
        <f>IF($F44&gt;=EsikYuksek,"Telefon + yönetici eskalasyonu",IF($E44&gt;YaslamaDilim2,"Telefon + yazılı teyit","Planlı e-posta/telefon"))</f>
        <v/>
      </c>
      <c r="H44" s="100">
        <f>IF($D44=0,"KAPALI",IF($F44&gt;EsikPesin,"Vadeli satışı durdur AND tahsilat planı al",IF($F44&gt;EsikLimitAzalt,"Peşin/teminatlı satışa geç",IF($F44&gt;EsikIzle,"Limit azalt AND tahsilatı hızlandır","Planlı izleme"))))</f>
        <v/>
      </c>
      <c r="I44" s="100">
        <f>IFERROR(INDEX(tblMusteriler[Satış Sorumlusu],MATCH($B44,tblMusteriler[Müşteri Kodu],0)),"Tahsilat Ekibi")</f>
        <v/>
      </c>
      <c r="J44" s="109">
        <f>RaporTarihi+IF($F44&gt;EsikPesin,1,IF($F44&gt;EsikLimitAzalt,AksiyonGunOrta,AksiyonGunUzun))</f>
        <v/>
      </c>
      <c r="K44" s="101" t="n"/>
      <c r="L44" s="101" t="n"/>
    </row>
    <row r="45" ht="15" customHeight="1" s="55">
      <c r="A45" s="100">
        <f>IF(YASLANDIRMA!$F45=0,"",IFERROR(_xlfn.RANK.EQ(MUSTERI_RISK_SKORU!$X45,tblRisk[Risk Skoru],0),""))</f>
        <v/>
      </c>
      <c r="B45" s="100">
        <f>YASLANDIRMA!$B45</f>
        <v/>
      </c>
      <c r="C45" s="100">
        <f>YASLANDIRMA!$A45</f>
        <v/>
      </c>
      <c r="D45" s="100">
        <f>YASLANDIRMA!$F45</f>
        <v/>
      </c>
      <c r="E45" s="100">
        <f>YASLANDIRMA!$G45</f>
        <v/>
      </c>
      <c r="F45" s="100">
        <f>IFERROR(INDEX(tblRisk[Risk Skoru],MATCH($B45,tblRisk[Müşteri Kodu],0)),0)</f>
        <v/>
      </c>
      <c r="G45" s="100">
        <f>IF($F45&gt;=EsikYuksek,"Telefon + yönetici eskalasyonu",IF($E45&gt;YaslamaDilim2,"Telefon + yazılı teyit","Planlı e-posta/telefon"))</f>
        <v/>
      </c>
      <c r="H45" s="100">
        <f>IF($D45=0,"KAPALI",IF($F45&gt;EsikPesin,"Vadeli satışı durdur AND tahsilat planı al",IF($F45&gt;EsikLimitAzalt,"Peşin/teminatlı satışa geç",IF($F45&gt;EsikIzle,"Limit azalt AND tahsilatı hızlandır","Planlı izleme"))))</f>
        <v/>
      </c>
      <c r="I45" s="100">
        <f>IFERROR(INDEX(tblMusteriler[Satış Sorumlusu],MATCH($B45,tblMusteriler[Müşteri Kodu],0)),"Tahsilat Ekibi")</f>
        <v/>
      </c>
      <c r="J45" s="109">
        <f>RaporTarihi+IF($F45&gt;EsikPesin,1,IF($F45&gt;EsikLimitAzalt,AksiyonGunOrta,AksiyonGunUzun))</f>
        <v/>
      </c>
      <c r="K45" s="101" t="n"/>
      <c r="L45" s="101" t="n"/>
    </row>
    <row r="46" ht="15" customHeight="1" s="55">
      <c r="K46" s="101" t="n"/>
      <c r="L46" s="101" t="n"/>
    </row>
    <row r="47" ht="15" customHeight="1" s="55">
      <c r="K47" s="101" t="n"/>
      <c r="L47" s="101" t="n"/>
    </row>
    <row r="48" ht="15" customHeight="1" s="55">
      <c r="K48" s="101" t="n"/>
      <c r="L48" s="101" t="n"/>
    </row>
    <row r="49" ht="15" customHeight="1" s="55">
      <c r="K49" s="101" t="n"/>
      <c r="L49" s="101" t="n"/>
    </row>
    <row r="50" ht="15" customHeight="1" s="55">
      <c r="K50" s="101" t="n"/>
      <c r="L50" s="101" t="n"/>
    </row>
    <row r="51" ht="15" customHeight="1" s="55">
      <c r="K51" s="101" t="n"/>
      <c r="L51" s="101" t="n"/>
    </row>
    <row r="52" ht="15" customHeight="1" s="55">
      <c r="K52" s="101" t="n"/>
      <c r="L52" s="101" t="n"/>
    </row>
    <row r="53" ht="15" customHeight="1" s="55">
      <c r="K53" s="101" t="n"/>
      <c r="L53" s="101" t="n"/>
    </row>
    <row r="54" ht="15" customHeight="1" s="55">
      <c r="K54" s="101" t="n"/>
      <c r="L54" s="101" t="n"/>
    </row>
    <row r="55" ht="15" customHeight="1" s="55">
      <c r="K55" s="101" t="n"/>
      <c r="L55" s="101" t="n"/>
    </row>
    <row r="56" ht="15" customHeight="1" s="55">
      <c r="K56" s="101" t="n"/>
      <c r="L56" s="101" t="n"/>
    </row>
    <row r="57" ht="15" customHeight="1" s="55">
      <c r="K57" s="101" t="n"/>
      <c r="L57" s="101" t="n"/>
    </row>
    <row r="58" ht="15" customHeight="1" s="55">
      <c r="K58" s="101" t="n"/>
      <c r="L58" s="101" t="n"/>
    </row>
    <row r="59" ht="15" customHeight="1" s="55">
      <c r="K59" s="101" t="n"/>
      <c r="L59" s="101" t="n"/>
    </row>
    <row r="60" ht="15" customHeight="1" s="55">
      <c r="K60" s="101" t="n"/>
      <c r="L60" s="101" t="n"/>
    </row>
    <row r="61" ht="15" customHeight="1" s="55">
      <c r="K61" s="101" t="n"/>
      <c r="L61" s="101" t="n"/>
    </row>
    <row r="62" ht="15" customHeight="1" s="55">
      <c r="K62" s="101" t="n"/>
      <c r="L62" s="101" t="n"/>
    </row>
    <row r="63" ht="15" customHeight="1" s="55">
      <c r="K63" s="101" t="n"/>
      <c r="L63" s="101" t="n"/>
    </row>
    <row r="64" ht="15" customHeight="1" s="55">
      <c r="K64" s="101" t="n"/>
      <c r="L64" s="101" t="n"/>
    </row>
    <row r="65" ht="15" customHeight="1" s="55">
      <c r="K65" s="101" t="n"/>
      <c r="L65" s="101" t="n"/>
    </row>
    <row r="66" ht="15" customHeight="1" s="55">
      <c r="K66" s="101" t="n"/>
      <c r="L66" s="101" t="n"/>
    </row>
    <row r="67" ht="15" customHeight="1" s="55">
      <c r="K67" s="101" t="n"/>
      <c r="L67" s="101" t="n"/>
    </row>
    <row r="68" ht="15" customHeight="1" s="55">
      <c r="K68" s="101" t="n"/>
      <c r="L68" s="101" t="n"/>
    </row>
    <row r="69" ht="15" customHeight="1" s="55">
      <c r="K69" s="101" t="n"/>
      <c r="L69" s="101" t="n"/>
    </row>
    <row r="70" ht="15" customHeight="1" s="55">
      <c r="K70" s="101" t="n"/>
      <c r="L70" s="101" t="n"/>
    </row>
    <row r="71" ht="15" customHeight="1" s="55">
      <c r="K71" s="101" t="n"/>
      <c r="L71" s="101" t="n"/>
    </row>
    <row r="72" ht="15" customHeight="1" s="55">
      <c r="K72" s="101" t="n"/>
      <c r="L72" s="101" t="n"/>
    </row>
    <row r="73" ht="15" customHeight="1" s="55">
      <c r="K73" s="101" t="n"/>
      <c r="L73" s="101" t="n"/>
    </row>
    <row r="74" ht="15" customHeight="1" s="55">
      <c r="K74" s="101" t="n"/>
      <c r="L74" s="101" t="n"/>
    </row>
    <row r="75" ht="15" customHeight="1" s="55">
      <c r="K75" s="101" t="n"/>
      <c r="L75" s="101" t="n"/>
    </row>
    <row r="76" ht="15" customHeight="1" s="55">
      <c r="K76" s="101" t="n"/>
      <c r="L76" s="101" t="n"/>
    </row>
    <row r="77" ht="15" customHeight="1" s="55">
      <c r="K77" s="101" t="n"/>
      <c r="L77" s="101" t="n"/>
    </row>
    <row r="78" ht="15" customHeight="1" s="55">
      <c r="K78" s="101" t="n"/>
      <c r="L78" s="101" t="n"/>
    </row>
    <row r="79" ht="15" customHeight="1" s="55">
      <c r="K79" s="101" t="n"/>
      <c r="L79" s="101" t="n"/>
    </row>
    <row r="80" ht="15" customHeight="1" s="55">
      <c r="K80" s="101" t="n"/>
      <c r="L80" s="101" t="n"/>
    </row>
    <row r="81" ht="15" customHeight="1" s="55">
      <c r="K81" s="101" t="n"/>
      <c r="L81" s="101" t="n"/>
    </row>
    <row r="82" ht="15" customHeight="1" s="55">
      <c r="K82" s="101" t="n"/>
      <c r="L82" s="101" t="n"/>
    </row>
    <row r="83" ht="15" customHeight="1" s="55">
      <c r="K83" s="101" t="n"/>
      <c r="L83" s="101" t="n"/>
    </row>
    <row r="84" ht="15" customHeight="1" s="55">
      <c r="K84" s="101" t="n"/>
      <c r="L84" s="101" t="n"/>
    </row>
    <row r="85" ht="15" customHeight="1" s="55">
      <c r="K85" s="101" t="n"/>
      <c r="L85" s="101" t="n"/>
    </row>
    <row r="86" ht="15" customHeight="1" s="55">
      <c r="K86" s="101" t="n"/>
      <c r="L86" s="101" t="n"/>
    </row>
    <row r="87" ht="15" customHeight="1" s="55">
      <c r="K87" s="101" t="n"/>
      <c r="L87" s="101" t="n"/>
    </row>
    <row r="88" ht="15" customHeight="1" s="55">
      <c r="K88" s="101" t="n"/>
      <c r="L88" s="101" t="n"/>
    </row>
    <row r="89" ht="15" customHeight="1" s="55">
      <c r="K89" s="101" t="n"/>
      <c r="L89" s="101" t="n"/>
    </row>
    <row r="90" ht="15" customHeight="1" s="55">
      <c r="K90" s="101" t="n"/>
      <c r="L90" s="101" t="n"/>
    </row>
    <row r="91" ht="15" customHeight="1" s="55">
      <c r="K91" s="101" t="n"/>
      <c r="L91" s="101" t="n"/>
    </row>
    <row r="92" ht="15" customHeight="1" s="55">
      <c r="K92" s="101" t="n"/>
      <c r="L92" s="101" t="n"/>
    </row>
    <row r="93" ht="15" customHeight="1" s="55">
      <c r="K93" s="101" t="n"/>
      <c r="L93" s="101" t="n"/>
    </row>
    <row r="94" ht="15" customHeight="1" s="55">
      <c r="K94" s="101" t="n"/>
      <c r="L94" s="101" t="n"/>
    </row>
    <row r="95" ht="15" customHeight="1" s="55">
      <c r="K95" s="101" t="n"/>
      <c r="L95" s="101" t="n"/>
    </row>
    <row r="96" ht="15" customHeight="1" s="55">
      <c r="K96" s="101" t="n"/>
      <c r="L96" s="101" t="n"/>
    </row>
    <row r="97" ht="15" customHeight="1" s="55">
      <c r="K97" s="101" t="n"/>
      <c r="L97" s="101" t="n"/>
    </row>
    <row r="98" ht="15" customHeight="1" s="55">
      <c r="K98" s="101" t="n"/>
      <c r="L98" s="101" t="n"/>
    </row>
    <row r="99" ht="15" customHeight="1" s="55">
      <c r="K99" s="101" t="n"/>
      <c r="L99" s="101" t="n"/>
    </row>
    <row r="100" ht="15" customHeight="1" s="55">
      <c r="K100" s="101" t="n"/>
      <c r="L100" s="101" t="n"/>
    </row>
    <row r="101" ht="15" customHeight="1" s="55">
      <c r="K101" s="101" t="n"/>
      <c r="L101" s="101" t="n"/>
    </row>
    <row r="102" ht="15" customHeight="1" s="55">
      <c r="K102" s="101" t="n"/>
      <c r="L102" s="101" t="n"/>
    </row>
    <row r="103" ht="15" customHeight="1" s="55">
      <c r="K103" s="101" t="n"/>
      <c r="L103" s="101" t="n"/>
    </row>
    <row r="104" ht="15" customHeight="1" s="55">
      <c r="K104" s="101" t="n"/>
      <c r="L104" s="101" t="n"/>
    </row>
    <row r="105" ht="15" customHeight="1" s="55">
      <c r="K105" s="101" t="n"/>
      <c r="L105" s="101" t="n"/>
    </row>
    <row r="106" ht="15" customHeight="1" s="55">
      <c r="K106" s="101" t="n"/>
      <c r="L106" s="101" t="n"/>
    </row>
    <row r="107" ht="15" customHeight="1" s="55">
      <c r="K107" s="101" t="n"/>
      <c r="L107" s="101" t="n"/>
    </row>
    <row r="108" ht="15" customHeight="1" s="55">
      <c r="K108" s="101" t="n"/>
      <c r="L108" s="101" t="n"/>
    </row>
    <row r="109" ht="15" customHeight="1" s="55">
      <c r="K109" s="101" t="n"/>
      <c r="L109" s="101" t="n"/>
    </row>
    <row r="110" ht="15" customHeight="1" s="55">
      <c r="K110" s="101" t="n"/>
      <c r="L110" s="101" t="n"/>
    </row>
    <row r="111" ht="15" customHeight="1" s="55">
      <c r="K111" s="101" t="n"/>
      <c r="L111" s="101" t="n"/>
    </row>
    <row r="112" ht="15" customHeight="1" s="55">
      <c r="K112" s="101" t="n"/>
      <c r="L112" s="101" t="n"/>
    </row>
    <row r="113" ht="15" customHeight="1" s="55">
      <c r="K113" s="101" t="n"/>
      <c r="L113" s="101" t="n"/>
    </row>
    <row r="114" ht="15" customHeight="1" s="55">
      <c r="K114" s="101" t="n"/>
      <c r="L114" s="101" t="n"/>
    </row>
    <row r="115" ht="15" customHeight="1" s="55">
      <c r="K115" s="101" t="n"/>
      <c r="L115" s="101" t="n"/>
    </row>
    <row r="116" ht="15" customHeight="1" s="55">
      <c r="K116" s="101" t="n"/>
      <c r="L116" s="101" t="n"/>
    </row>
    <row r="117" ht="15" customHeight="1" s="55">
      <c r="K117" s="101" t="n"/>
      <c r="L117" s="101" t="n"/>
    </row>
    <row r="118" ht="15" customHeight="1" s="55">
      <c r="K118" s="101" t="n"/>
      <c r="L118" s="101" t="n"/>
    </row>
    <row r="119" ht="15" customHeight="1" s="55">
      <c r="K119" s="101" t="n"/>
      <c r="L119" s="101" t="n"/>
    </row>
    <row r="120" ht="15" customHeight="1" s="55">
      <c r="K120" s="101" t="n"/>
      <c r="L120" s="101" t="n"/>
    </row>
    <row r="121" ht="15" customHeight="1" s="55">
      <c r="K121" s="101" t="n"/>
      <c r="L121" s="101" t="n"/>
    </row>
    <row r="122" ht="15" customHeight="1" s="55">
      <c r="K122" s="101" t="n"/>
      <c r="L122" s="101" t="n"/>
    </row>
    <row r="123" ht="15" customHeight="1" s="55">
      <c r="K123" s="101" t="n"/>
      <c r="L123" s="101" t="n"/>
    </row>
    <row r="124" ht="15" customHeight="1" s="55">
      <c r="K124" s="101" t="n"/>
      <c r="L124" s="101" t="n"/>
    </row>
    <row r="125" ht="15" customHeight="1" s="55">
      <c r="K125" s="101" t="n"/>
      <c r="L125" s="101" t="n"/>
    </row>
    <row r="126" ht="15" customHeight="1" s="55">
      <c r="K126" s="101" t="n"/>
      <c r="L126" s="101" t="n"/>
    </row>
    <row r="127" ht="15" customHeight="1" s="55">
      <c r="K127" s="101" t="n"/>
      <c r="L127" s="101" t="n"/>
    </row>
    <row r="128" ht="15" customHeight="1" s="55">
      <c r="K128" s="101" t="n"/>
      <c r="L128" s="101" t="n"/>
    </row>
    <row r="129" ht="15" customHeight="1" s="55">
      <c r="K129" s="101" t="n"/>
      <c r="L129" s="101" t="n"/>
    </row>
    <row r="130" ht="15" customHeight="1" s="55">
      <c r="K130" s="101" t="n"/>
      <c r="L130" s="101" t="n"/>
    </row>
    <row r="131" ht="15" customHeight="1" s="55">
      <c r="K131" s="101" t="n"/>
      <c r="L131" s="101" t="n"/>
    </row>
    <row r="132" ht="15" customHeight="1" s="55">
      <c r="K132" s="101" t="n"/>
      <c r="L132" s="101" t="n"/>
    </row>
    <row r="133" ht="15" customHeight="1" s="55">
      <c r="K133" s="101" t="n"/>
      <c r="L133" s="101" t="n"/>
    </row>
    <row r="134" ht="15" customHeight="1" s="55">
      <c r="K134" s="101" t="n"/>
      <c r="L134" s="101" t="n"/>
    </row>
    <row r="135" ht="15" customHeight="1" s="55">
      <c r="K135" s="101" t="n"/>
      <c r="L135" s="101" t="n"/>
    </row>
    <row r="136" ht="15" customHeight="1" s="55">
      <c r="K136" s="101" t="n"/>
      <c r="L136" s="101" t="n"/>
    </row>
    <row r="137" ht="15" customHeight="1" s="55">
      <c r="K137" s="101" t="n"/>
      <c r="L137" s="101" t="n"/>
    </row>
    <row r="138" ht="15" customHeight="1" s="55">
      <c r="K138" s="101" t="n"/>
      <c r="L138" s="101" t="n"/>
    </row>
    <row r="139" ht="15" customHeight="1" s="55">
      <c r="K139" s="101" t="n"/>
      <c r="L139" s="101" t="n"/>
    </row>
    <row r="140" ht="15" customHeight="1" s="55">
      <c r="K140" s="101" t="n"/>
      <c r="L140" s="101" t="n"/>
    </row>
    <row r="141" ht="15" customHeight="1" s="55">
      <c r="K141" s="101" t="n"/>
      <c r="L141" s="101" t="n"/>
    </row>
    <row r="142" ht="15" customHeight="1" s="55">
      <c r="K142" s="101" t="n"/>
      <c r="L142" s="101" t="n"/>
    </row>
    <row r="143" ht="15" customHeight="1" s="55">
      <c r="K143" s="101" t="n"/>
      <c r="L143" s="101" t="n"/>
    </row>
    <row r="144" ht="15" customHeight="1" s="55">
      <c r="K144" s="101" t="n"/>
      <c r="L144" s="101" t="n"/>
    </row>
    <row r="145" ht="15" customHeight="1" s="55">
      <c r="K145" s="101" t="n"/>
      <c r="L145" s="101" t="n"/>
    </row>
    <row r="146" ht="15" customHeight="1" s="55">
      <c r="K146" s="101" t="n"/>
      <c r="L146" s="101" t="n"/>
    </row>
    <row r="147" ht="15" customHeight="1" s="55">
      <c r="K147" s="101" t="n"/>
      <c r="L147" s="101" t="n"/>
    </row>
    <row r="148" ht="15" customHeight="1" s="55">
      <c r="K148" s="101" t="n"/>
      <c r="L148" s="101" t="n"/>
    </row>
    <row r="149" ht="15" customHeight="1" s="55">
      <c r="K149" s="101" t="n"/>
      <c r="L149" s="101" t="n"/>
    </row>
    <row r="150" ht="15" customHeight="1" s="55">
      <c r="K150" s="101" t="n"/>
      <c r="L150" s="101" t="n"/>
    </row>
    <row r="151" ht="15" customHeight="1" s="55">
      <c r="K151" s="101" t="n"/>
      <c r="L151" s="101" t="n"/>
    </row>
    <row r="152" ht="15" customHeight="1" s="55">
      <c r="K152" s="101" t="n"/>
      <c r="L152" s="101" t="n"/>
    </row>
    <row r="153" ht="15" customHeight="1" s="55">
      <c r="K153" s="101" t="n"/>
      <c r="L153" s="101" t="n"/>
    </row>
    <row r="154" ht="15" customHeight="1" s="55">
      <c r="K154" s="101" t="n"/>
      <c r="L154" s="101" t="n"/>
    </row>
    <row r="155" ht="15" customHeight="1" s="55">
      <c r="K155" s="101" t="n"/>
      <c r="L155" s="101" t="n"/>
    </row>
    <row r="156" ht="15" customHeight="1" s="55">
      <c r="K156" s="101" t="n"/>
      <c r="L156" s="101" t="n"/>
    </row>
    <row r="157" ht="15" customHeight="1" s="55">
      <c r="K157" s="101" t="n"/>
      <c r="L157" s="101" t="n"/>
    </row>
    <row r="158" ht="15" customHeight="1" s="55">
      <c r="K158" s="101" t="n"/>
      <c r="L158" s="101" t="n"/>
    </row>
    <row r="159" ht="15" customHeight="1" s="55">
      <c r="K159" s="101" t="n"/>
      <c r="L159" s="101" t="n"/>
    </row>
    <row r="160" ht="15" customHeight="1" s="55">
      <c r="K160" s="101" t="n"/>
      <c r="L160" s="101" t="n"/>
    </row>
    <row r="161" ht="15" customHeight="1" s="55">
      <c r="K161" s="101" t="n"/>
      <c r="L161" s="101" t="n"/>
    </row>
    <row r="162" ht="15" customHeight="1" s="55">
      <c r="K162" s="101" t="n"/>
      <c r="L162" s="101" t="n"/>
    </row>
    <row r="163" ht="15" customHeight="1" s="55">
      <c r="K163" s="101" t="n"/>
      <c r="L163" s="101" t="n"/>
    </row>
    <row r="164" ht="15" customHeight="1" s="55">
      <c r="K164" s="101" t="n"/>
      <c r="L164" s="101" t="n"/>
    </row>
    <row r="165" ht="15" customHeight="1" s="55">
      <c r="K165" s="101" t="n"/>
      <c r="L165" s="101" t="n"/>
    </row>
    <row r="166" ht="15" customHeight="1" s="55">
      <c r="K166" s="101" t="n"/>
      <c r="L166" s="101" t="n"/>
    </row>
    <row r="167" ht="15" customHeight="1" s="55">
      <c r="K167" s="101" t="n"/>
      <c r="L167" s="101" t="n"/>
    </row>
    <row r="168" ht="15" customHeight="1" s="55">
      <c r="K168" s="101" t="n"/>
      <c r="L168" s="101" t="n"/>
    </row>
    <row r="169" ht="15" customHeight="1" s="55">
      <c r="K169" s="101" t="n"/>
      <c r="L169" s="101" t="n"/>
    </row>
    <row r="170" ht="15" customHeight="1" s="55">
      <c r="K170" s="101" t="n"/>
      <c r="L170" s="101" t="n"/>
    </row>
    <row r="171" ht="15" customHeight="1" s="55">
      <c r="K171" s="101" t="n"/>
      <c r="L171" s="101" t="n"/>
    </row>
    <row r="172" ht="15" customHeight="1" s="55">
      <c r="K172" s="101" t="n"/>
      <c r="L172" s="101" t="n"/>
    </row>
    <row r="173" ht="15" customHeight="1" s="55">
      <c r="K173" s="101" t="n"/>
      <c r="L173" s="101" t="n"/>
    </row>
    <row r="174" ht="15" customHeight="1" s="55">
      <c r="K174" s="101" t="n"/>
      <c r="L174" s="101" t="n"/>
    </row>
    <row r="175" ht="15" customHeight="1" s="55">
      <c r="K175" s="101" t="n"/>
      <c r="L175" s="101" t="n"/>
    </row>
    <row r="176" ht="15" customHeight="1" s="55">
      <c r="K176" s="101" t="n"/>
      <c r="L176" s="101" t="n"/>
    </row>
    <row r="177" ht="15" customHeight="1" s="55">
      <c r="K177" s="101" t="n"/>
      <c r="L177" s="101" t="n"/>
    </row>
    <row r="178" ht="15" customHeight="1" s="55">
      <c r="K178" s="101" t="n"/>
      <c r="L178" s="101" t="n"/>
    </row>
    <row r="179" ht="15" customHeight="1" s="55">
      <c r="K179" s="101" t="n"/>
      <c r="L179" s="101" t="n"/>
    </row>
    <row r="180" ht="15" customHeight="1" s="55">
      <c r="K180" s="101" t="n"/>
      <c r="L180" s="101" t="n"/>
    </row>
    <row r="181" ht="15" customHeight="1" s="55">
      <c r="K181" s="101" t="n"/>
      <c r="L181" s="101" t="n"/>
    </row>
    <row r="182" ht="15" customHeight="1" s="55">
      <c r="K182" s="101" t="n"/>
      <c r="L182" s="101" t="n"/>
    </row>
    <row r="183" ht="15" customHeight="1" s="55">
      <c r="K183" s="101" t="n"/>
      <c r="L183" s="101" t="n"/>
    </row>
    <row r="184" ht="15" customHeight="1" s="55">
      <c r="K184" s="101" t="n"/>
      <c r="L184" s="101" t="n"/>
    </row>
    <row r="185" ht="15" customHeight="1" s="55">
      <c r="K185" s="101" t="n"/>
      <c r="L185" s="101" t="n"/>
    </row>
    <row r="186" ht="15" customHeight="1" s="55">
      <c r="K186" s="101" t="n"/>
      <c r="L186" s="101" t="n"/>
    </row>
    <row r="187" ht="15" customHeight="1" s="55">
      <c r="K187" s="101" t="n"/>
      <c r="L187" s="101" t="n"/>
    </row>
    <row r="188" ht="15" customHeight="1" s="55">
      <c r="K188" s="101" t="n"/>
      <c r="L188" s="101" t="n"/>
    </row>
    <row r="189" ht="15" customHeight="1" s="55">
      <c r="K189" s="101" t="n"/>
      <c r="L189" s="101" t="n"/>
    </row>
    <row r="190" ht="15" customHeight="1" s="55">
      <c r="K190" s="101" t="n"/>
      <c r="L190" s="101" t="n"/>
    </row>
    <row r="191" ht="15" customHeight="1" s="55">
      <c r="K191" s="101" t="n"/>
      <c r="L191" s="101" t="n"/>
    </row>
    <row r="192" ht="15" customHeight="1" s="55">
      <c r="K192" s="101" t="n"/>
      <c r="L192" s="101" t="n"/>
    </row>
    <row r="193" ht="15" customHeight="1" s="55">
      <c r="K193" s="101" t="n"/>
      <c r="L193" s="101" t="n"/>
    </row>
    <row r="194" ht="15" customHeight="1" s="55">
      <c r="K194" s="101" t="n"/>
      <c r="L194" s="101" t="n"/>
    </row>
    <row r="195" ht="15" customHeight="1" s="55">
      <c r="K195" s="101" t="n"/>
      <c r="L195" s="101" t="n"/>
    </row>
    <row r="196" ht="15" customHeight="1" s="55">
      <c r="K196" s="101" t="n"/>
      <c r="L196" s="101" t="n"/>
    </row>
    <row r="197" ht="15" customHeight="1" s="55">
      <c r="K197" s="101" t="n"/>
      <c r="L197" s="101" t="n"/>
    </row>
    <row r="198" ht="15" customHeight="1" s="55">
      <c r="K198" s="101" t="n"/>
      <c r="L198" s="101" t="n"/>
    </row>
    <row r="199" ht="15" customHeight="1" s="55">
      <c r="K199" s="101" t="n"/>
      <c r="L199" s="101" t="n"/>
    </row>
    <row r="200" ht="15" customHeight="1" s="55">
      <c r="K200" s="101" t="n"/>
      <c r="L200" s="101" t="n"/>
    </row>
    <row r="201" ht="15" customHeight="1" s="55">
      <c r="K201" s="101" t="n"/>
      <c r="L201" s="101" t="n"/>
    </row>
    <row r="202" ht="15" customHeight="1" s="55">
      <c r="K202" s="101" t="n"/>
      <c r="L202" s="101" t="n"/>
    </row>
    <row r="203" ht="15" customHeight="1" s="55">
      <c r="K203" s="101" t="n"/>
      <c r="L203" s="101" t="n"/>
    </row>
    <row r="204" ht="15" customHeight="1" s="55">
      <c r="K204" s="101" t="n"/>
      <c r="L204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D6:D204">
    <cfRule type="cellIs" rank="0" priority="2" equalAverage="0" operator="lessThan" aboveAverage="0" dxfId="11" text="" percent="0" bottom="0">
      <formula>0</formula>
    </cfRule>
  </conditionalFormatting>
  <conditionalFormatting sqref="F6:F204">
    <cfRule type="cellIs" rank="0" priority="3" equalAverage="0" operator="greaterThan" aboveAverage="0" dxfId="11" text="" percent="0" bottom="0">
      <formula>84</formula>
    </cfRule>
  </conditionalFormatting>
  <conditionalFormatting sqref="K6:K204">
    <cfRule type="cellIs" rank="0" priority="4" equalAverage="0" operator="equal" aboveAverage="0" dxfId="9" text="" percent="0" bottom="0">
      <formula>"TAMAMLANDI"</formula>
    </cfRule>
    <cfRule type="cellIs" rank="0" priority="5" equalAverage="0" operator="equal" aboveAverage="0" dxfId="10" text="" percent="0" bottom="0">
      <formula>"DEVAM EDİYOR"</formula>
    </cfRule>
  </conditionalFormatting>
  <conditionalFormatting sqref="J6:J204">
    <cfRule type="cellIs" rank="0" priority="6" equalAverage="0" operator="lessThan" aboveAverage="0" dxfId="11" text="" percent="0" bottom="0">
      <formula>0</formula>
    </cfRule>
  </conditionalFormatting>
  <dataValidations count="1">
    <dataValidation sqref="K6:K204" showDropDown="0" showInputMessage="1" showErrorMessage="1" allowBlank="1" errorTitle="Geçersiz Durum" error="Lütfen listeden geçerli bir durum seçin." promptTitle="Durum" prompt="TAMAMLANDI veya DEVAM EDİYOR seçin." type="list" errorStyle="stop" operator="between">
      <formula1>ListeAksiyonDurum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N2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81" min="1" max="1"/>
    <col width="17.5" customWidth="1" style="81" min="2" max="2"/>
    <col width="18" customWidth="1" style="81" min="3" max="3"/>
    <col width="22" customWidth="1" style="81" min="4" max="4"/>
    <col width="15" customWidth="1" style="81" min="5" max="5"/>
    <col width="18" customWidth="1" style="81" min="6" max="6"/>
    <col width="18.5" customWidth="1" style="81" min="7" max="7"/>
    <col width="30" customWidth="1" style="81" min="8" max="8"/>
    <col width="18" customWidth="1" style="81" min="9" max="9"/>
    <col width="13.5" customWidth="1" style="81" min="10" max="10"/>
    <col width="20" customWidth="1" style="81" min="11" max="11"/>
    <col width="28" customWidth="1" style="81" min="12" max="12"/>
    <col width="9.5" customWidth="1" style="81" min="13" max="13"/>
    <col width="24" customWidth="1" style="81" min="14" max="14"/>
    <col width="13" customWidth="1" style="55" min="15" max="15"/>
  </cols>
  <sheetData>
    <row r="1" ht="32" customHeight="1" s="55">
      <c r="A1" s="239" t="inlineStr">
        <is>
          <t>KARAR MOTORU — CARİ HESAP, TAHSİLAT VE MÜŞTERİ RİSK TAKİP SİSTEMİ</t>
        </is>
      </c>
    </row>
    <row r="3" ht="15" customHeight="1" s="55">
      <c r="A3" s="91" t="inlineStr">
        <is>
          <t>KARAR</t>
        </is>
      </c>
      <c r="B3" s="110">
        <f>IF(COUNTIF(tblFaturalar[Müşteri Kodu],"?*")=0,"VERİ YOK",IF(COUNTIF(tblRisk[Risk Skoru],"&gt;84")&gt;0,"VADELİ SATIŞI DURDUR",IF(COUNTIF(tblRisk[Risk Skoru],"&gt;69")&gt;0,"LİMİTİ AZALT","KONTROLLÜ")))</f>
        <v/>
      </c>
    </row>
    <row r="4" ht="15" customHeight="1" s="55">
      <c r="A4" s="111" t="inlineStr">
        <is>
          <t>ÖNERİLEN KARAR KURALLARI</t>
        </is>
      </c>
    </row>
    <row r="5" ht="30" customHeight="1" s="55">
      <c r="A5" s="95" t="inlineStr">
        <is>
          <t>Müşteri</t>
        </is>
      </c>
      <c r="B5" s="95" t="inlineStr">
        <is>
          <t>Risk Seviyesi</t>
        </is>
      </c>
      <c r="C5" s="95" t="inlineStr">
        <is>
          <t>Tespit</t>
        </is>
      </c>
      <c r="D5" s="95" t="inlineStr">
        <is>
          <t>Sayısal Kanıt</t>
        </is>
      </c>
      <c r="E5" s="95" t="inlineStr">
        <is>
          <t>Kök Neden</t>
        </is>
      </c>
      <c r="F5" s="95" t="inlineStr">
        <is>
          <t>Finansal Etki</t>
        </is>
      </c>
      <c r="G5" s="95" t="inlineStr">
        <is>
          <t>Önerilen Karar</t>
        </is>
      </c>
      <c r="H5" s="95" t="inlineStr">
        <is>
          <t>Önerilen Aksiyon</t>
        </is>
      </c>
      <c r="I5" s="95" t="inlineStr">
        <is>
          <t>Sorumlu</t>
        </is>
      </c>
      <c r="J5" s="95" t="inlineStr">
        <is>
          <t>Son Tarih</t>
        </is>
      </c>
      <c r="K5" s="95" t="inlineStr">
        <is>
          <t>Beklenen Etki</t>
        </is>
      </c>
      <c r="L5" s="95" t="inlineStr">
        <is>
          <t>Uygulanmazsa Risk</t>
        </is>
      </c>
      <c r="M5" s="95" t="inlineStr">
        <is>
          <t>Güven</t>
        </is>
      </c>
      <c r="N5" s="95" t="inlineStr">
        <is>
          <t>Kaynak</t>
        </is>
      </c>
    </row>
    <row r="6" ht="15.75" customHeight="1" s="55">
      <c r="A6" s="100">
        <f>MUSTERI_RISK_SKORU!$A6&amp;" - "&amp;MUSTERI_RISK_SKORU!$B6</f>
        <v/>
      </c>
      <c r="B6" s="100">
        <f>IF(MUSTERI_RISK_SKORU!$X6&gt;EsikKritik,"KRİTİK",IF(MUSTERI_RISK_SKORU!$X6&gt;EsikYuksek,"RİSKLİ",IF(MUSTERI_RISK_SKORU!$X6&gt;EsikIzle,"İZLE","NORMAL")))</f>
        <v/>
      </c>
      <c r="C6" s="100">
        <f>IF(MUSTERI_RISK_SKORU!$I6&gt;YaslamaDilim3,"90+ gün gecikme",IF(MUSTERI_RISK_SKORU!$F6&gt;1,"Limit aşımı",IF(MUSTERI_RISK_SKORU!$M6&gt;0,"İtirazlı alacak","Planlı izleme")))</f>
        <v/>
      </c>
      <c r="D6" s="100">
        <f>"Skor "&amp;MUSTERI_RISK_SKORU!$X6&amp;" | Açık "&amp;TEXT(MUSTERI_RISK_SKORU!$C6,"₺ #,##0")</f>
        <v/>
      </c>
      <c r="E6" s="100">
        <f>IF(MUSTERI_RISK_SKORU!$K6&gt;0,"Teminat açığı","Kontrollü risk")</f>
        <v/>
      </c>
      <c r="F6" s="100">
        <f>"Net risk "&amp;TEXT(MUSTERI_RISK_SKORU!$K6,"₺ #,##0")</f>
        <v/>
      </c>
      <c r="G6" s="100">
        <f>MUSTERI_RISK_SKORU!$V6</f>
        <v/>
      </c>
      <c r="H6" s="100">
        <f>MUSTERI_RISK_SKORU!$W6</f>
        <v/>
      </c>
      <c r="I6" s="100">
        <f>IF(MUSTERI_RISK_SKORU!$X6&gt;EsikYuksek,"CFO / Finans Müdürü","Tahsilat Yöneticisi")</f>
        <v/>
      </c>
      <c r="J6" s="109">
        <f>RaporTarihi+IF(MUSTERI_RISK_SKORU!$X6&gt;EsikPesin,1,KararGunu)</f>
        <v/>
      </c>
      <c r="K6" s="100">
        <f>"Korunan nakit: "&amp;TEXT(MIN(MUSTERI_RISK_SKORU!$G6,MUSTERI_RISK_SKORU!$K6),"₺ #,##0")</f>
        <v/>
      </c>
      <c r="L6" s="100">
        <f>IF(MUSTERI_RISK_SKORU!$X6&gt;EsikYuksek,"Tahsil edilememe AND nakit kaybı büyür","İşletme sermayesi baskısı artar")</f>
        <v/>
      </c>
      <c r="M6" s="100">
        <f>MUSTERI_RISK_SKORU!$U6</f>
        <v/>
      </c>
      <c r="N6" s="96" t="inlineStr">
        <is>
          <t>Yönetim Kararı</t>
        </is>
      </c>
    </row>
    <row r="7" ht="15.75" customHeight="1" s="55">
      <c r="A7" s="100">
        <f>MUSTERI_RISK_SKORU!$A7&amp;" - "&amp;MUSTERI_RISK_SKORU!$B7</f>
        <v/>
      </c>
      <c r="B7" s="100">
        <f>IF(MUSTERI_RISK_SKORU!$X7&gt;EsikKritik,"KRİTİK",IF(MUSTERI_RISK_SKORU!$X7&gt;EsikYuksek,"RİSKLİ",IF(MUSTERI_RISK_SKORU!$X7&gt;EsikIzle,"İZLE","NORMAL")))</f>
        <v/>
      </c>
      <c r="C7" s="100">
        <f>IF(MUSTERI_RISK_SKORU!$I7&gt;YaslamaDilim3,"90+ gün gecikme",IF(MUSTERI_RISK_SKORU!$F7&gt;1,"Limit aşımı",IF(MUSTERI_RISK_SKORU!$M7&gt;0,"İtirazlı alacak","Planlı izleme")))</f>
        <v/>
      </c>
      <c r="D7" s="100">
        <f>"Skor "&amp;MUSTERI_RISK_SKORU!$X7&amp;" | Açık "&amp;TEXT(MUSTERI_RISK_SKORU!$C7,"₺ #,##0")</f>
        <v/>
      </c>
      <c r="E7" s="100">
        <f>IF(MUSTERI_RISK_SKORU!$K7&gt;0,"Teminat açığı","Kontrollü risk")</f>
        <v/>
      </c>
      <c r="F7" s="100">
        <f>"Net risk "&amp;TEXT(MUSTERI_RISK_SKORU!$K7,"₺ #,##0")</f>
        <v/>
      </c>
      <c r="G7" s="100">
        <f>MUSTERI_RISK_SKORU!$V7</f>
        <v/>
      </c>
      <c r="H7" s="100">
        <f>MUSTERI_RISK_SKORU!$W7</f>
        <v/>
      </c>
      <c r="I7" s="100">
        <f>IF(MUSTERI_RISK_SKORU!$X7&gt;EsikYuksek,"CFO / Finans Müdürü","Tahsilat Yöneticisi")</f>
        <v/>
      </c>
      <c r="J7" s="109">
        <f>RaporTarihi+IF(MUSTERI_RISK_SKORU!$X7&gt;EsikPesin,1,KararGunu)</f>
        <v/>
      </c>
      <c r="K7" s="100">
        <f>"Korunan nakit: "&amp;TEXT(MIN(MUSTERI_RISK_SKORU!$G7,MUSTERI_RISK_SKORU!$K7),"₺ #,##0")</f>
        <v/>
      </c>
      <c r="L7" s="100">
        <f>IF(MUSTERI_RISK_SKORU!$X7&gt;EsikYuksek,"Tahsil edilememe AND nakit kaybı büyür","İşletme sermayesi baskısı artar")</f>
        <v/>
      </c>
      <c r="M7" s="100">
        <f>MUSTERI_RISK_SKORU!$U7</f>
        <v/>
      </c>
      <c r="N7" s="96" t="inlineStr">
        <is>
          <t>Yönetim Kararı</t>
        </is>
      </c>
    </row>
    <row r="8" ht="15.75" customHeight="1" s="55">
      <c r="A8" s="100">
        <f>MUSTERI_RISK_SKORU!$A8&amp;" - "&amp;MUSTERI_RISK_SKORU!$B8</f>
        <v/>
      </c>
      <c r="B8" s="100">
        <f>IF(MUSTERI_RISK_SKORU!$X8&gt;EsikKritik,"KRİTİK",IF(MUSTERI_RISK_SKORU!$X8&gt;EsikYuksek,"RİSKLİ",IF(MUSTERI_RISK_SKORU!$X8&gt;EsikIzle,"İZLE","NORMAL")))</f>
        <v/>
      </c>
      <c r="C8" s="100">
        <f>IF(MUSTERI_RISK_SKORU!$I8&gt;YaslamaDilim3,"90+ gün gecikme",IF(MUSTERI_RISK_SKORU!$F8&gt;1,"Limit aşımı",IF(MUSTERI_RISK_SKORU!$M8&gt;0,"İtirazlı alacak","Planlı izleme")))</f>
        <v/>
      </c>
      <c r="D8" s="100">
        <f>"Skor "&amp;MUSTERI_RISK_SKORU!$X8&amp;" | Açık "&amp;TEXT(MUSTERI_RISK_SKORU!$C8,"₺ #,##0")</f>
        <v/>
      </c>
      <c r="E8" s="100">
        <f>IF(MUSTERI_RISK_SKORU!$K8&gt;0,"Teminat açığı","Kontrollü risk")</f>
        <v/>
      </c>
      <c r="F8" s="100">
        <f>"Net risk "&amp;TEXT(MUSTERI_RISK_SKORU!$K8,"₺ #,##0")</f>
        <v/>
      </c>
      <c r="G8" s="100">
        <f>MUSTERI_RISK_SKORU!$V8</f>
        <v/>
      </c>
      <c r="H8" s="100">
        <f>MUSTERI_RISK_SKORU!$W8</f>
        <v/>
      </c>
      <c r="I8" s="100">
        <f>IF(MUSTERI_RISK_SKORU!$X8&gt;EsikYuksek,"CFO / Finans Müdürü","Tahsilat Yöneticisi")</f>
        <v/>
      </c>
      <c r="J8" s="109">
        <f>RaporTarihi+IF(MUSTERI_RISK_SKORU!$X8&gt;EsikPesin,1,KararGunu)</f>
        <v/>
      </c>
      <c r="K8" s="100">
        <f>"Korunan nakit: "&amp;TEXT(MIN(MUSTERI_RISK_SKORU!$G8,MUSTERI_RISK_SKORU!$K8),"₺ #,##0")</f>
        <v/>
      </c>
      <c r="L8" s="100">
        <f>IF(MUSTERI_RISK_SKORU!$X8&gt;EsikYuksek,"Tahsil edilememe AND nakit kaybı büyür","İşletme sermayesi baskısı artar")</f>
        <v/>
      </c>
      <c r="M8" s="100">
        <f>MUSTERI_RISK_SKORU!$U8</f>
        <v/>
      </c>
      <c r="N8" s="96" t="inlineStr">
        <is>
          <t>Yönetim Kararı</t>
        </is>
      </c>
    </row>
    <row r="9" ht="15.75" customHeight="1" s="55">
      <c r="A9" s="100">
        <f>MUSTERI_RISK_SKORU!$A9&amp;" - "&amp;MUSTERI_RISK_SKORU!$B9</f>
        <v/>
      </c>
      <c r="B9" s="100">
        <f>IF(MUSTERI_RISK_SKORU!$X9&gt;EsikKritik,"KRİTİK",IF(MUSTERI_RISK_SKORU!$X9&gt;EsikYuksek,"RİSKLİ",IF(MUSTERI_RISK_SKORU!$X9&gt;EsikIzle,"İZLE","NORMAL")))</f>
        <v/>
      </c>
      <c r="C9" s="100">
        <f>IF(MUSTERI_RISK_SKORU!$I9&gt;YaslamaDilim3,"90+ gün gecikme",IF(MUSTERI_RISK_SKORU!$F9&gt;1,"Limit aşımı",IF(MUSTERI_RISK_SKORU!$M9&gt;0,"İtirazlı alacak","Planlı izleme")))</f>
        <v/>
      </c>
      <c r="D9" s="100">
        <f>"Skor "&amp;MUSTERI_RISK_SKORU!$X9&amp;" | Açık "&amp;TEXT(MUSTERI_RISK_SKORU!$C9,"₺ #,##0")</f>
        <v/>
      </c>
      <c r="E9" s="100">
        <f>IF(MUSTERI_RISK_SKORU!$K9&gt;0,"Teminat açığı","Kontrollü risk")</f>
        <v/>
      </c>
      <c r="F9" s="100">
        <f>"Net risk "&amp;TEXT(MUSTERI_RISK_SKORU!$K9,"₺ #,##0")</f>
        <v/>
      </c>
      <c r="G9" s="100">
        <f>MUSTERI_RISK_SKORU!$V9</f>
        <v/>
      </c>
      <c r="H9" s="100">
        <f>MUSTERI_RISK_SKORU!$W9</f>
        <v/>
      </c>
      <c r="I9" s="100">
        <f>IF(MUSTERI_RISK_SKORU!$X9&gt;EsikYuksek,"CFO / Finans Müdürü","Tahsilat Yöneticisi")</f>
        <v/>
      </c>
      <c r="J9" s="104">
        <f>RaporTarihi+IF(MUSTERI_RISK_SKORU!$X9&gt;EsikPesin,1,KararGunu)</f>
        <v/>
      </c>
      <c r="K9" s="100">
        <f>"Korunan nakit: "&amp;TEXT(MIN(MUSTERI_RISK_SKORU!$G9,MUSTERI_RISK_SKORU!$K9),"₺ #,##0")</f>
        <v/>
      </c>
      <c r="L9" s="100">
        <f>IF(MUSTERI_RISK_SKORU!$X9&gt;EsikYuksek,"Tahsil edilememe AND nakit kaybı büyür","İşletme sermayesi baskısı artar")</f>
        <v/>
      </c>
      <c r="M9" s="100">
        <f>MUSTERI_RISK_SKORU!$U9</f>
        <v/>
      </c>
      <c r="N9" s="96" t="inlineStr">
        <is>
          <t>Yönetim Kararı</t>
        </is>
      </c>
    </row>
    <row r="10" ht="15.75" customHeight="1" s="55">
      <c r="A10" s="100">
        <f>MUSTERI_RISK_SKORU!$A10&amp;" - "&amp;MUSTERI_RISK_SKORU!$B10</f>
        <v/>
      </c>
      <c r="B10" s="100">
        <f>IF(MUSTERI_RISK_SKORU!$X10&gt;EsikKritik,"KRİTİK",IF(MUSTERI_RISK_SKORU!$X10&gt;EsikYuksek,"RİSKLİ",IF(MUSTERI_RISK_SKORU!$X10&gt;EsikIzle,"İZLE","NORMAL")))</f>
        <v/>
      </c>
      <c r="C10" s="100">
        <f>IF(MUSTERI_RISK_SKORU!$I10&gt;YaslamaDilim3,"90+ gün gecikme",IF(MUSTERI_RISK_SKORU!$F10&gt;1,"Limit aşımı",IF(MUSTERI_RISK_SKORU!$M10&gt;0,"İtirazlı alacak","Planlı izleme")))</f>
        <v/>
      </c>
      <c r="D10" s="100">
        <f>"Skor "&amp;MUSTERI_RISK_SKORU!$X10&amp;" | Açık "&amp;TEXT(MUSTERI_RISK_SKORU!$C10,"₺ #,##0")</f>
        <v/>
      </c>
      <c r="E10" s="100">
        <f>IF(MUSTERI_RISK_SKORU!$K10&gt;0,"Teminat açığı","Kontrollü risk")</f>
        <v/>
      </c>
      <c r="F10" s="100">
        <f>"Net risk "&amp;TEXT(MUSTERI_RISK_SKORU!$K10,"₺ #,##0")</f>
        <v/>
      </c>
      <c r="G10" s="100">
        <f>MUSTERI_RISK_SKORU!$V10</f>
        <v/>
      </c>
      <c r="H10" s="100">
        <f>MUSTERI_RISK_SKORU!$W10</f>
        <v/>
      </c>
      <c r="I10" s="100">
        <f>IF(MUSTERI_RISK_SKORU!$X10&gt;EsikYuksek,"CFO / Finans Müdürü","Tahsilat Yöneticisi")</f>
        <v/>
      </c>
      <c r="J10" s="109">
        <f>RaporTarihi+IF(MUSTERI_RISK_SKORU!$X10&gt;EsikPesin,1,KararGunu)</f>
        <v/>
      </c>
      <c r="K10" s="100">
        <f>"Korunan nakit: "&amp;TEXT(MIN(MUSTERI_RISK_SKORU!$G10,MUSTERI_RISK_SKORU!$K10),"₺ #,##0")</f>
        <v/>
      </c>
      <c r="L10" s="100">
        <f>IF(MUSTERI_RISK_SKORU!$X10&gt;EsikYuksek,"Tahsil edilememe AND nakit kaybı büyür","İşletme sermayesi baskısı artar")</f>
        <v/>
      </c>
      <c r="M10" s="100">
        <f>MUSTERI_RISK_SKORU!$U10</f>
        <v/>
      </c>
      <c r="N10" s="101" t="n"/>
    </row>
    <row r="11" ht="15.75" customHeight="1" s="55">
      <c r="A11" s="100">
        <f>MUSTERI_RISK_SKORU!$A11&amp;" - "&amp;MUSTERI_RISK_SKORU!$B11</f>
        <v/>
      </c>
      <c r="B11" s="100">
        <f>IF(MUSTERI_RISK_SKORU!$X11&gt;EsikKritik,"KRİTİK",IF(MUSTERI_RISK_SKORU!$X11&gt;EsikYuksek,"RİSKLİ",IF(MUSTERI_RISK_SKORU!$X11&gt;EsikIzle,"İZLE","NORMAL")))</f>
        <v/>
      </c>
      <c r="C11" s="100">
        <f>IF(MUSTERI_RISK_SKORU!$I11&gt;YaslamaDilim3,"90+ gün gecikme",IF(MUSTERI_RISK_SKORU!$F11&gt;1,"Limit aşımı",IF(MUSTERI_RISK_SKORU!$M11&gt;0,"İtirazlı alacak","Planlı izleme")))</f>
        <v/>
      </c>
      <c r="D11" s="100">
        <f>"Skor "&amp;MUSTERI_RISK_SKORU!$X11&amp;" | Açık "&amp;TEXT(MUSTERI_RISK_SKORU!$C11,"₺ #,##0")</f>
        <v/>
      </c>
      <c r="E11" s="100">
        <f>IF(MUSTERI_RISK_SKORU!$K11&gt;0,"Teminat açığı","Kontrollü risk")</f>
        <v/>
      </c>
      <c r="F11" s="100">
        <f>"Net risk "&amp;TEXT(MUSTERI_RISK_SKORU!$K11,"₺ #,##0")</f>
        <v/>
      </c>
      <c r="G11" s="100">
        <f>MUSTERI_RISK_SKORU!$V11</f>
        <v/>
      </c>
      <c r="H11" s="100">
        <f>MUSTERI_RISK_SKORU!$W11</f>
        <v/>
      </c>
      <c r="I11" s="100">
        <f>IF(MUSTERI_RISK_SKORU!$X11&gt;EsikYuksek,"CFO / Finans Müdürü","Tahsilat Yöneticisi")</f>
        <v/>
      </c>
      <c r="J11" s="109">
        <f>RaporTarihi+IF(MUSTERI_RISK_SKORU!$X11&gt;EsikPesin,1,KararGunu)</f>
        <v/>
      </c>
      <c r="K11" s="100">
        <f>"Korunan nakit: "&amp;TEXT(MIN(MUSTERI_RISK_SKORU!$G11,MUSTERI_RISK_SKORU!$K11),"₺ #,##0")</f>
        <v/>
      </c>
      <c r="L11" s="100">
        <f>IF(MUSTERI_RISK_SKORU!$X11&gt;EsikYuksek,"Tahsil edilememe AND nakit kaybı büyür","İşletme sermayesi baskısı artar")</f>
        <v/>
      </c>
      <c r="M11" s="100">
        <f>MUSTERI_RISK_SKORU!$U11</f>
        <v/>
      </c>
      <c r="N11" s="101" t="n"/>
    </row>
    <row r="12" ht="15.75" customHeight="1" s="55">
      <c r="A12" s="100">
        <f>MUSTERI_RISK_SKORU!$A12&amp;" - "&amp;MUSTERI_RISK_SKORU!$B12</f>
        <v/>
      </c>
      <c r="B12" s="100">
        <f>IF(MUSTERI_RISK_SKORU!$X12&gt;EsikKritik,"KRİTİK",IF(MUSTERI_RISK_SKORU!$X12&gt;EsikYuksek,"RİSKLİ",IF(MUSTERI_RISK_SKORU!$X12&gt;EsikIzle,"İZLE","NORMAL")))</f>
        <v/>
      </c>
      <c r="C12" s="100">
        <f>IF(MUSTERI_RISK_SKORU!$I12&gt;YaslamaDilim3,"90+ gün gecikme",IF(MUSTERI_RISK_SKORU!$F12&gt;1,"Limit aşımı",IF(MUSTERI_RISK_SKORU!$M12&gt;0,"İtirazlı alacak","Planlı izleme")))</f>
        <v/>
      </c>
      <c r="D12" s="100">
        <f>"Skor "&amp;MUSTERI_RISK_SKORU!$X12&amp;" | Açık "&amp;TEXT(MUSTERI_RISK_SKORU!$C12,"₺ #,##0")</f>
        <v/>
      </c>
      <c r="E12" s="100">
        <f>IF(MUSTERI_RISK_SKORU!$K12&gt;0,"Teminat açığı","Kontrollü risk")</f>
        <v/>
      </c>
      <c r="F12" s="100">
        <f>"Net risk "&amp;TEXT(MUSTERI_RISK_SKORU!$K12,"₺ #,##0")</f>
        <v/>
      </c>
      <c r="G12" s="100">
        <f>MUSTERI_RISK_SKORU!$V12</f>
        <v/>
      </c>
      <c r="H12" s="100">
        <f>MUSTERI_RISK_SKORU!$W12</f>
        <v/>
      </c>
      <c r="I12" s="100">
        <f>IF(MUSTERI_RISK_SKORU!$X12&gt;EsikYuksek,"CFO / Finans Müdürü","Tahsilat Yöneticisi")</f>
        <v/>
      </c>
      <c r="J12" s="109">
        <f>RaporTarihi+IF(MUSTERI_RISK_SKORU!$X12&gt;EsikPesin,1,KararGunu)</f>
        <v/>
      </c>
      <c r="K12" s="100">
        <f>"Korunan nakit: "&amp;TEXT(MIN(MUSTERI_RISK_SKORU!$G12,MUSTERI_RISK_SKORU!$K12),"₺ #,##0")</f>
        <v/>
      </c>
      <c r="L12" s="100">
        <f>IF(MUSTERI_RISK_SKORU!$X12&gt;EsikYuksek,"Tahsil edilememe AND nakit kaybı büyür","İşletme sermayesi baskısı artar")</f>
        <v/>
      </c>
      <c r="M12" s="100">
        <f>MUSTERI_RISK_SKORU!$U12</f>
        <v/>
      </c>
      <c r="N12" s="101" t="n"/>
    </row>
    <row r="13" ht="15.75" customHeight="1" s="55">
      <c r="A13" s="100">
        <f>MUSTERI_RISK_SKORU!$A13&amp;" - "&amp;MUSTERI_RISK_SKORU!$B13</f>
        <v/>
      </c>
      <c r="B13" s="100">
        <f>IF(MUSTERI_RISK_SKORU!$X13&gt;EsikKritik,"KRİTİK",IF(MUSTERI_RISK_SKORU!$X13&gt;EsikYuksek,"RİSKLİ",IF(MUSTERI_RISK_SKORU!$X13&gt;EsikIzle,"İZLE","NORMAL")))</f>
        <v/>
      </c>
      <c r="C13" s="100">
        <f>IF(MUSTERI_RISK_SKORU!$I13&gt;YaslamaDilim3,"90+ gün gecikme",IF(MUSTERI_RISK_SKORU!$F13&gt;1,"Limit aşımı",IF(MUSTERI_RISK_SKORU!$M13&gt;0,"İtirazlı alacak","Planlı izleme")))</f>
        <v/>
      </c>
      <c r="D13" s="100">
        <f>"Skor "&amp;MUSTERI_RISK_SKORU!$X13&amp;" | Açık "&amp;TEXT(MUSTERI_RISK_SKORU!$C13,"₺ #,##0")</f>
        <v/>
      </c>
      <c r="E13" s="100">
        <f>IF(MUSTERI_RISK_SKORU!$K13&gt;0,"Teminat açığı","Kontrollü risk")</f>
        <v/>
      </c>
      <c r="F13" s="100">
        <f>"Net risk "&amp;TEXT(MUSTERI_RISK_SKORU!$K13,"₺ #,##0")</f>
        <v/>
      </c>
      <c r="G13" s="100">
        <f>MUSTERI_RISK_SKORU!$V13</f>
        <v/>
      </c>
      <c r="H13" s="100">
        <f>MUSTERI_RISK_SKORU!$W13</f>
        <v/>
      </c>
      <c r="I13" s="100">
        <f>IF(MUSTERI_RISK_SKORU!$X13&gt;EsikYuksek,"CFO / Finans Müdürü","Tahsilat Yöneticisi")</f>
        <v/>
      </c>
      <c r="J13" s="109">
        <f>RaporTarihi+IF(MUSTERI_RISK_SKORU!$X13&gt;EsikPesin,1,KararGunu)</f>
        <v/>
      </c>
      <c r="K13" s="100">
        <f>"Korunan nakit: "&amp;TEXT(MIN(MUSTERI_RISK_SKORU!$G13,MUSTERI_RISK_SKORU!$K13),"₺ #,##0")</f>
        <v/>
      </c>
      <c r="L13" s="100">
        <f>IF(MUSTERI_RISK_SKORU!$X13&gt;EsikYuksek,"Tahsil edilememe AND nakit kaybı büyür","İşletme sermayesi baskısı artar")</f>
        <v/>
      </c>
      <c r="M13" s="100">
        <f>MUSTERI_RISK_SKORU!$U13</f>
        <v/>
      </c>
      <c r="N13" s="101" t="n"/>
    </row>
    <row r="14" ht="15.75" customHeight="1" s="55">
      <c r="A14" s="100">
        <f>MUSTERI_RISK_SKORU!$A14&amp;" - "&amp;MUSTERI_RISK_SKORU!$B14</f>
        <v/>
      </c>
      <c r="B14" s="100">
        <f>IF(MUSTERI_RISK_SKORU!$X14&gt;EsikKritik,"KRİTİK",IF(MUSTERI_RISK_SKORU!$X14&gt;EsikYuksek,"RİSKLİ",IF(MUSTERI_RISK_SKORU!$X14&gt;EsikIzle,"İZLE","NORMAL")))</f>
        <v/>
      </c>
      <c r="C14" s="100">
        <f>IF(MUSTERI_RISK_SKORU!$I14&gt;YaslamaDilim3,"90+ gün gecikme",IF(MUSTERI_RISK_SKORU!$F14&gt;1,"Limit aşımı",IF(MUSTERI_RISK_SKORU!$M14&gt;0,"İtirazlı alacak","Planlı izleme")))</f>
        <v/>
      </c>
      <c r="D14" s="100">
        <f>"Skor "&amp;MUSTERI_RISK_SKORU!$X14&amp;" | Açık "&amp;TEXT(MUSTERI_RISK_SKORU!$C14,"₺ #,##0")</f>
        <v/>
      </c>
      <c r="E14" s="100">
        <f>IF(MUSTERI_RISK_SKORU!$K14&gt;0,"Teminat açığı","Kontrollü risk")</f>
        <v/>
      </c>
      <c r="F14" s="100">
        <f>"Net risk "&amp;TEXT(MUSTERI_RISK_SKORU!$K14,"₺ #,##0")</f>
        <v/>
      </c>
      <c r="G14" s="100">
        <f>MUSTERI_RISK_SKORU!$V14</f>
        <v/>
      </c>
      <c r="H14" s="100">
        <f>MUSTERI_RISK_SKORU!$W14</f>
        <v/>
      </c>
      <c r="I14" s="100">
        <f>IF(MUSTERI_RISK_SKORU!$X14&gt;EsikYuksek,"CFO / Finans Müdürü","Tahsilat Yöneticisi")</f>
        <v/>
      </c>
      <c r="J14" s="109">
        <f>RaporTarihi+IF(MUSTERI_RISK_SKORU!$X14&gt;EsikPesin,1,KararGunu)</f>
        <v/>
      </c>
      <c r="K14" s="100">
        <f>"Korunan nakit: "&amp;TEXT(MIN(MUSTERI_RISK_SKORU!$G14,MUSTERI_RISK_SKORU!$K14),"₺ #,##0")</f>
        <v/>
      </c>
      <c r="L14" s="100">
        <f>IF(MUSTERI_RISK_SKORU!$X14&gt;EsikYuksek,"Tahsil edilememe AND nakit kaybı büyür","İşletme sermayesi baskısı artar")</f>
        <v/>
      </c>
      <c r="M14" s="100">
        <f>MUSTERI_RISK_SKORU!$U14</f>
        <v/>
      </c>
      <c r="N14" s="101" t="n"/>
    </row>
    <row r="15" ht="15.75" customHeight="1" s="55">
      <c r="A15" s="100">
        <f>MUSTERI_RISK_SKORU!$A15&amp;" - "&amp;MUSTERI_RISK_SKORU!$B15</f>
        <v/>
      </c>
      <c r="B15" s="100">
        <f>IF(MUSTERI_RISK_SKORU!$X15&gt;EsikKritik,"KRİTİK",IF(MUSTERI_RISK_SKORU!$X15&gt;EsikYuksek,"RİSKLİ",IF(MUSTERI_RISK_SKORU!$X15&gt;EsikIzle,"İZLE","NORMAL")))</f>
        <v/>
      </c>
      <c r="C15" s="100">
        <f>IF(MUSTERI_RISK_SKORU!$I15&gt;YaslamaDilim3,"90+ gün gecikme",IF(MUSTERI_RISK_SKORU!$F15&gt;1,"Limit aşımı",IF(MUSTERI_RISK_SKORU!$M15&gt;0,"İtirazlı alacak","Planlı izleme")))</f>
        <v/>
      </c>
      <c r="D15" s="100">
        <f>"Skor "&amp;MUSTERI_RISK_SKORU!$X15&amp;" | Açık "&amp;TEXT(MUSTERI_RISK_SKORU!$C15,"₺ #,##0")</f>
        <v/>
      </c>
      <c r="E15" s="100">
        <f>IF(MUSTERI_RISK_SKORU!$K15&gt;0,"Teminat açığı","Kontrollü risk")</f>
        <v/>
      </c>
      <c r="F15" s="100">
        <f>"Net risk "&amp;TEXT(MUSTERI_RISK_SKORU!$K15,"₺ #,##0")</f>
        <v/>
      </c>
      <c r="G15" s="100">
        <f>MUSTERI_RISK_SKORU!$V15</f>
        <v/>
      </c>
      <c r="H15" s="100">
        <f>MUSTERI_RISK_SKORU!$W15</f>
        <v/>
      </c>
      <c r="I15" s="100">
        <f>IF(MUSTERI_RISK_SKORU!$X15&gt;EsikYuksek,"CFO / Finans Müdürü","Tahsilat Yöneticisi")</f>
        <v/>
      </c>
      <c r="J15" s="109">
        <f>RaporTarihi+IF(MUSTERI_RISK_SKORU!$X15&gt;EsikPesin,1,KararGunu)</f>
        <v/>
      </c>
      <c r="K15" s="100">
        <f>"Korunan nakit: "&amp;TEXT(MIN(MUSTERI_RISK_SKORU!$G15,MUSTERI_RISK_SKORU!$K15),"₺ #,##0")</f>
        <v/>
      </c>
      <c r="L15" s="100">
        <f>IF(MUSTERI_RISK_SKORU!$X15&gt;EsikYuksek,"Tahsil edilememe AND nakit kaybı büyür","İşletme sermayesi baskısı artar")</f>
        <v/>
      </c>
      <c r="M15" s="100">
        <f>MUSTERI_RISK_SKORU!$U15</f>
        <v/>
      </c>
      <c r="N15" s="101" t="n"/>
    </row>
    <row r="16" ht="15.75" customHeight="1" s="55">
      <c r="A16" s="100">
        <f>MUSTERI_RISK_SKORU!$A16&amp;" - "&amp;MUSTERI_RISK_SKORU!$B16</f>
        <v/>
      </c>
      <c r="B16" s="100">
        <f>IF(MUSTERI_RISK_SKORU!$X16&gt;EsikKritik,"KRİTİK",IF(MUSTERI_RISK_SKORU!$X16&gt;EsikYuksek,"RİSKLİ",IF(MUSTERI_RISK_SKORU!$X16&gt;EsikIzle,"İZLE","NORMAL")))</f>
        <v/>
      </c>
      <c r="C16" s="100">
        <f>IF(MUSTERI_RISK_SKORU!$I16&gt;YaslamaDilim3,"90+ gün gecikme",IF(MUSTERI_RISK_SKORU!$F16&gt;1,"Limit aşımı",IF(MUSTERI_RISK_SKORU!$M16&gt;0,"İtirazlı alacak","Planlı izleme")))</f>
        <v/>
      </c>
      <c r="D16" s="100">
        <f>"Skor "&amp;MUSTERI_RISK_SKORU!$X16&amp;" | Açık "&amp;TEXT(MUSTERI_RISK_SKORU!$C16,"₺ #,##0")</f>
        <v/>
      </c>
      <c r="E16" s="100">
        <f>IF(MUSTERI_RISK_SKORU!$K16&gt;0,"Teminat açığı","Kontrollü risk")</f>
        <v/>
      </c>
      <c r="F16" s="100">
        <f>"Net risk "&amp;TEXT(MUSTERI_RISK_SKORU!$K16,"₺ #,##0")</f>
        <v/>
      </c>
      <c r="G16" s="100">
        <f>MUSTERI_RISK_SKORU!$V16</f>
        <v/>
      </c>
      <c r="H16" s="100">
        <f>MUSTERI_RISK_SKORU!$W16</f>
        <v/>
      </c>
      <c r="I16" s="100">
        <f>IF(MUSTERI_RISK_SKORU!$X16&gt;EsikYuksek,"CFO / Finans Müdürü","Tahsilat Yöneticisi")</f>
        <v/>
      </c>
      <c r="J16" s="109">
        <f>RaporTarihi+IF(MUSTERI_RISK_SKORU!$X16&gt;EsikPesin,1,KararGunu)</f>
        <v/>
      </c>
      <c r="K16" s="100">
        <f>"Korunan nakit: "&amp;TEXT(MIN(MUSTERI_RISK_SKORU!$G16,MUSTERI_RISK_SKORU!$K16),"₺ #,##0")</f>
        <v/>
      </c>
      <c r="L16" s="100">
        <f>IF(MUSTERI_RISK_SKORU!$X16&gt;EsikYuksek,"Tahsil edilememe AND nakit kaybı büyür","İşletme sermayesi baskısı artar")</f>
        <v/>
      </c>
      <c r="M16" s="100">
        <f>MUSTERI_RISK_SKORU!$U16</f>
        <v/>
      </c>
      <c r="N16" s="101" t="n"/>
    </row>
    <row r="17" ht="15.75" customHeight="1" s="55">
      <c r="A17" s="100">
        <f>MUSTERI_RISK_SKORU!$A17&amp;" - "&amp;MUSTERI_RISK_SKORU!$B17</f>
        <v/>
      </c>
      <c r="B17" s="100">
        <f>IF(MUSTERI_RISK_SKORU!$X17&gt;EsikKritik,"KRİTİK",IF(MUSTERI_RISK_SKORU!$X17&gt;EsikYuksek,"RİSKLİ",IF(MUSTERI_RISK_SKORU!$X17&gt;EsikIzle,"İZLE","NORMAL")))</f>
        <v/>
      </c>
      <c r="C17" s="100">
        <f>IF(MUSTERI_RISK_SKORU!$I17&gt;YaslamaDilim3,"90+ gün gecikme",IF(MUSTERI_RISK_SKORU!$F17&gt;1,"Limit aşımı",IF(MUSTERI_RISK_SKORU!$M17&gt;0,"İtirazlı alacak","Planlı izleme")))</f>
        <v/>
      </c>
      <c r="D17" s="100">
        <f>"Skor "&amp;MUSTERI_RISK_SKORU!$X17&amp;" | Açık "&amp;TEXT(MUSTERI_RISK_SKORU!$C17,"₺ #,##0")</f>
        <v/>
      </c>
      <c r="E17" s="100">
        <f>IF(MUSTERI_RISK_SKORU!$K17&gt;0,"Teminat açığı","Kontrollü risk")</f>
        <v/>
      </c>
      <c r="F17" s="100">
        <f>"Net risk "&amp;TEXT(MUSTERI_RISK_SKORU!$K17,"₺ #,##0")</f>
        <v/>
      </c>
      <c r="G17" s="100">
        <f>MUSTERI_RISK_SKORU!$V17</f>
        <v/>
      </c>
      <c r="H17" s="100">
        <f>MUSTERI_RISK_SKORU!$W17</f>
        <v/>
      </c>
      <c r="I17" s="100">
        <f>IF(MUSTERI_RISK_SKORU!$X17&gt;EsikYuksek,"CFO / Finans Müdürü","Tahsilat Yöneticisi")</f>
        <v/>
      </c>
      <c r="J17" s="109">
        <f>RaporTarihi+IF(MUSTERI_RISK_SKORU!$X17&gt;EsikPesin,1,KararGunu)</f>
        <v/>
      </c>
      <c r="K17" s="100">
        <f>"Korunan nakit: "&amp;TEXT(MIN(MUSTERI_RISK_SKORU!$G17,MUSTERI_RISK_SKORU!$K17),"₺ #,##0")</f>
        <v/>
      </c>
      <c r="L17" s="100">
        <f>IF(MUSTERI_RISK_SKORU!$X17&gt;EsikYuksek,"Tahsil edilememe AND nakit kaybı büyür","İşletme sermayesi baskısı artar")</f>
        <v/>
      </c>
      <c r="M17" s="100">
        <f>MUSTERI_RISK_SKORU!$U17</f>
        <v/>
      </c>
      <c r="N17" s="101" t="n"/>
    </row>
    <row r="18" ht="15.75" customHeight="1" s="55">
      <c r="A18" s="100">
        <f>MUSTERI_RISK_SKORU!$A18&amp;" - "&amp;MUSTERI_RISK_SKORU!$B18</f>
        <v/>
      </c>
      <c r="B18" s="100">
        <f>IF(MUSTERI_RISK_SKORU!$X18&gt;EsikKritik,"KRİTİK",IF(MUSTERI_RISK_SKORU!$X18&gt;EsikYuksek,"RİSKLİ",IF(MUSTERI_RISK_SKORU!$X18&gt;EsikIzle,"İZLE","NORMAL")))</f>
        <v/>
      </c>
      <c r="C18" s="100">
        <f>IF(MUSTERI_RISK_SKORU!$I18&gt;YaslamaDilim3,"90+ gün gecikme",IF(MUSTERI_RISK_SKORU!$F18&gt;1,"Limit aşımı",IF(MUSTERI_RISK_SKORU!$M18&gt;0,"İtirazlı alacak","Planlı izleme")))</f>
        <v/>
      </c>
      <c r="D18" s="100">
        <f>"Skor "&amp;MUSTERI_RISK_SKORU!$X18&amp;" | Açık "&amp;TEXT(MUSTERI_RISK_SKORU!$C18,"₺ #,##0")</f>
        <v/>
      </c>
      <c r="E18" s="100">
        <f>IF(MUSTERI_RISK_SKORU!$K18&gt;0,"Teminat açığı","Kontrollü risk")</f>
        <v/>
      </c>
      <c r="F18" s="100">
        <f>"Net risk "&amp;TEXT(MUSTERI_RISK_SKORU!$K18,"₺ #,##0")</f>
        <v/>
      </c>
      <c r="G18" s="100">
        <f>MUSTERI_RISK_SKORU!$V18</f>
        <v/>
      </c>
      <c r="H18" s="100">
        <f>MUSTERI_RISK_SKORU!$W18</f>
        <v/>
      </c>
      <c r="I18" s="100">
        <f>IF(MUSTERI_RISK_SKORU!$X18&gt;EsikYuksek,"CFO / Finans Müdürü","Tahsilat Yöneticisi")</f>
        <v/>
      </c>
      <c r="J18" s="109">
        <f>RaporTarihi+IF(MUSTERI_RISK_SKORU!$X18&gt;EsikPesin,1,KararGunu)</f>
        <v/>
      </c>
      <c r="K18" s="100">
        <f>"Korunan nakit: "&amp;TEXT(MIN(MUSTERI_RISK_SKORU!$G18,MUSTERI_RISK_SKORU!$K18),"₺ #,##0")</f>
        <v/>
      </c>
      <c r="L18" s="100">
        <f>IF(MUSTERI_RISK_SKORU!$X18&gt;EsikYuksek,"Tahsil edilememe AND nakit kaybı büyür","İşletme sermayesi baskısı artar")</f>
        <v/>
      </c>
      <c r="M18" s="100">
        <f>MUSTERI_RISK_SKORU!$U18</f>
        <v/>
      </c>
      <c r="N18" s="101" t="n"/>
    </row>
    <row r="19" ht="15.75" customHeight="1" s="55">
      <c r="A19" s="100">
        <f>MUSTERI_RISK_SKORU!$A19&amp;" - "&amp;MUSTERI_RISK_SKORU!$B19</f>
        <v/>
      </c>
      <c r="B19" s="100">
        <f>IF(MUSTERI_RISK_SKORU!$X19&gt;EsikKritik,"KRİTİK",IF(MUSTERI_RISK_SKORU!$X19&gt;EsikYuksek,"RİSKLİ",IF(MUSTERI_RISK_SKORU!$X19&gt;EsikIzle,"İZLE","NORMAL")))</f>
        <v/>
      </c>
      <c r="C19" s="100">
        <f>IF(MUSTERI_RISK_SKORU!$I19&gt;YaslamaDilim3,"90+ gün gecikme",IF(MUSTERI_RISK_SKORU!$F19&gt;1,"Limit aşımı",IF(MUSTERI_RISK_SKORU!$M19&gt;0,"İtirazlı alacak","Planlı izleme")))</f>
        <v/>
      </c>
      <c r="D19" s="100">
        <f>"Skor "&amp;MUSTERI_RISK_SKORU!$X19&amp;" | Açık "&amp;TEXT(MUSTERI_RISK_SKORU!$C19,"₺ #,##0")</f>
        <v/>
      </c>
      <c r="E19" s="100">
        <f>IF(MUSTERI_RISK_SKORU!$K19&gt;0,"Teminat açığı","Kontrollü risk")</f>
        <v/>
      </c>
      <c r="F19" s="100">
        <f>"Net risk "&amp;TEXT(MUSTERI_RISK_SKORU!$K19,"₺ #,##0")</f>
        <v/>
      </c>
      <c r="G19" s="100">
        <f>MUSTERI_RISK_SKORU!$V19</f>
        <v/>
      </c>
      <c r="H19" s="100">
        <f>MUSTERI_RISK_SKORU!$W19</f>
        <v/>
      </c>
      <c r="I19" s="100">
        <f>IF(MUSTERI_RISK_SKORU!$X19&gt;EsikYuksek,"CFO / Finans Müdürü","Tahsilat Yöneticisi")</f>
        <v/>
      </c>
      <c r="J19" s="109">
        <f>RaporTarihi+IF(MUSTERI_RISK_SKORU!$X19&gt;EsikPesin,1,KararGunu)</f>
        <v/>
      </c>
      <c r="K19" s="100">
        <f>"Korunan nakit: "&amp;TEXT(MIN(MUSTERI_RISK_SKORU!$G19,MUSTERI_RISK_SKORU!$K19),"₺ #,##0")</f>
        <v/>
      </c>
      <c r="L19" s="100">
        <f>IF(MUSTERI_RISK_SKORU!$X19&gt;EsikYuksek,"Tahsil edilememe AND nakit kaybı büyür","İşletme sermayesi baskısı artar")</f>
        <v/>
      </c>
      <c r="M19" s="100">
        <f>MUSTERI_RISK_SKORU!$U19</f>
        <v/>
      </c>
      <c r="N19" s="101" t="n"/>
    </row>
    <row r="20" ht="15.75" customHeight="1" s="55">
      <c r="A20" s="100">
        <f>MUSTERI_RISK_SKORU!$A20&amp;" - "&amp;MUSTERI_RISK_SKORU!$B20</f>
        <v/>
      </c>
      <c r="B20" s="100">
        <f>IF(MUSTERI_RISK_SKORU!$X20&gt;EsikKritik,"KRİTİK",IF(MUSTERI_RISK_SKORU!$X20&gt;EsikYuksek,"RİSKLİ",IF(MUSTERI_RISK_SKORU!$X20&gt;EsikIzle,"İZLE","NORMAL")))</f>
        <v/>
      </c>
      <c r="C20" s="100">
        <f>IF(MUSTERI_RISK_SKORU!$I20&gt;YaslamaDilim3,"90+ gün gecikme",IF(MUSTERI_RISK_SKORU!$F20&gt;1,"Limit aşımı",IF(MUSTERI_RISK_SKORU!$M20&gt;0,"İtirazlı alacak","Planlı izleme")))</f>
        <v/>
      </c>
      <c r="D20" s="100">
        <f>"Skor "&amp;MUSTERI_RISK_SKORU!$X20&amp;" | Açık "&amp;TEXT(MUSTERI_RISK_SKORU!$C20,"₺ #,##0")</f>
        <v/>
      </c>
      <c r="E20" s="100">
        <f>IF(MUSTERI_RISK_SKORU!$K20&gt;0,"Teminat açığı","Kontrollü risk")</f>
        <v/>
      </c>
      <c r="F20" s="100">
        <f>"Net risk "&amp;TEXT(MUSTERI_RISK_SKORU!$K20,"₺ #,##0")</f>
        <v/>
      </c>
      <c r="G20" s="100">
        <f>MUSTERI_RISK_SKORU!$V20</f>
        <v/>
      </c>
      <c r="H20" s="100">
        <f>MUSTERI_RISK_SKORU!$W20</f>
        <v/>
      </c>
      <c r="I20" s="100">
        <f>IF(MUSTERI_RISK_SKORU!$X20&gt;EsikYuksek,"CFO / Finans Müdürü","Tahsilat Yöneticisi")</f>
        <v/>
      </c>
      <c r="J20" s="109">
        <f>RaporTarihi+IF(MUSTERI_RISK_SKORU!$X20&gt;EsikPesin,1,KararGunu)</f>
        <v/>
      </c>
      <c r="K20" s="100">
        <f>"Korunan nakit: "&amp;TEXT(MIN(MUSTERI_RISK_SKORU!$G20,MUSTERI_RISK_SKORU!$K20),"₺ #,##0")</f>
        <v/>
      </c>
      <c r="L20" s="100">
        <f>IF(MUSTERI_RISK_SKORU!$X20&gt;EsikYuksek,"Tahsil edilememe AND nakit kaybı büyür","İşletme sermayesi baskısı artar")</f>
        <v/>
      </c>
      <c r="M20" s="100">
        <f>MUSTERI_RISK_SKORU!$U20</f>
        <v/>
      </c>
      <c r="N20" s="101" t="n"/>
    </row>
    <row r="21" ht="15.75" customHeight="1" s="55">
      <c r="A21" s="100">
        <f>MUSTERI_RISK_SKORU!$A21&amp;" - "&amp;MUSTERI_RISK_SKORU!$B21</f>
        <v/>
      </c>
      <c r="B21" s="100">
        <f>IF(MUSTERI_RISK_SKORU!$X21&gt;EsikKritik,"KRİTİK",IF(MUSTERI_RISK_SKORU!$X21&gt;EsikYuksek,"RİSKLİ",IF(MUSTERI_RISK_SKORU!$X21&gt;EsikIzle,"İZLE","NORMAL")))</f>
        <v/>
      </c>
      <c r="C21" s="100">
        <f>IF(MUSTERI_RISK_SKORU!$I21&gt;YaslamaDilim3,"90+ gün gecikme",IF(MUSTERI_RISK_SKORU!$F21&gt;1,"Limit aşımı",IF(MUSTERI_RISK_SKORU!$M21&gt;0,"İtirazlı alacak","Planlı izleme")))</f>
        <v/>
      </c>
      <c r="D21" s="100">
        <f>"Skor "&amp;MUSTERI_RISK_SKORU!$X21&amp;" | Açık "&amp;TEXT(MUSTERI_RISK_SKORU!$C21,"₺ #,##0")</f>
        <v/>
      </c>
      <c r="E21" s="100">
        <f>IF(MUSTERI_RISK_SKORU!$K21&gt;0,"Teminat açığı","Kontrollü risk")</f>
        <v/>
      </c>
      <c r="F21" s="100">
        <f>"Net risk "&amp;TEXT(MUSTERI_RISK_SKORU!$K21,"₺ #,##0")</f>
        <v/>
      </c>
      <c r="G21" s="100">
        <f>MUSTERI_RISK_SKORU!$V21</f>
        <v/>
      </c>
      <c r="H21" s="100">
        <f>MUSTERI_RISK_SKORU!$W21</f>
        <v/>
      </c>
      <c r="I21" s="100">
        <f>IF(MUSTERI_RISK_SKORU!$X21&gt;EsikYuksek,"CFO / Finans Müdürü","Tahsilat Yöneticisi")</f>
        <v/>
      </c>
      <c r="J21" s="109">
        <f>RaporTarihi+IF(MUSTERI_RISK_SKORU!$X21&gt;EsikPesin,1,KararGunu)</f>
        <v/>
      </c>
      <c r="K21" s="100">
        <f>"Korunan nakit: "&amp;TEXT(MIN(MUSTERI_RISK_SKORU!$G21,MUSTERI_RISK_SKORU!$K21),"₺ #,##0")</f>
        <v/>
      </c>
      <c r="L21" s="100">
        <f>IF(MUSTERI_RISK_SKORU!$X21&gt;EsikYuksek,"Tahsil edilememe AND nakit kaybı büyür","İşletme sermayesi baskısı artar")</f>
        <v/>
      </c>
      <c r="M21" s="100">
        <f>MUSTERI_RISK_SKORU!$U21</f>
        <v/>
      </c>
      <c r="N21" s="101" t="n"/>
    </row>
    <row r="22" ht="15.75" customHeight="1" s="55">
      <c r="A22" s="100">
        <f>MUSTERI_RISK_SKORU!$A22&amp;" - "&amp;MUSTERI_RISK_SKORU!$B22</f>
        <v/>
      </c>
      <c r="B22" s="100">
        <f>IF(MUSTERI_RISK_SKORU!$X22&gt;EsikKritik,"KRİTİK",IF(MUSTERI_RISK_SKORU!$X22&gt;EsikYuksek,"RİSKLİ",IF(MUSTERI_RISK_SKORU!$X22&gt;EsikIzle,"İZLE","NORMAL")))</f>
        <v/>
      </c>
      <c r="C22" s="100">
        <f>IF(MUSTERI_RISK_SKORU!$I22&gt;YaslamaDilim3,"90+ gün gecikme",IF(MUSTERI_RISK_SKORU!$F22&gt;1,"Limit aşımı",IF(MUSTERI_RISK_SKORU!$M22&gt;0,"İtirazlı alacak","Planlı izleme")))</f>
        <v/>
      </c>
      <c r="D22" s="100">
        <f>"Skor "&amp;MUSTERI_RISK_SKORU!$X22&amp;" | Açık "&amp;TEXT(MUSTERI_RISK_SKORU!$C22,"₺ #,##0")</f>
        <v/>
      </c>
      <c r="E22" s="100">
        <f>IF(MUSTERI_RISK_SKORU!$K22&gt;0,"Teminat açığı","Kontrollü risk")</f>
        <v/>
      </c>
      <c r="F22" s="100">
        <f>"Net risk "&amp;TEXT(MUSTERI_RISK_SKORU!$K22,"₺ #,##0")</f>
        <v/>
      </c>
      <c r="G22" s="100">
        <f>MUSTERI_RISK_SKORU!$V22</f>
        <v/>
      </c>
      <c r="H22" s="100">
        <f>MUSTERI_RISK_SKORU!$W22</f>
        <v/>
      </c>
      <c r="I22" s="100">
        <f>IF(MUSTERI_RISK_SKORU!$X22&gt;EsikYuksek,"CFO / Finans Müdürü","Tahsilat Yöneticisi")</f>
        <v/>
      </c>
      <c r="J22" s="109">
        <f>RaporTarihi+IF(MUSTERI_RISK_SKORU!$X22&gt;EsikPesin,1,KararGunu)</f>
        <v/>
      </c>
      <c r="K22" s="100">
        <f>"Korunan nakit: "&amp;TEXT(MIN(MUSTERI_RISK_SKORU!$G22,MUSTERI_RISK_SKORU!$K22),"₺ #,##0")</f>
        <v/>
      </c>
      <c r="L22" s="100">
        <f>IF(MUSTERI_RISK_SKORU!$X22&gt;EsikYuksek,"Tahsil edilememe AND nakit kaybı büyür","İşletme sermayesi baskısı artar")</f>
        <v/>
      </c>
      <c r="M22" s="100">
        <f>MUSTERI_RISK_SKORU!$U22</f>
        <v/>
      </c>
      <c r="N22" s="101" t="n"/>
    </row>
    <row r="23" ht="15.75" customHeight="1" s="55">
      <c r="A23" s="100">
        <f>MUSTERI_RISK_SKORU!$A23&amp;" - "&amp;MUSTERI_RISK_SKORU!$B23</f>
        <v/>
      </c>
      <c r="B23" s="100">
        <f>IF(MUSTERI_RISK_SKORU!$X23&gt;EsikKritik,"KRİTİK",IF(MUSTERI_RISK_SKORU!$X23&gt;EsikYuksek,"RİSKLİ",IF(MUSTERI_RISK_SKORU!$X23&gt;EsikIzle,"İZLE","NORMAL")))</f>
        <v/>
      </c>
      <c r="C23" s="100">
        <f>IF(MUSTERI_RISK_SKORU!$I23&gt;YaslamaDilim3,"90+ gün gecikme",IF(MUSTERI_RISK_SKORU!$F23&gt;1,"Limit aşımı",IF(MUSTERI_RISK_SKORU!$M23&gt;0,"İtirazlı alacak","Planlı izleme")))</f>
        <v/>
      </c>
      <c r="D23" s="100">
        <f>"Skor "&amp;MUSTERI_RISK_SKORU!$X23&amp;" | Açık "&amp;TEXT(MUSTERI_RISK_SKORU!$C23,"₺ #,##0")</f>
        <v/>
      </c>
      <c r="E23" s="100">
        <f>IF(MUSTERI_RISK_SKORU!$K23&gt;0,"Teminat açığı","Kontrollü risk")</f>
        <v/>
      </c>
      <c r="F23" s="100">
        <f>"Net risk "&amp;TEXT(MUSTERI_RISK_SKORU!$K23,"₺ #,##0")</f>
        <v/>
      </c>
      <c r="G23" s="100">
        <f>MUSTERI_RISK_SKORU!$V23</f>
        <v/>
      </c>
      <c r="H23" s="100">
        <f>MUSTERI_RISK_SKORU!$W23</f>
        <v/>
      </c>
      <c r="I23" s="100">
        <f>IF(MUSTERI_RISK_SKORU!$X23&gt;EsikYuksek,"CFO / Finans Müdürü","Tahsilat Yöneticisi")</f>
        <v/>
      </c>
      <c r="J23" s="109">
        <f>RaporTarihi+IF(MUSTERI_RISK_SKORU!$X23&gt;EsikPesin,1,KararGunu)</f>
        <v/>
      </c>
      <c r="K23" s="100">
        <f>"Korunan nakit: "&amp;TEXT(MIN(MUSTERI_RISK_SKORU!$G23,MUSTERI_RISK_SKORU!$K23),"₺ #,##0")</f>
        <v/>
      </c>
      <c r="L23" s="100">
        <f>IF(MUSTERI_RISK_SKORU!$X23&gt;EsikYuksek,"Tahsil edilememe AND nakit kaybı büyür","İşletme sermayesi baskısı artar")</f>
        <v/>
      </c>
      <c r="M23" s="100">
        <f>MUSTERI_RISK_SKORU!$U23</f>
        <v/>
      </c>
      <c r="N23" s="101" t="n"/>
    </row>
    <row r="24" ht="15.75" customHeight="1" s="55">
      <c r="A24" s="100">
        <f>MUSTERI_RISK_SKORU!$A24&amp;" - "&amp;MUSTERI_RISK_SKORU!$B24</f>
        <v/>
      </c>
      <c r="B24" s="100">
        <f>IF(MUSTERI_RISK_SKORU!$X24&gt;EsikKritik,"KRİTİK",IF(MUSTERI_RISK_SKORU!$X24&gt;EsikYuksek,"RİSKLİ",IF(MUSTERI_RISK_SKORU!$X24&gt;EsikIzle,"İZLE","NORMAL")))</f>
        <v/>
      </c>
      <c r="C24" s="100">
        <f>IF(MUSTERI_RISK_SKORU!$I24&gt;YaslamaDilim3,"90+ gün gecikme",IF(MUSTERI_RISK_SKORU!$F24&gt;1,"Limit aşımı",IF(MUSTERI_RISK_SKORU!$M24&gt;0,"İtirazlı alacak","Planlı izleme")))</f>
        <v/>
      </c>
      <c r="D24" s="100">
        <f>"Skor "&amp;MUSTERI_RISK_SKORU!$X24&amp;" | Açık "&amp;TEXT(MUSTERI_RISK_SKORU!$C24,"₺ #,##0")</f>
        <v/>
      </c>
      <c r="E24" s="100">
        <f>IF(MUSTERI_RISK_SKORU!$K24&gt;0,"Teminat açığı","Kontrollü risk")</f>
        <v/>
      </c>
      <c r="F24" s="100">
        <f>"Net risk "&amp;TEXT(MUSTERI_RISK_SKORU!$K24,"₺ #,##0")</f>
        <v/>
      </c>
      <c r="G24" s="100">
        <f>MUSTERI_RISK_SKORU!$V24</f>
        <v/>
      </c>
      <c r="H24" s="100">
        <f>MUSTERI_RISK_SKORU!$W24</f>
        <v/>
      </c>
      <c r="I24" s="100">
        <f>IF(MUSTERI_RISK_SKORU!$X24&gt;EsikYuksek,"CFO / Finans Müdürü","Tahsilat Yöneticisi")</f>
        <v/>
      </c>
      <c r="J24" s="109">
        <f>RaporTarihi+IF(MUSTERI_RISK_SKORU!$X24&gt;EsikPesin,1,KararGunu)</f>
        <v/>
      </c>
      <c r="K24" s="100">
        <f>"Korunan nakit: "&amp;TEXT(MIN(MUSTERI_RISK_SKORU!$G24,MUSTERI_RISK_SKORU!$K24),"₺ #,##0")</f>
        <v/>
      </c>
      <c r="L24" s="100">
        <f>IF(MUSTERI_RISK_SKORU!$X24&gt;EsikYuksek,"Tahsil edilememe AND nakit kaybı büyür","İşletme sermayesi baskısı artar")</f>
        <v/>
      </c>
      <c r="M24" s="100">
        <f>MUSTERI_RISK_SKORU!$U24</f>
        <v/>
      </c>
      <c r="N24" s="101" t="n"/>
    </row>
    <row r="25" ht="15.75" customHeight="1" s="55">
      <c r="A25" s="100">
        <f>MUSTERI_RISK_SKORU!$A25&amp;" - "&amp;MUSTERI_RISK_SKORU!$B25</f>
        <v/>
      </c>
      <c r="B25" s="100">
        <f>IF(MUSTERI_RISK_SKORU!$X25&gt;EsikKritik,"KRİTİK",IF(MUSTERI_RISK_SKORU!$X25&gt;EsikYuksek,"RİSKLİ",IF(MUSTERI_RISK_SKORU!$X25&gt;EsikIzle,"İZLE","NORMAL")))</f>
        <v/>
      </c>
      <c r="C25" s="100">
        <f>IF(MUSTERI_RISK_SKORU!$I25&gt;YaslamaDilim3,"90+ gün gecikme",IF(MUSTERI_RISK_SKORU!$F25&gt;1,"Limit aşımı",IF(MUSTERI_RISK_SKORU!$M25&gt;0,"İtirazlı alacak","Planlı izleme")))</f>
        <v/>
      </c>
      <c r="D25" s="100">
        <f>"Skor "&amp;MUSTERI_RISK_SKORU!$X25&amp;" | Açık "&amp;TEXT(MUSTERI_RISK_SKORU!$C25,"₺ #,##0")</f>
        <v/>
      </c>
      <c r="E25" s="100">
        <f>IF(MUSTERI_RISK_SKORU!$K25&gt;0,"Teminat açığı","Kontrollü risk")</f>
        <v/>
      </c>
      <c r="F25" s="100">
        <f>"Net risk "&amp;TEXT(MUSTERI_RISK_SKORU!$K25,"₺ #,##0")</f>
        <v/>
      </c>
      <c r="G25" s="100">
        <f>MUSTERI_RISK_SKORU!$V25</f>
        <v/>
      </c>
      <c r="H25" s="100">
        <f>MUSTERI_RISK_SKORU!$W25</f>
        <v/>
      </c>
      <c r="I25" s="100">
        <f>IF(MUSTERI_RISK_SKORU!$X25&gt;EsikYuksek,"CFO / Finans Müdürü","Tahsilat Yöneticisi")</f>
        <v/>
      </c>
      <c r="J25" s="109">
        <f>RaporTarihi+IF(MUSTERI_RISK_SKORU!$X25&gt;EsikPesin,1,KararGunu)</f>
        <v/>
      </c>
      <c r="K25" s="100">
        <f>"Korunan nakit: "&amp;TEXT(MIN(MUSTERI_RISK_SKORU!$G25,MUSTERI_RISK_SKORU!$K25),"₺ #,##0")</f>
        <v/>
      </c>
      <c r="L25" s="100">
        <f>IF(MUSTERI_RISK_SKORU!$X25&gt;EsikYuksek,"Tahsil edilememe AND nakit kaybı büyür","İşletme sermayesi baskısı artar")</f>
        <v/>
      </c>
      <c r="M25" s="100">
        <f>MUSTERI_RISK_SKORU!$U25</f>
        <v/>
      </c>
      <c r="N25" s="101" t="n"/>
    </row>
    <row r="26" ht="15.75" customHeight="1" s="55">
      <c r="A26" s="100">
        <f>MUSTERI_RISK_SKORU!$A26&amp;" - "&amp;MUSTERI_RISK_SKORU!$B26</f>
        <v/>
      </c>
      <c r="B26" s="100">
        <f>IF(MUSTERI_RISK_SKORU!$X26&gt;EsikKritik,"KRİTİK",IF(MUSTERI_RISK_SKORU!$X26&gt;EsikYuksek,"RİSKLİ",IF(MUSTERI_RISK_SKORU!$X26&gt;EsikIzle,"İZLE","NORMAL")))</f>
        <v/>
      </c>
      <c r="C26" s="100">
        <f>IF(MUSTERI_RISK_SKORU!$I26&gt;YaslamaDilim3,"90+ gün gecikme",IF(MUSTERI_RISK_SKORU!$F26&gt;1,"Limit aşımı",IF(MUSTERI_RISK_SKORU!$M26&gt;0,"İtirazlı alacak","Planlı izleme")))</f>
        <v/>
      </c>
      <c r="D26" s="100">
        <f>"Skor "&amp;MUSTERI_RISK_SKORU!$X26&amp;" | Açık "&amp;TEXT(MUSTERI_RISK_SKORU!$C26,"₺ #,##0")</f>
        <v/>
      </c>
      <c r="E26" s="100">
        <f>IF(MUSTERI_RISK_SKORU!$K26&gt;0,"Teminat açığı","Kontrollü risk")</f>
        <v/>
      </c>
      <c r="F26" s="100">
        <f>"Net risk "&amp;TEXT(MUSTERI_RISK_SKORU!$K26,"₺ #,##0")</f>
        <v/>
      </c>
      <c r="G26" s="100">
        <f>MUSTERI_RISK_SKORU!$V26</f>
        <v/>
      </c>
      <c r="H26" s="100">
        <f>MUSTERI_RISK_SKORU!$W26</f>
        <v/>
      </c>
      <c r="I26" s="100">
        <f>IF(MUSTERI_RISK_SKORU!$X26&gt;EsikYuksek,"CFO / Finans Müdürü","Tahsilat Yöneticisi")</f>
        <v/>
      </c>
      <c r="J26" s="109">
        <f>RaporTarihi+IF(MUSTERI_RISK_SKORU!$X26&gt;EsikPesin,1,KararGunu)</f>
        <v/>
      </c>
      <c r="K26" s="100">
        <f>"Korunan nakit: "&amp;TEXT(MIN(MUSTERI_RISK_SKORU!$G26,MUSTERI_RISK_SKORU!$K26),"₺ #,##0")</f>
        <v/>
      </c>
      <c r="L26" s="100">
        <f>IF(MUSTERI_RISK_SKORU!$X26&gt;EsikYuksek,"Tahsil edilememe AND nakit kaybı büyür","İşletme sermayesi baskısı artar")</f>
        <v/>
      </c>
      <c r="M26" s="100">
        <f>MUSTERI_RISK_SKORU!$U26</f>
        <v/>
      </c>
      <c r="N26" s="101" t="n"/>
    </row>
    <row r="27" ht="15.75" customHeight="1" s="55">
      <c r="A27" s="100">
        <f>MUSTERI_RISK_SKORU!$A27&amp;" - "&amp;MUSTERI_RISK_SKORU!$B27</f>
        <v/>
      </c>
      <c r="B27" s="100">
        <f>IF(MUSTERI_RISK_SKORU!$X27&gt;EsikKritik,"KRİTİK",IF(MUSTERI_RISK_SKORU!$X27&gt;EsikYuksek,"RİSKLİ",IF(MUSTERI_RISK_SKORU!$X27&gt;EsikIzle,"İZLE","NORMAL")))</f>
        <v/>
      </c>
      <c r="C27" s="100">
        <f>IF(MUSTERI_RISK_SKORU!$I27&gt;YaslamaDilim3,"90+ gün gecikme",IF(MUSTERI_RISK_SKORU!$F27&gt;1,"Limit aşımı",IF(MUSTERI_RISK_SKORU!$M27&gt;0,"İtirazlı alacak","Planlı izleme")))</f>
        <v/>
      </c>
      <c r="D27" s="100">
        <f>"Skor "&amp;MUSTERI_RISK_SKORU!$X27&amp;" | Açık "&amp;TEXT(MUSTERI_RISK_SKORU!$C27,"₺ #,##0")</f>
        <v/>
      </c>
      <c r="E27" s="100">
        <f>IF(MUSTERI_RISK_SKORU!$K27&gt;0,"Teminat açığı","Kontrollü risk")</f>
        <v/>
      </c>
      <c r="F27" s="100">
        <f>"Net risk "&amp;TEXT(MUSTERI_RISK_SKORU!$K27,"₺ #,##0")</f>
        <v/>
      </c>
      <c r="G27" s="100">
        <f>MUSTERI_RISK_SKORU!$V27</f>
        <v/>
      </c>
      <c r="H27" s="100">
        <f>MUSTERI_RISK_SKORU!$W27</f>
        <v/>
      </c>
      <c r="I27" s="100">
        <f>IF(MUSTERI_RISK_SKORU!$X27&gt;EsikYuksek,"CFO / Finans Müdürü","Tahsilat Yöneticisi")</f>
        <v/>
      </c>
      <c r="J27" s="109">
        <f>RaporTarihi+IF(MUSTERI_RISK_SKORU!$X27&gt;EsikPesin,1,KararGunu)</f>
        <v/>
      </c>
      <c r="K27" s="100">
        <f>"Korunan nakit: "&amp;TEXT(MIN(MUSTERI_RISK_SKORU!$G27,MUSTERI_RISK_SKORU!$K27),"₺ #,##0")</f>
        <v/>
      </c>
      <c r="L27" s="100">
        <f>IF(MUSTERI_RISK_SKORU!$X27&gt;EsikYuksek,"Tahsil edilememe AND nakit kaybı büyür","İşletme sermayesi baskısı artar")</f>
        <v/>
      </c>
      <c r="M27" s="100">
        <f>MUSTERI_RISK_SKORU!$U27</f>
        <v/>
      </c>
      <c r="N27" s="101" t="n"/>
    </row>
    <row r="28" ht="15.75" customHeight="1" s="55">
      <c r="A28" s="100">
        <f>MUSTERI_RISK_SKORU!$A28&amp;" - "&amp;MUSTERI_RISK_SKORU!$B28</f>
        <v/>
      </c>
      <c r="B28" s="100">
        <f>IF(MUSTERI_RISK_SKORU!$X28&gt;EsikKritik,"KRİTİK",IF(MUSTERI_RISK_SKORU!$X28&gt;EsikYuksek,"RİSKLİ",IF(MUSTERI_RISK_SKORU!$X28&gt;EsikIzle,"İZLE","NORMAL")))</f>
        <v/>
      </c>
      <c r="C28" s="100">
        <f>IF(MUSTERI_RISK_SKORU!$I28&gt;YaslamaDilim3,"90+ gün gecikme",IF(MUSTERI_RISK_SKORU!$F28&gt;1,"Limit aşımı",IF(MUSTERI_RISK_SKORU!$M28&gt;0,"İtirazlı alacak","Planlı izleme")))</f>
        <v/>
      </c>
      <c r="D28" s="100">
        <f>"Skor "&amp;MUSTERI_RISK_SKORU!$X28&amp;" | Açık "&amp;TEXT(MUSTERI_RISK_SKORU!$C28,"₺ #,##0")</f>
        <v/>
      </c>
      <c r="E28" s="100">
        <f>IF(MUSTERI_RISK_SKORU!$K28&gt;0,"Teminat açığı","Kontrollü risk")</f>
        <v/>
      </c>
      <c r="F28" s="100">
        <f>"Net risk "&amp;TEXT(MUSTERI_RISK_SKORU!$K28,"₺ #,##0")</f>
        <v/>
      </c>
      <c r="G28" s="100">
        <f>MUSTERI_RISK_SKORU!$V28</f>
        <v/>
      </c>
      <c r="H28" s="100">
        <f>MUSTERI_RISK_SKORU!$W28</f>
        <v/>
      </c>
      <c r="I28" s="100">
        <f>IF(MUSTERI_RISK_SKORU!$X28&gt;EsikYuksek,"CFO / Finans Müdürü","Tahsilat Yöneticisi")</f>
        <v/>
      </c>
      <c r="J28" s="109">
        <f>RaporTarihi+IF(MUSTERI_RISK_SKORU!$X28&gt;EsikPesin,1,KararGunu)</f>
        <v/>
      </c>
      <c r="K28" s="100">
        <f>"Korunan nakit: "&amp;TEXT(MIN(MUSTERI_RISK_SKORU!$G28,MUSTERI_RISK_SKORU!$K28),"₺ #,##0")</f>
        <v/>
      </c>
      <c r="L28" s="100">
        <f>IF(MUSTERI_RISK_SKORU!$X28&gt;EsikYuksek,"Tahsil edilememe AND nakit kaybı büyür","İşletme sermayesi baskısı artar")</f>
        <v/>
      </c>
      <c r="M28" s="100">
        <f>MUSTERI_RISK_SKORU!$U28</f>
        <v/>
      </c>
      <c r="N28" s="101" t="n"/>
    </row>
    <row r="29" ht="15.75" customHeight="1" s="55">
      <c r="A29" s="100">
        <f>MUSTERI_RISK_SKORU!$A29&amp;" - "&amp;MUSTERI_RISK_SKORU!$B29</f>
        <v/>
      </c>
      <c r="B29" s="100">
        <f>IF(MUSTERI_RISK_SKORU!$X29&gt;EsikKritik,"KRİTİK",IF(MUSTERI_RISK_SKORU!$X29&gt;EsikYuksek,"RİSKLİ",IF(MUSTERI_RISK_SKORU!$X29&gt;EsikIzle,"İZLE","NORMAL")))</f>
        <v/>
      </c>
      <c r="C29" s="100">
        <f>IF(MUSTERI_RISK_SKORU!$I29&gt;YaslamaDilim3,"90+ gün gecikme",IF(MUSTERI_RISK_SKORU!$F29&gt;1,"Limit aşımı",IF(MUSTERI_RISK_SKORU!$M29&gt;0,"İtirazlı alacak","Planlı izleme")))</f>
        <v/>
      </c>
      <c r="D29" s="100">
        <f>"Skor "&amp;MUSTERI_RISK_SKORU!$X29&amp;" | Açık "&amp;TEXT(MUSTERI_RISK_SKORU!$C29,"₺ #,##0")</f>
        <v/>
      </c>
      <c r="E29" s="100">
        <f>IF(MUSTERI_RISK_SKORU!$K29&gt;0,"Teminat açığı","Kontrollü risk")</f>
        <v/>
      </c>
      <c r="F29" s="100">
        <f>"Net risk "&amp;TEXT(MUSTERI_RISK_SKORU!$K29,"₺ #,##0")</f>
        <v/>
      </c>
      <c r="G29" s="100">
        <f>MUSTERI_RISK_SKORU!$V29</f>
        <v/>
      </c>
      <c r="H29" s="100">
        <f>MUSTERI_RISK_SKORU!$W29</f>
        <v/>
      </c>
      <c r="I29" s="100">
        <f>IF(MUSTERI_RISK_SKORU!$X29&gt;EsikYuksek,"CFO / Finans Müdürü","Tahsilat Yöneticisi")</f>
        <v/>
      </c>
      <c r="J29" s="109">
        <f>RaporTarihi+IF(MUSTERI_RISK_SKORU!$X29&gt;EsikPesin,1,KararGunu)</f>
        <v/>
      </c>
      <c r="K29" s="100">
        <f>"Korunan nakit: "&amp;TEXT(MIN(MUSTERI_RISK_SKORU!$G29,MUSTERI_RISK_SKORU!$K29),"₺ #,##0")</f>
        <v/>
      </c>
      <c r="L29" s="100">
        <f>IF(MUSTERI_RISK_SKORU!$X29&gt;EsikYuksek,"Tahsil edilememe AND nakit kaybı büyür","İşletme sermayesi baskısı artar")</f>
        <v/>
      </c>
      <c r="M29" s="100">
        <f>MUSTERI_RISK_SKORU!$U29</f>
        <v/>
      </c>
      <c r="N29" s="101" t="n"/>
    </row>
    <row r="30" ht="15.75" customHeight="1" s="55">
      <c r="A30" s="100">
        <f>MUSTERI_RISK_SKORU!$A30&amp;" - "&amp;MUSTERI_RISK_SKORU!$B30</f>
        <v/>
      </c>
      <c r="B30" s="100">
        <f>IF(MUSTERI_RISK_SKORU!$X30&gt;EsikKritik,"KRİTİK",IF(MUSTERI_RISK_SKORU!$X30&gt;EsikYuksek,"RİSKLİ",IF(MUSTERI_RISK_SKORU!$X30&gt;EsikIzle,"İZLE","NORMAL")))</f>
        <v/>
      </c>
      <c r="C30" s="100">
        <f>IF(MUSTERI_RISK_SKORU!$I30&gt;YaslamaDilim3,"90+ gün gecikme",IF(MUSTERI_RISK_SKORU!$F30&gt;1,"Limit aşımı",IF(MUSTERI_RISK_SKORU!$M30&gt;0,"İtirazlı alacak","Planlı izleme")))</f>
        <v/>
      </c>
      <c r="D30" s="100">
        <f>"Skor "&amp;MUSTERI_RISK_SKORU!$X30&amp;" | Açık "&amp;TEXT(MUSTERI_RISK_SKORU!$C30,"₺ #,##0")</f>
        <v/>
      </c>
      <c r="E30" s="100">
        <f>IF(MUSTERI_RISK_SKORU!$K30&gt;0,"Teminat açığı","Kontrollü risk")</f>
        <v/>
      </c>
      <c r="F30" s="100">
        <f>"Net risk "&amp;TEXT(MUSTERI_RISK_SKORU!$K30,"₺ #,##0")</f>
        <v/>
      </c>
      <c r="G30" s="100">
        <f>MUSTERI_RISK_SKORU!$V30</f>
        <v/>
      </c>
      <c r="H30" s="100">
        <f>MUSTERI_RISK_SKORU!$W30</f>
        <v/>
      </c>
      <c r="I30" s="100">
        <f>IF(MUSTERI_RISK_SKORU!$X30&gt;EsikYuksek,"CFO / Finans Müdürü","Tahsilat Yöneticisi")</f>
        <v/>
      </c>
      <c r="J30" s="109">
        <f>RaporTarihi+IF(MUSTERI_RISK_SKORU!$X30&gt;EsikPesin,1,KararGunu)</f>
        <v/>
      </c>
      <c r="K30" s="100">
        <f>"Korunan nakit: "&amp;TEXT(MIN(MUSTERI_RISK_SKORU!$G30,MUSTERI_RISK_SKORU!$K30),"₺ #,##0")</f>
        <v/>
      </c>
      <c r="L30" s="100">
        <f>IF(MUSTERI_RISK_SKORU!$X30&gt;EsikYuksek,"Tahsil edilememe AND nakit kaybı büyür","İşletme sermayesi baskısı artar")</f>
        <v/>
      </c>
      <c r="M30" s="100">
        <f>MUSTERI_RISK_SKORU!$U30</f>
        <v/>
      </c>
      <c r="N30" s="101" t="n"/>
    </row>
    <row r="31" ht="15.75" customHeight="1" s="55">
      <c r="A31" s="100">
        <f>MUSTERI_RISK_SKORU!$A31&amp;" - "&amp;MUSTERI_RISK_SKORU!$B31</f>
        <v/>
      </c>
      <c r="B31" s="100">
        <f>IF(MUSTERI_RISK_SKORU!$X31&gt;EsikKritik,"KRİTİK",IF(MUSTERI_RISK_SKORU!$X31&gt;EsikYuksek,"RİSKLİ",IF(MUSTERI_RISK_SKORU!$X31&gt;EsikIzle,"İZLE","NORMAL")))</f>
        <v/>
      </c>
      <c r="C31" s="100">
        <f>IF(MUSTERI_RISK_SKORU!$I31&gt;YaslamaDilim3,"90+ gün gecikme",IF(MUSTERI_RISK_SKORU!$F31&gt;1,"Limit aşımı",IF(MUSTERI_RISK_SKORU!$M31&gt;0,"İtirazlı alacak","Planlı izleme")))</f>
        <v/>
      </c>
      <c r="D31" s="100">
        <f>"Skor "&amp;MUSTERI_RISK_SKORU!$X31&amp;" | Açık "&amp;TEXT(MUSTERI_RISK_SKORU!$C31,"₺ #,##0")</f>
        <v/>
      </c>
      <c r="E31" s="100">
        <f>IF(MUSTERI_RISK_SKORU!$K31&gt;0,"Teminat açığı","Kontrollü risk")</f>
        <v/>
      </c>
      <c r="F31" s="100">
        <f>"Net risk "&amp;TEXT(MUSTERI_RISK_SKORU!$K31,"₺ #,##0")</f>
        <v/>
      </c>
      <c r="G31" s="100">
        <f>MUSTERI_RISK_SKORU!$V31</f>
        <v/>
      </c>
      <c r="H31" s="100">
        <f>MUSTERI_RISK_SKORU!$W31</f>
        <v/>
      </c>
      <c r="I31" s="100">
        <f>IF(MUSTERI_RISK_SKORU!$X31&gt;EsikYuksek,"CFO / Finans Müdürü","Tahsilat Yöneticisi")</f>
        <v/>
      </c>
      <c r="J31" s="109">
        <f>RaporTarihi+IF(MUSTERI_RISK_SKORU!$X31&gt;EsikPesin,1,KararGunu)</f>
        <v/>
      </c>
      <c r="K31" s="100">
        <f>"Korunan nakit: "&amp;TEXT(MIN(MUSTERI_RISK_SKORU!$G31,MUSTERI_RISK_SKORU!$K31),"₺ #,##0")</f>
        <v/>
      </c>
      <c r="L31" s="100">
        <f>IF(MUSTERI_RISK_SKORU!$X31&gt;EsikYuksek,"Tahsil edilememe AND nakit kaybı büyür","İşletme sermayesi baskısı artar")</f>
        <v/>
      </c>
      <c r="M31" s="100">
        <f>MUSTERI_RISK_SKORU!$U31</f>
        <v/>
      </c>
      <c r="N31" s="101" t="n"/>
    </row>
    <row r="32" ht="15.75" customHeight="1" s="55">
      <c r="A32" s="100">
        <f>MUSTERI_RISK_SKORU!$A32&amp;" - "&amp;MUSTERI_RISK_SKORU!$B32</f>
        <v/>
      </c>
      <c r="B32" s="100">
        <f>IF(MUSTERI_RISK_SKORU!$X32&gt;EsikKritik,"KRİTİK",IF(MUSTERI_RISK_SKORU!$X32&gt;EsikYuksek,"RİSKLİ",IF(MUSTERI_RISK_SKORU!$X32&gt;EsikIzle,"İZLE","NORMAL")))</f>
        <v/>
      </c>
      <c r="C32" s="100">
        <f>IF(MUSTERI_RISK_SKORU!$I32&gt;YaslamaDilim3,"90+ gün gecikme",IF(MUSTERI_RISK_SKORU!$F32&gt;1,"Limit aşımı",IF(MUSTERI_RISK_SKORU!$M32&gt;0,"İtirazlı alacak","Planlı izleme")))</f>
        <v/>
      </c>
      <c r="D32" s="100">
        <f>"Skor "&amp;MUSTERI_RISK_SKORU!$X32&amp;" | Açık "&amp;TEXT(MUSTERI_RISK_SKORU!$C32,"₺ #,##0")</f>
        <v/>
      </c>
      <c r="E32" s="100">
        <f>IF(MUSTERI_RISK_SKORU!$K32&gt;0,"Teminat açığı","Kontrollü risk")</f>
        <v/>
      </c>
      <c r="F32" s="100">
        <f>"Net risk "&amp;TEXT(MUSTERI_RISK_SKORU!$K32,"₺ #,##0")</f>
        <v/>
      </c>
      <c r="G32" s="100">
        <f>MUSTERI_RISK_SKORU!$V32</f>
        <v/>
      </c>
      <c r="H32" s="100">
        <f>MUSTERI_RISK_SKORU!$W32</f>
        <v/>
      </c>
      <c r="I32" s="100">
        <f>IF(MUSTERI_RISK_SKORU!$X32&gt;EsikYuksek,"CFO / Finans Müdürü","Tahsilat Yöneticisi")</f>
        <v/>
      </c>
      <c r="J32" s="109">
        <f>RaporTarihi+IF(MUSTERI_RISK_SKORU!$X32&gt;EsikPesin,1,KararGunu)</f>
        <v/>
      </c>
      <c r="K32" s="100">
        <f>"Korunan nakit: "&amp;TEXT(MIN(MUSTERI_RISK_SKORU!$G32,MUSTERI_RISK_SKORU!$K32),"₺ #,##0")</f>
        <v/>
      </c>
      <c r="L32" s="100">
        <f>IF(MUSTERI_RISK_SKORU!$X32&gt;EsikYuksek,"Tahsil edilememe AND nakit kaybı büyür","İşletme sermayesi baskısı artar")</f>
        <v/>
      </c>
      <c r="M32" s="100">
        <f>MUSTERI_RISK_SKORU!$U32</f>
        <v/>
      </c>
      <c r="N32" s="101" t="n"/>
    </row>
    <row r="33" ht="15.75" customHeight="1" s="55">
      <c r="A33" s="100">
        <f>MUSTERI_RISK_SKORU!$A33&amp;" - "&amp;MUSTERI_RISK_SKORU!$B33</f>
        <v/>
      </c>
      <c r="B33" s="100">
        <f>IF(MUSTERI_RISK_SKORU!$X33&gt;EsikKritik,"KRİTİK",IF(MUSTERI_RISK_SKORU!$X33&gt;EsikYuksek,"RİSKLİ",IF(MUSTERI_RISK_SKORU!$X33&gt;EsikIzle,"İZLE","NORMAL")))</f>
        <v/>
      </c>
      <c r="C33" s="100">
        <f>IF(MUSTERI_RISK_SKORU!$I33&gt;YaslamaDilim3,"90+ gün gecikme",IF(MUSTERI_RISK_SKORU!$F33&gt;1,"Limit aşımı",IF(MUSTERI_RISK_SKORU!$M33&gt;0,"İtirazlı alacak","Planlı izleme")))</f>
        <v/>
      </c>
      <c r="D33" s="100">
        <f>"Skor "&amp;MUSTERI_RISK_SKORU!$X33&amp;" | Açık "&amp;TEXT(MUSTERI_RISK_SKORU!$C33,"₺ #,##0")</f>
        <v/>
      </c>
      <c r="E33" s="100">
        <f>IF(MUSTERI_RISK_SKORU!$K33&gt;0,"Teminat açığı","Kontrollü risk")</f>
        <v/>
      </c>
      <c r="F33" s="100">
        <f>"Net risk "&amp;TEXT(MUSTERI_RISK_SKORU!$K33,"₺ #,##0")</f>
        <v/>
      </c>
      <c r="G33" s="100">
        <f>MUSTERI_RISK_SKORU!$V33</f>
        <v/>
      </c>
      <c r="H33" s="100">
        <f>MUSTERI_RISK_SKORU!$W33</f>
        <v/>
      </c>
      <c r="I33" s="100">
        <f>IF(MUSTERI_RISK_SKORU!$X33&gt;EsikYuksek,"CFO / Finans Müdürü","Tahsilat Yöneticisi")</f>
        <v/>
      </c>
      <c r="J33" s="109">
        <f>RaporTarihi+IF(MUSTERI_RISK_SKORU!$X33&gt;EsikPesin,1,KararGunu)</f>
        <v/>
      </c>
      <c r="K33" s="100">
        <f>"Korunan nakit: "&amp;TEXT(MIN(MUSTERI_RISK_SKORU!$G33,MUSTERI_RISK_SKORU!$K33),"₺ #,##0")</f>
        <v/>
      </c>
      <c r="L33" s="100">
        <f>IF(MUSTERI_RISK_SKORU!$X33&gt;EsikYuksek,"Tahsil edilememe AND nakit kaybı büyür","İşletme sermayesi baskısı artar")</f>
        <v/>
      </c>
      <c r="M33" s="100">
        <f>MUSTERI_RISK_SKORU!$U33</f>
        <v/>
      </c>
      <c r="N33" s="101" t="n"/>
    </row>
    <row r="34" ht="15.75" customHeight="1" s="55">
      <c r="A34" s="100">
        <f>MUSTERI_RISK_SKORU!$A34&amp;" - "&amp;MUSTERI_RISK_SKORU!$B34</f>
        <v/>
      </c>
      <c r="B34" s="100">
        <f>IF(MUSTERI_RISK_SKORU!$X34&gt;EsikKritik,"KRİTİK",IF(MUSTERI_RISK_SKORU!$X34&gt;EsikYuksek,"RİSKLİ",IF(MUSTERI_RISK_SKORU!$X34&gt;EsikIzle,"İZLE","NORMAL")))</f>
        <v/>
      </c>
      <c r="C34" s="100">
        <f>IF(MUSTERI_RISK_SKORU!$I34&gt;YaslamaDilim3,"90+ gün gecikme",IF(MUSTERI_RISK_SKORU!$F34&gt;1,"Limit aşımı",IF(MUSTERI_RISK_SKORU!$M34&gt;0,"İtirazlı alacak","Planlı izleme")))</f>
        <v/>
      </c>
      <c r="D34" s="100">
        <f>"Skor "&amp;MUSTERI_RISK_SKORU!$X34&amp;" | Açık "&amp;TEXT(MUSTERI_RISK_SKORU!$C34,"₺ #,##0")</f>
        <v/>
      </c>
      <c r="E34" s="100">
        <f>IF(MUSTERI_RISK_SKORU!$K34&gt;0,"Teminat açığı","Kontrollü risk")</f>
        <v/>
      </c>
      <c r="F34" s="100">
        <f>"Net risk "&amp;TEXT(MUSTERI_RISK_SKORU!$K34,"₺ #,##0")</f>
        <v/>
      </c>
      <c r="G34" s="100">
        <f>MUSTERI_RISK_SKORU!$V34</f>
        <v/>
      </c>
      <c r="H34" s="100">
        <f>MUSTERI_RISK_SKORU!$W34</f>
        <v/>
      </c>
      <c r="I34" s="100">
        <f>IF(MUSTERI_RISK_SKORU!$X34&gt;EsikYuksek,"CFO / Finans Müdürü","Tahsilat Yöneticisi")</f>
        <v/>
      </c>
      <c r="J34" s="109">
        <f>RaporTarihi+IF(MUSTERI_RISK_SKORU!$X34&gt;EsikPesin,1,KararGunu)</f>
        <v/>
      </c>
      <c r="K34" s="100">
        <f>"Korunan nakit: "&amp;TEXT(MIN(MUSTERI_RISK_SKORU!$G34,MUSTERI_RISK_SKORU!$K34),"₺ #,##0")</f>
        <v/>
      </c>
      <c r="L34" s="100">
        <f>IF(MUSTERI_RISK_SKORU!$X34&gt;EsikYuksek,"Tahsil edilememe AND nakit kaybı büyür","İşletme sermayesi baskısı artar")</f>
        <v/>
      </c>
      <c r="M34" s="100">
        <f>MUSTERI_RISK_SKORU!$U34</f>
        <v/>
      </c>
      <c r="N34" s="101" t="n"/>
    </row>
    <row r="35" ht="15.75" customHeight="1" s="55">
      <c r="A35" s="100">
        <f>MUSTERI_RISK_SKORU!$A35&amp;" - "&amp;MUSTERI_RISK_SKORU!$B35</f>
        <v/>
      </c>
      <c r="B35" s="100">
        <f>IF(MUSTERI_RISK_SKORU!$X35&gt;EsikKritik,"KRİTİK",IF(MUSTERI_RISK_SKORU!$X35&gt;EsikYuksek,"RİSKLİ",IF(MUSTERI_RISK_SKORU!$X35&gt;EsikIzle,"İZLE","NORMAL")))</f>
        <v/>
      </c>
      <c r="C35" s="100">
        <f>IF(MUSTERI_RISK_SKORU!$I35&gt;YaslamaDilim3,"90+ gün gecikme",IF(MUSTERI_RISK_SKORU!$F35&gt;1,"Limit aşımı",IF(MUSTERI_RISK_SKORU!$M35&gt;0,"İtirazlı alacak","Planlı izleme")))</f>
        <v/>
      </c>
      <c r="D35" s="100">
        <f>"Skor "&amp;MUSTERI_RISK_SKORU!$X35&amp;" | Açık "&amp;TEXT(MUSTERI_RISK_SKORU!$C35,"₺ #,##0")</f>
        <v/>
      </c>
      <c r="E35" s="100">
        <f>IF(MUSTERI_RISK_SKORU!$K35&gt;0,"Teminat açığı","Kontrollü risk")</f>
        <v/>
      </c>
      <c r="F35" s="100">
        <f>"Net risk "&amp;TEXT(MUSTERI_RISK_SKORU!$K35,"₺ #,##0")</f>
        <v/>
      </c>
      <c r="G35" s="100">
        <f>MUSTERI_RISK_SKORU!$V35</f>
        <v/>
      </c>
      <c r="H35" s="100">
        <f>MUSTERI_RISK_SKORU!$W35</f>
        <v/>
      </c>
      <c r="I35" s="100">
        <f>IF(MUSTERI_RISK_SKORU!$X35&gt;EsikYuksek,"CFO / Finans Müdürü","Tahsilat Yöneticisi")</f>
        <v/>
      </c>
      <c r="J35" s="109">
        <f>RaporTarihi+IF(MUSTERI_RISK_SKORU!$X35&gt;EsikPesin,1,KararGunu)</f>
        <v/>
      </c>
      <c r="K35" s="100">
        <f>"Korunan nakit: "&amp;TEXT(MIN(MUSTERI_RISK_SKORU!$G35,MUSTERI_RISK_SKORU!$K35),"₺ #,##0")</f>
        <v/>
      </c>
      <c r="L35" s="100">
        <f>IF(MUSTERI_RISK_SKORU!$X35&gt;EsikYuksek,"Tahsil edilememe AND nakit kaybı büyür","İşletme sermayesi baskısı artar")</f>
        <v/>
      </c>
      <c r="M35" s="100">
        <f>MUSTERI_RISK_SKORU!$U35</f>
        <v/>
      </c>
      <c r="N35" s="101" t="n"/>
    </row>
    <row r="36" ht="15.75" customHeight="1" s="55">
      <c r="A36" s="100">
        <f>MUSTERI_RISK_SKORU!$A36&amp;" - "&amp;MUSTERI_RISK_SKORU!$B36</f>
        <v/>
      </c>
      <c r="B36" s="100">
        <f>IF(MUSTERI_RISK_SKORU!$X36&gt;EsikKritik,"KRİTİK",IF(MUSTERI_RISK_SKORU!$X36&gt;EsikYuksek,"RİSKLİ",IF(MUSTERI_RISK_SKORU!$X36&gt;EsikIzle,"İZLE","NORMAL")))</f>
        <v/>
      </c>
      <c r="C36" s="100">
        <f>IF(MUSTERI_RISK_SKORU!$I36&gt;YaslamaDilim3,"90+ gün gecikme",IF(MUSTERI_RISK_SKORU!$F36&gt;1,"Limit aşımı",IF(MUSTERI_RISK_SKORU!$M36&gt;0,"İtirazlı alacak","Planlı izleme")))</f>
        <v/>
      </c>
      <c r="D36" s="100">
        <f>"Skor "&amp;MUSTERI_RISK_SKORU!$X36&amp;" | Açık "&amp;TEXT(MUSTERI_RISK_SKORU!$C36,"₺ #,##0")</f>
        <v/>
      </c>
      <c r="E36" s="100">
        <f>IF(MUSTERI_RISK_SKORU!$K36&gt;0,"Teminat açığı","Kontrollü risk")</f>
        <v/>
      </c>
      <c r="F36" s="100">
        <f>"Net risk "&amp;TEXT(MUSTERI_RISK_SKORU!$K36,"₺ #,##0")</f>
        <v/>
      </c>
      <c r="G36" s="100">
        <f>MUSTERI_RISK_SKORU!$V36</f>
        <v/>
      </c>
      <c r="H36" s="100">
        <f>MUSTERI_RISK_SKORU!$W36</f>
        <v/>
      </c>
      <c r="I36" s="100">
        <f>IF(MUSTERI_RISK_SKORU!$X36&gt;EsikYuksek,"CFO / Finans Müdürü","Tahsilat Yöneticisi")</f>
        <v/>
      </c>
      <c r="J36" s="109">
        <f>RaporTarihi+IF(MUSTERI_RISK_SKORU!$X36&gt;EsikPesin,1,KararGunu)</f>
        <v/>
      </c>
      <c r="K36" s="100">
        <f>"Korunan nakit: "&amp;TEXT(MIN(MUSTERI_RISK_SKORU!$G36,MUSTERI_RISK_SKORU!$K36),"₺ #,##0")</f>
        <v/>
      </c>
      <c r="L36" s="100">
        <f>IF(MUSTERI_RISK_SKORU!$X36&gt;EsikYuksek,"Tahsil edilememe AND nakit kaybı büyür","İşletme sermayesi baskısı artar")</f>
        <v/>
      </c>
      <c r="M36" s="100">
        <f>MUSTERI_RISK_SKORU!$U36</f>
        <v/>
      </c>
      <c r="N36" s="101" t="n"/>
    </row>
    <row r="37" ht="15.75" customHeight="1" s="55">
      <c r="A37" s="100">
        <f>MUSTERI_RISK_SKORU!$A37&amp;" - "&amp;MUSTERI_RISK_SKORU!$B37</f>
        <v/>
      </c>
      <c r="B37" s="100">
        <f>IF(MUSTERI_RISK_SKORU!$X37&gt;EsikKritik,"KRİTİK",IF(MUSTERI_RISK_SKORU!$X37&gt;EsikYuksek,"RİSKLİ",IF(MUSTERI_RISK_SKORU!$X37&gt;EsikIzle,"İZLE","NORMAL")))</f>
        <v/>
      </c>
      <c r="C37" s="100">
        <f>IF(MUSTERI_RISK_SKORU!$I37&gt;YaslamaDilim3,"90+ gün gecikme",IF(MUSTERI_RISK_SKORU!$F37&gt;1,"Limit aşımı",IF(MUSTERI_RISK_SKORU!$M37&gt;0,"İtirazlı alacak","Planlı izleme")))</f>
        <v/>
      </c>
      <c r="D37" s="100">
        <f>"Skor "&amp;MUSTERI_RISK_SKORU!$X37&amp;" | Açık "&amp;TEXT(MUSTERI_RISK_SKORU!$C37,"₺ #,##0")</f>
        <v/>
      </c>
      <c r="E37" s="100">
        <f>IF(MUSTERI_RISK_SKORU!$K37&gt;0,"Teminat açığı","Kontrollü risk")</f>
        <v/>
      </c>
      <c r="F37" s="100">
        <f>"Net risk "&amp;TEXT(MUSTERI_RISK_SKORU!$K37,"₺ #,##0")</f>
        <v/>
      </c>
      <c r="G37" s="100">
        <f>MUSTERI_RISK_SKORU!$V37</f>
        <v/>
      </c>
      <c r="H37" s="100">
        <f>MUSTERI_RISK_SKORU!$W37</f>
        <v/>
      </c>
      <c r="I37" s="100">
        <f>IF(MUSTERI_RISK_SKORU!$X37&gt;EsikYuksek,"CFO / Finans Müdürü","Tahsilat Yöneticisi")</f>
        <v/>
      </c>
      <c r="J37" s="109">
        <f>RaporTarihi+IF(MUSTERI_RISK_SKORU!$X37&gt;EsikPesin,1,KararGunu)</f>
        <v/>
      </c>
      <c r="K37" s="100">
        <f>"Korunan nakit: "&amp;TEXT(MIN(MUSTERI_RISK_SKORU!$G37,MUSTERI_RISK_SKORU!$K37),"₺ #,##0")</f>
        <v/>
      </c>
      <c r="L37" s="100">
        <f>IF(MUSTERI_RISK_SKORU!$X37&gt;EsikYuksek,"Tahsil edilememe AND nakit kaybı büyür","İşletme sermayesi baskısı artar")</f>
        <v/>
      </c>
      <c r="M37" s="100">
        <f>MUSTERI_RISK_SKORU!$U37</f>
        <v/>
      </c>
      <c r="N37" s="101" t="n"/>
    </row>
    <row r="38" ht="15.75" customHeight="1" s="55">
      <c r="A38" s="100">
        <f>MUSTERI_RISK_SKORU!$A38&amp;" - "&amp;MUSTERI_RISK_SKORU!$B38</f>
        <v/>
      </c>
      <c r="B38" s="100">
        <f>IF(MUSTERI_RISK_SKORU!$X38&gt;EsikKritik,"KRİTİK",IF(MUSTERI_RISK_SKORU!$X38&gt;EsikYuksek,"RİSKLİ",IF(MUSTERI_RISK_SKORU!$X38&gt;EsikIzle,"İZLE","NORMAL")))</f>
        <v/>
      </c>
      <c r="C38" s="100">
        <f>IF(MUSTERI_RISK_SKORU!$I38&gt;YaslamaDilim3,"90+ gün gecikme",IF(MUSTERI_RISK_SKORU!$F38&gt;1,"Limit aşımı",IF(MUSTERI_RISK_SKORU!$M38&gt;0,"İtirazlı alacak","Planlı izleme")))</f>
        <v/>
      </c>
      <c r="D38" s="100">
        <f>"Skor "&amp;MUSTERI_RISK_SKORU!$X38&amp;" | Açık "&amp;TEXT(MUSTERI_RISK_SKORU!$C38,"₺ #,##0")</f>
        <v/>
      </c>
      <c r="E38" s="100">
        <f>IF(MUSTERI_RISK_SKORU!$K38&gt;0,"Teminat açığı","Kontrollü risk")</f>
        <v/>
      </c>
      <c r="F38" s="100">
        <f>"Net risk "&amp;TEXT(MUSTERI_RISK_SKORU!$K38,"₺ #,##0")</f>
        <v/>
      </c>
      <c r="G38" s="100">
        <f>MUSTERI_RISK_SKORU!$V38</f>
        <v/>
      </c>
      <c r="H38" s="100">
        <f>MUSTERI_RISK_SKORU!$W38</f>
        <v/>
      </c>
      <c r="I38" s="100">
        <f>IF(MUSTERI_RISK_SKORU!$X38&gt;EsikYuksek,"CFO / Finans Müdürü","Tahsilat Yöneticisi")</f>
        <v/>
      </c>
      <c r="J38" s="109">
        <f>RaporTarihi+IF(MUSTERI_RISK_SKORU!$X38&gt;EsikPesin,1,KararGunu)</f>
        <v/>
      </c>
      <c r="K38" s="100">
        <f>"Korunan nakit: "&amp;TEXT(MIN(MUSTERI_RISK_SKORU!$G38,MUSTERI_RISK_SKORU!$K38),"₺ #,##0")</f>
        <v/>
      </c>
      <c r="L38" s="100">
        <f>IF(MUSTERI_RISK_SKORU!$X38&gt;EsikYuksek,"Tahsil edilememe AND nakit kaybı büyür","İşletme sermayesi baskısı artar")</f>
        <v/>
      </c>
      <c r="M38" s="100">
        <f>MUSTERI_RISK_SKORU!$U38</f>
        <v/>
      </c>
      <c r="N38" s="101" t="n"/>
    </row>
    <row r="39" ht="15.75" customHeight="1" s="55">
      <c r="A39" s="100">
        <f>MUSTERI_RISK_SKORU!$A39&amp;" - "&amp;MUSTERI_RISK_SKORU!$B39</f>
        <v/>
      </c>
      <c r="B39" s="100">
        <f>IF(MUSTERI_RISK_SKORU!$X39&gt;EsikKritik,"KRİTİK",IF(MUSTERI_RISK_SKORU!$X39&gt;EsikYuksek,"RİSKLİ",IF(MUSTERI_RISK_SKORU!$X39&gt;EsikIzle,"İZLE","NORMAL")))</f>
        <v/>
      </c>
      <c r="C39" s="100">
        <f>IF(MUSTERI_RISK_SKORU!$I39&gt;YaslamaDilim3,"90+ gün gecikme",IF(MUSTERI_RISK_SKORU!$F39&gt;1,"Limit aşımı",IF(MUSTERI_RISK_SKORU!$M39&gt;0,"İtirazlı alacak","Planlı izleme")))</f>
        <v/>
      </c>
      <c r="D39" s="100">
        <f>"Skor "&amp;MUSTERI_RISK_SKORU!$X39&amp;" | Açık "&amp;TEXT(MUSTERI_RISK_SKORU!$C39,"₺ #,##0")</f>
        <v/>
      </c>
      <c r="E39" s="100">
        <f>IF(MUSTERI_RISK_SKORU!$K39&gt;0,"Teminat açığı","Kontrollü risk")</f>
        <v/>
      </c>
      <c r="F39" s="100">
        <f>"Net risk "&amp;TEXT(MUSTERI_RISK_SKORU!$K39,"₺ #,##0")</f>
        <v/>
      </c>
      <c r="G39" s="100">
        <f>MUSTERI_RISK_SKORU!$V39</f>
        <v/>
      </c>
      <c r="H39" s="100">
        <f>MUSTERI_RISK_SKORU!$W39</f>
        <v/>
      </c>
      <c r="I39" s="100">
        <f>IF(MUSTERI_RISK_SKORU!$X39&gt;EsikYuksek,"CFO / Finans Müdürü","Tahsilat Yöneticisi")</f>
        <v/>
      </c>
      <c r="J39" s="109">
        <f>RaporTarihi+IF(MUSTERI_RISK_SKORU!$X39&gt;EsikPesin,1,KararGunu)</f>
        <v/>
      </c>
      <c r="K39" s="100">
        <f>"Korunan nakit: "&amp;TEXT(MIN(MUSTERI_RISK_SKORU!$G39,MUSTERI_RISK_SKORU!$K39),"₺ #,##0")</f>
        <v/>
      </c>
      <c r="L39" s="100">
        <f>IF(MUSTERI_RISK_SKORU!$X39&gt;EsikYuksek,"Tahsil edilememe AND nakit kaybı büyür","İşletme sermayesi baskısı artar")</f>
        <v/>
      </c>
      <c r="M39" s="100">
        <f>MUSTERI_RISK_SKORU!$U39</f>
        <v/>
      </c>
      <c r="N39" s="101" t="n"/>
    </row>
    <row r="40" ht="15.75" customHeight="1" s="55">
      <c r="A40" s="100">
        <f>MUSTERI_RISK_SKORU!$A40&amp;" - "&amp;MUSTERI_RISK_SKORU!$B40</f>
        <v/>
      </c>
      <c r="B40" s="100">
        <f>IF(MUSTERI_RISK_SKORU!$X40&gt;EsikKritik,"KRİTİK",IF(MUSTERI_RISK_SKORU!$X40&gt;EsikYuksek,"RİSKLİ",IF(MUSTERI_RISK_SKORU!$X40&gt;EsikIzle,"İZLE","NORMAL")))</f>
        <v/>
      </c>
      <c r="C40" s="100">
        <f>IF(MUSTERI_RISK_SKORU!$I40&gt;YaslamaDilim3,"90+ gün gecikme",IF(MUSTERI_RISK_SKORU!$F40&gt;1,"Limit aşımı",IF(MUSTERI_RISK_SKORU!$M40&gt;0,"İtirazlı alacak","Planlı izleme")))</f>
        <v/>
      </c>
      <c r="D40" s="100">
        <f>"Skor "&amp;MUSTERI_RISK_SKORU!$X40&amp;" | Açık "&amp;TEXT(MUSTERI_RISK_SKORU!$C40,"₺ #,##0")</f>
        <v/>
      </c>
      <c r="E40" s="100">
        <f>IF(MUSTERI_RISK_SKORU!$K40&gt;0,"Teminat açığı","Kontrollü risk")</f>
        <v/>
      </c>
      <c r="F40" s="100">
        <f>"Net risk "&amp;TEXT(MUSTERI_RISK_SKORU!$K40,"₺ #,##0")</f>
        <v/>
      </c>
      <c r="G40" s="100">
        <f>MUSTERI_RISK_SKORU!$V40</f>
        <v/>
      </c>
      <c r="H40" s="100">
        <f>MUSTERI_RISK_SKORU!$W40</f>
        <v/>
      </c>
      <c r="I40" s="100">
        <f>IF(MUSTERI_RISK_SKORU!$X40&gt;EsikYuksek,"CFO / Finans Müdürü","Tahsilat Yöneticisi")</f>
        <v/>
      </c>
      <c r="J40" s="109">
        <f>RaporTarihi+IF(MUSTERI_RISK_SKORU!$X40&gt;EsikPesin,1,KararGunu)</f>
        <v/>
      </c>
      <c r="K40" s="100">
        <f>"Korunan nakit: "&amp;TEXT(MIN(MUSTERI_RISK_SKORU!$G40,MUSTERI_RISK_SKORU!$K40),"₺ #,##0")</f>
        <v/>
      </c>
      <c r="L40" s="100">
        <f>IF(MUSTERI_RISK_SKORU!$X40&gt;EsikYuksek,"Tahsil edilememe AND nakit kaybı büyür","İşletme sermayesi baskısı artar")</f>
        <v/>
      </c>
      <c r="M40" s="100">
        <f>MUSTERI_RISK_SKORU!$U40</f>
        <v/>
      </c>
      <c r="N40" s="101" t="n"/>
    </row>
    <row r="41" ht="15.75" customHeight="1" s="55">
      <c r="A41" s="100">
        <f>MUSTERI_RISK_SKORU!$A41&amp;" - "&amp;MUSTERI_RISK_SKORU!$B41</f>
        <v/>
      </c>
      <c r="B41" s="100">
        <f>IF(MUSTERI_RISK_SKORU!$X41&gt;EsikKritik,"KRİTİK",IF(MUSTERI_RISK_SKORU!$X41&gt;EsikYuksek,"RİSKLİ",IF(MUSTERI_RISK_SKORU!$X41&gt;EsikIzle,"İZLE","NORMAL")))</f>
        <v/>
      </c>
      <c r="C41" s="100">
        <f>IF(MUSTERI_RISK_SKORU!$I41&gt;YaslamaDilim3,"90+ gün gecikme",IF(MUSTERI_RISK_SKORU!$F41&gt;1,"Limit aşımı",IF(MUSTERI_RISK_SKORU!$M41&gt;0,"İtirazlı alacak","Planlı izleme")))</f>
        <v/>
      </c>
      <c r="D41" s="100">
        <f>"Skor "&amp;MUSTERI_RISK_SKORU!$X41&amp;" | Açık "&amp;TEXT(MUSTERI_RISK_SKORU!$C41,"₺ #,##0")</f>
        <v/>
      </c>
      <c r="E41" s="100">
        <f>IF(MUSTERI_RISK_SKORU!$K41&gt;0,"Teminat açığı","Kontrollü risk")</f>
        <v/>
      </c>
      <c r="F41" s="100">
        <f>"Net risk "&amp;TEXT(MUSTERI_RISK_SKORU!$K41,"₺ #,##0")</f>
        <v/>
      </c>
      <c r="G41" s="100">
        <f>MUSTERI_RISK_SKORU!$V41</f>
        <v/>
      </c>
      <c r="H41" s="100">
        <f>MUSTERI_RISK_SKORU!$W41</f>
        <v/>
      </c>
      <c r="I41" s="100">
        <f>IF(MUSTERI_RISK_SKORU!$X41&gt;EsikYuksek,"CFO / Finans Müdürü","Tahsilat Yöneticisi")</f>
        <v/>
      </c>
      <c r="J41" s="109">
        <f>RaporTarihi+IF(MUSTERI_RISK_SKORU!$X41&gt;EsikPesin,1,KararGunu)</f>
        <v/>
      </c>
      <c r="K41" s="100">
        <f>"Korunan nakit: "&amp;TEXT(MIN(MUSTERI_RISK_SKORU!$G41,MUSTERI_RISK_SKORU!$K41),"₺ #,##0")</f>
        <v/>
      </c>
      <c r="L41" s="100">
        <f>IF(MUSTERI_RISK_SKORU!$X41&gt;EsikYuksek,"Tahsil edilememe AND nakit kaybı büyür","İşletme sermayesi baskısı artar")</f>
        <v/>
      </c>
      <c r="M41" s="100">
        <f>MUSTERI_RISK_SKORU!$U41</f>
        <v/>
      </c>
      <c r="N41" s="101" t="n"/>
    </row>
    <row r="42" ht="15.75" customHeight="1" s="55">
      <c r="A42" s="100">
        <f>MUSTERI_RISK_SKORU!$A42&amp;" - "&amp;MUSTERI_RISK_SKORU!$B42</f>
        <v/>
      </c>
      <c r="B42" s="100">
        <f>IF(MUSTERI_RISK_SKORU!$X42&gt;EsikKritik,"KRİTİK",IF(MUSTERI_RISK_SKORU!$X42&gt;EsikYuksek,"RİSKLİ",IF(MUSTERI_RISK_SKORU!$X42&gt;EsikIzle,"İZLE","NORMAL")))</f>
        <v/>
      </c>
      <c r="C42" s="100">
        <f>IF(MUSTERI_RISK_SKORU!$I42&gt;YaslamaDilim3,"90+ gün gecikme",IF(MUSTERI_RISK_SKORU!$F42&gt;1,"Limit aşımı",IF(MUSTERI_RISK_SKORU!$M42&gt;0,"İtirazlı alacak","Planlı izleme")))</f>
        <v/>
      </c>
      <c r="D42" s="100">
        <f>"Skor "&amp;MUSTERI_RISK_SKORU!$X42&amp;" | Açık "&amp;TEXT(MUSTERI_RISK_SKORU!$C42,"₺ #,##0")</f>
        <v/>
      </c>
      <c r="E42" s="100">
        <f>IF(MUSTERI_RISK_SKORU!$K42&gt;0,"Teminat açığı","Kontrollü risk")</f>
        <v/>
      </c>
      <c r="F42" s="100">
        <f>"Net risk "&amp;TEXT(MUSTERI_RISK_SKORU!$K42,"₺ #,##0")</f>
        <v/>
      </c>
      <c r="G42" s="100">
        <f>MUSTERI_RISK_SKORU!$V42</f>
        <v/>
      </c>
      <c r="H42" s="100">
        <f>MUSTERI_RISK_SKORU!$W42</f>
        <v/>
      </c>
      <c r="I42" s="100">
        <f>IF(MUSTERI_RISK_SKORU!$X42&gt;EsikYuksek,"CFO / Finans Müdürü","Tahsilat Yöneticisi")</f>
        <v/>
      </c>
      <c r="J42" s="109">
        <f>RaporTarihi+IF(MUSTERI_RISK_SKORU!$X42&gt;EsikPesin,1,KararGunu)</f>
        <v/>
      </c>
      <c r="K42" s="100">
        <f>"Korunan nakit: "&amp;TEXT(MIN(MUSTERI_RISK_SKORU!$G42,MUSTERI_RISK_SKORU!$K42),"₺ #,##0")</f>
        <v/>
      </c>
      <c r="L42" s="100">
        <f>IF(MUSTERI_RISK_SKORU!$X42&gt;EsikYuksek,"Tahsil edilememe AND nakit kaybı büyür","İşletme sermayesi baskısı artar")</f>
        <v/>
      </c>
      <c r="M42" s="100">
        <f>MUSTERI_RISK_SKORU!$U42</f>
        <v/>
      </c>
      <c r="N42" s="101" t="n"/>
    </row>
    <row r="43" ht="15.75" customHeight="1" s="55">
      <c r="A43" s="100">
        <f>MUSTERI_RISK_SKORU!$A43&amp;" - "&amp;MUSTERI_RISK_SKORU!$B43</f>
        <v/>
      </c>
      <c r="B43" s="100">
        <f>IF(MUSTERI_RISK_SKORU!$X43&gt;EsikKritik,"KRİTİK",IF(MUSTERI_RISK_SKORU!$X43&gt;EsikYuksek,"RİSKLİ",IF(MUSTERI_RISK_SKORU!$X43&gt;EsikIzle,"İZLE","NORMAL")))</f>
        <v/>
      </c>
      <c r="C43" s="100">
        <f>IF(MUSTERI_RISK_SKORU!$I43&gt;YaslamaDilim3,"90+ gün gecikme",IF(MUSTERI_RISK_SKORU!$F43&gt;1,"Limit aşımı",IF(MUSTERI_RISK_SKORU!$M43&gt;0,"İtirazlı alacak","Planlı izleme")))</f>
        <v/>
      </c>
      <c r="D43" s="100">
        <f>"Skor "&amp;MUSTERI_RISK_SKORU!$X43&amp;" | Açık "&amp;TEXT(MUSTERI_RISK_SKORU!$C43,"₺ #,##0")</f>
        <v/>
      </c>
      <c r="E43" s="100">
        <f>IF(MUSTERI_RISK_SKORU!$K43&gt;0,"Teminat açığı","Kontrollü risk")</f>
        <v/>
      </c>
      <c r="F43" s="100">
        <f>"Net risk "&amp;TEXT(MUSTERI_RISK_SKORU!$K43,"₺ #,##0")</f>
        <v/>
      </c>
      <c r="G43" s="100">
        <f>MUSTERI_RISK_SKORU!$V43</f>
        <v/>
      </c>
      <c r="H43" s="100">
        <f>MUSTERI_RISK_SKORU!$W43</f>
        <v/>
      </c>
      <c r="I43" s="100">
        <f>IF(MUSTERI_RISK_SKORU!$X43&gt;EsikYuksek,"CFO / Finans Müdürü","Tahsilat Yöneticisi")</f>
        <v/>
      </c>
      <c r="J43" s="109">
        <f>RaporTarihi+IF(MUSTERI_RISK_SKORU!$X43&gt;EsikPesin,1,KararGunu)</f>
        <v/>
      </c>
      <c r="K43" s="100">
        <f>"Korunan nakit: "&amp;TEXT(MIN(MUSTERI_RISK_SKORU!$G43,MUSTERI_RISK_SKORU!$K43),"₺ #,##0")</f>
        <v/>
      </c>
      <c r="L43" s="100">
        <f>IF(MUSTERI_RISK_SKORU!$X43&gt;EsikYuksek,"Tahsil edilememe AND nakit kaybı büyür","İşletme sermayesi baskısı artar")</f>
        <v/>
      </c>
      <c r="M43" s="100">
        <f>MUSTERI_RISK_SKORU!$U43</f>
        <v/>
      </c>
      <c r="N43" s="101" t="n"/>
    </row>
    <row r="44" ht="15.75" customHeight="1" s="55">
      <c r="A44" s="100">
        <f>MUSTERI_RISK_SKORU!$A44&amp;" - "&amp;MUSTERI_RISK_SKORU!$B44</f>
        <v/>
      </c>
      <c r="B44" s="100">
        <f>IF(MUSTERI_RISK_SKORU!$X44&gt;EsikKritik,"KRİTİK",IF(MUSTERI_RISK_SKORU!$X44&gt;EsikYuksek,"RİSKLİ",IF(MUSTERI_RISK_SKORU!$X44&gt;EsikIzle,"İZLE","NORMAL")))</f>
        <v/>
      </c>
      <c r="C44" s="100">
        <f>IF(MUSTERI_RISK_SKORU!$I44&gt;YaslamaDilim3,"90+ gün gecikme",IF(MUSTERI_RISK_SKORU!$F44&gt;1,"Limit aşımı",IF(MUSTERI_RISK_SKORU!$M44&gt;0,"İtirazlı alacak","Planlı izleme")))</f>
        <v/>
      </c>
      <c r="D44" s="100">
        <f>"Skor "&amp;MUSTERI_RISK_SKORU!$X44&amp;" | Açık "&amp;TEXT(MUSTERI_RISK_SKORU!$C44,"₺ #,##0")</f>
        <v/>
      </c>
      <c r="E44" s="100">
        <f>IF(MUSTERI_RISK_SKORU!$K44&gt;0,"Teminat açığı","Kontrollü risk")</f>
        <v/>
      </c>
      <c r="F44" s="100">
        <f>"Net risk "&amp;TEXT(MUSTERI_RISK_SKORU!$K44,"₺ #,##0")</f>
        <v/>
      </c>
      <c r="G44" s="100">
        <f>MUSTERI_RISK_SKORU!$V44</f>
        <v/>
      </c>
      <c r="H44" s="100">
        <f>MUSTERI_RISK_SKORU!$W44</f>
        <v/>
      </c>
      <c r="I44" s="100">
        <f>IF(MUSTERI_RISK_SKORU!$X44&gt;EsikYuksek,"CFO / Finans Müdürü","Tahsilat Yöneticisi")</f>
        <v/>
      </c>
      <c r="J44" s="109">
        <f>RaporTarihi+IF(MUSTERI_RISK_SKORU!$X44&gt;EsikPesin,1,KararGunu)</f>
        <v/>
      </c>
      <c r="K44" s="100">
        <f>"Korunan nakit: "&amp;TEXT(MIN(MUSTERI_RISK_SKORU!$G44,MUSTERI_RISK_SKORU!$K44),"₺ #,##0")</f>
        <v/>
      </c>
      <c r="L44" s="100">
        <f>IF(MUSTERI_RISK_SKORU!$X44&gt;EsikYuksek,"Tahsil edilememe AND nakit kaybı büyür","İşletme sermayesi baskısı artar")</f>
        <v/>
      </c>
      <c r="M44" s="100">
        <f>MUSTERI_RISK_SKORU!$U44</f>
        <v/>
      </c>
      <c r="N44" s="101" t="n"/>
    </row>
    <row r="45" ht="15.75" customHeight="1" s="55">
      <c r="A45" s="100">
        <f>MUSTERI_RISK_SKORU!$A45&amp;" - "&amp;MUSTERI_RISK_SKORU!$B45</f>
        <v/>
      </c>
      <c r="B45" s="100">
        <f>IF(MUSTERI_RISK_SKORU!$X45&gt;EsikKritik,"KRİTİK",IF(MUSTERI_RISK_SKORU!$X45&gt;EsikYuksek,"RİSKLİ",IF(MUSTERI_RISK_SKORU!$X45&gt;EsikIzle,"İZLE","NORMAL")))</f>
        <v/>
      </c>
      <c r="C45" s="100">
        <f>IF(MUSTERI_RISK_SKORU!$I45&gt;YaslamaDilim3,"90+ gün gecikme",IF(MUSTERI_RISK_SKORU!$F45&gt;1,"Limit aşımı",IF(MUSTERI_RISK_SKORU!$M45&gt;0,"İtirazlı alacak","Planlı izleme")))</f>
        <v/>
      </c>
      <c r="D45" s="100">
        <f>"Skor "&amp;MUSTERI_RISK_SKORU!$X45&amp;" | Açık "&amp;TEXT(MUSTERI_RISK_SKORU!$C45,"₺ #,##0")</f>
        <v/>
      </c>
      <c r="E45" s="100">
        <f>IF(MUSTERI_RISK_SKORU!$K45&gt;0,"Teminat açığı","Kontrollü risk")</f>
        <v/>
      </c>
      <c r="F45" s="100">
        <f>"Net risk "&amp;TEXT(MUSTERI_RISK_SKORU!$K45,"₺ #,##0")</f>
        <v/>
      </c>
      <c r="G45" s="100">
        <f>MUSTERI_RISK_SKORU!$V45</f>
        <v/>
      </c>
      <c r="H45" s="100">
        <f>MUSTERI_RISK_SKORU!$W45</f>
        <v/>
      </c>
      <c r="I45" s="100">
        <f>IF(MUSTERI_RISK_SKORU!$X45&gt;EsikYuksek,"CFO / Finans Müdürü","Tahsilat Yöneticisi")</f>
        <v/>
      </c>
      <c r="J45" s="109">
        <f>RaporTarihi+IF(MUSTERI_RISK_SKORU!$X45&gt;EsikPesin,1,KararGunu)</f>
        <v/>
      </c>
      <c r="K45" s="100">
        <f>"Korunan nakit: "&amp;TEXT(MIN(MUSTERI_RISK_SKORU!$G45,MUSTERI_RISK_SKORU!$K45),"₺ #,##0")</f>
        <v/>
      </c>
      <c r="L45" s="100">
        <f>IF(MUSTERI_RISK_SKORU!$X45&gt;EsikYuksek,"Tahsil edilememe AND nakit kaybı büyür","İşletme sermayesi baskısı artar")</f>
        <v/>
      </c>
      <c r="M45" s="100">
        <f>MUSTERI_RISK_SKORU!$U45</f>
        <v/>
      </c>
      <c r="N45" s="101" t="n"/>
    </row>
    <row r="46" ht="15" customHeight="1" s="55">
      <c r="N46" s="101" t="n"/>
    </row>
    <row r="47" ht="15" customHeight="1" s="55">
      <c r="N47" s="101" t="n"/>
    </row>
    <row r="48" ht="15" customHeight="1" s="55">
      <c r="N48" s="101" t="n"/>
    </row>
    <row r="49" ht="15" customHeight="1" s="55">
      <c r="N49" s="101" t="n"/>
    </row>
    <row r="50" ht="15" customHeight="1" s="55">
      <c r="N50" s="101" t="n"/>
    </row>
    <row r="51" ht="15" customHeight="1" s="55">
      <c r="N51" s="101" t="n"/>
    </row>
    <row r="52" ht="15" customHeight="1" s="55">
      <c r="N52" s="101" t="n"/>
    </row>
    <row r="53" ht="15" customHeight="1" s="55">
      <c r="N53" s="101" t="n"/>
    </row>
    <row r="54" ht="15" customHeight="1" s="55">
      <c r="N54" s="101" t="n"/>
    </row>
    <row r="55" ht="15" customHeight="1" s="55">
      <c r="N55" s="101" t="n"/>
    </row>
    <row r="56" ht="15" customHeight="1" s="55">
      <c r="N56" s="101" t="n"/>
    </row>
    <row r="57" ht="15" customHeight="1" s="55">
      <c r="N57" s="101" t="n"/>
    </row>
    <row r="58" ht="15" customHeight="1" s="55">
      <c r="N58" s="101" t="n"/>
    </row>
    <row r="59" ht="15" customHeight="1" s="55">
      <c r="N59" s="101" t="n"/>
    </row>
    <row r="60" ht="15" customHeight="1" s="55">
      <c r="N60" s="101" t="n"/>
    </row>
    <row r="61" ht="15" customHeight="1" s="55">
      <c r="N61" s="101" t="n"/>
    </row>
    <row r="62" ht="15" customHeight="1" s="55">
      <c r="N62" s="101" t="n"/>
    </row>
    <row r="63" ht="15" customHeight="1" s="55">
      <c r="N63" s="101" t="n"/>
    </row>
    <row r="64" ht="15" customHeight="1" s="55">
      <c r="N64" s="101" t="n"/>
    </row>
    <row r="65" ht="15" customHeight="1" s="55">
      <c r="N65" s="101" t="n"/>
    </row>
    <row r="66" ht="15" customHeight="1" s="55">
      <c r="N66" s="101" t="n"/>
    </row>
    <row r="67" ht="15" customHeight="1" s="55">
      <c r="N67" s="101" t="n"/>
    </row>
    <row r="68" ht="15" customHeight="1" s="55">
      <c r="N68" s="101" t="n"/>
    </row>
    <row r="69" ht="15" customHeight="1" s="55">
      <c r="N69" s="101" t="n"/>
    </row>
    <row r="70" ht="15" customHeight="1" s="55">
      <c r="N70" s="101" t="n"/>
    </row>
    <row r="71" ht="15" customHeight="1" s="55">
      <c r="N71" s="101" t="n"/>
    </row>
    <row r="72" ht="15" customHeight="1" s="55">
      <c r="N72" s="101" t="n"/>
    </row>
    <row r="73" ht="15" customHeight="1" s="55">
      <c r="N73" s="101" t="n"/>
    </row>
    <row r="74" ht="15" customHeight="1" s="55">
      <c r="N74" s="101" t="n"/>
    </row>
    <row r="75" ht="15" customHeight="1" s="55">
      <c r="N75" s="101" t="n"/>
    </row>
    <row r="76" ht="15" customHeight="1" s="55">
      <c r="N76" s="101" t="n"/>
    </row>
    <row r="77" ht="15" customHeight="1" s="55">
      <c r="N77" s="101" t="n"/>
    </row>
    <row r="78" ht="15" customHeight="1" s="55">
      <c r="N78" s="101" t="n"/>
    </row>
    <row r="79" ht="15" customHeight="1" s="55">
      <c r="N79" s="101" t="n"/>
    </row>
    <row r="80" ht="15" customHeight="1" s="55">
      <c r="N80" s="101" t="n"/>
    </row>
    <row r="81" ht="15" customHeight="1" s="55">
      <c r="N81" s="101" t="n"/>
    </row>
    <row r="82" ht="15" customHeight="1" s="55">
      <c r="N82" s="101" t="n"/>
    </row>
    <row r="83" ht="15" customHeight="1" s="55">
      <c r="N83" s="101" t="n"/>
    </row>
    <row r="84" ht="15" customHeight="1" s="55">
      <c r="N84" s="101" t="n"/>
    </row>
    <row r="85" ht="15" customHeight="1" s="55">
      <c r="N85" s="101" t="n"/>
    </row>
    <row r="86" ht="15" customHeight="1" s="55">
      <c r="N86" s="101" t="n"/>
    </row>
    <row r="87" ht="15" customHeight="1" s="55">
      <c r="N87" s="101" t="n"/>
    </row>
    <row r="88" ht="15" customHeight="1" s="55">
      <c r="N88" s="101" t="n"/>
    </row>
    <row r="89" ht="15" customHeight="1" s="55">
      <c r="N89" s="101" t="n"/>
    </row>
    <row r="90" ht="15" customHeight="1" s="55">
      <c r="N90" s="101" t="n"/>
    </row>
    <row r="91" ht="15" customHeight="1" s="55">
      <c r="N91" s="101" t="n"/>
    </row>
    <row r="92" ht="15" customHeight="1" s="55">
      <c r="N92" s="101" t="n"/>
    </row>
    <row r="93" ht="15" customHeight="1" s="55">
      <c r="N93" s="101" t="n"/>
    </row>
    <row r="94" ht="15" customHeight="1" s="55">
      <c r="N94" s="101" t="n"/>
    </row>
    <row r="95" ht="15" customHeight="1" s="55">
      <c r="N95" s="101" t="n"/>
    </row>
    <row r="96" ht="15" customHeight="1" s="55">
      <c r="N96" s="101" t="n"/>
    </row>
    <row r="97" ht="15" customHeight="1" s="55">
      <c r="N97" s="101" t="n"/>
    </row>
    <row r="98" ht="15" customHeight="1" s="55">
      <c r="N98" s="101" t="n"/>
    </row>
    <row r="99" ht="15" customHeight="1" s="55">
      <c r="N99" s="101" t="n"/>
    </row>
    <row r="100" ht="15" customHeight="1" s="55">
      <c r="N100" s="101" t="n"/>
    </row>
    <row r="101" ht="15" customHeight="1" s="55">
      <c r="N101" s="101" t="n"/>
    </row>
    <row r="102" ht="15" customHeight="1" s="55">
      <c r="N102" s="101" t="n"/>
    </row>
    <row r="103" ht="15" customHeight="1" s="55">
      <c r="N103" s="101" t="n"/>
    </row>
    <row r="104" ht="15" customHeight="1" s="55">
      <c r="N104" s="101" t="n"/>
    </row>
    <row r="105" ht="15" customHeight="1" s="55">
      <c r="N105" s="101" t="n"/>
    </row>
    <row r="106" ht="15" customHeight="1" s="55">
      <c r="N106" s="101" t="n"/>
    </row>
    <row r="107" ht="15" customHeight="1" s="55">
      <c r="N107" s="101" t="n"/>
    </row>
    <row r="108" ht="15" customHeight="1" s="55">
      <c r="N108" s="101" t="n"/>
    </row>
    <row r="109" ht="15" customHeight="1" s="55">
      <c r="N109" s="101" t="n"/>
    </row>
    <row r="110" ht="15" customHeight="1" s="55">
      <c r="N110" s="101" t="n"/>
    </row>
    <row r="111" ht="15" customHeight="1" s="55">
      <c r="N111" s="101" t="n"/>
    </row>
    <row r="112" ht="15" customHeight="1" s="55">
      <c r="N112" s="101" t="n"/>
    </row>
    <row r="113" ht="15" customHeight="1" s="55">
      <c r="N113" s="101" t="n"/>
    </row>
    <row r="114" ht="15" customHeight="1" s="55">
      <c r="N114" s="101" t="n"/>
    </row>
    <row r="115" ht="15" customHeight="1" s="55">
      <c r="N115" s="101" t="n"/>
    </row>
    <row r="116" ht="15" customHeight="1" s="55">
      <c r="N116" s="101" t="n"/>
    </row>
    <row r="117" ht="15" customHeight="1" s="55">
      <c r="N117" s="101" t="n"/>
    </row>
    <row r="118" ht="15" customHeight="1" s="55">
      <c r="N118" s="101" t="n"/>
    </row>
    <row r="119" ht="15" customHeight="1" s="55">
      <c r="N119" s="101" t="n"/>
    </row>
    <row r="120" ht="15" customHeight="1" s="55">
      <c r="N120" s="101" t="n"/>
    </row>
    <row r="121" ht="15" customHeight="1" s="55">
      <c r="N121" s="101" t="n"/>
    </row>
    <row r="122" ht="15" customHeight="1" s="55">
      <c r="N122" s="101" t="n"/>
    </row>
    <row r="123" ht="15" customHeight="1" s="55">
      <c r="N123" s="101" t="n"/>
    </row>
    <row r="124" ht="15" customHeight="1" s="55">
      <c r="N124" s="101" t="n"/>
    </row>
    <row r="125" ht="15" customHeight="1" s="55">
      <c r="N125" s="101" t="n"/>
    </row>
    <row r="126" ht="15" customHeight="1" s="55">
      <c r="N126" s="101" t="n"/>
    </row>
    <row r="127" ht="15" customHeight="1" s="55">
      <c r="N127" s="101" t="n"/>
    </row>
    <row r="128" ht="15" customHeight="1" s="55">
      <c r="N128" s="101" t="n"/>
    </row>
    <row r="129" ht="15" customHeight="1" s="55">
      <c r="N129" s="101" t="n"/>
    </row>
    <row r="130" ht="15" customHeight="1" s="55">
      <c r="N130" s="101" t="n"/>
    </row>
    <row r="131" ht="15" customHeight="1" s="55">
      <c r="N131" s="101" t="n"/>
    </row>
    <row r="132" ht="15" customHeight="1" s="55">
      <c r="N132" s="101" t="n"/>
    </row>
    <row r="133" ht="15" customHeight="1" s="55">
      <c r="N133" s="101" t="n"/>
    </row>
    <row r="134" ht="15" customHeight="1" s="55">
      <c r="N134" s="101" t="n"/>
    </row>
    <row r="135" ht="15" customHeight="1" s="55">
      <c r="N135" s="101" t="n"/>
    </row>
    <row r="136" ht="15" customHeight="1" s="55">
      <c r="N136" s="101" t="n"/>
    </row>
    <row r="137" ht="15" customHeight="1" s="55">
      <c r="N137" s="101" t="n"/>
    </row>
    <row r="138" ht="15" customHeight="1" s="55">
      <c r="N138" s="101" t="n"/>
    </row>
    <row r="139" ht="15" customHeight="1" s="55">
      <c r="N139" s="101" t="n"/>
    </row>
    <row r="140" ht="15" customHeight="1" s="55">
      <c r="N140" s="101" t="n"/>
    </row>
    <row r="141" ht="15" customHeight="1" s="55">
      <c r="N141" s="101" t="n"/>
    </row>
    <row r="142" ht="15" customHeight="1" s="55">
      <c r="N142" s="101" t="n"/>
    </row>
    <row r="143" ht="15" customHeight="1" s="55">
      <c r="N143" s="101" t="n"/>
    </row>
    <row r="144" ht="15" customHeight="1" s="55">
      <c r="N144" s="101" t="n"/>
    </row>
    <row r="145" ht="15" customHeight="1" s="55">
      <c r="N145" s="101" t="n"/>
    </row>
    <row r="146" ht="15" customHeight="1" s="55">
      <c r="N146" s="101" t="n"/>
    </row>
    <row r="147" ht="15" customHeight="1" s="55">
      <c r="N147" s="101" t="n"/>
    </row>
    <row r="148" ht="15" customHeight="1" s="55">
      <c r="N148" s="101" t="n"/>
    </row>
    <row r="149" ht="15" customHeight="1" s="55">
      <c r="N149" s="101" t="n"/>
    </row>
    <row r="150" ht="15" customHeight="1" s="55">
      <c r="N150" s="101" t="n"/>
    </row>
    <row r="151" ht="15" customHeight="1" s="55">
      <c r="N151" s="101" t="n"/>
    </row>
    <row r="152" ht="15" customHeight="1" s="55">
      <c r="N152" s="101" t="n"/>
    </row>
    <row r="153" ht="15" customHeight="1" s="55">
      <c r="N153" s="101" t="n"/>
    </row>
    <row r="154" ht="15" customHeight="1" s="55">
      <c r="N154" s="101" t="n"/>
    </row>
    <row r="155" ht="15" customHeight="1" s="55">
      <c r="N155" s="101" t="n"/>
    </row>
    <row r="156" ht="15" customHeight="1" s="55">
      <c r="N156" s="101" t="n"/>
    </row>
    <row r="157" ht="15" customHeight="1" s="55">
      <c r="N157" s="101" t="n"/>
    </row>
    <row r="158" ht="15" customHeight="1" s="55">
      <c r="N158" s="101" t="n"/>
    </row>
    <row r="159" ht="15" customHeight="1" s="55">
      <c r="N159" s="101" t="n"/>
    </row>
    <row r="160" ht="15" customHeight="1" s="55">
      <c r="N160" s="101" t="n"/>
    </row>
    <row r="161" ht="15" customHeight="1" s="55">
      <c r="N161" s="101" t="n"/>
    </row>
    <row r="162" ht="15" customHeight="1" s="55">
      <c r="N162" s="101" t="n"/>
    </row>
    <row r="163" ht="15" customHeight="1" s="55">
      <c r="N163" s="101" t="n"/>
    </row>
    <row r="164" ht="15" customHeight="1" s="55">
      <c r="N164" s="101" t="n"/>
    </row>
    <row r="165" ht="15" customHeight="1" s="55">
      <c r="N165" s="101" t="n"/>
    </row>
    <row r="166" ht="15" customHeight="1" s="55">
      <c r="N166" s="101" t="n"/>
    </row>
    <row r="167" ht="15" customHeight="1" s="55">
      <c r="N167" s="101" t="n"/>
    </row>
    <row r="168" ht="15" customHeight="1" s="55">
      <c r="N168" s="101" t="n"/>
    </row>
    <row r="169" ht="15" customHeight="1" s="55">
      <c r="N169" s="101" t="n"/>
    </row>
    <row r="170" ht="15" customHeight="1" s="55">
      <c r="N170" s="101" t="n"/>
    </row>
    <row r="171" ht="15" customHeight="1" s="55">
      <c r="N171" s="101" t="n"/>
    </row>
    <row r="172" ht="15" customHeight="1" s="55">
      <c r="N172" s="101" t="n"/>
    </row>
    <row r="173" ht="15" customHeight="1" s="55">
      <c r="N173" s="101" t="n"/>
    </row>
    <row r="174" ht="15" customHeight="1" s="55">
      <c r="N174" s="101" t="n"/>
    </row>
    <row r="175" ht="15" customHeight="1" s="55">
      <c r="N175" s="101" t="n"/>
    </row>
    <row r="176" ht="15" customHeight="1" s="55">
      <c r="N176" s="101" t="n"/>
    </row>
    <row r="177" ht="15" customHeight="1" s="55">
      <c r="N177" s="101" t="n"/>
    </row>
    <row r="178" ht="15" customHeight="1" s="55">
      <c r="N178" s="101" t="n"/>
    </row>
    <row r="179" ht="15" customHeight="1" s="55">
      <c r="N179" s="101" t="n"/>
    </row>
    <row r="180" ht="15" customHeight="1" s="55">
      <c r="N180" s="101" t="n"/>
    </row>
    <row r="181" ht="15" customHeight="1" s="55">
      <c r="N181" s="101" t="n"/>
    </row>
    <row r="182" ht="15" customHeight="1" s="55">
      <c r="N182" s="101" t="n"/>
    </row>
    <row r="183" ht="15" customHeight="1" s="55">
      <c r="N183" s="101" t="n"/>
    </row>
    <row r="184" ht="15" customHeight="1" s="55">
      <c r="N184" s="101" t="n"/>
    </row>
    <row r="185" ht="15" customHeight="1" s="55">
      <c r="N185" s="101" t="n"/>
    </row>
    <row r="186" ht="15" customHeight="1" s="55">
      <c r="N186" s="101" t="n"/>
    </row>
    <row r="187" ht="15" customHeight="1" s="55">
      <c r="N187" s="101" t="n"/>
    </row>
    <row r="188" ht="15" customHeight="1" s="55">
      <c r="N188" s="101" t="n"/>
    </row>
    <row r="189" ht="15" customHeight="1" s="55">
      <c r="N189" s="101" t="n"/>
    </row>
    <row r="190" ht="15" customHeight="1" s="55">
      <c r="N190" s="101" t="n"/>
    </row>
    <row r="191" ht="15" customHeight="1" s="55">
      <c r="N191" s="101" t="n"/>
    </row>
    <row r="192" ht="15" customHeight="1" s="55">
      <c r="N192" s="101" t="n"/>
    </row>
    <row r="193" ht="15" customHeight="1" s="55">
      <c r="N193" s="101" t="n"/>
    </row>
    <row r="194" ht="15" customHeight="1" s="55">
      <c r="N194" s="101" t="n"/>
    </row>
    <row r="195" ht="15" customHeight="1" s="55">
      <c r="N195" s="101" t="n"/>
    </row>
    <row r="196" ht="15" customHeight="1" s="55">
      <c r="N196" s="101" t="n"/>
    </row>
    <row r="197" ht="15" customHeight="1" s="55">
      <c r="N197" s="101" t="n"/>
    </row>
    <row r="198" ht="15" customHeight="1" s="55">
      <c r="N198" s="101" t="n"/>
    </row>
    <row r="199" ht="15" customHeight="1" s="55">
      <c r="N199" s="101" t="n"/>
    </row>
    <row r="200" ht="15" customHeight="1" s="55">
      <c r="N200" s="101" t="n"/>
    </row>
    <row r="201" ht="15" customHeight="1" s="55">
      <c r="N201" s="101" t="n"/>
    </row>
    <row r="202" ht="15" customHeight="1" s="55">
      <c r="N202" s="101" t="n"/>
    </row>
    <row r="203" ht="15" customHeight="1" s="55">
      <c r="N203" s="101" t="n"/>
    </row>
    <row r="204" ht="15" customHeight="1" s="55">
      <c r="N204" s="101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3:D3"/>
    <mergeCell ref="A4:D4"/>
    <mergeCell ref="A1:N1"/>
  </mergeCells>
  <conditionalFormatting sqref="B6:B204">
    <cfRule type="cellIs" rank="0" priority="2" equalAverage="0" operator="equal" aboveAverage="0" dxfId="13" text="" percent="0" bottom="0">
      <formula>"KRİTİK"</formula>
    </cfRule>
    <cfRule type="cellIs" rank="0" priority="3" equalAverage="0" operator="equal" aboveAverage="0" dxfId="15" text="" percent="0" bottom="0">
      <formula>"RİSKLİ"</formula>
    </cfRule>
    <cfRule type="cellIs" rank="0" priority="4" equalAverage="0" operator="equal" aboveAverage="0" dxfId="10" text="" percent="0" bottom="0">
      <formula>"İZLE"</formula>
    </cfRule>
    <cfRule type="cellIs" rank="0" priority="5" equalAverage="0" operator="equal" aboveAverage="0" dxfId="9" text="" percent="0" bottom="0">
      <formula>"NORMAL"</formula>
    </cfRule>
  </conditionalFormatting>
  <conditionalFormatting sqref="G6:G204">
    <cfRule type="cellIs" rank="0" priority="6" equalAverage="0" operator="equal" aboveAverage="0" dxfId="9" text="" percent="0" bottom="0">
      <formula>"DEVAM"</formula>
    </cfRule>
    <cfRule type="cellIs" rank="0" priority="7" equalAverage="0" operator="equal" aboveAverage="0" dxfId="13" text="" percent="0" bottom="0">
      <formula>"VADELİ SATIŞI DURDUR"</formula>
    </cfRule>
  </conditionalFormatting>
  <conditionalFormatting sqref="M6:M204">
    <cfRule type="cellIs" rank="0" priority="8" equalAverage="0" operator="equal" aboveAverage="0" dxfId="9" text="" percent="0" bottom="0">
      <formula>"YÜKSEK"</formula>
    </cfRule>
    <cfRule type="cellIs" rank="0" priority="9" equalAverage="0" operator="equal" aboveAverage="0" dxfId="11" text="" percent="0" bottom="0">
      <formula>"DÜŞÜK"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.5" customWidth="1" style="81" min="1" max="2"/>
    <col width="20.5" customWidth="1" style="55" min="2" max="2"/>
    <col width="33.5" customWidth="1" style="81" min="3" max="3"/>
    <col width="42" customWidth="1" style="81" min="4" max="4"/>
    <col width="9.5" customWidth="1" style="81" min="5" max="5"/>
    <col width="32" customWidth="1" style="81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KONTROLLER — CARİ HESAP, TAHSİLAT VE MÜŞTERİ RİSK TAKİP SİSTEMİ</t>
        </is>
      </c>
    </row>
    <row r="3" ht="22" customHeight="1" s="55">
      <c r="A3" s="258" t="inlineStr">
        <is>
          <t>ÇALIŞMA KİTABI SAĞLIK MERKEZİ</t>
        </is>
      </c>
    </row>
    <row r="5" ht="30" customHeight="1" s="55">
      <c r="A5" s="95" t="inlineStr">
        <is>
          <t>Kontrol Numarası</t>
        </is>
      </c>
      <c r="B5" s="95" t="inlineStr">
        <is>
          <t>Kontrol Alanı</t>
        </is>
      </c>
      <c r="C5" s="95" t="inlineStr">
        <is>
          <t>Test</t>
        </is>
      </c>
      <c r="D5" s="95" t="inlineStr">
        <is>
          <t>Gerçek Sonuç</t>
        </is>
      </c>
      <c r="E5" s="95" t="inlineStr">
        <is>
          <t>Durum</t>
        </is>
      </c>
      <c r="F5" s="95" t="inlineStr">
        <is>
          <t>Açıklama</t>
        </is>
      </c>
    </row>
    <row r="6" ht="15" customHeight="1" s="55">
      <c r="A6" s="112" t="inlineStr">
        <is>
          <t>C01</t>
        </is>
      </c>
      <c r="B6" s="92" t="inlineStr">
        <is>
          <t>Müşteri Kartları</t>
        </is>
      </c>
      <c r="C6" s="92" t="inlineStr">
        <is>
          <t>Zorunlu müşteri kodu boşluğu</t>
        </is>
      </c>
      <c r="D6" s="113">
        <f>COUNTIFS(MUSTERI_KARTLARI!$A$6:$A$204,"&lt;&gt;",MUSTERI_KARTLARI!$B$6:$B$204,"")</f>
        <v/>
      </c>
      <c r="E6" s="114">
        <f>IF($D6=0,"GEÇTİ","KALDI")</f>
        <v/>
      </c>
      <c r="F6" s="107">
        <f>IF($E6="GEÇTİ","Kontrol başarılı",IF($E6="UYARI","Yönetim incelemesi gerekli","Düzeltme gerekli"))</f>
        <v/>
      </c>
    </row>
    <row r="7" ht="15" customHeight="1" s="55">
      <c r="A7" s="112" t="inlineStr">
        <is>
          <t>C02</t>
        </is>
      </c>
      <c r="B7" s="92" t="inlineStr">
        <is>
          <t>Faturalar</t>
        </is>
      </c>
      <c r="C7" s="92" t="inlineStr">
        <is>
          <t>Zorunlu müşteri kodu boşluğu</t>
        </is>
      </c>
      <c r="D7" s="113">
        <f>COUNTIFS(FATURALAR!$B$6:$B$204,"&lt;&gt;",FATURALAR!$C$6:$C$204,"")</f>
        <v/>
      </c>
      <c r="E7" s="114">
        <f>IF($D7=0,"GEÇTİ","KALDI")</f>
        <v/>
      </c>
      <c r="F7" s="107">
        <f>IF($E7="GEÇTİ","Kontrol başarılı",IF($E7="UYARI","Yönetim incelemesi gerekli","Düzeltme gerekli"))</f>
        <v/>
      </c>
    </row>
    <row r="8" ht="15" customHeight="1" s="55">
      <c r="A8" s="112" t="inlineStr">
        <is>
          <t>C03</t>
        </is>
      </c>
      <c r="B8" s="92" t="inlineStr">
        <is>
          <t>Faturalar</t>
        </is>
      </c>
      <c r="C8" s="92" t="inlineStr">
        <is>
          <t>Mükerrer fatura kaydı</t>
        </is>
      </c>
      <c r="D8" s="113">
        <f>COUNTIF(FATURALAR!$Q$6:$Q$204,"MÜKERRER")</f>
        <v/>
      </c>
      <c r="E8" s="114">
        <f>IF($D8=0,"GEÇTİ","KALDI")</f>
        <v/>
      </c>
      <c r="F8" s="107">
        <f>IF($E8="GEÇTİ","Kontrol başarılı",IF($E8="UYARI","Yönetim incelemesi gerekli","Düzeltme gerekli"))</f>
        <v/>
      </c>
    </row>
    <row r="9" ht="15" customHeight="1" s="55">
      <c r="A9" s="112" t="inlineStr">
        <is>
          <t>C04</t>
        </is>
      </c>
      <c r="B9" s="92" t="inlineStr">
        <is>
          <t>Faturalar</t>
        </is>
      </c>
      <c r="C9" s="92" t="inlineStr">
        <is>
          <t>Sıfır veya negatif net fatura</t>
        </is>
      </c>
      <c r="D9" s="113">
        <f>COUNTIF(FATURALAR!$K$6:$K$204,"&lt;0")</f>
        <v/>
      </c>
      <c r="E9" s="114">
        <f>IF($D9=0,"GEÇTİ","KALDI")</f>
        <v/>
      </c>
      <c r="F9" s="107">
        <f>IF($E9="GEÇTİ","Kontrol başarılı",IF($E9="UYARI","Yönetim incelemesi gerekli","Düzeltme gerekli"))</f>
        <v/>
      </c>
    </row>
    <row r="10" ht="15" customHeight="1" s="55">
      <c r="A10" s="112" t="inlineStr">
        <is>
          <t>C05</t>
        </is>
      </c>
      <c r="B10" s="92" t="inlineStr">
        <is>
          <t>Tahsilatlar</t>
        </is>
      </c>
      <c r="C10" s="92" t="inlineStr">
        <is>
          <t>Negatif tahsilat tutarı</t>
        </is>
      </c>
      <c r="D10" s="113">
        <f>COUNTIF(TAHSILATLAR!$E$6:$E$204,"&lt;0")</f>
        <v/>
      </c>
      <c r="E10" s="114">
        <f>IF($D10=0,"GEÇTİ","KALDI")</f>
        <v/>
      </c>
      <c r="F10" s="107">
        <f>IF($E10="GEÇTİ","Kontrol başarılı",IF($E10="UYARI","Yönetim incelemesi gerekli","Düzeltme gerekli"))</f>
        <v/>
      </c>
    </row>
    <row r="11" ht="15" customHeight="1" s="55">
      <c r="A11" s="112" t="inlineStr">
        <is>
          <t>C06</t>
        </is>
      </c>
      <c r="B11" s="92" t="inlineStr">
        <is>
          <t>Teminatlar</t>
        </is>
      </c>
      <c r="C11" s="92" t="inlineStr">
        <is>
          <t>Süresi geçmiş teminat</t>
        </is>
      </c>
      <c r="D11" s="113">
        <f>COUNTIF(TEMINATLAR!$K$6:$K$204,"SÜRESİ GEÇTİ")</f>
        <v/>
      </c>
      <c r="E11" s="114">
        <f>IF($D11=0,"GEÇTİ","KALDI")</f>
        <v/>
      </c>
      <c r="F11" s="107">
        <f>IF($E11="GEÇTİ","Kontrol başarılı",IF($E11="UYARI","Yönetim incelemesi gerekli","Düzeltme gerekli"))</f>
        <v/>
      </c>
    </row>
    <row r="12" ht="15" customHeight="1" s="55">
      <c r="A12" s="112" t="inlineStr">
        <is>
          <t>C07</t>
        </is>
      </c>
      <c r="B12" s="92" t="inlineStr">
        <is>
          <t>İletişim</t>
        </is>
      </c>
      <c r="C12" s="92" t="inlineStr">
        <is>
          <t>Geciken ödeme sözü</t>
        </is>
      </c>
      <c r="D12" s="113">
        <f>COUNTIF(ILETISIM_TAKIP!$L$6:$L$204,"SÖZ GECİKTİ")</f>
        <v/>
      </c>
      <c r="E12" s="114">
        <f>IF($D12=0,"GEÇTİ","KALDI")</f>
        <v/>
      </c>
      <c r="F12" s="107">
        <f>IF($E12="GEÇTİ","Kontrol başarılı",IF($E12="UYARI","Yönetim incelemesi gerekli","Düzeltme gerekli"))</f>
        <v/>
      </c>
    </row>
    <row r="13" ht="15" customHeight="1" s="55">
      <c r="A13" s="112" t="inlineStr">
        <is>
          <t>C08</t>
        </is>
      </c>
      <c r="B13" s="92" t="inlineStr">
        <is>
          <t>Risk Skoru</t>
        </is>
      </c>
      <c r="C13" s="92" t="inlineStr">
        <is>
          <t>Kritik müşteri sayısı</t>
        </is>
      </c>
      <c r="D13" s="113">
        <f>COUNTIF(MUSTERI_RISK_SKORU!$X$6:$X$204,"&gt;84")</f>
        <v/>
      </c>
      <c r="E13" s="114">
        <f>IF($D13=0,"GEÇTİ","KALDI")</f>
        <v/>
      </c>
      <c r="F13" s="107">
        <f>IF($E13="GEÇTİ","Kontrol başarılı",IF($E13="UYARI","Yönetim incelemesi gerekli","Düzeltme gerekli"))</f>
        <v/>
      </c>
    </row>
    <row r="15" ht="15" customHeight="1" s="55">
      <c r="A15" s="115" t="inlineStr">
        <is>
          <t>MODEL SAĞLIK PUANI</t>
        </is>
      </c>
      <c r="B15" s="116">
        <f>ROUND(COUNTIF($E$6:$E$13,"GEÇTİ")/COUNTA($E$6:$E$13)*100,0)</f>
        <v/>
      </c>
    </row>
    <row r="16" ht="15" customHeight="1" s="55">
      <c r="A16" s="115" t="inlineStr">
        <is>
          <t>SAĞLIK DURUMU</t>
        </is>
      </c>
      <c r="B16" s="114">
        <f>IF($B$15&gt;=SaglikEsikYuksek,"SAĞLIKLI",IF($B$15&gt;=SaglikEsikOrta,"İZLEME GEREKLİ","DÜZELTME GEREKLİ"))</f>
        <v/>
      </c>
    </row>
    <row r="17" ht="15" customHeight="1" s="55">
      <c r="A17" s="115" t="inlineStr">
        <is>
          <t>KARAR KAPISI</t>
        </is>
      </c>
      <c r="B17" s="114">
        <f>IF($B$16="SAĞLIKLI","UYGUN",IF($B$16="İZLEME GEREKLİ","İNCELE","DURDUR"))</f>
        <v/>
      </c>
    </row>
    <row r="18" ht="15" customHeight="1" s="55">
      <c r="A18" s="115" t="inlineStr">
        <is>
          <t>GÜVEN</t>
        </is>
      </c>
      <c r="B18" s="114">
        <f>IF($B$15&gt;=GuvenYuksek,"YÜKSEK",IF($B$15&gt;=GuvenOrta,"ORTA","DÜŞÜK"))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E6:E13">
    <cfRule type="cellIs" rank="0" priority="2" equalAverage="0" operator="equal" aboveAverage="0" dxfId="9" text="" percent="0" bottom="0">
      <formula>"GEÇTİ"</formula>
    </cfRule>
    <cfRule type="cellIs" rank="0" priority="3" equalAverage="0" operator="equal" aboveAverage="0" dxfId="13" text="" percent="0" bottom="0">
      <formula>"KALDI"</formula>
    </cfRule>
  </conditionalFormatting>
  <conditionalFormatting sqref="G6">
    <cfRule type="cellIs" rank="0" priority="4" equalAverage="0" operator="lessThan" aboveAverage="0" dxfId="13" text="" percent="0" bottom="0">
      <formula>50</formula>
    </cfRule>
    <cfRule type="cellIs" rank="0" priority="5" equalAverage="0" operator="between" aboveAverage="0" dxfId="10" text="" percent="0" bottom="0">
      <formula>50</formula>
      <formula>80</formula>
    </cfRule>
    <cfRule type="cellIs" rank="0" priority="6" equalAverage="0" operator="greaterThanOrEqual" aboveAverage="0" dxfId="9" text="" percent="0" bottom="0">
      <formula>80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9.5" customWidth="1" style="81" min="1" max="3"/>
    <col width="24.5" customWidth="1" style="55" min="2" max="2"/>
    <col width="48.5" customWidth="1" style="55" min="3" max="3"/>
    <col width="40" customWidth="1" style="81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SENARYO DUYARLILIK — CARİ HESAP, TAHSİLAT VE MÜŞTERİ RİSK TAKİP SİSTEMİ</t>
        </is>
      </c>
    </row>
    <row r="3" ht="22" customHeight="1" s="55">
      <c r="A3" s="258" t="inlineStr">
        <is>
          <t>SENARYO VE DUYARLILIK ANALİZİ</t>
        </is>
      </c>
    </row>
    <row r="5" ht="15" customHeight="1" s="55">
      <c r="A5" s="91" t="inlineStr">
        <is>
          <t>SENARYO</t>
        </is>
      </c>
      <c r="B5" s="91" t="inlineStr">
        <is>
          <t>Beklenen Açık Bakiye</t>
        </is>
      </c>
      <c r="C5" s="91" t="inlineStr">
        <is>
          <t>Açıklama</t>
        </is>
      </c>
    </row>
    <row r="6" ht="27.75" customHeight="1" s="55">
      <c r="A6" s="121" t="inlineStr">
        <is>
          <t>İYİMSER</t>
        </is>
      </c>
      <c r="B6" s="119">
        <f>PANO!$B$6*(1-DuyarliOran)</f>
        <v/>
      </c>
      <c r="C6" s="92" t="inlineStr">
        <is>
          <t>Tahsilat başarısı artar, açık bakiye azalır.</t>
        </is>
      </c>
    </row>
    <row r="7" ht="15" customHeight="1" s="55">
      <c r="A7" s="121" t="inlineStr">
        <is>
          <t>BAZ</t>
        </is>
      </c>
      <c r="B7" s="119">
        <f>PANO!$B$6</f>
        <v/>
      </c>
      <c r="C7" s="92" t="inlineStr">
        <is>
          <t>Mevcut eğilim korunur.</t>
        </is>
      </c>
    </row>
    <row r="8" ht="27.75" customHeight="1" s="55">
      <c r="A8" s="121" t="inlineStr">
        <is>
          <t>KÖTÜMSER</t>
        </is>
      </c>
      <c r="B8" s="119">
        <f>PANO!$B$6*(1+DuyarliOran)</f>
        <v/>
      </c>
      <c r="C8" s="92" t="inlineStr">
        <is>
          <t>Tahsilat başarısı düşer, açık bakiye büyür.</t>
        </is>
      </c>
    </row>
    <row r="10" ht="15" customHeight="1" s="55">
      <c r="A10" s="91" t="inlineStr">
        <is>
          <t>DUYARLILIK ANALİZİ — toplam açık alacağa etki</t>
        </is>
      </c>
    </row>
    <row r="11" ht="15" customHeight="1" s="55">
      <c r="A11" s="115" t="inlineStr">
        <is>
          <t>Değişken</t>
        </is>
      </c>
      <c r="B11" s="115" t="inlineStr">
        <is>
          <t>-%10 Etki</t>
        </is>
      </c>
      <c r="C11" s="115" t="inlineStr">
        <is>
          <t>+%10 Etki</t>
        </is>
      </c>
    </row>
    <row r="12" ht="15" customHeight="1" s="55">
      <c r="A12" s="92" t="inlineStr">
        <is>
          <t>Tahsilat Hızı</t>
        </is>
      </c>
      <c r="B12" s="119">
        <f>PANO!$B$6*(1-DuyarliOran)</f>
        <v/>
      </c>
      <c r="C12" s="119">
        <f>PANO!$B$6*(1+DuyarliOran)</f>
        <v/>
      </c>
    </row>
    <row r="13" ht="15" customHeight="1" s="55">
      <c r="A13" s="92" t="inlineStr">
        <is>
          <t>Yeni Satış Hacmi</t>
        </is>
      </c>
      <c r="B13" s="119">
        <f>PANO!$B$6*(1-DuyarliOran/2)</f>
        <v/>
      </c>
      <c r="C13" s="119">
        <f>PANO!$B$6*(1+DuyarliOran/2)</f>
        <v/>
      </c>
    </row>
    <row r="15" ht="15" customHeight="1" s="55">
      <c r="A15" s="115" t="inlineStr">
        <is>
          <t>TOLERANS EŞİĞİ</t>
        </is>
      </c>
      <c r="B15" s="119">
        <f>PANO!$B$6*TolereansCarpan</f>
        <v/>
      </c>
    </row>
    <row r="16" ht="15" customHeight="1" s="55">
      <c r="A16" s="115" t="inlineStr">
        <is>
          <t>EŞİK AŞILDI MI?</t>
        </is>
      </c>
      <c r="B16" s="114">
        <f>IF(MAX($B$6:$B$8)&gt;$B$15,"EVET","HAYIR")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:D10"/>
    <mergeCell ref="A3:I3"/>
  </mergeCells>
  <conditionalFormatting sqref="B5">
    <cfRule type="cellIs" rank="0" priority="2" equalAverage="0" operator="lessThan" aboveAverage="0" dxfId="13" text="" percent="0" bottom="0">
      <formula>0</formula>
    </cfRule>
  </conditionalFormatting>
  <conditionalFormatting sqref="B6">
    <cfRule type="cellIs" rank="0" priority="3" equalAverage="0" operator="lessThan" aboveAverage="0" dxfId="11" text="" percent="0" bottom="0">
      <formula>0</formula>
    </cfRule>
  </conditionalFormatting>
  <conditionalFormatting sqref="B7">
    <cfRule type="cellIs" rank="0" priority="4" equalAverage="0" operator="lessThan" aboveAverage="0" dxfId="11" text="" percent="0" bottom="0">
      <formula>0</formula>
    </cfRule>
  </conditionalFormatting>
  <conditionalFormatting sqref="D14:D19">
    <cfRule type="cellIs" rank="0" priority="5" equalAverage="0" operator="lessThan" aboveAverage="0" dxfId="11" text="" percent="0" bottom="0">
      <formula>0</formula>
    </cfRule>
    <cfRule type="cellIs" rank="0" priority="6" equalAverage="0" operator="greater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1"/>
  </sheetPr>
  <dimension ref="A1:I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.5" customWidth="1" style="81" min="1" max="1"/>
    <col width="22" customWidth="1" style="81" min="2" max="2"/>
    <col width="4" customWidth="1" style="81" min="3" max="5"/>
    <col width="13" customWidth="1" style="55" min="4" max="4"/>
    <col width="13" customWidth="1" style="55" min="5" max="5"/>
    <col width="17.5" customWidth="1" style="81" min="6" max="6"/>
    <col width="30" customWidth="1" style="81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RAPOR — CARİ HESAP, TAHSİLAT VE MÜŞTERİ RİSK TAKİP SİSTEMİ</t>
        </is>
      </c>
    </row>
    <row r="3" ht="22" customHeight="1" s="55">
      <c r="A3" s="258" t="inlineStr">
        <is>
          <t>MÜŞTERİ RİSK KOMİTESİ RAPORU</t>
        </is>
      </c>
    </row>
    <row r="5" ht="15" customHeight="1" s="55">
      <c r="A5" s="91" t="inlineStr">
        <is>
          <t>YÖNETİCİ ÖZETİ</t>
        </is>
      </c>
      <c r="F5" s="91" t="inlineStr">
        <is>
          <t>RAPOR BİLGİSİ</t>
        </is>
      </c>
    </row>
    <row r="6" ht="25.5" customHeight="1" s="55">
      <c r="A6" s="108">
        <f>PANO!$A$11</f>
        <v/>
      </c>
      <c r="F6" s="122" t="inlineStr">
        <is>
          <t>Firma</t>
        </is>
      </c>
      <c r="G6" s="107">
        <f>AYARLAR!$B$6</f>
        <v/>
      </c>
    </row>
    <row r="7" ht="15" customHeight="1" s="55">
      <c r="F7" s="122" t="inlineStr">
        <is>
          <t>Rapor Tarihi</t>
        </is>
      </c>
      <c r="G7" s="123">
        <f>AYARLAR!$B$7</f>
        <v/>
      </c>
    </row>
    <row r="8" ht="15" customHeight="1" s="55">
      <c r="F8" s="122" t="inlineStr">
        <is>
          <t>Hazırlayan</t>
        </is>
      </c>
      <c r="G8" s="107">
        <f>AYARLAR!$B$8</f>
        <v/>
      </c>
    </row>
    <row r="9" ht="15" customHeight="1" s="55">
      <c r="F9" s="122" t="inlineStr">
        <is>
          <t>Sürüm</t>
        </is>
      </c>
      <c r="G9" s="107">
        <f>AYARLAR!$B$9</f>
        <v/>
      </c>
    </row>
    <row r="11" ht="15" customHeight="1" s="55">
      <c r="A11" s="91" t="inlineStr">
        <is>
          <t>TEMEL GÖSTERGELER</t>
        </is>
      </c>
    </row>
    <row r="12" ht="15" customHeight="1" s="55">
      <c r="A12" s="124" t="inlineStr">
        <is>
          <t>Toplam Açık Alacak</t>
        </is>
      </c>
      <c r="B12" s="119">
        <f>PANO!$B$6</f>
        <v/>
      </c>
    </row>
    <row r="13" ht="15" customHeight="1" s="55">
      <c r="A13" s="124" t="inlineStr">
        <is>
          <t>Vadesi Geçmiş</t>
        </is>
      </c>
      <c r="B13" s="119">
        <f>PANO!$E$6</f>
        <v/>
      </c>
    </row>
    <row r="14" ht="15" customHeight="1" s="55">
      <c r="A14" s="124" t="inlineStr">
        <is>
          <t>90+ Gün</t>
        </is>
      </c>
      <c r="B14" s="119">
        <f>PANO!$H$6</f>
        <v/>
      </c>
    </row>
    <row r="15" ht="15" customHeight="1" s="55">
      <c r="A15" s="124" t="inlineStr">
        <is>
          <t>Teminat Sonrası Risk</t>
        </is>
      </c>
      <c r="B15" s="119">
        <f>PANO!$K$6</f>
        <v/>
      </c>
    </row>
    <row r="17" ht="15" customHeight="1" s="55">
      <c r="A17" s="91" t="inlineStr">
        <is>
          <t>KARAR VE GÜVEN</t>
        </is>
      </c>
    </row>
    <row r="18" ht="15" customHeight="1" s="55">
      <c r="A18" s="124" t="inlineStr">
        <is>
          <t>Karar Kapısı</t>
        </is>
      </c>
      <c r="B18" s="114">
        <f>KONTROLLER!$B$17</f>
        <v/>
      </c>
    </row>
    <row r="19" ht="15" customHeight="1" s="55">
      <c r="A19" s="124" t="inlineStr">
        <is>
          <t>Model Sağlık</t>
        </is>
      </c>
      <c r="B19" s="125">
        <f>KONTROLLER!$B$15</f>
        <v/>
      </c>
    </row>
    <row r="20" ht="15" customHeight="1" s="55">
      <c r="A20" s="124" t="inlineStr">
        <is>
          <t>Güven</t>
        </is>
      </c>
      <c r="B20" s="114">
        <f>KONTROLLER!$B$18</f>
        <v/>
      </c>
    </row>
    <row r="21" ht="25.5" customHeight="1" s="55">
      <c r="A21" s="124" t="inlineStr">
        <is>
          <t>Varsayım Notu</t>
        </is>
      </c>
      <c r="B21" s="92" t="inlineStr">
        <is>
          <t>Risk skoru gecikme, vade, limit, teminat, itiraz ve statü katkılarından hesaplanır; eşikler AYARLAR sayfasındadır.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B21:G21"/>
    <mergeCell ref="A3:I3"/>
    <mergeCell ref="A6:D6"/>
  </mergeCells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&amp;LExcelArşiv Müşteri Risk Komitesi Raporu&amp;CExcelArşiv&amp;RSayfa &amp;P /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81" min="1" max="1"/>
    <col width="26" customWidth="1" style="81" min="2" max="2"/>
    <col width="23.5" customWidth="1" style="81" min="3" max="3"/>
    <col width="24.5" customWidth="1" style="81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ORNEK VERI — CARİ HESAP, TAHSİLAT VE MÜŞTERİ RİSK TAKİP SİSTEMİ</t>
        </is>
      </c>
    </row>
    <row r="3" ht="22" customHeight="1" s="55">
      <c r="A3" s="258" t="inlineStr">
        <is>
          <t>ÖRNEK VERİ SENARYOSU</t>
        </is>
      </c>
    </row>
    <row r="5" ht="30" customHeight="1" s="55">
      <c r="A5" s="95" t="inlineStr">
        <is>
          <t>Senaryo</t>
        </is>
      </c>
      <c r="B5" s="95" t="inlineStr">
        <is>
          <t>Müşteri</t>
        </is>
      </c>
      <c r="C5" s="95" t="inlineStr">
        <is>
          <t>Beklenen Risk Skoru</t>
        </is>
      </c>
      <c r="D5" s="95" t="inlineStr">
        <is>
          <t>Gözlenecek Karar</t>
        </is>
      </c>
    </row>
    <row r="6" ht="15" customHeight="1" s="55">
      <c r="A6" s="124" t="inlineStr">
        <is>
          <t>Normal</t>
        </is>
      </c>
      <c r="B6" s="124" t="inlineStr">
        <is>
          <t>Bora Perakende Ltd.</t>
        </is>
      </c>
      <c r="C6" s="124" t="inlineStr">
        <is>
          <t>0-24</t>
        </is>
      </c>
      <c r="D6" s="124" t="inlineStr">
        <is>
          <t>DEVAM</t>
        </is>
      </c>
    </row>
    <row r="7" ht="15" customHeight="1" s="55">
      <c r="A7" s="124" t="inlineStr">
        <is>
          <t>İzleme</t>
        </is>
      </c>
      <c r="B7" s="124" t="inlineStr">
        <is>
          <t>Atlas Yapı A.Ş.</t>
        </is>
      </c>
      <c r="C7" s="124" t="inlineStr">
        <is>
          <t>25-49</t>
        </is>
      </c>
      <c r="D7" s="124" t="inlineStr">
        <is>
          <t>İZLE</t>
        </is>
      </c>
    </row>
    <row r="8" ht="15" customHeight="1" s="55">
      <c r="A8" s="124" t="inlineStr">
        <is>
          <t>Riskli</t>
        </is>
      </c>
      <c r="B8" s="124" t="inlineStr">
        <is>
          <t>Cemre Gıda A.Ş.</t>
        </is>
      </c>
      <c r="C8" s="124" t="inlineStr">
        <is>
          <t>70-84</t>
        </is>
      </c>
      <c r="D8" s="124" t="inlineStr">
        <is>
          <t>PEŞİN / TEMİNATLI</t>
        </is>
      </c>
    </row>
    <row r="9" ht="15" customHeight="1" s="55">
      <c r="A9" s="124" t="inlineStr">
        <is>
          <t>Kritik</t>
        </is>
      </c>
      <c r="B9" s="124" t="inlineStr">
        <is>
          <t>Delta Tekstil Ltd.</t>
        </is>
      </c>
      <c r="C9" s="124" t="inlineStr">
        <is>
          <t>85+</t>
        </is>
      </c>
      <c r="D9" s="124" t="inlineStr">
        <is>
          <t>VADELİ SATIŞI DURDUR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7.5" customWidth="1" style="81" min="1" max="1"/>
    <col width="28.5" customWidth="1" style="81" min="2" max="2"/>
    <col width="46.5" customWidth="1" style="81" min="3" max="3"/>
    <col width="46" customWidth="1" style="81" min="4" max="4"/>
    <col width="9.5" customWidth="1" style="81" min="5" max="5"/>
    <col width="16.5" customWidth="1" style="81" min="6" max="6"/>
    <col width="46" customWidth="1" style="81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TESTLER — CARİ HESAP, TAHSİLAT VE MÜŞTERİ RİSK TAKİP SİSTEMİ</t>
        </is>
      </c>
    </row>
    <row r="3" ht="22" customHeight="1" s="55">
      <c r="A3" s="258" t="inlineStr">
        <is>
          <t>TEST VE KALİTE MATRİSİ</t>
        </is>
      </c>
    </row>
    <row r="5" ht="30" customHeight="1" s="55">
      <c r="A5" s="95" t="inlineStr">
        <is>
          <t>Test Numarası</t>
        </is>
      </c>
      <c r="B5" s="95" t="inlineStr">
        <is>
          <t>Test Senaryosu</t>
        </is>
      </c>
      <c r="C5" s="95" t="inlineStr">
        <is>
          <t>Beklenen Sonuç</t>
        </is>
      </c>
      <c r="D5" s="95" t="inlineStr">
        <is>
          <t>Gerçek Sonuç</t>
        </is>
      </c>
      <c r="E5" s="95" t="inlineStr">
        <is>
          <t>Durum</t>
        </is>
      </c>
      <c r="F5" s="95" t="inlineStr">
        <is>
          <t>Kontrol Tipi</t>
        </is>
      </c>
      <c r="G5" s="95" t="inlineStr">
        <is>
          <t>Önerilen Aksiyon</t>
        </is>
      </c>
    </row>
    <row r="6" ht="33.75" customHeight="1" s="55">
      <c r="A6" s="112" t="inlineStr">
        <is>
          <t>1</t>
        </is>
      </c>
      <c r="B6" s="92" t="inlineStr">
        <is>
          <t>Veri ve formül bütünlüğü</t>
        </is>
      </c>
      <c r="C6" s="92" t="inlineStr">
        <is>
          <t>Zorunlu veriler ve karar çıktıları tutarlı</t>
        </is>
      </c>
      <c r="D6" s="108">
        <f>IF(AND(KONTROLLER!$D$6=0,KONTROLLER!$D$11=0),"Zorunlu veri AND karar çıktıları tutarlı","Eksik veri: "&amp;KONTROLLER!$D$6&amp;" müşteri, "&amp;KONTROLLER!$D$11&amp;" kritik")</f>
        <v/>
      </c>
      <c r="E6" s="114">
        <f>IF(AND(KONTROLLER!$D$6=0,KONTROLLER!$D$11=0),"GEÇTİ","KALDI")</f>
        <v/>
      </c>
      <c r="F6" s="112" t="inlineStr">
        <is>
          <t>OTOMATİK</t>
        </is>
      </c>
      <c r="G6" s="108">
        <f>IF($E6="GEÇTİ","İşlem gerekmiyor","Eksik müşteri kodlarını AND kritik müşterileri inceleyin")</f>
        <v/>
      </c>
    </row>
    <row r="7" ht="33.75" customHeight="1" s="55">
      <c r="A7" s="112" t="inlineStr">
        <is>
          <t>2</t>
        </is>
      </c>
      <c r="B7" s="92" t="inlineStr">
        <is>
          <t>Mükerrer fatura</t>
        </is>
      </c>
      <c r="C7" s="92" t="inlineStr">
        <is>
          <t>MÜKERRER işareti</t>
        </is>
      </c>
      <c r="D7" s="108">
        <f>IF(KONTROLLER!$D$8=0,"Mükerrer fatura yok; kontrol aktif",KONTROLLER!$D$8&amp;" mükerrer fatura bulundu")</f>
        <v/>
      </c>
      <c r="E7" s="114">
        <f>KONTROLLER!$E$8</f>
        <v/>
      </c>
      <c r="F7" s="112" t="inlineStr">
        <is>
          <t>OTOMATİK</t>
        </is>
      </c>
      <c r="G7" s="108">
        <f>IF($E7="GEÇTİ","İşlem gerekmiyor","Mükerrer faturaları FATURALAR sayfasında düzeltin")</f>
        <v/>
      </c>
    </row>
    <row r="8" ht="33.75" customHeight="1" s="55">
      <c r="A8" s="112" t="inlineStr">
        <is>
          <t>3</t>
        </is>
      </c>
      <c r="B8" s="92" t="inlineStr">
        <is>
          <t>Negatif tutar</t>
        </is>
      </c>
      <c r="C8" s="92" t="inlineStr">
        <is>
          <t>Giriş engeli / uyarı</t>
        </is>
      </c>
      <c r="D8" s="108">
        <f>IF(SUM(KONTROLLER!$D$9:$D$10)=0,"Negatif fatura veya tahsilat yok",SUM(KONTROLLER!$D$9:$D$10)&amp;" negatif kayıt var")</f>
        <v/>
      </c>
      <c r="E8" s="114">
        <f>IF(SUM(KONTROLLER!$D$9:$D$10)=0,"GEÇTİ","KALDI")</f>
        <v/>
      </c>
      <c r="F8" s="112" t="inlineStr">
        <is>
          <t>OTOMATİK</t>
        </is>
      </c>
      <c r="G8" s="108">
        <f>IF($E8="GEÇTİ","İşlem gerekmiyor","Negatif tutarlı fatura AND tahsilatları düzeltin")</f>
        <v/>
      </c>
    </row>
    <row r="9" ht="33.75" customHeight="1" s="55">
      <c r="A9" s="112" t="inlineStr">
        <is>
          <t>4</t>
        </is>
      </c>
      <c r="B9" s="92" t="inlineStr">
        <is>
          <t>Kritik müşteri aksiyonu</t>
        </is>
      </c>
      <c r="C9" s="92" t="inlineStr">
        <is>
          <t>Risk 85 üstünde ise aksiyon üretilir</t>
        </is>
      </c>
      <c r="D9" s="108">
        <f>IF(KONTROLLER!$D$13=0,"Kritik müşteri yok; karar kapısı kontrollü","Kritik müşteri için aksiyon üretildi")</f>
        <v/>
      </c>
      <c r="E9" s="114">
        <f>IF(OR(KONTROLLER!$D$13=0,COUNTIF(tblKarar[Risk Seviyesi],"KRİTİK")&gt;0),"GEÇTİ","KALDI")</f>
        <v/>
      </c>
      <c r="F9" s="112" t="inlineStr">
        <is>
          <t>OTOMATİK</t>
        </is>
      </c>
      <c r="G9" s="108">
        <f>IF($E9="GEÇTİ","İşlem gerekmiyor","Kritik müşteri kararını KARAR_MOTORU sayfasında uygulayın")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I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.5" customWidth="1" style="81" min="1" max="1"/>
    <col width="16" customWidth="1" style="81" min="2" max="2"/>
    <col width="14" customWidth="1" style="81" min="3" max="4"/>
    <col width="13" customWidth="1" style="55" min="4" max="4"/>
    <col width="10" customWidth="1" style="81" min="5" max="5"/>
    <col width="16.5" customWidth="1" style="81" min="6" max="6"/>
    <col width="40.5" customWidth="1" style="81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AKIS — CariHesapTahsilatVeMusteriRiskTakipSistemi</t>
        </is>
      </c>
    </row>
    <row r="3" ht="15" customHeight="1" s="55">
      <c r="A3" s="81" t="inlineStr">
        <is>
          <t>islem_id</t>
        </is>
      </c>
      <c r="B3" s="81" t="inlineStr">
        <is>
          <t>kaynak_kart_id</t>
        </is>
      </c>
      <c r="C3" s="81" t="inlineStr">
        <is>
          <t>onceki_durum</t>
        </is>
      </c>
      <c r="D3" s="81" t="inlineStr">
        <is>
          <t>yeni_durum</t>
        </is>
      </c>
      <c r="E3" s="81" t="inlineStr">
        <is>
          <t>tutar</t>
        </is>
      </c>
      <c r="F3" s="81" t="inlineStr">
        <is>
          <t>bayrak</t>
        </is>
      </c>
      <c r="G3" s="81" t="inlineStr">
        <is>
          <t>not</t>
        </is>
      </c>
    </row>
    <row r="4" ht="15" customHeight="1" s="55">
      <c r="A4" s="81" t="inlineStr">
        <is>
          <t>I-001</t>
        </is>
      </c>
      <c r="B4" s="81" t="inlineStr">
        <is>
          <t>KART-01</t>
        </is>
      </c>
      <c r="C4" s="81" t="inlineStr">
        <is>
          <t>ACIK</t>
        </is>
      </c>
      <c r="D4" s="81" t="inlineStr">
        <is>
          <t>ISLEMDE</t>
        </is>
      </c>
      <c r="E4" s="126" t="n">
        <v>1000</v>
      </c>
      <c r="F4" s="81" t="inlineStr">
        <is>
          <t>OK</t>
        </is>
      </c>
      <c r="G4" s="81" t="inlineStr">
        <is>
          <t>normal geçiş</t>
        </is>
      </c>
    </row>
    <row r="5" ht="15" customHeight="1" s="55">
      <c r="A5" s="81" t="inlineStr">
        <is>
          <t>I-002</t>
        </is>
      </c>
      <c r="B5" s="81" t="inlineStr">
        <is>
          <t>YETİM</t>
        </is>
      </c>
      <c r="C5" s="81" t="inlineStr">
        <is>
          <t>ACIK</t>
        </is>
      </c>
      <c r="D5" s="81" t="inlineStr">
        <is>
          <t>KAPALI</t>
        </is>
      </c>
      <c r="E5" s="126" t="n">
        <v>0</v>
      </c>
      <c r="F5" s="81" t="inlineStr">
        <is>
          <t>YETİM</t>
        </is>
      </c>
      <c r="G5" s="81" t="inlineStr">
        <is>
          <t>kaynak_kart_id yok — yetim kayıt</t>
        </is>
      </c>
    </row>
    <row r="6" ht="15" customHeight="1" s="55">
      <c r="A6" s="81" t="inlineStr">
        <is>
          <t>I-003</t>
        </is>
      </c>
      <c r="B6" s="81" t="inlineStr">
        <is>
          <t>KART-02</t>
        </is>
      </c>
      <c r="C6" s="81" t="inlineStr">
        <is>
          <t>ACIK</t>
        </is>
      </c>
      <c r="D6" s="81" t="inlineStr">
        <is>
          <t>KAPALI</t>
        </is>
      </c>
      <c r="E6" s="126" t="n">
        <v>500</v>
      </c>
      <c r="F6" s="81" t="inlineStr">
        <is>
          <t>GECERSIZ</t>
        </is>
      </c>
      <c r="G6" s="81" t="inlineStr">
        <is>
          <t>geçersiz durum geçişi</t>
        </is>
      </c>
    </row>
    <row r="7" ht="15" customHeight="1" s="55">
      <c r="A7" s="81" t="inlineStr">
        <is>
          <t>I-004</t>
        </is>
      </c>
      <c r="B7" s="81" t="inlineStr">
        <is>
          <t>KART-03</t>
        </is>
      </c>
      <c r="C7" s="81" t="inlineStr">
        <is>
          <t>ISLEMDE</t>
        </is>
      </c>
      <c r="D7" s="81" t="inlineStr">
        <is>
          <t>ISLEMDE</t>
        </is>
      </c>
      <c r="E7" s="126" t="n">
        <v>250</v>
      </c>
      <c r="F7" s="81" t="inlineStr">
        <is>
          <t>ZINCIR_KIRIK</t>
        </is>
      </c>
      <c r="G7" s="81" t="inlineStr">
        <is>
          <t>ZİNCİR KIRIK — tutar zinciri sapması</t>
        </is>
      </c>
    </row>
    <row r="9" ht="15" customHeight="1" s="55">
      <c r="A9" s="81" t="inlineStr">
        <is>
          <t>kuyruk_kanit</t>
        </is>
      </c>
      <c r="B9" s="81">
        <f>IFERROR(COUNTIF($F$4:$F$1000,"OK"),0)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81" min="1" max="1"/>
    <col width="14.5" customWidth="1" style="81" min="2" max="2"/>
    <col width="114.5" customWidth="1" style="81" min="3" max="3"/>
    <col width="13" customWidth="1" style="55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DEGISIKLIK KAYDI — CARİ HESAP, TAHSİLAT VE MÜŞTERİ RİSK TAKİP SİSTEMİ</t>
        </is>
      </c>
    </row>
    <row r="3" ht="22" customHeight="1" s="55">
      <c r="A3" s="258" t="inlineStr">
        <is>
          <t>DEĞİŞİKLİK KAYDI</t>
        </is>
      </c>
    </row>
    <row r="5" ht="30" customHeight="1" s="55">
      <c r="A5" s="95" t="inlineStr">
        <is>
          <t>Sürüm</t>
        </is>
      </c>
      <c r="B5" s="95" t="inlineStr">
        <is>
          <t>Tarih</t>
        </is>
      </c>
      <c r="C5" s="95" t="inlineStr">
        <is>
          <t>Açıklama</t>
        </is>
      </c>
    </row>
    <row r="6" ht="15" customHeight="1" s="55">
      <c r="A6" s="112" t="inlineStr">
        <is>
          <t>1.0</t>
        </is>
      </c>
      <c r="B6" s="112" t="inlineStr">
        <is>
          <t>08.08.2026</t>
        </is>
      </c>
      <c r="C6" s="92" t="inlineStr">
        <is>
          <t>İlk sürüm: müşteri kartları, fatura/vade yönetimi, yaşlandırma, risk skoru, tahsilat aksiyonu ve karar motoru.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outlinePr summaryBelow="1" summaryRight="1"/>
    <pageSetUpPr fitToPage="0"/>
  </sheetPr>
  <dimension ref="A1:O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81" min="1" max="1"/>
    <col width="3" customWidth="1" style="81" min="2" max="2"/>
    <col width="15.5" customWidth="1" style="81" min="3" max="3"/>
    <col width="3" customWidth="1" style="81" min="4" max="4"/>
    <col width="16" customWidth="1" style="81" min="5" max="5"/>
    <col width="3" customWidth="1" style="81" min="6" max="6"/>
    <col width="26" customWidth="1" style="81" min="7" max="7"/>
    <col width="3" customWidth="1" style="81" min="8" max="8"/>
    <col width="16.5" customWidth="1" style="81" min="9" max="9"/>
    <col width="3" customWidth="1" style="81" min="10" max="10"/>
    <col width="19.5" customWidth="1" style="81" min="11" max="11"/>
    <col width="3" customWidth="1" style="81" min="12" max="12"/>
    <col width="18.5" customWidth="1" style="81" min="13" max="13"/>
    <col width="3" customWidth="1" style="81" min="14" max="14"/>
    <col width="14.5" customWidth="1" style="81" min="15" max="15"/>
    <col width="13" customWidth="1" style="55" min="16" max="16"/>
  </cols>
  <sheetData>
    <row r="1" ht="32" customHeight="1" s="55">
      <c r="A1" s="239" t="inlineStr">
        <is>
          <t>LISTELER — CARİ HESAP, TAHSİLAT VE MÜŞTERİ RİSK TAKİP SİSTEMİ</t>
        </is>
      </c>
    </row>
    <row r="3" ht="22" customHeight="1" s="55">
      <c r="A3" s="258" t="inlineStr">
        <is>
          <t>AÇILIR LİSTE KAYNAKLARI</t>
        </is>
      </c>
    </row>
    <row r="5" ht="15" customHeight="1" s="55">
      <c r="A5" s="91" t="inlineStr">
        <is>
          <t>Müşteri Durumu</t>
        </is>
      </c>
      <c r="C5" s="91" t="inlineStr">
        <is>
          <t>Para Birimi</t>
        </is>
      </c>
      <c r="E5" s="91" t="inlineStr">
        <is>
          <t>Ödeme Türü</t>
        </is>
      </c>
      <c r="G5" s="91" t="inlineStr">
        <is>
          <t>Teminat Türü</t>
        </is>
      </c>
      <c r="I5" s="91" t="inlineStr">
        <is>
          <t>Belge Durumu</t>
        </is>
      </c>
      <c r="K5" s="91" t="inlineStr">
        <is>
          <t>İletişim Kanalı</t>
        </is>
      </c>
      <c r="M5" s="91" t="inlineStr">
        <is>
          <t>Aksiyon Durumu</t>
        </is>
      </c>
      <c r="O5" s="91" t="inlineStr">
        <is>
          <t>Evet/Hayır</t>
        </is>
      </c>
    </row>
    <row r="6" ht="15" customHeight="1" s="55">
      <c r="A6" s="112" t="inlineStr">
        <is>
          <t>Aktif</t>
        </is>
      </c>
      <c r="C6" s="112" t="inlineStr">
        <is>
          <t>TRY</t>
        </is>
      </c>
      <c r="E6" s="112" t="inlineStr">
        <is>
          <t>Havale/EFT</t>
        </is>
      </c>
      <c r="G6" s="112" t="inlineStr">
        <is>
          <t>Banka Teminat Mektubu</t>
        </is>
      </c>
      <c r="I6" s="112" t="inlineStr">
        <is>
          <t>Onaylı</t>
        </is>
      </c>
      <c r="K6" s="112" t="inlineStr">
        <is>
          <t>Telefon</t>
        </is>
      </c>
      <c r="M6" s="112" t="inlineStr">
        <is>
          <t>TAMAMLANDI</t>
        </is>
      </c>
      <c r="O6" s="112" t="inlineStr">
        <is>
          <t>Evet</t>
        </is>
      </c>
    </row>
    <row r="7" ht="15" customHeight="1" s="55">
      <c r="A7" s="112" t="inlineStr">
        <is>
          <t>İzlemede</t>
        </is>
      </c>
      <c r="C7" s="112" t="inlineStr">
        <is>
          <t>USD</t>
        </is>
      </c>
      <c r="E7" s="112" t="inlineStr">
        <is>
          <t>Kredi Kartı</t>
        </is>
      </c>
      <c r="G7" s="112" t="inlineStr">
        <is>
          <t>İpotek</t>
        </is>
      </c>
      <c r="I7" s="112" t="inlineStr">
        <is>
          <t>İtirazlı</t>
        </is>
      </c>
      <c r="K7" s="112" t="inlineStr">
        <is>
          <t>E-posta</t>
        </is>
      </c>
      <c r="M7" s="112" t="inlineStr">
        <is>
          <t>DEVAM EDİYOR</t>
        </is>
      </c>
      <c r="O7" s="112" t="inlineStr">
        <is>
          <t>Hayır</t>
        </is>
      </c>
    </row>
    <row r="8" ht="15" customHeight="1" s="55">
      <c r="A8" s="112" t="inlineStr">
        <is>
          <t>Askıda</t>
        </is>
      </c>
      <c r="C8" s="112" t="inlineStr">
        <is>
          <t>EUR</t>
        </is>
      </c>
      <c r="E8" s="112" t="inlineStr">
        <is>
          <t>Çek/Senet</t>
        </is>
      </c>
      <c r="G8" s="112" t="inlineStr">
        <is>
          <t>Çek ve Senet</t>
        </is>
      </c>
      <c r="I8" s="112" t="inlineStr">
        <is>
          <t>Beklemede</t>
        </is>
      </c>
      <c r="K8" s="112" t="inlineStr">
        <is>
          <t>Yüz yüze</t>
        </is>
      </c>
    </row>
    <row r="9" ht="15" customHeight="1" s="55">
      <c r="A9" s="112" t="inlineStr">
        <is>
          <t>Kapalı</t>
        </is>
      </c>
      <c r="E9" s="112" t="inlineStr">
        <is>
          <t>Nakit</t>
        </is>
      </c>
      <c r="G9" s="112" t="inlineStr">
        <is>
          <t>Kefalet</t>
        </is>
      </c>
      <c r="K9" s="112" t="inlineStr">
        <is>
          <t>Yazılı</t>
        </is>
      </c>
    </row>
    <row r="10" ht="15" customHeight="1" s="55">
      <c r="G10" s="112" t="inlineStr">
        <is>
          <t>Teminatsız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outlinePr summaryBelow="1" summaryRight="1"/>
    <pageSetUpPr fitToPage="0"/>
  </sheetPr>
  <dimension ref="A1:N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1.5" customWidth="1" style="81" min="1" max="1"/>
    <col width="37.5" customWidth="1" style="81" min="2" max="2"/>
    <col width="10" customWidth="1" style="81" min="3" max="3"/>
    <col width="42.5" customWidth="1" style="81" min="4" max="4"/>
    <col width="14" customWidth="1" style="81" min="5" max="5"/>
    <col width="23.5" customWidth="1" style="81" min="6" max="7"/>
    <col width="23.5" customWidth="1" style="55" min="7" max="7"/>
    <col width="53.5" customWidth="1" style="81" min="8" max="8"/>
    <col width="13" customWidth="1" style="55" min="9" max="9"/>
    <col width="16" customWidth="1" style="81" min="10" max="10"/>
    <col width="13" customWidth="1" style="81" min="11" max="11"/>
    <col width="28" customWidth="1" style="81" min="12" max="12"/>
    <col width="16" customWidth="1" style="81" min="13" max="13"/>
    <col width="13" customWidth="1" style="81" min="14" max="14"/>
  </cols>
  <sheetData>
    <row r="1" ht="32" customHeight="1" s="55">
      <c r="A1" s="239" t="inlineStr">
        <is>
          <t>AYARLAR — CARİ HESAP, TAHSİLAT VE MÜŞTERİ RİSK TAKİP SİSTEMİ</t>
        </is>
      </c>
    </row>
    <row r="3" ht="22" customHeight="1" s="55">
      <c r="A3" s="258" t="inlineStr">
        <is>
          <t>AYARLAR VE MODEL VARSAYIMLARI</t>
        </is>
      </c>
    </row>
    <row r="5" ht="30" customHeight="1" s="55">
      <c r="A5" s="95" t="inlineStr">
        <is>
          <t>anahtar</t>
        </is>
      </c>
      <c r="B5" s="95" t="inlineStr">
        <is>
          <t>deger</t>
        </is>
      </c>
      <c r="C5" s="95" t="inlineStr">
        <is>
          <t>birim</t>
        </is>
      </c>
      <c r="D5" s="95" t="inlineStr">
        <is>
          <t>aciklama</t>
        </is>
      </c>
      <c r="E5" s="95" t="inlineStr">
        <is>
          <t>kaynak</t>
        </is>
      </c>
      <c r="F5" s="95" t="inlineStr">
        <is>
          <t>yururluk_tarihi</t>
        </is>
      </c>
      <c r="G5" s="95" t="inlineStr">
        <is>
          <t>dogrulama_tarihi</t>
        </is>
      </c>
      <c r="H5" s="95" t="inlineStr">
        <is>
          <t>not</t>
        </is>
      </c>
    </row>
    <row r="6" ht="15" customHeight="1" s="55">
      <c r="A6" s="91" t="inlineStr">
        <is>
          <t>Firma Unvanı</t>
        </is>
      </c>
      <c r="B6" s="98" t="inlineStr">
        <is>
          <t>Anadolu Endüstriyel Çözümler A.Ş.</t>
        </is>
      </c>
      <c r="C6" s="112" t="inlineStr">
        <is>
          <t>Metin</t>
        </is>
      </c>
      <c r="D6" s="92" t="inlineStr">
        <is>
          <t>Raporlarda görünen firma adı.</t>
        </is>
      </c>
      <c r="E6" s="112" t="inlineStr">
        <is>
          <t>Kullanıcı</t>
        </is>
      </c>
      <c r="F6" s="127" t="n">
        <v>46239</v>
      </c>
      <c r="G6" s="127" t="n">
        <v>46239</v>
      </c>
      <c r="H6" s="92" t="inlineStr">
        <is>
          <t>Raporlarda görünen firma adı.</t>
        </is>
      </c>
    </row>
    <row r="7" ht="27.75" customHeight="1" s="55">
      <c r="A7" s="91" t="inlineStr">
        <is>
          <t>Rapor Tarihi</t>
        </is>
      </c>
      <c r="B7" s="97" t="n">
        <v>46239</v>
      </c>
      <c r="C7" s="112" t="inlineStr">
        <is>
          <t>Tarih</t>
        </is>
      </c>
      <c r="D7" s="92" t="inlineStr">
        <is>
          <t>Gecikme günlerinin hesaplandığı tarih.</t>
        </is>
      </c>
      <c r="E7" s="112" t="inlineStr">
        <is>
          <t>Kullanıcı</t>
        </is>
      </c>
      <c r="F7" s="127" t="n">
        <v>46239</v>
      </c>
      <c r="G7" s="127" t="n">
        <v>46239</v>
      </c>
      <c r="H7" s="92" t="inlineStr">
        <is>
          <t>Gecikme günlerinin hesaplandığı tarih.</t>
        </is>
      </c>
    </row>
    <row r="8" ht="15" customHeight="1" s="55">
      <c r="A8" s="91" t="inlineStr">
        <is>
          <t>Rapor Hazırlayan</t>
        </is>
      </c>
      <c r="B8" s="98" t="inlineStr">
        <is>
          <t>Finans Direktörü</t>
        </is>
      </c>
      <c r="C8" s="112" t="inlineStr">
        <is>
          <t>Metin</t>
        </is>
      </c>
      <c r="D8" s="92" t="inlineStr">
        <is>
          <t>Raporu hazırlayan kişi.</t>
        </is>
      </c>
      <c r="E8" s="112" t="inlineStr">
        <is>
          <t>Kullanıcı</t>
        </is>
      </c>
      <c r="F8" s="127" t="n">
        <v>46239</v>
      </c>
      <c r="G8" s="127" t="n">
        <v>46239</v>
      </c>
      <c r="H8" s="92" t="inlineStr">
        <is>
          <t>Raporu hazırlayan kişi.</t>
        </is>
      </c>
    </row>
    <row r="9" ht="15" customHeight="1" s="55">
      <c r="A9" s="91" t="inlineStr">
        <is>
          <t>Dosya Sürümü</t>
        </is>
      </c>
      <c r="B9" s="98" t="inlineStr">
        <is>
          <t>2.0</t>
        </is>
      </c>
      <c r="C9" s="112" t="inlineStr">
        <is>
          <t>Metin</t>
        </is>
      </c>
      <c r="D9" s="92" t="inlineStr">
        <is>
          <t>Sürüm bilgisi.</t>
        </is>
      </c>
      <c r="E9" s="112" t="inlineStr">
        <is>
          <t>Üretici</t>
        </is>
      </c>
      <c r="F9" s="127" t="n">
        <v>46244</v>
      </c>
      <c r="G9" s="127" t="n">
        <v>46244</v>
      </c>
      <c r="H9" s="92" t="inlineStr">
        <is>
          <t>Sürüm bilgisi.</t>
        </is>
      </c>
    </row>
    <row r="10" ht="15" customHeight="1" s="55">
      <c r="A10" s="91" t="inlineStr">
        <is>
          <t>Yaslama Dilim 1</t>
        </is>
      </c>
      <c r="B10" s="98" t="n">
        <v>15</v>
      </c>
      <c r="C10" s="112" t="inlineStr">
        <is>
          <t>Gün</t>
        </is>
      </c>
      <c r="D10" s="92" t="inlineStr">
        <is>
          <t>Yaşlandırma dilim sınırı 1.</t>
        </is>
      </c>
      <c r="E10" s="112" t="inlineStr">
        <is>
          <t>Varsayım</t>
        </is>
      </c>
      <c r="F10" s="127" t="n">
        <v>46239</v>
      </c>
      <c r="G10" s="127" t="n">
        <v>46239</v>
      </c>
      <c r="H10" s="92" t="inlineStr">
        <is>
          <t>1-15 gün dilimi üst sınırı.</t>
        </is>
      </c>
    </row>
    <row r="11" ht="15" customHeight="1" s="55">
      <c r="A11" s="91" t="inlineStr">
        <is>
          <t>Yaslama Dilim 2</t>
        </is>
      </c>
      <c r="B11" s="98" t="n">
        <v>30</v>
      </c>
      <c r="C11" s="112" t="inlineStr">
        <is>
          <t>Gün</t>
        </is>
      </c>
      <c r="D11" s="92" t="inlineStr">
        <is>
          <t>Yaşlandırma dilim sınırı 2.</t>
        </is>
      </c>
      <c r="E11" s="112" t="inlineStr">
        <is>
          <t>Varsayım</t>
        </is>
      </c>
      <c r="F11" s="127" t="n">
        <v>46239</v>
      </c>
      <c r="G11" s="127" t="n">
        <v>46239</v>
      </c>
      <c r="H11" s="92" t="inlineStr">
        <is>
          <t>16-30 gün dilimi üst sınırı.</t>
        </is>
      </c>
    </row>
    <row r="12" ht="15" customHeight="1" s="55">
      <c r="A12" s="91" t="inlineStr">
        <is>
          <t>Yaslama Dilim 3</t>
        </is>
      </c>
      <c r="B12" s="98" t="n">
        <v>60</v>
      </c>
      <c r="C12" s="112" t="inlineStr">
        <is>
          <t>Gün</t>
        </is>
      </c>
      <c r="D12" s="92" t="inlineStr">
        <is>
          <t>Yaşlandırma dilim sınırı 3.</t>
        </is>
      </c>
      <c r="E12" s="112" t="inlineStr">
        <is>
          <t>Varsayım</t>
        </is>
      </c>
      <c r="F12" s="127" t="n">
        <v>46239</v>
      </c>
      <c r="G12" s="127" t="n">
        <v>46239</v>
      </c>
      <c r="H12" s="92" t="inlineStr">
        <is>
          <t>31-60 gün dilimi üst sınırı.</t>
        </is>
      </c>
    </row>
    <row r="13" ht="15" customHeight="1" s="55">
      <c r="A13" s="91" t="inlineStr">
        <is>
          <t>Eşik Devam</t>
        </is>
      </c>
      <c r="B13" s="98" t="n">
        <v>24</v>
      </c>
      <c r="C13" s="112" t="inlineStr">
        <is>
          <t>Skor</t>
        </is>
      </c>
      <c r="D13" s="92" t="inlineStr">
        <is>
          <t>Devam üst sınırı.</t>
        </is>
      </c>
      <c r="E13" s="112" t="inlineStr">
        <is>
          <t>Varsayım</t>
        </is>
      </c>
      <c r="F13" s="127" t="n">
        <v>46239</v>
      </c>
      <c r="G13" s="127" t="n">
        <v>46239</v>
      </c>
      <c r="H13" s="92" t="inlineStr">
        <is>
          <t>Risk skoru karar eşiği (DEVAM).</t>
        </is>
      </c>
    </row>
    <row r="14" ht="15" customHeight="1" s="55">
      <c r="A14" s="91" t="inlineStr">
        <is>
          <t>Eşik İzle</t>
        </is>
      </c>
      <c r="B14" s="98" t="n">
        <v>49</v>
      </c>
      <c r="C14" s="112" t="inlineStr">
        <is>
          <t>Skor</t>
        </is>
      </c>
      <c r="D14" s="92" t="inlineStr">
        <is>
          <t>İzle üst sınırı.</t>
        </is>
      </c>
      <c r="E14" s="112" t="inlineStr">
        <is>
          <t>Varsayım</t>
        </is>
      </c>
      <c r="F14" s="127" t="n">
        <v>46239</v>
      </c>
      <c r="G14" s="127" t="n">
        <v>46239</v>
      </c>
      <c r="H14" s="92" t="inlineStr">
        <is>
          <t>Risk skoru karar eşiği (İZLE).</t>
        </is>
      </c>
    </row>
    <row r="15" ht="15" customHeight="1" s="55">
      <c r="A15" s="91" t="inlineStr">
        <is>
          <t>Eşik Limit Azalt</t>
        </is>
      </c>
      <c r="B15" s="98" t="n">
        <v>69</v>
      </c>
      <c r="C15" s="112" t="inlineStr">
        <is>
          <t>Skor</t>
        </is>
      </c>
      <c r="D15" s="92" t="inlineStr">
        <is>
          <t>Limit azalt üst sınırı.</t>
        </is>
      </c>
      <c r="E15" s="112" t="inlineStr">
        <is>
          <t>Varsayım</t>
        </is>
      </c>
      <c r="F15" s="127" t="n">
        <v>46239</v>
      </c>
      <c r="G15" s="127" t="n">
        <v>46239</v>
      </c>
      <c r="H15" s="92" t="inlineStr">
        <is>
          <t>Risk skoru karar eşiği (LİMİTİ AZALT).</t>
        </is>
      </c>
    </row>
    <row r="16" ht="15" customHeight="1" s="55">
      <c r="A16" s="91" t="inlineStr">
        <is>
          <t>Eşik Peşin</t>
        </is>
      </c>
      <c r="B16" s="98" t="n">
        <v>84</v>
      </c>
      <c r="C16" s="112" t="inlineStr">
        <is>
          <t>Skor</t>
        </is>
      </c>
      <c r="D16" s="92" t="inlineStr">
        <is>
          <t>Peşin/teminatlı üst sınırı.</t>
        </is>
      </c>
      <c r="E16" s="112" t="inlineStr">
        <is>
          <t>Varsayım</t>
        </is>
      </c>
      <c r="F16" s="127" t="n">
        <v>46239</v>
      </c>
      <c r="G16" s="127" t="n">
        <v>46239</v>
      </c>
      <c r="H16" s="92" t="inlineStr">
        <is>
          <t>Risk skoru karar eşiği (PEŞİN / TEMİNATLI).</t>
        </is>
      </c>
    </row>
    <row r="17" ht="15" customHeight="1" s="55">
      <c r="A17" s="91" t="inlineStr">
        <is>
          <t>Eşik Kritik</t>
        </is>
      </c>
      <c r="B17" s="98" t="n">
        <v>85</v>
      </c>
      <c r="C17" s="112" t="inlineStr">
        <is>
          <t>Skor</t>
        </is>
      </c>
      <c r="D17" s="92" t="inlineStr">
        <is>
          <t>Kritik eşiği.</t>
        </is>
      </c>
      <c r="E17" s="112" t="inlineStr">
        <is>
          <t>Varsayım</t>
        </is>
      </c>
      <c r="F17" s="127" t="n">
        <v>46239</v>
      </c>
      <c r="G17" s="127" t="n">
        <v>46239</v>
      </c>
      <c r="H17" s="92" t="inlineStr">
        <is>
          <t>Bu üzerinde vadeli satış durdurulur.</t>
        </is>
      </c>
    </row>
    <row r="18" ht="15" customHeight="1" s="55">
      <c r="A18" s="91" t="inlineStr">
        <is>
          <t>Eşik Yüksek</t>
        </is>
      </c>
      <c r="B18" s="98" t="n">
        <v>70</v>
      </c>
      <c r="C18" s="112" t="inlineStr">
        <is>
          <t>Skor</t>
        </is>
      </c>
      <c r="D18" s="92" t="inlineStr">
        <is>
          <t>Risklı seviye eşiği.</t>
        </is>
      </c>
      <c r="E18" s="112" t="inlineStr">
        <is>
          <t>Varsayım</t>
        </is>
      </c>
      <c r="F18" s="127" t="n">
        <v>46239</v>
      </c>
      <c r="G18" s="127" t="n">
        <v>46239</v>
      </c>
      <c r="H18" s="92" t="inlineStr">
        <is>
          <t>Aksiyon üretiminde yüksek risk eşiği.</t>
        </is>
      </c>
    </row>
    <row r="19" ht="15" customHeight="1" s="55">
      <c r="A19" s="91" t="inlineStr">
        <is>
          <t>Gecikme Maks Puan</t>
        </is>
      </c>
      <c r="B19" s="98" t="n">
        <v>25</v>
      </c>
      <c r="C19" s="112" t="inlineStr">
        <is>
          <t>Puan</t>
        </is>
      </c>
      <c r="D19" s="92" t="inlineStr">
        <is>
          <t>Gecikme katkısı maksimum puan.</t>
        </is>
      </c>
      <c r="E19" s="112" t="inlineStr">
        <is>
          <t>Varsayım</t>
        </is>
      </c>
      <c r="F19" s="127" t="n">
        <v>46239</v>
      </c>
      <c r="G19" s="127" t="n">
        <v>46239</v>
      </c>
      <c r="H19" s="92" t="inlineStr">
        <is>
          <t>Risk skoru gecikme bileşeni tavanı.</t>
        </is>
      </c>
    </row>
    <row r="20" ht="15" customHeight="1" s="55">
      <c r="A20" s="91" t="inlineStr">
        <is>
          <t>Vade Maks Puan</t>
        </is>
      </c>
      <c r="B20" s="98" t="n">
        <v>20</v>
      </c>
      <c r="C20" s="112" t="inlineStr">
        <is>
          <t>Puan</t>
        </is>
      </c>
      <c r="D20" s="92" t="inlineStr">
        <is>
          <t>Vade katkısı maksimum puan.</t>
        </is>
      </c>
      <c r="E20" s="112" t="inlineStr">
        <is>
          <t>Varsayım</t>
        </is>
      </c>
      <c r="F20" s="127" t="n">
        <v>46239</v>
      </c>
      <c r="G20" s="127" t="n">
        <v>46239</v>
      </c>
      <c r="H20" s="92" t="inlineStr">
        <is>
          <t>Risk skoru vade bileşeni tavanı.</t>
        </is>
      </c>
    </row>
    <row r="21" ht="15" customHeight="1" s="55">
      <c r="A21" s="91" t="inlineStr">
        <is>
          <t>Limit Maks Puan</t>
        </is>
      </c>
      <c r="B21" s="98" t="n">
        <v>20</v>
      </c>
      <c r="C21" s="112" t="inlineStr">
        <is>
          <t>Puan</t>
        </is>
      </c>
      <c r="D21" s="92" t="inlineStr">
        <is>
          <t>Limit katkısı maksimum puan.</t>
        </is>
      </c>
      <c r="E21" s="112" t="inlineStr">
        <is>
          <t>Varsayım</t>
        </is>
      </c>
      <c r="F21" s="127" t="n">
        <v>46239</v>
      </c>
      <c r="G21" s="127" t="n">
        <v>46239</v>
      </c>
      <c r="H21" s="92" t="inlineStr">
        <is>
          <t>Risk skoru limit bileşeni tavanı.</t>
        </is>
      </c>
    </row>
    <row r="22" ht="15" customHeight="1" s="55">
      <c r="A22" s="91" t="inlineStr">
        <is>
          <t>Teminat Maks Puan</t>
        </is>
      </c>
      <c r="B22" s="98" t="n">
        <v>20</v>
      </c>
      <c r="C22" s="112" t="inlineStr">
        <is>
          <t>Puan</t>
        </is>
      </c>
      <c r="D22" s="92" t="inlineStr">
        <is>
          <t>Teminat katkısı maksimum puan.</t>
        </is>
      </c>
      <c r="E22" s="112" t="inlineStr">
        <is>
          <t>Varsayım</t>
        </is>
      </c>
      <c r="F22" s="127" t="n">
        <v>46239</v>
      </c>
      <c r="G22" s="127" t="n">
        <v>46239</v>
      </c>
      <c r="H22" s="92" t="inlineStr">
        <is>
          <t>Risk skoru teminat bileşeni tavanı.</t>
        </is>
      </c>
    </row>
    <row r="23" ht="15" customHeight="1" s="55">
      <c r="A23" s="91" t="inlineStr">
        <is>
          <t>İtiraz Maks Puan</t>
        </is>
      </c>
      <c r="B23" s="98" t="n">
        <v>10</v>
      </c>
      <c r="C23" s="112" t="inlineStr">
        <is>
          <t>Puan</t>
        </is>
      </c>
      <c r="D23" s="92" t="inlineStr">
        <is>
          <t>İtiraz katkısı maksimum puan.</t>
        </is>
      </c>
      <c r="E23" s="112" t="inlineStr">
        <is>
          <t>Varsayım</t>
        </is>
      </c>
      <c r="F23" s="127" t="n">
        <v>46239</v>
      </c>
      <c r="G23" s="127" t="n">
        <v>46239</v>
      </c>
      <c r="H23" s="92" t="inlineStr">
        <is>
          <t>Risk skoru itiraz bileşeni tavanı.</t>
        </is>
      </c>
    </row>
    <row r="24" ht="15" customHeight="1" s="55">
      <c r="A24" s="91" t="inlineStr">
        <is>
          <t>Statü Askıda Puan</t>
        </is>
      </c>
      <c r="B24" s="98" t="n">
        <v>5</v>
      </c>
      <c r="C24" s="112" t="inlineStr">
        <is>
          <t>Puan</t>
        </is>
      </c>
      <c r="D24" s="92" t="inlineStr">
        <is>
          <t>Askıda statü katkısı.</t>
        </is>
      </c>
      <c r="E24" s="112" t="inlineStr">
        <is>
          <t>Varsayım</t>
        </is>
      </c>
      <c r="F24" s="127" t="n">
        <v>46239</v>
      </c>
      <c r="G24" s="127" t="n">
        <v>46239</v>
      </c>
      <c r="H24" s="92" t="inlineStr">
        <is>
          <t>Askıda müşteri ek puanı.</t>
        </is>
      </c>
    </row>
    <row r="25" ht="15" customHeight="1" s="55">
      <c r="A25" s="91" t="inlineStr">
        <is>
          <t>Statü İzleme Puan</t>
        </is>
      </c>
      <c r="B25" s="98" t="n">
        <v>3</v>
      </c>
      <c r="C25" s="112" t="inlineStr">
        <is>
          <t>Puan</t>
        </is>
      </c>
      <c r="D25" s="92" t="inlineStr">
        <is>
          <t>İzlemede statü katkısı.</t>
        </is>
      </c>
      <c r="E25" s="112" t="inlineStr">
        <is>
          <t>Varsayım</t>
        </is>
      </c>
      <c r="F25" s="127" t="n">
        <v>46239</v>
      </c>
      <c r="G25" s="127" t="n">
        <v>46239</v>
      </c>
      <c r="H25" s="92" t="inlineStr">
        <is>
          <t>İzlemede müşteri ek puanı.</t>
        </is>
      </c>
    </row>
    <row r="26" ht="15" customHeight="1" s="55">
      <c r="A26" s="91" t="inlineStr">
        <is>
          <t>Güven Yüksek</t>
        </is>
      </c>
      <c r="B26" s="98" t="n">
        <v>90</v>
      </c>
      <c r="C26" s="112" t="inlineStr">
        <is>
          <t>Skor</t>
        </is>
      </c>
      <c r="D26" s="92" t="inlineStr">
        <is>
          <t>YÜKSEK güven alt sınırı.</t>
        </is>
      </c>
      <c r="E26" s="112" t="inlineStr">
        <is>
          <t>Varsayım</t>
        </is>
      </c>
      <c r="F26" s="127" t="n">
        <v>46239</v>
      </c>
      <c r="G26" s="127" t="n">
        <v>46239</v>
      </c>
      <c r="H26" s="92" t="inlineStr">
        <is>
          <t>Veri kalitesi skor eşiği.</t>
        </is>
      </c>
    </row>
    <row r="27" ht="15" customHeight="1" s="55">
      <c r="A27" s="91" t="inlineStr">
        <is>
          <t>Güven Orta</t>
        </is>
      </c>
      <c r="B27" s="98" t="n">
        <v>70</v>
      </c>
      <c r="C27" s="112" t="inlineStr">
        <is>
          <t>Skor</t>
        </is>
      </c>
      <c r="D27" s="92" t="inlineStr">
        <is>
          <t>ORTA güven alt sınırı.</t>
        </is>
      </c>
      <c r="E27" s="112" t="inlineStr">
        <is>
          <t>Varsayım</t>
        </is>
      </c>
      <c r="F27" s="127" t="n">
        <v>46239</v>
      </c>
      <c r="G27" s="127" t="n">
        <v>46239</v>
      </c>
      <c r="H27" s="92" t="inlineStr">
        <is>
          <t>Veri kalitesi skor eşiği.</t>
        </is>
      </c>
    </row>
    <row r="28" ht="15" customHeight="1" s="55">
      <c r="A28" s="91" t="inlineStr">
        <is>
          <t>Duyarlılık Oranı</t>
        </is>
      </c>
      <c r="B28" s="103" t="n">
        <v>0.1</v>
      </c>
      <c r="C28" s="112" t="inlineStr">
        <is>
          <t>Oran</t>
        </is>
      </c>
      <c r="D28" s="92" t="inlineStr">
        <is>
          <t>Duyarlılık değişim oranı.</t>
        </is>
      </c>
      <c r="E28" s="112" t="inlineStr">
        <is>
          <t>Varsayım</t>
        </is>
      </c>
      <c r="F28" s="127" t="n">
        <v>46239</v>
      </c>
      <c r="G28" s="127" t="n">
        <v>46239</v>
      </c>
      <c r="H28" s="92" t="inlineStr">
        <is>
          <t>Senaryo ve duyarlılık analizindeki değişim oranı.</t>
        </is>
      </c>
    </row>
    <row r="29" ht="15" customHeight="1" s="55">
      <c r="A29" s="91" t="inlineStr">
        <is>
          <t>Zorunlu Alan Sayısı</t>
        </is>
      </c>
      <c r="B29" s="98" t="n">
        <v>17</v>
      </c>
      <c r="C29" s="112" t="inlineStr">
        <is>
          <t>Adet</t>
        </is>
      </c>
      <c r="D29" s="92" t="inlineStr">
        <is>
          <t>Müşteri kartı zorunlu alan sayısı.</t>
        </is>
      </c>
      <c r="E29" s="112" t="inlineStr">
        <is>
          <t>Varsayım</t>
        </is>
      </c>
      <c r="F29" s="127" t="n">
        <v>46239</v>
      </c>
      <c r="G29" s="127" t="n">
        <v>46239</v>
      </c>
      <c r="H29" s="92" t="inlineStr">
        <is>
          <t>Kontrol kolonunda beklenen dolu alan sayısı.</t>
        </is>
      </c>
    </row>
    <row r="30" ht="15" customHeight="1" s="55">
      <c r="A30" s="91" t="inlineStr">
        <is>
          <t>Zorunlu Teminat Alan Sayısı</t>
        </is>
      </c>
      <c r="B30" s="98" t="n">
        <v>10</v>
      </c>
      <c r="C30" s="112" t="inlineStr">
        <is>
          <t>Adet</t>
        </is>
      </c>
      <c r="D30" s="92" t="inlineStr">
        <is>
          <t>Teminat kaydı zorunlu alan sayısı.</t>
        </is>
      </c>
      <c r="E30" s="112" t="inlineStr">
        <is>
          <t>Varsayım</t>
        </is>
      </c>
      <c r="F30" s="127" t="n">
        <v>46239</v>
      </c>
      <c r="G30" s="127" t="n">
        <v>46239</v>
      </c>
      <c r="H30" s="92" t="inlineStr">
        <is>
          <t>Teminat kontrolünde beklenen dolu alan sayısı.</t>
        </is>
      </c>
    </row>
    <row r="31" ht="15" customHeight="1" s="55">
      <c r="A31" s="91" t="inlineStr">
        <is>
          <t>Analiz Yılı</t>
        </is>
      </c>
      <c r="B31" s="98" t="n">
        <v>2026</v>
      </c>
      <c r="C31" s="112" t="inlineStr">
        <is>
          <t>Yıl</t>
        </is>
      </c>
      <c r="D31" s="92" t="inlineStr">
        <is>
          <t>Tahsilat analiz yılı.</t>
        </is>
      </c>
      <c r="E31" s="112" t="inlineStr">
        <is>
          <t>Kullanıcı</t>
        </is>
      </c>
      <c r="F31" s="127" t="n">
        <v>46239</v>
      </c>
      <c r="G31" s="127" t="n">
        <v>46239</v>
      </c>
      <c r="H31" s="92" t="inlineStr">
        <is>
          <t>Pano tahsilat özetinde kullanılan yıl.</t>
        </is>
      </c>
    </row>
    <row r="32" ht="15" customHeight="1" s="55">
      <c r="A32" s="91" t="inlineStr">
        <is>
          <t>Analiz Ayı 1</t>
        </is>
      </c>
      <c r="B32" s="98" t="n">
        <v>5</v>
      </c>
      <c r="C32" s="112" t="inlineStr">
        <is>
          <t>Ay</t>
        </is>
      </c>
      <c r="D32" s="92" t="inlineStr">
        <is>
          <t>Tahsilat özeti 1. ay.</t>
        </is>
      </c>
      <c r="E32" s="112" t="inlineStr">
        <is>
          <t>Kullanıcı</t>
        </is>
      </c>
      <c r="F32" s="127" t="n">
        <v>46239</v>
      </c>
      <c r="G32" s="127" t="n">
        <v>46239</v>
      </c>
      <c r="H32" s="92" t="inlineStr">
        <is>
          <t>Pano aylık tahsilat grafiğinin ilk ayı.</t>
        </is>
      </c>
    </row>
    <row r="33" ht="15" customHeight="1" s="55">
      <c r="A33" s="91" t="inlineStr">
        <is>
          <t>Analiz Ayı 2</t>
        </is>
      </c>
      <c r="B33" s="98" t="n">
        <v>6</v>
      </c>
      <c r="C33" s="112" t="inlineStr">
        <is>
          <t>Ay</t>
        </is>
      </c>
      <c r="D33" s="92" t="inlineStr">
        <is>
          <t>Tahsilat özeti 2. ay.</t>
        </is>
      </c>
      <c r="E33" s="112" t="inlineStr">
        <is>
          <t>Kullanıcı</t>
        </is>
      </c>
      <c r="F33" s="127" t="n">
        <v>46239</v>
      </c>
      <c r="G33" s="127" t="n">
        <v>46239</v>
      </c>
      <c r="H33" s="92" t="inlineStr">
        <is>
          <t>Pano aylık tahsilat grafiğinin ikinci ayı.</t>
        </is>
      </c>
    </row>
    <row r="34" ht="15" customHeight="1" s="55">
      <c r="A34" s="91" t="inlineStr">
        <is>
          <t>Analiz Ayı 3</t>
        </is>
      </c>
      <c r="B34" s="98" t="n">
        <v>7</v>
      </c>
      <c r="C34" s="112" t="inlineStr">
        <is>
          <t>Ay</t>
        </is>
      </c>
      <c r="D34" s="92" t="inlineStr">
        <is>
          <t>Tahsilat özeti 3. ay.</t>
        </is>
      </c>
      <c r="E34" s="112" t="inlineStr">
        <is>
          <t>Kullanıcı</t>
        </is>
      </c>
      <c r="F34" s="127" t="n">
        <v>46239</v>
      </c>
      <c r="G34" s="127" t="n">
        <v>46239</v>
      </c>
      <c r="H34" s="92" t="inlineStr">
        <is>
          <t>Pano aylık tahsilat grafiğinin üçüncü ayı.</t>
        </is>
      </c>
    </row>
    <row r="35" ht="15" customHeight="1" s="55">
      <c r="A35" s="91" t="inlineStr">
        <is>
          <t>Analiz Ayı 4</t>
        </is>
      </c>
      <c r="B35" s="98" t="n">
        <v>8</v>
      </c>
      <c r="C35" s="112" t="inlineStr">
        <is>
          <t>Ay</t>
        </is>
      </c>
      <c r="D35" s="92" t="inlineStr">
        <is>
          <t>Tahsilat özeti 4. ay.</t>
        </is>
      </c>
      <c r="E35" s="112" t="inlineStr">
        <is>
          <t>Kullanıcı</t>
        </is>
      </c>
      <c r="F35" s="127" t="n">
        <v>46239</v>
      </c>
      <c r="G35" s="127" t="n">
        <v>46239</v>
      </c>
      <c r="H35" s="92" t="inlineStr">
        <is>
          <t>Pano aylık tahsilat grafiğinin dördüncü ayı.</t>
        </is>
      </c>
    </row>
    <row r="36" ht="15" customHeight="1" s="55">
      <c r="A36" s="91" t="inlineStr">
        <is>
          <t>Tolerans Eşiği Çarpanı</t>
        </is>
      </c>
      <c r="B36" s="103" t="n">
        <v>1.25</v>
      </c>
      <c r="C36" s="112" t="inlineStr">
        <is>
          <t>Oran</t>
        </is>
      </c>
      <c r="D36" s="92" t="inlineStr">
        <is>
          <t>Tolerans eşiği çarpanı.</t>
        </is>
      </c>
      <c r="E36" s="112" t="inlineStr">
        <is>
          <t>Varsayım</t>
        </is>
      </c>
      <c r="F36" s="127" t="n">
        <v>46239</v>
      </c>
      <c r="G36" s="127" t="n">
        <v>46239</v>
      </c>
      <c r="H36" s="92" t="inlineStr">
        <is>
          <t>Senaryo tolerans eşiği çarpanı.</t>
        </is>
      </c>
    </row>
    <row r="37" ht="15" customHeight="1" s="55">
      <c r="A37" s="91" t="inlineStr">
        <is>
          <t>Yenileme Uyarı Günü</t>
        </is>
      </c>
      <c r="B37" s="98" t="n">
        <v>30</v>
      </c>
      <c r="C37" s="112" t="inlineStr">
        <is>
          <t>Gün</t>
        </is>
      </c>
      <c r="D37" s="92" t="inlineStr">
        <is>
          <t>Teminat yenileme uyarı günü.</t>
        </is>
      </c>
      <c r="E37" s="112" t="inlineStr">
        <is>
          <t>Varsayım</t>
        </is>
      </c>
      <c r="F37" s="127" t="n">
        <v>46239</v>
      </c>
      <c r="G37" s="127" t="n">
        <v>46239</v>
      </c>
      <c r="H37" s="92" t="inlineStr">
        <is>
          <t>Geçerlilik bitişine kaç gün kala uyarı.</t>
        </is>
      </c>
    </row>
    <row r="38" ht="15" customHeight="1" s="55">
      <c r="A38" s="91" t="inlineStr">
        <is>
          <t>Sağlık Eşik Yüksek</t>
        </is>
      </c>
      <c r="B38" s="98" t="n">
        <v>80</v>
      </c>
      <c r="C38" s="112" t="inlineStr">
        <is>
          <t>Skor</t>
        </is>
      </c>
      <c r="D38" s="92" t="inlineStr">
        <is>
          <t>SAĞLIKLI alt sınırı.</t>
        </is>
      </c>
      <c r="E38" s="112" t="inlineStr">
        <is>
          <t>Varsayım</t>
        </is>
      </c>
      <c r="F38" s="127" t="n">
        <v>46239</v>
      </c>
      <c r="G38" s="127" t="n">
        <v>46239</v>
      </c>
      <c r="H38" s="92" t="inlineStr">
        <is>
          <t>Çalışma kitabı sağlık puanı eşiği.</t>
        </is>
      </c>
    </row>
    <row r="39" ht="15" customHeight="1" s="55">
      <c r="A39" s="91" t="inlineStr">
        <is>
          <t>Sağlık Eşik Orta</t>
        </is>
      </c>
      <c r="B39" s="98" t="n">
        <v>50</v>
      </c>
      <c r="C39" s="112" t="inlineStr">
        <is>
          <t>Skor</t>
        </is>
      </c>
      <c r="D39" s="92" t="inlineStr">
        <is>
          <t>İZLEME alt sınırı.</t>
        </is>
      </c>
      <c r="E39" s="112" t="inlineStr">
        <is>
          <t>Varsayım</t>
        </is>
      </c>
      <c r="F39" s="127" t="n">
        <v>46239</v>
      </c>
      <c r="G39" s="127" t="n">
        <v>46239</v>
      </c>
      <c r="H39" s="92" t="inlineStr">
        <is>
          <t>Çalışma kitabı sağlık puanı orta eşiği.</t>
        </is>
      </c>
    </row>
    <row r="40" ht="15" customHeight="1" s="55">
      <c r="A40" s="91" t="inlineStr">
        <is>
          <t>Veri Kalitesi Eksik Puan</t>
        </is>
      </c>
      <c r="B40" s="98" t="n">
        <v>50</v>
      </c>
      <c r="C40" s="112" t="inlineStr">
        <is>
          <t>Puan</t>
        </is>
      </c>
      <c r="D40" s="92" t="inlineStr">
        <is>
          <t>EKSİK kayıt puanı.</t>
        </is>
      </c>
      <c r="E40" s="112" t="inlineStr">
        <is>
          <t>Varsayım</t>
        </is>
      </c>
      <c r="F40" s="127" t="n">
        <v>46239</v>
      </c>
      <c r="G40" s="127" t="n">
        <v>46239</v>
      </c>
      <c r="H40" s="92" t="inlineStr">
        <is>
          <t>Eksik müşteri kartı için veri kalitesi puanı.</t>
        </is>
      </c>
    </row>
    <row r="41" ht="15" customHeight="1" s="55">
      <c r="A41" s="91" t="inlineStr">
        <is>
          <t>Finansman Maliyeti Oranı</t>
        </is>
      </c>
      <c r="B41" s="103" t="n">
        <v>0.3</v>
      </c>
      <c r="C41" s="112" t="inlineStr">
        <is>
          <t>Oran</t>
        </is>
      </c>
      <c r="D41" s="92" t="inlineStr">
        <is>
          <t>Yıllık fon maliyeti oranı.</t>
        </is>
      </c>
      <c r="E41" s="112" t="inlineStr">
        <is>
          <t>Varsayım</t>
        </is>
      </c>
      <c r="F41" s="127" t="n">
        <v>46239</v>
      </c>
      <c r="G41" s="127" t="n">
        <v>46239</v>
      </c>
      <c r="H41" s="92" t="inlineStr">
        <is>
          <t>Gecikme maliyeti hesabında kullanılan yıllık finansman oranı.</t>
        </is>
      </c>
    </row>
    <row r="42" ht="27.75" customHeight="1" s="55">
      <c r="A42" s="91" t="inlineStr">
        <is>
          <t>Aksiyon Günü Orta</t>
        </is>
      </c>
      <c r="B42" s="98" t="n">
        <v>3</v>
      </c>
      <c r="C42" s="112" t="inlineStr">
        <is>
          <t>Gün</t>
        </is>
      </c>
      <c r="D42" s="92" t="inlineStr">
        <is>
          <t>Orta riskli aksiyon son tarih günü.</t>
        </is>
      </c>
      <c r="E42" s="112" t="inlineStr">
        <is>
          <t>Varsayım</t>
        </is>
      </c>
      <c r="F42" s="127" t="n">
        <v>46239</v>
      </c>
      <c r="G42" s="127" t="n">
        <v>46239</v>
      </c>
      <c r="H42" s="92" t="inlineStr">
        <is>
          <t>LİMİTİ AZALT seviyesinde önerilen aksiyonun kaç gün içinde yapılacağı.</t>
        </is>
      </c>
    </row>
    <row r="43" ht="27.75" customHeight="1" s="55">
      <c r="A43" s="91" t="inlineStr">
        <is>
          <t>Aksiyon Günü Uzun</t>
        </is>
      </c>
      <c r="B43" s="98" t="n">
        <v>7</v>
      </c>
      <c r="C43" s="112" t="inlineStr">
        <is>
          <t>Gün</t>
        </is>
      </c>
      <c r="D43" s="92" t="inlineStr">
        <is>
          <t>Düşük riskli aksiyon son tarih günü.</t>
        </is>
      </c>
      <c r="E43" s="112" t="inlineStr">
        <is>
          <t>Varsayım</t>
        </is>
      </c>
      <c r="F43" s="127" t="n">
        <v>46239</v>
      </c>
      <c r="G43" s="127" t="n">
        <v>46239</v>
      </c>
      <c r="H43" s="92" t="inlineStr">
        <is>
          <t>İZLE/planlı izleme seviyesinde önerilen aksiyonun kaç gün içinde yapılacağı.</t>
        </is>
      </c>
    </row>
    <row r="44" ht="15" customHeight="1" s="55">
      <c r="A44" s="91" t="inlineStr">
        <is>
          <t>Karar Günü</t>
        </is>
      </c>
      <c r="B44" s="98" t="n">
        <v>3</v>
      </c>
      <c r="C44" s="112" t="inlineStr">
        <is>
          <t>Gün</t>
        </is>
      </c>
      <c r="D44" s="92" t="inlineStr">
        <is>
          <t>KARAR_MOTORU son tarih günü.</t>
        </is>
      </c>
      <c r="E44" s="112" t="inlineStr">
        <is>
          <t>Varsayım</t>
        </is>
      </c>
      <c r="F44" s="127" t="n">
        <v>46239</v>
      </c>
      <c r="G44" s="127" t="n">
        <v>46239</v>
      </c>
      <c r="H44" s="92" t="inlineStr">
        <is>
          <t>KARAR_MOTORU'nda İZLE kararı için son tarih günü.</t>
        </is>
      </c>
    </row>
    <row r="45" ht="27.75" customHeight="1" s="55">
      <c r="A45" s="91" t="inlineStr">
        <is>
          <t>Vade Gecikme Eşiği</t>
        </is>
      </c>
      <c r="B45" s="103" t="n">
        <v>0.25</v>
      </c>
      <c r="C45" s="112" t="inlineStr">
        <is>
          <t>Oran</t>
        </is>
      </c>
      <c r="D45" s="92" t="inlineStr">
        <is>
          <t>Vadesi geçmiş kırılım eşiği.</t>
        </is>
      </c>
      <c r="E45" s="112" t="inlineStr">
        <is>
          <t>Varsayım</t>
        </is>
      </c>
      <c r="F45" s="127" t="n">
        <v>46239</v>
      </c>
      <c r="G45" s="127" t="n">
        <v>46239</v>
      </c>
      <c r="H45" s="92" t="inlineStr">
        <is>
          <t>Analitik motor yorumunda 'yüksek' kabul edilen vadesi geçmiş oranı.</t>
        </is>
      </c>
    </row>
    <row r="46" ht="27.75" customHeight="1" s="55">
      <c r="A46" s="91" t="inlineStr">
        <is>
          <t>Kalite Skor Eşiği</t>
        </is>
      </c>
      <c r="B46" s="98" t="n">
        <v>90</v>
      </c>
      <c r="C46" s="112" t="inlineStr">
        <is>
          <t>Skor</t>
        </is>
      </c>
      <c r="D46" s="92" t="inlineStr">
        <is>
          <t>Veri kalitesi 'yüksek güven' eşiği.</t>
        </is>
      </c>
      <c r="E46" s="112" t="inlineStr">
        <is>
          <t>Varsayım</t>
        </is>
      </c>
      <c r="F46" s="127" t="n">
        <v>46239</v>
      </c>
      <c r="G46" s="127" t="n">
        <v>46239</v>
      </c>
      <c r="H46" s="92" t="inlineStr">
        <is>
          <t>Ortalama veri kalitesi skorunun 'yüksek güven' sayıldığı alt sınır.</t>
        </is>
      </c>
    </row>
    <row r="47" ht="15" customHeight="1" s="55">
      <c r="A47" s="91" t="inlineStr">
        <is>
          <t>P90 Oranı</t>
        </is>
      </c>
      <c r="B47" s="103" t="n">
        <v>0.9</v>
      </c>
      <c r="C47" s="112" t="inlineStr">
        <is>
          <t>Oran</t>
        </is>
      </c>
      <c r="D47" s="92" t="inlineStr">
        <is>
          <t>Yüzdelik hesabında kullanılan oran.</t>
        </is>
      </c>
      <c r="E47" s="112" t="inlineStr">
        <is>
          <t>Varsayım</t>
        </is>
      </c>
      <c r="F47" s="127" t="n">
        <v>46239</v>
      </c>
      <c r="G47" s="127" t="n">
        <v>46239</v>
      </c>
      <c r="H47" s="92" t="inlineStr">
        <is>
          <t>Analitik motorda P90 yüzdelik dilimi.</t>
        </is>
      </c>
    </row>
    <row r="49" ht="15" customHeight="1" s="55">
      <c r="J49" s="81" t="inlineStr">
        <is>
          <t>durum_haritasi</t>
        </is>
      </c>
      <c r="K49" s="81" t="inlineStr">
        <is>
          <t>durum_id</t>
        </is>
      </c>
      <c r="L49" s="81" t="inlineStr">
        <is>
          <t>durum_adi</t>
        </is>
      </c>
      <c r="M49" s="81" t="inlineStr">
        <is>
          <t>izinli_sonraki</t>
        </is>
      </c>
      <c r="N49" s="81" t="inlineStr">
        <is>
          <t>kategori</t>
        </is>
      </c>
    </row>
    <row r="50" ht="15" customHeight="1" s="55">
      <c r="J50" s="81" t="inlineStr">
        <is>
          <t>HARITA</t>
        </is>
      </c>
      <c r="K50" s="81" t="inlineStr">
        <is>
          <t>ACIK</t>
        </is>
      </c>
      <c r="L50" s="81" t="inlineStr">
        <is>
          <t>Açık</t>
        </is>
      </c>
      <c r="M50" s="81" t="inlineStr">
        <is>
          <t>ISLEMDE</t>
        </is>
      </c>
      <c r="N50" s="81" t="inlineStr">
        <is>
          <t>acik</t>
        </is>
      </c>
    </row>
    <row r="51" ht="15" customHeight="1" s="55">
      <c r="J51" s="81" t="inlineStr">
        <is>
          <t>HARITA</t>
        </is>
      </c>
      <c r="K51" s="81" t="inlineStr">
        <is>
          <t>ISLEMDE</t>
        </is>
      </c>
      <c r="L51" s="81" t="inlineStr">
        <is>
          <t>İşlemde</t>
        </is>
      </c>
      <c r="M51" s="81" t="inlineStr">
        <is>
          <t>KAPALI</t>
        </is>
      </c>
      <c r="N51" s="81" t="inlineStr">
        <is>
          <t>acik</t>
        </is>
      </c>
    </row>
    <row r="52" ht="15" customHeight="1" s="55">
      <c r="J52" s="81" t="inlineStr">
        <is>
          <t>HARITA</t>
        </is>
      </c>
      <c r="K52" s="81" t="inlineStr">
        <is>
          <t>KAPALI</t>
        </is>
      </c>
      <c r="L52" s="81" t="inlineStr">
        <is>
          <t>Kapalı</t>
        </is>
      </c>
      <c r="M52" s="81" t="inlineStr">
        <is>
          <t>-</t>
        </is>
      </c>
      <c r="N52" s="81" t="inlineStr">
        <is>
          <t>kapali</t>
        </is>
      </c>
    </row>
    <row r="53" ht="15" customHeight="1" s="55">
      <c r="J53" s="81" t="inlineStr">
        <is>
          <t>HARITA</t>
        </is>
      </c>
      <c r="K53" s="81" t="inlineStr">
        <is>
          <t>GECERSIZ</t>
        </is>
      </c>
      <c r="L53" s="81" t="inlineStr">
        <is>
          <t>Geçersiz geçiş uyarısı</t>
        </is>
      </c>
      <c r="M53" s="81" t="inlineStr">
        <is>
          <t>-</t>
        </is>
      </c>
      <c r="N53" s="81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 filterMode="0">
    <outlinePr summaryBelow="1" summaryRight="1"/>
    <pageSetUpPr fitToPage="0"/>
  </sheetPr>
  <dimension ref="A1:B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9.5" customWidth="1" style="81" min="1" max="1"/>
    <col width="13" customWidth="1" style="55" min="2" max="2"/>
    <col width="13" customWidth="1" style="55" min="3" max="3"/>
    <col width="13" customWidth="1" style="55" min="4" max="4"/>
    <col width="13" customWidth="1" style="55" min="5" max="5"/>
    <col width="13" customWidth="1" style="55" min="6" max="6"/>
    <col width="13" customWidth="1" style="55" min="7" max="7"/>
    <col width="13" customWidth="1" style="55" min="8" max="8"/>
    <col width="13" customWidth="1" style="55" min="9" max="9"/>
    <col width="13" customWidth="1" style="55" min="10" max="10"/>
  </cols>
  <sheetData>
    <row r="1" ht="32" customHeight="1" s="55">
      <c r="A1" s="239" t="inlineStr">
        <is>
          <t>KILAVUZ — CARİ HESAP, TAHSİLAT VE MÜŞTERİ RİSK TAKİP SİSTEMİ</t>
        </is>
      </c>
    </row>
    <row r="3" ht="22" customHeight="1" s="55">
      <c r="A3" s="258" t="inlineStr">
        <is>
          <t>KULLANIM KILAVUZU</t>
        </is>
      </c>
    </row>
    <row r="5" ht="15" customHeight="1" s="55">
      <c r="A5" s="91" t="inlineStr">
        <is>
          <t>1. AMAÇ</t>
        </is>
      </c>
    </row>
    <row r="6" ht="25.5" customHeight="1" s="55">
      <c r="A6" s="92" t="inlineStr">
        <is>
          <t>Hangi müşteriye vadeli satışın durdurulacağını, kimin limitinin azaltılacağını ve hangi tahsilatın öncelikli olduğunu makine üretimi risk skoru ile belirlemek.</t>
        </is>
      </c>
    </row>
    <row r="7" ht="15" customHeight="1" s="55">
      <c r="A7" s="91" t="inlineStr">
        <is>
          <t>2. GİRİŞ VERİLERİ</t>
        </is>
      </c>
    </row>
    <row r="8" ht="25.5" customHeight="1" s="55">
      <c r="A8" s="92" t="inlineStr">
        <is>
          <t>MUSTERI_KARTLARI, FATURALAR ve TAHSILATLAR sayfalarına müşteri, fatura ve ödeme verilerini girin; TEMINATLAR ve ILETISIM_TAKIP'i tamamlayın.</t>
        </is>
      </c>
    </row>
    <row r="9" ht="15" customHeight="1" s="55">
      <c r="A9" s="91" t="inlineStr">
        <is>
          <t>3. YAŞLANDIRMA</t>
        </is>
      </c>
    </row>
    <row r="10" ht="25.5" customHeight="1" s="55">
      <c r="A10" s="92" t="inlineStr">
        <is>
          <t>YASLANDIRMA faturaları vade ve gecikme dilimlerine göre otomatik sınıflar; dilim sınırları AYARLAR sayfasındadır.</t>
        </is>
      </c>
    </row>
    <row r="11" ht="15" customHeight="1" s="55">
      <c r="A11" s="91" t="inlineStr">
        <is>
          <t>4. RİSK SKORU</t>
        </is>
      </c>
    </row>
    <row r="12" ht="25.5" customHeight="1" s="55">
      <c r="A12" s="92" t="inlineStr">
        <is>
          <t>MUSTERI_RISK_SKORU gecikme, vade, limit, teminat, itiraz ve statü bileşenlerinden 0-100 skor üretir.</t>
        </is>
      </c>
    </row>
    <row r="13" ht="15" customHeight="1" s="55">
      <c r="A13" s="91" t="inlineStr">
        <is>
          <t>5. AKSİYON LİSTESİ</t>
        </is>
      </c>
    </row>
    <row r="14" ht="25.5" customHeight="1" s="55">
      <c r="A14" s="92" t="inlineStr">
        <is>
          <t>TAHSILAT_AKSIYON günlük öncelik sırası, önerilen iletişim ve son tarihi üretir.</t>
        </is>
      </c>
    </row>
    <row r="15" ht="15" customHeight="1" s="55">
      <c r="A15" s="91" t="inlineStr">
        <is>
          <t>6. KARAR MOTORU</t>
        </is>
      </c>
    </row>
    <row r="16" ht="25.5" customHeight="1" s="55">
      <c r="A16" s="92" t="inlineStr">
        <is>
          <t>KARAR_MOTORU karar, gerekçe, sorumlu ve son tarihi birlikte gösterir.</t>
        </is>
      </c>
    </row>
    <row r="17" ht="15" customHeight="1" s="55">
      <c r="A17" s="91" t="inlineStr">
        <is>
          <t>7. SENARYO</t>
        </is>
      </c>
    </row>
    <row r="18" ht="25.5" customHeight="1" s="55">
      <c r="A18" s="92" t="inlineStr">
        <is>
          <t>SENARYO_DUYARLILIK iyimser/baz/kötümser senaryoları ve duyarlılık etkisini ölçer.</t>
        </is>
      </c>
    </row>
    <row r="19" ht="15" customHeight="1" s="55">
      <c r="A19" s="91" t="inlineStr">
        <is>
          <t>8. KONTROLLER VE PANO</t>
        </is>
      </c>
    </row>
    <row r="20" ht="25.5" customHeight="1" s="55">
      <c r="A20" s="92" t="inlineStr">
        <is>
          <t>KONTROLLER veri kalitesini denetler; PANO tek ekranda özeti gösterir; RAPOR yazdırılmaya hazırdır.</t>
        </is>
      </c>
    </row>
    <row r="21" ht="15" customHeight="1" s="55">
      <c r="A21" s="91" t="inlineStr">
        <is>
          <t>9. KORUMA</t>
        </is>
      </c>
    </row>
    <row r="22" ht="25.5" customHeight="1" s="55">
      <c r="A22" s="92" t="inlineStr">
        <is>
          <t>Formül ve başlıklar 1234 şifresiyle korunur; sarı giriş hücreleri açıktır.</t>
        </is>
      </c>
    </row>
    <row r="23" ht="15" customHeight="1" s="55">
      <c r="A23" s="91" t="inlineStr">
        <is>
          <t>10. VARSAYIM KAYNAKLI PARAMETRELER</t>
        </is>
      </c>
    </row>
    <row r="24" ht="25.5" customHeight="1" s="55">
      <c r="A24" s="92" t="inlineStr">
        <is>
          <t>Eşikler, puanlar, yaşlandırma dilimleri, duyarlılık oranı, finansman maliyeti ve sağlık eşikleri 'Varsayım' kaynaklıdır; AYARLAR sayfasında kaynak sütununda işaretlidir. Yasal dayanağı olan parametre (ör. VUK kayıt düzeni) AYARLAR'da belirtilir.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2">
    <mergeCell ref="A12:BH12"/>
    <mergeCell ref="A20:BH20"/>
    <mergeCell ref="A24:BH24"/>
    <mergeCell ref="A16:BH16"/>
    <mergeCell ref="A10:BH10"/>
    <mergeCell ref="A14:BH14"/>
    <mergeCell ref="A1:I1"/>
    <mergeCell ref="A8:BH8"/>
    <mergeCell ref="A3:I3"/>
    <mergeCell ref="A6:BH6"/>
    <mergeCell ref="A22:BH22"/>
    <mergeCell ref="A18:BH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2026-08-10T09:49:11Z</dcterms:created>
  <dcterms:modified xmlns:dcterms="http://purl.org/dc/terms/" xmlns:xsi="http://www.w3.org/2001/XMLSchema-instance" xsi:type="dcterms:W3CDTF">2026-09-25T22:34:06Z</dcterms:modified>
  <cp:revision>0</cp:revision>
</cp:coreProperties>
</file>