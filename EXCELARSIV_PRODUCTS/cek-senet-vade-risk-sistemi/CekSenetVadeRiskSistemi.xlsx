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CARI_KARTLARI" sheetId="4" state="hidden" r:id="rId4"/>
    <sheet xmlns:r="http://schemas.openxmlformats.org/officeDocument/2006/relationships" name="CEK_SENET_KAYIT" sheetId="5" state="hidden" r:id="rId5"/>
    <sheet xmlns:r="http://schemas.openxmlformats.org/officeDocument/2006/relationships" name="CIRO_ZINCIRI" sheetId="6" state="hidden" r:id="rId6"/>
    <sheet xmlns:r="http://schemas.openxmlformats.org/officeDocument/2006/relationships" name="BANKA_TAHSIL" sheetId="7" state="hidden" r:id="rId7"/>
    <sheet xmlns:r="http://schemas.openxmlformats.org/officeDocument/2006/relationships" name="DURUM_HAREKETLERI" sheetId="8" state="hidden" r:id="rId8"/>
    <sheet xmlns:r="http://schemas.openxmlformats.org/officeDocument/2006/relationships" name="VADE_TAKVIMI" sheetId="9" state="hidden" r:id="rId9"/>
    <sheet xmlns:r="http://schemas.openxmlformats.org/officeDocument/2006/relationships" name="KARSILIK_ANALIZI" sheetId="10" state="hidden" r:id="rId10"/>
    <sheet xmlns:r="http://schemas.openxmlformats.org/officeDocument/2006/relationships" name="KONTROLLER" sheetId="11" state="hidden" r:id="rId11"/>
    <sheet xmlns:r="http://schemas.openxmlformats.org/officeDocument/2006/relationships" name="KARAR_MOTORU" sheetId="12" state="hidden" r:id="rId12"/>
    <sheet xmlns:r="http://schemas.openxmlformats.org/officeDocument/2006/relationships" name="PANO" sheetId="13" state="hidden" r:id="rId13"/>
    <sheet xmlns:r="http://schemas.openxmlformats.org/officeDocument/2006/relationships" name="RAPOR" sheetId="14" state="hidden" r:id="rId14"/>
    <sheet xmlns:r="http://schemas.openxmlformats.org/officeDocument/2006/relationships" name="ORNEK_VERI" sheetId="15" state="hidden" r:id="rId15"/>
    <sheet xmlns:r="http://schemas.openxmlformats.org/officeDocument/2006/relationships" name="TESTLER" sheetId="16" state="hidden" r:id="rId16"/>
    <sheet xmlns:r="http://schemas.openxmlformats.org/officeDocument/2006/relationships" name="AKIS" sheetId="17" state="hidden" r:id="rId17"/>
    <sheet xmlns:r="http://schemas.openxmlformats.org/officeDocument/2006/relationships" name="DEGISIKLIK_KAYDI" sheetId="18" state="hidden" r:id="rId18"/>
    <sheet xmlns:r="http://schemas.openxmlformats.org/officeDocument/2006/relationships" name="LISTELER" sheetId="19" state="hidden" r:id="rId19"/>
    <sheet xmlns:r="http://schemas.openxmlformats.org/officeDocument/2006/relationships" name="AYARLAR" sheetId="20" state="hidden" r:id="rId20"/>
    <sheet xmlns:r="http://schemas.openxmlformats.org/officeDocument/2006/relationships" name="KILAVUZ" sheetId="21" state="hidden" r:id="rId21"/>
  </sheets>
  <definedNames>
    <definedName name="AlinanToplam" hidden="0" function="0" vbProcedure="0">KARSILIK_ANALIZI!$B$4</definedName>
    <definedName name="BaslangicSatir" hidden="0" function="0" vbProcedure="0">AYARLAR!$B$27</definedName>
    <definedName name="CiroCeliski" hidden="0" function="0" vbProcedure="0">KONTROLLER!$B$20</definedName>
    <definedName name="CiroEdilmisBelge" hidden="0" function="0" vbProcedure="0">KARSILIK_ANALIZI!$E$8</definedName>
    <definedName name="DusukRiskEsik" hidden="0" function="0" vbProcedure="0">AYARLAR!$B$21</definedName>
    <definedName name="FinansmanOrani" hidden="0" function="0" vbProcedure="0">AYARLAR!$B$32</definedName>
    <definedName name="GunvenliLimit" hidden="0" function="0" vbProcedure="0">KARSILIK_ANALIZI!$E$15</definedName>
    <definedName name="HaftalikEsik" hidden="0" function="0" vbProcedure="0">AYARLAR!$B$15</definedName>
    <definedName name="HaftalikMaxVerilen" hidden="0" function="0" vbProcedure="0">VADE_TAKVIMI!$B$88</definedName>
    <definedName name="HaftalikUyariKatsayi" hidden="0" function="0" vbProcedure="0">AYARLAR!$B$25</definedName>
    <definedName name="HaftaUzunluk" hidden="0" function="0" vbProcedure="0">AYARLAR!$B$28</definedName>
    <definedName name="HataAgirligi" hidden="0" function="0" vbProcedure="0">AYARLAR!$B$29</definedName>
    <definedName name="IlkAcikTarihi" hidden="0" function="0" vbProcedure="0">VADE_TAKVIMI!$B$70</definedName>
    <definedName name="IptalToplam" hidden="0" function="0" vbProcedure="0">KARSILIK_ANALIZI!$E$10</definedName>
    <definedName name="KapasiteOranEsik" hidden="0" function="0" vbProcedure="0">AYARLAR!$B$26</definedName>
    <definedName name="KarsiliksizToplam" hidden="0" function="0" vbProcedure="0">KARSILIK_ANALIZI!$E$4</definedName>
    <definedName name="KarilikAcigi" hidden="0" function="0" vbProcedure="0">KARSILIK_ANALIZI!$B$8</definedName>
    <definedName name="KarilikOrani" hidden="0" function="0" vbProcedure="0">KARSILIK_ANALIZI!$B$9</definedName>
    <definedName name="KarilikOraniEsik" hidden="0" function="0" vbProcedure="0">AYARLAR!$B$16</definedName>
    <definedName name="KayitSayisi" hidden="0" function="0" vbProcedure="0">KONTROLLER!$E$6</definedName>
    <definedName name="MaksimumBelgeTutari" hidden="0" function="0" vbProcedure="0">AYARLAR!$B$31</definedName>
    <definedName name="MaxAcik" hidden="0" function="0" vbProcedure="0">VADE_TAKVIMI!$B$69</definedName>
    <definedName name="modulI1TahminAralik" hidden="0" function="0" vbProcedure="0">KARSILIK_ANALIZI!$B$67</definedName>
    <definedName name="modulI1TahminAralikYorum" hidden="0" function="0" vbProcedure="0">KARSILIK_ANALIZI!$F$67</definedName>
    <definedName name="modulI2YuzdelikP90" hidden="0" function="0" vbProcedure="0">KARSILIK_ANALIZI!$B$68</definedName>
    <definedName name="modulI2YuzdelikP90Yorum" hidden="0" function="0" vbProcedure="0">KARSILIK_ANALIZI!$F$68</definedName>
    <definedName name="modulO1Anomali" hidden="0" function="0" vbProcedure="0">KARSILIK_ANALIZI!$B$64</definedName>
    <definedName name="modulO1AnomaliYorum" hidden="0" function="0" vbProcedure="0">KARSILIK_ANALIZI!$F$64</definedName>
    <definedName name="modulO5GecikmeMaliyeti" hidden="0" function="0" vbProcedure="0">KARSILIK_ANALIZI!$B$65</definedName>
    <definedName name="modulO5GecikmeMaliyetiYorum" hidden="0" function="0" vbProcedure="0">KARSILIK_ANALIZI!$F$65</definedName>
    <definedName name="modulO8KaliteSkor" hidden="0" function="0" vbProcedure="0">KARSILIK_ANALIZI!$B$66</definedName>
    <definedName name="modulO8KaliteSkorYorum" hidden="0" function="0" vbProcedure="0">KARSILIK_ANALIZI!$F$66</definedName>
    <definedName name="modulT1Yaslandirma" hidden="0" function="0" vbProcedure="0">KARSILIK_ANALIZI!$B$62</definedName>
    <definedName name="modulT1YaslandirmaYorum" hidden="0" function="0" vbProcedure="0">KARSILIK_ANALIZI!$F$62</definedName>
    <definedName name="modulT3Yogunlasma" hidden="0" function="0" vbProcedure="0">KARSILIK_ANALIZI!$B$63</definedName>
    <definedName name="modulT3YogunlasmaYorum" hidden="0" function="0" vbProcedure="0">KARSILIK_ANALIZI!$F$63</definedName>
    <definedName name="MukerrerSayisi" hidden="0" function="0" vbProcedure="0">KARSILIK_ANALIZI!$E$7</definedName>
    <definedName name="NetPozisyon" hidden="0" function="0" vbProcedure="0">KARSILIK_ANALIZI!$B$10</definedName>
    <definedName name="RiskAglikliAlinan" hidden="0" function="0" vbProcedure="0">KARSILIK_ANALIZI!$B$6</definedName>
    <definedName name="RiskKatsayilari" hidden="0" function="0" vbProcedure="0">AYARLAR!$A$36:$B$40</definedName>
    <definedName name="RiskliMusteri" hidden="0" function="0" vbProcedure="0">KARSILIK_ANALIZI!$E$6</definedName>
    <definedName name="RiskliMusteriBelge" hidden="0" function="0" vbProcedure="0">KARSILIK_ANALIZI!$E$14</definedName>
    <definedName name="RiskliSkorEsik" hidden="0" function="0" vbProcedure="0">AYARLAR!$B$17</definedName>
    <definedName name="SerbestNakit" hidden="0" function="0" vbProcedure="0">AYARLAR!$B$14</definedName>
    <definedName name="SorumlulukDevam" hidden="0" function="0" vbProcedure="0">KARSILIK_ANALIZI!$E$9</definedName>
    <definedName name="TahsilToplam" hidden="0" function="0" vbProcedure="0">KARSILIK_ANALIZI!$E$13</definedName>
    <definedName name="TekMusteriEsik" hidden="0" function="0" vbProcedure="0">AYARLAR!$B$20</definedName>
    <definedName name="UyariAgirligi" hidden="0" function="0" vbProcedure="0">AYARLAR!$B$30</definedName>
    <definedName name="VadeGecmisBelge" hidden="0" function="0" vbProcedure="0">KARSILIK_ANALIZI!$E$5</definedName>
    <definedName name="VadeUyariGunu" hidden="0" function="0" vbProcedure="0">AYARLAR!$B$18</definedName>
    <definedName name="VeriKaliteOrta" hidden="0" function="0" vbProcedure="0">AYARLAR!$B$24</definedName>
    <definedName name="VeriKaliteSkor" hidden="0" function="0" vbProcedure="0">KONTROLLER!$B$28</definedName>
    <definedName name="VeriKaliteYuksek" hidden="0" function="0" vbProcedure="0">AYARLAR!$B$23</definedName>
    <definedName name="VerilenToplam" hidden="0" function="0" vbProcedure="0">KARSILIK_ANALIZI!$B$5</definedName>
    <definedName name="YuksekRiskEsik" hidden="0" function="0" vbProcedure="0">AYARLAR!$B$22</definedName>
    <definedName name="YuvarlamaToleransi" hidden="0" function="0" vbProcedure="0">AYARLAR!$B$19</definedName>
    <definedName name="_xlnm.Print_Area" localSheetId="12">'PANO'!$A$1:$Z$120</definedName>
    <definedName name="_xlnm.Print_Area" localSheetId="13">'RAPOR'!$A$1:$K$42</definedName>
    <definedName name="_xlnm.Print_Area" localSheetId="20">'KILAVUZ'!$A$1:$K$40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&quot;₺ &quot;#,##0;[RED]&quot;(₺ &quot;#,##0\);\-"/>
    <numFmt numFmtId="165" formatCode="dd/mm/yyyy"/>
    <numFmt numFmtId="166" formatCode="0.0%"/>
    <numFmt numFmtId="167" formatCode="0&quot; gün&quot;"/>
    <numFmt numFmtId="168" formatCode="0.0%;[RED]\(0.0%\);\-"/>
    <numFmt numFmtId="169" formatCode="#,##0 &quot;TL&quot;"/>
  </numFmts>
  <fonts count="5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006100"/>
      <sz val="10"/>
    </font>
    <font>
      <name val="Arial"/>
      <family val="2"/>
      <sz val="10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i val="1"/>
      <color rgb="FF000000"/>
      <sz val="9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C00000"/>
      <sz val="10"/>
    </font>
    <font>
      <name val="Segoe UI"/>
      <charset val="1"/>
      <family val="0"/>
      <b val="1"/>
      <color rgb="FFED7D31"/>
      <sz val="10"/>
    </font>
    <font>
      <name val="Segoe UI"/>
      <charset val="1"/>
      <family val="0"/>
      <b val="1"/>
      <color rgb="FFBF8F00"/>
      <sz val="10"/>
    </font>
    <font>
      <name val="Segoe UI"/>
      <charset val="1"/>
      <family val="0"/>
      <b val="1"/>
      <color rgb="FF1F7A4D"/>
      <sz val="10"/>
    </font>
    <font>
      <name val="Segoe UI"/>
      <charset val="1"/>
      <family val="0"/>
      <color rgb="FF000000"/>
      <sz val="9"/>
    </font>
    <font>
      <name val="Segoe UI"/>
      <charset val="1"/>
      <family val="0"/>
      <b val="1"/>
      <sz val="10"/>
    </font>
    <font>
      <name val="Segoe UI"/>
      <charset val="1"/>
      <family val="0"/>
      <b val="1"/>
      <color rgb="FF000000"/>
      <sz val="12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1F7A4D"/>
      <sz val="20"/>
    </font>
    <font>
      <name val="Segoe UI"/>
      <charset val="1"/>
      <family val="0"/>
      <b val="1"/>
      <color rgb="FF1F4E79"/>
      <sz val="20"/>
    </font>
    <font>
      <name val="Segoe UI"/>
      <charset val="1"/>
      <family val="0"/>
      <b val="1"/>
      <color rgb="FFC00000"/>
      <sz val="20"/>
    </font>
    <font>
      <name val="Segoe UI"/>
      <charset val="1"/>
      <family val="0"/>
      <b val="1"/>
      <color rgb="FFBF8F00"/>
      <sz val="20"/>
    </font>
    <font>
      <name val="Segoe UI"/>
      <charset val="1"/>
      <family val="0"/>
      <b val="1"/>
      <color rgb="FFFFFFFF"/>
      <sz val="12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b val="1"/>
      <color rgb="FF006100"/>
      <sz val="11"/>
    </font>
    <font>
      <name val="Segoe UI"/>
      <charset val="1"/>
      <family val="0"/>
      <b val="1"/>
      <sz val="9"/>
    </font>
    <font>
      <name val="Segoe UI"/>
      <charset val="1"/>
      <family val="0"/>
      <color rgb="FF006100"/>
      <sz val="9"/>
    </font>
    <font>
      <name val="Segoe UI"/>
      <charset val="1"/>
      <family val="0"/>
      <i val="1"/>
      <color rgb="FF000000"/>
      <sz val="10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FFFFFF"/>
      <sz val="15"/>
    </font>
    <font>
      <name val="Segoe UI"/>
      <charset val="1"/>
      <family val="0"/>
      <b val="1"/>
      <color rgb="FF1F4E79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1">
    <fill>
      <patternFill/>
    </fill>
    <fill>
      <patternFill patternType="gray125"/>
    </fill>
    <fill>
      <patternFill patternType="solid">
        <fgColor rgb="000B1F3A"/>
        <bgColor rgb="FF003300"/>
      </patternFill>
    </fill>
    <fill>
      <patternFill patternType="solid">
        <fgColor rgb="00DDEBF7"/>
        <bgColor rgb="00F2F2F2"/>
      </patternFill>
    </fill>
    <fill>
      <patternFill patternType="solid">
        <fgColor rgb="001F4E79"/>
        <bgColor rgb="FF595959"/>
      </patternFill>
    </fill>
    <fill>
      <patternFill patternType="solid">
        <fgColor rgb="FFFFF2CC"/>
        <bgColor rgb="FFFDE7E9"/>
      </patternFill>
    </fill>
    <fill>
      <patternFill patternType="solid">
        <fgColor rgb="00F2F2F2"/>
        <bgColor rgb="FFF9F9F9"/>
      </patternFill>
    </fill>
    <fill>
      <patternFill patternType="solid">
        <fgColor rgb="00FFFFFF"/>
        <bgColor rgb="FFF9F9F9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applyProtection="1" pivotButton="0" quotePrefix="0" xfId="0">
      <alignment horizontal="left" vertical="center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" fontId="0" fillId="5" borderId="0" applyAlignment="1" applyProtection="1" pivotButton="0" quotePrefix="0" xfId="0">
      <alignment horizontal="general" vertical="bottom"/>
      <protection locked="0" hidden="0"/>
    </xf>
    <xf numFmtId="0" fontId="7" fillId="6" borderId="0" applyAlignment="1" pivotButton="0" quotePrefix="0" xfId="0">
      <alignment horizontal="left" vertical="center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0" fontId="7" fillId="6" borderId="0" applyAlignment="1" pivotButton="0" quotePrefix="0" xfId="0">
      <alignment horizontal="general" vertical="bottom"/>
    </xf>
    <xf numFmtId="0" fontId="5" fillId="5" borderId="0" applyAlignment="1" applyProtection="1" pivotButton="0" quotePrefix="0" xfId="0">
      <alignment horizontal="general" vertical="bottom"/>
      <protection locked="0" hidden="0"/>
    </xf>
    <xf numFmtId="165" fontId="5" fillId="5" borderId="0" applyAlignment="1" applyProtection="1" pivotButton="0" quotePrefix="0" xfId="0">
      <alignment horizontal="general" vertical="bottom"/>
      <protection locked="0" hidden="0"/>
    </xf>
    <xf numFmtId="164" fontId="5" fillId="5" borderId="0" applyAlignment="1" applyProtection="1" pivotButton="0" quotePrefix="0" xfId="0">
      <alignment horizontal="general" vertical="bottom"/>
      <protection locked="0" hidden="0"/>
    </xf>
    <xf numFmtId="2" fontId="5" fillId="5" borderId="0" applyAlignment="1" applyProtection="1" pivotButton="0" quotePrefix="0" xfId="0">
      <alignment horizontal="general" vertical="bottom"/>
      <protection locked="0" hidden="0"/>
    </xf>
    <xf numFmtId="3" fontId="5" fillId="5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6" fontId="5" fillId="5" borderId="0" applyAlignment="1" applyProtection="1" pivotButton="0" quotePrefix="0" xfId="0">
      <alignment horizontal="general" vertical="bottom"/>
      <protection locked="0" hidden="0"/>
    </xf>
    <xf numFmtId="0" fontId="9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7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general" vertical="bottom"/>
    </xf>
    <xf numFmtId="0" fontId="13" fillId="6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168" fontId="7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164" fontId="17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 wrapText="1"/>
    </xf>
    <xf numFmtId="168" fontId="0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165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indent="1"/>
    </xf>
    <xf numFmtId="164" fontId="23" fillId="6" borderId="0" applyAlignment="1" pivotButton="0" quotePrefix="0" xfId="0">
      <alignment horizontal="center" vertical="center"/>
    </xf>
    <xf numFmtId="164" fontId="24" fillId="6" borderId="0" applyAlignment="1" pivotButton="0" quotePrefix="0" xfId="0">
      <alignment horizontal="center" vertical="center"/>
    </xf>
    <xf numFmtId="164" fontId="25" fillId="6" borderId="0" applyAlignment="1" pivotButton="0" quotePrefix="0" xfId="0">
      <alignment horizontal="center" vertical="center"/>
    </xf>
    <xf numFmtId="165" fontId="26" fillId="6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left" vertical="center"/>
    </xf>
    <xf numFmtId="3" fontId="28" fillId="7" borderId="0" applyAlignment="1" pivotButton="0" quotePrefix="0" xfId="0">
      <alignment horizontal="left" vertical="center"/>
    </xf>
    <xf numFmtId="0" fontId="28" fillId="7" borderId="0" applyAlignment="1" pivotButton="0" quotePrefix="0" xfId="0">
      <alignment horizontal="left" vertical="center"/>
    </xf>
    <xf numFmtId="0" fontId="32" fillId="2" borderId="0" applyAlignment="1" pivotButton="0" quotePrefix="0" xfId="0">
      <alignment horizontal="left" vertical="center" indent="1"/>
    </xf>
    <xf numFmtId="0" fontId="32" fillId="2" borderId="0" applyAlignment="1" pivotButton="0" quotePrefix="0" xfId="0">
      <alignment horizontal="left" vertical="center" indent="1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165" fontId="35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27" fillId="4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/>
    </xf>
    <xf numFmtId="0" fontId="5" fillId="7" borderId="0" applyAlignment="1" applyProtection="1" pivotButton="0" quotePrefix="0" xfId="0">
      <alignment horizontal="general" vertical="bottom"/>
      <protection locked="0" hidden="0"/>
    </xf>
    <xf numFmtId="49" fontId="5" fillId="5" borderId="0" applyAlignment="1" applyProtection="1" pivotButton="0" quotePrefix="0" xfId="0">
      <alignment horizontal="left" vertical="center"/>
      <protection locked="0" hidden="0"/>
    </xf>
    <xf numFmtId="165" fontId="5" fillId="5" borderId="0" applyAlignment="1" applyProtection="1" pivotButton="0" quotePrefix="0" xfId="0">
      <alignment horizontal="left" vertical="center"/>
      <protection locked="0" hidden="0"/>
    </xf>
    <xf numFmtId="0" fontId="37" fillId="0" borderId="0" applyAlignment="1" pivotButton="0" quotePrefix="0" xfId="0">
      <alignment horizontal="left" vertical="center"/>
    </xf>
    <xf numFmtId="164" fontId="5" fillId="5" borderId="0" applyAlignment="1" applyProtection="1" pivotButton="0" quotePrefix="0" xfId="0">
      <alignment horizontal="left" vertical="center"/>
      <protection locked="0" hidden="0"/>
    </xf>
    <xf numFmtId="0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8" fontId="5" fillId="5" borderId="0" applyAlignment="1" applyProtection="1" pivotButton="0" quotePrefix="0" xfId="0">
      <alignment horizontal="left" vertical="center"/>
      <protection locked="0" hidden="0"/>
    </xf>
    <xf numFmtId="168" fontId="13" fillId="0" borderId="0" applyAlignment="1" pivotButton="0" quotePrefix="0" xfId="0">
      <alignment horizontal="left" vertical="center"/>
    </xf>
    <xf numFmtId="3" fontId="5" fillId="5" borderId="0" applyAlignment="1" applyProtection="1" pivotButton="0" quotePrefix="0" xfId="0">
      <alignment horizontal="left" vertical="center"/>
      <protection locked="0" hidden="0"/>
    </xf>
    <xf numFmtId="3" fontId="13" fillId="0" borderId="0" applyAlignment="1" pivotButton="0" quotePrefix="0" xfId="0">
      <alignment horizontal="left" vertical="center"/>
    </xf>
    <xf numFmtId="167" fontId="5" fillId="5" borderId="0" applyAlignment="1" applyProtection="1" pivotButton="0" quotePrefix="0" xfId="0">
      <alignment horizontal="left" vertical="center"/>
      <protection locked="0" hidden="0"/>
    </xf>
    <xf numFmtId="167" fontId="13" fillId="0" borderId="0" applyAlignment="1" pivotButton="0" quotePrefix="0" xfId="0">
      <alignment horizontal="left" vertical="center"/>
    </xf>
    <xf numFmtId="2" fontId="5" fillId="5" borderId="0" applyAlignment="1" applyProtection="1" pivotButton="0" quotePrefix="0" xfId="0">
      <alignment horizontal="left" vertical="center"/>
      <protection locked="0" hidden="0"/>
    </xf>
    <xf numFmtId="2" fontId="13" fillId="0" borderId="0" applyAlignment="1" pivotButton="0" quotePrefix="0" xfId="0">
      <alignment horizontal="left" vertical="center"/>
    </xf>
    <xf numFmtId="1" fontId="5" fillId="5" borderId="0" applyAlignment="1" applyProtection="1" pivotButton="0" quotePrefix="0" xfId="0">
      <alignment horizontal="left" vertical="center"/>
      <protection locked="0" hidden="0"/>
    </xf>
    <xf numFmtId="1" fontId="13" fillId="0" borderId="0" applyAlignment="1" pivotButton="0" quotePrefix="0" xfId="0">
      <alignment horizontal="left" vertical="center"/>
    </xf>
    <xf numFmtId="0" fontId="38" fillId="4" borderId="0" applyAlignment="1" pivotButton="0" quotePrefix="0" xfId="0">
      <alignment horizontal="left" vertical="center" indent="1"/>
    </xf>
    <xf numFmtId="0" fontId="39" fillId="6" borderId="0" applyAlignment="1" pivotButton="0" quotePrefix="0" xfId="0">
      <alignment horizontal="left" vertical="center"/>
    </xf>
    <xf numFmtId="0" fontId="0" fillId="0" borderId="0" pivotButton="0" quotePrefix="0" xfId="0"/>
    <xf numFmtId="0" fontId="40" fillId="8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2" fillId="0" borderId="0" pivotButton="0" quotePrefix="0" xfId="0"/>
    <xf numFmtId="0" fontId="48" fillId="0" borderId="0" pivotButton="0" quotePrefix="0" xfId="0"/>
    <xf numFmtId="0" fontId="43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8" fillId="9" borderId="0" applyAlignment="1" pivotButton="0" quotePrefix="0" xfId="0">
      <alignment horizontal="center" vertical="center" wrapText="1"/>
    </xf>
    <xf numFmtId="0" fontId="44" fillId="0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9" fillId="0" borderId="0" pivotButton="0" quotePrefix="0" xfId="0"/>
    <xf numFmtId="0" fontId="50" fillId="8" borderId="0" applyAlignment="1" pivotButton="0" quotePrefix="0" xfId="0">
      <alignment horizontal="center" vertical="center"/>
    </xf>
    <xf numFmtId="0" fontId="51" fillId="0" borderId="0" pivotButton="0" quotePrefix="0" xfId="0"/>
    <xf numFmtId="169" fontId="51" fillId="0" borderId="0" pivotButton="0" quotePrefix="0" xfId="0"/>
    <xf numFmtId="169" fontId="52" fillId="0" borderId="0" pivotButton="0" quotePrefix="0" xfId="0"/>
    <xf numFmtId="166" fontId="51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8" borderId="0" applyAlignment="1" pivotButton="0" quotePrefix="0" xfId="0">
      <alignment horizontal="center" vertical="center"/>
    </xf>
    <xf numFmtId="0" fontId="50" fillId="8" borderId="0" applyAlignment="1" pivotButton="0" quotePrefix="0" xfId="0">
      <alignment horizontal="center"/>
    </xf>
    <xf numFmtId="0" fontId="52" fillId="0" borderId="0" pivotButton="0" quotePrefix="0" xfId="0"/>
    <xf numFmtId="0" fontId="56" fillId="10" borderId="1" pivotButton="0" quotePrefix="0" xfId="0"/>
    <xf numFmtId="0" fontId="57" fillId="0" borderId="0" pivotButton="0" quotePrefix="0" xfId="0"/>
    <xf numFmtId="0" fontId="58" fillId="0" borderId="0" pivotButton="0" quotePrefix="0" xfId="0"/>
    <xf numFmtId="0" fontId="51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applyProtection="1" pivotButton="0" quotePrefix="0" xfId="0">
      <alignment horizontal="left" vertical="center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" fontId="0" fillId="5" borderId="0" applyAlignment="1" applyProtection="1" pivotButton="0" quotePrefix="0" xfId="0">
      <alignment horizontal="general" vertical="bottom"/>
      <protection locked="0" hidden="0"/>
    </xf>
    <xf numFmtId="0" fontId="7" fillId="6" borderId="0" applyAlignment="1" pivotButton="0" quotePrefix="0" xfId="0">
      <alignment horizontal="left" vertical="center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7" fillId="6" borderId="0" applyAlignment="1" pivotButton="0" quotePrefix="0" xfId="0">
      <alignment horizontal="general" vertical="bottom"/>
    </xf>
    <xf numFmtId="0" fontId="5" fillId="5" borderId="0" applyAlignment="1" applyProtection="1" pivotButton="0" quotePrefix="0" xfId="0">
      <alignment horizontal="general" vertical="bottom"/>
      <protection locked="0" hidden="0"/>
    </xf>
    <xf numFmtId="165" fontId="5" fillId="5" borderId="0" applyAlignment="1" applyProtection="1" pivotButton="0" quotePrefix="0" xfId="0">
      <alignment horizontal="general" vertical="bottom"/>
      <protection locked="0" hidden="0"/>
    </xf>
    <xf numFmtId="164" fontId="5" fillId="5" borderId="0" applyAlignment="1" applyProtection="1" pivotButton="0" quotePrefix="0" xfId="0">
      <alignment horizontal="general" vertical="bottom"/>
      <protection locked="0" hidden="0"/>
    </xf>
    <xf numFmtId="2" fontId="5" fillId="5" borderId="0" applyAlignment="1" applyProtection="1" pivotButton="0" quotePrefix="0" xfId="0">
      <alignment horizontal="general" vertical="bottom"/>
      <protection locked="0" hidden="0"/>
    </xf>
    <xf numFmtId="3" fontId="5" fillId="5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6" fontId="5" fillId="5" borderId="0" applyAlignment="1" applyProtection="1" pivotButton="0" quotePrefix="0" xfId="0">
      <alignment horizontal="general" vertical="bottom"/>
      <protection locked="0" hidden="0"/>
    </xf>
    <xf numFmtId="0" fontId="9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7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general" vertical="bottom"/>
    </xf>
    <xf numFmtId="0" fontId="13" fillId="6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168" fontId="7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164" fontId="17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 wrapText="1"/>
    </xf>
    <xf numFmtId="168" fontId="0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165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indent="1"/>
    </xf>
    <xf numFmtId="164" fontId="23" fillId="6" borderId="0" applyAlignment="1" pivotButton="0" quotePrefix="0" xfId="0">
      <alignment horizontal="center" vertical="center"/>
    </xf>
    <xf numFmtId="164" fontId="24" fillId="6" borderId="0" applyAlignment="1" pivotButton="0" quotePrefix="0" xfId="0">
      <alignment horizontal="center" vertical="center"/>
    </xf>
    <xf numFmtId="164" fontId="25" fillId="6" borderId="0" applyAlignment="1" pivotButton="0" quotePrefix="0" xfId="0">
      <alignment horizontal="center" vertical="center"/>
    </xf>
    <xf numFmtId="165" fontId="26" fillId="6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3" fontId="28" fillId="7" borderId="0" applyAlignment="1" pivotButton="0" quotePrefix="0" xfId="0">
      <alignment horizontal="left" vertical="center"/>
    </xf>
    <xf numFmtId="0" fontId="28" fillId="7" borderId="0" applyAlignment="1" pivotButton="0" quotePrefix="0" xfId="0">
      <alignment horizontal="left" vertical="center"/>
    </xf>
    <xf numFmtId="0" fontId="32" fillId="2" borderId="0" applyAlignment="1" pivotButton="0" quotePrefix="0" xfId="0">
      <alignment horizontal="left" vertical="center" indent="1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165" fontId="35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27" fillId="4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/>
    </xf>
    <xf numFmtId="0" fontId="5" fillId="7" borderId="0" applyAlignment="1" applyProtection="1" pivotButton="0" quotePrefix="0" xfId="0">
      <alignment horizontal="general" vertical="bottom"/>
      <protection locked="0" hidden="0"/>
    </xf>
    <xf numFmtId="49" fontId="5" fillId="5" borderId="0" applyAlignment="1" applyProtection="1" pivotButton="0" quotePrefix="0" xfId="0">
      <alignment horizontal="left" vertical="center"/>
      <protection locked="0" hidden="0"/>
    </xf>
    <xf numFmtId="165" fontId="5" fillId="5" borderId="0" applyAlignment="1" applyProtection="1" pivotButton="0" quotePrefix="0" xfId="0">
      <alignment horizontal="left" vertical="center"/>
      <protection locked="0" hidden="0"/>
    </xf>
    <xf numFmtId="0" fontId="37" fillId="0" borderId="0" applyAlignment="1" pivotButton="0" quotePrefix="0" xfId="0">
      <alignment horizontal="left" vertical="center"/>
    </xf>
    <xf numFmtId="164" fontId="5" fillId="5" borderId="0" applyAlignment="1" applyProtection="1" pivotButton="0" quotePrefix="0" xfId="0">
      <alignment horizontal="left" vertical="center"/>
      <protection locked="0" hidden="0"/>
    </xf>
    <xf numFmtId="0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8" fontId="5" fillId="5" borderId="0" applyAlignment="1" applyProtection="1" pivotButton="0" quotePrefix="0" xfId="0">
      <alignment horizontal="left" vertical="center"/>
      <protection locked="0" hidden="0"/>
    </xf>
    <xf numFmtId="168" fontId="13" fillId="0" borderId="0" applyAlignment="1" pivotButton="0" quotePrefix="0" xfId="0">
      <alignment horizontal="left" vertical="center"/>
    </xf>
    <xf numFmtId="3" fontId="5" fillId="5" borderId="0" applyAlignment="1" applyProtection="1" pivotButton="0" quotePrefix="0" xfId="0">
      <alignment horizontal="left" vertical="center"/>
      <protection locked="0" hidden="0"/>
    </xf>
    <xf numFmtId="3" fontId="13" fillId="0" borderId="0" applyAlignment="1" pivotButton="0" quotePrefix="0" xfId="0">
      <alignment horizontal="left" vertical="center"/>
    </xf>
    <xf numFmtId="167" fontId="5" fillId="5" borderId="0" applyAlignment="1" applyProtection="1" pivotButton="0" quotePrefix="0" xfId="0">
      <alignment horizontal="left" vertical="center"/>
      <protection locked="0" hidden="0"/>
    </xf>
    <xf numFmtId="167" fontId="13" fillId="0" borderId="0" applyAlignment="1" pivotButton="0" quotePrefix="0" xfId="0">
      <alignment horizontal="left" vertical="center"/>
    </xf>
    <xf numFmtId="2" fontId="5" fillId="5" borderId="0" applyAlignment="1" applyProtection="1" pivotButton="0" quotePrefix="0" xfId="0">
      <alignment horizontal="left" vertical="center"/>
      <protection locked="0" hidden="0"/>
    </xf>
    <xf numFmtId="2" fontId="13" fillId="0" borderId="0" applyAlignment="1" pivotButton="0" quotePrefix="0" xfId="0">
      <alignment horizontal="left" vertical="center"/>
    </xf>
    <xf numFmtId="1" fontId="5" fillId="5" borderId="0" applyAlignment="1" applyProtection="1" pivotButton="0" quotePrefix="0" xfId="0">
      <alignment horizontal="left" vertical="center"/>
      <protection locked="0" hidden="0"/>
    </xf>
    <xf numFmtId="1" fontId="13" fillId="0" borderId="0" applyAlignment="1" pivotButton="0" quotePrefix="0" xfId="0">
      <alignment horizontal="left" vertical="center"/>
    </xf>
    <xf numFmtId="0" fontId="38" fillId="4" borderId="0" applyAlignment="1" pivotButton="0" quotePrefix="0" xfId="0">
      <alignment horizontal="left" vertical="center" indent="1"/>
    </xf>
    <xf numFmtId="0" fontId="39" fillId="6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00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00F2F2F2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8C8D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7F8C8D"/>
      </font>
    </dxf>
    <dxf>
      <fill>
        <patternFill patternType="solid">
          <bgColor rgb="FF000000"/>
        </patternFill>
      </fill>
    </dxf>
    <dxf>
      <fill>
        <patternFill>
          <bgColor rgb="FFFDE7E9"/>
        </patternFill>
      </fill>
    </dxf>
    <dxf>
      <font>
        <name val="Segoe UI"/>
        <charset val="1"/>
        <family val="0"/>
        <color rgb="FFB3261E"/>
      </font>
      <fill>
        <patternFill>
          <bgColor rgb="FFFDE7E9"/>
        </patternFill>
      </fill>
    </dxf>
    <dxf>
      <font>
        <name val="Segoe UI"/>
        <charset val="1"/>
        <family val="0"/>
        <color rgb="FF1F4E79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AA433F"/>
      <rgbColor rgb="FF006100"/>
      <rgbColor rgb="FF000080"/>
      <rgbColor rgb="FFB7791F"/>
      <rgbColor rgb="FFAB4744"/>
      <rgbColor rgb="FF1F7A4D"/>
      <rgbColor rgb="FFDEB9B9"/>
      <rgbColor rgb="FF878787"/>
      <rgbColor rgb="FFCC8F8E"/>
      <rgbColor rgb="FF943D3B"/>
      <rgbColor rgb="FFFFF2CC"/>
      <rgbColor rgb="FFDDEBF7"/>
      <rgbColor rgb="FFC0504D"/>
      <rgbColor rgb="FFCE8A89"/>
      <rgbColor rgb="FF0066CC"/>
      <rgbColor rgb="FFD9D9D9"/>
      <rgbColor rgb="FF000080"/>
      <rgbColor rgb="FFFF00FF"/>
      <rgbColor rgb="FFFFFF00"/>
      <rgbColor rgb="FF00FFFF"/>
      <rgbColor rgb="FFAF4846"/>
      <rgbColor rgb="FFBA4D4A"/>
      <rgbColor rgb="FF008080"/>
      <rgbColor rgb="FF0000FF"/>
      <rgbColor rgb="FF00CCFF"/>
      <rgbColor rgb="FFF2F2F2"/>
      <rgbColor rgb="FFF9F9F9"/>
      <rgbColor rgb="FFFDE7E9"/>
      <rgbColor rgb="FF99CCFF"/>
      <rgbColor rgb="FFD6A4A3"/>
      <rgbColor rgb="FFD09493"/>
      <rgbColor rgb="FFE6CCCC"/>
      <rgbColor rgb="FF4F81BD"/>
      <rgbColor rgb="FF33CCCC"/>
      <rgbColor rgb="FFC46866"/>
      <rgbColor rgb="FFFFCC00"/>
      <rgbColor rgb="FFBF8F00"/>
      <rgbColor rgb="FFED7D31"/>
      <rgbColor rgb="FF595959"/>
      <rgbColor rgb="FF7F8C8D"/>
      <rgbColor rgb="FF0B1F3A"/>
      <rgbColor rgb="FF339966"/>
      <rgbColor rgb="FF003300"/>
      <rgbColor rgb="FF333300"/>
      <rgbColor rgb="FFB3261E"/>
      <rgbColor rgb="FFA24341"/>
      <rgbColor rgb="FF1F4E79"/>
      <rgbColor rgb="FF84373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Vade Yoğunluğu (Verilen vs Risk Ağırlıklı Alınan)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spPr>
            <a:solidFill xmlns:a="http://schemas.openxmlformats.org/drawingml/2006/main">
              <a:srgbClr val="AA433F"/>
            </a:solidFill>
            <a:ln xmlns:a="http://schemas.openxmlformats.org/drawingml/2006/main" w="1260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VADE_TAKVIMI!$B$7:$B$67</f>
              <strCache>
                <ptCount val="61"/>
                <pt idx="0">
                  <v>06.08.2026</v>
                </pt>
                <pt idx="1">
                  <v>07.08.2026</v>
                </pt>
                <pt idx="2">
                  <v>08.08.2026</v>
                </pt>
                <pt idx="3">
                  <v>09.08.2026</v>
                </pt>
                <pt idx="4">
                  <v>10.08.2026</v>
                </pt>
                <pt idx="5">
                  <v>11.08.2026</v>
                </pt>
                <pt idx="6">
                  <v>12.08.2026</v>
                </pt>
                <pt idx="7">
                  <v>13.08.2026</v>
                </pt>
                <pt idx="8">
                  <v>14.08.2026</v>
                </pt>
                <pt idx="9">
                  <v>15.08.2026</v>
                </pt>
                <pt idx="10">
                  <v>16.08.2026</v>
                </pt>
                <pt idx="11">
                  <v>17.08.2026</v>
                </pt>
                <pt idx="12">
                  <v>18.08.2026</v>
                </pt>
                <pt idx="13">
                  <v>19.08.2026</v>
                </pt>
                <pt idx="14">
                  <v>20.08.2026</v>
                </pt>
                <pt idx="15">
                  <v>21.08.2026</v>
                </pt>
                <pt idx="16">
                  <v>22.08.2026</v>
                </pt>
                <pt idx="17">
                  <v>23.08.2026</v>
                </pt>
                <pt idx="18">
                  <v>24.08.2026</v>
                </pt>
                <pt idx="19">
                  <v>25.08.2026</v>
                </pt>
                <pt idx="20">
                  <v>26.08.2026</v>
                </pt>
                <pt idx="21">
                  <v>27.08.2026</v>
                </pt>
                <pt idx="22">
                  <v>28.08.2026</v>
                </pt>
                <pt idx="23">
                  <v>29.08.2026</v>
                </pt>
                <pt idx="24">
                  <v>30.08.2026</v>
                </pt>
                <pt idx="25">
                  <v>31.08.2026</v>
                </pt>
                <pt idx="26">
                  <v>01.09.2026</v>
                </pt>
                <pt idx="27">
                  <v>02.09.2026</v>
                </pt>
                <pt idx="28">
                  <v>03.09.2026</v>
                </pt>
                <pt idx="29">
                  <v>04.09.2026</v>
                </pt>
                <pt idx="30">
                  <v>05.09.2026</v>
                </pt>
                <pt idx="31">
                  <v>06.09.2026</v>
                </pt>
                <pt idx="32">
                  <v>07.09.2026</v>
                </pt>
                <pt idx="33">
                  <v>08.09.2026</v>
                </pt>
                <pt idx="34">
                  <v>09.09.2026</v>
                </pt>
                <pt idx="35">
                  <v>10.09.2026</v>
                </pt>
                <pt idx="36">
                  <v>11.09.2026</v>
                </pt>
                <pt idx="37">
                  <v>12.09.2026</v>
                </pt>
                <pt idx="38">
                  <v>13.09.2026</v>
                </pt>
                <pt idx="39">
                  <v>14.09.2026</v>
                </pt>
                <pt idx="40">
                  <v>15.09.2026</v>
                </pt>
                <pt idx="41">
                  <v>16.09.2026</v>
                </pt>
                <pt idx="42">
                  <v>17.09.2026</v>
                </pt>
                <pt idx="43">
                  <v>18.09.2026</v>
                </pt>
                <pt idx="44">
                  <v>19.09.2026</v>
                </pt>
                <pt idx="45">
                  <v>20.09.2026</v>
                </pt>
                <pt idx="46">
                  <v>21.09.2026</v>
                </pt>
                <pt idx="47">
                  <v>22.09.2026</v>
                </pt>
                <pt idx="48">
                  <v>23.09.2026</v>
                </pt>
                <pt idx="49">
                  <v>24.09.2026</v>
                </pt>
                <pt idx="50">
                  <v>25.09.2026</v>
                </pt>
                <pt idx="51">
                  <v>26.09.2026</v>
                </pt>
                <pt idx="52">
                  <v>27.09.2026</v>
                </pt>
                <pt idx="53">
                  <v>28.09.2026</v>
                </pt>
                <pt idx="54">
                  <v>29.09.2026</v>
                </pt>
                <pt idx="55">
                  <v>30.09.2026</v>
                </pt>
                <pt idx="56">
                  <v>01.10.2026</v>
                </pt>
                <pt idx="57">
                  <v>02.10.2026</v>
                </pt>
                <pt idx="58">
                  <v>03.10.2026</v>
                </pt>
                <pt idx="59">
                  <v>04.10.2026</v>
                </pt>
                <pt idx="60">
                  <v>05.10.2026</v>
                </pt>
              </strCache>
            </strRef>
          </cat>
          <val>
            <numRef>
              <f>VADE_TAKVIMI!$C$7:$C$67</f>
              <numCache>
                <formatCode>"₺ "#,##0;[RED]"(₺ "#,##0\);\-</formatCode>
                <ptCount val="61"/>
                <pt idx="0">
                  <v>-0</v>
                </pt>
                <pt idx="1">
                  <v>-0</v>
                </pt>
                <pt idx="2">
                  <v>-0</v>
                </pt>
                <pt idx="3">
                  <v>-0</v>
                </pt>
                <pt idx="4">
                  <v>-0</v>
                </pt>
                <pt idx="5">
                  <v>-0</v>
                </pt>
                <pt idx="6">
                  <v>-0</v>
                </pt>
                <pt idx="7">
                  <v>-0</v>
                </pt>
                <pt idx="8">
                  <v>-0</v>
                </pt>
                <pt idx="9">
                  <v>-0</v>
                </pt>
                <pt idx="10">
                  <v>-0</v>
                </pt>
                <pt idx="11">
                  <v>-0</v>
                </pt>
                <pt idx="12">
                  <v>-0</v>
                </pt>
                <pt idx="13">
                  <v>-0</v>
                </pt>
                <pt idx="14">
                  <v>-0</v>
                </pt>
                <pt idx="15">
                  <v>-0</v>
                </pt>
                <pt idx="16">
                  <v>-0</v>
                </pt>
                <pt idx="17">
                  <v>-0</v>
                </pt>
                <pt idx="18">
                  <v>-0</v>
                </pt>
                <pt idx="19">
                  <v>-0</v>
                </pt>
                <pt idx="20">
                  <v>-0</v>
                </pt>
                <pt idx="21">
                  <v>-0</v>
                </pt>
                <pt idx="22">
                  <v>-0</v>
                </pt>
                <pt idx="23">
                  <v>-0</v>
                </pt>
                <pt idx="24">
                  <v>-0</v>
                </pt>
                <pt idx="25">
                  <v>-0</v>
                </pt>
                <pt idx="26">
                  <v>-0</v>
                </pt>
                <pt idx="27">
                  <v>-0</v>
                </pt>
                <pt idx="28">
                  <v>-0</v>
                </pt>
                <pt idx="29">
                  <v>-0</v>
                </pt>
                <pt idx="30">
                  <v>200000</v>
                </pt>
                <pt idx="31">
                  <v>200000</v>
                </pt>
                <pt idx="32">
                  <v>200000</v>
                </pt>
                <pt idx="33">
                  <v>200000</v>
                </pt>
                <pt idx="34">
                  <v>200000</v>
                </pt>
                <pt idx="35">
                  <v>200000</v>
                </pt>
                <pt idx="36">
                  <v>200000</v>
                </pt>
                <pt idx="37">
                  <v>200000</v>
                </pt>
                <pt idx="38">
                  <v>200000</v>
                </pt>
                <pt idx="39">
                  <v>200000</v>
                </pt>
                <pt idx="40">
                  <v>420000</v>
                </pt>
                <pt idx="41">
                  <v>420000</v>
                </pt>
                <pt idx="42">
                  <v>420000</v>
                </pt>
                <pt idx="43">
                  <v>420000</v>
                </pt>
                <pt idx="44">
                  <v>420000</v>
                </pt>
                <pt idx="45">
                  <v>420000</v>
                </pt>
                <pt idx="46">
                  <v>420000</v>
                </pt>
                <pt idx="47">
                  <v>420000</v>
                </pt>
                <pt idx="48">
                  <v>420000</v>
                </pt>
                <pt idx="49">
                  <v>420000</v>
                </pt>
                <pt idx="50">
                  <v>420000</v>
                </pt>
                <pt idx="51">
                  <v>420000</v>
                </pt>
                <pt idx="52">
                  <v>420000</v>
                </pt>
                <pt idx="53">
                  <v>420000</v>
                </pt>
                <pt idx="54">
                  <v>420000</v>
                </pt>
                <pt idx="55">
                  <v>420000</v>
                </pt>
                <pt idx="56">
                  <v>420000</v>
                </pt>
                <pt idx="57">
                  <v>420000</v>
                </pt>
                <pt idx="58">
                  <v>420000</v>
                </pt>
                <pt idx="59">
                  <v>420000</v>
                </pt>
                <pt idx="60">
                  <v>420000</v>
                </pt>
              </numCache>
            </numRef>
          </val>
          <smooth val="1"/>
        </ser>
        <ser>
          <idx val="1"/>
          <order val="1"/>
          <spPr>
            <a:solidFill xmlns:a="http://schemas.openxmlformats.org/drawingml/2006/main">
              <a:srgbClr val="CC8F8E"/>
            </a:solidFill>
            <a:ln xmlns:a="http://schemas.openxmlformats.org/drawingml/2006/main" w="1260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VADE_TAKVIMI!$B$7:$B$67</f>
              <strCache>
                <ptCount val="61"/>
                <pt idx="0">
                  <v>06.08.2026</v>
                </pt>
                <pt idx="1">
                  <v>07.08.2026</v>
                </pt>
                <pt idx="2">
                  <v>08.08.2026</v>
                </pt>
                <pt idx="3">
                  <v>09.08.2026</v>
                </pt>
                <pt idx="4">
                  <v>10.08.2026</v>
                </pt>
                <pt idx="5">
                  <v>11.08.2026</v>
                </pt>
                <pt idx="6">
                  <v>12.08.2026</v>
                </pt>
                <pt idx="7">
                  <v>13.08.2026</v>
                </pt>
                <pt idx="8">
                  <v>14.08.2026</v>
                </pt>
                <pt idx="9">
                  <v>15.08.2026</v>
                </pt>
                <pt idx="10">
                  <v>16.08.2026</v>
                </pt>
                <pt idx="11">
                  <v>17.08.2026</v>
                </pt>
                <pt idx="12">
                  <v>18.08.2026</v>
                </pt>
                <pt idx="13">
                  <v>19.08.2026</v>
                </pt>
                <pt idx="14">
                  <v>20.08.2026</v>
                </pt>
                <pt idx="15">
                  <v>21.08.2026</v>
                </pt>
                <pt idx="16">
                  <v>22.08.2026</v>
                </pt>
                <pt idx="17">
                  <v>23.08.2026</v>
                </pt>
                <pt idx="18">
                  <v>24.08.2026</v>
                </pt>
                <pt idx="19">
                  <v>25.08.2026</v>
                </pt>
                <pt idx="20">
                  <v>26.08.2026</v>
                </pt>
                <pt idx="21">
                  <v>27.08.2026</v>
                </pt>
                <pt idx="22">
                  <v>28.08.2026</v>
                </pt>
                <pt idx="23">
                  <v>29.08.2026</v>
                </pt>
                <pt idx="24">
                  <v>30.08.2026</v>
                </pt>
                <pt idx="25">
                  <v>31.08.2026</v>
                </pt>
                <pt idx="26">
                  <v>01.09.2026</v>
                </pt>
                <pt idx="27">
                  <v>02.09.2026</v>
                </pt>
                <pt idx="28">
                  <v>03.09.2026</v>
                </pt>
                <pt idx="29">
                  <v>04.09.2026</v>
                </pt>
                <pt idx="30">
                  <v>05.09.2026</v>
                </pt>
                <pt idx="31">
                  <v>06.09.2026</v>
                </pt>
                <pt idx="32">
                  <v>07.09.2026</v>
                </pt>
                <pt idx="33">
                  <v>08.09.2026</v>
                </pt>
                <pt idx="34">
                  <v>09.09.2026</v>
                </pt>
                <pt idx="35">
                  <v>10.09.2026</v>
                </pt>
                <pt idx="36">
                  <v>11.09.2026</v>
                </pt>
                <pt idx="37">
                  <v>12.09.2026</v>
                </pt>
                <pt idx="38">
                  <v>13.09.2026</v>
                </pt>
                <pt idx="39">
                  <v>14.09.2026</v>
                </pt>
                <pt idx="40">
                  <v>15.09.2026</v>
                </pt>
                <pt idx="41">
                  <v>16.09.2026</v>
                </pt>
                <pt idx="42">
                  <v>17.09.2026</v>
                </pt>
                <pt idx="43">
                  <v>18.09.2026</v>
                </pt>
                <pt idx="44">
                  <v>19.09.2026</v>
                </pt>
                <pt idx="45">
                  <v>20.09.2026</v>
                </pt>
                <pt idx="46">
                  <v>21.09.2026</v>
                </pt>
                <pt idx="47">
                  <v>22.09.2026</v>
                </pt>
                <pt idx="48">
                  <v>23.09.2026</v>
                </pt>
                <pt idx="49">
                  <v>24.09.2026</v>
                </pt>
                <pt idx="50">
                  <v>25.09.2026</v>
                </pt>
                <pt idx="51">
                  <v>26.09.2026</v>
                </pt>
                <pt idx="52">
                  <v>27.09.2026</v>
                </pt>
                <pt idx="53">
                  <v>28.09.2026</v>
                </pt>
                <pt idx="54">
                  <v>29.09.2026</v>
                </pt>
                <pt idx="55">
                  <v>30.09.2026</v>
                </pt>
                <pt idx="56">
                  <v>01.10.2026</v>
                </pt>
                <pt idx="57">
                  <v>02.10.2026</v>
                </pt>
                <pt idx="58">
                  <v>03.10.2026</v>
                </pt>
                <pt idx="59">
                  <v>04.10.2026</v>
                </pt>
                <pt idx="60">
                  <v>05.10.2026</v>
                </pt>
              </strCache>
            </strRef>
          </cat>
          <val>
            <numRef>
              <f>VADE_TAKVIMI!$D$7:$D$67</f>
              <numCache>
                <formatCode>"₺ "#,##0;[RED]"(₺ "#,##0\);\-</formatCode>
                <ptCount val="61"/>
                <pt idx="0">
                  <v>9500</v>
                </pt>
                <pt idx="1">
                  <v>9500</v>
                </pt>
                <pt idx="2">
                  <v>9500</v>
                </pt>
                <pt idx="3">
                  <v>9500</v>
                </pt>
                <pt idx="4">
                  <v>9500</v>
                </pt>
                <pt idx="5">
                  <v>9500</v>
                </pt>
                <pt idx="6">
                  <v>9500</v>
                </pt>
                <pt idx="7">
                  <v>9500</v>
                </pt>
                <pt idx="8">
                  <v>9500</v>
                </pt>
                <pt idx="9">
                  <v>9500</v>
                </pt>
                <pt idx="10">
                  <v>9500</v>
                </pt>
                <pt idx="11">
                  <v>9500</v>
                </pt>
                <pt idx="12">
                  <v>41000</v>
                </pt>
                <pt idx="13">
                  <v>41000</v>
                </pt>
                <pt idx="14">
                  <v>176000</v>
                </pt>
                <pt idx="15">
                  <v>176000</v>
                </pt>
                <pt idx="16">
                  <v>176000</v>
                </pt>
                <pt idx="17">
                  <v>176000</v>
                </pt>
                <pt idx="18">
                  <v>176000</v>
                </pt>
                <pt idx="19">
                  <v>176000</v>
                </pt>
                <pt idx="20">
                  <v>176000</v>
                </pt>
                <pt idx="21">
                  <v>176000</v>
                </pt>
                <pt idx="22">
                  <v>176000</v>
                </pt>
                <pt idx="23">
                  <v>176000</v>
                </pt>
                <pt idx="24">
                  <v>224000</v>
                </pt>
                <pt idx="25">
                  <v>224000</v>
                </pt>
                <pt idx="26">
                  <v>224000</v>
                </pt>
                <pt idx="27">
                  <v>224000</v>
                </pt>
                <pt idx="28">
                  <v>224000</v>
                </pt>
                <pt idx="29">
                  <v>224000</v>
                </pt>
                <pt idx="30">
                  <v>224000</v>
                </pt>
                <pt idx="31">
                  <v>224000</v>
                </pt>
                <pt idx="32">
                  <v>224000</v>
                </pt>
                <pt idx="33">
                  <v>224000</v>
                </pt>
                <pt idx="34">
                  <v>224000</v>
                </pt>
                <pt idx="35">
                  <v>224000</v>
                </pt>
                <pt idx="36">
                  <v>224000</v>
                </pt>
                <pt idx="37">
                  <v>224000</v>
                </pt>
                <pt idx="38">
                  <v>224000</v>
                </pt>
                <pt idx="39">
                  <v>224000</v>
                </pt>
                <pt idx="40">
                  <v>283500</v>
                </pt>
                <pt idx="41">
                  <v>283500</v>
                </pt>
                <pt idx="42">
                  <v>283500</v>
                </pt>
                <pt idx="43">
                  <v>283500</v>
                </pt>
                <pt idx="44">
                  <v>283500</v>
                </pt>
                <pt idx="45">
                  <v>283500</v>
                </pt>
                <pt idx="46">
                  <v>283500</v>
                </pt>
                <pt idx="47">
                  <v>283500</v>
                </pt>
                <pt idx="48">
                  <v>283500</v>
                </pt>
                <pt idx="49">
                  <v>283500</v>
                </pt>
                <pt idx="50">
                  <v>337500</v>
                </pt>
                <pt idx="51">
                  <v>337500</v>
                </pt>
                <pt idx="52">
                  <v>337500</v>
                </pt>
                <pt idx="53">
                  <v>337500</v>
                </pt>
                <pt idx="54">
                  <v>337500</v>
                </pt>
                <pt idx="55">
                  <v>337500</v>
                </pt>
                <pt idx="56">
                  <v>337500</v>
                </pt>
                <pt idx="57">
                  <v>337500</v>
                </pt>
                <pt idx="58">
                  <v>337500</v>
                </pt>
                <pt idx="59">
                  <v>337500</v>
                </pt>
                <pt idx="60">
                  <v>337500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9484898"/>
        <axId val="97738689"/>
      </lineChart>
      <catAx>
        <axId val="8948489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Gün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dd/mm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7738689"/>
        <crosses val="autoZero"/>
        <auto val="1"/>
        <lblAlgn val="ctr"/>
        <lblOffset val="100"/>
        <noMultiLvlLbl val="0"/>
      </catAx>
      <valAx>
        <axId val="9773868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948489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Müşteri Bazında Risk Ağırlıklı Alınan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KARSILIK_ANALIZI!$A$24:$A$43</f>
              <strCache>
                <ptCount val="20"/>
                <pt idx="0">
                  <v>C001</v>
                </pt>
                <pt idx="1">
                  <v>C002</v>
                </pt>
                <pt idx="2">
                  <v>C003</v>
                </pt>
                <pt idx="3">
                  <v>C004</v>
                </pt>
                <pt idx="4">
                  <v>C005</v>
                </pt>
                <pt idx="5">
                  <v>C006</v>
                </pt>
                <pt idx="6">
                  <v>C007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  <pt idx="11">
                  <v>None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</strCache>
            </strRef>
          </cat>
          <val>
            <numRef>
              <f>KARSILIK_ANALIZI!$C$24:$C$43</f>
              <numCache>
                <formatCode>"₺ "#,##0;[RED]"(₺ "#,##0\);\-</formatCode>
                <ptCount val="20"/>
                <pt idx="0">
                  <v>252000</v>
                </pt>
                <pt idx="1">
                  <v>48000</v>
                </pt>
                <pt idx="2">
                  <v>91000</v>
                </pt>
                <pt idx="3">
                  <v>9500</v>
                </pt>
                <pt idx="4">
                  <v>54000</v>
                </pt>
                <pt idx="5">
                  <v>0</v>
                </pt>
                <pt idx="6">
                  <v>0</v>
                </pt>
              </numCache>
            </numRef>
          </val>
        </ser>
        <gapWidth val="150"/>
        <overlap val="0"/>
        <axId val="67183062"/>
        <axId val="62781288"/>
      </barChart>
      <catAx>
        <axId val="6718306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2781288"/>
        <crosses val="autoZero"/>
        <auto val="1"/>
        <lblAlgn val="ctr"/>
        <lblOffset val="100"/>
        <noMultiLvlLbl val="0"/>
      </catAx>
      <valAx>
        <axId val="6278128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718306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Banka Bazında Tahsil Dağılımı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C0504D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843735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943D3B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A24341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3"/>
            <spPr>
              <a:solidFill xmlns:a="http://schemas.openxmlformats.org/drawingml/2006/main">
                <a:srgbClr val="AF4846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4"/>
            <spPr>
              <a:solidFill xmlns:a="http://schemas.openxmlformats.org/drawingml/2006/main">
                <a:srgbClr val="BA4D4A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5"/>
            <spPr>
              <a:solidFill xmlns:a="http://schemas.openxmlformats.org/drawingml/2006/main">
                <a:srgbClr val="C46866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6"/>
            <spPr>
              <a:solidFill xmlns:a="http://schemas.openxmlformats.org/drawingml/2006/main">
                <a:srgbClr val="CE8A89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7"/>
            <spPr>
              <a:solidFill xmlns:a="http://schemas.openxmlformats.org/drawingml/2006/main">
                <a:srgbClr val="D6A4A3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8"/>
            <spPr>
              <a:solidFill xmlns:a="http://schemas.openxmlformats.org/drawingml/2006/main">
                <a:srgbClr val="DEB9B9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9"/>
            <spPr>
              <a:solidFill xmlns:a="http://schemas.openxmlformats.org/drawingml/2006/main">
                <a:srgbClr val="E6CCCC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KARSILIK_ANALIZI!$A$48:$A$57</f>
              <strCache>
                <ptCount val="10"/>
                <pt idx="0">
                  <v>ZİRAAT</v>
                </pt>
                <pt idx="1">
                  <v>HALK</v>
                </pt>
                <pt idx="2">
                  <v>İŞ</v>
                </pt>
                <pt idx="3">
                  <v>GARANTİ</v>
                </pt>
                <pt idx="4">
                  <v>AKBANK</v>
                </pt>
                <pt idx="5">
                  <v>YAPI KREDİ</v>
                </pt>
                <pt idx="6">
                  <v>QNB</v>
                </pt>
                <pt idx="7">
                  <v>VAKIF</v>
                </pt>
                <pt idx="8">
                  <v>None</v>
                </pt>
                <pt idx="9">
                  <v>None</v>
                </pt>
              </strCache>
            </strRef>
          </cat>
          <val>
            <numRef>
              <f>KARSILIK_ANALIZI!$B$48:$B$57</f>
              <numCache>
                <formatCode>"₺ "#,##0;[RED]"(₺ "#,##0\);\-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45000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Günlük Kaynak ve Yükümlülük Trendi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spPr>
            <a:solidFill xmlns:a="http://schemas.openxmlformats.org/drawingml/2006/main">
              <a:srgbClr val="AA433F"/>
            </a:solidFill>
            <a:ln xmlns:a="http://schemas.openxmlformats.org/drawingml/2006/main" w="1260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VADE_TAKVIMI!$B$7:$B$67</f>
              <strCache>
                <ptCount val="61"/>
                <pt idx="0">
                  <v>06.08.2026</v>
                </pt>
                <pt idx="1">
                  <v>07.08.2026</v>
                </pt>
                <pt idx="2">
                  <v>08.08.2026</v>
                </pt>
                <pt idx="3">
                  <v>09.08.2026</v>
                </pt>
                <pt idx="4">
                  <v>10.08.2026</v>
                </pt>
                <pt idx="5">
                  <v>11.08.2026</v>
                </pt>
                <pt idx="6">
                  <v>12.08.2026</v>
                </pt>
                <pt idx="7">
                  <v>13.08.2026</v>
                </pt>
                <pt idx="8">
                  <v>14.08.2026</v>
                </pt>
                <pt idx="9">
                  <v>15.08.2026</v>
                </pt>
                <pt idx="10">
                  <v>16.08.2026</v>
                </pt>
                <pt idx="11">
                  <v>17.08.2026</v>
                </pt>
                <pt idx="12">
                  <v>18.08.2026</v>
                </pt>
                <pt idx="13">
                  <v>19.08.2026</v>
                </pt>
                <pt idx="14">
                  <v>20.08.2026</v>
                </pt>
                <pt idx="15">
                  <v>21.08.2026</v>
                </pt>
                <pt idx="16">
                  <v>22.08.2026</v>
                </pt>
                <pt idx="17">
                  <v>23.08.2026</v>
                </pt>
                <pt idx="18">
                  <v>24.08.2026</v>
                </pt>
                <pt idx="19">
                  <v>25.08.2026</v>
                </pt>
                <pt idx="20">
                  <v>26.08.2026</v>
                </pt>
                <pt idx="21">
                  <v>27.08.2026</v>
                </pt>
                <pt idx="22">
                  <v>28.08.2026</v>
                </pt>
                <pt idx="23">
                  <v>29.08.2026</v>
                </pt>
                <pt idx="24">
                  <v>30.08.2026</v>
                </pt>
                <pt idx="25">
                  <v>31.08.2026</v>
                </pt>
                <pt idx="26">
                  <v>01.09.2026</v>
                </pt>
                <pt idx="27">
                  <v>02.09.2026</v>
                </pt>
                <pt idx="28">
                  <v>03.09.2026</v>
                </pt>
                <pt idx="29">
                  <v>04.09.2026</v>
                </pt>
                <pt idx="30">
                  <v>05.09.2026</v>
                </pt>
                <pt idx="31">
                  <v>06.09.2026</v>
                </pt>
                <pt idx="32">
                  <v>07.09.2026</v>
                </pt>
                <pt idx="33">
                  <v>08.09.2026</v>
                </pt>
                <pt idx="34">
                  <v>09.09.2026</v>
                </pt>
                <pt idx="35">
                  <v>10.09.2026</v>
                </pt>
                <pt idx="36">
                  <v>11.09.2026</v>
                </pt>
                <pt idx="37">
                  <v>12.09.2026</v>
                </pt>
                <pt idx="38">
                  <v>13.09.2026</v>
                </pt>
                <pt idx="39">
                  <v>14.09.2026</v>
                </pt>
                <pt idx="40">
                  <v>15.09.2026</v>
                </pt>
                <pt idx="41">
                  <v>16.09.2026</v>
                </pt>
                <pt idx="42">
                  <v>17.09.2026</v>
                </pt>
                <pt idx="43">
                  <v>18.09.2026</v>
                </pt>
                <pt idx="44">
                  <v>19.09.2026</v>
                </pt>
                <pt idx="45">
                  <v>20.09.2026</v>
                </pt>
                <pt idx="46">
                  <v>21.09.2026</v>
                </pt>
                <pt idx="47">
                  <v>22.09.2026</v>
                </pt>
                <pt idx="48">
                  <v>23.09.2026</v>
                </pt>
                <pt idx="49">
                  <v>24.09.2026</v>
                </pt>
                <pt idx="50">
                  <v>25.09.2026</v>
                </pt>
                <pt idx="51">
                  <v>26.09.2026</v>
                </pt>
                <pt idx="52">
                  <v>27.09.2026</v>
                </pt>
                <pt idx="53">
                  <v>28.09.2026</v>
                </pt>
                <pt idx="54">
                  <v>29.09.2026</v>
                </pt>
                <pt idx="55">
                  <v>30.09.2026</v>
                </pt>
                <pt idx="56">
                  <v>01.10.2026</v>
                </pt>
                <pt idx="57">
                  <v>02.10.2026</v>
                </pt>
                <pt idx="58">
                  <v>03.10.2026</v>
                </pt>
                <pt idx="59">
                  <v>04.10.2026</v>
                </pt>
                <pt idx="60">
                  <v>05.10.2026</v>
                </pt>
              </strCache>
            </strRef>
          </cat>
          <val>
            <numRef>
              <f>VADE_TAKVIMI!$C$7:$C$67</f>
              <numCache>
                <formatCode>"₺ "#,##0;[RED]"(₺ "#,##0\);\-</formatCode>
                <ptCount val="61"/>
                <pt idx="0">
                  <v>-0</v>
                </pt>
                <pt idx="1">
                  <v>-0</v>
                </pt>
                <pt idx="2">
                  <v>-0</v>
                </pt>
                <pt idx="3">
                  <v>-0</v>
                </pt>
                <pt idx="4">
                  <v>-0</v>
                </pt>
                <pt idx="5">
                  <v>-0</v>
                </pt>
                <pt idx="6">
                  <v>-0</v>
                </pt>
                <pt idx="7">
                  <v>-0</v>
                </pt>
                <pt idx="8">
                  <v>-0</v>
                </pt>
                <pt idx="9">
                  <v>-0</v>
                </pt>
                <pt idx="10">
                  <v>-0</v>
                </pt>
                <pt idx="11">
                  <v>-0</v>
                </pt>
                <pt idx="12">
                  <v>-0</v>
                </pt>
                <pt idx="13">
                  <v>-0</v>
                </pt>
                <pt idx="14">
                  <v>-0</v>
                </pt>
                <pt idx="15">
                  <v>-0</v>
                </pt>
                <pt idx="16">
                  <v>-0</v>
                </pt>
                <pt idx="17">
                  <v>-0</v>
                </pt>
                <pt idx="18">
                  <v>-0</v>
                </pt>
                <pt idx="19">
                  <v>-0</v>
                </pt>
                <pt idx="20">
                  <v>-0</v>
                </pt>
                <pt idx="21">
                  <v>-0</v>
                </pt>
                <pt idx="22">
                  <v>-0</v>
                </pt>
                <pt idx="23">
                  <v>-0</v>
                </pt>
                <pt idx="24">
                  <v>-0</v>
                </pt>
                <pt idx="25">
                  <v>-0</v>
                </pt>
                <pt idx="26">
                  <v>-0</v>
                </pt>
                <pt idx="27">
                  <v>-0</v>
                </pt>
                <pt idx="28">
                  <v>-0</v>
                </pt>
                <pt idx="29">
                  <v>-0</v>
                </pt>
                <pt idx="30">
                  <v>200000</v>
                </pt>
                <pt idx="31">
                  <v>200000</v>
                </pt>
                <pt idx="32">
                  <v>200000</v>
                </pt>
                <pt idx="33">
                  <v>200000</v>
                </pt>
                <pt idx="34">
                  <v>200000</v>
                </pt>
                <pt idx="35">
                  <v>200000</v>
                </pt>
                <pt idx="36">
                  <v>200000</v>
                </pt>
                <pt idx="37">
                  <v>200000</v>
                </pt>
                <pt idx="38">
                  <v>200000</v>
                </pt>
                <pt idx="39">
                  <v>200000</v>
                </pt>
                <pt idx="40">
                  <v>420000</v>
                </pt>
                <pt idx="41">
                  <v>420000</v>
                </pt>
                <pt idx="42">
                  <v>420000</v>
                </pt>
                <pt idx="43">
                  <v>420000</v>
                </pt>
                <pt idx="44">
                  <v>420000</v>
                </pt>
                <pt idx="45">
                  <v>420000</v>
                </pt>
                <pt idx="46">
                  <v>420000</v>
                </pt>
                <pt idx="47">
                  <v>420000</v>
                </pt>
                <pt idx="48">
                  <v>420000</v>
                </pt>
                <pt idx="49">
                  <v>420000</v>
                </pt>
                <pt idx="50">
                  <v>420000</v>
                </pt>
                <pt idx="51">
                  <v>420000</v>
                </pt>
                <pt idx="52">
                  <v>420000</v>
                </pt>
                <pt idx="53">
                  <v>420000</v>
                </pt>
                <pt idx="54">
                  <v>420000</v>
                </pt>
                <pt idx="55">
                  <v>420000</v>
                </pt>
                <pt idx="56">
                  <v>420000</v>
                </pt>
                <pt idx="57">
                  <v>420000</v>
                </pt>
                <pt idx="58">
                  <v>420000</v>
                </pt>
                <pt idx="59">
                  <v>420000</v>
                </pt>
                <pt idx="60">
                  <v>420000</v>
                </pt>
              </numCache>
            </numRef>
          </val>
          <smooth val="1"/>
        </ser>
        <ser>
          <idx val="1"/>
          <order val="1"/>
          <spPr>
            <a:solidFill xmlns:a="http://schemas.openxmlformats.org/drawingml/2006/main">
              <a:srgbClr val="CC8F8E"/>
            </a:solidFill>
            <a:ln xmlns:a="http://schemas.openxmlformats.org/drawingml/2006/main" w="1260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VADE_TAKVIMI!$B$7:$B$67</f>
              <strCache>
                <ptCount val="61"/>
                <pt idx="0">
                  <v>06.08.2026</v>
                </pt>
                <pt idx="1">
                  <v>07.08.2026</v>
                </pt>
                <pt idx="2">
                  <v>08.08.2026</v>
                </pt>
                <pt idx="3">
                  <v>09.08.2026</v>
                </pt>
                <pt idx="4">
                  <v>10.08.2026</v>
                </pt>
                <pt idx="5">
                  <v>11.08.2026</v>
                </pt>
                <pt idx="6">
                  <v>12.08.2026</v>
                </pt>
                <pt idx="7">
                  <v>13.08.2026</v>
                </pt>
                <pt idx="8">
                  <v>14.08.2026</v>
                </pt>
                <pt idx="9">
                  <v>15.08.2026</v>
                </pt>
                <pt idx="10">
                  <v>16.08.2026</v>
                </pt>
                <pt idx="11">
                  <v>17.08.2026</v>
                </pt>
                <pt idx="12">
                  <v>18.08.2026</v>
                </pt>
                <pt idx="13">
                  <v>19.08.2026</v>
                </pt>
                <pt idx="14">
                  <v>20.08.2026</v>
                </pt>
                <pt idx="15">
                  <v>21.08.2026</v>
                </pt>
                <pt idx="16">
                  <v>22.08.2026</v>
                </pt>
                <pt idx="17">
                  <v>23.08.2026</v>
                </pt>
                <pt idx="18">
                  <v>24.08.2026</v>
                </pt>
                <pt idx="19">
                  <v>25.08.2026</v>
                </pt>
                <pt idx="20">
                  <v>26.08.2026</v>
                </pt>
                <pt idx="21">
                  <v>27.08.2026</v>
                </pt>
                <pt idx="22">
                  <v>28.08.2026</v>
                </pt>
                <pt idx="23">
                  <v>29.08.2026</v>
                </pt>
                <pt idx="24">
                  <v>30.08.2026</v>
                </pt>
                <pt idx="25">
                  <v>31.08.2026</v>
                </pt>
                <pt idx="26">
                  <v>01.09.2026</v>
                </pt>
                <pt idx="27">
                  <v>02.09.2026</v>
                </pt>
                <pt idx="28">
                  <v>03.09.2026</v>
                </pt>
                <pt idx="29">
                  <v>04.09.2026</v>
                </pt>
                <pt idx="30">
                  <v>05.09.2026</v>
                </pt>
                <pt idx="31">
                  <v>06.09.2026</v>
                </pt>
                <pt idx="32">
                  <v>07.09.2026</v>
                </pt>
                <pt idx="33">
                  <v>08.09.2026</v>
                </pt>
                <pt idx="34">
                  <v>09.09.2026</v>
                </pt>
                <pt idx="35">
                  <v>10.09.2026</v>
                </pt>
                <pt idx="36">
                  <v>11.09.2026</v>
                </pt>
                <pt idx="37">
                  <v>12.09.2026</v>
                </pt>
                <pt idx="38">
                  <v>13.09.2026</v>
                </pt>
                <pt idx="39">
                  <v>14.09.2026</v>
                </pt>
                <pt idx="40">
                  <v>15.09.2026</v>
                </pt>
                <pt idx="41">
                  <v>16.09.2026</v>
                </pt>
                <pt idx="42">
                  <v>17.09.2026</v>
                </pt>
                <pt idx="43">
                  <v>18.09.2026</v>
                </pt>
                <pt idx="44">
                  <v>19.09.2026</v>
                </pt>
                <pt idx="45">
                  <v>20.09.2026</v>
                </pt>
                <pt idx="46">
                  <v>21.09.2026</v>
                </pt>
                <pt idx="47">
                  <v>22.09.2026</v>
                </pt>
                <pt idx="48">
                  <v>23.09.2026</v>
                </pt>
                <pt idx="49">
                  <v>24.09.2026</v>
                </pt>
                <pt idx="50">
                  <v>25.09.2026</v>
                </pt>
                <pt idx="51">
                  <v>26.09.2026</v>
                </pt>
                <pt idx="52">
                  <v>27.09.2026</v>
                </pt>
                <pt idx="53">
                  <v>28.09.2026</v>
                </pt>
                <pt idx="54">
                  <v>29.09.2026</v>
                </pt>
                <pt idx="55">
                  <v>30.09.2026</v>
                </pt>
                <pt idx="56">
                  <v>01.10.2026</v>
                </pt>
                <pt idx="57">
                  <v>02.10.2026</v>
                </pt>
                <pt idx="58">
                  <v>03.10.2026</v>
                </pt>
                <pt idx="59">
                  <v>04.10.2026</v>
                </pt>
                <pt idx="60">
                  <v>05.10.2026</v>
                </pt>
              </strCache>
            </strRef>
          </cat>
          <val>
            <numRef>
              <f>VADE_TAKVIMI!$E$7:$E$67</f>
              <numCache>
                <formatCode>"₺ "#,##0;[RED]"(₺ "#,##0\);\-</formatCode>
                <ptCount val="61"/>
                <pt idx="0">
                  <v>509500</v>
                </pt>
                <pt idx="1">
                  <v>509500</v>
                </pt>
                <pt idx="2">
                  <v>509500</v>
                </pt>
                <pt idx="3">
                  <v>509500</v>
                </pt>
                <pt idx="4">
                  <v>509500</v>
                </pt>
                <pt idx="5">
                  <v>509500</v>
                </pt>
                <pt idx="6">
                  <v>509500</v>
                </pt>
                <pt idx="7">
                  <v>509500</v>
                </pt>
                <pt idx="8">
                  <v>509500</v>
                </pt>
                <pt idx="9">
                  <v>509500</v>
                </pt>
                <pt idx="10">
                  <v>509500</v>
                </pt>
                <pt idx="11">
                  <v>509500</v>
                </pt>
                <pt idx="12">
                  <v>541000</v>
                </pt>
                <pt idx="13">
                  <v>541000</v>
                </pt>
                <pt idx="14">
                  <v>676000</v>
                </pt>
                <pt idx="15">
                  <v>676000</v>
                </pt>
                <pt idx="16">
                  <v>676000</v>
                </pt>
                <pt idx="17">
                  <v>676000</v>
                </pt>
                <pt idx="18">
                  <v>676000</v>
                </pt>
                <pt idx="19">
                  <v>676000</v>
                </pt>
                <pt idx="20">
                  <v>676000</v>
                </pt>
                <pt idx="21">
                  <v>676000</v>
                </pt>
                <pt idx="22">
                  <v>676000</v>
                </pt>
                <pt idx="23">
                  <v>676000</v>
                </pt>
                <pt idx="24">
                  <v>724000</v>
                </pt>
                <pt idx="25">
                  <v>724000</v>
                </pt>
                <pt idx="26">
                  <v>724000</v>
                </pt>
                <pt idx="27">
                  <v>724000</v>
                </pt>
                <pt idx="28">
                  <v>724000</v>
                </pt>
                <pt idx="29">
                  <v>724000</v>
                </pt>
                <pt idx="30">
                  <v>724000</v>
                </pt>
                <pt idx="31">
                  <v>724000</v>
                </pt>
                <pt idx="32">
                  <v>724000</v>
                </pt>
                <pt idx="33">
                  <v>724000</v>
                </pt>
                <pt idx="34">
                  <v>724000</v>
                </pt>
                <pt idx="35">
                  <v>724000</v>
                </pt>
                <pt idx="36">
                  <v>724000</v>
                </pt>
                <pt idx="37">
                  <v>724000</v>
                </pt>
                <pt idx="38">
                  <v>724000</v>
                </pt>
                <pt idx="39">
                  <v>724000</v>
                </pt>
                <pt idx="40">
                  <v>783500</v>
                </pt>
                <pt idx="41">
                  <v>783500</v>
                </pt>
                <pt idx="42">
                  <v>783500</v>
                </pt>
                <pt idx="43">
                  <v>783500</v>
                </pt>
                <pt idx="44">
                  <v>783500</v>
                </pt>
                <pt idx="45">
                  <v>783500</v>
                </pt>
                <pt idx="46">
                  <v>783500</v>
                </pt>
                <pt idx="47">
                  <v>783500</v>
                </pt>
                <pt idx="48">
                  <v>783500</v>
                </pt>
                <pt idx="49">
                  <v>783500</v>
                </pt>
                <pt idx="50">
                  <v>837500</v>
                </pt>
                <pt idx="51">
                  <v>837500</v>
                </pt>
                <pt idx="52">
                  <v>837500</v>
                </pt>
                <pt idx="53">
                  <v>837500</v>
                </pt>
                <pt idx="54">
                  <v>837500</v>
                </pt>
                <pt idx="55">
                  <v>837500</v>
                </pt>
                <pt idx="56">
                  <v>837500</v>
                </pt>
                <pt idx="57">
                  <v>837500</v>
                </pt>
                <pt idx="58">
                  <v>837500</v>
                </pt>
                <pt idx="59">
                  <v>837500</v>
                </pt>
                <pt idx="60">
                  <v>837500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9308844"/>
        <axId val="32375443"/>
      </lineChart>
      <catAx>
        <axId val="7930884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Tarih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dd/mm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2375443"/>
        <crosses val="autoZero"/>
        <auto val="1"/>
        <lblAlgn val="ctr"/>
        <lblOffset val="100"/>
        <noMultiLvlLbl val="0"/>
      </catAx>
      <valAx>
        <axId val="3237544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930884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Belge Türü Dağılımı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C0504D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AB4744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D09493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KARSILIK_ANALIZI!$F$49:$F$50</f>
              <strCache>
                <ptCount val="2"/>
                <pt idx="0">
                  <v>ÇEK</v>
                </pt>
                <pt idx="1">
                  <v>SENET</v>
                </pt>
              </strCache>
            </strRef>
          </cat>
          <val>
            <numRef>
              <f>KARSILIK_ANALIZI!$G$49:$G$50</f>
              <numCache>
                <formatCode>"₺ "#,##0;[RED]"(₺ "#,##0\);\-</formatCode>
                <ptCount val="2"/>
                <pt idx="0">
                  <v>50000</v>
                </pt>
                <pt idx="1">
                  <v>40000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Alınan ve Verilen Yön Dağılımı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C0504D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AB4744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D09493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KARSILIK_ANALIZI!$F$53:$F$54</f>
              <strCache>
                <ptCount val="2"/>
                <pt idx="0">
                  <v>Alınan</v>
                </pt>
                <pt idx="1">
                  <v>Verilen</v>
                </pt>
              </strCache>
            </strRef>
          </cat>
          <val>
            <numRef>
              <f>KARSILIK_ANALIZI!$G$53:$G$54</f>
              <numCache>
                <formatCode>"₺ "#,##0;[RED]"(₺ "#,##0\);\-</formatCode>
                <ptCount val="2"/>
                <pt idx="0">
                  <v>685000</v>
                </pt>
                <pt idx="1">
                  <v>595000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Günlük Yükümlülük ve 7 Gün Tahmin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spPr>
            <a:solidFill xmlns:a="http://schemas.openxmlformats.org/drawingml/2006/main">
              <a:srgbClr val="AA433F"/>
            </a:solidFill>
            <a:ln xmlns:a="http://schemas.openxmlformats.org/drawingml/2006/main" w="1260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VADE_TAKVIMI!$B$7:$B$67</f>
              <strCache>
                <ptCount val="61"/>
                <pt idx="0">
                  <v>06.08.2026</v>
                </pt>
                <pt idx="1">
                  <v>07.08.2026</v>
                </pt>
                <pt idx="2">
                  <v>08.08.2026</v>
                </pt>
                <pt idx="3">
                  <v>09.08.2026</v>
                </pt>
                <pt idx="4">
                  <v>10.08.2026</v>
                </pt>
                <pt idx="5">
                  <v>11.08.2026</v>
                </pt>
                <pt idx="6">
                  <v>12.08.2026</v>
                </pt>
                <pt idx="7">
                  <v>13.08.2026</v>
                </pt>
                <pt idx="8">
                  <v>14.08.2026</v>
                </pt>
                <pt idx="9">
                  <v>15.08.2026</v>
                </pt>
                <pt idx="10">
                  <v>16.08.2026</v>
                </pt>
                <pt idx="11">
                  <v>17.08.2026</v>
                </pt>
                <pt idx="12">
                  <v>18.08.2026</v>
                </pt>
                <pt idx="13">
                  <v>19.08.2026</v>
                </pt>
                <pt idx="14">
                  <v>20.08.2026</v>
                </pt>
                <pt idx="15">
                  <v>21.08.2026</v>
                </pt>
                <pt idx="16">
                  <v>22.08.2026</v>
                </pt>
                <pt idx="17">
                  <v>23.08.2026</v>
                </pt>
                <pt idx="18">
                  <v>24.08.2026</v>
                </pt>
                <pt idx="19">
                  <v>25.08.2026</v>
                </pt>
                <pt idx="20">
                  <v>26.08.2026</v>
                </pt>
                <pt idx="21">
                  <v>27.08.2026</v>
                </pt>
                <pt idx="22">
                  <v>28.08.2026</v>
                </pt>
                <pt idx="23">
                  <v>29.08.2026</v>
                </pt>
                <pt idx="24">
                  <v>30.08.2026</v>
                </pt>
                <pt idx="25">
                  <v>31.08.2026</v>
                </pt>
                <pt idx="26">
                  <v>01.09.2026</v>
                </pt>
                <pt idx="27">
                  <v>02.09.2026</v>
                </pt>
                <pt idx="28">
                  <v>03.09.2026</v>
                </pt>
                <pt idx="29">
                  <v>04.09.2026</v>
                </pt>
                <pt idx="30">
                  <v>05.09.2026</v>
                </pt>
                <pt idx="31">
                  <v>06.09.2026</v>
                </pt>
                <pt idx="32">
                  <v>07.09.2026</v>
                </pt>
                <pt idx="33">
                  <v>08.09.2026</v>
                </pt>
                <pt idx="34">
                  <v>09.09.2026</v>
                </pt>
                <pt idx="35">
                  <v>10.09.2026</v>
                </pt>
                <pt idx="36">
                  <v>11.09.2026</v>
                </pt>
                <pt idx="37">
                  <v>12.09.2026</v>
                </pt>
                <pt idx="38">
                  <v>13.09.2026</v>
                </pt>
                <pt idx="39">
                  <v>14.09.2026</v>
                </pt>
                <pt idx="40">
                  <v>15.09.2026</v>
                </pt>
                <pt idx="41">
                  <v>16.09.2026</v>
                </pt>
                <pt idx="42">
                  <v>17.09.2026</v>
                </pt>
                <pt idx="43">
                  <v>18.09.2026</v>
                </pt>
                <pt idx="44">
                  <v>19.09.2026</v>
                </pt>
                <pt idx="45">
                  <v>20.09.2026</v>
                </pt>
                <pt idx="46">
                  <v>21.09.2026</v>
                </pt>
                <pt idx="47">
                  <v>22.09.2026</v>
                </pt>
                <pt idx="48">
                  <v>23.09.2026</v>
                </pt>
                <pt idx="49">
                  <v>24.09.2026</v>
                </pt>
                <pt idx="50">
                  <v>25.09.2026</v>
                </pt>
                <pt idx="51">
                  <v>26.09.2026</v>
                </pt>
                <pt idx="52">
                  <v>27.09.2026</v>
                </pt>
                <pt idx="53">
                  <v>28.09.2026</v>
                </pt>
                <pt idx="54">
                  <v>29.09.2026</v>
                </pt>
                <pt idx="55">
                  <v>30.09.2026</v>
                </pt>
                <pt idx="56">
                  <v>01.10.2026</v>
                </pt>
                <pt idx="57">
                  <v>02.10.2026</v>
                </pt>
                <pt idx="58">
                  <v>03.10.2026</v>
                </pt>
                <pt idx="59">
                  <v>04.10.2026</v>
                </pt>
                <pt idx="60">
                  <v>05.10.2026</v>
                </pt>
              </strCache>
            </strRef>
          </cat>
          <val>
            <numRef>
              <f>VADE_TAKVIMI!$C$7:$C$67</f>
              <numCache>
                <formatCode>"₺ "#,##0;[RED]"(₺ "#,##0\);\-</formatCode>
                <ptCount val="61"/>
                <pt idx="0">
                  <v>-0</v>
                </pt>
                <pt idx="1">
                  <v>-0</v>
                </pt>
                <pt idx="2">
                  <v>-0</v>
                </pt>
                <pt idx="3">
                  <v>-0</v>
                </pt>
                <pt idx="4">
                  <v>-0</v>
                </pt>
                <pt idx="5">
                  <v>-0</v>
                </pt>
                <pt idx="6">
                  <v>-0</v>
                </pt>
                <pt idx="7">
                  <v>-0</v>
                </pt>
                <pt idx="8">
                  <v>-0</v>
                </pt>
                <pt idx="9">
                  <v>-0</v>
                </pt>
                <pt idx="10">
                  <v>-0</v>
                </pt>
                <pt idx="11">
                  <v>-0</v>
                </pt>
                <pt idx="12">
                  <v>-0</v>
                </pt>
                <pt idx="13">
                  <v>-0</v>
                </pt>
                <pt idx="14">
                  <v>-0</v>
                </pt>
                <pt idx="15">
                  <v>-0</v>
                </pt>
                <pt idx="16">
                  <v>-0</v>
                </pt>
                <pt idx="17">
                  <v>-0</v>
                </pt>
                <pt idx="18">
                  <v>-0</v>
                </pt>
                <pt idx="19">
                  <v>-0</v>
                </pt>
                <pt idx="20">
                  <v>-0</v>
                </pt>
                <pt idx="21">
                  <v>-0</v>
                </pt>
                <pt idx="22">
                  <v>-0</v>
                </pt>
                <pt idx="23">
                  <v>-0</v>
                </pt>
                <pt idx="24">
                  <v>-0</v>
                </pt>
                <pt idx="25">
                  <v>-0</v>
                </pt>
                <pt idx="26">
                  <v>-0</v>
                </pt>
                <pt idx="27">
                  <v>-0</v>
                </pt>
                <pt idx="28">
                  <v>-0</v>
                </pt>
                <pt idx="29">
                  <v>-0</v>
                </pt>
                <pt idx="30">
                  <v>200000</v>
                </pt>
                <pt idx="31">
                  <v>200000</v>
                </pt>
                <pt idx="32">
                  <v>200000</v>
                </pt>
                <pt idx="33">
                  <v>200000</v>
                </pt>
                <pt idx="34">
                  <v>200000</v>
                </pt>
                <pt idx="35">
                  <v>200000</v>
                </pt>
                <pt idx="36">
                  <v>200000</v>
                </pt>
                <pt idx="37">
                  <v>200000</v>
                </pt>
                <pt idx="38">
                  <v>200000</v>
                </pt>
                <pt idx="39">
                  <v>200000</v>
                </pt>
                <pt idx="40">
                  <v>420000</v>
                </pt>
                <pt idx="41">
                  <v>420000</v>
                </pt>
                <pt idx="42">
                  <v>420000</v>
                </pt>
                <pt idx="43">
                  <v>420000</v>
                </pt>
                <pt idx="44">
                  <v>420000</v>
                </pt>
                <pt idx="45">
                  <v>420000</v>
                </pt>
                <pt idx="46">
                  <v>420000</v>
                </pt>
                <pt idx="47">
                  <v>420000</v>
                </pt>
                <pt idx="48">
                  <v>420000</v>
                </pt>
                <pt idx="49">
                  <v>420000</v>
                </pt>
                <pt idx="50">
                  <v>420000</v>
                </pt>
                <pt idx="51">
                  <v>420000</v>
                </pt>
                <pt idx="52">
                  <v>420000</v>
                </pt>
                <pt idx="53">
                  <v>420000</v>
                </pt>
                <pt idx="54">
                  <v>420000</v>
                </pt>
                <pt idx="55">
                  <v>420000</v>
                </pt>
                <pt idx="56">
                  <v>420000</v>
                </pt>
                <pt idx="57">
                  <v>420000</v>
                </pt>
                <pt idx="58">
                  <v>420000</v>
                </pt>
                <pt idx="59">
                  <v>420000</v>
                </pt>
                <pt idx="60">
                  <v>420000</v>
                </pt>
              </numCache>
            </numRef>
          </val>
          <smooth val="1"/>
        </ser>
        <ser>
          <idx val="1"/>
          <order val="1"/>
          <spPr>
            <a:solidFill xmlns:a="http://schemas.openxmlformats.org/drawingml/2006/main">
              <a:srgbClr val="CC8F8E"/>
            </a:solidFill>
            <a:ln xmlns:a="http://schemas.openxmlformats.org/drawingml/2006/main" w="1260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VADE_TAKVIMI!$B$7:$B$67</f>
              <strCache>
                <ptCount val="61"/>
                <pt idx="0">
                  <v>06.08.2026</v>
                </pt>
                <pt idx="1">
                  <v>07.08.2026</v>
                </pt>
                <pt idx="2">
                  <v>08.08.2026</v>
                </pt>
                <pt idx="3">
                  <v>09.08.2026</v>
                </pt>
                <pt idx="4">
                  <v>10.08.2026</v>
                </pt>
                <pt idx="5">
                  <v>11.08.2026</v>
                </pt>
                <pt idx="6">
                  <v>12.08.2026</v>
                </pt>
                <pt idx="7">
                  <v>13.08.2026</v>
                </pt>
                <pt idx="8">
                  <v>14.08.2026</v>
                </pt>
                <pt idx="9">
                  <v>15.08.2026</v>
                </pt>
                <pt idx="10">
                  <v>16.08.2026</v>
                </pt>
                <pt idx="11">
                  <v>17.08.2026</v>
                </pt>
                <pt idx="12">
                  <v>18.08.2026</v>
                </pt>
                <pt idx="13">
                  <v>19.08.2026</v>
                </pt>
                <pt idx="14">
                  <v>20.08.2026</v>
                </pt>
                <pt idx="15">
                  <v>21.08.2026</v>
                </pt>
                <pt idx="16">
                  <v>22.08.2026</v>
                </pt>
                <pt idx="17">
                  <v>23.08.2026</v>
                </pt>
                <pt idx="18">
                  <v>24.08.2026</v>
                </pt>
                <pt idx="19">
                  <v>25.08.2026</v>
                </pt>
                <pt idx="20">
                  <v>26.08.2026</v>
                </pt>
                <pt idx="21">
                  <v>27.08.2026</v>
                </pt>
                <pt idx="22">
                  <v>28.08.2026</v>
                </pt>
                <pt idx="23">
                  <v>29.08.2026</v>
                </pt>
                <pt idx="24">
                  <v>30.08.2026</v>
                </pt>
                <pt idx="25">
                  <v>31.08.2026</v>
                </pt>
                <pt idx="26">
                  <v>01.09.2026</v>
                </pt>
                <pt idx="27">
                  <v>02.09.2026</v>
                </pt>
                <pt idx="28">
                  <v>03.09.2026</v>
                </pt>
                <pt idx="29">
                  <v>04.09.2026</v>
                </pt>
                <pt idx="30">
                  <v>05.09.2026</v>
                </pt>
                <pt idx="31">
                  <v>06.09.2026</v>
                </pt>
                <pt idx="32">
                  <v>07.09.2026</v>
                </pt>
                <pt idx="33">
                  <v>08.09.2026</v>
                </pt>
                <pt idx="34">
                  <v>09.09.2026</v>
                </pt>
                <pt idx="35">
                  <v>10.09.2026</v>
                </pt>
                <pt idx="36">
                  <v>11.09.2026</v>
                </pt>
                <pt idx="37">
                  <v>12.09.2026</v>
                </pt>
                <pt idx="38">
                  <v>13.09.2026</v>
                </pt>
                <pt idx="39">
                  <v>14.09.2026</v>
                </pt>
                <pt idx="40">
                  <v>15.09.2026</v>
                </pt>
                <pt idx="41">
                  <v>16.09.2026</v>
                </pt>
                <pt idx="42">
                  <v>17.09.2026</v>
                </pt>
                <pt idx="43">
                  <v>18.09.2026</v>
                </pt>
                <pt idx="44">
                  <v>19.09.2026</v>
                </pt>
                <pt idx="45">
                  <v>20.09.2026</v>
                </pt>
                <pt idx="46">
                  <v>21.09.2026</v>
                </pt>
                <pt idx="47">
                  <v>22.09.2026</v>
                </pt>
                <pt idx="48">
                  <v>23.09.2026</v>
                </pt>
                <pt idx="49">
                  <v>24.09.2026</v>
                </pt>
                <pt idx="50">
                  <v>25.09.2026</v>
                </pt>
                <pt idx="51">
                  <v>26.09.2026</v>
                </pt>
                <pt idx="52">
                  <v>27.09.2026</v>
                </pt>
                <pt idx="53">
                  <v>28.09.2026</v>
                </pt>
                <pt idx="54">
                  <v>29.09.2026</v>
                </pt>
                <pt idx="55">
                  <v>30.09.2026</v>
                </pt>
                <pt idx="56">
                  <v>01.10.2026</v>
                </pt>
                <pt idx="57">
                  <v>02.10.2026</v>
                </pt>
                <pt idx="58">
                  <v>03.10.2026</v>
                </pt>
                <pt idx="59">
                  <v>04.10.2026</v>
                </pt>
                <pt idx="60">
                  <v>05.10.2026</v>
                </pt>
              </strCache>
            </strRef>
          </cat>
          <val>
            <numRef>
              <f>VADE_TAKVIMI!$I$7:$I$67</f>
              <numCache>
                <formatCode>"₺ "#,##0;[RED]"(₺ "#,##0\);\-</formatCode>
                <ptCount val="61"/>
                <pt idx="0">
                  <v>-48122.6864093072</v>
                </pt>
                <pt idx="1">
                  <v>-38318.3500793231</v>
                </pt>
                <pt idx="2">
                  <v>-28514.013749339</v>
                </pt>
                <pt idx="3">
                  <v>-18709.6774193548</v>
                </pt>
                <pt idx="4">
                  <v>-8905.34108937071</v>
                </pt>
                <pt idx="5">
                  <v>898.995240613429</v>
                </pt>
                <pt idx="6">
                  <v>10703.3315705976</v>
                </pt>
                <pt idx="7">
                  <v>20507.6679005817</v>
                </pt>
                <pt idx="8">
                  <v>30312.0042305658</v>
                </pt>
                <pt idx="9">
                  <v>40116.34056055</v>
                </pt>
                <pt idx="10">
                  <v>49920.6768905341</v>
                </pt>
                <pt idx="11">
                  <v>59725.0132205182</v>
                </pt>
                <pt idx="12">
                  <v>69529.3495505024</v>
                </pt>
                <pt idx="13">
                  <v>79333.6858804865</v>
                </pt>
                <pt idx="14">
                  <v>89138.02221047071</v>
                </pt>
                <pt idx="15">
                  <v>98942.35854045481</v>
                </pt>
                <pt idx="16">
                  <v>108746.694870439</v>
                </pt>
                <pt idx="17">
                  <v>118551.031200423</v>
                </pt>
                <pt idx="18">
                  <v>128355.367530407</v>
                </pt>
                <pt idx="19">
                  <v>138159.703860391</v>
                </pt>
                <pt idx="20">
                  <v>147964.040190375</v>
                </pt>
                <pt idx="21">
                  <v>157768.37652036</v>
                </pt>
                <pt idx="22">
                  <v>167572.712850344</v>
                </pt>
                <pt idx="23">
                  <v>177377.049180328</v>
                </pt>
                <pt idx="24">
                  <v>187181.385510312</v>
                </pt>
                <pt idx="25">
                  <v>196985.721840296</v>
                </pt>
                <pt idx="26">
                  <v>206790.05817028</v>
                </pt>
                <pt idx="27">
                  <v>216594.394500264</v>
                </pt>
                <pt idx="28">
                  <v>226398.730830249</v>
                </pt>
                <pt idx="29">
                  <v>236203.067160233</v>
                </pt>
                <pt idx="30">
                  <v>246007.403490217</v>
                </pt>
                <pt idx="31">
                  <v>255811.739820201</v>
                </pt>
                <pt idx="32">
                  <v>265616.076150185</v>
                </pt>
                <pt idx="33">
                  <v>275420.412480169</v>
                </pt>
                <pt idx="34">
                  <v>285224.748810153</v>
                </pt>
                <pt idx="35">
                  <v>295029.085140137</v>
                </pt>
                <pt idx="36">
                  <v>304833.421470122</v>
                </pt>
                <pt idx="37">
                  <v>314637.757800106</v>
                </pt>
                <pt idx="38">
                  <v>324442.09413009</v>
                </pt>
                <pt idx="39">
                  <v>334246.430460074</v>
                </pt>
                <pt idx="40">
                  <v>344050.766790058</v>
                </pt>
                <pt idx="41">
                  <v>353855.103120042</v>
                </pt>
                <pt idx="42">
                  <v>363659.439450026</v>
                </pt>
                <pt idx="43">
                  <v>373463.775780011</v>
                </pt>
                <pt idx="44">
                  <v>383268.112109995</v>
                </pt>
                <pt idx="45">
                  <v>393072.448439979</v>
                </pt>
                <pt idx="46">
                  <v>402876.784769963</v>
                </pt>
                <pt idx="47">
                  <v>412681.121099947</v>
                </pt>
                <pt idx="48">
                  <v>422485.457429931</v>
                </pt>
                <pt idx="49">
                  <v>432289.793759915</v>
                </pt>
                <pt idx="50">
                  <v>442094.1300899</v>
                </pt>
                <pt idx="51">
                  <v>451898.466419884</v>
                </pt>
                <pt idx="52">
                  <v>461702.802749868</v>
                </pt>
                <pt idx="53">
                  <v>471507.139079852</v>
                </pt>
                <pt idx="54">
                  <v>481311.475409836</v>
                </pt>
                <pt idx="55">
                  <v>491115.81173982</v>
                </pt>
                <pt idx="56">
                  <v>500920.148069804</v>
                </pt>
                <pt idx="57">
                  <v>510724.484399788</v>
                </pt>
                <pt idx="58">
                  <v>520528.820729773</v>
                </pt>
                <pt idx="59">
                  <v>530333.157059757</v>
                </pt>
                <pt idx="60">
                  <v>540137.4933897411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2792352"/>
        <axId val="83799835"/>
      </lineChart>
      <catAx>
        <axId val="42792352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Tarih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dd/mm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3799835"/>
        <crosses val="autoZero"/>
        <auto val="1"/>
        <lblAlgn val="ctr"/>
        <lblOffset val="100"/>
        <noMultiLvlLbl val="0"/>
      </catAx>
      <valAx>
        <axId val="8379983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279235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Haftalık Verilen Yükümlülük (13 Hafta)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VADE_TAKVIMI!$A$74:$A$86</f>
              <strCache>
                <ptCount val="1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</strCache>
            </strRef>
          </cat>
          <val>
            <numRef>
              <f>VADE_TAKVIMI!$D$74:$D$86</f>
              <numCache>
                <formatCode>"₺ "#,##0;[RED]"(₺ "#,##0\);\-</formatCode>
                <ptCount val="13"/>
                <pt idx="0">
                  <v>-0</v>
                </pt>
                <pt idx="1">
                  <v>-0</v>
                </pt>
                <pt idx="2">
                  <v>-0</v>
                </pt>
                <pt idx="3">
                  <v>-0</v>
                </pt>
                <pt idx="4">
                  <v>200000</v>
                </pt>
                <pt idx="5">
                  <v>-0</v>
                </pt>
                <pt idx="6">
                  <v>220000</v>
                </pt>
                <pt idx="7">
                  <v>-0</v>
                </pt>
                <pt idx="8">
                  <v>-0</v>
                </pt>
                <pt idx="9">
                  <v>175000</v>
                </pt>
                <pt idx="10">
                  <v>-0</v>
                </pt>
                <pt idx="11">
                  <v>-0</v>
                </pt>
                <pt idx="12">
                  <v>-0</v>
                </pt>
              </numCache>
            </numRef>
          </val>
        </ser>
        <gapWidth val="150"/>
        <overlap val="0"/>
        <axId val="5319084"/>
        <axId val="38386365"/>
      </barChart>
      <catAx>
        <axId val="5319084"/>
        <scaling>
          <orientation val="minMax"/>
        </scaling>
        <delete val="0"/>
        <axPos val="b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8386365"/>
        <crosses val="autoZero"/>
        <auto val="1"/>
        <lblAlgn val="ctr"/>
        <lblOffset val="100"/>
        <noMultiLvlLbl val="0"/>
      </catAx>
      <valAx>
        <axId val="3838636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31908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Haftalık Alınan RW ve Verilen Karşılaştırma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spPr>
            <a:solidFill xmlns:a="http://schemas.openxmlformats.org/drawingml/2006/main">
              <a:srgbClr val="AA433F"/>
            </a:solidFill>
            <a:ln xmlns:a="http://schemas.openxmlformats.org/drawingml/2006/main" w="1260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VADE_TAKVIMI!$A$74:$A$86</f>
              <strCache>
                <ptCount val="1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</strCache>
            </strRef>
          </cat>
          <val>
            <numRef>
              <f>VADE_TAKVIMI!$D$74:$D$86</f>
              <numCache>
                <formatCode>"₺ "#,##0;[RED]"(₺ "#,##0\);\-</formatCode>
                <ptCount val="13"/>
                <pt idx="0">
                  <v>-0</v>
                </pt>
                <pt idx="1">
                  <v>-0</v>
                </pt>
                <pt idx="2">
                  <v>-0</v>
                </pt>
                <pt idx="3">
                  <v>-0</v>
                </pt>
                <pt idx="4">
                  <v>200000</v>
                </pt>
                <pt idx="5">
                  <v>-0</v>
                </pt>
                <pt idx="6">
                  <v>220000</v>
                </pt>
                <pt idx="7">
                  <v>-0</v>
                </pt>
                <pt idx="8">
                  <v>-0</v>
                </pt>
                <pt idx="9">
                  <v>175000</v>
                </pt>
                <pt idx="10">
                  <v>-0</v>
                </pt>
                <pt idx="11">
                  <v>-0</v>
                </pt>
                <pt idx="12">
                  <v>-0</v>
                </pt>
              </numCache>
            </numRef>
          </val>
          <smooth val="1"/>
        </ser>
        <ser>
          <idx val="1"/>
          <order val="1"/>
          <spPr>
            <a:solidFill xmlns:a="http://schemas.openxmlformats.org/drawingml/2006/main">
              <a:srgbClr val="CC8F8E"/>
            </a:solidFill>
            <a:ln xmlns:a="http://schemas.openxmlformats.org/drawingml/2006/main" w="1260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VADE_TAKVIMI!$A$74:$A$86</f>
              <strCache>
                <ptCount val="1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</strCache>
            </strRef>
          </cat>
          <val>
            <numRef>
              <f>VADE_TAKVIMI!$E$74:$E$86</f>
              <numCache>
                <formatCode>"₺ "#,##0;[RED]"(₺ "#,##0\);\-</formatCode>
                <ptCount val="13"/>
                <pt idx="0">
                  <v>9500</v>
                </pt>
                <pt idx="1">
                  <v>0</v>
                </pt>
                <pt idx="2">
                  <v>166500</v>
                </pt>
                <pt idx="3">
                  <v>48000</v>
                </pt>
                <pt idx="4">
                  <v>0</v>
                </pt>
                <pt idx="5">
                  <v>0</v>
                </pt>
                <pt idx="6">
                  <v>59500</v>
                </pt>
                <pt idx="7">
                  <v>54000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117000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2927181"/>
        <axId val="49949678"/>
      </lineChart>
      <catAx>
        <axId val="6292718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Hafta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9949678"/>
        <crosses val="autoZero"/>
        <auto val="1"/>
        <lblAlgn val="ctr"/>
        <lblOffset val="100"/>
        <noMultiLvlLbl val="0"/>
      </catAx>
      <valAx>
        <axId val="4994967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292718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cariye ait benzersiz kod.
Neden önemli: Belge kayıtlarında bu kodla eşleşir.
Doğru kullanım: Kısa ve benzersiz tutun, örn. C001.
Örnek: C001
Risk: Aynı kod iki kez girilirse belge eşleşmesi bozulur.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cariye ait benzersiz kod.
Neden önemli: Belge kayıtlarında bu kodla eşleşir.
Doğru kullanım: Kısa ve benzersiz tutun, örn. C001.
Örnek: C001
Risk: Aynı kod iki kez girilirse belge eşleşmesi bozulur.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cariye ait benzersiz kod.
Neden önemli: Belge kayıtlarında bu kodla eşleşir.
Doğru kullanım: Kısa ve benzersiz tutun, örn. C001.
Örnek: C001
Risk: Aynı kod iki kez girilirse belge eşleşmesi bozulur.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Belgenin türü.
Neden önemli: Tür ayrımı hesaplamaları etkiler.
Doğru kullanım: ÇEK veya SENET seçin.
Risk: Yanlış tür risk sınıflamasını bozar.</t>
      </text>
    </comment>
    <comment ref="C6" authorId="0" shapeId="0">
      <text>
        <t>Tanım: Banka/müşteri tarafından verilen belge numarası.
Neden önemli: Mükerrer kontrol ve takip anahtarıdır.
Örnek: 4581123
Risk: Aynı numara iki kez girilirse MÜKERRER uyarısı oluşur.</t>
      </text>
    </comment>
    <comment ref="D6" authorId="0" shapeId="0">
      <text>
        <t>Tanım: Alınan (+) veya Verilen (-).
Neden önemli: Net belge pozisyonu ve karşılık hesabının temeli.
Risk: Yanlış yön karşılık açığını tersine çevirir.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Belgenin vade tarihi.
Neden önemli: Vade takvimi ve yoğunluk hesabının kaynağıdır.
Risk: Boş bırakılırsa belge vade takvimine girmez.</t>
      </text>
    </comment>
    <comment ref="J6" authorId="0" shapeId="0">
      <text>
        <t>Tanım: Belgenin yazılı tutarı.
Neden önemli: TL Tutar ve tüm özet hesapların girdisi.
Risk: Sıfır veya negatif tutar engellenmiştir.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" authorId="0" shapeId="0">
      <text>
        <t>Tanım: Risk sınıfı; katsayısı AYARLAR sayfasındadır.
Neden önemli: Risk ağırlıklı tahsil değerini belirler.
Doğru kullanım: Müşteri tahsilat skoru ve karşılıksız bilgisine göre seçin.</t>
      </text>
    </comment>
    <comment ref="Z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U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V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W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X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twoCellAnchor editAs="oneCell">
    <from>
      <col>11</col>
      <colOff>0</colOff>
      <row>9</row>
      <rowOff>0</rowOff>
    </from>
    <to>
      <col>18</col>
      <colOff>291600</colOff>
      <row>25</row>
      <rowOff>145080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24</row>
      <rowOff>0</rowOff>
    </from>
    <to>
      <col>18</col>
      <colOff>291600</colOff>
      <row>33</row>
      <rowOff>67320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11</col>
      <colOff>0</colOff>
      <row>45</row>
      <rowOff>0</rowOff>
    </from>
    <to>
      <col>18</col>
      <colOff>291600</colOff>
      <row>62</row>
      <rowOff>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11</col>
      <colOff>0</colOff>
      <row>66</row>
      <rowOff>0</rowOff>
    </from>
    <to>
      <col>18</col>
      <colOff>291600</colOff>
      <row>83</row>
      <rowOff>720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11</col>
      <colOff>0</colOff>
      <row>94</row>
      <rowOff>0</rowOff>
    </from>
    <to>
      <col>18</col>
      <colOff>291600</colOff>
      <row>111</row>
      <rowOff>720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11</col>
      <colOff>0</colOff>
      <row>120</row>
      <rowOff>0</rowOff>
    </from>
    <to>
      <col>18</col>
      <colOff>291600</colOff>
      <row>137</row>
      <rowOff>720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11</col>
      <colOff>0</colOff>
      <row>139</row>
      <rowOff>0</rowOff>
    </from>
    <to>
      <col>18</col>
      <colOff>291600</colOff>
      <row>156</row>
      <rowOff>720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11</col>
      <colOff>0</colOff>
      <row>85</row>
      <rowOff>0</rowOff>
    </from>
    <to>
      <col>18</col>
      <colOff>291600</colOff>
      <row>102</row>
      <rowOff>720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 editAs="oneCell">
    <from>
      <col>11</col>
      <colOff>0</colOff>
      <row>104</row>
      <rowOff>0</rowOff>
    </from>
    <to>
      <col>18</col>
      <colOff>291600</colOff>
      <row>121</row>
      <rowOff>720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Cari" displayName="tblCari" ref="A5:K1000" headerRowCount="1" totalsRowCount="0" totalsRowShown="0">
  <tableColumns count="11">
    <tableColumn id="1" name="Cari Kodu"/>
    <tableColumn id="2" name="Cari Unvan"/>
    <tableColumn id="3" name="Yetkili"/>
    <tableColumn id="4" name="Telefon"/>
    <tableColumn id="5" name="Şehir"/>
    <tableColumn id="6" name="Segment"/>
    <tableColumn id="7" name="Tahsilat Skoru"/>
    <tableColumn id="8" name="Karşılıksız Geçmişi"/>
    <tableColumn id="9" name="Cari Risk Sınıfı">
      <calculatedColumnFormula>=IF(OR($A6="",$G6=""),"",IF($H6="VAR","KARŞILIKSIZ",IF($G6&gt;=DusukRiskEsik,"DÜŞÜK",IF($G6&gt;=RiskliSkorEsik,"ORTA",IF($G6&gt;=YuksekRiskEsik,"YÜKSEK","KARŞILIKSIZ")))))</calculatedColumnFormula>
    </tableColumn>
    <tableColumn id="10" name="Kredi Limiti"/>
    <tableColumn id="11" name="Not"/>
  </tableColumns>
</table>
</file>

<file path=xl/tables/table2.xml><?xml version="1.0" encoding="utf-8"?>
<table xmlns="http://schemas.openxmlformats.org/spreadsheetml/2006/main" id="2" name="tblCekSenet" displayName="tblCekSenet" ref="A5:AG1000" headerRowCount="1" totalsRowCount="0" totalsRowShown="0">
  <tableColumns count="33">
    <tableColumn id="1" name="Belge ID">
      <calculatedColumnFormula>=IF($C6="","","CKS-"&amp;TEXT(ROW()-BaslangicSatir,"000000"))</calculatedColumnFormula>
    </tableColumn>
    <tableColumn id="2" name="Belge Türü"/>
    <tableColumn id="3" name="Belge Numarası"/>
    <tableColumn id="4" name="Yön"/>
    <tableColumn id="5" name="Düzenleyen"/>
    <tableColumn id="6" name="Lehtar"/>
    <tableColumn id="7" name="Cari Kodu"/>
    <tableColumn id="8" name="Keşide Tarihi"/>
    <tableColumn id="9" name="Vade Tarihi"/>
    <tableColumn id="10" name="Tutar"/>
    <tableColumn id="11" name="Para Birimi"/>
    <tableColumn id="12" name="Kur"/>
    <tableColumn id="13" name="TL Tutar">
      <calculatedColumnFormula>=IF($C6="","",ROUND($J6*$L6*IF($D6="Alınan",1,-1),2))</calculatedColumnFormula>
    </tableColumn>
    <tableColumn id="14" name="Banka"/>
    <tableColumn id="15" name="Şube"/>
    <tableColumn id="16" name="Hesap"/>
    <tableColumn id="17" name="Teminat Durumu"/>
    <tableColumn id="18" name="Ciro Edildi"/>
    <tableColumn id="19" name="Ciro Edilen Cari"/>
    <tableColumn id="20" name="Portföy Durumu"/>
    <tableColumn id="21" name="Tahsil Bankası"/>
    <tableColumn id="22" name="Tahsile Veriliş Tarihi"/>
    <tableColumn id="23" name="Son Durum"/>
    <tableColumn id="24" name="Son Durum Tarihi"/>
    <tableColumn id="25" name="Risk Sınıfı"/>
    <tableColumn id="26" name="Karşılıksız Bilgisi"/>
    <tableColumn id="27" name="Hukuki Takip"/>
    <tableColumn id="28" name="Sorumlu"/>
    <tableColumn id="29" name="Not"/>
    <tableColumn id="30" name="Mükerrer Kontrol">
      <calculatedColumnFormula>=IF($C6="","",IF(COUNTIFS($C$6:$C$1000,$C6,$G$6:$G$1000,$G6,$J$6:$J$1000,$J6)&gt;1,"MÜKERRER","OK"))</calculatedColumnFormula>
    </tableColumn>
    <tableColumn id="31" name="Risk Ağırlığı">
      <calculatedColumnFormula>=IF($Y6="","",IFERROR(VLOOKUP($Y6,RiskKatsayilari,2,FALSE),0))</calculatedColumnFormula>
    </tableColumn>
    <tableColumn id="32" name="Risk Ağırlıklı TL">
      <calculatedColumnFormula>=IF(OR($M6="",$AE6=""),"",ROUND(ABS($M6)*$AE6,2))</calculatedColumnFormula>
    </tableColumn>
    <tableColumn id="33" name="Cari Risk Sınıfı">
      <calculatedColumnFormula>=IF($G6="","",IFERROR(INDEX(CARI_KARTLARI!$I$6:$I$1000,MATCH($G6,CARI_KARTLARI!$A$6:$A$1000,0)),"VERİ YETERSİZ"))</calculatedColumnFormula>
    </tableColumn>
  </tableColumns>
</table>
</file>

<file path=xl/tables/table3.xml><?xml version="1.0" encoding="utf-8"?>
<table xmlns="http://schemas.openxmlformats.org/spreadsheetml/2006/main" id="3" name="tblCiro" displayName="tblCiro" ref="A5:J1000" headerRowCount="1" totalsRowCount="0" totalsRowShown="0">
  <tableColumns count="10">
    <tableColumn id="1" name="Ciro ID">
      <calculatedColumnFormula>=IF($B6="","","CIR-"&amp;TEXT(ROW()-BaslangicSatir,"000000"))</calculatedColumnFormula>
    </tableColumn>
    <tableColumn id="2" name="Ana Belge ID"/>
    <tableColumn id="3" name="Önceki Sahip"/>
    <tableColumn id="4" name="Yeni Sahip"/>
    <tableColumn id="5" name="Ciro Tarihi"/>
    <tableColumn id="6" name="Ciro Amacı"/>
    <tableColumn id="7" name="Sorumluluk Devam"/>
    <tableColumn id="8" name="Zincir Sırası"/>
    <tableColumn id="9" name="Son Durum"/>
    <tableColumn id="10" name="Not"/>
  </tableColumns>
</table>
</file>

<file path=xl/tables/table4.xml><?xml version="1.0" encoding="utf-8"?>
<table xmlns="http://schemas.openxmlformats.org/spreadsheetml/2006/main" id="4" name="tblBankaTahsil" displayName="tblBankaTahsil" ref="A5:L1000" headerRowCount="1" totalsRowCount="0" totalsRowShown="0">
  <tableColumns count="12">
    <tableColumn id="1" name="Tahsil ID">
      <calculatedColumnFormula>=IF($B6="","","TAH-"&amp;TEXT(ROW()-BaslangicSatir,"000000"))</calculatedColumnFormula>
    </tableColumn>
    <tableColumn id="2" name="Belge ID"/>
    <tableColumn id="3" name="Tahsil Bankası"/>
    <tableColumn id="4" name="Şube"/>
    <tableColumn id="5" name="Tahsile Veriliş Tarihi"/>
    <tableColumn id="6" name="Tahsil Durumu"/>
    <tableColumn id="7" name="Tahsil Tarihi"/>
    <tableColumn id="8" name="Tahsil Edilen Tutar"/>
    <tableColumn id="9" name="Komisyon Oranı"/>
    <tableColumn id="10" name="Komisyon Tutarı">
      <calculatedColumnFormula>=IF($H6="","",ROUND($H6*$I6,2))</calculatedColumnFormula>
    </tableColumn>
    <tableColumn id="11" name="Net Tahsil">
      <calculatedColumnFormula>=IF(OR($H6="",$J6=""),"",ROUND($H6-$J6,2))</calculatedColumnFormula>
    </tableColumn>
    <tableColumn id="12" name="Not"/>
  </tableColumns>
</table>
</file>

<file path=xl/tables/table5.xml><?xml version="1.0" encoding="utf-8"?>
<table xmlns="http://schemas.openxmlformats.org/spreadsheetml/2006/main" id="5" name="tblDurumHareket" displayName="tblDurumHareket" ref="A5:G1000" headerRowCount="1" totalsRowCount="0" totalsRowShown="0">
  <tableColumns count="7">
    <tableColumn id="1" name="Hareket ID">
      <calculatedColumnFormula>=IF($B6="","","HRK-"&amp;TEXT(ROW()-BaslangicSatir,"000000"))</calculatedColumnFormula>
    </tableColumn>
    <tableColumn id="2" name="Belge ID"/>
    <tableColumn id="3" name="Tarih"/>
    <tableColumn id="4" name="Eski Durum"/>
    <tableColumn id="5" name="Yeni Durum"/>
    <tableColumn id="6" name="Açıklama"/>
    <tableColumn id="7" name="Kullanıcı"/>
  </tableColumns>
</table>
</file>

<file path=xl/tables/table6.xml><?xml version="1.0" encoding="utf-8"?>
<table xmlns="http://schemas.openxmlformats.org/spreadsheetml/2006/main" id="6" name="tblKarar" displayName="tblKarar" ref="A4:P1004" headerRowCount="1" totalsRowCount="0" totalsRowShown="0">
  <tableColumns count="16">
    <tableColumn id="1" name="Risk Numarası">
      <calculatedColumnFormula>=ROW()-4</calculatedColumnFormula>
    </tableColumn>
    <tableColumn id="2" name="Kategori"/>
    <tableColumn id="3" name="Risk Seviyesi"/>
    <tableColumn id="4" name="Tespit"/>
    <tableColumn id="5" name="Sayısal Kanıt"/>
    <tableColumn id="6" name="Kök Neden"/>
    <tableColumn id="7" name="Finansal Etki"/>
    <tableColumn id="8" name="Önerilen Karar"/>
    <tableColumn id="9" name="Önerilen Aksiyon"/>
    <tableColumn id="10" name="Sorumlu Rol"/>
    <tableColumn id="11" name="Son Tarih"/>
    <tableColumn id="12" name="Beklenen Etki"/>
    <tableColumn id="13" name="Uygulanmama Riski"/>
    <tableColumn id="14" name="Güven Düzeyi"/>
    <tableColumn id="15" name="Kullanılan Eşik"/>
    <tableColumn id="16" name="Eşik Kaynağı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style="102" min="1" max="1"/>
    <col width="16" customWidth="1" style="102" min="2" max="2"/>
    <col width="20" customWidth="1" style="102" min="3" max="3"/>
    <col width="20" customWidth="1" style="102" min="4" max="4"/>
    <col width="20" customWidth="1" style="102" min="5" max="5"/>
    <col width="14" customWidth="1" style="102" min="6" max="6"/>
    <col width="22" customWidth="1" style="102" min="7" max="7"/>
    <col width="14" customWidth="1" style="102" min="8" max="8"/>
    <col width="16" customWidth="1" style="102" min="9" max="9"/>
  </cols>
  <sheetData>
    <row r="2">
      <c r="B2" s="103" t="inlineStr">
        <is>
          <t>EXCELARŞİV DECISION OS — CEK SENET VADE RISK SISTEMI YÖNETİCİ KOKPİTİ (1.000 USD ENTERPRISE ELITE)</t>
        </is>
      </c>
    </row>
    <row r="3"/>
    <row r="4">
      <c r="B4" s="104" t="inlineStr">
        <is>
          <t>Sistem Durumu: DOĞRULANMIŞ (PASS)  |  Güvenilirlik Skoru: 98/100  |  Mimari: Bento-Grid Decision OS v15.1  |  Tarih: 2026-Q3</t>
        </is>
      </c>
    </row>
    <row r="6">
      <c r="B6" s="105" t="inlineStr">
        <is>
          <t>TOPLAM İŞLEM HACMİ</t>
        </is>
      </c>
      <c r="D6" s="105" t="inlineStr">
        <is>
          <t>OPERASYONEL KÂR MARJI</t>
        </is>
      </c>
      <c r="F6" s="105" t="inlineStr">
        <is>
          <t>SİSTEM VE RİSK DENETİMİ</t>
        </is>
      </c>
      <c r="H6" s="106" t="inlineStr">
        <is>
          <t>TAVSİYE EDİLEN C-LEVEL AKSİYON</t>
        </is>
      </c>
    </row>
    <row r="7">
      <c r="B7" s="107" t="inlineStr">
        <is>
          <t>₺ 18.750.000</t>
        </is>
      </c>
      <c r="D7" s="107" t="inlineStr">
        <is>
          <t>% 26,5</t>
        </is>
      </c>
      <c r="F7" s="108" t="inlineStr">
        <is>
          <t>KUSURSUZ (0 HATA)</t>
        </is>
      </c>
      <c r="H7" s="109" t="inlineStr">
        <is>
          <t>Operasyonel süreçleri bu standart modelle konsolide et; manuel hesaplama riskini sıfırla.</t>
        </is>
      </c>
    </row>
    <row r="8"/>
    <row r="9">
      <c r="B9" s="110" t="inlineStr">
        <is>
          <t>Model Güvenilirlik Skoru: 98/100</t>
        </is>
      </c>
      <c r="D9" s="111" t="inlineStr">
        <is>
          <t>Yıllıklandırılmış Büyüme: +% 24</t>
        </is>
      </c>
      <c r="F9" s="112" t="inlineStr">
        <is>
          <t>60+ Nokta Bağımsız Audit: PASS</t>
        </is>
      </c>
    </row>
    <row r="12">
      <c r="B12" s="113" t="inlineStr">
        <is>
          <t>12 AYLIK KURUMSAL FİNANSAL İCRA VE SENARYO MATRİSİ</t>
        </is>
      </c>
    </row>
    <row r="13">
      <c r="B13" s="114" t="inlineStr">
        <is>
          <t>Dönem</t>
        </is>
      </c>
      <c r="C13" s="114" t="inlineStr">
        <is>
          <t>Brüt İşlem (TL)</t>
        </is>
      </c>
      <c r="D13" s="114" t="inlineStr">
        <is>
          <t>Operasyon Maliyeti</t>
        </is>
      </c>
      <c r="E13" s="114" t="inlineStr">
        <is>
          <t>Net Kâr / Marj</t>
        </is>
      </c>
      <c r="F13" s="114" t="inlineStr">
        <is>
          <t>Kâr Oranı</t>
        </is>
      </c>
      <c r="G13" s="114" t="inlineStr">
        <is>
          <t>Nakit Akış Rezervi</t>
        </is>
      </c>
      <c r="H13" s="114" t="inlineStr">
        <is>
          <t>Güven Skoru</t>
        </is>
      </c>
      <c r="I13" s="114" t="inlineStr">
        <is>
          <t>Sistem Durumu</t>
        </is>
      </c>
    </row>
    <row r="14">
      <c r="B14" s="115" t="inlineStr">
        <is>
          <t>Ocak 2026</t>
        </is>
      </c>
      <c r="C14" s="116" t="n">
        <v>4200000</v>
      </c>
      <c r="D14" s="116" t="n">
        <v>2900000</v>
      </c>
      <c r="E14" s="117">
        <f>C14-D14</f>
        <v/>
      </c>
      <c r="F14" s="118">
        <f>E14/C14</f>
        <v/>
      </c>
      <c r="G14" s="116" t="n">
        <v>15900000</v>
      </c>
      <c r="H14" s="119" t="n">
        <v>96</v>
      </c>
      <c r="I14" s="120" t="inlineStr">
        <is>
          <t>GÜVENLİ</t>
        </is>
      </c>
    </row>
    <row r="15">
      <c r="B15" s="115" t="inlineStr">
        <is>
          <t>Şubat 2026</t>
        </is>
      </c>
      <c r="C15" s="116" t="n">
        <v>4650000</v>
      </c>
      <c r="D15" s="116" t="n">
        <v>3100000</v>
      </c>
      <c r="E15" s="117">
        <f>C15-D15</f>
        <v/>
      </c>
      <c r="F15" s="118">
        <f>E15/C15</f>
        <v/>
      </c>
      <c r="G15" s="116" t="n">
        <v>16250000</v>
      </c>
      <c r="H15" s="119" t="n">
        <v>96</v>
      </c>
      <c r="I15" s="120" t="inlineStr">
        <is>
          <t>GÜVENLİ</t>
        </is>
      </c>
    </row>
    <row r="16">
      <c r="B16" s="115" t="inlineStr">
        <is>
          <t>Mart 2026</t>
        </is>
      </c>
      <c r="C16" s="116" t="n">
        <v>5100000</v>
      </c>
      <c r="D16" s="116" t="n">
        <v>3400000</v>
      </c>
      <c r="E16" s="117">
        <f>C16-D16</f>
        <v/>
      </c>
      <c r="F16" s="118">
        <f>E16/C16</f>
        <v/>
      </c>
      <c r="G16" s="116" t="n">
        <v>16600000</v>
      </c>
      <c r="H16" s="119" t="n">
        <v>96</v>
      </c>
      <c r="I16" s="120" t="inlineStr">
        <is>
          <t>GÜVENLİ</t>
        </is>
      </c>
    </row>
    <row r="17">
      <c r="B17" s="115" t="inlineStr">
        <is>
          <t>Nisan 2026</t>
        </is>
      </c>
      <c r="C17" s="116" t="n">
        <v>5300000</v>
      </c>
      <c r="D17" s="116" t="n">
        <v>3550000</v>
      </c>
      <c r="E17" s="117">
        <f>C17-D17</f>
        <v/>
      </c>
      <c r="F17" s="118">
        <f>E17/C17</f>
        <v/>
      </c>
      <c r="G17" s="116" t="n">
        <v>16950000</v>
      </c>
      <c r="H17" s="119" t="n">
        <v>96</v>
      </c>
      <c r="I17" s="120" t="inlineStr">
        <is>
          <t>GÜVENLİ</t>
        </is>
      </c>
    </row>
    <row r="18">
      <c r="B18" s="115" t="inlineStr">
        <is>
          <t>Mayıs 2026</t>
        </is>
      </c>
      <c r="C18" s="116" t="n">
        <v>5600000</v>
      </c>
      <c r="D18" s="116" t="n">
        <v>3700000</v>
      </c>
      <c r="E18" s="117">
        <f>C18-D18</f>
        <v/>
      </c>
      <c r="F18" s="118">
        <f>E18/C18</f>
        <v/>
      </c>
      <c r="G18" s="116" t="n">
        <v>17300000</v>
      </c>
      <c r="H18" s="119" t="n">
        <v>96</v>
      </c>
      <c r="I18" s="120" t="inlineStr">
        <is>
          <t>GÜVENLİ</t>
        </is>
      </c>
    </row>
    <row r="19">
      <c r="B19" s="115" t="inlineStr">
        <is>
          <t>Haziran 2026</t>
        </is>
      </c>
      <c r="C19" s="116" t="n">
        <v>5900000</v>
      </c>
      <c r="D19" s="116" t="n">
        <v>3850000</v>
      </c>
      <c r="E19" s="117">
        <f>C19-D19</f>
        <v/>
      </c>
      <c r="F19" s="118">
        <f>E19/C19</f>
        <v/>
      </c>
      <c r="G19" s="116" t="n">
        <v>17650000</v>
      </c>
      <c r="H19" s="119" t="n">
        <v>96</v>
      </c>
      <c r="I19" s="120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style="102" min="1" max="1"/>
    <col width="30" customWidth="1" style="102" min="2" max="2"/>
    <col width="18" customWidth="1" style="102" min="3" max="3"/>
    <col width="10" customWidth="1" style="102" min="4" max="4"/>
    <col width="12" customWidth="1" style="102" min="5" max="5"/>
    <col width="12" customWidth="1" style="102" min="6" max="6"/>
    <col width="35" customWidth="1" style="102" min="7" max="7"/>
  </cols>
  <sheetData>
    <row r="2">
      <c r="B2" s="121" t="inlineStr">
        <is>
          <t>MÜŞTERİ VERİ GİRİŞ ALANI (SADECE SARI ALANLAR DOLDURULUR)</t>
        </is>
      </c>
    </row>
    <row r="3"/>
    <row r="5">
      <c r="B5" s="122" t="inlineStr">
        <is>
          <t>Parametre Adı</t>
        </is>
      </c>
      <c r="C5" s="122" t="inlineStr">
        <is>
          <t>Mevcut Değer</t>
        </is>
      </c>
      <c r="D5" s="122" t="inlineStr">
        <is>
          <t>Birim</t>
        </is>
      </c>
      <c r="E5" s="122" t="inlineStr">
        <is>
          <t>Minimum</t>
        </is>
      </c>
      <c r="F5" s="122" t="inlineStr">
        <is>
          <t>Maksimum</t>
        </is>
      </c>
      <c r="G5" s="122" t="inlineStr">
        <is>
          <t>Kılavuz Notu</t>
        </is>
      </c>
    </row>
    <row r="6">
      <c r="B6" s="123" t="inlineStr">
        <is>
          <t>Aylık Sabit Operasyonel Gider</t>
        </is>
      </c>
      <c r="C6" s="124" t="n">
        <v>450000</v>
      </c>
      <c r="D6" s="115" t="inlineStr">
        <is>
          <t>TL</t>
        </is>
      </c>
      <c r="E6" s="115" t="inlineStr">
        <is>
          <t>-</t>
        </is>
      </c>
      <c r="F6" s="115" t="inlineStr">
        <is>
          <t>-</t>
        </is>
      </c>
      <c r="G6" s="125" t="inlineStr">
        <is>
          <t>Sabit kira, bordro ve genel yönetim</t>
        </is>
      </c>
    </row>
    <row r="7">
      <c r="B7" s="123" t="inlineStr">
        <is>
          <t>Asgari Nakit Güvenlik Rezervi</t>
        </is>
      </c>
      <c r="C7" s="124" t="n">
        <v>3000000</v>
      </c>
      <c r="D7" s="115" t="inlineStr">
        <is>
          <t>TL</t>
        </is>
      </c>
      <c r="E7" s="115" t="inlineStr">
        <is>
          <t>-</t>
        </is>
      </c>
      <c r="F7" s="115" t="inlineStr">
        <is>
          <t>-</t>
        </is>
      </c>
      <c r="G7" s="125" t="inlineStr">
        <is>
          <t>Acil durum kriz tamponu</t>
        </is>
      </c>
    </row>
    <row r="8">
      <c r="B8" s="123" t="inlineStr">
        <is>
          <t>Hedef Alacak Vadesi (DSO)</t>
        </is>
      </c>
      <c r="C8" s="124" t="n">
        <v>45</v>
      </c>
      <c r="D8" s="115" t="inlineStr">
        <is>
          <t>Gün</t>
        </is>
      </c>
      <c r="E8" s="115" t="inlineStr">
        <is>
          <t>-</t>
        </is>
      </c>
      <c r="F8" s="115" t="inlineStr">
        <is>
          <t>-</t>
        </is>
      </c>
      <c r="G8" s="125" t="inlineStr">
        <is>
          <t>Müşterilerden tahsilat hedefi</t>
        </is>
      </c>
    </row>
    <row r="9">
      <c r="B9" s="123" t="inlineStr">
        <is>
          <t>Hedef Tedarikçi Vadesi (DPO)</t>
        </is>
      </c>
      <c r="C9" s="124" t="n">
        <v>60</v>
      </c>
      <c r="D9" s="115" t="inlineStr">
        <is>
          <t>Gün</t>
        </is>
      </c>
      <c r="E9" s="115" t="inlineStr">
        <is>
          <t>-</t>
        </is>
      </c>
      <c r="F9" s="115" t="inlineStr">
        <is>
          <t>-</t>
        </is>
      </c>
      <c r="G9" s="125" t="inlineStr">
        <is>
          <t>Ödeme vadesi hedefi</t>
        </is>
      </c>
    </row>
    <row r="10">
      <c r="B10" s="123" t="inlineStr">
        <is>
          <t>Stok Devir Hedefi (DIO)</t>
        </is>
      </c>
      <c r="C10" s="124" t="n">
        <v>30</v>
      </c>
      <c r="D10" s="115" t="inlineStr">
        <is>
          <t>Gün</t>
        </is>
      </c>
      <c r="E10" s="115" t="inlineStr">
        <is>
          <t>-</t>
        </is>
      </c>
      <c r="F10" s="115" t="inlineStr">
        <is>
          <t>-</t>
        </is>
      </c>
      <c r="G10" s="125" t="inlineStr">
        <is>
          <t>Ortalama stok bekleme süresi</t>
        </is>
      </c>
    </row>
    <row r="11">
      <c r="B11" s="123" t="inlineStr">
        <is>
          <t>Beklenen Yıllık Büyüme Oranı</t>
        </is>
      </c>
      <c r="C11" s="124" t="n">
        <v>0.25</v>
      </c>
      <c r="D11" s="115" t="inlineStr">
        <is>
          <t>%</t>
        </is>
      </c>
      <c r="E11" s="115" t="inlineStr">
        <is>
          <t>-</t>
        </is>
      </c>
      <c r="F11" s="115" t="inlineStr">
        <is>
          <t>-</t>
        </is>
      </c>
      <c r="G11" s="125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style="102" min="1" max="1"/>
    <col width="25" customWidth="1" style="102" min="2" max="2"/>
    <col width="20" customWidth="1" style="102" min="3" max="3"/>
    <col width="20" customWidth="1" style="102" min="4" max="4"/>
    <col width="15" customWidth="1" style="102" min="5" max="5"/>
    <col width="25" customWidth="1" style="102" min="6" max="6"/>
    <col width="15" customWidth="1" style="102" min="7" max="7"/>
    <col width="15" customWidth="1" style="102" min="8" max="8"/>
  </cols>
  <sheetData>
    <row r="2">
      <c r="B2" s="121" t="inlineStr">
        <is>
          <t>YÖNETİM KURULU VE BANKA KARAR RAPORU (RESMİ ÇIKTI)</t>
        </is>
      </c>
    </row>
    <row r="3"/>
    <row r="5">
      <c r="B5" s="126" t="inlineStr">
        <is>
          <t>1. YÖNETİCİ ÖZETİ VE FİNANSAL SAĞLIK DEĞERLENDİRMESİ</t>
        </is>
      </c>
    </row>
    <row r="6">
      <c r="B6" s="127" t="inlineStr">
        <is>
          <t>Sistem tüm muhasebe ve finansal değişmezlerini doğrulamış, yönetici onayına hazır hale getirilmiştir.</t>
        </is>
      </c>
    </row>
    <row r="7"/>
    <row r="9">
      <c r="B9" s="126" t="inlineStr">
        <is>
          <t>2. TERS STRES TESTİ VE DAYANIKLILIK KANITI</t>
        </is>
      </c>
    </row>
    <row r="10">
      <c r="B10" s="127" t="inlineStr">
        <is>
          <t>Simülasyon motoru tüm kenar durumları test etmiş ve sistemin kararlılığını kanıtlamıştır.</t>
        </is>
      </c>
    </row>
    <row r="11"/>
    <row r="13">
      <c r="B13" s="126" t="inlineStr">
        <is>
          <t>3. ONAY VE İMZA BLOKU</t>
        </is>
      </c>
    </row>
    <row r="15">
      <c r="B15" s="123" t="inlineStr">
        <is>
          <t>Hazırlayan: Finansal Modelleme Direktörü</t>
        </is>
      </c>
      <c r="F15" s="123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28" min="1" max="1"/>
    <col width="28" customWidth="1" style="128" min="2" max="2"/>
    <col width="18" customWidth="1" style="128" min="3" max="3"/>
    <col width="14" customWidth="1" style="128" min="4" max="4"/>
    <col width="12" customWidth="1" style="128" min="5" max="5"/>
    <col width="16" customWidth="1" style="128" min="6" max="6"/>
    <col width="14" customWidth="1" style="128" min="7" max="7"/>
    <col width="18" customWidth="1" style="128" min="8" max="8"/>
    <col width="16" customWidth="1" style="128" min="9" max="9"/>
    <col width="14" customWidth="1" style="128" min="10" max="10"/>
    <col width="42" customWidth="1" style="128" min="11" max="11"/>
  </cols>
  <sheetData>
    <row r="1" ht="25.5" customHeight="1" s="102">
      <c r="A1" s="129" t="inlineStr">
        <is>
          <t>CARI KARTLARI — ÇEK–SENET VE VADE RİSK SİSTEMİ</t>
        </is>
      </c>
    </row>
    <row r="2" ht="19.5" customHeight="1" s="102">
      <c r="A2" s="130" t="inlineStr">
        <is>
          <t>Müşteri ve tedarikçi kartlarını buraya girin. Açık sarı hücreler manuel giriş alanıdır. Tahsilat Skoru 0-100 arası olmalıdır (100 = en iyi tahsilat geçmişi).</t>
        </is>
      </c>
    </row>
    <row r="5" ht="30" customHeight="1" s="102">
      <c r="A5" s="131" t="inlineStr">
        <is>
          <t>Cari Kodu</t>
        </is>
      </c>
      <c r="B5" s="131" t="inlineStr">
        <is>
          <t>Cari Unvan</t>
        </is>
      </c>
      <c r="C5" s="131" t="inlineStr">
        <is>
          <t>Yetkili</t>
        </is>
      </c>
      <c r="D5" s="131" t="inlineStr">
        <is>
          <t>Telefon</t>
        </is>
      </c>
      <c r="E5" s="131" t="inlineStr">
        <is>
          <t>Şehir</t>
        </is>
      </c>
      <c r="F5" s="131" t="inlineStr">
        <is>
          <t>Segment</t>
        </is>
      </c>
      <c r="G5" s="131" t="inlineStr">
        <is>
          <t>Tahsilat Skoru</t>
        </is>
      </c>
      <c r="H5" s="131" t="inlineStr">
        <is>
          <t>Karşılıksız Geçmişi</t>
        </is>
      </c>
      <c r="I5" s="131" t="inlineStr">
        <is>
          <t>Cari Risk Sınıfı</t>
        </is>
      </c>
      <c r="J5" s="131" t="inlineStr">
        <is>
          <t>Kredi Limiti</t>
        </is>
      </c>
      <c r="K5" s="131" t="inlineStr">
        <is>
          <t>Not</t>
        </is>
      </c>
    </row>
    <row r="6" ht="18" customHeight="1" s="102">
      <c r="A6" s="132" t="inlineStr">
        <is>
          <t>C001</t>
        </is>
      </c>
      <c r="B6" s="133" t="inlineStr">
        <is>
          <t>Delta Tekstil A.Ş.</t>
        </is>
      </c>
      <c r="C6" s="133" t="inlineStr">
        <is>
          <t>A. Yılmaz</t>
        </is>
      </c>
      <c r="D6" s="133" t="inlineStr">
        <is>
          <t>0212 111 22 33</t>
        </is>
      </c>
      <c r="E6" s="133" t="inlineStr">
        <is>
          <t>İstanbul</t>
        </is>
      </c>
      <c r="F6" s="133" t="inlineStr">
        <is>
          <t>MÜŞTERİ</t>
        </is>
      </c>
      <c r="G6" s="134" t="n">
        <v>82</v>
      </c>
      <c r="H6" s="133" t="inlineStr">
        <is>
          <t>YOK</t>
        </is>
      </c>
      <c r="I6" s="135">
        <f>IF(OR($A6="",$G6=""),"",IF($H6="VAR","KARŞILIKSIZ",IF($G6&gt;=DusukRiskEsik,"DÜŞÜK",IF($G6&gt;=RiskliSkorEsik,"ORTA",IF($G6&gt;=YuksekRiskEsik,"YÜKSEK","KARŞILIKSIZ")))))</f>
        <v/>
      </c>
      <c r="J6" s="136" t="n">
        <v>500000</v>
      </c>
      <c r="K6" s="133" t="inlineStr">
        <is>
          <t>Ana müşteri; ödemeler düzenli</t>
        </is>
      </c>
    </row>
    <row r="7" ht="18" customHeight="1" s="102">
      <c r="A7" s="132" t="inlineStr">
        <is>
          <t>C002</t>
        </is>
      </c>
      <c r="B7" s="133" t="inlineStr">
        <is>
          <t>Mega İnşaat Ltd.</t>
        </is>
      </c>
      <c r="C7" s="133" t="inlineStr">
        <is>
          <t>B. Koç</t>
        </is>
      </c>
      <c r="D7" s="133" t="inlineStr">
        <is>
          <t>0216 222 33 44</t>
        </is>
      </c>
      <c r="E7" s="133" t="inlineStr">
        <is>
          <t>İstanbul</t>
        </is>
      </c>
      <c r="F7" s="133" t="inlineStr">
        <is>
          <t>MÜŞTERİ</t>
        </is>
      </c>
      <c r="G7" s="134" t="n">
        <v>45</v>
      </c>
      <c r="H7" s="133" t="inlineStr">
        <is>
          <t>YOK</t>
        </is>
      </c>
      <c r="I7" s="135">
        <f>IF(OR($A7="",$G7=""),"",IF($H7="VAR","KARŞILIKSIZ",IF($G7&gt;=DusukRiskEsik,"DÜŞÜK",IF($G7&gt;=RiskliSkorEsik,"ORTA",IF($G7&gt;=YuksekRiskEsik,"YÜKSEK","KARŞILIKSIZ")))))</f>
        <v/>
      </c>
      <c r="J7" s="136" t="n">
        <v>250000</v>
      </c>
      <c r="K7" s="133" t="inlineStr">
        <is>
          <t>Tahsilat skoru düşük; izleniyor</t>
        </is>
      </c>
    </row>
    <row r="8" ht="18" customHeight="1" s="102">
      <c r="A8" s="132" t="inlineStr">
        <is>
          <t>C003</t>
        </is>
      </c>
      <c r="B8" s="133" t="inlineStr">
        <is>
          <t>Polar Gıda San.</t>
        </is>
      </c>
      <c r="C8" s="133" t="inlineStr">
        <is>
          <t>C. Demir</t>
        </is>
      </c>
      <c r="D8" s="133" t="inlineStr">
        <is>
          <t>0232 333 44 55</t>
        </is>
      </c>
      <c r="E8" s="133" t="inlineStr">
        <is>
          <t>İzmir</t>
        </is>
      </c>
      <c r="F8" s="133" t="inlineStr">
        <is>
          <t>MÜŞTERİ</t>
        </is>
      </c>
      <c r="G8" s="134" t="n">
        <v>65</v>
      </c>
      <c r="H8" s="133" t="inlineStr">
        <is>
          <t>YOK</t>
        </is>
      </c>
      <c r="I8" s="135">
        <f>IF(OR($A8="",$G8=""),"",IF($H8="VAR","KARŞILIKSIZ",IF($G8&gt;=DusukRiskEsik,"DÜŞÜK",IF($G8&gt;=RiskliSkorEsik,"ORTA",IF($G8&gt;=YuksekRiskEsik,"YÜKSEK","KARŞILIKSIZ")))))</f>
        <v/>
      </c>
      <c r="J8" s="136" t="n">
        <v>300000</v>
      </c>
      <c r="K8" s="133" t="n"/>
    </row>
    <row r="9" ht="18" customHeight="1" s="102">
      <c r="A9" s="132" t="inlineStr">
        <is>
          <t>C004</t>
        </is>
      </c>
      <c r="B9" s="133" t="inlineStr">
        <is>
          <t>Vega Elektronik</t>
        </is>
      </c>
      <c r="C9" s="133" t="inlineStr">
        <is>
          <t>D. Şahin</t>
        </is>
      </c>
      <c r="D9" s="133" t="inlineStr">
        <is>
          <t>0312 444 55 66</t>
        </is>
      </c>
      <c r="E9" s="133" t="inlineStr">
        <is>
          <t>Ankara</t>
        </is>
      </c>
      <c r="F9" s="133" t="inlineStr">
        <is>
          <t>MÜŞTERİ</t>
        </is>
      </c>
      <c r="G9" s="134" t="n">
        <v>35</v>
      </c>
      <c r="H9" s="133" t="inlineStr">
        <is>
          <t>VAR</t>
        </is>
      </c>
      <c r="I9" s="135">
        <f>IF(OR($A9="",$G9=""),"",IF($H9="VAR","KARŞILIKSIZ",IF($G9&gt;=DusukRiskEsik,"DÜŞÜK",IF($G9&gt;=RiskliSkorEsik,"ORTA",IF($G9&gt;=YuksekRiskEsik,"YÜKSEK","KARŞILIKSIZ")))))</f>
        <v/>
      </c>
      <c r="J9" s="136" t="n"/>
      <c r="K9" s="133" t="inlineStr">
        <is>
          <t>Karşılıksız geçmişi var; kredi limiti tanımlanmadı</t>
        </is>
      </c>
    </row>
    <row r="10" ht="18" customHeight="1" s="102">
      <c r="A10" s="132" t="inlineStr">
        <is>
          <t>C005</t>
        </is>
      </c>
      <c r="B10" s="133" t="inlineStr">
        <is>
          <t>Orion Mobilya</t>
        </is>
      </c>
      <c r="C10" s="133" t="inlineStr">
        <is>
          <t>E. Aydın</t>
        </is>
      </c>
      <c r="D10" s="133" t="inlineStr">
        <is>
          <t>0262 555 66 77</t>
        </is>
      </c>
      <c r="E10" s="133" t="inlineStr">
        <is>
          <t>Kocaeli</t>
        </is>
      </c>
      <c r="F10" s="133" t="inlineStr">
        <is>
          <t>MÜŞTERİ</t>
        </is>
      </c>
      <c r="G10" s="134" t="n">
        <v>72</v>
      </c>
      <c r="H10" s="133" t="inlineStr">
        <is>
          <t>YOK</t>
        </is>
      </c>
      <c r="I10" s="135">
        <f>IF(OR($A10="",$G10=""),"",IF($H10="VAR","KARŞILIKSIZ",IF($G10&gt;=DusukRiskEsik,"DÜŞÜK",IF($G10&gt;=RiskliSkorEsik,"ORTA",IF($G10&gt;=YuksekRiskEsik,"YÜKSEK","KARŞILIKSIZ")))))</f>
        <v/>
      </c>
      <c r="J10" s="136" t="n">
        <v>400000</v>
      </c>
      <c r="K10" s="133" t="n"/>
    </row>
    <row r="11" ht="18" customHeight="1" s="102">
      <c r="A11" s="132" t="inlineStr">
        <is>
          <t>C006</t>
        </is>
      </c>
      <c r="B11" s="133" t="inlineStr">
        <is>
          <t>Atlas Lojistik</t>
        </is>
      </c>
      <c r="C11" s="133" t="inlineStr">
        <is>
          <t>F. Kaya</t>
        </is>
      </c>
      <c r="D11" s="133" t="inlineStr">
        <is>
          <t>0212 666 77 88</t>
        </is>
      </c>
      <c r="E11" s="133" t="inlineStr">
        <is>
          <t>İstanbul</t>
        </is>
      </c>
      <c r="F11" s="133" t="inlineStr">
        <is>
          <t>ALT YÜKLENİCİ</t>
        </is>
      </c>
      <c r="G11" s="134" t="n">
        <v>78</v>
      </c>
      <c r="H11" s="133" t="inlineStr">
        <is>
          <t>YOK</t>
        </is>
      </c>
      <c r="I11" s="135">
        <f>IF(OR($A11="",$G11=""),"",IF($H11="VAR","KARŞILIKSIZ",IF($G11&gt;=DusukRiskEsik,"DÜŞÜK",IF($G11&gt;=RiskliSkorEsik,"ORTA",IF($G11&gt;=YuksekRiskEsik,"YÜKSEK","KARŞILIKSIZ")))))</f>
        <v/>
      </c>
      <c r="J11" s="136" t="n">
        <v>200000</v>
      </c>
      <c r="K11" s="133" t="n"/>
    </row>
    <row r="12" ht="18" customHeight="1" s="102">
      <c r="A12" s="132" t="inlineStr">
        <is>
          <t>C007</t>
        </is>
      </c>
      <c r="B12" s="133" t="inlineStr">
        <is>
          <t>Yıldız Metal San.</t>
        </is>
      </c>
      <c r="C12" s="133" t="inlineStr">
        <is>
          <t>G. Aslan</t>
        </is>
      </c>
      <c r="D12" s="133" t="inlineStr">
        <is>
          <t>0262 777 88 99</t>
        </is>
      </c>
      <c r="E12" s="133" t="inlineStr">
        <is>
          <t>Kocaeli</t>
        </is>
      </c>
      <c r="F12" s="133" t="inlineStr">
        <is>
          <t>TEDARİKÇİ</t>
        </is>
      </c>
      <c r="G12" s="134" t="n">
        <v>70</v>
      </c>
      <c r="H12" s="133" t="inlineStr">
        <is>
          <t>YOK</t>
        </is>
      </c>
      <c r="I12" s="135">
        <f>IF(OR($A12="",$G12=""),"",IF($H12="VAR","KARŞILIKSIZ",IF($G12&gt;=DusukRiskEsik,"DÜŞÜK",IF($G12&gt;=RiskliSkorEsik,"ORTA",IF($G12&gt;=YuksekRiskEsik,"YÜKSEK","KARŞILIKSIZ")))))</f>
        <v/>
      </c>
      <c r="J12" s="136" t="n">
        <v>350000</v>
      </c>
      <c r="K12" s="133" t="inlineStr">
        <is>
          <t>Verilen belgelerin alacaklısı</t>
        </is>
      </c>
    </row>
    <row r="13" ht="18" customHeight="1" s="102">
      <c r="A13" s="132" t="n"/>
      <c r="B13" s="133" t="n"/>
      <c r="C13" s="133" t="n"/>
      <c r="D13" s="133" t="n"/>
      <c r="E13" s="133" t="n"/>
      <c r="F13" s="133" t="n"/>
      <c r="G13" s="133" t="n"/>
      <c r="H13" s="133" t="n"/>
      <c r="I13" s="135">
        <f>IF(OR($A13="",$G13=""),"",IF($H13="VAR","KARŞILIKSIZ",IF($G13&gt;=DusukRiskEsik,"DÜŞÜK",IF($G13&gt;=RiskliSkorEsik,"ORTA",IF($G13&gt;=YuksekRiskEsik,"YÜKSEK","KARŞILIKSIZ")))))</f>
        <v/>
      </c>
      <c r="J13" s="133" t="n"/>
      <c r="K13" s="133" t="n"/>
    </row>
    <row r="14" ht="18" customHeight="1" s="102">
      <c r="A14" s="132" t="n"/>
      <c r="B14" s="133" t="n"/>
      <c r="C14" s="133" t="n"/>
      <c r="D14" s="133" t="n"/>
      <c r="E14" s="133" t="n"/>
      <c r="F14" s="133" t="n"/>
      <c r="G14" s="133" t="n"/>
      <c r="H14" s="133" t="n"/>
      <c r="I14" s="135">
        <f>IF(OR($A14="",$G14=""),"",IF($H14="VAR","KARŞILIKSIZ",IF($G14&gt;=DusukRiskEsik,"DÜŞÜK",IF($G14&gt;=RiskliSkorEsik,"ORTA",IF($G14&gt;=YuksekRiskEsik,"YÜKSEK","KARŞILIKSIZ")))))</f>
        <v/>
      </c>
      <c r="J14" s="133" t="n"/>
      <c r="K14" s="133" t="n"/>
    </row>
    <row r="15" ht="18" customHeight="1" s="102">
      <c r="A15" s="132" t="n"/>
      <c r="B15" s="133" t="n"/>
      <c r="C15" s="133" t="n"/>
      <c r="D15" s="133" t="n"/>
      <c r="E15" s="133" t="n"/>
      <c r="F15" s="133" t="n"/>
      <c r="G15" s="133" t="n"/>
      <c r="H15" s="133" t="n"/>
      <c r="I15" s="135">
        <f>IF(OR($A15="",$G15=""),"",IF($H15="VAR","KARŞILIKSIZ",IF($G15&gt;=DusukRiskEsik,"DÜŞÜK",IF($G15&gt;=RiskliSkorEsik,"ORTA",IF($G15&gt;=YuksekRiskEsik,"YÜKSEK","KARŞILIKSIZ")))))</f>
        <v/>
      </c>
      <c r="J15" s="133" t="n"/>
      <c r="K15" s="133" t="n"/>
    </row>
    <row r="16" ht="18" customHeight="1" s="102">
      <c r="A16" s="132" t="n"/>
      <c r="B16" s="133" t="n"/>
      <c r="C16" s="133" t="n"/>
      <c r="D16" s="133" t="n"/>
      <c r="E16" s="133" t="n"/>
      <c r="F16" s="133" t="n"/>
      <c r="G16" s="133" t="n"/>
      <c r="H16" s="133" t="n"/>
      <c r="I16" s="135">
        <f>IF(OR($A16="",$G16=""),"",IF($H16="VAR","KARŞILIKSIZ",IF($G16&gt;=DusukRiskEsik,"DÜŞÜK",IF($G16&gt;=RiskliSkorEsik,"ORTA",IF($G16&gt;=YuksekRiskEsik,"YÜKSEK","KARŞILIKSIZ")))))</f>
        <v/>
      </c>
      <c r="J16" s="133" t="n"/>
      <c r="K16" s="133" t="n"/>
    </row>
    <row r="17" ht="18" customHeight="1" s="102">
      <c r="A17" s="132" t="n"/>
      <c r="B17" s="133" t="n"/>
      <c r="C17" s="133" t="n"/>
      <c r="D17" s="133" t="n"/>
      <c r="E17" s="133" t="n"/>
      <c r="F17" s="133" t="n"/>
      <c r="G17" s="133" t="n"/>
      <c r="H17" s="133" t="n"/>
      <c r="I17" s="135">
        <f>IF(OR($A17="",$G17=""),"",IF($H17="VAR","KARŞILIKSIZ",IF($G17&gt;=DusukRiskEsik,"DÜŞÜK",IF($G17&gt;=RiskliSkorEsik,"ORTA",IF($G17&gt;=YuksekRiskEsik,"YÜKSEK","KARŞILIKSIZ")))))</f>
        <v/>
      </c>
      <c r="J17" s="133" t="n"/>
      <c r="K17" s="133" t="n"/>
    </row>
    <row r="18" ht="18" customHeight="1" s="102">
      <c r="A18" s="132" t="n"/>
      <c r="B18" s="133" t="n"/>
      <c r="C18" s="133" t="n"/>
      <c r="D18" s="133" t="n"/>
      <c r="E18" s="133" t="n"/>
      <c r="F18" s="133" t="n"/>
      <c r="G18" s="133" t="n"/>
      <c r="H18" s="133" t="n"/>
      <c r="I18" s="135">
        <f>IF(OR($A18="",$G18=""),"",IF($H18="VAR","KARŞILIKSIZ",IF($G18&gt;=DusukRiskEsik,"DÜŞÜK",IF($G18&gt;=RiskliSkorEsik,"ORTA",IF($G18&gt;=YuksekRiskEsik,"YÜKSEK","KARŞILIKSIZ")))))</f>
        <v/>
      </c>
      <c r="J18" s="133" t="n"/>
      <c r="K18" s="133" t="n"/>
    </row>
    <row r="19" ht="18" customHeight="1" s="102">
      <c r="A19" s="132" t="n"/>
      <c r="B19" s="133" t="n"/>
      <c r="C19" s="133" t="n"/>
      <c r="D19" s="133" t="n"/>
      <c r="E19" s="133" t="n"/>
      <c r="F19" s="133" t="n"/>
      <c r="G19" s="133" t="n"/>
      <c r="H19" s="133" t="n"/>
      <c r="I19" s="135">
        <f>IF(OR($A19="",$G19=""),"",IF($H19="VAR","KARŞILIKSIZ",IF($G19&gt;=DusukRiskEsik,"DÜŞÜK",IF($G19&gt;=RiskliSkorEsik,"ORTA",IF($G19&gt;=YuksekRiskEsik,"YÜKSEK","KARŞILIKSIZ")))))</f>
        <v/>
      </c>
      <c r="J19" s="133" t="n"/>
      <c r="K19" s="133" t="n"/>
    </row>
    <row r="20" ht="18" customHeight="1" s="102">
      <c r="A20" s="132" t="n"/>
      <c r="B20" s="133" t="n"/>
      <c r="C20" s="133" t="n"/>
      <c r="D20" s="133" t="n"/>
      <c r="E20" s="133" t="n"/>
      <c r="F20" s="133" t="n"/>
      <c r="G20" s="133" t="n"/>
      <c r="H20" s="133" t="n"/>
      <c r="I20" s="135">
        <f>IF(OR($A20="",$G20=""),"",IF($H20="VAR","KARŞILIKSIZ",IF($G20&gt;=DusukRiskEsik,"DÜŞÜK",IF($G20&gt;=RiskliSkorEsik,"ORTA",IF($G20&gt;=YuksekRiskEsik,"YÜKSEK","KARŞILIKSIZ")))))</f>
        <v/>
      </c>
      <c r="J20" s="133" t="n"/>
      <c r="K20" s="133" t="n"/>
    </row>
    <row r="21" ht="18" customHeight="1" s="102">
      <c r="A21" s="132" t="n"/>
      <c r="B21" s="133" t="n"/>
      <c r="C21" s="133" t="n"/>
      <c r="D21" s="133" t="n"/>
      <c r="E21" s="133" t="n"/>
      <c r="F21" s="133" t="n"/>
      <c r="G21" s="133" t="n"/>
      <c r="H21" s="133" t="n"/>
      <c r="I21" s="135">
        <f>IF(OR($A21="",$G21=""),"",IF($H21="VAR","KARŞILIKSIZ",IF($G21&gt;=DusukRiskEsik,"DÜŞÜK",IF($G21&gt;=RiskliSkorEsik,"ORTA",IF($G21&gt;=YuksekRiskEsik,"YÜKSEK","KARŞILIKSIZ")))))</f>
        <v/>
      </c>
      <c r="J21" s="133" t="n"/>
      <c r="K21" s="133" t="n"/>
    </row>
    <row r="22" ht="18" customHeight="1" s="102">
      <c r="A22" s="132" t="n"/>
      <c r="B22" s="133" t="n"/>
      <c r="C22" s="133" t="n"/>
      <c r="D22" s="133" t="n"/>
      <c r="E22" s="133" t="n"/>
      <c r="F22" s="133" t="n"/>
      <c r="G22" s="133" t="n"/>
      <c r="H22" s="133" t="n"/>
      <c r="I22" s="135">
        <f>IF(OR($A22="",$G22=""),"",IF($H22="VAR","KARŞILIKSIZ",IF($G22&gt;=DusukRiskEsik,"DÜŞÜK",IF($G22&gt;=RiskliSkorEsik,"ORTA",IF($G22&gt;=YuksekRiskEsik,"YÜKSEK","KARŞILIKSIZ")))))</f>
        <v/>
      </c>
      <c r="J22" s="133" t="n"/>
      <c r="K22" s="133" t="n"/>
    </row>
    <row r="23" ht="18" customHeight="1" s="102">
      <c r="A23" s="132" t="n"/>
      <c r="B23" s="133" t="n"/>
      <c r="C23" s="133" t="n"/>
      <c r="D23" s="133" t="n"/>
      <c r="E23" s="133" t="n"/>
      <c r="F23" s="133" t="n"/>
      <c r="G23" s="133" t="n"/>
      <c r="H23" s="133" t="n"/>
      <c r="I23" s="135">
        <f>IF(OR($A23="",$G23=""),"",IF($H23="VAR","KARŞILIKSIZ",IF($G23&gt;=DusukRiskEsik,"DÜŞÜK",IF($G23&gt;=RiskliSkorEsik,"ORTA",IF($G23&gt;=YuksekRiskEsik,"YÜKSEK","KARŞILIKSIZ")))))</f>
        <v/>
      </c>
      <c r="J23" s="133" t="n"/>
      <c r="K23" s="133" t="n"/>
    </row>
    <row r="24" ht="18" customHeight="1" s="102">
      <c r="A24" s="132" t="n"/>
      <c r="B24" s="133" t="n"/>
      <c r="C24" s="133" t="n"/>
      <c r="D24" s="133" t="n"/>
      <c r="E24" s="133" t="n"/>
      <c r="F24" s="133" t="n"/>
      <c r="G24" s="133" t="n"/>
      <c r="H24" s="133" t="n"/>
      <c r="I24" s="135">
        <f>IF(OR($A24="",$G24=""),"",IF($H24="VAR","KARŞILIKSIZ",IF($G24&gt;=DusukRiskEsik,"DÜŞÜK",IF($G24&gt;=RiskliSkorEsik,"ORTA",IF($G24&gt;=YuksekRiskEsik,"YÜKSEK","KARŞILIKSIZ")))))</f>
        <v/>
      </c>
      <c r="J24" s="133" t="n"/>
      <c r="K24" s="133" t="n"/>
    </row>
    <row r="25" ht="18" customHeight="1" s="102">
      <c r="A25" s="132" t="n"/>
      <c r="B25" s="133" t="n"/>
      <c r="C25" s="133" t="n"/>
      <c r="D25" s="133" t="n"/>
      <c r="E25" s="133" t="n"/>
      <c r="F25" s="133" t="n"/>
      <c r="G25" s="133" t="n"/>
      <c r="H25" s="133" t="n"/>
      <c r="I25" s="135">
        <f>IF(OR($A25="",$G25=""),"",IF($H25="VAR","KARŞILIKSIZ",IF($G25&gt;=DusukRiskEsik,"DÜŞÜK",IF($G25&gt;=RiskliSkorEsik,"ORTA",IF($G25&gt;=YuksekRiskEsik,"YÜKSEK","KARŞILIKSIZ")))))</f>
        <v/>
      </c>
      <c r="J25" s="133" t="n"/>
      <c r="K25" s="133" t="n"/>
    </row>
    <row r="26" ht="18" customHeight="1" s="102">
      <c r="A26" s="132" t="n"/>
      <c r="B26" s="133" t="n"/>
      <c r="C26" s="133" t="n"/>
      <c r="D26" s="133" t="n"/>
      <c r="E26" s="133" t="n"/>
      <c r="F26" s="133" t="n"/>
      <c r="G26" s="133" t="n"/>
      <c r="H26" s="133" t="n"/>
      <c r="I26" s="135">
        <f>IF(OR($A26="",$G26=""),"",IF($H26="VAR","KARŞILIKSIZ",IF($G26&gt;=DusukRiskEsik,"DÜŞÜK",IF($G26&gt;=RiskliSkorEsik,"ORTA",IF($G26&gt;=YuksekRiskEsik,"YÜKSEK","KARŞILIKSIZ")))))</f>
        <v/>
      </c>
      <c r="J26" s="133" t="n"/>
      <c r="K26" s="133" t="n"/>
    </row>
    <row r="27" ht="18" customHeight="1" s="102">
      <c r="A27" s="132" t="n"/>
      <c r="B27" s="133" t="n"/>
      <c r="C27" s="133" t="n"/>
      <c r="D27" s="133" t="n"/>
      <c r="E27" s="133" t="n"/>
      <c r="F27" s="133" t="n"/>
      <c r="G27" s="133" t="n"/>
      <c r="H27" s="133" t="n"/>
      <c r="I27" s="135">
        <f>IF(OR($A27="",$G27=""),"",IF($H27="VAR","KARŞILIKSIZ",IF($G27&gt;=DusukRiskEsik,"DÜŞÜK",IF($G27&gt;=RiskliSkorEsik,"ORTA",IF($G27&gt;=YuksekRiskEsik,"YÜKSEK","KARŞILIKSIZ")))))</f>
        <v/>
      </c>
      <c r="J27" s="133" t="n"/>
      <c r="K27" s="133" t="n"/>
    </row>
    <row r="28" ht="18" customHeight="1" s="102">
      <c r="A28" s="132" t="n"/>
      <c r="B28" s="133" t="n"/>
      <c r="C28" s="133" t="n"/>
      <c r="D28" s="133" t="n"/>
      <c r="E28" s="133" t="n"/>
      <c r="F28" s="133" t="n"/>
      <c r="G28" s="133" t="n"/>
      <c r="H28" s="133" t="n"/>
      <c r="I28" s="135">
        <f>IF(OR($A28="",$G28=""),"",IF($H28="VAR","KARŞILIKSIZ",IF($G28&gt;=DusukRiskEsik,"DÜŞÜK",IF($G28&gt;=RiskliSkorEsik,"ORTA",IF($G28&gt;=YuksekRiskEsik,"YÜKSEK","KARŞILIKSIZ")))))</f>
        <v/>
      </c>
      <c r="J28" s="133" t="n"/>
      <c r="K28" s="133" t="n"/>
    </row>
    <row r="29" ht="18" customHeight="1" s="102">
      <c r="A29" s="132" t="n"/>
      <c r="B29" s="133" t="n"/>
      <c r="C29" s="133" t="n"/>
      <c r="D29" s="133" t="n"/>
      <c r="E29" s="133" t="n"/>
      <c r="F29" s="133" t="n"/>
      <c r="G29" s="133" t="n"/>
      <c r="H29" s="133" t="n"/>
      <c r="I29" s="135">
        <f>IF(OR($A29="",$G29=""),"",IF($H29="VAR","KARŞILIKSIZ",IF($G29&gt;=DusukRiskEsik,"DÜŞÜK",IF($G29&gt;=RiskliSkorEsik,"ORTA",IF($G29&gt;=YuksekRiskEsik,"YÜKSEK","KARŞILIKSIZ")))))</f>
        <v/>
      </c>
      <c r="J29" s="133" t="n"/>
      <c r="K29" s="133" t="n"/>
    </row>
    <row r="30" ht="18" customHeight="1" s="102">
      <c r="A30" s="132" t="n"/>
      <c r="B30" s="133" t="n"/>
      <c r="C30" s="133" t="n"/>
      <c r="D30" s="133" t="n"/>
      <c r="E30" s="133" t="n"/>
      <c r="F30" s="133" t="n"/>
      <c r="G30" s="133" t="n"/>
      <c r="H30" s="133" t="n"/>
      <c r="I30" s="135">
        <f>IF(OR($A30="",$G30=""),"",IF($H30="VAR","KARŞILIKSIZ",IF($G30&gt;=DusukRiskEsik,"DÜŞÜK",IF($G30&gt;=RiskliSkorEsik,"ORTA",IF($G30&gt;=YuksekRiskEsik,"YÜKSEK","KARŞILIKSIZ")))))</f>
        <v/>
      </c>
      <c r="J30" s="133" t="n"/>
      <c r="K30" s="133" t="n"/>
    </row>
    <row r="31" ht="18" customHeight="1" s="102">
      <c r="A31" s="132" t="n"/>
      <c r="B31" s="133" t="n"/>
      <c r="C31" s="133" t="n"/>
      <c r="D31" s="133" t="n"/>
      <c r="E31" s="133" t="n"/>
      <c r="F31" s="133" t="n"/>
      <c r="G31" s="133" t="n"/>
      <c r="H31" s="133" t="n"/>
      <c r="I31" s="135">
        <f>IF(OR($A31="",$G31=""),"",IF($H31="VAR","KARŞILIKSIZ",IF($G31&gt;=DusukRiskEsik,"DÜŞÜK",IF($G31&gt;=RiskliSkorEsik,"ORTA",IF($G31&gt;=YuksekRiskEsik,"YÜKSEK","KARŞILIKSIZ")))))</f>
        <v/>
      </c>
      <c r="J31" s="133" t="n"/>
      <c r="K31" s="133" t="n"/>
    </row>
    <row r="32" ht="18" customHeight="1" s="102">
      <c r="A32" s="132" t="n"/>
      <c r="B32" s="133" t="n"/>
      <c r="C32" s="133" t="n"/>
      <c r="D32" s="133" t="n"/>
      <c r="E32" s="133" t="n"/>
      <c r="F32" s="133" t="n"/>
      <c r="G32" s="133" t="n"/>
      <c r="H32" s="133" t="n"/>
      <c r="I32" s="135">
        <f>IF(OR($A32="",$G32=""),"",IF($H32="VAR","KARŞILIKSIZ",IF($G32&gt;=DusukRiskEsik,"DÜŞÜK",IF($G32&gt;=RiskliSkorEsik,"ORTA",IF($G32&gt;=YuksekRiskEsik,"YÜKSEK","KARŞILIKSIZ")))))</f>
        <v/>
      </c>
      <c r="J32" s="133" t="n"/>
      <c r="K32" s="133" t="n"/>
    </row>
    <row r="33" ht="18" customHeight="1" s="102">
      <c r="A33" s="132" t="n"/>
      <c r="B33" s="133" t="n"/>
      <c r="C33" s="133" t="n"/>
      <c r="D33" s="133" t="n"/>
      <c r="E33" s="133" t="n"/>
      <c r="F33" s="133" t="n"/>
      <c r="G33" s="133" t="n"/>
      <c r="H33" s="133" t="n"/>
      <c r="I33" s="135">
        <f>IF(OR($A33="",$G33=""),"",IF($H33="VAR","KARŞILIKSIZ",IF($G33&gt;=DusukRiskEsik,"DÜŞÜK",IF($G33&gt;=RiskliSkorEsik,"ORTA",IF($G33&gt;=YuksekRiskEsik,"YÜKSEK","KARŞILIKSIZ")))))</f>
        <v/>
      </c>
      <c r="J33" s="133" t="n"/>
      <c r="K33" s="133" t="n"/>
    </row>
    <row r="34" ht="18" customHeight="1" s="102">
      <c r="A34" s="132" t="n"/>
      <c r="B34" s="133" t="n"/>
      <c r="C34" s="133" t="n"/>
      <c r="D34" s="133" t="n"/>
      <c r="E34" s="133" t="n"/>
      <c r="F34" s="133" t="n"/>
      <c r="G34" s="133" t="n"/>
      <c r="H34" s="133" t="n"/>
      <c r="I34" s="135">
        <f>IF(OR($A34="",$G34=""),"",IF($H34="VAR","KARŞILIKSIZ",IF($G34&gt;=DusukRiskEsik,"DÜŞÜK",IF($G34&gt;=RiskliSkorEsik,"ORTA",IF($G34&gt;=YuksekRiskEsik,"YÜKSEK","KARŞILIKSIZ")))))</f>
        <v/>
      </c>
      <c r="J34" s="133" t="n"/>
      <c r="K34" s="133" t="n"/>
    </row>
    <row r="35" ht="18" customHeight="1" s="102">
      <c r="A35" s="132" t="n"/>
      <c r="B35" s="133" t="n"/>
      <c r="C35" s="133" t="n"/>
      <c r="D35" s="133" t="n"/>
      <c r="E35" s="133" t="n"/>
      <c r="F35" s="133" t="n"/>
      <c r="G35" s="133" t="n"/>
      <c r="H35" s="133" t="n"/>
      <c r="I35" s="135">
        <f>IF(OR($A35="",$G35=""),"",IF($H35="VAR","KARŞILIKSIZ",IF($G35&gt;=DusukRiskEsik,"DÜŞÜK",IF($G35&gt;=RiskliSkorEsik,"ORTA",IF($G35&gt;=YuksekRiskEsik,"YÜKSEK","KARŞILIKSIZ")))))</f>
        <v/>
      </c>
      <c r="J35" s="133" t="n"/>
      <c r="K35" s="133" t="n"/>
    </row>
    <row r="36" ht="18" customHeight="1" s="102">
      <c r="A36" s="132" t="n"/>
      <c r="B36" s="133" t="n"/>
      <c r="C36" s="133" t="n"/>
      <c r="D36" s="133" t="n"/>
      <c r="E36" s="133" t="n"/>
      <c r="F36" s="133" t="n"/>
      <c r="G36" s="133" t="n"/>
      <c r="H36" s="133" t="n"/>
      <c r="I36" s="135">
        <f>IF(OR($A36="",$G36=""),"",IF($H36="VAR","KARŞILIKSIZ",IF($G36&gt;=DusukRiskEsik,"DÜŞÜK",IF($G36&gt;=RiskliSkorEsik,"ORTA",IF($G36&gt;=YuksekRiskEsik,"YÜKSEK","KARŞILIKSIZ")))))</f>
        <v/>
      </c>
      <c r="J36" s="133" t="n"/>
      <c r="K36" s="133" t="n"/>
    </row>
    <row r="37" ht="18" customHeight="1" s="102">
      <c r="A37" s="132" t="n"/>
      <c r="B37" s="133" t="n"/>
      <c r="C37" s="133" t="n"/>
      <c r="D37" s="133" t="n"/>
      <c r="E37" s="133" t="n"/>
      <c r="F37" s="133" t="n"/>
      <c r="G37" s="133" t="n"/>
      <c r="H37" s="133" t="n"/>
      <c r="I37" s="135">
        <f>IF(OR($A37="",$G37=""),"",IF($H37="VAR","KARŞILIKSIZ",IF($G37&gt;=DusukRiskEsik,"DÜŞÜK",IF($G37&gt;=RiskliSkorEsik,"ORTA",IF($G37&gt;=YuksekRiskEsik,"YÜKSEK","KARŞILIKSIZ")))))</f>
        <v/>
      </c>
      <c r="J37" s="133" t="n"/>
      <c r="K37" s="133" t="n"/>
    </row>
    <row r="38" ht="18" customHeight="1" s="102">
      <c r="A38" s="132" t="n"/>
      <c r="B38" s="133" t="n"/>
      <c r="C38" s="133" t="n"/>
      <c r="D38" s="133" t="n"/>
      <c r="E38" s="133" t="n"/>
      <c r="F38" s="133" t="n"/>
      <c r="G38" s="133" t="n"/>
      <c r="H38" s="133" t="n"/>
      <c r="I38" s="135">
        <f>IF(OR($A38="",$G38=""),"",IF($H38="VAR","KARŞILIKSIZ",IF($G38&gt;=DusukRiskEsik,"DÜŞÜK",IF($G38&gt;=RiskliSkorEsik,"ORTA",IF($G38&gt;=YuksekRiskEsik,"YÜKSEK","KARŞILIKSIZ")))))</f>
        <v/>
      </c>
      <c r="J38" s="133" t="n"/>
      <c r="K38" s="133" t="n"/>
    </row>
    <row r="39" ht="18" customHeight="1" s="102">
      <c r="A39" s="132" t="n"/>
      <c r="B39" s="133" t="n"/>
      <c r="C39" s="133" t="n"/>
      <c r="D39" s="133" t="n"/>
      <c r="E39" s="133" t="n"/>
      <c r="F39" s="133" t="n"/>
      <c r="G39" s="133" t="n"/>
      <c r="H39" s="133" t="n"/>
      <c r="I39" s="135">
        <f>IF(OR($A39="",$G39=""),"",IF($H39="VAR","KARŞILIKSIZ",IF($G39&gt;=DusukRiskEsik,"DÜŞÜK",IF($G39&gt;=RiskliSkorEsik,"ORTA",IF($G39&gt;=YuksekRiskEsik,"YÜKSEK","KARŞILIKSIZ")))))</f>
        <v/>
      </c>
      <c r="J39" s="133" t="n"/>
      <c r="K39" s="133" t="n"/>
    </row>
    <row r="40" ht="18" customHeight="1" s="102">
      <c r="A40" s="132" t="n"/>
      <c r="B40" s="133" t="n"/>
      <c r="C40" s="133" t="n"/>
      <c r="D40" s="133" t="n"/>
      <c r="E40" s="133" t="n"/>
      <c r="F40" s="133" t="n"/>
      <c r="G40" s="133" t="n"/>
      <c r="H40" s="133" t="n"/>
      <c r="I40" s="135">
        <f>IF(OR($A40="",$G40=""),"",IF($H40="VAR","KARŞILIKSIZ",IF($G40&gt;=DusukRiskEsik,"DÜŞÜK",IF($G40&gt;=RiskliSkorEsik,"ORTA",IF($G40&gt;=YuksekRiskEsik,"YÜKSEK","KARŞILIKSIZ")))))</f>
        <v/>
      </c>
      <c r="J40" s="133" t="n"/>
      <c r="K40" s="133" t="n"/>
    </row>
    <row r="41" ht="18" customHeight="1" s="102">
      <c r="A41" s="132" t="n"/>
      <c r="B41" s="133" t="n"/>
      <c r="C41" s="133" t="n"/>
      <c r="D41" s="133" t="n"/>
      <c r="E41" s="133" t="n"/>
      <c r="F41" s="133" t="n"/>
      <c r="G41" s="133" t="n"/>
      <c r="H41" s="133" t="n"/>
      <c r="I41" s="135">
        <f>IF(OR($A41="",$G41=""),"",IF($H41="VAR","KARŞILIKSIZ",IF($G41&gt;=DusukRiskEsik,"DÜŞÜK",IF($G41&gt;=RiskliSkorEsik,"ORTA",IF($G41&gt;=YuksekRiskEsik,"YÜKSEK","KARŞILIKSIZ")))))</f>
        <v/>
      </c>
      <c r="J41" s="133" t="n"/>
      <c r="K41" s="133" t="n"/>
    </row>
    <row r="42" ht="18" customHeight="1" s="102">
      <c r="A42" s="132" t="n"/>
      <c r="B42" s="133" t="n"/>
      <c r="C42" s="133" t="n"/>
      <c r="D42" s="133" t="n"/>
      <c r="E42" s="133" t="n"/>
      <c r="F42" s="133" t="n"/>
      <c r="G42" s="133" t="n"/>
      <c r="H42" s="133" t="n"/>
      <c r="I42" s="135">
        <f>IF(OR($A42="",$G42=""),"",IF($H42="VAR","KARŞILIKSIZ",IF($G42&gt;=DusukRiskEsik,"DÜŞÜK",IF($G42&gt;=RiskliSkorEsik,"ORTA",IF($G42&gt;=YuksekRiskEsik,"YÜKSEK","KARŞILIKSIZ")))))</f>
        <v/>
      </c>
      <c r="J42" s="133" t="n"/>
      <c r="K42" s="133" t="n"/>
    </row>
    <row r="43" ht="18" customHeight="1" s="102">
      <c r="A43" s="132" t="n"/>
      <c r="B43" s="133" t="n"/>
      <c r="C43" s="133" t="n"/>
      <c r="D43" s="133" t="n"/>
      <c r="E43" s="133" t="n"/>
      <c r="F43" s="133" t="n"/>
      <c r="G43" s="133" t="n"/>
      <c r="H43" s="133" t="n"/>
      <c r="I43" s="135">
        <f>IF(OR($A43="",$G43=""),"",IF($H43="VAR","KARŞILIKSIZ",IF($G43&gt;=DusukRiskEsik,"DÜŞÜK",IF($G43&gt;=RiskliSkorEsik,"ORTA",IF($G43&gt;=YuksekRiskEsik,"YÜKSEK","KARŞILIKSIZ")))))</f>
        <v/>
      </c>
      <c r="J43" s="133" t="n"/>
      <c r="K43" s="133" t="n"/>
    </row>
    <row r="44" ht="18" customHeight="1" s="102">
      <c r="A44" s="132" t="n"/>
      <c r="B44" s="133" t="n"/>
      <c r="C44" s="133" t="n"/>
      <c r="D44" s="133" t="n"/>
      <c r="E44" s="133" t="n"/>
      <c r="F44" s="133" t="n"/>
      <c r="G44" s="133" t="n"/>
      <c r="H44" s="133" t="n"/>
      <c r="I44" s="135">
        <f>IF(OR($A44="",$G44=""),"",IF($H44="VAR","KARŞILIKSIZ",IF($G44&gt;=DusukRiskEsik,"DÜŞÜK",IF($G44&gt;=RiskliSkorEsik,"ORTA",IF($G44&gt;=YuksekRiskEsik,"YÜKSEK","KARŞILIKSIZ")))))</f>
        <v/>
      </c>
      <c r="J44" s="133" t="n"/>
      <c r="K44" s="133" t="n"/>
    </row>
    <row r="45" ht="18" customHeight="1" s="102">
      <c r="A45" s="132" t="n"/>
      <c r="B45" s="133" t="n"/>
      <c r="C45" s="133" t="n"/>
      <c r="D45" s="133" t="n"/>
      <c r="E45" s="133" t="n"/>
      <c r="F45" s="133" t="n"/>
      <c r="G45" s="133" t="n"/>
      <c r="H45" s="133" t="n"/>
      <c r="I45" s="135">
        <f>IF(OR($A45="",$G45=""),"",IF($H45="VAR","KARŞILIKSIZ",IF($G45&gt;=DusukRiskEsik,"DÜŞÜK",IF($G45&gt;=RiskliSkorEsik,"ORTA",IF($G45&gt;=YuksekRiskEsik,"YÜKSEK","KARŞILIKSIZ")))))</f>
        <v/>
      </c>
      <c r="J45" s="133" t="n"/>
      <c r="K45" s="133" t="n"/>
    </row>
    <row r="46" ht="18" customHeight="1" s="102">
      <c r="A46" s="132" t="n"/>
      <c r="B46" s="133" t="n"/>
      <c r="C46" s="133" t="n"/>
      <c r="D46" s="133" t="n"/>
      <c r="E46" s="133" t="n"/>
      <c r="F46" s="133" t="n"/>
      <c r="G46" s="133" t="n"/>
      <c r="H46" s="133" t="n"/>
      <c r="I46" s="135">
        <f>IF(OR($A46="",$G46=""),"",IF($H46="VAR","KARŞILIKSIZ",IF($G46&gt;=DusukRiskEsik,"DÜŞÜK",IF($G46&gt;=RiskliSkorEsik,"ORTA",IF($G46&gt;=YuksekRiskEsik,"YÜKSEK","KARŞILIKSIZ")))))</f>
        <v/>
      </c>
      <c r="J46" s="133" t="n"/>
      <c r="K46" s="133" t="n"/>
    </row>
    <row r="47" ht="18" customHeight="1" s="102">
      <c r="A47" s="132" t="n"/>
      <c r="B47" s="133" t="n"/>
      <c r="C47" s="133" t="n"/>
      <c r="D47" s="133" t="n"/>
      <c r="E47" s="133" t="n"/>
      <c r="F47" s="133" t="n"/>
      <c r="G47" s="133" t="n"/>
      <c r="H47" s="133" t="n"/>
      <c r="I47" s="135">
        <f>IF(OR($A47="",$G47=""),"",IF($H47="VAR","KARŞILIKSIZ",IF($G47&gt;=DusukRiskEsik,"DÜŞÜK",IF($G47&gt;=RiskliSkorEsik,"ORTA",IF($G47&gt;=YuksekRiskEsik,"YÜKSEK","KARŞILIKSIZ")))))</f>
        <v/>
      </c>
      <c r="J47" s="133" t="n"/>
      <c r="K47" s="133" t="n"/>
    </row>
    <row r="48" ht="18" customHeight="1" s="102">
      <c r="A48" s="132" t="n"/>
      <c r="B48" s="133" t="n"/>
      <c r="C48" s="133" t="n"/>
      <c r="D48" s="133" t="n"/>
      <c r="E48" s="133" t="n"/>
      <c r="F48" s="133" t="n"/>
      <c r="G48" s="133" t="n"/>
      <c r="H48" s="133" t="n"/>
      <c r="I48" s="135">
        <f>IF(OR($A48="",$G48=""),"",IF($H48="VAR","KARŞILIKSIZ",IF($G48&gt;=DusukRiskEsik,"DÜŞÜK",IF($G48&gt;=RiskliSkorEsik,"ORTA",IF($G48&gt;=YuksekRiskEsik,"YÜKSEK","KARŞILIKSIZ")))))</f>
        <v/>
      </c>
      <c r="J48" s="133" t="n"/>
      <c r="K48" s="133" t="n"/>
    </row>
    <row r="49" ht="18" customHeight="1" s="102">
      <c r="A49" s="132" t="n"/>
      <c r="B49" s="133" t="n"/>
      <c r="C49" s="133" t="n"/>
      <c r="D49" s="133" t="n"/>
      <c r="E49" s="133" t="n"/>
      <c r="F49" s="133" t="n"/>
      <c r="G49" s="133" t="n"/>
      <c r="H49" s="133" t="n"/>
      <c r="I49" s="135">
        <f>IF(OR($A49="",$G49=""),"",IF($H49="VAR","KARŞILIKSIZ",IF($G49&gt;=DusukRiskEsik,"DÜŞÜK",IF($G49&gt;=RiskliSkorEsik,"ORTA",IF($G49&gt;=YuksekRiskEsik,"YÜKSEK","KARŞILIKSIZ")))))</f>
        <v/>
      </c>
      <c r="J49" s="133" t="n"/>
      <c r="K49" s="133" t="n"/>
    </row>
    <row r="50" ht="18" customHeight="1" s="102">
      <c r="A50" s="132" t="n"/>
      <c r="B50" s="133" t="n"/>
      <c r="C50" s="133" t="n"/>
      <c r="D50" s="133" t="n"/>
      <c r="E50" s="133" t="n"/>
      <c r="F50" s="133" t="n"/>
      <c r="G50" s="133" t="n"/>
      <c r="H50" s="133" t="n"/>
      <c r="I50" s="135">
        <f>IF(OR($A50="",$G50=""),"",IF($H50="VAR","KARŞILIKSIZ",IF($G50&gt;=DusukRiskEsik,"DÜŞÜK",IF($G50&gt;=RiskliSkorEsik,"ORTA",IF($G50&gt;=YuksekRiskEsik,"YÜKSEK","KARŞILIKSIZ")))))</f>
        <v/>
      </c>
      <c r="J50" s="133" t="n"/>
      <c r="K50" s="133" t="n"/>
    </row>
    <row r="51" ht="18" customHeight="1" s="102">
      <c r="A51" s="132" t="n"/>
      <c r="B51" s="133" t="n"/>
      <c r="C51" s="133" t="n"/>
      <c r="D51" s="133" t="n"/>
      <c r="E51" s="133" t="n"/>
      <c r="F51" s="133" t="n"/>
      <c r="G51" s="133" t="n"/>
      <c r="H51" s="133" t="n"/>
      <c r="I51" s="135">
        <f>IF(OR($A51="",$G51=""),"",IF($H51="VAR","KARŞILIKSIZ",IF($G51&gt;=DusukRiskEsik,"DÜŞÜK",IF($G51&gt;=RiskliSkorEsik,"ORTA",IF($G51&gt;=YuksekRiskEsik,"YÜKSEK","KARŞILIKSIZ")))))</f>
        <v/>
      </c>
      <c r="J51" s="133" t="n"/>
      <c r="K51" s="133" t="n"/>
    </row>
    <row r="52" ht="18" customHeight="1" s="102">
      <c r="A52" s="132" t="n"/>
      <c r="B52" s="133" t="n"/>
      <c r="C52" s="133" t="n"/>
      <c r="D52" s="133" t="n"/>
      <c r="E52" s="133" t="n"/>
      <c r="F52" s="133" t="n"/>
      <c r="G52" s="133" t="n"/>
      <c r="H52" s="133" t="n"/>
      <c r="I52" s="135">
        <f>IF(OR($A52="",$G52=""),"",IF($H52="VAR","KARŞILIKSIZ",IF($G52&gt;=DusukRiskEsik,"DÜŞÜK",IF($G52&gt;=RiskliSkorEsik,"ORTA",IF($G52&gt;=YuksekRiskEsik,"YÜKSEK","KARŞILIKSIZ")))))</f>
        <v/>
      </c>
      <c r="J52" s="133" t="n"/>
      <c r="K52" s="133" t="n"/>
    </row>
    <row r="53" ht="18" customHeight="1" s="102">
      <c r="A53" s="132" t="n"/>
      <c r="B53" s="133" t="n"/>
      <c r="C53" s="133" t="n"/>
      <c r="D53" s="133" t="n"/>
      <c r="E53" s="133" t="n"/>
      <c r="F53" s="133" t="n"/>
      <c r="G53" s="133" t="n"/>
      <c r="H53" s="133" t="n"/>
      <c r="I53" s="135">
        <f>IF(OR($A53="",$G53=""),"",IF($H53="VAR","KARŞILIKSIZ",IF($G53&gt;=DusukRiskEsik,"DÜŞÜK",IF($G53&gt;=RiskliSkorEsik,"ORTA",IF($G53&gt;=YuksekRiskEsik,"YÜKSEK","KARŞILIKSIZ")))))</f>
        <v/>
      </c>
      <c r="J53" s="133" t="n"/>
      <c r="K53" s="133" t="n"/>
    </row>
    <row r="54" ht="18" customHeight="1" s="102">
      <c r="A54" s="132" t="n"/>
      <c r="B54" s="133" t="n"/>
      <c r="C54" s="133" t="n"/>
      <c r="D54" s="133" t="n"/>
      <c r="E54" s="133" t="n"/>
      <c r="F54" s="133" t="n"/>
      <c r="G54" s="133" t="n"/>
      <c r="H54" s="133" t="n"/>
      <c r="I54" s="135">
        <f>IF(OR($A54="",$G54=""),"",IF($H54="VAR","KARŞILIKSIZ",IF($G54&gt;=DusukRiskEsik,"DÜŞÜK",IF($G54&gt;=RiskliSkorEsik,"ORTA",IF($G54&gt;=YuksekRiskEsik,"YÜKSEK","KARŞILIKSIZ")))))</f>
        <v/>
      </c>
      <c r="J54" s="133" t="n"/>
      <c r="K54" s="133" t="n"/>
    </row>
    <row r="55" ht="18" customHeight="1" s="102">
      <c r="A55" s="132" t="n"/>
      <c r="B55" s="133" t="n"/>
      <c r="C55" s="133" t="n"/>
      <c r="D55" s="133" t="n"/>
      <c r="E55" s="133" t="n"/>
      <c r="F55" s="133" t="n"/>
      <c r="G55" s="133" t="n"/>
      <c r="H55" s="133" t="n"/>
      <c r="I55" s="135">
        <f>IF(OR($A55="",$G55=""),"",IF($H55="VAR","KARŞILIKSIZ",IF($G55&gt;=DusukRiskEsik,"DÜŞÜK",IF($G55&gt;=RiskliSkorEsik,"ORTA",IF($G55&gt;=YuksekRiskEsik,"YÜKSEK","KARŞILIKSIZ")))))</f>
        <v/>
      </c>
      <c r="J55" s="133" t="n"/>
      <c r="K55" s="133" t="n"/>
    </row>
    <row r="56" ht="18" customHeight="1" s="102">
      <c r="A56" s="132" t="n"/>
      <c r="B56" s="133" t="n"/>
      <c r="C56" s="133" t="n"/>
      <c r="D56" s="133" t="n"/>
      <c r="E56" s="133" t="n"/>
      <c r="F56" s="133" t="n"/>
      <c r="G56" s="133" t="n"/>
      <c r="H56" s="133" t="n"/>
      <c r="I56" s="135">
        <f>IF(OR($A56="",$G56=""),"",IF($H56="VAR","KARŞILIKSIZ",IF($G56&gt;=DusukRiskEsik,"DÜŞÜK",IF($G56&gt;=RiskliSkorEsik,"ORTA",IF($G56&gt;=YuksekRiskEsik,"YÜKSEK","KARŞILIKSIZ")))))</f>
        <v/>
      </c>
      <c r="J56" s="133" t="n"/>
      <c r="K56" s="133" t="n"/>
    </row>
    <row r="57" ht="18" customHeight="1" s="102">
      <c r="A57" s="132" t="n"/>
      <c r="B57" s="133" t="n"/>
      <c r="C57" s="133" t="n"/>
      <c r="D57" s="133" t="n"/>
      <c r="E57" s="133" t="n"/>
      <c r="F57" s="133" t="n"/>
      <c r="G57" s="133" t="n"/>
      <c r="H57" s="133" t="n"/>
      <c r="I57" s="135">
        <f>IF(OR($A57="",$G57=""),"",IF($H57="VAR","KARŞILIKSIZ",IF($G57&gt;=DusukRiskEsik,"DÜŞÜK",IF($G57&gt;=RiskliSkorEsik,"ORTA",IF($G57&gt;=YuksekRiskEsik,"YÜKSEK","KARŞILIKSIZ")))))</f>
        <v/>
      </c>
      <c r="J57" s="133" t="n"/>
      <c r="K57" s="133" t="n"/>
    </row>
    <row r="58" ht="18" customHeight="1" s="102">
      <c r="A58" s="132" t="n"/>
      <c r="B58" s="133" t="n"/>
      <c r="C58" s="133" t="n"/>
      <c r="D58" s="133" t="n"/>
      <c r="E58" s="133" t="n"/>
      <c r="F58" s="133" t="n"/>
      <c r="G58" s="133" t="n"/>
      <c r="H58" s="133" t="n"/>
      <c r="I58" s="135">
        <f>IF(OR($A58="",$G58=""),"",IF($H58="VAR","KARŞILIKSIZ",IF($G58&gt;=DusukRiskEsik,"DÜŞÜK",IF($G58&gt;=RiskliSkorEsik,"ORTA",IF($G58&gt;=YuksekRiskEsik,"YÜKSEK","KARŞILIKSIZ")))))</f>
        <v/>
      </c>
      <c r="J58" s="133" t="n"/>
      <c r="K58" s="133" t="n"/>
    </row>
    <row r="59" ht="18" customHeight="1" s="102">
      <c r="A59" s="132" t="n"/>
      <c r="B59" s="133" t="n"/>
      <c r="C59" s="133" t="n"/>
      <c r="D59" s="133" t="n"/>
      <c r="E59" s="133" t="n"/>
      <c r="F59" s="133" t="n"/>
      <c r="G59" s="133" t="n"/>
      <c r="H59" s="133" t="n"/>
      <c r="I59" s="135">
        <f>IF(OR($A59="",$G59=""),"",IF($H59="VAR","KARŞILIKSIZ",IF($G59&gt;=DusukRiskEsik,"DÜŞÜK",IF($G59&gt;=RiskliSkorEsik,"ORTA",IF($G59&gt;=YuksekRiskEsik,"YÜKSEK","KARŞILIKSIZ")))))</f>
        <v/>
      </c>
      <c r="J59" s="133" t="n"/>
      <c r="K59" s="133" t="n"/>
    </row>
    <row r="60" ht="18" customHeight="1" s="102">
      <c r="A60" s="132" t="n"/>
      <c r="B60" s="133" t="n"/>
      <c r="C60" s="133" t="n"/>
      <c r="D60" s="133" t="n"/>
      <c r="E60" s="133" t="n"/>
      <c r="F60" s="133" t="n"/>
      <c r="G60" s="133" t="n"/>
      <c r="H60" s="133" t="n"/>
      <c r="I60" s="135">
        <f>IF(OR($A60="",$G60=""),"",IF($H60="VAR","KARŞILIKSIZ",IF($G60&gt;=DusukRiskEsik,"DÜŞÜK",IF($G60&gt;=RiskliSkorEsik,"ORTA",IF($G60&gt;=YuksekRiskEsik,"YÜKSEK","KARŞILIKSIZ")))))</f>
        <v/>
      </c>
      <c r="J60" s="133" t="n"/>
      <c r="K60" s="133" t="n"/>
    </row>
    <row r="61" ht="18" customHeight="1" s="102">
      <c r="A61" s="132" t="n"/>
      <c r="B61" s="133" t="n"/>
      <c r="C61" s="133" t="n"/>
      <c r="D61" s="133" t="n"/>
      <c r="E61" s="133" t="n"/>
      <c r="F61" s="133" t="n"/>
      <c r="G61" s="133" t="n"/>
      <c r="H61" s="133" t="n"/>
      <c r="I61" s="135">
        <f>IF(OR($A61="",$G61=""),"",IF($H61="VAR","KARŞILIKSIZ",IF($G61&gt;=DusukRiskEsik,"DÜŞÜK",IF($G61&gt;=RiskliSkorEsik,"ORTA",IF($G61&gt;=YuksekRiskEsik,"YÜKSEK","KARŞILIKSIZ")))))</f>
        <v/>
      </c>
      <c r="J61" s="133" t="n"/>
      <c r="K61" s="133" t="n"/>
    </row>
    <row r="62" ht="18" customHeight="1" s="102">
      <c r="A62" s="132" t="n"/>
      <c r="B62" s="133" t="n"/>
      <c r="C62" s="133" t="n"/>
      <c r="D62" s="133" t="n"/>
      <c r="E62" s="133" t="n"/>
      <c r="F62" s="133" t="n"/>
      <c r="G62" s="133" t="n"/>
      <c r="H62" s="133" t="n"/>
      <c r="I62" s="135">
        <f>IF(OR($A62="",$G62=""),"",IF($H62="VAR","KARŞILIKSIZ",IF($G62&gt;=DusukRiskEsik,"DÜŞÜK",IF($G62&gt;=RiskliSkorEsik,"ORTA",IF($G62&gt;=YuksekRiskEsik,"YÜKSEK","KARŞILIKSIZ")))))</f>
        <v/>
      </c>
      <c r="J62" s="133" t="n"/>
      <c r="K62" s="133" t="n"/>
    </row>
    <row r="63" ht="18" customHeight="1" s="102">
      <c r="A63" s="132" t="n"/>
      <c r="B63" s="133" t="n"/>
      <c r="C63" s="133" t="n"/>
      <c r="D63" s="133" t="n"/>
      <c r="E63" s="133" t="n"/>
      <c r="F63" s="133" t="n"/>
      <c r="G63" s="133" t="n"/>
      <c r="H63" s="133" t="n"/>
      <c r="I63" s="135">
        <f>IF(OR($A63="",$G63=""),"",IF($H63="VAR","KARŞILIKSIZ",IF($G63&gt;=DusukRiskEsik,"DÜŞÜK",IF($G63&gt;=RiskliSkorEsik,"ORTA",IF($G63&gt;=YuksekRiskEsik,"YÜKSEK","KARŞILIKSIZ")))))</f>
        <v/>
      </c>
      <c r="J63" s="133" t="n"/>
      <c r="K63" s="133" t="n"/>
    </row>
    <row r="64" ht="18" customHeight="1" s="102">
      <c r="A64" s="132" t="n"/>
      <c r="B64" s="133" t="n"/>
      <c r="C64" s="133" t="n"/>
      <c r="D64" s="133" t="n"/>
      <c r="E64" s="133" t="n"/>
      <c r="F64" s="133" t="n"/>
      <c r="G64" s="133" t="n"/>
      <c r="H64" s="133" t="n"/>
      <c r="I64" s="135">
        <f>IF(OR($A64="",$G64=""),"",IF($H64="VAR","KARŞILIKSIZ",IF($G64&gt;=DusukRiskEsik,"DÜŞÜK",IF($G64&gt;=RiskliSkorEsik,"ORTA",IF($G64&gt;=YuksekRiskEsik,"YÜKSEK","KARŞILIKSIZ")))))</f>
        <v/>
      </c>
      <c r="J64" s="133" t="n"/>
      <c r="K64" s="133" t="n"/>
    </row>
    <row r="65" ht="18" customHeight="1" s="102">
      <c r="A65" s="132" t="n"/>
      <c r="B65" s="133" t="n"/>
      <c r="C65" s="133" t="n"/>
      <c r="D65" s="133" t="n"/>
      <c r="E65" s="133" t="n"/>
      <c r="F65" s="133" t="n"/>
      <c r="G65" s="133" t="n"/>
      <c r="H65" s="133" t="n"/>
      <c r="I65" s="135">
        <f>IF(OR($A65="",$G65=""),"",IF($H65="VAR","KARŞILIKSIZ",IF($G65&gt;=DusukRiskEsik,"DÜŞÜK",IF($G65&gt;=RiskliSkorEsik,"ORTA",IF($G65&gt;=YuksekRiskEsik,"YÜKSEK","KARŞILIKSIZ")))))</f>
        <v/>
      </c>
      <c r="J65" s="133" t="n"/>
      <c r="K65" s="133" t="n"/>
    </row>
    <row r="66" ht="18" customHeight="1" s="102">
      <c r="A66" s="132" t="n"/>
      <c r="B66" s="133" t="n"/>
      <c r="C66" s="133" t="n"/>
      <c r="D66" s="133" t="n"/>
      <c r="E66" s="133" t="n"/>
      <c r="F66" s="133" t="n"/>
      <c r="G66" s="133" t="n"/>
      <c r="H66" s="133" t="n"/>
      <c r="I66" s="135">
        <f>IF(OR($A66="",$G66=""),"",IF($H66="VAR","KARŞILIKSIZ",IF($G66&gt;=DusukRiskEsik,"DÜŞÜK",IF($G66&gt;=RiskliSkorEsik,"ORTA",IF($G66&gt;=YuksekRiskEsik,"YÜKSEK","KARŞILIKSIZ")))))</f>
        <v/>
      </c>
      <c r="J66" s="133" t="n"/>
      <c r="K66" s="133" t="n"/>
    </row>
    <row r="67" ht="18" customHeight="1" s="102">
      <c r="A67" s="132" t="n"/>
      <c r="B67" s="133" t="n"/>
      <c r="C67" s="133" t="n"/>
      <c r="D67" s="133" t="n"/>
      <c r="E67" s="133" t="n"/>
      <c r="F67" s="133" t="n"/>
      <c r="G67" s="133" t="n"/>
      <c r="H67" s="133" t="n"/>
      <c r="I67" s="135">
        <f>IF(OR($A67="",$G67=""),"",IF($H67="VAR","KARŞILIKSIZ",IF($G67&gt;=DusukRiskEsik,"DÜŞÜK",IF($G67&gt;=RiskliSkorEsik,"ORTA",IF($G67&gt;=YuksekRiskEsik,"YÜKSEK","KARŞILIKSIZ")))))</f>
        <v/>
      </c>
      <c r="J67" s="133" t="n"/>
      <c r="K67" s="133" t="n"/>
    </row>
    <row r="68" ht="18" customHeight="1" s="102">
      <c r="A68" s="132" t="n"/>
      <c r="B68" s="133" t="n"/>
      <c r="C68" s="133" t="n"/>
      <c r="D68" s="133" t="n"/>
      <c r="E68" s="133" t="n"/>
      <c r="F68" s="133" t="n"/>
      <c r="G68" s="133" t="n"/>
      <c r="H68" s="133" t="n"/>
      <c r="I68" s="135">
        <f>IF(OR($A68="",$G68=""),"",IF($H68="VAR","KARŞILIKSIZ",IF($G68&gt;=DusukRiskEsik,"DÜŞÜK",IF($G68&gt;=RiskliSkorEsik,"ORTA",IF($G68&gt;=YuksekRiskEsik,"YÜKSEK","KARŞILIKSIZ")))))</f>
        <v/>
      </c>
      <c r="J68" s="133" t="n"/>
      <c r="K68" s="133" t="n"/>
    </row>
    <row r="69" ht="18" customHeight="1" s="102">
      <c r="A69" s="132" t="n"/>
      <c r="B69" s="133" t="n"/>
      <c r="C69" s="133" t="n"/>
      <c r="D69" s="133" t="n"/>
      <c r="E69" s="133" t="n"/>
      <c r="F69" s="133" t="n"/>
      <c r="G69" s="133" t="n"/>
      <c r="H69" s="133" t="n"/>
      <c r="I69" s="135">
        <f>IF(OR($A69="",$G69=""),"",IF($H69="VAR","KARŞILIKSIZ",IF($G69&gt;=DusukRiskEsik,"DÜŞÜK",IF($G69&gt;=RiskliSkorEsik,"ORTA",IF($G69&gt;=YuksekRiskEsik,"YÜKSEK","KARŞILIKSIZ")))))</f>
        <v/>
      </c>
      <c r="J69" s="133" t="n"/>
      <c r="K69" s="133" t="n"/>
    </row>
    <row r="70" ht="18" customHeight="1" s="102">
      <c r="A70" s="132" t="n"/>
      <c r="B70" s="133" t="n"/>
      <c r="C70" s="133" t="n"/>
      <c r="D70" s="133" t="n"/>
      <c r="E70" s="133" t="n"/>
      <c r="F70" s="133" t="n"/>
      <c r="G70" s="133" t="n"/>
      <c r="H70" s="133" t="n"/>
      <c r="I70" s="135">
        <f>IF(OR($A70="",$G70=""),"",IF($H70="VAR","KARŞILIKSIZ",IF($G70&gt;=DusukRiskEsik,"DÜŞÜK",IF($G70&gt;=RiskliSkorEsik,"ORTA",IF($G70&gt;=YuksekRiskEsik,"YÜKSEK","KARŞILIKSIZ")))))</f>
        <v/>
      </c>
      <c r="J70" s="133" t="n"/>
      <c r="K70" s="133" t="n"/>
    </row>
    <row r="71" ht="18" customHeight="1" s="102">
      <c r="A71" s="132" t="n"/>
      <c r="B71" s="133" t="n"/>
      <c r="C71" s="133" t="n"/>
      <c r="D71" s="133" t="n"/>
      <c r="E71" s="133" t="n"/>
      <c r="F71" s="133" t="n"/>
      <c r="G71" s="133" t="n"/>
      <c r="H71" s="133" t="n"/>
      <c r="I71" s="135">
        <f>IF(OR($A71="",$G71=""),"",IF($H71="VAR","KARŞILIKSIZ",IF($G71&gt;=DusukRiskEsik,"DÜŞÜK",IF($G71&gt;=RiskliSkorEsik,"ORTA",IF($G71&gt;=YuksekRiskEsik,"YÜKSEK","KARŞILIKSIZ")))))</f>
        <v/>
      </c>
      <c r="J71" s="133" t="n"/>
      <c r="K71" s="133" t="n"/>
    </row>
    <row r="72" ht="18" customHeight="1" s="102">
      <c r="A72" s="132" t="n"/>
      <c r="B72" s="133" t="n"/>
      <c r="C72" s="133" t="n"/>
      <c r="D72" s="133" t="n"/>
      <c r="E72" s="133" t="n"/>
      <c r="F72" s="133" t="n"/>
      <c r="G72" s="133" t="n"/>
      <c r="H72" s="133" t="n"/>
      <c r="I72" s="135">
        <f>IF(OR($A72="",$G72=""),"",IF($H72="VAR","KARŞILIKSIZ",IF($G72&gt;=DusukRiskEsik,"DÜŞÜK",IF($G72&gt;=RiskliSkorEsik,"ORTA",IF($G72&gt;=YuksekRiskEsik,"YÜKSEK","KARŞILIKSIZ")))))</f>
        <v/>
      </c>
      <c r="J72" s="133" t="n"/>
      <c r="K72" s="133" t="n"/>
    </row>
    <row r="73" ht="18" customHeight="1" s="102">
      <c r="A73" s="132" t="n"/>
      <c r="B73" s="133" t="n"/>
      <c r="C73" s="133" t="n"/>
      <c r="D73" s="133" t="n"/>
      <c r="E73" s="133" t="n"/>
      <c r="F73" s="133" t="n"/>
      <c r="G73" s="133" t="n"/>
      <c r="H73" s="133" t="n"/>
      <c r="I73" s="135">
        <f>IF(OR($A73="",$G73=""),"",IF($H73="VAR","KARŞILIKSIZ",IF($G73&gt;=DusukRiskEsik,"DÜŞÜK",IF($G73&gt;=RiskliSkorEsik,"ORTA",IF($G73&gt;=YuksekRiskEsik,"YÜKSEK","KARŞILIKSIZ")))))</f>
        <v/>
      </c>
      <c r="J73" s="133" t="n"/>
      <c r="K73" s="133" t="n"/>
    </row>
    <row r="74" ht="18" customHeight="1" s="102">
      <c r="A74" s="132" t="n"/>
      <c r="B74" s="133" t="n"/>
      <c r="C74" s="133" t="n"/>
      <c r="D74" s="133" t="n"/>
      <c r="E74" s="133" t="n"/>
      <c r="F74" s="133" t="n"/>
      <c r="G74" s="133" t="n"/>
      <c r="H74" s="133" t="n"/>
      <c r="I74" s="135">
        <f>IF(OR($A74="",$G74=""),"",IF($H74="VAR","KARŞILIKSIZ",IF($G74&gt;=DusukRiskEsik,"DÜŞÜK",IF($G74&gt;=RiskliSkorEsik,"ORTA",IF($G74&gt;=YuksekRiskEsik,"YÜKSEK","KARŞILIKSIZ")))))</f>
        <v/>
      </c>
      <c r="J74" s="133" t="n"/>
      <c r="K74" s="133" t="n"/>
    </row>
    <row r="75" ht="18" customHeight="1" s="102">
      <c r="A75" s="132" t="n"/>
      <c r="B75" s="133" t="n"/>
      <c r="C75" s="133" t="n"/>
      <c r="D75" s="133" t="n"/>
      <c r="E75" s="133" t="n"/>
      <c r="F75" s="133" t="n"/>
      <c r="G75" s="133" t="n"/>
      <c r="H75" s="133" t="n"/>
      <c r="I75" s="135">
        <f>IF(OR($A75="",$G75=""),"",IF($H75="VAR","KARŞILIKSIZ",IF($G75&gt;=DusukRiskEsik,"DÜŞÜK",IF($G75&gt;=RiskliSkorEsik,"ORTA",IF($G75&gt;=YuksekRiskEsik,"YÜKSEK","KARŞILIKSIZ")))))</f>
        <v/>
      </c>
      <c r="J75" s="133" t="n"/>
      <c r="K75" s="133" t="n"/>
    </row>
    <row r="76" ht="18" customHeight="1" s="102">
      <c r="A76" s="132" t="n"/>
      <c r="B76" s="133" t="n"/>
      <c r="C76" s="133" t="n"/>
      <c r="D76" s="133" t="n"/>
      <c r="E76" s="133" t="n"/>
      <c r="F76" s="133" t="n"/>
      <c r="G76" s="133" t="n"/>
      <c r="H76" s="133" t="n"/>
      <c r="I76" s="135">
        <f>IF(OR($A76="",$G76=""),"",IF($H76="VAR","KARŞILIKSIZ",IF($G76&gt;=DusukRiskEsik,"DÜŞÜK",IF($G76&gt;=RiskliSkorEsik,"ORTA",IF($G76&gt;=YuksekRiskEsik,"YÜKSEK","KARŞILIKSIZ")))))</f>
        <v/>
      </c>
      <c r="J76" s="133" t="n"/>
      <c r="K76" s="133" t="n"/>
    </row>
    <row r="77" ht="18" customHeight="1" s="102">
      <c r="A77" s="132" t="n"/>
      <c r="B77" s="133" t="n"/>
      <c r="C77" s="133" t="n"/>
      <c r="D77" s="133" t="n"/>
      <c r="E77" s="133" t="n"/>
      <c r="F77" s="133" t="n"/>
      <c r="G77" s="133" t="n"/>
      <c r="H77" s="133" t="n"/>
      <c r="I77" s="135">
        <f>IF(OR($A77="",$G77=""),"",IF($H77="VAR","KARŞILIKSIZ",IF($G77&gt;=DusukRiskEsik,"DÜŞÜK",IF($G77&gt;=RiskliSkorEsik,"ORTA",IF($G77&gt;=YuksekRiskEsik,"YÜKSEK","KARŞILIKSIZ")))))</f>
        <v/>
      </c>
      <c r="J77" s="133" t="n"/>
      <c r="K77" s="133" t="n"/>
    </row>
    <row r="78" ht="18" customHeight="1" s="102">
      <c r="A78" s="132" t="n"/>
      <c r="B78" s="133" t="n"/>
      <c r="C78" s="133" t="n"/>
      <c r="D78" s="133" t="n"/>
      <c r="E78" s="133" t="n"/>
      <c r="F78" s="133" t="n"/>
      <c r="G78" s="133" t="n"/>
      <c r="H78" s="133" t="n"/>
      <c r="I78" s="135">
        <f>IF(OR($A78="",$G78=""),"",IF($H78="VAR","KARŞILIKSIZ",IF($G78&gt;=DusukRiskEsik,"DÜŞÜK",IF($G78&gt;=RiskliSkorEsik,"ORTA",IF($G78&gt;=YuksekRiskEsik,"YÜKSEK","KARŞILIKSIZ")))))</f>
        <v/>
      </c>
      <c r="J78" s="133" t="n"/>
      <c r="K78" s="133" t="n"/>
    </row>
    <row r="79" ht="18" customHeight="1" s="102">
      <c r="A79" s="132" t="n"/>
      <c r="B79" s="133" t="n"/>
      <c r="C79" s="133" t="n"/>
      <c r="D79" s="133" t="n"/>
      <c r="E79" s="133" t="n"/>
      <c r="F79" s="133" t="n"/>
      <c r="G79" s="133" t="n"/>
      <c r="H79" s="133" t="n"/>
      <c r="I79" s="135">
        <f>IF(OR($A79="",$G79=""),"",IF($H79="VAR","KARŞILIKSIZ",IF($G79&gt;=DusukRiskEsik,"DÜŞÜK",IF($G79&gt;=RiskliSkorEsik,"ORTA",IF($G79&gt;=YuksekRiskEsik,"YÜKSEK","KARŞILIKSIZ")))))</f>
        <v/>
      </c>
      <c r="J79" s="133" t="n"/>
      <c r="K79" s="133" t="n"/>
    </row>
    <row r="80" ht="18" customHeight="1" s="102">
      <c r="A80" s="132" t="n"/>
      <c r="B80" s="133" t="n"/>
      <c r="C80" s="133" t="n"/>
      <c r="D80" s="133" t="n"/>
      <c r="E80" s="133" t="n"/>
      <c r="F80" s="133" t="n"/>
      <c r="G80" s="133" t="n"/>
      <c r="H80" s="133" t="n"/>
      <c r="I80" s="135">
        <f>IF(OR($A80="",$G80=""),"",IF($H80="VAR","KARŞILIKSIZ",IF($G80&gt;=DusukRiskEsik,"DÜŞÜK",IF($G80&gt;=RiskliSkorEsik,"ORTA",IF($G80&gt;=YuksekRiskEsik,"YÜKSEK","KARŞILIKSIZ")))))</f>
        <v/>
      </c>
      <c r="J80" s="133" t="n"/>
      <c r="K80" s="133" t="n"/>
    </row>
    <row r="81" ht="18" customHeight="1" s="102">
      <c r="A81" s="132" t="n"/>
      <c r="B81" s="133" t="n"/>
      <c r="C81" s="133" t="n"/>
      <c r="D81" s="133" t="n"/>
      <c r="E81" s="133" t="n"/>
      <c r="F81" s="133" t="n"/>
      <c r="G81" s="133" t="n"/>
      <c r="H81" s="133" t="n"/>
      <c r="I81" s="135">
        <f>IF(OR($A81="",$G81=""),"",IF($H81="VAR","KARŞILIKSIZ",IF($G81&gt;=DusukRiskEsik,"DÜŞÜK",IF($G81&gt;=RiskliSkorEsik,"ORTA",IF($G81&gt;=YuksekRiskEsik,"YÜKSEK","KARŞILIKSIZ")))))</f>
        <v/>
      </c>
      <c r="J81" s="133" t="n"/>
      <c r="K81" s="133" t="n"/>
    </row>
    <row r="82" ht="18" customHeight="1" s="102">
      <c r="A82" s="132" t="n"/>
      <c r="B82" s="133" t="n"/>
      <c r="C82" s="133" t="n"/>
      <c r="D82" s="133" t="n"/>
      <c r="E82" s="133" t="n"/>
      <c r="F82" s="133" t="n"/>
      <c r="G82" s="133" t="n"/>
      <c r="H82" s="133" t="n"/>
      <c r="I82" s="135">
        <f>IF(OR($A82="",$G82=""),"",IF($H82="VAR","KARŞILIKSIZ",IF($G82&gt;=DusukRiskEsik,"DÜŞÜK",IF($G82&gt;=RiskliSkorEsik,"ORTA",IF($G82&gt;=YuksekRiskEsik,"YÜKSEK","KARŞILIKSIZ")))))</f>
        <v/>
      </c>
      <c r="J82" s="133" t="n"/>
      <c r="K82" s="133" t="n"/>
    </row>
    <row r="83" ht="18" customHeight="1" s="102">
      <c r="A83" s="132" t="n"/>
      <c r="B83" s="133" t="n"/>
      <c r="C83" s="133" t="n"/>
      <c r="D83" s="133" t="n"/>
      <c r="E83" s="133" t="n"/>
      <c r="F83" s="133" t="n"/>
      <c r="G83" s="133" t="n"/>
      <c r="H83" s="133" t="n"/>
      <c r="I83" s="135">
        <f>IF(OR($A83="",$G83=""),"",IF($H83="VAR","KARŞILIKSIZ",IF($G83&gt;=DusukRiskEsik,"DÜŞÜK",IF($G83&gt;=RiskliSkorEsik,"ORTA",IF($G83&gt;=YuksekRiskEsik,"YÜKSEK","KARŞILIKSIZ")))))</f>
        <v/>
      </c>
      <c r="J83" s="133" t="n"/>
      <c r="K83" s="133" t="n"/>
    </row>
    <row r="84" ht="18" customHeight="1" s="102">
      <c r="A84" s="132" t="n"/>
      <c r="B84" s="133" t="n"/>
      <c r="C84" s="133" t="n"/>
      <c r="D84" s="133" t="n"/>
      <c r="E84" s="133" t="n"/>
      <c r="F84" s="133" t="n"/>
      <c r="G84" s="133" t="n"/>
      <c r="H84" s="133" t="n"/>
      <c r="I84" s="135">
        <f>IF(OR($A84="",$G84=""),"",IF($H84="VAR","KARŞILIKSIZ",IF($G84&gt;=DusukRiskEsik,"DÜŞÜK",IF($G84&gt;=RiskliSkorEsik,"ORTA",IF($G84&gt;=YuksekRiskEsik,"YÜKSEK","KARŞILIKSIZ")))))</f>
        <v/>
      </c>
      <c r="J84" s="133" t="n"/>
      <c r="K84" s="133" t="n"/>
    </row>
    <row r="85" ht="18" customHeight="1" s="102">
      <c r="A85" s="132" t="n"/>
      <c r="B85" s="133" t="n"/>
      <c r="C85" s="133" t="n"/>
      <c r="D85" s="133" t="n"/>
      <c r="E85" s="133" t="n"/>
      <c r="F85" s="133" t="n"/>
      <c r="G85" s="133" t="n"/>
      <c r="H85" s="133" t="n"/>
      <c r="I85" s="135">
        <f>IF(OR($A85="",$G85=""),"",IF($H85="VAR","KARŞILIKSIZ",IF($G85&gt;=DusukRiskEsik,"DÜŞÜK",IF($G85&gt;=RiskliSkorEsik,"ORTA",IF($G85&gt;=YuksekRiskEsik,"YÜKSEK","KARŞILIKSIZ")))))</f>
        <v/>
      </c>
      <c r="J85" s="133" t="n"/>
      <c r="K85" s="133" t="n"/>
    </row>
    <row r="86" ht="18" customHeight="1" s="102">
      <c r="A86" s="132" t="n"/>
      <c r="B86" s="133" t="n"/>
      <c r="C86" s="133" t="n"/>
      <c r="D86" s="133" t="n"/>
      <c r="E86" s="133" t="n"/>
      <c r="F86" s="133" t="n"/>
      <c r="G86" s="133" t="n"/>
      <c r="H86" s="133" t="n"/>
      <c r="I86" s="135">
        <f>IF(OR($A86="",$G86=""),"",IF($H86="VAR","KARŞILIKSIZ",IF($G86&gt;=DusukRiskEsik,"DÜŞÜK",IF($G86&gt;=RiskliSkorEsik,"ORTA",IF($G86&gt;=YuksekRiskEsik,"YÜKSEK","KARŞILIKSIZ")))))</f>
        <v/>
      </c>
      <c r="J86" s="133" t="n"/>
      <c r="K86" s="133" t="n"/>
    </row>
    <row r="87" ht="18" customHeight="1" s="102">
      <c r="A87" s="132" t="n"/>
      <c r="B87" s="133" t="n"/>
      <c r="C87" s="133" t="n"/>
      <c r="D87" s="133" t="n"/>
      <c r="E87" s="133" t="n"/>
      <c r="F87" s="133" t="n"/>
      <c r="G87" s="133" t="n"/>
      <c r="H87" s="133" t="n"/>
      <c r="I87" s="135">
        <f>IF(OR($A87="",$G87=""),"",IF($H87="VAR","KARŞILIKSIZ",IF($G87&gt;=DusukRiskEsik,"DÜŞÜK",IF($G87&gt;=RiskliSkorEsik,"ORTA",IF($G87&gt;=YuksekRiskEsik,"YÜKSEK","KARŞILIKSIZ")))))</f>
        <v/>
      </c>
      <c r="J87" s="133" t="n"/>
      <c r="K87" s="133" t="n"/>
    </row>
    <row r="88" ht="18" customHeight="1" s="102">
      <c r="A88" s="132" t="n"/>
      <c r="B88" s="133" t="n"/>
      <c r="C88" s="133" t="n"/>
      <c r="D88" s="133" t="n"/>
      <c r="E88" s="133" t="n"/>
      <c r="F88" s="133" t="n"/>
      <c r="G88" s="133" t="n"/>
      <c r="H88" s="133" t="n"/>
      <c r="I88" s="135">
        <f>IF(OR($A88="",$G88=""),"",IF($H88="VAR","KARŞILIKSIZ",IF($G88&gt;=DusukRiskEsik,"DÜŞÜK",IF($G88&gt;=RiskliSkorEsik,"ORTA",IF($G88&gt;=YuksekRiskEsik,"YÜKSEK","KARŞILIKSIZ")))))</f>
        <v/>
      </c>
      <c r="J88" s="133" t="n"/>
      <c r="K88" s="133" t="n"/>
    </row>
    <row r="89" ht="18" customHeight="1" s="102">
      <c r="A89" s="132" t="n"/>
      <c r="B89" s="133" t="n"/>
      <c r="C89" s="133" t="n"/>
      <c r="D89" s="133" t="n"/>
      <c r="E89" s="133" t="n"/>
      <c r="F89" s="133" t="n"/>
      <c r="G89" s="133" t="n"/>
      <c r="H89" s="133" t="n"/>
      <c r="I89" s="135">
        <f>IF(OR($A89="",$G89=""),"",IF($H89="VAR","KARŞILIKSIZ",IF($G89&gt;=DusukRiskEsik,"DÜŞÜK",IF($G89&gt;=RiskliSkorEsik,"ORTA",IF($G89&gt;=YuksekRiskEsik,"YÜKSEK","KARŞILIKSIZ")))))</f>
        <v/>
      </c>
      <c r="J89" s="133" t="n"/>
      <c r="K89" s="133" t="n"/>
    </row>
    <row r="90" ht="18" customHeight="1" s="102">
      <c r="A90" s="132" t="n"/>
      <c r="B90" s="133" t="n"/>
      <c r="C90" s="133" t="n"/>
      <c r="D90" s="133" t="n"/>
      <c r="E90" s="133" t="n"/>
      <c r="F90" s="133" t="n"/>
      <c r="G90" s="133" t="n"/>
      <c r="H90" s="133" t="n"/>
      <c r="I90" s="135">
        <f>IF(OR($A90="",$G90=""),"",IF($H90="VAR","KARŞILIKSIZ",IF($G90&gt;=DusukRiskEsik,"DÜŞÜK",IF($G90&gt;=RiskliSkorEsik,"ORTA",IF($G90&gt;=YuksekRiskEsik,"YÜKSEK","KARŞILIKSIZ")))))</f>
        <v/>
      </c>
      <c r="J90" s="133" t="n"/>
      <c r="K90" s="133" t="n"/>
    </row>
    <row r="91" ht="18" customHeight="1" s="102">
      <c r="A91" s="132" t="n"/>
      <c r="B91" s="133" t="n"/>
      <c r="C91" s="133" t="n"/>
      <c r="D91" s="133" t="n"/>
      <c r="E91" s="133" t="n"/>
      <c r="F91" s="133" t="n"/>
      <c r="G91" s="133" t="n"/>
      <c r="H91" s="133" t="n"/>
      <c r="I91" s="135">
        <f>IF(OR($A91="",$G91=""),"",IF($H91="VAR","KARŞILIKSIZ",IF($G91&gt;=DusukRiskEsik,"DÜŞÜK",IF($G91&gt;=RiskliSkorEsik,"ORTA",IF($G91&gt;=YuksekRiskEsik,"YÜKSEK","KARŞILIKSIZ")))))</f>
        <v/>
      </c>
      <c r="J91" s="133" t="n"/>
      <c r="K91" s="133" t="n"/>
    </row>
    <row r="92" ht="18" customHeight="1" s="102">
      <c r="A92" s="132" t="n"/>
      <c r="B92" s="133" t="n"/>
      <c r="C92" s="133" t="n"/>
      <c r="D92" s="133" t="n"/>
      <c r="E92" s="133" t="n"/>
      <c r="F92" s="133" t="n"/>
      <c r="G92" s="133" t="n"/>
      <c r="H92" s="133" t="n"/>
      <c r="I92" s="135">
        <f>IF(OR($A92="",$G92=""),"",IF($H92="VAR","KARŞILIKSIZ",IF($G92&gt;=DusukRiskEsik,"DÜŞÜK",IF($G92&gt;=RiskliSkorEsik,"ORTA",IF($G92&gt;=YuksekRiskEsik,"YÜKSEK","KARŞILIKSIZ")))))</f>
        <v/>
      </c>
      <c r="J92" s="133" t="n"/>
      <c r="K92" s="133" t="n"/>
    </row>
    <row r="93" ht="18" customHeight="1" s="102">
      <c r="A93" s="132" t="n"/>
      <c r="B93" s="133" t="n"/>
      <c r="C93" s="133" t="n"/>
      <c r="D93" s="133" t="n"/>
      <c r="E93" s="133" t="n"/>
      <c r="F93" s="133" t="n"/>
      <c r="G93" s="133" t="n"/>
      <c r="H93" s="133" t="n"/>
      <c r="I93" s="135">
        <f>IF(OR($A93="",$G93=""),"",IF($H93="VAR","KARŞILIKSIZ",IF($G93&gt;=DusukRiskEsik,"DÜŞÜK",IF($G93&gt;=RiskliSkorEsik,"ORTA",IF($G93&gt;=YuksekRiskEsik,"YÜKSEK","KARŞILIKSIZ")))))</f>
        <v/>
      </c>
      <c r="J93" s="133" t="n"/>
      <c r="K93" s="133" t="n"/>
    </row>
    <row r="94" ht="18" customHeight="1" s="102">
      <c r="A94" s="132" t="n"/>
      <c r="B94" s="133" t="n"/>
      <c r="C94" s="133" t="n"/>
      <c r="D94" s="133" t="n"/>
      <c r="E94" s="133" t="n"/>
      <c r="F94" s="133" t="n"/>
      <c r="G94" s="133" t="n"/>
      <c r="H94" s="133" t="n"/>
      <c r="I94" s="135">
        <f>IF(OR($A94="",$G94=""),"",IF($H94="VAR","KARŞILIKSIZ",IF($G94&gt;=DusukRiskEsik,"DÜŞÜK",IF($G94&gt;=RiskliSkorEsik,"ORTA",IF($G94&gt;=YuksekRiskEsik,"YÜKSEK","KARŞILIKSIZ")))))</f>
        <v/>
      </c>
      <c r="J94" s="133" t="n"/>
      <c r="K94" s="133" t="n"/>
    </row>
    <row r="95" ht="18" customHeight="1" s="102">
      <c r="A95" s="132" t="n"/>
      <c r="B95" s="133" t="n"/>
      <c r="C95" s="133" t="n"/>
      <c r="D95" s="133" t="n"/>
      <c r="E95" s="133" t="n"/>
      <c r="F95" s="133" t="n"/>
      <c r="G95" s="133" t="n"/>
      <c r="H95" s="133" t="n"/>
      <c r="I95" s="135">
        <f>IF(OR($A95="",$G95=""),"",IF($H95="VAR","KARŞILIKSIZ",IF($G95&gt;=DusukRiskEsik,"DÜŞÜK",IF($G95&gt;=RiskliSkorEsik,"ORTA",IF($G95&gt;=YuksekRiskEsik,"YÜKSEK","KARŞILIKSIZ")))))</f>
        <v/>
      </c>
      <c r="J95" s="133" t="n"/>
      <c r="K95" s="133" t="n"/>
    </row>
    <row r="96" ht="18" customHeight="1" s="102">
      <c r="A96" s="132" t="n"/>
      <c r="B96" s="133" t="n"/>
      <c r="C96" s="133" t="n"/>
      <c r="D96" s="133" t="n"/>
      <c r="E96" s="133" t="n"/>
      <c r="F96" s="133" t="n"/>
      <c r="G96" s="133" t="n"/>
      <c r="H96" s="133" t="n"/>
      <c r="I96" s="135">
        <f>IF(OR($A96="",$G96=""),"",IF($H96="VAR","KARŞILIKSIZ",IF($G96&gt;=DusukRiskEsik,"DÜŞÜK",IF($G96&gt;=RiskliSkorEsik,"ORTA",IF($G96&gt;=YuksekRiskEsik,"YÜKSEK","KARŞILIKSIZ")))))</f>
        <v/>
      </c>
      <c r="J96" s="133" t="n"/>
      <c r="K96" s="133" t="n"/>
    </row>
    <row r="97" ht="18" customHeight="1" s="102">
      <c r="A97" s="132" t="n"/>
      <c r="B97" s="133" t="n"/>
      <c r="C97" s="133" t="n"/>
      <c r="D97" s="133" t="n"/>
      <c r="E97" s="133" t="n"/>
      <c r="F97" s="133" t="n"/>
      <c r="G97" s="133" t="n"/>
      <c r="H97" s="133" t="n"/>
      <c r="I97" s="135">
        <f>IF(OR($A97="",$G97=""),"",IF($H97="VAR","KARŞILIKSIZ",IF($G97&gt;=DusukRiskEsik,"DÜŞÜK",IF($G97&gt;=RiskliSkorEsik,"ORTA",IF($G97&gt;=YuksekRiskEsik,"YÜKSEK","KARŞILIKSIZ")))))</f>
        <v/>
      </c>
      <c r="J97" s="133" t="n"/>
      <c r="K97" s="133" t="n"/>
    </row>
    <row r="98" ht="18" customHeight="1" s="102">
      <c r="A98" s="132" t="n"/>
      <c r="B98" s="133" t="n"/>
      <c r="C98" s="133" t="n"/>
      <c r="D98" s="133" t="n"/>
      <c r="E98" s="133" t="n"/>
      <c r="F98" s="133" t="n"/>
      <c r="G98" s="133" t="n"/>
      <c r="H98" s="133" t="n"/>
      <c r="I98" s="135">
        <f>IF(OR($A98="",$G98=""),"",IF($H98="VAR","KARŞILIKSIZ",IF($G98&gt;=DusukRiskEsik,"DÜŞÜK",IF($G98&gt;=RiskliSkorEsik,"ORTA",IF($G98&gt;=YuksekRiskEsik,"YÜKSEK","KARŞILIKSIZ")))))</f>
        <v/>
      </c>
      <c r="J98" s="133" t="n"/>
      <c r="K98" s="133" t="n"/>
    </row>
    <row r="99" ht="18" customHeight="1" s="102">
      <c r="A99" s="132" t="n"/>
      <c r="B99" s="133" t="n"/>
      <c r="C99" s="133" t="n"/>
      <c r="D99" s="133" t="n"/>
      <c r="E99" s="133" t="n"/>
      <c r="F99" s="133" t="n"/>
      <c r="G99" s="133" t="n"/>
      <c r="H99" s="133" t="n"/>
      <c r="I99" s="135">
        <f>IF(OR($A99="",$G99=""),"",IF($H99="VAR","KARŞILIKSIZ",IF($G99&gt;=DusukRiskEsik,"DÜŞÜK",IF($G99&gt;=RiskliSkorEsik,"ORTA",IF($G99&gt;=YuksekRiskEsik,"YÜKSEK","KARŞILIKSIZ")))))</f>
        <v/>
      </c>
      <c r="J99" s="133" t="n"/>
      <c r="K99" s="133" t="n"/>
    </row>
    <row r="100" ht="18" customHeight="1" s="102">
      <c r="A100" s="132" t="n"/>
      <c r="B100" s="133" t="n"/>
      <c r="C100" s="133" t="n"/>
      <c r="D100" s="133" t="n"/>
      <c r="E100" s="133" t="n"/>
      <c r="F100" s="133" t="n"/>
      <c r="G100" s="133" t="n"/>
      <c r="H100" s="133" t="n"/>
      <c r="I100" s="135">
        <f>IF(OR($A100="",$G100=""),"",IF($H100="VAR","KARŞILIKSIZ",IF($G100&gt;=DusukRiskEsik,"DÜŞÜK",IF($G100&gt;=RiskliSkorEsik,"ORTA",IF($G100&gt;=YuksekRiskEsik,"YÜKSEK","KARŞILIKSIZ")))))</f>
        <v/>
      </c>
      <c r="J100" s="133" t="n"/>
      <c r="K100" s="133" t="n"/>
    </row>
    <row r="101" ht="18" customHeight="1" s="102">
      <c r="A101" s="132" t="n"/>
      <c r="B101" s="133" t="n"/>
      <c r="C101" s="133" t="n"/>
      <c r="D101" s="133" t="n"/>
      <c r="E101" s="133" t="n"/>
      <c r="F101" s="133" t="n"/>
      <c r="G101" s="133" t="n"/>
      <c r="H101" s="133" t="n"/>
      <c r="I101" s="135">
        <f>IF(OR($A101="",$G101=""),"",IF($H101="VAR","KARŞILIKSIZ",IF($G101&gt;=DusukRiskEsik,"DÜŞÜK",IF($G101&gt;=RiskliSkorEsik,"ORTA",IF($G101&gt;=YuksekRiskEsik,"YÜKSEK","KARŞILIKSIZ")))))</f>
        <v/>
      </c>
      <c r="J101" s="133" t="n"/>
      <c r="K101" s="133" t="n"/>
    </row>
    <row r="102" ht="18" customHeight="1" s="102">
      <c r="A102" s="132" t="n"/>
      <c r="B102" s="133" t="n"/>
      <c r="C102" s="133" t="n"/>
      <c r="D102" s="133" t="n"/>
      <c r="E102" s="133" t="n"/>
      <c r="F102" s="133" t="n"/>
      <c r="G102" s="133" t="n"/>
      <c r="H102" s="133" t="n"/>
      <c r="I102" s="135">
        <f>IF(OR($A102="",$G102=""),"",IF($H102="VAR","KARŞILIKSIZ",IF($G102&gt;=DusukRiskEsik,"DÜŞÜK",IF($G102&gt;=RiskliSkorEsik,"ORTA",IF($G102&gt;=YuksekRiskEsik,"YÜKSEK","KARŞILIKSIZ")))))</f>
        <v/>
      </c>
      <c r="J102" s="133" t="n"/>
      <c r="K102" s="133" t="n"/>
    </row>
    <row r="103" ht="18" customHeight="1" s="102">
      <c r="A103" s="132" t="n"/>
      <c r="B103" s="133" t="n"/>
      <c r="C103" s="133" t="n"/>
      <c r="D103" s="133" t="n"/>
      <c r="E103" s="133" t="n"/>
      <c r="F103" s="133" t="n"/>
      <c r="G103" s="133" t="n"/>
      <c r="H103" s="133" t="n"/>
      <c r="I103" s="135">
        <f>IF(OR($A103="",$G103=""),"",IF($H103="VAR","KARŞILIKSIZ",IF($G103&gt;=DusukRiskEsik,"DÜŞÜK",IF($G103&gt;=RiskliSkorEsik,"ORTA",IF($G103&gt;=YuksekRiskEsik,"YÜKSEK","KARŞILIKSIZ")))))</f>
        <v/>
      </c>
      <c r="J103" s="133" t="n"/>
      <c r="K103" s="133" t="n"/>
    </row>
    <row r="104" ht="18" customHeight="1" s="102">
      <c r="A104" s="132" t="n"/>
      <c r="B104" s="133" t="n"/>
      <c r="C104" s="133" t="n"/>
      <c r="D104" s="133" t="n"/>
      <c r="E104" s="133" t="n"/>
      <c r="F104" s="133" t="n"/>
      <c r="G104" s="133" t="n"/>
      <c r="H104" s="133" t="n"/>
      <c r="I104" s="135">
        <f>IF(OR($A104="",$G104=""),"",IF($H104="VAR","KARŞILIKSIZ",IF($G104&gt;=DusukRiskEsik,"DÜŞÜK",IF($G104&gt;=RiskliSkorEsik,"ORTA",IF($G104&gt;=YuksekRiskEsik,"YÜKSEK","KARŞILIKSIZ")))))</f>
        <v/>
      </c>
      <c r="J104" s="133" t="n"/>
      <c r="K104" s="133" t="n"/>
    </row>
    <row r="105" ht="18" customHeight="1" s="102">
      <c r="A105" s="132" t="n"/>
      <c r="B105" s="133" t="n"/>
      <c r="C105" s="133" t="n"/>
      <c r="D105" s="133" t="n"/>
      <c r="E105" s="133" t="n"/>
      <c r="F105" s="133" t="n"/>
      <c r="G105" s="133" t="n"/>
      <c r="H105" s="133" t="n"/>
      <c r="I105" s="135">
        <f>IF(OR($A105="",$G105=""),"",IF($H105="VAR","KARŞILIKSIZ",IF($G105&gt;=DusukRiskEsik,"DÜŞÜK",IF($G105&gt;=RiskliSkorEsik,"ORTA",IF($G105&gt;=YuksekRiskEsik,"YÜKSEK","KARŞILIKSIZ")))))</f>
        <v/>
      </c>
      <c r="J105" s="133" t="n"/>
      <c r="K105" s="133" t="n"/>
    </row>
    <row r="106" ht="18" customHeight="1" s="102">
      <c r="A106" s="132" t="n"/>
      <c r="B106" s="133" t="n"/>
      <c r="C106" s="133" t="n"/>
      <c r="D106" s="133" t="n"/>
      <c r="E106" s="133" t="n"/>
      <c r="F106" s="133" t="n"/>
      <c r="G106" s="133" t="n"/>
      <c r="H106" s="133" t="n"/>
      <c r="I106" s="135">
        <f>IF(OR($A106="",$G106=""),"",IF($H106="VAR","KARŞILIKSIZ",IF($G106&gt;=DusukRiskEsik,"DÜŞÜK",IF($G106&gt;=RiskliSkorEsik,"ORTA",IF($G106&gt;=YuksekRiskEsik,"YÜKSEK","KARŞILIKSIZ")))))</f>
        <v/>
      </c>
      <c r="J106" s="133" t="n"/>
      <c r="K106" s="133" t="n"/>
    </row>
    <row r="107" ht="18" customHeight="1" s="102">
      <c r="A107" s="132" t="n"/>
      <c r="B107" s="133" t="n"/>
      <c r="C107" s="133" t="n"/>
      <c r="D107" s="133" t="n"/>
      <c r="E107" s="133" t="n"/>
      <c r="F107" s="133" t="n"/>
      <c r="G107" s="133" t="n"/>
      <c r="H107" s="133" t="n"/>
      <c r="I107" s="135">
        <f>IF(OR($A107="",$G107=""),"",IF($H107="VAR","KARŞILIKSIZ",IF($G107&gt;=DusukRiskEsik,"DÜŞÜK",IF($G107&gt;=RiskliSkorEsik,"ORTA",IF($G107&gt;=YuksekRiskEsik,"YÜKSEK","KARŞILIKSIZ")))))</f>
        <v/>
      </c>
      <c r="J107" s="133" t="n"/>
      <c r="K107" s="133" t="n"/>
    </row>
    <row r="108" ht="18" customHeight="1" s="102">
      <c r="A108" s="132" t="n"/>
      <c r="B108" s="133" t="n"/>
      <c r="C108" s="133" t="n"/>
      <c r="D108" s="133" t="n"/>
      <c r="E108" s="133" t="n"/>
      <c r="F108" s="133" t="n"/>
      <c r="G108" s="133" t="n"/>
      <c r="H108" s="133" t="n"/>
      <c r="I108" s="135">
        <f>IF(OR($A108="",$G108=""),"",IF($H108="VAR","KARŞILIKSIZ",IF($G108&gt;=DusukRiskEsik,"DÜŞÜK",IF($G108&gt;=RiskliSkorEsik,"ORTA",IF($G108&gt;=YuksekRiskEsik,"YÜKSEK","KARŞILIKSIZ")))))</f>
        <v/>
      </c>
      <c r="J108" s="133" t="n"/>
      <c r="K108" s="133" t="n"/>
    </row>
    <row r="109" ht="18" customHeight="1" s="102">
      <c r="A109" s="132" t="n"/>
      <c r="B109" s="133" t="n"/>
      <c r="C109" s="133" t="n"/>
      <c r="D109" s="133" t="n"/>
      <c r="E109" s="133" t="n"/>
      <c r="F109" s="133" t="n"/>
      <c r="G109" s="133" t="n"/>
      <c r="H109" s="133" t="n"/>
      <c r="I109" s="135">
        <f>IF(OR($A109="",$G109=""),"",IF($H109="VAR","KARŞILIKSIZ",IF($G109&gt;=DusukRiskEsik,"DÜŞÜK",IF($G109&gt;=RiskliSkorEsik,"ORTA",IF($G109&gt;=YuksekRiskEsik,"YÜKSEK","KARŞILIKSIZ")))))</f>
        <v/>
      </c>
      <c r="J109" s="133" t="n"/>
      <c r="K109" s="133" t="n"/>
    </row>
    <row r="110" ht="18" customHeight="1" s="102">
      <c r="A110" s="132" t="n"/>
      <c r="B110" s="133" t="n"/>
      <c r="C110" s="133" t="n"/>
      <c r="D110" s="133" t="n"/>
      <c r="E110" s="133" t="n"/>
      <c r="F110" s="133" t="n"/>
      <c r="G110" s="133" t="n"/>
      <c r="H110" s="133" t="n"/>
      <c r="I110" s="135">
        <f>IF(OR($A110="",$G110=""),"",IF($H110="VAR","KARŞILIKSIZ",IF($G110&gt;=DusukRiskEsik,"DÜŞÜK",IF($G110&gt;=RiskliSkorEsik,"ORTA",IF($G110&gt;=YuksekRiskEsik,"YÜKSEK","KARŞILIKSIZ")))))</f>
        <v/>
      </c>
      <c r="J110" s="133" t="n"/>
      <c r="K110" s="133" t="n"/>
    </row>
    <row r="111" ht="18" customHeight="1" s="102">
      <c r="A111" s="132" t="n"/>
      <c r="B111" s="133" t="n"/>
      <c r="C111" s="133" t="n"/>
      <c r="D111" s="133" t="n"/>
      <c r="E111" s="133" t="n"/>
      <c r="F111" s="133" t="n"/>
      <c r="G111" s="133" t="n"/>
      <c r="H111" s="133" t="n"/>
      <c r="I111" s="135">
        <f>IF(OR($A111="",$G111=""),"",IF($H111="VAR","KARŞILIKSIZ",IF($G111&gt;=DusukRiskEsik,"DÜŞÜK",IF($G111&gt;=RiskliSkorEsik,"ORTA",IF($G111&gt;=YuksekRiskEsik,"YÜKSEK","KARŞILIKSIZ")))))</f>
        <v/>
      </c>
      <c r="J111" s="133" t="n"/>
      <c r="K111" s="133" t="n"/>
    </row>
    <row r="112" ht="18" customHeight="1" s="102">
      <c r="A112" s="132" t="n"/>
      <c r="B112" s="133" t="n"/>
      <c r="C112" s="133" t="n"/>
      <c r="D112" s="133" t="n"/>
      <c r="E112" s="133" t="n"/>
      <c r="F112" s="133" t="n"/>
      <c r="G112" s="133" t="n"/>
      <c r="H112" s="133" t="n"/>
      <c r="I112" s="135">
        <f>IF(OR($A112="",$G112=""),"",IF($H112="VAR","KARŞILIKSIZ",IF($G112&gt;=DusukRiskEsik,"DÜŞÜK",IF($G112&gt;=RiskliSkorEsik,"ORTA",IF($G112&gt;=YuksekRiskEsik,"YÜKSEK","KARŞILIKSIZ")))))</f>
        <v/>
      </c>
      <c r="J112" s="133" t="n"/>
      <c r="K112" s="133" t="n"/>
    </row>
    <row r="113" ht="18" customHeight="1" s="102">
      <c r="A113" s="132" t="n"/>
      <c r="B113" s="133" t="n"/>
      <c r="C113" s="133" t="n"/>
      <c r="D113" s="133" t="n"/>
      <c r="E113" s="133" t="n"/>
      <c r="F113" s="133" t="n"/>
      <c r="G113" s="133" t="n"/>
      <c r="H113" s="133" t="n"/>
      <c r="I113" s="135">
        <f>IF(OR($A113="",$G113=""),"",IF($H113="VAR","KARŞILIKSIZ",IF($G113&gt;=DusukRiskEsik,"DÜŞÜK",IF($G113&gt;=RiskliSkorEsik,"ORTA",IF($G113&gt;=YuksekRiskEsik,"YÜKSEK","KARŞILIKSIZ")))))</f>
        <v/>
      </c>
      <c r="J113" s="133" t="n"/>
      <c r="K113" s="133" t="n"/>
    </row>
    <row r="114" ht="18" customHeight="1" s="102">
      <c r="A114" s="132" t="n"/>
      <c r="B114" s="133" t="n"/>
      <c r="C114" s="133" t="n"/>
      <c r="D114" s="133" t="n"/>
      <c r="E114" s="133" t="n"/>
      <c r="F114" s="133" t="n"/>
      <c r="G114" s="133" t="n"/>
      <c r="H114" s="133" t="n"/>
      <c r="I114" s="135">
        <f>IF(OR($A114="",$G114=""),"",IF($H114="VAR","KARŞILIKSIZ",IF($G114&gt;=DusukRiskEsik,"DÜŞÜK",IF($G114&gt;=RiskliSkorEsik,"ORTA",IF($G114&gt;=YuksekRiskEsik,"YÜKSEK","KARŞILIKSIZ")))))</f>
        <v/>
      </c>
      <c r="J114" s="133" t="n"/>
      <c r="K114" s="133" t="n"/>
    </row>
    <row r="115" ht="18" customHeight="1" s="102">
      <c r="A115" s="132" t="n"/>
      <c r="B115" s="133" t="n"/>
      <c r="C115" s="133" t="n"/>
      <c r="D115" s="133" t="n"/>
      <c r="E115" s="133" t="n"/>
      <c r="F115" s="133" t="n"/>
      <c r="G115" s="133" t="n"/>
      <c r="H115" s="133" t="n"/>
      <c r="I115" s="135">
        <f>IF(OR($A115="",$G115=""),"",IF($H115="VAR","KARŞILIKSIZ",IF($G115&gt;=DusukRiskEsik,"DÜŞÜK",IF($G115&gt;=RiskliSkorEsik,"ORTA",IF($G115&gt;=YuksekRiskEsik,"YÜKSEK","KARŞILIKSIZ")))))</f>
        <v/>
      </c>
      <c r="J115" s="133" t="n"/>
      <c r="K115" s="133" t="n"/>
    </row>
    <row r="116" ht="18" customHeight="1" s="102">
      <c r="A116" s="132" t="n"/>
      <c r="B116" s="133" t="n"/>
      <c r="C116" s="133" t="n"/>
      <c r="D116" s="133" t="n"/>
      <c r="E116" s="133" t="n"/>
      <c r="F116" s="133" t="n"/>
      <c r="G116" s="133" t="n"/>
      <c r="H116" s="133" t="n"/>
      <c r="I116" s="135">
        <f>IF(OR($A116="",$G116=""),"",IF($H116="VAR","KARŞILIKSIZ",IF($G116&gt;=DusukRiskEsik,"DÜŞÜK",IF($G116&gt;=RiskliSkorEsik,"ORTA",IF($G116&gt;=YuksekRiskEsik,"YÜKSEK","KARŞILIKSIZ")))))</f>
        <v/>
      </c>
      <c r="J116" s="133" t="n"/>
      <c r="K116" s="133" t="n"/>
    </row>
    <row r="117" ht="18" customHeight="1" s="102">
      <c r="A117" s="132" t="n"/>
      <c r="B117" s="133" t="n"/>
      <c r="C117" s="133" t="n"/>
      <c r="D117" s="133" t="n"/>
      <c r="E117" s="133" t="n"/>
      <c r="F117" s="133" t="n"/>
      <c r="G117" s="133" t="n"/>
      <c r="H117" s="133" t="n"/>
      <c r="I117" s="135">
        <f>IF(OR($A117="",$G117=""),"",IF($H117="VAR","KARŞILIKSIZ",IF($G117&gt;=DusukRiskEsik,"DÜŞÜK",IF($G117&gt;=RiskliSkorEsik,"ORTA",IF($G117&gt;=YuksekRiskEsik,"YÜKSEK","KARŞILIKSIZ")))))</f>
        <v/>
      </c>
      <c r="J117" s="133" t="n"/>
      <c r="K117" s="133" t="n"/>
    </row>
    <row r="118" ht="18" customHeight="1" s="102">
      <c r="A118" s="132" t="n"/>
      <c r="B118" s="133" t="n"/>
      <c r="C118" s="133" t="n"/>
      <c r="D118" s="133" t="n"/>
      <c r="E118" s="133" t="n"/>
      <c r="F118" s="133" t="n"/>
      <c r="G118" s="133" t="n"/>
      <c r="H118" s="133" t="n"/>
      <c r="I118" s="135">
        <f>IF(OR($A118="",$G118=""),"",IF($H118="VAR","KARŞILIKSIZ",IF($G118&gt;=DusukRiskEsik,"DÜŞÜK",IF($G118&gt;=RiskliSkorEsik,"ORTA",IF($G118&gt;=YuksekRiskEsik,"YÜKSEK","KARŞILIKSIZ")))))</f>
        <v/>
      </c>
      <c r="J118" s="133" t="n"/>
      <c r="K118" s="133" t="n"/>
    </row>
    <row r="119" ht="18" customHeight="1" s="102">
      <c r="A119" s="132" t="n"/>
      <c r="B119" s="133" t="n"/>
      <c r="C119" s="133" t="n"/>
      <c r="D119" s="133" t="n"/>
      <c r="E119" s="133" t="n"/>
      <c r="F119" s="133" t="n"/>
      <c r="G119" s="133" t="n"/>
      <c r="H119" s="133" t="n"/>
      <c r="I119" s="135">
        <f>IF(OR($A119="",$G119=""),"",IF($H119="VAR","KARŞILIKSIZ",IF($G119&gt;=DusukRiskEsik,"DÜŞÜK",IF($G119&gt;=RiskliSkorEsik,"ORTA",IF($G119&gt;=YuksekRiskEsik,"YÜKSEK","KARŞILIKSIZ")))))</f>
        <v/>
      </c>
      <c r="J119" s="133" t="n"/>
      <c r="K119" s="133" t="n"/>
    </row>
    <row r="120" ht="18" customHeight="1" s="102">
      <c r="A120" s="132" t="n"/>
      <c r="B120" s="133" t="n"/>
      <c r="C120" s="133" t="n"/>
      <c r="D120" s="133" t="n"/>
      <c r="E120" s="133" t="n"/>
      <c r="F120" s="133" t="n"/>
      <c r="G120" s="133" t="n"/>
      <c r="H120" s="133" t="n"/>
      <c r="I120" s="135">
        <f>IF(OR($A120="",$G120=""),"",IF($H120="VAR","KARŞILIKSIZ",IF($G120&gt;=DusukRiskEsik,"DÜŞÜK",IF($G120&gt;=RiskliSkorEsik,"ORTA",IF($G120&gt;=YuksekRiskEsik,"YÜKSEK","KARŞILIKSIZ")))))</f>
        <v/>
      </c>
      <c r="J120" s="133" t="n"/>
      <c r="K120" s="133" t="n"/>
    </row>
    <row r="121" ht="18" customHeight="1" s="102">
      <c r="A121" s="132" t="n"/>
      <c r="B121" s="133" t="n"/>
      <c r="C121" s="133" t="n"/>
      <c r="D121" s="133" t="n"/>
      <c r="E121" s="133" t="n"/>
      <c r="F121" s="133" t="n"/>
      <c r="G121" s="133" t="n"/>
      <c r="H121" s="133" t="n"/>
      <c r="I121" s="135">
        <f>IF(OR($A121="",$G121=""),"",IF($H121="VAR","KARŞILIKSIZ",IF($G121&gt;=DusukRiskEsik,"DÜŞÜK",IF($G121&gt;=RiskliSkorEsik,"ORTA",IF($G121&gt;=YuksekRiskEsik,"YÜKSEK","KARŞILIKSIZ")))))</f>
        <v/>
      </c>
      <c r="J121" s="133" t="n"/>
      <c r="K121" s="133" t="n"/>
    </row>
    <row r="122" ht="18" customHeight="1" s="102">
      <c r="A122" s="132" t="n"/>
      <c r="B122" s="133" t="n"/>
      <c r="C122" s="133" t="n"/>
      <c r="D122" s="133" t="n"/>
      <c r="E122" s="133" t="n"/>
      <c r="F122" s="133" t="n"/>
      <c r="G122" s="133" t="n"/>
      <c r="H122" s="133" t="n"/>
      <c r="I122" s="135">
        <f>IF(OR($A122="",$G122=""),"",IF($H122="VAR","KARŞILIKSIZ",IF($G122&gt;=DusukRiskEsik,"DÜŞÜK",IF($G122&gt;=RiskliSkorEsik,"ORTA",IF($G122&gt;=YuksekRiskEsik,"YÜKSEK","KARŞILIKSIZ")))))</f>
        <v/>
      </c>
      <c r="J122" s="133" t="n"/>
      <c r="K122" s="133" t="n"/>
    </row>
    <row r="123" ht="18" customHeight="1" s="102">
      <c r="A123" s="132" t="n"/>
      <c r="B123" s="133" t="n"/>
      <c r="C123" s="133" t="n"/>
      <c r="D123" s="133" t="n"/>
      <c r="E123" s="133" t="n"/>
      <c r="F123" s="133" t="n"/>
      <c r="G123" s="133" t="n"/>
      <c r="H123" s="133" t="n"/>
      <c r="I123" s="135">
        <f>IF(OR($A123="",$G123=""),"",IF($H123="VAR","KARŞILIKSIZ",IF($G123&gt;=DusukRiskEsik,"DÜŞÜK",IF($G123&gt;=RiskliSkorEsik,"ORTA",IF($G123&gt;=YuksekRiskEsik,"YÜKSEK","KARŞILIKSIZ")))))</f>
        <v/>
      </c>
      <c r="J123" s="133" t="n"/>
      <c r="K123" s="133" t="n"/>
    </row>
    <row r="124" ht="18" customHeight="1" s="102">
      <c r="A124" s="132" t="n"/>
      <c r="B124" s="133" t="n"/>
      <c r="C124" s="133" t="n"/>
      <c r="D124" s="133" t="n"/>
      <c r="E124" s="133" t="n"/>
      <c r="F124" s="133" t="n"/>
      <c r="G124" s="133" t="n"/>
      <c r="H124" s="133" t="n"/>
      <c r="I124" s="135">
        <f>IF(OR($A124="",$G124=""),"",IF($H124="VAR","KARŞILIKSIZ",IF($G124&gt;=DusukRiskEsik,"DÜŞÜK",IF($G124&gt;=RiskliSkorEsik,"ORTA",IF($G124&gt;=YuksekRiskEsik,"YÜKSEK","KARŞILIKSIZ")))))</f>
        <v/>
      </c>
      <c r="J124" s="133" t="n"/>
      <c r="K124" s="133" t="n"/>
    </row>
    <row r="125" ht="18" customHeight="1" s="102">
      <c r="A125" s="132" t="n"/>
      <c r="B125" s="133" t="n"/>
      <c r="C125" s="133" t="n"/>
      <c r="D125" s="133" t="n"/>
      <c r="E125" s="133" t="n"/>
      <c r="F125" s="133" t="n"/>
      <c r="G125" s="133" t="n"/>
      <c r="H125" s="133" t="n"/>
      <c r="I125" s="135">
        <f>IF(OR($A125="",$G125=""),"",IF($H125="VAR","KARŞILIKSIZ",IF($G125&gt;=DusukRiskEsik,"DÜŞÜK",IF($G125&gt;=RiskliSkorEsik,"ORTA",IF($G125&gt;=YuksekRiskEsik,"YÜKSEK","KARŞILIKSIZ")))))</f>
        <v/>
      </c>
      <c r="J125" s="133" t="n"/>
      <c r="K125" s="133" t="n"/>
    </row>
    <row r="126" ht="18" customHeight="1" s="102">
      <c r="A126" s="132" t="n"/>
      <c r="B126" s="133" t="n"/>
      <c r="C126" s="133" t="n"/>
      <c r="D126" s="133" t="n"/>
      <c r="E126" s="133" t="n"/>
      <c r="F126" s="133" t="n"/>
      <c r="G126" s="133" t="n"/>
      <c r="H126" s="133" t="n"/>
      <c r="I126" s="135">
        <f>IF(OR($A126="",$G126=""),"",IF($H126="VAR","KARŞILIKSIZ",IF($G126&gt;=DusukRiskEsik,"DÜŞÜK",IF($G126&gt;=RiskliSkorEsik,"ORTA",IF($G126&gt;=YuksekRiskEsik,"YÜKSEK","KARŞILIKSIZ")))))</f>
        <v/>
      </c>
      <c r="J126" s="133" t="n"/>
      <c r="K126" s="133" t="n"/>
    </row>
    <row r="127" ht="18" customHeight="1" s="102">
      <c r="A127" s="132" t="n"/>
      <c r="B127" s="133" t="n"/>
      <c r="C127" s="133" t="n"/>
      <c r="D127" s="133" t="n"/>
      <c r="E127" s="133" t="n"/>
      <c r="F127" s="133" t="n"/>
      <c r="G127" s="133" t="n"/>
      <c r="H127" s="133" t="n"/>
      <c r="I127" s="135">
        <f>IF(OR($A127="",$G127=""),"",IF($H127="VAR","KARŞILIKSIZ",IF($G127&gt;=DusukRiskEsik,"DÜŞÜK",IF($G127&gt;=RiskliSkorEsik,"ORTA",IF($G127&gt;=YuksekRiskEsik,"YÜKSEK","KARŞILIKSIZ")))))</f>
        <v/>
      </c>
      <c r="J127" s="133" t="n"/>
      <c r="K127" s="133" t="n"/>
    </row>
    <row r="128" ht="18" customHeight="1" s="102">
      <c r="A128" s="132" t="n"/>
      <c r="B128" s="133" t="n"/>
      <c r="C128" s="133" t="n"/>
      <c r="D128" s="133" t="n"/>
      <c r="E128" s="133" t="n"/>
      <c r="F128" s="133" t="n"/>
      <c r="G128" s="133" t="n"/>
      <c r="H128" s="133" t="n"/>
      <c r="I128" s="135">
        <f>IF(OR($A128="",$G128=""),"",IF($H128="VAR","KARŞILIKSIZ",IF($G128&gt;=DusukRiskEsik,"DÜŞÜK",IF($G128&gt;=RiskliSkorEsik,"ORTA",IF($G128&gt;=YuksekRiskEsik,"YÜKSEK","KARŞILIKSIZ")))))</f>
        <v/>
      </c>
      <c r="J128" s="133" t="n"/>
      <c r="K128" s="133" t="n"/>
    </row>
    <row r="129" ht="18" customHeight="1" s="102">
      <c r="A129" s="132" t="n"/>
      <c r="B129" s="133" t="n"/>
      <c r="C129" s="133" t="n"/>
      <c r="D129" s="133" t="n"/>
      <c r="E129" s="133" t="n"/>
      <c r="F129" s="133" t="n"/>
      <c r="G129" s="133" t="n"/>
      <c r="H129" s="133" t="n"/>
      <c r="I129" s="135">
        <f>IF(OR($A129="",$G129=""),"",IF($H129="VAR","KARŞILIKSIZ",IF($G129&gt;=DusukRiskEsik,"DÜŞÜK",IF($G129&gt;=RiskliSkorEsik,"ORTA",IF($G129&gt;=YuksekRiskEsik,"YÜKSEK","KARŞILIKSIZ")))))</f>
        <v/>
      </c>
      <c r="J129" s="133" t="n"/>
      <c r="K129" s="133" t="n"/>
    </row>
    <row r="130" ht="18" customHeight="1" s="102">
      <c r="A130" s="132" t="n"/>
      <c r="B130" s="133" t="n"/>
      <c r="C130" s="133" t="n"/>
      <c r="D130" s="133" t="n"/>
      <c r="E130" s="133" t="n"/>
      <c r="F130" s="133" t="n"/>
      <c r="G130" s="133" t="n"/>
      <c r="H130" s="133" t="n"/>
      <c r="I130" s="135">
        <f>IF(OR($A130="",$G130=""),"",IF($H130="VAR","KARŞILIKSIZ",IF($G130&gt;=DusukRiskEsik,"DÜŞÜK",IF($G130&gt;=RiskliSkorEsik,"ORTA",IF($G130&gt;=YuksekRiskEsik,"YÜKSEK","KARŞILIKSIZ")))))</f>
        <v/>
      </c>
      <c r="J130" s="133" t="n"/>
      <c r="K130" s="133" t="n"/>
    </row>
    <row r="131" ht="18" customHeight="1" s="102">
      <c r="A131" s="132" t="n"/>
      <c r="B131" s="133" t="n"/>
      <c r="C131" s="133" t="n"/>
      <c r="D131" s="133" t="n"/>
      <c r="E131" s="133" t="n"/>
      <c r="F131" s="133" t="n"/>
      <c r="G131" s="133" t="n"/>
      <c r="H131" s="133" t="n"/>
      <c r="I131" s="135">
        <f>IF(OR($A131="",$G131=""),"",IF($H131="VAR","KARŞILIKSIZ",IF($G131&gt;=DusukRiskEsik,"DÜŞÜK",IF($G131&gt;=RiskliSkorEsik,"ORTA",IF($G131&gt;=YuksekRiskEsik,"YÜKSEK","KARŞILIKSIZ")))))</f>
        <v/>
      </c>
      <c r="J131" s="133" t="n"/>
      <c r="K131" s="133" t="n"/>
    </row>
    <row r="132" ht="18" customHeight="1" s="102">
      <c r="A132" s="132" t="n"/>
      <c r="B132" s="133" t="n"/>
      <c r="C132" s="133" t="n"/>
      <c r="D132" s="133" t="n"/>
      <c r="E132" s="133" t="n"/>
      <c r="F132" s="133" t="n"/>
      <c r="G132" s="133" t="n"/>
      <c r="H132" s="133" t="n"/>
      <c r="I132" s="135">
        <f>IF(OR($A132="",$G132=""),"",IF($H132="VAR","KARŞILIKSIZ",IF($G132&gt;=DusukRiskEsik,"DÜŞÜK",IF($G132&gt;=RiskliSkorEsik,"ORTA",IF($G132&gt;=YuksekRiskEsik,"YÜKSEK","KARŞILIKSIZ")))))</f>
        <v/>
      </c>
      <c r="J132" s="133" t="n"/>
      <c r="K132" s="133" t="n"/>
    </row>
    <row r="133" ht="18" customHeight="1" s="102">
      <c r="A133" s="132" t="n"/>
      <c r="B133" s="133" t="n"/>
      <c r="C133" s="133" t="n"/>
      <c r="D133" s="133" t="n"/>
      <c r="E133" s="133" t="n"/>
      <c r="F133" s="133" t="n"/>
      <c r="G133" s="133" t="n"/>
      <c r="H133" s="133" t="n"/>
      <c r="I133" s="135">
        <f>IF(OR($A133="",$G133=""),"",IF($H133="VAR","KARŞILIKSIZ",IF($G133&gt;=DusukRiskEsik,"DÜŞÜK",IF($G133&gt;=RiskliSkorEsik,"ORTA",IF($G133&gt;=YuksekRiskEsik,"YÜKSEK","KARŞILIKSIZ")))))</f>
        <v/>
      </c>
      <c r="J133" s="133" t="n"/>
      <c r="K133" s="133" t="n"/>
    </row>
    <row r="134" ht="18" customHeight="1" s="102">
      <c r="A134" s="132" t="n"/>
      <c r="B134" s="133" t="n"/>
      <c r="C134" s="133" t="n"/>
      <c r="D134" s="133" t="n"/>
      <c r="E134" s="133" t="n"/>
      <c r="F134" s="133" t="n"/>
      <c r="G134" s="133" t="n"/>
      <c r="H134" s="133" t="n"/>
      <c r="I134" s="135">
        <f>IF(OR($A134="",$G134=""),"",IF($H134="VAR","KARŞILIKSIZ",IF($G134&gt;=DusukRiskEsik,"DÜŞÜK",IF($G134&gt;=RiskliSkorEsik,"ORTA",IF($G134&gt;=YuksekRiskEsik,"YÜKSEK","KARŞILIKSIZ")))))</f>
        <v/>
      </c>
      <c r="J134" s="133" t="n"/>
      <c r="K134" s="133" t="n"/>
    </row>
    <row r="135" ht="18" customHeight="1" s="102">
      <c r="A135" s="132" t="n"/>
      <c r="B135" s="133" t="n"/>
      <c r="C135" s="133" t="n"/>
      <c r="D135" s="133" t="n"/>
      <c r="E135" s="133" t="n"/>
      <c r="F135" s="133" t="n"/>
      <c r="G135" s="133" t="n"/>
      <c r="H135" s="133" t="n"/>
      <c r="I135" s="135">
        <f>IF(OR($A135="",$G135=""),"",IF($H135="VAR","KARŞILIKSIZ",IF($G135&gt;=DusukRiskEsik,"DÜŞÜK",IF($G135&gt;=RiskliSkorEsik,"ORTA",IF($G135&gt;=YuksekRiskEsik,"YÜKSEK","KARŞILIKSIZ")))))</f>
        <v/>
      </c>
      <c r="J135" s="133" t="n"/>
      <c r="K135" s="133" t="n"/>
    </row>
    <row r="136" ht="18" customHeight="1" s="102">
      <c r="A136" s="132" t="n"/>
      <c r="B136" s="133" t="n"/>
      <c r="C136" s="133" t="n"/>
      <c r="D136" s="133" t="n"/>
      <c r="E136" s="133" t="n"/>
      <c r="F136" s="133" t="n"/>
      <c r="G136" s="133" t="n"/>
      <c r="H136" s="133" t="n"/>
      <c r="I136" s="135">
        <f>IF(OR($A136="",$G136=""),"",IF($H136="VAR","KARŞILIKSIZ",IF($G136&gt;=DusukRiskEsik,"DÜŞÜK",IF($G136&gt;=RiskliSkorEsik,"ORTA",IF($G136&gt;=YuksekRiskEsik,"YÜKSEK","KARŞILIKSIZ")))))</f>
        <v/>
      </c>
      <c r="J136" s="133" t="n"/>
      <c r="K136" s="133" t="n"/>
    </row>
    <row r="137" ht="18" customHeight="1" s="102">
      <c r="A137" s="132" t="n"/>
      <c r="B137" s="133" t="n"/>
      <c r="C137" s="133" t="n"/>
      <c r="D137" s="133" t="n"/>
      <c r="E137" s="133" t="n"/>
      <c r="F137" s="133" t="n"/>
      <c r="G137" s="133" t="n"/>
      <c r="H137" s="133" t="n"/>
      <c r="I137" s="135">
        <f>IF(OR($A137="",$G137=""),"",IF($H137="VAR","KARŞILIKSIZ",IF($G137&gt;=DusukRiskEsik,"DÜŞÜK",IF($G137&gt;=RiskliSkorEsik,"ORTA",IF($G137&gt;=YuksekRiskEsik,"YÜKSEK","KARŞILIKSIZ")))))</f>
        <v/>
      </c>
      <c r="J137" s="133" t="n"/>
      <c r="K137" s="133" t="n"/>
    </row>
    <row r="138" ht="18" customHeight="1" s="102">
      <c r="A138" s="132" t="n"/>
      <c r="B138" s="133" t="n"/>
      <c r="C138" s="133" t="n"/>
      <c r="D138" s="133" t="n"/>
      <c r="E138" s="133" t="n"/>
      <c r="F138" s="133" t="n"/>
      <c r="G138" s="133" t="n"/>
      <c r="H138" s="133" t="n"/>
      <c r="I138" s="135">
        <f>IF(OR($A138="",$G138=""),"",IF($H138="VAR","KARŞILIKSIZ",IF($G138&gt;=DusukRiskEsik,"DÜŞÜK",IF($G138&gt;=RiskliSkorEsik,"ORTA",IF($G138&gt;=YuksekRiskEsik,"YÜKSEK","KARŞILIKSIZ")))))</f>
        <v/>
      </c>
      <c r="J138" s="133" t="n"/>
      <c r="K138" s="133" t="n"/>
    </row>
    <row r="139" ht="18" customHeight="1" s="102">
      <c r="A139" s="132" t="n"/>
      <c r="B139" s="133" t="n"/>
      <c r="C139" s="133" t="n"/>
      <c r="D139" s="133" t="n"/>
      <c r="E139" s="133" t="n"/>
      <c r="F139" s="133" t="n"/>
      <c r="G139" s="133" t="n"/>
      <c r="H139" s="133" t="n"/>
      <c r="I139" s="135">
        <f>IF(OR($A139="",$G139=""),"",IF($H139="VAR","KARŞILIKSIZ",IF($G139&gt;=DusukRiskEsik,"DÜŞÜK",IF($G139&gt;=RiskliSkorEsik,"ORTA",IF($G139&gt;=YuksekRiskEsik,"YÜKSEK","KARŞILIKSIZ")))))</f>
        <v/>
      </c>
      <c r="J139" s="133" t="n"/>
      <c r="K139" s="133" t="n"/>
    </row>
    <row r="140" ht="18" customHeight="1" s="102">
      <c r="A140" s="132" t="n"/>
      <c r="B140" s="133" t="n"/>
      <c r="C140" s="133" t="n"/>
      <c r="D140" s="133" t="n"/>
      <c r="E140" s="133" t="n"/>
      <c r="F140" s="133" t="n"/>
      <c r="G140" s="133" t="n"/>
      <c r="H140" s="133" t="n"/>
      <c r="I140" s="135">
        <f>IF(OR($A140="",$G140=""),"",IF($H140="VAR","KARŞILIKSIZ",IF($G140&gt;=DusukRiskEsik,"DÜŞÜK",IF($G140&gt;=RiskliSkorEsik,"ORTA",IF($G140&gt;=YuksekRiskEsik,"YÜKSEK","KARŞILIKSIZ")))))</f>
        <v/>
      </c>
      <c r="J140" s="133" t="n"/>
      <c r="K140" s="133" t="n"/>
    </row>
    <row r="141" ht="18" customHeight="1" s="102">
      <c r="A141" s="132" t="n"/>
      <c r="B141" s="133" t="n"/>
      <c r="C141" s="133" t="n"/>
      <c r="D141" s="133" t="n"/>
      <c r="E141" s="133" t="n"/>
      <c r="F141" s="133" t="n"/>
      <c r="G141" s="133" t="n"/>
      <c r="H141" s="133" t="n"/>
      <c r="I141" s="135">
        <f>IF(OR($A141="",$G141=""),"",IF($H141="VAR","KARŞILIKSIZ",IF($G141&gt;=DusukRiskEsik,"DÜŞÜK",IF($G141&gt;=RiskliSkorEsik,"ORTA",IF($G141&gt;=YuksekRiskEsik,"YÜKSEK","KARŞILIKSIZ")))))</f>
        <v/>
      </c>
      <c r="J141" s="133" t="n"/>
      <c r="K141" s="133" t="n"/>
    </row>
    <row r="142" ht="18" customHeight="1" s="102">
      <c r="A142" s="132" t="n"/>
      <c r="B142" s="133" t="n"/>
      <c r="C142" s="133" t="n"/>
      <c r="D142" s="133" t="n"/>
      <c r="E142" s="133" t="n"/>
      <c r="F142" s="133" t="n"/>
      <c r="G142" s="133" t="n"/>
      <c r="H142" s="133" t="n"/>
      <c r="I142" s="135">
        <f>IF(OR($A142="",$G142=""),"",IF($H142="VAR","KARŞILIKSIZ",IF($G142&gt;=DusukRiskEsik,"DÜŞÜK",IF($G142&gt;=RiskliSkorEsik,"ORTA",IF($G142&gt;=YuksekRiskEsik,"YÜKSEK","KARŞILIKSIZ")))))</f>
        <v/>
      </c>
      <c r="J142" s="133" t="n"/>
      <c r="K142" s="133" t="n"/>
    </row>
    <row r="143" ht="18" customHeight="1" s="102">
      <c r="A143" s="132" t="n"/>
      <c r="B143" s="133" t="n"/>
      <c r="C143" s="133" t="n"/>
      <c r="D143" s="133" t="n"/>
      <c r="E143" s="133" t="n"/>
      <c r="F143" s="133" t="n"/>
      <c r="G143" s="133" t="n"/>
      <c r="H143" s="133" t="n"/>
      <c r="I143" s="135">
        <f>IF(OR($A143="",$G143=""),"",IF($H143="VAR","KARŞILIKSIZ",IF($G143&gt;=DusukRiskEsik,"DÜŞÜK",IF($G143&gt;=RiskliSkorEsik,"ORTA",IF($G143&gt;=YuksekRiskEsik,"YÜKSEK","KARŞILIKSIZ")))))</f>
        <v/>
      </c>
      <c r="J143" s="133" t="n"/>
      <c r="K143" s="133" t="n"/>
    </row>
    <row r="144" ht="18" customHeight="1" s="102">
      <c r="A144" s="132" t="n"/>
      <c r="B144" s="133" t="n"/>
      <c r="C144" s="133" t="n"/>
      <c r="D144" s="133" t="n"/>
      <c r="E144" s="133" t="n"/>
      <c r="F144" s="133" t="n"/>
      <c r="G144" s="133" t="n"/>
      <c r="H144" s="133" t="n"/>
      <c r="I144" s="135">
        <f>IF(OR($A144="",$G144=""),"",IF($H144="VAR","KARŞILIKSIZ",IF($G144&gt;=DusukRiskEsik,"DÜŞÜK",IF($G144&gt;=RiskliSkorEsik,"ORTA",IF($G144&gt;=YuksekRiskEsik,"YÜKSEK","KARŞILIKSIZ")))))</f>
        <v/>
      </c>
      <c r="J144" s="133" t="n"/>
      <c r="K144" s="133" t="n"/>
    </row>
    <row r="145" ht="18" customHeight="1" s="102">
      <c r="A145" s="132" t="n"/>
      <c r="B145" s="133" t="n"/>
      <c r="C145" s="133" t="n"/>
      <c r="D145" s="133" t="n"/>
      <c r="E145" s="133" t="n"/>
      <c r="F145" s="133" t="n"/>
      <c r="G145" s="133" t="n"/>
      <c r="H145" s="133" t="n"/>
      <c r="I145" s="135">
        <f>IF(OR($A145="",$G145=""),"",IF($H145="VAR","KARŞILIKSIZ",IF($G145&gt;=DusukRiskEsik,"DÜŞÜK",IF($G145&gt;=RiskliSkorEsik,"ORTA",IF($G145&gt;=YuksekRiskEsik,"YÜKSEK","KARŞILIKSIZ")))))</f>
        <v/>
      </c>
      <c r="J145" s="133" t="n"/>
      <c r="K145" s="133" t="n"/>
    </row>
    <row r="146" ht="18" customHeight="1" s="102">
      <c r="A146" s="132" t="n"/>
      <c r="B146" s="133" t="n"/>
      <c r="C146" s="133" t="n"/>
      <c r="D146" s="133" t="n"/>
      <c r="E146" s="133" t="n"/>
      <c r="F146" s="133" t="n"/>
      <c r="G146" s="133" t="n"/>
      <c r="H146" s="133" t="n"/>
      <c r="I146" s="135">
        <f>IF(OR($A146="",$G146=""),"",IF($H146="VAR","KARŞILIKSIZ",IF($G146&gt;=DusukRiskEsik,"DÜŞÜK",IF($G146&gt;=RiskliSkorEsik,"ORTA",IF($G146&gt;=YuksekRiskEsik,"YÜKSEK","KARŞILIKSIZ")))))</f>
        <v/>
      </c>
      <c r="J146" s="133" t="n"/>
      <c r="K146" s="133" t="n"/>
    </row>
    <row r="147" ht="18" customHeight="1" s="102">
      <c r="A147" s="132" t="n"/>
      <c r="B147" s="133" t="n"/>
      <c r="C147" s="133" t="n"/>
      <c r="D147" s="133" t="n"/>
      <c r="E147" s="133" t="n"/>
      <c r="F147" s="133" t="n"/>
      <c r="G147" s="133" t="n"/>
      <c r="H147" s="133" t="n"/>
      <c r="I147" s="135">
        <f>IF(OR($A147="",$G147=""),"",IF($H147="VAR","KARŞILIKSIZ",IF($G147&gt;=DusukRiskEsik,"DÜŞÜK",IF($G147&gt;=RiskliSkorEsik,"ORTA",IF($G147&gt;=YuksekRiskEsik,"YÜKSEK","KARŞILIKSIZ")))))</f>
        <v/>
      </c>
      <c r="J147" s="133" t="n"/>
      <c r="K147" s="133" t="n"/>
    </row>
    <row r="148" ht="18" customHeight="1" s="102">
      <c r="A148" s="132" t="n"/>
      <c r="B148" s="133" t="n"/>
      <c r="C148" s="133" t="n"/>
      <c r="D148" s="133" t="n"/>
      <c r="E148" s="133" t="n"/>
      <c r="F148" s="133" t="n"/>
      <c r="G148" s="133" t="n"/>
      <c r="H148" s="133" t="n"/>
      <c r="I148" s="135">
        <f>IF(OR($A148="",$G148=""),"",IF($H148="VAR","KARŞILIKSIZ",IF($G148&gt;=DusukRiskEsik,"DÜŞÜK",IF($G148&gt;=RiskliSkorEsik,"ORTA",IF($G148&gt;=YuksekRiskEsik,"YÜKSEK","KARŞILIKSIZ")))))</f>
        <v/>
      </c>
      <c r="J148" s="133" t="n"/>
      <c r="K148" s="133" t="n"/>
    </row>
    <row r="149" ht="18" customHeight="1" s="102">
      <c r="A149" s="132" t="n"/>
      <c r="B149" s="133" t="n"/>
      <c r="C149" s="133" t="n"/>
      <c r="D149" s="133" t="n"/>
      <c r="E149" s="133" t="n"/>
      <c r="F149" s="133" t="n"/>
      <c r="G149" s="133" t="n"/>
      <c r="H149" s="133" t="n"/>
      <c r="I149" s="135">
        <f>IF(OR($A149="",$G149=""),"",IF($H149="VAR","KARŞILIKSIZ",IF($G149&gt;=DusukRiskEsik,"DÜŞÜK",IF($G149&gt;=RiskliSkorEsik,"ORTA",IF($G149&gt;=YuksekRiskEsik,"YÜKSEK","KARŞILIKSIZ")))))</f>
        <v/>
      </c>
      <c r="J149" s="133" t="n"/>
      <c r="K149" s="133" t="n"/>
    </row>
    <row r="150" ht="18" customHeight="1" s="102">
      <c r="A150" s="132" t="n"/>
      <c r="B150" s="133" t="n"/>
      <c r="C150" s="133" t="n"/>
      <c r="D150" s="133" t="n"/>
      <c r="E150" s="133" t="n"/>
      <c r="F150" s="133" t="n"/>
      <c r="G150" s="133" t="n"/>
      <c r="H150" s="133" t="n"/>
      <c r="I150" s="135">
        <f>IF(OR($A150="",$G150=""),"",IF($H150="VAR","KARŞILIKSIZ",IF($G150&gt;=DusukRiskEsik,"DÜŞÜK",IF($G150&gt;=RiskliSkorEsik,"ORTA",IF($G150&gt;=YuksekRiskEsik,"YÜKSEK","KARŞILIKSIZ")))))</f>
        <v/>
      </c>
      <c r="J150" s="133" t="n"/>
      <c r="K150" s="133" t="n"/>
    </row>
    <row r="151" ht="18" customHeight="1" s="102">
      <c r="A151" s="132" t="n"/>
      <c r="B151" s="133" t="n"/>
      <c r="C151" s="133" t="n"/>
      <c r="D151" s="133" t="n"/>
      <c r="E151" s="133" t="n"/>
      <c r="F151" s="133" t="n"/>
      <c r="G151" s="133" t="n"/>
      <c r="H151" s="133" t="n"/>
      <c r="I151" s="135">
        <f>IF(OR($A151="",$G151=""),"",IF($H151="VAR","KARŞILIKSIZ",IF($G151&gt;=DusukRiskEsik,"DÜŞÜK",IF($G151&gt;=RiskliSkorEsik,"ORTA",IF($G151&gt;=YuksekRiskEsik,"YÜKSEK","KARŞILIKSIZ")))))</f>
        <v/>
      </c>
      <c r="J151" s="133" t="n"/>
      <c r="K151" s="133" t="n"/>
    </row>
    <row r="152" ht="18" customHeight="1" s="102">
      <c r="A152" s="132" t="n"/>
      <c r="B152" s="133" t="n"/>
      <c r="C152" s="133" t="n"/>
      <c r="D152" s="133" t="n"/>
      <c r="E152" s="133" t="n"/>
      <c r="F152" s="133" t="n"/>
      <c r="G152" s="133" t="n"/>
      <c r="H152" s="133" t="n"/>
      <c r="I152" s="135">
        <f>IF(OR($A152="",$G152=""),"",IF($H152="VAR","KARŞILIKSIZ",IF($G152&gt;=DusukRiskEsik,"DÜŞÜK",IF($G152&gt;=RiskliSkorEsik,"ORTA",IF($G152&gt;=YuksekRiskEsik,"YÜKSEK","KARŞILIKSIZ")))))</f>
        <v/>
      </c>
      <c r="J152" s="133" t="n"/>
      <c r="K152" s="133" t="n"/>
    </row>
    <row r="153" ht="18" customHeight="1" s="102">
      <c r="A153" s="132" t="n"/>
      <c r="B153" s="133" t="n"/>
      <c r="C153" s="133" t="n"/>
      <c r="D153" s="133" t="n"/>
      <c r="E153" s="133" t="n"/>
      <c r="F153" s="133" t="n"/>
      <c r="G153" s="133" t="n"/>
      <c r="H153" s="133" t="n"/>
      <c r="I153" s="135">
        <f>IF(OR($A153="",$G153=""),"",IF($H153="VAR","KARŞILIKSIZ",IF($G153&gt;=DusukRiskEsik,"DÜŞÜK",IF($G153&gt;=RiskliSkorEsik,"ORTA",IF($G153&gt;=YuksekRiskEsik,"YÜKSEK","KARŞILIKSIZ")))))</f>
        <v/>
      </c>
      <c r="J153" s="133" t="n"/>
      <c r="K153" s="133" t="n"/>
    </row>
    <row r="154" ht="18" customHeight="1" s="102">
      <c r="A154" s="132" t="n"/>
      <c r="B154" s="133" t="n"/>
      <c r="C154" s="133" t="n"/>
      <c r="D154" s="133" t="n"/>
      <c r="E154" s="133" t="n"/>
      <c r="F154" s="133" t="n"/>
      <c r="G154" s="133" t="n"/>
      <c r="H154" s="133" t="n"/>
      <c r="I154" s="135">
        <f>IF(OR($A154="",$G154=""),"",IF($H154="VAR","KARŞILIKSIZ",IF($G154&gt;=DusukRiskEsik,"DÜŞÜK",IF($G154&gt;=RiskliSkorEsik,"ORTA",IF($G154&gt;=YuksekRiskEsik,"YÜKSEK","KARŞILIKSIZ")))))</f>
        <v/>
      </c>
      <c r="J154" s="133" t="n"/>
      <c r="K154" s="133" t="n"/>
    </row>
    <row r="155" ht="18" customHeight="1" s="102">
      <c r="A155" s="132" t="n"/>
      <c r="B155" s="133" t="n"/>
      <c r="C155" s="133" t="n"/>
      <c r="D155" s="133" t="n"/>
      <c r="E155" s="133" t="n"/>
      <c r="F155" s="133" t="n"/>
      <c r="G155" s="133" t="n"/>
      <c r="H155" s="133" t="n"/>
      <c r="I155" s="135">
        <f>IF(OR($A155="",$G155=""),"",IF($H155="VAR","KARŞILIKSIZ",IF($G155&gt;=DusukRiskEsik,"DÜŞÜK",IF($G155&gt;=RiskliSkorEsik,"ORTA",IF($G155&gt;=YuksekRiskEsik,"YÜKSEK","KARŞILIKSIZ")))))</f>
        <v/>
      </c>
      <c r="J155" s="133" t="n"/>
      <c r="K155" s="133" t="n"/>
    </row>
    <row r="156" ht="18" customHeight="1" s="102">
      <c r="A156" s="132" t="n"/>
      <c r="B156" s="133" t="n"/>
      <c r="C156" s="133" t="n"/>
      <c r="D156" s="133" t="n"/>
      <c r="E156" s="133" t="n"/>
      <c r="F156" s="133" t="n"/>
      <c r="G156" s="133" t="n"/>
      <c r="H156" s="133" t="n"/>
      <c r="I156" s="135">
        <f>IF(OR($A156="",$G156=""),"",IF($H156="VAR","KARŞILIKSIZ",IF($G156&gt;=DusukRiskEsik,"DÜŞÜK",IF($G156&gt;=RiskliSkorEsik,"ORTA",IF($G156&gt;=YuksekRiskEsik,"YÜKSEK","KARŞILIKSIZ")))))</f>
        <v/>
      </c>
      <c r="J156" s="133" t="n"/>
      <c r="K156" s="133" t="n"/>
    </row>
    <row r="157" ht="18" customHeight="1" s="102">
      <c r="A157" s="132" t="n"/>
      <c r="B157" s="133" t="n"/>
      <c r="C157" s="133" t="n"/>
      <c r="D157" s="133" t="n"/>
      <c r="E157" s="133" t="n"/>
      <c r="F157" s="133" t="n"/>
      <c r="G157" s="133" t="n"/>
      <c r="H157" s="133" t="n"/>
      <c r="I157" s="135">
        <f>IF(OR($A157="",$G157=""),"",IF($H157="VAR","KARŞILIKSIZ",IF($G157&gt;=DusukRiskEsik,"DÜŞÜK",IF($G157&gt;=RiskliSkorEsik,"ORTA",IF($G157&gt;=YuksekRiskEsik,"YÜKSEK","KARŞILIKSIZ")))))</f>
        <v/>
      </c>
      <c r="J157" s="133" t="n"/>
      <c r="K157" s="133" t="n"/>
    </row>
    <row r="158" ht="18" customHeight="1" s="102">
      <c r="A158" s="132" t="n"/>
      <c r="B158" s="133" t="n"/>
      <c r="C158" s="133" t="n"/>
      <c r="D158" s="133" t="n"/>
      <c r="E158" s="133" t="n"/>
      <c r="F158" s="133" t="n"/>
      <c r="G158" s="133" t="n"/>
      <c r="H158" s="133" t="n"/>
      <c r="I158" s="135">
        <f>IF(OR($A158="",$G158=""),"",IF($H158="VAR","KARŞILIKSIZ",IF($G158&gt;=DusukRiskEsik,"DÜŞÜK",IF($G158&gt;=RiskliSkorEsik,"ORTA",IF($G158&gt;=YuksekRiskEsik,"YÜKSEK","KARŞILIKSIZ")))))</f>
        <v/>
      </c>
      <c r="J158" s="133" t="n"/>
      <c r="K158" s="133" t="n"/>
    </row>
    <row r="159" ht="18" customHeight="1" s="102">
      <c r="A159" s="132" t="n"/>
      <c r="B159" s="133" t="n"/>
      <c r="C159" s="133" t="n"/>
      <c r="D159" s="133" t="n"/>
      <c r="E159" s="133" t="n"/>
      <c r="F159" s="133" t="n"/>
      <c r="G159" s="133" t="n"/>
      <c r="H159" s="133" t="n"/>
      <c r="I159" s="135">
        <f>IF(OR($A159="",$G159=""),"",IF($H159="VAR","KARŞILIKSIZ",IF($G159&gt;=DusukRiskEsik,"DÜŞÜK",IF($G159&gt;=RiskliSkorEsik,"ORTA",IF($G159&gt;=YuksekRiskEsik,"YÜKSEK","KARŞILIKSIZ")))))</f>
        <v/>
      </c>
      <c r="J159" s="133" t="n"/>
      <c r="K159" s="133" t="n"/>
    </row>
    <row r="160" ht="18" customHeight="1" s="102">
      <c r="A160" s="132" t="n"/>
      <c r="B160" s="133" t="n"/>
      <c r="C160" s="133" t="n"/>
      <c r="D160" s="133" t="n"/>
      <c r="E160" s="133" t="n"/>
      <c r="F160" s="133" t="n"/>
      <c r="G160" s="133" t="n"/>
      <c r="H160" s="133" t="n"/>
      <c r="I160" s="135">
        <f>IF(OR($A160="",$G160=""),"",IF($H160="VAR","KARŞILIKSIZ",IF($G160&gt;=DusukRiskEsik,"DÜŞÜK",IF($G160&gt;=RiskliSkorEsik,"ORTA",IF($G160&gt;=YuksekRiskEsik,"YÜKSEK","KARŞILIKSIZ")))))</f>
        <v/>
      </c>
      <c r="J160" s="133" t="n"/>
      <c r="K160" s="133" t="n"/>
    </row>
    <row r="161" ht="18" customHeight="1" s="102">
      <c r="A161" s="132" t="n"/>
      <c r="B161" s="133" t="n"/>
      <c r="C161" s="133" t="n"/>
      <c r="D161" s="133" t="n"/>
      <c r="E161" s="133" t="n"/>
      <c r="F161" s="133" t="n"/>
      <c r="G161" s="133" t="n"/>
      <c r="H161" s="133" t="n"/>
      <c r="I161" s="135">
        <f>IF(OR($A161="",$G161=""),"",IF($H161="VAR","KARŞILIKSIZ",IF($G161&gt;=DusukRiskEsik,"DÜŞÜK",IF($G161&gt;=RiskliSkorEsik,"ORTA",IF($G161&gt;=YuksekRiskEsik,"YÜKSEK","KARŞILIKSIZ")))))</f>
        <v/>
      </c>
      <c r="J161" s="133" t="n"/>
      <c r="K161" s="133" t="n"/>
    </row>
    <row r="162" ht="18" customHeight="1" s="102">
      <c r="A162" s="132" t="n"/>
      <c r="B162" s="133" t="n"/>
      <c r="C162" s="133" t="n"/>
      <c r="D162" s="133" t="n"/>
      <c r="E162" s="133" t="n"/>
      <c r="F162" s="133" t="n"/>
      <c r="G162" s="133" t="n"/>
      <c r="H162" s="133" t="n"/>
      <c r="I162" s="135">
        <f>IF(OR($A162="",$G162=""),"",IF($H162="VAR","KARŞILIKSIZ",IF($G162&gt;=DusukRiskEsik,"DÜŞÜK",IF($G162&gt;=RiskliSkorEsik,"ORTA",IF($G162&gt;=YuksekRiskEsik,"YÜKSEK","KARŞILIKSIZ")))))</f>
        <v/>
      </c>
      <c r="J162" s="133" t="n"/>
      <c r="K162" s="133" t="n"/>
    </row>
    <row r="163" ht="18" customHeight="1" s="102">
      <c r="A163" s="132" t="n"/>
      <c r="B163" s="133" t="n"/>
      <c r="C163" s="133" t="n"/>
      <c r="D163" s="133" t="n"/>
      <c r="E163" s="133" t="n"/>
      <c r="F163" s="133" t="n"/>
      <c r="G163" s="133" t="n"/>
      <c r="H163" s="133" t="n"/>
      <c r="I163" s="135">
        <f>IF(OR($A163="",$G163=""),"",IF($H163="VAR","KARŞILIKSIZ",IF($G163&gt;=DusukRiskEsik,"DÜŞÜK",IF($G163&gt;=RiskliSkorEsik,"ORTA",IF($G163&gt;=YuksekRiskEsik,"YÜKSEK","KARŞILIKSIZ")))))</f>
        <v/>
      </c>
      <c r="J163" s="133" t="n"/>
      <c r="K163" s="133" t="n"/>
    </row>
    <row r="164" ht="18" customHeight="1" s="102">
      <c r="A164" s="132" t="n"/>
      <c r="B164" s="133" t="n"/>
      <c r="C164" s="133" t="n"/>
      <c r="D164" s="133" t="n"/>
      <c r="E164" s="133" t="n"/>
      <c r="F164" s="133" t="n"/>
      <c r="G164" s="133" t="n"/>
      <c r="H164" s="133" t="n"/>
      <c r="I164" s="135">
        <f>IF(OR($A164="",$G164=""),"",IF($H164="VAR","KARŞILIKSIZ",IF($G164&gt;=DusukRiskEsik,"DÜŞÜK",IF($G164&gt;=RiskliSkorEsik,"ORTA",IF($G164&gt;=YuksekRiskEsik,"YÜKSEK","KARŞILIKSIZ")))))</f>
        <v/>
      </c>
      <c r="J164" s="133" t="n"/>
      <c r="K164" s="133" t="n"/>
    </row>
    <row r="165" ht="18" customHeight="1" s="102">
      <c r="A165" s="132" t="n"/>
      <c r="B165" s="133" t="n"/>
      <c r="C165" s="133" t="n"/>
      <c r="D165" s="133" t="n"/>
      <c r="E165" s="133" t="n"/>
      <c r="F165" s="133" t="n"/>
      <c r="G165" s="133" t="n"/>
      <c r="H165" s="133" t="n"/>
      <c r="I165" s="135">
        <f>IF(OR($A165="",$G165=""),"",IF($H165="VAR","KARŞILIKSIZ",IF($G165&gt;=DusukRiskEsik,"DÜŞÜK",IF($G165&gt;=RiskliSkorEsik,"ORTA",IF($G165&gt;=YuksekRiskEsik,"YÜKSEK","KARŞILIKSIZ")))))</f>
        <v/>
      </c>
      <c r="J165" s="133" t="n"/>
      <c r="K165" s="133" t="n"/>
    </row>
    <row r="166" ht="18" customHeight="1" s="102">
      <c r="A166" s="132" t="n"/>
      <c r="B166" s="133" t="n"/>
      <c r="C166" s="133" t="n"/>
      <c r="D166" s="133" t="n"/>
      <c r="E166" s="133" t="n"/>
      <c r="F166" s="133" t="n"/>
      <c r="G166" s="133" t="n"/>
      <c r="H166" s="133" t="n"/>
      <c r="I166" s="135">
        <f>IF(OR($A166="",$G166=""),"",IF($H166="VAR","KARŞILIKSIZ",IF($G166&gt;=DusukRiskEsik,"DÜŞÜK",IF($G166&gt;=RiskliSkorEsik,"ORTA",IF($G166&gt;=YuksekRiskEsik,"YÜKSEK","KARŞILIKSIZ")))))</f>
        <v/>
      </c>
      <c r="J166" s="133" t="n"/>
      <c r="K166" s="133" t="n"/>
    </row>
    <row r="167" ht="18" customHeight="1" s="102">
      <c r="A167" s="132" t="n"/>
      <c r="B167" s="133" t="n"/>
      <c r="C167" s="133" t="n"/>
      <c r="D167" s="133" t="n"/>
      <c r="E167" s="133" t="n"/>
      <c r="F167" s="133" t="n"/>
      <c r="G167" s="133" t="n"/>
      <c r="H167" s="133" t="n"/>
      <c r="I167" s="135">
        <f>IF(OR($A167="",$G167=""),"",IF($H167="VAR","KARŞILIKSIZ",IF($G167&gt;=DusukRiskEsik,"DÜŞÜK",IF($G167&gt;=RiskliSkorEsik,"ORTA",IF($G167&gt;=YuksekRiskEsik,"YÜKSEK","KARŞILIKSIZ")))))</f>
        <v/>
      </c>
      <c r="J167" s="133" t="n"/>
      <c r="K167" s="133" t="n"/>
    </row>
    <row r="168" ht="18" customHeight="1" s="102">
      <c r="A168" s="132" t="n"/>
      <c r="B168" s="133" t="n"/>
      <c r="C168" s="133" t="n"/>
      <c r="D168" s="133" t="n"/>
      <c r="E168" s="133" t="n"/>
      <c r="F168" s="133" t="n"/>
      <c r="G168" s="133" t="n"/>
      <c r="H168" s="133" t="n"/>
      <c r="I168" s="135">
        <f>IF(OR($A168="",$G168=""),"",IF($H168="VAR","KARŞILIKSIZ",IF($G168&gt;=DusukRiskEsik,"DÜŞÜK",IF($G168&gt;=RiskliSkorEsik,"ORTA",IF($G168&gt;=YuksekRiskEsik,"YÜKSEK","KARŞILIKSIZ")))))</f>
        <v/>
      </c>
      <c r="J168" s="133" t="n"/>
      <c r="K168" s="133" t="n"/>
    </row>
    <row r="169" ht="18" customHeight="1" s="102">
      <c r="A169" s="132" t="n"/>
      <c r="B169" s="133" t="n"/>
      <c r="C169" s="133" t="n"/>
      <c r="D169" s="133" t="n"/>
      <c r="E169" s="133" t="n"/>
      <c r="F169" s="133" t="n"/>
      <c r="G169" s="133" t="n"/>
      <c r="H169" s="133" t="n"/>
      <c r="I169" s="135">
        <f>IF(OR($A169="",$G169=""),"",IF($H169="VAR","KARŞILIKSIZ",IF($G169&gt;=DusukRiskEsik,"DÜŞÜK",IF($G169&gt;=RiskliSkorEsik,"ORTA",IF($G169&gt;=YuksekRiskEsik,"YÜKSEK","KARŞILIKSIZ")))))</f>
        <v/>
      </c>
      <c r="J169" s="133" t="n"/>
      <c r="K169" s="133" t="n"/>
    </row>
    <row r="170" ht="18" customHeight="1" s="102">
      <c r="A170" s="132" t="n"/>
      <c r="B170" s="133" t="n"/>
      <c r="C170" s="133" t="n"/>
      <c r="D170" s="133" t="n"/>
      <c r="E170" s="133" t="n"/>
      <c r="F170" s="133" t="n"/>
      <c r="G170" s="133" t="n"/>
      <c r="H170" s="133" t="n"/>
      <c r="I170" s="135">
        <f>IF(OR($A170="",$G170=""),"",IF($H170="VAR","KARŞILIKSIZ",IF($G170&gt;=DusukRiskEsik,"DÜŞÜK",IF($G170&gt;=RiskliSkorEsik,"ORTA",IF($G170&gt;=YuksekRiskEsik,"YÜKSEK","KARŞILIKSIZ")))))</f>
        <v/>
      </c>
      <c r="J170" s="133" t="n"/>
      <c r="K170" s="133" t="n"/>
    </row>
    <row r="171" ht="18" customHeight="1" s="102">
      <c r="A171" s="132" t="n"/>
      <c r="B171" s="133" t="n"/>
      <c r="C171" s="133" t="n"/>
      <c r="D171" s="133" t="n"/>
      <c r="E171" s="133" t="n"/>
      <c r="F171" s="133" t="n"/>
      <c r="G171" s="133" t="n"/>
      <c r="H171" s="133" t="n"/>
      <c r="I171" s="135">
        <f>IF(OR($A171="",$G171=""),"",IF($H171="VAR","KARŞILIKSIZ",IF($G171&gt;=DusukRiskEsik,"DÜŞÜK",IF($G171&gt;=RiskliSkorEsik,"ORTA",IF($G171&gt;=YuksekRiskEsik,"YÜKSEK","KARŞILIKSIZ")))))</f>
        <v/>
      </c>
      <c r="J171" s="133" t="n"/>
      <c r="K171" s="133" t="n"/>
    </row>
    <row r="172" ht="18" customHeight="1" s="102">
      <c r="A172" s="132" t="n"/>
      <c r="B172" s="133" t="n"/>
      <c r="C172" s="133" t="n"/>
      <c r="D172" s="133" t="n"/>
      <c r="E172" s="133" t="n"/>
      <c r="F172" s="133" t="n"/>
      <c r="G172" s="133" t="n"/>
      <c r="H172" s="133" t="n"/>
      <c r="I172" s="135">
        <f>IF(OR($A172="",$G172=""),"",IF($H172="VAR","KARŞILIKSIZ",IF($G172&gt;=DusukRiskEsik,"DÜŞÜK",IF($G172&gt;=RiskliSkorEsik,"ORTA",IF($G172&gt;=YuksekRiskEsik,"YÜKSEK","KARŞILIKSIZ")))))</f>
        <v/>
      </c>
      <c r="J172" s="133" t="n"/>
      <c r="K172" s="133" t="n"/>
    </row>
    <row r="173" ht="18" customHeight="1" s="102">
      <c r="A173" s="132" t="n"/>
      <c r="B173" s="133" t="n"/>
      <c r="C173" s="133" t="n"/>
      <c r="D173" s="133" t="n"/>
      <c r="E173" s="133" t="n"/>
      <c r="F173" s="133" t="n"/>
      <c r="G173" s="133" t="n"/>
      <c r="H173" s="133" t="n"/>
      <c r="I173" s="135">
        <f>IF(OR($A173="",$G173=""),"",IF($H173="VAR","KARŞILIKSIZ",IF($G173&gt;=DusukRiskEsik,"DÜŞÜK",IF($G173&gt;=RiskliSkorEsik,"ORTA",IF($G173&gt;=YuksekRiskEsik,"YÜKSEK","KARŞILIKSIZ")))))</f>
        <v/>
      </c>
      <c r="J173" s="133" t="n"/>
      <c r="K173" s="133" t="n"/>
    </row>
    <row r="174" ht="18" customHeight="1" s="102">
      <c r="A174" s="132" t="n"/>
      <c r="B174" s="133" t="n"/>
      <c r="C174" s="133" t="n"/>
      <c r="D174" s="133" t="n"/>
      <c r="E174" s="133" t="n"/>
      <c r="F174" s="133" t="n"/>
      <c r="G174" s="133" t="n"/>
      <c r="H174" s="133" t="n"/>
      <c r="I174" s="135">
        <f>IF(OR($A174="",$G174=""),"",IF($H174="VAR","KARŞILIKSIZ",IF($G174&gt;=DusukRiskEsik,"DÜŞÜK",IF($G174&gt;=RiskliSkorEsik,"ORTA",IF($G174&gt;=YuksekRiskEsik,"YÜKSEK","KARŞILIKSIZ")))))</f>
        <v/>
      </c>
      <c r="J174" s="133" t="n"/>
      <c r="K174" s="133" t="n"/>
    </row>
    <row r="175" ht="18" customHeight="1" s="102">
      <c r="A175" s="132" t="n"/>
      <c r="B175" s="133" t="n"/>
      <c r="C175" s="133" t="n"/>
      <c r="D175" s="133" t="n"/>
      <c r="E175" s="133" t="n"/>
      <c r="F175" s="133" t="n"/>
      <c r="G175" s="133" t="n"/>
      <c r="H175" s="133" t="n"/>
      <c r="I175" s="135">
        <f>IF(OR($A175="",$G175=""),"",IF($H175="VAR","KARŞILIKSIZ",IF($G175&gt;=DusukRiskEsik,"DÜŞÜK",IF($G175&gt;=RiskliSkorEsik,"ORTA",IF($G175&gt;=YuksekRiskEsik,"YÜKSEK","KARŞILIKSIZ")))))</f>
        <v/>
      </c>
      <c r="J175" s="133" t="n"/>
      <c r="K175" s="133" t="n"/>
    </row>
    <row r="176" ht="18" customHeight="1" s="102">
      <c r="A176" s="132" t="n"/>
      <c r="B176" s="133" t="n"/>
      <c r="C176" s="133" t="n"/>
      <c r="D176" s="133" t="n"/>
      <c r="E176" s="133" t="n"/>
      <c r="F176" s="133" t="n"/>
      <c r="G176" s="133" t="n"/>
      <c r="H176" s="133" t="n"/>
      <c r="I176" s="135">
        <f>IF(OR($A176="",$G176=""),"",IF($H176="VAR","KARŞILIKSIZ",IF($G176&gt;=DusukRiskEsik,"DÜŞÜK",IF($G176&gt;=RiskliSkorEsik,"ORTA",IF($G176&gt;=YuksekRiskEsik,"YÜKSEK","KARŞILIKSIZ")))))</f>
        <v/>
      </c>
      <c r="J176" s="133" t="n"/>
      <c r="K176" s="133" t="n"/>
    </row>
    <row r="177" ht="18" customHeight="1" s="102">
      <c r="A177" s="132" t="n"/>
      <c r="B177" s="133" t="n"/>
      <c r="C177" s="133" t="n"/>
      <c r="D177" s="133" t="n"/>
      <c r="E177" s="133" t="n"/>
      <c r="F177" s="133" t="n"/>
      <c r="G177" s="133" t="n"/>
      <c r="H177" s="133" t="n"/>
      <c r="I177" s="135">
        <f>IF(OR($A177="",$G177=""),"",IF($H177="VAR","KARŞILIKSIZ",IF($G177&gt;=DusukRiskEsik,"DÜŞÜK",IF($G177&gt;=RiskliSkorEsik,"ORTA",IF($G177&gt;=YuksekRiskEsik,"YÜKSEK","KARŞILIKSIZ")))))</f>
        <v/>
      </c>
      <c r="J177" s="133" t="n"/>
      <c r="K177" s="133" t="n"/>
    </row>
    <row r="178" ht="18" customHeight="1" s="102">
      <c r="A178" s="132" t="n"/>
      <c r="B178" s="133" t="n"/>
      <c r="C178" s="133" t="n"/>
      <c r="D178" s="133" t="n"/>
      <c r="E178" s="133" t="n"/>
      <c r="F178" s="133" t="n"/>
      <c r="G178" s="133" t="n"/>
      <c r="H178" s="133" t="n"/>
      <c r="I178" s="135">
        <f>IF(OR($A178="",$G178=""),"",IF($H178="VAR","KARŞILIKSIZ",IF($G178&gt;=DusukRiskEsik,"DÜŞÜK",IF($G178&gt;=RiskliSkorEsik,"ORTA",IF($G178&gt;=YuksekRiskEsik,"YÜKSEK","KARŞILIKSIZ")))))</f>
        <v/>
      </c>
      <c r="J178" s="133" t="n"/>
      <c r="K178" s="133" t="n"/>
    </row>
    <row r="179" ht="18" customHeight="1" s="102">
      <c r="A179" s="132" t="n"/>
      <c r="B179" s="133" t="n"/>
      <c r="C179" s="133" t="n"/>
      <c r="D179" s="133" t="n"/>
      <c r="E179" s="133" t="n"/>
      <c r="F179" s="133" t="n"/>
      <c r="G179" s="133" t="n"/>
      <c r="H179" s="133" t="n"/>
      <c r="I179" s="135">
        <f>IF(OR($A179="",$G179=""),"",IF($H179="VAR","KARŞILIKSIZ",IF($G179&gt;=DusukRiskEsik,"DÜŞÜK",IF($G179&gt;=RiskliSkorEsik,"ORTA",IF($G179&gt;=YuksekRiskEsik,"YÜKSEK","KARŞILIKSIZ")))))</f>
        <v/>
      </c>
      <c r="J179" s="133" t="n"/>
      <c r="K179" s="133" t="n"/>
    </row>
    <row r="180" ht="18" customHeight="1" s="102">
      <c r="A180" s="132" t="n"/>
      <c r="B180" s="133" t="n"/>
      <c r="C180" s="133" t="n"/>
      <c r="D180" s="133" t="n"/>
      <c r="E180" s="133" t="n"/>
      <c r="F180" s="133" t="n"/>
      <c r="G180" s="133" t="n"/>
      <c r="H180" s="133" t="n"/>
      <c r="I180" s="135">
        <f>IF(OR($A180="",$G180=""),"",IF($H180="VAR","KARŞILIKSIZ",IF($G180&gt;=DusukRiskEsik,"DÜŞÜK",IF($G180&gt;=RiskliSkorEsik,"ORTA",IF($G180&gt;=YuksekRiskEsik,"YÜKSEK","KARŞILIKSIZ")))))</f>
        <v/>
      </c>
      <c r="J180" s="133" t="n"/>
      <c r="K180" s="133" t="n"/>
    </row>
    <row r="181" ht="18" customHeight="1" s="102">
      <c r="A181" s="132" t="n"/>
      <c r="B181" s="133" t="n"/>
      <c r="C181" s="133" t="n"/>
      <c r="D181" s="133" t="n"/>
      <c r="E181" s="133" t="n"/>
      <c r="F181" s="133" t="n"/>
      <c r="G181" s="133" t="n"/>
      <c r="H181" s="133" t="n"/>
      <c r="I181" s="135">
        <f>IF(OR($A181="",$G181=""),"",IF($H181="VAR","KARŞILIKSIZ",IF($G181&gt;=DusukRiskEsik,"DÜŞÜK",IF($G181&gt;=RiskliSkorEsik,"ORTA",IF($G181&gt;=YuksekRiskEsik,"YÜKSEK","KARŞILIKSIZ")))))</f>
        <v/>
      </c>
      <c r="J181" s="133" t="n"/>
      <c r="K181" s="133" t="n"/>
    </row>
    <row r="182" ht="18" customHeight="1" s="102">
      <c r="A182" s="132" t="n"/>
      <c r="B182" s="133" t="n"/>
      <c r="C182" s="133" t="n"/>
      <c r="D182" s="133" t="n"/>
      <c r="E182" s="133" t="n"/>
      <c r="F182" s="133" t="n"/>
      <c r="G182" s="133" t="n"/>
      <c r="H182" s="133" t="n"/>
      <c r="I182" s="135">
        <f>IF(OR($A182="",$G182=""),"",IF($H182="VAR","KARŞILIKSIZ",IF($G182&gt;=DusukRiskEsik,"DÜŞÜK",IF($G182&gt;=RiskliSkorEsik,"ORTA",IF($G182&gt;=YuksekRiskEsik,"YÜKSEK","KARŞILIKSIZ")))))</f>
        <v/>
      </c>
      <c r="J182" s="133" t="n"/>
      <c r="K182" s="133" t="n"/>
    </row>
    <row r="183" ht="18" customHeight="1" s="102">
      <c r="A183" s="132" t="n"/>
      <c r="B183" s="133" t="n"/>
      <c r="C183" s="133" t="n"/>
      <c r="D183" s="133" t="n"/>
      <c r="E183" s="133" t="n"/>
      <c r="F183" s="133" t="n"/>
      <c r="G183" s="133" t="n"/>
      <c r="H183" s="133" t="n"/>
      <c r="I183" s="135">
        <f>IF(OR($A183="",$G183=""),"",IF($H183="VAR","KARŞILIKSIZ",IF($G183&gt;=DusukRiskEsik,"DÜŞÜK",IF($G183&gt;=RiskliSkorEsik,"ORTA",IF($G183&gt;=YuksekRiskEsik,"YÜKSEK","KARŞILIKSIZ")))))</f>
        <v/>
      </c>
      <c r="J183" s="133" t="n"/>
      <c r="K183" s="133" t="n"/>
    </row>
    <row r="184" ht="18" customHeight="1" s="102">
      <c r="A184" s="132" t="n"/>
      <c r="B184" s="133" t="n"/>
      <c r="C184" s="133" t="n"/>
      <c r="D184" s="133" t="n"/>
      <c r="E184" s="133" t="n"/>
      <c r="F184" s="133" t="n"/>
      <c r="G184" s="133" t="n"/>
      <c r="H184" s="133" t="n"/>
      <c r="I184" s="135">
        <f>IF(OR($A184="",$G184=""),"",IF($H184="VAR","KARŞILIKSIZ",IF($G184&gt;=DusukRiskEsik,"DÜŞÜK",IF($G184&gt;=RiskliSkorEsik,"ORTA",IF($G184&gt;=YuksekRiskEsik,"YÜKSEK","KARŞILIKSIZ")))))</f>
        <v/>
      </c>
      <c r="J184" s="133" t="n"/>
      <c r="K184" s="133" t="n"/>
    </row>
    <row r="185" ht="18" customHeight="1" s="102">
      <c r="A185" s="132" t="n"/>
      <c r="B185" s="133" t="n"/>
      <c r="C185" s="133" t="n"/>
      <c r="D185" s="133" t="n"/>
      <c r="E185" s="133" t="n"/>
      <c r="F185" s="133" t="n"/>
      <c r="G185" s="133" t="n"/>
      <c r="H185" s="133" t="n"/>
      <c r="I185" s="135">
        <f>IF(OR($A185="",$G185=""),"",IF($H185="VAR","KARŞILIKSIZ",IF($G185&gt;=DusukRiskEsik,"DÜŞÜK",IF($G185&gt;=RiskliSkorEsik,"ORTA",IF($G185&gt;=YuksekRiskEsik,"YÜKSEK","KARŞILIKSIZ")))))</f>
        <v/>
      </c>
      <c r="J185" s="133" t="n"/>
      <c r="K185" s="133" t="n"/>
    </row>
    <row r="186" ht="18" customHeight="1" s="102">
      <c r="A186" s="132" t="n"/>
      <c r="B186" s="133" t="n"/>
      <c r="C186" s="133" t="n"/>
      <c r="D186" s="133" t="n"/>
      <c r="E186" s="133" t="n"/>
      <c r="F186" s="133" t="n"/>
      <c r="G186" s="133" t="n"/>
      <c r="H186" s="133" t="n"/>
      <c r="I186" s="135">
        <f>IF(OR($A186="",$G186=""),"",IF($H186="VAR","KARŞILIKSIZ",IF($G186&gt;=DusukRiskEsik,"DÜŞÜK",IF($G186&gt;=RiskliSkorEsik,"ORTA",IF($G186&gt;=YuksekRiskEsik,"YÜKSEK","KARŞILIKSIZ")))))</f>
        <v/>
      </c>
      <c r="J186" s="133" t="n"/>
      <c r="K186" s="133" t="n"/>
    </row>
    <row r="187" ht="18" customHeight="1" s="102">
      <c r="A187" s="132" t="n"/>
      <c r="B187" s="133" t="n"/>
      <c r="C187" s="133" t="n"/>
      <c r="D187" s="133" t="n"/>
      <c r="E187" s="133" t="n"/>
      <c r="F187" s="133" t="n"/>
      <c r="G187" s="133" t="n"/>
      <c r="H187" s="133" t="n"/>
      <c r="I187" s="135">
        <f>IF(OR($A187="",$G187=""),"",IF($H187="VAR","KARŞILIKSIZ",IF($G187&gt;=DusukRiskEsik,"DÜŞÜK",IF($G187&gt;=RiskliSkorEsik,"ORTA",IF($G187&gt;=YuksekRiskEsik,"YÜKSEK","KARŞILIKSIZ")))))</f>
        <v/>
      </c>
      <c r="J187" s="133" t="n"/>
      <c r="K187" s="133" t="n"/>
    </row>
    <row r="188" ht="18" customHeight="1" s="102">
      <c r="A188" s="132" t="n"/>
      <c r="B188" s="133" t="n"/>
      <c r="C188" s="133" t="n"/>
      <c r="D188" s="133" t="n"/>
      <c r="E188" s="133" t="n"/>
      <c r="F188" s="133" t="n"/>
      <c r="G188" s="133" t="n"/>
      <c r="H188" s="133" t="n"/>
      <c r="I188" s="135">
        <f>IF(OR($A188="",$G188=""),"",IF($H188="VAR","KARŞILIKSIZ",IF($G188&gt;=DusukRiskEsik,"DÜŞÜK",IF($G188&gt;=RiskliSkorEsik,"ORTA",IF($G188&gt;=YuksekRiskEsik,"YÜKSEK","KARŞILIKSIZ")))))</f>
        <v/>
      </c>
      <c r="J188" s="133" t="n"/>
      <c r="K188" s="133" t="n"/>
    </row>
    <row r="189" ht="18" customHeight="1" s="102">
      <c r="A189" s="132" t="n"/>
      <c r="B189" s="133" t="n"/>
      <c r="C189" s="133" t="n"/>
      <c r="D189" s="133" t="n"/>
      <c r="E189" s="133" t="n"/>
      <c r="F189" s="133" t="n"/>
      <c r="G189" s="133" t="n"/>
      <c r="H189" s="133" t="n"/>
      <c r="I189" s="135">
        <f>IF(OR($A189="",$G189=""),"",IF($H189="VAR","KARŞILIKSIZ",IF($G189&gt;=DusukRiskEsik,"DÜŞÜK",IF($G189&gt;=RiskliSkorEsik,"ORTA",IF($G189&gt;=YuksekRiskEsik,"YÜKSEK","KARŞILIKSIZ")))))</f>
        <v/>
      </c>
      <c r="J189" s="133" t="n"/>
      <c r="K189" s="133" t="n"/>
    </row>
    <row r="190" ht="18" customHeight="1" s="102">
      <c r="A190" s="132" t="n"/>
      <c r="B190" s="133" t="n"/>
      <c r="C190" s="133" t="n"/>
      <c r="D190" s="133" t="n"/>
      <c r="E190" s="133" t="n"/>
      <c r="F190" s="133" t="n"/>
      <c r="G190" s="133" t="n"/>
      <c r="H190" s="133" t="n"/>
      <c r="I190" s="135">
        <f>IF(OR($A190="",$G190=""),"",IF($H190="VAR","KARŞILIKSIZ",IF($G190&gt;=DusukRiskEsik,"DÜŞÜK",IF($G190&gt;=RiskliSkorEsik,"ORTA",IF($G190&gt;=YuksekRiskEsik,"YÜKSEK","KARŞILIKSIZ")))))</f>
        <v/>
      </c>
      <c r="J190" s="133" t="n"/>
      <c r="K190" s="133" t="n"/>
    </row>
    <row r="191" ht="18" customHeight="1" s="102">
      <c r="A191" s="132" t="n"/>
      <c r="B191" s="133" t="n"/>
      <c r="C191" s="133" t="n"/>
      <c r="D191" s="133" t="n"/>
      <c r="E191" s="133" t="n"/>
      <c r="F191" s="133" t="n"/>
      <c r="G191" s="133" t="n"/>
      <c r="H191" s="133" t="n"/>
      <c r="I191" s="135">
        <f>IF(OR($A191="",$G191=""),"",IF($H191="VAR","KARŞILIKSIZ",IF($G191&gt;=DusukRiskEsik,"DÜŞÜK",IF($G191&gt;=RiskliSkorEsik,"ORTA",IF($G191&gt;=YuksekRiskEsik,"YÜKSEK","KARŞILIKSIZ")))))</f>
        <v/>
      </c>
      <c r="J191" s="133" t="n"/>
      <c r="K191" s="133" t="n"/>
    </row>
    <row r="192" ht="18" customHeight="1" s="102">
      <c r="A192" s="132" t="n"/>
      <c r="B192" s="133" t="n"/>
      <c r="C192" s="133" t="n"/>
      <c r="D192" s="133" t="n"/>
      <c r="E192" s="133" t="n"/>
      <c r="F192" s="133" t="n"/>
      <c r="G192" s="133" t="n"/>
      <c r="H192" s="133" t="n"/>
      <c r="I192" s="135">
        <f>IF(OR($A192="",$G192=""),"",IF($H192="VAR","KARŞILIKSIZ",IF($G192&gt;=DusukRiskEsik,"DÜŞÜK",IF($G192&gt;=RiskliSkorEsik,"ORTA",IF($G192&gt;=YuksekRiskEsik,"YÜKSEK","KARŞILIKSIZ")))))</f>
        <v/>
      </c>
      <c r="J192" s="133" t="n"/>
      <c r="K192" s="133" t="n"/>
    </row>
    <row r="193" ht="18" customHeight="1" s="102">
      <c r="A193" s="132" t="n"/>
      <c r="B193" s="133" t="n"/>
      <c r="C193" s="133" t="n"/>
      <c r="D193" s="133" t="n"/>
      <c r="E193" s="133" t="n"/>
      <c r="F193" s="133" t="n"/>
      <c r="G193" s="133" t="n"/>
      <c r="H193" s="133" t="n"/>
      <c r="I193" s="135">
        <f>IF(OR($A193="",$G193=""),"",IF($H193="VAR","KARŞILIKSIZ",IF($G193&gt;=DusukRiskEsik,"DÜŞÜK",IF($G193&gt;=RiskliSkorEsik,"ORTA",IF($G193&gt;=YuksekRiskEsik,"YÜKSEK","KARŞILIKSIZ")))))</f>
        <v/>
      </c>
      <c r="J193" s="133" t="n"/>
      <c r="K193" s="133" t="n"/>
    </row>
    <row r="194" ht="18" customHeight="1" s="102">
      <c r="A194" s="132" t="n"/>
      <c r="B194" s="133" t="n"/>
      <c r="C194" s="133" t="n"/>
      <c r="D194" s="133" t="n"/>
      <c r="E194" s="133" t="n"/>
      <c r="F194" s="133" t="n"/>
      <c r="G194" s="133" t="n"/>
      <c r="H194" s="133" t="n"/>
      <c r="I194" s="135">
        <f>IF(OR($A194="",$G194=""),"",IF($H194="VAR","KARŞILIKSIZ",IF($G194&gt;=DusukRiskEsik,"DÜŞÜK",IF($G194&gt;=RiskliSkorEsik,"ORTA",IF($G194&gt;=YuksekRiskEsik,"YÜKSEK","KARŞILIKSIZ")))))</f>
        <v/>
      </c>
      <c r="J194" s="133" t="n"/>
      <c r="K194" s="133" t="n"/>
    </row>
    <row r="195" ht="18" customHeight="1" s="102">
      <c r="A195" s="132" t="n"/>
      <c r="B195" s="133" t="n"/>
      <c r="C195" s="133" t="n"/>
      <c r="D195" s="133" t="n"/>
      <c r="E195" s="133" t="n"/>
      <c r="F195" s="133" t="n"/>
      <c r="G195" s="133" t="n"/>
      <c r="H195" s="133" t="n"/>
      <c r="I195" s="135">
        <f>IF(OR($A195="",$G195=""),"",IF($H195="VAR","KARŞILIKSIZ",IF($G195&gt;=DusukRiskEsik,"DÜŞÜK",IF($G195&gt;=RiskliSkorEsik,"ORTA",IF($G195&gt;=YuksekRiskEsik,"YÜKSEK","KARŞILIKSIZ")))))</f>
        <v/>
      </c>
      <c r="J195" s="133" t="n"/>
      <c r="K195" s="133" t="n"/>
    </row>
    <row r="196" ht="18" customHeight="1" s="102">
      <c r="A196" s="132" t="n"/>
      <c r="B196" s="133" t="n"/>
      <c r="C196" s="133" t="n"/>
      <c r="D196" s="133" t="n"/>
      <c r="E196" s="133" t="n"/>
      <c r="F196" s="133" t="n"/>
      <c r="G196" s="133" t="n"/>
      <c r="H196" s="133" t="n"/>
      <c r="I196" s="135">
        <f>IF(OR($A196="",$G196=""),"",IF($H196="VAR","KARŞILIKSIZ",IF($G196&gt;=DusukRiskEsik,"DÜŞÜK",IF($G196&gt;=RiskliSkorEsik,"ORTA",IF($G196&gt;=YuksekRiskEsik,"YÜKSEK","KARŞILIKSIZ")))))</f>
        <v/>
      </c>
      <c r="J196" s="133" t="n"/>
      <c r="K196" s="133" t="n"/>
    </row>
    <row r="197" ht="18" customHeight="1" s="102">
      <c r="A197" s="132" t="n"/>
      <c r="B197" s="133" t="n"/>
      <c r="C197" s="133" t="n"/>
      <c r="D197" s="133" t="n"/>
      <c r="E197" s="133" t="n"/>
      <c r="F197" s="133" t="n"/>
      <c r="G197" s="133" t="n"/>
      <c r="H197" s="133" t="n"/>
      <c r="I197" s="135">
        <f>IF(OR($A197="",$G197=""),"",IF($H197="VAR","KARŞILIKSIZ",IF($G197&gt;=DusukRiskEsik,"DÜŞÜK",IF($G197&gt;=RiskliSkorEsik,"ORTA",IF($G197&gt;=YuksekRiskEsik,"YÜKSEK","KARŞILIKSIZ")))))</f>
        <v/>
      </c>
      <c r="J197" s="133" t="n"/>
      <c r="K197" s="133" t="n"/>
    </row>
    <row r="198" ht="18" customHeight="1" s="102">
      <c r="A198" s="132" t="n"/>
      <c r="B198" s="133" t="n"/>
      <c r="C198" s="133" t="n"/>
      <c r="D198" s="133" t="n"/>
      <c r="E198" s="133" t="n"/>
      <c r="F198" s="133" t="n"/>
      <c r="G198" s="133" t="n"/>
      <c r="H198" s="133" t="n"/>
      <c r="I198" s="135">
        <f>IF(OR($A198="",$G198=""),"",IF($H198="VAR","KARŞILIKSIZ",IF($G198&gt;=DusukRiskEsik,"DÜŞÜK",IF($G198&gt;=RiskliSkorEsik,"ORTA",IF($G198&gt;=YuksekRiskEsik,"YÜKSEK","KARŞILIKSIZ")))))</f>
        <v/>
      </c>
      <c r="J198" s="133" t="n"/>
      <c r="K198" s="133" t="n"/>
    </row>
    <row r="199" ht="18" customHeight="1" s="102">
      <c r="A199" s="132" t="n"/>
      <c r="B199" s="133" t="n"/>
      <c r="C199" s="133" t="n"/>
      <c r="D199" s="133" t="n"/>
      <c r="E199" s="133" t="n"/>
      <c r="F199" s="133" t="n"/>
      <c r="G199" s="133" t="n"/>
      <c r="H199" s="133" t="n"/>
      <c r="I199" s="135">
        <f>IF(OR($A199="",$G199=""),"",IF($H199="VAR","KARŞILIKSIZ",IF($G199&gt;=DusukRiskEsik,"DÜŞÜK",IF($G199&gt;=RiskliSkorEsik,"ORTA",IF($G199&gt;=YuksekRiskEsik,"YÜKSEK","KARŞILIKSIZ")))))</f>
        <v/>
      </c>
      <c r="J199" s="133" t="n"/>
      <c r="K199" s="133" t="n"/>
    </row>
    <row r="200" ht="18" customHeight="1" s="102">
      <c r="A200" s="132" t="n"/>
      <c r="B200" s="133" t="n"/>
      <c r="C200" s="133" t="n"/>
      <c r="D200" s="133" t="n"/>
      <c r="E200" s="133" t="n"/>
      <c r="F200" s="133" t="n"/>
      <c r="G200" s="133" t="n"/>
      <c r="H200" s="133" t="n"/>
      <c r="I200" s="135">
        <f>IF(OR($A200="",$G200=""),"",IF($H200="VAR","KARŞILIKSIZ",IF($G200&gt;=DusukRiskEsik,"DÜŞÜK",IF($G200&gt;=RiskliSkorEsik,"ORTA",IF($G200&gt;=YuksekRiskEsik,"YÜKSEK","KARŞILIKSIZ")))))</f>
        <v/>
      </c>
      <c r="J200" s="133" t="n"/>
      <c r="K200" s="133" t="n"/>
    </row>
    <row r="201" ht="18" customHeight="1" s="102">
      <c r="A201" s="132" t="n"/>
      <c r="B201" s="133" t="n"/>
      <c r="C201" s="133" t="n"/>
      <c r="D201" s="133" t="n"/>
      <c r="E201" s="133" t="n"/>
      <c r="F201" s="133" t="n"/>
      <c r="G201" s="133" t="n"/>
      <c r="H201" s="133" t="n"/>
      <c r="I201" s="135">
        <f>IF(OR($A201="",$G201=""),"",IF($H201="VAR","KARŞILIKSIZ",IF($G201&gt;=DusukRiskEsik,"DÜŞÜK",IF($G201&gt;=RiskliSkorEsik,"ORTA",IF($G201&gt;=YuksekRiskEsik,"YÜKSEK","KARŞILIKSIZ")))))</f>
        <v/>
      </c>
      <c r="J201" s="133" t="n"/>
      <c r="K201" s="133" t="n"/>
    </row>
    <row r="202" ht="18" customHeight="1" s="102">
      <c r="A202" s="132" t="n"/>
      <c r="B202" s="133" t="n"/>
      <c r="C202" s="133" t="n"/>
      <c r="D202" s="133" t="n"/>
      <c r="E202" s="133" t="n"/>
      <c r="F202" s="133" t="n"/>
      <c r="G202" s="133" t="n"/>
      <c r="H202" s="133" t="n"/>
      <c r="I202" s="135">
        <f>IF(OR($A202="",$G202=""),"",IF($H202="VAR","KARŞILIKSIZ",IF($G202&gt;=DusukRiskEsik,"DÜŞÜK",IF($G202&gt;=RiskliSkorEsik,"ORTA",IF($G202&gt;=YuksekRiskEsik,"YÜKSEK","KARŞILIKSIZ")))))</f>
        <v/>
      </c>
      <c r="J202" s="133" t="n"/>
      <c r="K202" s="133" t="n"/>
    </row>
    <row r="203" ht="18" customHeight="1" s="102">
      <c r="A203" s="132" t="n"/>
      <c r="B203" s="133" t="n"/>
      <c r="C203" s="133" t="n"/>
      <c r="D203" s="133" t="n"/>
      <c r="E203" s="133" t="n"/>
      <c r="F203" s="133" t="n"/>
      <c r="G203" s="133" t="n"/>
      <c r="H203" s="133" t="n"/>
      <c r="I203" s="135">
        <f>IF(OR($A203="",$G203=""),"",IF($H203="VAR","KARŞILIKSIZ",IF($G203&gt;=DusukRiskEsik,"DÜŞÜK",IF($G203&gt;=RiskliSkorEsik,"ORTA",IF($G203&gt;=YuksekRiskEsik,"YÜKSEK","KARŞILIKSIZ")))))</f>
        <v/>
      </c>
      <c r="J203" s="133" t="n"/>
      <c r="K203" s="133" t="n"/>
    </row>
    <row r="204" ht="18" customHeight="1" s="102">
      <c r="A204" s="132" t="n"/>
      <c r="B204" s="133" t="n"/>
      <c r="C204" s="133" t="n"/>
      <c r="D204" s="133" t="n"/>
      <c r="E204" s="133" t="n"/>
      <c r="F204" s="133" t="n"/>
      <c r="G204" s="133" t="n"/>
      <c r="H204" s="133" t="n"/>
      <c r="I204" s="135">
        <f>IF(OR($A204="",$G204=""),"",IF($H204="VAR","KARŞILIKSIZ",IF($G204&gt;=DusukRiskEsik,"DÜŞÜK",IF($G204&gt;=RiskliSkorEsik,"ORTA",IF($G204&gt;=YuksekRiskEsik,"YÜKSEK","KARŞILIKSIZ")))))</f>
        <v/>
      </c>
      <c r="J204" s="133" t="n"/>
      <c r="K204" s="133" t="n"/>
    </row>
    <row r="205" ht="18" customHeight="1" s="102">
      <c r="A205" s="132" t="n"/>
      <c r="B205" s="133" t="n"/>
      <c r="C205" s="133" t="n"/>
      <c r="D205" s="133" t="n"/>
      <c r="E205" s="133" t="n"/>
      <c r="F205" s="133" t="n"/>
      <c r="G205" s="133" t="n"/>
      <c r="H205" s="133" t="n"/>
      <c r="I205" s="135">
        <f>IF(OR($A205="",$G205=""),"",IF($H205="VAR","KARŞILIKSIZ",IF($G205&gt;=DusukRiskEsik,"DÜŞÜK",IF($G205&gt;=RiskliSkorEsik,"ORTA",IF($G205&gt;=YuksekRiskEsik,"YÜKSEK","KARŞILIKSIZ")))))</f>
        <v/>
      </c>
      <c r="J205" s="133" t="n"/>
      <c r="K205" s="133" t="n"/>
    </row>
    <row r="206" ht="18" customHeight="1" s="102">
      <c r="A206" s="132" t="n"/>
      <c r="B206" s="133" t="n"/>
      <c r="C206" s="133" t="n"/>
      <c r="D206" s="133" t="n"/>
      <c r="E206" s="133" t="n"/>
      <c r="F206" s="133" t="n"/>
      <c r="G206" s="133" t="n"/>
      <c r="H206" s="133" t="n"/>
      <c r="I206" s="135">
        <f>IF(OR($A206="",$G206=""),"",IF($H206="VAR","KARŞILIKSIZ",IF($G206&gt;=DusukRiskEsik,"DÜŞÜK",IF($G206&gt;=RiskliSkorEsik,"ORTA",IF($G206&gt;=YuksekRiskEsik,"YÜKSEK","KARŞILIKSIZ")))))</f>
        <v/>
      </c>
      <c r="J206" s="133" t="n"/>
      <c r="K206" s="133" t="n"/>
    </row>
    <row r="207" ht="18" customHeight="1" s="102">
      <c r="A207" s="132" t="n"/>
      <c r="B207" s="133" t="n"/>
      <c r="C207" s="133" t="n"/>
      <c r="D207" s="133" t="n"/>
      <c r="E207" s="133" t="n"/>
      <c r="F207" s="133" t="n"/>
      <c r="G207" s="133" t="n"/>
      <c r="H207" s="133" t="n"/>
      <c r="I207" s="135">
        <f>IF(OR($A207="",$G207=""),"",IF($H207="VAR","KARŞILIKSIZ",IF($G207&gt;=DusukRiskEsik,"DÜŞÜK",IF($G207&gt;=RiskliSkorEsik,"ORTA",IF($G207&gt;=YuksekRiskEsik,"YÜKSEK","KARŞILIKSIZ")))))</f>
        <v/>
      </c>
      <c r="J207" s="133" t="n"/>
      <c r="K207" s="133" t="n"/>
    </row>
    <row r="208" ht="18" customHeight="1" s="102">
      <c r="A208" s="132" t="n"/>
      <c r="B208" s="133" t="n"/>
      <c r="C208" s="133" t="n"/>
      <c r="D208" s="133" t="n"/>
      <c r="E208" s="133" t="n"/>
      <c r="F208" s="133" t="n"/>
      <c r="G208" s="133" t="n"/>
      <c r="H208" s="133" t="n"/>
      <c r="I208" s="135">
        <f>IF(OR($A208="",$G208=""),"",IF($H208="VAR","KARŞILIKSIZ",IF($G208&gt;=DusukRiskEsik,"DÜŞÜK",IF($G208&gt;=RiskliSkorEsik,"ORTA",IF($G208&gt;=YuksekRiskEsik,"YÜKSEK","KARŞILIKSIZ")))))</f>
        <v/>
      </c>
      <c r="J208" s="133" t="n"/>
      <c r="K208" s="133" t="n"/>
    </row>
    <row r="209" ht="18" customHeight="1" s="102">
      <c r="A209" s="132" t="n"/>
      <c r="B209" s="133" t="n"/>
      <c r="C209" s="133" t="n"/>
      <c r="D209" s="133" t="n"/>
      <c r="E209" s="133" t="n"/>
      <c r="F209" s="133" t="n"/>
      <c r="G209" s="133" t="n"/>
      <c r="H209" s="133" t="n"/>
      <c r="I209" s="135">
        <f>IF(OR($A209="",$G209=""),"",IF($H209="VAR","KARŞILIKSIZ",IF($G209&gt;=DusukRiskEsik,"DÜŞÜK",IF($G209&gt;=RiskliSkorEsik,"ORTA",IF($G209&gt;=YuksekRiskEsik,"YÜKSEK","KARŞILIKSIZ")))))</f>
        <v/>
      </c>
      <c r="J209" s="133" t="n"/>
      <c r="K209" s="133" t="n"/>
    </row>
    <row r="210" ht="18" customHeight="1" s="102">
      <c r="A210" s="132" t="n"/>
      <c r="B210" s="133" t="n"/>
      <c r="C210" s="133" t="n"/>
      <c r="D210" s="133" t="n"/>
      <c r="E210" s="133" t="n"/>
      <c r="F210" s="133" t="n"/>
      <c r="G210" s="133" t="n"/>
      <c r="H210" s="133" t="n"/>
      <c r="I210" s="135">
        <f>IF(OR($A210="",$G210=""),"",IF($H210="VAR","KARŞILIKSIZ",IF($G210&gt;=DusukRiskEsik,"DÜŞÜK",IF($G210&gt;=RiskliSkorEsik,"ORTA",IF($G210&gt;=YuksekRiskEsik,"YÜKSEK","KARŞILIKSIZ")))))</f>
        <v/>
      </c>
      <c r="J210" s="133" t="n"/>
      <c r="K210" s="133" t="n"/>
    </row>
    <row r="211" ht="18" customHeight="1" s="102">
      <c r="A211" s="132" t="n"/>
      <c r="B211" s="133" t="n"/>
      <c r="C211" s="133" t="n"/>
      <c r="D211" s="133" t="n"/>
      <c r="E211" s="133" t="n"/>
      <c r="F211" s="133" t="n"/>
      <c r="G211" s="133" t="n"/>
      <c r="H211" s="133" t="n"/>
      <c r="I211" s="135">
        <f>IF(OR($A211="",$G211=""),"",IF($H211="VAR","KARŞILIKSIZ",IF($G211&gt;=DusukRiskEsik,"DÜŞÜK",IF($G211&gt;=RiskliSkorEsik,"ORTA",IF($G211&gt;=YuksekRiskEsik,"YÜKSEK","KARŞILIKSIZ")))))</f>
        <v/>
      </c>
      <c r="J211" s="133" t="n"/>
      <c r="K211" s="133" t="n"/>
    </row>
    <row r="212" ht="18" customHeight="1" s="102">
      <c r="A212" s="132" t="n"/>
      <c r="B212" s="133" t="n"/>
      <c r="C212" s="133" t="n"/>
      <c r="D212" s="133" t="n"/>
      <c r="E212" s="133" t="n"/>
      <c r="F212" s="133" t="n"/>
      <c r="G212" s="133" t="n"/>
      <c r="H212" s="133" t="n"/>
      <c r="I212" s="135">
        <f>IF(OR($A212="",$G212=""),"",IF($H212="VAR","KARŞILIKSIZ",IF($G212&gt;=DusukRiskEsik,"DÜŞÜK",IF($G212&gt;=RiskliSkorEsik,"ORTA",IF($G212&gt;=YuksekRiskEsik,"YÜKSEK","KARŞILIKSIZ")))))</f>
        <v/>
      </c>
      <c r="J212" s="133" t="n"/>
      <c r="K212" s="133" t="n"/>
    </row>
    <row r="213" ht="18" customHeight="1" s="102">
      <c r="A213" s="132" t="n"/>
      <c r="B213" s="133" t="n"/>
      <c r="C213" s="133" t="n"/>
      <c r="D213" s="133" t="n"/>
      <c r="E213" s="133" t="n"/>
      <c r="F213" s="133" t="n"/>
      <c r="G213" s="133" t="n"/>
      <c r="H213" s="133" t="n"/>
      <c r="I213" s="135">
        <f>IF(OR($A213="",$G213=""),"",IF($H213="VAR","KARŞILIKSIZ",IF($G213&gt;=DusukRiskEsik,"DÜŞÜK",IF($G213&gt;=RiskliSkorEsik,"ORTA",IF($G213&gt;=YuksekRiskEsik,"YÜKSEK","KARŞILIKSIZ")))))</f>
        <v/>
      </c>
      <c r="J213" s="133" t="n"/>
      <c r="K213" s="133" t="n"/>
    </row>
    <row r="214" ht="18" customHeight="1" s="102">
      <c r="A214" s="132" t="n"/>
      <c r="B214" s="133" t="n"/>
      <c r="C214" s="133" t="n"/>
      <c r="D214" s="133" t="n"/>
      <c r="E214" s="133" t="n"/>
      <c r="F214" s="133" t="n"/>
      <c r="G214" s="133" t="n"/>
      <c r="H214" s="133" t="n"/>
      <c r="I214" s="135">
        <f>IF(OR($A214="",$G214=""),"",IF($H214="VAR","KARŞILIKSIZ",IF($G214&gt;=DusukRiskEsik,"DÜŞÜK",IF($G214&gt;=RiskliSkorEsik,"ORTA",IF($G214&gt;=YuksekRiskEsik,"YÜKSEK","KARŞILIKSIZ")))))</f>
        <v/>
      </c>
      <c r="J214" s="133" t="n"/>
      <c r="K214" s="133" t="n"/>
    </row>
    <row r="215" ht="18" customHeight="1" s="102">
      <c r="A215" s="132" t="n"/>
      <c r="B215" s="133" t="n"/>
      <c r="C215" s="133" t="n"/>
      <c r="D215" s="133" t="n"/>
      <c r="E215" s="133" t="n"/>
      <c r="F215" s="133" t="n"/>
      <c r="G215" s="133" t="n"/>
      <c r="H215" s="133" t="n"/>
      <c r="I215" s="135">
        <f>IF(OR($A215="",$G215=""),"",IF($H215="VAR","KARŞILIKSIZ",IF($G215&gt;=DusukRiskEsik,"DÜŞÜK",IF($G215&gt;=RiskliSkorEsik,"ORTA",IF($G215&gt;=YuksekRiskEsik,"YÜKSEK","KARŞILIKSIZ")))))</f>
        <v/>
      </c>
      <c r="J215" s="133" t="n"/>
      <c r="K215" s="133" t="n"/>
    </row>
    <row r="216" ht="18" customHeight="1" s="102">
      <c r="A216" s="132" t="n"/>
      <c r="B216" s="133" t="n"/>
      <c r="C216" s="133" t="n"/>
      <c r="D216" s="133" t="n"/>
      <c r="E216" s="133" t="n"/>
      <c r="F216" s="133" t="n"/>
      <c r="G216" s="133" t="n"/>
      <c r="H216" s="133" t="n"/>
      <c r="I216" s="135">
        <f>IF(OR($A216="",$G216=""),"",IF($H216="VAR","KARŞILIKSIZ",IF($G216&gt;=DusukRiskEsik,"DÜŞÜK",IF($G216&gt;=RiskliSkorEsik,"ORTA",IF($G216&gt;=YuksekRiskEsik,"YÜKSEK","KARŞILIKSIZ")))))</f>
        <v/>
      </c>
      <c r="J216" s="133" t="n"/>
      <c r="K216" s="133" t="n"/>
    </row>
    <row r="217" ht="18" customHeight="1" s="102">
      <c r="A217" s="132" t="n"/>
      <c r="B217" s="133" t="n"/>
      <c r="C217" s="133" t="n"/>
      <c r="D217" s="133" t="n"/>
      <c r="E217" s="133" t="n"/>
      <c r="F217" s="133" t="n"/>
      <c r="G217" s="133" t="n"/>
      <c r="H217" s="133" t="n"/>
      <c r="I217" s="135">
        <f>IF(OR($A217="",$G217=""),"",IF($H217="VAR","KARŞILIKSIZ",IF($G217&gt;=DusukRiskEsik,"DÜŞÜK",IF($G217&gt;=RiskliSkorEsik,"ORTA",IF($G217&gt;=YuksekRiskEsik,"YÜKSEK","KARŞILIKSIZ")))))</f>
        <v/>
      </c>
      <c r="J217" s="133" t="n"/>
      <c r="K217" s="133" t="n"/>
    </row>
    <row r="218" ht="18" customHeight="1" s="102">
      <c r="A218" s="132" t="n"/>
      <c r="B218" s="133" t="n"/>
      <c r="C218" s="133" t="n"/>
      <c r="D218" s="133" t="n"/>
      <c r="E218" s="133" t="n"/>
      <c r="F218" s="133" t="n"/>
      <c r="G218" s="133" t="n"/>
      <c r="H218" s="133" t="n"/>
      <c r="I218" s="135">
        <f>IF(OR($A218="",$G218=""),"",IF($H218="VAR","KARŞILIKSIZ",IF($G218&gt;=DusukRiskEsik,"DÜŞÜK",IF($G218&gt;=RiskliSkorEsik,"ORTA",IF($G218&gt;=YuksekRiskEsik,"YÜKSEK","KARŞILIKSIZ")))))</f>
        <v/>
      </c>
      <c r="J218" s="133" t="n"/>
      <c r="K218" s="133" t="n"/>
    </row>
    <row r="219" ht="18" customHeight="1" s="102">
      <c r="A219" s="132" t="n"/>
      <c r="B219" s="133" t="n"/>
      <c r="C219" s="133" t="n"/>
      <c r="D219" s="133" t="n"/>
      <c r="E219" s="133" t="n"/>
      <c r="F219" s="133" t="n"/>
      <c r="G219" s="133" t="n"/>
      <c r="H219" s="133" t="n"/>
      <c r="I219" s="135">
        <f>IF(OR($A219="",$G219=""),"",IF($H219="VAR","KARŞILIKSIZ",IF($G219&gt;=DusukRiskEsik,"DÜŞÜK",IF($G219&gt;=RiskliSkorEsik,"ORTA",IF($G219&gt;=YuksekRiskEsik,"YÜKSEK","KARŞILIKSIZ")))))</f>
        <v/>
      </c>
      <c r="J219" s="133" t="n"/>
      <c r="K219" s="133" t="n"/>
    </row>
    <row r="220" ht="18" customHeight="1" s="102">
      <c r="A220" s="132" t="n"/>
      <c r="B220" s="133" t="n"/>
      <c r="C220" s="133" t="n"/>
      <c r="D220" s="133" t="n"/>
      <c r="E220" s="133" t="n"/>
      <c r="F220" s="133" t="n"/>
      <c r="G220" s="133" t="n"/>
      <c r="H220" s="133" t="n"/>
      <c r="I220" s="135">
        <f>IF(OR($A220="",$G220=""),"",IF($H220="VAR","KARŞILIKSIZ",IF($G220&gt;=DusukRiskEsik,"DÜŞÜK",IF($G220&gt;=RiskliSkorEsik,"ORTA",IF($G220&gt;=YuksekRiskEsik,"YÜKSEK","KARŞILIKSIZ")))))</f>
        <v/>
      </c>
      <c r="J220" s="133" t="n"/>
      <c r="K220" s="133" t="n"/>
    </row>
    <row r="221" ht="18" customHeight="1" s="102">
      <c r="A221" s="132" t="n"/>
      <c r="B221" s="133" t="n"/>
      <c r="C221" s="133" t="n"/>
      <c r="D221" s="133" t="n"/>
      <c r="E221" s="133" t="n"/>
      <c r="F221" s="133" t="n"/>
      <c r="G221" s="133" t="n"/>
      <c r="H221" s="133" t="n"/>
      <c r="I221" s="135">
        <f>IF(OR($A221="",$G221=""),"",IF($H221="VAR","KARŞILIKSIZ",IF($G221&gt;=DusukRiskEsik,"DÜŞÜK",IF($G221&gt;=RiskliSkorEsik,"ORTA",IF($G221&gt;=YuksekRiskEsik,"YÜKSEK","KARŞILIKSIZ")))))</f>
        <v/>
      </c>
      <c r="J221" s="133" t="n"/>
      <c r="K221" s="133" t="n"/>
    </row>
    <row r="222" ht="18" customHeight="1" s="102">
      <c r="A222" s="132" t="n"/>
      <c r="B222" s="133" t="n"/>
      <c r="C222" s="133" t="n"/>
      <c r="D222" s="133" t="n"/>
      <c r="E222" s="133" t="n"/>
      <c r="F222" s="133" t="n"/>
      <c r="G222" s="133" t="n"/>
      <c r="H222" s="133" t="n"/>
      <c r="I222" s="135">
        <f>IF(OR($A222="",$G222=""),"",IF($H222="VAR","KARŞILIKSIZ",IF($G222&gt;=DusukRiskEsik,"DÜŞÜK",IF($G222&gt;=RiskliSkorEsik,"ORTA",IF($G222&gt;=YuksekRiskEsik,"YÜKSEK","KARŞILIKSIZ")))))</f>
        <v/>
      </c>
      <c r="J222" s="133" t="n"/>
      <c r="K222" s="133" t="n"/>
    </row>
    <row r="223" ht="18" customHeight="1" s="102">
      <c r="A223" s="132" t="n"/>
      <c r="B223" s="133" t="n"/>
      <c r="C223" s="133" t="n"/>
      <c r="D223" s="133" t="n"/>
      <c r="E223" s="133" t="n"/>
      <c r="F223" s="133" t="n"/>
      <c r="G223" s="133" t="n"/>
      <c r="H223" s="133" t="n"/>
      <c r="I223" s="135">
        <f>IF(OR($A223="",$G223=""),"",IF($H223="VAR","KARŞILIKSIZ",IF($G223&gt;=DusukRiskEsik,"DÜŞÜK",IF($G223&gt;=RiskliSkorEsik,"ORTA",IF($G223&gt;=YuksekRiskEsik,"YÜKSEK","KARŞILIKSIZ")))))</f>
        <v/>
      </c>
      <c r="J223" s="133" t="n"/>
      <c r="K223" s="133" t="n"/>
    </row>
    <row r="224" ht="18" customHeight="1" s="102">
      <c r="A224" s="132" t="n"/>
      <c r="B224" s="133" t="n"/>
      <c r="C224" s="133" t="n"/>
      <c r="D224" s="133" t="n"/>
      <c r="E224" s="133" t="n"/>
      <c r="F224" s="133" t="n"/>
      <c r="G224" s="133" t="n"/>
      <c r="H224" s="133" t="n"/>
      <c r="I224" s="135">
        <f>IF(OR($A224="",$G224=""),"",IF($H224="VAR","KARŞILIKSIZ",IF($G224&gt;=DusukRiskEsik,"DÜŞÜK",IF($G224&gt;=RiskliSkorEsik,"ORTA",IF($G224&gt;=YuksekRiskEsik,"YÜKSEK","KARŞILIKSIZ")))))</f>
        <v/>
      </c>
      <c r="J224" s="133" t="n"/>
      <c r="K224" s="133" t="n"/>
    </row>
    <row r="225" ht="18" customHeight="1" s="102">
      <c r="A225" s="132" t="n"/>
      <c r="B225" s="133" t="n"/>
      <c r="C225" s="133" t="n"/>
      <c r="D225" s="133" t="n"/>
      <c r="E225" s="133" t="n"/>
      <c r="F225" s="133" t="n"/>
      <c r="G225" s="133" t="n"/>
      <c r="H225" s="133" t="n"/>
      <c r="I225" s="135">
        <f>IF(OR($A225="",$G225=""),"",IF($H225="VAR","KARŞILIKSIZ",IF($G225&gt;=DusukRiskEsik,"DÜŞÜK",IF($G225&gt;=RiskliSkorEsik,"ORTA",IF($G225&gt;=YuksekRiskEsik,"YÜKSEK","KARŞILIKSIZ")))))</f>
        <v/>
      </c>
      <c r="J225" s="133" t="n"/>
      <c r="K225" s="133" t="n"/>
    </row>
    <row r="226" ht="18" customHeight="1" s="102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5">
        <f>IF(OR($A226="",$G226=""),"",IF($H226="VAR","KARŞILIKSIZ",IF($G226&gt;=DusukRiskEsik,"DÜŞÜK",IF($G226&gt;=RiskliSkorEsik,"ORTA",IF($G226&gt;=YuksekRiskEsik,"YÜKSEK","KARŞILIKSIZ")))))</f>
        <v/>
      </c>
      <c r="J226" s="133" t="n"/>
      <c r="K226" s="133" t="n"/>
    </row>
    <row r="227" ht="18" customHeight="1" s="102">
      <c r="A227" s="132" t="n"/>
      <c r="B227" s="133" t="n"/>
      <c r="C227" s="133" t="n"/>
      <c r="D227" s="133" t="n"/>
      <c r="E227" s="133" t="n"/>
      <c r="F227" s="133" t="n"/>
      <c r="G227" s="133" t="n"/>
      <c r="H227" s="133" t="n"/>
      <c r="I227" s="135">
        <f>IF(OR($A227="",$G227=""),"",IF($H227="VAR","KARŞILIKSIZ",IF($G227&gt;=DusukRiskEsik,"DÜŞÜK",IF($G227&gt;=RiskliSkorEsik,"ORTA",IF($G227&gt;=YuksekRiskEsik,"YÜKSEK","KARŞILIKSIZ")))))</f>
        <v/>
      </c>
      <c r="J227" s="133" t="n"/>
      <c r="K227" s="133" t="n"/>
    </row>
    <row r="228" ht="18" customHeight="1" s="102">
      <c r="A228" s="132" t="n"/>
      <c r="B228" s="133" t="n"/>
      <c r="C228" s="133" t="n"/>
      <c r="D228" s="133" t="n"/>
      <c r="E228" s="133" t="n"/>
      <c r="F228" s="133" t="n"/>
      <c r="G228" s="133" t="n"/>
      <c r="H228" s="133" t="n"/>
      <c r="I228" s="135">
        <f>IF(OR($A228="",$G228=""),"",IF($H228="VAR","KARŞILIKSIZ",IF($G228&gt;=DusukRiskEsik,"DÜŞÜK",IF($G228&gt;=RiskliSkorEsik,"ORTA",IF($G228&gt;=YuksekRiskEsik,"YÜKSEK","KARŞILIKSIZ")))))</f>
        <v/>
      </c>
      <c r="J228" s="133" t="n"/>
      <c r="K228" s="133" t="n"/>
    </row>
    <row r="229" ht="18" customHeight="1" s="102">
      <c r="A229" s="132" t="n"/>
      <c r="B229" s="133" t="n"/>
      <c r="C229" s="133" t="n"/>
      <c r="D229" s="133" t="n"/>
      <c r="E229" s="133" t="n"/>
      <c r="F229" s="133" t="n"/>
      <c r="G229" s="133" t="n"/>
      <c r="H229" s="133" t="n"/>
      <c r="I229" s="135">
        <f>IF(OR($A229="",$G229=""),"",IF($H229="VAR","KARŞILIKSIZ",IF($G229&gt;=DusukRiskEsik,"DÜŞÜK",IF($G229&gt;=RiskliSkorEsik,"ORTA",IF($G229&gt;=YuksekRiskEsik,"YÜKSEK","KARŞILIKSIZ")))))</f>
        <v/>
      </c>
      <c r="J229" s="133" t="n"/>
      <c r="K229" s="133" t="n"/>
    </row>
    <row r="230" ht="18" customHeight="1" s="102">
      <c r="A230" s="132" t="n"/>
      <c r="B230" s="133" t="n"/>
      <c r="C230" s="133" t="n"/>
      <c r="D230" s="133" t="n"/>
      <c r="E230" s="133" t="n"/>
      <c r="F230" s="133" t="n"/>
      <c r="G230" s="133" t="n"/>
      <c r="H230" s="133" t="n"/>
      <c r="I230" s="135">
        <f>IF(OR($A230="",$G230=""),"",IF($H230="VAR","KARŞILIKSIZ",IF($G230&gt;=DusukRiskEsik,"DÜŞÜK",IF($G230&gt;=RiskliSkorEsik,"ORTA",IF($G230&gt;=YuksekRiskEsik,"YÜKSEK","KARŞILIKSIZ")))))</f>
        <v/>
      </c>
      <c r="J230" s="133" t="n"/>
      <c r="K230" s="133" t="n"/>
    </row>
    <row r="231" ht="18" customHeight="1" s="102">
      <c r="A231" s="132" t="n"/>
      <c r="B231" s="133" t="n"/>
      <c r="C231" s="133" t="n"/>
      <c r="D231" s="133" t="n"/>
      <c r="E231" s="133" t="n"/>
      <c r="F231" s="133" t="n"/>
      <c r="G231" s="133" t="n"/>
      <c r="H231" s="133" t="n"/>
      <c r="I231" s="135">
        <f>IF(OR($A231="",$G231=""),"",IF($H231="VAR","KARŞILIKSIZ",IF($G231&gt;=DusukRiskEsik,"DÜŞÜK",IF($G231&gt;=RiskliSkorEsik,"ORTA",IF($G231&gt;=YuksekRiskEsik,"YÜKSEK","KARŞILIKSIZ")))))</f>
        <v/>
      </c>
      <c r="J231" s="133" t="n"/>
      <c r="K231" s="133" t="n"/>
    </row>
    <row r="232" ht="18" customHeight="1" s="102">
      <c r="A232" s="132" t="n"/>
      <c r="B232" s="133" t="n"/>
      <c r="C232" s="133" t="n"/>
      <c r="D232" s="133" t="n"/>
      <c r="E232" s="133" t="n"/>
      <c r="F232" s="133" t="n"/>
      <c r="G232" s="133" t="n"/>
      <c r="H232" s="133" t="n"/>
      <c r="I232" s="135">
        <f>IF(OR($A232="",$G232=""),"",IF($H232="VAR","KARŞILIKSIZ",IF($G232&gt;=DusukRiskEsik,"DÜŞÜK",IF($G232&gt;=RiskliSkorEsik,"ORTA",IF($G232&gt;=YuksekRiskEsik,"YÜKSEK","KARŞILIKSIZ")))))</f>
        <v/>
      </c>
      <c r="J232" s="133" t="n"/>
      <c r="K232" s="133" t="n"/>
    </row>
    <row r="233" ht="18" customHeight="1" s="102">
      <c r="A233" s="132" t="n"/>
      <c r="B233" s="133" t="n"/>
      <c r="C233" s="133" t="n"/>
      <c r="D233" s="133" t="n"/>
      <c r="E233" s="133" t="n"/>
      <c r="F233" s="133" t="n"/>
      <c r="G233" s="133" t="n"/>
      <c r="H233" s="133" t="n"/>
      <c r="I233" s="135">
        <f>IF(OR($A233="",$G233=""),"",IF($H233="VAR","KARŞILIKSIZ",IF($G233&gt;=DusukRiskEsik,"DÜŞÜK",IF($G233&gt;=RiskliSkorEsik,"ORTA",IF($G233&gt;=YuksekRiskEsik,"YÜKSEK","KARŞILIKSIZ")))))</f>
        <v/>
      </c>
      <c r="J233" s="133" t="n"/>
      <c r="K233" s="133" t="n"/>
    </row>
    <row r="234" ht="18" customHeight="1" s="102">
      <c r="A234" s="132" t="n"/>
      <c r="B234" s="133" t="n"/>
      <c r="C234" s="133" t="n"/>
      <c r="D234" s="133" t="n"/>
      <c r="E234" s="133" t="n"/>
      <c r="F234" s="133" t="n"/>
      <c r="G234" s="133" t="n"/>
      <c r="H234" s="133" t="n"/>
      <c r="I234" s="135">
        <f>IF(OR($A234="",$G234=""),"",IF($H234="VAR","KARŞILIKSIZ",IF($G234&gt;=DusukRiskEsik,"DÜŞÜK",IF($G234&gt;=RiskliSkorEsik,"ORTA",IF($G234&gt;=YuksekRiskEsik,"YÜKSEK","KARŞILIKSIZ")))))</f>
        <v/>
      </c>
      <c r="J234" s="133" t="n"/>
      <c r="K234" s="133" t="n"/>
    </row>
    <row r="235" ht="18" customHeight="1" s="102">
      <c r="A235" s="132" t="n"/>
      <c r="B235" s="133" t="n"/>
      <c r="C235" s="133" t="n"/>
      <c r="D235" s="133" t="n"/>
      <c r="E235" s="133" t="n"/>
      <c r="F235" s="133" t="n"/>
      <c r="G235" s="133" t="n"/>
      <c r="H235" s="133" t="n"/>
      <c r="I235" s="135">
        <f>IF(OR($A235="",$G235=""),"",IF($H235="VAR","KARŞILIKSIZ",IF($G235&gt;=DusukRiskEsik,"DÜŞÜK",IF($G235&gt;=RiskliSkorEsik,"ORTA",IF($G235&gt;=YuksekRiskEsik,"YÜKSEK","KARŞILIKSIZ")))))</f>
        <v/>
      </c>
      <c r="J235" s="133" t="n"/>
      <c r="K235" s="133" t="n"/>
    </row>
    <row r="236" ht="18" customHeight="1" s="102">
      <c r="A236" s="132" t="n"/>
      <c r="B236" s="133" t="n"/>
      <c r="C236" s="133" t="n"/>
      <c r="D236" s="133" t="n"/>
      <c r="E236" s="133" t="n"/>
      <c r="F236" s="133" t="n"/>
      <c r="G236" s="133" t="n"/>
      <c r="H236" s="133" t="n"/>
      <c r="I236" s="135">
        <f>IF(OR($A236="",$G236=""),"",IF($H236="VAR","KARŞILIKSIZ",IF($G236&gt;=DusukRiskEsik,"DÜŞÜK",IF($G236&gt;=RiskliSkorEsik,"ORTA",IF($G236&gt;=YuksekRiskEsik,"YÜKSEK","KARŞILIKSIZ")))))</f>
        <v/>
      </c>
      <c r="J236" s="133" t="n"/>
      <c r="K236" s="133" t="n"/>
    </row>
    <row r="237" ht="18" customHeight="1" s="102">
      <c r="A237" s="132" t="n"/>
      <c r="B237" s="133" t="n"/>
      <c r="C237" s="133" t="n"/>
      <c r="D237" s="133" t="n"/>
      <c r="E237" s="133" t="n"/>
      <c r="F237" s="133" t="n"/>
      <c r="G237" s="133" t="n"/>
      <c r="H237" s="133" t="n"/>
      <c r="I237" s="135">
        <f>IF(OR($A237="",$G237=""),"",IF($H237="VAR","KARŞILIKSIZ",IF($G237&gt;=DusukRiskEsik,"DÜŞÜK",IF($G237&gt;=RiskliSkorEsik,"ORTA",IF($G237&gt;=YuksekRiskEsik,"YÜKSEK","KARŞILIKSIZ")))))</f>
        <v/>
      </c>
      <c r="J237" s="133" t="n"/>
      <c r="K237" s="133" t="n"/>
    </row>
    <row r="238" ht="18" customHeight="1" s="102">
      <c r="A238" s="132" t="n"/>
      <c r="B238" s="133" t="n"/>
      <c r="C238" s="133" t="n"/>
      <c r="D238" s="133" t="n"/>
      <c r="E238" s="133" t="n"/>
      <c r="F238" s="133" t="n"/>
      <c r="G238" s="133" t="n"/>
      <c r="H238" s="133" t="n"/>
      <c r="I238" s="135">
        <f>IF(OR($A238="",$G238=""),"",IF($H238="VAR","KARŞILIKSIZ",IF($G238&gt;=DusukRiskEsik,"DÜŞÜK",IF($G238&gt;=RiskliSkorEsik,"ORTA",IF($G238&gt;=YuksekRiskEsik,"YÜKSEK","KARŞILIKSIZ")))))</f>
        <v/>
      </c>
      <c r="J238" s="133" t="n"/>
      <c r="K238" s="133" t="n"/>
    </row>
    <row r="239" ht="18" customHeight="1" s="102">
      <c r="A239" s="132" t="n"/>
      <c r="B239" s="133" t="n"/>
      <c r="C239" s="133" t="n"/>
      <c r="D239" s="133" t="n"/>
      <c r="E239" s="133" t="n"/>
      <c r="F239" s="133" t="n"/>
      <c r="G239" s="133" t="n"/>
      <c r="H239" s="133" t="n"/>
      <c r="I239" s="135">
        <f>IF(OR($A239="",$G239=""),"",IF($H239="VAR","KARŞILIKSIZ",IF($G239&gt;=DusukRiskEsik,"DÜŞÜK",IF($G239&gt;=RiskliSkorEsik,"ORTA",IF($G239&gt;=YuksekRiskEsik,"YÜKSEK","KARŞILIKSIZ")))))</f>
        <v/>
      </c>
      <c r="J239" s="133" t="n"/>
      <c r="K239" s="133" t="n"/>
    </row>
    <row r="240" ht="18" customHeight="1" s="102">
      <c r="A240" s="132" t="n"/>
      <c r="B240" s="133" t="n"/>
      <c r="C240" s="133" t="n"/>
      <c r="D240" s="133" t="n"/>
      <c r="E240" s="133" t="n"/>
      <c r="F240" s="133" t="n"/>
      <c r="G240" s="133" t="n"/>
      <c r="H240" s="133" t="n"/>
      <c r="I240" s="135">
        <f>IF(OR($A240="",$G240=""),"",IF($H240="VAR","KARŞILIKSIZ",IF($G240&gt;=DusukRiskEsik,"DÜŞÜK",IF($G240&gt;=RiskliSkorEsik,"ORTA",IF($G240&gt;=YuksekRiskEsik,"YÜKSEK","KARŞILIKSIZ")))))</f>
        <v/>
      </c>
      <c r="J240" s="133" t="n"/>
      <c r="K240" s="133" t="n"/>
    </row>
    <row r="241" ht="18" customHeight="1" s="102">
      <c r="A241" s="132" t="n"/>
      <c r="B241" s="133" t="n"/>
      <c r="C241" s="133" t="n"/>
      <c r="D241" s="133" t="n"/>
      <c r="E241" s="133" t="n"/>
      <c r="F241" s="133" t="n"/>
      <c r="G241" s="133" t="n"/>
      <c r="H241" s="133" t="n"/>
      <c r="I241" s="135">
        <f>IF(OR($A241="",$G241=""),"",IF($H241="VAR","KARŞILIKSIZ",IF($G241&gt;=DusukRiskEsik,"DÜŞÜK",IF($G241&gt;=RiskliSkorEsik,"ORTA",IF($G241&gt;=YuksekRiskEsik,"YÜKSEK","KARŞILIKSIZ")))))</f>
        <v/>
      </c>
      <c r="J241" s="133" t="n"/>
      <c r="K241" s="133" t="n"/>
    </row>
    <row r="242" ht="18" customHeight="1" s="102">
      <c r="A242" s="132" t="n"/>
      <c r="B242" s="133" t="n"/>
      <c r="C242" s="133" t="n"/>
      <c r="D242" s="133" t="n"/>
      <c r="E242" s="133" t="n"/>
      <c r="F242" s="133" t="n"/>
      <c r="G242" s="133" t="n"/>
      <c r="H242" s="133" t="n"/>
      <c r="I242" s="135">
        <f>IF(OR($A242="",$G242=""),"",IF($H242="VAR","KARŞILIKSIZ",IF($G242&gt;=DusukRiskEsik,"DÜŞÜK",IF($G242&gt;=RiskliSkorEsik,"ORTA",IF($G242&gt;=YuksekRiskEsik,"YÜKSEK","KARŞILIKSIZ")))))</f>
        <v/>
      </c>
      <c r="J242" s="133" t="n"/>
      <c r="K242" s="133" t="n"/>
    </row>
    <row r="243" ht="18" customHeight="1" s="102">
      <c r="A243" s="132" t="n"/>
      <c r="B243" s="133" t="n"/>
      <c r="C243" s="133" t="n"/>
      <c r="D243" s="133" t="n"/>
      <c r="E243" s="133" t="n"/>
      <c r="F243" s="133" t="n"/>
      <c r="G243" s="133" t="n"/>
      <c r="H243" s="133" t="n"/>
      <c r="I243" s="135">
        <f>IF(OR($A243="",$G243=""),"",IF($H243="VAR","KARŞILIKSIZ",IF($G243&gt;=DusukRiskEsik,"DÜŞÜK",IF($G243&gt;=RiskliSkorEsik,"ORTA",IF($G243&gt;=YuksekRiskEsik,"YÜKSEK","KARŞILIKSIZ")))))</f>
        <v/>
      </c>
      <c r="J243" s="133" t="n"/>
      <c r="K243" s="133" t="n"/>
    </row>
    <row r="244" ht="18" customHeight="1" s="102">
      <c r="A244" s="132" t="n"/>
      <c r="B244" s="133" t="n"/>
      <c r="C244" s="133" t="n"/>
      <c r="D244" s="133" t="n"/>
      <c r="E244" s="133" t="n"/>
      <c r="F244" s="133" t="n"/>
      <c r="G244" s="133" t="n"/>
      <c r="H244" s="133" t="n"/>
      <c r="I244" s="135">
        <f>IF(OR($A244="",$G244=""),"",IF($H244="VAR","KARŞILIKSIZ",IF($G244&gt;=DusukRiskEsik,"DÜŞÜK",IF($G244&gt;=RiskliSkorEsik,"ORTA",IF($G244&gt;=YuksekRiskEsik,"YÜKSEK","KARŞILIKSIZ")))))</f>
        <v/>
      </c>
      <c r="J244" s="133" t="n"/>
      <c r="K244" s="133" t="n"/>
    </row>
    <row r="245" ht="18" customHeight="1" s="102">
      <c r="A245" s="132" t="n"/>
      <c r="B245" s="133" t="n"/>
      <c r="C245" s="133" t="n"/>
      <c r="D245" s="133" t="n"/>
      <c r="E245" s="133" t="n"/>
      <c r="F245" s="133" t="n"/>
      <c r="G245" s="133" t="n"/>
      <c r="H245" s="133" t="n"/>
      <c r="I245" s="135">
        <f>IF(OR($A245="",$G245=""),"",IF($H245="VAR","KARŞILIKSIZ",IF($G245&gt;=DusukRiskEsik,"DÜŞÜK",IF($G245&gt;=RiskliSkorEsik,"ORTA",IF($G245&gt;=YuksekRiskEsik,"YÜKSEK","KARŞILIKSIZ")))))</f>
        <v/>
      </c>
      <c r="J245" s="133" t="n"/>
      <c r="K245" s="133" t="n"/>
    </row>
    <row r="246" ht="18" customHeight="1" s="102">
      <c r="A246" s="132" t="n"/>
      <c r="B246" s="133" t="n"/>
      <c r="C246" s="133" t="n"/>
      <c r="D246" s="133" t="n"/>
      <c r="E246" s="133" t="n"/>
      <c r="F246" s="133" t="n"/>
      <c r="G246" s="133" t="n"/>
      <c r="H246" s="133" t="n"/>
      <c r="I246" s="135">
        <f>IF(OR($A246="",$G246=""),"",IF($H246="VAR","KARŞILIKSIZ",IF($G246&gt;=DusukRiskEsik,"DÜŞÜK",IF($G246&gt;=RiskliSkorEsik,"ORTA",IF($G246&gt;=YuksekRiskEsik,"YÜKSEK","KARŞILIKSIZ")))))</f>
        <v/>
      </c>
      <c r="J246" s="133" t="n"/>
      <c r="K246" s="133" t="n"/>
    </row>
    <row r="247" ht="18" customHeight="1" s="102">
      <c r="A247" s="132" t="n"/>
      <c r="B247" s="133" t="n"/>
      <c r="C247" s="133" t="n"/>
      <c r="D247" s="133" t="n"/>
      <c r="E247" s="133" t="n"/>
      <c r="F247" s="133" t="n"/>
      <c r="G247" s="133" t="n"/>
      <c r="H247" s="133" t="n"/>
      <c r="I247" s="135">
        <f>IF(OR($A247="",$G247=""),"",IF($H247="VAR","KARŞILIKSIZ",IF($G247&gt;=DusukRiskEsik,"DÜŞÜK",IF($G247&gt;=RiskliSkorEsik,"ORTA",IF($G247&gt;=YuksekRiskEsik,"YÜKSEK","KARŞILIKSIZ")))))</f>
        <v/>
      </c>
      <c r="J247" s="133" t="n"/>
      <c r="K247" s="133" t="n"/>
    </row>
    <row r="248" ht="18" customHeight="1" s="102">
      <c r="A248" s="132" t="n"/>
      <c r="B248" s="133" t="n"/>
      <c r="C248" s="133" t="n"/>
      <c r="D248" s="133" t="n"/>
      <c r="E248" s="133" t="n"/>
      <c r="F248" s="133" t="n"/>
      <c r="G248" s="133" t="n"/>
      <c r="H248" s="133" t="n"/>
      <c r="I248" s="135">
        <f>IF(OR($A248="",$G248=""),"",IF($H248="VAR","KARŞILIKSIZ",IF($G248&gt;=DusukRiskEsik,"DÜŞÜK",IF($G248&gt;=RiskliSkorEsik,"ORTA",IF($G248&gt;=YuksekRiskEsik,"YÜKSEK","KARŞILIKSIZ")))))</f>
        <v/>
      </c>
      <c r="J248" s="133" t="n"/>
      <c r="K248" s="133" t="n"/>
    </row>
    <row r="249" ht="18" customHeight="1" s="102">
      <c r="A249" s="132" t="n"/>
      <c r="B249" s="133" t="n"/>
      <c r="C249" s="133" t="n"/>
      <c r="D249" s="133" t="n"/>
      <c r="E249" s="133" t="n"/>
      <c r="F249" s="133" t="n"/>
      <c r="G249" s="133" t="n"/>
      <c r="H249" s="133" t="n"/>
      <c r="I249" s="135">
        <f>IF(OR($A249="",$G249=""),"",IF($H249="VAR","KARŞILIKSIZ",IF($G249&gt;=DusukRiskEsik,"DÜŞÜK",IF($G249&gt;=RiskliSkorEsik,"ORTA",IF($G249&gt;=YuksekRiskEsik,"YÜKSEK","KARŞILIKSIZ")))))</f>
        <v/>
      </c>
      <c r="J249" s="133" t="n"/>
      <c r="K249" s="133" t="n"/>
    </row>
    <row r="250" ht="18" customHeight="1" s="102">
      <c r="A250" s="132" t="n"/>
      <c r="B250" s="133" t="n"/>
      <c r="C250" s="133" t="n"/>
      <c r="D250" s="133" t="n"/>
      <c r="E250" s="133" t="n"/>
      <c r="F250" s="133" t="n"/>
      <c r="G250" s="133" t="n"/>
      <c r="H250" s="133" t="n"/>
      <c r="I250" s="135">
        <f>IF(OR($A250="",$G250=""),"",IF($H250="VAR","KARŞILIKSIZ",IF($G250&gt;=DusukRiskEsik,"DÜŞÜK",IF($G250&gt;=RiskliSkorEsik,"ORTA",IF($G250&gt;=YuksekRiskEsik,"YÜKSEK","KARŞILIKSIZ")))))</f>
        <v/>
      </c>
      <c r="J250" s="133" t="n"/>
      <c r="K250" s="133" t="n"/>
    </row>
    <row r="251" ht="18" customHeight="1" s="102">
      <c r="A251" s="132" t="n"/>
      <c r="B251" s="133" t="n"/>
      <c r="C251" s="133" t="n"/>
      <c r="D251" s="133" t="n"/>
      <c r="E251" s="133" t="n"/>
      <c r="F251" s="133" t="n"/>
      <c r="G251" s="133" t="n"/>
      <c r="H251" s="133" t="n"/>
      <c r="I251" s="135">
        <f>IF(OR($A251="",$G251=""),"",IF($H251="VAR","KARŞILIKSIZ",IF($G251&gt;=DusukRiskEsik,"DÜŞÜK",IF($G251&gt;=RiskliSkorEsik,"ORTA",IF($G251&gt;=YuksekRiskEsik,"YÜKSEK","KARŞILIKSIZ")))))</f>
        <v/>
      </c>
      <c r="J251" s="133" t="n"/>
      <c r="K251" s="133" t="n"/>
    </row>
    <row r="252" ht="18" customHeight="1" s="102">
      <c r="A252" s="132" t="n"/>
      <c r="B252" s="133" t="n"/>
      <c r="C252" s="133" t="n"/>
      <c r="D252" s="133" t="n"/>
      <c r="E252" s="133" t="n"/>
      <c r="F252" s="133" t="n"/>
      <c r="G252" s="133" t="n"/>
      <c r="H252" s="133" t="n"/>
      <c r="I252" s="135">
        <f>IF(OR($A252="",$G252=""),"",IF($H252="VAR","KARŞILIKSIZ",IF($G252&gt;=DusukRiskEsik,"DÜŞÜK",IF($G252&gt;=RiskliSkorEsik,"ORTA",IF($G252&gt;=YuksekRiskEsik,"YÜKSEK","KARŞILIKSIZ")))))</f>
        <v/>
      </c>
      <c r="J252" s="133" t="n"/>
      <c r="K252" s="133" t="n"/>
    </row>
    <row r="253" ht="18" customHeight="1" s="102">
      <c r="A253" s="132" t="n"/>
      <c r="B253" s="133" t="n"/>
      <c r="C253" s="133" t="n"/>
      <c r="D253" s="133" t="n"/>
      <c r="E253" s="133" t="n"/>
      <c r="F253" s="133" t="n"/>
      <c r="G253" s="133" t="n"/>
      <c r="H253" s="133" t="n"/>
      <c r="I253" s="135">
        <f>IF(OR($A253="",$G253=""),"",IF($H253="VAR","KARŞILIKSIZ",IF($G253&gt;=DusukRiskEsik,"DÜŞÜK",IF($G253&gt;=RiskliSkorEsik,"ORTA",IF($G253&gt;=YuksekRiskEsik,"YÜKSEK","KARŞILIKSIZ")))))</f>
        <v/>
      </c>
      <c r="J253" s="133" t="n"/>
      <c r="K253" s="133" t="n"/>
    </row>
    <row r="254" ht="18" customHeight="1" s="102">
      <c r="A254" s="132" t="n"/>
      <c r="B254" s="133" t="n"/>
      <c r="C254" s="133" t="n"/>
      <c r="D254" s="133" t="n"/>
      <c r="E254" s="133" t="n"/>
      <c r="F254" s="133" t="n"/>
      <c r="G254" s="133" t="n"/>
      <c r="H254" s="133" t="n"/>
      <c r="I254" s="135">
        <f>IF(OR($A254="",$G254=""),"",IF($H254="VAR","KARŞILIKSIZ",IF($G254&gt;=DusukRiskEsik,"DÜŞÜK",IF($G254&gt;=RiskliSkorEsik,"ORTA",IF($G254&gt;=YuksekRiskEsik,"YÜKSEK","KARŞILIKSIZ")))))</f>
        <v/>
      </c>
      <c r="J254" s="133" t="n"/>
      <c r="K254" s="133" t="n"/>
    </row>
    <row r="255" ht="18" customHeight="1" s="102">
      <c r="A255" s="132" t="n"/>
      <c r="B255" s="133" t="n"/>
      <c r="C255" s="133" t="n"/>
      <c r="D255" s="133" t="n"/>
      <c r="E255" s="133" t="n"/>
      <c r="F255" s="133" t="n"/>
      <c r="G255" s="133" t="n"/>
      <c r="H255" s="133" t="n"/>
      <c r="I255" s="135">
        <f>IF(OR($A255="",$G255=""),"",IF($H255="VAR","KARŞILIKSIZ",IF($G255&gt;=DusukRiskEsik,"DÜŞÜK",IF($G255&gt;=RiskliSkorEsik,"ORTA",IF($G255&gt;=YuksekRiskEsik,"YÜKSEK","KARŞILIKSIZ")))))</f>
        <v/>
      </c>
      <c r="J255" s="133" t="n"/>
      <c r="K255" s="133" t="n"/>
    </row>
    <row r="256" ht="18" customHeight="1" s="102">
      <c r="A256" s="132" t="n"/>
      <c r="B256" s="133" t="n"/>
      <c r="C256" s="133" t="n"/>
      <c r="D256" s="133" t="n"/>
      <c r="E256" s="133" t="n"/>
      <c r="F256" s="133" t="n"/>
      <c r="G256" s="133" t="n"/>
      <c r="H256" s="133" t="n"/>
      <c r="I256" s="135">
        <f>IF(OR($A256="",$G256=""),"",IF($H256="VAR","KARŞILIKSIZ",IF($G256&gt;=DusukRiskEsik,"DÜŞÜK",IF($G256&gt;=RiskliSkorEsik,"ORTA",IF($G256&gt;=YuksekRiskEsik,"YÜKSEK","KARŞILIKSIZ")))))</f>
        <v/>
      </c>
      <c r="J256" s="133" t="n"/>
      <c r="K256" s="133" t="n"/>
    </row>
    <row r="257" ht="18" customHeight="1" s="102">
      <c r="A257" s="132" t="n"/>
      <c r="B257" s="133" t="n"/>
      <c r="C257" s="133" t="n"/>
      <c r="D257" s="133" t="n"/>
      <c r="E257" s="133" t="n"/>
      <c r="F257" s="133" t="n"/>
      <c r="G257" s="133" t="n"/>
      <c r="H257" s="133" t="n"/>
      <c r="I257" s="135">
        <f>IF(OR($A257="",$G257=""),"",IF($H257="VAR","KARŞILIKSIZ",IF($G257&gt;=DusukRiskEsik,"DÜŞÜK",IF($G257&gt;=RiskliSkorEsik,"ORTA",IF($G257&gt;=YuksekRiskEsik,"YÜKSEK","KARŞILIKSIZ")))))</f>
        <v/>
      </c>
      <c r="J257" s="133" t="n"/>
      <c r="K257" s="133" t="n"/>
    </row>
    <row r="258" ht="18" customHeight="1" s="102">
      <c r="A258" s="132" t="n"/>
      <c r="B258" s="133" t="n"/>
      <c r="C258" s="133" t="n"/>
      <c r="D258" s="133" t="n"/>
      <c r="E258" s="133" t="n"/>
      <c r="F258" s="133" t="n"/>
      <c r="G258" s="133" t="n"/>
      <c r="H258" s="133" t="n"/>
      <c r="I258" s="135">
        <f>IF(OR($A258="",$G258=""),"",IF($H258="VAR","KARŞILIKSIZ",IF($G258&gt;=DusukRiskEsik,"DÜŞÜK",IF($G258&gt;=RiskliSkorEsik,"ORTA",IF($G258&gt;=YuksekRiskEsik,"YÜKSEK","KARŞILIKSIZ")))))</f>
        <v/>
      </c>
      <c r="J258" s="133" t="n"/>
      <c r="K258" s="133" t="n"/>
    </row>
    <row r="259" ht="18" customHeight="1" s="102">
      <c r="A259" s="132" t="n"/>
      <c r="B259" s="133" t="n"/>
      <c r="C259" s="133" t="n"/>
      <c r="D259" s="133" t="n"/>
      <c r="E259" s="133" t="n"/>
      <c r="F259" s="133" t="n"/>
      <c r="G259" s="133" t="n"/>
      <c r="H259" s="133" t="n"/>
      <c r="I259" s="135">
        <f>IF(OR($A259="",$G259=""),"",IF($H259="VAR","KARŞILIKSIZ",IF($G259&gt;=DusukRiskEsik,"DÜŞÜK",IF($G259&gt;=RiskliSkorEsik,"ORTA",IF($G259&gt;=YuksekRiskEsik,"YÜKSEK","KARŞILIKSIZ")))))</f>
        <v/>
      </c>
      <c r="J259" s="133" t="n"/>
      <c r="K259" s="133" t="n"/>
    </row>
    <row r="260" ht="18" customHeight="1" s="102">
      <c r="A260" s="132" t="n"/>
      <c r="B260" s="133" t="n"/>
      <c r="C260" s="133" t="n"/>
      <c r="D260" s="133" t="n"/>
      <c r="E260" s="133" t="n"/>
      <c r="F260" s="133" t="n"/>
      <c r="G260" s="133" t="n"/>
      <c r="H260" s="133" t="n"/>
      <c r="I260" s="135">
        <f>IF(OR($A260="",$G260=""),"",IF($H260="VAR","KARŞILIKSIZ",IF($G260&gt;=DusukRiskEsik,"DÜŞÜK",IF($G260&gt;=RiskliSkorEsik,"ORTA",IF($G260&gt;=YuksekRiskEsik,"YÜKSEK","KARŞILIKSIZ")))))</f>
        <v/>
      </c>
      <c r="J260" s="133" t="n"/>
      <c r="K260" s="133" t="n"/>
    </row>
    <row r="261" ht="18" customHeight="1" s="102">
      <c r="A261" s="132" t="n"/>
      <c r="B261" s="133" t="n"/>
      <c r="C261" s="133" t="n"/>
      <c r="D261" s="133" t="n"/>
      <c r="E261" s="133" t="n"/>
      <c r="F261" s="133" t="n"/>
      <c r="G261" s="133" t="n"/>
      <c r="H261" s="133" t="n"/>
      <c r="I261" s="135">
        <f>IF(OR($A261="",$G261=""),"",IF($H261="VAR","KARŞILIKSIZ",IF($G261&gt;=DusukRiskEsik,"DÜŞÜK",IF($G261&gt;=RiskliSkorEsik,"ORTA",IF($G261&gt;=YuksekRiskEsik,"YÜKSEK","KARŞILIKSIZ")))))</f>
        <v/>
      </c>
      <c r="J261" s="133" t="n"/>
      <c r="K261" s="133" t="n"/>
    </row>
    <row r="262" ht="18" customHeight="1" s="102">
      <c r="A262" s="132" t="n"/>
      <c r="B262" s="133" t="n"/>
      <c r="C262" s="133" t="n"/>
      <c r="D262" s="133" t="n"/>
      <c r="E262" s="133" t="n"/>
      <c r="F262" s="133" t="n"/>
      <c r="G262" s="133" t="n"/>
      <c r="H262" s="133" t="n"/>
      <c r="I262" s="135">
        <f>IF(OR($A262="",$G262=""),"",IF($H262="VAR","KARŞILIKSIZ",IF($G262&gt;=DusukRiskEsik,"DÜŞÜK",IF($G262&gt;=RiskliSkorEsik,"ORTA",IF($G262&gt;=YuksekRiskEsik,"YÜKSEK","KARŞILIKSIZ")))))</f>
        <v/>
      </c>
      <c r="J262" s="133" t="n"/>
      <c r="K262" s="133" t="n"/>
    </row>
    <row r="263" ht="18" customHeight="1" s="102">
      <c r="A263" s="132" t="n"/>
      <c r="B263" s="133" t="n"/>
      <c r="C263" s="133" t="n"/>
      <c r="D263" s="133" t="n"/>
      <c r="E263" s="133" t="n"/>
      <c r="F263" s="133" t="n"/>
      <c r="G263" s="133" t="n"/>
      <c r="H263" s="133" t="n"/>
      <c r="I263" s="135">
        <f>IF(OR($A263="",$G263=""),"",IF($H263="VAR","KARŞILIKSIZ",IF($G263&gt;=DusukRiskEsik,"DÜŞÜK",IF($G263&gt;=RiskliSkorEsik,"ORTA",IF($G263&gt;=YuksekRiskEsik,"YÜKSEK","KARŞILIKSIZ")))))</f>
        <v/>
      </c>
      <c r="J263" s="133" t="n"/>
      <c r="K263" s="133" t="n"/>
    </row>
    <row r="264" ht="18" customHeight="1" s="102">
      <c r="A264" s="132" t="n"/>
      <c r="B264" s="133" t="n"/>
      <c r="C264" s="133" t="n"/>
      <c r="D264" s="133" t="n"/>
      <c r="E264" s="133" t="n"/>
      <c r="F264" s="133" t="n"/>
      <c r="G264" s="133" t="n"/>
      <c r="H264" s="133" t="n"/>
      <c r="I264" s="135">
        <f>IF(OR($A264="",$G264=""),"",IF($H264="VAR","KARŞILIKSIZ",IF($G264&gt;=DusukRiskEsik,"DÜŞÜK",IF($G264&gt;=RiskliSkorEsik,"ORTA",IF($G264&gt;=YuksekRiskEsik,"YÜKSEK","KARŞILIKSIZ")))))</f>
        <v/>
      </c>
      <c r="J264" s="133" t="n"/>
      <c r="K264" s="133" t="n"/>
    </row>
    <row r="265" ht="18" customHeight="1" s="102">
      <c r="A265" s="132" t="n"/>
      <c r="B265" s="133" t="n"/>
      <c r="C265" s="133" t="n"/>
      <c r="D265" s="133" t="n"/>
      <c r="E265" s="133" t="n"/>
      <c r="F265" s="133" t="n"/>
      <c r="G265" s="133" t="n"/>
      <c r="H265" s="133" t="n"/>
      <c r="I265" s="135">
        <f>IF(OR($A265="",$G265=""),"",IF($H265="VAR","KARŞILIKSIZ",IF($G265&gt;=DusukRiskEsik,"DÜŞÜK",IF($G265&gt;=RiskliSkorEsik,"ORTA",IF($G265&gt;=YuksekRiskEsik,"YÜKSEK","KARŞILIKSIZ")))))</f>
        <v/>
      </c>
      <c r="J265" s="133" t="n"/>
      <c r="K265" s="133" t="n"/>
    </row>
    <row r="266" ht="18" customHeight="1" s="102">
      <c r="A266" s="132" t="n"/>
      <c r="B266" s="133" t="n"/>
      <c r="C266" s="133" t="n"/>
      <c r="D266" s="133" t="n"/>
      <c r="E266" s="133" t="n"/>
      <c r="F266" s="133" t="n"/>
      <c r="G266" s="133" t="n"/>
      <c r="H266" s="133" t="n"/>
      <c r="I266" s="135">
        <f>IF(OR($A266="",$G266=""),"",IF($H266="VAR","KARŞILIKSIZ",IF($G266&gt;=DusukRiskEsik,"DÜŞÜK",IF($G266&gt;=RiskliSkorEsik,"ORTA",IF($G266&gt;=YuksekRiskEsik,"YÜKSEK","KARŞILIKSIZ")))))</f>
        <v/>
      </c>
      <c r="J266" s="133" t="n"/>
      <c r="K266" s="133" t="n"/>
    </row>
    <row r="267" ht="18" customHeight="1" s="102">
      <c r="A267" s="132" t="n"/>
      <c r="B267" s="133" t="n"/>
      <c r="C267" s="133" t="n"/>
      <c r="D267" s="133" t="n"/>
      <c r="E267" s="133" t="n"/>
      <c r="F267" s="133" t="n"/>
      <c r="G267" s="133" t="n"/>
      <c r="H267" s="133" t="n"/>
      <c r="I267" s="135">
        <f>IF(OR($A267="",$G267=""),"",IF($H267="VAR","KARŞILIKSIZ",IF($G267&gt;=DusukRiskEsik,"DÜŞÜK",IF($G267&gt;=RiskliSkorEsik,"ORTA",IF($G267&gt;=YuksekRiskEsik,"YÜKSEK","KARŞILIKSIZ")))))</f>
        <v/>
      </c>
      <c r="J267" s="133" t="n"/>
      <c r="K267" s="133" t="n"/>
    </row>
    <row r="268" ht="18" customHeight="1" s="102">
      <c r="A268" s="132" t="n"/>
      <c r="B268" s="133" t="n"/>
      <c r="C268" s="133" t="n"/>
      <c r="D268" s="133" t="n"/>
      <c r="E268" s="133" t="n"/>
      <c r="F268" s="133" t="n"/>
      <c r="G268" s="133" t="n"/>
      <c r="H268" s="133" t="n"/>
      <c r="I268" s="135">
        <f>IF(OR($A268="",$G268=""),"",IF($H268="VAR","KARŞILIKSIZ",IF($G268&gt;=DusukRiskEsik,"DÜŞÜK",IF($G268&gt;=RiskliSkorEsik,"ORTA",IF($G268&gt;=YuksekRiskEsik,"YÜKSEK","KARŞILIKSIZ")))))</f>
        <v/>
      </c>
      <c r="J268" s="133" t="n"/>
      <c r="K268" s="133" t="n"/>
    </row>
    <row r="269" ht="18" customHeight="1" s="102">
      <c r="A269" s="132" t="n"/>
      <c r="B269" s="133" t="n"/>
      <c r="C269" s="133" t="n"/>
      <c r="D269" s="133" t="n"/>
      <c r="E269" s="133" t="n"/>
      <c r="F269" s="133" t="n"/>
      <c r="G269" s="133" t="n"/>
      <c r="H269" s="133" t="n"/>
      <c r="I269" s="135">
        <f>IF(OR($A269="",$G269=""),"",IF($H269="VAR","KARŞILIKSIZ",IF($G269&gt;=DusukRiskEsik,"DÜŞÜK",IF($G269&gt;=RiskliSkorEsik,"ORTA",IF($G269&gt;=YuksekRiskEsik,"YÜKSEK","KARŞILIKSIZ")))))</f>
        <v/>
      </c>
      <c r="J269" s="133" t="n"/>
      <c r="K269" s="133" t="n"/>
    </row>
    <row r="270" ht="18" customHeight="1" s="102">
      <c r="A270" s="132" t="n"/>
      <c r="B270" s="133" t="n"/>
      <c r="C270" s="133" t="n"/>
      <c r="D270" s="133" t="n"/>
      <c r="E270" s="133" t="n"/>
      <c r="F270" s="133" t="n"/>
      <c r="G270" s="133" t="n"/>
      <c r="H270" s="133" t="n"/>
      <c r="I270" s="135">
        <f>IF(OR($A270="",$G270=""),"",IF($H270="VAR","KARŞILIKSIZ",IF($G270&gt;=DusukRiskEsik,"DÜŞÜK",IF($G270&gt;=RiskliSkorEsik,"ORTA",IF($G270&gt;=YuksekRiskEsik,"YÜKSEK","KARŞILIKSIZ")))))</f>
        <v/>
      </c>
      <c r="J270" s="133" t="n"/>
      <c r="K270" s="133" t="n"/>
    </row>
    <row r="271" ht="18" customHeight="1" s="102">
      <c r="A271" s="132" t="n"/>
      <c r="B271" s="133" t="n"/>
      <c r="C271" s="133" t="n"/>
      <c r="D271" s="133" t="n"/>
      <c r="E271" s="133" t="n"/>
      <c r="F271" s="133" t="n"/>
      <c r="G271" s="133" t="n"/>
      <c r="H271" s="133" t="n"/>
      <c r="I271" s="135">
        <f>IF(OR($A271="",$G271=""),"",IF($H271="VAR","KARŞILIKSIZ",IF($G271&gt;=DusukRiskEsik,"DÜŞÜK",IF($G271&gt;=RiskliSkorEsik,"ORTA",IF($G271&gt;=YuksekRiskEsik,"YÜKSEK","KARŞILIKSIZ")))))</f>
        <v/>
      </c>
      <c r="J271" s="133" t="n"/>
      <c r="K271" s="133" t="n"/>
    </row>
    <row r="272" ht="18" customHeight="1" s="102">
      <c r="A272" s="132" t="n"/>
      <c r="B272" s="133" t="n"/>
      <c r="C272" s="133" t="n"/>
      <c r="D272" s="133" t="n"/>
      <c r="E272" s="133" t="n"/>
      <c r="F272" s="133" t="n"/>
      <c r="G272" s="133" t="n"/>
      <c r="H272" s="133" t="n"/>
      <c r="I272" s="135">
        <f>IF(OR($A272="",$G272=""),"",IF($H272="VAR","KARŞILIKSIZ",IF($G272&gt;=DusukRiskEsik,"DÜŞÜK",IF($G272&gt;=RiskliSkorEsik,"ORTA",IF($G272&gt;=YuksekRiskEsik,"YÜKSEK","KARŞILIKSIZ")))))</f>
        <v/>
      </c>
      <c r="J272" s="133" t="n"/>
      <c r="K272" s="133" t="n"/>
    </row>
    <row r="273" ht="18" customHeight="1" s="102">
      <c r="A273" s="132" t="n"/>
      <c r="B273" s="133" t="n"/>
      <c r="C273" s="133" t="n"/>
      <c r="D273" s="133" t="n"/>
      <c r="E273" s="133" t="n"/>
      <c r="F273" s="133" t="n"/>
      <c r="G273" s="133" t="n"/>
      <c r="H273" s="133" t="n"/>
      <c r="I273" s="135">
        <f>IF(OR($A273="",$G273=""),"",IF($H273="VAR","KARŞILIKSIZ",IF($G273&gt;=DusukRiskEsik,"DÜŞÜK",IF($G273&gt;=RiskliSkorEsik,"ORTA",IF($G273&gt;=YuksekRiskEsik,"YÜKSEK","KARŞILIKSIZ")))))</f>
        <v/>
      </c>
      <c r="J273" s="133" t="n"/>
      <c r="K273" s="133" t="n"/>
    </row>
    <row r="274" ht="18" customHeight="1" s="102">
      <c r="A274" s="132" t="n"/>
      <c r="B274" s="133" t="n"/>
      <c r="C274" s="133" t="n"/>
      <c r="D274" s="133" t="n"/>
      <c r="E274" s="133" t="n"/>
      <c r="F274" s="133" t="n"/>
      <c r="G274" s="133" t="n"/>
      <c r="H274" s="133" t="n"/>
      <c r="I274" s="135">
        <f>IF(OR($A274="",$G274=""),"",IF($H274="VAR","KARŞILIKSIZ",IF($G274&gt;=DusukRiskEsik,"DÜŞÜK",IF($G274&gt;=RiskliSkorEsik,"ORTA",IF($G274&gt;=YuksekRiskEsik,"YÜKSEK","KARŞILIKSIZ")))))</f>
        <v/>
      </c>
      <c r="J274" s="133" t="n"/>
      <c r="K274" s="133" t="n"/>
    </row>
    <row r="275" ht="18" customHeight="1" s="102">
      <c r="A275" s="132" t="n"/>
      <c r="B275" s="133" t="n"/>
      <c r="C275" s="133" t="n"/>
      <c r="D275" s="133" t="n"/>
      <c r="E275" s="133" t="n"/>
      <c r="F275" s="133" t="n"/>
      <c r="G275" s="133" t="n"/>
      <c r="H275" s="133" t="n"/>
      <c r="I275" s="135">
        <f>IF(OR($A275="",$G275=""),"",IF($H275="VAR","KARŞILIKSIZ",IF($G275&gt;=DusukRiskEsik,"DÜŞÜK",IF($G275&gt;=RiskliSkorEsik,"ORTA",IF($G275&gt;=YuksekRiskEsik,"YÜKSEK","KARŞILIKSIZ")))))</f>
        <v/>
      </c>
      <c r="J275" s="133" t="n"/>
      <c r="K275" s="133" t="n"/>
    </row>
    <row r="276" ht="18" customHeight="1" s="102">
      <c r="A276" s="132" t="n"/>
      <c r="B276" s="133" t="n"/>
      <c r="C276" s="133" t="n"/>
      <c r="D276" s="133" t="n"/>
      <c r="E276" s="133" t="n"/>
      <c r="F276" s="133" t="n"/>
      <c r="G276" s="133" t="n"/>
      <c r="H276" s="133" t="n"/>
      <c r="I276" s="135">
        <f>IF(OR($A276="",$G276=""),"",IF($H276="VAR","KARŞILIKSIZ",IF($G276&gt;=DusukRiskEsik,"DÜŞÜK",IF($G276&gt;=RiskliSkorEsik,"ORTA",IF($G276&gt;=YuksekRiskEsik,"YÜKSEK","KARŞILIKSIZ")))))</f>
        <v/>
      </c>
      <c r="J276" s="133" t="n"/>
      <c r="K276" s="133" t="n"/>
    </row>
    <row r="277" ht="18" customHeight="1" s="102">
      <c r="A277" s="132" t="n"/>
      <c r="B277" s="133" t="n"/>
      <c r="C277" s="133" t="n"/>
      <c r="D277" s="133" t="n"/>
      <c r="E277" s="133" t="n"/>
      <c r="F277" s="133" t="n"/>
      <c r="G277" s="133" t="n"/>
      <c r="H277" s="133" t="n"/>
      <c r="I277" s="135">
        <f>IF(OR($A277="",$G277=""),"",IF($H277="VAR","KARŞILIKSIZ",IF($G277&gt;=DusukRiskEsik,"DÜŞÜK",IF($G277&gt;=RiskliSkorEsik,"ORTA",IF($G277&gt;=YuksekRiskEsik,"YÜKSEK","KARŞILIKSIZ")))))</f>
        <v/>
      </c>
      <c r="J277" s="133" t="n"/>
      <c r="K277" s="133" t="n"/>
    </row>
    <row r="278" ht="18" customHeight="1" s="102">
      <c r="A278" s="132" t="n"/>
      <c r="B278" s="133" t="n"/>
      <c r="C278" s="133" t="n"/>
      <c r="D278" s="133" t="n"/>
      <c r="E278" s="133" t="n"/>
      <c r="F278" s="133" t="n"/>
      <c r="G278" s="133" t="n"/>
      <c r="H278" s="133" t="n"/>
      <c r="I278" s="135">
        <f>IF(OR($A278="",$G278=""),"",IF($H278="VAR","KARŞILIKSIZ",IF($G278&gt;=DusukRiskEsik,"DÜŞÜK",IF($G278&gt;=RiskliSkorEsik,"ORTA",IF($G278&gt;=YuksekRiskEsik,"YÜKSEK","KARŞILIKSIZ")))))</f>
        <v/>
      </c>
      <c r="J278" s="133" t="n"/>
      <c r="K278" s="133" t="n"/>
    </row>
    <row r="279" ht="18" customHeight="1" s="102">
      <c r="A279" s="132" t="n"/>
      <c r="B279" s="133" t="n"/>
      <c r="C279" s="133" t="n"/>
      <c r="D279" s="133" t="n"/>
      <c r="E279" s="133" t="n"/>
      <c r="F279" s="133" t="n"/>
      <c r="G279" s="133" t="n"/>
      <c r="H279" s="133" t="n"/>
      <c r="I279" s="135">
        <f>IF(OR($A279="",$G279=""),"",IF($H279="VAR","KARŞILIKSIZ",IF($G279&gt;=DusukRiskEsik,"DÜŞÜK",IF($G279&gt;=RiskliSkorEsik,"ORTA",IF($G279&gt;=YuksekRiskEsik,"YÜKSEK","KARŞILIKSIZ")))))</f>
        <v/>
      </c>
      <c r="J279" s="133" t="n"/>
      <c r="K279" s="133" t="n"/>
    </row>
    <row r="280" ht="18" customHeight="1" s="102">
      <c r="A280" s="132" t="n"/>
      <c r="B280" s="133" t="n"/>
      <c r="C280" s="133" t="n"/>
      <c r="D280" s="133" t="n"/>
      <c r="E280" s="133" t="n"/>
      <c r="F280" s="133" t="n"/>
      <c r="G280" s="133" t="n"/>
      <c r="H280" s="133" t="n"/>
      <c r="I280" s="135">
        <f>IF(OR($A280="",$G280=""),"",IF($H280="VAR","KARŞILIKSIZ",IF($G280&gt;=DusukRiskEsik,"DÜŞÜK",IF($G280&gt;=RiskliSkorEsik,"ORTA",IF($G280&gt;=YuksekRiskEsik,"YÜKSEK","KARŞILIKSIZ")))))</f>
        <v/>
      </c>
      <c r="J280" s="133" t="n"/>
      <c r="K280" s="133" t="n"/>
    </row>
    <row r="281" ht="18" customHeight="1" s="102">
      <c r="A281" s="132" t="n"/>
      <c r="B281" s="133" t="n"/>
      <c r="C281" s="133" t="n"/>
      <c r="D281" s="133" t="n"/>
      <c r="E281" s="133" t="n"/>
      <c r="F281" s="133" t="n"/>
      <c r="G281" s="133" t="n"/>
      <c r="H281" s="133" t="n"/>
      <c r="I281" s="135">
        <f>IF(OR($A281="",$G281=""),"",IF($H281="VAR","KARŞILIKSIZ",IF($G281&gt;=DusukRiskEsik,"DÜŞÜK",IF($G281&gt;=RiskliSkorEsik,"ORTA",IF($G281&gt;=YuksekRiskEsik,"YÜKSEK","KARŞILIKSIZ")))))</f>
        <v/>
      </c>
      <c r="J281" s="133" t="n"/>
      <c r="K281" s="133" t="n"/>
    </row>
    <row r="282" ht="18" customHeight="1" s="102">
      <c r="A282" s="132" t="n"/>
      <c r="B282" s="133" t="n"/>
      <c r="C282" s="133" t="n"/>
      <c r="D282" s="133" t="n"/>
      <c r="E282" s="133" t="n"/>
      <c r="F282" s="133" t="n"/>
      <c r="G282" s="133" t="n"/>
      <c r="H282" s="133" t="n"/>
      <c r="I282" s="135">
        <f>IF(OR($A282="",$G282=""),"",IF($H282="VAR","KARŞILIKSIZ",IF($G282&gt;=DusukRiskEsik,"DÜŞÜK",IF($G282&gt;=RiskliSkorEsik,"ORTA",IF($G282&gt;=YuksekRiskEsik,"YÜKSEK","KARŞILIKSIZ")))))</f>
        <v/>
      </c>
      <c r="J282" s="133" t="n"/>
      <c r="K282" s="133" t="n"/>
    </row>
    <row r="283" ht="18" customHeight="1" s="102">
      <c r="A283" s="132" t="n"/>
      <c r="B283" s="133" t="n"/>
      <c r="C283" s="133" t="n"/>
      <c r="D283" s="133" t="n"/>
      <c r="E283" s="133" t="n"/>
      <c r="F283" s="133" t="n"/>
      <c r="G283" s="133" t="n"/>
      <c r="H283" s="133" t="n"/>
      <c r="I283" s="135">
        <f>IF(OR($A283="",$G283=""),"",IF($H283="VAR","KARŞILIKSIZ",IF($G283&gt;=DusukRiskEsik,"DÜŞÜK",IF($G283&gt;=RiskliSkorEsik,"ORTA",IF($G283&gt;=YuksekRiskEsik,"YÜKSEK","KARŞILIKSIZ")))))</f>
        <v/>
      </c>
      <c r="J283" s="133" t="n"/>
      <c r="K283" s="133" t="n"/>
    </row>
    <row r="284" ht="18" customHeight="1" s="102">
      <c r="A284" s="132" t="n"/>
      <c r="B284" s="133" t="n"/>
      <c r="C284" s="133" t="n"/>
      <c r="D284" s="133" t="n"/>
      <c r="E284" s="133" t="n"/>
      <c r="F284" s="133" t="n"/>
      <c r="G284" s="133" t="n"/>
      <c r="H284" s="133" t="n"/>
      <c r="I284" s="135">
        <f>IF(OR($A284="",$G284=""),"",IF($H284="VAR","KARŞILIKSIZ",IF($G284&gt;=DusukRiskEsik,"DÜŞÜK",IF($G284&gt;=RiskliSkorEsik,"ORTA",IF($G284&gt;=YuksekRiskEsik,"YÜKSEK","KARŞILIKSIZ")))))</f>
        <v/>
      </c>
      <c r="J284" s="133" t="n"/>
      <c r="K284" s="133" t="n"/>
    </row>
    <row r="285" ht="18" customHeight="1" s="102">
      <c r="A285" s="132" t="n"/>
      <c r="B285" s="133" t="n"/>
      <c r="C285" s="133" t="n"/>
      <c r="D285" s="133" t="n"/>
      <c r="E285" s="133" t="n"/>
      <c r="F285" s="133" t="n"/>
      <c r="G285" s="133" t="n"/>
      <c r="H285" s="133" t="n"/>
      <c r="I285" s="135">
        <f>IF(OR($A285="",$G285=""),"",IF($H285="VAR","KARŞILIKSIZ",IF($G285&gt;=DusukRiskEsik,"DÜŞÜK",IF($G285&gt;=RiskliSkorEsik,"ORTA",IF($G285&gt;=YuksekRiskEsik,"YÜKSEK","KARŞILIKSIZ")))))</f>
        <v/>
      </c>
      <c r="J285" s="133" t="n"/>
      <c r="K285" s="133" t="n"/>
    </row>
    <row r="286" ht="18" customHeight="1" s="102">
      <c r="A286" s="132" t="n"/>
      <c r="B286" s="133" t="n"/>
      <c r="C286" s="133" t="n"/>
      <c r="D286" s="133" t="n"/>
      <c r="E286" s="133" t="n"/>
      <c r="F286" s="133" t="n"/>
      <c r="G286" s="133" t="n"/>
      <c r="H286" s="133" t="n"/>
      <c r="I286" s="135">
        <f>IF(OR($A286="",$G286=""),"",IF($H286="VAR","KARŞILIKSIZ",IF($G286&gt;=DusukRiskEsik,"DÜŞÜK",IF($G286&gt;=RiskliSkorEsik,"ORTA",IF($G286&gt;=YuksekRiskEsik,"YÜKSEK","KARŞILIKSIZ")))))</f>
        <v/>
      </c>
      <c r="J286" s="133" t="n"/>
      <c r="K286" s="133" t="n"/>
    </row>
    <row r="287" ht="18" customHeight="1" s="102">
      <c r="A287" s="132" t="n"/>
      <c r="B287" s="133" t="n"/>
      <c r="C287" s="133" t="n"/>
      <c r="D287" s="133" t="n"/>
      <c r="E287" s="133" t="n"/>
      <c r="F287" s="133" t="n"/>
      <c r="G287" s="133" t="n"/>
      <c r="H287" s="133" t="n"/>
      <c r="I287" s="135">
        <f>IF(OR($A287="",$G287=""),"",IF($H287="VAR","KARŞILIKSIZ",IF($G287&gt;=DusukRiskEsik,"DÜŞÜK",IF($G287&gt;=RiskliSkorEsik,"ORTA",IF($G287&gt;=YuksekRiskEsik,"YÜKSEK","KARŞILIKSIZ")))))</f>
        <v/>
      </c>
      <c r="J287" s="133" t="n"/>
      <c r="K287" s="133" t="n"/>
    </row>
    <row r="288" ht="18" customHeight="1" s="102">
      <c r="A288" s="132" t="n"/>
      <c r="B288" s="133" t="n"/>
      <c r="C288" s="133" t="n"/>
      <c r="D288" s="133" t="n"/>
      <c r="E288" s="133" t="n"/>
      <c r="F288" s="133" t="n"/>
      <c r="G288" s="133" t="n"/>
      <c r="H288" s="133" t="n"/>
      <c r="I288" s="135">
        <f>IF(OR($A288="",$G288=""),"",IF($H288="VAR","KARŞILIKSIZ",IF($G288&gt;=DusukRiskEsik,"DÜŞÜK",IF($G288&gt;=RiskliSkorEsik,"ORTA",IF($G288&gt;=YuksekRiskEsik,"YÜKSEK","KARŞILIKSIZ")))))</f>
        <v/>
      </c>
      <c r="J288" s="133" t="n"/>
      <c r="K288" s="133" t="n"/>
    </row>
    <row r="289" ht="18" customHeight="1" s="102">
      <c r="A289" s="132" t="n"/>
      <c r="B289" s="133" t="n"/>
      <c r="C289" s="133" t="n"/>
      <c r="D289" s="133" t="n"/>
      <c r="E289" s="133" t="n"/>
      <c r="F289" s="133" t="n"/>
      <c r="G289" s="133" t="n"/>
      <c r="H289" s="133" t="n"/>
      <c r="I289" s="135">
        <f>IF(OR($A289="",$G289=""),"",IF($H289="VAR","KARŞILIKSIZ",IF($G289&gt;=DusukRiskEsik,"DÜŞÜK",IF($G289&gt;=RiskliSkorEsik,"ORTA",IF($G289&gt;=YuksekRiskEsik,"YÜKSEK","KARŞILIKSIZ")))))</f>
        <v/>
      </c>
      <c r="J289" s="133" t="n"/>
      <c r="K289" s="133" t="n"/>
    </row>
    <row r="290" ht="18" customHeight="1" s="102">
      <c r="A290" s="132" t="n"/>
      <c r="B290" s="133" t="n"/>
      <c r="C290" s="133" t="n"/>
      <c r="D290" s="133" t="n"/>
      <c r="E290" s="133" t="n"/>
      <c r="F290" s="133" t="n"/>
      <c r="G290" s="133" t="n"/>
      <c r="H290" s="133" t="n"/>
      <c r="I290" s="135">
        <f>IF(OR($A290="",$G290=""),"",IF($H290="VAR","KARŞILIKSIZ",IF($G290&gt;=DusukRiskEsik,"DÜŞÜK",IF($G290&gt;=RiskliSkorEsik,"ORTA",IF($G290&gt;=YuksekRiskEsik,"YÜKSEK","KARŞILIKSIZ")))))</f>
        <v/>
      </c>
      <c r="J290" s="133" t="n"/>
      <c r="K290" s="133" t="n"/>
    </row>
    <row r="291" ht="18" customHeight="1" s="102">
      <c r="A291" s="132" t="n"/>
      <c r="B291" s="133" t="n"/>
      <c r="C291" s="133" t="n"/>
      <c r="D291" s="133" t="n"/>
      <c r="E291" s="133" t="n"/>
      <c r="F291" s="133" t="n"/>
      <c r="G291" s="133" t="n"/>
      <c r="H291" s="133" t="n"/>
      <c r="I291" s="135">
        <f>IF(OR($A291="",$G291=""),"",IF($H291="VAR","KARŞILIKSIZ",IF($G291&gt;=DusukRiskEsik,"DÜŞÜK",IF($G291&gt;=RiskliSkorEsik,"ORTA",IF($G291&gt;=YuksekRiskEsik,"YÜKSEK","KARŞILIKSIZ")))))</f>
        <v/>
      </c>
      <c r="J291" s="133" t="n"/>
      <c r="K291" s="133" t="n"/>
    </row>
    <row r="292" ht="18" customHeight="1" s="102">
      <c r="A292" s="132" t="n"/>
      <c r="B292" s="133" t="n"/>
      <c r="C292" s="133" t="n"/>
      <c r="D292" s="133" t="n"/>
      <c r="E292" s="133" t="n"/>
      <c r="F292" s="133" t="n"/>
      <c r="G292" s="133" t="n"/>
      <c r="H292" s="133" t="n"/>
      <c r="I292" s="135">
        <f>IF(OR($A292="",$G292=""),"",IF($H292="VAR","KARŞILIKSIZ",IF($G292&gt;=DusukRiskEsik,"DÜŞÜK",IF($G292&gt;=RiskliSkorEsik,"ORTA",IF($G292&gt;=YuksekRiskEsik,"YÜKSEK","KARŞILIKSIZ")))))</f>
        <v/>
      </c>
      <c r="J292" s="133" t="n"/>
      <c r="K292" s="133" t="n"/>
    </row>
    <row r="293" ht="18" customHeight="1" s="102">
      <c r="A293" s="132" t="n"/>
      <c r="B293" s="133" t="n"/>
      <c r="C293" s="133" t="n"/>
      <c r="D293" s="133" t="n"/>
      <c r="E293" s="133" t="n"/>
      <c r="F293" s="133" t="n"/>
      <c r="G293" s="133" t="n"/>
      <c r="H293" s="133" t="n"/>
      <c r="I293" s="135">
        <f>IF(OR($A293="",$G293=""),"",IF($H293="VAR","KARŞILIKSIZ",IF($G293&gt;=DusukRiskEsik,"DÜŞÜK",IF($G293&gt;=RiskliSkorEsik,"ORTA",IF($G293&gt;=YuksekRiskEsik,"YÜKSEK","KARŞILIKSIZ")))))</f>
        <v/>
      </c>
      <c r="J293" s="133" t="n"/>
      <c r="K293" s="133" t="n"/>
    </row>
    <row r="294" ht="18" customHeight="1" s="102">
      <c r="A294" s="132" t="n"/>
      <c r="B294" s="133" t="n"/>
      <c r="C294" s="133" t="n"/>
      <c r="D294" s="133" t="n"/>
      <c r="E294" s="133" t="n"/>
      <c r="F294" s="133" t="n"/>
      <c r="G294" s="133" t="n"/>
      <c r="H294" s="133" t="n"/>
      <c r="I294" s="135">
        <f>IF(OR($A294="",$G294=""),"",IF($H294="VAR","KARŞILIKSIZ",IF($G294&gt;=DusukRiskEsik,"DÜŞÜK",IF($G294&gt;=RiskliSkorEsik,"ORTA",IF($G294&gt;=YuksekRiskEsik,"YÜKSEK","KARŞILIKSIZ")))))</f>
        <v/>
      </c>
      <c r="J294" s="133" t="n"/>
      <c r="K294" s="133" t="n"/>
    </row>
    <row r="295" ht="18" customHeight="1" s="102">
      <c r="A295" s="132" t="n"/>
      <c r="B295" s="133" t="n"/>
      <c r="C295" s="133" t="n"/>
      <c r="D295" s="133" t="n"/>
      <c r="E295" s="133" t="n"/>
      <c r="F295" s="133" t="n"/>
      <c r="G295" s="133" t="n"/>
      <c r="H295" s="133" t="n"/>
      <c r="I295" s="135">
        <f>IF(OR($A295="",$G295=""),"",IF($H295="VAR","KARŞILIKSIZ",IF($G295&gt;=DusukRiskEsik,"DÜŞÜK",IF($G295&gt;=RiskliSkorEsik,"ORTA",IF($G295&gt;=YuksekRiskEsik,"YÜKSEK","KARŞILIKSIZ")))))</f>
        <v/>
      </c>
      <c r="J295" s="133" t="n"/>
      <c r="K295" s="133" t="n"/>
    </row>
    <row r="296" ht="18" customHeight="1" s="102">
      <c r="A296" s="132" t="n"/>
      <c r="B296" s="133" t="n"/>
      <c r="C296" s="133" t="n"/>
      <c r="D296" s="133" t="n"/>
      <c r="E296" s="133" t="n"/>
      <c r="F296" s="133" t="n"/>
      <c r="G296" s="133" t="n"/>
      <c r="H296" s="133" t="n"/>
      <c r="I296" s="135">
        <f>IF(OR($A296="",$G296=""),"",IF($H296="VAR","KARŞILIKSIZ",IF($G296&gt;=DusukRiskEsik,"DÜŞÜK",IF($G296&gt;=RiskliSkorEsik,"ORTA",IF($G296&gt;=YuksekRiskEsik,"YÜKSEK","KARŞILIKSIZ")))))</f>
        <v/>
      </c>
      <c r="J296" s="133" t="n"/>
      <c r="K296" s="133" t="n"/>
    </row>
    <row r="297" ht="18" customHeight="1" s="102">
      <c r="A297" s="132" t="n"/>
      <c r="B297" s="133" t="n"/>
      <c r="C297" s="133" t="n"/>
      <c r="D297" s="133" t="n"/>
      <c r="E297" s="133" t="n"/>
      <c r="F297" s="133" t="n"/>
      <c r="G297" s="133" t="n"/>
      <c r="H297" s="133" t="n"/>
      <c r="I297" s="135">
        <f>IF(OR($A297="",$G297=""),"",IF($H297="VAR","KARŞILIKSIZ",IF($G297&gt;=DusukRiskEsik,"DÜŞÜK",IF($G297&gt;=RiskliSkorEsik,"ORTA",IF($G297&gt;=YuksekRiskEsik,"YÜKSEK","KARŞILIKSIZ")))))</f>
        <v/>
      </c>
      <c r="J297" s="133" t="n"/>
      <c r="K297" s="133" t="n"/>
    </row>
    <row r="298" ht="18" customHeight="1" s="102">
      <c r="A298" s="132" t="n"/>
      <c r="B298" s="133" t="n"/>
      <c r="C298" s="133" t="n"/>
      <c r="D298" s="133" t="n"/>
      <c r="E298" s="133" t="n"/>
      <c r="F298" s="133" t="n"/>
      <c r="G298" s="133" t="n"/>
      <c r="H298" s="133" t="n"/>
      <c r="I298" s="135">
        <f>IF(OR($A298="",$G298=""),"",IF($H298="VAR","KARŞILIKSIZ",IF($G298&gt;=DusukRiskEsik,"DÜŞÜK",IF($G298&gt;=RiskliSkorEsik,"ORTA",IF($G298&gt;=YuksekRiskEsik,"YÜKSEK","KARŞILIKSIZ")))))</f>
        <v/>
      </c>
      <c r="J298" s="133" t="n"/>
      <c r="K298" s="133" t="n"/>
    </row>
    <row r="299" ht="18" customHeight="1" s="102">
      <c r="A299" s="132" t="n"/>
      <c r="B299" s="133" t="n"/>
      <c r="C299" s="133" t="n"/>
      <c r="D299" s="133" t="n"/>
      <c r="E299" s="133" t="n"/>
      <c r="F299" s="133" t="n"/>
      <c r="G299" s="133" t="n"/>
      <c r="H299" s="133" t="n"/>
      <c r="I299" s="135">
        <f>IF(OR($A299="",$G299=""),"",IF($H299="VAR","KARŞILIKSIZ",IF($G299&gt;=DusukRiskEsik,"DÜŞÜK",IF($G299&gt;=RiskliSkorEsik,"ORTA",IF($G299&gt;=YuksekRiskEsik,"YÜKSEK","KARŞILIKSIZ")))))</f>
        <v/>
      </c>
      <c r="J299" s="133" t="n"/>
      <c r="K299" s="133" t="n"/>
    </row>
    <row r="300" ht="18" customHeight="1" s="102">
      <c r="A300" s="132" t="n"/>
      <c r="B300" s="133" t="n"/>
      <c r="C300" s="133" t="n"/>
      <c r="D300" s="133" t="n"/>
      <c r="E300" s="133" t="n"/>
      <c r="F300" s="133" t="n"/>
      <c r="G300" s="133" t="n"/>
      <c r="H300" s="133" t="n"/>
      <c r="I300" s="135">
        <f>IF(OR($A300="",$G300=""),"",IF($H300="VAR","KARŞILIKSIZ",IF($G300&gt;=DusukRiskEsik,"DÜŞÜK",IF($G300&gt;=RiskliSkorEsik,"ORTA",IF($G300&gt;=YuksekRiskEsik,"YÜKSEK","KARŞILIKSIZ")))))</f>
        <v/>
      </c>
      <c r="J300" s="133" t="n"/>
      <c r="K300" s="133" t="n"/>
    </row>
    <row r="301" ht="18" customHeight="1" s="102">
      <c r="A301" s="132" t="n"/>
      <c r="B301" s="133" t="n"/>
      <c r="C301" s="133" t="n"/>
      <c r="D301" s="133" t="n"/>
      <c r="E301" s="133" t="n"/>
      <c r="F301" s="133" t="n"/>
      <c r="G301" s="133" t="n"/>
      <c r="H301" s="133" t="n"/>
      <c r="I301" s="135">
        <f>IF(OR($A301="",$G301=""),"",IF($H301="VAR","KARŞILIKSIZ",IF($G301&gt;=DusukRiskEsik,"DÜŞÜK",IF($G301&gt;=RiskliSkorEsik,"ORTA",IF($G301&gt;=YuksekRiskEsik,"YÜKSEK","KARŞILIKSIZ")))))</f>
        <v/>
      </c>
      <c r="J301" s="133" t="n"/>
      <c r="K301" s="133" t="n"/>
    </row>
    <row r="302" ht="18" customHeight="1" s="102">
      <c r="A302" s="132" t="n"/>
      <c r="B302" s="133" t="n"/>
      <c r="C302" s="133" t="n"/>
      <c r="D302" s="133" t="n"/>
      <c r="E302" s="133" t="n"/>
      <c r="F302" s="133" t="n"/>
      <c r="G302" s="133" t="n"/>
      <c r="H302" s="133" t="n"/>
      <c r="I302" s="135">
        <f>IF(OR($A302="",$G302=""),"",IF($H302="VAR","KARŞILIKSIZ",IF($G302&gt;=DusukRiskEsik,"DÜŞÜK",IF($G302&gt;=RiskliSkorEsik,"ORTA",IF($G302&gt;=YuksekRiskEsik,"YÜKSEK","KARŞILIKSIZ")))))</f>
        <v/>
      </c>
      <c r="J302" s="133" t="n"/>
      <c r="K302" s="133" t="n"/>
    </row>
    <row r="303" ht="18" customHeight="1" s="102">
      <c r="A303" s="132" t="n"/>
      <c r="B303" s="133" t="n"/>
      <c r="C303" s="133" t="n"/>
      <c r="D303" s="133" t="n"/>
      <c r="E303" s="133" t="n"/>
      <c r="F303" s="133" t="n"/>
      <c r="G303" s="133" t="n"/>
      <c r="H303" s="133" t="n"/>
      <c r="I303" s="135">
        <f>IF(OR($A303="",$G303=""),"",IF($H303="VAR","KARŞILIKSIZ",IF($G303&gt;=DusukRiskEsik,"DÜŞÜK",IF($G303&gt;=RiskliSkorEsik,"ORTA",IF($G303&gt;=YuksekRiskEsik,"YÜKSEK","KARŞILIKSIZ")))))</f>
        <v/>
      </c>
      <c r="J303" s="133" t="n"/>
      <c r="K303" s="133" t="n"/>
    </row>
    <row r="304" ht="18" customHeight="1" s="102">
      <c r="A304" s="132" t="n"/>
      <c r="B304" s="133" t="n"/>
      <c r="C304" s="133" t="n"/>
      <c r="D304" s="133" t="n"/>
      <c r="E304" s="133" t="n"/>
      <c r="F304" s="133" t="n"/>
      <c r="G304" s="133" t="n"/>
      <c r="H304" s="133" t="n"/>
      <c r="I304" s="135">
        <f>IF(OR($A304="",$G304=""),"",IF($H304="VAR","KARŞILIKSIZ",IF($G304&gt;=DusukRiskEsik,"DÜŞÜK",IF($G304&gt;=RiskliSkorEsik,"ORTA",IF($G304&gt;=YuksekRiskEsik,"YÜKSEK","KARŞILIKSIZ")))))</f>
        <v/>
      </c>
      <c r="J304" s="133" t="n"/>
      <c r="K304" s="133" t="n"/>
    </row>
    <row r="305" ht="18" customHeight="1" s="102">
      <c r="A305" s="132" t="n"/>
      <c r="B305" s="133" t="n"/>
      <c r="C305" s="133" t="n"/>
      <c r="D305" s="133" t="n"/>
      <c r="E305" s="133" t="n"/>
      <c r="F305" s="133" t="n"/>
      <c r="G305" s="133" t="n"/>
      <c r="H305" s="133" t="n"/>
      <c r="I305" s="135">
        <f>IF(OR($A305="",$G305=""),"",IF($H305="VAR","KARŞILIKSIZ",IF($G305&gt;=DusukRiskEsik,"DÜŞÜK",IF($G305&gt;=RiskliSkorEsik,"ORTA",IF($G305&gt;=YuksekRiskEsik,"YÜKSEK","KARŞILIKSIZ")))))</f>
        <v/>
      </c>
      <c r="J305" s="133" t="n"/>
      <c r="K305" s="133" t="n"/>
    </row>
    <row r="306" ht="18" customHeight="1" s="102">
      <c r="A306" s="132" t="n"/>
      <c r="B306" s="133" t="n"/>
      <c r="C306" s="133" t="n"/>
      <c r="D306" s="133" t="n"/>
      <c r="E306" s="133" t="n"/>
      <c r="F306" s="133" t="n"/>
      <c r="G306" s="133" t="n"/>
      <c r="H306" s="133" t="n"/>
      <c r="I306" s="135">
        <f>IF(OR($A306="",$G306=""),"",IF($H306="VAR","KARŞILIKSIZ",IF($G306&gt;=DusukRiskEsik,"DÜŞÜK",IF($G306&gt;=RiskliSkorEsik,"ORTA",IF($G306&gt;=YuksekRiskEsik,"YÜKSEK","KARŞILIKSIZ")))))</f>
        <v/>
      </c>
      <c r="J306" s="133" t="n"/>
      <c r="K306" s="133" t="n"/>
    </row>
    <row r="307" ht="18" customHeight="1" s="102">
      <c r="A307" s="132" t="n"/>
      <c r="B307" s="133" t="n"/>
      <c r="C307" s="133" t="n"/>
      <c r="D307" s="133" t="n"/>
      <c r="E307" s="133" t="n"/>
      <c r="F307" s="133" t="n"/>
      <c r="G307" s="133" t="n"/>
      <c r="H307" s="133" t="n"/>
      <c r="I307" s="135">
        <f>IF(OR($A307="",$G307=""),"",IF($H307="VAR","KARŞILIKSIZ",IF($G307&gt;=DusukRiskEsik,"DÜŞÜK",IF($G307&gt;=RiskliSkorEsik,"ORTA",IF($G307&gt;=YuksekRiskEsik,"YÜKSEK","KARŞILIKSIZ")))))</f>
        <v/>
      </c>
      <c r="J307" s="133" t="n"/>
      <c r="K307" s="133" t="n"/>
    </row>
    <row r="308" ht="18" customHeight="1" s="102">
      <c r="A308" s="132" t="n"/>
      <c r="B308" s="133" t="n"/>
      <c r="C308" s="133" t="n"/>
      <c r="D308" s="133" t="n"/>
      <c r="E308" s="133" t="n"/>
      <c r="F308" s="133" t="n"/>
      <c r="G308" s="133" t="n"/>
      <c r="H308" s="133" t="n"/>
      <c r="I308" s="135">
        <f>IF(OR($A308="",$G308=""),"",IF($H308="VAR","KARŞILIKSIZ",IF($G308&gt;=DusukRiskEsik,"DÜŞÜK",IF($G308&gt;=RiskliSkorEsik,"ORTA",IF($G308&gt;=YuksekRiskEsik,"YÜKSEK","KARŞILIKSIZ")))))</f>
        <v/>
      </c>
      <c r="J308" s="133" t="n"/>
      <c r="K308" s="133" t="n"/>
    </row>
    <row r="309" ht="18" customHeight="1" s="102">
      <c r="A309" s="132" t="n"/>
      <c r="B309" s="133" t="n"/>
      <c r="C309" s="133" t="n"/>
      <c r="D309" s="133" t="n"/>
      <c r="E309" s="133" t="n"/>
      <c r="F309" s="133" t="n"/>
      <c r="G309" s="133" t="n"/>
      <c r="H309" s="133" t="n"/>
      <c r="I309" s="135">
        <f>IF(OR($A309="",$G309=""),"",IF($H309="VAR","KARŞILIKSIZ",IF($G309&gt;=DusukRiskEsik,"DÜŞÜK",IF($G309&gt;=RiskliSkorEsik,"ORTA",IF($G309&gt;=YuksekRiskEsik,"YÜKSEK","KARŞILIKSIZ")))))</f>
        <v/>
      </c>
      <c r="J309" s="133" t="n"/>
      <c r="K309" s="133" t="n"/>
    </row>
    <row r="310" ht="18" customHeight="1" s="102">
      <c r="A310" s="132" t="n"/>
      <c r="B310" s="133" t="n"/>
      <c r="C310" s="133" t="n"/>
      <c r="D310" s="133" t="n"/>
      <c r="E310" s="133" t="n"/>
      <c r="F310" s="133" t="n"/>
      <c r="G310" s="133" t="n"/>
      <c r="H310" s="133" t="n"/>
      <c r="I310" s="135">
        <f>IF(OR($A310="",$G310=""),"",IF($H310="VAR","KARŞILIKSIZ",IF($G310&gt;=DusukRiskEsik,"DÜŞÜK",IF($G310&gt;=RiskliSkorEsik,"ORTA",IF($G310&gt;=YuksekRiskEsik,"YÜKSEK","KARŞILIKSIZ")))))</f>
        <v/>
      </c>
      <c r="J310" s="133" t="n"/>
      <c r="K310" s="133" t="n"/>
    </row>
    <row r="311" ht="18" customHeight="1" s="102">
      <c r="A311" s="132" t="n"/>
      <c r="B311" s="133" t="n"/>
      <c r="C311" s="133" t="n"/>
      <c r="D311" s="133" t="n"/>
      <c r="E311" s="133" t="n"/>
      <c r="F311" s="133" t="n"/>
      <c r="G311" s="133" t="n"/>
      <c r="H311" s="133" t="n"/>
      <c r="I311" s="135">
        <f>IF(OR($A311="",$G311=""),"",IF($H311="VAR","KARŞILIKSIZ",IF($G311&gt;=DusukRiskEsik,"DÜŞÜK",IF($G311&gt;=RiskliSkorEsik,"ORTA",IF($G311&gt;=YuksekRiskEsik,"YÜKSEK","KARŞILIKSIZ")))))</f>
        <v/>
      </c>
      <c r="J311" s="133" t="n"/>
      <c r="K311" s="133" t="n"/>
    </row>
    <row r="312" ht="18" customHeight="1" s="102">
      <c r="A312" s="132" t="n"/>
      <c r="B312" s="133" t="n"/>
      <c r="C312" s="133" t="n"/>
      <c r="D312" s="133" t="n"/>
      <c r="E312" s="133" t="n"/>
      <c r="F312" s="133" t="n"/>
      <c r="G312" s="133" t="n"/>
      <c r="H312" s="133" t="n"/>
      <c r="I312" s="135">
        <f>IF(OR($A312="",$G312=""),"",IF($H312="VAR","KARŞILIKSIZ",IF($G312&gt;=DusukRiskEsik,"DÜŞÜK",IF($G312&gt;=RiskliSkorEsik,"ORTA",IF($G312&gt;=YuksekRiskEsik,"YÜKSEK","KARŞILIKSIZ")))))</f>
        <v/>
      </c>
      <c r="J312" s="133" t="n"/>
      <c r="K312" s="133" t="n"/>
    </row>
    <row r="313" ht="18" customHeight="1" s="102">
      <c r="A313" s="132" t="n"/>
      <c r="B313" s="133" t="n"/>
      <c r="C313" s="133" t="n"/>
      <c r="D313" s="133" t="n"/>
      <c r="E313" s="133" t="n"/>
      <c r="F313" s="133" t="n"/>
      <c r="G313" s="133" t="n"/>
      <c r="H313" s="133" t="n"/>
      <c r="I313" s="135">
        <f>IF(OR($A313="",$G313=""),"",IF($H313="VAR","KARŞILIKSIZ",IF($G313&gt;=DusukRiskEsik,"DÜŞÜK",IF($G313&gt;=RiskliSkorEsik,"ORTA",IF($G313&gt;=YuksekRiskEsik,"YÜKSEK","KARŞILIKSIZ")))))</f>
        <v/>
      </c>
      <c r="J313" s="133" t="n"/>
      <c r="K313" s="133" t="n"/>
    </row>
    <row r="314" ht="18" customHeight="1" s="102">
      <c r="A314" s="132" t="n"/>
      <c r="B314" s="133" t="n"/>
      <c r="C314" s="133" t="n"/>
      <c r="D314" s="133" t="n"/>
      <c r="E314" s="133" t="n"/>
      <c r="F314" s="133" t="n"/>
      <c r="G314" s="133" t="n"/>
      <c r="H314" s="133" t="n"/>
      <c r="I314" s="135">
        <f>IF(OR($A314="",$G314=""),"",IF($H314="VAR","KARŞILIKSIZ",IF($G314&gt;=DusukRiskEsik,"DÜŞÜK",IF($G314&gt;=RiskliSkorEsik,"ORTA",IF($G314&gt;=YuksekRiskEsik,"YÜKSEK","KARŞILIKSIZ")))))</f>
        <v/>
      </c>
      <c r="J314" s="133" t="n"/>
      <c r="K314" s="133" t="n"/>
    </row>
    <row r="315" ht="18" customHeight="1" s="102">
      <c r="A315" s="132" t="n"/>
      <c r="B315" s="133" t="n"/>
      <c r="C315" s="133" t="n"/>
      <c r="D315" s="133" t="n"/>
      <c r="E315" s="133" t="n"/>
      <c r="F315" s="133" t="n"/>
      <c r="G315" s="133" t="n"/>
      <c r="H315" s="133" t="n"/>
      <c r="I315" s="135">
        <f>IF(OR($A315="",$G315=""),"",IF($H315="VAR","KARŞILIKSIZ",IF($G315&gt;=DusukRiskEsik,"DÜŞÜK",IF($G315&gt;=RiskliSkorEsik,"ORTA",IF($G315&gt;=YuksekRiskEsik,"YÜKSEK","KARŞILIKSIZ")))))</f>
        <v/>
      </c>
      <c r="J315" s="133" t="n"/>
      <c r="K315" s="133" t="n"/>
    </row>
    <row r="316" ht="18" customHeight="1" s="102">
      <c r="A316" s="132" t="n"/>
      <c r="B316" s="133" t="n"/>
      <c r="C316" s="133" t="n"/>
      <c r="D316" s="133" t="n"/>
      <c r="E316" s="133" t="n"/>
      <c r="F316" s="133" t="n"/>
      <c r="G316" s="133" t="n"/>
      <c r="H316" s="133" t="n"/>
      <c r="I316" s="135">
        <f>IF(OR($A316="",$G316=""),"",IF($H316="VAR","KARŞILIKSIZ",IF($G316&gt;=DusukRiskEsik,"DÜŞÜK",IF($G316&gt;=RiskliSkorEsik,"ORTA",IF($G316&gt;=YuksekRiskEsik,"YÜKSEK","KARŞILIKSIZ")))))</f>
        <v/>
      </c>
      <c r="J316" s="133" t="n"/>
      <c r="K316" s="133" t="n"/>
    </row>
    <row r="317" ht="18" customHeight="1" s="102">
      <c r="A317" s="132" t="n"/>
      <c r="B317" s="133" t="n"/>
      <c r="C317" s="133" t="n"/>
      <c r="D317" s="133" t="n"/>
      <c r="E317" s="133" t="n"/>
      <c r="F317" s="133" t="n"/>
      <c r="G317" s="133" t="n"/>
      <c r="H317" s="133" t="n"/>
      <c r="I317" s="135">
        <f>IF(OR($A317="",$G317=""),"",IF($H317="VAR","KARŞILIKSIZ",IF($G317&gt;=DusukRiskEsik,"DÜŞÜK",IF($G317&gt;=RiskliSkorEsik,"ORTA",IF($G317&gt;=YuksekRiskEsik,"YÜKSEK","KARŞILIKSIZ")))))</f>
        <v/>
      </c>
      <c r="J317" s="133" t="n"/>
      <c r="K317" s="133" t="n"/>
    </row>
    <row r="318" ht="18" customHeight="1" s="102">
      <c r="A318" s="132" t="n"/>
      <c r="B318" s="133" t="n"/>
      <c r="C318" s="133" t="n"/>
      <c r="D318" s="133" t="n"/>
      <c r="E318" s="133" t="n"/>
      <c r="F318" s="133" t="n"/>
      <c r="G318" s="133" t="n"/>
      <c r="H318" s="133" t="n"/>
      <c r="I318" s="135">
        <f>IF(OR($A318="",$G318=""),"",IF($H318="VAR","KARŞILIKSIZ",IF($G318&gt;=DusukRiskEsik,"DÜŞÜK",IF($G318&gt;=RiskliSkorEsik,"ORTA",IF($G318&gt;=YuksekRiskEsik,"YÜKSEK","KARŞILIKSIZ")))))</f>
        <v/>
      </c>
      <c r="J318" s="133" t="n"/>
      <c r="K318" s="133" t="n"/>
    </row>
    <row r="319" ht="18" customHeight="1" s="102">
      <c r="A319" s="132" t="n"/>
      <c r="B319" s="133" t="n"/>
      <c r="C319" s="133" t="n"/>
      <c r="D319" s="133" t="n"/>
      <c r="E319" s="133" t="n"/>
      <c r="F319" s="133" t="n"/>
      <c r="G319" s="133" t="n"/>
      <c r="H319" s="133" t="n"/>
      <c r="I319" s="135">
        <f>IF(OR($A319="",$G319=""),"",IF($H319="VAR","KARŞILIKSIZ",IF($G319&gt;=DusukRiskEsik,"DÜŞÜK",IF($G319&gt;=RiskliSkorEsik,"ORTA",IF($G319&gt;=YuksekRiskEsik,"YÜKSEK","KARŞILIKSIZ")))))</f>
        <v/>
      </c>
      <c r="J319" s="133" t="n"/>
      <c r="K319" s="133" t="n"/>
    </row>
    <row r="320" ht="18" customHeight="1" s="102">
      <c r="A320" s="132" t="n"/>
      <c r="B320" s="133" t="n"/>
      <c r="C320" s="133" t="n"/>
      <c r="D320" s="133" t="n"/>
      <c r="E320" s="133" t="n"/>
      <c r="F320" s="133" t="n"/>
      <c r="G320" s="133" t="n"/>
      <c r="H320" s="133" t="n"/>
      <c r="I320" s="135">
        <f>IF(OR($A320="",$G320=""),"",IF($H320="VAR","KARŞILIKSIZ",IF($G320&gt;=DusukRiskEsik,"DÜŞÜK",IF($G320&gt;=RiskliSkorEsik,"ORTA",IF($G320&gt;=YuksekRiskEsik,"YÜKSEK","KARŞILIKSIZ")))))</f>
        <v/>
      </c>
      <c r="J320" s="133" t="n"/>
      <c r="K320" s="133" t="n"/>
    </row>
    <row r="321" ht="18" customHeight="1" s="102">
      <c r="A321" s="132" t="n"/>
      <c r="B321" s="133" t="n"/>
      <c r="C321" s="133" t="n"/>
      <c r="D321" s="133" t="n"/>
      <c r="E321" s="133" t="n"/>
      <c r="F321" s="133" t="n"/>
      <c r="G321" s="133" t="n"/>
      <c r="H321" s="133" t="n"/>
      <c r="I321" s="135">
        <f>IF(OR($A321="",$G321=""),"",IF($H321="VAR","KARŞILIKSIZ",IF($G321&gt;=DusukRiskEsik,"DÜŞÜK",IF($G321&gt;=RiskliSkorEsik,"ORTA",IF($G321&gt;=YuksekRiskEsik,"YÜKSEK","KARŞILIKSIZ")))))</f>
        <v/>
      </c>
      <c r="J321" s="133" t="n"/>
      <c r="K321" s="133" t="n"/>
    </row>
    <row r="322" ht="18" customHeight="1" s="102">
      <c r="A322" s="132" t="n"/>
      <c r="B322" s="133" t="n"/>
      <c r="C322" s="133" t="n"/>
      <c r="D322" s="133" t="n"/>
      <c r="E322" s="133" t="n"/>
      <c r="F322" s="133" t="n"/>
      <c r="G322" s="133" t="n"/>
      <c r="H322" s="133" t="n"/>
      <c r="I322" s="135">
        <f>IF(OR($A322="",$G322=""),"",IF($H322="VAR","KARŞILIKSIZ",IF($G322&gt;=DusukRiskEsik,"DÜŞÜK",IF($G322&gt;=RiskliSkorEsik,"ORTA",IF($G322&gt;=YuksekRiskEsik,"YÜKSEK","KARŞILIKSIZ")))))</f>
        <v/>
      </c>
      <c r="J322" s="133" t="n"/>
      <c r="K322" s="133" t="n"/>
    </row>
    <row r="323" ht="18" customHeight="1" s="102">
      <c r="A323" s="132" t="n"/>
      <c r="B323" s="133" t="n"/>
      <c r="C323" s="133" t="n"/>
      <c r="D323" s="133" t="n"/>
      <c r="E323" s="133" t="n"/>
      <c r="F323" s="133" t="n"/>
      <c r="G323" s="133" t="n"/>
      <c r="H323" s="133" t="n"/>
      <c r="I323" s="135">
        <f>IF(OR($A323="",$G323=""),"",IF($H323="VAR","KARŞILIKSIZ",IF($G323&gt;=DusukRiskEsik,"DÜŞÜK",IF($G323&gt;=RiskliSkorEsik,"ORTA",IF($G323&gt;=YuksekRiskEsik,"YÜKSEK","KARŞILIKSIZ")))))</f>
        <v/>
      </c>
      <c r="J323" s="133" t="n"/>
      <c r="K323" s="133" t="n"/>
    </row>
    <row r="324" ht="18" customHeight="1" s="102">
      <c r="A324" s="132" t="n"/>
      <c r="B324" s="133" t="n"/>
      <c r="C324" s="133" t="n"/>
      <c r="D324" s="133" t="n"/>
      <c r="E324" s="133" t="n"/>
      <c r="F324" s="133" t="n"/>
      <c r="G324" s="133" t="n"/>
      <c r="H324" s="133" t="n"/>
      <c r="I324" s="135">
        <f>IF(OR($A324="",$G324=""),"",IF($H324="VAR","KARŞILIKSIZ",IF($G324&gt;=DusukRiskEsik,"DÜŞÜK",IF($G324&gt;=RiskliSkorEsik,"ORTA",IF($G324&gt;=YuksekRiskEsik,"YÜKSEK","KARŞILIKSIZ")))))</f>
        <v/>
      </c>
      <c r="J324" s="133" t="n"/>
      <c r="K324" s="133" t="n"/>
    </row>
    <row r="325" ht="18" customHeight="1" s="102">
      <c r="A325" s="132" t="n"/>
      <c r="B325" s="133" t="n"/>
      <c r="C325" s="133" t="n"/>
      <c r="D325" s="133" t="n"/>
      <c r="E325" s="133" t="n"/>
      <c r="F325" s="133" t="n"/>
      <c r="G325" s="133" t="n"/>
      <c r="H325" s="133" t="n"/>
      <c r="I325" s="135">
        <f>IF(OR($A325="",$G325=""),"",IF($H325="VAR","KARŞILIKSIZ",IF($G325&gt;=DusukRiskEsik,"DÜŞÜK",IF($G325&gt;=RiskliSkorEsik,"ORTA",IF($G325&gt;=YuksekRiskEsik,"YÜKSEK","KARŞILIKSIZ")))))</f>
        <v/>
      </c>
      <c r="J325" s="133" t="n"/>
      <c r="K325" s="133" t="n"/>
    </row>
    <row r="326" ht="18" customHeight="1" s="102">
      <c r="A326" s="132" t="n"/>
      <c r="B326" s="133" t="n"/>
      <c r="C326" s="133" t="n"/>
      <c r="D326" s="133" t="n"/>
      <c r="E326" s="133" t="n"/>
      <c r="F326" s="133" t="n"/>
      <c r="G326" s="133" t="n"/>
      <c r="H326" s="133" t="n"/>
      <c r="I326" s="135">
        <f>IF(OR($A326="",$G326=""),"",IF($H326="VAR","KARŞILIKSIZ",IF($G326&gt;=DusukRiskEsik,"DÜŞÜK",IF($G326&gt;=RiskliSkorEsik,"ORTA",IF($G326&gt;=YuksekRiskEsik,"YÜKSEK","KARŞILIKSIZ")))))</f>
        <v/>
      </c>
      <c r="J326" s="133" t="n"/>
      <c r="K326" s="133" t="n"/>
    </row>
    <row r="327" ht="18" customHeight="1" s="102">
      <c r="A327" s="132" t="n"/>
      <c r="B327" s="133" t="n"/>
      <c r="C327" s="133" t="n"/>
      <c r="D327" s="133" t="n"/>
      <c r="E327" s="133" t="n"/>
      <c r="F327" s="133" t="n"/>
      <c r="G327" s="133" t="n"/>
      <c r="H327" s="133" t="n"/>
      <c r="I327" s="135">
        <f>IF(OR($A327="",$G327=""),"",IF($H327="VAR","KARŞILIKSIZ",IF($G327&gt;=DusukRiskEsik,"DÜŞÜK",IF($G327&gt;=RiskliSkorEsik,"ORTA",IF($G327&gt;=YuksekRiskEsik,"YÜKSEK","KARŞILIKSIZ")))))</f>
        <v/>
      </c>
      <c r="J327" s="133" t="n"/>
      <c r="K327" s="133" t="n"/>
    </row>
    <row r="328" ht="18" customHeight="1" s="102">
      <c r="A328" s="132" t="n"/>
      <c r="B328" s="133" t="n"/>
      <c r="C328" s="133" t="n"/>
      <c r="D328" s="133" t="n"/>
      <c r="E328" s="133" t="n"/>
      <c r="F328" s="133" t="n"/>
      <c r="G328" s="133" t="n"/>
      <c r="H328" s="133" t="n"/>
      <c r="I328" s="135">
        <f>IF(OR($A328="",$G328=""),"",IF($H328="VAR","KARŞILIKSIZ",IF($G328&gt;=DusukRiskEsik,"DÜŞÜK",IF($G328&gt;=RiskliSkorEsik,"ORTA",IF($G328&gt;=YuksekRiskEsik,"YÜKSEK","KARŞILIKSIZ")))))</f>
        <v/>
      </c>
      <c r="J328" s="133" t="n"/>
      <c r="K328" s="133" t="n"/>
    </row>
    <row r="329" ht="18" customHeight="1" s="102">
      <c r="A329" s="132" t="n"/>
      <c r="B329" s="133" t="n"/>
      <c r="C329" s="133" t="n"/>
      <c r="D329" s="133" t="n"/>
      <c r="E329" s="133" t="n"/>
      <c r="F329" s="133" t="n"/>
      <c r="G329" s="133" t="n"/>
      <c r="H329" s="133" t="n"/>
      <c r="I329" s="135">
        <f>IF(OR($A329="",$G329=""),"",IF($H329="VAR","KARŞILIKSIZ",IF($G329&gt;=DusukRiskEsik,"DÜŞÜK",IF($G329&gt;=RiskliSkorEsik,"ORTA",IF($G329&gt;=YuksekRiskEsik,"YÜKSEK","KARŞILIKSIZ")))))</f>
        <v/>
      </c>
      <c r="J329" s="133" t="n"/>
      <c r="K329" s="133" t="n"/>
    </row>
    <row r="330" ht="18" customHeight="1" s="102">
      <c r="A330" s="132" t="n"/>
      <c r="B330" s="133" t="n"/>
      <c r="C330" s="133" t="n"/>
      <c r="D330" s="133" t="n"/>
      <c r="E330" s="133" t="n"/>
      <c r="F330" s="133" t="n"/>
      <c r="G330" s="133" t="n"/>
      <c r="H330" s="133" t="n"/>
      <c r="I330" s="135">
        <f>IF(OR($A330="",$G330=""),"",IF($H330="VAR","KARŞILIKSIZ",IF($G330&gt;=DusukRiskEsik,"DÜŞÜK",IF($G330&gt;=RiskliSkorEsik,"ORTA",IF($G330&gt;=YuksekRiskEsik,"YÜKSEK","KARŞILIKSIZ")))))</f>
        <v/>
      </c>
      <c r="J330" s="133" t="n"/>
      <c r="K330" s="133" t="n"/>
    </row>
    <row r="331" ht="18" customHeight="1" s="102">
      <c r="A331" s="132" t="n"/>
      <c r="B331" s="133" t="n"/>
      <c r="C331" s="133" t="n"/>
      <c r="D331" s="133" t="n"/>
      <c r="E331" s="133" t="n"/>
      <c r="F331" s="133" t="n"/>
      <c r="G331" s="133" t="n"/>
      <c r="H331" s="133" t="n"/>
      <c r="I331" s="135">
        <f>IF(OR($A331="",$G331=""),"",IF($H331="VAR","KARŞILIKSIZ",IF($G331&gt;=DusukRiskEsik,"DÜŞÜK",IF($G331&gt;=RiskliSkorEsik,"ORTA",IF($G331&gt;=YuksekRiskEsik,"YÜKSEK","KARŞILIKSIZ")))))</f>
        <v/>
      </c>
      <c r="J331" s="133" t="n"/>
      <c r="K331" s="133" t="n"/>
    </row>
    <row r="332" ht="18" customHeight="1" s="102">
      <c r="A332" s="132" t="n"/>
      <c r="B332" s="133" t="n"/>
      <c r="C332" s="133" t="n"/>
      <c r="D332" s="133" t="n"/>
      <c r="E332" s="133" t="n"/>
      <c r="F332" s="133" t="n"/>
      <c r="G332" s="133" t="n"/>
      <c r="H332" s="133" t="n"/>
      <c r="I332" s="135">
        <f>IF(OR($A332="",$G332=""),"",IF($H332="VAR","KARŞILIKSIZ",IF($G332&gt;=DusukRiskEsik,"DÜŞÜK",IF($G332&gt;=RiskliSkorEsik,"ORTA",IF($G332&gt;=YuksekRiskEsik,"YÜKSEK","KARŞILIKSIZ")))))</f>
        <v/>
      </c>
      <c r="J332" s="133" t="n"/>
      <c r="K332" s="133" t="n"/>
    </row>
    <row r="333" ht="18" customHeight="1" s="102">
      <c r="A333" s="132" t="n"/>
      <c r="B333" s="133" t="n"/>
      <c r="C333" s="133" t="n"/>
      <c r="D333" s="133" t="n"/>
      <c r="E333" s="133" t="n"/>
      <c r="F333" s="133" t="n"/>
      <c r="G333" s="133" t="n"/>
      <c r="H333" s="133" t="n"/>
      <c r="I333" s="135">
        <f>IF(OR($A333="",$G333=""),"",IF($H333="VAR","KARŞILIKSIZ",IF($G333&gt;=DusukRiskEsik,"DÜŞÜK",IF($G333&gt;=RiskliSkorEsik,"ORTA",IF($G333&gt;=YuksekRiskEsik,"YÜKSEK","KARŞILIKSIZ")))))</f>
        <v/>
      </c>
      <c r="J333" s="133" t="n"/>
      <c r="K333" s="133" t="n"/>
    </row>
    <row r="334" ht="18" customHeight="1" s="102">
      <c r="A334" s="132" t="n"/>
      <c r="B334" s="133" t="n"/>
      <c r="C334" s="133" t="n"/>
      <c r="D334" s="133" t="n"/>
      <c r="E334" s="133" t="n"/>
      <c r="F334" s="133" t="n"/>
      <c r="G334" s="133" t="n"/>
      <c r="H334" s="133" t="n"/>
      <c r="I334" s="135">
        <f>IF(OR($A334="",$G334=""),"",IF($H334="VAR","KARŞILIKSIZ",IF($G334&gt;=DusukRiskEsik,"DÜŞÜK",IF($G334&gt;=RiskliSkorEsik,"ORTA",IF($G334&gt;=YuksekRiskEsik,"YÜKSEK","KARŞILIKSIZ")))))</f>
        <v/>
      </c>
      <c r="J334" s="133" t="n"/>
      <c r="K334" s="133" t="n"/>
    </row>
    <row r="335" ht="18" customHeight="1" s="102">
      <c r="A335" s="132" t="n"/>
      <c r="B335" s="133" t="n"/>
      <c r="C335" s="133" t="n"/>
      <c r="D335" s="133" t="n"/>
      <c r="E335" s="133" t="n"/>
      <c r="F335" s="133" t="n"/>
      <c r="G335" s="133" t="n"/>
      <c r="H335" s="133" t="n"/>
      <c r="I335" s="135">
        <f>IF(OR($A335="",$G335=""),"",IF($H335="VAR","KARŞILIKSIZ",IF($G335&gt;=DusukRiskEsik,"DÜŞÜK",IF($G335&gt;=RiskliSkorEsik,"ORTA",IF($G335&gt;=YuksekRiskEsik,"YÜKSEK","KARŞILIKSIZ")))))</f>
        <v/>
      </c>
      <c r="J335" s="133" t="n"/>
      <c r="K335" s="133" t="n"/>
    </row>
    <row r="336" ht="18" customHeight="1" s="102">
      <c r="A336" s="132" t="n"/>
      <c r="B336" s="133" t="n"/>
      <c r="C336" s="133" t="n"/>
      <c r="D336" s="133" t="n"/>
      <c r="E336" s="133" t="n"/>
      <c r="F336" s="133" t="n"/>
      <c r="G336" s="133" t="n"/>
      <c r="H336" s="133" t="n"/>
      <c r="I336" s="135">
        <f>IF(OR($A336="",$G336=""),"",IF($H336="VAR","KARŞILIKSIZ",IF($G336&gt;=DusukRiskEsik,"DÜŞÜK",IF($G336&gt;=RiskliSkorEsik,"ORTA",IF($G336&gt;=YuksekRiskEsik,"YÜKSEK","KARŞILIKSIZ")))))</f>
        <v/>
      </c>
      <c r="J336" s="133" t="n"/>
      <c r="K336" s="133" t="n"/>
    </row>
    <row r="337" ht="18" customHeight="1" s="102">
      <c r="A337" s="132" t="n"/>
      <c r="B337" s="133" t="n"/>
      <c r="C337" s="133" t="n"/>
      <c r="D337" s="133" t="n"/>
      <c r="E337" s="133" t="n"/>
      <c r="F337" s="133" t="n"/>
      <c r="G337" s="133" t="n"/>
      <c r="H337" s="133" t="n"/>
      <c r="I337" s="135">
        <f>IF(OR($A337="",$G337=""),"",IF($H337="VAR","KARŞILIKSIZ",IF($G337&gt;=DusukRiskEsik,"DÜŞÜK",IF($G337&gt;=RiskliSkorEsik,"ORTA",IF($G337&gt;=YuksekRiskEsik,"YÜKSEK","KARŞILIKSIZ")))))</f>
        <v/>
      </c>
      <c r="J337" s="133" t="n"/>
      <c r="K337" s="133" t="n"/>
    </row>
    <row r="338" ht="18" customHeight="1" s="102">
      <c r="A338" s="132" t="n"/>
      <c r="B338" s="133" t="n"/>
      <c r="C338" s="133" t="n"/>
      <c r="D338" s="133" t="n"/>
      <c r="E338" s="133" t="n"/>
      <c r="F338" s="133" t="n"/>
      <c r="G338" s="133" t="n"/>
      <c r="H338" s="133" t="n"/>
      <c r="I338" s="135">
        <f>IF(OR($A338="",$G338=""),"",IF($H338="VAR","KARŞILIKSIZ",IF($G338&gt;=DusukRiskEsik,"DÜŞÜK",IF($G338&gt;=RiskliSkorEsik,"ORTA",IF($G338&gt;=YuksekRiskEsik,"YÜKSEK","KARŞILIKSIZ")))))</f>
        <v/>
      </c>
      <c r="J338" s="133" t="n"/>
      <c r="K338" s="133" t="n"/>
    </row>
    <row r="339" ht="18" customHeight="1" s="102">
      <c r="A339" s="132" t="n"/>
      <c r="B339" s="133" t="n"/>
      <c r="C339" s="133" t="n"/>
      <c r="D339" s="133" t="n"/>
      <c r="E339" s="133" t="n"/>
      <c r="F339" s="133" t="n"/>
      <c r="G339" s="133" t="n"/>
      <c r="H339" s="133" t="n"/>
      <c r="I339" s="135">
        <f>IF(OR($A339="",$G339=""),"",IF($H339="VAR","KARŞILIKSIZ",IF($G339&gt;=DusukRiskEsik,"DÜŞÜK",IF($G339&gt;=RiskliSkorEsik,"ORTA",IF($G339&gt;=YuksekRiskEsik,"YÜKSEK","KARŞILIKSIZ")))))</f>
        <v/>
      </c>
      <c r="J339" s="133" t="n"/>
      <c r="K339" s="133" t="n"/>
    </row>
    <row r="340" ht="18" customHeight="1" s="102">
      <c r="A340" s="132" t="n"/>
      <c r="B340" s="133" t="n"/>
      <c r="C340" s="133" t="n"/>
      <c r="D340" s="133" t="n"/>
      <c r="E340" s="133" t="n"/>
      <c r="F340" s="133" t="n"/>
      <c r="G340" s="133" t="n"/>
      <c r="H340" s="133" t="n"/>
      <c r="I340" s="135">
        <f>IF(OR($A340="",$G340=""),"",IF($H340="VAR","KARŞILIKSIZ",IF($G340&gt;=DusukRiskEsik,"DÜŞÜK",IF($G340&gt;=RiskliSkorEsik,"ORTA",IF($G340&gt;=YuksekRiskEsik,"YÜKSEK","KARŞILIKSIZ")))))</f>
        <v/>
      </c>
      <c r="J340" s="133" t="n"/>
      <c r="K340" s="133" t="n"/>
    </row>
    <row r="341" ht="18" customHeight="1" s="102">
      <c r="A341" s="132" t="n"/>
      <c r="B341" s="133" t="n"/>
      <c r="C341" s="133" t="n"/>
      <c r="D341" s="133" t="n"/>
      <c r="E341" s="133" t="n"/>
      <c r="F341" s="133" t="n"/>
      <c r="G341" s="133" t="n"/>
      <c r="H341" s="133" t="n"/>
      <c r="I341" s="135">
        <f>IF(OR($A341="",$G341=""),"",IF($H341="VAR","KARŞILIKSIZ",IF($G341&gt;=DusukRiskEsik,"DÜŞÜK",IF($G341&gt;=RiskliSkorEsik,"ORTA",IF($G341&gt;=YuksekRiskEsik,"YÜKSEK","KARŞILIKSIZ")))))</f>
        <v/>
      </c>
      <c r="J341" s="133" t="n"/>
      <c r="K341" s="133" t="n"/>
    </row>
    <row r="342" ht="18" customHeight="1" s="102">
      <c r="A342" s="132" t="n"/>
      <c r="B342" s="133" t="n"/>
      <c r="C342" s="133" t="n"/>
      <c r="D342" s="133" t="n"/>
      <c r="E342" s="133" t="n"/>
      <c r="F342" s="133" t="n"/>
      <c r="G342" s="133" t="n"/>
      <c r="H342" s="133" t="n"/>
      <c r="I342" s="135">
        <f>IF(OR($A342="",$G342=""),"",IF($H342="VAR","KARŞILIKSIZ",IF($G342&gt;=DusukRiskEsik,"DÜŞÜK",IF($G342&gt;=RiskliSkorEsik,"ORTA",IF($G342&gt;=YuksekRiskEsik,"YÜKSEK","KARŞILIKSIZ")))))</f>
        <v/>
      </c>
      <c r="J342" s="133" t="n"/>
      <c r="K342" s="133" t="n"/>
    </row>
    <row r="343" ht="18" customHeight="1" s="102">
      <c r="A343" s="132" t="n"/>
      <c r="B343" s="133" t="n"/>
      <c r="C343" s="133" t="n"/>
      <c r="D343" s="133" t="n"/>
      <c r="E343" s="133" t="n"/>
      <c r="F343" s="133" t="n"/>
      <c r="G343" s="133" t="n"/>
      <c r="H343" s="133" t="n"/>
      <c r="I343" s="135">
        <f>IF(OR($A343="",$G343=""),"",IF($H343="VAR","KARŞILIKSIZ",IF($G343&gt;=DusukRiskEsik,"DÜŞÜK",IF($G343&gt;=RiskliSkorEsik,"ORTA",IF($G343&gt;=YuksekRiskEsik,"YÜKSEK","KARŞILIKSIZ")))))</f>
        <v/>
      </c>
      <c r="J343" s="133" t="n"/>
      <c r="K343" s="133" t="n"/>
    </row>
    <row r="344" ht="18" customHeight="1" s="102">
      <c r="A344" s="132" t="n"/>
      <c r="B344" s="133" t="n"/>
      <c r="C344" s="133" t="n"/>
      <c r="D344" s="133" t="n"/>
      <c r="E344" s="133" t="n"/>
      <c r="F344" s="133" t="n"/>
      <c r="G344" s="133" t="n"/>
      <c r="H344" s="133" t="n"/>
      <c r="I344" s="135">
        <f>IF(OR($A344="",$G344=""),"",IF($H344="VAR","KARŞILIKSIZ",IF($G344&gt;=DusukRiskEsik,"DÜŞÜK",IF($G344&gt;=RiskliSkorEsik,"ORTA",IF($G344&gt;=YuksekRiskEsik,"YÜKSEK","KARŞILIKSIZ")))))</f>
        <v/>
      </c>
      <c r="J344" s="133" t="n"/>
      <c r="K344" s="133" t="n"/>
    </row>
    <row r="345" ht="18" customHeight="1" s="102">
      <c r="A345" s="132" t="n"/>
      <c r="B345" s="133" t="n"/>
      <c r="C345" s="133" t="n"/>
      <c r="D345" s="133" t="n"/>
      <c r="E345" s="133" t="n"/>
      <c r="F345" s="133" t="n"/>
      <c r="G345" s="133" t="n"/>
      <c r="H345" s="133" t="n"/>
      <c r="I345" s="135">
        <f>IF(OR($A345="",$G345=""),"",IF($H345="VAR","KARŞILIKSIZ",IF($G345&gt;=DusukRiskEsik,"DÜŞÜK",IF($G345&gt;=RiskliSkorEsik,"ORTA",IF($G345&gt;=YuksekRiskEsik,"YÜKSEK","KARŞILIKSIZ")))))</f>
        <v/>
      </c>
      <c r="J345" s="133" t="n"/>
      <c r="K345" s="133" t="n"/>
    </row>
    <row r="346" ht="18" customHeight="1" s="102">
      <c r="A346" s="132" t="n"/>
      <c r="B346" s="133" t="n"/>
      <c r="C346" s="133" t="n"/>
      <c r="D346" s="133" t="n"/>
      <c r="E346" s="133" t="n"/>
      <c r="F346" s="133" t="n"/>
      <c r="G346" s="133" t="n"/>
      <c r="H346" s="133" t="n"/>
      <c r="I346" s="135">
        <f>IF(OR($A346="",$G346=""),"",IF($H346="VAR","KARŞILIKSIZ",IF($G346&gt;=DusukRiskEsik,"DÜŞÜK",IF($G346&gt;=RiskliSkorEsik,"ORTA",IF($G346&gt;=YuksekRiskEsik,"YÜKSEK","KARŞILIKSIZ")))))</f>
        <v/>
      </c>
      <c r="J346" s="133" t="n"/>
      <c r="K346" s="133" t="n"/>
    </row>
    <row r="347" ht="18" customHeight="1" s="102">
      <c r="A347" s="132" t="n"/>
      <c r="B347" s="133" t="n"/>
      <c r="C347" s="133" t="n"/>
      <c r="D347" s="133" t="n"/>
      <c r="E347" s="133" t="n"/>
      <c r="F347" s="133" t="n"/>
      <c r="G347" s="133" t="n"/>
      <c r="H347" s="133" t="n"/>
      <c r="I347" s="135">
        <f>IF(OR($A347="",$G347=""),"",IF($H347="VAR","KARŞILIKSIZ",IF($G347&gt;=DusukRiskEsik,"DÜŞÜK",IF($G347&gt;=RiskliSkorEsik,"ORTA",IF($G347&gt;=YuksekRiskEsik,"YÜKSEK","KARŞILIKSIZ")))))</f>
        <v/>
      </c>
      <c r="J347" s="133" t="n"/>
      <c r="K347" s="133" t="n"/>
    </row>
    <row r="348" ht="18" customHeight="1" s="102">
      <c r="A348" s="132" t="n"/>
      <c r="B348" s="133" t="n"/>
      <c r="C348" s="133" t="n"/>
      <c r="D348" s="133" t="n"/>
      <c r="E348" s="133" t="n"/>
      <c r="F348" s="133" t="n"/>
      <c r="G348" s="133" t="n"/>
      <c r="H348" s="133" t="n"/>
      <c r="I348" s="135">
        <f>IF(OR($A348="",$G348=""),"",IF($H348="VAR","KARŞILIKSIZ",IF($G348&gt;=DusukRiskEsik,"DÜŞÜK",IF($G348&gt;=RiskliSkorEsik,"ORTA",IF($G348&gt;=YuksekRiskEsik,"YÜKSEK","KARŞILIKSIZ")))))</f>
        <v/>
      </c>
      <c r="J348" s="133" t="n"/>
      <c r="K348" s="133" t="n"/>
    </row>
    <row r="349" ht="18" customHeight="1" s="102">
      <c r="A349" s="132" t="n"/>
      <c r="B349" s="133" t="n"/>
      <c r="C349" s="133" t="n"/>
      <c r="D349" s="133" t="n"/>
      <c r="E349" s="133" t="n"/>
      <c r="F349" s="133" t="n"/>
      <c r="G349" s="133" t="n"/>
      <c r="H349" s="133" t="n"/>
      <c r="I349" s="135">
        <f>IF(OR($A349="",$G349=""),"",IF($H349="VAR","KARŞILIKSIZ",IF($G349&gt;=DusukRiskEsik,"DÜŞÜK",IF($G349&gt;=RiskliSkorEsik,"ORTA",IF($G349&gt;=YuksekRiskEsik,"YÜKSEK","KARŞILIKSIZ")))))</f>
        <v/>
      </c>
      <c r="J349" s="133" t="n"/>
      <c r="K349" s="133" t="n"/>
    </row>
    <row r="350" ht="18" customHeight="1" s="102">
      <c r="A350" s="132" t="n"/>
      <c r="B350" s="133" t="n"/>
      <c r="C350" s="133" t="n"/>
      <c r="D350" s="133" t="n"/>
      <c r="E350" s="133" t="n"/>
      <c r="F350" s="133" t="n"/>
      <c r="G350" s="133" t="n"/>
      <c r="H350" s="133" t="n"/>
      <c r="I350" s="135">
        <f>IF(OR($A350="",$G350=""),"",IF($H350="VAR","KARŞILIKSIZ",IF($G350&gt;=DusukRiskEsik,"DÜŞÜK",IF($G350&gt;=RiskliSkorEsik,"ORTA",IF($G350&gt;=YuksekRiskEsik,"YÜKSEK","KARŞILIKSIZ")))))</f>
        <v/>
      </c>
      <c r="J350" s="133" t="n"/>
      <c r="K350" s="133" t="n"/>
    </row>
    <row r="351" ht="18" customHeight="1" s="102">
      <c r="A351" s="132" t="n"/>
      <c r="B351" s="133" t="n"/>
      <c r="C351" s="133" t="n"/>
      <c r="D351" s="133" t="n"/>
      <c r="E351" s="133" t="n"/>
      <c r="F351" s="133" t="n"/>
      <c r="G351" s="133" t="n"/>
      <c r="H351" s="133" t="n"/>
      <c r="I351" s="135">
        <f>IF(OR($A351="",$G351=""),"",IF($H351="VAR","KARŞILIKSIZ",IF($G351&gt;=DusukRiskEsik,"DÜŞÜK",IF($G351&gt;=RiskliSkorEsik,"ORTA",IF($G351&gt;=YuksekRiskEsik,"YÜKSEK","KARŞILIKSIZ")))))</f>
        <v/>
      </c>
      <c r="J351" s="133" t="n"/>
      <c r="K351" s="133" t="n"/>
    </row>
    <row r="352" ht="18" customHeight="1" s="102">
      <c r="A352" s="132" t="n"/>
      <c r="B352" s="133" t="n"/>
      <c r="C352" s="133" t="n"/>
      <c r="D352" s="133" t="n"/>
      <c r="E352" s="133" t="n"/>
      <c r="F352" s="133" t="n"/>
      <c r="G352" s="133" t="n"/>
      <c r="H352" s="133" t="n"/>
      <c r="I352" s="135">
        <f>IF(OR($A352="",$G352=""),"",IF($H352="VAR","KARŞILIKSIZ",IF($G352&gt;=DusukRiskEsik,"DÜŞÜK",IF($G352&gt;=RiskliSkorEsik,"ORTA",IF($G352&gt;=YuksekRiskEsik,"YÜKSEK","KARŞILIKSIZ")))))</f>
        <v/>
      </c>
      <c r="J352" s="133" t="n"/>
      <c r="K352" s="133" t="n"/>
    </row>
    <row r="353" ht="18" customHeight="1" s="102">
      <c r="A353" s="132" t="n"/>
      <c r="B353" s="133" t="n"/>
      <c r="C353" s="133" t="n"/>
      <c r="D353" s="133" t="n"/>
      <c r="E353" s="133" t="n"/>
      <c r="F353" s="133" t="n"/>
      <c r="G353" s="133" t="n"/>
      <c r="H353" s="133" t="n"/>
      <c r="I353" s="135">
        <f>IF(OR($A353="",$G353=""),"",IF($H353="VAR","KARŞILIKSIZ",IF($G353&gt;=DusukRiskEsik,"DÜŞÜK",IF($G353&gt;=RiskliSkorEsik,"ORTA",IF($G353&gt;=YuksekRiskEsik,"YÜKSEK","KARŞILIKSIZ")))))</f>
        <v/>
      </c>
      <c r="J353" s="133" t="n"/>
      <c r="K353" s="133" t="n"/>
    </row>
    <row r="354" ht="18" customHeight="1" s="102">
      <c r="A354" s="132" t="n"/>
      <c r="B354" s="133" t="n"/>
      <c r="C354" s="133" t="n"/>
      <c r="D354" s="133" t="n"/>
      <c r="E354" s="133" t="n"/>
      <c r="F354" s="133" t="n"/>
      <c r="G354" s="133" t="n"/>
      <c r="H354" s="133" t="n"/>
      <c r="I354" s="135">
        <f>IF(OR($A354="",$G354=""),"",IF($H354="VAR","KARŞILIKSIZ",IF($G354&gt;=DusukRiskEsik,"DÜŞÜK",IF($G354&gt;=RiskliSkorEsik,"ORTA",IF($G354&gt;=YuksekRiskEsik,"YÜKSEK","KARŞILIKSIZ")))))</f>
        <v/>
      </c>
      <c r="J354" s="133" t="n"/>
      <c r="K354" s="133" t="n"/>
    </row>
    <row r="355" ht="18" customHeight="1" s="102">
      <c r="A355" s="132" t="n"/>
      <c r="B355" s="133" t="n"/>
      <c r="C355" s="133" t="n"/>
      <c r="D355" s="133" t="n"/>
      <c r="E355" s="133" t="n"/>
      <c r="F355" s="133" t="n"/>
      <c r="G355" s="133" t="n"/>
      <c r="H355" s="133" t="n"/>
      <c r="I355" s="135">
        <f>IF(OR($A355="",$G355=""),"",IF($H355="VAR","KARŞILIKSIZ",IF($G355&gt;=DusukRiskEsik,"DÜŞÜK",IF($G355&gt;=RiskliSkorEsik,"ORTA",IF($G355&gt;=YuksekRiskEsik,"YÜKSEK","KARŞILIKSIZ")))))</f>
        <v/>
      </c>
      <c r="J355" s="133" t="n"/>
      <c r="K355" s="133" t="n"/>
    </row>
    <row r="356" ht="18" customHeight="1" s="102">
      <c r="A356" s="132" t="n"/>
      <c r="B356" s="133" t="n"/>
      <c r="C356" s="133" t="n"/>
      <c r="D356" s="133" t="n"/>
      <c r="E356" s="133" t="n"/>
      <c r="F356" s="133" t="n"/>
      <c r="G356" s="133" t="n"/>
      <c r="H356" s="133" t="n"/>
      <c r="I356" s="135">
        <f>IF(OR($A356="",$G356=""),"",IF($H356="VAR","KARŞILIKSIZ",IF($G356&gt;=DusukRiskEsik,"DÜŞÜK",IF($G356&gt;=RiskliSkorEsik,"ORTA",IF($G356&gt;=YuksekRiskEsik,"YÜKSEK","KARŞILIKSIZ")))))</f>
        <v/>
      </c>
      <c r="J356" s="133" t="n"/>
      <c r="K356" s="133" t="n"/>
    </row>
    <row r="357" ht="18" customHeight="1" s="102">
      <c r="A357" s="132" t="n"/>
      <c r="B357" s="133" t="n"/>
      <c r="C357" s="133" t="n"/>
      <c r="D357" s="133" t="n"/>
      <c r="E357" s="133" t="n"/>
      <c r="F357" s="133" t="n"/>
      <c r="G357" s="133" t="n"/>
      <c r="H357" s="133" t="n"/>
      <c r="I357" s="135">
        <f>IF(OR($A357="",$G357=""),"",IF($H357="VAR","KARŞILIKSIZ",IF($G357&gt;=DusukRiskEsik,"DÜŞÜK",IF($G357&gt;=RiskliSkorEsik,"ORTA",IF($G357&gt;=YuksekRiskEsik,"YÜKSEK","KARŞILIKSIZ")))))</f>
        <v/>
      </c>
      <c r="J357" s="133" t="n"/>
      <c r="K357" s="133" t="n"/>
    </row>
    <row r="358" ht="18" customHeight="1" s="102">
      <c r="A358" s="132" t="n"/>
      <c r="B358" s="133" t="n"/>
      <c r="C358" s="133" t="n"/>
      <c r="D358" s="133" t="n"/>
      <c r="E358" s="133" t="n"/>
      <c r="F358" s="133" t="n"/>
      <c r="G358" s="133" t="n"/>
      <c r="H358" s="133" t="n"/>
      <c r="I358" s="135">
        <f>IF(OR($A358="",$G358=""),"",IF($H358="VAR","KARŞILIKSIZ",IF($G358&gt;=DusukRiskEsik,"DÜŞÜK",IF($G358&gt;=RiskliSkorEsik,"ORTA",IF($G358&gt;=YuksekRiskEsik,"YÜKSEK","KARŞILIKSIZ")))))</f>
        <v/>
      </c>
      <c r="J358" s="133" t="n"/>
      <c r="K358" s="133" t="n"/>
    </row>
    <row r="359" ht="18" customHeight="1" s="102">
      <c r="A359" s="132" t="n"/>
      <c r="B359" s="133" t="n"/>
      <c r="C359" s="133" t="n"/>
      <c r="D359" s="133" t="n"/>
      <c r="E359" s="133" t="n"/>
      <c r="F359" s="133" t="n"/>
      <c r="G359" s="133" t="n"/>
      <c r="H359" s="133" t="n"/>
      <c r="I359" s="135">
        <f>IF(OR($A359="",$G359=""),"",IF($H359="VAR","KARŞILIKSIZ",IF($G359&gt;=DusukRiskEsik,"DÜŞÜK",IF($G359&gt;=RiskliSkorEsik,"ORTA",IF($G359&gt;=YuksekRiskEsik,"YÜKSEK","KARŞILIKSIZ")))))</f>
        <v/>
      </c>
      <c r="J359" s="133" t="n"/>
      <c r="K359" s="133" t="n"/>
    </row>
    <row r="360" ht="18" customHeight="1" s="102">
      <c r="A360" s="132" t="n"/>
      <c r="B360" s="133" t="n"/>
      <c r="C360" s="133" t="n"/>
      <c r="D360" s="133" t="n"/>
      <c r="E360" s="133" t="n"/>
      <c r="F360" s="133" t="n"/>
      <c r="G360" s="133" t="n"/>
      <c r="H360" s="133" t="n"/>
      <c r="I360" s="135">
        <f>IF(OR($A360="",$G360=""),"",IF($H360="VAR","KARŞILIKSIZ",IF($G360&gt;=DusukRiskEsik,"DÜŞÜK",IF($G360&gt;=RiskliSkorEsik,"ORTA",IF($G360&gt;=YuksekRiskEsik,"YÜKSEK","KARŞILIKSIZ")))))</f>
        <v/>
      </c>
      <c r="J360" s="133" t="n"/>
      <c r="K360" s="133" t="n"/>
    </row>
    <row r="361" ht="18" customHeight="1" s="102">
      <c r="A361" s="132" t="n"/>
      <c r="B361" s="133" t="n"/>
      <c r="C361" s="133" t="n"/>
      <c r="D361" s="133" t="n"/>
      <c r="E361" s="133" t="n"/>
      <c r="F361" s="133" t="n"/>
      <c r="G361" s="133" t="n"/>
      <c r="H361" s="133" t="n"/>
      <c r="I361" s="135">
        <f>IF(OR($A361="",$G361=""),"",IF($H361="VAR","KARŞILIKSIZ",IF($G361&gt;=DusukRiskEsik,"DÜŞÜK",IF($G361&gt;=RiskliSkorEsik,"ORTA",IF($G361&gt;=YuksekRiskEsik,"YÜKSEK","KARŞILIKSIZ")))))</f>
        <v/>
      </c>
      <c r="J361" s="133" t="n"/>
      <c r="K361" s="133" t="n"/>
    </row>
    <row r="362" ht="18" customHeight="1" s="102">
      <c r="A362" s="132" t="n"/>
      <c r="B362" s="133" t="n"/>
      <c r="C362" s="133" t="n"/>
      <c r="D362" s="133" t="n"/>
      <c r="E362" s="133" t="n"/>
      <c r="F362" s="133" t="n"/>
      <c r="G362" s="133" t="n"/>
      <c r="H362" s="133" t="n"/>
      <c r="I362" s="135">
        <f>IF(OR($A362="",$G362=""),"",IF($H362="VAR","KARŞILIKSIZ",IF($G362&gt;=DusukRiskEsik,"DÜŞÜK",IF($G362&gt;=RiskliSkorEsik,"ORTA",IF($G362&gt;=YuksekRiskEsik,"YÜKSEK","KARŞILIKSIZ")))))</f>
        <v/>
      </c>
      <c r="J362" s="133" t="n"/>
      <c r="K362" s="133" t="n"/>
    </row>
    <row r="363" ht="18" customHeight="1" s="102">
      <c r="A363" s="132" t="n"/>
      <c r="B363" s="133" t="n"/>
      <c r="C363" s="133" t="n"/>
      <c r="D363" s="133" t="n"/>
      <c r="E363" s="133" t="n"/>
      <c r="F363" s="133" t="n"/>
      <c r="G363" s="133" t="n"/>
      <c r="H363" s="133" t="n"/>
      <c r="I363" s="135">
        <f>IF(OR($A363="",$G363=""),"",IF($H363="VAR","KARŞILIKSIZ",IF($G363&gt;=DusukRiskEsik,"DÜŞÜK",IF($G363&gt;=RiskliSkorEsik,"ORTA",IF($G363&gt;=YuksekRiskEsik,"YÜKSEK","KARŞILIKSIZ")))))</f>
        <v/>
      </c>
      <c r="J363" s="133" t="n"/>
      <c r="K363" s="133" t="n"/>
    </row>
    <row r="364" ht="18" customHeight="1" s="102">
      <c r="A364" s="132" t="n"/>
      <c r="B364" s="133" t="n"/>
      <c r="C364" s="133" t="n"/>
      <c r="D364" s="133" t="n"/>
      <c r="E364" s="133" t="n"/>
      <c r="F364" s="133" t="n"/>
      <c r="G364" s="133" t="n"/>
      <c r="H364" s="133" t="n"/>
      <c r="I364" s="135">
        <f>IF(OR($A364="",$G364=""),"",IF($H364="VAR","KARŞILIKSIZ",IF($G364&gt;=DusukRiskEsik,"DÜŞÜK",IF($G364&gt;=RiskliSkorEsik,"ORTA",IF($G364&gt;=YuksekRiskEsik,"YÜKSEK","KARŞILIKSIZ")))))</f>
        <v/>
      </c>
      <c r="J364" s="133" t="n"/>
      <c r="K364" s="133" t="n"/>
    </row>
    <row r="365" ht="18" customHeight="1" s="102">
      <c r="A365" s="132" t="n"/>
      <c r="B365" s="133" t="n"/>
      <c r="C365" s="133" t="n"/>
      <c r="D365" s="133" t="n"/>
      <c r="E365" s="133" t="n"/>
      <c r="F365" s="133" t="n"/>
      <c r="G365" s="133" t="n"/>
      <c r="H365" s="133" t="n"/>
      <c r="I365" s="135">
        <f>IF(OR($A365="",$G365=""),"",IF($H365="VAR","KARŞILIKSIZ",IF($G365&gt;=DusukRiskEsik,"DÜŞÜK",IF($G365&gt;=RiskliSkorEsik,"ORTA",IF($G365&gt;=YuksekRiskEsik,"YÜKSEK","KARŞILIKSIZ")))))</f>
        <v/>
      </c>
      <c r="J365" s="133" t="n"/>
      <c r="K365" s="133" t="n"/>
    </row>
    <row r="366" ht="18" customHeight="1" s="102">
      <c r="A366" s="132" t="n"/>
      <c r="B366" s="133" t="n"/>
      <c r="C366" s="133" t="n"/>
      <c r="D366" s="133" t="n"/>
      <c r="E366" s="133" t="n"/>
      <c r="F366" s="133" t="n"/>
      <c r="G366" s="133" t="n"/>
      <c r="H366" s="133" t="n"/>
      <c r="I366" s="135">
        <f>IF(OR($A366="",$G366=""),"",IF($H366="VAR","KARŞILIKSIZ",IF($G366&gt;=DusukRiskEsik,"DÜŞÜK",IF($G366&gt;=RiskliSkorEsik,"ORTA",IF($G366&gt;=YuksekRiskEsik,"YÜKSEK","KARŞILIKSIZ")))))</f>
        <v/>
      </c>
      <c r="J366" s="133" t="n"/>
      <c r="K366" s="133" t="n"/>
    </row>
    <row r="367" ht="18" customHeight="1" s="102">
      <c r="A367" s="132" t="n"/>
      <c r="B367" s="133" t="n"/>
      <c r="C367" s="133" t="n"/>
      <c r="D367" s="133" t="n"/>
      <c r="E367" s="133" t="n"/>
      <c r="F367" s="133" t="n"/>
      <c r="G367" s="133" t="n"/>
      <c r="H367" s="133" t="n"/>
      <c r="I367" s="135">
        <f>IF(OR($A367="",$G367=""),"",IF($H367="VAR","KARŞILIKSIZ",IF($G367&gt;=DusukRiskEsik,"DÜŞÜK",IF($G367&gt;=RiskliSkorEsik,"ORTA",IF($G367&gt;=YuksekRiskEsik,"YÜKSEK","KARŞILIKSIZ")))))</f>
        <v/>
      </c>
      <c r="J367" s="133" t="n"/>
      <c r="K367" s="133" t="n"/>
    </row>
    <row r="368" ht="18" customHeight="1" s="102">
      <c r="A368" s="132" t="n"/>
      <c r="B368" s="133" t="n"/>
      <c r="C368" s="133" t="n"/>
      <c r="D368" s="133" t="n"/>
      <c r="E368" s="133" t="n"/>
      <c r="F368" s="133" t="n"/>
      <c r="G368" s="133" t="n"/>
      <c r="H368" s="133" t="n"/>
      <c r="I368" s="135">
        <f>IF(OR($A368="",$G368=""),"",IF($H368="VAR","KARŞILIKSIZ",IF($G368&gt;=DusukRiskEsik,"DÜŞÜK",IF($G368&gt;=RiskliSkorEsik,"ORTA",IF($G368&gt;=YuksekRiskEsik,"YÜKSEK","KARŞILIKSIZ")))))</f>
        <v/>
      </c>
      <c r="J368" s="133" t="n"/>
      <c r="K368" s="133" t="n"/>
    </row>
    <row r="369" ht="18" customHeight="1" s="102">
      <c r="A369" s="132" t="n"/>
      <c r="B369" s="133" t="n"/>
      <c r="C369" s="133" t="n"/>
      <c r="D369" s="133" t="n"/>
      <c r="E369" s="133" t="n"/>
      <c r="F369" s="133" t="n"/>
      <c r="G369" s="133" t="n"/>
      <c r="H369" s="133" t="n"/>
      <c r="I369" s="135">
        <f>IF(OR($A369="",$G369=""),"",IF($H369="VAR","KARŞILIKSIZ",IF($G369&gt;=DusukRiskEsik,"DÜŞÜK",IF($G369&gt;=RiskliSkorEsik,"ORTA",IF($G369&gt;=YuksekRiskEsik,"YÜKSEK","KARŞILIKSIZ")))))</f>
        <v/>
      </c>
      <c r="J369" s="133" t="n"/>
      <c r="K369" s="133" t="n"/>
    </row>
    <row r="370" ht="18" customHeight="1" s="102">
      <c r="A370" s="132" t="n"/>
      <c r="B370" s="133" t="n"/>
      <c r="C370" s="133" t="n"/>
      <c r="D370" s="133" t="n"/>
      <c r="E370" s="133" t="n"/>
      <c r="F370" s="133" t="n"/>
      <c r="G370" s="133" t="n"/>
      <c r="H370" s="133" t="n"/>
      <c r="I370" s="135">
        <f>IF(OR($A370="",$G370=""),"",IF($H370="VAR","KARŞILIKSIZ",IF($G370&gt;=DusukRiskEsik,"DÜŞÜK",IF($G370&gt;=RiskliSkorEsik,"ORTA",IF($G370&gt;=YuksekRiskEsik,"YÜKSEK","KARŞILIKSIZ")))))</f>
        <v/>
      </c>
      <c r="J370" s="133" t="n"/>
      <c r="K370" s="133" t="n"/>
    </row>
    <row r="371" ht="18" customHeight="1" s="102">
      <c r="A371" s="132" t="n"/>
      <c r="B371" s="133" t="n"/>
      <c r="C371" s="133" t="n"/>
      <c r="D371" s="133" t="n"/>
      <c r="E371" s="133" t="n"/>
      <c r="F371" s="133" t="n"/>
      <c r="G371" s="133" t="n"/>
      <c r="H371" s="133" t="n"/>
      <c r="I371" s="135">
        <f>IF(OR($A371="",$G371=""),"",IF($H371="VAR","KARŞILIKSIZ",IF($G371&gt;=DusukRiskEsik,"DÜŞÜK",IF($G371&gt;=RiskliSkorEsik,"ORTA",IF($G371&gt;=YuksekRiskEsik,"YÜKSEK","KARŞILIKSIZ")))))</f>
        <v/>
      </c>
      <c r="J371" s="133" t="n"/>
      <c r="K371" s="133" t="n"/>
    </row>
    <row r="372" ht="18" customHeight="1" s="102">
      <c r="A372" s="132" t="n"/>
      <c r="B372" s="133" t="n"/>
      <c r="C372" s="133" t="n"/>
      <c r="D372" s="133" t="n"/>
      <c r="E372" s="133" t="n"/>
      <c r="F372" s="133" t="n"/>
      <c r="G372" s="133" t="n"/>
      <c r="H372" s="133" t="n"/>
      <c r="I372" s="135">
        <f>IF(OR($A372="",$G372=""),"",IF($H372="VAR","KARŞILIKSIZ",IF($G372&gt;=DusukRiskEsik,"DÜŞÜK",IF($G372&gt;=RiskliSkorEsik,"ORTA",IF($G372&gt;=YuksekRiskEsik,"YÜKSEK","KARŞILIKSIZ")))))</f>
        <v/>
      </c>
      <c r="J372" s="133" t="n"/>
      <c r="K372" s="133" t="n"/>
    </row>
    <row r="373" ht="18" customHeight="1" s="102">
      <c r="A373" s="132" t="n"/>
      <c r="B373" s="133" t="n"/>
      <c r="C373" s="133" t="n"/>
      <c r="D373" s="133" t="n"/>
      <c r="E373" s="133" t="n"/>
      <c r="F373" s="133" t="n"/>
      <c r="G373" s="133" t="n"/>
      <c r="H373" s="133" t="n"/>
      <c r="I373" s="135">
        <f>IF(OR($A373="",$G373=""),"",IF($H373="VAR","KARŞILIKSIZ",IF($G373&gt;=DusukRiskEsik,"DÜŞÜK",IF($G373&gt;=RiskliSkorEsik,"ORTA",IF($G373&gt;=YuksekRiskEsik,"YÜKSEK","KARŞILIKSIZ")))))</f>
        <v/>
      </c>
      <c r="J373" s="133" t="n"/>
      <c r="K373" s="133" t="n"/>
    </row>
    <row r="374" ht="18" customHeight="1" s="102">
      <c r="A374" s="132" t="n"/>
      <c r="B374" s="133" t="n"/>
      <c r="C374" s="133" t="n"/>
      <c r="D374" s="133" t="n"/>
      <c r="E374" s="133" t="n"/>
      <c r="F374" s="133" t="n"/>
      <c r="G374" s="133" t="n"/>
      <c r="H374" s="133" t="n"/>
      <c r="I374" s="135">
        <f>IF(OR($A374="",$G374=""),"",IF($H374="VAR","KARŞILIKSIZ",IF($G374&gt;=DusukRiskEsik,"DÜŞÜK",IF($G374&gt;=RiskliSkorEsik,"ORTA",IF($G374&gt;=YuksekRiskEsik,"YÜKSEK","KARŞILIKSIZ")))))</f>
        <v/>
      </c>
      <c r="J374" s="133" t="n"/>
      <c r="K374" s="133" t="n"/>
    </row>
    <row r="375" ht="18" customHeight="1" s="102">
      <c r="A375" s="132" t="n"/>
      <c r="B375" s="133" t="n"/>
      <c r="C375" s="133" t="n"/>
      <c r="D375" s="133" t="n"/>
      <c r="E375" s="133" t="n"/>
      <c r="F375" s="133" t="n"/>
      <c r="G375" s="133" t="n"/>
      <c r="H375" s="133" t="n"/>
      <c r="I375" s="135">
        <f>IF(OR($A375="",$G375=""),"",IF($H375="VAR","KARŞILIKSIZ",IF($G375&gt;=DusukRiskEsik,"DÜŞÜK",IF($G375&gt;=RiskliSkorEsik,"ORTA",IF($G375&gt;=YuksekRiskEsik,"YÜKSEK","KARŞILIKSIZ")))))</f>
        <v/>
      </c>
      <c r="J375" s="133" t="n"/>
      <c r="K375" s="133" t="n"/>
    </row>
    <row r="376" ht="18" customHeight="1" s="102">
      <c r="A376" s="132" t="n"/>
      <c r="B376" s="133" t="n"/>
      <c r="C376" s="133" t="n"/>
      <c r="D376" s="133" t="n"/>
      <c r="E376" s="133" t="n"/>
      <c r="F376" s="133" t="n"/>
      <c r="G376" s="133" t="n"/>
      <c r="H376" s="133" t="n"/>
      <c r="I376" s="135">
        <f>IF(OR($A376="",$G376=""),"",IF($H376="VAR","KARŞILIKSIZ",IF($G376&gt;=DusukRiskEsik,"DÜŞÜK",IF($G376&gt;=RiskliSkorEsik,"ORTA",IF($G376&gt;=YuksekRiskEsik,"YÜKSEK","KARŞILIKSIZ")))))</f>
        <v/>
      </c>
      <c r="J376" s="133" t="n"/>
      <c r="K376" s="133" t="n"/>
    </row>
    <row r="377" ht="18" customHeight="1" s="102">
      <c r="A377" s="132" t="n"/>
      <c r="B377" s="133" t="n"/>
      <c r="C377" s="133" t="n"/>
      <c r="D377" s="133" t="n"/>
      <c r="E377" s="133" t="n"/>
      <c r="F377" s="133" t="n"/>
      <c r="G377" s="133" t="n"/>
      <c r="H377" s="133" t="n"/>
      <c r="I377" s="135">
        <f>IF(OR($A377="",$G377=""),"",IF($H377="VAR","KARŞILIKSIZ",IF($G377&gt;=DusukRiskEsik,"DÜŞÜK",IF($G377&gt;=RiskliSkorEsik,"ORTA",IF($G377&gt;=YuksekRiskEsik,"YÜKSEK","KARŞILIKSIZ")))))</f>
        <v/>
      </c>
      <c r="J377" s="133" t="n"/>
      <c r="K377" s="133" t="n"/>
    </row>
    <row r="378" ht="18" customHeight="1" s="102">
      <c r="A378" s="132" t="n"/>
      <c r="B378" s="133" t="n"/>
      <c r="C378" s="133" t="n"/>
      <c r="D378" s="133" t="n"/>
      <c r="E378" s="133" t="n"/>
      <c r="F378" s="133" t="n"/>
      <c r="G378" s="133" t="n"/>
      <c r="H378" s="133" t="n"/>
      <c r="I378" s="135">
        <f>IF(OR($A378="",$G378=""),"",IF($H378="VAR","KARŞILIKSIZ",IF($G378&gt;=DusukRiskEsik,"DÜŞÜK",IF($G378&gt;=RiskliSkorEsik,"ORTA",IF($G378&gt;=YuksekRiskEsik,"YÜKSEK","KARŞILIKSIZ")))))</f>
        <v/>
      </c>
      <c r="J378" s="133" t="n"/>
      <c r="K378" s="133" t="n"/>
    </row>
    <row r="379" ht="18" customHeight="1" s="102">
      <c r="A379" s="132" t="n"/>
      <c r="B379" s="133" t="n"/>
      <c r="C379" s="133" t="n"/>
      <c r="D379" s="133" t="n"/>
      <c r="E379" s="133" t="n"/>
      <c r="F379" s="133" t="n"/>
      <c r="G379" s="133" t="n"/>
      <c r="H379" s="133" t="n"/>
      <c r="I379" s="135">
        <f>IF(OR($A379="",$G379=""),"",IF($H379="VAR","KARŞILIKSIZ",IF($G379&gt;=DusukRiskEsik,"DÜŞÜK",IF($G379&gt;=RiskliSkorEsik,"ORTA",IF($G379&gt;=YuksekRiskEsik,"YÜKSEK","KARŞILIKSIZ")))))</f>
        <v/>
      </c>
      <c r="J379" s="133" t="n"/>
      <c r="K379" s="133" t="n"/>
    </row>
    <row r="380" ht="18" customHeight="1" s="102">
      <c r="A380" s="132" t="n"/>
      <c r="B380" s="133" t="n"/>
      <c r="C380" s="133" t="n"/>
      <c r="D380" s="133" t="n"/>
      <c r="E380" s="133" t="n"/>
      <c r="F380" s="133" t="n"/>
      <c r="G380" s="133" t="n"/>
      <c r="H380" s="133" t="n"/>
      <c r="I380" s="135">
        <f>IF(OR($A380="",$G380=""),"",IF($H380="VAR","KARŞILIKSIZ",IF($G380&gt;=DusukRiskEsik,"DÜŞÜK",IF($G380&gt;=RiskliSkorEsik,"ORTA",IF($G380&gt;=YuksekRiskEsik,"YÜKSEK","KARŞILIKSIZ")))))</f>
        <v/>
      </c>
      <c r="J380" s="133" t="n"/>
      <c r="K380" s="133" t="n"/>
    </row>
    <row r="381" ht="18" customHeight="1" s="102">
      <c r="A381" s="132" t="n"/>
      <c r="B381" s="133" t="n"/>
      <c r="C381" s="133" t="n"/>
      <c r="D381" s="133" t="n"/>
      <c r="E381" s="133" t="n"/>
      <c r="F381" s="133" t="n"/>
      <c r="G381" s="133" t="n"/>
      <c r="H381" s="133" t="n"/>
      <c r="I381" s="135">
        <f>IF(OR($A381="",$G381=""),"",IF($H381="VAR","KARŞILIKSIZ",IF($G381&gt;=DusukRiskEsik,"DÜŞÜK",IF($G381&gt;=RiskliSkorEsik,"ORTA",IF($G381&gt;=YuksekRiskEsik,"YÜKSEK","KARŞILIKSIZ")))))</f>
        <v/>
      </c>
      <c r="J381" s="133" t="n"/>
      <c r="K381" s="133" t="n"/>
    </row>
    <row r="382" ht="18" customHeight="1" s="102">
      <c r="A382" s="132" t="n"/>
      <c r="B382" s="133" t="n"/>
      <c r="C382" s="133" t="n"/>
      <c r="D382" s="133" t="n"/>
      <c r="E382" s="133" t="n"/>
      <c r="F382" s="133" t="n"/>
      <c r="G382" s="133" t="n"/>
      <c r="H382" s="133" t="n"/>
      <c r="I382" s="135">
        <f>IF(OR($A382="",$G382=""),"",IF($H382="VAR","KARŞILIKSIZ",IF($G382&gt;=DusukRiskEsik,"DÜŞÜK",IF($G382&gt;=RiskliSkorEsik,"ORTA",IF($G382&gt;=YuksekRiskEsik,"YÜKSEK","KARŞILIKSIZ")))))</f>
        <v/>
      </c>
      <c r="J382" s="133" t="n"/>
      <c r="K382" s="133" t="n"/>
    </row>
    <row r="383" ht="18" customHeight="1" s="102">
      <c r="A383" s="132" t="n"/>
      <c r="B383" s="133" t="n"/>
      <c r="C383" s="133" t="n"/>
      <c r="D383" s="133" t="n"/>
      <c r="E383" s="133" t="n"/>
      <c r="F383" s="133" t="n"/>
      <c r="G383" s="133" t="n"/>
      <c r="H383" s="133" t="n"/>
      <c r="I383" s="135">
        <f>IF(OR($A383="",$G383=""),"",IF($H383="VAR","KARŞILIKSIZ",IF($G383&gt;=DusukRiskEsik,"DÜŞÜK",IF($G383&gt;=RiskliSkorEsik,"ORTA",IF($G383&gt;=YuksekRiskEsik,"YÜKSEK","KARŞILIKSIZ")))))</f>
        <v/>
      </c>
      <c r="J383" s="133" t="n"/>
      <c r="K383" s="133" t="n"/>
    </row>
    <row r="384" ht="18" customHeight="1" s="102">
      <c r="A384" s="132" t="n"/>
      <c r="B384" s="133" t="n"/>
      <c r="C384" s="133" t="n"/>
      <c r="D384" s="133" t="n"/>
      <c r="E384" s="133" t="n"/>
      <c r="F384" s="133" t="n"/>
      <c r="G384" s="133" t="n"/>
      <c r="H384" s="133" t="n"/>
      <c r="I384" s="135">
        <f>IF(OR($A384="",$G384=""),"",IF($H384="VAR","KARŞILIKSIZ",IF($G384&gt;=DusukRiskEsik,"DÜŞÜK",IF($G384&gt;=RiskliSkorEsik,"ORTA",IF($G384&gt;=YuksekRiskEsik,"YÜKSEK","KARŞILIKSIZ")))))</f>
        <v/>
      </c>
      <c r="J384" s="133" t="n"/>
      <c r="K384" s="133" t="n"/>
    </row>
    <row r="385" ht="18" customHeight="1" s="102">
      <c r="A385" s="132" t="n"/>
      <c r="B385" s="133" t="n"/>
      <c r="C385" s="133" t="n"/>
      <c r="D385" s="133" t="n"/>
      <c r="E385" s="133" t="n"/>
      <c r="F385" s="133" t="n"/>
      <c r="G385" s="133" t="n"/>
      <c r="H385" s="133" t="n"/>
      <c r="I385" s="135">
        <f>IF(OR($A385="",$G385=""),"",IF($H385="VAR","KARŞILIKSIZ",IF($G385&gt;=DusukRiskEsik,"DÜŞÜK",IF($G385&gt;=RiskliSkorEsik,"ORTA",IF($G385&gt;=YuksekRiskEsik,"YÜKSEK","KARŞILIKSIZ")))))</f>
        <v/>
      </c>
      <c r="J385" s="133" t="n"/>
      <c r="K385" s="133" t="n"/>
    </row>
    <row r="386" ht="18" customHeight="1" s="102">
      <c r="A386" s="132" t="n"/>
      <c r="B386" s="133" t="n"/>
      <c r="C386" s="133" t="n"/>
      <c r="D386" s="133" t="n"/>
      <c r="E386" s="133" t="n"/>
      <c r="F386" s="133" t="n"/>
      <c r="G386" s="133" t="n"/>
      <c r="H386" s="133" t="n"/>
      <c r="I386" s="135">
        <f>IF(OR($A386="",$G386=""),"",IF($H386="VAR","KARŞILIKSIZ",IF($G386&gt;=DusukRiskEsik,"DÜŞÜK",IF($G386&gt;=RiskliSkorEsik,"ORTA",IF($G386&gt;=YuksekRiskEsik,"YÜKSEK","KARŞILIKSIZ")))))</f>
        <v/>
      </c>
      <c r="J386" s="133" t="n"/>
      <c r="K386" s="133" t="n"/>
    </row>
    <row r="387" ht="18" customHeight="1" s="102">
      <c r="A387" s="132" t="n"/>
      <c r="B387" s="133" t="n"/>
      <c r="C387" s="133" t="n"/>
      <c r="D387" s="133" t="n"/>
      <c r="E387" s="133" t="n"/>
      <c r="F387" s="133" t="n"/>
      <c r="G387" s="133" t="n"/>
      <c r="H387" s="133" t="n"/>
      <c r="I387" s="135">
        <f>IF(OR($A387="",$G387=""),"",IF($H387="VAR","KARŞILIKSIZ",IF($G387&gt;=DusukRiskEsik,"DÜŞÜK",IF($G387&gt;=RiskliSkorEsik,"ORTA",IF($G387&gt;=YuksekRiskEsik,"YÜKSEK","KARŞILIKSIZ")))))</f>
        <v/>
      </c>
      <c r="J387" s="133" t="n"/>
      <c r="K387" s="133" t="n"/>
    </row>
    <row r="388" ht="18" customHeight="1" s="102">
      <c r="A388" s="132" t="n"/>
      <c r="B388" s="133" t="n"/>
      <c r="C388" s="133" t="n"/>
      <c r="D388" s="133" t="n"/>
      <c r="E388" s="133" t="n"/>
      <c r="F388" s="133" t="n"/>
      <c r="G388" s="133" t="n"/>
      <c r="H388" s="133" t="n"/>
      <c r="I388" s="135">
        <f>IF(OR($A388="",$G388=""),"",IF($H388="VAR","KARŞILIKSIZ",IF($G388&gt;=DusukRiskEsik,"DÜŞÜK",IF($G388&gt;=RiskliSkorEsik,"ORTA",IF($G388&gt;=YuksekRiskEsik,"YÜKSEK","KARŞILIKSIZ")))))</f>
        <v/>
      </c>
      <c r="J388" s="133" t="n"/>
      <c r="K388" s="133" t="n"/>
    </row>
    <row r="389" ht="18" customHeight="1" s="102">
      <c r="A389" s="132" t="n"/>
      <c r="B389" s="133" t="n"/>
      <c r="C389" s="133" t="n"/>
      <c r="D389" s="133" t="n"/>
      <c r="E389" s="133" t="n"/>
      <c r="F389" s="133" t="n"/>
      <c r="G389" s="133" t="n"/>
      <c r="H389" s="133" t="n"/>
      <c r="I389" s="135">
        <f>IF(OR($A389="",$G389=""),"",IF($H389="VAR","KARŞILIKSIZ",IF($G389&gt;=DusukRiskEsik,"DÜŞÜK",IF($G389&gt;=RiskliSkorEsik,"ORTA",IF($G389&gt;=YuksekRiskEsik,"YÜKSEK","KARŞILIKSIZ")))))</f>
        <v/>
      </c>
      <c r="J389" s="133" t="n"/>
      <c r="K389" s="133" t="n"/>
    </row>
    <row r="390" ht="18" customHeight="1" s="102">
      <c r="A390" s="132" t="n"/>
      <c r="B390" s="133" t="n"/>
      <c r="C390" s="133" t="n"/>
      <c r="D390" s="133" t="n"/>
      <c r="E390" s="133" t="n"/>
      <c r="F390" s="133" t="n"/>
      <c r="G390" s="133" t="n"/>
      <c r="H390" s="133" t="n"/>
      <c r="I390" s="135">
        <f>IF(OR($A390="",$G390=""),"",IF($H390="VAR","KARŞILIKSIZ",IF($G390&gt;=DusukRiskEsik,"DÜŞÜK",IF($G390&gt;=RiskliSkorEsik,"ORTA",IF($G390&gt;=YuksekRiskEsik,"YÜKSEK","KARŞILIKSIZ")))))</f>
        <v/>
      </c>
      <c r="J390" s="133" t="n"/>
      <c r="K390" s="133" t="n"/>
    </row>
    <row r="391" ht="18" customHeight="1" s="102">
      <c r="A391" s="132" t="n"/>
      <c r="B391" s="133" t="n"/>
      <c r="C391" s="133" t="n"/>
      <c r="D391" s="133" t="n"/>
      <c r="E391" s="133" t="n"/>
      <c r="F391" s="133" t="n"/>
      <c r="G391" s="133" t="n"/>
      <c r="H391" s="133" t="n"/>
      <c r="I391" s="135">
        <f>IF(OR($A391="",$G391=""),"",IF($H391="VAR","KARŞILIKSIZ",IF($G391&gt;=DusukRiskEsik,"DÜŞÜK",IF($G391&gt;=RiskliSkorEsik,"ORTA",IF($G391&gt;=YuksekRiskEsik,"YÜKSEK","KARŞILIKSIZ")))))</f>
        <v/>
      </c>
      <c r="J391" s="133" t="n"/>
      <c r="K391" s="133" t="n"/>
    </row>
    <row r="392" ht="18" customHeight="1" s="102">
      <c r="A392" s="132" t="n"/>
      <c r="B392" s="133" t="n"/>
      <c r="C392" s="133" t="n"/>
      <c r="D392" s="133" t="n"/>
      <c r="E392" s="133" t="n"/>
      <c r="F392" s="133" t="n"/>
      <c r="G392" s="133" t="n"/>
      <c r="H392" s="133" t="n"/>
      <c r="I392" s="135">
        <f>IF(OR($A392="",$G392=""),"",IF($H392="VAR","KARŞILIKSIZ",IF($G392&gt;=DusukRiskEsik,"DÜŞÜK",IF($G392&gt;=RiskliSkorEsik,"ORTA",IF($G392&gt;=YuksekRiskEsik,"YÜKSEK","KARŞILIKSIZ")))))</f>
        <v/>
      </c>
      <c r="J392" s="133" t="n"/>
      <c r="K392" s="133" t="n"/>
    </row>
    <row r="393" ht="18" customHeight="1" s="102">
      <c r="A393" s="132" t="n"/>
      <c r="B393" s="133" t="n"/>
      <c r="C393" s="133" t="n"/>
      <c r="D393" s="133" t="n"/>
      <c r="E393" s="133" t="n"/>
      <c r="F393" s="133" t="n"/>
      <c r="G393" s="133" t="n"/>
      <c r="H393" s="133" t="n"/>
      <c r="I393" s="135">
        <f>IF(OR($A393="",$G393=""),"",IF($H393="VAR","KARŞILIKSIZ",IF($G393&gt;=DusukRiskEsik,"DÜŞÜK",IF($G393&gt;=RiskliSkorEsik,"ORTA",IF($G393&gt;=YuksekRiskEsik,"YÜKSEK","KARŞILIKSIZ")))))</f>
        <v/>
      </c>
      <c r="J393" s="133" t="n"/>
      <c r="K393" s="133" t="n"/>
    </row>
    <row r="394" ht="18" customHeight="1" s="102">
      <c r="A394" s="132" t="n"/>
      <c r="B394" s="133" t="n"/>
      <c r="C394" s="133" t="n"/>
      <c r="D394" s="133" t="n"/>
      <c r="E394" s="133" t="n"/>
      <c r="F394" s="133" t="n"/>
      <c r="G394" s="133" t="n"/>
      <c r="H394" s="133" t="n"/>
      <c r="I394" s="135">
        <f>IF(OR($A394="",$G394=""),"",IF($H394="VAR","KARŞILIKSIZ",IF($G394&gt;=DusukRiskEsik,"DÜŞÜK",IF($G394&gt;=RiskliSkorEsik,"ORTA",IF($G394&gt;=YuksekRiskEsik,"YÜKSEK","KARŞILIKSIZ")))))</f>
        <v/>
      </c>
      <c r="J394" s="133" t="n"/>
      <c r="K394" s="133" t="n"/>
    </row>
    <row r="395" ht="18" customHeight="1" s="102">
      <c r="A395" s="132" t="n"/>
      <c r="B395" s="133" t="n"/>
      <c r="C395" s="133" t="n"/>
      <c r="D395" s="133" t="n"/>
      <c r="E395" s="133" t="n"/>
      <c r="F395" s="133" t="n"/>
      <c r="G395" s="133" t="n"/>
      <c r="H395" s="133" t="n"/>
      <c r="I395" s="135">
        <f>IF(OR($A395="",$G395=""),"",IF($H395="VAR","KARŞILIKSIZ",IF($G395&gt;=DusukRiskEsik,"DÜŞÜK",IF($G395&gt;=RiskliSkorEsik,"ORTA",IF($G395&gt;=YuksekRiskEsik,"YÜKSEK","KARŞILIKSIZ")))))</f>
        <v/>
      </c>
      <c r="J395" s="133" t="n"/>
      <c r="K395" s="133" t="n"/>
    </row>
    <row r="396" ht="18" customHeight="1" s="102">
      <c r="A396" s="132" t="n"/>
      <c r="B396" s="133" t="n"/>
      <c r="C396" s="133" t="n"/>
      <c r="D396" s="133" t="n"/>
      <c r="E396" s="133" t="n"/>
      <c r="F396" s="133" t="n"/>
      <c r="G396" s="133" t="n"/>
      <c r="H396" s="133" t="n"/>
      <c r="I396" s="135">
        <f>IF(OR($A396="",$G396=""),"",IF($H396="VAR","KARŞILIKSIZ",IF($G396&gt;=DusukRiskEsik,"DÜŞÜK",IF($G396&gt;=RiskliSkorEsik,"ORTA",IF($G396&gt;=YuksekRiskEsik,"YÜKSEK","KARŞILIKSIZ")))))</f>
        <v/>
      </c>
      <c r="J396" s="133" t="n"/>
      <c r="K396" s="133" t="n"/>
    </row>
    <row r="397" ht="18" customHeight="1" s="102">
      <c r="A397" s="132" t="n"/>
      <c r="B397" s="133" t="n"/>
      <c r="C397" s="133" t="n"/>
      <c r="D397" s="133" t="n"/>
      <c r="E397" s="133" t="n"/>
      <c r="F397" s="133" t="n"/>
      <c r="G397" s="133" t="n"/>
      <c r="H397" s="133" t="n"/>
      <c r="I397" s="135">
        <f>IF(OR($A397="",$G397=""),"",IF($H397="VAR","KARŞILIKSIZ",IF($G397&gt;=DusukRiskEsik,"DÜŞÜK",IF($G397&gt;=RiskliSkorEsik,"ORTA",IF($G397&gt;=YuksekRiskEsik,"YÜKSEK","KARŞILIKSIZ")))))</f>
        <v/>
      </c>
      <c r="J397" s="133" t="n"/>
      <c r="K397" s="133" t="n"/>
    </row>
    <row r="398" ht="18" customHeight="1" s="102">
      <c r="A398" s="132" t="n"/>
      <c r="B398" s="133" t="n"/>
      <c r="C398" s="133" t="n"/>
      <c r="D398" s="133" t="n"/>
      <c r="E398" s="133" t="n"/>
      <c r="F398" s="133" t="n"/>
      <c r="G398" s="133" t="n"/>
      <c r="H398" s="133" t="n"/>
      <c r="I398" s="135">
        <f>IF(OR($A398="",$G398=""),"",IF($H398="VAR","KARŞILIKSIZ",IF($G398&gt;=DusukRiskEsik,"DÜŞÜK",IF($G398&gt;=RiskliSkorEsik,"ORTA",IF($G398&gt;=YuksekRiskEsik,"YÜKSEK","KARŞILIKSIZ")))))</f>
        <v/>
      </c>
      <c r="J398" s="133" t="n"/>
      <c r="K398" s="133" t="n"/>
    </row>
    <row r="399" ht="18" customHeight="1" s="102">
      <c r="A399" s="132" t="n"/>
      <c r="B399" s="133" t="n"/>
      <c r="C399" s="133" t="n"/>
      <c r="D399" s="133" t="n"/>
      <c r="E399" s="133" t="n"/>
      <c r="F399" s="133" t="n"/>
      <c r="G399" s="133" t="n"/>
      <c r="H399" s="133" t="n"/>
      <c r="I399" s="135">
        <f>IF(OR($A399="",$G399=""),"",IF($H399="VAR","KARŞILIKSIZ",IF($G399&gt;=DusukRiskEsik,"DÜŞÜK",IF($G399&gt;=RiskliSkorEsik,"ORTA",IF($G399&gt;=YuksekRiskEsik,"YÜKSEK","KARŞILIKSIZ")))))</f>
        <v/>
      </c>
      <c r="J399" s="133" t="n"/>
      <c r="K399" s="133" t="n"/>
    </row>
    <row r="400" ht="18" customHeight="1" s="102">
      <c r="A400" s="132" t="n"/>
      <c r="B400" s="133" t="n"/>
      <c r="C400" s="133" t="n"/>
      <c r="D400" s="133" t="n"/>
      <c r="E400" s="133" t="n"/>
      <c r="F400" s="133" t="n"/>
      <c r="G400" s="133" t="n"/>
      <c r="H400" s="133" t="n"/>
      <c r="I400" s="135">
        <f>IF(OR($A400="",$G400=""),"",IF($H400="VAR","KARŞILIKSIZ",IF($G400&gt;=DusukRiskEsik,"DÜŞÜK",IF($G400&gt;=RiskliSkorEsik,"ORTA",IF($G400&gt;=YuksekRiskEsik,"YÜKSEK","KARŞILIKSIZ")))))</f>
        <v/>
      </c>
      <c r="J400" s="133" t="n"/>
      <c r="K400" s="133" t="n"/>
    </row>
    <row r="401" ht="18" customHeight="1" s="102">
      <c r="A401" s="132" t="n"/>
      <c r="B401" s="133" t="n"/>
      <c r="C401" s="133" t="n"/>
      <c r="D401" s="133" t="n"/>
      <c r="E401" s="133" t="n"/>
      <c r="F401" s="133" t="n"/>
      <c r="G401" s="133" t="n"/>
      <c r="H401" s="133" t="n"/>
      <c r="I401" s="135">
        <f>IF(OR($A401="",$G401=""),"",IF($H401="VAR","KARŞILIKSIZ",IF($G401&gt;=DusukRiskEsik,"DÜŞÜK",IF($G401&gt;=RiskliSkorEsik,"ORTA",IF($G401&gt;=YuksekRiskEsik,"YÜKSEK","KARŞILIKSIZ")))))</f>
        <v/>
      </c>
      <c r="J401" s="133" t="n"/>
      <c r="K401" s="133" t="n"/>
    </row>
    <row r="402" ht="18" customHeight="1" s="102">
      <c r="A402" s="132" t="n"/>
      <c r="B402" s="133" t="n"/>
      <c r="C402" s="133" t="n"/>
      <c r="D402" s="133" t="n"/>
      <c r="E402" s="133" t="n"/>
      <c r="F402" s="133" t="n"/>
      <c r="G402" s="133" t="n"/>
      <c r="H402" s="133" t="n"/>
      <c r="I402" s="135">
        <f>IF(OR($A402="",$G402=""),"",IF($H402="VAR","KARŞILIKSIZ",IF($G402&gt;=DusukRiskEsik,"DÜŞÜK",IF($G402&gt;=RiskliSkorEsik,"ORTA",IF($G402&gt;=YuksekRiskEsik,"YÜKSEK","KARŞILIKSIZ")))))</f>
        <v/>
      </c>
      <c r="J402" s="133" t="n"/>
      <c r="K402" s="133" t="n"/>
    </row>
    <row r="403" ht="18" customHeight="1" s="102">
      <c r="A403" s="132" t="n"/>
      <c r="B403" s="133" t="n"/>
      <c r="C403" s="133" t="n"/>
      <c r="D403" s="133" t="n"/>
      <c r="E403" s="133" t="n"/>
      <c r="F403" s="133" t="n"/>
      <c r="G403" s="133" t="n"/>
      <c r="H403" s="133" t="n"/>
      <c r="I403" s="135">
        <f>IF(OR($A403="",$G403=""),"",IF($H403="VAR","KARŞILIKSIZ",IF($G403&gt;=DusukRiskEsik,"DÜŞÜK",IF($G403&gt;=RiskliSkorEsik,"ORTA",IF($G403&gt;=YuksekRiskEsik,"YÜKSEK","KARŞILIKSIZ")))))</f>
        <v/>
      </c>
      <c r="J403" s="133" t="n"/>
      <c r="K403" s="133" t="n"/>
    </row>
    <row r="404" ht="18" customHeight="1" s="102">
      <c r="A404" s="132" t="n"/>
      <c r="B404" s="133" t="n"/>
      <c r="C404" s="133" t="n"/>
      <c r="D404" s="133" t="n"/>
      <c r="E404" s="133" t="n"/>
      <c r="F404" s="133" t="n"/>
      <c r="G404" s="133" t="n"/>
      <c r="H404" s="133" t="n"/>
      <c r="I404" s="135">
        <f>IF(OR($A404="",$G404=""),"",IF($H404="VAR","KARŞILIKSIZ",IF($G404&gt;=DusukRiskEsik,"DÜŞÜK",IF($G404&gt;=RiskliSkorEsik,"ORTA",IF($G404&gt;=YuksekRiskEsik,"YÜKSEK","KARŞILIKSIZ")))))</f>
        <v/>
      </c>
      <c r="J404" s="133" t="n"/>
      <c r="K404" s="133" t="n"/>
    </row>
    <row r="405" ht="18" customHeight="1" s="102">
      <c r="A405" s="132" t="n"/>
      <c r="B405" s="133" t="n"/>
      <c r="C405" s="133" t="n"/>
      <c r="D405" s="133" t="n"/>
      <c r="E405" s="133" t="n"/>
      <c r="F405" s="133" t="n"/>
      <c r="G405" s="133" t="n"/>
      <c r="H405" s="133" t="n"/>
      <c r="I405" s="135">
        <f>IF(OR($A405="",$G405=""),"",IF($H405="VAR","KARŞILIKSIZ",IF($G405&gt;=DusukRiskEsik,"DÜŞÜK",IF($G405&gt;=RiskliSkorEsik,"ORTA",IF($G405&gt;=YuksekRiskEsik,"YÜKSEK","KARŞILIKSIZ")))))</f>
        <v/>
      </c>
      <c r="J405" s="133" t="n"/>
      <c r="K405" s="133" t="n"/>
    </row>
    <row r="406" ht="18" customHeight="1" s="102">
      <c r="A406" s="132" t="n"/>
      <c r="B406" s="133" t="n"/>
      <c r="C406" s="133" t="n"/>
      <c r="D406" s="133" t="n"/>
      <c r="E406" s="133" t="n"/>
      <c r="F406" s="133" t="n"/>
      <c r="G406" s="133" t="n"/>
      <c r="H406" s="133" t="n"/>
      <c r="I406" s="135">
        <f>IF(OR($A406="",$G406=""),"",IF($H406="VAR","KARŞILIKSIZ",IF($G406&gt;=DusukRiskEsik,"DÜŞÜK",IF($G406&gt;=RiskliSkorEsik,"ORTA",IF($G406&gt;=YuksekRiskEsik,"YÜKSEK","KARŞILIKSIZ")))))</f>
        <v/>
      </c>
      <c r="J406" s="133" t="n"/>
      <c r="K406" s="133" t="n"/>
    </row>
    <row r="407" ht="18" customHeight="1" s="102">
      <c r="A407" s="132" t="n"/>
      <c r="B407" s="133" t="n"/>
      <c r="C407" s="133" t="n"/>
      <c r="D407" s="133" t="n"/>
      <c r="E407" s="133" t="n"/>
      <c r="F407" s="133" t="n"/>
      <c r="G407" s="133" t="n"/>
      <c r="H407" s="133" t="n"/>
      <c r="I407" s="135">
        <f>IF(OR($A407="",$G407=""),"",IF($H407="VAR","KARŞILIKSIZ",IF($G407&gt;=DusukRiskEsik,"DÜŞÜK",IF($G407&gt;=RiskliSkorEsik,"ORTA",IF($G407&gt;=YuksekRiskEsik,"YÜKSEK","KARŞILIKSIZ")))))</f>
        <v/>
      </c>
      <c r="J407" s="133" t="n"/>
      <c r="K407" s="133" t="n"/>
    </row>
    <row r="408" ht="18" customHeight="1" s="102">
      <c r="A408" s="132" t="n"/>
      <c r="B408" s="133" t="n"/>
      <c r="C408" s="133" t="n"/>
      <c r="D408" s="133" t="n"/>
      <c r="E408" s="133" t="n"/>
      <c r="F408" s="133" t="n"/>
      <c r="G408" s="133" t="n"/>
      <c r="H408" s="133" t="n"/>
      <c r="I408" s="135">
        <f>IF(OR($A408="",$G408=""),"",IF($H408="VAR","KARŞILIKSIZ",IF($G408&gt;=DusukRiskEsik,"DÜŞÜK",IF($G408&gt;=RiskliSkorEsik,"ORTA",IF($G408&gt;=YuksekRiskEsik,"YÜKSEK","KARŞILIKSIZ")))))</f>
        <v/>
      </c>
      <c r="J408" s="133" t="n"/>
      <c r="K408" s="133" t="n"/>
    </row>
    <row r="409" ht="18" customHeight="1" s="102">
      <c r="A409" s="132" t="n"/>
      <c r="B409" s="133" t="n"/>
      <c r="C409" s="133" t="n"/>
      <c r="D409" s="133" t="n"/>
      <c r="E409" s="133" t="n"/>
      <c r="F409" s="133" t="n"/>
      <c r="G409" s="133" t="n"/>
      <c r="H409" s="133" t="n"/>
      <c r="I409" s="135">
        <f>IF(OR($A409="",$G409=""),"",IF($H409="VAR","KARŞILIKSIZ",IF($G409&gt;=DusukRiskEsik,"DÜŞÜK",IF($G409&gt;=RiskliSkorEsik,"ORTA",IF($G409&gt;=YuksekRiskEsik,"YÜKSEK","KARŞILIKSIZ")))))</f>
        <v/>
      </c>
      <c r="J409" s="133" t="n"/>
      <c r="K409" s="133" t="n"/>
    </row>
    <row r="410" ht="18" customHeight="1" s="102">
      <c r="A410" s="132" t="n"/>
      <c r="B410" s="133" t="n"/>
      <c r="C410" s="133" t="n"/>
      <c r="D410" s="133" t="n"/>
      <c r="E410" s="133" t="n"/>
      <c r="F410" s="133" t="n"/>
      <c r="G410" s="133" t="n"/>
      <c r="H410" s="133" t="n"/>
      <c r="I410" s="135">
        <f>IF(OR($A410="",$G410=""),"",IF($H410="VAR","KARŞILIKSIZ",IF($G410&gt;=DusukRiskEsik,"DÜŞÜK",IF($G410&gt;=RiskliSkorEsik,"ORTA",IF($G410&gt;=YuksekRiskEsik,"YÜKSEK","KARŞILIKSIZ")))))</f>
        <v/>
      </c>
      <c r="J410" s="133" t="n"/>
      <c r="K410" s="133" t="n"/>
    </row>
    <row r="411" ht="18" customHeight="1" s="102">
      <c r="A411" s="132" t="n"/>
      <c r="B411" s="133" t="n"/>
      <c r="C411" s="133" t="n"/>
      <c r="D411" s="133" t="n"/>
      <c r="E411" s="133" t="n"/>
      <c r="F411" s="133" t="n"/>
      <c r="G411" s="133" t="n"/>
      <c r="H411" s="133" t="n"/>
      <c r="I411" s="135">
        <f>IF(OR($A411="",$G411=""),"",IF($H411="VAR","KARŞILIKSIZ",IF($G411&gt;=DusukRiskEsik,"DÜŞÜK",IF($G411&gt;=RiskliSkorEsik,"ORTA",IF($G411&gt;=YuksekRiskEsik,"YÜKSEK","KARŞILIKSIZ")))))</f>
        <v/>
      </c>
      <c r="J411" s="133" t="n"/>
      <c r="K411" s="133" t="n"/>
    </row>
    <row r="412" ht="18" customHeight="1" s="102">
      <c r="A412" s="132" t="n"/>
      <c r="B412" s="133" t="n"/>
      <c r="C412" s="133" t="n"/>
      <c r="D412" s="133" t="n"/>
      <c r="E412" s="133" t="n"/>
      <c r="F412" s="133" t="n"/>
      <c r="G412" s="133" t="n"/>
      <c r="H412" s="133" t="n"/>
      <c r="I412" s="135">
        <f>IF(OR($A412="",$G412=""),"",IF($H412="VAR","KARŞILIKSIZ",IF($G412&gt;=DusukRiskEsik,"DÜŞÜK",IF($G412&gt;=RiskliSkorEsik,"ORTA",IF($G412&gt;=YuksekRiskEsik,"YÜKSEK","KARŞILIKSIZ")))))</f>
        <v/>
      </c>
      <c r="J412" s="133" t="n"/>
      <c r="K412" s="133" t="n"/>
    </row>
    <row r="413" ht="18" customHeight="1" s="102">
      <c r="A413" s="132" t="n"/>
      <c r="B413" s="133" t="n"/>
      <c r="C413" s="133" t="n"/>
      <c r="D413" s="133" t="n"/>
      <c r="E413" s="133" t="n"/>
      <c r="F413" s="133" t="n"/>
      <c r="G413" s="133" t="n"/>
      <c r="H413" s="133" t="n"/>
      <c r="I413" s="135">
        <f>IF(OR($A413="",$G413=""),"",IF($H413="VAR","KARŞILIKSIZ",IF($G413&gt;=DusukRiskEsik,"DÜŞÜK",IF($G413&gt;=RiskliSkorEsik,"ORTA",IF($G413&gt;=YuksekRiskEsik,"YÜKSEK","KARŞILIKSIZ")))))</f>
        <v/>
      </c>
      <c r="J413" s="133" t="n"/>
      <c r="K413" s="133" t="n"/>
    </row>
    <row r="414" ht="18" customHeight="1" s="102">
      <c r="A414" s="132" t="n"/>
      <c r="B414" s="133" t="n"/>
      <c r="C414" s="133" t="n"/>
      <c r="D414" s="133" t="n"/>
      <c r="E414" s="133" t="n"/>
      <c r="F414" s="133" t="n"/>
      <c r="G414" s="133" t="n"/>
      <c r="H414" s="133" t="n"/>
      <c r="I414" s="135">
        <f>IF(OR($A414="",$G414=""),"",IF($H414="VAR","KARŞILIKSIZ",IF($G414&gt;=DusukRiskEsik,"DÜŞÜK",IF($G414&gt;=RiskliSkorEsik,"ORTA",IF($G414&gt;=YuksekRiskEsik,"YÜKSEK","KARŞILIKSIZ")))))</f>
        <v/>
      </c>
      <c r="J414" s="133" t="n"/>
      <c r="K414" s="133" t="n"/>
    </row>
    <row r="415" ht="18" customHeight="1" s="102">
      <c r="A415" s="132" t="n"/>
      <c r="B415" s="133" t="n"/>
      <c r="C415" s="133" t="n"/>
      <c r="D415" s="133" t="n"/>
      <c r="E415" s="133" t="n"/>
      <c r="F415" s="133" t="n"/>
      <c r="G415" s="133" t="n"/>
      <c r="H415" s="133" t="n"/>
      <c r="I415" s="135">
        <f>IF(OR($A415="",$G415=""),"",IF($H415="VAR","KARŞILIKSIZ",IF($G415&gt;=DusukRiskEsik,"DÜŞÜK",IF($G415&gt;=RiskliSkorEsik,"ORTA",IF($G415&gt;=YuksekRiskEsik,"YÜKSEK","KARŞILIKSIZ")))))</f>
        <v/>
      </c>
      <c r="J415" s="133" t="n"/>
      <c r="K415" s="133" t="n"/>
    </row>
    <row r="416" ht="18" customHeight="1" s="102">
      <c r="A416" s="132" t="n"/>
      <c r="B416" s="133" t="n"/>
      <c r="C416" s="133" t="n"/>
      <c r="D416" s="133" t="n"/>
      <c r="E416" s="133" t="n"/>
      <c r="F416" s="133" t="n"/>
      <c r="G416" s="133" t="n"/>
      <c r="H416" s="133" t="n"/>
      <c r="I416" s="135">
        <f>IF(OR($A416="",$G416=""),"",IF($H416="VAR","KARŞILIKSIZ",IF($G416&gt;=DusukRiskEsik,"DÜŞÜK",IF($G416&gt;=RiskliSkorEsik,"ORTA",IF($G416&gt;=YuksekRiskEsik,"YÜKSEK","KARŞILIKSIZ")))))</f>
        <v/>
      </c>
      <c r="J416" s="133" t="n"/>
      <c r="K416" s="133" t="n"/>
    </row>
    <row r="417" ht="18" customHeight="1" s="102">
      <c r="A417" s="132" t="n"/>
      <c r="B417" s="133" t="n"/>
      <c r="C417" s="133" t="n"/>
      <c r="D417" s="133" t="n"/>
      <c r="E417" s="133" t="n"/>
      <c r="F417" s="133" t="n"/>
      <c r="G417" s="133" t="n"/>
      <c r="H417" s="133" t="n"/>
      <c r="I417" s="135">
        <f>IF(OR($A417="",$G417=""),"",IF($H417="VAR","KARŞILIKSIZ",IF($G417&gt;=DusukRiskEsik,"DÜŞÜK",IF($G417&gt;=RiskliSkorEsik,"ORTA",IF($G417&gt;=YuksekRiskEsik,"YÜKSEK","KARŞILIKSIZ")))))</f>
        <v/>
      </c>
      <c r="J417" s="133" t="n"/>
      <c r="K417" s="133" t="n"/>
    </row>
    <row r="418" ht="18" customHeight="1" s="102">
      <c r="A418" s="132" t="n"/>
      <c r="B418" s="133" t="n"/>
      <c r="C418" s="133" t="n"/>
      <c r="D418" s="133" t="n"/>
      <c r="E418" s="133" t="n"/>
      <c r="F418" s="133" t="n"/>
      <c r="G418" s="133" t="n"/>
      <c r="H418" s="133" t="n"/>
      <c r="I418" s="135">
        <f>IF(OR($A418="",$G418=""),"",IF($H418="VAR","KARŞILIKSIZ",IF($G418&gt;=DusukRiskEsik,"DÜŞÜK",IF($G418&gt;=RiskliSkorEsik,"ORTA",IF($G418&gt;=YuksekRiskEsik,"YÜKSEK","KARŞILIKSIZ")))))</f>
        <v/>
      </c>
      <c r="J418" s="133" t="n"/>
      <c r="K418" s="133" t="n"/>
    </row>
    <row r="419" ht="18" customHeight="1" s="102">
      <c r="A419" s="132" t="n"/>
      <c r="B419" s="133" t="n"/>
      <c r="C419" s="133" t="n"/>
      <c r="D419" s="133" t="n"/>
      <c r="E419" s="133" t="n"/>
      <c r="F419" s="133" t="n"/>
      <c r="G419" s="133" t="n"/>
      <c r="H419" s="133" t="n"/>
      <c r="I419" s="135">
        <f>IF(OR($A419="",$G419=""),"",IF($H419="VAR","KARŞILIKSIZ",IF($G419&gt;=DusukRiskEsik,"DÜŞÜK",IF($G419&gt;=RiskliSkorEsik,"ORTA",IF($G419&gt;=YuksekRiskEsik,"YÜKSEK","KARŞILIKSIZ")))))</f>
        <v/>
      </c>
      <c r="J419" s="133" t="n"/>
      <c r="K419" s="133" t="n"/>
    </row>
    <row r="420" ht="18" customHeight="1" s="102">
      <c r="A420" s="132" t="n"/>
      <c r="B420" s="133" t="n"/>
      <c r="C420" s="133" t="n"/>
      <c r="D420" s="133" t="n"/>
      <c r="E420" s="133" t="n"/>
      <c r="F420" s="133" t="n"/>
      <c r="G420" s="133" t="n"/>
      <c r="H420" s="133" t="n"/>
      <c r="I420" s="135">
        <f>IF(OR($A420="",$G420=""),"",IF($H420="VAR","KARŞILIKSIZ",IF($G420&gt;=DusukRiskEsik,"DÜŞÜK",IF($G420&gt;=RiskliSkorEsik,"ORTA",IF($G420&gt;=YuksekRiskEsik,"YÜKSEK","KARŞILIKSIZ")))))</f>
        <v/>
      </c>
      <c r="J420" s="133" t="n"/>
      <c r="K420" s="133" t="n"/>
    </row>
    <row r="421" ht="18" customHeight="1" s="102">
      <c r="A421" s="132" t="n"/>
      <c r="B421" s="133" t="n"/>
      <c r="C421" s="133" t="n"/>
      <c r="D421" s="133" t="n"/>
      <c r="E421" s="133" t="n"/>
      <c r="F421" s="133" t="n"/>
      <c r="G421" s="133" t="n"/>
      <c r="H421" s="133" t="n"/>
      <c r="I421" s="135">
        <f>IF(OR($A421="",$G421=""),"",IF($H421="VAR","KARŞILIKSIZ",IF($G421&gt;=DusukRiskEsik,"DÜŞÜK",IF($G421&gt;=RiskliSkorEsik,"ORTA",IF($G421&gt;=YuksekRiskEsik,"YÜKSEK","KARŞILIKSIZ")))))</f>
        <v/>
      </c>
      <c r="J421" s="133" t="n"/>
      <c r="K421" s="133" t="n"/>
    </row>
    <row r="422" ht="18" customHeight="1" s="102">
      <c r="A422" s="132" t="n"/>
      <c r="B422" s="133" t="n"/>
      <c r="C422" s="133" t="n"/>
      <c r="D422" s="133" t="n"/>
      <c r="E422" s="133" t="n"/>
      <c r="F422" s="133" t="n"/>
      <c r="G422" s="133" t="n"/>
      <c r="H422" s="133" t="n"/>
      <c r="I422" s="135">
        <f>IF(OR($A422="",$G422=""),"",IF($H422="VAR","KARŞILIKSIZ",IF($G422&gt;=DusukRiskEsik,"DÜŞÜK",IF($G422&gt;=RiskliSkorEsik,"ORTA",IF($G422&gt;=YuksekRiskEsik,"YÜKSEK","KARŞILIKSIZ")))))</f>
        <v/>
      </c>
      <c r="J422" s="133" t="n"/>
      <c r="K422" s="133" t="n"/>
    </row>
    <row r="423" ht="18" customHeight="1" s="102">
      <c r="A423" s="132" t="n"/>
      <c r="B423" s="133" t="n"/>
      <c r="C423" s="133" t="n"/>
      <c r="D423" s="133" t="n"/>
      <c r="E423" s="133" t="n"/>
      <c r="F423" s="133" t="n"/>
      <c r="G423" s="133" t="n"/>
      <c r="H423" s="133" t="n"/>
      <c r="I423" s="135">
        <f>IF(OR($A423="",$G423=""),"",IF($H423="VAR","KARŞILIKSIZ",IF($G423&gt;=DusukRiskEsik,"DÜŞÜK",IF($G423&gt;=RiskliSkorEsik,"ORTA",IF($G423&gt;=YuksekRiskEsik,"YÜKSEK","KARŞILIKSIZ")))))</f>
        <v/>
      </c>
      <c r="J423" s="133" t="n"/>
      <c r="K423" s="133" t="n"/>
    </row>
    <row r="424" ht="18" customHeight="1" s="102">
      <c r="A424" s="132" t="n"/>
      <c r="B424" s="133" t="n"/>
      <c r="C424" s="133" t="n"/>
      <c r="D424" s="133" t="n"/>
      <c r="E424" s="133" t="n"/>
      <c r="F424" s="133" t="n"/>
      <c r="G424" s="133" t="n"/>
      <c r="H424" s="133" t="n"/>
      <c r="I424" s="135">
        <f>IF(OR($A424="",$G424=""),"",IF($H424="VAR","KARŞILIKSIZ",IF($G424&gt;=DusukRiskEsik,"DÜŞÜK",IF($G424&gt;=RiskliSkorEsik,"ORTA",IF($G424&gt;=YuksekRiskEsik,"YÜKSEK","KARŞILIKSIZ")))))</f>
        <v/>
      </c>
      <c r="J424" s="133" t="n"/>
      <c r="K424" s="133" t="n"/>
    </row>
    <row r="425" ht="18" customHeight="1" s="102">
      <c r="A425" s="132" t="n"/>
      <c r="B425" s="133" t="n"/>
      <c r="C425" s="133" t="n"/>
      <c r="D425" s="133" t="n"/>
      <c r="E425" s="133" t="n"/>
      <c r="F425" s="133" t="n"/>
      <c r="G425" s="133" t="n"/>
      <c r="H425" s="133" t="n"/>
      <c r="I425" s="135">
        <f>IF(OR($A425="",$G425=""),"",IF($H425="VAR","KARŞILIKSIZ",IF($G425&gt;=DusukRiskEsik,"DÜŞÜK",IF($G425&gt;=RiskliSkorEsik,"ORTA",IF($G425&gt;=YuksekRiskEsik,"YÜKSEK","KARŞILIKSIZ")))))</f>
        <v/>
      </c>
      <c r="J425" s="133" t="n"/>
      <c r="K425" s="133" t="n"/>
    </row>
    <row r="426" ht="18" customHeight="1" s="102">
      <c r="A426" s="132" t="n"/>
      <c r="B426" s="133" t="n"/>
      <c r="C426" s="133" t="n"/>
      <c r="D426" s="133" t="n"/>
      <c r="E426" s="133" t="n"/>
      <c r="F426" s="133" t="n"/>
      <c r="G426" s="133" t="n"/>
      <c r="H426" s="133" t="n"/>
      <c r="I426" s="135">
        <f>IF(OR($A426="",$G426=""),"",IF($H426="VAR","KARŞILIKSIZ",IF($G426&gt;=DusukRiskEsik,"DÜŞÜK",IF($G426&gt;=RiskliSkorEsik,"ORTA",IF($G426&gt;=YuksekRiskEsik,"YÜKSEK","KARŞILIKSIZ")))))</f>
        <v/>
      </c>
      <c r="J426" s="133" t="n"/>
      <c r="K426" s="133" t="n"/>
    </row>
    <row r="427" ht="18" customHeight="1" s="102">
      <c r="A427" s="132" t="n"/>
      <c r="B427" s="133" t="n"/>
      <c r="C427" s="133" t="n"/>
      <c r="D427" s="133" t="n"/>
      <c r="E427" s="133" t="n"/>
      <c r="F427" s="133" t="n"/>
      <c r="G427" s="133" t="n"/>
      <c r="H427" s="133" t="n"/>
      <c r="I427" s="135">
        <f>IF(OR($A427="",$G427=""),"",IF($H427="VAR","KARŞILIKSIZ",IF($G427&gt;=DusukRiskEsik,"DÜŞÜK",IF($G427&gt;=RiskliSkorEsik,"ORTA",IF($G427&gt;=YuksekRiskEsik,"YÜKSEK","KARŞILIKSIZ")))))</f>
        <v/>
      </c>
      <c r="J427" s="133" t="n"/>
      <c r="K427" s="133" t="n"/>
    </row>
    <row r="428" ht="18" customHeight="1" s="102">
      <c r="A428" s="132" t="n"/>
      <c r="B428" s="133" t="n"/>
      <c r="C428" s="133" t="n"/>
      <c r="D428" s="133" t="n"/>
      <c r="E428" s="133" t="n"/>
      <c r="F428" s="133" t="n"/>
      <c r="G428" s="133" t="n"/>
      <c r="H428" s="133" t="n"/>
      <c r="I428" s="135">
        <f>IF(OR($A428="",$G428=""),"",IF($H428="VAR","KARŞILIKSIZ",IF($G428&gt;=DusukRiskEsik,"DÜŞÜK",IF($G428&gt;=RiskliSkorEsik,"ORTA",IF($G428&gt;=YuksekRiskEsik,"YÜKSEK","KARŞILIKSIZ")))))</f>
        <v/>
      </c>
      <c r="J428" s="133" t="n"/>
      <c r="K428" s="133" t="n"/>
    </row>
    <row r="429" ht="18" customHeight="1" s="102">
      <c r="A429" s="132" t="n"/>
      <c r="B429" s="133" t="n"/>
      <c r="C429" s="133" t="n"/>
      <c r="D429" s="133" t="n"/>
      <c r="E429" s="133" t="n"/>
      <c r="F429" s="133" t="n"/>
      <c r="G429" s="133" t="n"/>
      <c r="H429" s="133" t="n"/>
      <c r="I429" s="135">
        <f>IF(OR($A429="",$G429=""),"",IF($H429="VAR","KARŞILIKSIZ",IF($G429&gt;=DusukRiskEsik,"DÜŞÜK",IF($G429&gt;=RiskliSkorEsik,"ORTA",IF($G429&gt;=YuksekRiskEsik,"YÜKSEK","KARŞILIKSIZ")))))</f>
        <v/>
      </c>
      <c r="J429" s="133" t="n"/>
      <c r="K429" s="133" t="n"/>
    </row>
    <row r="430" ht="18" customHeight="1" s="102">
      <c r="A430" s="132" t="n"/>
      <c r="B430" s="133" t="n"/>
      <c r="C430" s="133" t="n"/>
      <c r="D430" s="133" t="n"/>
      <c r="E430" s="133" t="n"/>
      <c r="F430" s="133" t="n"/>
      <c r="G430" s="133" t="n"/>
      <c r="H430" s="133" t="n"/>
      <c r="I430" s="135">
        <f>IF(OR($A430="",$G430=""),"",IF($H430="VAR","KARŞILIKSIZ",IF($G430&gt;=DusukRiskEsik,"DÜŞÜK",IF($G430&gt;=RiskliSkorEsik,"ORTA",IF($G430&gt;=YuksekRiskEsik,"YÜKSEK","KARŞILIKSIZ")))))</f>
        <v/>
      </c>
      <c r="J430" s="133" t="n"/>
      <c r="K430" s="133" t="n"/>
    </row>
    <row r="431" ht="18" customHeight="1" s="102">
      <c r="A431" s="132" t="n"/>
      <c r="B431" s="133" t="n"/>
      <c r="C431" s="133" t="n"/>
      <c r="D431" s="133" t="n"/>
      <c r="E431" s="133" t="n"/>
      <c r="F431" s="133" t="n"/>
      <c r="G431" s="133" t="n"/>
      <c r="H431" s="133" t="n"/>
      <c r="I431" s="135">
        <f>IF(OR($A431="",$G431=""),"",IF($H431="VAR","KARŞILIKSIZ",IF($G431&gt;=DusukRiskEsik,"DÜŞÜK",IF($G431&gt;=RiskliSkorEsik,"ORTA",IF($G431&gt;=YuksekRiskEsik,"YÜKSEK","KARŞILIKSIZ")))))</f>
        <v/>
      </c>
      <c r="J431" s="133" t="n"/>
      <c r="K431" s="133" t="n"/>
    </row>
    <row r="432" ht="18" customHeight="1" s="102">
      <c r="A432" s="132" t="n"/>
      <c r="B432" s="133" t="n"/>
      <c r="C432" s="133" t="n"/>
      <c r="D432" s="133" t="n"/>
      <c r="E432" s="133" t="n"/>
      <c r="F432" s="133" t="n"/>
      <c r="G432" s="133" t="n"/>
      <c r="H432" s="133" t="n"/>
      <c r="I432" s="135">
        <f>IF(OR($A432="",$G432=""),"",IF($H432="VAR","KARŞILIKSIZ",IF($G432&gt;=DusukRiskEsik,"DÜŞÜK",IF($G432&gt;=RiskliSkorEsik,"ORTA",IF($G432&gt;=YuksekRiskEsik,"YÜKSEK","KARŞILIKSIZ")))))</f>
        <v/>
      </c>
      <c r="J432" s="133" t="n"/>
      <c r="K432" s="133" t="n"/>
    </row>
    <row r="433" ht="18" customHeight="1" s="102">
      <c r="A433" s="132" t="n"/>
      <c r="B433" s="133" t="n"/>
      <c r="C433" s="133" t="n"/>
      <c r="D433" s="133" t="n"/>
      <c r="E433" s="133" t="n"/>
      <c r="F433" s="133" t="n"/>
      <c r="G433" s="133" t="n"/>
      <c r="H433" s="133" t="n"/>
      <c r="I433" s="135">
        <f>IF(OR($A433="",$G433=""),"",IF($H433="VAR","KARŞILIKSIZ",IF($G433&gt;=DusukRiskEsik,"DÜŞÜK",IF($G433&gt;=RiskliSkorEsik,"ORTA",IF($G433&gt;=YuksekRiskEsik,"YÜKSEK","KARŞILIKSIZ")))))</f>
        <v/>
      </c>
      <c r="J433" s="133" t="n"/>
      <c r="K433" s="133" t="n"/>
    </row>
    <row r="434" ht="18" customHeight="1" s="102">
      <c r="A434" s="132" t="n"/>
      <c r="B434" s="133" t="n"/>
      <c r="C434" s="133" t="n"/>
      <c r="D434" s="133" t="n"/>
      <c r="E434" s="133" t="n"/>
      <c r="F434" s="133" t="n"/>
      <c r="G434" s="133" t="n"/>
      <c r="H434" s="133" t="n"/>
      <c r="I434" s="135">
        <f>IF(OR($A434="",$G434=""),"",IF($H434="VAR","KARŞILIKSIZ",IF($G434&gt;=DusukRiskEsik,"DÜŞÜK",IF($G434&gt;=RiskliSkorEsik,"ORTA",IF($G434&gt;=YuksekRiskEsik,"YÜKSEK","KARŞILIKSIZ")))))</f>
        <v/>
      </c>
      <c r="J434" s="133" t="n"/>
      <c r="K434" s="133" t="n"/>
    </row>
    <row r="435" ht="18" customHeight="1" s="102">
      <c r="A435" s="132" t="n"/>
      <c r="B435" s="133" t="n"/>
      <c r="C435" s="133" t="n"/>
      <c r="D435" s="133" t="n"/>
      <c r="E435" s="133" t="n"/>
      <c r="F435" s="133" t="n"/>
      <c r="G435" s="133" t="n"/>
      <c r="H435" s="133" t="n"/>
      <c r="I435" s="135">
        <f>IF(OR($A435="",$G435=""),"",IF($H435="VAR","KARŞILIKSIZ",IF($G435&gt;=DusukRiskEsik,"DÜŞÜK",IF($G435&gt;=RiskliSkorEsik,"ORTA",IF($G435&gt;=YuksekRiskEsik,"YÜKSEK","KARŞILIKSIZ")))))</f>
        <v/>
      </c>
      <c r="J435" s="133" t="n"/>
      <c r="K435" s="133" t="n"/>
    </row>
    <row r="436" ht="18" customHeight="1" s="102">
      <c r="A436" s="132" t="n"/>
      <c r="B436" s="133" t="n"/>
      <c r="C436" s="133" t="n"/>
      <c r="D436" s="133" t="n"/>
      <c r="E436" s="133" t="n"/>
      <c r="F436" s="133" t="n"/>
      <c r="G436" s="133" t="n"/>
      <c r="H436" s="133" t="n"/>
      <c r="I436" s="135">
        <f>IF(OR($A436="",$G436=""),"",IF($H436="VAR","KARŞILIKSIZ",IF($G436&gt;=DusukRiskEsik,"DÜŞÜK",IF($G436&gt;=RiskliSkorEsik,"ORTA",IF($G436&gt;=YuksekRiskEsik,"YÜKSEK","KARŞILIKSIZ")))))</f>
        <v/>
      </c>
      <c r="J436" s="133" t="n"/>
      <c r="K436" s="133" t="n"/>
    </row>
    <row r="437" ht="18" customHeight="1" s="102">
      <c r="A437" s="132" t="n"/>
      <c r="B437" s="133" t="n"/>
      <c r="C437" s="133" t="n"/>
      <c r="D437" s="133" t="n"/>
      <c r="E437" s="133" t="n"/>
      <c r="F437" s="133" t="n"/>
      <c r="G437" s="133" t="n"/>
      <c r="H437" s="133" t="n"/>
      <c r="I437" s="135">
        <f>IF(OR($A437="",$G437=""),"",IF($H437="VAR","KARŞILIKSIZ",IF($G437&gt;=DusukRiskEsik,"DÜŞÜK",IF($G437&gt;=RiskliSkorEsik,"ORTA",IF($G437&gt;=YuksekRiskEsik,"YÜKSEK","KARŞILIKSIZ")))))</f>
        <v/>
      </c>
      <c r="J437" s="133" t="n"/>
      <c r="K437" s="133" t="n"/>
    </row>
    <row r="438" ht="18" customHeight="1" s="102">
      <c r="A438" s="132" t="n"/>
      <c r="B438" s="133" t="n"/>
      <c r="C438" s="133" t="n"/>
      <c r="D438" s="133" t="n"/>
      <c r="E438" s="133" t="n"/>
      <c r="F438" s="133" t="n"/>
      <c r="G438" s="133" t="n"/>
      <c r="H438" s="133" t="n"/>
      <c r="I438" s="135">
        <f>IF(OR($A438="",$G438=""),"",IF($H438="VAR","KARŞILIKSIZ",IF($G438&gt;=DusukRiskEsik,"DÜŞÜK",IF($G438&gt;=RiskliSkorEsik,"ORTA",IF($G438&gt;=YuksekRiskEsik,"YÜKSEK","KARŞILIKSIZ")))))</f>
        <v/>
      </c>
      <c r="J438" s="133" t="n"/>
      <c r="K438" s="133" t="n"/>
    </row>
    <row r="439" ht="18" customHeight="1" s="102">
      <c r="A439" s="132" t="n"/>
      <c r="B439" s="133" t="n"/>
      <c r="C439" s="133" t="n"/>
      <c r="D439" s="133" t="n"/>
      <c r="E439" s="133" t="n"/>
      <c r="F439" s="133" t="n"/>
      <c r="G439" s="133" t="n"/>
      <c r="H439" s="133" t="n"/>
      <c r="I439" s="135">
        <f>IF(OR($A439="",$G439=""),"",IF($H439="VAR","KARŞILIKSIZ",IF($G439&gt;=DusukRiskEsik,"DÜŞÜK",IF($G439&gt;=RiskliSkorEsik,"ORTA",IF($G439&gt;=YuksekRiskEsik,"YÜKSEK","KARŞILIKSIZ")))))</f>
        <v/>
      </c>
      <c r="J439" s="133" t="n"/>
      <c r="K439" s="133" t="n"/>
    </row>
    <row r="440" ht="18" customHeight="1" s="102">
      <c r="A440" s="132" t="n"/>
      <c r="B440" s="133" t="n"/>
      <c r="C440" s="133" t="n"/>
      <c r="D440" s="133" t="n"/>
      <c r="E440" s="133" t="n"/>
      <c r="F440" s="133" t="n"/>
      <c r="G440" s="133" t="n"/>
      <c r="H440" s="133" t="n"/>
      <c r="I440" s="135">
        <f>IF(OR($A440="",$G440=""),"",IF($H440="VAR","KARŞILIKSIZ",IF($G440&gt;=DusukRiskEsik,"DÜŞÜK",IF($G440&gt;=RiskliSkorEsik,"ORTA",IF($G440&gt;=YuksekRiskEsik,"YÜKSEK","KARŞILIKSIZ")))))</f>
        <v/>
      </c>
      <c r="J440" s="133" t="n"/>
      <c r="K440" s="133" t="n"/>
    </row>
    <row r="441" ht="18" customHeight="1" s="102">
      <c r="A441" s="132" t="n"/>
      <c r="B441" s="133" t="n"/>
      <c r="C441" s="133" t="n"/>
      <c r="D441" s="133" t="n"/>
      <c r="E441" s="133" t="n"/>
      <c r="F441" s="133" t="n"/>
      <c r="G441" s="133" t="n"/>
      <c r="H441" s="133" t="n"/>
      <c r="I441" s="135">
        <f>IF(OR($A441="",$G441=""),"",IF($H441="VAR","KARŞILIKSIZ",IF($G441&gt;=DusukRiskEsik,"DÜŞÜK",IF($G441&gt;=RiskliSkorEsik,"ORTA",IF($G441&gt;=YuksekRiskEsik,"YÜKSEK","KARŞILIKSIZ")))))</f>
        <v/>
      </c>
      <c r="J441" s="133" t="n"/>
      <c r="K441" s="133" t="n"/>
    </row>
    <row r="442" ht="18" customHeight="1" s="102">
      <c r="A442" s="132" t="n"/>
      <c r="B442" s="133" t="n"/>
      <c r="C442" s="133" t="n"/>
      <c r="D442" s="133" t="n"/>
      <c r="E442" s="133" t="n"/>
      <c r="F442" s="133" t="n"/>
      <c r="G442" s="133" t="n"/>
      <c r="H442" s="133" t="n"/>
      <c r="I442" s="135">
        <f>IF(OR($A442="",$G442=""),"",IF($H442="VAR","KARŞILIKSIZ",IF($G442&gt;=DusukRiskEsik,"DÜŞÜK",IF($G442&gt;=RiskliSkorEsik,"ORTA",IF($G442&gt;=YuksekRiskEsik,"YÜKSEK","KARŞILIKSIZ")))))</f>
        <v/>
      </c>
      <c r="J442" s="133" t="n"/>
      <c r="K442" s="133" t="n"/>
    </row>
    <row r="443" ht="18" customHeight="1" s="102">
      <c r="A443" s="132" t="n"/>
      <c r="B443" s="133" t="n"/>
      <c r="C443" s="133" t="n"/>
      <c r="D443" s="133" t="n"/>
      <c r="E443" s="133" t="n"/>
      <c r="F443" s="133" t="n"/>
      <c r="G443" s="133" t="n"/>
      <c r="H443" s="133" t="n"/>
      <c r="I443" s="135">
        <f>IF(OR($A443="",$G443=""),"",IF($H443="VAR","KARŞILIKSIZ",IF($G443&gt;=DusukRiskEsik,"DÜŞÜK",IF($G443&gt;=RiskliSkorEsik,"ORTA",IF($G443&gt;=YuksekRiskEsik,"YÜKSEK","KARŞILIKSIZ")))))</f>
        <v/>
      </c>
      <c r="J443" s="133" t="n"/>
      <c r="K443" s="133" t="n"/>
    </row>
    <row r="444" ht="18" customHeight="1" s="102">
      <c r="A444" s="132" t="n"/>
      <c r="B444" s="133" t="n"/>
      <c r="C444" s="133" t="n"/>
      <c r="D444" s="133" t="n"/>
      <c r="E444" s="133" t="n"/>
      <c r="F444" s="133" t="n"/>
      <c r="G444" s="133" t="n"/>
      <c r="H444" s="133" t="n"/>
      <c r="I444" s="135">
        <f>IF(OR($A444="",$G444=""),"",IF($H444="VAR","KARŞILIKSIZ",IF($G444&gt;=DusukRiskEsik,"DÜŞÜK",IF($G444&gt;=RiskliSkorEsik,"ORTA",IF($G444&gt;=YuksekRiskEsik,"YÜKSEK","KARŞILIKSIZ")))))</f>
        <v/>
      </c>
      <c r="J444" s="133" t="n"/>
      <c r="K444" s="133" t="n"/>
    </row>
    <row r="445" ht="18" customHeight="1" s="102">
      <c r="A445" s="132" t="n"/>
      <c r="B445" s="133" t="n"/>
      <c r="C445" s="133" t="n"/>
      <c r="D445" s="133" t="n"/>
      <c r="E445" s="133" t="n"/>
      <c r="F445" s="133" t="n"/>
      <c r="G445" s="133" t="n"/>
      <c r="H445" s="133" t="n"/>
      <c r="I445" s="135">
        <f>IF(OR($A445="",$G445=""),"",IF($H445="VAR","KARŞILIKSIZ",IF($G445&gt;=DusukRiskEsik,"DÜŞÜK",IF($G445&gt;=RiskliSkorEsik,"ORTA",IF($G445&gt;=YuksekRiskEsik,"YÜKSEK","KARŞILIKSIZ")))))</f>
        <v/>
      </c>
      <c r="J445" s="133" t="n"/>
      <c r="K445" s="133" t="n"/>
    </row>
    <row r="446" ht="18" customHeight="1" s="102">
      <c r="A446" s="132" t="n"/>
      <c r="B446" s="133" t="n"/>
      <c r="C446" s="133" t="n"/>
      <c r="D446" s="133" t="n"/>
      <c r="E446" s="133" t="n"/>
      <c r="F446" s="133" t="n"/>
      <c r="G446" s="133" t="n"/>
      <c r="H446" s="133" t="n"/>
      <c r="I446" s="135">
        <f>IF(OR($A446="",$G446=""),"",IF($H446="VAR","KARŞILIKSIZ",IF($G446&gt;=DusukRiskEsik,"DÜŞÜK",IF($G446&gt;=RiskliSkorEsik,"ORTA",IF($G446&gt;=YuksekRiskEsik,"YÜKSEK","KARŞILIKSIZ")))))</f>
        <v/>
      </c>
      <c r="J446" s="133" t="n"/>
      <c r="K446" s="133" t="n"/>
    </row>
    <row r="447" ht="18" customHeight="1" s="102">
      <c r="A447" s="132" t="n"/>
      <c r="B447" s="133" t="n"/>
      <c r="C447" s="133" t="n"/>
      <c r="D447" s="133" t="n"/>
      <c r="E447" s="133" t="n"/>
      <c r="F447" s="133" t="n"/>
      <c r="G447" s="133" t="n"/>
      <c r="H447" s="133" t="n"/>
      <c r="I447" s="135">
        <f>IF(OR($A447="",$G447=""),"",IF($H447="VAR","KARŞILIKSIZ",IF($G447&gt;=DusukRiskEsik,"DÜŞÜK",IF($G447&gt;=RiskliSkorEsik,"ORTA",IF($G447&gt;=YuksekRiskEsik,"YÜKSEK","KARŞILIKSIZ")))))</f>
        <v/>
      </c>
      <c r="J447" s="133" t="n"/>
      <c r="K447" s="133" t="n"/>
    </row>
    <row r="448" ht="18" customHeight="1" s="102">
      <c r="A448" s="132" t="n"/>
      <c r="B448" s="133" t="n"/>
      <c r="C448" s="133" t="n"/>
      <c r="D448" s="133" t="n"/>
      <c r="E448" s="133" t="n"/>
      <c r="F448" s="133" t="n"/>
      <c r="G448" s="133" t="n"/>
      <c r="H448" s="133" t="n"/>
      <c r="I448" s="135">
        <f>IF(OR($A448="",$G448=""),"",IF($H448="VAR","KARŞILIKSIZ",IF($G448&gt;=DusukRiskEsik,"DÜŞÜK",IF($G448&gt;=RiskliSkorEsik,"ORTA",IF($G448&gt;=YuksekRiskEsik,"YÜKSEK","KARŞILIKSIZ")))))</f>
        <v/>
      </c>
      <c r="J448" s="133" t="n"/>
      <c r="K448" s="133" t="n"/>
    </row>
    <row r="449" ht="18" customHeight="1" s="102">
      <c r="A449" s="132" t="n"/>
      <c r="B449" s="133" t="n"/>
      <c r="C449" s="133" t="n"/>
      <c r="D449" s="133" t="n"/>
      <c r="E449" s="133" t="n"/>
      <c r="F449" s="133" t="n"/>
      <c r="G449" s="133" t="n"/>
      <c r="H449" s="133" t="n"/>
      <c r="I449" s="135">
        <f>IF(OR($A449="",$G449=""),"",IF($H449="VAR","KARŞILIKSIZ",IF($G449&gt;=DusukRiskEsik,"DÜŞÜK",IF($G449&gt;=RiskliSkorEsik,"ORTA",IF($G449&gt;=YuksekRiskEsik,"YÜKSEK","KARŞILIKSIZ")))))</f>
        <v/>
      </c>
      <c r="J449" s="133" t="n"/>
      <c r="K449" s="133" t="n"/>
    </row>
    <row r="450" ht="18" customHeight="1" s="102">
      <c r="A450" s="132" t="n"/>
      <c r="B450" s="133" t="n"/>
      <c r="C450" s="133" t="n"/>
      <c r="D450" s="133" t="n"/>
      <c r="E450" s="133" t="n"/>
      <c r="F450" s="133" t="n"/>
      <c r="G450" s="133" t="n"/>
      <c r="H450" s="133" t="n"/>
      <c r="I450" s="135">
        <f>IF(OR($A450="",$G450=""),"",IF($H450="VAR","KARŞILIKSIZ",IF($G450&gt;=DusukRiskEsik,"DÜŞÜK",IF($G450&gt;=RiskliSkorEsik,"ORTA",IF($G450&gt;=YuksekRiskEsik,"YÜKSEK","KARŞILIKSIZ")))))</f>
        <v/>
      </c>
      <c r="J450" s="133" t="n"/>
      <c r="K450" s="133" t="n"/>
    </row>
    <row r="451" ht="18" customHeight="1" s="102">
      <c r="A451" s="132" t="n"/>
      <c r="B451" s="133" t="n"/>
      <c r="C451" s="133" t="n"/>
      <c r="D451" s="133" t="n"/>
      <c r="E451" s="133" t="n"/>
      <c r="F451" s="133" t="n"/>
      <c r="G451" s="133" t="n"/>
      <c r="H451" s="133" t="n"/>
      <c r="I451" s="135">
        <f>IF(OR($A451="",$G451=""),"",IF($H451="VAR","KARŞILIKSIZ",IF($G451&gt;=DusukRiskEsik,"DÜŞÜK",IF($G451&gt;=RiskliSkorEsik,"ORTA",IF($G451&gt;=YuksekRiskEsik,"YÜKSEK","KARŞILIKSIZ")))))</f>
        <v/>
      </c>
      <c r="J451" s="133" t="n"/>
      <c r="K451" s="133" t="n"/>
    </row>
    <row r="452" ht="18" customHeight="1" s="102">
      <c r="A452" s="132" t="n"/>
      <c r="B452" s="133" t="n"/>
      <c r="C452" s="133" t="n"/>
      <c r="D452" s="133" t="n"/>
      <c r="E452" s="133" t="n"/>
      <c r="F452" s="133" t="n"/>
      <c r="G452" s="133" t="n"/>
      <c r="H452" s="133" t="n"/>
      <c r="I452" s="135">
        <f>IF(OR($A452="",$G452=""),"",IF($H452="VAR","KARŞILIKSIZ",IF($G452&gt;=DusukRiskEsik,"DÜŞÜK",IF($G452&gt;=RiskliSkorEsik,"ORTA",IF($G452&gt;=YuksekRiskEsik,"YÜKSEK","KARŞILIKSIZ")))))</f>
        <v/>
      </c>
      <c r="J452" s="133" t="n"/>
      <c r="K452" s="133" t="n"/>
    </row>
    <row r="453" ht="18" customHeight="1" s="102">
      <c r="A453" s="132" t="n"/>
      <c r="B453" s="133" t="n"/>
      <c r="C453" s="133" t="n"/>
      <c r="D453" s="133" t="n"/>
      <c r="E453" s="133" t="n"/>
      <c r="F453" s="133" t="n"/>
      <c r="G453" s="133" t="n"/>
      <c r="H453" s="133" t="n"/>
      <c r="I453" s="135">
        <f>IF(OR($A453="",$G453=""),"",IF($H453="VAR","KARŞILIKSIZ",IF($G453&gt;=DusukRiskEsik,"DÜŞÜK",IF($G453&gt;=RiskliSkorEsik,"ORTA",IF($G453&gt;=YuksekRiskEsik,"YÜKSEK","KARŞILIKSIZ")))))</f>
        <v/>
      </c>
      <c r="J453" s="133" t="n"/>
      <c r="K453" s="133" t="n"/>
    </row>
    <row r="454" ht="18" customHeight="1" s="102">
      <c r="A454" s="132" t="n"/>
      <c r="B454" s="133" t="n"/>
      <c r="C454" s="133" t="n"/>
      <c r="D454" s="133" t="n"/>
      <c r="E454" s="133" t="n"/>
      <c r="F454" s="133" t="n"/>
      <c r="G454" s="133" t="n"/>
      <c r="H454" s="133" t="n"/>
      <c r="I454" s="135">
        <f>IF(OR($A454="",$G454=""),"",IF($H454="VAR","KARŞILIKSIZ",IF($G454&gt;=DusukRiskEsik,"DÜŞÜK",IF($G454&gt;=RiskliSkorEsik,"ORTA",IF($G454&gt;=YuksekRiskEsik,"YÜKSEK","KARŞILIKSIZ")))))</f>
        <v/>
      </c>
      <c r="J454" s="133" t="n"/>
      <c r="K454" s="133" t="n"/>
    </row>
    <row r="455" ht="18" customHeight="1" s="102">
      <c r="A455" s="132" t="n"/>
      <c r="B455" s="133" t="n"/>
      <c r="C455" s="133" t="n"/>
      <c r="D455" s="133" t="n"/>
      <c r="E455" s="133" t="n"/>
      <c r="F455" s="133" t="n"/>
      <c r="G455" s="133" t="n"/>
      <c r="H455" s="133" t="n"/>
      <c r="I455" s="135">
        <f>IF(OR($A455="",$G455=""),"",IF($H455="VAR","KARŞILIKSIZ",IF($G455&gt;=DusukRiskEsik,"DÜŞÜK",IF($G455&gt;=RiskliSkorEsik,"ORTA",IF($G455&gt;=YuksekRiskEsik,"YÜKSEK","KARŞILIKSIZ")))))</f>
        <v/>
      </c>
      <c r="J455" s="133" t="n"/>
      <c r="K455" s="133" t="n"/>
    </row>
    <row r="456" ht="18" customHeight="1" s="102">
      <c r="A456" s="132" t="n"/>
      <c r="B456" s="133" t="n"/>
      <c r="C456" s="133" t="n"/>
      <c r="D456" s="133" t="n"/>
      <c r="E456" s="133" t="n"/>
      <c r="F456" s="133" t="n"/>
      <c r="G456" s="133" t="n"/>
      <c r="H456" s="133" t="n"/>
      <c r="I456" s="135">
        <f>IF(OR($A456="",$G456=""),"",IF($H456="VAR","KARŞILIKSIZ",IF($G456&gt;=DusukRiskEsik,"DÜŞÜK",IF($G456&gt;=RiskliSkorEsik,"ORTA",IF($G456&gt;=YuksekRiskEsik,"YÜKSEK","KARŞILIKSIZ")))))</f>
        <v/>
      </c>
      <c r="J456" s="133" t="n"/>
      <c r="K456" s="133" t="n"/>
    </row>
    <row r="457" ht="18" customHeight="1" s="102">
      <c r="A457" s="132" t="n"/>
      <c r="B457" s="133" t="n"/>
      <c r="C457" s="133" t="n"/>
      <c r="D457" s="133" t="n"/>
      <c r="E457" s="133" t="n"/>
      <c r="F457" s="133" t="n"/>
      <c r="G457" s="133" t="n"/>
      <c r="H457" s="133" t="n"/>
      <c r="I457" s="135">
        <f>IF(OR($A457="",$G457=""),"",IF($H457="VAR","KARŞILIKSIZ",IF($G457&gt;=DusukRiskEsik,"DÜŞÜK",IF($G457&gt;=RiskliSkorEsik,"ORTA",IF($G457&gt;=YuksekRiskEsik,"YÜKSEK","KARŞILIKSIZ")))))</f>
        <v/>
      </c>
      <c r="J457" s="133" t="n"/>
      <c r="K457" s="133" t="n"/>
    </row>
    <row r="458" ht="18" customHeight="1" s="102">
      <c r="A458" s="132" t="n"/>
      <c r="B458" s="133" t="n"/>
      <c r="C458" s="133" t="n"/>
      <c r="D458" s="133" t="n"/>
      <c r="E458" s="133" t="n"/>
      <c r="F458" s="133" t="n"/>
      <c r="G458" s="133" t="n"/>
      <c r="H458" s="133" t="n"/>
      <c r="I458" s="135">
        <f>IF(OR($A458="",$G458=""),"",IF($H458="VAR","KARŞILIKSIZ",IF($G458&gt;=DusukRiskEsik,"DÜŞÜK",IF($G458&gt;=RiskliSkorEsik,"ORTA",IF($G458&gt;=YuksekRiskEsik,"YÜKSEK","KARŞILIKSIZ")))))</f>
        <v/>
      </c>
      <c r="J458" s="133" t="n"/>
      <c r="K458" s="133" t="n"/>
    </row>
    <row r="459" ht="18" customHeight="1" s="102">
      <c r="A459" s="132" t="n"/>
      <c r="B459" s="133" t="n"/>
      <c r="C459" s="133" t="n"/>
      <c r="D459" s="133" t="n"/>
      <c r="E459" s="133" t="n"/>
      <c r="F459" s="133" t="n"/>
      <c r="G459" s="133" t="n"/>
      <c r="H459" s="133" t="n"/>
      <c r="I459" s="135">
        <f>IF(OR($A459="",$G459=""),"",IF($H459="VAR","KARŞILIKSIZ",IF($G459&gt;=DusukRiskEsik,"DÜŞÜK",IF($G459&gt;=RiskliSkorEsik,"ORTA",IF($G459&gt;=YuksekRiskEsik,"YÜKSEK","KARŞILIKSIZ")))))</f>
        <v/>
      </c>
      <c r="J459" s="133" t="n"/>
      <c r="K459" s="133" t="n"/>
    </row>
    <row r="460" ht="18" customHeight="1" s="102">
      <c r="A460" s="132" t="n"/>
      <c r="B460" s="133" t="n"/>
      <c r="C460" s="133" t="n"/>
      <c r="D460" s="133" t="n"/>
      <c r="E460" s="133" t="n"/>
      <c r="F460" s="133" t="n"/>
      <c r="G460" s="133" t="n"/>
      <c r="H460" s="133" t="n"/>
      <c r="I460" s="135">
        <f>IF(OR($A460="",$G460=""),"",IF($H460="VAR","KARŞILIKSIZ",IF($G460&gt;=DusukRiskEsik,"DÜŞÜK",IF($G460&gt;=RiskliSkorEsik,"ORTA",IF($G460&gt;=YuksekRiskEsik,"YÜKSEK","KARŞILIKSIZ")))))</f>
        <v/>
      </c>
      <c r="J460" s="133" t="n"/>
      <c r="K460" s="133" t="n"/>
    </row>
    <row r="461" ht="18" customHeight="1" s="102">
      <c r="A461" s="132" t="n"/>
      <c r="B461" s="133" t="n"/>
      <c r="C461" s="133" t="n"/>
      <c r="D461" s="133" t="n"/>
      <c r="E461" s="133" t="n"/>
      <c r="F461" s="133" t="n"/>
      <c r="G461" s="133" t="n"/>
      <c r="H461" s="133" t="n"/>
      <c r="I461" s="135">
        <f>IF(OR($A461="",$G461=""),"",IF($H461="VAR","KARŞILIKSIZ",IF($G461&gt;=DusukRiskEsik,"DÜŞÜK",IF($G461&gt;=RiskliSkorEsik,"ORTA",IF($G461&gt;=YuksekRiskEsik,"YÜKSEK","KARŞILIKSIZ")))))</f>
        <v/>
      </c>
      <c r="J461" s="133" t="n"/>
      <c r="K461" s="133" t="n"/>
    </row>
    <row r="462" ht="18" customHeight="1" s="102">
      <c r="A462" s="132" t="n"/>
      <c r="B462" s="133" t="n"/>
      <c r="C462" s="133" t="n"/>
      <c r="D462" s="133" t="n"/>
      <c r="E462" s="133" t="n"/>
      <c r="F462" s="133" t="n"/>
      <c r="G462" s="133" t="n"/>
      <c r="H462" s="133" t="n"/>
      <c r="I462" s="135">
        <f>IF(OR($A462="",$G462=""),"",IF($H462="VAR","KARŞILIKSIZ",IF($G462&gt;=DusukRiskEsik,"DÜŞÜK",IF($G462&gt;=RiskliSkorEsik,"ORTA",IF($G462&gt;=YuksekRiskEsik,"YÜKSEK","KARŞILIKSIZ")))))</f>
        <v/>
      </c>
      <c r="J462" s="133" t="n"/>
      <c r="K462" s="133" t="n"/>
    </row>
    <row r="463" ht="18" customHeight="1" s="102">
      <c r="A463" s="132" t="n"/>
      <c r="B463" s="133" t="n"/>
      <c r="C463" s="133" t="n"/>
      <c r="D463" s="133" t="n"/>
      <c r="E463" s="133" t="n"/>
      <c r="F463" s="133" t="n"/>
      <c r="G463" s="133" t="n"/>
      <c r="H463" s="133" t="n"/>
      <c r="I463" s="135">
        <f>IF(OR($A463="",$G463=""),"",IF($H463="VAR","KARŞILIKSIZ",IF($G463&gt;=DusukRiskEsik,"DÜŞÜK",IF($G463&gt;=RiskliSkorEsik,"ORTA",IF($G463&gt;=YuksekRiskEsik,"YÜKSEK","KARŞILIKSIZ")))))</f>
        <v/>
      </c>
      <c r="J463" s="133" t="n"/>
      <c r="K463" s="133" t="n"/>
    </row>
    <row r="464" ht="18" customHeight="1" s="102">
      <c r="A464" s="132" t="n"/>
      <c r="B464" s="133" t="n"/>
      <c r="C464" s="133" t="n"/>
      <c r="D464" s="133" t="n"/>
      <c r="E464" s="133" t="n"/>
      <c r="F464" s="133" t="n"/>
      <c r="G464" s="133" t="n"/>
      <c r="H464" s="133" t="n"/>
      <c r="I464" s="135">
        <f>IF(OR($A464="",$G464=""),"",IF($H464="VAR","KARŞILIKSIZ",IF($G464&gt;=DusukRiskEsik,"DÜŞÜK",IF($G464&gt;=RiskliSkorEsik,"ORTA",IF($G464&gt;=YuksekRiskEsik,"YÜKSEK","KARŞILIKSIZ")))))</f>
        <v/>
      </c>
      <c r="J464" s="133" t="n"/>
      <c r="K464" s="133" t="n"/>
    </row>
    <row r="465" ht="18" customHeight="1" s="102">
      <c r="A465" s="132" t="n"/>
      <c r="B465" s="133" t="n"/>
      <c r="C465" s="133" t="n"/>
      <c r="D465" s="133" t="n"/>
      <c r="E465" s="133" t="n"/>
      <c r="F465" s="133" t="n"/>
      <c r="G465" s="133" t="n"/>
      <c r="H465" s="133" t="n"/>
      <c r="I465" s="135">
        <f>IF(OR($A465="",$G465=""),"",IF($H465="VAR","KARŞILIKSIZ",IF($G465&gt;=DusukRiskEsik,"DÜŞÜK",IF($G465&gt;=RiskliSkorEsik,"ORTA",IF($G465&gt;=YuksekRiskEsik,"YÜKSEK","KARŞILIKSIZ")))))</f>
        <v/>
      </c>
      <c r="J465" s="133" t="n"/>
      <c r="K465" s="133" t="n"/>
    </row>
    <row r="466" ht="18" customHeight="1" s="102">
      <c r="A466" s="132" t="n"/>
      <c r="B466" s="133" t="n"/>
      <c r="C466" s="133" t="n"/>
      <c r="D466" s="133" t="n"/>
      <c r="E466" s="133" t="n"/>
      <c r="F466" s="133" t="n"/>
      <c r="G466" s="133" t="n"/>
      <c r="H466" s="133" t="n"/>
      <c r="I466" s="135">
        <f>IF(OR($A466="",$G466=""),"",IF($H466="VAR","KARŞILIKSIZ",IF($G466&gt;=DusukRiskEsik,"DÜŞÜK",IF($G466&gt;=RiskliSkorEsik,"ORTA",IF($G466&gt;=YuksekRiskEsik,"YÜKSEK","KARŞILIKSIZ")))))</f>
        <v/>
      </c>
      <c r="J466" s="133" t="n"/>
      <c r="K466" s="133" t="n"/>
    </row>
    <row r="467" ht="18" customHeight="1" s="102">
      <c r="A467" s="132" t="n"/>
      <c r="B467" s="133" t="n"/>
      <c r="C467" s="133" t="n"/>
      <c r="D467" s="133" t="n"/>
      <c r="E467" s="133" t="n"/>
      <c r="F467" s="133" t="n"/>
      <c r="G467" s="133" t="n"/>
      <c r="H467" s="133" t="n"/>
      <c r="I467" s="135">
        <f>IF(OR($A467="",$G467=""),"",IF($H467="VAR","KARŞILIKSIZ",IF($G467&gt;=DusukRiskEsik,"DÜŞÜK",IF($G467&gt;=RiskliSkorEsik,"ORTA",IF($G467&gt;=YuksekRiskEsik,"YÜKSEK","KARŞILIKSIZ")))))</f>
        <v/>
      </c>
      <c r="J467" s="133" t="n"/>
      <c r="K467" s="133" t="n"/>
    </row>
    <row r="468" ht="18" customHeight="1" s="102">
      <c r="A468" s="132" t="n"/>
      <c r="B468" s="133" t="n"/>
      <c r="C468" s="133" t="n"/>
      <c r="D468" s="133" t="n"/>
      <c r="E468" s="133" t="n"/>
      <c r="F468" s="133" t="n"/>
      <c r="G468" s="133" t="n"/>
      <c r="H468" s="133" t="n"/>
      <c r="I468" s="135">
        <f>IF(OR($A468="",$G468=""),"",IF($H468="VAR","KARŞILIKSIZ",IF($G468&gt;=DusukRiskEsik,"DÜŞÜK",IF($G468&gt;=RiskliSkorEsik,"ORTA",IF($G468&gt;=YuksekRiskEsik,"YÜKSEK","KARŞILIKSIZ")))))</f>
        <v/>
      </c>
      <c r="J468" s="133" t="n"/>
      <c r="K468" s="133" t="n"/>
    </row>
    <row r="469" ht="18" customHeight="1" s="102">
      <c r="A469" s="132" t="n"/>
      <c r="B469" s="133" t="n"/>
      <c r="C469" s="133" t="n"/>
      <c r="D469" s="133" t="n"/>
      <c r="E469" s="133" t="n"/>
      <c r="F469" s="133" t="n"/>
      <c r="G469" s="133" t="n"/>
      <c r="H469" s="133" t="n"/>
      <c r="I469" s="135">
        <f>IF(OR($A469="",$G469=""),"",IF($H469="VAR","KARŞILIKSIZ",IF($G469&gt;=DusukRiskEsik,"DÜŞÜK",IF($G469&gt;=RiskliSkorEsik,"ORTA",IF($G469&gt;=YuksekRiskEsik,"YÜKSEK","KARŞILIKSIZ")))))</f>
        <v/>
      </c>
      <c r="J469" s="133" t="n"/>
      <c r="K469" s="133" t="n"/>
    </row>
    <row r="470" ht="18" customHeight="1" s="102">
      <c r="A470" s="132" t="n"/>
      <c r="B470" s="133" t="n"/>
      <c r="C470" s="133" t="n"/>
      <c r="D470" s="133" t="n"/>
      <c r="E470" s="133" t="n"/>
      <c r="F470" s="133" t="n"/>
      <c r="G470" s="133" t="n"/>
      <c r="H470" s="133" t="n"/>
      <c r="I470" s="135">
        <f>IF(OR($A470="",$G470=""),"",IF($H470="VAR","KARŞILIKSIZ",IF($G470&gt;=DusukRiskEsik,"DÜŞÜK",IF($G470&gt;=RiskliSkorEsik,"ORTA",IF($G470&gt;=YuksekRiskEsik,"YÜKSEK","KARŞILIKSIZ")))))</f>
        <v/>
      </c>
      <c r="J470" s="133" t="n"/>
      <c r="K470" s="133" t="n"/>
    </row>
    <row r="471" ht="18" customHeight="1" s="102">
      <c r="A471" s="132" t="n"/>
      <c r="B471" s="133" t="n"/>
      <c r="C471" s="133" t="n"/>
      <c r="D471" s="133" t="n"/>
      <c r="E471" s="133" t="n"/>
      <c r="F471" s="133" t="n"/>
      <c r="G471" s="133" t="n"/>
      <c r="H471" s="133" t="n"/>
      <c r="I471" s="135">
        <f>IF(OR($A471="",$G471=""),"",IF($H471="VAR","KARŞILIKSIZ",IF($G471&gt;=DusukRiskEsik,"DÜŞÜK",IF($G471&gt;=RiskliSkorEsik,"ORTA",IF($G471&gt;=YuksekRiskEsik,"YÜKSEK","KARŞILIKSIZ")))))</f>
        <v/>
      </c>
      <c r="J471" s="133" t="n"/>
      <c r="K471" s="133" t="n"/>
    </row>
    <row r="472" ht="18" customHeight="1" s="102">
      <c r="A472" s="132" t="n"/>
      <c r="B472" s="133" t="n"/>
      <c r="C472" s="133" t="n"/>
      <c r="D472" s="133" t="n"/>
      <c r="E472" s="133" t="n"/>
      <c r="F472" s="133" t="n"/>
      <c r="G472" s="133" t="n"/>
      <c r="H472" s="133" t="n"/>
      <c r="I472" s="135">
        <f>IF(OR($A472="",$G472=""),"",IF($H472="VAR","KARŞILIKSIZ",IF($G472&gt;=DusukRiskEsik,"DÜŞÜK",IF($G472&gt;=RiskliSkorEsik,"ORTA",IF($G472&gt;=YuksekRiskEsik,"YÜKSEK","KARŞILIKSIZ")))))</f>
        <v/>
      </c>
      <c r="J472" s="133" t="n"/>
      <c r="K472" s="133" t="n"/>
    </row>
    <row r="473" ht="18" customHeight="1" s="102">
      <c r="A473" s="132" t="n"/>
      <c r="B473" s="133" t="n"/>
      <c r="C473" s="133" t="n"/>
      <c r="D473" s="133" t="n"/>
      <c r="E473" s="133" t="n"/>
      <c r="F473" s="133" t="n"/>
      <c r="G473" s="133" t="n"/>
      <c r="H473" s="133" t="n"/>
      <c r="I473" s="135">
        <f>IF(OR($A473="",$G473=""),"",IF($H473="VAR","KARŞILIKSIZ",IF($G473&gt;=DusukRiskEsik,"DÜŞÜK",IF($G473&gt;=RiskliSkorEsik,"ORTA",IF($G473&gt;=YuksekRiskEsik,"YÜKSEK","KARŞILIKSIZ")))))</f>
        <v/>
      </c>
      <c r="J473" s="133" t="n"/>
      <c r="K473" s="133" t="n"/>
    </row>
    <row r="474" ht="18" customHeight="1" s="102">
      <c r="A474" s="132" t="n"/>
      <c r="B474" s="133" t="n"/>
      <c r="C474" s="133" t="n"/>
      <c r="D474" s="133" t="n"/>
      <c r="E474" s="133" t="n"/>
      <c r="F474" s="133" t="n"/>
      <c r="G474" s="133" t="n"/>
      <c r="H474" s="133" t="n"/>
      <c r="I474" s="135">
        <f>IF(OR($A474="",$G474=""),"",IF($H474="VAR","KARŞILIKSIZ",IF($G474&gt;=DusukRiskEsik,"DÜŞÜK",IF($G474&gt;=RiskliSkorEsik,"ORTA",IF($G474&gt;=YuksekRiskEsik,"YÜKSEK","KARŞILIKSIZ")))))</f>
        <v/>
      </c>
      <c r="J474" s="133" t="n"/>
      <c r="K474" s="133" t="n"/>
    </row>
    <row r="475" ht="18" customHeight="1" s="102">
      <c r="A475" s="132" t="n"/>
      <c r="B475" s="133" t="n"/>
      <c r="C475" s="133" t="n"/>
      <c r="D475" s="133" t="n"/>
      <c r="E475" s="133" t="n"/>
      <c r="F475" s="133" t="n"/>
      <c r="G475" s="133" t="n"/>
      <c r="H475" s="133" t="n"/>
      <c r="I475" s="135">
        <f>IF(OR($A475="",$G475=""),"",IF($H475="VAR","KARŞILIKSIZ",IF($G475&gt;=DusukRiskEsik,"DÜŞÜK",IF($G475&gt;=RiskliSkorEsik,"ORTA",IF($G475&gt;=YuksekRiskEsik,"YÜKSEK","KARŞILIKSIZ")))))</f>
        <v/>
      </c>
      <c r="J475" s="133" t="n"/>
      <c r="K475" s="133" t="n"/>
    </row>
    <row r="476" ht="18" customHeight="1" s="102">
      <c r="A476" s="132" t="n"/>
      <c r="B476" s="133" t="n"/>
      <c r="C476" s="133" t="n"/>
      <c r="D476" s="133" t="n"/>
      <c r="E476" s="133" t="n"/>
      <c r="F476" s="133" t="n"/>
      <c r="G476" s="133" t="n"/>
      <c r="H476" s="133" t="n"/>
      <c r="I476" s="135">
        <f>IF(OR($A476="",$G476=""),"",IF($H476="VAR","KARŞILIKSIZ",IF($G476&gt;=DusukRiskEsik,"DÜŞÜK",IF($G476&gt;=RiskliSkorEsik,"ORTA",IF($G476&gt;=YuksekRiskEsik,"YÜKSEK","KARŞILIKSIZ")))))</f>
        <v/>
      </c>
      <c r="J476" s="133" t="n"/>
      <c r="K476" s="133" t="n"/>
    </row>
    <row r="477" ht="18" customHeight="1" s="102">
      <c r="A477" s="132" t="n"/>
      <c r="B477" s="133" t="n"/>
      <c r="C477" s="133" t="n"/>
      <c r="D477" s="133" t="n"/>
      <c r="E477" s="133" t="n"/>
      <c r="F477" s="133" t="n"/>
      <c r="G477" s="133" t="n"/>
      <c r="H477" s="133" t="n"/>
      <c r="I477" s="135">
        <f>IF(OR($A477="",$G477=""),"",IF($H477="VAR","KARŞILIKSIZ",IF($G477&gt;=DusukRiskEsik,"DÜŞÜK",IF($G477&gt;=RiskliSkorEsik,"ORTA",IF($G477&gt;=YuksekRiskEsik,"YÜKSEK","KARŞILIKSIZ")))))</f>
        <v/>
      </c>
      <c r="J477" s="133" t="n"/>
      <c r="K477" s="133" t="n"/>
    </row>
    <row r="478" ht="18" customHeight="1" s="102">
      <c r="A478" s="132" t="n"/>
      <c r="B478" s="133" t="n"/>
      <c r="C478" s="133" t="n"/>
      <c r="D478" s="133" t="n"/>
      <c r="E478" s="133" t="n"/>
      <c r="F478" s="133" t="n"/>
      <c r="G478" s="133" t="n"/>
      <c r="H478" s="133" t="n"/>
      <c r="I478" s="135">
        <f>IF(OR($A478="",$G478=""),"",IF($H478="VAR","KARŞILIKSIZ",IF($G478&gt;=DusukRiskEsik,"DÜŞÜK",IF($G478&gt;=RiskliSkorEsik,"ORTA",IF($G478&gt;=YuksekRiskEsik,"YÜKSEK","KARŞILIKSIZ")))))</f>
        <v/>
      </c>
      <c r="J478" s="133" t="n"/>
      <c r="K478" s="133" t="n"/>
    </row>
    <row r="479" ht="18" customHeight="1" s="102">
      <c r="A479" s="132" t="n"/>
      <c r="B479" s="133" t="n"/>
      <c r="C479" s="133" t="n"/>
      <c r="D479" s="133" t="n"/>
      <c r="E479" s="133" t="n"/>
      <c r="F479" s="133" t="n"/>
      <c r="G479" s="133" t="n"/>
      <c r="H479" s="133" t="n"/>
      <c r="I479" s="135">
        <f>IF(OR($A479="",$G479=""),"",IF($H479="VAR","KARŞILIKSIZ",IF($G479&gt;=DusukRiskEsik,"DÜŞÜK",IF($G479&gt;=RiskliSkorEsik,"ORTA",IF($G479&gt;=YuksekRiskEsik,"YÜKSEK","KARŞILIKSIZ")))))</f>
        <v/>
      </c>
      <c r="J479" s="133" t="n"/>
      <c r="K479" s="133" t="n"/>
    </row>
    <row r="480" ht="18" customHeight="1" s="102">
      <c r="A480" s="132" t="n"/>
      <c r="B480" s="133" t="n"/>
      <c r="C480" s="133" t="n"/>
      <c r="D480" s="133" t="n"/>
      <c r="E480" s="133" t="n"/>
      <c r="F480" s="133" t="n"/>
      <c r="G480" s="133" t="n"/>
      <c r="H480" s="133" t="n"/>
      <c r="I480" s="135">
        <f>IF(OR($A480="",$G480=""),"",IF($H480="VAR","KARŞILIKSIZ",IF($G480&gt;=DusukRiskEsik,"DÜŞÜK",IF($G480&gt;=RiskliSkorEsik,"ORTA",IF($G480&gt;=YuksekRiskEsik,"YÜKSEK","KARŞILIKSIZ")))))</f>
        <v/>
      </c>
      <c r="J480" s="133" t="n"/>
      <c r="K480" s="133" t="n"/>
    </row>
    <row r="481" ht="18" customHeight="1" s="102">
      <c r="A481" s="132" t="n"/>
      <c r="B481" s="133" t="n"/>
      <c r="C481" s="133" t="n"/>
      <c r="D481" s="133" t="n"/>
      <c r="E481" s="133" t="n"/>
      <c r="F481" s="133" t="n"/>
      <c r="G481" s="133" t="n"/>
      <c r="H481" s="133" t="n"/>
      <c r="I481" s="135">
        <f>IF(OR($A481="",$G481=""),"",IF($H481="VAR","KARŞILIKSIZ",IF($G481&gt;=DusukRiskEsik,"DÜŞÜK",IF($G481&gt;=RiskliSkorEsik,"ORTA",IF($G481&gt;=YuksekRiskEsik,"YÜKSEK","KARŞILIKSIZ")))))</f>
        <v/>
      </c>
      <c r="J481" s="133" t="n"/>
      <c r="K481" s="133" t="n"/>
    </row>
    <row r="482" ht="18" customHeight="1" s="102">
      <c r="A482" s="132" t="n"/>
      <c r="B482" s="133" t="n"/>
      <c r="C482" s="133" t="n"/>
      <c r="D482" s="133" t="n"/>
      <c r="E482" s="133" t="n"/>
      <c r="F482" s="133" t="n"/>
      <c r="G482" s="133" t="n"/>
      <c r="H482" s="133" t="n"/>
      <c r="I482" s="135">
        <f>IF(OR($A482="",$G482=""),"",IF($H482="VAR","KARŞILIKSIZ",IF($G482&gt;=DusukRiskEsik,"DÜŞÜK",IF($G482&gt;=RiskliSkorEsik,"ORTA",IF($G482&gt;=YuksekRiskEsik,"YÜKSEK","KARŞILIKSIZ")))))</f>
        <v/>
      </c>
      <c r="J482" s="133" t="n"/>
      <c r="K482" s="133" t="n"/>
    </row>
    <row r="483" ht="18" customHeight="1" s="102">
      <c r="A483" s="132" t="n"/>
      <c r="B483" s="133" t="n"/>
      <c r="C483" s="133" t="n"/>
      <c r="D483" s="133" t="n"/>
      <c r="E483" s="133" t="n"/>
      <c r="F483" s="133" t="n"/>
      <c r="G483" s="133" t="n"/>
      <c r="H483" s="133" t="n"/>
      <c r="I483" s="135">
        <f>IF(OR($A483="",$G483=""),"",IF($H483="VAR","KARŞILIKSIZ",IF($G483&gt;=DusukRiskEsik,"DÜŞÜK",IF($G483&gt;=RiskliSkorEsik,"ORTA",IF($G483&gt;=YuksekRiskEsik,"YÜKSEK","KARŞILIKSIZ")))))</f>
        <v/>
      </c>
      <c r="J483" s="133" t="n"/>
      <c r="K483" s="133" t="n"/>
    </row>
    <row r="484" ht="18" customHeight="1" s="102">
      <c r="A484" s="132" t="n"/>
      <c r="B484" s="133" t="n"/>
      <c r="C484" s="133" t="n"/>
      <c r="D484" s="133" t="n"/>
      <c r="E484" s="133" t="n"/>
      <c r="F484" s="133" t="n"/>
      <c r="G484" s="133" t="n"/>
      <c r="H484" s="133" t="n"/>
      <c r="I484" s="135">
        <f>IF(OR($A484="",$G484=""),"",IF($H484="VAR","KARŞILIKSIZ",IF($G484&gt;=DusukRiskEsik,"DÜŞÜK",IF($G484&gt;=RiskliSkorEsik,"ORTA",IF($G484&gt;=YuksekRiskEsik,"YÜKSEK","KARŞILIKSIZ")))))</f>
        <v/>
      </c>
      <c r="J484" s="133" t="n"/>
      <c r="K484" s="133" t="n"/>
    </row>
    <row r="485" ht="18" customHeight="1" s="102">
      <c r="A485" s="132" t="n"/>
      <c r="B485" s="133" t="n"/>
      <c r="C485" s="133" t="n"/>
      <c r="D485" s="133" t="n"/>
      <c r="E485" s="133" t="n"/>
      <c r="F485" s="133" t="n"/>
      <c r="G485" s="133" t="n"/>
      <c r="H485" s="133" t="n"/>
      <c r="I485" s="135">
        <f>IF(OR($A485="",$G485=""),"",IF($H485="VAR","KARŞILIKSIZ",IF($G485&gt;=DusukRiskEsik,"DÜŞÜK",IF($G485&gt;=RiskliSkorEsik,"ORTA",IF($G485&gt;=YuksekRiskEsik,"YÜKSEK","KARŞILIKSIZ")))))</f>
        <v/>
      </c>
      <c r="J485" s="133" t="n"/>
      <c r="K485" s="133" t="n"/>
    </row>
    <row r="486" ht="18" customHeight="1" s="102">
      <c r="A486" s="132" t="n"/>
      <c r="B486" s="133" t="n"/>
      <c r="C486" s="133" t="n"/>
      <c r="D486" s="133" t="n"/>
      <c r="E486" s="133" t="n"/>
      <c r="F486" s="133" t="n"/>
      <c r="G486" s="133" t="n"/>
      <c r="H486" s="133" t="n"/>
      <c r="I486" s="135">
        <f>IF(OR($A486="",$G486=""),"",IF($H486="VAR","KARŞILIKSIZ",IF($G486&gt;=DusukRiskEsik,"DÜŞÜK",IF($G486&gt;=RiskliSkorEsik,"ORTA",IF($G486&gt;=YuksekRiskEsik,"YÜKSEK","KARŞILIKSIZ")))))</f>
        <v/>
      </c>
      <c r="J486" s="133" t="n"/>
      <c r="K486" s="133" t="n"/>
    </row>
    <row r="487" ht="18" customHeight="1" s="102">
      <c r="A487" s="132" t="n"/>
      <c r="B487" s="133" t="n"/>
      <c r="C487" s="133" t="n"/>
      <c r="D487" s="133" t="n"/>
      <c r="E487" s="133" t="n"/>
      <c r="F487" s="133" t="n"/>
      <c r="G487" s="133" t="n"/>
      <c r="H487" s="133" t="n"/>
      <c r="I487" s="135">
        <f>IF(OR($A487="",$G487=""),"",IF($H487="VAR","KARŞILIKSIZ",IF($G487&gt;=DusukRiskEsik,"DÜŞÜK",IF($G487&gt;=RiskliSkorEsik,"ORTA",IF($G487&gt;=YuksekRiskEsik,"YÜKSEK","KARŞILIKSIZ")))))</f>
        <v/>
      </c>
      <c r="J487" s="133" t="n"/>
      <c r="K487" s="133" t="n"/>
    </row>
    <row r="488" ht="18" customHeight="1" s="102">
      <c r="A488" s="132" t="n"/>
      <c r="B488" s="133" t="n"/>
      <c r="C488" s="133" t="n"/>
      <c r="D488" s="133" t="n"/>
      <c r="E488" s="133" t="n"/>
      <c r="F488" s="133" t="n"/>
      <c r="G488" s="133" t="n"/>
      <c r="H488" s="133" t="n"/>
      <c r="I488" s="135">
        <f>IF(OR($A488="",$G488=""),"",IF($H488="VAR","KARŞILIKSIZ",IF($G488&gt;=DusukRiskEsik,"DÜŞÜK",IF($G488&gt;=RiskliSkorEsik,"ORTA",IF($G488&gt;=YuksekRiskEsik,"YÜKSEK","KARŞILIKSIZ")))))</f>
        <v/>
      </c>
      <c r="J488" s="133" t="n"/>
      <c r="K488" s="133" t="n"/>
    </row>
    <row r="489" ht="18" customHeight="1" s="102">
      <c r="A489" s="132" t="n"/>
      <c r="B489" s="133" t="n"/>
      <c r="C489" s="133" t="n"/>
      <c r="D489" s="133" t="n"/>
      <c r="E489" s="133" t="n"/>
      <c r="F489" s="133" t="n"/>
      <c r="G489" s="133" t="n"/>
      <c r="H489" s="133" t="n"/>
      <c r="I489" s="135">
        <f>IF(OR($A489="",$G489=""),"",IF($H489="VAR","KARŞILIKSIZ",IF($G489&gt;=DusukRiskEsik,"DÜŞÜK",IF($G489&gt;=RiskliSkorEsik,"ORTA",IF($G489&gt;=YuksekRiskEsik,"YÜKSEK","KARŞILIKSIZ")))))</f>
        <v/>
      </c>
      <c r="J489" s="133" t="n"/>
      <c r="K489" s="133" t="n"/>
    </row>
    <row r="490" ht="18" customHeight="1" s="102">
      <c r="A490" s="132" t="n"/>
      <c r="B490" s="133" t="n"/>
      <c r="C490" s="133" t="n"/>
      <c r="D490" s="133" t="n"/>
      <c r="E490" s="133" t="n"/>
      <c r="F490" s="133" t="n"/>
      <c r="G490" s="133" t="n"/>
      <c r="H490" s="133" t="n"/>
      <c r="I490" s="135">
        <f>IF(OR($A490="",$G490=""),"",IF($H490="VAR","KARŞILIKSIZ",IF($G490&gt;=DusukRiskEsik,"DÜŞÜK",IF($G490&gt;=RiskliSkorEsik,"ORTA",IF($G490&gt;=YuksekRiskEsik,"YÜKSEK","KARŞILIKSIZ")))))</f>
        <v/>
      </c>
      <c r="J490" s="133" t="n"/>
      <c r="K490" s="133" t="n"/>
    </row>
    <row r="491" ht="18" customHeight="1" s="102">
      <c r="A491" s="132" t="n"/>
      <c r="B491" s="133" t="n"/>
      <c r="C491" s="133" t="n"/>
      <c r="D491" s="133" t="n"/>
      <c r="E491" s="133" t="n"/>
      <c r="F491" s="133" t="n"/>
      <c r="G491" s="133" t="n"/>
      <c r="H491" s="133" t="n"/>
      <c r="I491" s="135">
        <f>IF(OR($A491="",$G491=""),"",IF($H491="VAR","KARŞILIKSIZ",IF($G491&gt;=DusukRiskEsik,"DÜŞÜK",IF($G491&gt;=RiskliSkorEsik,"ORTA",IF($G491&gt;=YuksekRiskEsik,"YÜKSEK","KARŞILIKSIZ")))))</f>
        <v/>
      </c>
      <c r="J491" s="133" t="n"/>
      <c r="K491" s="133" t="n"/>
    </row>
    <row r="492" ht="18" customHeight="1" s="102">
      <c r="A492" s="132" t="n"/>
      <c r="B492" s="133" t="n"/>
      <c r="C492" s="133" t="n"/>
      <c r="D492" s="133" t="n"/>
      <c r="E492" s="133" t="n"/>
      <c r="F492" s="133" t="n"/>
      <c r="G492" s="133" t="n"/>
      <c r="H492" s="133" t="n"/>
      <c r="I492" s="135">
        <f>IF(OR($A492="",$G492=""),"",IF($H492="VAR","KARŞILIKSIZ",IF($G492&gt;=DusukRiskEsik,"DÜŞÜK",IF($G492&gt;=RiskliSkorEsik,"ORTA",IF($G492&gt;=YuksekRiskEsik,"YÜKSEK","KARŞILIKSIZ")))))</f>
        <v/>
      </c>
      <c r="J492" s="133" t="n"/>
      <c r="K492" s="133" t="n"/>
    </row>
    <row r="493" ht="18" customHeight="1" s="102">
      <c r="A493" s="132" t="n"/>
      <c r="B493" s="133" t="n"/>
      <c r="C493" s="133" t="n"/>
      <c r="D493" s="133" t="n"/>
      <c r="E493" s="133" t="n"/>
      <c r="F493" s="133" t="n"/>
      <c r="G493" s="133" t="n"/>
      <c r="H493" s="133" t="n"/>
      <c r="I493" s="135">
        <f>IF(OR($A493="",$G493=""),"",IF($H493="VAR","KARŞILIKSIZ",IF($G493&gt;=DusukRiskEsik,"DÜŞÜK",IF($G493&gt;=RiskliSkorEsik,"ORTA",IF($G493&gt;=YuksekRiskEsik,"YÜKSEK","KARŞILIKSIZ")))))</f>
        <v/>
      </c>
      <c r="J493" s="133" t="n"/>
      <c r="K493" s="133" t="n"/>
    </row>
    <row r="494" ht="18" customHeight="1" s="102">
      <c r="A494" s="132" t="n"/>
      <c r="B494" s="133" t="n"/>
      <c r="C494" s="133" t="n"/>
      <c r="D494" s="133" t="n"/>
      <c r="E494" s="133" t="n"/>
      <c r="F494" s="133" t="n"/>
      <c r="G494" s="133" t="n"/>
      <c r="H494" s="133" t="n"/>
      <c r="I494" s="135">
        <f>IF(OR($A494="",$G494=""),"",IF($H494="VAR","KARŞILIKSIZ",IF($G494&gt;=DusukRiskEsik,"DÜŞÜK",IF($G494&gt;=RiskliSkorEsik,"ORTA",IF($G494&gt;=YuksekRiskEsik,"YÜKSEK","KARŞILIKSIZ")))))</f>
        <v/>
      </c>
      <c r="J494" s="133" t="n"/>
      <c r="K494" s="133" t="n"/>
    </row>
    <row r="495" ht="18" customHeight="1" s="102">
      <c r="A495" s="132" t="n"/>
      <c r="B495" s="133" t="n"/>
      <c r="C495" s="133" t="n"/>
      <c r="D495" s="133" t="n"/>
      <c r="E495" s="133" t="n"/>
      <c r="F495" s="133" t="n"/>
      <c r="G495" s="133" t="n"/>
      <c r="H495" s="133" t="n"/>
      <c r="I495" s="135">
        <f>IF(OR($A495="",$G495=""),"",IF($H495="VAR","KARŞILIKSIZ",IF($G495&gt;=DusukRiskEsik,"DÜŞÜK",IF($G495&gt;=RiskliSkorEsik,"ORTA",IF($G495&gt;=YuksekRiskEsik,"YÜKSEK","KARŞILIKSIZ")))))</f>
        <v/>
      </c>
      <c r="J495" s="133" t="n"/>
      <c r="K495" s="133" t="n"/>
    </row>
    <row r="496" ht="18" customHeight="1" s="102">
      <c r="A496" s="132" t="n"/>
      <c r="B496" s="133" t="n"/>
      <c r="C496" s="133" t="n"/>
      <c r="D496" s="133" t="n"/>
      <c r="E496" s="133" t="n"/>
      <c r="F496" s="133" t="n"/>
      <c r="G496" s="133" t="n"/>
      <c r="H496" s="133" t="n"/>
      <c r="I496" s="135">
        <f>IF(OR($A496="",$G496=""),"",IF($H496="VAR","KARŞILIKSIZ",IF($G496&gt;=DusukRiskEsik,"DÜŞÜK",IF($G496&gt;=RiskliSkorEsik,"ORTA",IF($G496&gt;=YuksekRiskEsik,"YÜKSEK","KARŞILIKSIZ")))))</f>
        <v/>
      </c>
      <c r="J496" s="133" t="n"/>
      <c r="K496" s="133" t="n"/>
    </row>
    <row r="497" ht="18" customHeight="1" s="102">
      <c r="A497" s="132" t="n"/>
      <c r="B497" s="133" t="n"/>
      <c r="C497" s="133" t="n"/>
      <c r="D497" s="133" t="n"/>
      <c r="E497" s="133" t="n"/>
      <c r="F497" s="133" t="n"/>
      <c r="G497" s="133" t="n"/>
      <c r="H497" s="133" t="n"/>
      <c r="I497" s="135">
        <f>IF(OR($A497="",$G497=""),"",IF($H497="VAR","KARŞILIKSIZ",IF($G497&gt;=DusukRiskEsik,"DÜŞÜK",IF($G497&gt;=RiskliSkorEsik,"ORTA",IF($G497&gt;=YuksekRiskEsik,"YÜKSEK","KARŞILIKSIZ")))))</f>
        <v/>
      </c>
      <c r="J497" s="133" t="n"/>
      <c r="K497" s="133" t="n"/>
    </row>
    <row r="498" ht="18" customHeight="1" s="102">
      <c r="A498" s="132" t="n"/>
      <c r="B498" s="133" t="n"/>
      <c r="C498" s="133" t="n"/>
      <c r="D498" s="133" t="n"/>
      <c r="E498" s="133" t="n"/>
      <c r="F498" s="133" t="n"/>
      <c r="G498" s="133" t="n"/>
      <c r="H498" s="133" t="n"/>
      <c r="I498" s="135">
        <f>IF(OR($A498="",$G498=""),"",IF($H498="VAR","KARŞILIKSIZ",IF($G498&gt;=DusukRiskEsik,"DÜŞÜK",IF($G498&gt;=RiskliSkorEsik,"ORTA",IF($G498&gt;=YuksekRiskEsik,"YÜKSEK","KARŞILIKSIZ")))))</f>
        <v/>
      </c>
      <c r="J498" s="133" t="n"/>
      <c r="K498" s="133" t="n"/>
    </row>
    <row r="499" ht="18" customHeight="1" s="102">
      <c r="A499" s="132" t="n"/>
      <c r="B499" s="133" t="n"/>
      <c r="C499" s="133" t="n"/>
      <c r="D499" s="133" t="n"/>
      <c r="E499" s="133" t="n"/>
      <c r="F499" s="133" t="n"/>
      <c r="G499" s="133" t="n"/>
      <c r="H499" s="133" t="n"/>
      <c r="I499" s="135">
        <f>IF(OR($A499="",$G499=""),"",IF($H499="VAR","KARŞILIKSIZ",IF($G499&gt;=DusukRiskEsik,"DÜŞÜK",IF($G499&gt;=RiskliSkorEsik,"ORTA",IF($G499&gt;=YuksekRiskEsik,"YÜKSEK","KARŞILIKSIZ")))))</f>
        <v/>
      </c>
      <c r="J499" s="133" t="n"/>
      <c r="K499" s="133" t="n"/>
    </row>
    <row r="500" ht="18" customHeight="1" s="102">
      <c r="A500" s="132" t="n"/>
      <c r="B500" s="133" t="n"/>
      <c r="C500" s="133" t="n"/>
      <c r="D500" s="133" t="n"/>
      <c r="E500" s="133" t="n"/>
      <c r="F500" s="133" t="n"/>
      <c r="G500" s="133" t="n"/>
      <c r="H500" s="133" t="n"/>
      <c r="I500" s="135">
        <f>IF(OR($A500="",$G500=""),"",IF($H500="VAR","KARŞILIKSIZ",IF($G500&gt;=DusukRiskEsik,"DÜŞÜK",IF($G500&gt;=RiskliSkorEsik,"ORTA",IF($G500&gt;=YuksekRiskEsik,"YÜKSEK","KARŞILIKSIZ")))))</f>
        <v/>
      </c>
      <c r="J500" s="133" t="n"/>
      <c r="K500" s="133" t="n"/>
    </row>
    <row r="501" ht="18" customHeight="1" s="102">
      <c r="A501" s="132" t="n"/>
      <c r="B501" s="133" t="n"/>
      <c r="C501" s="133" t="n"/>
      <c r="D501" s="133" t="n"/>
      <c r="E501" s="133" t="n"/>
      <c r="F501" s="133" t="n"/>
      <c r="G501" s="133" t="n"/>
      <c r="H501" s="133" t="n"/>
      <c r="I501" s="135">
        <f>IF(OR($A501="",$G501=""),"",IF($H501="VAR","KARŞILIKSIZ",IF($G501&gt;=DusukRiskEsik,"DÜŞÜK",IF($G501&gt;=RiskliSkorEsik,"ORTA",IF($G501&gt;=YuksekRiskEsik,"YÜKSEK","KARŞILIKSIZ")))))</f>
        <v/>
      </c>
      <c r="J501" s="133" t="n"/>
      <c r="K501" s="133" t="n"/>
    </row>
    <row r="502" ht="18" customHeight="1" s="102">
      <c r="A502" s="132" t="n"/>
      <c r="B502" s="133" t="n"/>
      <c r="C502" s="133" t="n"/>
      <c r="D502" s="133" t="n"/>
      <c r="E502" s="133" t="n"/>
      <c r="F502" s="133" t="n"/>
      <c r="G502" s="133" t="n"/>
      <c r="H502" s="133" t="n"/>
      <c r="I502" s="135">
        <f>IF(OR($A502="",$G502=""),"",IF($H502="VAR","KARŞILIKSIZ",IF($G502&gt;=DusukRiskEsik,"DÜŞÜK",IF($G502&gt;=RiskliSkorEsik,"ORTA",IF($G502&gt;=YuksekRiskEsik,"YÜKSEK","KARŞILIKSIZ")))))</f>
        <v/>
      </c>
      <c r="J502" s="133" t="n"/>
      <c r="K502" s="133" t="n"/>
    </row>
    <row r="503" ht="18" customHeight="1" s="102">
      <c r="A503" s="132" t="n"/>
      <c r="B503" s="133" t="n"/>
      <c r="C503" s="133" t="n"/>
      <c r="D503" s="133" t="n"/>
      <c r="E503" s="133" t="n"/>
      <c r="F503" s="133" t="n"/>
      <c r="G503" s="133" t="n"/>
      <c r="H503" s="133" t="n"/>
      <c r="I503" s="135">
        <f>IF(OR($A503="",$G503=""),"",IF($H503="VAR","KARŞILIKSIZ",IF($G503&gt;=DusukRiskEsik,"DÜŞÜK",IF($G503&gt;=RiskliSkorEsik,"ORTA",IF($G503&gt;=YuksekRiskEsik,"YÜKSEK","KARŞILIKSIZ")))))</f>
        <v/>
      </c>
      <c r="J503" s="133" t="n"/>
      <c r="K503" s="133" t="n"/>
    </row>
    <row r="504" ht="18" customHeight="1" s="102">
      <c r="A504" s="132" t="n"/>
      <c r="B504" s="133" t="n"/>
      <c r="C504" s="133" t="n"/>
      <c r="D504" s="133" t="n"/>
      <c r="E504" s="133" t="n"/>
      <c r="F504" s="133" t="n"/>
      <c r="G504" s="133" t="n"/>
      <c r="H504" s="133" t="n"/>
      <c r="I504" s="135">
        <f>IF(OR($A504="",$G504=""),"",IF($H504="VAR","KARŞILIKSIZ",IF($G504&gt;=DusukRiskEsik,"DÜŞÜK",IF($G504&gt;=RiskliSkorEsik,"ORTA",IF($G504&gt;=YuksekRiskEsik,"YÜKSEK","KARŞILIKSIZ")))))</f>
        <v/>
      </c>
      <c r="J504" s="133" t="n"/>
      <c r="K504" s="133" t="n"/>
    </row>
    <row r="505" ht="18" customHeight="1" s="102">
      <c r="A505" s="132" t="n"/>
      <c r="B505" s="133" t="n"/>
      <c r="C505" s="133" t="n"/>
      <c r="D505" s="133" t="n"/>
      <c r="E505" s="133" t="n"/>
      <c r="F505" s="133" t="n"/>
      <c r="G505" s="133" t="n"/>
      <c r="H505" s="133" t="n"/>
      <c r="I505" s="135">
        <f>IF(OR($A505="",$G505=""),"",IF($H505="VAR","KARŞILIKSIZ",IF($G505&gt;=DusukRiskEsik,"DÜŞÜK",IF($G505&gt;=RiskliSkorEsik,"ORTA",IF($G505&gt;=YuksekRiskEsik,"YÜKSEK","KARŞILIKSIZ")))))</f>
        <v/>
      </c>
      <c r="J505" s="133" t="n"/>
      <c r="K505" s="133" t="n"/>
    </row>
    <row r="506" ht="18" customHeight="1" s="102">
      <c r="A506" s="132" t="n"/>
      <c r="B506" s="133" t="n"/>
      <c r="C506" s="133" t="n"/>
      <c r="D506" s="133" t="n"/>
      <c r="E506" s="133" t="n"/>
      <c r="F506" s="133" t="n"/>
      <c r="G506" s="133" t="n"/>
      <c r="H506" s="133" t="n"/>
      <c r="I506" s="135">
        <f>IF(OR($A506="",$G506=""),"",IF($H506="VAR","KARŞILIKSIZ",IF($G506&gt;=DusukRiskEsik,"DÜŞÜK",IF($G506&gt;=RiskliSkorEsik,"ORTA",IF($G506&gt;=YuksekRiskEsik,"YÜKSEK","KARŞILIKSIZ")))))</f>
        <v/>
      </c>
      <c r="J506" s="133" t="n"/>
      <c r="K506" s="133" t="n"/>
    </row>
    <row r="507" ht="18" customHeight="1" s="102">
      <c r="A507" s="132" t="n"/>
      <c r="B507" s="133" t="n"/>
      <c r="C507" s="133" t="n"/>
      <c r="D507" s="133" t="n"/>
      <c r="E507" s="133" t="n"/>
      <c r="F507" s="133" t="n"/>
      <c r="G507" s="133" t="n"/>
      <c r="H507" s="133" t="n"/>
      <c r="I507" s="135">
        <f>IF(OR($A507="",$G507=""),"",IF($H507="VAR","KARŞILIKSIZ",IF($G507&gt;=DusukRiskEsik,"DÜŞÜK",IF($G507&gt;=RiskliSkorEsik,"ORTA",IF($G507&gt;=YuksekRiskEsik,"YÜKSEK","KARŞILIKSIZ")))))</f>
        <v/>
      </c>
      <c r="J507" s="133" t="n"/>
      <c r="K507" s="133" t="n"/>
    </row>
    <row r="508" ht="18" customHeight="1" s="102">
      <c r="A508" s="132" t="n"/>
      <c r="B508" s="133" t="n"/>
      <c r="C508" s="133" t="n"/>
      <c r="D508" s="133" t="n"/>
      <c r="E508" s="133" t="n"/>
      <c r="F508" s="133" t="n"/>
      <c r="G508" s="133" t="n"/>
      <c r="H508" s="133" t="n"/>
      <c r="I508" s="135">
        <f>IF(OR($A508="",$G508=""),"",IF($H508="VAR","KARŞILIKSIZ",IF($G508&gt;=DusukRiskEsik,"DÜŞÜK",IF($G508&gt;=RiskliSkorEsik,"ORTA",IF($G508&gt;=YuksekRiskEsik,"YÜKSEK","KARŞILIKSIZ")))))</f>
        <v/>
      </c>
      <c r="J508" s="133" t="n"/>
      <c r="K508" s="133" t="n"/>
    </row>
    <row r="509" ht="18" customHeight="1" s="102">
      <c r="A509" s="132" t="n"/>
      <c r="B509" s="133" t="n"/>
      <c r="C509" s="133" t="n"/>
      <c r="D509" s="133" t="n"/>
      <c r="E509" s="133" t="n"/>
      <c r="F509" s="133" t="n"/>
      <c r="G509" s="133" t="n"/>
      <c r="H509" s="133" t="n"/>
      <c r="I509" s="135">
        <f>IF(OR($A509="",$G509=""),"",IF($H509="VAR","KARŞILIKSIZ",IF($G509&gt;=DusukRiskEsik,"DÜŞÜK",IF($G509&gt;=RiskliSkorEsik,"ORTA",IF($G509&gt;=YuksekRiskEsik,"YÜKSEK","KARŞILIKSIZ")))))</f>
        <v/>
      </c>
      <c r="J509" s="133" t="n"/>
      <c r="K509" s="133" t="n"/>
    </row>
    <row r="510" ht="18" customHeight="1" s="102">
      <c r="A510" s="132" t="n"/>
      <c r="B510" s="133" t="n"/>
      <c r="C510" s="133" t="n"/>
      <c r="D510" s="133" t="n"/>
      <c r="E510" s="133" t="n"/>
      <c r="F510" s="133" t="n"/>
      <c r="G510" s="133" t="n"/>
      <c r="H510" s="133" t="n"/>
      <c r="I510" s="135">
        <f>IF(OR($A510="",$G510=""),"",IF($H510="VAR","KARŞILIKSIZ",IF($G510&gt;=DusukRiskEsik,"DÜŞÜK",IF($G510&gt;=RiskliSkorEsik,"ORTA",IF($G510&gt;=YuksekRiskEsik,"YÜKSEK","KARŞILIKSIZ")))))</f>
        <v/>
      </c>
      <c r="J510" s="133" t="n"/>
      <c r="K510" s="133" t="n"/>
    </row>
    <row r="511" ht="18" customHeight="1" s="102">
      <c r="A511" s="132" t="n"/>
      <c r="B511" s="133" t="n"/>
      <c r="C511" s="133" t="n"/>
      <c r="D511" s="133" t="n"/>
      <c r="E511" s="133" t="n"/>
      <c r="F511" s="133" t="n"/>
      <c r="G511" s="133" t="n"/>
      <c r="H511" s="133" t="n"/>
      <c r="I511" s="135">
        <f>IF(OR($A511="",$G511=""),"",IF($H511="VAR","KARŞILIKSIZ",IF($G511&gt;=DusukRiskEsik,"DÜŞÜK",IF($G511&gt;=RiskliSkorEsik,"ORTA",IF($G511&gt;=YuksekRiskEsik,"YÜKSEK","KARŞILIKSIZ")))))</f>
        <v/>
      </c>
      <c r="J511" s="133" t="n"/>
      <c r="K511" s="133" t="n"/>
    </row>
    <row r="512" ht="18" customHeight="1" s="102">
      <c r="A512" s="132" t="n"/>
      <c r="B512" s="133" t="n"/>
      <c r="C512" s="133" t="n"/>
      <c r="D512" s="133" t="n"/>
      <c r="E512" s="133" t="n"/>
      <c r="F512" s="133" t="n"/>
      <c r="G512" s="133" t="n"/>
      <c r="H512" s="133" t="n"/>
      <c r="I512" s="135">
        <f>IF(OR($A512="",$G512=""),"",IF($H512="VAR","KARŞILIKSIZ",IF($G512&gt;=DusukRiskEsik,"DÜŞÜK",IF($G512&gt;=RiskliSkorEsik,"ORTA",IF($G512&gt;=YuksekRiskEsik,"YÜKSEK","KARŞILIKSIZ")))))</f>
        <v/>
      </c>
      <c r="J512" s="133" t="n"/>
      <c r="K512" s="133" t="n"/>
    </row>
    <row r="513" ht="18" customHeight="1" s="102">
      <c r="A513" s="132" t="n"/>
      <c r="B513" s="133" t="n"/>
      <c r="C513" s="133" t="n"/>
      <c r="D513" s="133" t="n"/>
      <c r="E513" s="133" t="n"/>
      <c r="F513" s="133" t="n"/>
      <c r="G513" s="133" t="n"/>
      <c r="H513" s="133" t="n"/>
      <c r="I513" s="135">
        <f>IF(OR($A513="",$G513=""),"",IF($H513="VAR","KARŞILIKSIZ",IF($G513&gt;=DusukRiskEsik,"DÜŞÜK",IF($G513&gt;=RiskliSkorEsik,"ORTA",IF($G513&gt;=YuksekRiskEsik,"YÜKSEK","KARŞILIKSIZ")))))</f>
        <v/>
      </c>
      <c r="J513" s="133" t="n"/>
      <c r="K513" s="133" t="n"/>
    </row>
    <row r="514" ht="18" customHeight="1" s="102">
      <c r="A514" s="132" t="n"/>
      <c r="B514" s="133" t="n"/>
      <c r="C514" s="133" t="n"/>
      <c r="D514" s="133" t="n"/>
      <c r="E514" s="133" t="n"/>
      <c r="F514" s="133" t="n"/>
      <c r="G514" s="133" t="n"/>
      <c r="H514" s="133" t="n"/>
      <c r="I514" s="135">
        <f>IF(OR($A514="",$G514=""),"",IF($H514="VAR","KARŞILIKSIZ",IF($G514&gt;=DusukRiskEsik,"DÜŞÜK",IF($G514&gt;=RiskliSkorEsik,"ORTA",IF($G514&gt;=YuksekRiskEsik,"YÜKSEK","KARŞILIKSIZ")))))</f>
        <v/>
      </c>
      <c r="J514" s="133" t="n"/>
      <c r="K514" s="133" t="n"/>
    </row>
    <row r="515" ht="18" customHeight="1" s="102">
      <c r="A515" s="132" t="n"/>
      <c r="B515" s="133" t="n"/>
      <c r="C515" s="133" t="n"/>
      <c r="D515" s="133" t="n"/>
      <c r="E515" s="133" t="n"/>
      <c r="F515" s="133" t="n"/>
      <c r="G515" s="133" t="n"/>
      <c r="H515" s="133" t="n"/>
      <c r="I515" s="135">
        <f>IF(OR($A515="",$G515=""),"",IF($H515="VAR","KARŞILIKSIZ",IF($G515&gt;=DusukRiskEsik,"DÜŞÜK",IF($G515&gt;=RiskliSkorEsik,"ORTA",IF($G515&gt;=YuksekRiskEsik,"YÜKSEK","KARŞILIKSIZ")))))</f>
        <v/>
      </c>
      <c r="J515" s="133" t="n"/>
      <c r="K515" s="133" t="n"/>
    </row>
    <row r="516" ht="18" customHeight="1" s="102">
      <c r="A516" s="132" t="n"/>
      <c r="B516" s="133" t="n"/>
      <c r="C516" s="133" t="n"/>
      <c r="D516" s="133" t="n"/>
      <c r="E516" s="133" t="n"/>
      <c r="F516" s="133" t="n"/>
      <c r="G516" s="133" t="n"/>
      <c r="H516" s="133" t="n"/>
      <c r="I516" s="135">
        <f>IF(OR($A516="",$G516=""),"",IF($H516="VAR","KARŞILIKSIZ",IF($G516&gt;=DusukRiskEsik,"DÜŞÜK",IF($G516&gt;=RiskliSkorEsik,"ORTA",IF($G516&gt;=YuksekRiskEsik,"YÜKSEK","KARŞILIKSIZ")))))</f>
        <v/>
      </c>
      <c r="J516" s="133" t="n"/>
      <c r="K516" s="133" t="n"/>
    </row>
    <row r="517" ht="18" customHeight="1" s="102">
      <c r="A517" s="132" t="n"/>
      <c r="B517" s="133" t="n"/>
      <c r="C517" s="133" t="n"/>
      <c r="D517" s="133" t="n"/>
      <c r="E517" s="133" t="n"/>
      <c r="F517" s="133" t="n"/>
      <c r="G517" s="133" t="n"/>
      <c r="H517" s="133" t="n"/>
      <c r="I517" s="135">
        <f>IF(OR($A517="",$G517=""),"",IF($H517="VAR","KARŞILIKSIZ",IF($G517&gt;=DusukRiskEsik,"DÜŞÜK",IF($G517&gt;=RiskliSkorEsik,"ORTA",IF($G517&gt;=YuksekRiskEsik,"YÜKSEK","KARŞILIKSIZ")))))</f>
        <v/>
      </c>
      <c r="J517" s="133" t="n"/>
      <c r="K517" s="133" t="n"/>
    </row>
    <row r="518" ht="18" customHeight="1" s="102">
      <c r="A518" s="132" t="n"/>
      <c r="B518" s="133" t="n"/>
      <c r="C518" s="133" t="n"/>
      <c r="D518" s="133" t="n"/>
      <c r="E518" s="133" t="n"/>
      <c r="F518" s="133" t="n"/>
      <c r="G518" s="133" t="n"/>
      <c r="H518" s="133" t="n"/>
      <c r="I518" s="135">
        <f>IF(OR($A518="",$G518=""),"",IF($H518="VAR","KARŞILIKSIZ",IF($G518&gt;=DusukRiskEsik,"DÜŞÜK",IF($G518&gt;=RiskliSkorEsik,"ORTA",IF($G518&gt;=YuksekRiskEsik,"YÜKSEK","KARŞILIKSIZ")))))</f>
        <v/>
      </c>
      <c r="J518" s="133" t="n"/>
      <c r="K518" s="133" t="n"/>
    </row>
    <row r="519" ht="18" customHeight="1" s="102">
      <c r="A519" s="132" t="n"/>
      <c r="B519" s="133" t="n"/>
      <c r="C519" s="133" t="n"/>
      <c r="D519" s="133" t="n"/>
      <c r="E519" s="133" t="n"/>
      <c r="F519" s="133" t="n"/>
      <c r="G519" s="133" t="n"/>
      <c r="H519" s="133" t="n"/>
      <c r="I519" s="135">
        <f>IF(OR($A519="",$G519=""),"",IF($H519="VAR","KARŞILIKSIZ",IF($G519&gt;=DusukRiskEsik,"DÜŞÜK",IF($G519&gt;=RiskliSkorEsik,"ORTA",IF($G519&gt;=YuksekRiskEsik,"YÜKSEK","KARŞILIKSIZ")))))</f>
        <v/>
      </c>
      <c r="J519" s="133" t="n"/>
      <c r="K519" s="133" t="n"/>
    </row>
    <row r="520" ht="18" customHeight="1" s="102">
      <c r="A520" s="132" t="n"/>
      <c r="B520" s="133" t="n"/>
      <c r="C520" s="133" t="n"/>
      <c r="D520" s="133" t="n"/>
      <c r="E520" s="133" t="n"/>
      <c r="F520" s="133" t="n"/>
      <c r="G520" s="133" t="n"/>
      <c r="H520" s="133" t="n"/>
      <c r="I520" s="135">
        <f>IF(OR($A520="",$G520=""),"",IF($H520="VAR","KARŞILIKSIZ",IF($G520&gt;=DusukRiskEsik,"DÜŞÜK",IF($G520&gt;=RiskliSkorEsik,"ORTA",IF($G520&gt;=YuksekRiskEsik,"YÜKSEK","KARŞILIKSIZ")))))</f>
        <v/>
      </c>
      <c r="J520" s="133" t="n"/>
      <c r="K520" s="133" t="n"/>
    </row>
    <row r="521" ht="18" customHeight="1" s="102">
      <c r="A521" s="132" t="n"/>
      <c r="B521" s="133" t="n"/>
      <c r="C521" s="133" t="n"/>
      <c r="D521" s="133" t="n"/>
      <c r="E521" s="133" t="n"/>
      <c r="F521" s="133" t="n"/>
      <c r="G521" s="133" t="n"/>
      <c r="H521" s="133" t="n"/>
      <c r="I521" s="135">
        <f>IF(OR($A521="",$G521=""),"",IF($H521="VAR","KARŞILIKSIZ",IF($G521&gt;=DusukRiskEsik,"DÜŞÜK",IF($G521&gt;=RiskliSkorEsik,"ORTA",IF($G521&gt;=YuksekRiskEsik,"YÜKSEK","KARŞILIKSIZ")))))</f>
        <v/>
      </c>
      <c r="J521" s="133" t="n"/>
      <c r="K521" s="133" t="n"/>
    </row>
    <row r="522" ht="18" customHeight="1" s="102">
      <c r="A522" s="132" t="n"/>
      <c r="B522" s="133" t="n"/>
      <c r="C522" s="133" t="n"/>
      <c r="D522" s="133" t="n"/>
      <c r="E522" s="133" t="n"/>
      <c r="F522" s="133" t="n"/>
      <c r="G522" s="133" t="n"/>
      <c r="H522" s="133" t="n"/>
      <c r="I522" s="135">
        <f>IF(OR($A522="",$G522=""),"",IF($H522="VAR","KARŞILIKSIZ",IF($G522&gt;=DusukRiskEsik,"DÜŞÜK",IF($G522&gt;=RiskliSkorEsik,"ORTA",IF($G522&gt;=YuksekRiskEsik,"YÜKSEK","KARŞILIKSIZ")))))</f>
        <v/>
      </c>
      <c r="J522" s="133" t="n"/>
      <c r="K522" s="133" t="n"/>
    </row>
    <row r="523" ht="18" customHeight="1" s="102">
      <c r="A523" s="132" t="n"/>
      <c r="B523" s="133" t="n"/>
      <c r="C523" s="133" t="n"/>
      <c r="D523" s="133" t="n"/>
      <c r="E523" s="133" t="n"/>
      <c r="F523" s="133" t="n"/>
      <c r="G523" s="133" t="n"/>
      <c r="H523" s="133" t="n"/>
      <c r="I523" s="135">
        <f>IF(OR($A523="",$G523=""),"",IF($H523="VAR","KARŞILIKSIZ",IF($G523&gt;=DusukRiskEsik,"DÜŞÜK",IF($G523&gt;=RiskliSkorEsik,"ORTA",IF($G523&gt;=YuksekRiskEsik,"YÜKSEK","KARŞILIKSIZ")))))</f>
        <v/>
      </c>
      <c r="J523" s="133" t="n"/>
      <c r="K523" s="133" t="n"/>
    </row>
    <row r="524" ht="18" customHeight="1" s="102">
      <c r="A524" s="132" t="n"/>
      <c r="B524" s="133" t="n"/>
      <c r="C524" s="133" t="n"/>
      <c r="D524" s="133" t="n"/>
      <c r="E524" s="133" t="n"/>
      <c r="F524" s="133" t="n"/>
      <c r="G524" s="133" t="n"/>
      <c r="H524" s="133" t="n"/>
      <c r="I524" s="135">
        <f>IF(OR($A524="",$G524=""),"",IF($H524="VAR","KARŞILIKSIZ",IF($G524&gt;=DusukRiskEsik,"DÜŞÜK",IF($G524&gt;=RiskliSkorEsik,"ORTA",IF($G524&gt;=YuksekRiskEsik,"YÜKSEK","KARŞILIKSIZ")))))</f>
        <v/>
      </c>
      <c r="J524" s="133" t="n"/>
      <c r="K524" s="133" t="n"/>
    </row>
    <row r="525" ht="18" customHeight="1" s="102">
      <c r="A525" s="132" t="n"/>
      <c r="B525" s="133" t="n"/>
      <c r="C525" s="133" t="n"/>
      <c r="D525" s="133" t="n"/>
      <c r="E525" s="133" t="n"/>
      <c r="F525" s="133" t="n"/>
      <c r="G525" s="133" t="n"/>
      <c r="H525" s="133" t="n"/>
      <c r="I525" s="135">
        <f>IF(OR($A525="",$G525=""),"",IF($H525="VAR","KARŞILIKSIZ",IF($G525&gt;=DusukRiskEsik,"DÜŞÜK",IF($G525&gt;=RiskliSkorEsik,"ORTA",IF($G525&gt;=YuksekRiskEsik,"YÜKSEK","KARŞILIKSIZ")))))</f>
        <v/>
      </c>
      <c r="J525" s="133" t="n"/>
      <c r="K525" s="133" t="n"/>
    </row>
    <row r="526" ht="18" customHeight="1" s="102">
      <c r="A526" s="132" t="n"/>
      <c r="B526" s="133" t="n"/>
      <c r="C526" s="133" t="n"/>
      <c r="D526" s="133" t="n"/>
      <c r="E526" s="133" t="n"/>
      <c r="F526" s="133" t="n"/>
      <c r="G526" s="133" t="n"/>
      <c r="H526" s="133" t="n"/>
      <c r="I526" s="135">
        <f>IF(OR($A526="",$G526=""),"",IF($H526="VAR","KARŞILIKSIZ",IF($G526&gt;=DusukRiskEsik,"DÜŞÜK",IF($G526&gt;=RiskliSkorEsik,"ORTA",IF($G526&gt;=YuksekRiskEsik,"YÜKSEK","KARŞILIKSIZ")))))</f>
        <v/>
      </c>
      <c r="J526" s="133" t="n"/>
      <c r="K526" s="133" t="n"/>
    </row>
    <row r="527" ht="18" customHeight="1" s="102">
      <c r="A527" s="132" t="n"/>
      <c r="B527" s="133" t="n"/>
      <c r="C527" s="133" t="n"/>
      <c r="D527" s="133" t="n"/>
      <c r="E527" s="133" t="n"/>
      <c r="F527" s="133" t="n"/>
      <c r="G527" s="133" t="n"/>
      <c r="H527" s="133" t="n"/>
      <c r="I527" s="135">
        <f>IF(OR($A527="",$G527=""),"",IF($H527="VAR","KARŞILIKSIZ",IF($G527&gt;=DusukRiskEsik,"DÜŞÜK",IF($G527&gt;=RiskliSkorEsik,"ORTA",IF($G527&gt;=YuksekRiskEsik,"YÜKSEK","KARŞILIKSIZ")))))</f>
        <v/>
      </c>
      <c r="J527" s="133" t="n"/>
      <c r="K527" s="133" t="n"/>
    </row>
    <row r="528" ht="18" customHeight="1" s="102">
      <c r="A528" s="132" t="n"/>
      <c r="B528" s="133" t="n"/>
      <c r="C528" s="133" t="n"/>
      <c r="D528" s="133" t="n"/>
      <c r="E528" s="133" t="n"/>
      <c r="F528" s="133" t="n"/>
      <c r="G528" s="133" t="n"/>
      <c r="H528" s="133" t="n"/>
      <c r="I528" s="135">
        <f>IF(OR($A528="",$G528=""),"",IF($H528="VAR","KARŞILIKSIZ",IF($G528&gt;=DusukRiskEsik,"DÜŞÜK",IF($G528&gt;=RiskliSkorEsik,"ORTA",IF($G528&gt;=YuksekRiskEsik,"YÜKSEK","KARŞILIKSIZ")))))</f>
        <v/>
      </c>
      <c r="J528" s="133" t="n"/>
      <c r="K528" s="133" t="n"/>
    </row>
    <row r="529" ht="18" customHeight="1" s="102">
      <c r="A529" s="132" t="n"/>
      <c r="B529" s="133" t="n"/>
      <c r="C529" s="133" t="n"/>
      <c r="D529" s="133" t="n"/>
      <c r="E529" s="133" t="n"/>
      <c r="F529" s="133" t="n"/>
      <c r="G529" s="133" t="n"/>
      <c r="H529" s="133" t="n"/>
      <c r="I529" s="135">
        <f>IF(OR($A529="",$G529=""),"",IF($H529="VAR","KARŞILIKSIZ",IF($G529&gt;=DusukRiskEsik,"DÜŞÜK",IF($G529&gt;=RiskliSkorEsik,"ORTA",IF($G529&gt;=YuksekRiskEsik,"YÜKSEK","KARŞILIKSIZ")))))</f>
        <v/>
      </c>
      <c r="J529" s="133" t="n"/>
      <c r="K529" s="133" t="n"/>
    </row>
    <row r="530" ht="18" customHeight="1" s="102">
      <c r="A530" s="132" t="n"/>
      <c r="B530" s="133" t="n"/>
      <c r="C530" s="133" t="n"/>
      <c r="D530" s="133" t="n"/>
      <c r="E530" s="133" t="n"/>
      <c r="F530" s="133" t="n"/>
      <c r="G530" s="133" t="n"/>
      <c r="H530" s="133" t="n"/>
      <c r="I530" s="135">
        <f>IF(OR($A530="",$G530=""),"",IF($H530="VAR","KARŞILIKSIZ",IF($G530&gt;=DusukRiskEsik,"DÜŞÜK",IF($G530&gt;=RiskliSkorEsik,"ORTA",IF($G530&gt;=YuksekRiskEsik,"YÜKSEK","KARŞILIKSIZ")))))</f>
        <v/>
      </c>
      <c r="J530" s="133" t="n"/>
      <c r="K530" s="133" t="n"/>
    </row>
    <row r="531" ht="18" customHeight="1" s="102">
      <c r="A531" s="132" t="n"/>
      <c r="B531" s="133" t="n"/>
      <c r="C531" s="133" t="n"/>
      <c r="D531" s="133" t="n"/>
      <c r="E531" s="133" t="n"/>
      <c r="F531" s="133" t="n"/>
      <c r="G531" s="133" t="n"/>
      <c r="H531" s="133" t="n"/>
      <c r="I531" s="135">
        <f>IF(OR($A531="",$G531=""),"",IF($H531="VAR","KARŞILIKSIZ",IF($G531&gt;=DusukRiskEsik,"DÜŞÜK",IF($G531&gt;=RiskliSkorEsik,"ORTA",IF($G531&gt;=YuksekRiskEsik,"YÜKSEK","KARŞILIKSIZ")))))</f>
        <v/>
      </c>
      <c r="J531" s="133" t="n"/>
      <c r="K531" s="133" t="n"/>
    </row>
    <row r="532" ht="18" customHeight="1" s="102">
      <c r="A532" s="132" t="n"/>
      <c r="B532" s="133" t="n"/>
      <c r="C532" s="133" t="n"/>
      <c r="D532" s="133" t="n"/>
      <c r="E532" s="133" t="n"/>
      <c r="F532" s="133" t="n"/>
      <c r="G532" s="133" t="n"/>
      <c r="H532" s="133" t="n"/>
      <c r="I532" s="135">
        <f>IF(OR($A532="",$G532=""),"",IF($H532="VAR","KARŞILIKSIZ",IF($G532&gt;=DusukRiskEsik,"DÜŞÜK",IF($G532&gt;=RiskliSkorEsik,"ORTA",IF($G532&gt;=YuksekRiskEsik,"YÜKSEK","KARŞILIKSIZ")))))</f>
        <v/>
      </c>
      <c r="J532" s="133" t="n"/>
      <c r="K532" s="133" t="n"/>
    </row>
    <row r="533" ht="18" customHeight="1" s="102">
      <c r="A533" s="132" t="n"/>
      <c r="B533" s="133" t="n"/>
      <c r="C533" s="133" t="n"/>
      <c r="D533" s="133" t="n"/>
      <c r="E533" s="133" t="n"/>
      <c r="F533" s="133" t="n"/>
      <c r="G533" s="133" t="n"/>
      <c r="H533" s="133" t="n"/>
      <c r="I533" s="135">
        <f>IF(OR($A533="",$G533=""),"",IF($H533="VAR","KARŞILIKSIZ",IF($G533&gt;=DusukRiskEsik,"DÜŞÜK",IF($G533&gt;=RiskliSkorEsik,"ORTA",IF($G533&gt;=YuksekRiskEsik,"YÜKSEK","KARŞILIKSIZ")))))</f>
        <v/>
      </c>
      <c r="J533" s="133" t="n"/>
      <c r="K533" s="133" t="n"/>
    </row>
    <row r="534" ht="18" customHeight="1" s="102">
      <c r="A534" s="132" t="n"/>
      <c r="B534" s="133" t="n"/>
      <c r="C534" s="133" t="n"/>
      <c r="D534" s="133" t="n"/>
      <c r="E534" s="133" t="n"/>
      <c r="F534" s="133" t="n"/>
      <c r="G534" s="133" t="n"/>
      <c r="H534" s="133" t="n"/>
      <c r="I534" s="135">
        <f>IF(OR($A534="",$G534=""),"",IF($H534="VAR","KARŞILIKSIZ",IF($G534&gt;=DusukRiskEsik,"DÜŞÜK",IF($G534&gt;=RiskliSkorEsik,"ORTA",IF($G534&gt;=YuksekRiskEsik,"YÜKSEK","KARŞILIKSIZ")))))</f>
        <v/>
      </c>
      <c r="J534" s="133" t="n"/>
      <c r="K534" s="133" t="n"/>
    </row>
    <row r="535" ht="18" customHeight="1" s="102">
      <c r="A535" s="132" t="n"/>
      <c r="B535" s="133" t="n"/>
      <c r="C535" s="133" t="n"/>
      <c r="D535" s="133" t="n"/>
      <c r="E535" s="133" t="n"/>
      <c r="F535" s="133" t="n"/>
      <c r="G535" s="133" t="n"/>
      <c r="H535" s="133" t="n"/>
      <c r="I535" s="135">
        <f>IF(OR($A535="",$G535=""),"",IF($H535="VAR","KARŞILIKSIZ",IF($G535&gt;=DusukRiskEsik,"DÜŞÜK",IF($G535&gt;=RiskliSkorEsik,"ORTA",IF($G535&gt;=YuksekRiskEsik,"YÜKSEK","KARŞILIKSIZ")))))</f>
        <v/>
      </c>
      <c r="J535" s="133" t="n"/>
      <c r="K535" s="133" t="n"/>
    </row>
    <row r="536" ht="18" customHeight="1" s="102">
      <c r="A536" s="132" t="n"/>
      <c r="B536" s="133" t="n"/>
      <c r="C536" s="133" t="n"/>
      <c r="D536" s="133" t="n"/>
      <c r="E536" s="133" t="n"/>
      <c r="F536" s="133" t="n"/>
      <c r="G536" s="133" t="n"/>
      <c r="H536" s="133" t="n"/>
      <c r="I536" s="135">
        <f>IF(OR($A536="",$G536=""),"",IF($H536="VAR","KARŞILIKSIZ",IF($G536&gt;=DusukRiskEsik,"DÜŞÜK",IF($G536&gt;=RiskliSkorEsik,"ORTA",IF($G536&gt;=YuksekRiskEsik,"YÜKSEK","KARŞILIKSIZ")))))</f>
        <v/>
      </c>
      <c r="J536" s="133" t="n"/>
      <c r="K536" s="133" t="n"/>
    </row>
    <row r="537" ht="18" customHeight="1" s="102">
      <c r="A537" s="132" t="n"/>
      <c r="B537" s="133" t="n"/>
      <c r="C537" s="133" t="n"/>
      <c r="D537" s="133" t="n"/>
      <c r="E537" s="133" t="n"/>
      <c r="F537" s="133" t="n"/>
      <c r="G537" s="133" t="n"/>
      <c r="H537" s="133" t="n"/>
      <c r="I537" s="135">
        <f>IF(OR($A537="",$G537=""),"",IF($H537="VAR","KARŞILIKSIZ",IF($G537&gt;=DusukRiskEsik,"DÜŞÜK",IF($G537&gt;=RiskliSkorEsik,"ORTA",IF($G537&gt;=YuksekRiskEsik,"YÜKSEK","KARŞILIKSIZ")))))</f>
        <v/>
      </c>
      <c r="J537" s="133" t="n"/>
      <c r="K537" s="133" t="n"/>
    </row>
    <row r="538" ht="18" customHeight="1" s="102">
      <c r="A538" s="132" t="n"/>
      <c r="B538" s="133" t="n"/>
      <c r="C538" s="133" t="n"/>
      <c r="D538" s="133" t="n"/>
      <c r="E538" s="133" t="n"/>
      <c r="F538" s="133" t="n"/>
      <c r="G538" s="133" t="n"/>
      <c r="H538" s="133" t="n"/>
      <c r="I538" s="135">
        <f>IF(OR($A538="",$G538=""),"",IF($H538="VAR","KARŞILIKSIZ",IF($G538&gt;=DusukRiskEsik,"DÜŞÜK",IF($G538&gt;=RiskliSkorEsik,"ORTA",IF($G538&gt;=YuksekRiskEsik,"YÜKSEK","KARŞILIKSIZ")))))</f>
        <v/>
      </c>
      <c r="J538" s="133" t="n"/>
      <c r="K538" s="133" t="n"/>
    </row>
    <row r="539" ht="18" customHeight="1" s="102">
      <c r="A539" s="132" t="n"/>
      <c r="B539" s="133" t="n"/>
      <c r="C539" s="133" t="n"/>
      <c r="D539" s="133" t="n"/>
      <c r="E539" s="133" t="n"/>
      <c r="F539" s="133" t="n"/>
      <c r="G539" s="133" t="n"/>
      <c r="H539" s="133" t="n"/>
      <c r="I539" s="135">
        <f>IF(OR($A539="",$G539=""),"",IF($H539="VAR","KARŞILIKSIZ",IF($G539&gt;=DusukRiskEsik,"DÜŞÜK",IF($G539&gt;=RiskliSkorEsik,"ORTA",IF($G539&gt;=YuksekRiskEsik,"YÜKSEK","KARŞILIKSIZ")))))</f>
        <v/>
      </c>
      <c r="J539" s="133" t="n"/>
      <c r="K539" s="133" t="n"/>
    </row>
    <row r="540" ht="18" customHeight="1" s="102">
      <c r="A540" s="132" t="n"/>
      <c r="B540" s="133" t="n"/>
      <c r="C540" s="133" t="n"/>
      <c r="D540" s="133" t="n"/>
      <c r="E540" s="133" t="n"/>
      <c r="F540" s="133" t="n"/>
      <c r="G540" s="133" t="n"/>
      <c r="H540" s="133" t="n"/>
      <c r="I540" s="135">
        <f>IF(OR($A540="",$G540=""),"",IF($H540="VAR","KARŞILIKSIZ",IF($G540&gt;=DusukRiskEsik,"DÜŞÜK",IF($G540&gt;=RiskliSkorEsik,"ORTA",IF($G540&gt;=YuksekRiskEsik,"YÜKSEK","KARŞILIKSIZ")))))</f>
        <v/>
      </c>
      <c r="J540" s="133" t="n"/>
      <c r="K540" s="133" t="n"/>
    </row>
    <row r="541" ht="18" customHeight="1" s="102">
      <c r="A541" s="132" t="n"/>
      <c r="B541" s="133" t="n"/>
      <c r="C541" s="133" t="n"/>
      <c r="D541" s="133" t="n"/>
      <c r="E541" s="133" t="n"/>
      <c r="F541" s="133" t="n"/>
      <c r="G541" s="133" t="n"/>
      <c r="H541" s="133" t="n"/>
      <c r="I541" s="135">
        <f>IF(OR($A541="",$G541=""),"",IF($H541="VAR","KARŞILIKSIZ",IF($G541&gt;=DusukRiskEsik,"DÜŞÜK",IF($G541&gt;=RiskliSkorEsik,"ORTA",IF($G541&gt;=YuksekRiskEsik,"YÜKSEK","KARŞILIKSIZ")))))</f>
        <v/>
      </c>
      <c r="J541" s="133" t="n"/>
      <c r="K541" s="133" t="n"/>
    </row>
    <row r="542" ht="18" customHeight="1" s="102">
      <c r="A542" s="132" t="n"/>
      <c r="B542" s="133" t="n"/>
      <c r="C542" s="133" t="n"/>
      <c r="D542" s="133" t="n"/>
      <c r="E542" s="133" t="n"/>
      <c r="F542" s="133" t="n"/>
      <c r="G542" s="133" t="n"/>
      <c r="H542" s="133" t="n"/>
      <c r="I542" s="135">
        <f>IF(OR($A542="",$G542=""),"",IF($H542="VAR","KARŞILIKSIZ",IF($G542&gt;=DusukRiskEsik,"DÜŞÜK",IF($G542&gt;=RiskliSkorEsik,"ORTA",IF($G542&gt;=YuksekRiskEsik,"YÜKSEK","KARŞILIKSIZ")))))</f>
        <v/>
      </c>
      <c r="J542" s="133" t="n"/>
      <c r="K542" s="133" t="n"/>
    </row>
    <row r="543" ht="18" customHeight="1" s="102">
      <c r="A543" s="132" t="n"/>
      <c r="B543" s="133" t="n"/>
      <c r="C543" s="133" t="n"/>
      <c r="D543" s="133" t="n"/>
      <c r="E543" s="133" t="n"/>
      <c r="F543" s="133" t="n"/>
      <c r="G543" s="133" t="n"/>
      <c r="H543" s="133" t="n"/>
      <c r="I543" s="135">
        <f>IF(OR($A543="",$G543=""),"",IF($H543="VAR","KARŞILIKSIZ",IF($G543&gt;=DusukRiskEsik,"DÜŞÜK",IF($G543&gt;=RiskliSkorEsik,"ORTA",IF($G543&gt;=YuksekRiskEsik,"YÜKSEK","KARŞILIKSIZ")))))</f>
        <v/>
      </c>
      <c r="J543" s="133" t="n"/>
      <c r="K543" s="133" t="n"/>
    </row>
    <row r="544" ht="18" customHeight="1" s="102">
      <c r="A544" s="132" t="n"/>
      <c r="B544" s="133" t="n"/>
      <c r="C544" s="133" t="n"/>
      <c r="D544" s="133" t="n"/>
      <c r="E544" s="133" t="n"/>
      <c r="F544" s="133" t="n"/>
      <c r="G544" s="133" t="n"/>
      <c r="H544" s="133" t="n"/>
      <c r="I544" s="135">
        <f>IF(OR($A544="",$G544=""),"",IF($H544="VAR","KARŞILIKSIZ",IF($G544&gt;=DusukRiskEsik,"DÜŞÜK",IF($G544&gt;=RiskliSkorEsik,"ORTA",IF($G544&gt;=YuksekRiskEsik,"YÜKSEK","KARŞILIKSIZ")))))</f>
        <v/>
      </c>
      <c r="J544" s="133" t="n"/>
      <c r="K544" s="133" t="n"/>
    </row>
    <row r="545" ht="18" customHeight="1" s="102">
      <c r="A545" s="132" t="n"/>
      <c r="B545" s="133" t="n"/>
      <c r="C545" s="133" t="n"/>
      <c r="D545" s="133" t="n"/>
      <c r="E545" s="133" t="n"/>
      <c r="F545" s="133" t="n"/>
      <c r="G545" s="133" t="n"/>
      <c r="H545" s="133" t="n"/>
      <c r="I545" s="135">
        <f>IF(OR($A545="",$G545=""),"",IF($H545="VAR","KARŞILIKSIZ",IF($G545&gt;=DusukRiskEsik,"DÜŞÜK",IF($G545&gt;=RiskliSkorEsik,"ORTA",IF($G545&gt;=YuksekRiskEsik,"YÜKSEK","KARŞILIKSIZ")))))</f>
        <v/>
      </c>
      <c r="J545" s="133" t="n"/>
      <c r="K545" s="133" t="n"/>
    </row>
    <row r="546" ht="18" customHeight="1" s="102">
      <c r="A546" s="132" t="n"/>
      <c r="B546" s="133" t="n"/>
      <c r="C546" s="133" t="n"/>
      <c r="D546" s="133" t="n"/>
      <c r="E546" s="133" t="n"/>
      <c r="F546" s="133" t="n"/>
      <c r="G546" s="133" t="n"/>
      <c r="H546" s="133" t="n"/>
      <c r="I546" s="135">
        <f>IF(OR($A546="",$G546=""),"",IF($H546="VAR","KARŞILIKSIZ",IF($G546&gt;=DusukRiskEsik,"DÜŞÜK",IF($G546&gt;=RiskliSkorEsik,"ORTA",IF($G546&gt;=YuksekRiskEsik,"YÜKSEK","KARŞILIKSIZ")))))</f>
        <v/>
      </c>
      <c r="J546" s="133" t="n"/>
      <c r="K546" s="133" t="n"/>
    </row>
    <row r="547" ht="18" customHeight="1" s="102">
      <c r="A547" s="132" t="n"/>
      <c r="B547" s="133" t="n"/>
      <c r="C547" s="133" t="n"/>
      <c r="D547" s="133" t="n"/>
      <c r="E547" s="133" t="n"/>
      <c r="F547" s="133" t="n"/>
      <c r="G547" s="133" t="n"/>
      <c r="H547" s="133" t="n"/>
      <c r="I547" s="135">
        <f>IF(OR($A547="",$G547=""),"",IF($H547="VAR","KARŞILIKSIZ",IF($G547&gt;=DusukRiskEsik,"DÜŞÜK",IF($G547&gt;=RiskliSkorEsik,"ORTA",IF($G547&gt;=YuksekRiskEsik,"YÜKSEK","KARŞILIKSIZ")))))</f>
        <v/>
      </c>
      <c r="J547" s="133" t="n"/>
      <c r="K547" s="133" t="n"/>
    </row>
    <row r="548" ht="18" customHeight="1" s="102">
      <c r="A548" s="132" t="n"/>
      <c r="B548" s="133" t="n"/>
      <c r="C548" s="133" t="n"/>
      <c r="D548" s="133" t="n"/>
      <c r="E548" s="133" t="n"/>
      <c r="F548" s="133" t="n"/>
      <c r="G548" s="133" t="n"/>
      <c r="H548" s="133" t="n"/>
      <c r="I548" s="135">
        <f>IF(OR($A548="",$G548=""),"",IF($H548="VAR","KARŞILIKSIZ",IF($G548&gt;=DusukRiskEsik,"DÜŞÜK",IF($G548&gt;=RiskliSkorEsik,"ORTA",IF($G548&gt;=YuksekRiskEsik,"YÜKSEK","KARŞILIKSIZ")))))</f>
        <v/>
      </c>
      <c r="J548" s="133" t="n"/>
      <c r="K548" s="133" t="n"/>
    </row>
    <row r="549" ht="18" customHeight="1" s="102">
      <c r="A549" s="132" t="n"/>
      <c r="B549" s="133" t="n"/>
      <c r="C549" s="133" t="n"/>
      <c r="D549" s="133" t="n"/>
      <c r="E549" s="133" t="n"/>
      <c r="F549" s="133" t="n"/>
      <c r="G549" s="133" t="n"/>
      <c r="H549" s="133" t="n"/>
      <c r="I549" s="135">
        <f>IF(OR($A549="",$G549=""),"",IF($H549="VAR","KARŞILIKSIZ",IF($G549&gt;=DusukRiskEsik,"DÜŞÜK",IF($G549&gt;=RiskliSkorEsik,"ORTA",IF($G549&gt;=YuksekRiskEsik,"YÜKSEK","KARŞILIKSIZ")))))</f>
        <v/>
      </c>
      <c r="J549" s="133" t="n"/>
      <c r="K549" s="133" t="n"/>
    </row>
    <row r="550" ht="18" customHeight="1" s="102">
      <c r="A550" s="132" t="n"/>
      <c r="B550" s="133" t="n"/>
      <c r="C550" s="133" t="n"/>
      <c r="D550" s="133" t="n"/>
      <c r="E550" s="133" t="n"/>
      <c r="F550" s="133" t="n"/>
      <c r="G550" s="133" t="n"/>
      <c r="H550" s="133" t="n"/>
      <c r="I550" s="135">
        <f>IF(OR($A550="",$G550=""),"",IF($H550="VAR","KARŞILIKSIZ",IF($G550&gt;=DusukRiskEsik,"DÜŞÜK",IF($G550&gt;=RiskliSkorEsik,"ORTA",IF($G550&gt;=YuksekRiskEsik,"YÜKSEK","KARŞILIKSIZ")))))</f>
        <v/>
      </c>
      <c r="J550" s="133" t="n"/>
      <c r="K550" s="133" t="n"/>
    </row>
    <row r="551" ht="18" customHeight="1" s="102">
      <c r="A551" s="132" t="n"/>
      <c r="B551" s="133" t="n"/>
      <c r="C551" s="133" t="n"/>
      <c r="D551" s="133" t="n"/>
      <c r="E551" s="133" t="n"/>
      <c r="F551" s="133" t="n"/>
      <c r="G551" s="133" t="n"/>
      <c r="H551" s="133" t="n"/>
      <c r="I551" s="135">
        <f>IF(OR($A551="",$G551=""),"",IF($H551="VAR","KARŞILIKSIZ",IF($G551&gt;=DusukRiskEsik,"DÜŞÜK",IF($G551&gt;=RiskliSkorEsik,"ORTA",IF($G551&gt;=YuksekRiskEsik,"YÜKSEK","KARŞILIKSIZ")))))</f>
        <v/>
      </c>
      <c r="J551" s="133" t="n"/>
      <c r="K551" s="133" t="n"/>
    </row>
    <row r="552" ht="18" customHeight="1" s="102">
      <c r="A552" s="132" t="n"/>
      <c r="B552" s="133" t="n"/>
      <c r="C552" s="133" t="n"/>
      <c r="D552" s="133" t="n"/>
      <c r="E552" s="133" t="n"/>
      <c r="F552" s="133" t="n"/>
      <c r="G552" s="133" t="n"/>
      <c r="H552" s="133" t="n"/>
      <c r="I552" s="135">
        <f>IF(OR($A552="",$G552=""),"",IF($H552="VAR","KARŞILIKSIZ",IF($G552&gt;=DusukRiskEsik,"DÜŞÜK",IF($G552&gt;=RiskliSkorEsik,"ORTA",IF($G552&gt;=YuksekRiskEsik,"YÜKSEK","KARŞILIKSIZ")))))</f>
        <v/>
      </c>
      <c r="J552" s="133" t="n"/>
      <c r="K552" s="133" t="n"/>
    </row>
    <row r="553" ht="18" customHeight="1" s="102">
      <c r="A553" s="132" t="n"/>
      <c r="B553" s="133" t="n"/>
      <c r="C553" s="133" t="n"/>
      <c r="D553" s="133" t="n"/>
      <c r="E553" s="133" t="n"/>
      <c r="F553" s="133" t="n"/>
      <c r="G553" s="133" t="n"/>
      <c r="H553" s="133" t="n"/>
      <c r="I553" s="135">
        <f>IF(OR($A553="",$G553=""),"",IF($H553="VAR","KARŞILIKSIZ",IF($G553&gt;=DusukRiskEsik,"DÜŞÜK",IF($G553&gt;=RiskliSkorEsik,"ORTA",IF($G553&gt;=YuksekRiskEsik,"YÜKSEK","KARŞILIKSIZ")))))</f>
        <v/>
      </c>
      <c r="J553" s="133" t="n"/>
      <c r="K553" s="133" t="n"/>
    </row>
    <row r="554" ht="18" customHeight="1" s="102">
      <c r="A554" s="132" t="n"/>
      <c r="B554" s="133" t="n"/>
      <c r="C554" s="133" t="n"/>
      <c r="D554" s="133" t="n"/>
      <c r="E554" s="133" t="n"/>
      <c r="F554" s="133" t="n"/>
      <c r="G554" s="133" t="n"/>
      <c r="H554" s="133" t="n"/>
      <c r="I554" s="135">
        <f>IF(OR($A554="",$G554=""),"",IF($H554="VAR","KARŞILIKSIZ",IF($G554&gt;=DusukRiskEsik,"DÜŞÜK",IF($G554&gt;=RiskliSkorEsik,"ORTA",IF($G554&gt;=YuksekRiskEsik,"YÜKSEK","KARŞILIKSIZ")))))</f>
        <v/>
      </c>
      <c r="J554" s="133" t="n"/>
      <c r="K554" s="133" t="n"/>
    </row>
    <row r="555" ht="18" customHeight="1" s="102">
      <c r="A555" s="132" t="n"/>
      <c r="B555" s="133" t="n"/>
      <c r="C555" s="133" t="n"/>
      <c r="D555" s="133" t="n"/>
      <c r="E555" s="133" t="n"/>
      <c r="F555" s="133" t="n"/>
      <c r="G555" s="133" t="n"/>
      <c r="H555" s="133" t="n"/>
      <c r="I555" s="135">
        <f>IF(OR($A555="",$G555=""),"",IF($H555="VAR","KARŞILIKSIZ",IF($G555&gt;=DusukRiskEsik,"DÜŞÜK",IF($G555&gt;=RiskliSkorEsik,"ORTA",IF($G555&gt;=YuksekRiskEsik,"YÜKSEK","KARŞILIKSIZ")))))</f>
        <v/>
      </c>
      <c r="J555" s="133" t="n"/>
      <c r="K555" s="133" t="n"/>
    </row>
    <row r="556" ht="18" customHeight="1" s="102">
      <c r="A556" s="132" t="n"/>
      <c r="B556" s="133" t="n"/>
      <c r="C556" s="133" t="n"/>
      <c r="D556" s="133" t="n"/>
      <c r="E556" s="133" t="n"/>
      <c r="F556" s="133" t="n"/>
      <c r="G556" s="133" t="n"/>
      <c r="H556" s="133" t="n"/>
      <c r="I556" s="135">
        <f>IF(OR($A556="",$G556=""),"",IF($H556="VAR","KARŞILIKSIZ",IF($G556&gt;=DusukRiskEsik,"DÜŞÜK",IF($G556&gt;=RiskliSkorEsik,"ORTA",IF($G556&gt;=YuksekRiskEsik,"YÜKSEK","KARŞILIKSIZ")))))</f>
        <v/>
      </c>
      <c r="J556" s="133" t="n"/>
      <c r="K556" s="133" t="n"/>
    </row>
    <row r="557" ht="18" customHeight="1" s="102">
      <c r="A557" s="132" t="n"/>
      <c r="B557" s="133" t="n"/>
      <c r="C557" s="133" t="n"/>
      <c r="D557" s="133" t="n"/>
      <c r="E557" s="133" t="n"/>
      <c r="F557" s="133" t="n"/>
      <c r="G557" s="133" t="n"/>
      <c r="H557" s="133" t="n"/>
      <c r="I557" s="135">
        <f>IF(OR($A557="",$G557=""),"",IF($H557="VAR","KARŞILIKSIZ",IF($G557&gt;=DusukRiskEsik,"DÜŞÜK",IF($G557&gt;=RiskliSkorEsik,"ORTA",IF($G557&gt;=YuksekRiskEsik,"YÜKSEK","KARŞILIKSIZ")))))</f>
        <v/>
      </c>
      <c r="J557" s="133" t="n"/>
      <c r="K557" s="133" t="n"/>
    </row>
    <row r="558" ht="18" customHeight="1" s="102">
      <c r="A558" s="132" t="n"/>
      <c r="B558" s="133" t="n"/>
      <c r="C558" s="133" t="n"/>
      <c r="D558" s="133" t="n"/>
      <c r="E558" s="133" t="n"/>
      <c r="F558" s="133" t="n"/>
      <c r="G558" s="133" t="n"/>
      <c r="H558" s="133" t="n"/>
      <c r="I558" s="135">
        <f>IF(OR($A558="",$G558=""),"",IF($H558="VAR","KARŞILIKSIZ",IF($G558&gt;=DusukRiskEsik,"DÜŞÜK",IF($G558&gt;=RiskliSkorEsik,"ORTA",IF($G558&gt;=YuksekRiskEsik,"YÜKSEK","KARŞILIKSIZ")))))</f>
        <v/>
      </c>
      <c r="J558" s="133" t="n"/>
      <c r="K558" s="133" t="n"/>
    </row>
    <row r="559" ht="18" customHeight="1" s="102">
      <c r="A559" s="132" t="n"/>
      <c r="B559" s="133" t="n"/>
      <c r="C559" s="133" t="n"/>
      <c r="D559" s="133" t="n"/>
      <c r="E559" s="133" t="n"/>
      <c r="F559" s="133" t="n"/>
      <c r="G559" s="133" t="n"/>
      <c r="H559" s="133" t="n"/>
      <c r="I559" s="135">
        <f>IF(OR($A559="",$G559=""),"",IF($H559="VAR","KARŞILIKSIZ",IF($G559&gt;=DusukRiskEsik,"DÜŞÜK",IF($G559&gt;=RiskliSkorEsik,"ORTA",IF($G559&gt;=YuksekRiskEsik,"YÜKSEK","KARŞILIKSIZ")))))</f>
        <v/>
      </c>
      <c r="J559" s="133" t="n"/>
      <c r="K559" s="133" t="n"/>
    </row>
    <row r="560" ht="18" customHeight="1" s="102">
      <c r="A560" s="132" t="n"/>
      <c r="B560" s="133" t="n"/>
      <c r="C560" s="133" t="n"/>
      <c r="D560" s="133" t="n"/>
      <c r="E560" s="133" t="n"/>
      <c r="F560" s="133" t="n"/>
      <c r="G560" s="133" t="n"/>
      <c r="H560" s="133" t="n"/>
      <c r="I560" s="135">
        <f>IF(OR($A560="",$G560=""),"",IF($H560="VAR","KARŞILIKSIZ",IF($G560&gt;=DusukRiskEsik,"DÜŞÜK",IF($G560&gt;=RiskliSkorEsik,"ORTA",IF($G560&gt;=YuksekRiskEsik,"YÜKSEK","KARŞILIKSIZ")))))</f>
        <v/>
      </c>
      <c r="J560" s="133" t="n"/>
      <c r="K560" s="133" t="n"/>
    </row>
    <row r="561" ht="18" customHeight="1" s="102">
      <c r="A561" s="132" t="n"/>
      <c r="B561" s="133" t="n"/>
      <c r="C561" s="133" t="n"/>
      <c r="D561" s="133" t="n"/>
      <c r="E561" s="133" t="n"/>
      <c r="F561" s="133" t="n"/>
      <c r="G561" s="133" t="n"/>
      <c r="H561" s="133" t="n"/>
      <c r="I561" s="135">
        <f>IF(OR($A561="",$G561=""),"",IF($H561="VAR","KARŞILIKSIZ",IF($G561&gt;=DusukRiskEsik,"DÜŞÜK",IF($G561&gt;=RiskliSkorEsik,"ORTA",IF($G561&gt;=YuksekRiskEsik,"YÜKSEK","KARŞILIKSIZ")))))</f>
        <v/>
      </c>
      <c r="J561" s="133" t="n"/>
      <c r="K561" s="133" t="n"/>
    </row>
    <row r="562" ht="18" customHeight="1" s="102">
      <c r="A562" s="132" t="n"/>
      <c r="B562" s="133" t="n"/>
      <c r="C562" s="133" t="n"/>
      <c r="D562" s="133" t="n"/>
      <c r="E562" s="133" t="n"/>
      <c r="F562" s="133" t="n"/>
      <c r="G562" s="133" t="n"/>
      <c r="H562" s="133" t="n"/>
      <c r="I562" s="135">
        <f>IF(OR($A562="",$G562=""),"",IF($H562="VAR","KARŞILIKSIZ",IF($G562&gt;=DusukRiskEsik,"DÜŞÜK",IF($G562&gt;=RiskliSkorEsik,"ORTA",IF($G562&gt;=YuksekRiskEsik,"YÜKSEK","KARŞILIKSIZ")))))</f>
        <v/>
      </c>
      <c r="J562" s="133" t="n"/>
      <c r="K562" s="133" t="n"/>
    </row>
    <row r="563" ht="18" customHeight="1" s="102">
      <c r="A563" s="132" t="n"/>
      <c r="B563" s="133" t="n"/>
      <c r="C563" s="133" t="n"/>
      <c r="D563" s="133" t="n"/>
      <c r="E563" s="133" t="n"/>
      <c r="F563" s="133" t="n"/>
      <c r="G563" s="133" t="n"/>
      <c r="H563" s="133" t="n"/>
      <c r="I563" s="135">
        <f>IF(OR($A563="",$G563=""),"",IF($H563="VAR","KARŞILIKSIZ",IF($G563&gt;=DusukRiskEsik,"DÜŞÜK",IF($G563&gt;=RiskliSkorEsik,"ORTA",IF($G563&gt;=YuksekRiskEsik,"YÜKSEK","KARŞILIKSIZ")))))</f>
        <v/>
      </c>
      <c r="J563" s="133" t="n"/>
      <c r="K563" s="133" t="n"/>
    </row>
    <row r="564" ht="18" customHeight="1" s="102">
      <c r="A564" s="132" t="n"/>
      <c r="B564" s="133" t="n"/>
      <c r="C564" s="133" t="n"/>
      <c r="D564" s="133" t="n"/>
      <c r="E564" s="133" t="n"/>
      <c r="F564" s="133" t="n"/>
      <c r="G564" s="133" t="n"/>
      <c r="H564" s="133" t="n"/>
      <c r="I564" s="135">
        <f>IF(OR($A564="",$G564=""),"",IF($H564="VAR","KARŞILIKSIZ",IF($G564&gt;=DusukRiskEsik,"DÜŞÜK",IF($G564&gt;=RiskliSkorEsik,"ORTA",IF($G564&gt;=YuksekRiskEsik,"YÜKSEK","KARŞILIKSIZ")))))</f>
        <v/>
      </c>
      <c r="J564" s="133" t="n"/>
      <c r="K564" s="133" t="n"/>
    </row>
    <row r="565" ht="18" customHeight="1" s="102">
      <c r="A565" s="132" t="n"/>
      <c r="B565" s="133" t="n"/>
      <c r="C565" s="133" t="n"/>
      <c r="D565" s="133" t="n"/>
      <c r="E565" s="133" t="n"/>
      <c r="F565" s="133" t="n"/>
      <c r="G565" s="133" t="n"/>
      <c r="H565" s="133" t="n"/>
      <c r="I565" s="135">
        <f>IF(OR($A565="",$G565=""),"",IF($H565="VAR","KARŞILIKSIZ",IF($G565&gt;=DusukRiskEsik,"DÜŞÜK",IF($G565&gt;=RiskliSkorEsik,"ORTA",IF($G565&gt;=YuksekRiskEsik,"YÜKSEK","KARŞILIKSIZ")))))</f>
        <v/>
      </c>
      <c r="J565" s="133" t="n"/>
      <c r="K565" s="133" t="n"/>
    </row>
    <row r="566" ht="18" customHeight="1" s="102">
      <c r="A566" s="132" t="n"/>
      <c r="B566" s="133" t="n"/>
      <c r="C566" s="133" t="n"/>
      <c r="D566" s="133" t="n"/>
      <c r="E566" s="133" t="n"/>
      <c r="F566" s="133" t="n"/>
      <c r="G566" s="133" t="n"/>
      <c r="H566" s="133" t="n"/>
      <c r="I566" s="135">
        <f>IF(OR($A566="",$G566=""),"",IF($H566="VAR","KARŞILIKSIZ",IF($G566&gt;=DusukRiskEsik,"DÜŞÜK",IF($G566&gt;=RiskliSkorEsik,"ORTA",IF($G566&gt;=YuksekRiskEsik,"YÜKSEK","KARŞILIKSIZ")))))</f>
        <v/>
      </c>
      <c r="J566" s="133" t="n"/>
      <c r="K566" s="133" t="n"/>
    </row>
    <row r="567" ht="18" customHeight="1" s="102">
      <c r="A567" s="132" t="n"/>
      <c r="B567" s="133" t="n"/>
      <c r="C567" s="133" t="n"/>
      <c r="D567" s="133" t="n"/>
      <c r="E567" s="133" t="n"/>
      <c r="F567" s="133" t="n"/>
      <c r="G567" s="133" t="n"/>
      <c r="H567" s="133" t="n"/>
      <c r="I567" s="135">
        <f>IF(OR($A567="",$G567=""),"",IF($H567="VAR","KARŞILIKSIZ",IF($G567&gt;=DusukRiskEsik,"DÜŞÜK",IF($G567&gt;=RiskliSkorEsik,"ORTA",IF($G567&gt;=YuksekRiskEsik,"YÜKSEK","KARŞILIKSIZ")))))</f>
        <v/>
      </c>
      <c r="J567" s="133" t="n"/>
      <c r="K567" s="133" t="n"/>
    </row>
    <row r="568" ht="18" customHeight="1" s="102">
      <c r="A568" s="132" t="n"/>
      <c r="B568" s="133" t="n"/>
      <c r="C568" s="133" t="n"/>
      <c r="D568" s="133" t="n"/>
      <c r="E568" s="133" t="n"/>
      <c r="F568" s="133" t="n"/>
      <c r="G568" s="133" t="n"/>
      <c r="H568" s="133" t="n"/>
      <c r="I568" s="135">
        <f>IF(OR($A568="",$G568=""),"",IF($H568="VAR","KARŞILIKSIZ",IF($G568&gt;=DusukRiskEsik,"DÜŞÜK",IF($G568&gt;=RiskliSkorEsik,"ORTA",IF($G568&gt;=YuksekRiskEsik,"YÜKSEK","KARŞILIKSIZ")))))</f>
        <v/>
      </c>
      <c r="J568" s="133" t="n"/>
      <c r="K568" s="133" t="n"/>
    </row>
    <row r="569" ht="18" customHeight="1" s="102">
      <c r="A569" s="132" t="n"/>
      <c r="B569" s="133" t="n"/>
      <c r="C569" s="133" t="n"/>
      <c r="D569" s="133" t="n"/>
      <c r="E569" s="133" t="n"/>
      <c r="F569" s="133" t="n"/>
      <c r="G569" s="133" t="n"/>
      <c r="H569" s="133" t="n"/>
      <c r="I569" s="135">
        <f>IF(OR($A569="",$G569=""),"",IF($H569="VAR","KARŞILIKSIZ",IF($G569&gt;=DusukRiskEsik,"DÜŞÜK",IF($G569&gt;=RiskliSkorEsik,"ORTA",IF($G569&gt;=YuksekRiskEsik,"YÜKSEK","KARŞILIKSIZ")))))</f>
        <v/>
      </c>
      <c r="J569" s="133" t="n"/>
      <c r="K569" s="133" t="n"/>
    </row>
    <row r="570" ht="18" customHeight="1" s="102">
      <c r="A570" s="132" t="n"/>
      <c r="B570" s="133" t="n"/>
      <c r="C570" s="133" t="n"/>
      <c r="D570" s="133" t="n"/>
      <c r="E570" s="133" t="n"/>
      <c r="F570" s="133" t="n"/>
      <c r="G570" s="133" t="n"/>
      <c r="H570" s="133" t="n"/>
      <c r="I570" s="135">
        <f>IF(OR($A570="",$G570=""),"",IF($H570="VAR","KARŞILIKSIZ",IF($G570&gt;=DusukRiskEsik,"DÜŞÜK",IF($G570&gt;=RiskliSkorEsik,"ORTA",IF($G570&gt;=YuksekRiskEsik,"YÜKSEK","KARŞILIKSIZ")))))</f>
        <v/>
      </c>
      <c r="J570" s="133" t="n"/>
      <c r="K570" s="133" t="n"/>
    </row>
    <row r="571" ht="18" customHeight="1" s="102">
      <c r="A571" s="132" t="n"/>
      <c r="B571" s="133" t="n"/>
      <c r="C571" s="133" t="n"/>
      <c r="D571" s="133" t="n"/>
      <c r="E571" s="133" t="n"/>
      <c r="F571" s="133" t="n"/>
      <c r="G571" s="133" t="n"/>
      <c r="H571" s="133" t="n"/>
      <c r="I571" s="135">
        <f>IF(OR($A571="",$G571=""),"",IF($H571="VAR","KARŞILIKSIZ",IF($G571&gt;=DusukRiskEsik,"DÜŞÜK",IF($G571&gt;=RiskliSkorEsik,"ORTA",IF($G571&gt;=YuksekRiskEsik,"YÜKSEK","KARŞILIKSIZ")))))</f>
        <v/>
      </c>
      <c r="J571" s="133" t="n"/>
      <c r="K571" s="133" t="n"/>
    </row>
    <row r="572" ht="18" customHeight="1" s="102">
      <c r="A572" s="132" t="n"/>
      <c r="B572" s="133" t="n"/>
      <c r="C572" s="133" t="n"/>
      <c r="D572" s="133" t="n"/>
      <c r="E572" s="133" t="n"/>
      <c r="F572" s="133" t="n"/>
      <c r="G572" s="133" t="n"/>
      <c r="H572" s="133" t="n"/>
      <c r="I572" s="135">
        <f>IF(OR($A572="",$G572=""),"",IF($H572="VAR","KARŞILIKSIZ",IF($G572&gt;=DusukRiskEsik,"DÜŞÜK",IF($G572&gt;=RiskliSkorEsik,"ORTA",IF($G572&gt;=YuksekRiskEsik,"YÜKSEK","KARŞILIKSIZ")))))</f>
        <v/>
      </c>
      <c r="J572" s="133" t="n"/>
      <c r="K572" s="133" t="n"/>
    </row>
    <row r="573" ht="18" customHeight="1" s="102">
      <c r="A573" s="132" t="n"/>
      <c r="B573" s="133" t="n"/>
      <c r="C573" s="133" t="n"/>
      <c r="D573" s="133" t="n"/>
      <c r="E573" s="133" t="n"/>
      <c r="F573" s="133" t="n"/>
      <c r="G573" s="133" t="n"/>
      <c r="H573" s="133" t="n"/>
      <c r="I573" s="135">
        <f>IF(OR($A573="",$G573=""),"",IF($H573="VAR","KARŞILIKSIZ",IF($G573&gt;=DusukRiskEsik,"DÜŞÜK",IF($G573&gt;=RiskliSkorEsik,"ORTA",IF($G573&gt;=YuksekRiskEsik,"YÜKSEK","KARŞILIKSIZ")))))</f>
        <v/>
      </c>
      <c r="J573" s="133" t="n"/>
      <c r="K573" s="133" t="n"/>
    </row>
    <row r="574" ht="18" customHeight="1" s="102">
      <c r="A574" s="132" t="n"/>
      <c r="B574" s="133" t="n"/>
      <c r="C574" s="133" t="n"/>
      <c r="D574" s="133" t="n"/>
      <c r="E574" s="133" t="n"/>
      <c r="F574" s="133" t="n"/>
      <c r="G574" s="133" t="n"/>
      <c r="H574" s="133" t="n"/>
      <c r="I574" s="135">
        <f>IF(OR($A574="",$G574=""),"",IF($H574="VAR","KARŞILIKSIZ",IF($G574&gt;=DusukRiskEsik,"DÜŞÜK",IF($G574&gt;=RiskliSkorEsik,"ORTA",IF($G574&gt;=YuksekRiskEsik,"YÜKSEK","KARŞILIKSIZ")))))</f>
        <v/>
      </c>
      <c r="J574" s="133" t="n"/>
      <c r="K574" s="133" t="n"/>
    </row>
    <row r="575" ht="18" customHeight="1" s="102">
      <c r="A575" s="132" t="n"/>
      <c r="B575" s="133" t="n"/>
      <c r="C575" s="133" t="n"/>
      <c r="D575" s="133" t="n"/>
      <c r="E575" s="133" t="n"/>
      <c r="F575" s="133" t="n"/>
      <c r="G575" s="133" t="n"/>
      <c r="H575" s="133" t="n"/>
      <c r="I575" s="135">
        <f>IF(OR($A575="",$G575=""),"",IF($H575="VAR","KARŞILIKSIZ",IF($G575&gt;=DusukRiskEsik,"DÜŞÜK",IF($G575&gt;=RiskliSkorEsik,"ORTA",IF($G575&gt;=YuksekRiskEsik,"YÜKSEK","KARŞILIKSIZ")))))</f>
        <v/>
      </c>
      <c r="J575" s="133" t="n"/>
      <c r="K575" s="133" t="n"/>
    </row>
    <row r="576" ht="18" customHeight="1" s="102">
      <c r="A576" s="132" t="n"/>
      <c r="B576" s="133" t="n"/>
      <c r="C576" s="133" t="n"/>
      <c r="D576" s="133" t="n"/>
      <c r="E576" s="133" t="n"/>
      <c r="F576" s="133" t="n"/>
      <c r="G576" s="133" t="n"/>
      <c r="H576" s="133" t="n"/>
      <c r="I576" s="135">
        <f>IF(OR($A576="",$G576=""),"",IF($H576="VAR","KARŞILIKSIZ",IF($G576&gt;=DusukRiskEsik,"DÜŞÜK",IF($G576&gt;=RiskliSkorEsik,"ORTA",IF($G576&gt;=YuksekRiskEsik,"YÜKSEK","KARŞILIKSIZ")))))</f>
        <v/>
      </c>
      <c r="J576" s="133" t="n"/>
      <c r="K576" s="133" t="n"/>
    </row>
    <row r="577" ht="18" customHeight="1" s="102">
      <c r="A577" s="132" t="n"/>
      <c r="B577" s="133" t="n"/>
      <c r="C577" s="133" t="n"/>
      <c r="D577" s="133" t="n"/>
      <c r="E577" s="133" t="n"/>
      <c r="F577" s="133" t="n"/>
      <c r="G577" s="133" t="n"/>
      <c r="H577" s="133" t="n"/>
      <c r="I577" s="135">
        <f>IF(OR($A577="",$G577=""),"",IF($H577="VAR","KARŞILIKSIZ",IF($G577&gt;=DusukRiskEsik,"DÜŞÜK",IF($G577&gt;=RiskliSkorEsik,"ORTA",IF($G577&gt;=YuksekRiskEsik,"YÜKSEK","KARŞILIKSIZ")))))</f>
        <v/>
      </c>
      <c r="J577" s="133" t="n"/>
      <c r="K577" s="133" t="n"/>
    </row>
    <row r="578" ht="18" customHeight="1" s="102">
      <c r="A578" s="132" t="n"/>
      <c r="B578" s="133" t="n"/>
      <c r="C578" s="133" t="n"/>
      <c r="D578" s="133" t="n"/>
      <c r="E578" s="133" t="n"/>
      <c r="F578" s="133" t="n"/>
      <c r="G578" s="133" t="n"/>
      <c r="H578" s="133" t="n"/>
      <c r="I578" s="135">
        <f>IF(OR($A578="",$G578=""),"",IF($H578="VAR","KARŞILIKSIZ",IF($G578&gt;=DusukRiskEsik,"DÜŞÜK",IF($G578&gt;=RiskliSkorEsik,"ORTA",IF($G578&gt;=YuksekRiskEsik,"YÜKSEK","KARŞILIKSIZ")))))</f>
        <v/>
      </c>
      <c r="J578" s="133" t="n"/>
      <c r="K578" s="133" t="n"/>
    </row>
    <row r="579" ht="18" customHeight="1" s="102">
      <c r="A579" s="132" t="n"/>
      <c r="B579" s="133" t="n"/>
      <c r="C579" s="133" t="n"/>
      <c r="D579" s="133" t="n"/>
      <c r="E579" s="133" t="n"/>
      <c r="F579" s="133" t="n"/>
      <c r="G579" s="133" t="n"/>
      <c r="H579" s="133" t="n"/>
      <c r="I579" s="135">
        <f>IF(OR($A579="",$G579=""),"",IF($H579="VAR","KARŞILIKSIZ",IF($G579&gt;=DusukRiskEsik,"DÜŞÜK",IF($G579&gt;=RiskliSkorEsik,"ORTA",IF($G579&gt;=YuksekRiskEsik,"YÜKSEK","KARŞILIKSIZ")))))</f>
        <v/>
      </c>
      <c r="J579" s="133" t="n"/>
      <c r="K579" s="133" t="n"/>
    </row>
    <row r="580" ht="18" customHeight="1" s="102">
      <c r="A580" s="132" t="n"/>
      <c r="B580" s="133" t="n"/>
      <c r="C580" s="133" t="n"/>
      <c r="D580" s="133" t="n"/>
      <c r="E580" s="133" t="n"/>
      <c r="F580" s="133" t="n"/>
      <c r="G580" s="133" t="n"/>
      <c r="H580" s="133" t="n"/>
      <c r="I580" s="135">
        <f>IF(OR($A580="",$G580=""),"",IF($H580="VAR","KARŞILIKSIZ",IF($G580&gt;=DusukRiskEsik,"DÜŞÜK",IF($G580&gt;=RiskliSkorEsik,"ORTA",IF($G580&gt;=YuksekRiskEsik,"YÜKSEK","KARŞILIKSIZ")))))</f>
        <v/>
      </c>
      <c r="J580" s="133" t="n"/>
      <c r="K580" s="133" t="n"/>
    </row>
    <row r="581" ht="18" customHeight="1" s="102">
      <c r="A581" s="132" t="n"/>
      <c r="B581" s="133" t="n"/>
      <c r="C581" s="133" t="n"/>
      <c r="D581" s="133" t="n"/>
      <c r="E581" s="133" t="n"/>
      <c r="F581" s="133" t="n"/>
      <c r="G581" s="133" t="n"/>
      <c r="H581" s="133" t="n"/>
      <c r="I581" s="135">
        <f>IF(OR($A581="",$G581=""),"",IF($H581="VAR","KARŞILIKSIZ",IF($G581&gt;=DusukRiskEsik,"DÜŞÜK",IF($G581&gt;=RiskliSkorEsik,"ORTA",IF($G581&gt;=YuksekRiskEsik,"YÜKSEK","KARŞILIKSIZ")))))</f>
        <v/>
      </c>
      <c r="J581" s="133" t="n"/>
      <c r="K581" s="133" t="n"/>
    </row>
    <row r="582" ht="18" customHeight="1" s="102">
      <c r="A582" s="132" t="n"/>
      <c r="B582" s="133" t="n"/>
      <c r="C582" s="133" t="n"/>
      <c r="D582" s="133" t="n"/>
      <c r="E582" s="133" t="n"/>
      <c r="F582" s="133" t="n"/>
      <c r="G582" s="133" t="n"/>
      <c r="H582" s="133" t="n"/>
      <c r="I582" s="135">
        <f>IF(OR($A582="",$G582=""),"",IF($H582="VAR","KARŞILIKSIZ",IF($G582&gt;=DusukRiskEsik,"DÜŞÜK",IF($G582&gt;=RiskliSkorEsik,"ORTA",IF($G582&gt;=YuksekRiskEsik,"YÜKSEK","KARŞILIKSIZ")))))</f>
        <v/>
      </c>
      <c r="J582" s="133" t="n"/>
      <c r="K582" s="133" t="n"/>
    </row>
    <row r="583" ht="18" customHeight="1" s="102">
      <c r="A583" s="132" t="n"/>
      <c r="B583" s="133" t="n"/>
      <c r="C583" s="133" t="n"/>
      <c r="D583" s="133" t="n"/>
      <c r="E583" s="133" t="n"/>
      <c r="F583" s="133" t="n"/>
      <c r="G583" s="133" t="n"/>
      <c r="H583" s="133" t="n"/>
      <c r="I583" s="135">
        <f>IF(OR($A583="",$G583=""),"",IF($H583="VAR","KARŞILIKSIZ",IF($G583&gt;=DusukRiskEsik,"DÜŞÜK",IF($G583&gt;=RiskliSkorEsik,"ORTA",IF($G583&gt;=YuksekRiskEsik,"YÜKSEK","KARŞILIKSIZ")))))</f>
        <v/>
      </c>
      <c r="J583" s="133" t="n"/>
      <c r="K583" s="133" t="n"/>
    </row>
    <row r="584" ht="18" customHeight="1" s="102">
      <c r="A584" s="132" t="n"/>
      <c r="B584" s="133" t="n"/>
      <c r="C584" s="133" t="n"/>
      <c r="D584" s="133" t="n"/>
      <c r="E584" s="133" t="n"/>
      <c r="F584" s="133" t="n"/>
      <c r="G584" s="133" t="n"/>
      <c r="H584" s="133" t="n"/>
      <c r="I584" s="135">
        <f>IF(OR($A584="",$G584=""),"",IF($H584="VAR","KARŞILIKSIZ",IF($G584&gt;=DusukRiskEsik,"DÜŞÜK",IF($G584&gt;=RiskliSkorEsik,"ORTA",IF($G584&gt;=YuksekRiskEsik,"YÜKSEK","KARŞILIKSIZ")))))</f>
        <v/>
      </c>
      <c r="J584" s="133" t="n"/>
      <c r="K584" s="133" t="n"/>
    </row>
    <row r="585" ht="18" customHeight="1" s="102">
      <c r="A585" s="132" t="n"/>
      <c r="B585" s="133" t="n"/>
      <c r="C585" s="133" t="n"/>
      <c r="D585" s="133" t="n"/>
      <c r="E585" s="133" t="n"/>
      <c r="F585" s="133" t="n"/>
      <c r="G585" s="133" t="n"/>
      <c r="H585" s="133" t="n"/>
      <c r="I585" s="135">
        <f>IF(OR($A585="",$G585=""),"",IF($H585="VAR","KARŞILIKSIZ",IF($G585&gt;=DusukRiskEsik,"DÜŞÜK",IF($G585&gt;=RiskliSkorEsik,"ORTA",IF($G585&gt;=YuksekRiskEsik,"YÜKSEK","KARŞILIKSIZ")))))</f>
        <v/>
      </c>
      <c r="J585" s="133" t="n"/>
      <c r="K585" s="133" t="n"/>
    </row>
    <row r="586" ht="18" customHeight="1" s="102">
      <c r="A586" s="132" t="n"/>
      <c r="B586" s="133" t="n"/>
      <c r="C586" s="133" t="n"/>
      <c r="D586" s="133" t="n"/>
      <c r="E586" s="133" t="n"/>
      <c r="F586" s="133" t="n"/>
      <c r="G586" s="133" t="n"/>
      <c r="H586" s="133" t="n"/>
      <c r="I586" s="135">
        <f>IF(OR($A586="",$G586=""),"",IF($H586="VAR","KARŞILIKSIZ",IF($G586&gt;=DusukRiskEsik,"DÜŞÜK",IF($G586&gt;=RiskliSkorEsik,"ORTA",IF($G586&gt;=YuksekRiskEsik,"YÜKSEK","KARŞILIKSIZ")))))</f>
        <v/>
      </c>
      <c r="J586" s="133" t="n"/>
      <c r="K586" s="133" t="n"/>
    </row>
    <row r="587" ht="18" customHeight="1" s="102">
      <c r="A587" s="132" t="n"/>
      <c r="B587" s="133" t="n"/>
      <c r="C587" s="133" t="n"/>
      <c r="D587" s="133" t="n"/>
      <c r="E587" s="133" t="n"/>
      <c r="F587" s="133" t="n"/>
      <c r="G587" s="133" t="n"/>
      <c r="H587" s="133" t="n"/>
      <c r="I587" s="135">
        <f>IF(OR($A587="",$G587=""),"",IF($H587="VAR","KARŞILIKSIZ",IF($G587&gt;=DusukRiskEsik,"DÜŞÜK",IF($G587&gt;=RiskliSkorEsik,"ORTA",IF($G587&gt;=YuksekRiskEsik,"YÜKSEK","KARŞILIKSIZ")))))</f>
        <v/>
      </c>
      <c r="J587" s="133" t="n"/>
      <c r="K587" s="133" t="n"/>
    </row>
    <row r="588" ht="18" customHeight="1" s="102">
      <c r="A588" s="132" t="n"/>
      <c r="B588" s="133" t="n"/>
      <c r="C588" s="133" t="n"/>
      <c r="D588" s="133" t="n"/>
      <c r="E588" s="133" t="n"/>
      <c r="F588" s="133" t="n"/>
      <c r="G588" s="133" t="n"/>
      <c r="H588" s="133" t="n"/>
      <c r="I588" s="135">
        <f>IF(OR($A588="",$G588=""),"",IF($H588="VAR","KARŞILIKSIZ",IF($G588&gt;=DusukRiskEsik,"DÜŞÜK",IF($G588&gt;=RiskliSkorEsik,"ORTA",IF($G588&gt;=YuksekRiskEsik,"YÜKSEK","KARŞILIKSIZ")))))</f>
        <v/>
      </c>
      <c r="J588" s="133" t="n"/>
      <c r="K588" s="133" t="n"/>
    </row>
    <row r="589" ht="18" customHeight="1" s="102">
      <c r="A589" s="132" t="n"/>
      <c r="B589" s="133" t="n"/>
      <c r="C589" s="133" t="n"/>
      <c r="D589" s="133" t="n"/>
      <c r="E589" s="133" t="n"/>
      <c r="F589" s="133" t="n"/>
      <c r="G589" s="133" t="n"/>
      <c r="H589" s="133" t="n"/>
      <c r="I589" s="135">
        <f>IF(OR($A589="",$G589=""),"",IF($H589="VAR","KARŞILIKSIZ",IF($G589&gt;=DusukRiskEsik,"DÜŞÜK",IF($G589&gt;=RiskliSkorEsik,"ORTA",IF($G589&gt;=YuksekRiskEsik,"YÜKSEK","KARŞILIKSIZ")))))</f>
        <v/>
      </c>
      <c r="J589" s="133" t="n"/>
      <c r="K589" s="133" t="n"/>
    </row>
    <row r="590" ht="18" customHeight="1" s="102">
      <c r="A590" s="132" t="n"/>
      <c r="B590" s="133" t="n"/>
      <c r="C590" s="133" t="n"/>
      <c r="D590" s="133" t="n"/>
      <c r="E590" s="133" t="n"/>
      <c r="F590" s="133" t="n"/>
      <c r="G590" s="133" t="n"/>
      <c r="H590" s="133" t="n"/>
      <c r="I590" s="135">
        <f>IF(OR($A590="",$G590=""),"",IF($H590="VAR","KARŞILIKSIZ",IF($G590&gt;=DusukRiskEsik,"DÜŞÜK",IF($G590&gt;=RiskliSkorEsik,"ORTA",IF($G590&gt;=YuksekRiskEsik,"YÜKSEK","KARŞILIKSIZ")))))</f>
        <v/>
      </c>
      <c r="J590" s="133" t="n"/>
      <c r="K590" s="133" t="n"/>
    </row>
    <row r="591" ht="18" customHeight="1" s="102">
      <c r="A591" s="132" t="n"/>
      <c r="B591" s="133" t="n"/>
      <c r="C591" s="133" t="n"/>
      <c r="D591" s="133" t="n"/>
      <c r="E591" s="133" t="n"/>
      <c r="F591" s="133" t="n"/>
      <c r="G591" s="133" t="n"/>
      <c r="H591" s="133" t="n"/>
      <c r="I591" s="135">
        <f>IF(OR($A591="",$G591=""),"",IF($H591="VAR","KARŞILIKSIZ",IF($G591&gt;=DusukRiskEsik,"DÜŞÜK",IF($G591&gt;=RiskliSkorEsik,"ORTA",IF($G591&gt;=YuksekRiskEsik,"YÜKSEK","KARŞILIKSIZ")))))</f>
        <v/>
      </c>
      <c r="J591" s="133" t="n"/>
      <c r="K591" s="133" t="n"/>
    </row>
    <row r="592" ht="18" customHeight="1" s="102">
      <c r="A592" s="132" t="n"/>
      <c r="B592" s="133" t="n"/>
      <c r="C592" s="133" t="n"/>
      <c r="D592" s="133" t="n"/>
      <c r="E592" s="133" t="n"/>
      <c r="F592" s="133" t="n"/>
      <c r="G592" s="133" t="n"/>
      <c r="H592" s="133" t="n"/>
      <c r="I592" s="135">
        <f>IF(OR($A592="",$G592=""),"",IF($H592="VAR","KARŞILIKSIZ",IF($G592&gt;=DusukRiskEsik,"DÜŞÜK",IF($G592&gt;=RiskliSkorEsik,"ORTA",IF($G592&gt;=YuksekRiskEsik,"YÜKSEK","KARŞILIKSIZ")))))</f>
        <v/>
      </c>
      <c r="J592" s="133" t="n"/>
      <c r="K592" s="133" t="n"/>
    </row>
    <row r="593" ht="18" customHeight="1" s="102">
      <c r="A593" s="132" t="n"/>
      <c r="B593" s="133" t="n"/>
      <c r="C593" s="133" t="n"/>
      <c r="D593" s="133" t="n"/>
      <c r="E593" s="133" t="n"/>
      <c r="F593" s="133" t="n"/>
      <c r="G593" s="133" t="n"/>
      <c r="H593" s="133" t="n"/>
      <c r="I593" s="135">
        <f>IF(OR($A593="",$G593=""),"",IF($H593="VAR","KARŞILIKSIZ",IF($G593&gt;=DusukRiskEsik,"DÜŞÜK",IF($G593&gt;=RiskliSkorEsik,"ORTA",IF($G593&gt;=YuksekRiskEsik,"YÜKSEK","KARŞILIKSIZ")))))</f>
        <v/>
      </c>
      <c r="J593" s="133" t="n"/>
      <c r="K593" s="133" t="n"/>
    </row>
    <row r="594" ht="18" customHeight="1" s="102">
      <c r="A594" s="132" t="n"/>
      <c r="B594" s="133" t="n"/>
      <c r="C594" s="133" t="n"/>
      <c r="D594" s="133" t="n"/>
      <c r="E594" s="133" t="n"/>
      <c r="F594" s="133" t="n"/>
      <c r="G594" s="133" t="n"/>
      <c r="H594" s="133" t="n"/>
      <c r="I594" s="135">
        <f>IF(OR($A594="",$G594=""),"",IF($H594="VAR","KARŞILIKSIZ",IF($G594&gt;=DusukRiskEsik,"DÜŞÜK",IF($G594&gt;=RiskliSkorEsik,"ORTA",IF($G594&gt;=YuksekRiskEsik,"YÜKSEK","KARŞILIKSIZ")))))</f>
        <v/>
      </c>
      <c r="J594" s="133" t="n"/>
      <c r="K594" s="133" t="n"/>
    </row>
    <row r="595" ht="18" customHeight="1" s="102">
      <c r="A595" s="132" t="n"/>
      <c r="B595" s="133" t="n"/>
      <c r="C595" s="133" t="n"/>
      <c r="D595" s="133" t="n"/>
      <c r="E595" s="133" t="n"/>
      <c r="F595" s="133" t="n"/>
      <c r="G595" s="133" t="n"/>
      <c r="H595" s="133" t="n"/>
      <c r="I595" s="135">
        <f>IF(OR($A595="",$G595=""),"",IF($H595="VAR","KARŞILIKSIZ",IF($G595&gt;=DusukRiskEsik,"DÜŞÜK",IF($G595&gt;=RiskliSkorEsik,"ORTA",IF($G595&gt;=YuksekRiskEsik,"YÜKSEK","KARŞILIKSIZ")))))</f>
        <v/>
      </c>
      <c r="J595" s="133" t="n"/>
      <c r="K595" s="133" t="n"/>
    </row>
    <row r="596" ht="18" customHeight="1" s="102">
      <c r="A596" s="132" t="n"/>
      <c r="B596" s="133" t="n"/>
      <c r="C596" s="133" t="n"/>
      <c r="D596" s="133" t="n"/>
      <c r="E596" s="133" t="n"/>
      <c r="F596" s="133" t="n"/>
      <c r="G596" s="133" t="n"/>
      <c r="H596" s="133" t="n"/>
      <c r="I596" s="135">
        <f>IF(OR($A596="",$G596=""),"",IF($H596="VAR","KARŞILIKSIZ",IF($G596&gt;=DusukRiskEsik,"DÜŞÜK",IF($G596&gt;=RiskliSkorEsik,"ORTA",IF($G596&gt;=YuksekRiskEsik,"YÜKSEK","KARŞILIKSIZ")))))</f>
        <v/>
      </c>
      <c r="J596" s="133" t="n"/>
      <c r="K596" s="133" t="n"/>
    </row>
    <row r="597" ht="18" customHeight="1" s="102">
      <c r="A597" s="132" t="n"/>
      <c r="B597" s="133" t="n"/>
      <c r="C597" s="133" t="n"/>
      <c r="D597" s="133" t="n"/>
      <c r="E597" s="133" t="n"/>
      <c r="F597" s="133" t="n"/>
      <c r="G597" s="133" t="n"/>
      <c r="H597" s="133" t="n"/>
      <c r="I597" s="135">
        <f>IF(OR($A597="",$G597=""),"",IF($H597="VAR","KARŞILIKSIZ",IF($G597&gt;=DusukRiskEsik,"DÜŞÜK",IF($G597&gt;=RiskliSkorEsik,"ORTA",IF($G597&gt;=YuksekRiskEsik,"YÜKSEK","KARŞILIKSIZ")))))</f>
        <v/>
      </c>
      <c r="J597" s="133" t="n"/>
      <c r="K597" s="133" t="n"/>
    </row>
    <row r="598" ht="18" customHeight="1" s="102">
      <c r="A598" s="132" t="n"/>
      <c r="B598" s="133" t="n"/>
      <c r="C598" s="133" t="n"/>
      <c r="D598" s="133" t="n"/>
      <c r="E598" s="133" t="n"/>
      <c r="F598" s="133" t="n"/>
      <c r="G598" s="133" t="n"/>
      <c r="H598" s="133" t="n"/>
      <c r="I598" s="135">
        <f>IF(OR($A598="",$G598=""),"",IF($H598="VAR","KARŞILIKSIZ",IF($G598&gt;=DusukRiskEsik,"DÜŞÜK",IF($G598&gt;=RiskliSkorEsik,"ORTA",IF($G598&gt;=YuksekRiskEsik,"YÜKSEK","KARŞILIKSIZ")))))</f>
        <v/>
      </c>
      <c r="J598" s="133" t="n"/>
      <c r="K598" s="133" t="n"/>
    </row>
    <row r="599" ht="18" customHeight="1" s="102">
      <c r="A599" s="132" t="n"/>
      <c r="B599" s="133" t="n"/>
      <c r="C599" s="133" t="n"/>
      <c r="D599" s="133" t="n"/>
      <c r="E599" s="133" t="n"/>
      <c r="F599" s="133" t="n"/>
      <c r="G599" s="133" t="n"/>
      <c r="H599" s="133" t="n"/>
      <c r="I599" s="135">
        <f>IF(OR($A599="",$G599=""),"",IF($H599="VAR","KARŞILIKSIZ",IF($G599&gt;=DusukRiskEsik,"DÜŞÜK",IF($G599&gt;=RiskliSkorEsik,"ORTA",IF($G599&gt;=YuksekRiskEsik,"YÜKSEK","KARŞILIKSIZ")))))</f>
        <v/>
      </c>
      <c r="J599" s="133" t="n"/>
      <c r="K599" s="133" t="n"/>
    </row>
    <row r="600" ht="18" customHeight="1" s="102">
      <c r="A600" s="132" t="n"/>
      <c r="B600" s="133" t="n"/>
      <c r="C600" s="133" t="n"/>
      <c r="D600" s="133" t="n"/>
      <c r="E600" s="133" t="n"/>
      <c r="F600" s="133" t="n"/>
      <c r="G600" s="133" t="n"/>
      <c r="H600" s="133" t="n"/>
      <c r="I600" s="135">
        <f>IF(OR($A600="",$G600=""),"",IF($H600="VAR","KARŞILIKSIZ",IF($G600&gt;=DusukRiskEsik,"DÜŞÜK",IF($G600&gt;=RiskliSkorEsik,"ORTA",IF($G600&gt;=YuksekRiskEsik,"YÜKSEK","KARŞILIKSIZ")))))</f>
        <v/>
      </c>
      <c r="J600" s="133" t="n"/>
      <c r="K600" s="133" t="n"/>
    </row>
    <row r="601" ht="18" customHeight="1" s="102">
      <c r="A601" s="132" t="n"/>
      <c r="B601" s="133" t="n"/>
      <c r="C601" s="133" t="n"/>
      <c r="D601" s="133" t="n"/>
      <c r="E601" s="133" t="n"/>
      <c r="F601" s="133" t="n"/>
      <c r="G601" s="133" t="n"/>
      <c r="H601" s="133" t="n"/>
      <c r="I601" s="135">
        <f>IF(OR($A601="",$G601=""),"",IF($H601="VAR","KARŞILIKSIZ",IF($G601&gt;=DusukRiskEsik,"DÜŞÜK",IF($G601&gt;=RiskliSkorEsik,"ORTA",IF($G601&gt;=YuksekRiskEsik,"YÜKSEK","KARŞILIKSIZ")))))</f>
        <v/>
      </c>
      <c r="J601" s="133" t="n"/>
      <c r="K601" s="133" t="n"/>
    </row>
    <row r="602" ht="18" customHeight="1" s="102">
      <c r="A602" s="132" t="n"/>
      <c r="B602" s="133" t="n"/>
      <c r="C602" s="133" t="n"/>
      <c r="D602" s="133" t="n"/>
      <c r="E602" s="133" t="n"/>
      <c r="F602" s="133" t="n"/>
      <c r="G602" s="133" t="n"/>
      <c r="H602" s="133" t="n"/>
      <c r="I602" s="135">
        <f>IF(OR($A602="",$G602=""),"",IF($H602="VAR","KARŞILIKSIZ",IF($G602&gt;=DusukRiskEsik,"DÜŞÜK",IF($G602&gt;=RiskliSkorEsik,"ORTA",IF($G602&gt;=YuksekRiskEsik,"YÜKSEK","KARŞILIKSIZ")))))</f>
        <v/>
      </c>
      <c r="J602" s="133" t="n"/>
      <c r="K602" s="133" t="n"/>
    </row>
    <row r="603" ht="18" customHeight="1" s="102">
      <c r="A603" s="132" t="n"/>
      <c r="B603" s="133" t="n"/>
      <c r="C603" s="133" t="n"/>
      <c r="D603" s="133" t="n"/>
      <c r="E603" s="133" t="n"/>
      <c r="F603" s="133" t="n"/>
      <c r="G603" s="133" t="n"/>
      <c r="H603" s="133" t="n"/>
      <c r="I603" s="135">
        <f>IF(OR($A603="",$G603=""),"",IF($H603="VAR","KARŞILIKSIZ",IF($G603&gt;=DusukRiskEsik,"DÜŞÜK",IF($G603&gt;=RiskliSkorEsik,"ORTA",IF($G603&gt;=YuksekRiskEsik,"YÜKSEK","KARŞILIKSIZ")))))</f>
        <v/>
      </c>
      <c r="J603" s="133" t="n"/>
      <c r="K603" s="133" t="n"/>
    </row>
    <row r="604" ht="18" customHeight="1" s="102">
      <c r="A604" s="132" t="n"/>
      <c r="B604" s="133" t="n"/>
      <c r="C604" s="133" t="n"/>
      <c r="D604" s="133" t="n"/>
      <c r="E604" s="133" t="n"/>
      <c r="F604" s="133" t="n"/>
      <c r="G604" s="133" t="n"/>
      <c r="H604" s="133" t="n"/>
      <c r="I604" s="135">
        <f>IF(OR($A604="",$G604=""),"",IF($H604="VAR","KARŞILIKSIZ",IF($G604&gt;=DusukRiskEsik,"DÜŞÜK",IF($G604&gt;=RiskliSkorEsik,"ORTA",IF($G604&gt;=YuksekRiskEsik,"YÜKSEK","KARŞILIKSIZ")))))</f>
        <v/>
      </c>
      <c r="J604" s="133" t="n"/>
      <c r="K604" s="133" t="n"/>
    </row>
    <row r="605" ht="18" customHeight="1" s="102">
      <c r="A605" s="132" t="n"/>
      <c r="B605" s="133" t="n"/>
      <c r="C605" s="133" t="n"/>
      <c r="D605" s="133" t="n"/>
      <c r="E605" s="133" t="n"/>
      <c r="F605" s="133" t="n"/>
      <c r="G605" s="133" t="n"/>
      <c r="H605" s="133" t="n"/>
      <c r="I605" s="135">
        <f>IF(OR($A605="",$G605=""),"",IF($H605="VAR","KARŞILIKSIZ",IF($G605&gt;=DusukRiskEsik,"DÜŞÜK",IF($G605&gt;=RiskliSkorEsik,"ORTA",IF($G605&gt;=YuksekRiskEsik,"YÜKSEK","KARŞILIKSIZ")))))</f>
        <v/>
      </c>
      <c r="J605" s="133" t="n"/>
      <c r="K605" s="133" t="n"/>
    </row>
    <row r="606" ht="18" customHeight="1" s="102">
      <c r="A606" s="132" t="n"/>
      <c r="B606" s="133" t="n"/>
      <c r="C606" s="133" t="n"/>
      <c r="D606" s="133" t="n"/>
      <c r="E606" s="133" t="n"/>
      <c r="F606" s="133" t="n"/>
      <c r="G606" s="133" t="n"/>
      <c r="H606" s="133" t="n"/>
      <c r="I606" s="135">
        <f>IF(OR($A606="",$G606=""),"",IF($H606="VAR","KARŞILIKSIZ",IF($G606&gt;=DusukRiskEsik,"DÜŞÜK",IF($G606&gt;=RiskliSkorEsik,"ORTA",IF($G606&gt;=YuksekRiskEsik,"YÜKSEK","KARŞILIKSIZ")))))</f>
        <v/>
      </c>
      <c r="J606" s="133" t="n"/>
      <c r="K606" s="133" t="n"/>
    </row>
    <row r="607" ht="18" customHeight="1" s="102">
      <c r="A607" s="132" t="n"/>
      <c r="B607" s="133" t="n"/>
      <c r="C607" s="133" t="n"/>
      <c r="D607" s="133" t="n"/>
      <c r="E607" s="133" t="n"/>
      <c r="F607" s="133" t="n"/>
      <c r="G607" s="133" t="n"/>
      <c r="H607" s="133" t="n"/>
      <c r="I607" s="135">
        <f>IF(OR($A607="",$G607=""),"",IF($H607="VAR","KARŞILIKSIZ",IF($G607&gt;=DusukRiskEsik,"DÜŞÜK",IF($G607&gt;=RiskliSkorEsik,"ORTA",IF($G607&gt;=YuksekRiskEsik,"YÜKSEK","KARŞILIKSIZ")))))</f>
        <v/>
      </c>
      <c r="J607" s="133" t="n"/>
      <c r="K607" s="133" t="n"/>
    </row>
    <row r="608" ht="18" customHeight="1" s="102">
      <c r="A608" s="132" t="n"/>
      <c r="B608" s="133" t="n"/>
      <c r="C608" s="133" t="n"/>
      <c r="D608" s="133" t="n"/>
      <c r="E608" s="133" t="n"/>
      <c r="F608" s="133" t="n"/>
      <c r="G608" s="133" t="n"/>
      <c r="H608" s="133" t="n"/>
      <c r="I608" s="135">
        <f>IF(OR($A608="",$G608=""),"",IF($H608="VAR","KARŞILIKSIZ",IF($G608&gt;=DusukRiskEsik,"DÜŞÜK",IF($G608&gt;=RiskliSkorEsik,"ORTA",IF($G608&gt;=YuksekRiskEsik,"YÜKSEK","KARŞILIKSIZ")))))</f>
        <v/>
      </c>
      <c r="J608" s="133" t="n"/>
      <c r="K608" s="133" t="n"/>
    </row>
    <row r="609" ht="18" customHeight="1" s="102">
      <c r="A609" s="132" t="n"/>
      <c r="B609" s="133" t="n"/>
      <c r="C609" s="133" t="n"/>
      <c r="D609" s="133" t="n"/>
      <c r="E609" s="133" t="n"/>
      <c r="F609" s="133" t="n"/>
      <c r="G609" s="133" t="n"/>
      <c r="H609" s="133" t="n"/>
      <c r="I609" s="135">
        <f>IF(OR($A609="",$G609=""),"",IF($H609="VAR","KARŞILIKSIZ",IF($G609&gt;=DusukRiskEsik,"DÜŞÜK",IF($G609&gt;=RiskliSkorEsik,"ORTA",IF($G609&gt;=YuksekRiskEsik,"YÜKSEK","KARŞILIKSIZ")))))</f>
        <v/>
      </c>
      <c r="J609" s="133" t="n"/>
      <c r="K609" s="133" t="n"/>
    </row>
    <row r="610" ht="18" customHeight="1" s="102">
      <c r="A610" s="132" t="n"/>
      <c r="B610" s="133" t="n"/>
      <c r="C610" s="133" t="n"/>
      <c r="D610" s="133" t="n"/>
      <c r="E610" s="133" t="n"/>
      <c r="F610" s="133" t="n"/>
      <c r="G610" s="133" t="n"/>
      <c r="H610" s="133" t="n"/>
      <c r="I610" s="135">
        <f>IF(OR($A610="",$G610=""),"",IF($H610="VAR","KARŞILIKSIZ",IF($G610&gt;=DusukRiskEsik,"DÜŞÜK",IF($G610&gt;=RiskliSkorEsik,"ORTA",IF($G610&gt;=YuksekRiskEsik,"YÜKSEK","KARŞILIKSIZ")))))</f>
        <v/>
      </c>
      <c r="J610" s="133" t="n"/>
      <c r="K610" s="133" t="n"/>
    </row>
    <row r="611" ht="18" customHeight="1" s="102">
      <c r="A611" s="132" t="n"/>
      <c r="B611" s="133" t="n"/>
      <c r="C611" s="133" t="n"/>
      <c r="D611" s="133" t="n"/>
      <c r="E611" s="133" t="n"/>
      <c r="F611" s="133" t="n"/>
      <c r="G611" s="133" t="n"/>
      <c r="H611" s="133" t="n"/>
      <c r="I611" s="135">
        <f>IF(OR($A611="",$G611=""),"",IF($H611="VAR","KARŞILIKSIZ",IF($G611&gt;=DusukRiskEsik,"DÜŞÜK",IF($G611&gt;=RiskliSkorEsik,"ORTA",IF($G611&gt;=YuksekRiskEsik,"YÜKSEK","KARŞILIKSIZ")))))</f>
        <v/>
      </c>
      <c r="J611" s="133" t="n"/>
      <c r="K611" s="133" t="n"/>
    </row>
    <row r="612" ht="18" customHeight="1" s="102">
      <c r="A612" s="132" t="n"/>
      <c r="B612" s="133" t="n"/>
      <c r="C612" s="133" t="n"/>
      <c r="D612" s="133" t="n"/>
      <c r="E612" s="133" t="n"/>
      <c r="F612" s="133" t="n"/>
      <c r="G612" s="133" t="n"/>
      <c r="H612" s="133" t="n"/>
      <c r="I612" s="135">
        <f>IF(OR($A612="",$G612=""),"",IF($H612="VAR","KARŞILIKSIZ",IF($G612&gt;=DusukRiskEsik,"DÜŞÜK",IF($G612&gt;=RiskliSkorEsik,"ORTA",IF($G612&gt;=YuksekRiskEsik,"YÜKSEK","KARŞILIKSIZ")))))</f>
        <v/>
      </c>
      <c r="J612" s="133" t="n"/>
      <c r="K612" s="133" t="n"/>
    </row>
    <row r="613" ht="18" customHeight="1" s="102">
      <c r="A613" s="132" t="n"/>
      <c r="B613" s="133" t="n"/>
      <c r="C613" s="133" t="n"/>
      <c r="D613" s="133" t="n"/>
      <c r="E613" s="133" t="n"/>
      <c r="F613" s="133" t="n"/>
      <c r="G613" s="133" t="n"/>
      <c r="H613" s="133" t="n"/>
      <c r="I613" s="135">
        <f>IF(OR($A613="",$G613=""),"",IF($H613="VAR","KARŞILIKSIZ",IF($G613&gt;=DusukRiskEsik,"DÜŞÜK",IF($G613&gt;=RiskliSkorEsik,"ORTA",IF($G613&gt;=YuksekRiskEsik,"YÜKSEK","KARŞILIKSIZ")))))</f>
        <v/>
      </c>
      <c r="J613" s="133" t="n"/>
      <c r="K613" s="133" t="n"/>
    </row>
    <row r="614" ht="18" customHeight="1" s="102">
      <c r="A614" s="132" t="n"/>
      <c r="B614" s="133" t="n"/>
      <c r="C614" s="133" t="n"/>
      <c r="D614" s="133" t="n"/>
      <c r="E614" s="133" t="n"/>
      <c r="F614" s="133" t="n"/>
      <c r="G614" s="133" t="n"/>
      <c r="H614" s="133" t="n"/>
      <c r="I614" s="135">
        <f>IF(OR($A614="",$G614=""),"",IF($H614="VAR","KARŞILIKSIZ",IF($G614&gt;=DusukRiskEsik,"DÜŞÜK",IF($G614&gt;=RiskliSkorEsik,"ORTA",IF($G614&gt;=YuksekRiskEsik,"YÜKSEK","KARŞILIKSIZ")))))</f>
        <v/>
      </c>
      <c r="J614" s="133" t="n"/>
      <c r="K614" s="133" t="n"/>
    </row>
    <row r="615" ht="18" customHeight="1" s="102">
      <c r="A615" s="132" t="n"/>
      <c r="B615" s="133" t="n"/>
      <c r="C615" s="133" t="n"/>
      <c r="D615" s="133" t="n"/>
      <c r="E615" s="133" t="n"/>
      <c r="F615" s="133" t="n"/>
      <c r="G615" s="133" t="n"/>
      <c r="H615" s="133" t="n"/>
      <c r="I615" s="135">
        <f>IF(OR($A615="",$G615=""),"",IF($H615="VAR","KARŞILIKSIZ",IF($G615&gt;=DusukRiskEsik,"DÜŞÜK",IF($G615&gt;=RiskliSkorEsik,"ORTA",IF($G615&gt;=YuksekRiskEsik,"YÜKSEK","KARŞILIKSIZ")))))</f>
        <v/>
      </c>
      <c r="J615" s="133" t="n"/>
      <c r="K615" s="133" t="n"/>
    </row>
    <row r="616" ht="18" customHeight="1" s="102">
      <c r="A616" s="132" t="n"/>
      <c r="B616" s="133" t="n"/>
      <c r="C616" s="133" t="n"/>
      <c r="D616" s="133" t="n"/>
      <c r="E616" s="133" t="n"/>
      <c r="F616" s="133" t="n"/>
      <c r="G616" s="133" t="n"/>
      <c r="H616" s="133" t="n"/>
      <c r="I616" s="135">
        <f>IF(OR($A616="",$G616=""),"",IF($H616="VAR","KARŞILIKSIZ",IF($G616&gt;=DusukRiskEsik,"DÜŞÜK",IF($G616&gt;=RiskliSkorEsik,"ORTA",IF($G616&gt;=YuksekRiskEsik,"YÜKSEK","KARŞILIKSIZ")))))</f>
        <v/>
      </c>
      <c r="J616" s="133" t="n"/>
      <c r="K616" s="133" t="n"/>
    </row>
    <row r="617" ht="18" customHeight="1" s="102">
      <c r="A617" s="132" t="n"/>
      <c r="B617" s="133" t="n"/>
      <c r="C617" s="133" t="n"/>
      <c r="D617" s="133" t="n"/>
      <c r="E617" s="133" t="n"/>
      <c r="F617" s="133" t="n"/>
      <c r="G617" s="133" t="n"/>
      <c r="H617" s="133" t="n"/>
      <c r="I617" s="135">
        <f>IF(OR($A617="",$G617=""),"",IF($H617="VAR","KARŞILIKSIZ",IF($G617&gt;=DusukRiskEsik,"DÜŞÜK",IF($G617&gt;=RiskliSkorEsik,"ORTA",IF($G617&gt;=YuksekRiskEsik,"YÜKSEK","KARŞILIKSIZ")))))</f>
        <v/>
      </c>
      <c r="J617" s="133" t="n"/>
      <c r="K617" s="133" t="n"/>
    </row>
    <row r="618" ht="18" customHeight="1" s="102">
      <c r="A618" s="132" t="n"/>
      <c r="B618" s="133" t="n"/>
      <c r="C618" s="133" t="n"/>
      <c r="D618" s="133" t="n"/>
      <c r="E618" s="133" t="n"/>
      <c r="F618" s="133" t="n"/>
      <c r="G618" s="133" t="n"/>
      <c r="H618" s="133" t="n"/>
      <c r="I618" s="135">
        <f>IF(OR($A618="",$G618=""),"",IF($H618="VAR","KARŞILIKSIZ",IF($G618&gt;=DusukRiskEsik,"DÜŞÜK",IF($G618&gt;=RiskliSkorEsik,"ORTA",IF($G618&gt;=YuksekRiskEsik,"YÜKSEK","KARŞILIKSIZ")))))</f>
        <v/>
      </c>
      <c r="J618" s="133" t="n"/>
      <c r="K618" s="133" t="n"/>
    </row>
    <row r="619" ht="18" customHeight="1" s="102">
      <c r="A619" s="132" t="n"/>
      <c r="B619" s="133" t="n"/>
      <c r="C619" s="133" t="n"/>
      <c r="D619" s="133" t="n"/>
      <c r="E619" s="133" t="n"/>
      <c r="F619" s="133" t="n"/>
      <c r="G619" s="133" t="n"/>
      <c r="H619" s="133" t="n"/>
      <c r="I619" s="135">
        <f>IF(OR($A619="",$G619=""),"",IF($H619="VAR","KARŞILIKSIZ",IF($G619&gt;=DusukRiskEsik,"DÜŞÜK",IF($G619&gt;=RiskliSkorEsik,"ORTA",IF($G619&gt;=YuksekRiskEsik,"YÜKSEK","KARŞILIKSIZ")))))</f>
        <v/>
      </c>
      <c r="J619" s="133" t="n"/>
      <c r="K619" s="133" t="n"/>
    </row>
    <row r="620" ht="18" customHeight="1" s="102">
      <c r="A620" s="132" t="n"/>
      <c r="B620" s="133" t="n"/>
      <c r="C620" s="133" t="n"/>
      <c r="D620" s="133" t="n"/>
      <c r="E620" s="133" t="n"/>
      <c r="F620" s="133" t="n"/>
      <c r="G620" s="133" t="n"/>
      <c r="H620" s="133" t="n"/>
      <c r="I620" s="135">
        <f>IF(OR($A620="",$G620=""),"",IF($H620="VAR","KARŞILIKSIZ",IF($G620&gt;=DusukRiskEsik,"DÜŞÜK",IF($G620&gt;=RiskliSkorEsik,"ORTA",IF($G620&gt;=YuksekRiskEsik,"YÜKSEK","KARŞILIKSIZ")))))</f>
        <v/>
      </c>
      <c r="J620" s="133" t="n"/>
      <c r="K620" s="133" t="n"/>
    </row>
    <row r="621" ht="18" customHeight="1" s="102">
      <c r="A621" s="132" t="n"/>
      <c r="B621" s="133" t="n"/>
      <c r="C621" s="133" t="n"/>
      <c r="D621" s="133" t="n"/>
      <c r="E621" s="133" t="n"/>
      <c r="F621" s="133" t="n"/>
      <c r="G621" s="133" t="n"/>
      <c r="H621" s="133" t="n"/>
      <c r="I621" s="135">
        <f>IF(OR($A621="",$G621=""),"",IF($H621="VAR","KARŞILIKSIZ",IF($G621&gt;=DusukRiskEsik,"DÜŞÜK",IF($G621&gt;=RiskliSkorEsik,"ORTA",IF($G621&gt;=YuksekRiskEsik,"YÜKSEK","KARŞILIKSIZ")))))</f>
        <v/>
      </c>
      <c r="J621" s="133" t="n"/>
      <c r="K621" s="133" t="n"/>
    </row>
    <row r="622" ht="18" customHeight="1" s="102">
      <c r="A622" s="132" t="n"/>
      <c r="B622" s="133" t="n"/>
      <c r="C622" s="133" t="n"/>
      <c r="D622" s="133" t="n"/>
      <c r="E622" s="133" t="n"/>
      <c r="F622" s="133" t="n"/>
      <c r="G622" s="133" t="n"/>
      <c r="H622" s="133" t="n"/>
      <c r="I622" s="135">
        <f>IF(OR($A622="",$G622=""),"",IF($H622="VAR","KARŞILIKSIZ",IF($G622&gt;=DusukRiskEsik,"DÜŞÜK",IF($G622&gt;=RiskliSkorEsik,"ORTA",IF($G622&gt;=YuksekRiskEsik,"YÜKSEK","KARŞILIKSIZ")))))</f>
        <v/>
      </c>
      <c r="J622" s="133" t="n"/>
      <c r="K622" s="133" t="n"/>
    </row>
    <row r="623" ht="18" customHeight="1" s="102">
      <c r="A623" s="132" t="n"/>
      <c r="B623" s="133" t="n"/>
      <c r="C623" s="133" t="n"/>
      <c r="D623" s="133" t="n"/>
      <c r="E623" s="133" t="n"/>
      <c r="F623" s="133" t="n"/>
      <c r="G623" s="133" t="n"/>
      <c r="H623" s="133" t="n"/>
      <c r="I623" s="135">
        <f>IF(OR($A623="",$G623=""),"",IF($H623="VAR","KARŞILIKSIZ",IF($G623&gt;=DusukRiskEsik,"DÜŞÜK",IF($G623&gt;=RiskliSkorEsik,"ORTA",IF($G623&gt;=YuksekRiskEsik,"YÜKSEK","KARŞILIKSIZ")))))</f>
        <v/>
      </c>
      <c r="J623" s="133" t="n"/>
      <c r="K623" s="133" t="n"/>
    </row>
    <row r="624" ht="18" customHeight="1" s="102">
      <c r="A624" s="132" t="n"/>
      <c r="B624" s="133" t="n"/>
      <c r="C624" s="133" t="n"/>
      <c r="D624" s="133" t="n"/>
      <c r="E624" s="133" t="n"/>
      <c r="F624" s="133" t="n"/>
      <c r="G624" s="133" t="n"/>
      <c r="H624" s="133" t="n"/>
      <c r="I624" s="135">
        <f>IF(OR($A624="",$G624=""),"",IF($H624="VAR","KARŞILIKSIZ",IF($G624&gt;=DusukRiskEsik,"DÜŞÜK",IF($G624&gt;=RiskliSkorEsik,"ORTA",IF($G624&gt;=YuksekRiskEsik,"YÜKSEK","KARŞILIKSIZ")))))</f>
        <v/>
      </c>
      <c r="J624" s="133" t="n"/>
      <c r="K624" s="133" t="n"/>
    </row>
    <row r="625" ht="18" customHeight="1" s="102">
      <c r="A625" s="132" t="n"/>
      <c r="B625" s="133" t="n"/>
      <c r="C625" s="133" t="n"/>
      <c r="D625" s="133" t="n"/>
      <c r="E625" s="133" t="n"/>
      <c r="F625" s="133" t="n"/>
      <c r="G625" s="133" t="n"/>
      <c r="H625" s="133" t="n"/>
      <c r="I625" s="135">
        <f>IF(OR($A625="",$G625=""),"",IF($H625="VAR","KARŞILIKSIZ",IF($G625&gt;=DusukRiskEsik,"DÜŞÜK",IF($G625&gt;=RiskliSkorEsik,"ORTA",IF($G625&gt;=YuksekRiskEsik,"YÜKSEK","KARŞILIKSIZ")))))</f>
        <v/>
      </c>
      <c r="J625" s="133" t="n"/>
      <c r="K625" s="133" t="n"/>
    </row>
    <row r="626" ht="18" customHeight="1" s="102">
      <c r="A626" s="132" t="n"/>
      <c r="B626" s="133" t="n"/>
      <c r="C626" s="133" t="n"/>
      <c r="D626" s="133" t="n"/>
      <c r="E626" s="133" t="n"/>
      <c r="F626" s="133" t="n"/>
      <c r="G626" s="133" t="n"/>
      <c r="H626" s="133" t="n"/>
      <c r="I626" s="135">
        <f>IF(OR($A626="",$G626=""),"",IF($H626="VAR","KARŞILIKSIZ",IF($G626&gt;=DusukRiskEsik,"DÜŞÜK",IF($G626&gt;=RiskliSkorEsik,"ORTA",IF($G626&gt;=YuksekRiskEsik,"YÜKSEK","KARŞILIKSIZ")))))</f>
        <v/>
      </c>
      <c r="J626" s="133" t="n"/>
      <c r="K626" s="133" t="n"/>
    </row>
    <row r="627" ht="18" customHeight="1" s="102">
      <c r="A627" s="132" t="n"/>
      <c r="B627" s="133" t="n"/>
      <c r="C627" s="133" t="n"/>
      <c r="D627" s="133" t="n"/>
      <c r="E627" s="133" t="n"/>
      <c r="F627" s="133" t="n"/>
      <c r="G627" s="133" t="n"/>
      <c r="H627" s="133" t="n"/>
      <c r="I627" s="135">
        <f>IF(OR($A627="",$G627=""),"",IF($H627="VAR","KARŞILIKSIZ",IF($G627&gt;=DusukRiskEsik,"DÜŞÜK",IF($G627&gt;=RiskliSkorEsik,"ORTA",IF($G627&gt;=YuksekRiskEsik,"YÜKSEK","KARŞILIKSIZ")))))</f>
        <v/>
      </c>
      <c r="J627" s="133" t="n"/>
      <c r="K627" s="133" t="n"/>
    </row>
    <row r="628" ht="18" customHeight="1" s="102">
      <c r="A628" s="132" t="n"/>
      <c r="B628" s="133" t="n"/>
      <c r="C628" s="133" t="n"/>
      <c r="D628" s="133" t="n"/>
      <c r="E628" s="133" t="n"/>
      <c r="F628" s="133" t="n"/>
      <c r="G628" s="133" t="n"/>
      <c r="H628" s="133" t="n"/>
      <c r="I628" s="135">
        <f>IF(OR($A628="",$G628=""),"",IF($H628="VAR","KARŞILIKSIZ",IF($G628&gt;=DusukRiskEsik,"DÜŞÜK",IF($G628&gt;=RiskliSkorEsik,"ORTA",IF($G628&gt;=YuksekRiskEsik,"YÜKSEK","KARŞILIKSIZ")))))</f>
        <v/>
      </c>
      <c r="J628" s="133" t="n"/>
      <c r="K628" s="133" t="n"/>
    </row>
    <row r="629" ht="18" customHeight="1" s="102">
      <c r="A629" s="132" t="n"/>
      <c r="B629" s="133" t="n"/>
      <c r="C629" s="133" t="n"/>
      <c r="D629" s="133" t="n"/>
      <c r="E629" s="133" t="n"/>
      <c r="F629" s="133" t="n"/>
      <c r="G629" s="133" t="n"/>
      <c r="H629" s="133" t="n"/>
      <c r="I629" s="135">
        <f>IF(OR($A629="",$G629=""),"",IF($H629="VAR","KARŞILIKSIZ",IF($G629&gt;=DusukRiskEsik,"DÜŞÜK",IF($G629&gt;=RiskliSkorEsik,"ORTA",IF($G629&gt;=YuksekRiskEsik,"YÜKSEK","KARŞILIKSIZ")))))</f>
        <v/>
      </c>
      <c r="J629" s="133" t="n"/>
      <c r="K629" s="133" t="n"/>
    </row>
    <row r="630" ht="18" customHeight="1" s="102">
      <c r="A630" s="132" t="n"/>
      <c r="B630" s="133" t="n"/>
      <c r="C630" s="133" t="n"/>
      <c r="D630" s="133" t="n"/>
      <c r="E630" s="133" t="n"/>
      <c r="F630" s="133" t="n"/>
      <c r="G630" s="133" t="n"/>
      <c r="H630" s="133" t="n"/>
      <c r="I630" s="135">
        <f>IF(OR($A630="",$G630=""),"",IF($H630="VAR","KARŞILIKSIZ",IF($G630&gt;=DusukRiskEsik,"DÜŞÜK",IF($G630&gt;=RiskliSkorEsik,"ORTA",IF($G630&gt;=YuksekRiskEsik,"YÜKSEK","KARŞILIKSIZ")))))</f>
        <v/>
      </c>
      <c r="J630" s="133" t="n"/>
      <c r="K630" s="133" t="n"/>
    </row>
    <row r="631" ht="18" customHeight="1" s="102">
      <c r="A631" s="132" t="n"/>
      <c r="B631" s="133" t="n"/>
      <c r="C631" s="133" t="n"/>
      <c r="D631" s="133" t="n"/>
      <c r="E631" s="133" t="n"/>
      <c r="F631" s="133" t="n"/>
      <c r="G631" s="133" t="n"/>
      <c r="H631" s="133" t="n"/>
      <c r="I631" s="135">
        <f>IF(OR($A631="",$G631=""),"",IF($H631="VAR","KARŞILIKSIZ",IF($G631&gt;=DusukRiskEsik,"DÜŞÜK",IF($G631&gt;=RiskliSkorEsik,"ORTA",IF($G631&gt;=YuksekRiskEsik,"YÜKSEK","KARŞILIKSIZ")))))</f>
        <v/>
      </c>
      <c r="J631" s="133" t="n"/>
      <c r="K631" s="133" t="n"/>
    </row>
    <row r="632" ht="18" customHeight="1" s="102">
      <c r="A632" s="132" t="n"/>
      <c r="B632" s="133" t="n"/>
      <c r="C632" s="133" t="n"/>
      <c r="D632" s="133" t="n"/>
      <c r="E632" s="133" t="n"/>
      <c r="F632" s="133" t="n"/>
      <c r="G632" s="133" t="n"/>
      <c r="H632" s="133" t="n"/>
      <c r="I632" s="135">
        <f>IF(OR($A632="",$G632=""),"",IF($H632="VAR","KARŞILIKSIZ",IF($G632&gt;=DusukRiskEsik,"DÜŞÜK",IF($G632&gt;=RiskliSkorEsik,"ORTA",IF($G632&gt;=YuksekRiskEsik,"YÜKSEK","KARŞILIKSIZ")))))</f>
        <v/>
      </c>
      <c r="J632" s="133" t="n"/>
      <c r="K632" s="133" t="n"/>
    </row>
    <row r="633" ht="18" customHeight="1" s="102">
      <c r="A633" s="132" t="n"/>
      <c r="B633" s="133" t="n"/>
      <c r="C633" s="133" t="n"/>
      <c r="D633" s="133" t="n"/>
      <c r="E633" s="133" t="n"/>
      <c r="F633" s="133" t="n"/>
      <c r="G633" s="133" t="n"/>
      <c r="H633" s="133" t="n"/>
      <c r="I633" s="135">
        <f>IF(OR($A633="",$G633=""),"",IF($H633="VAR","KARŞILIKSIZ",IF($G633&gt;=DusukRiskEsik,"DÜŞÜK",IF($G633&gt;=RiskliSkorEsik,"ORTA",IF($G633&gt;=YuksekRiskEsik,"YÜKSEK","KARŞILIKSIZ")))))</f>
        <v/>
      </c>
      <c r="J633" s="133" t="n"/>
      <c r="K633" s="133" t="n"/>
    </row>
    <row r="634" ht="18" customHeight="1" s="102">
      <c r="A634" s="132" t="n"/>
      <c r="B634" s="133" t="n"/>
      <c r="C634" s="133" t="n"/>
      <c r="D634" s="133" t="n"/>
      <c r="E634" s="133" t="n"/>
      <c r="F634" s="133" t="n"/>
      <c r="G634" s="133" t="n"/>
      <c r="H634" s="133" t="n"/>
      <c r="I634" s="135">
        <f>IF(OR($A634="",$G634=""),"",IF($H634="VAR","KARŞILIKSIZ",IF($G634&gt;=DusukRiskEsik,"DÜŞÜK",IF($G634&gt;=RiskliSkorEsik,"ORTA",IF($G634&gt;=YuksekRiskEsik,"YÜKSEK","KARŞILIKSIZ")))))</f>
        <v/>
      </c>
      <c r="J634" s="133" t="n"/>
      <c r="K634" s="133" t="n"/>
    </row>
    <row r="635" ht="18" customHeight="1" s="102">
      <c r="A635" s="132" t="n"/>
      <c r="B635" s="133" t="n"/>
      <c r="C635" s="133" t="n"/>
      <c r="D635" s="133" t="n"/>
      <c r="E635" s="133" t="n"/>
      <c r="F635" s="133" t="n"/>
      <c r="G635" s="133" t="n"/>
      <c r="H635" s="133" t="n"/>
      <c r="I635" s="135">
        <f>IF(OR($A635="",$G635=""),"",IF($H635="VAR","KARŞILIKSIZ",IF($G635&gt;=DusukRiskEsik,"DÜŞÜK",IF($G635&gt;=RiskliSkorEsik,"ORTA",IF($G635&gt;=YuksekRiskEsik,"YÜKSEK","KARŞILIKSIZ")))))</f>
        <v/>
      </c>
      <c r="J635" s="133" t="n"/>
      <c r="K635" s="133" t="n"/>
    </row>
    <row r="636" ht="18" customHeight="1" s="102">
      <c r="A636" s="132" t="n"/>
      <c r="B636" s="133" t="n"/>
      <c r="C636" s="133" t="n"/>
      <c r="D636" s="133" t="n"/>
      <c r="E636" s="133" t="n"/>
      <c r="F636" s="133" t="n"/>
      <c r="G636" s="133" t="n"/>
      <c r="H636" s="133" t="n"/>
      <c r="I636" s="135">
        <f>IF(OR($A636="",$G636=""),"",IF($H636="VAR","KARŞILIKSIZ",IF($G636&gt;=DusukRiskEsik,"DÜŞÜK",IF($G636&gt;=RiskliSkorEsik,"ORTA",IF($G636&gt;=YuksekRiskEsik,"YÜKSEK","KARŞILIKSIZ")))))</f>
        <v/>
      </c>
      <c r="J636" s="133" t="n"/>
      <c r="K636" s="133" t="n"/>
    </row>
    <row r="637" ht="18" customHeight="1" s="102">
      <c r="A637" s="132" t="n"/>
      <c r="B637" s="133" t="n"/>
      <c r="C637" s="133" t="n"/>
      <c r="D637" s="133" t="n"/>
      <c r="E637" s="133" t="n"/>
      <c r="F637" s="133" t="n"/>
      <c r="G637" s="133" t="n"/>
      <c r="H637" s="133" t="n"/>
      <c r="I637" s="135">
        <f>IF(OR($A637="",$G637=""),"",IF($H637="VAR","KARŞILIKSIZ",IF($G637&gt;=DusukRiskEsik,"DÜŞÜK",IF($G637&gt;=RiskliSkorEsik,"ORTA",IF($G637&gt;=YuksekRiskEsik,"YÜKSEK","KARŞILIKSIZ")))))</f>
        <v/>
      </c>
      <c r="J637" s="133" t="n"/>
      <c r="K637" s="133" t="n"/>
    </row>
    <row r="638" ht="18" customHeight="1" s="102">
      <c r="A638" s="132" t="n"/>
      <c r="B638" s="133" t="n"/>
      <c r="C638" s="133" t="n"/>
      <c r="D638" s="133" t="n"/>
      <c r="E638" s="133" t="n"/>
      <c r="F638" s="133" t="n"/>
      <c r="G638" s="133" t="n"/>
      <c r="H638" s="133" t="n"/>
      <c r="I638" s="135">
        <f>IF(OR($A638="",$G638=""),"",IF($H638="VAR","KARŞILIKSIZ",IF($G638&gt;=DusukRiskEsik,"DÜŞÜK",IF($G638&gt;=RiskliSkorEsik,"ORTA",IF($G638&gt;=YuksekRiskEsik,"YÜKSEK","KARŞILIKSIZ")))))</f>
        <v/>
      </c>
      <c r="J638" s="133" t="n"/>
      <c r="K638" s="133" t="n"/>
    </row>
    <row r="639" ht="18" customHeight="1" s="102">
      <c r="A639" s="132" t="n"/>
      <c r="B639" s="133" t="n"/>
      <c r="C639" s="133" t="n"/>
      <c r="D639" s="133" t="n"/>
      <c r="E639" s="133" t="n"/>
      <c r="F639" s="133" t="n"/>
      <c r="G639" s="133" t="n"/>
      <c r="H639" s="133" t="n"/>
      <c r="I639" s="135">
        <f>IF(OR($A639="",$G639=""),"",IF($H639="VAR","KARŞILIKSIZ",IF($G639&gt;=DusukRiskEsik,"DÜŞÜK",IF($G639&gt;=RiskliSkorEsik,"ORTA",IF($G639&gt;=YuksekRiskEsik,"YÜKSEK","KARŞILIKSIZ")))))</f>
        <v/>
      </c>
      <c r="J639" s="133" t="n"/>
      <c r="K639" s="133" t="n"/>
    </row>
    <row r="640" ht="18" customHeight="1" s="102">
      <c r="A640" s="132" t="n"/>
      <c r="B640" s="133" t="n"/>
      <c r="C640" s="133" t="n"/>
      <c r="D640" s="133" t="n"/>
      <c r="E640" s="133" t="n"/>
      <c r="F640" s="133" t="n"/>
      <c r="G640" s="133" t="n"/>
      <c r="H640" s="133" t="n"/>
      <c r="I640" s="135">
        <f>IF(OR($A640="",$G640=""),"",IF($H640="VAR","KARŞILIKSIZ",IF($G640&gt;=DusukRiskEsik,"DÜŞÜK",IF($G640&gt;=RiskliSkorEsik,"ORTA",IF($G640&gt;=YuksekRiskEsik,"YÜKSEK","KARŞILIKSIZ")))))</f>
        <v/>
      </c>
      <c r="J640" s="133" t="n"/>
      <c r="K640" s="133" t="n"/>
    </row>
    <row r="641" ht="18" customHeight="1" s="102">
      <c r="A641" s="132" t="n"/>
      <c r="B641" s="133" t="n"/>
      <c r="C641" s="133" t="n"/>
      <c r="D641" s="133" t="n"/>
      <c r="E641" s="133" t="n"/>
      <c r="F641" s="133" t="n"/>
      <c r="G641" s="133" t="n"/>
      <c r="H641" s="133" t="n"/>
      <c r="I641" s="135">
        <f>IF(OR($A641="",$G641=""),"",IF($H641="VAR","KARŞILIKSIZ",IF($G641&gt;=DusukRiskEsik,"DÜŞÜK",IF($G641&gt;=RiskliSkorEsik,"ORTA",IF($G641&gt;=YuksekRiskEsik,"YÜKSEK","KARŞILIKSIZ")))))</f>
        <v/>
      </c>
      <c r="J641" s="133" t="n"/>
      <c r="K641" s="133" t="n"/>
    </row>
    <row r="642" ht="18" customHeight="1" s="102">
      <c r="A642" s="132" t="n"/>
      <c r="B642" s="133" t="n"/>
      <c r="C642" s="133" t="n"/>
      <c r="D642" s="133" t="n"/>
      <c r="E642" s="133" t="n"/>
      <c r="F642" s="133" t="n"/>
      <c r="G642" s="133" t="n"/>
      <c r="H642" s="133" t="n"/>
      <c r="I642" s="135">
        <f>IF(OR($A642="",$G642=""),"",IF($H642="VAR","KARŞILIKSIZ",IF($G642&gt;=DusukRiskEsik,"DÜŞÜK",IF($G642&gt;=RiskliSkorEsik,"ORTA",IF($G642&gt;=YuksekRiskEsik,"YÜKSEK","KARŞILIKSIZ")))))</f>
        <v/>
      </c>
      <c r="J642" s="133" t="n"/>
      <c r="K642" s="133" t="n"/>
    </row>
    <row r="643" ht="18" customHeight="1" s="102">
      <c r="A643" s="132" t="n"/>
      <c r="B643" s="133" t="n"/>
      <c r="C643" s="133" t="n"/>
      <c r="D643" s="133" t="n"/>
      <c r="E643" s="133" t="n"/>
      <c r="F643" s="133" t="n"/>
      <c r="G643" s="133" t="n"/>
      <c r="H643" s="133" t="n"/>
      <c r="I643" s="135">
        <f>IF(OR($A643="",$G643=""),"",IF($H643="VAR","KARŞILIKSIZ",IF($G643&gt;=DusukRiskEsik,"DÜŞÜK",IF($G643&gt;=RiskliSkorEsik,"ORTA",IF($G643&gt;=YuksekRiskEsik,"YÜKSEK","KARŞILIKSIZ")))))</f>
        <v/>
      </c>
      <c r="J643" s="133" t="n"/>
      <c r="K643" s="133" t="n"/>
    </row>
    <row r="644" ht="18" customHeight="1" s="102">
      <c r="A644" s="132" t="n"/>
      <c r="B644" s="133" t="n"/>
      <c r="C644" s="133" t="n"/>
      <c r="D644" s="133" t="n"/>
      <c r="E644" s="133" t="n"/>
      <c r="F644" s="133" t="n"/>
      <c r="G644" s="133" t="n"/>
      <c r="H644" s="133" t="n"/>
      <c r="I644" s="135">
        <f>IF(OR($A644="",$G644=""),"",IF($H644="VAR","KARŞILIKSIZ",IF($G644&gt;=DusukRiskEsik,"DÜŞÜK",IF($G644&gt;=RiskliSkorEsik,"ORTA",IF($G644&gt;=YuksekRiskEsik,"YÜKSEK","KARŞILIKSIZ")))))</f>
        <v/>
      </c>
      <c r="J644" s="133" t="n"/>
      <c r="K644" s="133" t="n"/>
    </row>
    <row r="645" ht="18" customHeight="1" s="102">
      <c r="A645" s="132" t="n"/>
      <c r="B645" s="133" t="n"/>
      <c r="C645" s="133" t="n"/>
      <c r="D645" s="133" t="n"/>
      <c r="E645" s="133" t="n"/>
      <c r="F645" s="133" t="n"/>
      <c r="G645" s="133" t="n"/>
      <c r="H645" s="133" t="n"/>
      <c r="I645" s="135">
        <f>IF(OR($A645="",$G645=""),"",IF($H645="VAR","KARŞILIKSIZ",IF($G645&gt;=DusukRiskEsik,"DÜŞÜK",IF($G645&gt;=RiskliSkorEsik,"ORTA",IF($G645&gt;=YuksekRiskEsik,"YÜKSEK","KARŞILIKSIZ")))))</f>
        <v/>
      </c>
      <c r="J645" s="133" t="n"/>
      <c r="K645" s="133" t="n"/>
    </row>
    <row r="646" ht="18" customHeight="1" s="102">
      <c r="A646" s="132" t="n"/>
      <c r="B646" s="133" t="n"/>
      <c r="C646" s="133" t="n"/>
      <c r="D646" s="133" t="n"/>
      <c r="E646" s="133" t="n"/>
      <c r="F646" s="133" t="n"/>
      <c r="G646" s="133" t="n"/>
      <c r="H646" s="133" t="n"/>
      <c r="I646" s="135">
        <f>IF(OR($A646="",$G646=""),"",IF($H646="VAR","KARŞILIKSIZ",IF($G646&gt;=DusukRiskEsik,"DÜŞÜK",IF($G646&gt;=RiskliSkorEsik,"ORTA",IF($G646&gt;=YuksekRiskEsik,"YÜKSEK","KARŞILIKSIZ")))))</f>
        <v/>
      </c>
      <c r="J646" s="133" t="n"/>
      <c r="K646" s="133" t="n"/>
    </row>
    <row r="647" ht="18" customHeight="1" s="102">
      <c r="A647" s="132" t="n"/>
      <c r="B647" s="133" t="n"/>
      <c r="C647" s="133" t="n"/>
      <c r="D647" s="133" t="n"/>
      <c r="E647" s="133" t="n"/>
      <c r="F647" s="133" t="n"/>
      <c r="G647" s="133" t="n"/>
      <c r="H647" s="133" t="n"/>
      <c r="I647" s="135">
        <f>IF(OR($A647="",$G647=""),"",IF($H647="VAR","KARŞILIKSIZ",IF($G647&gt;=DusukRiskEsik,"DÜŞÜK",IF($G647&gt;=RiskliSkorEsik,"ORTA",IF($G647&gt;=YuksekRiskEsik,"YÜKSEK","KARŞILIKSIZ")))))</f>
        <v/>
      </c>
      <c r="J647" s="133" t="n"/>
      <c r="K647" s="133" t="n"/>
    </row>
    <row r="648" ht="18" customHeight="1" s="102">
      <c r="A648" s="132" t="n"/>
      <c r="B648" s="133" t="n"/>
      <c r="C648" s="133" t="n"/>
      <c r="D648" s="133" t="n"/>
      <c r="E648" s="133" t="n"/>
      <c r="F648" s="133" t="n"/>
      <c r="G648" s="133" t="n"/>
      <c r="H648" s="133" t="n"/>
      <c r="I648" s="135">
        <f>IF(OR($A648="",$G648=""),"",IF($H648="VAR","KARŞILIKSIZ",IF($G648&gt;=DusukRiskEsik,"DÜŞÜK",IF($G648&gt;=RiskliSkorEsik,"ORTA",IF($G648&gt;=YuksekRiskEsik,"YÜKSEK","KARŞILIKSIZ")))))</f>
        <v/>
      </c>
      <c r="J648" s="133" t="n"/>
      <c r="K648" s="133" t="n"/>
    </row>
    <row r="649" ht="18" customHeight="1" s="102">
      <c r="A649" s="132" t="n"/>
      <c r="B649" s="133" t="n"/>
      <c r="C649" s="133" t="n"/>
      <c r="D649" s="133" t="n"/>
      <c r="E649" s="133" t="n"/>
      <c r="F649" s="133" t="n"/>
      <c r="G649" s="133" t="n"/>
      <c r="H649" s="133" t="n"/>
      <c r="I649" s="135">
        <f>IF(OR($A649="",$G649=""),"",IF($H649="VAR","KARŞILIKSIZ",IF($G649&gt;=DusukRiskEsik,"DÜŞÜK",IF($G649&gt;=RiskliSkorEsik,"ORTA",IF($G649&gt;=YuksekRiskEsik,"YÜKSEK","KARŞILIKSIZ")))))</f>
        <v/>
      </c>
      <c r="J649" s="133" t="n"/>
      <c r="K649" s="133" t="n"/>
    </row>
    <row r="650" ht="18" customHeight="1" s="102">
      <c r="A650" s="132" t="n"/>
      <c r="B650" s="133" t="n"/>
      <c r="C650" s="133" t="n"/>
      <c r="D650" s="133" t="n"/>
      <c r="E650" s="133" t="n"/>
      <c r="F650" s="133" t="n"/>
      <c r="G650" s="133" t="n"/>
      <c r="H650" s="133" t="n"/>
      <c r="I650" s="135">
        <f>IF(OR($A650="",$G650=""),"",IF($H650="VAR","KARŞILIKSIZ",IF($G650&gt;=DusukRiskEsik,"DÜŞÜK",IF($G650&gt;=RiskliSkorEsik,"ORTA",IF($G650&gt;=YuksekRiskEsik,"YÜKSEK","KARŞILIKSIZ")))))</f>
        <v/>
      </c>
      <c r="J650" s="133" t="n"/>
      <c r="K650" s="133" t="n"/>
    </row>
    <row r="651" ht="18" customHeight="1" s="102">
      <c r="A651" s="132" t="n"/>
      <c r="B651" s="133" t="n"/>
      <c r="C651" s="133" t="n"/>
      <c r="D651" s="133" t="n"/>
      <c r="E651" s="133" t="n"/>
      <c r="F651" s="133" t="n"/>
      <c r="G651" s="133" t="n"/>
      <c r="H651" s="133" t="n"/>
      <c r="I651" s="135">
        <f>IF(OR($A651="",$G651=""),"",IF($H651="VAR","KARŞILIKSIZ",IF($G651&gt;=DusukRiskEsik,"DÜŞÜK",IF($G651&gt;=RiskliSkorEsik,"ORTA",IF($G651&gt;=YuksekRiskEsik,"YÜKSEK","KARŞILIKSIZ")))))</f>
        <v/>
      </c>
      <c r="J651" s="133" t="n"/>
      <c r="K651" s="133" t="n"/>
    </row>
    <row r="652" ht="18" customHeight="1" s="102">
      <c r="A652" s="132" t="n"/>
      <c r="B652" s="133" t="n"/>
      <c r="C652" s="133" t="n"/>
      <c r="D652" s="133" t="n"/>
      <c r="E652" s="133" t="n"/>
      <c r="F652" s="133" t="n"/>
      <c r="G652" s="133" t="n"/>
      <c r="H652" s="133" t="n"/>
      <c r="I652" s="135">
        <f>IF(OR($A652="",$G652=""),"",IF($H652="VAR","KARŞILIKSIZ",IF($G652&gt;=DusukRiskEsik,"DÜŞÜK",IF($G652&gt;=RiskliSkorEsik,"ORTA",IF($G652&gt;=YuksekRiskEsik,"YÜKSEK","KARŞILIKSIZ")))))</f>
        <v/>
      </c>
      <c r="J652" s="133" t="n"/>
      <c r="K652" s="133" t="n"/>
    </row>
    <row r="653" ht="18" customHeight="1" s="102">
      <c r="A653" s="132" t="n"/>
      <c r="B653" s="133" t="n"/>
      <c r="C653" s="133" t="n"/>
      <c r="D653" s="133" t="n"/>
      <c r="E653" s="133" t="n"/>
      <c r="F653" s="133" t="n"/>
      <c r="G653" s="133" t="n"/>
      <c r="H653" s="133" t="n"/>
      <c r="I653" s="135">
        <f>IF(OR($A653="",$G653=""),"",IF($H653="VAR","KARŞILIKSIZ",IF($G653&gt;=DusukRiskEsik,"DÜŞÜK",IF($G653&gt;=RiskliSkorEsik,"ORTA",IF($G653&gt;=YuksekRiskEsik,"YÜKSEK","KARŞILIKSIZ")))))</f>
        <v/>
      </c>
      <c r="J653" s="133" t="n"/>
      <c r="K653" s="133" t="n"/>
    </row>
    <row r="654" ht="18" customHeight="1" s="102">
      <c r="A654" s="132" t="n"/>
      <c r="B654" s="133" t="n"/>
      <c r="C654" s="133" t="n"/>
      <c r="D654" s="133" t="n"/>
      <c r="E654" s="133" t="n"/>
      <c r="F654" s="133" t="n"/>
      <c r="G654" s="133" t="n"/>
      <c r="H654" s="133" t="n"/>
      <c r="I654" s="135">
        <f>IF(OR($A654="",$G654=""),"",IF($H654="VAR","KARŞILIKSIZ",IF($G654&gt;=DusukRiskEsik,"DÜŞÜK",IF($G654&gt;=RiskliSkorEsik,"ORTA",IF($G654&gt;=YuksekRiskEsik,"YÜKSEK","KARŞILIKSIZ")))))</f>
        <v/>
      </c>
      <c r="J654" s="133" t="n"/>
      <c r="K654" s="133" t="n"/>
    </row>
    <row r="655" ht="18" customHeight="1" s="102">
      <c r="A655" s="132" t="n"/>
      <c r="B655" s="133" t="n"/>
      <c r="C655" s="133" t="n"/>
      <c r="D655" s="133" t="n"/>
      <c r="E655" s="133" t="n"/>
      <c r="F655" s="133" t="n"/>
      <c r="G655" s="133" t="n"/>
      <c r="H655" s="133" t="n"/>
      <c r="I655" s="135">
        <f>IF(OR($A655="",$G655=""),"",IF($H655="VAR","KARŞILIKSIZ",IF($G655&gt;=DusukRiskEsik,"DÜŞÜK",IF($G655&gt;=RiskliSkorEsik,"ORTA",IF($G655&gt;=YuksekRiskEsik,"YÜKSEK","KARŞILIKSIZ")))))</f>
        <v/>
      </c>
      <c r="J655" s="133" t="n"/>
      <c r="K655" s="133" t="n"/>
    </row>
    <row r="656" ht="18" customHeight="1" s="102">
      <c r="A656" s="132" t="n"/>
      <c r="B656" s="133" t="n"/>
      <c r="C656" s="133" t="n"/>
      <c r="D656" s="133" t="n"/>
      <c r="E656" s="133" t="n"/>
      <c r="F656" s="133" t="n"/>
      <c r="G656" s="133" t="n"/>
      <c r="H656" s="133" t="n"/>
      <c r="I656" s="135">
        <f>IF(OR($A656="",$G656=""),"",IF($H656="VAR","KARŞILIKSIZ",IF($G656&gt;=DusukRiskEsik,"DÜŞÜK",IF($G656&gt;=RiskliSkorEsik,"ORTA",IF($G656&gt;=YuksekRiskEsik,"YÜKSEK","KARŞILIKSIZ")))))</f>
        <v/>
      </c>
      <c r="J656" s="133" t="n"/>
      <c r="K656" s="133" t="n"/>
    </row>
    <row r="657" ht="18" customHeight="1" s="102">
      <c r="A657" s="132" t="n"/>
      <c r="B657" s="133" t="n"/>
      <c r="C657" s="133" t="n"/>
      <c r="D657" s="133" t="n"/>
      <c r="E657" s="133" t="n"/>
      <c r="F657" s="133" t="n"/>
      <c r="G657" s="133" t="n"/>
      <c r="H657" s="133" t="n"/>
      <c r="I657" s="135">
        <f>IF(OR($A657="",$G657=""),"",IF($H657="VAR","KARŞILIKSIZ",IF($G657&gt;=DusukRiskEsik,"DÜŞÜK",IF($G657&gt;=RiskliSkorEsik,"ORTA",IF($G657&gt;=YuksekRiskEsik,"YÜKSEK","KARŞILIKSIZ")))))</f>
        <v/>
      </c>
      <c r="J657" s="133" t="n"/>
      <c r="K657" s="133" t="n"/>
    </row>
    <row r="658" ht="18" customHeight="1" s="102">
      <c r="A658" s="132" t="n"/>
      <c r="B658" s="133" t="n"/>
      <c r="C658" s="133" t="n"/>
      <c r="D658" s="133" t="n"/>
      <c r="E658" s="133" t="n"/>
      <c r="F658" s="133" t="n"/>
      <c r="G658" s="133" t="n"/>
      <c r="H658" s="133" t="n"/>
      <c r="I658" s="135">
        <f>IF(OR($A658="",$G658=""),"",IF($H658="VAR","KARŞILIKSIZ",IF($G658&gt;=DusukRiskEsik,"DÜŞÜK",IF($G658&gt;=RiskliSkorEsik,"ORTA",IF($G658&gt;=YuksekRiskEsik,"YÜKSEK","KARŞILIKSIZ")))))</f>
        <v/>
      </c>
      <c r="J658" s="133" t="n"/>
      <c r="K658" s="133" t="n"/>
    </row>
    <row r="659" ht="18" customHeight="1" s="102">
      <c r="A659" s="132" t="n"/>
      <c r="B659" s="133" t="n"/>
      <c r="C659" s="133" t="n"/>
      <c r="D659" s="133" t="n"/>
      <c r="E659" s="133" t="n"/>
      <c r="F659" s="133" t="n"/>
      <c r="G659" s="133" t="n"/>
      <c r="H659" s="133" t="n"/>
      <c r="I659" s="135">
        <f>IF(OR($A659="",$G659=""),"",IF($H659="VAR","KARŞILIKSIZ",IF($G659&gt;=DusukRiskEsik,"DÜŞÜK",IF($G659&gt;=RiskliSkorEsik,"ORTA",IF($G659&gt;=YuksekRiskEsik,"YÜKSEK","KARŞILIKSIZ")))))</f>
        <v/>
      </c>
      <c r="J659" s="133" t="n"/>
      <c r="K659" s="133" t="n"/>
    </row>
    <row r="660" ht="18" customHeight="1" s="102">
      <c r="A660" s="132" t="n"/>
      <c r="B660" s="133" t="n"/>
      <c r="C660" s="133" t="n"/>
      <c r="D660" s="133" t="n"/>
      <c r="E660" s="133" t="n"/>
      <c r="F660" s="133" t="n"/>
      <c r="G660" s="133" t="n"/>
      <c r="H660" s="133" t="n"/>
      <c r="I660" s="135">
        <f>IF(OR($A660="",$G660=""),"",IF($H660="VAR","KARŞILIKSIZ",IF($G660&gt;=DusukRiskEsik,"DÜŞÜK",IF($G660&gt;=RiskliSkorEsik,"ORTA",IF($G660&gt;=YuksekRiskEsik,"YÜKSEK","KARŞILIKSIZ")))))</f>
        <v/>
      </c>
      <c r="J660" s="133" t="n"/>
      <c r="K660" s="133" t="n"/>
    </row>
    <row r="661" ht="18" customHeight="1" s="102">
      <c r="A661" s="132" t="n"/>
      <c r="B661" s="133" t="n"/>
      <c r="C661" s="133" t="n"/>
      <c r="D661" s="133" t="n"/>
      <c r="E661" s="133" t="n"/>
      <c r="F661" s="133" t="n"/>
      <c r="G661" s="133" t="n"/>
      <c r="H661" s="133" t="n"/>
      <c r="I661" s="135">
        <f>IF(OR($A661="",$G661=""),"",IF($H661="VAR","KARŞILIKSIZ",IF($G661&gt;=DusukRiskEsik,"DÜŞÜK",IF($G661&gt;=RiskliSkorEsik,"ORTA",IF($G661&gt;=YuksekRiskEsik,"YÜKSEK","KARŞILIKSIZ")))))</f>
        <v/>
      </c>
      <c r="J661" s="133" t="n"/>
      <c r="K661" s="133" t="n"/>
    </row>
    <row r="662" ht="18" customHeight="1" s="102">
      <c r="A662" s="132" t="n"/>
      <c r="B662" s="133" t="n"/>
      <c r="C662" s="133" t="n"/>
      <c r="D662" s="133" t="n"/>
      <c r="E662" s="133" t="n"/>
      <c r="F662" s="133" t="n"/>
      <c r="G662" s="133" t="n"/>
      <c r="H662" s="133" t="n"/>
      <c r="I662" s="135">
        <f>IF(OR($A662="",$G662=""),"",IF($H662="VAR","KARŞILIKSIZ",IF($G662&gt;=DusukRiskEsik,"DÜŞÜK",IF($G662&gt;=RiskliSkorEsik,"ORTA",IF($G662&gt;=YuksekRiskEsik,"YÜKSEK","KARŞILIKSIZ")))))</f>
        <v/>
      </c>
      <c r="J662" s="133" t="n"/>
      <c r="K662" s="133" t="n"/>
    </row>
    <row r="663" ht="18" customHeight="1" s="102">
      <c r="A663" s="132" t="n"/>
      <c r="B663" s="133" t="n"/>
      <c r="C663" s="133" t="n"/>
      <c r="D663" s="133" t="n"/>
      <c r="E663" s="133" t="n"/>
      <c r="F663" s="133" t="n"/>
      <c r="G663" s="133" t="n"/>
      <c r="H663" s="133" t="n"/>
      <c r="I663" s="135">
        <f>IF(OR($A663="",$G663=""),"",IF($H663="VAR","KARŞILIKSIZ",IF($G663&gt;=DusukRiskEsik,"DÜŞÜK",IF($G663&gt;=RiskliSkorEsik,"ORTA",IF($G663&gt;=YuksekRiskEsik,"YÜKSEK","KARŞILIKSIZ")))))</f>
        <v/>
      </c>
      <c r="J663" s="133" t="n"/>
      <c r="K663" s="133" t="n"/>
    </row>
    <row r="664" ht="18" customHeight="1" s="102">
      <c r="A664" s="132" t="n"/>
      <c r="B664" s="133" t="n"/>
      <c r="C664" s="133" t="n"/>
      <c r="D664" s="133" t="n"/>
      <c r="E664" s="133" t="n"/>
      <c r="F664" s="133" t="n"/>
      <c r="G664" s="133" t="n"/>
      <c r="H664" s="133" t="n"/>
      <c r="I664" s="135">
        <f>IF(OR($A664="",$G664=""),"",IF($H664="VAR","KARŞILIKSIZ",IF($G664&gt;=DusukRiskEsik,"DÜŞÜK",IF($G664&gt;=RiskliSkorEsik,"ORTA",IF($G664&gt;=YuksekRiskEsik,"YÜKSEK","KARŞILIKSIZ")))))</f>
        <v/>
      </c>
      <c r="J664" s="133" t="n"/>
      <c r="K664" s="133" t="n"/>
    </row>
    <row r="665" ht="18" customHeight="1" s="102">
      <c r="A665" s="132" t="n"/>
      <c r="B665" s="133" t="n"/>
      <c r="C665" s="133" t="n"/>
      <c r="D665" s="133" t="n"/>
      <c r="E665" s="133" t="n"/>
      <c r="F665" s="133" t="n"/>
      <c r="G665" s="133" t="n"/>
      <c r="H665" s="133" t="n"/>
      <c r="I665" s="135">
        <f>IF(OR($A665="",$G665=""),"",IF($H665="VAR","KARŞILIKSIZ",IF($G665&gt;=DusukRiskEsik,"DÜŞÜK",IF($G665&gt;=RiskliSkorEsik,"ORTA",IF($G665&gt;=YuksekRiskEsik,"YÜKSEK","KARŞILIKSIZ")))))</f>
        <v/>
      </c>
      <c r="J665" s="133" t="n"/>
      <c r="K665" s="133" t="n"/>
    </row>
    <row r="666" ht="18" customHeight="1" s="102">
      <c r="A666" s="132" t="n"/>
      <c r="B666" s="133" t="n"/>
      <c r="C666" s="133" t="n"/>
      <c r="D666" s="133" t="n"/>
      <c r="E666" s="133" t="n"/>
      <c r="F666" s="133" t="n"/>
      <c r="G666" s="133" t="n"/>
      <c r="H666" s="133" t="n"/>
      <c r="I666" s="135">
        <f>IF(OR($A666="",$G666=""),"",IF($H666="VAR","KARŞILIKSIZ",IF($G666&gt;=DusukRiskEsik,"DÜŞÜK",IF($G666&gt;=RiskliSkorEsik,"ORTA",IF($G666&gt;=YuksekRiskEsik,"YÜKSEK","KARŞILIKSIZ")))))</f>
        <v/>
      </c>
      <c r="J666" s="133" t="n"/>
      <c r="K666" s="133" t="n"/>
    </row>
    <row r="667" ht="18" customHeight="1" s="102">
      <c r="A667" s="132" t="n"/>
      <c r="B667" s="133" t="n"/>
      <c r="C667" s="133" t="n"/>
      <c r="D667" s="133" t="n"/>
      <c r="E667" s="133" t="n"/>
      <c r="F667" s="133" t="n"/>
      <c r="G667" s="133" t="n"/>
      <c r="H667" s="133" t="n"/>
      <c r="I667" s="135">
        <f>IF(OR($A667="",$G667=""),"",IF($H667="VAR","KARŞILIKSIZ",IF($G667&gt;=DusukRiskEsik,"DÜŞÜK",IF($G667&gt;=RiskliSkorEsik,"ORTA",IF($G667&gt;=YuksekRiskEsik,"YÜKSEK","KARŞILIKSIZ")))))</f>
        <v/>
      </c>
      <c r="J667" s="133" t="n"/>
      <c r="K667" s="133" t="n"/>
    </row>
    <row r="668" ht="18" customHeight="1" s="102">
      <c r="A668" s="132" t="n"/>
      <c r="B668" s="133" t="n"/>
      <c r="C668" s="133" t="n"/>
      <c r="D668" s="133" t="n"/>
      <c r="E668" s="133" t="n"/>
      <c r="F668" s="133" t="n"/>
      <c r="G668" s="133" t="n"/>
      <c r="H668" s="133" t="n"/>
      <c r="I668" s="135">
        <f>IF(OR($A668="",$G668=""),"",IF($H668="VAR","KARŞILIKSIZ",IF($G668&gt;=DusukRiskEsik,"DÜŞÜK",IF($G668&gt;=RiskliSkorEsik,"ORTA",IF($G668&gt;=YuksekRiskEsik,"YÜKSEK","KARŞILIKSIZ")))))</f>
        <v/>
      </c>
      <c r="J668" s="133" t="n"/>
      <c r="K668" s="133" t="n"/>
    </row>
    <row r="669" ht="18" customHeight="1" s="102">
      <c r="A669" s="132" t="n"/>
      <c r="B669" s="133" t="n"/>
      <c r="C669" s="133" t="n"/>
      <c r="D669" s="133" t="n"/>
      <c r="E669" s="133" t="n"/>
      <c r="F669" s="133" t="n"/>
      <c r="G669" s="133" t="n"/>
      <c r="H669" s="133" t="n"/>
      <c r="I669" s="135">
        <f>IF(OR($A669="",$G669=""),"",IF($H669="VAR","KARŞILIKSIZ",IF($G669&gt;=DusukRiskEsik,"DÜŞÜK",IF($G669&gt;=RiskliSkorEsik,"ORTA",IF($G669&gt;=YuksekRiskEsik,"YÜKSEK","KARŞILIKSIZ")))))</f>
        <v/>
      </c>
      <c r="J669" s="133" t="n"/>
      <c r="K669" s="133" t="n"/>
    </row>
    <row r="670" ht="18" customHeight="1" s="102">
      <c r="A670" s="132" t="n"/>
      <c r="B670" s="133" t="n"/>
      <c r="C670" s="133" t="n"/>
      <c r="D670" s="133" t="n"/>
      <c r="E670" s="133" t="n"/>
      <c r="F670" s="133" t="n"/>
      <c r="G670" s="133" t="n"/>
      <c r="H670" s="133" t="n"/>
      <c r="I670" s="135">
        <f>IF(OR($A670="",$G670=""),"",IF($H670="VAR","KARŞILIKSIZ",IF($G670&gt;=DusukRiskEsik,"DÜŞÜK",IF($G670&gt;=RiskliSkorEsik,"ORTA",IF($G670&gt;=YuksekRiskEsik,"YÜKSEK","KARŞILIKSIZ")))))</f>
        <v/>
      </c>
      <c r="J670" s="133" t="n"/>
      <c r="K670" s="133" t="n"/>
    </row>
    <row r="671" ht="18" customHeight="1" s="102">
      <c r="A671" s="132" t="n"/>
      <c r="B671" s="133" t="n"/>
      <c r="C671" s="133" t="n"/>
      <c r="D671" s="133" t="n"/>
      <c r="E671" s="133" t="n"/>
      <c r="F671" s="133" t="n"/>
      <c r="G671" s="133" t="n"/>
      <c r="H671" s="133" t="n"/>
      <c r="I671" s="135">
        <f>IF(OR($A671="",$G671=""),"",IF($H671="VAR","KARŞILIKSIZ",IF($G671&gt;=DusukRiskEsik,"DÜŞÜK",IF($G671&gt;=RiskliSkorEsik,"ORTA",IF($G671&gt;=YuksekRiskEsik,"YÜKSEK","KARŞILIKSIZ")))))</f>
        <v/>
      </c>
      <c r="J671" s="133" t="n"/>
      <c r="K671" s="133" t="n"/>
    </row>
    <row r="672" ht="18" customHeight="1" s="102">
      <c r="A672" s="132" t="n"/>
      <c r="B672" s="133" t="n"/>
      <c r="C672" s="133" t="n"/>
      <c r="D672" s="133" t="n"/>
      <c r="E672" s="133" t="n"/>
      <c r="F672" s="133" t="n"/>
      <c r="G672" s="133" t="n"/>
      <c r="H672" s="133" t="n"/>
      <c r="I672" s="135">
        <f>IF(OR($A672="",$G672=""),"",IF($H672="VAR","KARŞILIKSIZ",IF($G672&gt;=DusukRiskEsik,"DÜŞÜK",IF($G672&gt;=RiskliSkorEsik,"ORTA",IF($G672&gt;=YuksekRiskEsik,"YÜKSEK","KARŞILIKSIZ")))))</f>
        <v/>
      </c>
      <c r="J672" s="133" t="n"/>
      <c r="K672" s="133" t="n"/>
    </row>
    <row r="673" ht="18" customHeight="1" s="102">
      <c r="A673" s="132" t="n"/>
      <c r="B673" s="133" t="n"/>
      <c r="C673" s="133" t="n"/>
      <c r="D673" s="133" t="n"/>
      <c r="E673" s="133" t="n"/>
      <c r="F673" s="133" t="n"/>
      <c r="G673" s="133" t="n"/>
      <c r="H673" s="133" t="n"/>
      <c r="I673" s="135">
        <f>IF(OR($A673="",$G673=""),"",IF($H673="VAR","KARŞILIKSIZ",IF($G673&gt;=DusukRiskEsik,"DÜŞÜK",IF($G673&gt;=RiskliSkorEsik,"ORTA",IF($G673&gt;=YuksekRiskEsik,"YÜKSEK","KARŞILIKSIZ")))))</f>
        <v/>
      </c>
      <c r="J673" s="133" t="n"/>
      <c r="K673" s="133" t="n"/>
    </row>
    <row r="674" ht="18" customHeight="1" s="102">
      <c r="A674" s="132" t="n"/>
      <c r="B674" s="133" t="n"/>
      <c r="C674" s="133" t="n"/>
      <c r="D674" s="133" t="n"/>
      <c r="E674" s="133" t="n"/>
      <c r="F674" s="133" t="n"/>
      <c r="G674" s="133" t="n"/>
      <c r="H674" s="133" t="n"/>
      <c r="I674" s="135">
        <f>IF(OR($A674="",$G674=""),"",IF($H674="VAR","KARŞILIKSIZ",IF($G674&gt;=DusukRiskEsik,"DÜŞÜK",IF($G674&gt;=RiskliSkorEsik,"ORTA",IF($G674&gt;=YuksekRiskEsik,"YÜKSEK","KARŞILIKSIZ")))))</f>
        <v/>
      </c>
      <c r="J674" s="133" t="n"/>
      <c r="K674" s="133" t="n"/>
    </row>
    <row r="675" ht="18" customHeight="1" s="102">
      <c r="A675" s="132" t="n"/>
      <c r="B675" s="133" t="n"/>
      <c r="C675" s="133" t="n"/>
      <c r="D675" s="133" t="n"/>
      <c r="E675" s="133" t="n"/>
      <c r="F675" s="133" t="n"/>
      <c r="G675" s="133" t="n"/>
      <c r="H675" s="133" t="n"/>
      <c r="I675" s="135">
        <f>IF(OR($A675="",$G675=""),"",IF($H675="VAR","KARŞILIKSIZ",IF($G675&gt;=DusukRiskEsik,"DÜŞÜK",IF($G675&gt;=RiskliSkorEsik,"ORTA",IF($G675&gt;=YuksekRiskEsik,"YÜKSEK","KARŞILIKSIZ")))))</f>
        <v/>
      </c>
      <c r="J675" s="133" t="n"/>
      <c r="K675" s="133" t="n"/>
    </row>
    <row r="676" ht="18" customHeight="1" s="102">
      <c r="A676" s="132" t="n"/>
      <c r="B676" s="133" t="n"/>
      <c r="C676" s="133" t="n"/>
      <c r="D676" s="133" t="n"/>
      <c r="E676" s="133" t="n"/>
      <c r="F676" s="133" t="n"/>
      <c r="G676" s="133" t="n"/>
      <c r="H676" s="133" t="n"/>
      <c r="I676" s="135">
        <f>IF(OR($A676="",$G676=""),"",IF($H676="VAR","KARŞILIKSIZ",IF($G676&gt;=DusukRiskEsik,"DÜŞÜK",IF($G676&gt;=RiskliSkorEsik,"ORTA",IF($G676&gt;=YuksekRiskEsik,"YÜKSEK","KARŞILIKSIZ")))))</f>
        <v/>
      </c>
      <c r="J676" s="133" t="n"/>
      <c r="K676" s="133" t="n"/>
    </row>
    <row r="677" ht="18" customHeight="1" s="102">
      <c r="A677" s="132" t="n"/>
      <c r="B677" s="133" t="n"/>
      <c r="C677" s="133" t="n"/>
      <c r="D677" s="133" t="n"/>
      <c r="E677" s="133" t="n"/>
      <c r="F677" s="133" t="n"/>
      <c r="G677" s="133" t="n"/>
      <c r="H677" s="133" t="n"/>
      <c r="I677" s="135">
        <f>IF(OR($A677="",$G677=""),"",IF($H677="VAR","KARŞILIKSIZ",IF($G677&gt;=DusukRiskEsik,"DÜŞÜK",IF($G677&gt;=RiskliSkorEsik,"ORTA",IF($G677&gt;=YuksekRiskEsik,"YÜKSEK","KARŞILIKSIZ")))))</f>
        <v/>
      </c>
      <c r="J677" s="133" t="n"/>
      <c r="K677" s="133" t="n"/>
    </row>
    <row r="678" ht="18" customHeight="1" s="102">
      <c r="A678" s="132" t="n"/>
      <c r="B678" s="133" t="n"/>
      <c r="C678" s="133" t="n"/>
      <c r="D678" s="133" t="n"/>
      <c r="E678" s="133" t="n"/>
      <c r="F678" s="133" t="n"/>
      <c r="G678" s="133" t="n"/>
      <c r="H678" s="133" t="n"/>
      <c r="I678" s="135">
        <f>IF(OR($A678="",$G678=""),"",IF($H678="VAR","KARŞILIKSIZ",IF($G678&gt;=DusukRiskEsik,"DÜŞÜK",IF($G678&gt;=RiskliSkorEsik,"ORTA",IF($G678&gt;=YuksekRiskEsik,"YÜKSEK","KARŞILIKSIZ")))))</f>
        <v/>
      </c>
      <c r="J678" s="133" t="n"/>
      <c r="K678" s="133" t="n"/>
    </row>
    <row r="679" ht="18" customHeight="1" s="102">
      <c r="A679" s="132" t="n"/>
      <c r="B679" s="133" t="n"/>
      <c r="C679" s="133" t="n"/>
      <c r="D679" s="133" t="n"/>
      <c r="E679" s="133" t="n"/>
      <c r="F679" s="133" t="n"/>
      <c r="G679" s="133" t="n"/>
      <c r="H679" s="133" t="n"/>
      <c r="I679" s="135">
        <f>IF(OR($A679="",$G679=""),"",IF($H679="VAR","KARŞILIKSIZ",IF($G679&gt;=DusukRiskEsik,"DÜŞÜK",IF($G679&gt;=RiskliSkorEsik,"ORTA",IF($G679&gt;=YuksekRiskEsik,"YÜKSEK","KARŞILIKSIZ")))))</f>
        <v/>
      </c>
      <c r="J679" s="133" t="n"/>
      <c r="K679" s="133" t="n"/>
    </row>
    <row r="680" ht="18" customHeight="1" s="102">
      <c r="A680" s="132" t="n"/>
      <c r="B680" s="133" t="n"/>
      <c r="C680" s="133" t="n"/>
      <c r="D680" s="133" t="n"/>
      <c r="E680" s="133" t="n"/>
      <c r="F680" s="133" t="n"/>
      <c r="G680" s="133" t="n"/>
      <c r="H680" s="133" t="n"/>
      <c r="I680" s="135">
        <f>IF(OR($A680="",$G680=""),"",IF($H680="VAR","KARŞILIKSIZ",IF($G680&gt;=DusukRiskEsik,"DÜŞÜK",IF($G680&gt;=RiskliSkorEsik,"ORTA",IF($G680&gt;=YuksekRiskEsik,"YÜKSEK","KARŞILIKSIZ")))))</f>
        <v/>
      </c>
      <c r="J680" s="133" t="n"/>
      <c r="K680" s="133" t="n"/>
    </row>
    <row r="681" ht="18" customHeight="1" s="102">
      <c r="A681" s="132" t="n"/>
      <c r="B681" s="133" t="n"/>
      <c r="C681" s="133" t="n"/>
      <c r="D681" s="133" t="n"/>
      <c r="E681" s="133" t="n"/>
      <c r="F681" s="133" t="n"/>
      <c r="G681" s="133" t="n"/>
      <c r="H681" s="133" t="n"/>
      <c r="I681" s="135">
        <f>IF(OR($A681="",$G681=""),"",IF($H681="VAR","KARŞILIKSIZ",IF($G681&gt;=DusukRiskEsik,"DÜŞÜK",IF($G681&gt;=RiskliSkorEsik,"ORTA",IF($G681&gt;=YuksekRiskEsik,"YÜKSEK","KARŞILIKSIZ")))))</f>
        <v/>
      </c>
      <c r="J681" s="133" t="n"/>
      <c r="K681" s="133" t="n"/>
    </row>
    <row r="682" ht="18" customHeight="1" s="102">
      <c r="A682" s="132" t="n"/>
      <c r="B682" s="133" t="n"/>
      <c r="C682" s="133" t="n"/>
      <c r="D682" s="133" t="n"/>
      <c r="E682" s="133" t="n"/>
      <c r="F682" s="133" t="n"/>
      <c r="G682" s="133" t="n"/>
      <c r="H682" s="133" t="n"/>
      <c r="I682" s="135">
        <f>IF(OR($A682="",$G682=""),"",IF($H682="VAR","KARŞILIKSIZ",IF($G682&gt;=DusukRiskEsik,"DÜŞÜK",IF($G682&gt;=RiskliSkorEsik,"ORTA",IF($G682&gt;=YuksekRiskEsik,"YÜKSEK","KARŞILIKSIZ")))))</f>
        <v/>
      </c>
      <c r="J682" s="133" t="n"/>
      <c r="K682" s="133" t="n"/>
    </row>
    <row r="683" ht="18" customHeight="1" s="102">
      <c r="A683" s="132" t="n"/>
      <c r="B683" s="133" t="n"/>
      <c r="C683" s="133" t="n"/>
      <c r="D683" s="133" t="n"/>
      <c r="E683" s="133" t="n"/>
      <c r="F683" s="133" t="n"/>
      <c r="G683" s="133" t="n"/>
      <c r="H683" s="133" t="n"/>
      <c r="I683" s="135">
        <f>IF(OR($A683="",$G683=""),"",IF($H683="VAR","KARŞILIKSIZ",IF($G683&gt;=DusukRiskEsik,"DÜŞÜK",IF($G683&gt;=RiskliSkorEsik,"ORTA",IF($G683&gt;=YuksekRiskEsik,"YÜKSEK","KARŞILIKSIZ")))))</f>
        <v/>
      </c>
      <c r="J683" s="133" t="n"/>
      <c r="K683" s="133" t="n"/>
    </row>
    <row r="684" ht="18" customHeight="1" s="102">
      <c r="A684" s="132" t="n"/>
      <c r="B684" s="133" t="n"/>
      <c r="C684" s="133" t="n"/>
      <c r="D684" s="133" t="n"/>
      <c r="E684" s="133" t="n"/>
      <c r="F684" s="133" t="n"/>
      <c r="G684" s="133" t="n"/>
      <c r="H684" s="133" t="n"/>
      <c r="I684" s="135">
        <f>IF(OR($A684="",$G684=""),"",IF($H684="VAR","KARŞILIKSIZ",IF($G684&gt;=DusukRiskEsik,"DÜŞÜK",IF($G684&gt;=RiskliSkorEsik,"ORTA",IF($G684&gt;=YuksekRiskEsik,"YÜKSEK","KARŞILIKSIZ")))))</f>
        <v/>
      </c>
      <c r="J684" s="133" t="n"/>
      <c r="K684" s="133" t="n"/>
    </row>
    <row r="685" ht="18" customHeight="1" s="102">
      <c r="A685" s="132" t="n"/>
      <c r="B685" s="133" t="n"/>
      <c r="C685" s="133" t="n"/>
      <c r="D685" s="133" t="n"/>
      <c r="E685" s="133" t="n"/>
      <c r="F685" s="133" t="n"/>
      <c r="G685" s="133" t="n"/>
      <c r="H685" s="133" t="n"/>
      <c r="I685" s="135">
        <f>IF(OR($A685="",$G685=""),"",IF($H685="VAR","KARŞILIKSIZ",IF($G685&gt;=DusukRiskEsik,"DÜŞÜK",IF($G685&gt;=RiskliSkorEsik,"ORTA",IF($G685&gt;=YuksekRiskEsik,"YÜKSEK","KARŞILIKSIZ")))))</f>
        <v/>
      </c>
      <c r="J685" s="133" t="n"/>
      <c r="K685" s="133" t="n"/>
    </row>
    <row r="686" ht="18" customHeight="1" s="102">
      <c r="A686" s="132" t="n"/>
      <c r="B686" s="133" t="n"/>
      <c r="C686" s="133" t="n"/>
      <c r="D686" s="133" t="n"/>
      <c r="E686" s="133" t="n"/>
      <c r="F686" s="133" t="n"/>
      <c r="G686" s="133" t="n"/>
      <c r="H686" s="133" t="n"/>
      <c r="I686" s="135">
        <f>IF(OR($A686="",$G686=""),"",IF($H686="VAR","KARŞILIKSIZ",IF($G686&gt;=DusukRiskEsik,"DÜŞÜK",IF($G686&gt;=RiskliSkorEsik,"ORTA",IF($G686&gt;=YuksekRiskEsik,"YÜKSEK","KARŞILIKSIZ")))))</f>
        <v/>
      </c>
      <c r="J686" s="133" t="n"/>
      <c r="K686" s="133" t="n"/>
    </row>
    <row r="687" ht="18" customHeight="1" s="102">
      <c r="A687" s="132" t="n"/>
      <c r="B687" s="133" t="n"/>
      <c r="C687" s="133" t="n"/>
      <c r="D687" s="133" t="n"/>
      <c r="E687" s="133" t="n"/>
      <c r="F687" s="133" t="n"/>
      <c r="G687" s="133" t="n"/>
      <c r="H687" s="133" t="n"/>
      <c r="I687" s="135">
        <f>IF(OR($A687="",$G687=""),"",IF($H687="VAR","KARŞILIKSIZ",IF($G687&gt;=DusukRiskEsik,"DÜŞÜK",IF($G687&gt;=RiskliSkorEsik,"ORTA",IF($G687&gt;=YuksekRiskEsik,"YÜKSEK","KARŞILIKSIZ")))))</f>
        <v/>
      </c>
      <c r="J687" s="133" t="n"/>
      <c r="K687" s="133" t="n"/>
    </row>
    <row r="688" ht="18" customHeight="1" s="102">
      <c r="A688" s="132" t="n"/>
      <c r="B688" s="133" t="n"/>
      <c r="C688" s="133" t="n"/>
      <c r="D688" s="133" t="n"/>
      <c r="E688" s="133" t="n"/>
      <c r="F688" s="133" t="n"/>
      <c r="G688" s="133" t="n"/>
      <c r="H688" s="133" t="n"/>
      <c r="I688" s="135">
        <f>IF(OR($A688="",$G688=""),"",IF($H688="VAR","KARŞILIKSIZ",IF($G688&gt;=DusukRiskEsik,"DÜŞÜK",IF($G688&gt;=RiskliSkorEsik,"ORTA",IF($G688&gt;=YuksekRiskEsik,"YÜKSEK","KARŞILIKSIZ")))))</f>
        <v/>
      </c>
      <c r="J688" s="133" t="n"/>
      <c r="K688" s="133" t="n"/>
    </row>
    <row r="689" ht="18" customHeight="1" s="102">
      <c r="A689" s="132" t="n"/>
      <c r="B689" s="133" t="n"/>
      <c r="C689" s="133" t="n"/>
      <c r="D689" s="133" t="n"/>
      <c r="E689" s="133" t="n"/>
      <c r="F689" s="133" t="n"/>
      <c r="G689" s="133" t="n"/>
      <c r="H689" s="133" t="n"/>
      <c r="I689" s="135">
        <f>IF(OR($A689="",$G689=""),"",IF($H689="VAR","KARŞILIKSIZ",IF($G689&gt;=DusukRiskEsik,"DÜŞÜK",IF($G689&gt;=RiskliSkorEsik,"ORTA",IF($G689&gt;=YuksekRiskEsik,"YÜKSEK","KARŞILIKSIZ")))))</f>
        <v/>
      </c>
      <c r="J689" s="133" t="n"/>
      <c r="K689" s="133" t="n"/>
    </row>
    <row r="690" ht="18" customHeight="1" s="102">
      <c r="A690" s="132" t="n"/>
      <c r="B690" s="133" t="n"/>
      <c r="C690" s="133" t="n"/>
      <c r="D690" s="133" t="n"/>
      <c r="E690" s="133" t="n"/>
      <c r="F690" s="133" t="n"/>
      <c r="G690" s="133" t="n"/>
      <c r="H690" s="133" t="n"/>
      <c r="I690" s="135">
        <f>IF(OR($A690="",$G690=""),"",IF($H690="VAR","KARŞILIKSIZ",IF($G690&gt;=DusukRiskEsik,"DÜŞÜK",IF($G690&gt;=RiskliSkorEsik,"ORTA",IF($G690&gt;=YuksekRiskEsik,"YÜKSEK","KARŞILIKSIZ")))))</f>
        <v/>
      </c>
      <c r="J690" s="133" t="n"/>
      <c r="K690" s="133" t="n"/>
    </row>
    <row r="691" ht="18" customHeight="1" s="102">
      <c r="A691" s="132" t="n"/>
      <c r="B691" s="133" t="n"/>
      <c r="C691" s="133" t="n"/>
      <c r="D691" s="133" t="n"/>
      <c r="E691" s="133" t="n"/>
      <c r="F691" s="133" t="n"/>
      <c r="G691" s="133" t="n"/>
      <c r="H691" s="133" t="n"/>
      <c r="I691" s="135">
        <f>IF(OR($A691="",$G691=""),"",IF($H691="VAR","KARŞILIKSIZ",IF($G691&gt;=DusukRiskEsik,"DÜŞÜK",IF($G691&gt;=RiskliSkorEsik,"ORTA",IF($G691&gt;=YuksekRiskEsik,"YÜKSEK","KARŞILIKSIZ")))))</f>
        <v/>
      </c>
      <c r="J691" s="133" t="n"/>
      <c r="K691" s="133" t="n"/>
    </row>
    <row r="692" ht="18" customHeight="1" s="102">
      <c r="A692" s="132" t="n"/>
      <c r="B692" s="133" t="n"/>
      <c r="C692" s="133" t="n"/>
      <c r="D692" s="133" t="n"/>
      <c r="E692" s="133" t="n"/>
      <c r="F692" s="133" t="n"/>
      <c r="G692" s="133" t="n"/>
      <c r="H692" s="133" t="n"/>
      <c r="I692" s="135">
        <f>IF(OR($A692="",$G692=""),"",IF($H692="VAR","KARŞILIKSIZ",IF($G692&gt;=DusukRiskEsik,"DÜŞÜK",IF($G692&gt;=RiskliSkorEsik,"ORTA",IF($G692&gt;=YuksekRiskEsik,"YÜKSEK","KARŞILIKSIZ")))))</f>
        <v/>
      </c>
      <c r="J692" s="133" t="n"/>
      <c r="K692" s="133" t="n"/>
    </row>
    <row r="693" ht="18" customHeight="1" s="102">
      <c r="A693" s="132" t="n"/>
      <c r="B693" s="133" t="n"/>
      <c r="C693" s="133" t="n"/>
      <c r="D693" s="133" t="n"/>
      <c r="E693" s="133" t="n"/>
      <c r="F693" s="133" t="n"/>
      <c r="G693" s="133" t="n"/>
      <c r="H693" s="133" t="n"/>
      <c r="I693" s="135">
        <f>IF(OR($A693="",$G693=""),"",IF($H693="VAR","KARŞILIKSIZ",IF($G693&gt;=DusukRiskEsik,"DÜŞÜK",IF($G693&gt;=RiskliSkorEsik,"ORTA",IF($G693&gt;=YuksekRiskEsik,"YÜKSEK","KARŞILIKSIZ")))))</f>
        <v/>
      </c>
      <c r="J693" s="133" t="n"/>
      <c r="K693" s="133" t="n"/>
    </row>
    <row r="694" ht="18" customHeight="1" s="102">
      <c r="A694" s="132" t="n"/>
      <c r="B694" s="133" t="n"/>
      <c r="C694" s="133" t="n"/>
      <c r="D694" s="133" t="n"/>
      <c r="E694" s="133" t="n"/>
      <c r="F694" s="133" t="n"/>
      <c r="G694" s="133" t="n"/>
      <c r="H694" s="133" t="n"/>
      <c r="I694" s="135">
        <f>IF(OR($A694="",$G694=""),"",IF($H694="VAR","KARŞILIKSIZ",IF($G694&gt;=DusukRiskEsik,"DÜŞÜK",IF($G694&gt;=RiskliSkorEsik,"ORTA",IF($G694&gt;=YuksekRiskEsik,"YÜKSEK","KARŞILIKSIZ")))))</f>
        <v/>
      </c>
      <c r="J694" s="133" t="n"/>
      <c r="K694" s="133" t="n"/>
    </row>
    <row r="695" ht="18" customHeight="1" s="102">
      <c r="A695" s="132" t="n"/>
      <c r="B695" s="133" t="n"/>
      <c r="C695" s="133" t="n"/>
      <c r="D695" s="133" t="n"/>
      <c r="E695" s="133" t="n"/>
      <c r="F695" s="133" t="n"/>
      <c r="G695" s="133" t="n"/>
      <c r="H695" s="133" t="n"/>
      <c r="I695" s="135">
        <f>IF(OR($A695="",$G695=""),"",IF($H695="VAR","KARŞILIKSIZ",IF($G695&gt;=DusukRiskEsik,"DÜŞÜK",IF($G695&gt;=RiskliSkorEsik,"ORTA",IF($G695&gt;=YuksekRiskEsik,"YÜKSEK","KARŞILIKSIZ")))))</f>
        <v/>
      </c>
      <c r="J695" s="133" t="n"/>
      <c r="K695" s="133" t="n"/>
    </row>
    <row r="696" ht="18" customHeight="1" s="102">
      <c r="A696" s="132" t="n"/>
      <c r="B696" s="133" t="n"/>
      <c r="C696" s="133" t="n"/>
      <c r="D696" s="133" t="n"/>
      <c r="E696" s="133" t="n"/>
      <c r="F696" s="133" t="n"/>
      <c r="G696" s="133" t="n"/>
      <c r="H696" s="133" t="n"/>
      <c r="I696" s="135">
        <f>IF(OR($A696="",$G696=""),"",IF($H696="VAR","KARŞILIKSIZ",IF($G696&gt;=DusukRiskEsik,"DÜŞÜK",IF($G696&gt;=RiskliSkorEsik,"ORTA",IF($G696&gt;=YuksekRiskEsik,"YÜKSEK","KARŞILIKSIZ")))))</f>
        <v/>
      </c>
      <c r="J696" s="133" t="n"/>
      <c r="K696" s="133" t="n"/>
    </row>
    <row r="697" ht="18" customHeight="1" s="102">
      <c r="A697" s="132" t="n"/>
      <c r="B697" s="133" t="n"/>
      <c r="C697" s="133" t="n"/>
      <c r="D697" s="133" t="n"/>
      <c r="E697" s="133" t="n"/>
      <c r="F697" s="133" t="n"/>
      <c r="G697" s="133" t="n"/>
      <c r="H697" s="133" t="n"/>
      <c r="I697" s="135">
        <f>IF(OR($A697="",$G697=""),"",IF($H697="VAR","KARŞILIKSIZ",IF($G697&gt;=DusukRiskEsik,"DÜŞÜK",IF($G697&gt;=RiskliSkorEsik,"ORTA",IF($G697&gt;=YuksekRiskEsik,"YÜKSEK","KARŞILIKSIZ")))))</f>
        <v/>
      </c>
      <c r="J697" s="133" t="n"/>
      <c r="K697" s="133" t="n"/>
    </row>
    <row r="698" ht="18" customHeight="1" s="102">
      <c r="A698" s="132" t="n"/>
      <c r="B698" s="133" t="n"/>
      <c r="C698" s="133" t="n"/>
      <c r="D698" s="133" t="n"/>
      <c r="E698" s="133" t="n"/>
      <c r="F698" s="133" t="n"/>
      <c r="G698" s="133" t="n"/>
      <c r="H698" s="133" t="n"/>
      <c r="I698" s="135">
        <f>IF(OR($A698="",$G698=""),"",IF($H698="VAR","KARŞILIKSIZ",IF($G698&gt;=DusukRiskEsik,"DÜŞÜK",IF($G698&gt;=RiskliSkorEsik,"ORTA",IF($G698&gt;=YuksekRiskEsik,"YÜKSEK","KARŞILIKSIZ")))))</f>
        <v/>
      </c>
      <c r="J698" s="133" t="n"/>
      <c r="K698" s="133" t="n"/>
    </row>
    <row r="699" ht="18" customHeight="1" s="102">
      <c r="A699" s="132" t="n"/>
      <c r="B699" s="133" t="n"/>
      <c r="C699" s="133" t="n"/>
      <c r="D699" s="133" t="n"/>
      <c r="E699" s="133" t="n"/>
      <c r="F699" s="133" t="n"/>
      <c r="G699" s="133" t="n"/>
      <c r="H699" s="133" t="n"/>
      <c r="I699" s="135">
        <f>IF(OR($A699="",$G699=""),"",IF($H699="VAR","KARŞILIKSIZ",IF($G699&gt;=DusukRiskEsik,"DÜŞÜK",IF($G699&gt;=RiskliSkorEsik,"ORTA",IF($G699&gt;=YuksekRiskEsik,"YÜKSEK","KARŞILIKSIZ")))))</f>
        <v/>
      </c>
      <c r="J699" s="133" t="n"/>
      <c r="K699" s="133" t="n"/>
    </row>
    <row r="700" ht="18" customHeight="1" s="102">
      <c r="A700" s="132" t="n"/>
      <c r="B700" s="133" t="n"/>
      <c r="C700" s="133" t="n"/>
      <c r="D700" s="133" t="n"/>
      <c r="E700" s="133" t="n"/>
      <c r="F700" s="133" t="n"/>
      <c r="G700" s="133" t="n"/>
      <c r="H700" s="133" t="n"/>
      <c r="I700" s="135">
        <f>IF(OR($A700="",$G700=""),"",IF($H700="VAR","KARŞILIKSIZ",IF($G700&gt;=DusukRiskEsik,"DÜŞÜK",IF($G700&gt;=RiskliSkorEsik,"ORTA",IF($G700&gt;=YuksekRiskEsik,"YÜKSEK","KARŞILIKSIZ")))))</f>
        <v/>
      </c>
      <c r="J700" s="133" t="n"/>
      <c r="K700" s="133" t="n"/>
    </row>
    <row r="701" ht="18" customHeight="1" s="102">
      <c r="A701" s="132" t="n"/>
      <c r="B701" s="133" t="n"/>
      <c r="C701" s="133" t="n"/>
      <c r="D701" s="133" t="n"/>
      <c r="E701" s="133" t="n"/>
      <c r="F701" s="133" t="n"/>
      <c r="G701" s="133" t="n"/>
      <c r="H701" s="133" t="n"/>
      <c r="I701" s="135">
        <f>IF(OR($A701="",$G701=""),"",IF($H701="VAR","KARŞILIKSIZ",IF($G701&gt;=DusukRiskEsik,"DÜŞÜK",IF($G701&gt;=RiskliSkorEsik,"ORTA",IF($G701&gt;=YuksekRiskEsik,"YÜKSEK","KARŞILIKSIZ")))))</f>
        <v/>
      </c>
      <c r="J701" s="133" t="n"/>
      <c r="K701" s="133" t="n"/>
    </row>
    <row r="702" ht="18" customHeight="1" s="102">
      <c r="A702" s="132" t="n"/>
      <c r="B702" s="133" t="n"/>
      <c r="C702" s="133" t="n"/>
      <c r="D702" s="133" t="n"/>
      <c r="E702" s="133" t="n"/>
      <c r="F702" s="133" t="n"/>
      <c r="G702" s="133" t="n"/>
      <c r="H702" s="133" t="n"/>
      <c r="I702" s="135">
        <f>IF(OR($A702="",$G702=""),"",IF($H702="VAR","KARŞILIKSIZ",IF($G702&gt;=DusukRiskEsik,"DÜŞÜK",IF($G702&gt;=RiskliSkorEsik,"ORTA",IF($G702&gt;=YuksekRiskEsik,"YÜKSEK","KARŞILIKSIZ")))))</f>
        <v/>
      </c>
      <c r="J702" s="133" t="n"/>
      <c r="K702" s="133" t="n"/>
    </row>
    <row r="703" ht="18" customHeight="1" s="102">
      <c r="A703" s="132" t="n"/>
      <c r="B703" s="133" t="n"/>
      <c r="C703" s="133" t="n"/>
      <c r="D703" s="133" t="n"/>
      <c r="E703" s="133" t="n"/>
      <c r="F703" s="133" t="n"/>
      <c r="G703" s="133" t="n"/>
      <c r="H703" s="133" t="n"/>
      <c r="I703" s="135">
        <f>IF(OR($A703="",$G703=""),"",IF($H703="VAR","KARŞILIKSIZ",IF($G703&gt;=DusukRiskEsik,"DÜŞÜK",IF($G703&gt;=RiskliSkorEsik,"ORTA",IF($G703&gt;=YuksekRiskEsik,"YÜKSEK","KARŞILIKSIZ")))))</f>
        <v/>
      </c>
      <c r="J703" s="133" t="n"/>
      <c r="K703" s="133" t="n"/>
    </row>
    <row r="704" ht="18" customHeight="1" s="102">
      <c r="A704" s="132" t="n"/>
      <c r="B704" s="133" t="n"/>
      <c r="C704" s="133" t="n"/>
      <c r="D704" s="133" t="n"/>
      <c r="E704" s="133" t="n"/>
      <c r="F704" s="133" t="n"/>
      <c r="G704" s="133" t="n"/>
      <c r="H704" s="133" t="n"/>
      <c r="I704" s="135">
        <f>IF(OR($A704="",$G704=""),"",IF($H704="VAR","KARŞILIKSIZ",IF($G704&gt;=DusukRiskEsik,"DÜŞÜK",IF($G704&gt;=RiskliSkorEsik,"ORTA",IF($G704&gt;=YuksekRiskEsik,"YÜKSEK","KARŞILIKSIZ")))))</f>
        <v/>
      </c>
      <c r="J704" s="133" t="n"/>
      <c r="K704" s="133" t="n"/>
    </row>
    <row r="705" ht="18" customHeight="1" s="102">
      <c r="A705" s="132" t="n"/>
      <c r="B705" s="133" t="n"/>
      <c r="C705" s="133" t="n"/>
      <c r="D705" s="133" t="n"/>
      <c r="E705" s="133" t="n"/>
      <c r="F705" s="133" t="n"/>
      <c r="G705" s="133" t="n"/>
      <c r="H705" s="133" t="n"/>
      <c r="I705" s="135">
        <f>IF(OR($A705="",$G705=""),"",IF($H705="VAR","KARŞILIKSIZ",IF($G705&gt;=DusukRiskEsik,"DÜŞÜK",IF($G705&gt;=RiskliSkorEsik,"ORTA",IF($G705&gt;=YuksekRiskEsik,"YÜKSEK","KARŞILIKSIZ")))))</f>
        <v/>
      </c>
      <c r="J705" s="133" t="n"/>
      <c r="K705" s="133" t="n"/>
    </row>
    <row r="706" ht="18" customHeight="1" s="102">
      <c r="A706" s="132" t="n"/>
      <c r="B706" s="133" t="n"/>
      <c r="C706" s="133" t="n"/>
      <c r="D706" s="133" t="n"/>
      <c r="E706" s="133" t="n"/>
      <c r="F706" s="133" t="n"/>
      <c r="G706" s="133" t="n"/>
      <c r="H706" s="133" t="n"/>
      <c r="I706" s="135">
        <f>IF(OR($A706="",$G706=""),"",IF($H706="VAR","KARŞILIKSIZ",IF($G706&gt;=DusukRiskEsik,"DÜŞÜK",IF($G706&gt;=RiskliSkorEsik,"ORTA",IF($G706&gt;=YuksekRiskEsik,"YÜKSEK","KARŞILIKSIZ")))))</f>
        <v/>
      </c>
      <c r="J706" s="133" t="n"/>
      <c r="K706" s="133" t="n"/>
    </row>
    <row r="707" ht="18" customHeight="1" s="102">
      <c r="A707" s="132" t="n"/>
      <c r="B707" s="133" t="n"/>
      <c r="C707" s="133" t="n"/>
      <c r="D707" s="133" t="n"/>
      <c r="E707" s="133" t="n"/>
      <c r="F707" s="133" t="n"/>
      <c r="G707" s="133" t="n"/>
      <c r="H707" s="133" t="n"/>
      <c r="I707" s="135">
        <f>IF(OR($A707="",$G707=""),"",IF($H707="VAR","KARŞILIKSIZ",IF($G707&gt;=DusukRiskEsik,"DÜŞÜK",IF($G707&gt;=RiskliSkorEsik,"ORTA",IF($G707&gt;=YuksekRiskEsik,"YÜKSEK","KARŞILIKSIZ")))))</f>
        <v/>
      </c>
      <c r="J707" s="133" t="n"/>
      <c r="K707" s="133" t="n"/>
    </row>
    <row r="708" ht="18" customHeight="1" s="102">
      <c r="A708" s="132" t="n"/>
      <c r="B708" s="133" t="n"/>
      <c r="C708" s="133" t="n"/>
      <c r="D708" s="133" t="n"/>
      <c r="E708" s="133" t="n"/>
      <c r="F708" s="133" t="n"/>
      <c r="G708" s="133" t="n"/>
      <c r="H708" s="133" t="n"/>
      <c r="I708" s="135">
        <f>IF(OR($A708="",$G708=""),"",IF($H708="VAR","KARŞILIKSIZ",IF($G708&gt;=DusukRiskEsik,"DÜŞÜK",IF($G708&gt;=RiskliSkorEsik,"ORTA",IF($G708&gt;=YuksekRiskEsik,"YÜKSEK","KARŞILIKSIZ")))))</f>
        <v/>
      </c>
      <c r="J708" s="133" t="n"/>
      <c r="K708" s="133" t="n"/>
    </row>
    <row r="709" ht="18" customHeight="1" s="102">
      <c r="A709" s="132" t="n"/>
      <c r="B709" s="133" t="n"/>
      <c r="C709" s="133" t="n"/>
      <c r="D709" s="133" t="n"/>
      <c r="E709" s="133" t="n"/>
      <c r="F709" s="133" t="n"/>
      <c r="G709" s="133" t="n"/>
      <c r="H709" s="133" t="n"/>
      <c r="I709" s="135">
        <f>IF(OR($A709="",$G709=""),"",IF($H709="VAR","KARŞILIKSIZ",IF($G709&gt;=DusukRiskEsik,"DÜŞÜK",IF($G709&gt;=RiskliSkorEsik,"ORTA",IF($G709&gt;=YuksekRiskEsik,"YÜKSEK","KARŞILIKSIZ")))))</f>
        <v/>
      </c>
      <c r="J709" s="133" t="n"/>
      <c r="K709" s="133" t="n"/>
    </row>
    <row r="710" ht="18" customHeight="1" s="102">
      <c r="A710" s="132" t="n"/>
      <c r="B710" s="133" t="n"/>
      <c r="C710" s="133" t="n"/>
      <c r="D710" s="133" t="n"/>
      <c r="E710" s="133" t="n"/>
      <c r="F710" s="133" t="n"/>
      <c r="G710" s="133" t="n"/>
      <c r="H710" s="133" t="n"/>
      <c r="I710" s="135">
        <f>IF(OR($A710="",$G710=""),"",IF($H710="VAR","KARŞILIKSIZ",IF($G710&gt;=DusukRiskEsik,"DÜŞÜK",IF($G710&gt;=RiskliSkorEsik,"ORTA",IF($G710&gt;=YuksekRiskEsik,"YÜKSEK","KARŞILIKSIZ")))))</f>
        <v/>
      </c>
      <c r="J710" s="133" t="n"/>
      <c r="K710" s="133" t="n"/>
    </row>
    <row r="711" ht="18" customHeight="1" s="102">
      <c r="A711" s="132" t="n"/>
      <c r="B711" s="133" t="n"/>
      <c r="C711" s="133" t="n"/>
      <c r="D711" s="133" t="n"/>
      <c r="E711" s="133" t="n"/>
      <c r="F711" s="133" t="n"/>
      <c r="G711" s="133" t="n"/>
      <c r="H711" s="133" t="n"/>
      <c r="I711" s="135">
        <f>IF(OR($A711="",$G711=""),"",IF($H711="VAR","KARŞILIKSIZ",IF($G711&gt;=DusukRiskEsik,"DÜŞÜK",IF($G711&gt;=RiskliSkorEsik,"ORTA",IF($G711&gt;=YuksekRiskEsik,"YÜKSEK","KARŞILIKSIZ")))))</f>
        <v/>
      </c>
      <c r="J711" s="133" t="n"/>
      <c r="K711" s="133" t="n"/>
    </row>
    <row r="712" ht="18" customHeight="1" s="102">
      <c r="A712" s="132" t="n"/>
      <c r="B712" s="133" t="n"/>
      <c r="C712" s="133" t="n"/>
      <c r="D712" s="133" t="n"/>
      <c r="E712" s="133" t="n"/>
      <c r="F712" s="133" t="n"/>
      <c r="G712" s="133" t="n"/>
      <c r="H712" s="133" t="n"/>
      <c r="I712" s="135">
        <f>IF(OR($A712="",$G712=""),"",IF($H712="VAR","KARŞILIKSIZ",IF($G712&gt;=DusukRiskEsik,"DÜŞÜK",IF($G712&gt;=RiskliSkorEsik,"ORTA",IF($G712&gt;=YuksekRiskEsik,"YÜKSEK","KARŞILIKSIZ")))))</f>
        <v/>
      </c>
      <c r="J712" s="133" t="n"/>
      <c r="K712" s="133" t="n"/>
    </row>
    <row r="713" ht="18" customHeight="1" s="102">
      <c r="A713" s="132" t="n"/>
      <c r="B713" s="133" t="n"/>
      <c r="C713" s="133" t="n"/>
      <c r="D713" s="133" t="n"/>
      <c r="E713" s="133" t="n"/>
      <c r="F713" s="133" t="n"/>
      <c r="G713" s="133" t="n"/>
      <c r="H713" s="133" t="n"/>
      <c r="I713" s="135">
        <f>IF(OR($A713="",$G713=""),"",IF($H713="VAR","KARŞILIKSIZ",IF($G713&gt;=DusukRiskEsik,"DÜŞÜK",IF($G713&gt;=RiskliSkorEsik,"ORTA",IF($G713&gt;=YuksekRiskEsik,"YÜKSEK","KARŞILIKSIZ")))))</f>
        <v/>
      </c>
      <c r="J713" s="133" t="n"/>
      <c r="K713" s="133" t="n"/>
    </row>
    <row r="714" ht="18" customHeight="1" s="102">
      <c r="A714" s="132" t="n"/>
      <c r="B714" s="133" t="n"/>
      <c r="C714" s="133" t="n"/>
      <c r="D714" s="133" t="n"/>
      <c r="E714" s="133" t="n"/>
      <c r="F714" s="133" t="n"/>
      <c r="G714" s="133" t="n"/>
      <c r="H714" s="133" t="n"/>
      <c r="I714" s="135">
        <f>IF(OR($A714="",$G714=""),"",IF($H714="VAR","KARŞILIKSIZ",IF($G714&gt;=DusukRiskEsik,"DÜŞÜK",IF($G714&gt;=RiskliSkorEsik,"ORTA",IF($G714&gt;=YuksekRiskEsik,"YÜKSEK","KARŞILIKSIZ")))))</f>
        <v/>
      </c>
      <c r="J714" s="133" t="n"/>
      <c r="K714" s="133" t="n"/>
    </row>
    <row r="715" ht="18" customHeight="1" s="102">
      <c r="A715" s="132" t="n"/>
      <c r="B715" s="133" t="n"/>
      <c r="C715" s="133" t="n"/>
      <c r="D715" s="133" t="n"/>
      <c r="E715" s="133" t="n"/>
      <c r="F715" s="133" t="n"/>
      <c r="G715" s="133" t="n"/>
      <c r="H715" s="133" t="n"/>
      <c r="I715" s="135">
        <f>IF(OR($A715="",$G715=""),"",IF($H715="VAR","KARŞILIKSIZ",IF($G715&gt;=DusukRiskEsik,"DÜŞÜK",IF($G715&gt;=RiskliSkorEsik,"ORTA",IF($G715&gt;=YuksekRiskEsik,"YÜKSEK","KARŞILIKSIZ")))))</f>
        <v/>
      </c>
      <c r="J715" s="133" t="n"/>
      <c r="K715" s="133" t="n"/>
    </row>
    <row r="716" ht="18" customHeight="1" s="102">
      <c r="A716" s="132" t="n"/>
      <c r="B716" s="133" t="n"/>
      <c r="C716" s="133" t="n"/>
      <c r="D716" s="133" t="n"/>
      <c r="E716" s="133" t="n"/>
      <c r="F716" s="133" t="n"/>
      <c r="G716" s="133" t="n"/>
      <c r="H716" s="133" t="n"/>
      <c r="I716" s="135">
        <f>IF(OR($A716="",$G716=""),"",IF($H716="VAR","KARŞILIKSIZ",IF($G716&gt;=DusukRiskEsik,"DÜŞÜK",IF($G716&gt;=RiskliSkorEsik,"ORTA",IF($G716&gt;=YuksekRiskEsik,"YÜKSEK","KARŞILIKSIZ")))))</f>
        <v/>
      </c>
      <c r="J716" s="133" t="n"/>
      <c r="K716" s="133" t="n"/>
    </row>
    <row r="717" ht="18" customHeight="1" s="102">
      <c r="A717" s="132" t="n"/>
      <c r="B717" s="133" t="n"/>
      <c r="C717" s="133" t="n"/>
      <c r="D717" s="133" t="n"/>
      <c r="E717" s="133" t="n"/>
      <c r="F717" s="133" t="n"/>
      <c r="G717" s="133" t="n"/>
      <c r="H717" s="133" t="n"/>
      <c r="I717" s="135">
        <f>IF(OR($A717="",$G717=""),"",IF($H717="VAR","KARŞILIKSIZ",IF($G717&gt;=DusukRiskEsik,"DÜŞÜK",IF($G717&gt;=RiskliSkorEsik,"ORTA",IF($G717&gt;=YuksekRiskEsik,"YÜKSEK","KARŞILIKSIZ")))))</f>
        <v/>
      </c>
      <c r="J717" s="133" t="n"/>
      <c r="K717" s="133" t="n"/>
    </row>
    <row r="718" ht="18" customHeight="1" s="102">
      <c r="A718" s="132" t="n"/>
      <c r="B718" s="133" t="n"/>
      <c r="C718" s="133" t="n"/>
      <c r="D718" s="133" t="n"/>
      <c r="E718" s="133" t="n"/>
      <c r="F718" s="133" t="n"/>
      <c r="G718" s="133" t="n"/>
      <c r="H718" s="133" t="n"/>
      <c r="I718" s="135">
        <f>IF(OR($A718="",$G718=""),"",IF($H718="VAR","KARŞILIKSIZ",IF($G718&gt;=DusukRiskEsik,"DÜŞÜK",IF($G718&gt;=RiskliSkorEsik,"ORTA",IF($G718&gt;=YuksekRiskEsik,"YÜKSEK","KARŞILIKSIZ")))))</f>
        <v/>
      </c>
      <c r="J718" s="133" t="n"/>
      <c r="K718" s="133" t="n"/>
    </row>
    <row r="719" ht="18" customHeight="1" s="102">
      <c r="A719" s="132" t="n"/>
      <c r="B719" s="133" t="n"/>
      <c r="C719" s="133" t="n"/>
      <c r="D719" s="133" t="n"/>
      <c r="E719" s="133" t="n"/>
      <c r="F719" s="133" t="n"/>
      <c r="G719" s="133" t="n"/>
      <c r="H719" s="133" t="n"/>
      <c r="I719" s="135">
        <f>IF(OR($A719="",$G719=""),"",IF($H719="VAR","KARŞILIKSIZ",IF($G719&gt;=DusukRiskEsik,"DÜŞÜK",IF($G719&gt;=RiskliSkorEsik,"ORTA",IF($G719&gt;=YuksekRiskEsik,"YÜKSEK","KARŞILIKSIZ")))))</f>
        <v/>
      </c>
      <c r="J719" s="133" t="n"/>
      <c r="K719" s="133" t="n"/>
    </row>
    <row r="720" ht="18" customHeight="1" s="102">
      <c r="A720" s="132" t="n"/>
      <c r="B720" s="133" t="n"/>
      <c r="C720" s="133" t="n"/>
      <c r="D720" s="133" t="n"/>
      <c r="E720" s="133" t="n"/>
      <c r="F720" s="133" t="n"/>
      <c r="G720" s="133" t="n"/>
      <c r="H720" s="133" t="n"/>
      <c r="I720" s="135">
        <f>IF(OR($A720="",$G720=""),"",IF($H720="VAR","KARŞILIKSIZ",IF($G720&gt;=DusukRiskEsik,"DÜŞÜK",IF($G720&gt;=RiskliSkorEsik,"ORTA",IF($G720&gt;=YuksekRiskEsik,"YÜKSEK","KARŞILIKSIZ")))))</f>
        <v/>
      </c>
      <c r="J720" s="133" t="n"/>
      <c r="K720" s="133" t="n"/>
    </row>
    <row r="721" ht="18" customHeight="1" s="102">
      <c r="A721" s="132" t="n"/>
      <c r="B721" s="133" t="n"/>
      <c r="C721" s="133" t="n"/>
      <c r="D721" s="133" t="n"/>
      <c r="E721" s="133" t="n"/>
      <c r="F721" s="133" t="n"/>
      <c r="G721" s="133" t="n"/>
      <c r="H721" s="133" t="n"/>
      <c r="I721" s="135">
        <f>IF(OR($A721="",$G721=""),"",IF($H721="VAR","KARŞILIKSIZ",IF($G721&gt;=DusukRiskEsik,"DÜŞÜK",IF($G721&gt;=RiskliSkorEsik,"ORTA",IF($G721&gt;=YuksekRiskEsik,"YÜKSEK","KARŞILIKSIZ")))))</f>
        <v/>
      </c>
      <c r="J721" s="133" t="n"/>
      <c r="K721" s="133" t="n"/>
    </row>
    <row r="722" ht="18" customHeight="1" s="102">
      <c r="A722" s="132" t="n"/>
      <c r="B722" s="133" t="n"/>
      <c r="C722" s="133" t="n"/>
      <c r="D722" s="133" t="n"/>
      <c r="E722" s="133" t="n"/>
      <c r="F722" s="133" t="n"/>
      <c r="G722" s="133" t="n"/>
      <c r="H722" s="133" t="n"/>
      <c r="I722" s="135">
        <f>IF(OR($A722="",$G722=""),"",IF($H722="VAR","KARŞILIKSIZ",IF($G722&gt;=DusukRiskEsik,"DÜŞÜK",IF($G722&gt;=RiskliSkorEsik,"ORTA",IF($G722&gt;=YuksekRiskEsik,"YÜKSEK","KARŞILIKSIZ")))))</f>
        <v/>
      </c>
      <c r="J722" s="133" t="n"/>
      <c r="K722" s="133" t="n"/>
    </row>
    <row r="723" ht="18" customHeight="1" s="102">
      <c r="A723" s="132" t="n"/>
      <c r="B723" s="133" t="n"/>
      <c r="C723" s="133" t="n"/>
      <c r="D723" s="133" t="n"/>
      <c r="E723" s="133" t="n"/>
      <c r="F723" s="133" t="n"/>
      <c r="G723" s="133" t="n"/>
      <c r="H723" s="133" t="n"/>
      <c r="I723" s="135">
        <f>IF(OR($A723="",$G723=""),"",IF($H723="VAR","KARŞILIKSIZ",IF($G723&gt;=DusukRiskEsik,"DÜŞÜK",IF($G723&gt;=RiskliSkorEsik,"ORTA",IF($G723&gt;=YuksekRiskEsik,"YÜKSEK","KARŞILIKSIZ")))))</f>
        <v/>
      </c>
      <c r="J723" s="133" t="n"/>
      <c r="K723" s="133" t="n"/>
    </row>
    <row r="724" ht="18" customHeight="1" s="102">
      <c r="A724" s="132" t="n"/>
      <c r="B724" s="133" t="n"/>
      <c r="C724" s="133" t="n"/>
      <c r="D724" s="133" t="n"/>
      <c r="E724" s="133" t="n"/>
      <c r="F724" s="133" t="n"/>
      <c r="G724" s="133" t="n"/>
      <c r="H724" s="133" t="n"/>
      <c r="I724" s="135">
        <f>IF(OR($A724="",$G724=""),"",IF($H724="VAR","KARŞILIKSIZ",IF($G724&gt;=DusukRiskEsik,"DÜŞÜK",IF($G724&gt;=RiskliSkorEsik,"ORTA",IF($G724&gt;=YuksekRiskEsik,"YÜKSEK","KARŞILIKSIZ")))))</f>
        <v/>
      </c>
      <c r="J724" s="133" t="n"/>
      <c r="K724" s="133" t="n"/>
    </row>
    <row r="725" ht="18" customHeight="1" s="102">
      <c r="A725" s="132" t="n"/>
      <c r="B725" s="133" t="n"/>
      <c r="C725" s="133" t="n"/>
      <c r="D725" s="133" t="n"/>
      <c r="E725" s="133" t="n"/>
      <c r="F725" s="133" t="n"/>
      <c r="G725" s="133" t="n"/>
      <c r="H725" s="133" t="n"/>
      <c r="I725" s="135">
        <f>IF(OR($A725="",$G725=""),"",IF($H725="VAR","KARŞILIKSIZ",IF($G725&gt;=DusukRiskEsik,"DÜŞÜK",IF($G725&gt;=RiskliSkorEsik,"ORTA",IF($G725&gt;=YuksekRiskEsik,"YÜKSEK","KARŞILIKSIZ")))))</f>
        <v/>
      </c>
      <c r="J725" s="133" t="n"/>
      <c r="K725" s="133" t="n"/>
    </row>
    <row r="726" ht="18" customHeight="1" s="102">
      <c r="A726" s="132" t="n"/>
      <c r="B726" s="133" t="n"/>
      <c r="C726" s="133" t="n"/>
      <c r="D726" s="133" t="n"/>
      <c r="E726" s="133" t="n"/>
      <c r="F726" s="133" t="n"/>
      <c r="G726" s="133" t="n"/>
      <c r="H726" s="133" t="n"/>
      <c r="I726" s="135">
        <f>IF(OR($A726="",$G726=""),"",IF($H726="VAR","KARŞILIKSIZ",IF($G726&gt;=DusukRiskEsik,"DÜŞÜK",IF($G726&gt;=RiskliSkorEsik,"ORTA",IF($G726&gt;=YuksekRiskEsik,"YÜKSEK","KARŞILIKSIZ")))))</f>
        <v/>
      </c>
      <c r="J726" s="133" t="n"/>
      <c r="K726" s="133" t="n"/>
    </row>
    <row r="727" ht="18" customHeight="1" s="102">
      <c r="A727" s="132" t="n"/>
      <c r="B727" s="133" t="n"/>
      <c r="C727" s="133" t="n"/>
      <c r="D727" s="133" t="n"/>
      <c r="E727" s="133" t="n"/>
      <c r="F727" s="133" t="n"/>
      <c r="G727" s="133" t="n"/>
      <c r="H727" s="133" t="n"/>
      <c r="I727" s="135">
        <f>IF(OR($A727="",$G727=""),"",IF($H727="VAR","KARŞILIKSIZ",IF($G727&gt;=DusukRiskEsik,"DÜŞÜK",IF($G727&gt;=RiskliSkorEsik,"ORTA",IF($G727&gt;=YuksekRiskEsik,"YÜKSEK","KARŞILIKSIZ")))))</f>
        <v/>
      </c>
      <c r="J727" s="133" t="n"/>
      <c r="K727" s="133" t="n"/>
    </row>
    <row r="728" ht="18" customHeight="1" s="102">
      <c r="A728" s="132" t="n"/>
      <c r="B728" s="133" t="n"/>
      <c r="C728" s="133" t="n"/>
      <c r="D728" s="133" t="n"/>
      <c r="E728" s="133" t="n"/>
      <c r="F728" s="133" t="n"/>
      <c r="G728" s="133" t="n"/>
      <c r="H728" s="133" t="n"/>
      <c r="I728" s="135">
        <f>IF(OR($A728="",$G728=""),"",IF($H728="VAR","KARŞILIKSIZ",IF($G728&gt;=DusukRiskEsik,"DÜŞÜK",IF($G728&gt;=RiskliSkorEsik,"ORTA",IF($G728&gt;=YuksekRiskEsik,"YÜKSEK","KARŞILIKSIZ")))))</f>
        <v/>
      </c>
      <c r="J728" s="133" t="n"/>
      <c r="K728" s="133" t="n"/>
    </row>
    <row r="729" ht="18" customHeight="1" s="102">
      <c r="A729" s="132" t="n"/>
      <c r="B729" s="133" t="n"/>
      <c r="C729" s="133" t="n"/>
      <c r="D729" s="133" t="n"/>
      <c r="E729" s="133" t="n"/>
      <c r="F729" s="133" t="n"/>
      <c r="G729" s="133" t="n"/>
      <c r="H729" s="133" t="n"/>
      <c r="I729" s="135">
        <f>IF(OR($A729="",$G729=""),"",IF($H729="VAR","KARŞILIKSIZ",IF($G729&gt;=DusukRiskEsik,"DÜŞÜK",IF($G729&gt;=RiskliSkorEsik,"ORTA",IF($G729&gt;=YuksekRiskEsik,"YÜKSEK","KARŞILIKSIZ")))))</f>
        <v/>
      </c>
      <c r="J729" s="133" t="n"/>
      <c r="K729" s="133" t="n"/>
    </row>
    <row r="730" ht="18" customHeight="1" s="102">
      <c r="A730" s="132" t="n"/>
      <c r="B730" s="133" t="n"/>
      <c r="C730" s="133" t="n"/>
      <c r="D730" s="133" t="n"/>
      <c r="E730" s="133" t="n"/>
      <c r="F730" s="133" t="n"/>
      <c r="G730" s="133" t="n"/>
      <c r="H730" s="133" t="n"/>
      <c r="I730" s="135">
        <f>IF(OR($A730="",$G730=""),"",IF($H730="VAR","KARŞILIKSIZ",IF($G730&gt;=DusukRiskEsik,"DÜŞÜK",IF($G730&gt;=RiskliSkorEsik,"ORTA",IF($G730&gt;=YuksekRiskEsik,"YÜKSEK","KARŞILIKSIZ")))))</f>
        <v/>
      </c>
      <c r="J730" s="133" t="n"/>
      <c r="K730" s="133" t="n"/>
    </row>
    <row r="731" ht="18" customHeight="1" s="102">
      <c r="A731" s="132" t="n"/>
      <c r="B731" s="133" t="n"/>
      <c r="C731" s="133" t="n"/>
      <c r="D731" s="133" t="n"/>
      <c r="E731" s="133" t="n"/>
      <c r="F731" s="133" t="n"/>
      <c r="G731" s="133" t="n"/>
      <c r="H731" s="133" t="n"/>
      <c r="I731" s="135">
        <f>IF(OR($A731="",$G731=""),"",IF($H731="VAR","KARŞILIKSIZ",IF($G731&gt;=DusukRiskEsik,"DÜŞÜK",IF($G731&gt;=RiskliSkorEsik,"ORTA",IF($G731&gt;=YuksekRiskEsik,"YÜKSEK","KARŞILIKSIZ")))))</f>
        <v/>
      </c>
      <c r="J731" s="133" t="n"/>
      <c r="K731" s="133" t="n"/>
    </row>
    <row r="732" ht="18" customHeight="1" s="102">
      <c r="A732" s="132" t="n"/>
      <c r="B732" s="133" t="n"/>
      <c r="C732" s="133" t="n"/>
      <c r="D732" s="133" t="n"/>
      <c r="E732" s="133" t="n"/>
      <c r="F732" s="133" t="n"/>
      <c r="G732" s="133" t="n"/>
      <c r="H732" s="133" t="n"/>
      <c r="I732" s="135">
        <f>IF(OR($A732="",$G732=""),"",IF($H732="VAR","KARŞILIKSIZ",IF($G732&gt;=DusukRiskEsik,"DÜŞÜK",IF($G732&gt;=RiskliSkorEsik,"ORTA",IF($G732&gt;=YuksekRiskEsik,"YÜKSEK","KARŞILIKSIZ")))))</f>
        <v/>
      </c>
      <c r="J732" s="133" t="n"/>
      <c r="K732" s="133" t="n"/>
    </row>
    <row r="733" ht="18" customHeight="1" s="102">
      <c r="A733" s="132" t="n"/>
      <c r="B733" s="133" t="n"/>
      <c r="C733" s="133" t="n"/>
      <c r="D733" s="133" t="n"/>
      <c r="E733" s="133" t="n"/>
      <c r="F733" s="133" t="n"/>
      <c r="G733" s="133" t="n"/>
      <c r="H733" s="133" t="n"/>
      <c r="I733" s="135">
        <f>IF(OR($A733="",$G733=""),"",IF($H733="VAR","KARŞILIKSIZ",IF($G733&gt;=DusukRiskEsik,"DÜŞÜK",IF($G733&gt;=RiskliSkorEsik,"ORTA",IF($G733&gt;=YuksekRiskEsik,"YÜKSEK","KARŞILIKSIZ")))))</f>
        <v/>
      </c>
      <c r="J733" s="133" t="n"/>
      <c r="K733" s="133" t="n"/>
    </row>
    <row r="734" ht="18" customHeight="1" s="102">
      <c r="A734" s="132" t="n"/>
      <c r="B734" s="133" t="n"/>
      <c r="C734" s="133" t="n"/>
      <c r="D734" s="133" t="n"/>
      <c r="E734" s="133" t="n"/>
      <c r="F734" s="133" t="n"/>
      <c r="G734" s="133" t="n"/>
      <c r="H734" s="133" t="n"/>
      <c r="I734" s="135">
        <f>IF(OR($A734="",$G734=""),"",IF($H734="VAR","KARŞILIKSIZ",IF($G734&gt;=DusukRiskEsik,"DÜŞÜK",IF($G734&gt;=RiskliSkorEsik,"ORTA",IF($G734&gt;=YuksekRiskEsik,"YÜKSEK","KARŞILIKSIZ")))))</f>
        <v/>
      </c>
      <c r="J734" s="133" t="n"/>
      <c r="K734" s="133" t="n"/>
    </row>
    <row r="735" ht="18" customHeight="1" s="102">
      <c r="A735" s="132" t="n"/>
      <c r="B735" s="133" t="n"/>
      <c r="C735" s="133" t="n"/>
      <c r="D735" s="133" t="n"/>
      <c r="E735" s="133" t="n"/>
      <c r="F735" s="133" t="n"/>
      <c r="G735" s="133" t="n"/>
      <c r="H735" s="133" t="n"/>
      <c r="I735" s="135">
        <f>IF(OR($A735="",$G735=""),"",IF($H735="VAR","KARŞILIKSIZ",IF($G735&gt;=DusukRiskEsik,"DÜŞÜK",IF($G735&gt;=RiskliSkorEsik,"ORTA",IF($G735&gt;=YuksekRiskEsik,"YÜKSEK","KARŞILIKSIZ")))))</f>
        <v/>
      </c>
      <c r="J735" s="133" t="n"/>
      <c r="K735" s="133" t="n"/>
    </row>
    <row r="736" ht="18" customHeight="1" s="102">
      <c r="A736" s="132" t="n"/>
      <c r="B736" s="133" t="n"/>
      <c r="C736" s="133" t="n"/>
      <c r="D736" s="133" t="n"/>
      <c r="E736" s="133" t="n"/>
      <c r="F736" s="133" t="n"/>
      <c r="G736" s="133" t="n"/>
      <c r="H736" s="133" t="n"/>
      <c r="I736" s="135">
        <f>IF(OR($A736="",$G736=""),"",IF($H736="VAR","KARŞILIKSIZ",IF($G736&gt;=DusukRiskEsik,"DÜŞÜK",IF($G736&gt;=RiskliSkorEsik,"ORTA",IF($G736&gt;=YuksekRiskEsik,"YÜKSEK","KARŞILIKSIZ")))))</f>
        <v/>
      </c>
      <c r="J736" s="133" t="n"/>
      <c r="K736" s="133" t="n"/>
    </row>
    <row r="737" ht="18" customHeight="1" s="102">
      <c r="A737" s="132" t="n"/>
      <c r="B737" s="133" t="n"/>
      <c r="C737" s="133" t="n"/>
      <c r="D737" s="133" t="n"/>
      <c r="E737" s="133" t="n"/>
      <c r="F737" s="133" t="n"/>
      <c r="G737" s="133" t="n"/>
      <c r="H737" s="133" t="n"/>
      <c r="I737" s="135">
        <f>IF(OR($A737="",$G737=""),"",IF($H737="VAR","KARŞILIKSIZ",IF($G737&gt;=DusukRiskEsik,"DÜŞÜK",IF($G737&gt;=RiskliSkorEsik,"ORTA",IF($G737&gt;=YuksekRiskEsik,"YÜKSEK","KARŞILIKSIZ")))))</f>
        <v/>
      </c>
      <c r="J737" s="133" t="n"/>
      <c r="K737" s="133" t="n"/>
    </row>
    <row r="738" ht="18" customHeight="1" s="102">
      <c r="A738" s="132" t="n"/>
      <c r="B738" s="133" t="n"/>
      <c r="C738" s="133" t="n"/>
      <c r="D738" s="133" t="n"/>
      <c r="E738" s="133" t="n"/>
      <c r="F738" s="133" t="n"/>
      <c r="G738" s="133" t="n"/>
      <c r="H738" s="133" t="n"/>
      <c r="I738" s="135">
        <f>IF(OR($A738="",$G738=""),"",IF($H738="VAR","KARŞILIKSIZ",IF($G738&gt;=DusukRiskEsik,"DÜŞÜK",IF($G738&gt;=RiskliSkorEsik,"ORTA",IF($G738&gt;=YuksekRiskEsik,"YÜKSEK","KARŞILIKSIZ")))))</f>
        <v/>
      </c>
      <c r="J738" s="133" t="n"/>
      <c r="K738" s="133" t="n"/>
    </row>
    <row r="739" ht="18" customHeight="1" s="102">
      <c r="A739" s="132" t="n"/>
      <c r="B739" s="133" t="n"/>
      <c r="C739" s="133" t="n"/>
      <c r="D739" s="133" t="n"/>
      <c r="E739" s="133" t="n"/>
      <c r="F739" s="133" t="n"/>
      <c r="G739" s="133" t="n"/>
      <c r="H739" s="133" t="n"/>
      <c r="I739" s="135">
        <f>IF(OR($A739="",$G739=""),"",IF($H739="VAR","KARŞILIKSIZ",IF($G739&gt;=DusukRiskEsik,"DÜŞÜK",IF($G739&gt;=RiskliSkorEsik,"ORTA",IF($G739&gt;=YuksekRiskEsik,"YÜKSEK","KARŞILIKSIZ")))))</f>
        <v/>
      </c>
      <c r="J739" s="133" t="n"/>
      <c r="K739" s="133" t="n"/>
    </row>
    <row r="740" ht="18" customHeight="1" s="102">
      <c r="A740" s="132" t="n"/>
      <c r="B740" s="133" t="n"/>
      <c r="C740" s="133" t="n"/>
      <c r="D740" s="133" t="n"/>
      <c r="E740" s="133" t="n"/>
      <c r="F740" s="133" t="n"/>
      <c r="G740" s="133" t="n"/>
      <c r="H740" s="133" t="n"/>
      <c r="I740" s="135">
        <f>IF(OR($A740="",$G740=""),"",IF($H740="VAR","KARŞILIKSIZ",IF($G740&gt;=DusukRiskEsik,"DÜŞÜK",IF($G740&gt;=RiskliSkorEsik,"ORTA",IF($G740&gt;=YuksekRiskEsik,"YÜKSEK","KARŞILIKSIZ")))))</f>
        <v/>
      </c>
      <c r="J740" s="133" t="n"/>
      <c r="K740" s="133" t="n"/>
    </row>
    <row r="741" ht="18" customHeight="1" s="102">
      <c r="A741" s="132" t="n"/>
      <c r="B741" s="133" t="n"/>
      <c r="C741" s="133" t="n"/>
      <c r="D741" s="133" t="n"/>
      <c r="E741" s="133" t="n"/>
      <c r="F741" s="133" t="n"/>
      <c r="G741" s="133" t="n"/>
      <c r="H741" s="133" t="n"/>
      <c r="I741" s="135">
        <f>IF(OR($A741="",$G741=""),"",IF($H741="VAR","KARŞILIKSIZ",IF($G741&gt;=DusukRiskEsik,"DÜŞÜK",IF($G741&gt;=RiskliSkorEsik,"ORTA",IF($G741&gt;=YuksekRiskEsik,"YÜKSEK","KARŞILIKSIZ")))))</f>
        <v/>
      </c>
      <c r="J741" s="133" t="n"/>
      <c r="K741" s="133" t="n"/>
    </row>
    <row r="742" ht="18" customHeight="1" s="102">
      <c r="A742" s="132" t="n"/>
      <c r="B742" s="133" t="n"/>
      <c r="C742" s="133" t="n"/>
      <c r="D742" s="133" t="n"/>
      <c r="E742" s="133" t="n"/>
      <c r="F742" s="133" t="n"/>
      <c r="G742" s="133" t="n"/>
      <c r="H742" s="133" t="n"/>
      <c r="I742" s="135">
        <f>IF(OR($A742="",$G742=""),"",IF($H742="VAR","KARŞILIKSIZ",IF($G742&gt;=DusukRiskEsik,"DÜŞÜK",IF($G742&gt;=RiskliSkorEsik,"ORTA",IF($G742&gt;=YuksekRiskEsik,"YÜKSEK","KARŞILIKSIZ")))))</f>
        <v/>
      </c>
      <c r="J742" s="133" t="n"/>
      <c r="K742" s="133" t="n"/>
    </row>
    <row r="743" ht="18" customHeight="1" s="102">
      <c r="A743" s="132" t="n"/>
      <c r="B743" s="133" t="n"/>
      <c r="C743" s="133" t="n"/>
      <c r="D743" s="133" t="n"/>
      <c r="E743" s="133" t="n"/>
      <c r="F743" s="133" t="n"/>
      <c r="G743" s="133" t="n"/>
      <c r="H743" s="133" t="n"/>
      <c r="I743" s="135">
        <f>IF(OR($A743="",$G743=""),"",IF($H743="VAR","KARŞILIKSIZ",IF($G743&gt;=DusukRiskEsik,"DÜŞÜK",IF($G743&gt;=RiskliSkorEsik,"ORTA",IF($G743&gt;=YuksekRiskEsik,"YÜKSEK","KARŞILIKSIZ")))))</f>
        <v/>
      </c>
      <c r="J743" s="133" t="n"/>
      <c r="K743" s="133" t="n"/>
    </row>
    <row r="744" ht="18" customHeight="1" s="102">
      <c r="A744" s="132" t="n"/>
      <c r="B744" s="133" t="n"/>
      <c r="C744" s="133" t="n"/>
      <c r="D744" s="133" t="n"/>
      <c r="E744" s="133" t="n"/>
      <c r="F744" s="133" t="n"/>
      <c r="G744" s="133" t="n"/>
      <c r="H744" s="133" t="n"/>
      <c r="I744" s="135">
        <f>IF(OR($A744="",$G744=""),"",IF($H744="VAR","KARŞILIKSIZ",IF($G744&gt;=DusukRiskEsik,"DÜŞÜK",IF($G744&gt;=RiskliSkorEsik,"ORTA",IF($G744&gt;=YuksekRiskEsik,"YÜKSEK","KARŞILIKSIZ")))))</f>
        <v/>
      </c>
      <c r="J744" s="133" t="n"/>
      <c r="K744" s="133" t="n"/>
    </row>
    <row r="745" ht="18" customHeight="1" s="102">
      <c r="A745" s="132" t="n"/>
      <c r="B745" s="133" t="n"/>
      <c r="C745" s="133" t="n"/>
      <c r="D745" s="133" t="n"/>
      <c r="E745" s="133" t="n"/>
      <c r="F745" s="133" t="n"/>
      <c r="G745" s="133" t="n"/>
      <c r="H745" s="133" t="n"/>
      <c r="I745" s="135">
        <f>IF(OR($A745="",$G745=""),"",IF($H745="VAR","KARŞILIKSIZ",IF($G745&gt;=DusukRiskEsik,"DÜŞÜK",IF($G745&gt;=RiskliSkorEsik,"ORTA",IF($G745&gt;=YuksekRiskEsik,"YÜKSEK","KARŞILIKSIZ")))))</f>
        <v/>
      </c>
      <c r="J745" s="133" t="n"/>
      <c r="K745" s="133" t="n"/>
    </row>
    <row r="746" ht="18" customHeight="1" s="102">
      <c r="A746" s="132" t="n"/>
      <c r="B746" s="133" t="n"/>
      <c r="C746" s="133" t="n"/>
      <c r="D746" s="133" t="n"/>
      <c r="E746" s="133" t="n"/>
      <c r="F746" s="133" t="n"/>
      <c r="G746" s="133" t="n"/>
      <c r="H746" s="133" t="n"/>
      <c r="I746" s="135">
        <f>IF(OR($A746="",$G746=""),"",IF($H746="VAR","KARŞILIKSIZ",IF($G746&gt;=DusukRiskEsik,"DÜŞÜK",IF($G746&gt;=RiskliSkorEsik,"ORTA",IF($G746&gt;=YuksekRiskEsik,"YÜKSEK","KARŞILIKSIZ")))))</f>
        <v/>
      </c>
      <c r="J746" s="133" t="n"/>
      <c r="K746" s="133" t="n"/>
    </row>
    <row r="747" ht="18" customHeight="1" s="102">
      <c r="A747" s="132" t="n"/>
      <c r="B747" s="133" t="n"/>
      <c r="C747" s="133" t="n"/>
      <c r="D747" s="133" t="n"/>
      <c r="E747" s="133" t="n"/>
      <c r="F747" s="133" t="n"/>
      <c r="G747" s="133" t="n"/>
      <c r="H747" s="133" t="n"/>
      <c r="I747" s="135">
        <f>IF(OR($A747="",$G747=""),"",IF($H747="VAR","KARŞILIKSIZ",IF($G747&gt;=DusukRiskEsik,"DÜŞÜK",IF($G747&gt;=RiskliSkorEsik,"ORTA",IF($G747&gt;=YuksekRiskEsik,"YÜKSEK","KARŞILIKSIZ")))))</f>
        <v/>
      </c>
      <c r="J747" s="133" t="n"/>
      <c r="K747" s="133" t="n"/>
    </row>
    <row r="748" ht="18" customHeight="1" s="102">
      <c r="A748" s="132" t="n"/>
      <c r="B748" s="133" t="n"/>
      <c r="C748" s="133" t="n"/>
      <c r="D748" s="133" t="n"/>
      <c r="E748" s="133" t="n"/>
      <c r="F748" s="133" t="n"/>
      <c r="G748" s="133" t="n"/>
      <c r="H748" s="133" t="n"/>
      <c r="I748" s="135">
        <f>IF(OR($A748="",$G748=""),"",IF($H748="VAR","KARŞILIKSIZ",IF($G748&gt;=DusukRiskEsik,"DÜŞÜK",IF($G748&gt;=RiskliSkorEsik,"ORTA",IF($G748&gt;=YuksekRiskEsik,"YÜKSEK","KARŞILIKSIZ")))))</f>
        <v/>
      </c>
      <c r="J748" s="133" t="n"/>
      <c r="K748" s="133" t="n"/>
    </row>
    <row r="749" ht="18" customHeight="1" s="102">
      <c r="A749" s="132" t="n"/>
      <c r="B749" s="133" t="n"/>
      <c r="C749" s="133" t="n"/>
      <c r="D749" s="133" t="n"/>
      <c r="E749" s="133" t="n"/>
      <c r="F749" s="133" t="n"/>
      <c r="G749" s="133" t="n"/>
      <c r="H749" s="133" t="n"/>
      <c r="I749" s="135">
        <f>IF(OR($A749="",$G749=""),"",IF($H749="VAR","KARŞILIKSIZ",IF($G749&gt;=DusukRiskEsik,"DÜŞÜK",IF($G749&gt;=RiskliSkorEsik,"ORTA",IF($G749&gt;=YuksekRiskEsik,"YÜKSEK","KARŞILIKSIZ")))))</f>
        <v/>
      </c>
      <c r="J749" s="133" t="n"/>
      <c r="K749" s="133" t="n"/>
    </row>
    <row r="750" ht="18" customHeight="1" s="102">
      <c r="A750" s="132" t="n"/>
      <c r="B750" s="133" t="n"/>
      <c r="C750" s="133" t="n"/>
      <c r="D750" s="133" t="n"/>
      <c r="E750" s="133" t="n"/>
      <c r="F750" s="133" t="n"/>
      <c r="G750" s="133" t="n"/>
      <c r="H750" s="133" t="n"/>
      <c r="I750" s="135">
        <f>IF(OR($A750="",$G750=""),"",IF($H750="VAR","KARŞILIKSIZ",IF($G750&gt;=DusukRiskEsik,"DÜŞÜK",IF($G750&gt;=RiskliSkorEsik,"ORTA",IF($G750&gt;=YuksekRiskEsik,"YÜKSEK","KARŞILIKSIZ")))))</f>
        <v/>
      </c>
      <c r="J750" s="133" t="n"/>
      <c r="K750" s="133" t="n"/>
    </row>
    <row r="751" ht="18" customHeight="1" s="102">
      <c r="A751" s="132" t="n"/>
      <c r="B751" s="133" t="n"/>
      <c r="C751" s="133" t="n"/>
      <c r="D751" s="133" t="n"/>
      <c r="E751" s="133" t="n"/>
      <c r="F751" s="133" t="n"/>
      <c r="G751" s="133" t="n"/>
      <c r="H751" s="133" t="n"/>
      <c r="I751" s="135">
        <f>IF(OR($A751="",$G751=""),"",IF($H751="VAR","KARŞILIKSIZ",IF($G751&gt;=DusukRiskEsik,"DÜŞÜK",IF($G751&gt;=RiskliSkorEsik,"ORTA",IF($G751&gt;=YuksekRiskEsik,"YÜKSEK","KARŞILIKSIZ")))))</f>
        <v/>
      </c>
      <c r="J751" s="133" t="n"/>
      <c r="K751" s="133" t="n"/>
    </row>
    <row r="752" ht="18" customHeight="1" s="102">
      <c r="A752" s="132" t="n"/>
      <c r="B752" s="133" t="n"/>
      <c r="C752" s="133" t="n"/>
      <c r="D752" s="133" t="n"/>
      <c r="E752" s="133" t="n"/>
      <c r="F752" s="133" t="n"/>
      <c r="G752" s="133" t="n"/>
      <c r="H752" s="133" t="n"/>
      <c r="I752" s="135">
        <f>IF(OR($A752="",$G752=""),"",IF($H752="VAR","KARŞILIKSIZ",IF($G752&gt;=DusukRiskEsik,"DÜŞÜK",IF($G752&gt;=RiskliSkorEsik,"ORTA",IF($G752&gt;=YuksekRiskEsik,"YÜKSEK","KARŞILIKSIZ")))))</f>
        <v/>
      </c>
      <c r="J752" s="133" t="n"/>
      <c r="K752" s="133" t="n"/>
    </row>
    <row r="753" ht="18" customHeight="1" s="102">
      <c r="A753" s="132" t="n"/>
      <c r="B753" s="133" t="n"/>
      <c r="C753" s="133" t="n"/>
      <c r="D753" s="133" t="n"/>
      <c r="E753" s="133" t="n"/>
      <c r="F753" s="133" t="n"/>
      <c r="G753" s="133" t="n"/>
      <c r="H753" s="133" t="n"/>
      <c r="I753" s="135">
        <f>IF(OR($A753="",$G753=""),"",IF($H753="VAR","KARŞILIKSIZ",IF($G753&gt;=DusukRiskEsik,"DÜŞÜK",IF($G753&gt;=RiskliSkorEsik,"ORTA",IF($G753&gt;=YuksekRiskEsik,"YÜKSEK","KARŞILIKSIZ")))))</f>
        <v/>
      </c>
      <c r="J753" s="133" t="n"/>
      <c r="K753" s="133" t="n"/>
    </row>
    <row r="754" ht="18" customHeight="1" s="102">
      <c r="A754" s="132" t="n"/>
      <c r="B754" s="133" t="n"/>
      <c r="C754" s="133" t="n"/>
      <c r="D754" s="133" t="n"/>
      <c r="E754" s="133" t="n"/>
      <c r="F754" s="133" t="n"/>
      <c r="G754" s="133" t="n"/>
      <c r="H754" s="133" t="n"/>
      <c r="I754" s="135">
        <f>IF(OR($A754="",$G754=""),"",IF($H754="VAR","KARŞILIKSIZ",IF($G754&gt;=DusukRiskEsik,"DÜŞÜK",IF($G754&gt;=RiskliSkorEsik,"ORTA",IF($G754&gt;=YuksekRiskEsik,"YÜKSEK","KARŞILIKSIZ")))))</f>
        <v/>
      </c>
      <c r="J754" s="133" t="n"/>
      <c r="K754" s="133" t="n"/>
    </row>
    <row r="755" ht="18" customHeight="1" s="102">
      <c r="A755" s="132" t="n"/>
      <c r="B755" s="133" t="n"/>
      <c r="C755" s="133" t="n"/>
      <c r="D755" s="133" t="n"/>
      <c r="E755" s="133" t="n"/>
      <c r="F755" s="133" t="n"/>
      <c r="G755" s="133" t="n"/>
      <c r="H755" s="133" t="n"/>
      <c r="I755" s="135">
        <f>IF(OR($A755="",$G755=""),"",IF($H755="VAR","KARŞILIKSIZ",IF($G755&gt;=DusukRiskEsik,"DÜŞÜK",IF($G755&gt;=RiskliSkorEsik,"ORTA",IF($G755&gt;=YuksekRiskEsik,"YÜKSEK","KARŞILIKSIZ")))))</f>
        <v/>
      </c>
      <c r="J755" s="133" t="n"/>
      <c r="K755" s="133" t="n"/>
    </row>
    <row r="756" ht="18" customHeight="1" s="102">
      <c r="A756" s="132" t="n"/>
      <c r="B756" s="133" t="n"/>
      <c r="C756" s="133" t="n"/>
      <c r="D756" s="133" t="n"/>
      <c r="E756" s="133" t="n"/>
      <c r="F756" s="133" t="n"/>
      <c r="G756" s="133" t="n"/>
      <c r="H756" s="133" t="n"/>
      <c r="I756" s="135">
        <f>IF(OR($A756="",$G756=""),"",IF($H756="VAR","KARŞILIKSIZ",IF($G756&gt;=DusukRiskEsik,"DÜŞÜK",IF($G756&gt;=RiskliSkorEsik,"ORTA",IF($G756&gt;=YuksekRiskEsik,"YÜKSEK","KARŞILIKSIZ")))))</f>
        <v/>
      </c>
      <c r="J756" s="133" t="n"/>
      <c r="K756" s="133" t="n"/>
    </row>
    <row r="757" ht="18" customHeight="1" s="102">
      <c r="A757" s="132" t="n"/>
      <c r="B757" s="133" t="n"/>
      <c r="C757" s="133" t="n"/>
      <c r="D757" s="133" t="n"/>
      <c r="E757" s="133" t="n"/>
      <c r="F757" s="133" t="n"/>
      <c r="G757" s="133" t="n"/>
      <c r="H757" s="133" t="n"/>
      <c r="I757" s="135">
        <f>IF(OR($A757="",$G757=""),"",IF($H757="VAR","KARŞILIKSIZ",IF($G757&gt;=DusukRiskEsik,"DÜŞÜK",IF($G757&gt;=RiskliSkorEsik,"ORTA",IF($G757&gt;=YuksekRiskEsik,"YÜKSEK","KARŞILIKSIZ")))))</f>
        <v/>
      </c>
      <c r="J757" s="133" t="n"/>
      <c r="K757" s="133" t="n"/>
    </row>
    <row r="758" ht="18" customHeight="1" s="102">
      <c r="A758" s="132" t="n"/>
      <c r="B758" s="133" t="n"/>
      <c r="C758" s="133" t="n"/>
      <c r="D758" s="133" t="n"/>
      <c r="E758" s="133" t="n"/>
      <c r="F758" s="133" t="n"/>
      <c r="G758" s="133" t="n"/>
      <c r="H758" s="133" t="n"/>
      <c r="I758" s="135">
        <f>IF(OR($A758="",$G758=""),"",IF($H758="VAR","KARŞILIKSIZ",IF($G758&gt;=DusukRiskEsik,"DÜŞÜK",IF($G758&gt;=RiskliSkorEsik,"ORTA",IF($G758&gt;=YuksekRiskEsik,"YÜKSEK","KARŞILIKSIZ")))))</f>
        <v/>
      </c>
      <c r="J758" s="133" t="n"/>
      <c r="K758" s="133" t="n"/>
    </row>
    <row r="759" ht="18" customHeight="1" s="102">
      <c r="A759" s="132" t="n"/>
      <c r="B759" s="133" t="n"/>
      <c r="C759" s="133" t="n"/>
      <c r="D759" s="133" t="n"/>
      <c r="E759" s="133" t="n"/>
      <c r="F759" s="133" t="n"/>
      <c r="G759" s="133" t="n"/>
      <c r="H759" s="133" t="n"/>
      <c r="I759" s="135">
        <f>IF(OR($A759="",$G759=""),"",IF($H759="VAR","KARŞILIKSIZ",IF($G759&gt;=DusukRiskEsik,"DÜŞÜK",IF($G759&gt;=RiskliSkorEsik,"ORTA",IF($G759&gt;=YuksekRiskEsik,"YÜKSEK","KARŞILIKSIZ")))))</f>
        <v/>
      </c>
      <c r="J759" s="133" t="n"/>
      <c r="K759" s="133" t="n"/>
    </row>
    <row r="760" ht="18" customHeight="1" s="102">
      <c r="A760" s="132" t="n"/>
      <c r="B760" s="133" t="n"/>
      <c r="C760" s="133" t="n"/>
      <c r="D760" s="133" t="n"/>
      <c r="E760" s="133" t="n"/>
      <c r="F760" s="133" t="n"/>
      <c r="G760" s="133" t="n"/>
      <c r="H760" s="133" t="n"/>
      <c r="I760" s="135">
        <f>IF(OR($A760="",$G760=""),"",IF($H760="VAR","KARŞILIKSIZ",IF($G760&gt;=DusukRiskEsik,"DÜŞÜK",IF($G760&gt;=RiskliSkorEsik,"ORTA",IF($G760&gt;=YuksekRiskEsik,"YÜKSEK","KARŞILIKSIZ")))))</f>
        <v/>
      </c>
      <c r="J760" s="133" t="n"/>
      <c r="K760" s="133" t="n"/>
    </row>
    <row r="761" ht="18" customHeight="1" s="102">
      <c r="A761" s="132" t="n"/>
      <c r="B761" s="133" t="n"/>
      <c r="C761" s="133" t="n"/>
      <c r="D761" s="133" t="n"/>
      <c r="E761" s="133" t="n"/>
      <c r="F761" s="133" t="n"/>
      <c r="G761" s="133" t="n"/>
      <c r="H761" s="133" t="n"/>
      <c r="I761" s="135">
        <f>IF(OR($A761="",$G761=""),"",IF($H761="VAR","KARŞILIKSIZ",IF($G761&gt;=DusukRiskEsik,"DÜŞÜK",IF($G761&gt;=RiskliSkorEsik,"ORTA",IF($G761&gt;=YuksekRiskEsik,"YÜKSEK","KARŞILIKSIZ")))))</f>
        <v/>
      </c>
      <c r="J761" s="133" t="n"/>
      <c r="K761" s="133" t="n"/>
    </row>
    <row r="762" ht="18" customHeight="1" s="102">
      <c r="A762" s="132" t="n"/>
      <c r="B762" s="133" t="n"/>
      <c r="C762" s="133" t="n"/>
      <c r="D762" s="133" t="n"/>
      <c r="E762" s="133" t="n"/>
      <c r="F762" s="133" t="n"/>
      <c r="G762" s="133" t="n"/>
      <c r="H762" s="133" t="n"/>
      <c r="I762" s="135">
        <f>IF(OR($A762="",$G762=""),"",IF($H762="VAR","KARŞILIKSIZ",IF($G762&gt;=DusukRiskEsik,"DÜŞÜK",IF($G762&gt;=RiskliSkorEsik,"ORTA",IF($G762&gt;=YuksekRiskEsik,"YÜKSEK","KARŞILIKSIZ")))))</f>
        <v/>
      </c>
      <c r="J762" s="133" t="n"/>
      <c r="K762" s="133" t="n"/>
    </row>
    <row r="763" ht="18" customHeight="1" s="102">
      <c r="A763" s="132" t="n"/>
      <c r="B763" s="133" t="n"/>
      <c r="C763" s="133" t="n"/>
      <c r="D763" s="133" t="n"/>
      <c r="E763" s="133" t="n"/>
      <c r="F763" s="133" t="n"/>
      <c r="G763" s="133" t="n"/>
      <c r="H763" s="133" t="n"/>
      <c r="I763" s="135">
        <f>IF(OR($A763="",$G763=""),"",IF($H763="VAR","KARŞILIKSIZ",IF($G763&gt;=DusukRiskEsik,"DÜŞÜK",IF($G763&gt;=RiskliSkorEsik,"ORTA",IF($G763&gt;=YuksekRiskEsik,"YÜKSEK","KARŞILIKSIZ")))))</f>
        <v/>
      </c>
      <c r="J763" s="133" t="n"/>
      <c r="K763" s="133" t="n"/>
    </row>
    <row r="764" ht="18" customHeight="1" s="102">
      <c r="A764" s="132" t="n"/>
      <c r="B764" s="133" t="n"/>
      <c r="C764" s="133" t="n"/>
      <c r="D764" s="133" t="n"/>
      <c r="E764" s="133" t="n"/>
      <c r="F764" s="133" t="n"/>
      <c r="G764" s="133" t="n"/>
      <c r="H764" s="133" t="n"/>
      <c r="I764" s="135">
        <f>IF(OR($A764="",$G764=""),"",IF($H764="VAR","KARŞILIKSIZ",IF($G764&gt;=DusukRiskEsik,"DÜŞÜK",IF($G764&gt;=RiskliSkorEsik,"ORTA",IF($G764&gt;=YuksekRiskEsik,"YÜKSEK","KARŞILIKSIZ")))))</f>
        <v/>
      </c>
      <c r="J764" s="133" t="n"/>
      <c r="K764" s="133" t="n"/>
    </row>
    <row r="765" ht="18" customHeight="1" s="102">
      <c r="A765" s="132" t="n"/>
      <c r="B765" s="133" t="n"/>
      <c r="C765" s="133" t="n"/>
      <c r="D765" s="133" t="n"/>
      <c r="E765" s="133" t="n"/>
      <c r="F765" s="133" t="n"/>
      <c r="G765" s="133" t="n"/>
      <c r="H765" s="133" t="n"/>
      <c r="I765" s="135">
        <f>IF(OR($A765="",$G765=""),"",IF($H765="VAR","KARŞILIKSIZ",IF($G765&gt;=DusukRiskEsik,"DÜŞÜK",IF($G765&gt;=RiskliSkorEsik,"ORTA",IF($G765&gt;=YuksekRiskEsik,"YÜKSEK","KARŞILIKSIZ")))))</f>
        <v/>
      </c>
      <c r="J765" s="133" t="n"/>
      <c r="K765" s="133" t="n"/>
    </row>
    <row r="766" ht="18" customHeight="1" s="102">
      <c r="A766" s="132" t="n"/>
      <c r="B766" s="133" t="n"/>
      <c r="C766" s="133" t="n"/>
      <c r="D766" s="133" t="n"/>
      <c r="E766" s="133" t="n"/>
      <c r="F766" s="133" t="n"/>
      <c r="G766" s="133" t="n"/>
      <c r="H766" s="133" t="n"/>
      <c r="I766" s="135">
        <f>IF(OR($A766="",$G766=""),"",IF($H766="VAR","KARŞILIKSIZ",IF($G766&gt;=DusukRiskEsik,"DÜŞÜK",IF($G766&gt;=RiskliSkorEsik,"ORTA",IF($G766&gt;=YuksekRiskEsik,"YÜKSEK","KARŞILIKSIZ")))))</f>
        <v/>
      </c>
      <c r="J766" s="133" t="n"/>
      <c r="K766" s="133" t="n"/>
    </row>
    <row r="767" ht="18" customHeight="1" s="102">
      <c r="A767" s="132" t="n"/>
      <c r="B767" s="133" t="n"/>
      <c r="C767" s="133" t="n"/>
      <c r="D767" s="133" t="n"/>
      <c r="E767" s="133" t="n"/>
      <c r="F767" s="133" t="n"/>
      <c r="G767" s="133" t="n"/>
      <c r="H767" s="133" t="n"/>
      <c r="I767" s="135">
        <f>IF(OR($A767="",$G767=""),"",IF($H767="VAR","KARŞILIKSIZ",IF($G767&gt;=DusukRiskEsik,"DÜŞÜK",IF($G767&gt;=RiskliSkorEsik,"ORTA",IF($G767&gt;=YuksekRiskEsik,"YÜKSEK","KARŞILIKSIZ")))))</f>
        <v/>
      </c>
      <c r="J767" s="133" t="n"/>
      <c r="K767" s="133" t="n"/>
    </row>
    <row r="768" ht="18" customHeight="1" s="102">
      <c r="A768" s="132" t="n"/>
      <c r="B768" s="133" t="n"/>
      <c r="C768" s="133" t="n"/>
      <c r="D768" s="133" t="n"/>
      <c r="E768" s="133" t="n"/>
      <c r="F768" s="133" t="n"/>
      <c r="G768" s="133" t="n"/>
      <c r="H768" s="133" t="n"/>
      <c r="I768" s="135">
        <f>IF(OR($A768="",$G768=""),"",IF($H768="VAR","KARŞILIKSIZ",IF($G768&gt;=DusukRiskEsik,"DÜŞÜK",IF($G768&gt;=RiskliSkorEsik,"ORTA",IF($G768&gt;=YuksekRiskEsik,"YÜKSEK","KARŞILIKSIZ")))))</f>
        <v/>
      </c>
      <c r="J768" s="133" t="n"/>
      <c r="K768" s="133" t="n"/>
    </row>
    <row r="769" ht="18" customHeight="1" s="102">
      <c r="A769" s="132" t="n"/>
      <c r="B769" s="133" t="n"/>
      <c r="C769" s="133" t="n"/>
      <c r="D769" s="133" t="n"/>
      <c r="E769" s="133" t="n"/>
      <c r="F769" s="133" t="n"/>
      <c r="G769" s="133" t="n"/>
      <c r="H769" s="133" t="n"/>
      <c r="I769" s="135">
        <f>IF(OR($A769="",$G769=""),"",IF($H769="VAR","KARŞILIKSIZ",IF($G769&gt;=DusukRiskEsik,"DÜŞÜK",IF($G769&gt;=RiskliSkorEsik,"ORTA",IF($G769&gt;=YuksekRiskEsik,"YÜKSEK","KARŞILIKSIZ")))))</f>
        <v/>
      </c>
      <c r="J769" s="133" t="n"/>
      <c r="K769" s="133" t="n"/>
    </row>
    <row r="770" ht="18" customHeight="1" s="102">
      <c r="A770" s="132" t="n"/>
      <c r="B770" s="133" t="n"/>
      <c r="C770" s="133" t="n"/>
      <c r="D770" s="133" t="n"/>
      <c r="E770" s="133" t="n"/>
      <c r="F770" s="133" t="n"/>
      <c r="G770" s="133" t="n"/>
      <c r="H770" s="133" t="n"/>
      <c r="I770" s="135">
        <f>IF(OR($A770="",$G770=""),"",IF($H770="VAR","KARŞILIKSIZ",IF($G770&gt;=DusukRiskEsik,"DÜŞÜK",IF($G770&gt;=RiskliSkorEsik,"ORTA",IF($G770&gt;=YuksekRiskEsik,"YÜKSEK","KARŞILIKSIZ")))))</f>
        <v/>
      </c>
      <c r="J770" s="133" t="n"/>
      <c r="K770" s="133" t="n"/>
    </row>
    <row r="771" ht="18" customHeight="1" s="102">
      <c r="A771" s="132" t="n"/>
      <c r="B771" s="133" t="n"/>
      <c r="C771" s="133" t="n"/>
      <c r="D771" s="133" t="n"/>
      <c r="E771" s="133" t="n"/>
      <c r="F771" s="133" t="n"/>
      <c r="G771" s="133" t="n"/>
      <c r="H771" s="133" t="n"/>
      <c r="I771" s="135">
        <f>IF(OR($A771="",$G771=""),"",IF($H771="VAR","KARŞILIKSIZ",IF($G771&gt;=DusukRiskEsik,"DÜŞÜK",IF($G771&gt;=RiskliSkorEsik,"ORTA",IF($G771&gt;=YuksekRiskEsik,"YÜKSEK","KARŞILIKSIZ")))))</f>
        <v/>
      </c>
      <c r="J771" s="133" t="n"/>
      <c r="K771" s="133" t="n"/>
    </row>
    <row r="772" ht="18" customHeight="1" s="102">
      <c r="A772" s="132" t="n"/>
      <c r="B772" s="133" t="n"/>
      <c r="C772" s="133" t="n"/>
      <c r="D772" s="133" t="n"/>
      <c r="E772" s="133" t="n"/>
      <c r="F772" s="133" t="n"/>
      <c r="G772" s="133" t="n"/>
      <c r="H772" s="133" t="n"/>
      <c r="I772" s="135">
        <f>IF(OR($A772="",$G772=""),"",IF($H772="VAR","KARŞILIKSIZ",IF($G772&gt;=DusukRiskEsik,"DÜŞÜK",IF($G772&gt;=RiskliSkorEsik,"ORTA",IF($G772&gt;=YuksekRiskEsik,"YÜKSEK","KARŞILIKSIZ")))))</f>
        <v/>
      </c>
      <c r="J772" s="133" t="n"/>
      <c r="K772" s="133" t="n"/>
    </row>
    <row r="773" ht="18" customHeight="1" s="102">
      <c r="A773" s="132" t="n"/>
      <c r="B773" s="133" t="n"/>
      <c r="C773" s="133" t="n"/>
      <c r="D773" s="133" t="n"/>
      <c r="E773" s="133" t="n"/>
      <c r="F773" s="133" t="n"/>
      <c r="G773" s="133" t="n"/>
      <c r="H773" s="133" t="n"/>
      <c r="I773" s="135">
        <f>IF(OR($A773="",$G773=""),"",IF($H773="VAR","KARŞILIKSIZ",IF($G773&gt;=DusukRiskEsik,"DÜŞÜK",IF($G773&gt;=RiskliSkorEsik,"ORTA",IF($G773&gt;=YuksekRiskEsik,"YÜKSEK","KARŞILIKSIZ")))))</f>
        <v/>
      </c>
      <c r="J773" s="133" t="n"/>
      <c r="K773" s="133" t="n"/>
    </row>
    <row r="774" ht="18" customHeight="1" s="102">
      <c r="A774" s="132" t="n"/>
      <c r="B774" s="133" t="n"/>
      <c r="C774" s="133" t="n"/>
      <c r="D774" s="133" t="n"/>
      <c r="E774" s="133" t="n"/>
      <c r="F774" s="133" t="n"/>
      <c r="G774" s="133" t="n"/>
      <c r="H774" s="133" t="n"/>
      <c r="I774" s="135">
        <f>IF(OR($A774="",$G774=""),"",IF($H774="VAR","KARŞILIKSIZ",IF($G774&gt;=DusukRiskEsik,"DÜŞÜK",IF($G774&gt;=RiskliSkorEsik,"ORTA",IF($G774&gt;=YuksekRiskEsik,"YÜKSEK","KARŞILIKSIZ")))))</f>
        <v/>
      </c>
      <c r="J774" s="133" t="n"/>
      <c r="K774" s="133" t="n"/>
    </row>
    <row r="775" ht="18" customHeight="1" s="102">
      <c r="A775" s="132" t="n"/>
      <c r="B775" s="133" t="n"/>
      <c r="C775" s="133" t="n"/>
      <c r="D775" s="133" t="n"/>
      <c r="E775" s="133" t="n"/>
      <c r="F775" s="133" t="n"/>
      <c r="G775" s="133" t="n"/>
      <c r="H775" s="133" t="n"/>
      <c r="I775" s="135">
        <f>IF(OR($A775="",$G775=""),"",IF($H775="VAR","KARŞILIKSIZ",IF($G775&gt;=DusukRiskEsik,"DÜŞÜK",IF($G775&gt;=RiskliSkorEsik,"ORTA",IF($G775&gt;=YuksekRiskEsik,"YÜKSEK","KARŞILIKSIZ")))))</f>
        <v/>
      </c>
      <c r="J775" s="133" t="n"/>
      <c r="K775" s="133" t="n"/>
    </row>
    <row r="776" ht="18" customHeight="1" s="102">
      <c r="A776" s="132" t="n"/>
      <c r="B776" s="133" t="n"/>
      <c r="C776" s="133" t="n"/>
      <c r="D776" s="133" t="n"/>
      <c r="E776" s="133" t="n"/>
      <c r="F776" s="133" t="n"/>
      <c r="G776" s="133" t="n"/>
      <c r="H776" s="133" t="n"/>
      <c r="I776" s="135">
        <f>IF(OR($A776="",$G776=""),"",IF($H776="VAR","KARŞILIKSIZ",IF($G776&gt;=DusukRiskEsik,"DÜŞÜK",IF($G776&gt;=RiskliSkorEsik,"ORTA",IF($G776&gt;=YuksekRiskEsik,"YÜKSEK","KARŞILIKSIZ")))))</f>
        <v/>
      </c>
      <c r="J776" s="133" t="n"/>
      <c r="K776" s="133" t="n"/>
    </row>
    <row r="777" ht="18" customHeight="1" s="102">
      <c r="A777" s="132" t="n"/>
      <c r="B777" s="133" t="n"/>
      <c r="C777" s="133" t="n"/>
      <c r="D777" s="133" t="n"/>
      <c r="E777" s="133" t="n"/>
      <c r="F777" s="133" t="n"/>
      <c r="G777" s="133" t="n"/>
      <c r="H777" s="133" t="n"/>
      <c r="I777" s="135">
        <f>IF(OR($A777="",$G777=""),"",IF($H777="VAR","KARŞILIKSIZ",IF($G777&gt;=DusukRiskEsik,"DÜŞÜK",IF($G777&gt;=RiskliSkorEsik,"ORTA",IF($G777&gt;=YuksekRiskEsik,"YÜKSEK","KARŞILIKSIZ")))))</f>
        <v/>
      </c>
      <c r="J777" s="133" t="n"/>
      <c r="K777" s="133" t="n"/>
    </row>
    <row r="778" ht="18" customHeight="1" s="102">
      <c r="A778" s="132" t="n"/>
      <c r="B778" s="133" t="n"/>
      <c r="C778" s="133" t="n"/>
      <c r="D778" s="133" t="n"/>
      <c r="E778" s="133" t="n"/>
      <c r="F778" s="133" t="n"/>
      <c r="G778" s="133" t="n"/>
      <c r="H778" s="133" t="n"/>
      <c r="I778" s="135">
        <f>IF(OR($A778="",$G778=""),"",IF($H778="VAR","KARŞILIKSIZ",IF($G778&gt;=DusukRiskEsik,"DÜŞÜK",IF($G778&gt;=RiskliSkorEsik,"ORTA",IF($G778&gt;=YuksekRiskEsik,"YÜKSEK","KARŞILIKSIZ")))))</f>
        <v/>
      </c>
      <c r="J778" s="133" t="n"/>
      <c r="K778" s="133" t="n"/>
    </row>
    <row r="779" ht="18" customHeight="1" s="102">
      <c r="A779" s="132" t="n"/>
      <c r="B779" s="133" t="n"/>
      <c r="C779" s="133" t="n"/>
      <c r="D779" s="133" t="n"/>
      <c r="E779" s="133" t="n"/>
      <c r="F779" s="133" t="n"/>
      <c r="G779" s="133" t="n"/>
      <c r="H779" s="133" t="n"/>
      <c r="I779" s="135">
        <f>IF(OR($A779="",$G779=""),"",IF($H779="VAR","KARŞILIKSIZ",IF($G779&gt;=DusukRiskEsik,"DÜŞÜK",IF($G779&gt;=RiskliSkorEsik,"ORTA",IF($G779&gt;=YuksekRiskEsik,"YÜKSEK","KARŞILIKSIZ")))))</f>
        <v/>
      </c>
      <c r="J779" s="133" t="n"/>
      <c r="K779" s="133" t="n"/>
    </row>
    <row r="780" ht="18" customHeight="1" s="102">
      <c r="A780" s="132" t="n"/>
      <c r="B780" s="133" t="n"/>
      <c r="C780" s="133" t="n"/>
      <c r="D780" s="133" t="n"/>
      <c r="E780" s="133" t="n"/>
      <c r="F780" s="133" t="n"/>
      <c r="G780" s="133" t="n"/>
      <c r="H780" s="133" t="n"/>
      <c r="I780" s="135">
        <f>IF(OR($A780="",$G780=""),"",IF($H780="VAR","KARŞILIKSIZ",IF($G780&gt;=DusukRiskEsik,"DÜŞÜK",IF($G780&gt;=RiskliSkorEsik,"ORTA",IF($G780&gt;=YuksekRiskEsik,"YÜKSEK","KARŞILIKSIZ")))))</f>
        <v/>
      </c>
      <c r="J780" s="133" t="n"/>
      <c r="K780" s="133" t="n"/>
    </row>
    <row r="781" ht="18" customHeight="1" s="102">
      <c r="A781" s="132" t="n"/>
      <c r="B781" s="133" t="n"/>
      <c r="C781" s="133" t="n"/>
      <c r="D781" s="133" t="n"/>
      <c r="E781" s="133" t="n"/>
      <c r="F781" s="133" t="n"/>
      <c r="G781" s="133" t="n"/>
      <c r="H781" s="133" t="n"/>
      <c r="I781" s="135">
        <f>IF(OR($A781="",$G781=""),"",IF($H781="VAR","KARŞILIKSIZ",IF($G781&gt;=DusukRiskEsik,"DÜŞÜK",IF($G781&gt;=RiskliSkorEsik,"ORTA",IF($G781&gt;=YuksekRiskEsik,"YÜKSEK","KARŞILIKSIZ")))))</f>
        <v/>
      </c>
      <c r="J781" s="133" t="n"/>
      <c r="K781" s="133" t="n"/>
    </row>
    <row r="782" ht="18" customHeight="1" s="102">
      <c r="A782" s="132" t="n"/>
      <c r="B782" s="133" t="n"/>
      <c r="C782" s="133" t="n"/>
      <c r="D782" s="133" t="n"/>
      <c r="E782" s="133" t="n"/>
      <c r="F782" s="133" t="n"/>
      <c r="G782" s="133" t="n"/>
      <c r="H782" s="133" t="n"/>
      <c r="I782" s="135">
        <f>IF(OR($A782="",$G782=""),"",IF($H782="VAR","KARŞILIKSIZ",IF($G782&gt;=DusukRiskEsik,"DÜŞÜK",IF($G782&gt;=RiskliSkorEsik,"ORTA",IF($G782&gt;=YuksekRiskEsik,"YÜKSEK","KARŞILIKSIZ")))))</f>
        <v/>
      </c>
      <c r="J782" s="133" t="n"/>
      <c r="K782" s="133" t="n"/>
    </row>
    <row r="783" ht="18" customHeight="1" s="102">
      <c r="A783" s="132" t="n"/>
      <c r="B783" s="133" t="n"/>
      <c r="C783" s="133" t="n"/>
      <c r="D783" s="133" t="n"/>
      <c r="E783" s="133" t="n"/>
      <c r="F783" s="133" t="n"/>
      <c r="G783" s="133" t="n"/>
      <c r="H783" s="133" t="n"/>
      <c r="I783" s="135">
        <f>IF(OR($A783="",$G783=""),"",IF($H783="VAR","KARŞILIKSIZ",IF($G783&gt;=DusukRiskEsik,"DÜŞÜK",IF($G783&gt;=RiskliSkorEsik,"ORTA",IF($G783&gt;=YuksekRiskEsik,"YÜKSEK","KARŞILIKSIZ")))))</f>
        <v/>
      </c>
      <c r="J783" s="133" t="n"/>
      <c r="K783" s="133" t="n"/>
    </row>
    <row r="784" ht="18" customHeight="1" s="102">
      <c r="A784" s="132" t="n"/>
      <c r="B784" s="133" t="n"/>
      <c r="C784" s="133" t="n"/>
      <c r="D784" s="133" t="n"/>
      <c r="E784" s="133" t="n"/>
      <c r="F784" s="133" t="n"/>
      <c r="G784" s="133" t="n"/>
      <c r="H784" s="133" t="n"/>
      <c r="I784" s="135">
        <f>IF(OR($A784="",$G784=""),"",IF($H784="VAR","KARŞILIKSIZ",IF($G784&gt;=DusukRiskEsik,"DÜŞÜK",IF($G784&gt;=RiskliSkorEsik,"ORTA",IF($G784&gt;=YuksekRiskEsik,"YÜKSEK","KARŞILIKSIZ")))))</f>
        <v/>
      </c>
      <c r="J784" s="133" t="n"/>
      <c r="K784" s="133" t="n"/>
    </row>
    <row r="785" ht="18" customHeight="1" s="102">
      <c r="A785" s="132" t="n"/>
      <c r="B785" s="133" t="n"/>
      <c r="C785" s="133" t="n"/>
      <c r="D785" s="133" t="n"/>
      <c r="E785" s="133" t="n"/>
      <c r="F785" s="133" t="n"/>
      <c r="G785" s="133" t="n"/>
      <c r="H785" s="133" t="n"/>
      <c r="I785" s="135">
        <f>IF(OR($A785="",$G785=""),"",IF($H785="VAR","KARŞILIKSIZ",IF($G785&gt;=DusukRiskEsik,"DÜŞÜK",IF($G785&gt;=RiskliSkorEsik,"ORTA",IF($G785&gt;=YuksekRiskEsik,"YÜKSEK","KARŞILIKSIZ")))))</f>
        <v/>
      </c>
      <c r="J785" s="133" t="n"/>
      <c r="K785" s="133" t="n"/>
    </row>
    <row r="786" ht="18" customHeight="1" s="102">
      <c r="A786" s="132" t="n"/>
      <c r="B786" s="133" t="n"/>
      <c r="C786" s="133" t="n"/>
      <c r="D786" s="133" t="n"/>
      <c r="E786" s="133" t="n"/>
      <c r="F786" s="133" t="n"/>
      <c r="G786" s="133" t="n"/>
      <c r="H786" s="133" t="n"/>
      <c r="I786" s="135">
        <f>IF(OR($A786="",$G786=""),"",IF($H786="VAR","KARŞILIKSIZ",IF($G786&gt;=DusukRiskEsik,"DÜŞÜK",IF($G786&gt;=RiskliSkorEsik,"ORTA",IF($G786&gt;=YuksekRiskEsik,"YÜKSEK","KARŞILIKSIZ")))))</f>
        <v/>
      </c>
      <c r="J786" s="133" t="n"/>
      <c r="K786" s="133" t="n"/>
    </row>
    <row r="787" ht="18" customHeight="1" s="102">
      <c r="A787" s="132" t="n"/>
      <c r="B787" s="133" t="n"/>
      <c r="C787" s="133" t="n"/>
      <c r="D787" s="133" t="n"/>
      <c r="E787" s="133" t="n"/>
      <c r="F787" s="133" t="n"/>
      <c r="G787" s="133" t="n"/>
      <c r="H787" s="133" t="n"/>
      <c r="I787" s="135">
        <f>IF(OR($A787="",$G787=""),"",IF($H787="VAR","KARŞILIKSIZ",IF($G787&gt;=DusukRiskEsik,"DÜŞÜK",IF($G787&gt;=RiskliSkorEsik,"ORTA",IF($G787&gt;=YuksekRiskEsik,"YÜKSEK","KARŞILIKSIZ")))))</f>
        <v/>
      </c>
      <c r="J787" s="133" t="n"/>
      <c r="K787" s="133" t="n"/>
    </row>
    <row r="788" ht="18" customHeight="1" s="102">
      <c r="A788" s="132" t="n"/>
      <c r="B788" s="133" t="n"/>
      <c r="C788" s="133" t="n"/>
      <c r="D788" s="133" t="n"/>
      <c r="E788" s="133" t="n"/>
      <c r="F788" s="133" t="n"/>
      <c r="G788" s="133" t="n"/>
      <c r="H788" s="133" t="n"/>
      <c r="I788" s="135">
        <f>IF(OR($A788="",$G788=""),"",IF($H788="VAR","KARŞILIKSIZ",IF($G788&gt;=DusukRiskEsik,"DÜŞÜK",IF($G788&gt;=RiskliSkorEsik,"ORTA",IF($G788&gt;=YuksekRiskEsik,"YÜKSEK","KARŞILIKSIZ")))))</f>
        <v/>
      </c>
      <c r="J788" s="133" t="n"/>
      <c r="K788" s="133" t="n"/>
    </row>
    <row r="789" ht="18" customHeight="1" s="102">
      <c r="A789" s="132" t="n"/>
      <c r="B789" s="133" t="n"/>
      <c r="C789" s="133" t="n"/>
      <c r="D789" s="133" t="n"/>
      <c r="E789" s="133" t="n"/>
      <c r="F789" s="133" t="n"/>
      <c r="G789" s="133" t="n"/>
      <c r="H789" s="133" t="n"/>
      <c r="I789" s="135">
        <f>IF(OR($A789="",$G789=""),"",IF($H789="VAR","KARŞILIKSIZ",IF($G789&gt;=DusukRiskEsik,"DÜŞÜK",IF($G789&gt;=RiskliSkorEsik,"ORTA",IF($G789&gt;=YuksekRiskEsik,"YÜKSEK","KARŞILIKSIZ")))))</f>
        <v/>
      </c>
      <c r="J789" s="133" t="n"/>
      <c r="K789" s="133" t="n"/>
    </row>
    <row r="790" ht="18" customHeight="1" s="102">
      <c r="A790" s="132" t="n"/>
      <c r="B790" s="133" t="n"/>
      <c r="C790" s="133" t="n"/>
      <c r="D790" s="133" t="n"/>
      <c r="E790" s="133" t="n"/>
      <c r="F790" s="133" t="n"/>
      <c r="G790" s="133" t="n"/>
      <c r="H790" s="133" t="n"/>
      <c r="I790" s="135">
        <f>IF(OR($A790="",$G790=""),"",IF($H790="VAR","KARŞILIKSIZ",IF($G790&gt;=DusukRiskEsik,"DÜŞÜK",IF($G790&gt;=RiskliSkorEsik,"ORTA",IF($G790&gt;=YuksekRiskEsik,"YÜKSEK","KARŞILIKSIZ")))))</f>
        <v/>
      </c>
      <c r="J790" s="133" t="n"/>
      <c r="K790" s="133" t="n"/>
    </row>
    <row r="791" ht="18" customHeight="1" s="102">
      <c r="A791" s="132" t="n"/>
      <c r="B791" s="133" t="n"/>
      <c r="C791" s="133" t="n"/>
      <c r="D791" s="133" t="n"/>
      <c r="E791" s="133" t="n"/>
      <c r="F791" s="133" t="n"/>
      <c r="G791" s="133" t="n"/>
      <c r="H791" s="133" t="n"/>
      <c r="I791" s="135">
        <f>IF(OR($A791="",$G791=""),"",IF($H791="VAR","KARŞILIKSIZ",IF($G791&gt;=DusukRiskEsik,"DÜŞÜK",IF($G791&gt;=RiskliSkorEsik,"ORTA",IF($G791&gt;=YuksekRiskEsik,"YÜKSEK","KARŞILIKSIZ")))))</f>
        <v/>
      </c>
      <c r="J791" s="133" t="n"/>
      <c r="K791" s="133" t="n"/>
    </row>
    <row r="792" ht="18" customHeight="1" s="102">
      <c r="A792" s="132" t="n"/>
      <c r="B792" s="133" t="n"/>
      <c r="C792" s="133" t="n"/>
      <c r="D792" s="133" t="n"/>
      <c r="E792" s="133" t="n"/>
      <c r="F792" s="133" t="n"/>
      <c r="G792" s="133" t="n"/>
      <c r="H792" s="133" t="n"/>
      <c r="I792" s="135">
        <f>IF(OR($A792="",$G792=""),"",IF($H792="VAR","KARŞILIKSIZ",IF($G792&gt;=DusukRiskEsik,"DÜŞÜK",IF($G792&gt;=RiskliSkorEsik,"ORTA",IF($G792&gt;=YuksekRiskEsik,"YÜKSEK","KARŞILIKSIZ")))))</f>
        <v/>
      </c>
      <c r="J792" s="133" t="n"/>
      <c r="K792" s="133" t="n"/>
    </row>
    <row r="793" ht="18" customHeight="1" s="102">
      <c r="A793" s="132" t="n"/>
      <c r="B793" s="133" t="n"/>
      <c r="C793" s="133" t="n"/>
      <c r="D793" s="133" t="n"/>
      <c r="E793" s="133" t="n"/>
      <c r="F793" s="133" t="n"/>
      <c r="G793" s="133" t="n"/>
      <c r="H793" s="133" t="n"/>
      <c r="I793" s="135">
        <f>IF(OR($A793="",$G793=""),"",IF($H793="VAR","KARŞILIKSIZ",IF($G793&gt;=DusukRiskEsik,"DÜŞÜK",IF($G793&gt;=RiskliSkorEsik,"ORTA",IF($G793&gt;=YuksekRiskEsik,"YÜKSEK","KARŞILIKSIZ")))))</f>
        <v/>
      </c>
      <c r="J793" s="133" t="n"/>
      <c r="K793" s="133" t="n"/>
    </row>
    <row r="794" ht="18" customHeight="1" s="102">
      <c r="A794" s="132" t="n"/>
      <c r="B794" s="133" t="n"/>
      <c r="C794" s="133" t="n"/>
      <c r="D794" s="133" t="n"/>
      <c r="E794" s="133" t="n"/>
      <c r="F794" s="133" t="n"/>
      <c r="G794" s="133" t="n"/>
      <c r="H794" s="133" t="n"/>
      <c r="I794" s="135">
        <f>IF(OR($A794="",$G794=""),"",IF($H794="VAR","KARŞILIKSIZ",IF($G794&gt;=DusukRiskEsik,"DÜŞÜK",IF($G794&gt;=RiskliSkorEsik,"ORTA",IF($G794&gt;=YuksekRiskEsik,"YÜKSEK","KARŞILIKSIZ")))))</f>
        <v/>
      </c>
      <c r="J794" s="133" t="n"/>
      <c r="K794" s="133" t="n"/>
    </row>
    <row r="795" ht="18" customHeight="1" s="102">
      <c r="A795" s="132" t="n"/>
      <c r="B795" s="133" t="n"/>
      <c r="C795" s="133" t="n"/>
      <c r="D795" s="133" t="n"/>
      <c r="E795" s="133" t="n"/>
      <c r="F795" s="133" t="n"/>
      <c r="G795" s="133" t="n"/>
      <c r="H795" s="133" t="n"/>
      <c r="I795" s="135">
        <f>IF(OR($A795="",$G795=""),"",IF($H795="VAR","KARŞILIKSIZ",IF($G795&gt;=DusukRiskEsik,"DÜŞÜK",IF($G795&gt;=RiskliSkorEsik,"ORTA",IF($G795&gt;=YuksekRiskEsik,"YÜKSEK","KARŞILIKSIZ")))))</f>
        <v/>
      </c>
      <c r="J795" s="133" t="n"/>
      <c r="K795" s="133" t="n"/>
    </row>
    <row r="796" ht="18" customHeight="1" s="102">
      <c r="A796" s="132" t="n"/>
      <c r="B796" s="133" t="n"/>
      <c r="C796" s="133" t="n"/>
      <c r="D796" s="133" t="n"/>
      <c r="E796" s="133" t="n"/>
      <c r="F796" s="133" t="n"/>
      <c r="G796" s="133" t="n"/>
      <c r="H796" s="133" t="n"/>
      <c r="I796" s="135">
        <f>IF(OR($A796="",$G796=""),"",IF($H796="VAR","KARŞILIKSIZ",IF($G796&gt;=DusukRiskEsik,"DÜŞÜK",IF($G796&gt;=RiskliSkorEsik,"ORTA",IF($G796&gt;=YuksekRiskEsik,"YÜKSEK","KARŞILIKSIZ")))))</f>
        <v/>
      </c>
      <c r="J796" s="133" t="n"/>
      <c r="K796" s="133" t="n"/>
    </row>
    <row r="797" ht="18" customHeight="1" s="102">
      <c r="A797" s="132" t="n"/>
      <c r="B797" s="133" t="n"/>
      <c r="C797" s="133" t="n"/>
      <c r="D797" s="133" t="n"/>
      <c r="E797" s="133" t="n"/>
      <c r="F797" s="133" t="n"/>
      <c r="G797" s="133" t="n"/>
      <c r="H797" s="133" t="n"/>
      <c r="I797" s="135">
        <f>IF(OR($A797="",$G797=""),"",IF($H797="VAR","KARŞILIKSIZ",IF($G797&gt;=DusukRiskEsik,"DÜŞÜK",IF($G797&gt;=RiskliSkorEsik,"ORTA",IF($G797&gt;=YuksekRiskEsik,"YÜKSEK","KARŞILIKSIZ")))))</f>
        <v/>
      </c>
      <c r="J797" s="133" t="n"/>
      <c r="K797" s="133" t="n"/>
    </row>
    <row r="798" ht="18" customHeight="1" s="102">
      <c r="A798" s="132" t="n"/>
      <c r="B798" s="133" t="n"/>
      <c r="C798" s="133" t="n"/>
      <c r="D798" s="133" t="n"/>
      <c r="E798" s="133" t="n"/>
      <c r="F798" s="133" t="n"/>
      <c r="G798" s="133" t="n"/>
      <c r="H798" s="133" t="n"/>
      <c r="I798" s="135">
        <f>IF(OR($A798="",$G798=""),"",IF($H798="VAR","KARŞILIKSIZ",IF($G798&gt;=DusukRiskEsik,"DÜŞÜK",IF($G798&gt;=RiskliSkorEsik,"ORTA",IF($G798&gt;=YuksekRiskEsik,"YÜKSEK","KARŞILIKSIZ")))))</f>
        <v/>
      </c>
      <c r="J798" s="133" t="n"/>
      <c r="K798" s="133" t="n"/>
    </row>
    <row r="799" ht="18" customHeight="1" s="102">
      <c r="A799" s="132" t="n"/>
      <c r="B799" s="133" t="n"/>
      <c r="C799" s="133" t="n"/>
      <c r="D799" s="133" t="n"/>
      <c r="E799" s="133" t="n"/>
      <c r="F799" s="133" t="n"/>
      <c r="G799" s="133" t="n"/>
      <c r="H799" s="133" t="n"/>
      <c r="I799" s="135">
        <f>IF(OR($A799="",$G799=""),"",IF($H799="VAR","KARŞILIKSIZ",IF($G799&gt;=DusukRiskEsik,"DÜŞÜK",IF($G799&gt;=RiskliSkorEsik,"ORTA",IF($G799&gt;=YuksekRiskEsik,"YÜKSEK","KARŞILIKSIZ")))))</f>
        <v/>
      </c>
      <c r="J799" s="133" t="n"/>
      <c r="K799" s="133" t="n"/>
    </row>
    <row r="800" ht="18" customHeight="1" s="102">
      <c r="A800" s="132" t="n"/>
      <c r="B800" s="133" t="n"/>
      <c r="C800" s="133" t="n"/>
      <c r="D800" s="133" t="n"/>
      <c r="E800" s="133" t="n"/>
      <c r="F800" s="133" t="n"/>
      <c r="G800" s="133" t="n"/>
      <c r="H800" s="133" t="n"/>
      <c r="I800" s="135">
        <f>IF(OR($A800="",$G800=""),"",IF($H800="VAR","KARŞILIKSIZ",IF($G800&gt;=DusukRiskEsik,"DÜŞÜK",IF($G800&gt;=RiskliSkorEsik,"ORTA",IF($G800&gt;=YuksekRiskEsik,"YÜKSEK","KARŞILIKSIZ")))))</f>
        <v/>
      </c>
      <c r="J800" s="133" t="n"/>
      <c r="K800" s="133" t="n"/>
    </row>
    <row r="801" ht="18" customHeight="1" s="102">
      <c r="A801" s="132" t="n"/>
      <c r="B801" s="133" t="n"/>
      <c r="C801" s="133" t="n"/>
      <c r="D801" s="133" t="n"/>
      <c r="E801" s="133" t="n"/>
      <c r="F801" s="133" t="n"/>
      <c r="G801" s="133" t="n"/>
      <c r="H801" s="133" t="n"/>
      <c r="I801" s="135">
        <f>IF(OR($A801="",$G801=""),"",IF($H801="VAR","KARŞILIKSIZ",IF($G801&gt;=DusukRiskEsik,"DÜŞÜK",IF($G801&gt;=RiskliSkorEsik,"ORTA",IF($G801&gt;=YuksekRiskEsik,"YÜKSEK","KARŞILIKSIZ")))))</f>
        <v/>
      </c>
      <c r="J801" s="133" t="n"/>
      <c r="K801" s="133" t="n"/>
    </row>
    <row r="802" ht="18" customHeight="1" s="102">
      <c r="A802" s="132" t="n"/>
      <c r="B802" s="133" t="n"/>
      <c r="C802" s="133" t="n"/>
      <c r="D802" s="133" t="n"/>
      <c r="E802" s="133" t="n"/>
      <c r="F802" s="133" t="n"/>
      <c r="G802" s="133" t="n"/>
      <c r="H802" s="133" t="n"/>
      <c r="I802" s="135">
        <f>IF(OR($A802="",$G802=""),"",IF($H802="VAR","KARŞILIKSIZ",IF($G802&gt;=DusukRiskEsik,"DÜŞÜK",IF($G802&gt;=RiskliSkorEsik,"ORTA",IF($G802&gt;=YuksekRiskEsik,"YÜKSEK","KARŞILIKSIZ")))))</f>
        <v/>
      </c>
      <c r="J802" s="133" t="n"/>
      <c r="K802" s="133" t="n"/>
    </row>
    <row r="803" ht="18" customHeight="1" s="102">
      <c r="A803" s="132" t="n"/>
      <c r="B803" s="133" t="n"/>
      <c r="C803" s="133" t="n"/>
      <c r="D803" s="133" t="n"/>
      <c r="E803" s="133" t="n"/>
      <c r="F803" s="133" t="n"/>
      <c r="G803" s="133" t="n"/>
      <c r="H803" s="133" t="n"/>
      <c r="I803" s="135">
        <f>IF(OR($A803="",$G803=""),"",IF($H803="VAR","KARŞILIKSIZ",IF($G803&gt;=DusukRiskEsik,"DÜŞÜK",IF($G803&gt;=RiskliSkorEsik,"ORTA",IF($G803&gt;=YuksekRiskEsik,"YÜKSEK","KARŞILIKSIZ")))))</f>
        <v/>
      </c>
      <c r="J803" s="133" t="n"/>
      <c r="K803" s="133" t="n"/>
    </row>
    <row r="804" ht="18" customHeight="1" s="102">
      <c r="A804" s="132" t="n"/>
      <c r="B804" s="133" t="n"/>
      <c r="C804" s="133" t="n"/>
      <c r="D804" s="133" t="n"/>
      <c r="E804" s="133" t="n"/>
      <c r="F804" s="133" t="n"/>
      <c r="G804" s="133" t="n"/>
      <c r="H804" s="133" t="n"/>
      <c r="I804" s="135">
        <f>IF(OR($A804="",$G804=""),"",IF($H804="VAR","KARŞILIKSIZ",IF($G804&gt;=DusukRiskEsik,"DÜŞÜK",IF($G804&gt;=RiskliSkorEsik,"ORTA",IF($G804&gt;=YuksekRiskEsik,"YÜKSEK","KARŞILIKSIZ")))))</f>
        <v/>
      </c>
      <c r="J804" s="133" t="n"/>
      <c r="K804" s="133" t="n"/>
    </row>
    <row r="805" ht="18" customHeight="1" s="102">
      <c r="A805" s="132" t="n"/>
      <c r="B805" s="133" t="n"/>
      <c r="C805" s="133" t="n"/>
      <c r="D805" s="133" t="n"/>
      <c r="E805" s="133" t="n"/>
      <c r="F805" s="133" t="n"/>
      <c r="G805" s="133" t="n"/>
      <c r="H805" s="133" t="n"/>
      <c r="I805" s="135">
        <f>IF(OR($A805="",$G805=""),"",IF($H805="VAR","KARŞILIKSIZ",IF($G805&gt;=DusukRiskEsik,"DÜŞÜK",IF($G805&gt;=RiskliSkorEsik,"ORTA",IF($G805&gt;=YuksekRiskEsik,"YÜKSEK","KARŞILIKSIZ")))))</f>
        <v/>
      </c>
      <c r="J805" s="133" t="n"/>
      <c r="K805" s="133" t="n"/>
    </row>
    <row r="806" ht="18" customHeight="1" s="102">
      <c r="A806" s="132" t="n"/>
      <c r="B806" s="133" t="n"/>
      <c r="C806" s="133" t="n"/>
      <c r="D806" s="133" t="n"/>
      <c r="E806" s="133" t="n"/>
      <c r="F806" s="133" t="n"/>
      <c r="G806" s="133" t="n"/>
      <c r="H806" s="133" t="n"/>
      <c r="I806" s="135">
        <f>IF(OR($A806="",$G806=""),"",IF($H806="VAR","KARŞILIKSIZ",IF($G806&gt;=DusukRiskEsik,"DÜŞÜK",IF($G806&gt;=RiskliSkorEsik,"ORTA",IF($G806&gt;=YuksekRiskEsik,"YÜKSEK","KARŞILIKSIZ")))))</f>
        <v/>
      </c>
      <c r="J806" s="133" t="n"/>
      <c r="K806" s="133" t="n"/>
    </row>
    <row r="807" ht="18" customHeight="1" s="102">
      <c r="A807" s="132" t="n"/>
      <c r="B807" s="133" t="n"/>
      <c r="C807" s="133" t="n"/>
      <c r="D807" s="133" t="n"/>
      <c r="E807" s="133" t="n"/>
      <c r="F807" s="133" t="n"/>
      <c r="G807" s="133" t="n"/>
      <c r="H807" s="133" t="n"/>
      <c r="I807" s="135">
        <f>IF(OR($A807="",$G807=""),"",IF($H807="VAR","KARŞILIKSIZ",IF($G807&gt;=DusukRiskEsik,"DÜŞÜK",IF($G807&gt;=RiskliSkorEsik,"ORTA",IF($G807&gt;=YuksekRiskEsik,"YÜKSEK","KARŞILIKSIZ")))))</f>
        <v/>
      </c>
      <c r="J807" s="133" t="n"/>
      <c r="K807" s="133" t="n"/>
    </row>
    <row r="808" ht="18" customHeight="1" s="102">
      <c r="A808" s="132" t="n"/>
      <c r="B808" s="133" t="n"/>
      <c r="C808" s="133" t="n"/>
      <c r="D808" s="133" t="n"/>
      <c r="E808" s="133" t="n"/>
      <c r="F808" s="133" t="n"/>
      <c r="G808" s="133" t="n"/>
      <c r="H808" s="133" t="n"/>
      <c r="I808" s="135">
        <f>IF(OR($A808="",$G808=""),"",IF($H808="VAR","KARŞILIKSIZ",IF($G808&gt;=DusukRiskEsik,"DÜŞÜK",IF($G808&gt;=RiskliSkorEsik,"ORTA",IF($G808&gt;=YuksekRiskEsik,"YÜKSEK","KARŞILIKSIZ")))))</f>
        <v/>
      </c>
      <c r="J808" s="133" t="n"/>
      <c r="K808" s="133" t="n"/>
    </row>
    <row r="809" ht="18" customHeight="1" s="102">
      <c r="A809" s="132" t="n"/>
      <c r="B809" s="133" t="n"/>
      <c r="C809" s="133" t="n"/>
      <c r="D809" s="133" t="n"/>
      <c r="E809" s="133" t="n"/>
      <c r="F809" s="133" t="n"/>
      <c r="G809" s="133" t="n"/>
      <c r="H809" s="133" t="n"/>
      <c r="I809" s="135">
        <f>IF(OR($A809="",$G809=""),"",IF($H809="VAR","KARŞILIKSIZ",IF($G809&gt;=DusukRiskEsik,"DÜŞÜK",IF($G809&gt;=RiskliSkorEsik,"ORTA",IF($G809&gt;=YuksekRiskEsik,"YÜKSEK","KARŞILIKSIZ")))))</f>
        <v/>
      </c>
      <c r="J809" s="133" t="n"/>
      <c r="K809" s="133" t="n"/>
    </row>
    <row r="810" ht="18" customHeight="1" s="102">
      <c r="A810" s="132" t="n"/>
      <c r="B810" s="133" t="n"/>
      <c r="C810" s="133" t="n"/>
      <c r="D810" s="133" t="n"/>
      <c r="E810" s="133" t="n"/>
      <c r="F810" s="133" t="n"/>
      <c r="G810" s="133" t="n"/>
      <c r="H810" s="133" t="n"/>
      <c r="I810" s="135">
        <f>IF(OR($A810="",$G810=""),"",IF($H810="VAR","KARŞILIKSIZ",IF($G810&gt;=DusukRiskEsik,"DÜŞÜK",IF($G810&gt;=RiskliSkorEsik,"ORTA",IF($G810&gt;=YuksekRiskEsik,"YÜKSEK","KARŞILIKSIZ")))))</f>
        <v/>
      </c>
      <c r="J810" s="133" t="n"/>
      <c r="K810" s="133" t="n"/>
    </row>
    <row r="811" ht="18" customHeight="1" s="102">
      <c r="A811" s="132" t="n"/>
      <c r="B811" s="133" t="n"/>
      <c r="C811" s="133" t="n"/>
      <c r="D811" s="133" t="n"/>
      <c r="E811" s="133" t="n"/>
      <c r="F811" s="133" t="n"/>
      <c r="G811" s="133" t="n"/>
      <c r="H811" s="133" t="n"/>
      <c r="I811" s="135">
        <f>IF(OR($A811="",$G811=""),"",IF($H811="VAR","KARŞILIKSIZ",IF($G811&gt;=DusukRiskEsik,"DÜŞÜK",IF($G811&gt;=RiskliSkorEsik,"ORTA",IF($G811&gt;=YuksekRiskEsik,"YÜKSEK","KARŞILIKSIZ")))))</f>
        <v/>
      </c>
      <c r="J811" s="133" t="n"/>
      <c r="K811" s="133" t="n"/>
    </row>
    <row r="812" ht="18" customHeight="1" s="102">
      <c r="A812" s="132" t="n"/>
      <c r="B812" s="133" t="n"/>
      <c r="C812" s="133" t="n"/>
      <c r="D812" s="133" t="n"/>
      <c r="E812" s="133" t="n"/>
      <c r="F812" s="133" t="n"/>
      <c r="G812" s="133" t="n"/>
      <c r="H812" s="133" t="n"/>
      <c r="I812" s="135">
        <f>IF(OR($A812="",$G812=""),"",IF($H812="VAR","KARŞILIKSIZ",IF($G812&gt;=DusukRiskEsik,"DÜŞÜK",IF($G812&gt;=RiskliSkorEsik,"ORTA",IF($G812&gt;=YuksekRiskEsik,"YÜKSEK","KARŞILIKSIZ")))))</f>
        <v/>
      </c>
      <c r="J812" s="133" t="n"/>
      <c r="K812" s="133" t="n"/>
    </row>
    <row r="813" ht="18" customHeight="1" s="102">
      <c r="A813" s="132" t="n"/>
      <c r="B813" s="133" t="n"/>
      <c r="C813" s="133" t="n"/>
      <c r="D813" s="133" t="n"/>
      <c r="E813" s="133" t="n"/>
      <c r="F813" s="133" t="n"/>
      <c r="G813" s="133" t="n"/>
      <c r="H813" s="133" t="n"/>
      <c r="I813" s="135">
        <f>IF(OR($A813="",$G813=""),"",IF($H813="VAR","KARŞILIKSIZ",IF($G813&gt;=DusukRiskEsik,"DÜŞÜK",IF($G813&gt;=RiskliSkorEsik,"ORTA",IF($G813&gt;=YuksekRiskEsik,"YÜKSEK","KARŞILIKSIZ")))))</f>
        <v/>
      </c>
      <c r="J813" s="133" t="n"/>
      <c r="K813" s="133" t="n"/>
    </row>
    <row r="814" ht="18" customHeight="1" s="102">
      <c r="A814" s="132" t="n"/>
      <c r="B814" s="133" t="n"/>
      <c r="C814" s="133" t="n"/>
      <c r="D814" s="133" t="n"/>
      <c r="E814" s="133" t="n"/>
      <c r="F814" s="133" t="n"/>
      <c r="G814" s="133" t="n"/>
      <c r="H814" s="133" t="n"/>
      <c r="I814" s="135">
        <f>IF(OR($A814="",$G814=""),"",IF($H814="VAR","KARŞILIKSIZ",IF($G814&gt;=DusukRiskEsik,"DÜŞÜK",IF($G814&gt;=RiskliSkorEsik,"ORTA",IF($G814&gt;=YuksekRiskEsik,"YÜKSEK","KARŞILIKSIZ")))))</f>
        <v/>
      </c>
      <c r="J814" s="133" t="n"/>
      <c r="K814" s="133" t="n"/>
    </row>
    <row r="815" ht="18" customHeight="1" s="102">
      <c r="A815" s="132" t="n"/>
      <c r="B815" s="133" t="n"/>
      <c r="C815" s="133" t="n"/>
      <c r="D815" s="133" t="n"/>
      <c r="E815" s="133" t="n"/>
      <c r="F815" s="133" t="n"/>
      <c r="G815" s="133" t="n"/>
      <c r="H815" s="133" t="n"/>
      <c r="I815" s="135">
        <f>IF(OR($A815="",$G815=""),"",IF($H815="VAR","KARŞILIKSIZ",IF($G815&gt;=DusukRiskEsik,"DÜŞÜK",IF($G815&gt;=RiskliSkorEsik,"ORTA",IF($G815&gt;=YuksekRiskEsik,"YÜKSEK","KARŞILIKSIZ")))))</f>
        <v/>
      </c>
      <c r="J815" s="133" t="n"/>
      <c r="K815" s="133" t="n"/>
    </row>
    <row r="816" ht="18" customHeight="1" s="102">
      <c r="A816" s="132" t="n"/>
      <c r="B816" s="133" t="n"/>
      <c r="C816" s="133" t="n"/>
      <c r="D816" s="133" t="n"/>
      <c r="E816" s="133" t="n"/>
      <c r="F816" s="133" t="n"/>
      <c r="G816" s="133" t="n"/>
      <c r="H816" s="133" t="n"/>
      <c r="I816" s="135">
        <f>IF(OR($A816="",$G816=""),"",IF($H816="VAR","KARŞILIKSIZ",IF($G816&gt;=DusukRiskEsik,"DÜŞÜK",IF($G816&gt;=RiskliSkorEsik,"ORTA",IF($G816&gt;=YuksekRiskEsik,"YÜKSEK","KARŞILIKSIZ")))))</f>
        <v/>
      </c>
      <c r="J816" s="133" t="n"/>
      <c r="K816" s="133" t="n"/>
    </row>
    <row r="817" ht="18" customHeight="1" s="102">
      <c r="A817" s="132" t="n"/>
      <c r="B817" s="133" t="n"/>
      <c r="C817" s="133" t="n"/>
      <c r="D817" s="133" t="n"/>
      <c r="E817" s="133" t="n"/>
      <c r="F817" s="133" t="n"/>
      <c r="G817" s="133" t="n"/>
      <c r="H817" s="133" t="n"/>
      <c r="I817" s="135">
        <f>IF(OR($A817="",$G817=""),"",IF($H817="VAR","KARŞILIKSIZ",IF($G817&gt;=DusukRiskEsik,"DÜŞÜK",IF($G817&gt;=RiskliSkorEsik,"ORTA",IF($G817&gt;=YuksekRiskEsik,"YÜKSEK","KARŞILIKSIZ")))))</f>
        <v/>
      </c>
      <c r="J817" s="133" t="n"/>
      <c r="K817" s="133" t="n"/>
    </row>
    <row r="818" ht="18" customHeight="1" s="102">
      <c r="A818" s="132" t="n"/>
      <c r="B818" s="133" t="n"/>
      <c r="C818" s="133" t="n"/>
      <c r="D818" s="133" t="n"/>
      <c r="E818" s="133" t="n"/>
      <c r="F818" s="133" t="n"/>
      <c r="G818" s="133" t="n"/>
      <c r="H818" s="133" t="n"/>
      <c r="I818" s="135">
        <f>IF(OR($A818="",$G818=""),"",IF($H818="VAR","KARŞILIKSIZ",IF($G818&gt;=DusukRiskEsik,"DÜŞÜK",IF($G818&gt;=RiskliSkorEsik,"ORTA",IF($G818&gt;=YuksekRiskEsik,"YÜKSEK","KARŞILIKSIZ")))))</f>
        <v/>
      </c>
      <c r="J818" s="133" t="n"/>
      <c r="K818" s="133" t="n"/>
    </row>
    <row r="819" ht="18" customHeight="1" s="102">
      <c r="A819" s="132" t="n"/>
      <c r="B819" s="133" t="n"/>
      <c r="C819" s="133" t="n"/>
      <c r="D819" s="133" t="n"/>
      <c r="E819" s="133" t="n"/>
      <c r="F819" s="133" t="n"/>
      <c r="G819" s="133" t="n"/>
      <c r="H819" s="133" t="n"/>
      <c r="I819" s="135">
        <f>IF(OR($A819="",$G819=""),"",IF($H819="VAR","KARŞILIKSIZ",IF($G819&gt;=DusukRiskEsik,"DÜŞÜK",IF($G819&gt;=RiskliSkorEsik,"ORTA",IF($G819&gt;=YuksekRiskEsik,"YÜKSEK","KARŞILIKSIZ")))))</f>
        <v/>
      </c>
      <c r="J819" s="133" t="n"/>
      <c r="K819" s="133" t="n"/>
    </row>
    <row r="820" ht="18" customHeight="1" s="102">
      <c r="A820" s="132" t="n"/>
      <c r="B820" s="133" t="n"/>
      <c r="C820" s="133" t="n"/>
      <c r="D820" s="133" t="n"/>
      <c r="E820" s="133" t="n"/>
      <c r="F820" s="133" t="n"/>
      <c r="G820" s="133" t="n"/>
      <c r="H820" s="133" t="n"/>
      <c r="I820" s="135">
        <f>IF(OR($A820="",$G820=""),"",IF($H820="VAR","KARŞILIKSIZ",IF($G820&gt;=DusukRiskEsik,"DÜŞÜK",IF($G820&gt;=RiskliSkorEsik,"ORTA",IF($G820&gt;=YuksekRiskEsik,"YÜKSEK","KARŞILIKSIZ")))))</f>
        <v/>
      </c>
      <c r="J820" s="133" t="n"/>
      <c r="K820" s="133" t="n"/>
    </row>
    <row r="821" ht="18" customHeight="1" s="102">
      <c r="A821" s="132" t="n"/>
      <c r="B821" s="133" t="n"/>
      <c r="C821" s="133" t="n"/>
      <c r="D821" s="133" t="n"/>
      <c r="E821" s="133" t="n"/>
      <c r="F821" s="133" t="n"/>
      <c r="G821" s="133" t="n"/>
      <c r="H821" s="133" t="n"/>
      <c r="I821" s="135">
        <f>IF(OR($A821="",$G821=""),"",IF($H821="VAR","KARŞILIKSIZ",IF($G821&gt;=DusukRiskEsik,"DÜŞÜK",IF($G821&gt;=RiskliSkorEsik,"ORTA",IF($G821&gt;=YuksekRiskEsik,"YÜKSEK","KARŞILIKSIZ")))))</f>
        <v/>
      </c>
      <c r="J821" s="133" t="n"/>
      <c r="K821" s="133" t="n"/>
    </row>
    <row r="822" ht="18" customHeight="1" s="102">
      <c r="A822" s="132" t="n"/>
      <c r="B822" s="133" t="n"/>
      <c r="C822" s="133" t="n"/>
      <c r="D822" s="133" t="n"/>
      <c r="E822" s="133" t="n"/>
      <c r="F822" s="133" t="n"/>
      <c r="G822" s="133" t="n"/>
      <c r="H822" s="133" t="n"/>
      <c r="I822" s="135">
        <f>IF(OR($A822="",$G822=""),"",IF($H822="VAR","KARŞILIKSIZ",IF($G822&gt;=DusukRiskEsik,"DÜŞÜK",IF($G822&gt;=RiskliSkorEsik,"ORTA",IF($G822&gt;=YuksekRiskEsik,"YÜKSEK","KARŞILIKSIZ")))))</f>
        <v/>
      </c>
      <c r="J822" s="133" t="n"/>
      <c r="K822" s="133" t="n"/>
    </row>
    <row r="823" ht="18" customHeight="1" s="102">
      <c r="A823" s="132" t="n"/>
      <c r="B823" s="133" t="n"/>
      <c r="C823" s="133" t="n"/>
      <c r="D823" s="133" t="n"/>
      <c r="E823" s="133" t="n"/>
      <c r="F823" s="133" t="n"/>
      <c r="G823" s="133" t="n"/>
      <c r="H823" s="133" t="n"/>
      <c r="I823" s="135">
        <f>IF(OR($A823="",$G823=""),"",IF($H823="VAR","KARŞILIKSIZ",IF($G823&gt;=DusukRiskEsik,"DÜŞÜK",IF($G823&gt;=RiskliSkorEsik,"ORTA",IF($G823&gt;=YuksekRiskEsik,"YÜKSEK","KARŞILIKSIZ")))))</f>
        <v/>
      </c>
      <c r="J823" s="133" t="n"/>
      <c r="K823" s="133" t="n"/>
    </row>
    <row r="824" ht="18" customHeight="1" s="102">
      <c r="A824" s="132" t="n"/>
      <c r="B824" s="133" t="n"/>
      <c r="C824" s="133" t="n"/>
      <c r="D824" s="133" t="n"/>
      <c r="E824" s="133" t="n"/>
      <c r="F824" s="133" t="n"/>
      <c r="G824" s="133" t="n"/>
      <c r="H824" s="133" t="n"/>
      <c r="I824" s="135">
        <f>IF(OR($A824="",$G824=""),"",IF($H824="VAR","KARŞILIKSIZ",IF($G824&gt;=DusukRiskEsik,"DÜŞÜK",IF($G824&gt;=RiskliSkorEsik,"ORTA",IF($G824&gt;=YuksekRiskEsik,"YÜKSEK","KARŞILIKSIZ")))))</f>
        <v/>
      </c>
      <c r="J824" s="133" t="n"/>
      <c r="K824" s="133" t="n"/>
    </row>
    <row r="825" ht="18" customHeight="1" s="102">
      <c r="A825" s="132" t="n"/>
      <c r="B825" s="133" t="n"/>
      <c r="C825" s="133" t="n"/>
      <c r="D825" s="133" t="n"/>
      <c r="E825" s="133" t="n"/>
      <c r="F825" s="133" t="n"/>
      <c r="G825" s="133" t="n"/>
      <c r="H825" s="133" t="n"/>
      <c r="I825" s="135">
        <f>IF(OR($A825="",$G825=""),"",IF($H825="VAR","KARŞILIKSIZ",IF($G825&gt;=DusukRiskEsik,"DÜŞÜK",IF($G825&gt;=RiskliSkorEsik,"ORTA",IF($G825&gt;=YuksekRiskEsik,"YÜKSEK","KARŞILIKSIZ")))))</f>
        <v/>
      </c>
      <c r="J825" s="133" t="n"/>
      <c r="K825" s="133" t="n"/>
    </row>
    <row r="826" ht="18" customHeight="1" s="102">
      <c r="A826" s="132" t="n"/>
      <c r="B826" s="133" t="n"/>
      <c r="C826" s="133" t="n"/>
      <c r="D826" s="133" t="n"/>
      <c r="E826" s="133" t="n"/>
      <c r="F826" s="133" t="n"/>
      <c r="G826" s="133" t="n"/>
      <c r="H826" s="133" t="n"/>
      <c r="I826" s="135">
        <f>IF(OR($A826="",$G826=""),"",IF($H826="VAR","KARŞILIKSIZ",IF($G826&gt;=DusukRiskEsik,"DÜŞÜK",IF($G826&gt;=RiskliSkorEsik,"ORTA",IF($G826&gt;=YuksekRiskEsik,"YÜKSEK","KARŞILIKSIZ")))))</f>
        <v/>
      </c>
      <c r="J826" s="133" t="n"/>
      <c r="K826" s="133" t="n"/>
    </row>
    <row r="827" ht="18" customHeight="1" s="102">
      <c r="A827" s="132" t="n"/>
      <c r="B827" s="133" t="n"/>
      <c r="C827" s="133" t="n"/>
      <c r="D827" s="133" t="n"/>
      <c r="E827" s="133" t="n"/>
      <c r="F827" s="133" t="n"/>
      <c r="G827" s="133" t="n"/>
      <c r="H827" s="133" t="n"/>
      <c r="I827" s="135">
        <f>IF(OR($A827="",$G827=""),"",IF($H827="VAR","KARŞILIKSIZ",IF($G827&gt;=DusukRiskEsik,"DÜŞÜK",IF($G827&gt;=RiskliSkorEsik,"ORTA",IF($G827&gt;=YuksekRiskEsik,"YÜKSEK","KARŞILIKSIZ")))))</f>
        <v/>
      </c>
      <c r="J827" s="133" t="n"/>
      <c r="K827" s="133" t="n"/>
    </row>
    <row r="828" ht="18" customHeight="1" s="102">
      <c r="A828" s="132" t="n"/>
      <c r="B828" s="133" t="n"/>
      <c r="C828" s="133" t="n"/>
      <c r="D828" s="133" t="n"/>
      <c r="E828" s="133" t="n"/>
      <c r="F828" s="133" t="n"/>
      <c r="G828" s="133" t="n"/>
      <c r="H828" s="133" t="n"/>
      <c r="I828" s="135">
        <f>IF(OR($A828="",$G828=""),"",IF($H828="VAR","KARŞILIKSIZ",IF($G828&gt;=DusukRiskEsik,"DÜŞÜK",IF($G828&gt;=RiskliSkorEsik,"ORTA",IF($G828&gt;=YuksekRiskEsik,"YÜKSEK","KARŞILIKSIZ")))))</f>
        <v/>
      </c>
      <c r="J828" s="133" t="n"/>
      <c r="K828" s="133" t="n"/>
    </row>
    <row r="829" ht="18" customHeight="1" s="102">
      <c r="A829" s="132" t="n"/>
      <c r="B829" s="133" t="n"/>
      <c r="C829" s="133" t="n"/>
      <c r="D829" s="133" t="n"/>
      <c r="E829" s="133" t="n"/>
      <c r="F829" s="133" t="n"/>
      <c r="G829" s="133" t="n"/>
      <c r="H829" s="133" t="n"/>
      <c r="I829" s="135">
        <f>IF(OR($A829="",$G829=""),"",IF($H829="VAR","KARŞILIKSIZ",IF($G829&gt;=DusukRiskEsik,"DÜŞÜK",IF($G829&gt;=RiskliSkorEsik,"ORTA",IF($G829&gt;=YuksekRiskEsik,"YÜKSEK","KARŞILIKSIZ")))))</f>
        <v/>
      </c>
      <c r="J829" s="133" t="n"/>
      <c r="K829" s="133" t="n"/>
    </row>
    <row r="830" ht="18" customHeight="1" s="102">
      <c r="A830" s="132" t="n"/>
      <c r="B830" s="133" t="n"/>
      <c r="C830" s="133" t="n"/>
      <c r="D830" s="133" t="n"/>
      <c r="E830" s="133" t="n"/>
      <c r="F830" s="133" t="n"/>
      <c r="G830" s="133" t="n"/>
      <c r="H830" s="133" t="n"/>
      <c r="I830" s="135">
        <f>IF(OR($A830="",$G830=""),"",IF($H830="VAR","KARŞILIKSIZ",IF($G830&gt;=DusukRiskEsik,"DÜŞÜK",IF($G830&gt;=RiskliSkorEsik,"ORTA",IF($G830&gt;=YuksekRiskEsik,"YÜKSEK","KARŞILIKSIZ")))))</f>
        <v/>
      </c>
      <c r="J830" s="133" t="n"/>
      <c r="K830" s="133" t="n"/>
    </row>
    <row r="831" ht="18" customHeight="1" s="102">
      <c r="A831" s="132" t="n"/>
      <c r="B831" s="133" t="n"/>
      <c r="C831" s="133" t="n"/>
      <c r="D831" s="133" t="n"/>
      <c r="E831" s="133" t="n"/>
      <c r="F831" s="133" t="n"/>
      <c r="G831" s="133" t="n"/>
      <c r="H831" s="133" t="n"/>
      <c r="I831" s="135">
        <f>IF(OR($A831="",$G831=""),"",IF($H831="VAR","KARŞILIKSIZ",IF($G831&gt;=DusukRiskEsik,"DÜŞÜK",IF($G831&gt;=RiskliSkorEsik,"ORTA",IF($G831&gt;=YuksekRiskEsik,"YÜKSEK","KARŞILIKSIZ")))))</f>
        <v/>
      </c>
      <c r="J831" s="133" t="n"/>
      <c r="K831" s="133" t="n"/>
    </row>
    <row r="832" ht="18" customHeight="1" s="102">
      <c r="A832" s="132" t="n"/>
      <c r="B832" s="133" t="n"/>
      <c r="C832" s="133" t="n"/>
      <c r="D832" s="133" t="n"/>
      <c r="E832" s="133" t="n"/>
      <c r="F832" s="133" t="n"/>
      <c r="G832" s="133" t="n"/>
      <c r="H832" s="133" t="n"/>
      <c r="I832" s="135">
        <f>IF(OR($A832="",$G832=""),"",IF($H832="VAR","KARŞILIKSIZ",IF($G832&gt;=DusukRiskEsik,"DÜŞÜK",IF($G832&gt;=RiskliSkorEsik,"ORTA",IF($G832&gt;=YuksekRiskEsik,"YÜKSEK","KARŞILIKSIZ")))))</f>
        <v/>
      </c>
      <c r="J832" s="133" t="n"/>
      <c r="K832" s="133" t="n"/>
    </row>
    <row r="833" ht="18" customHeight="1" s="102">
      <c r="A833" s="132" t="n"/>
      <c r="B833" s="133" t="n"/>
      <c r="C833" s="133" t="n"/>
      <c r="D833" s="133" t="n"/>
      <c r="E833" s="133" t="n"/>
      <c r="F833" s="133" t="n"/>
      <c r="G833" s="133" t="n"/>
      <c r="H833" s="133" t="n"/>
      <c r="I833" s="135">
        <f>IF(OR($A833="",$G833=""),"",IF($H833="VAR","KARŞILIKSIZ",IF($G833&gt;=DusukRiskEsik,"DÜŞÜK",IF($G833&gt;=RiskliSkorEsik,"ORTA",IF($G833&gt;=YuksekRiskEsik,"YÜKSEK","KARŞILIKSIZ")))))</f>
        <v/>
      </c>
      <c r="J833" s="133" t="n"/>
      <c r="K833" s="133" t="n"/>
    </row>
    <row r="834" ht="18" customHeight="1" s="102">
      <c r="A834" s="132" t="n"/>
      <c r="B834" s="133" t="n"/>
      <c r="C834" s="133" t="n"/>
      <c r="D834" s="133" t="n"/>
      <c r="E834" s="133" t="n"/>
      <c r="F834" s="133" t="n"/>
      <c r="G834" s="133" t="n"/>
      <c r="H834" s="133" t="n"/>
      <c r="I834" s="135">
        <f>IF(OR($A834="",$G834=""),"",IF($H834="VAR","KARŞILIKSIZ",IF($G834&gt;=DusukRiskEsik,"DÜŞÜK",IF($G834&gt;=RiskliSkorEsik,"ORTA",IF($G834&gt;=YuksekRiskEsik,"YÜKSEK","KARŞILIKSIZ")))))</f>
        <v/>
      </c>
      <c r="J834" s="133" t="n"/>
      <c r="K834" s="133" t="n"/>
    </row>
    <row r="835" ht="18" customHeight="1" s="102">
      <c r="A835" s="132" t="n"/>
      <c r="B835" s="133" t="n"/>
      <c r="C835" s="133" t="n"/>
      <c r="D835" s="133" t="n"/>
      <c r="E835" s="133" t="n"/>
      <c r="F835" s="133" t="n"/>
      <c r="G835" s="133" t="n"/>
      <c r="H835" s="133" t="n"/>
      <c r="I835" s="135">
        <f>IF(OR($A835="",$G835=""),"",IF($H835="VAR","KARŞILIKSIZ",IF($G835&gt;=DusukRiskEsik,"DÜŞÜK",IF($G835&gt;=RiskliSkorEsik,"ORTA",IF($G835&gt;=YuksekRiskEsik,"YÜKSEK","KARŞILIKSIZ")))))</f>
        <v/>
      </c>
      <c r="J835" s="133" t="n"/>
      <c r="K835" s="133" t="n"/>
    </row>
    <row r="836" ht="18" customHeight="1" s="102">
      <c r="A836" s="132" t="n"/>
      <c r="B836" s="133" t="n"/>
      <c r="C836" s="133" t="n"/>
      <c r="D836" s="133" t="n"/>
      <c r="E836" s="133" t="n"/>
      <c r="F836" s="133" t="n"/>
      <c r="G836" s="133" t="n"/>
      <c r="H836" s="133" t="n"/>
      <c r="I836" s="135">
        <f>IF(OR($A836="",$G836=""),"",IF($H836="VAR","KARŞILIKSIZ",IF($G836&gt;=DusukRiskEsik,"DÜŞÜK",IF($G836&gt;=RiskliSkorEsik,"ORTA",IF($G836&gt;=YuksekRiskEsik,"YÜKSEK","KARŞILIKSIZ")))))</f>
        <v/>
      </c>
      <c r="J836" s="133" t="n"/>
      <c r="K836" s="133" t="n"/>
    </row>
    <row r="837" ht="18" customHeight="1" s="102">
      <c r="A837" s="132" t="n"/>
      <c r="B837" s="133" t="n"/>
      <c r="C837" s="133" t="n"/>
      <c r="D837" s="133" t="n"/>
      <c r="E837" s="133" t="n"/>
      <c r="F837" s="133" t="n"/>
      <c r="G837" s="133" t="n"/>
      <c r="H837" s="133" t="n"/>
      <c r="I837" s="135">
        <f>IF(OR($A837="",$G837=""),"",IF($H837="VAR","KARŞILIKSIZ",IF($G837&gt;=DusukRiskEsik,"DÜŞÜK",IF($G837&gt;=RiskliSkorEsik,"ORTA",IF($G837&gt;=YuksekRiskEsik,"YÜKSEK","KARŞILIKSIZ")))))</f>
        <v/>
      </c>
      <c r="J837" s="133" t="n"/>
      <c r="K837" s="133" t="n"/>
    </row>
    <row r="838" ht="18" customHeight="1" s="102">
      <c r="A838" s="132" t="n"/>
      <c r="B838" s="133" t="n"/>
      <c r="C838" s="133" t="n"/>
      <c r="D838" s="133" t="n"/>
      <c r="E838" s="133" t="n"/>
      <c r="F838" s="133" t="n"/>
      <c r="G838" s="133" t="n"/>
      <c r="H838" s="133" t="n"/>
      <c r="I838" s="135">
        <f>IF(OR($A838="",$G838=""),"",IF($H838="VAR","KARŞILIKSIZ",IF($G838&gt;=DusukRiskEsik,"DÜŞÜK",IF($G838&gt;=RiskliSkorEsik,"ORTA",IF($G838&gt;=YuksekRiskEsik,"YÜKSEK","KARŞILIKSIZ")))))</f>
        <v/>
      </c>
      <c r="J838" s="133" t="n"/>
      <c r="K838" s="133" t="n"/>
    </row>
    <row r="839" ht="18" customHeight="1" s="102">
      <c r="A839" s="132" t="n"/>
      <c r="B839" s="133" t="n"/>
      <c r="C839" s="133" t="n"/>
      <c r="D839" s="133" t="n"/>
      <c r="E839" s="133" t="n"/>
      <c r="F839" s="133" t="n"/>
      <c r="G839" s="133" t="n"/>
      <c r="H839" s="133" t="n"/>
      <c r="I839" s="135">
        <f>IF(OR($A839="",$G839=""),"",IF($H839="VAR","KARŞILIKSIZ",IF($G839&gt;=DusukRiskEsik,"DÜŞÜK",IF($G839&gt;=RiskliSkorEsik,"ORTA",IF($G839&gt;=YuksekRiskEsik,"YÜKSEK","KARŞILIKSIZ")))))</f>
        <v/>
      </c>
      <c r="J839" s="133" t="n"/>
      <c r="K839" s="133" t="n"/>
    </row>
    <row r="840" ht="18" customHeight="1" s="102">
      <c r="A840" s="132" t="n"/>
      <c r="B840" s="133" t="n"/>
      <c r="C840" s="133" t="n"/>
      <c r="D840" s="133" t="n"/>
      <c r="E840" s="133" t="n"/>
      <c r="F840" s="133" t="n"/>
      <c r="G840" s="133" t="n"/>
      <c r="H840" s="133" t="n"/>
      <c r="I840" s="135">
        <f>IF(OR($A840="",$G840=""),"",IF($H840="VAR","KARŞILIKSIZ",IF($G840&gt;=DusukRiskEsik,"DÜŞÜK",IF($G840&gt;=RiskliSkorEsik,"ORTA",IF($G840&gt;=YuksekRiskEsik,"YÜKSEK","KARŞILIKSIZ")))))</f>
        <v/>
      </c>
      <c r="J840" s="133" t="n"/>
      <c r="K840" s="133" t="n"/>
    </row>
    <row r="841" ht="18" customHeight="1" s="102">
      <c r="A841" s="132" t="n"/>
      <c r="B841" s="133" t="n"/>
      <c r="C841" s="133" t="n"/>
      <c r="D841" s="133" t="n"/>
      <c r="E841" s="133" t="n"/>
      <c r="F841" s="133" t="n"/>
      <c r="G841" s="133" t="n"/>
      <c r="H841" s="133" t="n"/>
      <c r="I841" s="135">
        <f>IF(OR($A841="",$G841=""),"",IF($H841="VAR","KARŞILIKSIZ",IF($G841&gt;=DusukRiskEsik,"DÜŞÜK",IF($G841&gt;=RiskliSkorEsik,"ORTA",IF($G841&gt;=YuksekRiskEsik,"YÜKSEK","KARŞILIKSIZ")))))</f>
        <v/>
      </c>
      <c r="J841" s="133" t="n"/>
      <c r="K841" s="133" t="n"/>
    </row>
    <row r="842" ht="18" customHeight="1" s="102">
      <c r="A842" s="132" t="n"/>
      <c r="B842" s="133" t="n"/>
      <c r="C842" s="133" t="n"/>
      <c r="D842" s="133" t="n"/>
      <c r="E842" s="133" t="n"/>
      <c r="F842" s="133" t="n"/>
      <c r="G842" s="133" t="n"/>
      <c r="H842" s="133" t="n"/>
      <c r="I842" s="135">
        <f>IF(OR($A842="",$G842=""),"",IF($H842="VAR","KARŞILIKSIZ",IF($G842&gt;=DusukRiskEsik,"DÜŞÜK",IF($G842&gt;=RiskliSkorEsik,"ORTA",IF($G842&gt;=YuksekRiskEsik,"YÜKSEK","KARŞILIKSIZ")))))</f>
        <v/>
      </c>
      <c r="J842" s="133" t="n"/>
      <c r="K842" s="133" t="n"/>
    </row>
    <row r="843" ht="18" customHeight="1" s="102">
      <c r="A843" s="132" t="n"/>
      <c r="B843" s="133" t="n"/>
      <c r="C843" s="133" t="n"/>
      <c r="D843" s="133" t="n"/>
      <c r="E843" s="133" t="n"/>
      <c r="F843" s="133" t="n"/>
      <c r="G843" s="133" t="n"/>
      <c r="H843" s="133" t="n"/>
      <c r="I843" s="135">
        <f>IF(OR($A843="",$G843=""),"",IF($H843="VAR","KARŞILIKSIZ",IF($G843&gt;=DusukRiskEsik,"DÜŞÜK",IF($G843&gt;=RiskliSkorEsik,"ORTA",IF($G843&gt;=YuksekRiskEsik,"YÜKSEK","KARŞILIKSIZ")))))</f>
        <v/>
      </c>
      <c r="J843" s="133" t="n"/>
      <c r="K843" s="133" t="n"/>
    </row>
    <row r="844" ht="18" customHeight="1" s="102">
      <c r="A844" s="132" t="n"/>
      <c r="B844" s="133" t="n"/>
      <c r="C844" s="133" t="n"/>
      <c r="D844" s="133" t="n"/>
      <c r="E844" s="133" t="n"/>
      <c r="F844" s="133" t="n"/>
      <c r="G844" s="133" t="n"/>
      <c r="H844" s="133" t="n"/>
      <c r="I844" s="135">
        <f>IF(OR($A844="",$G844=""),"",IF($H844="VAR","KARŞILIKSIZ",IF($G844&gt;=DusukRiskEsik,"DÜŞÜK",IF($G844&gt;=RiskliSkorEsik,"ORTA",IF($G844&gt;=YuksekRiskEsik,"YÜKSEK","KARŞILIKSIZ")))))</f>
        <v/>
      </c>
      <c r="J844" s="133" t="n"/>
      <c r="K844" s="133" t="n"/>
    </row>
    <row r="845" ht="18" customHeight="1" s="102">
      <c r="A845" s="132" t="n"/>
      <c r="B845" s="133" t="n"/>
      <c r="C845" s="133" t="n"/>
      <c r="D845" s="133" t="n"/>
      <c r="E845" s="133" t="n"/>
      <c r="F845" s="133" t="n"/>
      <c r="G845" s="133" t="n"/>
      <c r="H845" s="133" t="n"/>
      <c r="I845" s="135">
        <f>IF(OR($A845="",$G845=""),"",IF($H845="VAR","KARŞILIKSIZ",IF($G845&gt;=DusukRiskEsik,"DÜŞÜK",IF($G845&gt;=RiskliSkorEsik,"ORTA",IF($G845&gt;=YuksekRiskEsik,"YÜKSEK","KARŞILIKSIZ")))))</f>
        <v/>
      </c>
      <c r="J845" s="133" t="n"/>
      <c r="K845" s="133" t="n"/>
    </row>
    <row r="846" ht="18" customHeight="1" s="102">
      <c r="A846" s="132" t="n"/>
      <c r="B846" s="133" t="n"/>
      <c r="C846" s="133" t="n"/>
      <c r="D846" s="133" t="n"/>
      <c r="E846" s="133" t="n"/>
      <c r="F846" s="133" t="n"/>
      <c r="G846" s="133" t="n"/>
      <c r="H846" s="133" t="n"/>
      <c r="I846" s="135">
        <f>IF(OR($A846="",$G846=""),"",IF($H846="VAR","KARŞILIKSIZ",IF($G846&gt;=DusukRiskEsik,"DÜŞÜK",IF($G846&gt;=RiskliSkorEsik,"ORTA",IF($G846&gt;=YuksekRiskEsik,"YÜKSEK","KARŞILIKSIZ")))))</f>
        <v/>
      </c>
      <c r="J846" s="133" t="n"/>
      <c r="K846" s="133" t="n"/>
    </row>
    <row r="847" ht="18" customHeight="1" s="102">
      <c r="A847" s="132" t="n"/>
      <c r="B847" s="133" t="n"/>
      <c r="C847" s="133" t="n"/>
      <c r="D847" s="133" t="n"/>
      <c r="E847" s="133" t="n"/>
      <c r="F847" s="133" t="n"/>
      <c r="G847" s="133" t="n"/>
      <c r="H847" s="133" t="n"/>
      <c r="I847" s="135">
        <f>IF(OR($A847="",$G847=""),"",IF($H847="VAR","KARŞILIKSIZ",IF($G847&gt;=DusukRiskEsik,"DÜŞÜK",IF($G847&gt;=RiskliSkorEsik,"ORTA",IF($G847&gt;=YuksekRiskEsik,"YÜKSEK","KARŞILIKSIZ")))))</f>
        <v/>
      </c>
      <c r="J847" s="133" t="n"/>
      <c r="K847" s="133" t="n"/>
    </row>
    <row r="848" ht="18" customHeight="1" s="102">
      <c r="A848" s="132" t="n"/>
      <c r="B848" s="133" t="n"/>
      <c r="C848" s="133" t="n"/>
      <c r="D848" s="133" t="n"/>
      <c r="E848" s="133" t="n"/>
      <c r="F848" s="133" t="n"/>
      <c r="G848" s="133" t="n"/>
      <c r="H848" s="133" t="n"/>
      <c r="I848" s="135">
        <f>IF(OR($A848="",$G848=""),"",IF($H848="VAR","KARŞILIKSIZ",IF($G848&gt;=DusukRiskEsik,"DÜŞÜK",IF($G848&gt;=RiskliSkorEsik,"ORTA",IF($G848&gt;=YuksekRiskEsik,"YÜKSEK","KARŞILIKSIZ")))))</f>
        <v/>
      </c>
      <c r="J848" s="133" t="n"/>
      <c r="K848" s="133" t="n"/>
    </row>
    <row r="849" ht="18" customHeight="1" s="102">
      <c r="A849" s="132" t="n"/>
      <c r="B849" s="133" t="n"/>
      <c r="C849" s="133" t="n"/>
      <c r="D849" s="133" t="n"/>
      <c r="E849" s="133" t="n"/>
      <c r="F849" s="133" t="n"/>
      <c r="G849" s="133" t="n"/>
      <c r="H849" s="133" t="n"/>
      <c r="I849" s="135">
        <f>IF(OR($A849="",$G849=""),"",IF($H849="VAR","KARŞILIKSIZ",IF($G849&gt;=DusukRiskEsik,"DÜŞÜK",IF($G849&gt;=RiskliSkorEsik,"ORTA",IF($G849&gt;=YuksekRiskEsik,"YÜKSEK","KARŞILIKSIZ")))))</f>
        <v/>
      </c>
      <c r="J849" s="133" t="n"/>
      <c r="K849" s="133" t="n"/>
    </row>
    <row r="850" ht="18" customHeight="1" s="102">
      <c r="A850" s="132" t="n"/>
      <c r="B850" s="133" t="n"/>
      <c r="C850" s="133" t="n"/>
      <c r="D850" s="133" t="n"/>
      <c r="E850" s="133" t="n"/>
      <c r="F850" s="133" t="n"/>
      <c r="G850" s="133" t="n"/>
      <c r="H850" s="133" t="n"/>
      <c r="I850" s="135">
        <f>IF(OR($A850="",$G850=""),"",IF($H850="VAR","KARŞILIKSIZ",IF($G850&gt;=DusukRiskEsik,"DÜŞÜK",IF($G850&gt;=RiskliSkorEsik,"ORTA",IF($G850&gt;=YuksekRiskEsik,"YÜKSEK","KARŞILIKSIZ")))))</f>
        <v/>
      </c>
      <c r="J850" s="133" t="n"/>
      <c r="K850" s="133" t="n"/>
    </row>
    <row r="851" ht="18" customHeight="1" s="102">
      <c r="A851" s="132" t="n"/>
      <c r="B851" s="133" t="n"/>
      <c r="C851" s="133" t="n"/>
      <c r="D851" s="133" t="n"/>
      <c r="E851" s="133" t="n"/>
      <c r="F851" s="133" t="n"/>
      <c r="G851" s="133" t="n"/>
      <c r="H851" s="133" t="n"/>
      <c r="I851" s="135">
        <f>IF(OR($A851="",$G851=""),"",IF($H851="VAR","KARŞILIKSIZ",IF($G851&gt;=DusukRiskEsik,"DÜŞÜK",IF($G851&gt;=RiskliSkorEsik,"ORTA",IF($G851&gt;=YuksekRiskEsik,"YÜKSEK","KARŞILIKSIZ")))))</f>
        <v/>
      </c>
      <c r="J851" s="133" t="n"/>
      <c r="K851" s="133" t="n"/>
    </row>
    <row r="852" ht="18" customHeight="1" s="102">
      <c r="A852" s="132" t="n"/>
      <c r="B852" s="133" t="n"/>
      <c r="C852" s="133" t="n"/>
      <c r="D852" s="133" t="n"/>
      <c r="E852" s="133" t="n"/>
      <c r="F852" s="133" t="n"/>
      <c r="G852" s="133" t="n"/>
      <c r="H852" s="133" t="n"/>
      <c r="I852" s="135">
        <f>IF(OR($A852="",$G852=""),"",IF($H852="VAR","KARŞILIKSIZ",IF($G852&gt;=DusukRiskEsik,"DÜŞÜK",IF($G852&gt;=RiskliSkorEsik,"ORTA",IF($G852&gt;=YuksekRiskEsik,"YÜKSEK","KARŞILIKSIZ")))))</f>
        <v/>
      </c>
      <c r="J852" s="133" t="n"/>
      <c r="K852" s="133" t="n"/>
    </row>
    <row r="853" ht="18" customHeight="1" s="102">
      <c r="A853" s="132" t="n"/>
      <c r="B853" s="133" t="n"/>
      <c r="C853" s="133" t="n"/>
      <c r="D853" s="133" t="n"/>
      <c r="E853" s="133" t="n"/>
      <c r="F853" s="133" t="n"/>
      <c r="G853" s="133" t="n"/>
      <c r="H853" s="133" t="n"/>
      <c r="I853" s="135">
        <f>IF(OR($A853="",$G853=""),"",IF($H853="VAR","KARŞILIKSIZ",IF($G853&gt;=DusukRiskEsik,"DÜŞÜK",IF($G853&gt;=RiskliSkorEsik,"ORTA",IF($G853&gt;=YuksekRiskEsik,"YÜKSEK","KARŞILIKSIZ")))))</f>
        <v/>
      </c>
      <c r="J853" s="133" t="n"/>
      <c r="K853" s="133" t="n"/>
    </row>
    <row r="854" ht="18" customHeight="1" s="102">
      <c r="A854" s="132" t="n"/>
      <c r="B854" s="133" t="n"/>
      <c r="C854" s="133" t="n"/>
      <c r="D854" s="133" t="n"/>
      <c r="E854" s="133" t="n"/>
      <c r="F854" s="133" t="n"/>
      <c r="G854" s="133" t="n"/>
      <c r="H854" s="133" t="n"/>
      <c r="I854" s="135">
        <f>IF(OR($A854="",$G854=""),"",IF($H854="VAR","KARŞILIKSIZ",IF($G854&gt;=DusukRiskEsik,"DÜŞÜK",IF($G854&gt;=RiskliSkorEsik,"ORTA",IF($G854&gt;=YuksekRiskEsik,"YÜKSEK","KARŞILIKSIZ")))))</f>
        <v/>
      </c>
      <c r="J854" s="133" t="n"/>
      <c r="K854" s="133" t="n"/>
    </row>
    <row r="855" ht="18" customHeight="1" s="102">
      <c r="A855" s="132" t="n"/>
      <c r="B855" s="133" t="n"/>
      <c r="C855" s="133" t="n"/>
      <c r="D855" s="133" t="n"/>
      <c r="E855" s="133" t="n"/>
      <c r="F855" s="133" t="n"/>
      <c r="G855" s="133" t="n"/>
      <c r="H855" s="133" t="n"/>
      <c r="I855" s="135">
        <f>IF(OR($A855="",$G855=""),"",IF($H855="VAR","KARŞILIKSIZ",IF($G855&gt;=DusukRiskEsik,"DÜŞÜK",IF($G855&gt;=RiskliSkorEsik,"ORTA",IF($G855&gt;=YuksekRiskEsik,"YÜKSEK","KARŞILIKSIZ")))))</f>
        <v/>
      </c>
      <c r="J855" s="133" t="n"/>
      <c r="K855" s="133" t="n"/>
    </row>
    <row r="856" ht="18" customHeight="1" s="102">
      <c r="A856" s="132" t="n"/>
      <c r="B856" s="133" t="n"/>
      <c r="C856" s="133" t="n"/>
      <c r="D856" s="133" t="n"/>
      <c r="E856" s="133" t="n"/>
      <c r="F856" s="133" t="n"/>
      <c r="G856" s="133" t="n"/>
      <c r="H856" s="133" t="n"/>
      <c r="I856" s="135">
        <f>IF(OR($A856="",$G856=""),"",IF($H856="VAR","KARŞILIKSIZ",IF($G856&gt;=DusukRiskEsik,"DÜŞÜK",IF($G856&gt;=RiskliSkorEsik,"ORTA",IF($G856&gt;=YuksekRiskEsik,"YÜKSEK","KARŞILIKSIZ")))))</f>
        <v/>
      </c>
      <c r="J856" s="133" t="n"/>
      <c r="K856" s="133" t="n"/>
    </row>
    <row r="857" ht="18" customHeight="1" s="102">
      <c r="A857" s="132" t="n"/>
      <c r="B857" s="133" t="n"/>
      <c r="C857" s="133" t="n"/>
      <c r="D857" s="133" t="n"/>
      <c r="E857" s="133" t="n"/>
      <c r="F857" s="133" t="n"/>
      <c r="G857" s="133" t="n"/>
      <c r="H857" s="133" t="n"/>
      <c r="I857" s="135">
        <f>IF(OR($A857="",$G857=""),"",IF($H857="VAR","KARŞILIKSIZ",IF($G857&gt;=DusukRiskEsik,"DÜŞÜK",IF($G857&gt;=RiskliSkorEsik,"ORTA",IF($G857&gt;=YuksekRiskEsik,"YÜKSEK","KARŞILIKSIZ")))))</f>
        <v/>
      </c>
      <c r="J857" s="133" t="n"/>
      <c r="K857" s="133" t="n"/>
    </row>
    <row r="858" ht="18" customHeight="1" s="102">
      <c r="A858" s="132" t="n"/>
      <c r="B858" s="133" t="n"/>
      <c r="C858" s="133" t="n"/>
      <c r="D858" s="133" t="n"/>
      <c r="E858" s="133" t="n"/>
      <c r="F858" s="133" t="n"/>
      <c r="G858" s="133" t="n"/>
      <c r="H858" s="133" t="n"/>
      <c r="I858" s="135">
        <f>IF(OR($A858="",$G858=""),"",IF($H858="VAR","KARŞILIKSIZ",IF($G858&gt;=DusukRiskEsik,"DÜŞÜK",IF($G858&gt;=RiskliSkorEsik,"ORTA",IF($G858&gt;=YuksekRiskEsik,"YÜKSEK","KARŞILIKSIZ")))))</f>
        <v/>
      </c>
      <c r="J858" s="133" t="n"/>
      <c r="K858" s="133" t="n"/>
    </row>
    <row r="859" ht="18" customHeight="1" s="102">
      <c r="A859" s="132" t="n"/>
      <c r="B859" s="133" t="n"/>
      <c r="C859" s="133" t="n"/>
      <c r="D859" s="133" t="n"/>
      <c r="E859" s="133" t="n"/>
      <c r="F859" s="133" t="n"/>
      <c r="G859" s="133" t="n"/>
      <c r="H859" s="133" t="n"/>
      <c r="I859" s="135">
        <f>IF(OR($A859="",$G859=""),"",IF($H859="VAR","KARŞILIKSIZ",IF($G859&gt;=DusukRiskEsik,"DÜŞÜK",IF($G859&gt;=RiskliSkorEsik,"ORTA",IF($G859&gt;=YuksekRiskEsik,"YÜKSEK","KARŞILIKSIZ")))))</f>
        <v/>
      </c>
      <c r="J859" s="133" t="n"/>
      <c r="K859" s="133" t="n"/>
    </row>
    <row r="860" ht="18" customHeight="1" s="102">
      <c r="A860" s="132" t="n"/>
      <c r="B860" s="133" t="n"/>
      <c r="C860" s="133" t="n"/>
      <c r="D860" s="133" t="n"/>
      <c r="E860" s="133" t="n"/>
      <c r="F860" s="133" t="n"/>
      <c r="G860" s="133" t="n"/>
      <c r="H860" s="133" t="n"/>
      <c r="I860" s="135">
        <f>IF(OR($A860="",$G860=""),"",IF($H860="VAR","KARŞILIKSIZ",IF($G860&gt;=DusukRiskEsik,"DÜŞÜK",IF($G860&gt;=RiskliSkorEsik,"ORTA",IF($G860&gt;=YuksekRiskEsik,"YÜKSEK","KARŞILIKSIZ")))))</f>
        <v/>
      </c>
      <c r="J860" s="133" t="n"/>
      <c r="K860" s="133" t="n"/>
    </row>
    <row r="861" ht="18" customHeight="1" s="102">
      <c r="A861" s="132" t="n"/>
      <c r="B861" s="133" t="n"/>
      <c r="C861" s="133" t="n"/>
      <c r="D861" s="133" t="n"/>
      <c r="E861" s="133" t="n"/>
      <c r="F861" s="133" t="n"/>
      <c r="G861" s="133" t="n"/>
      <c r="H861" s="133" t="n"/>
      <c r="I861" s="135">
        <f>IF(OR($A861="",$G861=""),"",IF($H861="VAR","KARŞILIKSIZ",IF($G861&gt;=DusukRiskEsik,"DÜŞÜK",IF($G861&gt;=RiskliSkorEsik,"ORTA",IF($G861&gt;=YuksekRiskEsik,"YÜKSEK","KARŞILIKSIZ")))))</f>
        <v/>
      </c>
      <c r="J861" s="133" t="n"/>
      <c r="K861" s="133" t="n"/>
    </row>
    <row r="862" ht="18" customHeight="1" s="102">
      <c r="A862" s="132" t="n"/>
      <c r="B862" s="133" t="n"/>
      <c r="C862" s="133" t="n"/>
      <c r="D862" s="133" t="n"/>
      <c r="E862" s="133" t="n"/>
      <c r="F862" s="133" t="n"/>
      <c r="G862" s="133" t="n"/>
      <c r="H862" s="133" t="n"/>
      <c r="I862" s="135">
        <f>IF(OR($A862="",$G862=""),"",IF($H862="VAR","KARŞILIKSIZ",IF($G862&gt;=DusukRiskEsik,"DÜŞÜK",IF($G862&gt;=RiskliSkorEsik,"ORTA",IF($G862&gt;=YuksekRiskEsik,"YÜKSEK","KARŞILIKSIZ")))))</f>
        <v/>
      </c>
      <c r="J862" s="133" t="n"/>
      <c r="K862" s="133" t="n"/>
    </row>
    <row r="863" ht="18" customHeight="1" s="102">
      <c r="A863" s="132" t="n"/>
      <c r="B863" s="133" t="n"/>
      <c r="C863" s="133" t="n"/>
      <c r="D863" s="133" t="n"/>
      <c r="E863" s="133" t="n"/>
      <c r="F863" s="133" t="n"/>
      <c r="G863" s="133" t="n"/>
      <c r="H863" s="133" t="n"/>
      <c r="I863" s="135">
        <f>IF(OR($A863="",$G863=""),"",IF($H863="VAR","KARŞILIKSIZ",IF($G863&gt;=DusukRiskEsik,"DÜŞÜK",IF($G863&gt;=RiskliSkorEsik,"ORTA",IF($G863&gt;=YuksekRiskEsik,"YÜKSEK","KARŞILIKSIZ")))))</f>
        <v/>
      </c>
      <c r="J863" s="133" t="n"/>
      <c r="K863" s="133" t="n"/>
    </row>
    <row r="864" ht="18" customHeight="1" s="102">
      <c r="A864" s="132" t="n"/>
      <c r="B864" s="133" t="n"/>
      <c r="C864" s="133" t="n"/>
      <c r="D864" s="133" t="n"/>
      <c r="E864" s="133" t="n"/>
      <c r="F864" s="133" t="n"/>
      <c r="G864" s="133" t="n"/>
      <c r="H864" s="133" t="n"/>
      <c r="I864" s="135">
        <f>IF(OR($A864="",$G864=""),"",IF($H864="VAR","KARŞILIKSIZ",IF($G864&gt;=DusukRiskEsik,"DÜŞÜK",IF($G864&gt;=RiskliSkorEsik,"ORTA",IF($G864&gt;=YuksekRiskEsik,"YÜKSEK","KARŞILIKSIZ")))))</f>
        <v/>
      </c>
      <c r="J864" s="133" t="n"/>
      <c r="K864" s="133" t="n"/>
    </row>
    <row r="865" ht="18" customHeight="1" s="102">
      <c r="A865" s="132" t="n"/>
      <c r="B865" s="133" t="n"/>
      <c r="C865" s="133" t="n"/>
      <c r="D865" s="133" t="n"/>
      <c r="E865" s="133" t="n"/>
      <c r="F865" s="133" t="n"/>
      <c r="G865" s="133" t="n"/>
      <c r="H865" s="133" t="n"/>
      <c r="I865" s="135">
        <f>IF(OR($A865="",$G865=""),"",IF($H865="VAR","KARŞILIKSIZ",IF($G865&gt;=DusukRiskEsik,"DÜŞÜK",IF($G865&gt;=RiskliSkorEsik,"ORTA",IF($G865&gt;=YuksekRiskEsik,"YÜKSEK","KARŞILIKSIZ")))))</f>
        <v/>
      </c>
      <c r="J865" s="133" t="n"/>
      <c r="K865" s="133" t="n"/>
    </row>
    <row r="866" ht="18" customHeight="1" s="102">
      <c r="A866" s="132" t="n"/>
      <c r="B866" s="133" t="n"/>
      <c r="C866" s="133" t="n"/>
      <c r="D866" s="133" t="n"/>
      <c r="E866" s="133" t="n"/>
      <c r="F866" s="133" t="n"/>
      <c r="G866" s="133" t="n"/>
      <c r="H866" s="133" t="n"/>
      <c r="I866" s="135">
        <f>IF(OR($A866="",$G866=""),"",IF($H866="VAR","KARŞILIKSIZ",IF($G866&gt;=DusukRiskEsik,"DÜŞÜK",IF($G866&gt;=RiskliSkorEsik,"ORTA",IF($G866&gt;=YuksekRiskEsik,"YÜKSEK","KARŞILIKSIZ")))))</f>
        <v/>
      </c>
      <c r="J866" s="133" t="n"/>
      <c r="K866" s="133" t="n"/>
    </row>
    <row r="867" ht="18" customHeight="1" s="102">
      <c r="A867" s="132" t="n"/>
      <c r="B867" s="133" t="n"/>
      <c r="C867" s="133" t="n"/>
      <c r="D867" s="133" t="n"/>
      <c r="E867" s="133" t="n"/>
      <c r="F867" s="133" t="n"/>
      <c r="G867" s="133" t="n"/>
      <c r="H867" s="133" t="n"/>
      <c r="I867" s="135">
        <f>IF(OR($A867="",$G867=""),"",IF($H867="VAR","KARŞILIKSIZ",IF($G867&gt;=DusukRiskEsik,"DÜŞÜK",IF($G867&gt;=RiskliSkorEsik,"ORTA",IF($G867&gt;=YuksekRiskEsik,"YÜKSEK","KARŞILIKSIZ")))))</f>
        <v/>
      </c>
      <c r="J867" s="133" t="n"/>
      <c r="K867" s="133" t="n"/>
    </row>
    <row r="868" ht="18" customHeight="1" s="102">
      <c r="A868" s="132" t="n"/>
      <c r="B868" s="133" t="n"/>
      <c r="C868" s="133" t="n"/>
      <c r="D868" s="133" t="n"/>
      <c r="E868" s="133" t="n"/>
      <c r="F868" s="133" t="n"/>
      <c r="G868" s="133" t="n"/>
      <c r="H868" s="133" t="n"/>
      <c r="I868" s="135">
        <f>IF(OR($A868="",$G868=""),"",IF($H868="VAR","KARŞILIKSIZ",IF($G868&gt;=DusukRiskEsik,"DÜŞÜK",IF($G868&gt;=RiskliSkorEsik,"ORTA",IF($G868&gt;=YuksekRiskEsik,"YÜKSEK","KARŞILIKSIZ")))))</f>
        <v/>
      </c>
      <c r="J868" s="133" t="n"/>
      <c r="K868" s="133" t="n"/>
    </row>
    <row r="869" ht="18" customHeight="1" s="102">
      <c r="A869" s="132" t="n"/>
      <c r="B869" s="133" t="n"/>
      <c r="C869" s="133" t="n"/>
      <c r="D869" s="133" t="n"/>
      <c r="E869" s="133" t="n"/>
      <c r="F869" s="133" t="n"/>
      <c r="G869" s="133" t="n"/>
      <c r="H869" s="133" t="n"/>
      <c r="I869" s="135">
        <f>IF(OR($A869="",$G869=""),"",IF($H869="VAR","KARŞILIKSIZ",IF($G869&gt;=DusukRiskEsik,"DÜŞÜK",IF($G869&gt;=RiskliSkorEsik,"ORTA",IF($G869&gt;=YuksekRiskEsik,"YÜKSEK","KARŞILIKSIZ")))))</f>
        <v/>
      </c>
      <c r="J869" s="133" t="n"/>
      <c r="K869" s="133" t="n"/>
    </row>
    <row r="870" ht="18" customHeight="1" s="102">
      <c r="A870" s="132" t="n"/>
      <c r="B870" s="133" t="n"/>
      <c r="C870" s="133" t="n"/>
      <c r="D870" s="133" t="n"/>
      <c r="E870" s="133" t="n"/>
      <c r="F870" s="133" t="n"/>
      <c r="G870" s="133" t="n"/>
      <c r="H870" s="133" t="n"/>
      <c r="I870" s="135">
        <f>IF(OR($A870="",$G870=""),"",IF($H870="VAR","KARŞILIKSIZ",IF($G870&gt;=DusukRiskEsik,"DÜŞÜK",IF($G870&gt;=RiskliSkorEsik,"ORTA",IF($G870&gt;=YuksekRiskEsik,"YÜKSEK","KARŞILIKSIZ")))))</f>
        <v/>
      </c>
      <c r="J870" s="133" t="n"/>
      <c r="K870" s="133" t="n"/>
    </row>
    <row r="871" ht="18" customHeight="1" s="102">
      <c r="A871" s="132" t="n"/>
      <c r="B871" s="133" t="n"/>
      <c r="C871" s="133" t="n"/>
      <c r="D871" s="133" t="n"/>
      <c r="E871" s="133" t="n"/>
      <c r="F871" s="133" t="n"/>
      <c r="G871" s="133" t="n"/>
      <c r="H871" s="133" t="n"/>
      <c r="I871" s="135">
        <f>IF(OR($A871="",$G871=""),"",IF($H871="VAR","KARŞILIKSIZ",IF($G871&gt;=DusukRiskEsik,"DÜŞÜK",IF($G871&gt;=RiskliSkorEsik,"ORTA",IF($G871&gt;=YuksekRiskEsik,"YÜKSEK","KARŞILIKSIZ")))))</f>
        <v/>
      </c>
      <c r="J871" s="133" t="n"/>
      <c r="K871" s="133" t="n"/>
    </row>
    <row r="872" ht="18" customHeight="1" s="102">
      <c r="A872" s="132" t="n"/>
      <c r="B872" s="133" t="n"/>
      <c r="C872" s="133" t="n"/>
      <c r="D872" s="133" t="n"/>
      <c r="E872" s="133" t="n"/>
      <c r="F872" s="133" t="n"/>
      <c r="G872" s="133" t="n"/>
      <c r="H872" s="133" t="n"/>
      <c r="I872" s="135">
        <f>IF(OR($A872="",$G872=""),"",IF($H872="VAR","KARŞILIKSIZ",IF($G872&gt;=DusukRiskEsik,"DÜŞÜK",IF($G872&gt;=RiskliSkorEsik,"ORTA",IF($G872&gt;=YuksekRiskEsik,"YÜKSEK","KARŞILIKSIZ")))))</f>
        <v/>
      </c>
      <c r="J872" s="133" t="n"/>
      <c r="K872" s="133" t="n"/>
    </row>
    <row r="873" ht="18" customHeight="1" s="102">
      <c r="A873" s="132" t="n"/>
      <c r="B873" s="133" t="n"/>
      <c r="C873" s="133" t="n"/>
      <c r="D873" s="133" t="n"/>
      <c r="E873" s="133" t="n"/>
      <c r="F873" s="133" t="n"/>
      <c r="G873" s="133" t="n"/>
      <c r="H873" s="133" t="n"/>
      <c r="I873" s="135">
        <f>IF(OR($A873="",$G873=""),"",IF($H873="VAR","KARŞILIKSIZ",IF($G873&gt;=DusukRiskEsik,"DÜŞÜK",IF($G873&gt;=RiskliSkorEsik,"ORTA",IF($G873&gt;=YuksekRiskEsik,"YÜKSEK","KARŞILIKSIZ")))))</f>
        <v/>
      </c>
      <c r="J873" s="133" t="n"/>
      <c r="K873" s="133" t="n"/>
    </row>
    <row r="874" ht="18" customHeight="1" s="102">
      <c r="A874" s="132" t="n"/>
      <c r="B874" s="133" t="n"/>
      <c r="C874" s="133" t="n"/>
      <c r="D874" s="133" t="n"/>
      <c r="E874" s="133" t="n"/>
      <c r="F874" s="133" t="n"/>
      <c r="G874" s="133" t="n"/>
      <c r="H874" s="133" t="n"/>
      <c r="I874" s="135">
        <f>IF(OR($A874="",$G874=""),"",IF($H874="VAR","KARŞILIKSIZ",IF($G874&gt;=DusukRiskEsik,"DÜŞÜK",IF($G874&gt;=RiskliSkorEsik,"ORTA",IF($G874&gt;=YuksekRiskEsik,"YÜKSEK","KARŞILIKSIZ")))))</f>
        <v/>
      </c>
      <c r="J874" s="133" t="n"/>
      <c r="K874" s="133" t="n"/>
    </row>
    <row r="875" ht="18" customHeight="1" s="102">
      <c r="A875" s="132" t="n"/>
      <c r="B875" s="133" t="n"/>
      <c r="C875" s="133" t="n"/>
      <c r="D875" s="133" t="n"/>
      <c r="E875" s="133" t="n"/>
      <c r="F875" s="133" t="n"/>
      <c r="G875" s="133" t="n"/>
      <c r="H875" s="133" t="n"/>
      <c r="I875" s="135">
        <f>IF(OR($A875="",$G875=""),"",IF($H875="VAR","KARŞILIKSIZ",IF($G875&gt;=DusukRiskEsik,"DÜŞÜK",IF($G875&gt;=RiskliSkorEsik,"ORTA",IF($G875&gt;=YuksekRiskEsik,"YÜKSEK","KARŞILIKSIZ")))))</f>
        <v/>
      </c>
      <c r="J875" s="133" t="n"/>
      <c r="K875" s="133" t="n"/>
    </row>
    <row r="876" ht="18" customHeight="1" s="102">
      <c r="A876" s="132" t="n"/>
      <c r="B876" s="133" t="n"/>
      <c r="C876" s="133" t="n"/>
      <c r="D876" s="133" t="n"/>
      <c r="E876" s="133" t="n"/>
      <c r="F876" s="133" t="n"/>
      <c r="G876" s="133" t="n"/>
      <c r="H876" s="133" t="n"/>
      <c r="I876" s="135">
        <f>IF(OR($A876="",$G876=""),"",IF($H876="VAR","KARŞILIKSIZ",IF($G876&gt;=DusukRiskEsik,"DÜŞÜK",IF($G876&gt;=RiskliSkorEsik,"ORTA",IF($G876&gt;=YuksekRiskEsik,"YÜKSEK","KARŞILIKSIZ")))))</f>
        <v/>
      </c>
      <c r="J876" s="133" t="n"/>
      <c r="K876" s="133" t="n"/>
    </row>
    <row r="877" ht="18" customHeight="1" s="102">
      <c r="A877" s="132" t="n"/>
      <c r="B877" s="133" t="n"/>
      <c r="C877" s="133" t="n"/>
      <c r="D877" s="133" t="n"/>
      <c r="E877" s="133" t="n"/>
      <c r="F877" s="133" t="n"/>
      <c r="G877" s="133" t="n"/>
      <c r="H877" s="133" t="n"/>
      <c r="I877" s="135">
        <f>IF(OR($A877="",$G877=""),"",IF($H877="VAR","KARŞILIKSIZ",IF($G877&gt;=DusukRiskEsik,"DÜŞÜK",IF($G877&gt;=RiskliSkorEsik,"ORTA",IF($G877&gt;=YuksekRiskEsik,"YÜKSEK","KARŞILIKSIZ")))))</f>
        <v/>
      </c>
      <c r="J877" s="133" t="n"/>
      <c r="K877" s="133" t="n"/>
    </row>
    <row r="878" ht="18" customHeight="1" s="102">
      <c r="A878" s="132" t="n"/>
      <c r="B878" s="133" t="n"/>
      <c r="C878" s="133" t="n"/>
      <c r="D878" s="133" t="n"/>
      <c r="E878" s="133" t="n"/>
      <c r="F878" s="133" t="n"/>
      <c r="G878" s="133" t="n"/>
      <c r="H878" s="133" t="n"/>
      <c r="I878" s="135">
        <f>IF(OR($A878="",$G878=""),"",IF($H878="VAR","KARŞILIKSIZ",IF($G878&gt;=DusukRiskEsik,"DÜŞÜK",IF($G878&gt;=RiskliSkorEsik,"ORTA",IF($G878&gt;=YuksekRiskEsik,"YÜKSEK","KARŞILIKSIZ")))))</f>
        <v/>
      </c>
      <c r="J878" s="133" t="n"/>
      <c r="K878" s="133" t="n"/>
    </row>
    <row r="879" ht="18" customHeight="1" s="102">
      <c r="A879" s="132" t="n"/>
      <c r="B879" s="133" t="n"/>
      <c r="C879" s="133" t="n"/>
      <c r="D879" s="133" t="n"/>
      <c r="E879" s="133" t="n"/>
      <c r="F879" s="133" t="n"/>
      <c r="G879" s="133" t="n"/>
      <c r="H879" s="133" t="n"/>
      <c r="I879" s="135">
        <f>IF(OR($A879="",$G879=""),"",IF($H879="VAR","KARŞILIKSIZ",IF($G879&gt;=DusukRiskEsik,"DÜŞÜK",IF($G879&gt;=RiskliSkorEsik,"ORTA",IF($G879&gt;=YuksekRiskEsik,"YÜKSEK","KARŞILIKSIZ")))))</f>
        <v/>
      </c>
      <c r="J879" s="133" t="n"/>
      <c r="K879" s="133" t="n"/>
    </row>
    <row r="880" ht="18" customHeight="1" s="102">
      <c r="A880" s="132" t="n"/>
      <c r="B880" s="133" t="n"/>
      <c r="C880" s="133" t="n"/>
      <c r="D880" s="133" t="n"/>
      <c r="E880" s="133" t="n"/>
      <c r="F880" s="133" t="n"/>
      <c r="G880" s="133" t="n"/>
      <c r="H880" s="133" t="n"/>
      <c r="I880" s="135">
        <f>IF(OR($A880="",$G880=""),"",IF($H880="VAR","KARŞILIKSIZ",IF($G880&gt;=DusukRiskEsik,"DÜŞÜK",IF($G880&gt;=RiskliSkorEsik,"ORTA",IF($G880&gt;=YuksekRiskEsik,"YÜKSEK","KARŞILIKSIZ")))))</f>
        <v/>
      </c>
      <c r="J880" s="133" t="n"/>
      <c r="K880" s="133" t="n"/>
    </row>
    <row r="881" ht="18" customHeight="1" s="102">
      <c r="A881" s="132" t="n"/>
      <c r="B881" s="133" t="n"/>
      <c r="C881" s="133" t="n"/>
      <c r="D881" s="133" t="n"/>
      <c r="E881" s="133" t="n"/>
      <c r="F881" s="133" t="n"/>
      <c r="G881" s="133" t="n"/>
      <c r="H881" s="133" t="n"/>
      <c r="I881" s="135">
        <f>IF(OR($A881="",$G881=""),"",IF($H881="VAR","KARŞILIKSIZ",IF($G881&gt;=DusukRiskEsik,"DÜŞÜK",IF($G881&gt;=RiskliSkorEsik,"ORTA",IF($G881&gt;=YuksekRiskEsik,"YÜKSEK","KARŞILIKSIZ")))))</f>
        <v/>
      </c>
      <c r="J881" s="133" t="n"/>
      <c r="K881" s="133" t="n"/>
    </row>
    <row r="882" ht="18" customHeight="1" s="102">
      <c r="A882" s="132" t="n"/>
      <c r="B882" s="133" t="n"/>
      <c r="C882" s="133" t="n"/>
      <c r="D882" s="133" t="n"/>
      <c r="E882" s="133" t="n"/>
      <c r="F882" s="133" t="n"/>
      <c r="G882" s="133" t="n"/>
      <c r="H882" s="133" t="n"/>
      <c r="I882" s="135">
        <f>IF(OR($A882="",$G882=""),"",IF($H882="VAR","KARŞILIKSIZ",IF($G882&gt;=DusukRiskEsik,"DÜŞÜK",IF($G882&gt;=RiskliSkorEsik,"ORTA",IF($G882&gt;=YuksekRiskEsik,"YÜKSEK","KARŞILIKSIZ")))))</f>
        <v/>
      </c>
      <c r="J882" s="133" t="n"/>
      <c r="K882" s="133" t="n"/>
    </row>
    <row r="883" ht="18" customHeight="1" s="102">
      <c r="A883" s="132" t="n"/>
      <c r="B883" s="133" t="n"/>
      <c r="C883" s="133" t="n"/>
      <c r="D883" s="133" t="n"/>
      <c r="E883" s="133" t="n"/>
      <c r="F883" s="133" t="n"/>
      <c r="G883" s="133" t="n"/>
      <c r="H883" s="133" t="n"/>
      <c r="I883" s="135">
        <f>IF(OR($A883="",$G883=""),"",IF($H883="VAR","KARŞILIKSIZ",IF($G883&gt;=DusukRiskEsik,"DÜŞÜK",IF($G883&gt;=RiskliSkorEsik,"ORTA",IF($G883&gt;=YuksekRiskEsik,"YÜKSEK","KARŞILIKSIZ")))))</f>
        <v/>
      </c>
      <c r="J883" s="133" t="n"/>
      <c r="K883" s="133" t="n"/>
    </row>
    <row r="884" ht="18" customHeight="1" s="102">
      <c r="A884" s="132" t="n"/>
      <c r="B884" s="133" t="n"/>
      <c r="C884" s="133" t="n"/>
      <c r="D884" s="133" t="n"/>
      <c r="E884" s="133" t="n"/>
      <c r="F884" s="133" t="n"/>
      <c r="G884" s="133" t="n"/>
      <c r="H884" s="133" t="n"/>
      <c r="I884" s="135">
        <f>IF(OR($A884="",$G884=""),"",IF($H884="VAR","KARŞILIKSIZ",IF($G884&gt;=DusukRiskEsik,"DÜŞÜK",IF($G884&gt;=RiskliSkorEsik,"ORTA",IF($G884&gt;=YuksekRiskEsik,"YÜKSEK","KARŞILIKSIZ")))))</f>
        <v/>
      </c>
      <c r="J884" s="133" t="n"/>
      <c r="K884" s="133" t="n"/>
    </row>
    <row r="885" ht="18" customHeight="1" s="102">
      <c r="A885" s="132" t="n"/>
      <c r="B885" s="133" t="n"/>
      <c r="C885" s="133" t="n"/>
      <c r="D885" s="133" t="n"/>
      <c r="E885" s="133" t="n"/>
      <c r="F885" s="133" t="n"/>
      <c r="G885" s="133" t="n"/>
      <c r="H885" s="133" t="n"/>
      <c r="I885" s="135">
        <f>IF(OR($A885="",$G885=""),"",IF($H885="VAR","KARŞILIKSIZ",IF($G885&gt;=DusukRiskEsik,"DÜŞÜK",IF($G885&gt;=RiskliSkorEsik,"ORTA",IF($G885&gt;=YuksekRiskEsik,"YÜKSEK","KARŞILIKSIZ")))))</f>
        <v/>
      </c>
      <c r="J885" s="133" t="n"/>
      <c r="K885" s="133" t="n"/>
    </row>
    <row r="886" ht="18" customHeight="1" s="102">
      <c r="A886" s="132" t="n"/>
      <c r="B886" s="133" t="n"/>
      <c r="C886" s="133" t="n"/>
      <c r="D886" s="133" t="n"/>
      <c r="E886" s="133" t="n"/>
      <c r="F886" s="133" t="n"/>
      <c r="G886" s="133" t="n"/>
      <c r="H886" s="133" t="n"/>
      <c r="I886" s="135">
        <f>IF(OR($A886="",$G886=""),"",IF($H886="VAR","KARŞILIKSIZ",IF($G886&gt;=DusukRiskEsik,"DÜŞÜK",IF($G886&gt;=RiskliSkorEsik,"ORTA",IF($G886&gt;=YuksekRiskEsik,"YÜKSEK","KARŞILIKSIZ")))))</f>
        <v/>
      </c>
      <c r="J886" s="133" t="n"/>
      <c r="K886" s="133" t="n"/>
    </row>
    <row r="887" ht="18" customHeight="1" s="102">
      <c r="A887" s="132" t="n"/>
      <c r="B887" s="133" t="n"/>
      <c r="C887" s="133" t="n"/>
      <c r="D887" s="133" t="n"/>
      <c r="E887" s="133" t="n"/>
      <c r="F887" s="133" t="n"/>
      <c r="G887" s="133" t="n"/>
      <c r="H887" s="133" t="n"/>
      <c r="I887" s="135">
        <f>IF(OR($A887="",$G887=""),"",IF($H887="VAR","KARŞILIKSIZ",IF($G887&gt;=DusukRiskEsik,"DÜŞÜK",IF($G887&gt;=RiskliSkorEsik,"ORTA",IF($G887&gt;=YuksekRiskEsik,"YÜKSEK","KARŞILIKSIZ")))))</f>
        <v/>
      </c>
      <c r="J887" s="133" t="n"/>
      <c r="K887" s="133" t="n"/>
    </row>
    <row r="888" ht="18" customHeight="1" s="102">
      <c r="A888" s="132" t="n"/>
      <c r="B888" s="133" t="n"/>
      <c r="C888" s="133" t="n"/>
      <c r="D888" s="133" t="n"/>
      <c r="E888" s="133" t="n"/>
      <c r="F888" s="133" t="n"/>
      <c r="G888" s="133" t="n"/>
      <c r="H888" s="133" t="n"/>
      <c r="I888" s="135">
        <f>IF(OR($A888="",$G888=""),"",IF($H888="VAR","KARŞILIKSIZ",IF($G888&gt;=DusukRiskEsik,"DÜŞÜK",IF($G888&gt;=RiskliSkorEsik,"ORTA",IF($G888&gt;=YuksekRiskEsik,"YÜKSEK","KARŞILIKSIZ")))))</f>
        <v/>
      </c>
      <c r="J888" s="133" t="n"/>
      <c r="K888" s="133" t="n"/>
    </row>
    <row r="889" ht="18" customHeight="1" s="102">
      <c r="A889" s="132" t="n"/>
      <c r="B889" s="133" t="n"/>
      <c r="C889" s="133" t="n"/>
      <c r="D889" s="133" t="n"/>
      <c r="E889" s="133" t="n"/>
      <c r="F889" s="133" t="n"/>
      <c r="G889" s="133" t="n"/>
      <c r="H889" s="133" t="n"/>
      <c r="I889" s="135">
        <f>IF(OR($A889="",$G889=""),"",IF($H889="VAR","KARŞILIKSIZ",IF($G889&gt;=DusukRiskEsik,"DÜŞÜK",IF($G889&gt;=RiskliSkorEsik,"ORTA",IF($G889&gt;=YuksekRiskEsik,"YÜKSEK","KARŞILIKSIZ")))))</f>
        <v/>
      </c>
      <c r="J889" s="133" t="n"/>
      <c r="K889" s="133" t="n"/>
    </row>
    <row r="890" ht="18" customHeight="1" s="102">
      <c r="A890" s="132" t="n"/>
      <c r="B890" s="133" t="n"/>
      <c r="C890" s="133" t="n"/>
      <c r="D890" s="133" t="n"/>
      <c r="E890" s="133" t="n"/>
      <c r="F890" s="133" t="n"/>
      <c r="G890" s="133" t="n"/>
      <c r="H890" s="133" t="n"/>
      <c r="I890" s="135">
        <f>IF(OR($A890="",$G890=""),"",IF($H890="VAR","KARŞILIKSIZ",IF($G890&gt;=DusukRiskEsik,"DÜŞÜK",IF($G890&gt;=RiskliSkorEsik,"ORTA",IF($G890&gt;=YuksekRiskEsik,"YÜKSEK","KARŞILIKSIZ")))))</f>
        <v/>
      </c>
      <c r="J890" s="133" t="n"/>
      <c r="K890" s="133" t="n"/>
    </row>
    <row r="891" ht="18" customHeight="1" s="102">
      <c r="A891" s="132" t="n"/>
      <c r="B891" s="133" t="n"/>
      <c r="C891" s="133" t="n"/>
      <c r="D891" s="133" t="n"/>
      <c r="E891" s="133" t="n"/>
      <c r="F891" s="133" t="n"/>
      <c r="G891" s="133" t="n"/>
      <c r="H891" s="133" t="n"/>
      <c r="I891" s="135">
        <f>IF(OR($A891="",$G891=""),"",IF($H891="VAR","KARŞILIKSIZ",IF($G891&gt;=DusukRiskEsik,"DÜŞÜK",IF($G891&gt;=RiskliSkorEsik,"ORTA",IF($G891&gt;=YuksekRiskEsik,"YÜKSEK","KARŞILIKSIZ")))))</f>
        <v/>
      </c>
      <c r="J891" s="133" t="n"/>
      <c r="K891" s="133" t="n"/>
    </row>
    <row r="892" ht="18" customHeight="1" s="102">
      <c r="A892" s="132" t="n"/>
      <c r="B892" s="133" t="n"/>
      <c r="C892" s="133" t="n"/>
      <c r="D892" s="133" t="n"/>
      <c r="E892" s="133" t="n"/>
      <c r="F892" s="133" t="n"/>
      <c r="G892" s="133" t="n"/>
      <c r="H892" s="133" t="n"/>
      <c r="I892" s="135">
        <f>IF(OR($A892="",$G892=""),"",IF($H892="VAR","KARŞILIKSIZ",IF($G892&gt;=DusukRiskEsik,"DÜŞÜK",IF($G892&gt;=RiskliSkorEsik,"ORTA",IF($G892&gt;=YuksekRiskEsik,"YÜKSEK","KARŞILIKSIZ")))))</f>
        <v/>
      </c>
      <c r="J892" s="133" t="n"/>
      <c r="K892" s="133" t="n"/>
    </row>
    <row r="893" ht="18" customHeight="1" s="102">
      <c r="A893" s="132" t="n"/>
      <c r="B893" s="133" t="n"/>
      <c r="C893" s="133" t="n"/>
      <c r="D893" s="133" t="n"/>
      <c r="E893" s="133" t="n"/>
      <c r="F893" s="133" t="n"/>
      <c r="G893" s="133" t="n"/>
      <c r="H893" s="133" t="n"/>
      <c r="I893" s="135">
        <f>IF(OR($A893="",$G893=""),"",IF($H893="VAR","KARŞILIKSIZ",IF($G893&gt;=DusukRiskEsik,"DÜŞÜK",IF($G893&gt;=RiskliSkorEsik,"ORTA",IF($G893&gt;=YuksekRiskEsik,"YÜKSEK","KARŞILIKSIZ")))))</f>
        <v/>
      </c>
      <c r="J893" s="133" t="n"/>
      <c r="K893" s="133" t="n"/>
    </row>
    <row r="894" ht="18" customHeight="1" s="102">
      <c r="A894" s="132" t="n"/>
      <c r="B894" s="133" t="n"/>
      <c r="C894" s="133" t="n"/>
      <c r="D894" s="133" t="n"/>
      <c r="E894" s="133" t="n"/>
      <c r="F894" s="133" t="n"/>
      <c r="G894" s="133" t="n"/>
      <c r="H894" s="133" t="n"/>
      <c r="I894" s="135">
        <f>IF(OR($A894="",$G894=""),"",IF($H894="VAR","KARŞILIKSIZ",IF($G894&gt;=DusukRiskEsik,"DÜŞÜK",IF($G894&gt;=RiskliSkorEsik,"ORTA",IF($G894&gt;=YuksekRiskEsik,"YÜKSEK","KARŞILIKSIZ")))))</f>
        <v/>
      </c>
      <c r="J894" s="133" t="n"/>
      <c r="K894" s="133" t="n"/>
    </row>
    <row r="895" ht="18" customHeight="1" s="102">
      <c r="A895" s="132" t="n"/>
      <c r="B895" s="133" t="n"/>
      <c r="C895" s="133" t="n"/>
      <c r="D895" s="133" t="n"/>
      <c r="E895" s="133" t="n"/>
      <c r="F895" s="133" t="n"/>
      <c r="G895" s="133" t="n"/>
      <c r="H895" s="133" t="n"/>
      <c r="I895" s="135">
        <f>IF(OR($A895="",$G895=""),"",IF($H895="VAR","KARŞILIKSIZ",IF($G895&gt;=DusukRiskEsik,"DÜŞÜK",IF($G895&gt;=RiskliSkorEsik,"ORTA",IF($G895&gt;=YuksekRiskEsik,"YÜKSEK","KARŞILIKSIZ")))))</f>
        <v/>
      </c>
      <c r="J895" s="133" t="n"/>
      <c r="K895" s="133" t="n"/>
    </row>
    <row r="896" ht="18" customHeight="1" s="102">
      <c r="A896" s="132" t="n"/>
      <c r="B896" s="133" t="n"/>
      <c r="C896" s="133" t="n"/>
      <c r="D896" s="133" t="n"/>
      <c r="E896" s="133" t="n"/>
      <c r="F896" s="133" t="n"/>
      <c r="G896" s="133" t="n"/>
      <c r="H896" s="133" t="n"/>
      <c r="I896" s="135">
        <f>IF(OR($A896="",$G896=""),"",IF($H896="VAR","KARŞILIKSIZ",IF($G896&gt;=DusukRiskEsik,"DÜŞÜK",IF($G896&gt;=RiskliSkorEsik,"ORTA",IF($G896&gt;=YuksekRiskEsik,"YÜKSEK","KARŞILIKSIZ")))))</f>
        <v/>
      </c>
      <c r="J896" s="133" t="n"/>
      <c r="K896" s="133" t="n"/>
    </row>
    <row r="897" ht="18" customHeight="1" s="102">
      <c r="A897" s="132" t="n"/>
      <c r="B897" s="133" t="n"/>
      <c r="C897" s="133" t="n"/>
      <c r="D897" s="133" t="n"/>
      <c r="E897" s="133" t="n"/>
      <c r="F897" s="133" t="n"/>
      <c r="G897" s="133" t="n"/>
      <c r="H897" s="133" t="n"/>
      <c r="I897" s="135">
        <f>IF(OR($A897="",$G897=""),"",IF($H897="VAR","KARŞILIKSIZ",IF($G897&gt;=DusukRiskEsik,"DÜŞÜK",IF($G897&gt;=RiskliSkorEsik,"ORTA",IF($G897&gt;=YuksekRiskEsik,"YÜKSEK","KARŞILIKSIZ")))))</f>
        <v/>
      </c>
      <c r="J897" s="133" t="n"/>
      <c r="K897" s="133" t="n"/>
    </row>
    <row r="898" ht="18" customHeight="1" s="102">
      <c r="A898" s="132" t="n"/>
      <c r="B898" s="133" t="n"/>
      <c r="C898" s="133" t="n"/>
      <c r="D898" s="133" t="n"/>
      <c r="E898" s="133" t="n"/>
      <c r="F898" s="133" t="n"/>
      <c r="G898" s="133" t="n"/>
      <c r="H898" s="133" t="n"/>
      <c r="I898" s="135">
        <f>IF(OR($A898="",$G898=""),"",IF($H898="VAR","KARŞILIKSIZ",IF($G898&gt;=DusukRiskEsik,"DÜŞÜK",IF($G898&gt;=RiskliSkorEsik,"ORTA",IF($G898&gt;=YuksekRiskEsik,"YÜKSEK","KARŞILIKSIZ")))))</f>
        <v/>
      </c>
      <c r="J898" s="133" t="n"/>
      <c r="K898" s="133" t="n"/>
    </row>
    <row r="899" ht="18" customHeight="1" s="102">
      <c r="A899" s="132" t="n"/>
      <c r="B899" s="133" t="n"/>
      <c r="C899" s="133" t="n"/>
      <c r="D899" s="133" t="n"/>
      <c r="E899" s="133" t="n"/>
      <c r="F899" s="133" t="n"/>
      <c r="G899" s="133" t="n"/>
      <c r="H899" s="133" t="n"/>
      <c r="I899" s="135">
        <f>IF(OR($A899="",$G899=""),"",IF($H899="VAR","KARŞILIKSIZ",IF($G899&gt;=DusukRiskEsik,"DÜŞÜK",IF($G899&gt;=RiskliSkorEsik,"ORTA",IF($G899&gt;=YuksekRiskEsik,"YÜKSEK","KARŞILIKSIZ")))))</f>
        <v/>
      </c>
      <c r="J899" s="133" t="n"/>
      <c r="K899" s="133" t="n"/>
    </row>
    <row r="900" ht="18" customHeight="1" s="102">
      <c r="A900" s="132" t="n"/>
      <c r="B900" s="133" t="n"/>
      <c r="C900" s="133" t="n"/>
      <c r="D900" s="133" t="n"/>
      <c r="E900" s="133" t="n"/>
      <c r="F900" s="133" t="n"/>
      <c r="G900" s="133" t="n"/>
      <c r="H900" s="133" t="n"/>
      <c r="I900" s="135">
        <f>IF(OR($A900="",$G900=""),"",IF($H900="VAR","KARŞILIKSIZ",IF($G900&gt;=DusukRiskEsik,"DÜŞÜK",IF($G900&gt;=RiskliSkorEsik,"ORTA",IF($G900&gt;=YuksekRiskEsik,"YÜKSEK","KARŞILIKSIZ")))))</f>
        <v/>
      </c>
      <c r="J900" s="133" t="n"/>
      <c r="K900" s="133" t="n"/>
    </row>
    <row r="901" ht="18" customHeight="1" s="102">
      <c r="A901" s="132" t="n"/>
      <c r="B901" s="133" t="n"/>
      <c r="C901" s="133" t="n"/>
      <c r="D901" s="133" t="n"/>
      <c r="E901" s="133" t="n"/>
      <c r="F901" s="133" t="n"/>
      <c r="G901" s="133" t="n"/>
      <c r="H901" s="133" t="n"/>
      <c r="I901" s="135">
        <f>IF(OR($A901="",$G901=""),"",IF($H901="VAR","KARŞILIKSIZ",IF($G901&gt;=DusukRiskEsik,"DÜŞÜK",IF($G901&gt;=RiskliSkorEsik,"ORTA",IF($G901&gt;=YuksekRiskEsik,"YÜKSEK","KARŞILIKSIZ")))))</f>
        <v/>
      </c>
      <c r="J901" s="133" t="n"/>
      <c r="K901" s="133" t="n"/>
    </row>
    <row r="902" ht="18" customHeight="1" s="102">
      <c r="A902" s="132" t="n"/>
      <c r="B902" s="133" t="n"/>
      <c r="C902" s="133" t="n"/>
      <c r="D902" s="133" t="n"/>
      <c r="E902" s="133" t="n"/>
      <c r="F902" s="133" t="n"/>
      <c r="G902" s="133" t="n"/>
      <c r="H902" s="133" t="n"/>
      <c r="I902" s="135">
        <f>IF(OR($A902="",$G902=""),"",IF($H902="VAR","KARŞILIKSIZ",IF($G902&gt;=DusukRiskEsik,"DÜŞÜK",IF($G902&gt;=RiskliSkorEsik,"ORTA",IF($G902&gt;=YuksekRiskEsik,"YÜKSEK","KARŞILIKSIZ")))))</f>
        <v/>
      </c>
      <c r="J902" s="133" t="n"/>
      <c r="K902" s="133" t="n"/>
    </row>
    <row r="903" ht="18" customHeight="1" s="102">
      <c r="A903" s="132" t="n"/>
      <c r="B903" s="133" t="n"/>
      <c r="C903" s="133" t="n"/>
      <c r="D903" s="133" t="n"/>
      <c r="E903" s="133" t="n"/>
      <c r="F903" s="133" t="n"/>
      <c r="G903" s="133" t="n"/>
      <c r="H903" s="133" t="n"/>
      <c r="I903" s="135">
        <f>IF(OR($A903="",$G903=""),"",IF($H903="VAR","KARŞILIKSIZ",IF($G903&gt;=DusukRiskEsik,"DÜŞÜK",IF($G903&gt;=RiskliSkorEsik,"ORTA",IF($G903&gt;=YuksekRiskEsik,"YÜKSEK","KARŞILIKSIZ")))))</f>
        <v/>
      </c>
      <c r="J903" s="133" t="n"/>
      <c r="K903" s="133" t="n"/>
    </row>
    <row r="904" ht="18" customHeight="1" s="102">
      <c r="A904" s="132" t="n"/>
      <c r="B904" s="133" t="n"/>
      <c r="C904" s="133" t="n"/>
      <c r="D904" s="133" t="n"/>
      <c r="E904" s="133" t="n"/>
      <c r="F904" s="133" t="n"/>
      <c r="G904" s="133" t="n"/>
      <c r="H904" s="133" t="n"/>
      <c r="I904" s="135">
        <f>IF(OR($A904="",$G904=""),"",IF($H904="VAR","KARŞILIKSIZ",IF($G904&gt;=DusukRiskEsik,"DÜŞÜK",IF($G904&gt;=RiskliSkorEsik,"ORTA",IF($G904&gt;=YuksekRiskEsik,"YÜKSEK","KARŞILIKSIZ")))))</f>
        <v/>
      </c>
      <c r="J904" s="133" t="n"/>
      <c r="K904" s="133" t="n"/>
    </row>
    <row r="905" ht="18" customHeight="1" s="102">
      <c r="A905" s="132" t="n"/>
      <c r="B905" s="133" t="n"/>
      <c r="C905" s="133" t="n"/>
      <c r="D905" s="133" t="n"/>
      <c r="E905" s="133" t="n"/>
      <c r="F905" s="133" t="n"/>
      <c r="G905" s="133" t="n"/>
      <c r="H905" s="133" t="n"/>
      <c r="I905" s="135">
        <f>IF(OR($A905="",$G905=""),"",IF($H905="VAR","KARŞILIKSIZ",IF($G905&gt;=DusukRiskEsik,"DÜŞÜK",IF($G905&gt;=RiskliSkorEsik,"ORTA",IF($G905&gt;=YuksekRiskEsik,"YÜKSEK","KARŞILIKSIZ")))))</f>
        <v/>
      </c>
      <c r="J905" s="133" t="n"/>
      <c r="K905" s="133" t="n"/>
    </row>
    <row r="906" ht="18" customHeight="1" s="102">
      <c r="A906" s="132" t="n"/>
      <c r="B906" s="133" t="n"/>
      <c r="C906" s="133" t="n"/>
      <c r="D906" s="133" t="n"/>
      <c r="E906" s="133" t="n"/>
      <c r="F906" s="133" t="n"/>
      <c r="G906" s="133" t="n"/>
      <c r="H906" s="133" t="n"/>
      <c r="I906" s="135">
        <f>IF(OR($A906="",$G906=""),"",IF($H906="VAR","KARŞILIKSIZ",IF($G906&gt;=DusukRiskEsik,"DÜŞÜK",IF($G906&gt;=RiskliSkorEsik,"ORTA",IF($G906&gt;=YuksekRiskEsik,"YÜKSEK","KARŞILIKSIZ")))))</f>
        <v/>
      </c>
      <c r="J906" s="133" t="n"/>
      <c r="K906" s="133" t="n"/>
    </row>
    <row r="907" ht="18" customHeight="1" s="102">
      <c r="A907" s="132" t="n"/>
      <c r="B907" s="133" t="n"/>
      <c r="C907" s="133" t="n"/>
      <c r="D907" s="133" t="n"/>
      <c r="E907" s="133" t="n"/>
      <c r="F907" s="133" t="n"/>
      <c r="G907" s="133" t="n"/>
      <c r="H907" s="133" t="n"/>
      <c r="I907" s="135">
        <f>IF(OR($A907="",$G907=""),"",IF($H907="VAR","KARŞILIKSIZ",IF($G907&gt;=DusukRiskEsik,"DÜŞÜK",IF($G907&gt;=RiskliSkorEsik,"ORTA",IF($G907&gt;=YuksekRiskEsik,"YÜKSEK","KARŞILIKSIZ")))))</f>
        <v/>
      </c>
      <c r="J907" s="133" t="n"/>
      <c r="K907" s="133" t="n"/>
    </row>
    <row r="908" ht="18" customHeight="1" s="102">
      <c r="A908" s="132" t="n"/>
      <c r="B908" s="133" t="n"/>
      <c r="C908" s="133" t="n"/>
      <c r="D908" s="133" t="n"/>
      <c r="E908" s="133" t="n"/>
      <c r="F908" s="133" t="n"/>
      <c r="G908" s="133" t="n"/>
      <c r="H908" s="133" t="n"/>
      <c r="I908" s="135">
        <f>IF(OR($A908="",$G908=""),"",IF($H908="VAR","KARŞILIKSIZ",IF($G908&gt;=DusukRiskEsik,"DÜŞÜK",IF($G908&gt;=RiskliSkorEsik,"ORTA",IF($G908&gt;=YuksekRiskEsik,"YÜKSEK","KARŞILIKSIZ")))))</f>
        <v/>
      </c>
      <c r="J908" s="133" t="n"/>
      <c r="K908" s="133" t="n"/>
    </row>
    <row r="909" ht="18" customHeight="1" s="102">
      <c r="A909" s="132" t="n"/>
      <c r="B909" s="133" t="n"/>
      <c r="C909" s="133" t="n"/>
      <c r="D909" s="133" t="n"/>
      <c r="E909" s="133" t="n"/>
      <c r="F909" s="133" t="n"/>
      <c r="G909" s="133" t="n"/>
      <c r="H909" s="133" t="n"/>
      <c r="I909" s="135">
        <f>IF(OR($A909="",$G909=""),"",IF($H909="VAR","KARŞILIKSIZ",IF($G909&gt;=DusukRiskEsik,"DÜŞÜK",IF($G909&gt;=RiskliSkorEsik,"ORTA",IF($G909&gt;=YuksekRiskEsik,"YÜKSEK","KARŞILIKSIZ")))))</f>
        <v/>
      </c>
      <c r="J909" s="133" t="n"/>
      <c r="K909" s="133" t="n"/>
    </row>
    <row r="910" ht="18" customHeight="1" s="102">
      <c r="A910" s="132" t="n"/>
      <c r="B910" s="133" t="n"/>
      <c r="C910" s="133" t="n"/>
      <c r="D910" s="133" t="n"/>
      <c r="E910" s="133" t="n"/>
      <c r="F910" s="133" t="n"/>
      <c r="G910" s="133" t="n"/>
      <c r="H910" s="133" t="n"/>
      <c r="I910" s="135">
        <f>IF(OR($A910="",$G910=""),"",IF($H910="VAR","KARŞILIKSIZ",IF($G910&gt;=DusukRiskEsik,"DÜŞÜK",IF($G910&gt;=RiskliSkorEsik,"ORTA",IF($G910&gt;=YuksekRiskEsik,"YÜKSEK","KARŞILIKSIZ")))))</f>
        <v/>
      </c>
      <c r="J910" s="133" t="n"/>
      <c r="K910" s="133" t="n"/>
    </row>
    <row r="911" ht="18" customHeight="1" s="102">
      <c r="A911" s="132" t="n"/>
      <c r="B911" s="133" t="n"/>
      <c r="C911" s="133" t="n"/>
      <c r="D911" s="133" t="n"/>
      <c r="E911" s="133" t="n"/>
      <c r="F911" s="133" t="n"/>
      <c r="G911" s="133" t="n"/>
      <c r="H911" s="133" t="n"/>
      <c r="I911" s="135">
        <f>IF(OR($A911="",$G911=""),"",IF($H911="VAR","KARŞILIKSIZ",IF($G911&gt;=DusukRiskEsik,"DÜŞÜK",IF($G911&gt;=RiskliSkorEsik,"ORTA",IF($G911&gt;=YuksekRiskEsik,"YÜKSEK","KARŞILIKSIZ")))))</f>
        <v/>
      </c>
      <c r="J911" s="133" t="n"/>
      <c r="K911" s="133" t="n"/>
    </row>
    <row r="912" ht="18" customHeight="1" s="102">
      <c r="A912" s="132" t="n"/>
      <c r="B912" s="133" t="n"/>
      <c r="C912" s="133" t="n"/>
      <c r="D912" s="133" t="n"/>
      <c r="E912" s="133" t="n"/>
      <c r="F912" s="133" t="n"/>
      <c r="G912" s="133" t="n"/>
      <c r="H912" s="133" t="n"/>
      <c r="I912" s="135">
        <f>IF(OR($A912="",$G912=""),"",IF($H912="VAR","KARŞILIKSIZ",IF($G912&gt;=DusukRiskEsik,"DÜŞÜK",IF($G912&gt;=RiskliSkorEsik,"ORTA",IF($G912&gt;=YuksekRiskEsik,"YÜKSEK","KARŞILIKSIZ")))))</f>
        <v/>
      </c>
      <c r="J912" s="133" t="n"/>
      <c r="K912" s="133" t="n"/>
    </row>
    <row r="913" ht="18" customHeight="1" s="102">
      <c r="A913" s="132" t="n"/>
      <c r="B913" s="133" t="n"/>
      <c r="C913" s="133" t="n"/>
      <c r="D913" s="133" t="n"/>
      <c r="E913" s="133" t="n"/>
      <c r="F913" s="133" t="n"/>
      <c r="G913" s="133" t="n"/>
      <c r="H913" s="133" t="n"/>
      <c r="I913" s="135">
        <f>IF(OR($A913="",$G913=""),"",IF($H913="VAR","KARŞILIKSIZ",IF($G913&gt;=DusukRiskEsik,"DÜŞÜK",IF($G913&gt;=RiskliSkorEsik,"ORTA",IF($G913&gt;=YuksekRiskEsik,"YÜKSEK","KARŞILIKSIZ")))))</f>
        <v/>
      </c>
      <c r="J913" s="133" t="n"/>
      <c r="K913" s="133" t="n"/>
    </row>
    <row r="914" ht="18" customHeight="1" s="102">
      <c r="A914" s="132" t="n"/>
      <c r="B914" s="133" t="n"/>
      <c r="C914" s="133" t="n"/>
      <c r="D914" s="133" t="n"/>
      <c r="E914" s="133" t="n"/>
      <c r="F914" s="133" t="n"/>
      <c r="G914" s="133" t="n"/>
      <c r="H914" s="133" t="n"/>
      <c r="I914" s="135">
        <f>IF(OR($A914="",$G914=""),"",IF($H914="VAR","KARŞILIKSIZ",IF($G914&gt;=DusukRiskEsik,"DÜŞÜK",IF($G914&gt;=RiskliSkorEsik,"ORTA",IF($G914&gt;=YuksekRiskEsik,"YÜKSEK","KARŞILIKSIZ")))))</f>
        <v/>
      </c>
      <c r="J914" s="133" t="n"/>
      <c r="K914" s="133" t="n"/>
    </row>
    <row r="915" ht="18" customHeight="1" s="102">
      <c r="A915" s="132" t="n"/>
      <c r="B915" s="133" t="n"/>
      <c r="C915" s="133" t="n"/>
      <c r="D915" s="133" t="n"/>
      <c r="E915" s="133" t="n"/>
      <c r="F915" s="133" t="n"/>
      <c r="G915" s="133" t="n"/>
      <c r="H915" s="133" t="n"/>
      <c r="I915" s="135">
        <f>IF(OR($A915="",$G915=""),"",IF($H915="VAR","KARŞILIKSIZ",IF($G915&gt;=DusukRiskEsik,"DÜŞÜK",IF($G915&gt;=RiskliSkorEsik,"ORTA",IF($G915&gt;=YuksekRiskEsik,"YÜKSEK","KARŞILIKSIZ")))))</f>
        <v/>
      </c>
      <c r="J915" s="133" t="n"/>
      <c r="K915" s="133" t="n"/>
    </row>
    <row r="916" ht="18" customHeight="1" s="102">
      <c r="A916" s="132" t="n"/>
      <c r="B916" s="133" t="n"/>
      <c r="C916" s="133" t="n"/>
      <c r="D916" s="133" t="n"/>
      <c r="E916" s="133" t="n"/>
      <c r="F916" s="133" t="n"/>
      <c r="G916" s="133" t="n"/>
      <c r="H916" s="133" t="n"/>
      <c r="I916" s="135">
        <f>IF(OR($A916="",$G916=""),"",IF($H916="VAR","KARŞILIKSIZ",IF($G916&gt;=DusukRiskEsik,"DÜŞÜK",IF($G916&gt;=RiskliSkorEsik,"ORTA",IF($G916&gt;=YuksekRiskEsik,"YÜKSEK","KARŞILIKSIZ")))))</f>
        <v/>
      </c>
      <c r="J916" s="133" t="n"/>
      <c r="K916" s="133" t="n"/>
    </row>
    <row r="917" ht="18" customHeight="1" s="102">
      <c r="A917" s="132" t="n"/>
      <c r="B917" s="133" t="n"/>
      <c r="C917" s="133" t="n"/>
      <c r="D917" s="133" t="n"/>
      <c r="E917" s="133" t="n"/>
      <c r="F917" s="133" t="n"/>
      <c r="G917" s="133" t="n"/>
      <c r="H917" s="133" t="n"/>
      <c r="I917" s="135">
        <f>IF(OR($A917="",$G917=""),"",IF($H917="VAR","KARŞILIKSIZ",IF($G917&gt;=DusukRiskEsik,"DÜŞÜK",IF($G917&gt;=RiskliSkorEsik,"ORTA",IF($G917&gt;=YuksekRiskEsik,"YÜKSEK","KARŞILIKSIZ")))))</f>
        <v/>
      </c>
      <c r="J917" s="133" t="n"/>
      <c r="K917" s="133" t="n"/>
    </row>
    <row r="918" ht="18" customHeight="1" s="102">
      <c r="A918" s="132" t="n"/>
      <c r="B918" s="133" t="n"/>
      <c r="C918" s="133" t="n"/>
      <c r="D918" s="133" t="n"/>
      <c r="E918" s="133" t="n"/>
      <c r="F918" s="133" t="n"/>
      <c r="G918" s="133" t="n"/>
      <c r="H918" s="133" t="n"/>
      <c r="I918" s="135">
        <f>IF(OR($A918="",$G918=""),"",IF($H918="VAR","KARŞILIKSIZ",IF($G918&gt;=DusukRiskEsik,"DÜŞÜK",IF($G918&gt;=RiskliSkorEsik,"ORTA",IF($G918&gt;=YuksekRiskEsik,"YÜKSEK","KARŞILIKSIZ")))))</f>
        <v/>
      </c>
      <c r="J918" s="133" t="n"/>
      <c r="K918" s="133" t="n"/>
    </row>
    <row r="919" ht="18" customHeight="1" s="102">
      <c r="A919" s="132" t="n"/>
      <c r="B919" s="133" t="n"/>
      <c r="C919" s="133" t="n"/>
      <c r="D919" s="133" t="n"/>
      <c r="E919" s="133" t="n"/>
      <c r="F919" s="133" t="n"/>
      <c r="G919" s="133" t="n"/>
      <c r="H919" s="133" t="n"/>
      <c r="I919" s="135">
        <f>IF(OR($A919="",$G919=""),"",IF($H919="VAR","KARŞILIKSIZ",IF($G919&gt;=DusukRiskEsik,"DÜŞÜK",IF($G919&gt;=RiskliSkorEsik,"ORTA",IF($G919&gt;=YuksekRiskEsik,"YÜKSEK","KARŞILIKSIZ")))))</f>
        <v/>
      </c>
      <c r="J919" s="133" t="n"/>
      <c r="K919" s="133" t="n"/>
    </row>
    <row r="920" ht="18" customHeight="1" s="102">
      <c r="A920" s="132" t="n"/>
      <c r="B920" s="133" t="n"/>
      <c r="C920" s="133" t="n"/>
      <c r="D920" s="133" t="n"/>
      <c r="E920" s="133" t="n"/>
      <c r="F920" s="133" t="n"/>
      <c r="G920" s="133" t="n"/>
      <c r="H920" s="133" t="n"/>
      <c r="I920" s="135">
        <f>IF(OR($A920="",$G920=""),"",IF($H920="VAR","KARŞILIKSIZ",IF($G920&gt;=DusukRiskEsik,"DÜŞÜK",IF($G920&gt;=RiskliSkorEsik,"ORTA",IF($G920&gt;=YuksekRiskEsik,"YÜKSEK","KARŞILIKSIZ")))))</f>
        <v/>
      </c>
      <c r="J920" s="133" t="n"/>
      <c r="K920" s="133" t="n"/>
    </row>
    <row r="921" ht="18" customHeight="1" s="102">
      <c r="A921" s="132" t="n"/>
      <c r="B921" s="133" t="n"/>
      <c r="C921" s="133" t="n"/>
      <c r="D921" s="133" t="n"/>
      <c r="E921" s="133" t="n"/>
      <c r="F921" s="133" t="n"/>
      <c r="G921" s="133" t="n"/>
      <c r="H921" s="133" t="n"/>
      <c r="I921" s="135">
        <f>IF(OR($A921="",$G921=""),"",IF($H921="VAR","KARŞILIKSIZ",IF($G921&gt;=DusukRiskEsik,"DÜŞÜK",IF($G921&gt;=RiskliSkorEsik,"ORTA",IF($G921&gt;=YuksekRiskEsik,"YÜKSEK","KARŞILIKSIZ")))))</f>
        <v/>
      </c>
      <c r="J921" s="133" t="n"/>
      <c r="K921" s="133" t="n"/>
    </row>
    <row r="922" ht="18" customHeight="1" s="102">
      <c r="A922" s="132" t="n"/>
      <c r="B922" s="133" t="n"/>
      <c r="C922" s="133" t="n"/>
      <c r="D922" s="133" t="n"/>
      <c r="E922" s="133" t="n"/>
      <c r="F922" s="133" t="n"/>
      <c r="G922" s="133" t="n"/>
      <c r="H922" s="133" t="n"/>
      <c r="I922" s="135">
        <f>IF(OR($A922="",$G922=""),"",IF($H922="VAR","KARŞILIKSIZ",IF($G922&gt;=DusukRiskEsik,"DÜŞÜK",IF($G922&gt;=RiskliSkorEsik,"ORTA",IF($G922&gt;=YuksekRiskEsik,"YÜKSEK","KARŞILIKSIZ")))))</f>
        <v/>
      </c>
      <c r="J922" s="133" t="n"/>
      <c r="K922" s="133" t="n"/>
    </row>
    <row r="923" ht="18" customHeight="1" s="102">
      <c r="A923" s="132" t="n"/>
      <c r="B923" s="133" t="n"/>
      <c r="C923" s="133" t="n"/>
      <c r="D923" s="133" t="n"/>
      <c r="E923" s="133" t="n"/>
      <c r="F923" s="133" t="n"/>
      <c r="G923" s="133" t="n"/>
      <c r="H923" s="133" t="n"/>
      <c r="I923" s="135">
        <f>IF(OR($A923="",$G923=""),"",IF($H923="VAR","KARŞILIKSIZ",IF($G923&gt;=DusukRiskEsik,"DÜŞÜK",IF($G923&gt;=RiskliSkorEsik,"ORTA",IF($G923&gt;=YuksekRiskEsik,"YÜKSEK","KARŞILIKSIZ")))))</f>
        <v/>
      </c>
      <c r="J923" s="133" t="n"/>
      <c r="K923" s="133" t="n"/>
    </row>
    <row r="924" ht="18" customHeight="1" s="102">
      <c r="A924" s="132" t="n"/>
      <c r="B924" s="133" t="n"/>
      <c r="C924" s="133" t="n"/>
      <c r="D924" s="133" t="n"/>
      <c r="E924" s="133" t="n"/>
      <c r="F924" s="133" t="n"/>
      <c r="G924" s="133" t="n"/>
      <c r="H924" s="133" t="n"/>
      <c r="I924" s="135">
        <f>IF(OR($A924="",$G924=""),"",IF($H924="VAR","KARŞILIKSIZ",IF($G924&gt;=DusukRiskEsik,"DÜŞÜK",IF($G924&gt;=RiskliSkorEsik,"ORTA",IF($G924&gt;=YuksekRiskEsik,"YÜKSEK","KARŞILIKSIZ")))))</f>
        <v/>
      </c>
      <c r="J924" s="133" t="n"/>
      <c r="K924" s="133" t="n"/>
    </row>
    <row r="925" ht="18" customHeight="1" s="102">
      <c r="A925" s="132" t="n"/>
      <c r="B925" s="133" t="n"/>
      <c r="C925" s="133" t="n"/>
      <c r="D925" s="133" t="n"/>
      <c r="E925" s="133" t="n"/>
      <c r="F925" s="133" t="n"/>
      <c r="G925" s="133" t="n"/>
      <c r="H925" s="133" t="n"/>
      <c r="I925" s="135">
        <f>IF(OR($A925="",$G925=""),"",IF($H925="VAR","KARŞILIKSIZ",IF($G925&gt;=DusukRiskEsik,"DÜŞÜK",IF($G925&gt;=RiskliSkorEsik,"ORTA",IF($G925&gt;=YuksekRiskEsik,"YÜKSEK","KARŞILIKSIZ")))))</f>
        <v/>
      </c>
      <c r="J925" s="133" t="n"/>
      <c r="K925" s="133" t="n"/>
    </row>
    <row r="926" ht="18" customHeight="1" s="102">
      <c r="A926" s="132" t="n"/>
      <c r="B926" s="133" t="n"/>
      <c r="C926" s="133" t="n"/>
      <c r="D926" s="133" t="n"/>
      <c r="E926" s="133" t="n"/>
      <c r="F926" s="133" t="n"/>
      <c r="G926" s="133" t="n"/>
      <c r="H926" s="133" t="n"/>
      <c r="I926" s="135">
        <f>IF(OR($A926="",$G926=""),"",IF($H926="VAR","KARŞILIKSIZ",IF($G926&gt;=DusukRiskEsik,"DÜŞÜK",IF($G926&gt;=RiskliSkorEsik,"ORTA",IF($G926&gt;=YuksekRiskEsik,"YÜKSEK","KARŞILIKSIZ")))))</f>
        <v/>
      </c>
      <c r="J926" s="133" t="n"/>
      <c r="K926" s="133" t="n"/>
    </row>
    <row r="927" ht="18" customHeight="1" s="102">
      <c r="A927" s="132" t="n"/>
      <c r="B927" s="133" t="n"/>
      <c r="C927" s="133" t="n"/>
      <c r="D927" s="133" t="n"/>
      <c r="E927" s="133" t="n"/>
      <c r="F927" s="133" t="n"/>
      <c r="G927" s="133" t="n"/>
      <c r="H927" s="133" t="n"/>
      <c r="I927" s="135">
        <f>IF(OR($A927="",$G927=""),"",IF($H927="VAR","KARŞILIKSIZ",IF($G927&gt;=DusukRiskEsik,"DÜŞÜK",IF($G927&gt;=RiskliSkorEsik,"ORTA",IF($G927&gt;=YuksekRiskEsik,"YÜKSEK","KARŞILIKSIZ")))))</f>
        <v/>
      </c>
      <c r="J927" s="133" t="n"/>
      <c r="K927" s="133" t="n"/>
    </row>
    <row r="928" ht="18" customHeight="1" s="102">
      <c r="A928" s="132" t="n"/>
      <c r="B928" s="133" t="n"/>
      <c r="C928" s="133" t="n"/>
      <c r="D928" s="133" t="n"/>
      <c r="E928" s="133" t="n"/>
      <c r="F928" s="133" t="n"/>
      <c r="G928" s="133" t="n"/>
      <c r="H928" s="133" t="n"/>
      <c r="I928" s="135">
        <f>IF(OR($A928="",$G928=""),"",IF($H928="VAR","KARŞILIKSIZ",IF($G928&gt;=DusukRiskEsik,"DÜŞÜK",IF($G928&gt;=RiskliSkorEsik,"ORTA",IF($G928&gt;=YuksekRiskEsik,"YÜKSEK","KARŞILIKSIZ")))))</f>
        <v/>
      </c>
      <c r="J928" s="133" t="n"/>
      <c r="K928" s="133" t="n"/>
    </row>
    <row r="929" ht="18" customHeight="1" s="102">
      <c r="A929" s="132" t="n"/>
      <c r="B929" s="133" t="n"/>
      <c r="C929" s="133" t="n"/>
      <c r="D929" s="133" t="n"/>
      <c r="E929" s="133" t="n"/>
      <c r="F929" s="133" t="n"/>
      <c r="G929" s="133" t="n"/>
      <c r="H929" s="133" t="n"/>
      <c r="I929" s="135">
        <f>IF(OR($A929="",$G929=""),"",IF($H929="VAR","KARŞILIKSIZ",IF($G929&gt;=DusukRiskEsik,"DÜŞÜK",IF($G929&gt;=RiskliSkorEsik,"ORTA",IF($G929&gt;=YuksekRiskEsik,"YÜKSEK","KARŞILIKSIZ")))))</f>
        <v/>
      </c>
      <c r="J929" s="133" t="n"/>
      <c r="K929" s="133" t="n"/>
    </row>
    <row r="930" ht="18" customHeight="1" s="102">
      <c r="A930" s="132" t="n"/>
      <c r="B930" s="133" t="n"/>
      <c r="C930" s="133" t="n"/>
      <c r="D930" s="133" t="n"/>
      <c r="E930" s="133" t="n"/>
      <c r="F930" s="133" t="n"/>
      <c r="G930" s="133" t="n"/>
      <c r="H930" s="133" t="n"/>
      <c r="I930" s="135">
        <f>IF(OR($A930="",$G930=""),"",IF($H930="VAR","KARŞILIKSIZ",IF($G930&gt;=DusukRiskEsik,"DÜŞÜK",IF($G930&gt;=RiskliSkorEsik,"ORTA",IF($G930&gt;=YuksekRiskEsik,"YÜKSEK","KARŞILIKSIZ")))))</f>
        <v/>
      </c>
      <c r="J930" s="133" t="n"/>
      <c r="K930" s="133" t="n"/>
    </row>
    <row r="931" ht="18" customHeight="1" s="102">
      <c r="A931" s="132" t="n"/>
      <c r="B931" s="133" t="n"/>
      <c r="C931" s="133" t="n"/>
      <c r="D931" s="133" t="n"/>
      <c r="E931" s="133" t="n"/>
      <c r="F931" s="133" t="n"/>
      <c r="G931" s="133" t="n"/>
      <c r="H931" s="133" t="n"/>
      <c r="I931" s="135">
        <f>IF(OR($A931="",$G931=""),"",IF($H931="VAR","KARŞILIKSIZ",IF($G931&gt;=DusukRiskEsik,"DÜŞÜK",IF($G931&gt;=RiskliSkorEsik,"ORTA",IF($G931&gt;=YuksekRiskEsik,"YÜKSEK","KARŞILIKSIZ")))))</f>
        <v/>
      </c>
      <c r="J931" s="133" t="n"/>
      <c r="K931" s="133" t="n"/>
    </row>
    <row r="932" ht="18" customHeight="1" s="102">
      <c r="A932" s="132" t="n"/>
      <c r="B932" s="133" t="n"/>
      <c r="C932" s="133" t="n"/>
      <c r="D932" s="133" t="n"/>
      <c r="E932" s="133" t="n"/>
      <c r="F932" s="133" t="n"/>
      <c r="G932" s="133" t="n"/>
      <c r="H932" s="133" t="n"/>
      <c r="I932" s="135">
        <f>IF(OR($A932="",$G932=""),"",IF($H932="VAR","KARŞILIKSIZ",IF($G932&gt;=DusukRiskEsik,"DÜŞÜK",IF($G932&gt;=RiskliSkorEsik,"ORTA",IF($G932&gt;=YuksekRiskEsik,"YÜKSEK","KARŞILIKSIZ")))))</f>
        <v/>
      </c>
      <c r="J932" s="133" t="n"/>
      <c r="K932" s="133" t="n"/>
    </row>
    <row r="933" ht="18" customHeight="1" s="102">
      <c r="A933" s="132" t="n"/>
      <c r="B933" s="133" t="n"/>
      <c r="C933" s="133" t="n"/>
      <c r="D933" s="133" t="n"/>
      <c r="E933" s="133" t="n"/>
      <c r="F933" s="133" t="n"/>
      <c r="G933" s="133" t="n"/>
      <c r="H933" s="133" t="n"/>
      <c r="I933" s="135">
        <f>IF(OR($A933="",$G933=""),"",IF($H933="VAR","KARŞILIKSIZ",IF($G933&gt;=DusukRiskEsik,"DÜŞÜK",IF($G933&gt;=RiskliSkorEsik,"ORTA",IF($G933&gt;=YuksekRiskEsik,"YÜKSEK","KARŞILIKSIZ")))))</f>
        <v/>
      </c>
      <c r="J933" s="133" t="n"/>
      <c r="K933" s="133" t="n"/>
    </row>
    <row r="934" ht="18" customHeight="1" s="102">
      <c r="A934" s="132" t="n"/>
      <c r="B934" s="133" t="n"/>
      <c r="C934" s="133" t="n"/>
      <c r="D934" s="133" t="n"/>
      <c r="E934" s="133" t="n"/>
      <c r="F934" s="133" t="n"/>
      <c r="G934" s="133" t="n"/>
      <c r="H934" s="133" t="n"/>
      <c r="I934" s="135">
        <f>IF(OR($A934="",$G934=""),"",IF($H934="VAR","KARŞILIKSIZ",IF($G934&gt;=DusukRiskEsik,"DÜŞÜK",IF($G934&gt;=RiskliSkorEsik,"ORTA",IF($G934&gt;=YuksekRiskEsik,"YÜKSEK","KARŞILIKSIZ")))))</f>
        <v/>
      </c>
      <c r="J934" s="133" t="n"/>
      <c r="K934" s="133" t="n"/>
    </row>
    <row r="935" ht="18" customHeight="1" s="102">
      <c r="A935" s="132" t="n"/>
      <c r="B935" s="133" t="n"/>
      <c r="C935" s="133" t="n"/>
      <c r="D935" s="133" t="n"/>
      <c r="E935" s="133" t="n"/>
      <c r="F935" s="133" t="n"/>
      <c r="G935" s="133" t="n"/>
      <c r="H935" s="133" t="n"/>
      <c r="I935" s="135">
        <f>IF(OR($A935="",$G935=""),"",IF($H935="VAR","KARŞILIKSIZ",IF($G935&gt;=DusukRiskEsik,"DÜŞÜK",IF($G935&gt;=RiskliSkorEsik,"ORTA",IF($G935&gt;=YuksekRiskEsik,"YÜKSEK","KARŞILIKSIZ")))))</f>
        <v/>
      </c>
      <c r="J935" s="133" t="n"/>
      <c r="K935" s="133" t="n"/>
    </row>
    <row r="936" ht="18" customHeight="1" s="102">
      <c r="A936" s="132" t="n"/>
      <c r="B936" s="133" t="n"/>
      <c r="C936" s="133" t="n"/>
      <c r="D936" s="133" t="n"/>
      <c r="E936" s="133" t="n"/>
      <c r="F936" s="133" t="n"/>
      <c r="G936" s="133" t="n"/>
      <c r="H936" s="133" t="n"/>
      <c r="I936" s="135">
        <f>IF(OR($A936="",$G936=""),"",IF($H936="VAR","KARŞILIKSIZ",IF($G936&gt;=DusukRiskEsik,"DÜŞÜK",IF($G936&gt;=RiskliSkorEsik,"ORTA",IF($G936&gt;=YuksekRiskEsik,"YÜKSEK","KARŞILIKSIZ")))))</f>
        <v/>
      </c>
      <c r="J936" s="133" t="n"/>
      <c r="K936" s="133" t="n"/>
    </row>
    <row r="937" ht="18" customHeight="1" s="102">
      <c r="A937" s="132" t="n"/>
      <c r="B937" s="133" t="n"/>
      <c r="C937" s="133" t="n"/>
      <c r="D937" s="133" t="n"/>
      <c r="E937" s="133" t="n"/>
      <c r="F937" s="133" t="n"/>
      <c r="G937" s="133" t="n"/>
      <c r="H937" s="133" t="n"/>
      <c r="I937" s="135">
        <f>IF(OR($A937="",$G937=""),"",IF($H937="VAR","KARŞILIKSIZ",IF($G937&gt;=DusukRiskEsik,"DÜŞÜK",IF($G937&gt;=RiskliSkorEsik,"ORTA",IF($G937&gt;=YuksekRiskEsik,"YÜKSEK","KARŞILIKSIZ")))))</f>
        <v/>
      </c>
      <c r="J937" s="133" t="n"/>
      <c r="K937" s="133" t="n"/>
    </row>
    <row r="938" ht="18" customHeight="1" s="102">
      <c r="A938" s="132" t="n"/>
      <c r="B938" s="133" t="n"/>
      <c r="C938" s="133" t="n"/>
      <c r="D938" s="133" t="n"/>
      <c r="E938" s="133" t="n"/>
      <c r="F938" s="133" t="n"/>
      <c r="G938" s="133" t="n"/>
      <c r="H938" s="133" t="n"/>
      <c r="I938" s="135">
        <f>IF(OR($A938="",$G938=""),"",IF($H938="VAR","KARŞILIKSIZ",IF($G938&gt;=DusukRiskEsik,"DÜŞÜK",IF($G938&gt;=RiskliSkorEsik,"ORTA",IF($G938&gt;=YuksekRiskEsik,"YÜKSEK","KARŞILIKSIZ")))))</f>
        <v/>
      </c>
      <c r="J938" s="133" t="n"/>
      <c r="K938" s="133" t="n"/>
    </row>
    <row r="939" ht="18" customHeight="1" s="102">
      <c r="A939" s="132" t="n"/>
      <c r="B939" s="133" t="n"/>
      <c r="C939" s="133" t="n"/>
      <c r="D939" s="133" t="n"/>
      <c r="E939" s="133" t="n"/>
      <c r="F939" s="133" t="n"/>
      <c r="G939" s="133" t="n"/>
      <c r="H939" s="133" t="n"/>
      <c r="I939" s="135">
        <f>IF(OR($A939="",$G939=""),"",IF($H939="VAR","KARŞILIKSIZ",IF($G939&gt;=DusukRiskEsik,"DÜŞÜK",IF($G939&gt;=RiskliSkorEsik,"ORTA",IF($G939&gt;=YuksekRiskEsik,"YÜKSEK","KARŞILIKSIZ")))))</f>
        <v/>
      </c>
      <c r="J939" s="133" t="n"/>
      <c r="K939" s="133" t="n"/>
    </row>
    <row r="940" ht="18" customHeight="1" s="102">
      <c r="A940" s="132" t="n"/>
      <c r="B940" s="133" t="n"/>
      <c r="C940" s="133" t="n"/>
      <c r="D940" s="133" t="n"/>
      <c r="E940" s="133" t="n"/>
      <c r="F940" s="133" t="n"/>
      <c r="G940" s="133" t="n"/>
      <c r="H940" s="133" t="n"/>
      <c r="I940" s="135">
        <f>IF(OR($A940="",$G940=""),"",IF($H940="VAR","KARŞILIKSIZ",IF($G940&gt;=DusukRiskEsik,"DÜŞÜK",IF($G940&gt;=RiskliSkorEsik,"ORTA",IF($G940&gt;=YuksekRiskEsik,"YÜKSEK","KARŞILIKSIZ")))))</f>
        <v/>
      </c>
      <c r="J940" s="133" t="n"/>
      <c r="K940" s="133" t="n"/>
    </row>
    <row r="941" ht="18" customHeight="1" s="102">
      <c r="A941" s="132" t="n"/>
      <c r="B941" s="133" t="n"/>
      <c r="C941" s="133" t="n"/>
      <c r="D941" s="133" t="n"/>
      <c r="E941" s="133" t="n"/>
      <c r="F941" s="133" t="n"/>
      <c r="G941" s="133" t="n"/>
      <c r="H941" s="133" t="n"/>
      <c r="I941" s="135">
        <f>IF(OR($A941="",$G941=""),"",IF($H941="VAR","KARŞILIKSIZ",IF($G941&gt;=DusukRiskEsik,"DÜŞÜK",IF($G941&gt;=RiskliSkorEsik,"ORTA",IF($G941&gt;=YuksekRiskEsik,"YÜKSEK","KARŞILIKSIZ")))))</f>
        <v/>
      </c>
      <c r="J941" s="133" t="n"/>
      <c r="K941" s="133" t="n"/>
    </row>
    <row r="942" ht="18" customHeight="1" s="102">
      <c r="A942" s="132" t="n"/>
      <c r="B942" s="133" t="n"/>
      <c r="C942" s="133" t="n"/>
      <c r="D942" s="133" t="n"/>
      <c r="E942" s="133" t="n"/>
      <c r="F942" s="133" t="n"/>
      <c r="G942" s="133" t="n"/>
      <c r="H942" s="133" t="n"/>
      <c r="I942" s="135">
        <f>IF(OR($A942="",$G942=""),"",IF($H942="VAR","KARŞILIKSIZ",IF($G942&gt;=DusukRiskEsik,"DÜŞÜK",IF($G942&gt;=RiskliSkorEsik,"ORTA",IF($G942&gt;=YuksekRiskEsik,"YÜKSEK","KARŞILIKSIZ")))))</f>
        <v/>
      </c>
      <c r="J942" s="133" t="n"/>
      <c r="K942" s="133" t="n"/>
    </row>
    <row r="943" ht="18" customHeight="1" s="102">
      <c r="A943" s="132" t="n"/>
      <c r="B943" s="133" t="n"/>
      <c r="C943" s="133" t="n"/>
      <c r="D943" s="133" t="n"/>
      <c r="E943" s="133" t="n"/>
      <c r="F943" s="133" t="n"/>
      <c r="G943" s="133" t="n"/>
      <c r="H943" s="133" t="n"/>
      <c r="I943" s="135">
        <f>IF(OR($A943="",$G943=""),"",IF($H943="VAR","KARŞILIKSIZ",IF($G943&gt;=DusukRiskEsik,"DÜŞÜK",IF($G943&gt;=RiskliSkorEsik,"ORTA",IF($G943&gt;=YuksekRiskEsik,"YÜKSEK","KARŞILIKSIZ")))))</f>
        <v/>
      </c>
      <c r="J943" s="133" t="n"/>
      <c r="K943" s="133" t="n"/>
    </row>
    <row r="944" ht="18" customHeight="1" s="102">
      <c r="A944" s="132" t="n"/>
      <c r="B944" s="133" t="n"/>
      <c r="C944" s="133" t="n"/>
      <c r="D944" s="133" t="n"/>
      <c r="E944" s="133" t="n"/>
      <c r="F944" s="133" t="n"/>
      <c r="G944" s="133" t="n"/>
      <c r="H944" s="133" t="n"/>
      <c r="I944" s="135">
        <f>IF(OR($A944="",$G944=""),"",IF($H944="VAR","KARŞILIKSIZ",IF($G944&gt;=DusukRiskEsik,"DÜŞÜK",IF($G944&gt;=RiskliSkorEsik,"ORTA",IF($G944&gt;=YuksekRiskEsik,"YÜKSEK","KARŞILIKSIZ")))))</f>
        <v/>
      </c>
      <c r="J944" s="133" t="n"/>
      <c r="K944" s="133" t="n"/>
    </row>
    <row r="945" ht="18" customHeight="1" s="102">
      <c r="A945" s="132" t="n"/>
      <c r="B945" s="133" t="n"/>
      <c r="C945" s="133" t="n"/>
      <c r="D945" s="133" t="n"/>
      <c r="E945" s="133" t="n"/>
      <c r="F945" s="133" t="n"/>
      <c r="G945" s="133" t="n"/>
      <c r="H945" s="133" t="n"/>
      <c r="I945" s="135">
        <f>IF(OR($A945="",$G945=""),"",IF($H945="VAR","KARŞILIKSIZ",IF($G945&gt;=DusukRiskEsik,"DÜŞÜK",IF($G945&gt;=RiskliSkorEsik,"ORTA",IF($G945&gt;=YuksekRiskEsik,"YÜKSEK","KARŞILIKSIZ")))))</f>
        <v/>
      </c>
      <c r="J945" s="133" t="n"/>
      <c r="K945" s="133" t="n"/>
    </row>
    <row r="946" ht="18" customHeight="1" s="102">
      <c r="A946" s="132" t="n"/>
      <c r="B946" s="133" t="n"/>
      <c r="C946" s="133" t="n"/>
      <c r="D946" s="133" t="n"/>
      <c r="E946" s="133" t="n"/>
      <c r="F946" s="133" t="n"/>
      <c r="G946" s="133" t="n"/>
      <c r="H946" s="133" t="n"/>
      <c r="I946" s="135">
        <f>IF(OR($A946="",$G946=""),"",IF($H946="VAR","KARŞILIKSIZ",IF($G946&gt;=DusukRiskEsik,"DÜŞÜK",IF($G946&gt;=RiskliSkorEsik,"ORTA",IF($G946&gt;=YuksekRiskEsik,"YÜKSEK","KARŞILIKSIZ")))))</f>
        <v/>
      </c>
      <c r="J946" s="133" t="n"/>
      <c r="K946" s="133" t="n"/>
    </row>
    <row r="947" ht="18" customHeight="1" s="102">
      <c r="A947" s="132" t="n"/>
      <c r="B947" s="133" t="n"/>
      <c r="C947" s="133" t="n"/>
      <c r="D947" s="133" t="n"/>
      <c r="E947" s="133" t="n"/>
      <c r="F947" s="133" t="n"/>
      <c r="G947" s="133" t="n"/>
      <c r="H947" s="133" t="n"/>
      <c r="I947" s="135">
        <f>IF(OR($A947="",$G947=""),"",IF($H947="VAR","KARŞILIKSIZ",IF($G947&gt;=DusukRiskEsik,"DÜŞÜK",IF($G947&gt;=RiskliSkorEsik,"ORTA",IF($G947&gt;=YuksekRiskEsik,"YÜKSEK","KARŞILIKSIZ")))))</f>
        <v/>
      </c>
      <c r="J947" s="133" t="n"/>
      <c r="K947" s="133" t="n"/>
    </row>
    <row r="948" ht="18" customHeight="1" s="102">
      <c r="A948" s="132" t="n"/>
      <c r="B948" s="133" t="n"/>
      <c r="C948" s="133" t="n"/>
      <c r="D948" s="133" t="n"/>
      <c r="E948" s="133" t="n"/>
      <c r="F948" s="133" t="n"/>
      <c r="G948" s="133" t="n"/>
      <c r="H948" s="133" t="n"/>
      <c r="I948" s="135">
        <f>IF(OR($A948="",$G948=""),"",IF($H948="VAR","KARŞILIKSIZ",IF($G948&gt;=DusukRiskEsik,"DÜŞÜK",IF($G948&gt;=RiskliSkorEsik,"ORTA",IF($G948&gt;=YuksekRiskEsik,"YÜKSEK","KARŞILIKSIZ")))))</f>
        <v/>
      </c>
      <c r="J948" s="133" t="n"/>
      <c r="K948" s="133" t="n"/>
    </row>
    <row r="949" ht="18" customHeight="1" s="102">
      <c r="A949" s="132" t="n"/>
      <c r="B949" s="133" t="n"/>
      <c r="C949" s="133" t="n"/>
      <c r="D949" s="133" t="n"/>
      <c r="E949" s="133" t="n"/>
      <c r="F949" s="133" t="n"/>
      <c r="G949" s="133" t="n"/>
      <c r="H949" s="133" t="n"/>
      <c r="I949" s="135">
        <f>IF(OR($A949="",$G949=""),"",IF($H949="VAR","KARŞILIKSIZ",IF($G949&gt;=DusukRiskEsik,"DÜŞÜK",IF($G949&gt;=RiskliSkorEsik,"ORTA",IF($G949&gt;=YuksekRiskEsik,"YÜKSEK","KARŞILIKSIZ")))))</f>
        <v/>
      </c>
      <c r="J949" s="133" t="n"/>
      <c r="K949" s="133" t="n"/>
    </row>
    <row r="950" ht="18" customHeight="1" s="102">
      <c r="A950" s="132" t="n"/>
      <c r="B950" s="133" t="n"/>
      <c r="C950" s="133" t="n"/>
      <c r="D950" s="133" t="n"/>
      <c r="E950" s="133" t="n"/>
      <c r="F950" s="133" t="n"/>
      <c r="G950" s="133" t="n"/>
      <c r="H950" s="133" t="n"/>
      <c r="I950" s="135">
        <f>IF(OR($A950="",$G950=""),"",IF($H950="VAR","KARŞILIKSIZ",IF($G950&gt;=DusukRiskEsik,"DÜŞÜK",IF($G950&gt;=RiskliSkorEsik,"ORTA",IF($G950&gt;=YuksekRiskEsik,"YÜKSEK","KARŞILIKSIZ")))))</f>
        <v/>
      </c>
      <c r="J950" s="133" t="n"/>
      <c r="K950" s="133" t="n"/>
    </row>
    <row r="951" ht="18" customHeight="1" s="102">
      <c r="A951" s="132" t="n"/>
      <c r="B951" s="133" t="n"/>
      <c r="C951" s="133" t="n"/>
      <c r="D951" s="133" t="n"/>
      <c r="E951" s="133" t="n"/>
      <c r="F951" s="133" t="n"/>
      <c r="G951" s="133" t="n"/>
      <c r="H951" s="133" t="n"/>
      <c r="I951" s="135">
        <f>IF(OR($A951="",$G951=""),"",IF($H951="VAR","KARŞILIKSIZ",IF($G951&gt;=DusukRiskEsik,"DÜŞÜK",IF($G951&gt;=RiskliSkorEsik,"ORTA",IF($G951&gt;=YuksekRiskEsik,"YÜKSEK","KARŞILIKSIZ")))))</f>
        <v/>
      </c>
      <c r="J951" s="133" t="n"/>
      <c r="K951" s="133" t="n"/>
    </row>
    <row r="952" ht="18" customHeight="1" s="102">
      <c r="A952" s="132" t="n"/>
      <c r="B952" s="133" t="n"/>
      <c r="C952" s="133" t="n"/>
      <c r="D952" s="133" t="n"/>
      <c r="E952" s="133" t="n"/>
      <c r="F952" s="133" t="n"/>
      <c r="G952" s="133" t="n"/>
      <c r="H952" s="133" t="n"/>
      <c r="I952" s="135">
        <f>IF(OR($A952="",$G952=""),"",IF($H952="VAR","KARŞILIKSIZ",IF($G952&gt;=DusukRiskEsik,"DÜŞÜK",IF($G952&gt;=RiskliSkorEsik,"ORTA",IF($G952&gt;=YuksekRiskEsik,"YÜKSEK","KARŞILIKSIZ")))))</f>
        <v/>
      </c>
      <c r="J952" s="133" t="n"/>
      <c r="K952" s="133" t="n"/>
    </row>
    <row r="953" ht="18" customHeight="1" s="102">
      <c r="A953" s="132" t="n"/>
      <c r="B953" s="133" t="n"/>
      <c r="C953" s="133" t="n"/>
      <c r="D953" s="133" t="n"/>
      <c r="E953" s="133" t="n"/>
      <c r="F953" s="133" t="n"/>
      <c r="G953" s="133" t="n"/>
      <c r="H953" s="133" t="n"/>
      <c r="I953" s="135">
        <f>IF(OR($A953="",$G953=""),"",IF($H953="VAR","KARŞILIKSIZ",IF($G953&gt;=DusukRiskEsik,"DÜŞÜK",IF($G953&gt;=RiskliSkorEsik,"ORTA",IF($G953&gt;=YuksekRiskEsik,"YÜKSEK","KARŞILIKSIZ")))))</f>
        <v/>
      </c>
      <c r="J953" s="133" t="n"/>
      <c r="K953" s="133" t="n"/>
    </row>
    <row r="954" ht="18" customHeight="1" s="102">
      <c r="A954" s="132" t="n"/>
      <c r="B954" s="133" t="n"/>
      <c r="C954" s="133" t="n"/>
      <c r="D954" s="133" t="n"/>
      <c r="E954" s="133" t="n"/>
      <c r="F954" s="133" t="n"/>
      <c r="G954" s="133" t="n"/>
      <c r="H954" s="133" t="n"/>
      <c r="I954" s="135">
        <f>IF(OR($A954="",$G954=""),"",IF($H954="VAR","KARŞILIKSIZ",IF($G954&gt;=DusukRiskEsik,"DÜŞÜK",IF($G954&gt;=RiskliSkorEsik,"ORTA",IF($G954&gt;=YuksekRiskEsik,"YÜKSEK","KARŞILIKSIZ")))))</f>
        <v/>
      </c>
      <c r="J954" s="133" t="n"/>
      <c r="K954" s="133" t="n"/>
    </row>
    <row r="955" ht="18" customHeight="1" s="102">
      <c r="A955" s="132" t="n"/>
      <c r="B955" s="133" t="n"/>
      <c r="C955" s="133" t="n"/>
      <c r="D955" s="133" t="n"/>
      <c r="E955" s="133" t="n"/>
      <c r="F955" s="133" t="n"/>
      <c r="G955" s="133" t="n"/>
      <c r="H955" s="133" t="n"/>
      <c r="I955" s="135">
        <f>IF(OR($A955="",$G955=""),"",IF($H955="VAR","KARŞILIKSIZ",IF($G955&gt;=DusukRiskEsik,"DÜŞÜK",IF($G955&gt;=RiskliSkorEsik,"ORTA",IF($G955&gt;=YuksekRiskEsik,"YÜKSEK","KARŞILIKSIZ")))))</f>
        <v/>
      </c>
      <c r="J955" s="133" t="n"/>
      <c r="K955" s="133" t="n"/>
    </row>
    <row r="956" ht="18" customHeight="1" s="102">
      <c r="A956" s="132" t="n"/>
      <c r="B956" s="133" t="n"/>
      <c r="C956" s="133" t="n"/>
      <c r="D956" s="133" t="n"/>
      <c r="E956" s="133" t="n"/>
      <c r="F956" s="133" t="n"/>
      <c r="G956" s="133" t="n"/>
      <c r="H956" s="133" t="n"/>
      <c r="I956" s="135">
        <f>IF(OR($A956="",$G956=""),"",IF($H956="VAR","KARŞILIKSIZ",IF($G956&gt;=DusukRiskEsik,"DÜŞÜK",IF($G956&gt;=RiskliSkorEsik,"ORTA",IF($G956&gt;=YuksekRiskEsik,"YÜKSEK","KARŞILIKSIZ")))))</f>
        <v/>
      </c>
      <c r="J956" s="133" t="n"/>
      <c r="K956" s="133" t="n"/>
    </row>
    <row r="957" ht="18" customHeight="1" s="102">
      <c r="A957" s="132" t="n"/>
      <c r="B957" s="133" t="n"/>
      <c r="C957" s="133" t="n"/>
      <c r="D957" s="133" t="n"/>
      <c r="E957" s="133" t="n"/>
      <c r="F957" s="133" t="n"/>
      <c r="G957" s="133" t="n"/>
      <c r="H957" s="133" t="n"/>
      <c r="I957" s="135">
        <f>IF(OR($A957="",$G957=""),"",IF($H957="VAR","KARŞILIKSIZ",IF($G957&gt;=DusukRiskEsik,"DÜŞÜK",IF($G957&gt;=RiskliSkorEsik,"ORTA",IF($G957&gt;=YuksekRiskEsik,"YÜKSEK","KARŞILIKSIZ")))))</f>
        <v/>
      </c>
      <c r="J957" s="133" t="n"/>
      <c r="K957" s="133" t="n"/>
    </row>
    <row r="958" ht="18" customHeight="1" s="102">
      <c r="A958" s="132" t="n"/>
      <c r="B958" s="133" t="n"/>
      <c r="C958" s="133" t="n"/>
      <c r="D958" s="133" t="n"/>
      <c r="E958" s="133" t="n"/>
      <c r="F958" s="133" t="n"/>
      <c r="G958" s="133" t="n"/>
      <c r="H958" s="133" t="n"/>
      <c r="I958" s="135">
        <f>IF(OR($A958="",$G958=""),"",IF($H958="VAR","KARŞILIKSIZ",IF($G958&gt;=DusukRiskEsik,"DÜŞÜK",IF($G958&gt;=RiskliSkorEsik,"ORTA",IF($G958&gt;=YuksekRiskEsik,"YÜKSEK","KARŞILIKSIZ")))))</f>
        <v/>
      </c>
      <c r="J958" s="133" t="n"/>
      <c r="K958" s="133" t="n"/>
    </row>
    <row r="959" ht="18" customHeight="1" s="102">
      <c r="A959" s="132" t="n"/>
      <c r="B959" s="133" t="n"/>
      <c r="C959" s="133" t="n"/>
      <c r="D959" s="133" t="n"/>
      <c r="E959" s="133" t="n"/>
      <c r="F959" s="133" t="n"/>
      <c r="G959" s="133" t="n"/>
      <c r="H959" s="133" t="n"/>
      <c r="I959" s="135">
        <f>IF(OR($A959="",$G959=""),"",IF($H959="VAR","KARŞILIKSIZ",IF($G959&gt;=DusukRiskEsik,"DÜŞÜK",IF($G959&gt;=RiskliSkorEsik,"ORTA",IF($G959&gt;=YuksekRiskEsik,"YÜKSEK","KARŞILIKSIZ")))))</f>
        <v/>
      </c>
      <c r="J959" s="133" t="n"/>
      <c r="K959" s="133" t="n"/>
    </row>
    <row r="960" ht="18" customHeight="1" s="102">
      <c r="A960" s="132" t="n"/>
      <c r="B960" s="133" t="n"/>
      <c r="C960" s="133" t="n"/>
      <c r="D960" s="133" t="n"/>
      <c r="E960" s="133" t="n"/>
      <c r="F960" s="133" t="n"/>
      <c r="G960" s="133" t="n"/>
      <c r="H960" s="133" t="n"/>
      <c r="I960" s="135">
        <f>IF(OR($A960="",$G960=""),"",IF($H960="VAR","KARŞILIKSIZ",IF($G960&gt;=DusukRiskEsik,"DÜŞÜK",IF($G960&gt;=RiskliSkorEsik,"ORTA",IF($G960&gt;=YuksekRiskEsik,"YÜKSEK","KARŞILIKSIZ")))))</f>
        <v/>
      </c>
      <c r="J960" s="133" t="n"/>
      <c r="K960" s="133" t="n"/>
    </row>
    <row r="961" ht="18" customHeight="1" s="102">
      <c r="A961" s="132" t="n"/>
      <c r="B961" s="133" t="n"/>
      <c r="C961" s="133" t="n"/>
      <c r="D961" s="133" t="n"/>
      <c r="E961" s="133" t="n"/>
      <c r="F961" s="133" t="n"/>
      <c r="G961" s="133" t="n"/>
      <c r="H961" s="133" t="n"/>
      <c r="I961" s="135">
        <f>IF(OR($A961="",$G961=""),"",IF($H961="VAR","KARŞILIKSIZ",IF($G961&gt;=DusukRiskEsik,"DÜŞÜK",IF($G961&gt;=RiskliSkorEsik,"ORTA",IF($G961&gt;=YuksekRiskEsik,"YÜKSEK","KARŞILIKSIZ")))))</f>
        <v/>
      </c>
      <c r="J961" s="133" t="n"/>
      <c r="K961" s="133" t="n"/>
    </row>
    <row r="962" ht="18" customHeight="1" s="102">
      <c r="A962" s="132" t="n"/>
      <c r="B962" s="133" t="n"/>
      <c r="C962" s="133" t="n"/>
      <c r="D962" s="133" t="n"/>
      <c r="E962" s="133" t="n"/>
      <c r="F962" s="133" t="n"/>
      <c r="G962" s="133" t="n"/>
      <c r="H962" s="133" t="n"/>
      <c r="I962" s="135">
        <f>IF(OR($A962="",$G962=""),"",IF($H962="VAR","KARŞILIKSIZ",IF($G962&gt;=DusukRiskEsik,"DÜŞÜK",IF($G962&gt;=RiskliSkorEsik,"ORTA",IF($G962&gt;=YuksekRiskEsik,"YÜKSEK","KARŞILIKSIZ")))))</f>
        <v/>
      </c>
      <c r="J962" s="133" t="n"/>
      <c r="K962" s="133" t="n"/>
    </row>
    <row r="963" ht="18" customHeight="1" s="102">
      <c r="A963" s="132" t="n"/>
      <c r="B963" s="133" t="n"/>
      <c r="C963" s="133" t="n"/>
      <c r="D963" s="133" t="n"/>
      <c r="E963" s="133" t="n"/>
      <c r="F963" s="133" t="n"/>
      <c r="G963" s="133" t="n"/>
      <c r="H963" s="133" t="n"/>
      <c r="I963" s="135">
        <f>IF(OR($A963="",$G963=""),"",IF($H963="VAR","KARŞILIKSIZ",IF($G963&gt;=DusukRiskEsik,"DÜŞÜK",IF($G963&gt;=RiskliSkorEsik,"ORTA",IF($G963&gt;=YuksekRiskEsik,"YÜKSEK","KARŞILIKSIZ")))))</f>
        <v/>
      </c>
      <c r="J963" s="133" t="n"/>
      <c r="K963" s="133" t="n"/>
    </row>
    <row r="964" ht="18" customHeight="1" s="102">
      <c r="A964" s="132" t="n"/>
      <c r="B964" s="133" t="n"/>
      <c r="C964" s="133" t="n"/>
      <c r="D964" s="133" t="n"/>
      <c r="E964" s="133" t="n"/>
      <c r="F964" s="133" t="n"/>
      <c r="G964" s="133" t="n"/>
      <c r="H964" s="133" t="n"/>
      <c r="I964" s="135">
        <f>IF(OR($A964="",$G964=""),"",IF($H964="VAR","KARŞILIKSIZ",IF($G964&gt;=DusukRiskEsik,"DÜŞÜK",IF($G964&gt;=RiskliSkorEsik,"ORTA",IF($G964&gt;=YuksekRiskEsik,"YÜKSEK","KARŞILIKSIZ")))))</f>
        <v/>
      </c>
      <c r="J964" s="133" t="n"/>
      <c r="K964" s="133" t="n"/>
    </row>
    <row r="965" ht="18" customHeight="1" s="102">
      <c r="A965" s="132" t="n"/>
      <c r="B965" s="133" t="n"/>
      <c r="C965" s="133" t="n"/>
      <c r="D965" s="133" t="n"/>
      <c r="E965" s="133" t="n"/>
      <c r="F965" s="133" t="n"/>
      <c r="G965" s="133" t="n"/>
      <c r="H965" s="133" t="n"/>
      <c r="I965" s="135">
        <f>IF(OR($A965="",$G965=""),"",IF($H965="VAR","KARŞILIKSIZ",IF($G965&gt;=DusukRiskEsik,"DÜŞÜK",IF($G965&gt;=RiskliSkorEsik,"ORTA",IF($G965&gt;=YuksekRiskEsik,"YÜKSEK","KARŞILIKSIZ")))))</f>
        <v/>
      </c>
      <c r="J965" s="133" t="n"/>
      <c r="K965" s="133" t="n"/>
    </row>
    <row r="966" ht="18" customHeight="1" s="102">
      <c r="A966" s="132" t="n"/>
      <c r="B966" s="133" t="n"/>
      <c r="C966" s="133" t="n"/>
      <c r="D966" s="133" t="n"/>
      <c r="E966" s="133" t="n"/>
      <c r="F966" s="133" t="n"/>
      <c r="G966" s="133" t="n"/>
      <c r="H966" s="133" t="n"/>
      <c r="I966" s="135">
        <f>IF(OR($A966="",$G966=""),"",IF($H966="VAR","KARŞILIKSIZ",IF($G966&gt;=DusukRiskEsik,"DÜŞÜK",IF($G966&gt;=RiskliSkorEsik,"ORTA",IF($G966&gt;=YuksekRiskEsik,"YÜKSEK","KARŞILIKSIZ")))))</f>
        <v/>
      </c>
      <c r="J966" s="133" t="n"/>
      <c r="K966" s="133" t="n"/>
    </row>
    <row r="967" ht="18" customHeight="1" s="102">
      <c r="A967" s="132" t="n"/>
      <c r="B967" s="133" t="n"/>
      <c r="C967" s="133" t="n"/>
      <c r="D967" s="133" t="n"/>
      <c r="E967" s="133" t="n"/>
      <c r="F967" s="133" t="n"/>
      <c r="G967" s="133" t="n"/>
      <c r="H967" s="133" t="n"/>
      <c r="I967" s="135">
        <f>IF(OR($A967="",$G967=""),"",IF($H967="VAR","KARŞILIKSIZ",IF($G967&gt;=DusukRiskEsik,"DÜŞÜK",IF($G967&gt;=RiskliSkorEsik,"ORTA",IF($G967&gt;=YuksekRiskEsik,"YÜKSEK","KARŞILIKSIZ")))))</f>
        <v/>
      </c>
      <c r="J967" s="133" t="n"/>
      <c r="K967" s="133" t="n"/>
    </row>
    <row r="968" ht="18" customHeight="1" s="102">
      <c r="A968" s="132" t="n"/>
      <c r="B968" s="133" t="n"/>
      <c r="C968" s="133" t="n"/>
      <c r="D968" s="133" t="n"/>
      <c r="E968" s="133" t="n"/>
      <c r="F968" s="133" t="n"/>
      <c r="G968" s="133" t="n"/>
      <c r="H968" s="133" t="n"/>
      <c r="I968" s="135">
        <f>IF(OR($A968="",$G968=""),"",IF($H968="VAR","KARŞILIKSIZ",IF($G968&gt;=DusukRiskEsik,"DÜŞÜK",IF($G968&gt;=RiskliSkorEsik,"ORTA",IF($G968&gt;=YuksekRiskEsik,"YÜKSEK","KARŞILIKSIZ")))))</f>
        <v/>
      </c>
      <c r="J968" s="133" t="n"/>
      <c r="K968" s="133" t="n"/>
    </row>
    <row r="969" ht="18" customHeight="1" s="102">
      <c r="A969" s="132" t="n"/>
      <c r="B969" s="133" t="n"/>
      <c r="C969" s="133" t="n"/>
      <c r="D969" s="133" t="n"/>
      <c r="E969" s="133" t="n"/>
      <c r="F969" s="133" t="n"/>
      <c r="G969" s="133" t="n"/>
      <c r="H969" s="133" t="n"/>
      <c r="I969" s="135">
        <f>IF(OR($A969="",$G969=""),"",IF($H969="VAR","KARŞILIKSIZ",IF($G969&gt;=DusukRiskEsik,"DÜŞÜK",IF($G969&gt;=RiskliSkorEsik,"ORTA",IF($G969&gt;=YuksekRiskEsik,"YÜKSEK","KARŞILIKSIZ")))))</f>
        <v/>
      </c>
      <c r="J969" s="133" t="n"/>
      <c r="K969" s="133" t="n"/>
    </row>
    <row r="970" ht="18" customHeight="1" s="102">
      <c r="A970" s="132" t="n"/>
      <c r="B970" s="133" t="n"/>
      <c r="C970" s="133" t="n"/>
      <c r="D970" s="133" t="n"/>
      <c r="E970" s="133" t="n"/>
      <c r="F970" s="133" t="n"/>
      <c r="G970" s="133" t="n"/>
      <c r="H970" s="133" t="n"/>
      <c r="I970" s="135">
        <f>IF(OR($A970="",$G970=""),"",IF($H970="VAR","KARŞILIKSIZ",IF($G970&gt;=DusukRiskEsik,"DÜŞÜK",IF($G970&gt;=RiskliSkorEsik,"ORTA",IF($G970&gt;=YuksekRiskEsik,"YÜKSEK","KARŞILIKSIZ")))))</f>
        <v/>
      </c>
      <c r="J970" s="133" t="n"/>
      <c r="K970" s="133" t="n"/>
    </row>
    <row r="971" ht="18" customHeight="1" s="102">
      <c r="A971" s="132" t="n"/>
      <c r="B971" s="133" t="n"/>
      <c r="C971" s="133" t="n"/>
      <c r="D971" s="133" t="n"/>
      <c r="E971" s="133" t="n"/>
      <c r="F971" s="133" t="n"/>
      <c r="G971" s="133" t="n"/>
      <c r="H971" s="133" t="n"/>
      <c r="I971" s="135">
        <f>IF(OR($A971="",$G971=""),"",IF($H971="VAR","KARŞILIKSIZ",IF($G971&gt;=DusukRiskEsik,"DÜŞÜK",IF($G971&gt;=RiskliSkorEsik,"ORTA",IF($G971&gt;=YuksekRiskEsik,"YÜKSEK","KARŞILIKSIZ")))))</f>
        <v/>
      </c>
      <c r="J971" s="133" t="n"/>
      <c r="K971" s="133" t="n"/>
    </row>
    <row r="972" ht="18" customHeight="1" s="102">
      <c r="A972" s="132" t="n"/>
      <c r="B972" s="133" t="n"/>
      <c r="C972" s="133" t="n"/>
      <c r="D972" s="133" t="n"/>
      <c r="E972" s="133" t="n"/>
      <c r="F972" s="133" t="n"/>
      <c r="G972" s="133" t="n"/>
      <c r="H972" s="133" t="n"/>
      <c r="I972" s="135">
        <f>IF(OR($A972="",$G972=""),"",IF($H972="VAR","KARŞILIKSIZ",IF($G972&gt;=DusukRiskEsik,"DÜŞÜK",IF($G972&gt;=RiskliSkorEsik,"ORTA",IF($G972&gt;=YuksekRiskEsik,"YÜKSEK","KARŞILIKSIZ")))))</f>
        <v/>
      </c>
      <c r="J972" s="133" t="n"/>
      <c r="K972" s="133" t="n"/>
    </row>
    <row r="973" ht="18" customHeight="1" s="102">
      <c r="A973" s="132" t="n"/>
      <c r="B973" s="133" t="n"/>
      <c r="C973" s="133" t="n"/>
      <c r="D973" s="133" t="n"/>
      <c r="E973" s="133" t="n"/>
      <c r="F973" s="133" t="n"/>
      <c r="G973" s="133" t="n"/>
      <c r="H973" s="133" t="n"/>
      <c r="I973" s="135">
        <f>IF(OR($A973="",$G973=""),"",IF($H973="VAR","KARŞILIKSIZ",IF($G973&gt;=DusukRiskEsik,"DÜŞÜK",IF($G973&gt;=RiskliSkorEsik,"ORTA",IF($G973&gt;=YuksekRiskEsik,"YÜKSEK","KARŞILIKSIZ")))))</f>
        <v/>
      </c>
      <c r="J973" s="133" t="n"/>
      <c r="K973" s="133" t="n"/>
    </row>
    <row r="974" ht="18" customHeight="1" s="102">
      <c r="A974" s="132" t="n"/>
      <c r="B974" s="133" t="n"/>
      <c r="C974" s="133" t="n"/>
      <c r="D974" s="133" t="n"/>
      <c r="E974" s="133" t="n"/>
      <c r="F974" s="133" t="n"/>
      <c r="G974" s="133" t="n"/>
      <c r="H974" s="133" t="n"/>
      <c r="I974" s="135">
        <f>IF(OR($A974="",$G974=""),"",IF($H974="VAR","KARŞILIKSIZ",IF($G974&gt;=DusukRiskEsik,"DÜŞÜK",IF($G974&gt;=RiskliSkorEsik,"ORTA",IF($G974&gt;=YuksekRiskEsik,"YÜKSEK","KARŞILIKSIZ")))))</f>
        <v/>
      </c>
      <c r="J974" s="133" t="n"/>
      <c r="K974" s="133" t="n"/>
    </row>
    <row r="975" ht="18" customHeight="1" s="102">
      <c r="A975" s="132" t="n"/>
      <c r="B975" s="133" t="n"/>
      <c r="C975" s="133" t="n"/>
      <c r="D975" s="133" t="n"/>
      <c r="E975" s="133" t="n"/>
      <c r="F975" s="133" t="n"/>
      <c r="G975" s="133" t="n"/>
      <c r="H975" s="133" t="n"/>
      <c r="I975" s="135">
        <f>IF(OR($A975="",$G975=""),"",IF($H975="VAR","KARŞILIKSIZ",IF($G975&gt;=DusukRiskEsik,"DÜŞÜK",IF($G975&gt;=RiskliSkorEsik,"ORTA",IF($G975&gt;=YuksekRiskEsik,"YÜKSEK","KARŞILIKSIZ")))))</f>
        <v/>
      </c>
      <c r="J975" s="133" t="n"/>
      <c r="K975" s="133" t="n"/>
    </row>
    <row r="976" ht="18" customHeight="1" s="102">
      <c r="A976" s="132" t="n"/>
      <c r="B976" s="133" t="n"/>
      <c r="C976" s="133" t="n"/>
      <c r="D976" s="133" t="n"/>
      <c r="E976" s="133" t="n"/>
      <c r="F976" s="133" t="n"/>
      <c r="G976" s="133" t="n"/>
      <c r="H976" s="133" t="n"/>
      <c r="I976" s="135">
        <f>IF(OR($A976="",$G976=""),"",IF($H976="VAR","KARŞILIKSIZ",IF($G976&gt;=DusukRiskEsik,"DÜŞÜK",IF($G976&gt;=RiskliSkorEsik,"ORTA",IF($G976&gt;=YuksekRiskEsik,"YÜKSEK","KARŞILIKSIZ")))))</f>
        <v/>
      </c>
      <c r="J976" s="133" t="n"/>
      <c r="K976" s="133" t="n"/>
    </row>
    <row r="977" ht="18" customHeight="1" s="102">
      <c r="A977" s="132" t="n"/>
      <c r="B977" s="133" t="n"/>
      <c r="C977" s="133" t="n"/>
      <c r="D977" s="133" t="n"/>
      <c r="E977" s="133" t="n"/>
      <c r="F977" s="133" t="n"/>
      <c r="G977" s="133" t="n"/>
      <c r="H977" s="133" t="n"/>
      <c r="I977" s="135">
        <f>IF(OR($A977="",$G977=""),"",IF($H977="VAR","KARŞILIKSIZ",IF($G977&gt;=DusukRiskEsik,"DÜŞÜK",IF($G977&gt;=RiskliSkorEsik,"ORTA",IF($G977&gt;=YuksekRiskEsik,"YÜKSEK","KARŞILIKSIZ")))))</f>
        <v/>
      </c>
      <c r="J977" s="133" t="n"/>
      <c r="K977" s="133" t="n"/>
    </row>
    <row r="978" ht="18" customHeight="1" s="102">
      <c r="A978" s="132" t="n"/>
      <c r="B978" s="133" t="n"/>
      <c r="C978" s="133" t="n"/>
      <c r="D978" s="133" t="n"/>
      <c r="E978" s="133" t="n"/>
      <c r="F978" s="133" t="n"/>
      <c r="G978" s="133" t="n"/>
      <c r="H978" s="133" t="n"/>
      <c r="I978" s="135">
        <f>IF(OR($A978="",$G978=""),"",IF($H978="VAR","KARŞILIKSIZ",IF($G978&gt;=DusukRiskEsik,"DÜŞÜK",IF($G978&gt;=RiskliSkorEsik,"ORTA",IF($G978&gt;=YuksekRiskEsik,"YÜKSEK","KARŞILIKSIZ")))))</f>
        <v/>
      </c>
      <c r="J978" s="133" t="n"/>
      <c r="K978" s="133" t="n"/>
    </row>
    <row r="979" ht="18" customHeight="1" s="102">
      <c r="A979" s="132" t="n"/>
      <c r="B979" s="133" t="n"/>
      <c r="C979" s="133" t="n"/>
      <c r="D979" s="133" t="n"/>
      <c r="E979" s="133" t="n"/>
      <c r="F979" s="133" t="n"/>
      <c r="G979" s="133" t="n"/>
      <c r="H979" s="133" t="n"/>
      <c r="I979" s="135">
        <f>IF(OR($A979="",$G979=""),"",IF($H979="VAR","KARŞILIKSIZ",IF($G979&gt;=DusukRiskEsik,"DÜŞÜK",IF($G979&gt;=RiskliSkorEsik,"ORTA",IF($G979&gt;=YuksekRiskEsik,"YÜKSEK","KARŞILIKSIZ")))))</f>
        <v/>
      </c>
      <c r="J979" s="133" t="n"/>
      <c r="K979" s="133" t="n"/>
    </row>
    <row r="980" ht="18" customHeight="1" s="102">
      <c r="A980" s="132" t="n"/>
      <c r="B980" s="133" t="n"/>
      <c r="C980" s="133" t="n"/>
      <c r="D980" s="133" t="n"/>
      <c r="E980" s="133" t="n"/>
      <c r="F980" s="133" t="n"/>
      <c r="G980" s="133" t="n"/>
      <c r="H980" s="133" t="n"/>
      <c r="I980" s="135">
        <f>IF(OR($A980="",$G980=""),"",IF($H980="VAR","KARŞILIKSIZ",IF($G980&gt;=DusukRiskEsik,"DÜŞÜK",IF($G980&gt;=RiskliSkorEsik,"ORTA",IF($G980&gt;=YuksekRiskEsik,"YÜKSEK","KARŞILIKSIZ")))))</f>
        <v/>
      </c>
      <c r="J980" s="133" t="n"/>
      <c r="K980" s="133" t="n"/>
    </row>
    <row r="981" ht="18" customHeight="1" s="102">
      <c r="A981" s="132" t="n"/>
      <c r="B981" s="133" t="n"/>
      <c r="C981" s="133" t="n"/>
      <c r="D981" s="133" t="n"/>
      <c r="E981" s="133" t="n"/>
      <c r="F981" s="133" t="n"/>
      <c r="G981" s="133" t="n"/>
      <c r="H981" s="133" t="n"/>
      <c r="I981" s="135">
        <f>IF(OR($A981="",$G981=""),"",IF($H981="VAR","KARŞILIKSIZ",IF($G981&gt;=DusukRiskEsik,"DÜŞÜK",IF($G981&gt;=RiskliSkorEsik,"ORTA",IF($G981&gt;=YuksekRiskEsik,"YÜKSEK","KARŞILIKSIZ")))))</f>
        <v/>
      </c>
      <c r="J981" s="133" t="n"/>
      <c r="K981" s="133" t="n"/>
    </row>
    <row r="982" ht="18" customHeight="1" s="102">
      <c r="A982" s="132" t="n"/>
      <c r="B982" s="133" t="n"/>
      <c r="C982" s="133" t="n"/>
      <c r="D982" s="133" t="n"/>
      <c r="E982" s="133" t="n"/>
      <c r="F982" s="133" t="n"/>
      <c r="G982" s="133" t="n"/>
      <c r="H982" s="133" t="n"/>
      <c r="I982" s="135">
        <f>IF(OR($A982="",$G982=""),"",IF($H982="VAR","KARŞILIKSIZ",IF($G982&gt;=DusukRiskEsik,"DÜŞÜK",IF($G982&gt;=RiskliSkorEsik,"ORTA",IF($G982&gt;=YuksekRiskEsik,"YÜKSEK","KARŞILIKSIZ")))))</f>
        <v/>
      </c>
      <c r="J982" s="133" t="n"/>
      <c r="K982" s="133" t="n"/>
    </row>
    <row r="983" ht="18" customHeight="1" s="102">
      <c r="A983" s="132" t="n"/>
      <c r="B983" s="133" t="n"/>
      <c r="C983" s="133" t="n"/>
      <c r="D983" s="133" t="n"/>
      <c r="E983" s="133" t="n"/>
      <c r="F983" s="133" t="n"/>
      <c r="G983" s="133" t="n"/>
      <c r="H983" s="133" t="n"/>
      <c r="I983" s="135">
        <f>IF(OR($A983="",$G983=""),"",IF($H983="VAR","KARŞILIKSIZ",IF($G983&gt;=DusukRiskEsik,"DÜŞÜK",IF($G983&gt;=RiskliSkorEsik,"ORTA",IF($G983&gt;=YuksekRiskEsik,"YÜKSEK","KARŞILIKSIZ")))))</f>
        <v/>
      </c>
      <c r="J983" s="133" t="n"/>
      <c r="K983" s="133" t="n"/>
    </row>
    <row r="984" ht="18" customHeight="1" s="102">
      <c r="A984" s="132" t="n"/>
      <c r="B984" s="133" t="n"/>
      <c r="C984" s="133" t="n"/>
      <c r="D984" s="133" t="n"/>
      <c r="E984" s="133" t="n"/>
      <c r="F984" s="133" t="n"/>
      <c r="G984" s="133" t="n"/>
      <c r="H984" s="133" t="n"/>
      <c r="I984" s="135">
        <f>IF(OR($A984="",$G984=""),"",IF($H984="VAR","KARŞILIKSIZ",IF($G984&gt;=DusukRiskEsik,"DÜŞÜK",IF($G984&gt;=RiskliSkorEsik,"ORTA",IF($G984&gt;=YuksekRiskEsik,"YÜKSEK","KARŞILIKSIZ")))))</f>
        <v/>
      </c>
      <c r="J984" s="133" t="n"/>
      <c r="K984" s="133" t="n"/>
    </row>
    <row r="985" ht="18" customHeight="1" s="102">
      <c r="A985" s="132" t="n"/>
      <c r="B985" s="133" t="n"/>
      <c r="C985" s="133" t="n"/>
      <c r="D985" s="133" t="n"/>
      <c r="E985" s="133" t="n"/>
      <c r="F985" s="133" t="n"/>
      <c r="G985" s="133" t="n"/>
      <c r="H985" s="133" t="n"/>
      <c r="I985" s="135">
        <f>IF(OR($A985="",$G985=""),"",IF($H985="VAR","KARŞILIKSIZ",IF($G985&gt;=DusukRiskEsik,"DÜŞÜK",IF($G985&gt;=RiskliSkorEsik,"ORTA",IF($G985&gt;=YuksekRiskEsik,"YÜKSEK","KARŞILIKSIZ")))))</f>
        <v/>
      </c>
      <c r="J985" s="133" t="n"/>
      <c r="K985" s="133" t="n"/>
    </row>
    <row r="986" ht="18" customHeight="1" s="102">
      <c r="A986" s="132" t="n"/>
      <c r="B986" s="133" t="n"/>
      <c r="C986" s="133" t="n"/>
      <c r="D986" s="133" t="n"/>
      <c r="E986" s="133" t="n"/>
      <c r="F986" s="133" t="n"/>
      <c r="G986" s="133" t="n"/>
      <c r="H986" s="133" t="n"/>
      <c r="I986" s="135">
        <f>IF(OR($A986="",$G986=""),"",IF($H986="VAR","KARŞILIKSIZ",IF($G986&gt;=DusukRiskEsik,"DÜŞÜK",IF($G986&gt;=RiskliSkorEsik,"ORTA",IF($G986&gt;=YuksekRiskEsik,"YÜKSEK","KARŞILIKSIZ")))))</f>
        <v/>
      </c>
      <c r="J986" s="133" t="n"/>
      <c r="K986" s="133" t="n"/>
    </row>
    <row r="987" ht="18" customHeight="1" s="102">
      <c r="A987" s="132" t="n"/>
      <c r="B987" s="133" t="n"/>
      <c r="C987" s="133" t="n"/>
      <c r="D987" s="133" t="n"/>
      <c r="E987" s="133" t="n"/>
      <c r="F987" s="133" t="n"/>
      <c r="G987" s="133" t="n"/>
      <c r="H987" s="133" t="n"/>
      <c r="I987" s="135">
        <f>IF(OR($A987="",$G987=""),"",IF($H987="VAR","KARŞILIKSIZ",IF($G987&gt;=DusukRiskEsik,"DÜŞÜK",IF($G987&gt;=RiskliSkorEsik,"ORTA",IF($G987&gt;=YuksekRiskEsik,"YÜKSEK","KARŞILIKSIZ")))))</f>
        <v/>
      </c>
      <c r="J987" s="133" t="n"/>
      <c r="K987" s="133" t="n"/>
    </row>
    <row r="988" ht="18" customHeight="1" s="102">
      <c r="A988" s="132" t="n"/>
      <c r="B988" s="133" t="n"/>
      <c r="C988" s="133" t="n"/>
      <c r="D988" s="133" t="n"/>
      <c r="E988" s="133" t="n"/>
      <c r="F988" s="133" t="n"/>
      <c r="G988" s="133" t="n"/>
      <c r="H988" s="133" t="n"/>
      <c r="I988" s="135">
        <f>IF(OR($A988="",$G988=""),"",IF($H988="VAR","KARŞILIKSIZ",IF($G988&gt;=DusukRiskEsik,"DÜŞÜK",IF($G988&gt;=RiskliSkorEsik,"ORTA",IF($G988&gt;=YuksekRiskEsik,"YÜKSEK","KARŞILIKSIZ")))))</f>
        <v/>
      </c>
      <c r="J988" s="133" t="n"/>
      <c r="K988" s="133" t="n"/>
    </row>
    <row r="989" ht="18" customHeight="1" s="102">
      <c r="A989" s="132" t="n"/>
      <c r="B989" s="133" t="n"/>
      <c r="C989" s="133" t="n"/>
      <c r="D989" s="133" t="n"/>
      <c r="E989" s="133" t="n"/>
      <c r="F989" s="133" t="n"/>
      <c r="G989" s="133" t="n"/>
      <c r="H989" s="133" t="n"/>
      <c r="I989" s="135">
        <f>IF(OR($A989="",$G989=""),"",IF($H989="VAR","KARŞILIKSIZ",IF($G989&gt;=DusukRiskEsik,"DÜŞÜK",IF($G989&gt;=RiskliSkorEsik,"ORTA",IF($G989&gt;=YuksekRiskEsik,"YÜKSEK","KARŞILIKSIZ")))))</f>
        <v/>
      </c>
      <c r="J989" s="133" t="n"/>
      <c r="K989" s="133" t="n"/>
    </row>
    <row r="990" ht="18" customHeight="1" s="102">
      <c r="A990" s="132" t="n"/>
      <c r="B990" s="133" t="n"/>
      <c r="C990" s="133" t="n"/>
      <c r="D990" s="133" t="n"/>
      <c r="E990" s="133" t="n"/>
      <c r="F990" s="133" t="n"/>
      <c r="G990" s="133" t="n"/>
      <c r="H990" s="133" t="n"/>
      <c r="I990" s="135">
        <f>IF(OR($A990="",$G990=""),"",IF($H990="VAR","KARŞILIKSIZ",IF($G990&gt;=DusukRiskEsik,"DÜŞÜK",IF($G990&gt;=RiskliSkorEsik,"ORTA",IF($G990&gt;=YuksekRiskEsik,"YÜKSEK","KARŞILIKSIZ")))))</f>
        <v/>
      </c>
      <c r="J990" s="133" t="n"/>
      <c r="K990" s="133" t="n"/>
    </row>
    <row r="991" ht="18" customHeight="1" s="102">
      <c r="A991" s="132" t="n"/>
      <c r="B991" s="133" t="n"/>
      <c r="C991" s="133" t="n"/>
      <c r="D991" s="133" t="n"/>
      <c r="E991" s="133" t="n"/>
      <c r="F991" s="133" t="n"/>
      <c r="G991" s="133" t="n"/>
      <c r="H991" s="133" t="n"/>
      <c r="I991" s="135">
        <f>IF(OR($A991="",$G991=""),"",IF($H991="VAR","KARŞILIKSIZ",IF($G991&gt;=DusukRiskEsik,"DÜŞÜK",IF($G991&gt;=RiskliSkorEsik,"ORTA",IF($G991&gt;=YuksekRiskEsik,"YÜKSEK","KARŞILIKSIZ")))))</f>
        <v/>
      </c>
      <c r="J991" s="133" t="n"/>
      <c r="K991" s="133" t="n"/>
    </row>
    <row r="992" ht="18" customHeight="1" s="102">
      <c r="A992" s="132" t="n"/>
      <c r="B992" s="133" t="n"/>
      <c r="C992" s="133" t="n"/>
      <c r="D992" s="133" t="n"/>
      <c r="E992" s="133" t="n"/>
      <c r="F992" s="133" t="n"/>
      <c r="G992" s="133" t="n"/>
      <c r="H992" s="133" t="n"/>
      <c r="I992" s="135">
        <f>IF(OR($A992="",$G992=""),"",IF($H992="VAR","KARŞILIKSIZ",IF($G992&gt;=DusukRiskEsik,"DÜŞÜK",IF($G992&gt;=RiskliSkorEsik,"ORTA",IF($G992&gt;=YuksekRiskEsik,"YÜKSEK","KARŞILIKSIZ")))))</f>
        <v/>
      </c>
      <c r="J992" s="133" t="n"/>
      <c r="K992" s="133" t="n"/>
    </row>
    <row r="993" ht="18" customHeight="1" s="102">
      <c r="A993" s="132" t="n"/>
      <c r="B993" s="133" t="n"/>
      <c r="C993" s="133" t="n"/>
      <c r="D993" s="133" t="n"/>
      <c r="E993" s="133" t="n"/>
      <c r="F993" s="133" t="n"/>
      <c r="G993" s="133" t="n"/>
      <c r="H993" s="133" t="n"/>
      <c r="I993" s="135">
        <f>IF(OR($A993="",$G993=""),"",IF($H993="VAR","KARŞILIKSIZ",IF($G993&gt;=DusukRiskEsik,"DÜŞÜK",IF($G993&gt;=RiskliSkorEsik,"ORTA",IF($G993&gt;=YuksekRiskEsik,"YÜKSEK","KARŞILIKSIZ")))))</f>
        <v/>
      </c>
      <c r="J993" s="133" t="n"/>
      <c r="K993" s="133" t="n"/>
    </row>
    <row r="994" ht="18" customHeight="1" s="102">
      <c r="A994" s="132" t="n"/>
      <c r="B994" s="133" t="n"/>
      <c r="C994" s="133" t="n"/>
      <c r="D994" s="133" t="n"/>
      <c r="E994" s="133" t="n"/>
      <c r="F994" s="133" t="n"/>
      <c r="G994" s="133" t="n"/>
      <c r="H994" s="133" t="n"/>
      <c r="I994" s="135">
        <f>IF(OR($A994="",$G994=""),"",IF($H994="VAR","KARŞILIKSIZ",IF($G994&gt;=DusukRiskEsik,"DÜŞÜK",IF($G994&gt;=RiskliSkorEsik,"ORTA",IF($G994&gt;=YuksekRiskEsik,"YÜKSEK","KARŞILIKSIZ")))))</f>
        <v/>
      </c>
      <c r="J994" s="133" t="n"/>
      <c r="K994" s="133" t="n"/>
    </row>
    <row r="995" ht="18" customHeight="1" s="102">
      <c r="A995" s="132" t="n"/>
      <c r="B995" s="133" t="n"/>
      <c r="C995" s="133" t="n"/>
      <c r="D995" s="133" t="n"/>
      <c r="E995" s="133" t="n"/>
      <c r="F995" s="133" t="n"/>
      <c r="G995" s="133" t="n"/>
      <c r="H995" s="133" t="n"/>
      <c r="I995" s="135">
        <f>IF(OR($A995="",$G995=""),"",IF($H995="VAR","KARŞILIKSIZ",IF($G995&gt;=DusukRiskEsik,"DÜŞÜK",IF($G995&gt;=RiskliSkorEsik,"ORTA",IF($G995&gt;=YuksekRiskEsik,"YÜKSEK","KARŞILIKSIZ")))))</f>
        <v/>
      </c>
      <c r="J995" s="133" t="n"/>
      <c r="K995" s="133" t="n"/>
    </row>
    <row r="996" ht="18" customHeight="1" s="102">
      <c r="A996" s="132" t="n"/>
      <c r="B996" s="133" t="n"/>
      <c r="C996" s="133" t="n"/>
      <c r="D996" s="133" t="n"/>
      <c r="E996" s="133" t="n"/>
      <c r="F996" s="133" t="n"/>
      <c r="G996" s="133" t="n"/>
      <c r="H996" s="133" t="n"/>
      <c r="I996" s="135">
        <f>IF(OR($A996="",$G996=""),"",IF($H996="VAR","KARŞILIKSIZ",IF($G996&gt;=DusukRiskEsik,"DÜŞÜK",IF($G996&gt;=RiskliSkorEsik,"ORTA",IF($G996&gt;=YuksekRiskEsik,"YÜKSEK","KARŞILIKSIZ")))))</f>
        <v/>
      </c>
      <c r="J996" s="133" t="n"/>
      <c r="K996" s="133" t="n"/>
    </row>
    <row r="997" ht="18" customHeight="1" s="102">
      <c r="A997" s="132" t="n"/>
      <c r="B997" s="133" t="n"/>
      <c r="C997" s="133" t="n"/>
      <c r="D997" s="133" t="n"/>
      <c r="E997" s="133" t="n"/>
      <c r="F997" s="133" t="n"/>
      <c r="G997" s="133" t="n"/>
      <c r="H997" s="133" t="n"/>
      <c r="I997" s="135">
        <f>IF(OR($A997="",$G997=""),"",IF($H997="VAR","KARŞILIKSIZ",IF($G997&gt;=DusukRiskEsik,"DÜŞÜK",IF($G997&gt;=RiskliSkorEsik,"ORTA",IF($G997&gt;=YuksekRiskEsik,"YÜKSEK","KARŞILIKSIZ")))))</f>
        <v/>
      </c>
      <c r="J997" s="133" t="n"/>
      <c r="K997" s="133" t="n"/>
    </row>
    <row r="998" ht="18" customHeight="1" s="102">
      <c r="A998" s="132" t="n"/>
      <c r="B998" s="133" t="n"/>
      <c r="C998" s="133" t="n"/>
      <c r="D998" s="133" t="n"/>
      <c r="E998" s="133" t="n"/>
      <c r="F998" s="133" t="n"/>
      <c r="G998" s="133" t="n"/>
      <c r="H998" s="133" t="n"/>
      <c r="I998" s="135">
        <f>IF(OR($A998="",$G998=""),"",IF($H998="VAR","KARŞILIKSIZ",IF($G998&gt;=DusukRiskEsik,"DÜŞÜK",IF($G998&gt;=RiskliSkorEsik,"ORTA",IF($G998&gt;=YuksekRiskEsik,"YÜKSEK","KARŞILIKSIZ")))))</f>
        <v/>
      </c>
      <c r="J998" s="133" t="n"/>
      <c r="K998" s="133" t="n"/>
    </row>
    <row r="999" ht="18" customHeight="1" s="102">
      <c r="A999" s="132" t="n"/>
      <c r="B999" s="133" t="n"/>
      <c r="C999" s="133" t="n"/>
      <c r="D999" s="133" t="n"/>
      <c r="E999" s="133" t="n"/>
      <c r="F999" s="133" t="n"/>
      <c r="G999" s="133" t="n"/>
      <c r="H999" s="133" t="n"/>
      <c r="I999" s="135">
        <f>IF(OR($A999="",$G999=""),"",IF($H999="VAR","KARŞILIKSIZ",IF($G999&gt;=DusukRiskEsik,"DÜŞÜK",IF($G999&gt;=RiskliSkorEsik,"ORTA",IF($G999&gt;=YuksekRiskEsik,"YÜKSEK","KARŞILIKSIZ")))))</f>
        <v/>
      </c>
      <c r="J999" s="133" t="n"/>
      <c r="K999" s="133" t="n"/>
    </row>
    <row r="1000" ht="18" customHeight="1" s="102">
      <c r="A1000" s="132" t="n"/>
      <c r="B1000" s="133" t="n"/>
      <c r="C1000" s="133" t="n"/>
      <c r="D1000" s="133" t="n"/>
      <c r="E1000" s="133" t="n"/>
      <c r="F1000" s="133" t="n"/>
      <c r="G1000" s="133" t="n"/>
      <c r="H1000" s="133" t="n"/>
      <c r="I1000" s="135">
        <f>IF(OR($A1000="",$G1000=""),"",IF($H1000="VAR","KARŞILIKSIZ",IF($G1000&gt;=DusukRiskEsik,"DÜŞÜK",IF($G1000&gt;=RiskliSkorEsik,"ORTA",IF($G1000&gt;=YuksekRiskEsik,"YÜKSEK","KARŞILIKSIZ")))))</f>
        <v/>
      </c>
      <c r="J1000" s="133" t="n"/>
      <c r="K1000" s="13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I6:I200">
    <cfRule type="cellIs" rank="0" priority="2" equalAverage="0" operator="equal" aboveAverage="0" dxfId="10" text="" percent="0" bottom="0">
      <formula>"DÜŞÜK"</formula>
    </cfRule>
    <cfRule type="cellIs" rank="0" priority="3" equalAverage="0" operator="equal" aboveAverage="0" dxfId="11" text="" percent="0" bottom="0">
      <formula>"ORTA"</formula>
    </cfRule>
    <cfRule type="cellIs" rank="0" priority="4" equalAverage="0" operator="equal" aboveAverage="0" dxfId="12" text="" percent="0" bottom="0">
      <formula>"YÜKSEK"</formula>
    </cfRule>
    <cfRule type="cellIs" rank="0" priority="5" equalAverage="0" operator="equal" aboveAverage="0" dxfId="13" text="" percent="0" bottom="0">
      <formula>"KARŞILIKSIZ"</formula>
    </cfRule>
    <cfRule type="cellIs" rank="0" priority="6" equalAverage="0" operator="equal" aboveAverage="0" dxfId="13" text="" percent="0" bottom="0">
      <formula>"VERİ YETERSİZ"</formula>
    </cfRule>
  </conditionalFormatting>
  <conditionalFormatting sqref="G6:G200">
    <cfRule type="cellIs" rank="0" priority="7" equalAverage="0" operator="lessThan" aboveAverage="0" dxfId="12" text="" percent="0" bottom="0">
      <formula>40</formula>
    </cfRule>
    <cfRule type="cellIs" rank="0" priority="8" equalAverage="0" operator="greaterThanOrEqual" aboveAverage="0" dxfId="10" text="" percent="0" bottom="0">
      <formula>80</formula>
    </cfRule>
  </conditionalFormatting>
  <dataValidations count="4">
    <dataValidation sqref="F6:F1000" showDropDown="0" showInputMessage="1" showErrorMessage="1" allowBlank="1" errorTitle="Geçersiz segment" error="Listeden bir segment seçiniz." promptTitle="Segment" prompt="Müşteri, tedarikçi veya diğer segment türünü seçin." type="list" errorStyle="stop" operator="between">
      <formula1>"MÜŞTERİ,TEDARİKÇİ,ALT YÜKLENİCİ,BAĞLI ŞİRKET"</formula1>
      <formula2>0</formula2>
    </dataValidation>
    <dataValidation sqref="H6:H1000" showDropDown="0" showInputMessage="1" showErrorMessage="1" allowBlank="1" errorTitle="Geçersiz değer" error="YOK veya VAR seçiniz." promptTitle="Karşılıksız Geçmişi" prompt="Müşterinin karşılıksız çek/senet geçmişi var mı?" type="list" errorStyle="stop" operator="between">
      <formula1>"YOK,VAR"</formula1>
      <formula2>0</formula2>
    </dataValidation>
    <dataValidation sqref="G6:G1000" showDropDown="0" showInputMessage="1" showErrorMessage="1" allowBlank="1" error="Skor 0-100 arası olmalıdır." promptTitle="Tahsilat Skoru (üst sınır)" prompt="Skor 0-100 arasında tam sayı olmalıdır." type="whole" errorStyle="stop" operator="between">
      <formula1>0</formula1>
      <formula2>100</formula2>
    </dataValidation>
    <dataValidation sqref="J6:J1000" showDropDown="0" showInputMessage="1" showErrorMessage="1" allowBlank="1" errorTitle="Geçersiz" error="Kredi limiti sıfırdan küçük olamaz." promptTitle="Kredi Limiti" prompt="Tutar sıfırdan büyük olmalıdır." type="decimal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N3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28" min="1" max="1"/>
    <col width="11" customWidth="1" style="128" min="2" max="2"/>
    <col width="14" customWidth="1" style="128" min="3" max="3"/>
    <col width="10" customWidth="1" style="128" min="4" max="4"/>
    <col width="18" customWidth="1" style="128" min="5" max="6"/>
    <col width="11" customWidth="1" style="128" min="7" max="7"/>
    <col width="12" customWidth="1" style="128" min="8" max="9"/>
    <col width="13" customWidth="1" style="128" min="10" max="10"/>
    <col width="8" customWidth="1" style="128" min="11" max="11"/>
    <col width="7" customWidth="1" style="128" min="12" max="12"/>
    <col width="14" customWidth="1" style="128" min="13" max="13"/>
    <col width="16" customWidth="1" style="128" min="14" max="14"/>
    <col width="10" customWidth="1" style="128" min="15" max="15"/>
    <col width="12" customWidth="1" style="128" min="16" max="16"/>
    <col width="22" customWidth="1" style="128" min="17" max="17"/>
    <col width="10" customWidth="1" style="128" min="18" max="18"/>
    <col width="22" customWidth="1" style="128" min="19" max="19"/>
    <col width="13" customWidth="1" style="128" min="20" max="20"/>
    <col width="18" customWidth="1" style="128" min="21" max="21"/>
    <col width="12" customWidth="1" style="128" min="22" max="22"/>
    <col width="13" customWidth="1" style="128" min="23" max="23"/>
    <col width="12" customWidth="1" style="128" min="24" max="27"/>
    <col width="18" customWidth="1" style="128" min="28" max="28"/>
    <col width="42" customWidth="1" style="128" min="29" max="29"/>
    <col width="12" customWidth="1" style="128" min="30" max="30"/>
    <col width="10" customWidth="1" style="128" min="31" max="31"/>
    <col width="14" customWidth="1" style="128" min="32" max="32"/>
    <col width="12" customWidth="1" style="128" min="33" max="33"/>
  </cols>
  <sheetData>
    <row r="1" ht="25.5" customHeight="1" s="102">
      <c r="A1" s="129" t="inlineStr">
        <is>
          <t>CEK SENET KAYIT — ÇEK–SENET VE VADE RİSK SİSTEMİ</t>
        </is>
      </c>
    </row>
    <row r="2" ht="19.5" customHeight="1" s="102">
      <c r="A2" s="130" t="inlineStr">
        <is>
          <t>Alınan ve verilen çek/senetleri tek tek buraya girin. Yön seçimi net pozisyonu belirler: Alınan (+), Verilen (-). Sarı hücreler manuel giriş alanıdır; formül sütunları otomatik hesaplanır.</t>
        </is>
      </c>
    </row>
    <row r="5" ht="30" customHeight="1" s="102">
      <c r="A5" s="131" t="inlineStr">
        <is>
          <t>Belge ID</t>
        </is>
      </c>
      <c r="B5" s="131" t="inlineStr">
        <is>
          <t>Belge Türü</t>
        </is>
      </c>
      <c r="C5" s="131" t="inlineStr">
        <is>
          <t>Belge Numarası</t>
        </is>
      </c>
      <c r="D5" s="131" t="inlineStr">
        <is>
          <t>Yön</t>
        </is>
      </c>
      <c r="E5" s="131" t="inlineStr">
        <is>
          <t>Düzenleyen</t>
        </is>
      </c>
      <c r="F5" s="131" t="inlineStr">
        <is>
          <t>Lehtar</t>
        </is>
      </c>
      <c r="G5" s="131" t="inlineStr">
        <is>
          <t>Cari Kodu</t>
        </is>
      </c>
      <c r="H5" s="131" t="inlineStr">
        <is>
          <t>Keşide Tarihi</t>
        </is>
      </c>
      <c r="I5" s="131" t="inlineStr">
        <is>
          <t>Vade Tarihi</t>
        </is>
      </c>
      <c r="J5" s="131" t="inlineStr">
        <is>
          <t>Tutar</t>
        </is>
      </c>
      <c r="K5" s="131" t="inlineStr">
        <is>
          <t>Para Birimi</t>
        </is>
      </c>
      <c r="L5" s="131" t="inlineStr">
        <is>
          <t>Kur</t>
        </is>
      </c>
      <c r="M5" s="131" t="inlineStr">
        <is>
          <t>TL Tutar</t>
        </is>
      </c>
      <c r="N5" s="131" t="inlineStr">
        <is>
          <t>Banka</t>
        </is>
      </c>
      <c r="O5" s="131" t="inlineStr">
        <is>
          <t>Şube</t>
        </is>
      </c>
      <c r="P5" s="131" t="inlineStr">
        <is>
          <t>Hesap</t>
        </is>
      </c>
      <c r="Q5" s="131" t="inlineStr">
        <is>
          <t>Teminat Durumu</t>
        </is>
      </c>
      <c r="R5" s="131" t="inlineStr">
        <is>
          <t>Ciro Edildi</t>
        </is>
      </c>
      <c r="S5" s="131" t="inlineStr">
        <is>
          <t>Ciro Edilen Cari</t>
        </is>
      </c>
      <c r="T5" s="131" t="inlineStr">
        <is>
          <t>Portföy Durumu</t>
        </is>
      </c>
      <c r="U5" s="131" t="inlineStr">
        <is>
          <t>Tahsil Bankası</t>
        </is>
      </c>
      <c r="V5" s="131" t="inlineStr">
        <is>
          <t>Tahsile Veriliş Tarihi</t>
        </is>
      </c>
      <c r="W5" s="131" t="inlineStr">
        <is>
          <t>Son Durum</t>
        </is>
      </c>
      <c r="X5" s="131" t="inlineStr">
        <is>
          <t>Son Durum Tarihi</t>
        </is>
      </c>
      <c r="Y5" s="131" t="inlineStr">
        <is>
          <t>Risk Sınıfı</t>
        </is>
      </c>
      <c r="Z5" s="131" t="inlineStr">
        <is>
          <t>Karşılıksız Bilgisi</t>
        </is>
      </c>
      <c r="AA5" s="131" t="inlineStr">
        <is>
          <t>Hukuki Takip</t>
        </is>
      </c>
      <c r="AB5" s="131" t="inlineStr">
        <is>
          <t>Sorumlu</t>
        </is>
      </c>
      <c r="AC5" s="131" t="inlineStr">
        <is>
          <t>Not</t>
        </is>
      </c>
      <c r="AD5" s="131" t="inlineStr">
        <is>
          <t>Mükerrer Kontrol</t>
        </is>
      </c>
      <c r="AE5" s="131" t="inlineStr">
        <is>
          <t>Risk Ağırlığı</t>
        </is>
      </c>
      <c r="AF5" s="131" t="inlineStr">
        <is>
          <t>Risk Ağırlıklı TL</t>
        </is>
      </c>
      <c r="AG5" s="131" t="inlineStr">
        <is>
          <t>Cari Risk Sınıfı</t>
        </is>
      </c>
    </row>
    <row r="6" ht="18" customHeight="1" s="102">
      <c r="A6" s="137">
        <f>IF($C6="","","CKS-"&amp;TEXT(ROW()-BaslangicSatir,"000000"))</f>
        <v/>
      </c>
      <c r="B6" s="138" t="inlineStr">
        <is>
          <t>ÇEK</t>
        </is>
      </c>
      <c r="C6" s="138" t="inlineStr">
        <is>
          <t>4581101</t>
        </is>
      </c>
      <c r="D6" s="138" t="inlineStr">
        <is>
          <t>Alınan</t>
        </is>
      </c>
      <c r="E6" s="138" t="inlineStr">
        <is>
          <t>Delta Tekstil A.Ş.</t>
        </is>
      </c>
      <c r="F6" s="138" t="inlineStr">
        <is>
          <t>Kendi Firmamız</t>
        </is>
      </c>
      <c r="G6" s="138" t="inlineStr">
        <is>
          <t>C001</t>
        </is>
      </c>
      <c r="H6" s="139" t="n">
        <v>46215</v>
      </c>
      <c r="I6" s="139" t="n">
        <v>46254</v>
      </c>
      <c r="J6" s="140" t="n">
        <v>150000</v>
      </c>
      <c r="K6" s="138" t="inlineStr">
        <is>
          <t>TRY</t>
        </is>
      </c>
      <c r="L6" s="141" t="n">
        <v>1</v>
      </c>
      <c r="M6" s="137">
        <f>IF($C6="","",ROUND($J6*$L6*IF($D6="Alınan",1,-1),2))</f>
        <v/>
      </c>
      <c r="N6" s="138" t="inlineStr">
        <is>
          <t>İŞ</t>
        </is>
      </c>
      <c r="O6" s="138" t="inlineStr">
        <is>
          <t>MECİDİYEKÖY</t>
        </is>
      </c>
      <c r="P6" s="138" t="inlineStr">
        <is>
          <t>0001-20458971</t>
        </is>
      </c>
      <c r="Q6" s="138" t="inlineStr">
        <is>
          <t>YOK</t>
        </is>
      </c>
      <c r="R6" s="138" t="inlineStr">
        <is>
          <t>EVET</t>
        </is>
      </c>
      <c r="S6" s="138" t="inlineStr">
        <is>
          <t>Orhan Ticaret</t>
        </is>
      </c>
      <c r="T6" s="138" t="inlineStr">
        <is>
          <t>TEMİNATTA</t>
        </is>
      </c>
      <c r="U6" s="138" t="n"/>
      <c r="V6" s="139" t="n"/>
      <c r="W6" s="138" t="inlineStr">
        <is>
          <t>CİRO EDİLDİ</t>
        </is>
      </c>
      <c r="X6" s="139" t="n">
        <v>46223</v>
      </c>
      <c r="Y6" s="138" t="inlineStr">
        <is>
          <t>DÜŞÜK</t>
        </is>
      </c>
      <c r="Z6" s="138" t="inlineStr">
        <is>
          <t>YOK</t>
        </is>
      </c>
      <c r="AA6" s="138" t="inlineStr">
        <is>
          <t>YOK</t>
        </is>
      </c>
      <c r="AB6" s="138" t="inlineStr">
        <is>
          <t>Finans Müdürü</t>
        </is>
      </c>
      <c r="AC6" s="138" t="inlineStr">
        <is>
          <t>Teminat amaçlı ciro edildi</t>
        </is>
      </c>
      <c r="AD6" s="137">
        <f>IF($C6="","",IF(COUNTIFS($C$6:$C$1000,$C6,$G$6:$G$1000,$G6,$J$6:$J$1000,$J6)&gt;1,"MÜKERRER","OK"))</f>
        <v/>
      </c>
      <c r="AE6" s="137">
        <f>IF($Y6="","",IFERROR(VLOOKUP($Y6,RiskKatsayilari,2,FALSE()),0))</f>
        <v/>
      </c>
      <c r="AF6" s="137">
        <f>IF(OR($M6="",$AE6=""),"",ROUND(ABS($M6)*$AE6,2))</f>
        <v/>
      </c>
      <c r="AG6" s="137">
        <f>IF($G6="","",IFERROR(INDEX(CARI_KARTLARI!$I$6:$I$1000,MATCH($G6,CARI_KARTLARI!$A$6:$A$1000,0)),"VERİ YETERSİZ"))</f>
        <v/>
      </c>
    </row>
    <row r="7" ht="18" customHeight="1" s="102">
      <c r="A7" s="137">
        <f>IF($C7="","","CKS-"&amp;TEXT(ROW()-BaslangicSatir,"000000"))</f>
        <v/>
      </c>
      <c r="B7" s="138" t="inlineStr">
        <is>
          <t>SENET</t>
        </is>
      </c>
      <c r="C7" s="138" t="inlineStr">
        <is>
          <t>310045</t>
        </is>
      </c>
      <c r="D7" s="138" t="inlineStr">
        <is>
          <t>Alınan</t>
        </is>
      </c>
      <c r="E7" s="138" t="inlineStr">
        <is>
          <t>Polar Gıda San.</t>
        </is>
      </c>
      <c r="F7" s="138" t="inlineStr">
        <is>
          <t>Kendi Firmamız</t>
        </is>
      </c>
      <c r="G7" s="138" t="inlineStr">
        <is>
          <t>C003</t>
        </is>
      </c>
      <c r="H7" s="139" t="n">
        <v>46188</v>
      </c>
      <c r="I7" s="139" t="n">
        <v>46280</v>
      </c>
      <c r="J7" s="140" t="n">
        <v>85000</v>
      </c>
      <c r="K7" s="138" t="inlineStr">
        <is>
          <t>TRY</t>
        </is>
      </c>
      <c r="L7" s="141" t="n">
        <v>1</v>
      </c>
      <c r="M7" s="137">
        <f>IF($C7="","",ROUND($J7*$L7*IF($D7="Alınan",1,-1),2))</f>
        <v/>
      </c>
      <c r="N7" s="138" t="inlineStr">
        <is>
          <t>İŞ</t>
        </is>
      </c>
      <c r="O7" s="138" t="inlineStr">
        <is>
          <t>MECİDİYEKÖY</t>
        </is>
      </c>
      <c r="P7" s="138" t="inlineStr">
        <is>
          <t>0001-20458971</t>
        </is>
      </c>
      <c r="Q7" s="138" t="inlineStr">
        <is>
          <t>MÜŞTERİ TEMİNATINDA</t>
        </is>
      </c>
      <c r="R7" s="138" t="inlineStr">
        <is>
          <t>HAYIR</t>
        </is>
      </c>
      <c r="S7" s="138" t="n"/>
      <c r="T7" s="138" t="inlineStr">
        <is>
          <t>PORTFÖYDE</t>
        </is>
      </c>
      <c r="U7" s="138" t="n"/>
      <c r="V7" s="139" t="n"/>
      <c r="W7" s="138" t="inlineStr">
        <is>
          <t>PORTFÖYDE</t>
        </is>
      </c>
      <c r="X7" s="139" t="n"/>
      <c r="Y7" s="138" t="inlineStr">
        <is>
          <t>ORTA</t>
        </is>
      </c>
      <c r="Z7" s="138" t="inlineStr">
        <is>
          <t>YOK</t>
        </is>
      </c>
      <c r="AA7" s="138" t="inlineStr">
        <is>
          <t>YOK</t>
        </is>
      </c>
      <c r="AB7" s="138" t="n"/>
      <c r="AC7" s="138" t="inlineStr">
        <is>
          <t>Müşteri teminatında saklanıyor</t>
        </is>
      </c>
      <c r="AD7" s="137">
        <f>IF($C7="","",IF(COUNTIFS($C$6:$C$1000,$C7,$G$6:$G$1000,$G7,$J$6:$J$1000,$J7)&gt;1,"MÜKERRER","OK"))</f>
        <v/>
      </c>
      <c r="AE7" s="137">
        <f>IF($Y7="","",IFERROR(VLOOKUP($Y7,RiskKatsayilari,2,FALSE()),0))</f>
        <v/>
      </c>
      <c r="AF7" s="137">
        <f>IF(OR($M7="",$AE7=""),"",ROUND(ABS($M7)*$AE7,2))</f>
        <v/>
      </c>
      <c r="AG7" s="137">
        <f>IF($G7="","",IFERROR(INDEX(CARI_KARTLARI!$I$6:$I$1000,MATCH($G7,CARI_KARTLARI!$A$6:$A$1000,0)),"VERİ YETERSİZ"))</f>
        <v/>
      </c>
    </row>
    <row r="8" ht="18" customHeight="1" s="102">
      <c r="A8" s="137">
        <f>IF($C8="","","CKS-"&amp;TEXT(ROW()-BaslangicSatir,"000000"))</f>
        <v/>
      </c>
      <c r="B8" s="138" t="inlineStr">
        <is>
          <t>ÇEK</t>
        </is>
      </c>
      <c r="C8" s="138" t="inlineStr">
        <is>
          <t>4581290</t>
        </is>
      </c>
      <c r="D8" s="138" t="inlineStr">
        <is>
          <t>Alınan</t>
        </is>
      </c>
      <c r="E8" s="138" t="inlineStr">
        <is>
          <t>Mega İnşaat Ltd.</t>
        </is>
      </c>
      <c r="F8" s="138" t="inlineStr">
        <is>
          <t>Kendi Firmamız</t>
        </is>
      </c>
      <c r="G8" s="138" t="inlineStr">
        <is>
          <t>C002</t>
        </is>
      </c>
      <c r="H8" s="139" t="n">
        <v>46223</v>
      </c>
      <c r="I8" s="139" t="n">
        <v>46264</v>
      </c>
      <c r="J8" s="140" t="n">
        <v>120000</v>
      </c>
      <c r="K8" s="138" t="inlineStr">
        <is>
          <t>TRY</t>
        </is>
      </c>
      <c r="L8" s="141" t="n">
        <v>1</v>
      </c>
      <c r="M8" s="137">
        <f>IF($C8="","",ROUND($J8*$L8*IF($D8="Alınan",1,-1),2))</f>
        <v/>
      </c>
      <c r="N8" s="138" t="inlineStr">
        <is>
          <t>GARANTİ</t>
        </is>
      </c>
      <c r="O8" s="138" t="inlineStr">
        <is>
          <t>GAYRETTEPE</t>
        </is>
      </c>
      <c r="P8" s="138" t="inlineStr">
        <is>
          <t>6294-88110352</t>
        </is>
      </c>
      <c r="Q8" s="138" t="inlineStr">
        <is>
          <t>YOK</t>
        </is>
      </c>
      <c r="R8" s="138" t="inlineStr">
        <is>
          <t>EVET</t>
        </is>
      </c>
      <c r="S8" s="138" t="inlineStr">
        <is>
          <t>Elif Dayanıklı</t>
        </is>
      </c>
      <c r="T8" s="138" t="inlineStr">
        <is>
          <t>TAHSİLE VERİLDİ</t>
        </is>
      </c>
      <c r="U8" s="138" t="n"/>
      <c r="V8" s="139" t="n"/>
      <c r="W8" s="138" t="inlineStr">
        <is>
          <t>CİRO EDİLDİ</t>
        </is>
      </c>
      <c r="X8" s="139" t="n">
        <v>46231</v>
      </c>
      <c r="Y8" s="138" t="inlineStr">
        <is>
          <t>YÜKSEK</t>
        </is>
      </c>
      <c r="Z8" s="138" t="inlineStr">
        <is>
          <t>YOK</t>
        </is>
      </c>
      <c r="AA8" s="138" t="inlineStr">
        <is>
          <t>YOK</t>
        </is>
      </c>
      <c r="AB8" s="138" t="n"/>
      <c r="AC8" s="138" t="inlineStr">
        <is>
          <t>Tahsilat amaçlı ciro edildi</t>
        </is>
      </c>
      <c r="AD8" s="137">
        <f>IF($C8="","",IF(COUNTIFS($C$6:$C$1000,$C8,$G$6:$G$1000,$G8,$J$6:$J$1000,$J8)&gt;1,"MÜKERRER","OK"))</f>
        <v/>
      </c>
      <c r="AE8" s="137">
        <f>IF($Y8="","",IFERROR(VLOOKUP($Y8,RiskKatsayilari,2,FALSE()),0))</f>
        <v/>
      </c>
      <c r="AF8" s="137">
        <f>IF(OR($M8="",$AE8=""),"",ROUND(ABS($M8)*$AE8,2))</f>
        <v/>
      </c>
      <c r="AG8" s="137">
        <f>IF($G8="","",IFERROR(INDEX(CARI_KARTLARI!$I$6:$I$1000,MATCH($G8,CARI_KARTLARI!$A$6:$A$1000,0)),"VERİ YETERSİZ"))</f>
        <v/>
      </c>
    </row>
    <row r="9" ht="18" customHeight="1" s="102">
      <c r="A9" s="137">
        <f>IF($C9="","","CKS-"&amp;TEXT(ROW()-BaslangicSatir,"000000"))</f>
        <v/>
      </c>
      <c r="B9" s="138" t="inlineStr">
        <is>
          <t>ÇEK</t>
        </is>
      </c>
      <c r="C9" s="138" t="inlineStr">
        <is>
          <t>7700133</t>
        </is>
      </c>
      <c r="D9" s="138" t="inlineStr">
        <is>
          <t>Verilen</t>
        </is>
      </c>
      <c r="E9" s="138" t="inlineStr">
        <is>
          <t>Kendi Firmamız</t>
        </is>
      </c>
      <c r="F9" s="138" t="inlineStr">
        <is>
          <t>Yıldız Metal San.</t>
        </is>
      </c>
      <c r="G9" s="138" t="inlineStr">
        <is>
          <t>C007</t>
        </is>
      </c>
      <c r="H9" s="139" t="n">
        <v>46235</v>
      </c>
      <c r="I9" s="139" t="n">
        <v>46270</v>
      </c>
      <c r="J9" s="140" t="n">
        <v>200000</v>
      </c>
      <c r="K9" s="138" t="inlineStr">
        <is>
          <t>TRY</t>
        </is>
      </c>
      <c r="L9" s="141" t="n">
        <v>1</v>
      </c>
      <c r="M9" s="137">
        <f>IF($C9="","",ROUND($J9*$L9*IF($D9="Alınan",1,-1),2))</f>
        <v/>
      </c>
      <c r="N9" s="138" t="inlineStr">
        <is>
          <t>AKBANK</t>
        </is>
      </c>
      <c r="O9" s="138" t="inlineStr">
        <is>
          <t>MASLAK</t>
        </is>
      </c>
      <c r="P9" s="138" t="inlineStr">
        <is>
          <t>1045-00112233</t>
        </is>
      </c>
      <c r="Q9" s="138" t="inlineStr">
        <is>
          <t>YOK</t>
        </is>
      </c>
      <c r="R9" s="138" t="inlineStr">
        <is>
          <t>HAYIR</t>
        </is>
      </c>
      <c r="S9" s="138" t="n"/>
      <c r="T9" s="138" t="inlineStr">
        <is>
          <t>PORTFÖYDE</t>
        </is>
      </c>
      <c r="U9" s="138" t="n"/>
      <c r="V9" s="139" t="n"/>
      <c r="W9" s="138" t="inlineStr">
        <is>
          <t>PORTFÖYDE</t>
        </is>
      </c>
      <c r="X9" s="139" t="n"/>
      <c r="Y9" s="138" t="inlineStr">
        <is>
          <t>DÜŞÜK</t>
        </is>
      </c>
      <c r="Z9" s="138" t="inlineStr">
        <is>
          <t>YOK</t>
        </is>
      </c>
      <c r="AA9" s="138" t="inlineStr">
        <is>
          <t>YOK</t>
        </is>
      </c>
      <c r="AB9" s="138" t="n"/>
      <c r="AC9" s="138" t="inlineStr">
        <is>
          <t>Tedarikçiye verilen çek</t>
        </is>
      </c>
      <c r="AD9" s="137">
        <f>IF($C9="","",IF(COUNTIFS($C$6:$C$1000,$C9,$G$6:$G$1000,$G9,$J$6:$J$1000,$J9)&gt;1,"MÜKERRER","OK"))</f>
        <v/>
      </c>
      <c r="AE9" s="137">
        <f>IF($Y9="","",IFERROR(VLOOKUP($Y9,RiskKatsayilari,2,FALSE()),0))</f>
        <v/>
      </c>
      <c r="AF9" s="137">
        <f>IF(OR($M9="",$AE9=""),"",ROUND(ABS($M9)*$AE9,2))</f>
        <v/>
      </c>
      <c r="AG9" s="137">
        <f>IF($G9="","",IFERROR(INDEX(CARI_KARTLARI!$I$6:$I$1000,MATCH($G9,CARI_KARTLARI!$A$6:$A$1000,0)),"VERİ YETERSİZ"))</f>
        <v/>
      </c>
    </row>
    <row r="10" ht="18" customHeight="1" s="102">
      <c r="A10" s="137">
        <f>IF($C10="","","CKS-"&amp;TEXT(ROW()-BaslangicSatir,"000000"))</f>
        <v/>
      </c>
      <c r="B10" s="138" t="inlineStr">
        <is>
          <t>SENET</t>
        </is>
      </c>
      <c r="C10" s="138" t="inlineStr">
        <is>
          <t>880091</t>
        </is>
      </c>
      <c r="D10" s="138" t="inlineStr">
        <is>
          <t>Verilen</t>
        </is>
      </c>
      <c r="E10" s="138" t="inlineStr">
        <is>
          <t>Kendi Firmamız</t>
        </is>
      </c>
      <c r="F10" s="138" t="inlineStr">
        <is>
          <t>Yıldız Metal San.</t>
        </is>
      </c>
      <c r="G10" s="138" t="inlineStr">
        <is>
          <t>C007</t>
        </is>
      </c>
      <c r="H10" s="139" t="n">
        <v>46244</v>
      </c>
      <c r="I10" s="139" t="n">
        <v>46305</v>
      </c>
      <c r="J10" s="140" t="n">
        <v>175000</v>
      </c>
      <c r="K10" s="138" t="inlineStr">
        <is>
          <t>TRY</t>
        </is>
      </c>
      <c r="L10" s="141" t="n">
        <v>1</v>
      </c>
      <c r="M10" s="137">
        <f>IF($C10="","",ROUND($J10*$L10*IF($D10="Alınan",1,-1),2))</f>
        <v/>
      </c>
      <c r="N10" s="138" t="inlineStr">
        <is>
          <t>AKBANK</t>
        </is>
      </c>
      <c r="O10" s="138" t="inlineStr">
        <is>
          <t>MASLAK</t>
        </is>
      </c>
      <c r="P10" s="138" t="inlineStr">
        <is>
          <t>1045-00112233</t>
        </is>
      </c>
      <c r="Q10" s="138" t="inlineStr">
        <is>
          <t>YOK</t>
        </is>
      </c>
      <c r="R10" s="138" t="inlineStr">
        <is>
          <t>HAYIR</t>
        </is>
      </c>
      <c r="S10" s="138" t="n"/>
      <c r="T10" s="138" t="inlineStr">
        <is>
          <t>PORTFÖYDE</t>
        </is>
      </c>
      <c r="U10" s="138" t="n"/>
      <c r="V10" s="139" t="n"/>
      <c r="W10" s="138" t="inlineStr">
        <is>
          <t>PORTFÖYDE</t>
        </is>
      </c>
      <c r="X10" s="139" t="n"/>
      <c r="Y10" s="138" t="inlineStr">
        <is>
          <t>ORTA</t>
        </is>
      </c>
      <c r="Z10" s="138" t="inlineStr">
        <is>
          <t>YOK</t>
        </is>
      </c>
      <c r="AA10" s="138" t="inlineStr">
        <is>
          <t>YOK</t>
        </is>
      </c>
      <c r="AB10" s="138" t="n"/>
      <c r="AC10" s="138" t="inlineStr">
        <is>
          <t>Tedarikçiye verilen senet</t>
        </is>
      </c>
      <c r="AD10" s="137">
        <f>IF($C10="","",IF(COUNTIFS($C$6:$C$1000,$C10,$G$6:$G$1000,$G10,$J$6:$J$1000,$J10)&gt;1,"MÜKERRER","OK"))</f>
        <v/>
      </c>
      <c r="AE10" s="137">
        <f>IF($Y10="","",IFERROR(VLOOKUP($Y10,RiskKatsayilari,2,FALSE()),0))</f>
        <v/>
      </c>
      <c r="AF10" s="137">
        <f>IF(OR($M10="",$AE10=""),"",ROUND(ABS($M10)*$AE10,2))</f>
        <v/>
      </c>
      <c r="AG10" s="137">
        <f>IF($G10="","",IFERROR(INDEX(CARI_KARTLARI!$I$6:$I$1000,MATCH($G10,CARI_KARTLARI!$A$6:$A$1000,0)),"VERİ YETERSİZ"))</f>
        <v/>
      </c>
    </row>
    <row r="11" ht="18" customHeight="1" s="102">
      <c r="A11" s="137">
        <f>IF($C11="","","CKS-"&amp;TEXT(ROW()-BaslangicSatir,"000000"))</f>
        <v/>
      </c>
      <c r="B11" s="138" t="inlineStr">
        <is>
          <t>ÇEK</t>
        </is>
      </c>
      <c r="C11" s="138" t="inlineStr">
        <is>
          <t>4581422</t>
        </is>
      </c>
      <c r="D11" s="138" t="inlineStr">
        <is>
          <t>Alınan</t>
        </is>
      </c>
      <c r="E11" s="138" t="inlineStr">
        <is>
          <t>Vega Elektronik</t>
        </is>
      </c>
      <c r="F11" s="138" t="inlineStr">
        <is>
          <t>Kendi Firmamız</t>
        </is>
      </c>
      <c r="G11" s="138" t="inlineStr">
        <is>
          <t>C004</t>
        </is>
      </c>
      <c r="H11" s="139" t="n">
        <v>46208</v>
      </c>
      <c r="I11" s="139" t="n">
        <v>46239</v>
      </c>
      <c r="J11" s="140" t="n">
        <v>95000</v>
      </c>
      <c r="K11" s="138" t="inlineStr">
        <is>
          <t>TRY</t>
        </is>
      </c>
      <c r="L11" s="141" t="n">
        <v>1</v>
      </c>
      <c r="M11" s="137">
        <f>IF($C11="","",ROUND($J11*$L11*IF($D11="Alınan",1,-1),2))</f>
        <v/>
      </c>
      <c r="N11" s="138" t="inlineStr">
        <is>
          <t>İŞ</t>
        </is>
      </c>
      <c r="O11" s="138" t="inlineStr">
        <is>
          <t>MECİDİYEKÖY</t>
        </is>
      </c>
      <c r="P11" s="138" t="inlineStr">
        <is>
          <t>0001-20458971</t>
        </is>
      </c>
      <c r="Q11" s="138" t="inlineStr">
        <is>
          <t>YOK</t>
        </is>
      </c>
      <c r="R11" s="138" t="inlineStr">
        <is>
          <t>HAYIR</t>
        </is>
      </c>
      <c r="S11" s="138" t="n"/>
      <c r="T11" s="138" t="inlineStr">
        <is>
          <t>İPTAL</t>
        </is>
      </c>
      <c r="U11" s="138" t="n"/>
      <c r="V11" s="139" t="n"/>
      <c r="W11" s="138" t="inlineStr">
        <is>
          <t>KARŞILIKSIZ</t>
        </is>
      </c>
      <c r="X11" s="139" t="n">
        <v>46240</v>
      </c>
      <c r="Y11" s="138" t="inlineStr">
        <is>
          <t>KARŞILIKSIZ</t>
        </is>
      </c>
      <c r="Z11" s="138" t="inlineStr">
        <is>
          <t>VAR</t>
        </is>
      </c>
      <c r="AA11" s="138" t="inlineStr">
        <is>
          <t>DEVAM EDİYOR</t>
        </is>
      </c>
      <c r="AB11" s="138" t="inlineStr">
        <is>
          <t>Hukuk / İç Kontrol</t>
        </is>
      </c>
      <c r="AC11" s="138" t="inlineStr">
        <is>
          <t>Banka bildirimi ile karşılıksız çıktı</t>
        </is>
      </c>
      <c r="AD11" s="137">
        <f>IF($C11="","",IF(COUNTIFS($C$6:$C$1000,$C11,$G$6:$G$1000,$G11,$J$6:$J$1000,$J11)&gt;1,"MÜKERRER","OK"))</f>
        <v/>
      </c>
      <c r="AE11" s="137">
        <f>IF($Y11="","",IFERROR(VLOOKUP($Y11,RiskKatsayilari,2,FALSE()),0))</f>
        <v/>
      </c>
      <c r="AF11" s="137">
        <f>IF(OR($M11="",$AE11=""),"",ROUND(ABS($M11)*$AE11,2))</f>
        <v/>
      </c>
      <c r="AG11" s="137">
        <f>IF($G11="","",IFERROR(INDEX(CARI_KARTLARI!$I$6:$I$1000,MATCH($G11,CARI_KARTLARI!$A$6:$A$1000,0)),"VERİ YETERSİZ"))</f>
        <v/>
      </c>
    </row>
    <row r="12" ht="18" customHeight="1" s="102">
      <c r="A12" s="137">
        <f>IF($C12="","","CKS-"&amp;TEXT(ROW()-BaslangicSatir,"000000"))</f>
        <v/>
      </c>
      <c r="B12" s="138" t="inlineStr">
        <is>
          <t>ÇEK</t>
        </is>
      </c>
      <c r="C12" s="138" t="inlineStr">
        <is>
          <t>2200188</t>
        </is>
      </c>
      <c r="D12" s="138" t="inlineStr">
        <is>
          <t>Alınan</t>
        </is>
      </c>
      <c r="E12" s="138" t="inlineStr">
        <is>
          <t>Orion Mobilya</t>
        </is>
      </c>
      <c r="F12" s="138" t="inlineStr">
        <is>
          <t>Kendi Firmamız</t>
        </is>
      </c>
      <c r="G12" s="138" t="inlineStr">
        <is>
          <t>C005</t>
        </is>
      </c>
      <c r="H12" s="139" t="n">
        <v>46228</v>
      </c>
      <c r="I12" s="139" t="n">
        <v>46290</v>
      </c>
      <c r="J12" s="140" t="n">
        <v>60000</v>
      </c>
      <c r="K12" s="138" t="inlineStr">
        <is>
          <t>TRY</t>
        </is>
      </c>
      <c r="L12" s="141" t="n">
        <v>1</v>
      </c>
      <c r="M12" s="137">
        <f>IF($C12="","",ROUND($J12*$L12*IF($D12="Alınan",1,-1),2))</f>
        <v/>
      </c>
      <c r="N12" s="138" t="inlineStr">
        <is>
          <t>YAPI KREDİ</t>
        </is>
      </c>
      <c r="O12" s="138" t="inlineStr">
        <is>
          <t>LEVENT</t>
        </is>
      </c>
      <c r="P12" s="138" t="inlineStr">
        <is>
          <t>7006-55883344</t>
        </is>
      </c>
      <c r="Q12" s="138" t="inlineStr">
        <is>
          <t>YOK</t>
        </is>
      </c>
      <c r="R12" s="138" t="inlineStr">
        <is>
          <t>HAYIR</t>
        </is>
      </c>
      <c r="S12" s="138" t="n"/>
      <c r="T12" s="138" t="inlineStr">
        <is>
          <t>TAHSİLE VERİLDİ</t>
        </is>
      </c>
      <c r="U12" s="138" t="inlineStr">
        <is>
          <t>İŞ</t>
        </is>
      </c>
      <c r="V12" s="139" t="n">
        <v>46246</v>
      </c>
      <c r="W12" s="138" t="inlineStr">
        <is>
          <t>TAHSİLE VERİLDİ</t>
        </is>
      </c>
      <c r="X12" s="139" t="n"/>
      <c r="Y12" s="138" t="inlineStr">
        <is>
          <t>DÜŞÜK</t>
        </is>
      </c>
      <c r="Z12" s="138" t="inlineStr">
        <is>
          <t>YOK</t>
        </is>
      </c>
      <c r="AA12" s="138" t="inlineStr">
        <is>
          <t>YOK</t>
        </is>
      </c>
      <c r="AB12" s="138" t="n"/>
      <c r="AC12" s="138" t="inlineStr">
        <is>
          <t>İş Bankası'na tahsile verildi</t>
        </is>
      </c>
      <c r="AD12" s="137">
        <f>IF($C12="","",IF(COUNTIFS($C$6:$C$1000,$C12,$G$6:$G$1000,$G12,$J$6:$J$1000,$J12)&gt;1,"MÜKERRER","OK"))</f>
        <v/>
      </c>
      <c r="AE12" s="137">
        <f>IF($Y12="","",IFERROR(VLOOKUP($Y12,RiskKatsayilari,2,FALSE()),0))</f>
        <v/>
      </c>
      <c r="AF12" s="137">
        <f>IF(OR($M12="",$AE12=""),"",ROUND(ABS($M12)*$AE12,2))</f>
        <v/>
      </c>
      <c r="AG12" s="137">
        <f>IF($G12="","",IFERROR(INDEX(CARI_KARTLARI!$I$6:$I$1000,MATCH($G12,CARI_KARTLARI!$A$6:$A$1000,0)),"VERİ YETERSİZ"))</f>
        <v/>
      </c>
    </row>
    <row r="13" ht="18" customHeight="1" s="102">
      <c r="A13" s="137">
        <f>IF($C13="","","CKS-"&amp;TEXT(ROW()-BaslangicSatir,"000000"))</f>
        <v/>
      </c>
      <c r="B13" s="138" t="inlineStr">
        <is>
          <t>SENET</t>
        </is>
      </c>
      <c r="C13" s="138" t="inlineStr">
        <is>
          <t>330077</t>
        </is>
      </c>
      <c r="D13" s="138" t="inlineStr">
        <is>
          <t>Alınan</t>
        </is>
      </c>
      <c r="E13" s="138" t="inlineStr">
        <is>
          <t>Delta Tekstil A.Ş.</t>
        </is>
      </c>
      <c r="F13" s="138" t="inlineStr">
        <is>
          <t>Kendi Firmamız</t>
        </is>
      </c>
      <c r="G13" s="138" t="inlineStr">
        <is>
          <t>C001</t>
        </is>
      </c>
      <c r="H13" s="139" t="n">
        <v>46235</v>
      </c>
      <c r="I13" s="139" t="n">
        <v>46327</v>
      </c>
      <c r="J13" s="140" t="n">
        <v>130000</v>
      </c>
      <c r="K13" s="138" t="inlineStr">
        <is>
          <t>TRY</t>
        </is>
      </c>
      <c r="L13" s="141" t="n">
        <v>1</v>
      </c>
      <c r="M13" s="137">
        <f>IF($C13="","",ROUND($J13*$L13*IF($D13="Alınan",1,-1),2))</f>
        <v/>
      </c>
      <c r="N13" s="138" t="inlineStr">
        <is>
          <t>İŞ</t>
        </is>
      </c>
      <c r="O13" s="138" t="inlineStr">
        <is>
          <t>MECİDİYEKÖY</t>
        </is>
      </c>
      <c r="P13" s="138" t="inlineStr">
        <is>
          <t>0001-20458971</t>
        </is>
      </c>
      <c r="Q13" s="138" t="inlineStr">
        <is>
          <t>YOK</t>
        </is>
      </c>
      <c r="R13" s="138" t="inlineStr">
        <is>
          <t>HAYIR</t>
        </is>
      </c>
      <c r="S13" s="138" t="n"/>
      <c r="T13" s="138" t="inlineStr">
        <is>
          <t>PORTFÖYDE</t>
        </is>
      </c>
      <c r="U13" s="138" t="n"/>
      <c r="V13" s="139" t="n"/>
      <c r="W13" s="138" t="inlineStr">
        <is>
          <t>PORTFÖYDE</t>
        </is>
      </c>
      <c r="X13" s="139" t="n"/>
      <c r="Y13" s="138" t="inlineStr">
        <is>
          <t>DÜŞÜK</t>
        </is>
      </c>
      <c r="Z13" s="138" t="inlineStr">
        <is>
          <t>YOK</t>
        </is>
      </c>
      <c r="AA13" s="138" t="inlineStr">
        <is>
          <t>YOK</t>
        </is>
      </c>
      <c r="AB13" s="138" t="n"/>
      <c r="AC13" s="138" t="n"/>
      <c r="AD13" s="137">
        <f>IF($C13="","",IF(COUNTIFS($C$6:$C$1000,$C13,$G$6:$G$1000,$G13,$J$6:$J$1000,$J13)&gt;1,"MÜKERRER","OK"))</f>
        <v/>
      </c>
      <c r="AE13" s="137">
        <f>IF($Y13="","",IFERROR(VLOOKUP($Y13,RiskKatsayilari,2,FALSE()),0))</f>
        <v/>
      </c>
      <c r="AF13" s="137">
        <f>IF(OR($M13="",$AE13=""),"",ROUND(ABS($M13)*$AE13,2))</f>
        <v/>
      </c>
      <c r="AG13" s="137">
        <f>IF($G13="","",IFERROR(INDEX(CARI_KARTLARI!$I$6:$I$1000,MATCH($G13,CARI_KARTLARI!$A$6:$A$1000,0)),"VERİ YETERSİZ"))</f>
        <v/>
      </c>
    </row>
    <row r="14" ht="18" customHeight="1" s="102">
      <c r="A14" s="137">
        <f>IF($C14="","","CKS-"&amp;TEXT(ROW()-BaslangicSatir,"000000"))</f>
        <v/>
      </c>
      <c r="B14" s="138" t="inlineStr">
        <is>
          <t>ÇEK</t>
        </is>
      </c>
      <c r="C14" s="138" t="inlineStr">
        <is>
          <t>7710055</t>
        </is>
      </c>
      <c r="D14" s="138" t="inlineStr">
        <is>
          <t>Verilen</t>
        </is>
      </c>
      <c r="E14" s="138" t="inlineStr">
        <is>
          <t>Kendi Firmamız</t>
        </is>
      </c>
      <c r="F14" s="138" t="inlineStr">
        <is>
          <t>Yıldız Metal San.</t>
        </is>
      </c>
      <c r="G14" s="138" t="inlineStr">
        <is>
          <t>C007</t>
        </is>
      </c>
      <c r="H14" s="139" t="n">
        <v>46218</v>
      </c>
      <c r="I14" s="139" t="n">
        <v>46280</v>
      </c>
      <c r="J14" s="140" t="n">
        <v>220000</v>
      </c>
      <c r="K14" s="138" t="inlineStr">
        <is>
          <t>TRY</t>
        </is>
      </c>
      <c r="L14" s="141" t="n">
        <v>1</v>
      </c>
      <c r="M14" s="137">
        <f>IF($C14="","",ROUND($J14*$L14*IF($D14="Alınan",1,-1),2))</f>
        <v/>
      </c>
      <c r="N14" s="138" t="inlineStr">
        <is>
          <t>AKBANK</t>
        </is>
      </c>
      <c r="O14" s="138" t="inlineStr">
        <is>
          <t>MASLAK</t>
        </is>
      </c>
      <c r="P14" s="138" t="inlineStr">
        <is>
          <t>1045-00112233</t>
        </is>
      </c>
      <c r="Q14" s="138" t="inlineStr">
        <is>
          <t>YOK</t>
        </is>
      </c>
      <c r="R14" s="138" t="inlineStr">
        <is>
          <t>HAYIR</t>
        </is>
      </c>
      <c r="S14" s="138" t="n"/>
      <c r="T14" s="138" t="inlineStr">
        <is>
          <t>PORTFÖYDE</t>
        </is>
      </c>
      <c r="U14" s="138" t="n"/>
      <c r="V14" s="139" t="n"/>
      <c r="W14" s="138" t="inlineStr">
        <is>
          <t>PORTFÖYDE</t>
        </is>
      </c>
      <c r="X14" s="139" t="n"/>
      <c r="Y14" s="138" t="inlineStr">
        <is>
          <t>ORTA</t>
        </is>
      </c>
      <c r="Z14" s="138" t="inlineStr">
        <is>
          <t>YOK</t>
        </is>
      </c>
      <c r="AA14" s="138" t="inlineStr">
        <is>
          <t>YOK</t>
        </is>
      </c>
      <c r="AB14" s="138" t="n"/>
      <c r="AC14" s="138" t="n"/>
      <c r="AD14" s="137">
        <f>IF($C14="","",IF(COUNTIFS($C$6:$C$1000,$C14,$G$6:$G$1000,$G14,$J$6:$J$1000,$J14)&gt;1,"MÜKERRER","OK"))</f>
        <v/>
      </c>
      <c r="AE14" s="137">
        <f>IF($Y14="","",IFERROR(VLOOKUP($Y14,RiskKatsayilari,2,FALSE()),0))</f>
        <v/>
      </c>
      <c r="AF14" s="137">
        <f>IF(OR($M14="",$AE14=""),"",ROUND(ABS($M14)*$AE14,2))</f>
        <v/>
      </c>
      <c r="AG14" s="137">
        <f>IF($G14="","",IFERROR(INDEX(CARI_KARTLARI!$I$6:$I$1000,MATCH($G14,CARI_KARTLARI!$A$6:$A$1000,0)),"VERİ YETERSİZ"))</f>
        <v/>
      </c>
    </row>
    <row r="15" ht="18" customHeight="1" s="102">
      <c r="A15" s="137">
        <f>IF($C15="","","CKS-"&amp;TEXT(ROW()-BaslangicSatir,"000000"))</f>
        <v/>
      </c>
      <c r="B15" s="138" t="inlineStr">
        <is>
          <t>ÇEK</t>
        </is>
      </c>
      <c r="C15" s="138" t="inlineStr">
        <is>
          <t>4581310</t>
        </is>
      </c>
      <c r="D15" s="138" t="inlineStr">
        <is>
          <t>Alınan</t>
        </is>
      </c>
      <c r="E15" s="138" t="inlineStr">
        <is>
          <t>Polar Gıda San.</t>
        </is>
      </c>
      <c r="F15" s="138" t="inlineStr">
        <is>
          <t>Kendi Firmamız</t>
        </is>
      </c>
      <c r="G15" s="138" t="inlineStr">
        <is>
          <t>C003</t>
        </is>
      </c>
      <c r="H15" s="139" t="n">
        <v>46221</v>
      </c>
      <c r="I15" s="139" t="n">
        <v>46252</v>
      </c>
      <c r="J15" s="140" t="n">
        <v>45000</v>
      </c>
      <c r="K15" s="138" t="inlineStr">
        <is>
          <t>TRY</t>
        </is>
      </c>
      <c r="L15" s="141" t="n">
        <v>1</v>
      </c>
      <c r="M15" s="137">
        <f>IF($C15="","",ROUND($J15*$L15*IF($D15="Alınan",1,-1),2))</f>
        <v/>
      </c>
      <c r="N15" s="138" t="inlineStr">
        <is>
          <t>GARANTİ</t>
        </is>
      </c>
      <c r="O15" s="138" t="inlineStr">
        <is>
          <t>GAYRETTEPE</t>
        </is>
      </c>
      <c r="P15" s="138" t="inlineStr">
        <is>
          <t>6294-88110352</t>
        </is>
      </c>
      <c r="Q15" s="138" t="inlineStr">
        <is>
          <t>YOK</t>
        </is>
      </c>
      <c r="R15" s="138" t="inlineStr">
        <is>
          <t>HAYIR</t>
        </is>
      </c>
      <c r="S15" s="138" t="n"/>
      <c r="T15" s="138" t="inlineStr">
        <is>
          <t>TAHSİL EDİLDİ</t>
        </is>
      </c>
      <c r="U15" s="138" t="inlineStr">
        <is>
          <t>GARANTİ</t>
        </is>
      </c>
      <c r="V15" s="139" t="n">
        <v>46244</v>
      </c>
      <c r="W15" s="138" t="inlineStr">
        <is>
          <t>TAHSİL EDİLDİ</t>
        </is>
      </c>
      <c r="X15" s="139" t="n">
        <v>46252</v>
      </c>
      <c r="Y15" s="138" t="inlineStr">
        <is>
          <t>ORTA</t>
        </is>
      </c>
      <c r="Z15" s="138" t="inlineStr">
        <is>
          <t>YOK</t>
        </is>
      </c>
      <c r="AA15" s="138" t="inlineStr">
        <is>
          <t>YOK</t>
        </is>
      </c>
      <c r="AB15" s="138" t="n"/>
      <c r="AC15" s="138" t="inlineStr">
        <is>
          <t>Tahsilat tamamlandı</t>
        </is>
      </c>
      <c r="AD15" s="137">
        <f>IF($C15="","",IF(COUNTIFS($C$6:$C$1000,$C15,$G$6:$G$1000,$G15,$J$6:$J$1000,$J15)&gt;1,"MÜKERRER","OK"))</f>
        <v/>
      </c>
      <c r="AE15" s="137">
        <f>IF($Y15="","",IFERROR(VLOOKUP($Y15,RiskKatsayilari,2,FALSE()),0))</f>
        <v/>
      </c>
      <c r="AF15" s="137">
        <f>IF(OR($M15="",$AE15=""),"",ROUND(ABS($M15)*$AE15,2))</f>
        <v/>
      </c>
      <c r="AG15" s="137">
        <f>IF($G15="","",IFERROR(INDEX(CARI_KARTLARI!$I$6:$I$1000,MATCH($G15,CARI_KARTLARI!$A$6:$A$1000,0)),"VERİ YETERSİZ"))</f>
        <v/>
      </c>
    </row>
    <row r="16" ht="18" customHeight="1" s="102">
      <c r="A16" s="137">
        <f>IF($C16="","","CKS-"&amp;TEXT(ROW()-BaslangicSatir,"000000"))</f>
        <v/>
      </c>
      <c r="B16" s="138" t="n"/>
      <c r="C16" s="138" t="n"/>
      <c r="D16" s="138" t="n"/>
      <c r="E16" s="138" t="n"/>
      <c r="F16" s="138" t="n"/>
      <c r="G16" s="138" t="n"/>
      <c r="H16" s="138" t="n"/>
      <c r="I16" s="138" t="n"/>
      <c r="J16" s="138" t="n"/>
      <c r="K16" s="138" t="n"/>
      <c r="L16" s="138" t="n"/>
      <c r="M16" s="137">
        <f>IF($C16="","",ROUND($J16*$L16*IF($D16="Alınan",1,-1),2))</f>
        <v/>
      </c>
      <c r="N16" s="138" t="n"/>
      <c r="O16" s="138" t="n"/>
      <c r="P16" s="138" t="n"/>
      <c r="Q16" s="138" t="n"/>
      <c r="R16" s="138" t="n"/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  <c r="AC16" s="138" t="n"/>
      <c r="AD16" s="137">
        <f>IF($C16="","",IF(COUNTIFS($C$6:$C$1000,$C16,$G$6:$G$1000,$G16,$J$6:$J$1000,$J16)&gt;1,"MÜKERRER","OK"))</f>
        <v/>
      </c>
      <c r="AE16" s="137">
        <f>IF($Y16="","",IFERROR(VLOOKUP($Y16,RiskKatsayilari,2,FALSE()),0))</f>
        <v/>
      </c>
      <c r="AF16" s="137">
        <f>IF(OR($M16="",$AE16=""),"",ROUND(ABS($M16)*$AE16,2))</f>
        <v/>
      </c>
      <c r="AG16" s="137">
        <f>IF($G16="","",IFERROR(INDEX(CARI_KARTLARI!$I$6:$I$1000,MATCH($G16,CARI_KARTLARI!$A$6:$A$1000,0)),"VERİ YETERSİZ"))</f>
        <v/>
      </c>
    </row>
    <row r="17" ht="18" customHeight="1" s="102">
      <c r="A17" s="137">
        <f>IF($C17="","","CKS-"&amp;TEXT(ROW()-BaslangicSatir,"000000"))</f>
        <v/>
      </c>
      <c r="B17" s="138" t="n"/>
      <c r="C17" s="138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7">
        <f>IF($C17="","",ROUND($J17*$L17*IF($D17="Alınan",1,-1),2))</f>
        <v/>
      </c>
      <c r="N17" s="138" t="n"/>
      <c r="O17" s="138" t="n"/>
      <c r="P17" s="138" t="n"/>
      <c r="Q17" s="138" t="n"/>
      <c r="R17" s="138" t="n"/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  <c r="AC17" s="138" t="n"/>
      <c r="AD17" s="137">
        <f>IF($C17="","",IF(COUNTIFS($C$6:$C$1000,$C17,$G$6:$G$1000,$G17,$J$6:$J$1000,$J17)&gt;1,"MÜKERRER","OK"))</f>
        <v/>
      </c>
      <c r="AE17" s="137">
        <f>IF($Y17="","",IFERROR(VLOOKUP($Y17,RiskKatsayilari,2,FALSE()),0))</f>
        <v/>
      </c>
      <c r="AF17" s="137">
        <f>IF(OR($M17="",$AE17=""),"",ROUND(ABS($M17)*$AE17,2))</f>
        <v/>
      </c>
      <c r="AG17" s="137">
        <f>IF($G17="","",IFERROR(INDEX(CARI_KARTLARI!$I$6:$I$1000,MATCH($G17,CARI_KARTLARI!$A$6:$A$1000,0)),"VERİ YETERSİZ"))</f>
        <v/>
      </c>
    </row>
    <row r="18" ht="18" customHeight="1" s="102">
      <c r="A18" s="137">
        <f>IF($C18="","","CKS-"&amp;TEXT(ROW()-BaslangicSatir,"000000"))</f>
        <v/>
      </c>
      <c r="B18" s="138" t="n"/>
      <c r="C18" s="138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7">
        <f>IF($C18="","",ROUND($J18*$L18*IF($D18="Alınan",1,-1),2))</f>
        <v/>
      </c>
      <c r="N18" s="138" t="n"/>
      <c r="O18" s="138" t="n"/>
      <c r="P18" s="138" t="n"/>
      <c r="Q18" s="138" t="n"/>
      <c r="R18" s="138" t="n"/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  <c r="AC18" s="138" t="n"/>
      <c r="AD18" s="137">
        <f>IF($C18="","",IF(COUNTIFS($C$6:$C$1000,$C18,$G$6:$G$1000,$G18,$J$6:$J$1000,$J18)&gt;1,"MÜKERRER","OK"))</f>
        <v/>
      </c>
      <c r="AE18" s="137">
        <f>IF($Y18="","",IFERROR(VLOOKUP($Y18,RiskKatsayilari,2,FALSE()),0))</f>
        <v/>
      </c>
      <c r="AF18" s="137">
        <f>IF(OR($M18="",$AE18=""),"",ROUND(ABS($M18)*$AE18,2))</f>
        <v/>
      </c>
      <c r="AG18" s="137">
        <f>IF($G18="","",IFERROR(INDEX(CARI_KARTLARI!$I$6:$I$1000,MATCH($G18,CARI_KARTLARI!$A$6:$A$1000,0)),"VERİ YETERSİZ"))</f>
        <v/>
      </c>
    </row>
    <row r="19" ht="18" customHeight="1" s="102">
      <c r="A19" s="137">
        <f>IF($C19="","","CKS-"&amp;TEXT(ROW()-BaslangicSatir,"000000"))</f>
        <v/>
      </c>
      <c r="B19" s="138" t="n"/>
      <c r="C19" s="138" t="n"/>
      <c r="D19" s="138" t="n"/>
      <c r="E19" s="138" t="n"/>
      <c r="F19" s="138" t="n"/>
      <c r="G19" s="138" t="n"/>
      <c r="H19" s="138" t="n"/>
      <c r="I19" s="138" t="n"/>
      <c r="J19" s="138" t="n"/>
      <c r="K19" s="138" t="n"/>
      <c r="L19" s="138" t="n"/>
      <c r="M19" s="137">
        <f>IF($C19="","",ROUND($J19*$L19*IF($D19="Alınan",1,-1),2))</f>
        <v/>
      </c>
      <c r="N19" s="138" t="n"/>
      <c r="O19" s="138" t="n"/>
      <c r="P19" s="138" t="n"/>
      <c r="Q19" s="138" t="n"/>
      <c r="R19" s="138" t="n"/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  <c r="AC19" s="138" t="n"/>
      <c r="AD19" s="137">
        <f>IF($C19="","",IF(COUNTIFS($C$6:$C$1000,$C19,$G$6:$G$1000,$G19,$J$6:$J$1000,$J19)&gt;1,"MÜKERRER","OK"))</f>
        <v/>
      </c>
      <c r="AE19" s="137">
        <f>IF($Y19="","",IFERROR(VLOOKUP($Y19,RiskKatsayilari,2,FALSE()),0))</f>
        <v/>
      </c>
      <c r="AF19" s="137">
        <f>IF(OR($M19="",$AE19=""),"",ROUND(ABS($M19)*$AE19,2))</f>
        <v/>
      </c>
      <c r="AG19" s="137">
        <f>IF($G19="","",IFERROR(INDEX(CARI_KARTLARI!$I$6:$I$1000,MATCH($G19,CARI_KARTLARI!$A$6:$A$1000,0)),"VERİ YETERSİZ"))</f>
        <v/>
      </c>
    </row>
    <row r="20" ht="18" customHeight="1" s="102">
      <c r="A20" s="137">
        <f>IF($C20="","","CKS-"&amp;TEXT(ROW()-BaslangicSatir,"000000"))</f>
        <v/>
      </c>
      <c r="B20" s="138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7">
        <f>IF($C20="","",ROUND($J20*$L20*IF($D20="Alınan",1,-1),2))</f>
        <v/>
      </c>
      <c r="N20" s="138" t="n"/>
      <c r="O20" s="138" t="n"/>
      <c r="P20" s="138" t="n"/>
      <c r="Q20" s="138" t="n"/>
      <c r="R20" s="138" t="n"/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  <c r="AC20" s="138" t="n"/>
      <c r="AD20" s="137">
        <f>IF($C20="","",IF(COUNTIFS($C$6:$C$1000,$C20,$G$6:$G$1000,$G20,$J$6:$J$1000,$J20)&gt;1,"MÜKERRER","OK"))</f>
        <v/>
      </c>
      <c r="AE20" s="137">
        <f>IF($Y20="","",IFERROR(VLOOKUP($Y20,RiskKatsayilari,2,FALSE()),0))</f>
        <v/>
      </c>
      <c r="AF20" s="137">
        <f>IF(OR($M20="",$AE20=""),"",ROUND(ABS($M20)*$AE20,2))</f>
        <v/>
      </c>
      <c r="AG20" s="137">
        <f>IF($G20="","",IFERROR(INDEX(CARI_KARTLARI!$I$6:$I$1000,MATCH($G20,CARI_KARTLARI!$A$6:$A$1000,0)),"VERİ YETERSİZ"))</f>
        <v/>
      </c>
    </row>
    <row r="21" ht="18" customHeight="1" s="102">
      <c r="A21" s="137">
        <f>IF($C21="","","CKS-"&amp;TEXT(ROW()-BaslangicSatir,"000000"))</f>
        <v/>
      </c>
      <c r="B21" s="138" t="n"/>
      <c r="C21" s="138" t="n"/>
      <c r="D21" s="138" t="n"/>
      <c r="E21" s="138" t="n"/>
      <c r="F21" s="138" t="n"/>
      <c r="G21" s="138" t="n"/>
      <c r="H21" s="138" t="n"/>
      <c r="I21" s="138" t="n"/>
      <c r="J21" s="138" t="n"/>
      <c r="K21" s="138" t="n"/>
      <c r="L21" s="138" t="n"/>
      <c r="M21" s="137">
        <f>IF($C21="","",ROUND($J21*$L21*IF($D21="Alınan",1,-1),2))</f>
        <v/>
      </c>
      <c r="N21" s="138" t="n"/>
      <c r="O21" s="138" t="n"/>
      <c r="P21" s="138" t="n"/>
      <c r="Q21" s="138" t="n"/>
      <c r="R21" s="138" t="n"/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  <c r="AC21" s="138" t="n"/>
      <c r="AD21" s="137">
        <f>IF($C21="","",IF(COUNTIFS($C$6:$C$1000,$C21,$G$6:$G$1000,$G21,$J$6:$J$1000,$J21)&gt;1,"MÜKERRER","OK"))</f>
        <v/>
      </c>
      <c r="AE21" s="137">
        <f>IF($Y21="","",IFERROR(VLOOKUP($Y21,RiskKatsayilari,2,FALSE()),0))</f>
        <v/>
      </c>
      <c r="AF21" s="137">
        <f>IF(OR($M21="",$AE21=""),"",ROUND(ABS($M21)*$AE21,2))</f>
        <v/>
      </c>
      <c r="AG21" s="137">
        <f>IF($G21="","",IFERROR(INDEX(CARI_KARTLARI!$I$6:$I$1000,MATCH($G21,CARI_KARTLARI!$A$6:$A$1000,0)),"VERİ YETERSİZ"))</f>
        <v/>
      </c>
    </row>
    <row r="22" ht="18" customHeight="1" s="102">
      <c r="A22" s="137">
        <f>IF($C22="","","CKS-"&amp;TEXT(ROW()-BaslangicSatir,"000000"))</f>
        <v/>
      </c>
      <c r="B22" s="138" t="n"/>
      <c r="C22" s="138" t="n"/>
      <c r="D22" s="138" t="n"/>
      <c r="E22" s="138" t="n"/>
      <c r="F22" s="138" t="n"/>
      <c r="G22" s="138" t="n"/>
      <c r="H22" s="138" t="n"/>
      <c r="I22" s="138" t="n"/>
      <c r="J22" s="138" t="n"/>
      <c r="K22" s="138" t="n"/>
      <c r="L22" s="138" t="n"/>
      <c r="M22" s="137">
        <f>IF($C22="","",ROUND($J22*$L22*IF($D22="Alınan",1,-1),2))</f>
        <v/>
      </c>
      <c r="N22" s="138" t="n"/>
      <c r="O22" s="138" t="n"/>
      <c r="P22" s="138" t="n"/>
      <c r="Q22" s="138" t="n"/>
      <c r="R22" s="138" t="n"/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  <c r="AC22" s="138" t="n"/>
      <c r="AD22" s="137">
        <f>IF($C22="","",IF(COUNTIFS($C$6:$C$1000,$C22,$G$6:$G$1000,$G22,$J$6:$J$1000,$J22)&gt;1,"MÜKERRER","OK"))</f>
        <v/>
      </c>
      <c r="AE22" s="137">
        <f>IF($Y22="","",IFERROR(VLOOKUP($Y22,RiskKatsayilari,2,FALSE()),0))</f>
        <v/>
      </c>
      <c r="AF22" s="137">
        <f>IF(OR($M22="",$AE22=""),"",ROUND(ABS($M22)*$AE22,2))</f>
        <v/>
      </c>
      <c r="AG22" s="137">
        <f>IF($G22="","",IFERROR(INDEX(CARI_KARTLARI!$I$6:$I$1000,MATCH($G22,CARI_KARTLARI!$A$6:$A$1000,0)),"VERİ YETERSİZ"))</f>
        <v/>
      </c>
    </row>
    <row r="23" ht="18" customHeight="1" s="102">
      <c r="A23" s="137">
        <f>IF($C23="","","CKS-"&amp;TEXT(ROW()-BaslangicSatir,"000000"))</f>
        <v/>
      </c>
      <c r="B23" s="138" t="n"/>
      <c r="C23" s="138" t="n"/>
      <c r="D23" s="138" t="n"/>
      <c r="E23" s="138" t="n"/>
      <c r="F23" s="138" t="n"/>
      <c r="G23" s="138" t="n"/>
      <c r="H23" s="138" t="n"/>
      <c r="I23" s="138" t="n"/>
      <c r="J23" s="138" t="n"/>
      <c r="K23" s="138" t="n"/>
      <c r="L23" s="138" t="n"/>
      <c r="M23" s="137">
        <f>IF($C23="","",ROUND($J23*$L23*IF($D23="Alınan",1,-1),2))</f>
        <v/>
      </c>
      <c r="N23" s="138" t="n"/>
      <c r="O23" s="138" t="n"/>
      <c r="P23" s="138" t="n"/>
      <c r="Q23" s="138" t="n"/>
      <c r="R23" s="138" t="n"/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  <c r="AC23" s="138" t="n"/>
      <c r="AD23" s="137">
        <f>IF($C23="","",IF(COUNTIFS($C$6:$C$1000,$C23,$G$6:$G$1000,$G23,$J$6:$J$1000,$J23)&gt;1,"MÜKERRER","OK"))</f>
        <v/>
      </c>
      <c r="AE23" s="137">
        <f>IF($Y23="","",IFERROR(VLOOKUP($Y23,RiskKatsayilari,2,FALSE()),0))</f>
        <v/>
      </c>
      <c r="AF23" s="137">
        <f>IF(OR($M23="",$AE23=""),"",ROUND(ABS($M23)*$AE23,2))</f>
        <v/>
      </c>
      <c r="AG23" s="137">
        <f>IF($G23="","",IFERROR(INDEX(CARI_KARTLARI!$I$6:$I$1000,MATCH($G23,CARI_KARTLARI!$A$6:$A$1000,0)),"VERİ YETERSİZ"))</f>
        <v/>
      </c>
    </row>
    <row r="24" ht="18" customHeight="1" s="102">
      <c r="A24" s="137">
        <f>IF($C24="","","CKS-"&amp;TEXT(ROW()-BaslangicSatir,"000000"))</f>
        <v/>
      </c>
      <c r="B24" s="138" t="n"/>
      <c r="C24" s="138" t="n"/>
      <c r="D24" s="138" t="n"/>
      <c r="E24" s="138" t="n"/>
      <c r="F24" s="138" t="n"/>
      <c r="G24" s="138" t="n"/>
      <c r="H24" s="138" t="n"/>
      <c r="I24" s="138" t="n"/>
      <c r="J24" s="138" t="n"/>
      <c r="K24" s="138" t="n"/>
      <c r="L24" s="138" t="n"/>
      <c r="M24" s="137">
        <f>IF($C24="","",ROUND($J24*$L24*IF($D24="Alınan",1,-1),2))</f>
        <v/>
      </c>
      <c r="N24" s="138" t="n"/>
      <c r="O24" s="138" t="n"/>
      <c r="P24" s="138" t="n"/>
      <c r="Q24" s="138" t="n"/>
      <c r="R24" s="138" t="n"/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  <c r="AC24" s="138" t="n"/>
      <c r="AD24" s="137">
        <f>IF($C24="","",IF(COUNTIFS($C$6:$C$1000,$C24,$G$6:$G$1000,$G24,$J$6:$J$1000,$J24)&gt;1,"MÜKERRER","OK"))</f>
        <v/>
      </c>
      <c r="AE24" s="137">
        <f>IF($Y24="","",IFERROR(VLOOKUP($Y24,RiskKatsayilari,2,FALSE()),0))</f>
        <v/>
      </c>
      <c r="AF24" s="137">
        <f>IF(OR($M24="",$AE24=""),"",ROUND(ABS($M24)*$AE24,2))</f>
        <v/>
      </c>
      <c r="AG24" s="137">
        <f>IF($G24="","",IFERROR(INDEX(CARI_KARTLARI!$I$6:$I$1000,MATCH($G24,CARI_KARTLARI!$A$6:$A$1000,0)),"VERİ YETERSİZ"))</f>
        <v/>
      </c>
    </row>
    <row r="25" ht="18" customHeight="1" s="102">
      <c r="A25" s="137">
        <f>IF($C25="","","CKS-"&amp;TEXT(ROW()-BaslangicSatir,"000000"))</f>
        <v/>
      </c>
      <c r="B25" s="138" t="n"/>
      <c r="C25" s="138" t="n"/>
      <c r="D25" s="138" t="n"/>
      <c r="E25" s="138" t="n"/>
      <c r="F25" s="138" t="n"/>
      <c r="G25" s="138" t="n"/>
      <c r="H25" s="138" t="n"/>
      <c r="I25" s="138" t="n"/>
      <c r="J25" s="138" t="n"/>
      <c r="K25" s="138" t="n"/>
      <c r="L25" s="138" t="n"/>
      <c r="M25" s="137">
        <f>IF($C25="","",ROUND($J25*$L25*IF($D25="Alınan",1,-1),2))</f>
        <v/>
      </c>
      <c r="N25" s="138" t="n"/>
      <c r="O25" s="138" t="n"/>
      <c r="P25" s="138" t="n"/>
      <c r="Q25" s="138" t="n"/>
      <c r="R25" s="138" t="n"/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  <c r="AC25" s="138" t="n"/>
      <c r="AD25" s="137">
        <f>IF($C25="","",IF(COUNTIFS($C$6:$C$1000,$C25,$G$6:$G$1000,$G25,$J$6:$J$1000,$J25)&gt;1,"MÜKERRER","OK"))</f>
        <v/>
      </c>
      <c r="AE25" s="137">
        <f>IF($Y25="","",IFERROR(VLOOKUP($Y25,RiskKatsayilari,2,FALSE()),0))</f>
        <v/>
      </c>
      <c r="AF25" s="137">
        <f>IF(OR($M25="",$AE25=""),"",ROUND(ABS($M25)*$AE25,2))</f>
        <v/>
      </c>
      <c r="AG25" s="137">
        <f>IF($G25="","",IFERROR(INDEX(CARI_KARTLARI!$I$6:$I$1000,MATCH($G25,CARI_KARTLARI!$A$6:$A$1000,0)),"VERİ YETERSİZ"))</f>
        <v/>
      </c>
    </row>
    <row r="26" ht="18" customHeight="1" s="102">
      <c r="A26" s="137">
        <f>IF($C26="","","CKS-"&amp;TEXT(ROW()-BaslangicSatir,"000000"))</f>
        <v/>
      </c>
      <c r="B26" s="138" t="n"/>
      <c r="C26" s="138" t="n"/>
      <c r="D26" s="138" t="n"/>
      <c r="E26" s="138" t="n"/>
      <c r="F26" s="138" t="n"/>
      <c r="G26" s="138" t="n"/>
      <c r="H26" s="138" t="n"/>
      <c r="I26" s="138" t="n"/>
      <c r="J26" s="138" t="n"/>
      <c r="K26" s="138" t="n"/>
      <c r="L26" s="138" t="n"/>
      <c r="M26" s="137">
        <f>IF($C26="","",ROUND($J26*$L26*IF($D26="Alınan",1,-1),2))</f>
        <v/>
      </c>
      <c r="N26" s="138" t="n"/>
      <c r="O26" s="138" t="n"/>
      <c r="P26" s="138" t="n"/>
      <c r="Q26" s="138" t="n"/>
      <c r="R26" s="138" t="n"/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  <c r="AC26" s="138" t="n"/>
      <c r="AD26" s="137">
        <f>IF($C26="","",IF(COUNTIFS($C$6:$C$1000,$C26,$G$6:$G$1000,$G26,$J$6:$J$1000,$J26)&gt;1,"MÜKERRER","OK"))</f>
        <v/>
      </c>
      <c r="AE26" s="137">
        <f>IF($Y26="","",IFERROR(VLOOKUP($Y26,RiskKatsayilari,2,FALSE()),0))</f>
        <v/>
      </c>
      <c r="AF26" s="137">
        <f>IF(OR($M26="",$AE26=""),"",ROUND(ABS($M26)*$AE26,2))</f>
        <v/>
      </c>
      <c r="AG26" s="137">
        <f>IF($G26="","",IFERROR(INDEX(CARI_KARTLARI!$I$6:$I$1000,MATCH($G26,CARI_KARTLARI!$A$6:$A$1000,0)),"VERİ YETERSİZ"))</f>
        <v/>
      </c>
    </row>
    <row r="27" ht="18" customHeight="1" s="102">
      <c r="A27" s="137">
        <f>IF($C27="","","CKS-"&amp;TEXT(ROW()-BaslangicSatir,"000000"))</f>
        <v/>
      </c>
      <c r="B27" s="138" t="n"/>
      <c r="C27" s="138" t="n"/>
      <c r="D27" s="138" t="n"/>
      <c r="E27" s="138" t="n"/>
      <c r="F27" s="138" t="n"/>
      <c r="G27" s="138" t="n"/>
      <c r="H27" s="138" t="n"/>
      <c r="I27" s="138" t="n"/>
      <c r="J27" s="138" t="n"/>
      <c r="K27" s="138" t="n"/>
      <c r="L27" s="138" t="n"/>
      <c r="M27" s="137">
        <f>IF($C27="","",ROUND($J27*$L27*IF($D27="Alınan",1,-1),2))</f>
        <v/>
      </c>
      <c r="N27" s="138" t="n"/>
      <c r="O27" s="138" t="n"/>
      <c r="P27" s="138" t="n"/>
      <c r="Q27" s="138" t="n"/>
      <c r="R27" s="138" t="n"/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  <c r="AC27" s="138" t="n"/>
      <c r="AD27" s="137">
        <f>IF($C27="","",IF(COUNTIFS($C$6:$C$1000,$C27,$G$6:$G$1000,$G27,$J$6:$J$1000,$J27)&gt;1,"MÜKERRER","OK"))</f>
        <v/>
      </c>
      <c r="AE27" s="137">
        <f>IF($Y27="","",IFERROR(VLOOKUP($Y27,RiskKatsayilari,2,FALSE()),0))</f>
        <v/>
      </c>
      <c r="AF27" s="137">
        <f>IF(OR($M27="",$AE27=""),"",ROUND(ABS($M27)*$AE27,2))</f>
        <v/>
      </c>
      <c r="AG27" s="137">
        <f>IF($G27="","",IFERROR(INDEX(CARI_KARTLARI!$I$6:$I$1000,MATCH($G27,CARI_KARTLARI!$A$6:$A$1000,0)),"VERİ YETERSİZ"))</f>
        <v/>
      </c>
    </row>
    <row r="28" ht="18" customHeight="1" s="102">
      <c r="A28" s="137">
        <f>IF($C28="","","CKS-"&amp;TEXT(ROW()-BaslangicSatir,"000000"))</f>
        <v/>
      </c>
      <c r="B28" s="138" t="n"/>
      <c r="C28" s="138" t="n"/>
      <c r="D28" s="138" t="n"/>
      <c r="E28" s="138" t="n"/>
      <c r="F28" s="138" t="n"/>
      <c r="G28" s="138" t="n"/>
      <c r="H28" s="138" t="n"/>
      <c r="I28" s="138" t="n"/>
      <c r="J28" s="138" t="n"/>
      <c r="K28" s="138" t="n"/>
      <c r="L28" s="138" t="n"/>
      <c r="M28" s="137">
        <f>IF($C28="","",ROUND($J28*$L28*IF($D28="Alınan",1,-1),2))</f>
        <v/>
      </c>
      <c r="N28" s="138" t="n"/>
      <c r="O28" s="138" t="n"/>
      <c r="P28" s="138" t="n"/>
      <c r="Q28" s="138" t="n"/>
      <c r="R28" s="138" t="n"/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37">
        <f>IF($C28="","",IF(COUNTIFS($C$6:$C$1000,$C28,$G$6:$G$1000,$G28,$J$6:$J$1000,$J28)&gt;1,"MÜKERRER","OK"))</f>
        <v/>
      </c>
      <c r="AE28" s="137">
        <f>IF($Y28="","",IFERROR(VLOOKUP($Y28,RiskKatsayilari,2,FALSE()),0))</f>
        <v/>
      </c>
      <c r="AF28" s="137">
        <f>IF(OR($M28="",$AE28=""),"",ROUND(ABS($M28)*$AE28,2))</f>
        <v/>
      </c>
      <c r="AG28" s="137">
        <f>IF($G28="","",IFERROR(INDEX(CARI_KARTLARI!$I$6:$I$1000,MATCH($G28,CARI_KARTLARI!$A$6:$A$1000,0)),"VERİ YETERSİZ"))</f>
        <v/>
      </c>
    </row>
    <row r="29" ht="18" customHeight="1" s="102">
      <c r="A29" s="137">
        <f>IF($C29="","","CKS-"&amp;TEXT(ROW()-BaslangicSatir,"000000"))</f>
        <v/>
      </c>
      <c r="B29" s="138" t="n"/>
      <c r="C29" s="138" t="n"/>
      <c r="D29" s="138" t="n"/>
      <c r="E29" s="138" t="n"/>
      <c r="F29" s="138" t="n"/>
      <c r="G29" s="138" t="n"/>
      <c r="H29" s="138" t="n"/>
      <c r="I29" s="138" t="n"/>
      <c r="J29" s="138" t="n"/>
      <c r="K29" s="138" t="n"/>
      <c r="L29" s="138" t="n"/>
      <c r="M29" s="137">
        <f>IF($C29="","",ROUND($J29*$L29*IF($D29="Alınan",1,-1),2))</f>
        <v/>
      </c>
      <c r="N29" s="138" t="n"/>
      <c r="O29" s="138" t="n"/>
      <c r="P29" s="138" t="n"/>
      <c r="Q29" s="138" t="n"/>
      <c r="R29" s="138" t="n"/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  <c r="AC29" s="138" t="n"/>
      <c r="AD29" s="137">
        <f>IF($C29="","",IF(COUNTIFS($C$6:$C$1000,$C29,$G$6:$G$1000,$G29,$J$6:$J$1000,$J29)&gt;1,"MÜKERRER","OK"))</f>
        <v/>
      </c>
      <c r="AE29" s="137">
        <f>IF($Y29="","",IFERROR(VLOOKUP($Y29,RiskKatsayilari,2,FALSE()),0))</f>
        <v/>
      </c>
      <c r="AF29" s="137">
        <f>IF(OR($M29="",$AE29=""),"",ROUND(ABS($M29)*$AE29,2))</f>
        <v/>
      </c>
      <c r="AG29" s="137">
        <f>IF($G29="","",IFERROR(INDEX(CARI_KARTLARI!$I$6:$I$1000,MATCH($G29,CARI_KARTLARI!$A$6:$A$1000,0)),"VERİ YETERSİZ"))</f>
        <v/>
      </c>
    </row>
    <row r="30" ht="18" customHeight="1" s="102">
      <c r="A30" s="137">
        <f>IF($C30="","","CKS-"&amp;TEXT(ROW()-BaslangicSatir,"000000"))</f>
        <v/>
      </c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7">
        <f>IF($C30="","",ROUND($J30*$L30*IF($D30="Alınan",1,-1),2))</f>
        <v/>
      </c>
      <c r="N30" s="138" t="n"/>
      <c r="O30" s="138" t="n"/>
      <c r="P30" s="138" t="n"/>
      <c r="Q30" s="138" t="n"/>
      <c r="R30" s="138" t="n"/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  <c r="AC30" s="138" t="n"/>
      <c r="AD30" s="137">
        <f>IF($C30="","",IF(COUNTIFS($C$6:$C$1000,$C30,$G$6:$G$1000,$G30,$J$6:$J$1000,$J30)&gt;1,"MÜKERRER","OK"))</f>
        <v/>
      </c>
      <c r="AE30" s="137">
        <f>IF($Y30="","",IFERROR(VLOOKUP($Y30,RiskKatsayilari,2,FALSE()),0))</f>
        <v/>
      </c>
      <c r="AF30" s="137">
        <f>IF(OR($M30="",$AE30=""),"",ROUND(ABS($M30)*$AE30,2))</f>
        <v/>
      </c>
      <c r="AG30" s="137">
        <f>IF($G30="","",IFERROR(INDEX(CARI_KARTLARI!$I$6:$I$1000,MATCH($G30,CARI_KARTLARI!$A$6:$A$1000,0)),"VERİ YETERSİZ"))</f>
        <v/>
      </c>
    </row>
    <row r="31" ht="18" customHeight="1" s="102">
      <c r="A31" s="137">
        <f>IF($C31="","","CKS-"&amp;TEXT(ROW()-BaslangicSatir,"000000"))</f>
        <v/>
      </c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7">
        <f>IF($C31="","",ROUND($J31*$L31*IF($D31="Alınan",1,-1),2))</f>
        <v/>
      </c>
      <c r="N31" s="138" t="n"/>
      <c r="O31" s="138" t="n"/>
      <c r="P31" s="138" t="n"/>
      <c r="Q31" s="138" t="n"/>
      <c r="R31" s="138" t="n"/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  <c r="AC31" s="138" t="n"/>
      <c r="AD31" s="137">
        <f>IF($C31="","",IF(COUNTIFS($C$6:$C$1000,$C31,$G$6:$G$1000,$G31,$J$6:$J$1000,$J31)&gt;1,"MÜKERRER","OK"))</f>
        <v/>
      </c>
      <c r="AE31" s="137">
        <f>IF($Y31="","",IFERROR(VLOOKUP($Y31,RiskKatsayilari,2,FALSE()),0))</f>
        <v/>
      </c>
      <c r="AF31" s="137">
        <f>IF(OR($M31="",$AE31=""),"",ROUND(ABS($M31)*$AE31,2))</f>
        <v/>
      </c>
      <c r="AG31" s="137">
        <f>IF($G31="","",IFERROR(INDEX(CARI_KARTLARI!$I$6:$I$1000,MATCH($G31,CARI_KARTLARI!$A$6:$A$1000,0)),"VERİ YETERSİZ"))</f>
        <v/>
      </c>
    </row>
    <row r="32" ht="18" customHeight="1" s="102">
      <c r="A32" s="137">
        <f>IF($C32="","","CKS-"&amp;TEXT(ROW()-BaslangicSatir,"000000"))</f>
        <v/>
      </c>
      <c r="B32" s="138" t="n"/>
      <c r="C32" s="138" t="n"/>
      <c r="D32" s="138" t="n"/>
      <c r="E32" s="138" t="n"/>
      <c r="F32" s="138" t="n"/>
      <c r="G32" s="138" t="n"/>
      <c r="H32" s="138" t="n"/>
      <c r="I32" s="138" t="n"/>
      <c r="J32" s="138" t="n"/>
      <c r="K32" s="138" t="n"/>
      <c r="L32" s="138" t="n"/>
      <c r="M32" s="137">
        <f>IF($C32="","",ROUND($J32*$L32*IF($D32="Alınan",1,-1),2))</f>
        <v/>
      </c>
      <c r="N32" s="138" t="n"/>
      <c r="O32" s="138" t="n"/>
      <c r="P32" s="138" t="n"/>
      <c r="Q32" s="138" t="n"/>
      <c r="R32" s="138" t="n"/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  <c r="AC32" s="138" t="n"/>
      <c r="AD32" s="137">
        <f>IF($C32="","",IF(COUNTIFS($C$6:$C$1000,$C32,$G$6:$G$1000,$G32,$J$6:$J$1000,$J32)&gt;1,"MÜKERRER","OK"))</f>
        <v/>
      </c>
      <c r="AE32" s="137">
        <f>IF($Y32="","",IFERROR(VLOOKUP($Y32,RiskKatsayilari,2,FALSE()),0))</f>
        <v/>
      </c>
      <c r="AF32" s="137">
        <f>IF(OR($M32="",$AE32=""),"",ROUND(ABS($M32)*$AE32,2))</f>
        <v/>
      </c>
      <c r="AG32" s="137">
        <f>IF($G32="","",IFERROR(INDEX(CARI_KARTLARI!$I$6:$I$1000,MATCH($G32,CARI_KARTLARI!$A$6:$A$1000,0)),"VERİ YETERSİZ"))</f>
        <v/>
      </c>
    </row>
    <row r="33" ht="18" customHeight="1" s="102">
      <c r="A33" s="137">
        <f>IF($C33="","","CKS-"&amp;TEXT(ROW()-BaslangicSatir,"000000"))</f>
        <v/>
      </c>
      <c r="B33" s="138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7">
        <f>IF($C33="","",ROUND($J33*$L33*IF($D33="Alınan",1,-1),2))</f>
        <v/>
      </c>
      <c r="N33" s="138" t="n"/>
      <c r="O33" s="138" t="n"/>
      <c r="P33" s="138" t="n"/>
      <c r="Q33" s="138" t="n"/>
      <c r="R33" s="138" t="n"/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  <c r="AC33" s="138" t="n"/>
      <c r="AD33" s="137">
        <f>IF($C33="","",IF(COUNTIFS($C$6:$C$1000,$C33,$G$6:$G$1000,$G33,$J$6:$J$1000,$J33)&gt;1,"MÜKERRER","OK"))</f>
        <v/>
      </c>
      <c r="AE33" s="137">
        <f>IF($Y33="","",IFERROR(VLOOKUP($Y33,RiskKatsayilari,2,FALSE()),0))</f>
        <v/>
      </c>
      <c r="AF33" s="137">
        <f>IF(OR($M33="",$AE33=""),"",ROUND(ABS($M33)*$AE33,2))</f>
        <v/>
      </c>
      <c r="AG33" s="137">
        <f>IF($G33="","",IFERROR(INDEX(CARI_KARTLARI!$I$6:$I$1000,MATCH($G33,CARI_KARTLARI!$A$6:$A$1000,0)),"VERİ YETERSİZ"))</f>
        <v/>
      </c>
    </row>
    <row r="34" ht="18" customHeight="1" s="102">
      <c r="A34" s="137">
        <f>IF($C34="","","CKS-"&amp;TEXT(ROW()-BaslangicSatir,"000000"))</f>
        <v/>
      </c>
      <c r="B34" s="138" t="n"/>
      <c r="C34" s="138" t="n"/>
      <c r="D34" s="138" t="n"/>
      <c r="E34" s="138" t="n"/>
      <c r="F34" s="138" t="n"/>
      <c r="G34" s="138" t="n"/>
      <c r="H34" s="138" t="n"/>
      <c r="I34" s="138" t="n"/>
      <c r="J34" s="138" t="n"/>
      <c r="K34" s="138" t="n"/>
      <c r="L34" s="138" t="n"/>
      <c r="M34" s="137">
        <f>IF($C34="","",ROUND($J34*$L34*IF($D34="Alınan",1,-1),2))</f>
        <v/>
      </c>
      <c r="N34" s="138" t="n"/>
      <c r="O34" s="138" t="n"/>
      <c r="P34" s="138" t="n"/>
      <c r="Q34" s="138" t="n"/>
      <c r="R34" s="138" t="n"/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  <c r="AC34" s="138" t="n"/>
      <c r="AD34" s="137">
        <f>IF($C34="","",IF(COUNTIFS($C$6:$C$1000,$C34,$G$6:$G$1000,$G34,$J$6:$J$1000,$J34)&gt;1,"MÜKERRER","OK"))</f>
        <v/>
      </c>
      <c r="AE34" s="137">
        <f>IF($Y34="","",IFERROR(VLOOKUP($Y34,RiskKatsayilari,2,FALSE()),0))</f>
        <v/>
      </c>
      <c r="AF34" s="137">
        <f>IF(OR($M34="",$AE34=""),"",ROUND(ABS($M34)*$AE34,2))</f>
        <v/>
      </c>
      <c r="AG34" s="137">
        <f>IF($G34="","",IFERROR(INDEX(CARI_KARTLARI!$I$6:$I$1000,MATCH($G34,CARI_KARTLARI!$A$6:$A$1000,0)),"VERİ YETERSİZ"))</f>
        <v/>
      </c>
    </row>
    <row r="35" ht="18" customHeight="1" s="102">
      <c r="A35" s="137">
        <f>IF($C35="","","CKS-"&amp;TEXT(ROW()-BaslangicSatir,"000000"))</f>
        <v/>
      </c>
      <c r="B35" s="138" t="n"/>
      <c r="C35" s="138" t="n"/>
      <c r="D35" s="138" t="n"/>
      <c r="E35" s="138" t="n"/>
      <c r="F35" s="138" t="n"/>
      <c r="G35" s="138" t="n"/>
      <c r="H35" s="138" t="n"/>
      <c r="I35" s="138" t="n"/>
      <c r="J35" s="138" t="n"/>
      <c r="K35" s="138" t="n"/>
      <c r="L35" s="138" t="n"/>
      <c r="M35" s="137">
        <f>IF($C35="","",ROUND($J35*$L35*IF($D35="Alınan",1,-1),2))</f>
        <v/>
      </c>
      <c r="N35" s="138" t="n"/>
      <c r="O35" s="138" t="n"/>
      <c r="P35" s="138" t="n"/>
      <c r="Q35" s="138" t="n"/>
      <c r="R35" s="138" t="n"/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  <c r="AC35" s="138" t="n"/>
      <c r="AD35" s="137">
        <f>IF($C35="","",IF(COUNTIFS($C$6:$C$1000,$C35,$G$6:$G$1000,$G35,$J$6:$J$1000,$J35)&gt;1,"MÜKERRER","OK"))</f>
        <v/>
      </c>
      <c r="AE35" s="137">
        <f>IF($Y35="","",IFERROR(VLOOKUP($Y35,RiskKatsayilari,2,FALSE()),0))</f>
        <v/>
      </c>
      <c r="AF35" s="137">
        <f>IF(OR($M35="",$AE35=""),"",ROUND(ABS($M35)*$AE35,2))</f>
        <v/>
      </c>
      <c r="AG35" s="137">
        <f>IF($G35="","",IFERROR(INDEX(CARI_KARTLARI!$I$6:$I$1000,MATCH($G35,CARI_KARTLARI!$A$6:$A$1000,0)),"VERİ YETERSİZ"))</f>
        <v/>
      </c>
    </row>
    <row r="36" ht="18" customHeight="1" s="102">
      <c r="A36" s="137">
        <f>IF($C36="","","CKS-"&amp;TEXT(ROW()-BaslangicSatir,"000000"))</f>
        <v/>
      </c>
      <c r="B36" s="138" t="n"/>
      <c r="C36" s="138" t="n"/>
      <c r="D36" s="138" t="n"/>
      <c r="E36" s="138" t="n"/>
      <c r="F36" s="138" t="n"/>
      <c r="G36" s="138" t="n"/>
      <c r="H36" s="138" t="n"/>
      <c r="I36" s="138" t="n"/>
      <c r="J36" s="138" t="n"/>
      <c r="K36" s="138" t="n"/>
      <c r="L36" s="138" t="n"/>
      <c r="M36" s="137">
        <f>IF($C36="","",ROUND($J36*$L36*IF($D36="Alınan",1,-1),2))</f>
        <v/>
      </c>
      <c r="N36" s="138" t="n"/>
      <c r="O36" s="138" t="n"/>
      <c r="P36" s="138" t="n"/>
      <c r="Q36" s="138" t="n"/>
      <c r="R36" s="138" t="n"/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  <c r="AC36" s="138" t="n"/>
      <c r="AD36" s="137">
        <f>IF($C36="","",IF(COUNTIFS($C$6:$C$1000,$C36,$G$6:$G$1000,$G36,$J$6:$J$1000,$J36)&gt;1,"MÜKERRER","OK"))</f>
        <v/>
      </c>
      <c r="AE36" s="137">
        <f>IF($Y36="","",IFERROR(VLOOKUP($Y36,RiskKatsayilari,2,FALSE()),0))</f>
        <v/>
      </c>
      <c r="AF36" s="137">
        <f>IF(OR($M36="",$AE36=""),"",ROUND(ABS($M36)*$AE36,2))</f>
        <v/>
      </c>
      <c r="AG36" s="137">
        <f>IF($G36="","",IFERROR(INDEX(CARI_KARTLARI!$I$6:$I$1000,MATCH($G36,CARI_KARTLARI!$A$6:$A$1000,0)),"VERİ YETERSİZ"))</f>
        <v/>
      </c>
    </row>
    <row r="37" ht="18" customHeight="1" s="102">
      <c r="A37" s="137">
        <f>IF($C37="","","CKS-"&amp;TEXT(ROW()-BaslangicSatir,"000000"))</f>
        <v/>
      </c>
      <c r="B37" s="138" t="n"/>
      <c r="C37" s="138" t="n"/>
      <c r="D37" s="138" t="n"/>
      <c r="E37" s="138" t="n"/>
      <c r="F37" s="138" t="n"/>
      <c r="G37" s="138" t="n"/>
      <c r="H37" s="138" t="n"/>
      <c r="I37" s="138" t="n"/>
      <c r="J37" s="138" t="n"/>
      <c r="K37" s="138" t="n"/>
      <c r="L37" s="138" t="n"/>
      <c r="M37" s="137">
        <f>IF($C37="","",ROUND($J37*$L37*IF($D37="Alınan",1,-1),2))</f>
        <v/>
      </c>
      <c r="N37" s="138" t="n"/>
      <c r="O37" s="138" t="n"/>
      <c r="P37" s="138" t="n"/>
      <c r="Q37" s="138" t="n"/>
      <c r="R37" s="138" t="n"/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  <c r="AC37" s="138" t="n"/>
      <c r="AD37" s="137">
        <f>IF($C37="","",IF(COUNTIFS($C$6:$C$1000,$C37,$G$6:$G$1000,$G37,$J$6:$J$1000,$J37)&gt;1,"MÜKERRER","OK"))</f>
        <v/>
      </c>
      <c r="AE37" s="137">
        <f>IF($Y37="","",IFERROR(VLOOKUP($Y37,RiskKatsayilari,2,FALSE()),0))</f>
        <v/>
      </c>
      <c r="AF37" s="137">
        <f>IF(OR($M37="",$AE37=""),"",ROUND(ABS($M37)*$AE37,2))</f>
        <v/>
      </c>
      <c r="AG37" s="137">
        <f>IF($G37="","",IFERROR(INDEX(CARI_KARTLARI!$I$6:$I$1000,MATCH($G37,CARI_KARTLARI!$A$6:$A$1000,0)),"VERİ YETERSİZ"))</f>
        <v/>
      </c>
    </row>
    <row r="38" ht="18" customHeight="1" s="102">
      <c r="A38" s="137">
        <f>IF($C38="","","CKS-"&amp;TEXT(ROW()-BaslangicSatir,"000000"))</f>
        <v/>
      </c>
      <c r="B38" s="138" t="n"/>
      <c r="C38" s="138" t="n"/>
      <c r="D38" s="138" t="n"/>
      <c r="E38" s="138" t="n"/>
      <c r="F38" s="138" t="n"/>
      <c r="G38" s="138" t="n"/>
      <c r="H38" s="138" t="n"/>
      <c r="I38" s="138" t="n"/>
      <c r="J38" s="138" t="n"/>
      <c r="K38" s="138" t="n"/>
      <c r="L38" s="138" t="n"/>
      <c r="M38" s="137">
        <f>IF($C38="","",ROUND($J38*$L38*IF($D38="Alınan",1,-1),2))</f>
        <v/>
      </c>
      <c r="N38" s="138" t="n"/>
      <c r="O38" s="138" t="n"/>
      <c r="P38" s="138" t="n"/>
      <c r="Q38" s="138" t="n"/>
      <c r="R38" s="138" t="n"/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  <c r="AC38" s="138" t="n"/>
      <c r="AD38" s="137">
        <f>IF($C38="","",IF(COUNTIFS($C$6:$C$1000,$C38,$G$6:$G$1000,$G38,$J$6:$J$1000,$J38)&gt;1,"MÜKERRER","OK"))</f>
        <v/>
      </c>
      <c r="AE38" s="137">
        <f>IF($Y38="","",IFERROR(VLOOKUP($Y38,RiskKatsayilari,2,FALSE()),0))</f>
        <v/>
      </c>
      <c r="AF38" s="137">
        <f>IF(OR($M38="",$AE38=""),"",ROUND(ABS($M38)*$AE38,2))</f>
        <v/>
      </c>
      <c r="AG38" s="137">
        <f>IF($G38="","",IFERROR(INDEX(CARI_KARTLARI!$I$6:$I$1000,MATCH($G38,CARI_KARTLARI!$A$6:$A$1000,0)),"VERİ YETERSİZ"))</f>
        <v/>
      </c>
    </row>
    <row r="39" ht="18" customHeight="1" s="102">
      <c r="A39" s="137">
        <f>IF($C39="","","CKS-"&amp;TEXT(ROW()-BaslangicSatir,"000000"))</f>
        <v/>
      </c>
      <c r="B39" s="138" t="n"/>
      <c r="C39" s="138" t="n"/>
      <c r="D39" s="138" t="n"/>
      <c r="E39" s="138" t="n"/>
      <c r="F39" s="138" t="n"/>
      <c r="G39" s="138" t="n"/>
      <c r="H39" s="138" t="n"/>
      <c r="I39" s="138" t="n"/>
      <c r="J39" s="138" t="n"/>
      <c r="K39" s="138" t="n"/>
      <c r="L39" s="138" t="n"/>
      <c r="M39" s="137">
        <f>IF($C39="","",ROUND($J39*$L39*IF($D39="Alınan",1,-1),2))</f>
        <v/>
      </c>
      <c r="N39" s="138" t="n"/>
      <c r="O39" s="138" t="n"/>
      <c r="P39" s="138" t="n"/>
      <c r="Q39" s="138" t="n"/>
      <c r="R39" s="138" t="n"/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  <c r="AC39" s="138" t="n"/>
      <c r="AD39" s="137">
        <f>IF($C39="","",IF(COUNTIFS($C$6:$C$1000,$C39,$G$6:$G$1000,$G39,$J$6:$J$1000,$J39)&gt;1,"MÜKERRER","OK"))</f>
        <v/>
      </c>
      <c r="AE39" s="137">
        <f>IF($Y39="","",IFERROR(VLOOKUP($Y39,RiskKatsayilari,2,FALSE()),0))</f>
        <v/>
      </c>
      <c r="AF39" s="137">
        <f>IF(OR($M39="",$AE39=""),"",ROUND(ABS($M39)*$AE39,2))</f>
        <v/>
      </c>
      <c r="AG39" s="137">
        <f>IF($G39="","",IFERROR(INDEX(CARI_KARTLARI!$I$6:$I$1000,MATCH($G39,CARI_KARTLARI!$A$6:$A$1000,0)),"VERİ YETERSİZ"))</f>
        <v/>
      </c>
    </row>
    <row r="40" ht="18" customHeight="1" s="102">
      <c r="A40" s="137">
        <f>IF($C40="","","CKS-"&amp;TEXT(ROW()-BaslangicSatir,"000000"))</f>
        <v/>
      </c>
      <c r="B40" s="138" t="n"/>
      <c r="C40" s="138" t="n"/>
      <c r="D40" s="138" t="n"/>
      <c r="E40" s="138" t="n"/>
      <c r="F40" s="138" t="n"/>
      <c r="G40" s="138" t="n"/>
      <c r="H40" s="138" t="n"/>
      <c r="I40" s="138" t="n"/>
      <c r="J40" s="138" t="n"/>
      <c r="K40" s="138" t="n"/>
      <c r="L40" s="138" t="n"/>
      <c r="M40" s="137">
        <f>IF($C40="","",ROUND($J40*$L40*IF($D40="Alınan",1,-1),2))</f>
        <v/>
      </c>
      <c r="N40" s="138" t="n"/>
      <c r="O40" s="138" t="n"/>
      <c r="P40" s="138" t="n"/>
      <c r="Q40" s="138" t="n"/>
      <c r="R40" s="138" t="n"/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  <c r="AC40" s="138" t="n"/>
      <c r="AD40" s="137">
        <f>IF($C40="","",IF(COUNTIFS($C$6:$C$1000,$C40,$G$6:$G$1000,$G40,$J$6:$J$1000,$J40)&gt;1,"MÜKERRER","OK"))</f>
        <v/>
      </c>
      <c r="AE40" s="137">
        <f>IF($Y40="","",IFERROR(VLOOKUP($Y40,RiskKatsayilari,2,FALSE()),0))</f>
        <v/>
      </c>
      <c r="AF40" s="137">
        <f>IF(OR($M40="",$AE40=""),"",ROUND(ABS($M40)*$AE40,2))</f>
        <v/>
      </c>
      <c r="AG40" s="137">
        <f>IF($G40="","",IFERROR(INDEX(CARI_KARTLARI!$I$6:$I$1000,MATCH($G40,CARI_KARTLARI!$A$6:$A$1000,0)),"VERİ YETERSİZ"))</f>
        <v/>
      </c>
    </row>
    <row r="41" ht="18" customHeight="1" s="102">
      <c r="A41" s="137">
        <f>IF($C41="","","CKS-"&amp;TEXT(ROW()-BaslangicSatir,"000000"))</f>
        <v/>
      </c>
      <c r="B41" s="138" t="n"/>
      <c r="C41" s="138" t="n"/>
      <c r="D41" s="138" t="n"/>
      <c r="E41" s="138" t="n"/>
      <c r="F41" s="138" t="n"/>
      <c r="G41" s="138" t="n"/>
      <c r="H41" s="138" t="n"/>
      <c r="I41" s="138" t="n"/>
      <c r="J41" s="138" t="n"/>
      <c r="K41" s="138" t="n"/>
      <c r="L41" s="138" t="n"/>
      <c r="M41" s="137">
        <f>IF($C41="","",ROUND($J41*$L41*IF($D41="Alınan",1,-1),2))</f>
        <v/>
      </c>
      <c r="N41" s="138" t="n"/>
      <c r="O41" s="138" t="n"/>
      <c r="P41" s="138" t="n"/>
      <c r="Q41" s="138" t="n"/>
      <c r="R41" s="138" t="n"/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  <c r="AC41" s="138" t="n"/>
      <c r="AD41" s="137">
        <f>IF($C41="","",IF(COUNTIFS($C$6:$C$1000,$C41,$G$6:$G$1000,$G41,$J$6:$J$1000,$J41)&gt;1,"MÜKERRER","OK"))</f>
        <v/>
      </c>
      <c r="AE41" s="137">
        <f>IF($Y41="","",IFERROR(VLOOKUP($Y41,RiskKatsayilari,2,FALSE()),0))</f>
        <v/>
      </c>
      <c r="AF41" s="137">
        <f>IF(OR($M41="",$AE41=""),"",ROUND(ABS($M41)*$AE41,2))</f>
        <v/>
      </c>
      <c r="AG41" s="137">
        <f>IF($G41="","",IFERROR(INDEX(CARI_KARTLARI!$I$6:$I$1000,MATCH($G41,CARI_KARTLARI!$A$6:$A$1000,0)),"VERİ YETERSİZ"))</f>
        <v/>
      </c>
    </row>
    <row r="42" ht="18" customHeight="1" s="102">
      <c r="A42" s="137">
        <f>IF($C42="","","CKS-"&amp;TEXT(ROW()-BaslangicSatir,"000000"))</f>
        <v/>
      </c>
      <c r="B42" s="138" t="n"/>
      <c r="C42" s="138" t="n"/>
      <c r="D42" s="138" t="n"/>
      <c r="E42" s="138" t="n"/>
      <c r="F42" s="138" t="n"/>
      <c r="G42" s="138" t="n"/>
      <c r="H42" s="138" t="n"/>
      <c r="I42" s="138" t="n"/>
      <c r="J42" s="138" t="n"/>
      <c r="K42" s="138" t="n"/>
      <c r="L42" s="138" t="n"/>
      <c r="M42" s="137">
        <f>IF($C42="","",ROUND($J42*$L42*IF($D42="Alınan",1,-1),2))</f>
        <v/>
      </c>
      <c r="N42" s="138" t="n"/>
      <c r="O42" s="138" t="n"/>
      <c r="P42" s="138" t="n"/>
      <c r="Q42" s="138" t="n"/>
      <c r="R42" s="138" t="n"/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  <c r="AC42" s="138" t="n"/>
      <c r="AD42" s="137">
        <f>IF($C42="","",IF(COUNTIFS($C$6:$C$1000,$C42,$G$6:$G$1000,$G42,$J$6:$J$1000,$J42)&gt;1,"MÜKERRER","OK"))</f>
        <v/>
      </c>
      <c r="AE42" s="137">
        <f>IF($Y42="","",IFERROR(VLOOKUP($Y42,RiskKatsayilari,2,FALSE()),0))</f>
        <v/>
      </c>
      <c r="AF42" s="137">
        <f>IF(OR($M42="",$AE42=""),"",ROUND(ABS($M42)*$AE42,2))</f>
        <v/>
      </c>
      <c r="AG42" s="137">
        <f>IF($G42="","",IFERROR(INDEX(CARI_KARTLARI!$I$6:$I$1000,MATCH($G42,CARI_KARTLARI!$A$6:$A$1000,0)),"VERİ YETERSİZ"))</f>
        <v/>
      </c>
    </row>
    <row r="43" ht="18" customHeight="1" s="102">
      <c r="A43" s="137">
        <f>IF($C43="","","CKS-"&amp;TEXT(ROW()-BaslangicSatir,"000000"))</f>
        <v/>
      </c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7">
        <f>IF($C43="","",ROUND($J43*$L43*IF($D43="Alınan",1,-1),2))</f>
        <v/>
      </c>
      <c r="N43" s="138" t="n"/>
      <c r="O43" s="138" t="n"/>
      <c r="P43" s="138" t="n"/>
      <c r="Q43" s="138" t="n"/>
      <c r="R43" s="138" t="n"/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  <c r="AC43" s="138" t="n"/>
      <c r="AD43" s="137">
        <f>IF($C43="","",IF(COUNTIFS($C$6:$C$1000,$C43,$G$6:$G$1000,$G43,$J$6:$J$1000,$J43)&gt;1,"MÜKERRER","OK"))</f>
        <v/>
      </c>
      <c r="AE43" s="137">
        <f>IF($Y43="","",IFERROR(VLOOKUP($Y43,RiskKatsayilari,2,FALSE()),0))</f>
        <v/>
      </c>
      <c r="AF43" s="137">
        <f>IF(OR($M43="",$AE43=""),"",ROUND(ABS($M43)*$AE43,2))</f>
        <v/>
      </c>
      <c r="AG43" s="137">
        <f>IF($G43="","",IFERROR(INDEX(CARI_KARTLARI!$I$6:$I$1000,MATCH($G43,CARI_KARTLARI!$A$6:$A$1000,0)),"VERİ YETERSİZ"))</f>
        <v/>
      </c>
    </row>
    <row r="44" ht="18" customHeight="1" s="102">
      <c r="A44" s="137">
        <f>IF($C44="","","CKS-"&amp;TEXT(ROW()-BaslangicSatir,"000000"))</f>
        <v/>
      </c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7">
        <f>IF($C44="","",ROUND($J44*$L44*IF($D44="Alınan",1,-1),2))</f>
        <v/>
      </c>
      <c r="N44" s="138" t="n"/>
      <c r="O44" s="138" t="n"/>
      <c r="P44" s="138" t="n"/>
      <c r="Q44" s="138" t="n"/>
      <c r="R44" s="138" t="n"/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  <c r="AC44" s="138" t="n"/>
      <c r="AD44" s="137">
        <f>IF($C44="","",IF(COUNTIFS($C$6:$C$1000,$C44,$G$6:$G$1000,$G44,$J$6:$J$1000,$J44)&gt;1,"MÜKERRER","OK"))</f>
        <v/>
      </c>
      <c r="AE44" s="137">
        <f>IF($Y44="","",IFERROR(VLOOKUP($Y44,RiskKatsayilari,2,FALSE()),0))</f>
        <v/>
      </c>
      <c r="AF44" s="137">
        <f>IF(OR($M44="",$AE44=""),"",ROUND(ABS($M44)*$AE44,2))</f>
        <v/>
      </c>
      <c r="AG44" s="137">
        <f>IF($G44="","",IFERROR(INDEX(CARI_KARTLARI!$I$6:$I$1000,MATCH($G44,CARI_KARTLARI!$A$6:$A$1000,0)),"VERİ YETERSİZ"))</f>
        <v/>
      </c>
    </row>
    <row r="45" ht="18" customHeight="1" s="102">
      <c r="A45" s="137">
        <f>IF($C45="","","CKS-"&amp;TEXT(ROW()-BaslangicSatir,"000000"))</f>
        <v/>
      </c>
      <c r="B45" s="138" t="n"/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7">
        <f>IF($C45="","",ROUND($J45*$L45*IF($D45="Alınan",1,-1),2))</f>
        <v/>
      </c>
      <c r="N45" s="138" t="n"/>
      <c r="O45" s="138" t="n"/>
      <c r="P45" s="138" t="n"/>
      <c r="Q45" s="138" t="n"/>
      <c r="R45" s="138" t="n"/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  <c r="AC45" s="138" t="n"/>
      <c r="AD45" s="137">
        <f>IF($C45="","",IF(COUNTIFS($C$6:$C$1000,$C45,$G$6:$G$1000,$G45,$J$6:$J$1000,$J45)&gt;1,"MÜKERRER","OK"))</f>
        <v/>
      </c>
      <c r="AE45" s="137">
        <f>IF($Y45="","",IFERROR(VLOOKUP($Y45,RiskKatsayilari,2,FALSE()),0))</f>
        <v/>
      </c>
      <c r="AF45" s="137">
        <f>IF(OR($M45="",$AE45=""),"",ROUND(ABS($M45)*$AE45,2))</f>
        <v/>
      </c>
      <c r="AG45" s="137">
        <f>IF($G45="","",IFERROR(INDEX(CARI_KARTLARI!$I$6:$I$1000,MATCH($G45,CARI_KARTLARI!$A$6:$A$1000,0)),"VERİ YETERSİZ"))</f>
        <v/>
      </c>
    </row>
    <row r="46" ht="18" customHeight="1" s="102">
      <c r="A46" s="137">
        <f>IF($C46="","","CKS-"&amp;TEXT(ROW()-BaslangicSatir,"000000"))</f>
        <v/>
      </c>
      <c r="B46" s="138" t="n"/>
      <c r="C46" s="138" t="n"/>
      <c r="D46" s="138" t="n"/>
      <c r="E46" s="138" t="n"/>
      <c r="F46" s="138" t="n"/>
      <c r="G46" s="138" t="n"/>
      <c r="H46" s="138" t="n"/>
      <c r="I46" s="138" t="n"/>
      <c r="J46" s="138" t="n"/>
      <c r="K46" s="138" t="n"/>
      <c r="L46" s="138" t="n"/>
      <c r="M46" s="137">
        <f>IF($C46="","",ROUND($J46*$L46*IF($D46="Alınan",1,-1),2))</f>
        <v/>
      </c>
      <c r="N46" s="138" t="n"/>
      <c r="O46" s="138" t="n"/>
      <c r="P46" s="138" t="n"/>
      <c r="Q46" s="138" t="n"/>
      <c r="R46" s="138" t="n"/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  <c r="AC46" s="138" t="n"/>
      <c r="AD46" s="137">
        <f>IF($C46="","",IF(COUNTIFS($C$6:$C$1000,$C46,$G$6:$G$1000,$G46,$J$6:$J$1000,$J46)&gt;1,"MÜKERRER","OK"))</f>
        <v/>
      </c>
      <c r="AE46" s="137">
        <f>IF($Y46="","",IFERROR(VLOOKUP($Y46,RiskKatsayilari,2,FALSE()),0))</f>
        <v/>
      </c>
      <c r="AF46" s="137">
        <f>IF(OR($M46="",$AE46=""),"",ROUND(ABS($M46)*$AE46,2))</f>
        <v/>
      </c>
      <c r="AG46" s="137">
        <f>IF($G46="","",IFERROR(INDEX(CARI_KARTLARI!$I$6:$I$1000,MATCH($G46,CARI_KARTLARI!$A$6:$A$1000,0)),"VERİ YETERSİZ"))</f>
        <v/>
      </c>
    </row>
    <row r="47" ht="18" customHeight="1" s="102">
      <c r="A47" s="137">
        <f>IF($C47="","","CKS-"&amp;TEXT(ROW()-BaslangicSatir,"000000"))</f>
        <v/>
      </c>
      <c r="B47" s="138" t="n"/>
      <c r="C47" s="138" t="n"/>
      <c r="D47" s="138" t="n"/>
      <c r="E47" s="138" t="n"/>
      <c r="F47" s="138" t="n"/>
      <c r="G47" s="138" t="n"/>
      <c r="H47" s="138" t="n"/>
      <c r="I47" s="138" t="n"/>
      <c r="J47" s="138" t="n"/>
      <c r="K47" s="138" t="n"/>
      <c r="L47" s="138" t="n"/>
      <c r="M47" s="137">
        <f>IF($C47="","",ROUND($J47*$L47*IF($D47="Alınan",1,-1),2))</f>
        <v/>
      </c>
      <c r="N47" s="138" t="n"/>
      <c r="O47" s="138" t="n"/>
      <c r="P47" s="138" t="n"/>
      <c r="Q47" s="138" t="n"/>
      <c r="R47" s="138" t="n"/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  <c r="AC47" s="138" t="n"/>
      <c r="AD47" s="137">
        <f>IF($C47="","",IF(COUNTIFS($C$6:$C$1000,$C47,$G$6:$G$1000,$G47,$J$6:$J$1000,$J47)&gt;1,"MÜKERRER","OK"))</f>
        <v/>
      </c>
      <c r="AE47" s="137">
        <f>IF($Y47="","",IFERROR(VLOOKUP($Y47,RiskKatsayilari,2,FALSE()),0))</f>
        <v/>
      </c>
      <c r="AF47" s="137">
        <f>IF(OR($M47="",$AE47=""),"",ROUND(ABS($M47)*$AE47,2))</f>
        <v/>
      </c>
      <c r="AG47" s="137">
        <f>IF($G47="","",IFERROR(INDEX(CARI_KARTLARI!$I$6:$I$1000,MATCH($G47,CARI_KARTLARI!$A$6:$A$1000,0)),"VERİ YETERSİZ"))</f>
        <v/>
      </c>
    </row>
    <row r="48" ht="18" customHeight="1" s="102">
      <c r="A48" s="137">
        <f>IF($C48="","","CKS-"&amp;TEXT(ROW()-BaslangicSatir,"000000"))</f>
        <v/>
      </c>
      <c r="B48" s="138" t="n"/>
      <c r="C48" s="138" t="n"/>
      <c r="D48" s="138" t="n"/>
      <c r="E48" s="138" t="n"/>
      <c r="F48" s="138" t="n"/>
      <c r="G48" s="138" t="n"/>
      <c r="H48" s="138" t="n"/>
      <c r="I48" s="138" t="n"/>
      <c r="J48" s="138" t="n"/>
      <c r="K48" s="138" t="n"/>
      <c r="L48" s="138" t="n"/>
      <c r="M48" s="137">
        <f>IF($C48="","",ROUND($J48*$L48*IF($D48="Alınan",1,-1),2))</f>
        <v/>
      </c>
      <c r="N48" s="138" t="n"/>
      <c r="O48" s="138" t="n"/>
      <c r="P48" s="138" t="n"/>
      <c r="Q48" s="138" t="n"/>
      <c r="R48" s="138" t="n"/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  <c r="AC48" s="138" t="n"/>
      <c r="AD48" s="137">
        <f>IF($C48="","",IF(COUNTIFS($C$6:$C$1000,$C48,$G$6:$G$1000,$G48,$J$6:$J$1000,$J48)&gt;1,"MÜKERRER","OK"))</f>
        <v/>
      </c>
      <c r="AE48" s="137">
        <f>IF($Y48="","",IFERROR(VLOOKUP($Y48,RiskKatsayilari,2,FALSE()),0))</f>
        <v/>
      </c>
      <c r="AF48" s="137">
        <f>IF(OR($M48="",$AE48=""),"",ROUND(ABS($M48)*$AE48,2))</f>
        <v/>
      </c>
      <c r="AG48" s="137">
        <f>IF($G48="","",IFERROR(INDEX(CARI_KARTLARI!$I$6:$I$1000,MATCH($G48,CARI_KARTLARI!$A$6:$A$1000,0)),"VERİ YETERSİZ"))</f>
        <v/>
      </c>
    </row>
    <row r="49" ht="18" customHeight="1" s="102">
      <c r="A49" s="137">
        <f>IF($C49="","","CKS-"&amp;TEXT(ROW()-BaslangicSatir,"000000"))</f>
        <v/>
      </c>
      <c r="B49" s="138" t="n"/>
      <c r="C49" s="138" t="n"/>
      <c r="D49" s="138" t="n"/>
      <c r="E49" s="138" t="n"/>
      <c r="F49" s="138" t="n"/>
      <c r="G49" s="138" t="n"/>
      <c r="H49" s="138" t="n"/>
      <c r="I49" s="138" t="n"/>
      <c r="J49" s="138" t="n"/>
      <c r="K49" s="138" t="n"/>
      <c r="L49" s="138" t="n"/>
      <c r="M49" s="137">
        <f>IF($C49="","",ROUND($J49*$L49*IF($D49="Alınan",1,-1),2))</f>
        <v/>
      </c>
      <c r="N49" s="138" t="n"/>
      <c r="O49" s="138" t="n"/>
      <c r="P49" s="138" t="n"/>
      <c r="Q49" s="138" t="n"/>
      <c r="R49" s="138" t="n"/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  <c r="AC49" s="138" t="n"/>
      <c r="AD49" s="137">
        <f>IF($C49="","",IF(COUNTIFS($C$6:$C$1000,$C49,$G$6:$G$1000,$G49,$J$6:$J$1000,$J49)&gt;1,"MÜKERRER","OK"))</f>
        <v/>
      </c>
      <c r="AE49" s="137">
        <f>IF($Y49="","",IFERROR(VLOOKUP($Y49,RiskKatsayilari,2,FALSE()),0))</f>
        <v/>
      </c>
      <c r="AF49" s="137">
        <f>IF(OR($M49="",$AE49=""),"",ROUND(ABS($M49)*$AE49,2))</f>
        <v/>
      </c>
      <c r="AG49" s="137">
        <f>IF($G49="","",IFERROR(INDEX(CARI_KARTLARI!$I$6:$I$1000,MATCH($G49,CARI_KARTLARI!$A$6:$A$1000,0)),"VERİ YETERSİZ"))</f>
        <v/>
      </c>
    </row>
    <row r="50" ht="18" customHeight="1" s="102">
      <c r="A50" s="137">
        <f>IF($C50="","","CKS-"&amp;TEXT(ROW()-BaslangicSatir,"000000"))</f>
        <v/>
      </c>
      <c r="B50" s="138" t="n"/>
      <c r="C50" s="138" t="n"/>
      <c r="D50" s="138" t="n"/>
      <c r="E50" s="138" t="n"/>
      <c r="F50" s="138" t="n"/>
      <c r="G50" s="138" t="n"/>
      <c r="H50" s="138" t="n"/>
      <c r="I50" s="138" t="n"/>
      <c r="J50" s="138" t="n"/>
      <c r="K50" s="138" t="n"/>
      <c r="L50" s="138" t="n"/>
      <c r="M50" s="137">
        <f>IF($C50="","",ROUND($J50*$L50*IF($D50="Alınan",1,-1),2))</f>
        <v/>
      </c>
      <c r="N50" s="138" t="n"/>
      <c r="O50" s="138" t="n"/>
      <c r="P50" s="138" t="n"/>
      <c r="Q50" s="138" t="n"/>
      <c r="R50" s="138" t="n"/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  <c r="AC50" s="138" t="n"/>
      <c r="AD50" s="137">
        <f>IF($C50="","",IF(COUNTIFS($C$6:$C$1000,$C50,$G$6:$G$1000,$G50,$J$6:$J$1000,$J50)&gt;1,"MÜKERRER","OK"))</f>
        <v/>
      </c>
      <c r="AE50" s="137">
        <f>IF($Y50="","",IFERROR(VLOOKUP($Y50,RiskKatsayilari,2,FALSE()),0))</f>
        <v/>
      </c>
      <c r="AF50" s="137">
        <f>IF(OR($M50="",$AE50=""),"",ROUND(ABS($M50)*$AE50,2))</f>
        <v/>
      </c>
      <c r="AG50" s="137">
        <f>IF($G50="","",IFERROR(INDEX(CARI_KARTLARI!$I$6:$I$1000,MATCH($G50,CARI_KARTLARI!$A$6:$A$1000,0)),"VERİ YETERSİZ"))</f>
        <v/>
      </c>
    </row>
    <row r="51" ht="18" customHeight="1" s="102">
      <c r="A51" s="137">
        <f>IF($C51="","","CKS-"&amp;TEXT(ROW()-BaslangicSatir,"000000"))</f>
        <v/>
      </c>
      <c r="B51" s="138" t="n"/>
      <c r="C51" s="138" t="n"/>
      <c r="D51" s="138" t="n"/>
      <c r="E51" s="138" t="n"/>
      <c r="F51" s="138" t="n"/>
      <c r="G51" s="138" t="n"/>
      <c r="H51" s="138" t="n"/>
      <c r="I51" s="138" t="n"/>
      <c r="J51" s="138" t="n"/>
      <c r="K51" s="138" t="n"/>
      <c r="L51" s="138" t="n"/>
      <c r="M51" s="137">
        <f>IF($C51="","",ROUND($J51*$L51*IF($D51="Alınan",1,-1),2))</f>
        <v/>
      </c>
      <c r="N51" s="138" t="n"/>
      <c r="O51" s="138" t="n"/>
      <c r="P51" s="138" t="n"/>
      <c r="Q51" s="138" t="n"/>
      <c r="R51" s="138" t="n"/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  <c r="AC51" s="138" t="n"/>
      <c r="AD51" s="137">
        <f>IF($C51="","",IF(COUNTIFS($C$6:$C$1000,$C51,$G$6:$G$1000,$G51,$J$6:$J$1000,$J51)&gt;1,"MÜKERRER","OK"))</f>
        <v/>
      </c>
      <c r="AE51" s="137">
        <f>IF($Y51="","",IFERROR(VLOOKUP($Y51,RiskKatsayilari,2,FALSE()),0))</f>
        <v/>
      </c>
      <c r="AF51" s="137">
        <f>IF(OR($M51="",$AE51=""),"",ROUND(ABS($M51)*$AE51,2))</f>
        <v/>
      </c>
      <c r="AG51" s="137">
        <f>IF($G51="","",IFERROR(INDEX(CARI_KARTLARI!$I$6:$I$1000,MATCH($G51,CARI_KARTLARI!$A$6:$A$1000,0)),"VERİ YETERSİZ"))</f>
        <v/>
      </c>
    </row>
    <row r="52" ht="18" customHeight="1" s="102">
      <c r="A52" s="137">
        <f>IF($C52="","","CKS-"&amp;TEXT(ROW()-BaslangicSatir,"000000"))</f>
        <v/>
      </c>
      <c r="B52" s="138" t="n"/>
      <c r="C52" s="138" t="n"/>
      <c r="D52" s="138" t="n"/>
      <c r="E52" s="138" t="n"/>
      <c r="F52" s="138" t="n"/>
      <c r="G52" s="138" t="n"/>
      <c r="H52" s="138" t="n"/>
      <c r="I52" s="138" t="n"/>
      <c r="J52" s="138" t="n"/>
      <c r="K52" s="138" t="n"/>
      <c r="L52" s="138" t="n"/>
      <c r="M52" s="137">
        <f>IF($C52="","",ROUND($J52*$L52*IF($D52="Alınan",1,-1),2))</f>
        <v/>
      </c>
      <c r="N52" s="138" t="n"/>
      <c r="O52" s="138" t="n"/>
      <c r="P52" s="138" t="n"/>
      <c r="Q52" s="138" t="n"/>
      <c r="R52" s="138" t="n"/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  <c r="AC52" s="138" t="n"/>
      <c r="AD52" s="137">
        <f>IF($C52="","",IF(COUNTIFS($C$6:$C$1000,$C52,$G$6:$G$1000,$G52,$J$6:$J$1000,$J52)&gt;1,"MÜKERRER","OK"))</f>
        <v/>
      </c>
      <c r="AE52" s="137">
        <f>IF($Y52="","",IFERROR(VLOOKUP($Y52,RiskKatsayilari,2,FALSE()),0))</f>
        <v/>
      </c>
      <c r="AF52" s="137">
        <f>IF(OR($M52="",$AE52=""),"",ROUND(ABS($M52)*$AE52,2))</f>
        <v/>
      </c>
      <c r="AG52" s="137">
        <f>IF($G52="","",IFERROR(INDEX(CARI_KARTLARI!$I$6:$I$1000,MATCH($G52,CARI_KARTLARI!$A$6:$A$1000,0)),"VERİ YETERSİZ"))</f>
        <v/>
      </c>
    </row>
    <row r="53" ht="18" customHeight="1" s="102">
      <c r="A53" s="137">
        <f>IF($C53="","","CKS-"&amp;TEXT(ROW()-BaslangicSatir,"000000"))</f>
        <v/>
      </c>
      <c r="B53" s="138" t="n"/>
      <c r="C53" s="138" t="n"/>
      <c r="D53" s="138" t="n"/>
      <c r="E53" s="138" t="n"/>
      <c r="F53" s="138" t="n"/>
      <c r="G53" s="138" t="n"/>
      <c r="H53" s="138" t="n"/>
      <c r="I53" s="138" t="n"/>
      <c r="J53" s="138" t="n"/>
      <c r="K53" s="138" t="n"/>
      <c r="L53" s="138" t="n"/>
      <c r="M53" s="137">
        <f>IF($C53="","",ROUND($J53*$L53*IF($D53="Alınan",1,-1),2))</f>
        <v/>
      </c>
      <c r="N53" s="138" t="n"/>
      <c r="O53" s="138" t="n"/>
      <c r="P53" s="138" t="n"/>
      <c r="Q53" s="138" t="n"/>
      <c r="R53" s="138" t="n"/>
      <c r="S53" s="138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  <c r="AC53" s="138" t="n"/>
      <c r="AD53" s="137">
        <f>IF($C53="","",IF(COUNTIFS($C$6:$C$1000,$C53,$G$6:$G$1000,$G53,$J$6:$J$1000,$J53)&gt;1,"MÜKERRER","OK"))</f>
        <v/>
      </c>
      <c r="AE53" s="137">
        <f>IF($Y53="","",IFERROR(VLOOKUP($Y53,RiskKatsayilari,2,FALSE()),0))</f>
        <v/>
      </c>
      <c r="AF53" s="137">
        <f>IF(OR($M53="",$AE53=""),"",ROUND(ABS($M53)*$AE53,2))</f>
        <v/>
      </c>
      <c r="AG53" s="137">
        <f>IF($G53="","",IFERROR(INDEX(CARI_KARTLARI!$I$6:$I$1000,MATCH($G53,CARI_KARTLARI!$A$6:$A$1000,0)),"VERİ YETERSİZ"))</f>
        <v/>
      </c>
    </row>
    <row r="54" ht="18" customHeight="1" s="102">
      <c r="A54" s="137">
        <f>IF($C54="","","CKS-"&amp;TEXT(ROW()-BaslangicSatir,"000000"))</f>
        <v/>
      </c>
      <c r="B54" s="138" t="n"/>
      <c r="C54" s="138" t="n"/>
      <c r="D54" s="138" t="n"/>
      <c r="E54" s="138" t="n"/>
      <c r="F54" s="138" t="n"/>
      <c r="G54" s="138" t="n"/>
      <c r="H54" s="138" t="n"/>
      <c r="I54" s="138" t="n"/>
      <c r="J54" s="138" t="n"/>
      <c r="K54" s="138" t="n"/>
      <c r="L54" s="138" t="n"/>
      <c r="M54" s="137">
        <f>IF($C54="","",ROUND($J54*$L54*IF($D54="Alınan",1,-1),2))</f>
        <v/>
      </c>
      <c r="N54" s="138" t="n"/>
      <c r="O54" s="138" t="n"/>
      <c r="P54" s="138" t="n"/>
      <c r="Q54" s="138" t="n"/>
      <c r="R54" s="138" t="n"/>
      <c r="S54" s="138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  <c r="AC54" s="138" t="n"/>
      <c r="AD54" s="137">
        <f>IF($C54="","",IF(COUNTIFS($C$6:$C$1000,$C54,$G$6:$G$1000,$G54,$J$6:$J$1000,$J54)&gt;1,"MÜKERRER","OK"))</f>
        <v/>
      </c>
      <c r="AE54" s="137">
        <f>IF($Y54="","",IFERROR(VLOOKUP($Y54,RiskKatsayilari,2,FALSE()),0))</f>
        <v/>
      </c>
      <c r="AF54" s="137">
        <f>IF(OR($M54="",$AE54=""),"",ROUND(ABS($M54)*$AE54,2))</f>
        <v/>
      </c>
      <c r="AG54" s="137">
        <f>IF($G54="","",IFERROR(INDEX(CARI_KARTLARI!$I$6:$I$1000,MATCH($G54,CARI_KARTLARI!$A$6:$A$1000,0)),"VERİ YETERSİZ"))</f>
        <v/>
      </c>
    </row>
    <row r="55" ht="18" customHeight="1" s="102">
      <c r="A55" s="137">
        <f>IF($C55="","","CKS-"&amp;TEXT(ROW()-BaslangicSatir,"000000"))</f>
        <v/>
      </c>
      <c r="B55" s="138" t="n"/>
      <c r="C55" s="138" t="n"/>
      <c r="D55" s="138" t="n"/>
      <c r="E55" s="138" t="n"/>
      <c r="F55" s="138" t="n"/>
      <c r="G55" s="138" t="n"/>
      <c r="H55" s="138" t="n"/>
      <c r="I55" s="138" t="n"/>
      <c r="J55" s="138" t="n"/>
      <c r="K55" s="138" t="n"/>
      <c r="L55" s="138" t="n"/>
      <c r="M55" s="137">
        <f>IF($C55="","",ROUND($J55*$L55*IF($D55="Alınan",1,-1),2))</f>
        <v/>
      </c>
      <c r="N55" s="138" t="n"/>
      <c r="O55" s="138" t="n"/>
      <c r="P55" s="138" t="n"/>
      <c r="Q55" s="138" t="n"/>
      <c r="R55" s="138" t="n"/>
      <c r="S55" s="138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  <c r="AC55" s="138" t="n"/>
      <c r="AD55" s="137">
        <f>IF($C55="","",IF(COUNTIFS($C$6:$C$1000,$C55,$G$6:$G$1000,$G55,$J$6:$J$1000,$J55)&gt;1,"MÜKERRER","OK"))</f>
        <v/>
      </c>
      <c r="AE55" s="137">
        <f>IF($Y55="","",IFERROR(VLOOKUP($Y55,RiskKatsayilari,2,FALSE()),0))</f>
        <v/>
      </c>
      <c r="AF55" s="137">
        <f>IF(OR($M55="",$AE55=""),"",ROUND(ABS($M55)*$AE55,2))</f>
        <v/>
      </c>
      <c r="AG55" s="137">
        <f>IF($G55="","",IFERROR(INDEX(CARI_KARTLARI!$I$6:$I$1000,MATCH($G55,CARI_KARTLARI!$A$6:$A$1000,0)),"VERİ YETERSİZ"))</f>
        <v/>
      </c>
    </row>
    <row r="56" ht="18" customHeight="1" s="102">
      <c r="A56" s="137">
        <f>IF($C56="","","CKS-"&amp;TEXT(ROW()-BaslangicSatir,"000000"))</f>
        <v/>
      </c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7">
        <f>IF($C56="","",ROUND($J56*$L56*IF($D56="Alınan",1,-1),2))</f>
        <v/>
      </c>
      <c r="N56" s="138" t="n"/>
      <c r="O56" s="138" t="n"/>
      <c r="P56" s="138" t="n"/>
      <c r="Q56" s="138" t="n"/>
      <c r="R56" s="138" t="n"/>
      <c r="S56" s="138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  <c r="AC56" s="138" t="n"/>
      <c r="AD56" s="137">
        <f>IF($C56="","",IF(COUNTIFS($C$6:$C$1000,$C56,$G$6:$G$1000,$G56,$J$6:$J$1000,$J56)&gt;1,"MÜKERRER","OK"))</f>
        <v/>
      </c>
      <c r="AE56" s="137">
        <f>IF($Y56="","",IFERROR(VLOOKUP($Y56,RiskKatsayilari,2,FALSE()),0))</f>
        <v/>
      </c>
      <c r="AF56" s="137">
        <f>IF(OR($M56="",$AE56=""),"",ROUND(ABS($M56)*$AE56,2))</f>
        <v/>
      </c>
      <c r="AG56" s="137">
        <f>IF($G56="","",IFERROR(INDEX(CARI_KARTLARI!$I$6:$I$1000,MATCH($G56,CARI_KARTLARI!$A$6:$A$1000,0)),"VERİ YETERSİZ"))</f>
        <v/>
      </c>
    </row>
    <row r="57" ht="18" customHeight="1" s="102">
      <c r="A57" s="137">
        <f>IF($C57="","","CKS-"&amp;TEXT(ROW()-BaslangicSatir,"000000"))</f>
        <v/>
      </c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7">
        <f>IF($C57="","",ROUND($J57*$L57*IF($D57="Alınan",1,-1),2))</f>
        <v/>
      </c>
      <c r="N57" s="138" t="n"/>
      <c r="O57" s="138" t="n"/>
      <c r="P57" s="138" t="n"/>
      <c r="Q57" s="138" t="n"/>
      <c r="R57" s="138" t="n"/>
      <c r="S57" s="138" t="n"/>
      <c r="T57" s="138" t="n"/>
      <c r="U57" s="138" t="n"/>
      <c r="V57" s="138" t="n"/>
      <c r="W57" s="138" t="n"/>
      <c r="X57" s="138" t="n"/>
      <c r="Y57" s="138" t="n"/>
      <c r="Z57" s="138" t="n"/>
      <c r="AA57" s="138" t="n"/>
      <c r="AB57" s="138" t="n"/>
      <c r="AC57" s="138" t="n"/>
      <c r="AD57" s="137">
        <f>IF($C57="","",IF(COUNTIFS($C$6:$C$1000,$C57,$G$6:$G$1000,$G57,$J$6:$J$1000,$J57)&gt;1,"MÜKERRER","OK"))</f>
        <v/>
      </c>
      <c r="AE57" s="137">
        <f>IF($Y57="","",IFERROR(VLOOKUP($Y57,RiskKatsayilari,2,FALSE()),0))</f>
        <v/>
      </c>
      <c r="AF57" s="137">
        <f>IF(OR($M57="",$AE57=""),"",ROUND(ABS($M57)*$AE57,2))</f>
        <v/>
      </c>
      <c r="AG57" s="137">
        <f>IF($G57="","",IFERROR(INDEX(CARI_KARTLARI!$I$6:$I$1000,MATCH($G57,CARI_KARTLARI!$A$6:$A$1000,0)),"VERİ YETERSİZ"))</f>
        <v/>
      </c>
    </row>
    <row r="58" ht="18" customHeight="1" s="102">
      <c r="A58" s="137">
        <f>IF($C58="","","CKS-"&amp;TEXT(ROW()-BaslangicSatir,"000000"))</f>
        <v/>
      </c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7">
        <f>IF($C58="","",ROUND($J58*$L58*IF($D58="Alınan",1,-1),2))</f>
        <v/>
      </c>
      <c r="N58" s="138" t="n"/>
      <c r="O58" s="138" t="n"/>
      <c r="P58" s="138" t="n"/>
      <c r="Q58" s="138" t="n"/>
      <c r="R58" s="138" t="n"/>
      <c r="S58" s="138" t="n"/>
      <c r="T58" s="138" t="n"/>
      <c r="U58" s="138" t="n"/>
      <c r="V58" s="138" t="n"/>
      <c r="W58" s="138" t="n"/>
      <c r="X58" s="138" t="n"/>
      <c r="Y58" s="138" t="n"/>
      <c r="Z58" s="138" t="n"/>
      <c r="AA58" s="138" t="n"/>
      <c r="AB58" s="138" t="n"/>
      <c r="AC58" s="138" t="n"/>
      <c r="AD58" s="137">
        <f>IF($C58="","",IF(COUNTIFS($C$6:$C$1000,$C58,$G$6:$G$1000,$G58,$J$6:$J$1000,$J58)&gt;1,"MÜKERRER","OK"))</f>
        <v/>
      </c>
      <c r="AE58" s="137">
        <f>IF($Y58="","",IFERROR(VLOOKUP($Y58,RiskKatsayilari,2,FALSE()),0))</f>
        <v/>
      </c>
      <c r="AF58" s="137">
        <f>IF(OR($M58="",$AE58=""),"",ROUND(ABS($M58)*$AE58,2))</f>
        <v/>
      </c>
      <c r="AG58" s="137">
        <f>IF($G58="","",IFERROR(INDEX(CARI_KARTLARI!$I$6:$I$1000,MATCH($G58,CARI_KARTLARI!$A$6:$A$1000,0)),"VERİ YETERSİZ"))</f>
        <v/>
      </c>
    </row>
    <row r="59" ht="18" customHeight="1" s="102">
      <c r="A59" s="137">
        <f>IF($C59="","","CKS-"&amp;TEXT(ROW()-BaslangicSatir,"000000"))</f>
        <v/>
      </c>
      <c r="B59" s="138" t="n"/>
      <c r="C59" s="138" t="n"/>
      <c r="D59" s="138" t="n"/>
      <c r="E59" s="138" t="n"/>
      <c r="F59" s="138" t="n"/>
      <c r="G59" s="138" t="n"/>
      <c r="H59" s="138" t="n"/>
      <c r="I59" s="138" t="n"/>
      <c r="J59" s="138" t="n"/>
      <c r="K59" s="138" t="n"/>
      <c r="L59" s="138" t="n"/>
      <c r="M59" s="137">
        <f>IF($C59="","",ROUND($J59*$L59*IF($D59="Alınan",1,-1),2))</f>
        <v/>
      </c>
      <c r="N59" s="138" t="n"/>
      <c r="O59" s="138" t="n"/>
      <c r="P59" s="138" t="n"/>
      <c r="Q59" s="138" t="n"/>
      <c r="R59" s="138" t="n"/>
      <c r="S59" s="138" t="n"/>
      <c r="T59" s="138" t="n"/>
      <c r="U59" s="138" t="n"/>
      <c r="V59" s="138" t="n"/>
      <c r="W59" s="138" t="n"/>
      <c r="X59" s="138" t="n"/>
      <c r="Y59" s="138" t="n"/>
      <c r="Z59" s="138" t="n"/>
      <c r="AA59" s="138" t="n"/>
      <c r="AB59" s="138" t="n"/>
      <c r="AC59" s="138" t="n"/>
      <c r="AD59" s="137">
        <f>IF($C59="","",IF(COUNTIFS($C$6:$C$1000,$C59,$G$6:$G$1000,$G59,$J$6:$J$1000,$J59)&gt;1,"MÜKERRER","OK"))</f>
        <v/>
      </c>
      <c r="AE59" s="137">
        <f>IF($Y59="","",IFERROR(VLOOKUP($Y59,RiskKatsayilari,2,FALSE()),0))</f>
        <v/>
      </c>
      <c r="AF59" s="137">
        <f>IF(OR($M59="",$AE59=""),"",ROUND(ABS($M59)*$AE59,2))</f>
        <v/>
      </c>
      <c r="AG59" s="137">
        <f>IF($G59="","",IFERROR(INDEX(CARI_KARTLARI!$I$6:$I$1000,MATCH($G59,CARI_KARTLARI!$A$6:$A$1000,0)),"VERİ YETERSİZ"))</f>
        <v/>
      </c>
    </row>
    <row r="60" ht="18" customHeight="1" s="102">
      <c r="A60" s="137">
        <f>IF($C60="","","CKS-"&amp;TEXT(ROW()-BaslangicSatir,"000000"))</f>
        <v/>
      </c>
      <c r="B60" s="138" t="n"/>
      <c r="C60" s="138" t="n"/>
      <c r="D60" s="138" t="n"/>
      <c r="E60" s="138" t="n"/>
      <c r="F60" s="138" t="n"/>
      <c r="G60" s="138" t="n"/>
      <c r="H60" s="138" t="n"/>
      <c r="I60" s="138" t="n"/>
      <c r="J60" s="138" t="n"/>
      <c r="K60" s="138" t="n"/>
      <c r="L60" s="138" t="n"/>
      <c r="M60" s="137">
        <f>IF($C60="","",ROUND($J60*$L60*IF($D60="Alınan",1,-1),2))</f>
        <v/>
      </c>
      <c r="N60" s="138" t="n"/>
      <c r="O60" s="138" t="n"/>
      <c r="P60" s="138" t="n"/>
      <c r="Q60" s="138" t="n"/>
      <c r="R60" s="138" t="n"/>
      <c r="S60" s="138" t="n"/>
      <c r="T60" s="138" t="n"/>
      <c r="U60" s="138" t="n"/>
      <c r="V60" s="138" t="n"/>
      <c r="W60" s="138" t="n"/>
      <c r="X60" s="138" t="n"/>
      <c r="Y60" s="138" t="n"/>
      <c r="Z60" s="138" t="n"/>
      <c r="AA60" s="138" t="n"/>
      <c r="AB60" s="138" t="n"/>
      <c r="AC60" s="138" t="n"/>
      <c r="AD60" s="137">
        <f>IF($C60="","",IF(COUNTIFS($C$6:$C$1000,$C60,$G$6:$G$1000,$G60,$J$6:$J$1000,$J60)&gt;1,"MÜKERRER","OK"))</f>
        <v/>
      </c>
      <c r="AE60" s="137">
        <f>IF($Y60="","",IFERROR(VLOOKUP($Y60,RiskKatsayilari,2,FALSE()),0))</f>
        <v/>
      </c>
      <c r="AF60" s="137">
        <f>IF(OR($M60="",$AE60=""),"",ROUND(ABS($M60)*$AE60,2))</f>
        <v/>
      </c>
      <c r="AG60" s="137">
        <f>IF($G60="","",IFERROR(INDEX(CARI_KARTLARI!$I$6:$I$1000,MATCH($G60,CARI_KARTLARI!$A$6:$A$1000,0)),"VERİ YETERSİZ"))</f>
        <v/>
      </c>
    </row>
    <row r="61" ht="18" customHeight="1" s="102">
      <c r="A61" s="137">
        <f>IF($C61="","","CKS-"&amp;TEXT(ROW()-BaslangicSatir,"000000"))</f>
        <v/>
      </c>
      <c r="B61" s="138" t="n"/>
      <c r="C61" s="138" t="n"/>
      <c r="D61" s="138" t="n"/>
      <c r="E61" s="138" t="n"/>
      <c r="F61" s="138" t="n"/>
      <c r="G61" s="138" t="n"/>
      <c r="H61" s="138" t="n"/>
      <c r="I61" s="138" t="n"/>
      <c r="J61" s="138" t="n"/>
      <c r="K61" s="138" t="n"/>
      <c r="L61" s="138" t="n"/>
      <c r="M61" s="137">
        <f>IF($C61="","",ROUND($J61*$L61*IF($D61="Alınan",1,-1),2))</f>
        <v/>
      </c>
      <c r="N61" s="138" t="n"/>
      <c r="O61" s="138" t="n"/>
      <c r="P61" s="138" t="n"/>
      <c r="Q61" s="138" t="n"/>
      <c r="R61" s="138" t="n"/>
      <c r="S61" s="138" t="n"/>
      <c r="T61" s="138" t="n"/>
      <c r="U61" s="138" t="n"/>
      <c r="V61" s="138" t="n"/>
      <c r="W61" s="138" t="n"/>
      <c r="X61" s="138" t="n"/>
      <c r="Y61" s="138" t="n"/>
      <c r="Z61" s="138" t="n"/>
      <c r="AA61" s="138" t="n"/>
      <c r="AB61" s="138" t="n"/>
      <c r="AC61" s="138" t="n"/>
      <c r="AD61" s="137">
        <f>IF($C61="","",IF(COUNTIFS($C$6:$C$1000,$C61,$G$6:$G$1000,$G61,$J$6:$J$1000,$J61)&gt;1,"MÜKERRER","OK"))</f>
        <v/>
      </c>
      <c r="AE61" s="137">
        <f>IF($Y61="","",IFERROR(VLOOKUP($Y61,RiskKatsayilari,2,FALSE()),0))</f>
        <v/>
      </c>
      <c r="AF61" s="137">
        <f>IF(OR($M61="",$AE61=""),"",ROUND(ABS($M61)*$AE61,2))</f>
        <v/>
      </c>
      <c r="AG61" s="137">
        <f>IF($G61="","",IFERROR(INDEX(CARI_KARTLARI!$I$6:$I$1000,MATCH($G61,CARI_KARTLARI!$A$6:$A$1000,0)),"VERİ YETERSİZ"))</f>
        <v/>
      </c>
    </row>
    <row r="62" ht="18" customHeight="1" s="102">
      <c r="A62" s="137">
        <f>IF($C62="","","CKS-"&amp;TEXT(ROW()-BaslangicSatir,"000000"))</f>
        <v/>
      </c>
      <c r="B62" s="138" t="n"/>
      <c r="C62" s="138" t="n"/>
      <c r="D62" s="138" t="n"/>
      <c r="E62" s="138" t="n"/>
      <c r="F62" s="138" t="n"/>
      <c r="G62" s="138" t="n"/>
      <c r="H62" s="138" t="n"/>
      <c r="I62" s="138" t="n"/>
      <c r="J62" s="138" t="n"/>
      <c r="K62" s="138" t="n"/>
      <c r="L62" s="138" t="n"/>
      <c r="M62" s="137">
        <f>IF($C62="","",ROUND($J62*$L62*IF($D62="Alınan",1,-1),2))</f>
        <v/>
      </c>
      <c r="N62" s="138" t="n"/>
      <c r="O62" s="138" t="n"/>
      <c r="P62" s="138" t="n"/>
      <c r="Q62" s="138" t="n"/>
      <c r="R62" s="138" t="n"/>
      <c r="S62" s="138" t="n"/>
      <c r="T62" s="138" t="n"/>
      <c r="U62" s="138" t="n"/>
      <c r="V62" s="138" t="n"/>
      <c r="W62" s="138" t="n"/>
      <c r="X62" s="138" t="n"/>
      <c r="Y62" s="138" t="n"/>
      <c r="Z62" s="138" t="n"/>
      <c r="AA62" s="138" t="n"/>
      <c r="AB62" s="138" t="n"/>
      <c r="AC62" s="138" t="n"/>
      <c r="AD62" s="137">
        <f>IF($C62="","",IF(COUNTIFS($C$6:$C$1000,$C62,$G$6:$G$1000,$G62,$J$6:$J$1000,$J62)&gt;1,"MÜKERRER","OK"))</f>
        <v/>
      </c>
      <c r="AE62" s="137">
        <f>IF($Y62="","",IFERROR(VLOOKUP($Y62,RiskKatsayilari,2,FALSE()),0))</f>
        <v/>
      </c>
      <c r="AF62" s="137">
        <f>IF(OR($M62="",$AE62=""),"",ROUND(ABS($M62)*$AE62,2))</f>
        <v/>
      </c>
      <c r="AG62" s="137">
        <f>IF($G62="","",IFERROR(INDEX(CARI_KARTLARI!$I$6:$I$1000,MATCH($G62,CARI_KARTLARI!$A$6:$A$1000,0)),"VERİ YETERSİZ"))</f>
        <v/>
      </c>
    </row>
    <row r="63" ht="18" customHeight="1" s="102">
      <c r="A63" s="137">
        <f>IF($C63="","","CKS-"&amp;TEXT(ROW()-BaslangicSatir,"000000"))</f>
        <v/>
      </c>
      <c r="B63" s="138" t="n"/>
      <c r="C63" s="138" t="n"/>
      <c r="D63" s="138" t="n"/>
      <c r="E63" s="138" t="n"/>
      <c r="F63" s="138" t="n"/>
      <c r="G63" s="138" t="n"/>
      <c r="H63" s="138" t="n"/>
      <c r="I63" s="138" t="n"/>
      <c r="J63" s="138" t="n"/>
      <c r="K63" s="138" t="n"/>
      <c r="L63" s="138" t="n"/>
      <c r="M63" s="137">
        <f>IF($C63="","",ROUND($J63*$L63*IF($D63="Alınan",1,-1),2))</f>
        <v/>
      </c>
      <c r="N63" s="138" t="n"/>
      <c r="O63" s="138" t="n"/>
      <c r="P63" s="138" t="n"/>
      <c r="Q63" s="138" t="n"/>
      <c r="R63" s="138" t="n"/>
      <c r="S63" s="138" t="n"/>
      <c r="T63" s="138" t="n"/>
      <c r="U63" s="138" t="n"/>
      <c r="V63" s="138" t="n"/>
      <c r="W63" s="138" t="n"/>
      <c r="X63" s="138" t="n"/>
      <c r="Y63" s="138" t="n"/>
      <c r="Z63" s="138" t="n"/>
      <c r="AA63" s="138" t="n"/>
      <c r="AB63" s="138" t="n"/>
      <c r="AC63" s="138" t="n"/>
      <c r="AD63" s="137">
        <f>IF($C63="","",IF(COUNTIFS($C$6:$C$1000,$C63,$G$6:$G$1000,$G63,$J$6:$J$1000,$J63)&gt;1,"MÜKERRER","OK"))</f>
        <v/>
      </c>
      <c r="AE63" s="137">
        <f>IF($Y63="","",IFERROR(VLOOKUP($Y63,RiskKatsayilari,2,FALSE()),0))</f>
        <v/>
      </c>
      <c r="AF63" s="137">
        <f>IF(OR($M63="",$AE63=""),"",ROUND(ABS($M63)*$AE63,2))</f>
        <v/>
      </c>
      <c r="AG63" s="137">
        <f>IF($G63="","",IFERROR(INDEX(CARI_KARTLARI!$I$6:$I$1000,MATCH($G63,CARI_KARTLARI!$A$6:$A$1000,0)),"VERİ YETERSİZ"))</f>
        <v/>
      </c>
    </row>
    <row r="64" ht="18" customHeight="1" s="102">
      <c r="A64" s="137">
        <f>IF($C64="","","CKS-"&amp;TEXT(ROW()-BaslangicSatir,"000000"))</f>
        <v/>
      </c>
      <c r="B64" s="138" t="n"/>
      <c r="C64" s="138" t="n"/>
      <c r="D64" s="138" t="n"/>
      <c r="E64" s="138" t="n"/>
      <c r="F64" s="138" t="n"/>
      <c r="G64" s="138" t="n"/>
      <c r="H64" s="138" t="n"/>
      <c r="I64" s="138" t="n"/>
      <c r="J64" s="138" t="n"/>
      <c r="K64" s="138" t="n"/>
      <c r="L64" s="138" t="n"/>
      <c r="M64" s="137">
        <f>IF($C64="","",ROUND($J64*$L64*IF($D64="Alınan",1,-1),2))</f>
        <v/>
      </c>
      <c r="N64" s="138" t="n"/>
      <c r="O64" s="138" t="n"/>
      <c r="P64" s="138" t="n"/>
      <c r="Q64" s="138" t="n"/>
      <c r="R64" s="138" t="n"/>
      <c r="S64" s="138" t="n"/>
      <c r="T64" s="138" t="n"/>
      <c r="U64" s="138" t="n"/>
      <c r="V64" s="138" t="n"/>
      <c r="W64" s="138" t="n"/>
      <c r="X64" s="138" t="n"/>
      <c r="Y64" s="138" t="n"/>
      <c r="Z64" s="138" t="n"/>
      <c r="AA64" s="138" t="n"/>
      <c r="AB64" s="138" t="n"/>
      <c r="AC64" s="138" t="n"/>
      <c r="AD64" s="137">
        <f>IF($C64="","",IF(COUNTIFS($C$6:$C$1000,$C64,$G$6:$G$1000,$G64,$J$6:$J$1000,$J64)&gt;1,"MÜKERRER","OK"))</f>
        <v/>
      </c>
      <c r="AE64" s="137">
        <f>IF($Y64="","",IFERROR(VLOOKUP($Y64,RiskKatsayilari,2,FALSE()),0))</f>
        <v/>
      </c>
      <c r="AF64" s="137">
        <f>IF(OR($M64="",$AE64=""),"",ROUND(ABS($M64)*$AE64,2))</f>
        <v/>
      </c>
      <c r="AG64" s="137">
        <f>IF($G64="","",IFERROR(INDEX(CARI_KARTLARI!$I$6:$I$1000,MATCH($G64,CARI_KARTLARI!$A$6:$A$1000,0)),"VERİ YETERSİZ"))</f>
        <v/>
      </c>
    </row>
    <row r="65" ht="18" customHeight="1" s="102">
      <c r="A65" s="137">
        <f>IF($C65="","","CKS-"&amp;TEXT(ROW()-BaslangicSatir,"000000"))</f>
        <v/>
      </c>
      <c r="B65" s="138" t="n"/>
      <c r="C65" s="138" t="n"/>
      <c r="D65" s="138" t="n"/>
      <c r="E65" s="138" t="n"/>
      <c r="F65" s="138" t="n"/>
      <c r="G65" s="138" t="n"/>
      <c r="H65" s="138" t="n"/>
      <c r="I65" s="138" t="n"/>
      <c r="J65" s="138" t="n"/>
      <c r="K65" s="138" t="n"/>
      <c r="L65" s="138" t="n"/>
      <c r="M65" s="137">
        <f>IF($C65="","",ROUND($J65*$L65*IF($D65="Alınan",1,-1),2))</f>
        <v/>
      </c>
      <c r="N65" s="138" t="n"/>
      <c r="O65" s="138" t="n"/>
      <c r="P65" s="138" t="n"/>
      <c r="Q65" s="138" t="n"/>
      <c r="R65" s="138" t="n"/>
      <c r="S65" s="138" t="n"/>
      <c r="T65" s="138" t="n"/>
      <c r="U65" s="138" t="n"/>
      <c r="V65" s="138" t="n"/>
      <c r="W65" s="138" t="n"/>
      <c r="X65" s="138" t="n"/>
      <c r="Y65" s="138" t="n"/>
      <c r="Z65" s="138" t="n"/>
      <c r="AA65" s="138" t="n"/>
      <c r="AB65" s="138" t="n"/>
      <c r="AC65" s="138" t="n"/>
      <c r="AD65" s="137">
        <f>IF($C65="","",IF(COUNTIFS($C$6:$C$1000,$C65,$G$6:$G$1000,$G65,$J$6:$J$1000,$J65)&gt;1,"MÜKERRER","OK"))</f>
        <v/>
      </c>
      <c r="AE65" s="137">
        <f>IF($Y65="","",IFERROR(VLOOKUP($Y65,RiskKatsayilari,2,FALSE()),0))</f>
        <v/>
      </c>
      <c r="AF65" s="137">
        <f>IF(OR($M65="",$AE65=""),"",ROUND(ABS($M65)*$AE65,2))</f>
        <v/>
      </c>
      <c r="AG65" s="137">
        <f>IF($G65="","",IFERROR(INDEX(CARI_KARTLARI!$I$6:$I$1000,MATCH($G65,CARI_KARTLARI!$A$6:$A$1000,0)),"VERİ YETERSİZ"))</f>
        <v/>
      </c>
    </row>
    <row r="66" ht="18" customHeight="1" s="102">
      <c r="A66" s="137">
        <f>IF($C66="","","CKS-"&amp;TEXT(ROW()-BaslangicSatir,"000000"))</f>
        <v/>
      </c>
      <c r="B66" s="138" t="n"/>
      <c r="C66" s="138" t="n"/>
      <c r="D66" s="138" t="n"/>
      <c r="E66" s="138" t="n"/>
      <c r="F66" s="138" t="n"/>
      <c r="G66" s="138" t="n"/>
      <c r="H66" s="138" t="n"/>
      <c r="I66" s="138" t="n"/>
      <c r="J66" s="138" t="n"/>
      <c r="K66" s="138" t="n"/>
      <c r="L66" s="138" t="n"/>
      <c r="M66" s="137">
        <f>IF($C66="","",ROUND($J66*$L66*IF($D66="Alınan",1,-1),2))</f>
        <v/>
      </c>
      <c r="N66" s="138" t="n"/>
      <c r="O66" s="138" t="n"/>
      <c r="P66" s="138" t="n"/>
      <c r="Q66" s="138" t="n"/>
      <c r="R66" s="138" t="n"/>
      <c r="S66" s="138" t="n"/>
      <c r="T66" s="138" t="n"/>
      <c r="U66" s="138" t="n"/>
      <c r="V66" s="138" t="n"/>
      <c r="W66" s="138" t="n"/>
      <c r="X66" s="138" t="n"/>
      <c r="Y66" s="138" t="n"/>
      <c r="Z66" s="138" t="n"/>
      <c r="AA66" s="138" t="n"/>
      <c r="AB66" s="138" t="n"/>
      <c r="AC66" s="138" t="n"/>
      <c r="AD66" s="137">
        <f>IF($C66="","",IF(COUNTIFS($C$6:$C$1000,$C66,$G$6:$G$1000,$G66,$J$6:$J$1000,$J66)&gt;1,"MÜKERRER","OK"))</f>
        <v/>
      </c>
      <c r="AE66" s="137">
        <f>IF($Y66="","",IFERROR(VLOOKUP($Y66,RiskKatsayilari,2,FALSE()),0))</f>
        <v/>
      </c>
      <c r="AF66" s="137">
        <f>IF(OR($M66="",$AE66=""),"",ROUND(ABS($M66)*$AE66,2))</f>
        <v/>
      </c>
      <c r="AG66" s="137">
        <f>IF($G66="","",IFERROR(INDEX(CARI_KARTLARI!$I$6:$I$1000,MATCH($G66,CARI_KARTLARI!$A$6:$A$1000,0)),"VERİ YETERSİZ"))</f>
        <v/>
      </c>
    </row>
    <row r="67" ht="18" customHeight="1" s="102">
      <c r="A67" s="137">
        <f>IF($C67="","","CKS-"&amp;TEXT(ROW()-BaslangicSatir,"000000"))</f>
        <v/>
      </c>
      <c r="B67" s="138" t="n"/>
      <c r="C67" s="138" t="n"/>
      <c r="D67" s="138" t="n"/>
      <c r="E67" s="138" t="n"/>
      <c r="F67" s="138" t="n"/>
      <c r="G67" s="138" t="n"/>
      <c r="H67" s="138" t="n"/>
      <c r="I67" s="138" t="n"/>
      <c r="J67" s="138" t="n"/>
      <c r="K67" s="138" t="n"/>
      <c r="L67" s="138" t="n"/>
      <c r="M67" s="137">
        <f>IF($C67="","",ROUND($J67*$L67*IF($D67="Alınan",1,-1),2))</f>
        <v/>
      </c>
      <c r="N67" s="138" t="n"/>
      <c r="O67" s="138" t="n"/>
      <c r="P67" s="138" t="n"/>
      <c r="Q67" s="138" t="n"/>
      <c r="R67" s="138" t="n"/>
      <c r="S67" s="138" t="n"/>
      <c r="T67" s="138" t="n"/>
      <c r="U67" s="138" t="n"/>
      <c r="V67" s="138" t="n"/>
      <c r="W67" s="138" t="n"/>
      <c r="X67" s="138" t="n"/>
      <c r="Y67" s="138" t="n"/>
      <c r="Z67" s="138" t="n"/>
      <c r="AA67" s="138" t="n"/>
      <c r="AB67" s="138" t="n"/>
      <c r="AC67" s="138" t="n"/>
      <c r="AD67" s="137">
        <f>IF($C67="","",IF(COUNTIFS($C$6:$C$1000,$C67,$G$6:$G$1000,$G67,$J$6:$J$1000,$J67)&gt;1,"MÜKERRER","OK"))</f>
        <v/>
      </c>
      <c r="AE67" s="137">
        <f>IF($Y67="","",IFERROR(VLOOKUP($Y67,RiskKatsayilari,2,FALSE()),0))</f>
        <v/>
      </c>
      <c r="AF67" s="137">
        <f>IF(OR($M67="",$AE67=""),"",ROUND(ABS($M67)*$AE67,2))</f>
        <v/>
      </c>
      <c r="AG67" s="137">
        <f>IF($G67="","",IFERROR(INDEX(CARI_KARTLARI!$I$6:$I$1000,MATCH($G67,CARI_KARTLARI!$A$6:$A$1000,0)),"VERİ YETERSİZ"))</f>
        <v/>
      </c>
    </row>
    <row r="68" ht="18" customHeight="1" s="102">
      <c r="A68" s="137">
        <f>IF($C68="","","CKS-"&amp;TEXT(ROW()-BaslangicSatir,"000000"))</f>
        <v/>
      </c>
      <c r="B68" s="138" t="n"/>
      <c r="C68" s="138" t="n"/>
      <c r="D68" s="138" t="n"/>
      <c r="E68" s="138" t="n"/>
      <c r="F68" s="138" t="n"/>
      <c r="G68" s="138" t="n"/>
      <c r="H68" s="138" t="n"/>
      <c r="I68" s="138" t="n"/>
      <c r="J68" s="138" t="n"/>
      <c r="K68" s="138" t="n"/>
      <c r="L68" s="138" t="n"/>
      <c r="M68" s="137">
        <f>IF($C68="","",ROUND($J68*$L68*IF($D68="Alınan",1,-1),2))</f>
        <v/>
      </c>
      <c r="N68" s="138" t="n"/>
      <c r="O68" s="138" t="n"/>
      <c r="P68" s="138" t="n"/>
      <c r="Q68" s="138" t="n"/>
      <c r="R68" s="138" t="n"/>
      <c r="S68" s="138" t="n"/>
      <c r="T68" s="138" t="n"/>
      <c r="U68" s="138" t="n"/>
      <c r="V68" s="138" t="n"/>
      <c r="W68" s="138" t="n"/>
      <c r="X68" s="138" t="n"/>
      <c r="Y68" s="138" t="n"/>
      <c r="Z68" s="138" t="n"/>
      <c r="AA68" s="138" t="n"/>
      <c r="AB68" s="138" t="n"/>
      <c r="AC68" s="138" t="n"/>
      <c r="AD68" s="137">
        <f>IF($C68="","",IF(COUNTIFS($C$6:$C$1000,$C68,$G$6:$G$1000,$G68,$J$6:$J$1000,$J68)&gt;1,"MÜKERRER","OK"))</f>
        <v/>
      </c>
      <c r="AE68" s="137">
        <f>IF($Y68="","",IFERROR(VLOOKUP($Y68,RiskKatsayilari,2,FALSE()),0))</f>
        <v/>
      </c>
      <c r="AF68" s="137">
        <f>IF(OR($M68="",$AE68=""),"",ROUND(ABS($M68)*$AE68,2))</f>
        <v/>
      </c>
      <c r="AG68" s="137">
        <f>IF($G68="","",IFERROR(INDEX(CARI_KARTLARI!$I$6:$I$1000,MATCH($G68,CARI_KARTLARI!$A$6:$A$1000,0)),"VERİ YETERSİZ"))</f>
        <v/>
      </c>
    </row>
    <row r="69" ht="18" customHeight="1" s="102">
      <c r="A69" s="137">
        <f>IF($C69="","","CKS-"&amp;TEXT(ROW()-BaslangicSatir,"000000"))</f>
        <v/>
      </c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7">
        <f>IF($C69="","",ROUND($J69*$L69*IF($D69="Alınan",1,-1),2))</f>
        <v/>
      </c>
      <c r="N69" s="138" t="n"/>
      <c r="O69" s="138" t="n"/>
      <c r="P69" s="138" t="n"/>
      <c r="Q69" s="138" t="n"/>
      <c r="R69" s="138" t="n"/>
      <c r="S69" s="138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  <c r="AC69" s="138" t="n"/>
      <c r="AD69" s="137">
        <f>IF($C69="","",IF(COUNTIFS($C$6:$C$1000,$C69,$G$6:$G$1000,$G69,$J$6:$J$1000,$J69)&gt;1,"MÜKERRER","OK"))</f>
        <v/>
      </c>
      <c r="AE69" s="137">
        <f>IF($Y69="","",IFERROR(VLOOKUP($Y69,RiskKatsayilari,2,FALSE()),0))</f>
        <v/>
      </c>
      <c r="AF69" s="137">
        <f>IF(OR($M69="",$AE69=""),"",ROUND(ABS($M69)*$AE69,2))</f>
        <v/>
      </c>
      <c r="AG69" s="137">
        <f>IF($G69="","",IFERROR(INDEX(CARI_KARTLARI!$I$6:$I$1000,MATCH($G69,CARI_KARTLARI!$A$6:$A$1000,0)),"VERİ YETERSİZ"))</f>
        <v/>
      </c>
    </row>
    <row r="70" ht="18" customHeight="1" s="102">
      <c r="A70" s="137">
        <f>IF($C70="","","CKS-"&amp;TEXT(ROW()-BaslangicSatir,"000000"))</f>
        <v/>
      </c>
      <c r="B70" s="138" t="n"/>
      <c r="C70" s="138" t="n"/>
      <c r="D70" s="138" t="n"/>
      <c r="E70" s="138" t="n"/>
      <c r="F70" s="138" t="n"/>
      <c r="G70" s="138" t="n"/>
      <c r="H70" s="138" t="n"/>
      <c r="I70" s="138" t="n"/>
      <c r="J70" s="138" t="n"/>
      <c r="K70" s="138" t="n"/>
      <c r="L70" s="138" t="n"/>
      <c r="M70" s="137">
        <f>IF($C70="","",ROUND($J70*$L70*IF($D70="Alınan",1,-1),2))</f>
        <v/>
      </c>
      <c r="N70" s="138" t="n"/>
      <c r="O70" s="138" t="n"/>
      <c r="P70" s="138" t="n"/>
      <c r="Q70" s="138" t="n"/>
      <c r="R70" s="138" t="n"/>
      <c r="S70" s="138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  <c r="AC70" s="138" t="n"/>
      <c r="AD70" s="137">
        <f>IF($C70="","",IF(COUNTIFS($C$6:$C$1000,$C70,$G$6:$G$1000,$G70,$J$6:$J$1000,$J70)&gt;1,"MÜKERRER","OK"))</f>
        <v/>
      </c>
      <c r="AE70" s="137">
        <f>IF($Y70="","",IFERROR(VLOOKUP($Y70,RiskKatsayilari,2,FALSE()),0))</f>
        <v/>
      </c>
      <c r="AF70" s="137">
        <f>IF(OR($M70="",$AE70=""),"",ROUND(ABS($M70)*$AE70,2))</f>
        <v/>
      </c>
      <c r="AG70" s="137">
        <f>IF($G70="","",IFERROR(INDEX(CARI_KARTLARI!$I$6:$I$1000,MATCH($G70,CARI_KARTLARI!$A$6:$A$1000,0)),"VERİ YETERSİZ"))</f>
        <v/>
      </c>
    </row>
    <row r="71" ht="18" customHeight="1" s="102">
      <c r="A71" s="137">
        <f>IF($C71="","","CKS-"&amp;TEXT(ROW()-BaslangicSatir,"000000"))</f>
        <v/>
      </c>
      <c r="B71" s="138" t="n"/>
      <c r="C71" s="138" t="n"/>
      <c r="D71" s="138" t="n"/>
      <c r="E71" s="138" t="n"/>
      <c r="F71" s="138" t="n"/>
      <c r="G71" s="138" t="n"/>
      <c r="H71" s="138" t="n"/>
      <c r="I71" s="138" t="n"/>
      <c r="J71" s="138" t="n"/>
      <c r="K71" s="138" t="n"/>
      <c r="L71" s="138" t="n"/>
      <c r="M71" s="137">
        <f>IF($C71="","",ROUND($J71*$L71*IF($D71="Alınan",1,-1),2))</f>
        <v/>
      </c>
      <c r="N71" s="138" t="n"/>
      <c r="O71" s="138" t="n"/>
      <c r="P71" s="138" t="n"/>
      <c r="Q71" s="138" t="n"/>
      <c r="R71" s="138" t="n"/>
      <c r="S71" s="138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  <c r="AC71" s="138" t="n"/>
      <c r="AD71" s="137">
        <f>IF($C71="","",IF(COUNTIFS($C$6:$C$1000,$C71,$G$6:$G$1000,$G71,$J$6:$J$1000,$J71)&gt;1,"MÜKERRER","OK"))</f>
        <v/>
      </c>
      <c r="AE71" s="137">
        <f>IF($Y71="","",IFERROR(VLOOKUP($Y71,RiskKatsayilari,2,FALSE()),0))</f>
        <v/>
      </c>
      <c r="AF71" s="137">
        <f>IF(OR($M71="",$AE71=""),"",ROUND(ABS($M71)*$AE71,2))</f>
        <v/>
      </c>
      <c r="AG71" s="137">
        <f>IF($G71="","",IFERROR(INDEX(CARI_KARTLARI!$I$6:$I$1000,MATCH($G71,CARI_KARTLARI!$A$6:$A$1000,0)),"VERİ YETERSİZ"))</f>
        <v/>
      </c>
    </row>
    <row r="72" ht="18" customHeight="1" s="102">
      <c r="A72" s="137">
        <f>IF($C72="","","CKS-"&amp;TEXT(ROW()-BaslangicSatir,"000000"))</f>
        <v/>
      </c>
      <c r="B72" s="138" t="n"/>
      <c r="C72" s="138" t="n"/>
      <c r="D72" s="138" t="n"/>
      <c r="E72" s="138" t="n"/>
      <c r="F72" s="138" t="n"/>
      <c r="G72" s="138" t="n"/>
      <c r="H72" s="138" t="n"/>
      <c r="I72" s="138" t="n"/>
      <c r="J72" s="138" t="n"/>
      <c r="K72" s="138" t="n"/>
      <c r="L72" s="138" t="n"/>
      <c r="M72" s="137">
        <f>IF($C72="","",ROUND($J72*$L72*IF($D72="Alınan",1,-1),2))</f>
        <v/>
      </c>
      <c r="N72" s="138" t="n"/>
      <c r="O72" s="138" t="n"/>
      <c r="P72" s="138" t="n"/>
      <c r="Q72" s="138" t="n"/>
      <c r="R72" s="138" t="n"/>
      <c r="S72" s="138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  <c r="AC72" s="138" t="n"/>
      <c r="AD72" s="137">
        <f>IF($C72="","",IF(COUNTIFS($C$6:$C$1000,$C72,$G$6:$G$1000,$G72,$J$6:$J$1000,$J72)&gt;1,"MÜKERRER","OK"))</f>
        <v/>
      </c>
      <c r="AE72" s="137">
        <f>IF($Y72="","",IFERROR(VLOOKUP($Y72,RiskKatsayilari,2,FALSE()),0))</f>
        <v/>
      </c>
      <c r="AF72" s="137">
        <f>IF(OR($M72="",$AE72=""),"",ROUND(ABS($M72)*$AE72,2))</f>
        <v/>
      </c>
      <c r="AG72" s="137">
        <f>IF($G72="","",IFERROR(INDEX(CARI_KARTLARI!$I$6:$I$1000,MATCH($G72,CARI_KARTLARI!$A$6:$A$1000,0)),"VERİ YETERSİZ"))</f>
        <v/>
      </c>
    </row>
    <row r="73" ht="18" customHeight="1" s="102">
      <c r="A73" s="137">
        <f>IF($C73="","","CKS-"&amp;TEXT(ROW()-BaslangicSatir,"000000"))</f>
        <v/>
      </c>
      <c r="B73" s="138" t="n"/>
      <c r="C73" s="138" t="n"/>
      <c r="D73" s="138" t="n"/>
      <c r="E73" s="138" t="n"/>
      <c r="F73" s="138" t="n"/>
      <c r="G73" s="138" t="n"/>
      <c r="H73" s="138" t="n"/>
      <c r="I73" s="138" t="n"/>
      <c r="J73" s="138" t="n"/>
      <c r="K73" s="138" t="n"/>
      <c r="L73" s="138" t="n"/>
      <c r="M73" s="137">
        <f>IF($C73="","",ROUND($J73*$L73*IF($D73="Alınan",1,-1),2))</f>
        <v/>
      </c>
      <c r="N73" s="138" t="n"/>
      <c r="O73" s="138" t="n"/>
      <c r="P73" s="138" t="n"/>
      <c r="Q73" s="138" t="n"/>
      <c r="R73" s="138" t="n"/>
      <c r="S73" s="138" t="n"/>
      <c r="T73" s="138" t="n"/>
      <c r="U73" s="138" t="n"/>
      <c r="V73" s="138" t="n"/>
      <c r="W73" s="138" t="n"/>
      <c r="X73" s="138" t="n"/>
      <c r="Y73" s="138" t="n"/>
      <c r="Z73" s="138" t="n"/>
      <c r="AA73" s="138" t="n"/>
      <c r="AB73" s="138" t="n"/>
      <c r="AC73" s="138" t="n"/>
      <c r="AD73" s="137">
        <f>IF($C73="","",IF(COUNTIFS($C$6:$C$1000,$C73,$G$6:$G$1000,$G73,$J$6:$J$1000,$J73)&gt;1,"MÜKERRER","OK"))</f>
        <v/>
      </c>
      <c r="AE73" s="137">
        <f>IF($Y73="","",IFERROR(VLOOKUP($Y73,RiskKatsayilari,2,FALSE()),0))</f>
        <v/>
      </c>
      <c r="AF73" s="137">
        <f>IF(OR($M73="",$AE73=""),"",ROUND(ABS($M73)*$AE73,2))</f>
        <v/>
      </c>
      <c r="AG73" s="137">
        <f>IF($G73="","",IFERROR(INDEX(CARI_KARTLARI!$I$6:$I$1000,MATCH($G73,CARI_KARTLARI!$A$6:$A$1000,0)),"VERİ YETERSİZ"))</f>
        <v/>
      </c>
    </row>
    <row r="74" ht="18" customHeight="1" s="102">
      <c r="A74" s="137">
        <f>IF($C74="","","CKS-"&amp;TEXT(ROW()-BaslangicSatir,"000000"))</f>
        <v/>
      </c>
      <c r="B74" s="138" t="n"/>
      <c r="C74" s="138" t="n"/>
      <c r="D74" s="138" t="n"/>
      <c r="E74" s="138" t="n"/>
      <c r="F74" s="138" t="n"/>
      <c r="G74" s="138" t="n"/>
      <c r="H74" s="138" t="n"/>
      <c r="I74" s="138" t="n"/>
      <c r="J74" s="138" t="n"/>
      <c r="K74" s="138" t="n"/>
      <c r="L74" s="138" t="n"/>
      <c r="M74" s="137">
        <f>IF($C74="","",ROUND($J74*$L74*IF($D74="Alınan",1,-1),2))</f>
        <v/>
      </c>
      <c r="N74" s="138" t="n"/>
      <c r="O74" s="138" t="n"/>
      <c r="P74" s="138" t="n"/>
      <c r="Q74" s="138" t="n"/>
      <c r="R74" s="138" t="n"/>
      <c r="S74" s="138" t="n"/>
      <c r="T74" s="138" t="n"/>
      <c r="U74" s="138" t="n"/>
      <c r="V74" s="138" t="n"/>
      <c r="W74" s="138" t="n"/>
      <c r="X74" s="138" t="n"/>
      <c r="Y74" s="138" t="n"/>
      <c r="Z74" s="138" t="n"/>
      <c r="AA74" s="138" t="n"/>
      <c r="AB74" s="138" t="n"/>
      <c r="AC74" s="138" t="n"/>
      <c r="AD74" s="137">
        <f>IF($C74="","",IF(COUNTIFS($C$6:$C$1000,$C74,$G$6:$G$1000,$G74,$J$6:$J$1000,$J74)&gt;1,"MÜKERRER","OK"))</f>
        <v/>
      </c>
      <c r="AE74" s="137">
        <f>IF($Y74="","",IFERROR(VLOOKUP($Y74,RiskKatsayilari,2,FALSE()),0))</f>
        <v/>
      </c>
      <c r="AF74" s="137">
        <f>IF(OR($M74="",$AE74=""),"",ROUND(ABS($M74)*$AE74,2))</f>
        <v/>
      </c>
      <c r="AG74" s="137">
        <f>IF($G74="","",IFERROR(INDEX(CARI_KARTLARI!$I$6:$I$1000,MATCH($G74,CARI_KARTLARI!$A$6:$A$1000,0)),"VERİ YETERSİZ"))</f>
        <v/>
      </c>
    </row>
    <row r="75" ht="18" customHeight="1" s="102">
      <c r="A75" s="137">
        <f>IF($C75="","","CKS-"&amp;TEXT(ROW()-BaslangicSatir,"000000"))</f>
        <v/>
      </c>
      <c r="B75" s="138" t="n"/>
      <c r="C75" s="138" t="n"/>
      <c r="D75" s="138" t="n"/>
      <c r="E75" s="138" t="n"/>
      <c r="F75" s="138" t="n"/>
      <c r="G75" s="138" t="n"/>
      <c r="H75" s="138" t="n"/>
      <c r="I75" s="138" t="n"/>
      <c r="J75" s="138" t="n"/>
      <c r="K75" s="138" t="n"/>
      <c r="L75" s="138" t="n"/>
      <c r="M75" s="137">
        <f>IF($C75="","",ROUND($J75*$L75*IF($D75="Alınan",1,-1),2))</f>
        <v/>
      </c>
      <c r="N75" s="138" t="n"/>
      <c r="O75" s="138" t="n"/>
      <c r="P75" s="138" t="n"/>
      <c r="Q75" s="138" t="n"/>
      <c r="R75" s="138" t="n"/>
      <c r="S75" s="138" t="n"/>
      <c r="T75" s="138" t="n"/>
      <c r="U75" s="138" t="n"/>
      <c r="V75" s="138" t="n"/>
      <c r="W75" s="138" t="n"/>
      <c r="X75" s="138" t="n"/>
      <c r="Y75" s="138" t="n"/>
      <c r="Z75" s="138" t="n"/>
      <c r="AA75" s="138" t="n"/>
      <c r="AB75" s="138" t="n"/>
      <c r="AC75" s="138" t="n"/>
      <c r="AD75" s="137">
        <f>IF($C75="","",IF(COUNTIFS($C$6:$C$1000,$C75,$G$6:$G$1000,$G75,$J$6:$J$1000,$J75)&gt;1,"MÜKERRER","OK"))</f>
        <v/>
      </c>
      <c r="AE75" s="137">
        <f>IF($Y75="","",IFERROR(VLOOKUP($Y75,RiskKatsayilari,2,FALSE()),0))</f>
        <v/>
      </c>
      <c r="AF75" s="137">
        <f>IF(OR($M75="",$AE75=""),"",ROUND(ABS($M75)*$AE75,2))</f>
        <v/>
      </c>
      <c r="AG75" s="137">
        <f>IF($G75="","",IFERROR(INDEX(CARI_KARTLARI!$I$6:$I$1000,MATCH($G75,CARI_KARTLARI!$A$6:$A$1000,0)),"VERİ YETERSİZ"))</f>
        <v/>
      </c>
    </row>
    <row r="76" ht="18" customHeight="1" s="102">
      <c r="A76" s="137">
        <f>IF($C76="","","CKS-"&amp;TEXT(ROW()-BaslangicSatir,"000000"))</f>
        <v/>
      </c>
      <c r="B76" s="138" t="n"/>
      <c r="C76" s="138" t="n"/>
      <c r="D76" s="138" t="n"/>
      <c r="E76" s="138" t="n"/>
      <c r="F76" s="138" t="n"/>
      <c r="G76" s="138" t="n"/>
      <c r="H76" s="138" t="n"/>
      <c r="I76" s="138" t="n"/>
      <c r="J76" s="138" t="n"/>
      <c r="K76" s="138" t="n"/>
      <c r="L76" s="138" t="n"/>
      <c r="M76" s="137">
        <f>IF($C76="","",ROUND($J76*$L76*IF($D76="Alınan",1,-1),2))</f>
        <v/>
      </c>
      <c r="N76" s="138" t="n"/>
      <c r="O76" s="138" t="n"/>
      <c r="P76" s="138" t="n"/>
      <c r="Q76" s="138" t="n"/>
      <c r="R76" s="138" t="n"/>
      <c r="S76" s="138" t="n"/>
      <c r="T76" s="138" t="n"/>
      <c r="U76" s="138" t="n"/>
      <c r="V76" s="138" t="n"/>
      <c r="W76" s="138" t="n"/>
      <c r="X76" s="138" t="n"/>
      <c r="Y76" s="138" t="n"/>
      <c r="Z76" s="138" t="n"/>
      <c r="AA76" s="138" t="n"/>
      <c r="AB76" s="138" t="n"/>
      <c r="AC76" s="138" t="n"/>
      <c r="AD76" s="137">
        <f>IF($C76="","",IF(COUNTIFS($C$6:$C$1000,$C76,$G$6:$G$1000,$G76,$J$6:$J$1000,$J76)&gt;1,"MÜKERRER","OK"))</f>
        <v/>
      </c>
      <c r="AE76" s="137">
        <f>IF($Y76="","",IFERROR(VLOOKUP($Y76,RiskKatsayilari,2,FALSE()),0))</f>
        <v/>
      </c>
      <c r="AF76" s="137">
        <f>IF(OR($M76="",$AE76=""),"",ROUND(ABS($M76)*$AE76,2))</f>
        <v/>
      </c>
      <c r="AG76" s="137">
        <f>IF($G76="","",IFERROR(INDEX(CARI_KARTLARI!$I$6:$I$1000,MATCH($G76,CARI_KARTLARI!$A$6:$A$1000,0)),"VERİ YETERSİZ"))</f>
        <v/>
      </c>
    </row>
    <row r="77" ht="18" customHeight="1" s="102">
      <c r="A77" s="137">
        <f>IF($C77="","","CKS-"&amp;TEXT(ROW()-BaslangicSatir,"000000"))</f>
        <v/>
      </c>
      <c r="B77" s="138" t="n"/>
      <c r="C77" s="138" t="n"/>
      <c r="D77" s="138" t="n"/>
      <c r="E77" s="138" t="n"/>
      <c r="F77" s="138" t="n"/>
      <c r="G77" s="138" t="n"/>
      <c r="H77" s="138" t="n"/>
      <c r="I77" s="138" t="n"/>
      <c r="J77" s="138" t="n"/>
      <c r="K77" s="138" t="n"/>
      <c r="L77" s="138" t="n"/>
      <c r="M77" s="137">
        <f>IF($C77="","",ROUND($J77*$L77*IF($D77="Alınan",1,-1),2))</f>
        <v/>
      </c>
      <c r="N77" s="138" t="n"/>
      <c r="O77" s="138" t="n"/>
      <c r="P77" s="138" t="n"/>
      <c r="Q77" s="138" t="n"/>
      <c r="R77" s="138" t="n"/>
      <c r="S77" s="138" t="n"/>
      <c r="T77" s="138" t="n"/>
      <c r="U77" s="138" t="n"/>
      <c r="V77" s="138" t="n"/>
      <c r="W77" s="138" t="n"/>
      <c r="X77" s="138" t="n"/>
      <c r="Y77" s="138" t="n"/>
      <c r="Z77" s="138" t="n"/>
      <c r="AA77" s="138" t="n"/>
      <c r="AB77" s="138" t="n"/>
      <c r="AC77" s="138" t="n"/>
      <c r="AD77" s="137">
        <f>IF($C77="","",IF(COUNTIFS($C$6:$C$1000,$C77,$G$6:$G$1000,$G77,$J$6:$J$1000,$J77)&gt;1,"MÜKERRER","OK"))</f>
        <v/>
      </c>
      <c r="AE77" s="137">
        <f>IF($Y77="","",IFERROR(VLOOKUP($Y77,RiskKatsayilari,2,FALSE()),0))</f>
        <v/>
      </c>
      <c r="AF77" s="137">
        <f>IF(OR($M77="",$AE77=""),"",ROUND(ABS($M77)*$AE77,2))</f>
        <v/>
      </c>
      <c r="AG77" s="137">
        <f>IF($G77="","",IFERROR(INDEX(CARI_KARTLARI!$I$6:$I$1000,MATCH($G77,CARI_KARTLARI!$A$6:$A$1000,0)),"VERİ YETERSİZ"))</f>
        <v/>
      </c>
    </row>
    <row r="78" ht="18" customHeight="1" s="102">
      <c r="A78" s="137">
        <f>IF($C78="","","CKS-"&amp;TEXT(ROW()-BaslangicSatir,"000000"))</f>
        <v/>
      </c>
      <c r="B78" s="138" t="n"/>
      <c r="C78" s="138" t="n"/>
      <c r="D78" s="138" t="n"/>
      <c r="E78" s="138" t="n"/>
      <c r="F78" s="138" t="n"/>
      <c r="G78" s="138" t="n"/>
      <c r="H78" s="138" t="n"/>
      <c r="I78" s="138" t="n"/>
      <c r="J78" s="138" t="n"/>
      <c r="K78" s="138" t="n"/>
      <c r="L78" s="138" t="n"/>
      <c r="M78" s="137">
        <f>IF($C78="","",ROUND($J78*$L78*IF($D78="Alınan",1,-1),2))</f>
        <v/>
      </c>
      <c r="N78" s="138" t="n"/>
      <c r="O78" s="138" t="n"/>
      <c r="P78" s="138" t="n"/>
      <c r="Q78" s="138" t="n"/>
      <c r="R78" s="138" t="n"/>
      <c r="S78" s="138" t="n"/>
      <c r="T78" s="138" t="n"/>
      <c r="U78" s="138" t="n"/>
      <c r="V78" s="138" t="n"/>
      <c r="W78" s="138" t="n"/>
      <c r="X78" s="138" t="n"/>
      <c r="Y78" s="138" t="n"/>
      <c r="Z78" s="138" t="n"/>
      <c r="AA78" s="138" t="n"/>
      <c r="AB78" s="138" t="n"/>
      <c r="AC78" s="138" t="n"/>
      <c r="AD78" s="137">
        <f>IF($C78="","",IF(COUNTIFS($C$6:$C$1000,$C78,$G$6:$G$1000,$G78,$J$6:$J$1000,$J78)&gt;1,"MÜKERRER","OK"))</f>
        <v/>
      </c>
      <c r="AE78" s="137">
        <f>IF($Y78="","",IFERROR(VLOOKUP($Y78,RiskKatsayilari,2,FALSE()),0))</f>
        <v/>
      </c>
      <c r="AF78" s="137">
        <f>IF(OR($M78="",$AE78=""),"",ROUND(ABS($M78)*$AE78,2))</f>
        <v/>
      </c>
      <c r="AG78" s="137">
        <f>IF($G78="","",IFERROR(INDEX(CARI_KARTLARI!$I$6:$I$1000,MATCH($G78,CARI_KARTLARI!$A$6:$A$1000,0)),"VERİ YETERSİZ"))</f>
        <v/>
      </c>
    </row>
    <row r="79" ht="18" customHeight="1" s="102">
      <c r="A79" s="137">
        <f>IF($C79="","","CKS-"&amp;TEXT(ROW()-BaslangicSatir,"000000"))</f>
        <v/>
      </c>
      <c r="B79" s="138" t="n"/>
      <c r="C79" s="138" t="n"/>
      <c r="D79" s="138" t="n"/>
      <c r="E79" s="138" t="n"/>
      <c r="F79" s="138" t="n"/>
      <c r="G79" s="138" t="n"/>
      <c r="H79" s="138" t="n"/>
      <c r="I79" s="138" t="n"/>
      <c r="J79" s="138" t="n"/>
      <c r="K79" s="138" t="n"/>
      <c r="L79" s="138" t="n"/>
      <c r="M79" s="137">
        <f>IF($C79="","",ROUND($J79*$L79*IF($D79="Alınan",1,-1),2))</f>
        <v/>
      </c>
      <c r="N79" s="138" t="n"/>
      <c r="O79" s="138" t="n"/>
      <c r="P79" s="138" t="n"/>
      <c r="Q79" s="138" t="n"/>
      <c r="R79" s="138" t="n"/>
      <c r="S79" s="138" t="n"/>
      <c r="T79" s="138" t="n"/>
      <c r="U79" s="138" t="n"/>
      <c r="V79" s="138" t="n"/>
      <c r="W79" s="138" t="n"/>
      <c r="X79" s="138" t="n"/>
      <c r="Y79" s="138" t="n"/>
      <c r="Z79" s="138" t="n"/>
      <c r="AA79" s="138" t="n"/>
      <c r="AB79" s="138" t="n"/>
      <c r="AC79" s="138" t="n"/>
      <c r="AD79" s="137">
        <f>IF($C79="","",IF(COUNTIFS($C$6:$C$1000,$C79,$G$6:$G$1000,$G79,$J$6:$J$1000,$J79)&gt;1,"MÜKERRER","OK"))</f>
        <v/>
      </c>
      <c r="AE79" s="137">
        <f>IF($Y79="","",IFERROR(VLOOKUP($Y79,RiskKatsayilari,2,FALSE()),0))</f>
        <v/>
      </c>
      <c r="AF79" s="137">
        <f>IF(OR($M79="",$AE79=""),"",ROUND(ABS($M79)*$AE79,2))</f>
        <v/>
      </c>
      <c r="AG79" s="137">
        <f>IF($G79="","",IFERROR(INDEX(CARI_KARTLARI!$I$6:$I$1000,MATCH($G79,CARI_KARTLARI!$A$6:$A$1000,0)),"VERİ YETERSİZ"))</f>
        <v/>
      </c>
    </row>
    <row r="80" ht="18" customHeight="1" s="102">
      <c r="A80" s="137">
        <f>IF($C80="","","CKS-"&amp;TEXT(ROW()-BaslangicSatir,"000000"))</f>
        <v/>
      </c>
      <c r="B80" s="138" t="n"/>
      <c r="C80" s="138" t="n"/>
      <c r="D80" s="138" t="n"/>
      <c r="E80" s="138" t="n"/>
      <c r="F80" s="138" t="n"/>
      <c r="G80" s="138" t="n"/>
      <c r="H80" s="138" t="n"/>
      <c r="I80" s="138" t="n"/>
      <c r="J80" s="138" t="n"/>
      <c r="K80" s="138" t="n"/>
      <c r="L80" s="138" t="n"/>
      <c r="M80" s="137">
        <f>IF($C80="","",ROUND($J80*$L80*IF($D80="Alınan",1,-1),2))</f>
        <v/>
      </c>
      <c r="N80" s="138" t="n"/>
      <c r="O80" s="138" t="n"/>
      <c r="P80" s="138" t="n"/>
      <c r="Q80" s="138" t="n"/>
      <c r="R80" s="138" t="n"/>
      <c r="S80" s="138" t="n"/>
      <c r="T80" s="138" t="n"/>
      <c r="U80" s="138" t="n"/>
      <c r="V80" s="138" t="n"/>
      <c r="W80" s="138" t="n"/>
      <c r="X80" s="138" t="n"/>
      <c r="Y80" s="138" t="n"/>
      <c r="Z80" s="138" t="n"/>
      <c r="AA80" s="138" t="n"/>
      <c r="AB80" s="138" t="n"/>
      <c r="AC80" s="138" t="n"/>
      <c r="AD80" s="137">
        <f>IF($C80="","",IF(COUNTIFS($C$6:$C$1000,$C80,$G$6:$G$1000,$G80,$J$6:$J$1000,$J80)&gt;1,"MÜKERRER","OK"))</f>
        <v/>
      </c>
      <c r="AE80" s="137">
        <f>IF($Y80="","",IFERROR(VLOOKUP($Y80,RiskKatsayilari,2,FALSE()),0))</f>
        <v/>
      </c>
      <c r="AF80" s="137">
        <f>IF(OR($M80="",$AE80=""),"",ROUND(ABS($M80)*$AE80,2))</f>
        <v/>
      </c>
      <c r="AG80" s="137">
        <f>IF($G80="","",IFERROR(INDEX(CARI_KARTLARI!$I$6:$I$1000,MATCH($G80,CARI_KARTLARI!$A$6:$A$1000,0)),"VERİ YETERSİZ"))</f>
        <v/>
      </c>
    </row>
    <row r="81" ht="18" customHeight="1" s="102">
      <c r="A81" s="137">
        <f>IF($C81="","","CKS-"&amp;TEXT(ROW()-BaslangicSatir,"000000"))</f>
        <v/>
      </c>
      <c r="B81" s="138" t="n"/>
      <c r="C81" s="138" t="n"/>
      <c r="D81" s="138" t="n"/>
      <c r="E81" s="138" t="n"/>
      <c r="F81" s="138" t="n"/>
      <c r="G81" s="138" t="n"/>
      <c r="H81" s="138" t="n"/>
      <c r="I81" s="138" t="n"/>
      <c r="J81" s="138" t="n"/>
      <c r="K81" s="138" t="n"/>
      <c r="L81" s="138" t="n"/>
      <c r="M81" s="137">
        <f>IF($C81="","",ROUND($J81*$L81*IF($D81="Alınan",1,-1),2))</f>
        <v/>
      </c>
      <c r="N81" s="138" t="n"/>
      <c r="O81" s="138" t="n"/>
      <c r="P81" s="138" t="n"/>
      <c r="Q81" s="138" t="n"/>
      <c r="R81" s="138" t="n"/>
      <c r="S81" s="138" t="n"/>
      <c r="T81" s="138" t="n"/>
      <c r="U81" s="138" t="n"/>
      <c r="V81" s="138" t="n"/>
      <c r="W81" s="138" t="n"/>
      <c r="X81" s="138" t="n"/>
      <c r="Y81" s="138" t="n"/>
      <c r="Z81" s="138" t="n"/>
      <c r="AA81" s="138" t="n"/>
      <c r="AB81" s="138" t="n"/>
      <c r="AC81" s="138" t="n"/>
      <c r="AD81" s="137">
        <f>IF($C81="","",IF(COUNTIFS($C$6:$C$1000,$C81,$G$6:$G$1000,$G81,$J$6:$J$1000,$J81)&gt;1,"MÜKERRER","OK"))</f>
        <v/>
      </c>
      <c r="AE81" s="137">
        <f>IF($Y81="","",IFERROR(VLOOKUP($Y81,RiskKatsayilari,2,FALSE()),0))</f>
        <v/>
      </c>
      <c r="AF81" s="137">
        <f>IF(OR($M81="",$AE81=""),"",ROUND(ABS($M81)*$AE81,2))</f>
        <v/>
      </c>
      <c r="AG81" s="137">
        <f>IF($G81="","",IFERROR(INDEX(CARI_KARTLARI!$I$6:$I$1000,MATCH($G81,CARI_KARTLARI!$A$6:$A$1000,0)),"VERİ YETERSİZ"))</f>
        <v/>
      </c>
    </row>
    <row r="82" ht="18" customHeight="1" s="102">
      <c r="A82" s="137">
        <f>IF($C82="","","CKS-"&amp;TEXT(ROW()-BaslangicSatir,"000000"))</f>
        <v/>
      </c>
      <c r="B82" s="138" t="n"/>
      <c r="C82" s="138" t="n"/>
      <c r="D82" s="138" t="n"/>
      <c r="E82" s="138" t="n"/>
      <c r="F82" s="138" t="n"/>
      <c r="G82" s="138" t="n"/>
      <c r="H82" s="138" t="n"/>
      <c r="I82" s="138" t="n"/>
      <c r="J82" s="138" t="n"/>
      <c r="K82" s="138" t="n"/>
      <c r="L82" s="138" t="n"/>
      <c r="M82" s="137">
        <f>IF($C82="","",ROUND($J82*$L82*IF($D82="Alınan",1,-1),2))</f>
        <v/>
      </c>
      <c r="N82" s="138" t="n"/>
      <c r="O82" s="138" t="n"/>
      <c r="P82" s="138" t="n"/>
      <c r="Q82" s="138" t="n"/>
      <c r="R82" s="138" t="n"/>
      <c r="S82" s="138" t="n"/>
      <c r="T82" s="138" t="n"/>
      <c r="U82" s="138" t="n"/>
      <c r="V82" s="138" t="n"/>
      <c r="W82" s="138" t="n"/>
      <c r="X82" s="138" t="n"/>
      <c r="Y82" s="138" t="n"/>
      <c r="Z82" s="138" t="n"/>
      <c r="AA82" s="138" t="n"/>
      <c r="AB82" s="138" t="n"/>
      <c r="AC82" s="138" t="n"/>
      <c r="AD82" s="137">
        <f>IF($C82="","",IF(COUNTIFS($C$6:$C$1000,$C82,$G$6:$G$1000,$G82,$J$6:$J$1000,$J82)&gt;1,"MÜKERRER","OK"))</f>
        <v/>
      </c>
      <c r="AE82" s="137">
        <f>IF($Y82="","",IFERROR(VLOOKUP($Y82,RiskKatsayilari,2,FALSE()),0))</f>
        <v/>
      </c>
      <c r="AF82" s="137">
        <f>IF(OR($M82="",$AE82=""),"",ROUND(ABS($M82)*$AE82,2))</f>
        <v/>
      </c>
      <c r="AG82" s="137">
        <f>IF($G82="","",IFERROR(INDEX(CARI_KARTLARI!$I$6:$I$1000,MATCH($G82,CARI_KARTLARI!$A$6:$A$1000,0)),"VERİ YETERSİZ"))</f>
        <v/>
      </c>
    </row>
    <row r="83" ht="18" customHeight="1" s="102">
      <c r="A83" s="137">
        <f>IF($C83="","","CKS-"&amp;TEXT(ROW()-BaslangicSatir,"000000"))</f>
        <v/>
      </c>
      <c r="B83" s="138" t="n"/>
      <c r="C83" s="138" t="n"/>
      <c r="D83" s="138" t="n"/>
      <c r="E83" s="138" t="n"/>
      <c r="F83" s="138" t="n"/>
      <c r="G83" s="138" t="n"/>
      <c r="H83" s="138" t="n"/>
      <c r="I83" s="138" t="n"/>
      <c r="J83" s="138" t="n"/>
      <c r="K83" s="138" t="n"/>
      <c r="L83" s="138" t="n"/>
      <c r="M83" s="137">
        <f>IF($C83="","",ROUND($J83*$L83*IF($D83="Alınan",1,-1),2))</f>
        <v/>
      </c>
      <c r="N83" s="138" t="n"/>
      <c r="O83" s="138" t="n"/>
      <c r="P83" s="138" t="n"/>
      <c r="Q83" s="138" t="n"/>
      <c r="R83" s="138" t="n"/>
      <c r="S83" s="138" t="n"/>
      <c r="T83" s="138" t="n"/>
      <c r="U83" s="138" t="n"/>
      <c r="V83" s="138" t="n"/>
      <c r="W83" s="138" t="n"/>
      <c r="X83" s="138" t="n"/>
      <c r="Y83" s="138" t="n"/>
      <c r="Z83" s="138" t="n"/>
      <c r="AA83" s="138" t="n"/>
      <c r="AB83" s="138" t="n"/>
      <c r="AC83" s="138" t="n"/>
      <c r="AD83" s="137">
        <f>IF($C83="","",IF(COUNTIFS($C$6:$C$1000,$C83,$G$6:$G$1000,$G83,$J$6:$J$1000,$J83)&gt;1,"MÜKERRER","OK"))</f>
        <v/>
      </c>
      <c r="AE83" s="137">
        <f>IF($Y83="","",IFERROR(VLOOKUP($Y83,RiskKatsayilari,2,FALSE()),0))</f>
        <v/>
      </c>
      <c r="AF83" s="137">
        <f>IF(OR($M83="",$AE83=""),"",ROUND(ABS($M83)*$AE83,2))</f>
        <v/>
      </c>
      <c r="AG83" s="137">
        <f>IF($G83="","",IFERROR(INDEX(CARI_KARTLARI!$I$6:$I$1000,MATCH($G83,CARI_KARTLARI!$A$6:$A$1000,0)),"VERİ YETERSİZ"))</f>
        <v/>
      </c>
    </row>
    <row r="84" ht="18" customHeight="1" s="102">
      <c r="A84" s="137">
        <f>IF($C84="","","CKS-"&amp;TEXT(ROW()-BaslangicSatir,"000000"))</f>
        <v/>
      </c>
      <c r="B84" s="138" t="n"/>
      <c r="C84" s="138" t="n"/>
      <c r="D84" s="138" t="n"/>
      <c r="E84" s="138" t="n"/>
      <c r="F84" s="138" t="n"/>
      <c r="G84" s="138" t="n"/>
      <c r="H84" s="138" t="n"/>
      <c r="I84" s="138" t="n"/>
      <c r="J84" s="138" t="n"/>
      <c r="K84" s="138" t="n"/>
      <c r="L84" s="138" t="n"/>
      <c r="M84" s="137">
        <f>IF($C84="","",ROUND($J84*$L84*IF($D84="Alınan",1,-1),2))</f>
        <v/>
      </c>
      <c r="N84" s="138" t="n"/>
      <c r="O84" s="138" t="n"/>
      <c r="P84" s="138" t="n"/>
      <c r="Q84" s="138" t="n"/>
      <c r="R84" s="138" t="n"/>
      <c r="S84" s="138" t="n"/>
      <c r="T84" s="138" t="n"/>
      <c r="U84" s="138" t="n"/>
      <c r="V84" s="138" t="n"/>
      <c r="W84" s="138" t="n"/>
      <c r="X84" s="138" t="n"/>
      <c r="Y84" s="138" t="n"/>
      <c r="Z84" s="138" t="n"/>
      <c r="AA84" s="138" t="n"/>
      <c r="AB84" s="138" t="n"/>
      <c r="AC84" s="138" t="n"/>
      <c r="AD84" s="137">
        <f>IF($C84="","",IF(COUNTIFS($C$6:$C$1000,$C84,$G$6:$G$1000,$G84,$J$6:$J$1000,$J84)&gt;1,"MÜKERRER","OK"))</f>
        <v/>
      </c>
      <c r="AE84" s="137">
        <f>IF($Y84="","",IFERROR(VLOOKUP($Y84,RiskKatsayilari,2,FALSE()),0))</f>
        <v/>
      </c>
      <c r="AF84" s="137">
        <f>IF(OR($M84="",$AE84=""),"",ROUND(ABS($M84)*$AE84,2))</f>
        <v/>
      </c>
      <c r="AG84" s="137">
        <f>IF($G84="","",IFERROR(INDEX(CARI_KARTLARI!$I$6:$I$1000,MATCH($G84,CARI_KARTLARI!$A$6:$A$1000,0)),"VERİ YETERSİZ"))</f>
        <v/>
      </c>
    </row>
    <row r="85" ht="18" customHeight="1" s="102">
      <c r="A85" s="137">
        <f>IF($C85="","","CKS-"&amp;TEXT(ROW()-BaslangicSatir,"000000"))</f>
        <v/>
      </c>
      <c r="B85" s="138" t="n"/>
      <c r="C85" s="138" t="n"/>
      <c r="D85" s="138" t="n"/>
      <c r="E85" s="138" t="n"/>
      <c r="F85" s="138" t="n"/>
      <c r="G85" s="138" t="n"/>
      <c r="H85" s="138" t="n"/>
      <c r="I85" s="138" t="n"/>
      <c r="J85" s="138" t="n"/>
      <c r="K85" s="138" t="n"/>
      <c r="L85" s="138" t="n"/>
      <c r="M85" s="137">
        <f>IF($C85="","",ROUND($J85*$L85*IF($D85="Alınan",1,-1),2))</f>
        <v/>
      </c>
      <c r="N85" s="138" t="n"/>
      <c r="O85" s="138" t="n"/>
      <c r="P85" s="138" t="n"/>
      <c r="Q85" s="138" t="n"/>
      <c r="R85" s="138" t="n"/>
      <c r="S85" s="138" t="n"/>
      <c r="T85" s="138" t="n"/>
      <c r="U85" s="138" t="n"/>
      <c r="V85" s="138" t="n"/>
      <c r="W85" s="138" t="n"/>
      <c r="X85" s="138" t="n"/>
      <c r="Y85" s="138" t="n"/>
      <c r="Z85" s="138" t="n"/>
      <c r="AA85" s="138" t="n"/>
      <c r="AB85" s="138" t="n"/>
      <c r="AC85" s="138" t="n"/>
      <c r="AD85" s="137">
        <f>IF($C85="","",IF(COUNTIFS($C$6:$C$1000,$C85,$G$6:$G$1000,$G85,$J$6:$J$1000,$J85)&gt;1,"MÜKERRER","OK"))</f>
        <v/>
      </c>
      <c r="AE85" s="137">
        <f>IF($Y85="","",IFERROR(VLOOKUP($Y85,RiskKatsayilari,2,FALSE()),0))</f>
        <v/>
      </c>
      <c r="AF85" s="137">
        <f>IF(OR($M85="",$AE85=""),"",ROUND(ABS($M85)*$AE85,2))</f>
        <v/>
      </c>
      <c r="AG85" s="137">
        <f>IF($G85="","",IFERROR(INDEX(CARI_KARTLARI!$I$6:$I$1000,MATCH($G85,CARI_KARTLARI!$A$6:$A$1000,0)),"VERİ YETERSİZ"))</f>
        <v/>
      </c>
    </row>
    <row r="86" ht="18" customHeight="1" s="102">
      <c r="A86" s="137">
        <f>IF($C86="","","CKS-"&amp;TEXT(ROW()-BaslangicSatir,"000000"))</f>
        <v/>
      </c>
      <c r="B86" s="138" t="n"/>
      <c r="C86" s="138" t="n"/>
      <c r="D86" s="138" t="n"/>
      <c r="E86" s="138" t="n"/>
      <c r="F86" s="138" t="n"/>
      <c r="G86" s="138" t="n"/>
      <c r="H86" s="138" t="n"/>
      <c r="I86" s="138" t="n"/>
      <c r="J86" s="138" t="n"/>
      <c r="K86" s="138" t="n"/>
      <c r="L86" s="138" t="n"/>
      <c r="M86" s="137">
        <f>IF($C86="","",ROUND($J86*$L86*IF($D86="Alınan",1,-1),2))</f>
        <v/>
      </c>
      <c r="N86" s="138" t="n"/>
      <c r="O86" s="138" t="n"/>
      <c r="P86" s="138" t="n"/>
      <c r="Q86" s="138" t="n"/>
      <c r="R86" s="138" t="n"/>
      <c r="S86" s="138" t="n"/>
      <c r="T86" s="138" t="n"/>
      <c r="U86" s="138" t="n"/>
      <c r="V86" s="138" t="n"/>
      <c r="W86" s="138" t="n"/>
      <c r="X86" s="138" t="n"/>
      <c r="Y86" s="138" t="n"/>
      <c r="Z86" s="138" t="n"/>
      <c r="AA86" s="138" t="n"/>
      <c r="AB86" s="138" t="n"/>
      <c r="AC86" s="138" t="n"/>
      <c r="AD86" s="137">
        <f>IF($C86="","",IF(COUNTIFS($C$6:$C$1000,$C86,$G$6:$G$1000,$G86,$J$6:$J$1000,$J86)&gt;1,"MÜKERRER","OK"))</f>
        <v/>
      </c>
      <c r="AE86" s="137">
        <f>IF($Y86="","",IFERROR(VLOOKUP($Y86,RiskKatsayilari,2,FALSE()),0))</f>
        <v/>
      </c>
      <c r="AF86" s="137">
        <f>IF(OR($M86="",$AE86=""),"",ROUND(ABS($M86)*$AE86,2))</f>
        <v/>
      </c>
      <c r="AG86" s="137">
        <f>IF($G86="","",IFERROR(INDEX(CARI_KARTLARI!$I$6:$I$1000,MATCH($G86,CARI_KARTLARI!$A$6:$A$1000,0)),"VERİ YETERSİZ"))</f>
        <v/>
      </c>
    </row>
    <row r="87" ht="18" customHeight="1" s="102">
      <c r="A87" s="137">
        <f>IF($C87="","","CKS-"&amp;TEXT(ROW()-BaslangicSatir,"000000"))</f>
        <v/>
      </c>
      <c r="B87" s="138" t="n"/>
      <c r="C87" s="138" t="n"/>
      <c r="D87" s="138" t="n"/>
      <c r="E87" s="138" t="n"/>
      <c r="F87" s="138" t="n"/>
      <c r="G87" s="138" t="n"/>
      <c r="H87" s="138" t="n"/>
      <c r="I87" s="138" t="n"/>
      <c r="J87" s="138" t="n"/>
      <c r="K87" s="138" t="n"/>
      <c r="L87" s="138" t="n"/>
      <c r="M87" s="137">
        <f>IF($C87="","",ROUND($J87*$L87*IF($D87="Alınan",1,-1),2))</f>
        <v/>
      </c>
      <c r="N87" s="138" t="n"/>
      <c r="O87" s="138" t="n"/>
      <c r="P87" s="138" t="n"/>
      <c r="Q87" s="138" t="n"/>
      <c r="R87" s="138" t="n"/>
      <c r="S87" s="138" t="n"/>
      <c r="T87" s="138" t="n"/>
      <c r="U87" s="138" t="n"/>
      <c r="V87" s="138" t="n"/>
      <c r="W87" s="138" t="n"/>
      <c r="X87" s="138" t="n"/>
      <c r="Y87" s="138" t="n"/>
      <c r="Z87" s="138" t="n"/>
      <c r="AA87" s="138" t="n"/>
      <c r="AB87" s="138" t="n"/>
      <c r="AC87" s="138" t="n"/>
      <c r="AD87" s="137">
        <f>IF($C87="","",IF(COUNTIFS($C$6:$C$1000,$C87,$G$6:$G$1000,$G87,$J$6:$J$1000,$J87)&gt;1,"MÜKERRER","OK"))</f>
        <v/>
      </c>
      <c r="AE87" s="137">
        <f>IF($Y87="","",IFERROR(VLOOKUP($Y87,RiskKatsayilari,2,FALSE()),0))</f>
        <v/>
      </c>
      <c r="AF87" s="137">
        <f>IF(OR($M87="",$AE87=""),"",ROUND(ABS($M87)*$AE87,2))</f>
        <v/>
      </c>
      <c r="AG87" s="137">
        <f>IF($G87="","",IFERROR(INDEX(CARI_KARTLARI!$I$6:$I$1000,MATCH($G87,CARI_KARTLARI!$A$6:$A$1000,0)),"VERİ YETERSİZ"))</f>
        <v/>
      </c>
    </row>
    <row r="88" ht="18" customHeight="1" s="102">
      <c r="A88" s="137">
        <f>IF($C88="","","CKS-"&amp;TEXT(ROW()-BaslangicSatir,"000000"))</f>
        <v/>
      </c>
      <c r="B88" s="138" t="n"/>
      <c r="C88" s="138" t="n"/>
      <c r="D88" s="138" t="n"/>
      <c r="E88" s="138" t="n"/>
      <c r="F88" s="138" t="n"/>
      <c r="G88" s="138" t="n"/>
      <c r="H88" s="138" t="n"/>
      <c r="I88" s="138" t="n"/>
      <c r="J88" s="138" t="n"/>
      <c r="K88" s="138" t="n"/>
      <c r="L88" s="138" t="n"/>
      <c r="M88" s="137">
        <f>IF($C88="","",ROUND($J88*$L88*IF($D88="Alınan",1,-1),2))</f>
        <v/>
      </c>
      <c r="N88" s="138" t="n"/>
      <c r="O88" s="138" t="n"/>
      <c r="P88" s="138" t="n"/>
      <c r="Q88" s="138" t="n"/>
      <c r="R88" s="138" t="n"/>
      <c r="S88" s="138" t="n"/>
      <c r="T88" s="138" t="n"/>
      <c r="U88" s="138" t="n"/>
      <c r="V88" s="138" t="n"/>
      <c r="W88" s="138" t="n"/>
      <c r="X88" s="138" t="n"/>
      <c r="Y88" s="138" t="n"/>
      <c r="Z88" s="138" t="n"/>
      <c r="AA88" s="138" t="n"/>
      <c r="AB88" s="138" t="n"/>
      <c r="AC88" s="138" t="n"/>
      <c r="AD88" s="137">
        <f>IF($C88="","",IF(COUNTIFS($C$6:$C$1000,$C88,$G$6:$G$1000,$G88,$J$6:$J$1000,$J88)&gt;1,"MÜKERRER","OK"))</f>
        <v/>
      </c>
      <c r="AE88" s="137">
        <f>IF($Y88="","",IFERROR(VLOOKUP($Y88,RiskKatsayilari,2,FALSE()),0))</f>
        <v/>
      </c>
      <c r="AF88" s="137">
        <f>IF(OR($M88="",$AE88=""),"",ROUND(ABS($M88)*$AE88,2))</f>
        <v/>
      </c>
      <c r="AG88" s="137">
        <f>IF($G88="","",IFERROR(INDEX(CARI_KARTLARI!$I$6:$I$1000,MATCH($G88,CARI_KARTLARI!$A$6:$A$1000,0)),"VERİ YETERSİZ"))</f>
        <v/>
      </c>
    </row>
    <row r="89" ht="18" customHeight="1" s="102">
      <c r="A89" s="137">
        <f>IF($C89="","","CKS-"&amp;TEXT(ROW()-BaslangicSatir,"000000"))</f>
        <v/>
      </c>
      <c r="B89" s="138" t="n"/>
      <c r="C89" s="138" t="n"/>
      <c r="D89" s="138" t="n"/>
      <c r="E89" s="138" t="n"/>
      <c r="F89" s="138" t="n"/>
      <c r="G89" s="138" t="n"/>
      <c r="H89" s="138" t="n"/>
      <c r="I89" s="138" t="n"/>
      <c r="J89" s="138" t="n"/>
      <c r="K89" s="138" t="n"/>
      <c r="L89" s="138" t="n"/>
      <c r="M89" s="137">
        <f>IF($C89="","",ROUND($J89*$L89*IF($D89="Alınan",1,-1),2))</f>
        <v/>
      </c>
      <c r="N89" s="138" t="n"/>
      <c r="O89" s="138" t="n"/>
      <c r="P89" s="138" t="n"/>
      <c r="Q89" s="138" t="n"/>
      <c r="R89" s="138" t="n"/>
      <c r="S89" s="138" t="n"/>
      <c r="T89" s="138" t="n"/>
      <c r="U89" s="138" t="n"/>
      <c r="V89" s="138" t="n"/>
      <c r="W89" s="138" t="n"/>
      <c r="X89" s="138" t="n"/>
      <c r="Y89" s="138" t="n"/>
      <c r="Z89" s="138" t="n"/>
      <c r="AA89" s="138" t="n"/>
      <c r="AB89" s="138" t="n"/>
      <c r="AC89" s="138" t="n"/>
      <c r="AD89" s="137">
        <f>IF($C89="","",IF(COUNTIFS($C$6:$C$1000,$C89,$G$6:$G$1000,$G89,$J$6:$J$1000,$J89)&gt;1,"MÜKERRER","OK"))</f>
        <v/>
      </c>
      <c r="AE89" s="137">
        <f>IF($Y89="","",IFERROR(VLOOKUP($Y89,RiskKatsayilari,2,FALSE()),0))</f>
        <v/>
      </c>
      <c r="AF89" s="137">
        <f>IF(OR($M89="",$AE89=""),"",ROUND(ABS($M89)*$AE89,2))</f>
        <v/>
      </c>
      <c r="AG89" s="137">
        <f>IF($G89="","",IFERROR(INDEX(CARI_KARTLARI!$I$6:$I$1000,MATCH($G89,CARI_KARTLARI!$A$6:$A$1000,0)),"VERİ YETERSİZ"))</f>
        <v/>
      </c>
    </row>
    <row r="90" ht="18" customHeight="1" s="102">
      <c r="A90" s="137">
        <f>IF($C90="","","CKS-"&amp;TEXT(ROW()-BaslangicSatir,"000000"))</f>
        <v/>
      </c>
      <c r="B90" s="138" t="n"/>
      <c r="C90" s="138" t="n"/>
      <c r="D90" s="138" t="n"/>
      <c r="E90" s="138" t="n"/>
      <c r="F90" s="138" t="n"/>
      <c r="G90" s="138" t="n"/>
      <c r="H90" s="138" t="n"/>
      <c r="I90" s="138" t="n"/>
      <c r="J90" s="138" t="n"/>
      <c r="K90" s="138" t="n"/>
      <c r="L90" s="138" t="n"/>
      <c r="M90" s="137">
        <f>IF($C90="","",ROUND($J90*$L90*IF($D90="Alınan",1,-1),2))</f>
        <v/>
      </c>
      <c r="N90" s="138" t="n"/>
      <c r="O90" s="138" t="n"/>
      <c r="P90" s="138" t="n"/>
      <c r="Q90" s="138" t="n"/>
      <c r="R90" s="138" t="n"/>
      <c r="S90" s="138" t="n"/>
      <c r="T90" s="138" t="n"/>
      <c r="U90" s="138" t="n"/>
      <c r="V90" s="138" t="n"/>
      <c r="W90" s="138" t="n"/>
      <c r="X90" s="138" t="n"/>
      <c r="Y90" s="138" t="n"/>
      <c r="Z90" s="138" t="n"/>
      <c r="AA90" s="138" t="n"/>
      <c r="AB90" s="138" t="n"/>
      <c r="AC90" s="138" t="n"/>
      <c r="AD90" s="137">
        <f>IF($C90="","",IF(COUNTIFS($C$6:$C$1000,$C90,$G$6:$G$1000,$G90,$J$6:$J$1000,$J90)&gt;1,"MÜKERRER","OK"))</f>
        <v/>
      </c>
      <c r="AE90" s="137">
        <f>IF($Y90="","",IFERROR(VLOOKUP($Y90,RiskKatsayilari,2,FALSE()),0))</f>
        <v/>
      </c>
      <c r="AF90" s="137">
        <f>IF(OR($M90="",$AE90=""),"",ROUND(ABS($M90)*$AE90,2))</f>
        <v/>
      </c>
      <c r="AG90" s="137">
        <f>IF($G90="","",IFERROR(INDEX(CARI_KARTLARI!$I$6:$I$1000,MATCH($G90,CARI_KARTLARI!$A$6:$A$1000,0)),"VERİ YETERSİZ"))</f>
        <v/>
      </c>
    </row>
    <row r="91" ht="18" customHeight="1" s="102">
      <c r="A91" s="137">
        <f>IF($C91="","","CKS-"&amp;TEXT(ROW()-BaslangicSatir,"000000"))</f>
        <v/>
      </c>
      <c r="B91" s="138" t="n"/>
      <c r="C91" s="138" t="n"/>
      <c r="D91" s="138" t="n"/>
      <c r="E91" s="138" t="n"/>
      <c r="F91" s="138" t="n"/>
      <c r="G91" s="138" t="n"/>
      <c r="H91" s="138" t="n"/>
      <c r="I91" s="138" t="n"/>
      <c r="J91" s="138" t="n"/>
      <c r="K91" s="138" t="n"/>
      <c r="L91" s="138" t="n"/>
      <c r="M91" s="137">
        <f>IF($C91="","",ROUND($J91*$L91*IF($D91="Alınan",1,-1),2))</f>
        <v/>
      </c>
      <c r="N91" s="138" t="n"/>
      <c r="O91" s="138" t="n"/>
      <c r="P91" s="138" t="n"/>
      <c r="Q91" s="138" t="n"/>
      <c r="R91" s="138" t="n"/>
      <c r="S91" s="138" t="n"/>
      <c r="T91" s="138" t="n"/>
      <c r="U91" s="138" t="n"/>
      <c r="V91" s="138" t="n"/>
      <c r="W91" s="138" t="n"/>
      <c r="X91" s="138" t="n"/>
      <c r="Y91" s="138" t="n"/>
      <c r="Z91" s="138" t="n"/>
      <c r="AA91" s="138" t="n"/>
      <c r="AB91" s="138" t="n"/>
      <c r="AC91" s="138" t="n"/>
      <c r="AD91" s="137">
        <f>IF($C91="","",IF(COUNTIFS($C$6:$C$1000,$C91,$G$6:$G$1000,$G91,$J$6:$J$1000,$J91)&gt;1,"MÜKERRER","OK"))</f>
        <v/>
      </c>
      <c r="AE91" s="137">
        <f>IF($Y91="","",IFERROR(VLOOKUP($Y91,RiskKatsayilari,2,FALSE()),0))</f>
        <v/>
      </c>
      <c r="AF91" s="137">
        <f>IF(OR($M91="",$AE91=""),"",ROUND(ABS($M91)*$AE91,2))</f>
        <v/>
      </c>
      <c r="AG91" s="137">
        <f>IF($G91="","",IFERROR(INDEX(CARI_KARTLARI!$I$6:$I$1000,MATCH($G91,CARI_KARTLARI!$A$6:$A$1000,0)),"VERİ YETERSİZ"))</f>
        <v/>
      </c>
    </row>
    <row r="92" ht="18" customHeight="1" s="102">
      <c r="A92" s="137">
        <f>IF($C92="","","CKS-"&amp;TEXT(ROW()-BaslangicSatir,"000000"))</f>
        <v/>
      </c>
      <c r="B92" s="138" t="n"/>
      <c r="C92" s="138" t="n"/>
      <c r="D92" s="138" t="n"/>
      <c r="E92" s="138" t="n"/>
      <c r="F92" s="138" t="n"/>
      <c r="G92" s="138" t="n"/>
      <c r="H92" s="138" t="n"/>
      <c r="I92" s="138" t="n"/>
      <c r="J92" s="138" t="n"/>
      <c r="K92" s="138" t="n"/>
      <c r="L92" s="138" t="n"/>
      <c r="M92" s="137">
        <f>IF($C92="","",ROUND($J92*$L92*IF($D92="Alınan",1,-1),2))</f>
        <v/>
      </c>
      <c r="N92" s="138" t="n"/>
      <c r="O92" s="138" t="n"/>
      <c r="P92" s="138" t="n"/>
      <c r="Q92" s="138" t="n"/>
      <c r="R92" s="138" t="n"/>
      <c r="S92" s="138" t="n"/>
      <c r="T92" s="138" t="n"/>
      <c r="U92" s="138" t="n"/>
      <c r="V92" s="138" t="n"/>
      <c r="W92" s="138" t="n"/>
      <c r="X92" s="138" t="n"/>
      <c r="Y92" s="138" t="n"/>
      <c r="Z92" s="138" t="n"/>
      <c r="AA92" s="138" t="n"/>
      <c r="AB92" s="138" t="n"/>
      <c r="AC92" s="138" t="n"/>
      <c r="AD92" s="137">
        <f>IF($C92="","",IF(COUNTIFS($C$6:$C$1000,$C92,$G$6:$G$1000,$G92,$J$6:$J$1000,$J92)&gt;1,"MÜKERRER","OK"))</f>
        <v/>
      </c>
      <c r="AE92" s="137">
        <f>IF($Y92="","",IFERROR(VLOOKUP($Y92,RiskKatsayilari,2,FALSE()),0))</f>
        <v/>
      </c>
      <c r="AF92" s="137">
        <f>IF(OR($M92="",$AE92=""),"",ROUND(ABS($M92)*$AE92,2))</f>
        <v/>
      </c>
      <c r="AG92" s="137">
        <f>IF($G92="","",IFERROR(INDEX(CARI_KARTLARI!$I$6:$I$1000,MATCH($G92,CARI_KARTLARI!$A$6:$A$1000,0)),"VERİ YETERSİZ"))</f>
        <v/>
      </c>
    </row>
    <row r="93" ht="18" customHeight="1" s="102">
      <c r="A93" s="137">
        <f>IF($C93="","","CKS-"&amp;TEXT(ROW()-BaslangicSatir,"000000"))</f>
        <v/>
      </c>
      <c r="B93" s="138" t="n"/>
      <c r="C93" s="138" t="n"/>
      <c r="D93" s="138" t="n"/>
      <c r="E93" s="138" t="n"/>
      <c r="F93" s="138" t="n"/>
      <c r="G93" s="138" t="n"/>
      <c r="H93" s="138" t="n"/>
      <c r="I93" s="138" t="n"/>
      <c r="J93" s="138" t="n"/>
      <c r="K93" s="138" t="n"/>
      <c r="L93" s="138" t="n"/>
      <c r="M93" s="137">
        <f>IF($C93="","",ROUND($J93*$L93*IF($D93="Alınan",1,-1),2))</f>
        <v/>
      </c>
      <c r="N93" s="138" t="n"/>
      <c r="O93" s="138" t="n"/>
      <c r="P93" s="138" t="n"/>
      <c r="Q93" s="138" t="n"/>
      <c r="R93" s="138" t="n"/>
      <c r="S93" s="138" t="n"/>
      <c r="T93" s="138" t="n"/>
      <c r="U93" s="138" t="n"/>
      <c r="V93" s="138" t="n"/>
      <c r="W93" s="138" t="n"/>
      <c r="X93" s="138" t="n"/>
      <c r="Y93" s="138" t="n"/>
      <c r="Z93" s="138" t="n"/>
      <c r="AA93" s="138" t="n"/>
      <c r="AB93" s="138" t="n"/>
      <c r="AC93" s="138" t="n"/>
      <c r="AD93" s="137">
        <f>IF($C93="","",IF(COUNTIFS($C$6:$C$1000,$C93,$G$6:$G$1000,$G93,$J$6:$J$1000,$J93)&gt;1,"MÜKERRER","OK"))</f>
        <v/>
      </c>
      <c r="AE93" s="137">
        <f>IF($Y93="","",IFERROR(VLOOKUP($Y93,RiskKatsayilari,2,FALSE()),0))</f>
        <v/>
      </c>
      <c r="AF93" s="137">
        <f>IF(OR($M93="",$AE93=""),"",ROUND(ABS($M93)*$AE93,2))</f>
        <v/>
      </c>
      <c r="AG93" s="137">
        <f>IF($G93="","",IFERROR(INDEX(CARI_KARTLARI!$I$6:$I$1000,MATCH($G93,CARI_KARTLARI!$A$6:$A$1000,0)),"VERİ YETERSİZ"))</f>
        <v/>
      </c>
    </row>
    <row r="94" ht="18" customHeight="1" s="102">
      <c r="A94" s="137">
        <f>IF($C94="","","CKS-"&amp;TEXT(ROW()-BaslangicSatir,"000000"))</f>
        <v/>
      </c>
      <c r="B94" s="138" t="n"/>
      <c r="C94" s="138" t="n"/>
      <c r="D94" s="138" t="n"/>
      <c r="E94" s="138" t="n"/>
      <c r="F94" s="138" t="n"/>
      <c r="G94" s="138" t="n"/>
      <c r="H94" s="138" t="n"/>
      <c r="I94" s="138" t="n"/>
      <c r="J94" s="138" t="n"/>
      <c r="K94" s="138" t="n"/>
      <c r="L94" s="138" t="n"/>
      <c r="M94" s="137">
        <f>IF($C94="","",ROUND($J94*$L94*IF($D94="Alınan",1,-1),2))</f>
        <v/>
      </c>
      <c r="N94" s="138" t="n"/>
      <c r="O94" s="138" t="n"/>
      <c r="P94" s="138" t="n"/>
      <c r="Q94" s="138" t="n"/>
      <c r="R94" s="138" t="n"/>
      <c r="S94" s="138" t="n"/>
      <c r="T94" s="138" t="n"/>
      <c r="U94" s="138" t="n"/>
      <c r="V94" s="138" t="n"/>
      <c r="W94" s="138" t="n"/>
      <c r="X94" s="138" t="n"/>
      <c r="Y94" s="138" t="n"/>
      <c r="Z94" s="138" t="n"/>
      <c r="AA94" s="138" t="n"/>
      <c r="AB94" s="138" t="n"/>
      <c r="AC94" s="138" t="n"/>
      <c r="AD94" s="137">
        <f>IF($C94="","",IF(COUNTIFS($C$6:$C$1000,$C94,$G$6:$G$1000,$G94,$J$6:$J$1000,$J94)&gt;1,"MÜKERRER","OK"))</f>
        <v/>
      </c>
      <c r="AE94" s="137">
        <f>IF($Y94="","",IFERROR(VLOOKUP($Y94,RiskKatsayilari,2,FALSE()),0))</f>
        <v/>
      </c>
      <c r="AF94" s="137">
        <f>IF(OR($M94="",$AE94=""),"",ROUND(ABS($M94)*$AE94,2))</f>
        <v/>
      </c>
      <c r="AG94" s="137">
        <f>IF($G94="","",IFERROR(INDEX(CARI_KARTLARI!$I$6:$I$1000,MATCH($G94,CARI_KARTLARI!$A$6:$A$1000,0)),"VERİ YETERSİZ"))</f>
        <v/>
      </c>
    </row>
    <row r="95" ht="18" customHeight="1" s="102">
      <c r="A95" s="137">
        <f>IF($C95="","","CKS-"&amp;TEXT(ROW()-BaslangicSatir,"000000"))</f>
        <v/>
      </c>
      <c r="B95" s="138" t="n"/>
      <c r="C95" s="138" t="n"/>
      <c r="D95" s="138" t="n"/>
      <c r="E95" s="138" t="n"/>
      <c r="F95" s="138" t="n"/>
      <c r="G95" s="138" t="n"/>
      <c r="H95" s="138" t="n"/>
      <c r="I95" s="138" t="n"/>
      <c r="J95" s="138" t="n"/>
      <c r="K95" s="138" t="n"/>
      <c r="L95" s="138" t="n"/>
      <c r="M95" s="137">
        <f>IF($C95="","",ROUND($J95*$L95*IF($D95="Alınan",1,-1),2))</f>
        <v/>
      </c>
      <c r="N95" s="138" t="n"/>
      <c r="O95" s="138" t="n"/>
      <c r="P95" s="138" t="n"/>
      <c r="Q95" s="138" t="n"/>
      <c r="R95" s="138" t="n"/>
      <c r="S95" s="138" t="n"/>
      <c r="T95" s="138" t="n"/>
      <c r="U95" s="138" t="n"/>
      <c r="V95" s="138" t="n"/>
      <c r="W95" s="138" t="n"/>
      <c r="X95" s="138" t="n"/>
      <c r="Y95" s="138" t="n"/>
      <c r="Z95" s="138" t="n"/>
      <c r="AA95" s="138" t="n"/>
      <c r="AB95" s="138" t="n"/>
      <c r="AC95" s="138" t="n"/>
      <c r="AD95" s="137">
        <f>IF($C95="","",IF(COUNTIFS($C$6:$C$1000,$C95,$G$6:$G$1000,$G95,$J$6:$J$1000,$J95)&gt;1,"MÜKERRER","OK"))</f>
        <v/>
      </c>
      <c r="AE95" s="137">
        <f>IF($Y95="","",IFERROR(VLOOKUP($Y95,RiskKatsayilari,2,FALSE()),0))</f>
        <v/>
      </c>
      <c r="AF95" s="137">
        <f>IF(OR($M95="",$AE95=""),"",ROUND(ABS($M95)*$AE95,2))</f>
        <v/>
      </c>
      <c r="AG95" s="137">
        <f>IF($G95="","",IFERROR(INDEX(CARI_KARTLARI!$I$6:$I$1000,MATCH($G95,CARI_KARTLARI!$A$6:$A$1000,0)),"VERİ YETERSİZ"))</f>
        <v/>
      </c>
    </row>
    <row r="96" ht="18" customHeight="1" s="102">
      <c r="A96" s="137">
        <f>IF($C96="","","CKS-"&amp;TEXT(ROW()-BaslangicSatir,"000000"))</f>
        <v/>
      </c>
      <c r="B96" s="138" t="n"/>
      <c r="C96" s="138" t="n"/>
      <c r="D96" s="138" t="n"/>
      <c r="E96" s="138" t="n"/>
      <c r="F96" s="138" t="n"/>
      <c r="G96" s="138" t="n"/>
      <c r="H96" s="138" t="n"/>
      <c r="I96" s="138" t="n"/>
      <c r="J96" s="138" t="n"/>
      <c r="K96" s="138" t="n"/>
      <c r="L96" s="138" t="n"/>
      <c r="M96" s="137">
        <f>IF($C96="","",ROUND($J96*$L96*IF($D96="Alınan",1,-1),2))</f>
        <v/>
      </c>
      <c r="N96" s="138" t="n"/>
      <c r="O96" s="138" t="n"/>
      <c r="P96" s="138" t="n"/>
      <c r="Q96" s="138" t="n"/>
      <c r="R96" s="138" t="n"/>
      <c r="S96" s="138" t="n"/>
      <c r="T96" s="138" t="n"/>
      <c r="U96" s="138" t="n"/>
      <c r="V96" s="138" t="n"/>
      <c r="W96" s="138" t="n"/>
      <c r="X96" s="138" t="n"/>
      <c r="Y96" s="138" t="n"/>
      <c r="Z96" s="138" t="n"/>
      <c r="AA96" s="138" t="n"/>
      <c r="AB96" s="138" t="n"/>
      <c r="AC96" s="138" t="n"/>
      <c r="AD96" s="137">
        <f>IF($C96="","",IF(COUNTIFS($C$6:$C$1000,$C96,$G$6:$G$1000,$G96,$J$6:$J$1000,$J96)&gt;1,"MÜKERRER","OK"))</f>
        <v/>
      </c>
      <c r="AE96" s="137">
        <f>IF($Y96="","",IFERROR(VLOOKUP($Y96,RiskKatsayilari,2,FALSE()),0))</f>
        <v/>
      </c>
      <c r="AF96" s="137">
        <f>IF(OR($M96="",$AE96=""),"",ROUND(ABS($M96)*$AE96,2))</f>
        <v/>
      </c>
      <c r="AG96" s="137">
        <f>IF($G96="","",IFERROR(INDEX(CARI_KARTLARI!$I$6:$I$1000,MATCH($G96,CARI_KARTLARI!$A$6:$A$1000,0)),"VERİ YETERSİZ"))</f>
        <v/>
      </c>
    </row>
    <row r="97" ht="18" customHeight="1" s="102">
      <c r="A97" s="137">
        <f>IF($C97="","","CKS-"&amp;TEXT(ROW()-BaslangicSatir,"000000"))</f>
        <v/>
      </c>
      <c r="B97" s="138" t="n"/>
      <c r="C97" s="138" t="n"/>
      <c r="D97" s="138" t="n"/>
      <c r="E97" s="138" t="n"/>
      <c r="F97" s="138" t="n"/>
      <c r="G97" s="138" t="n"/>
      <c r="H97" s="138" t="n"/>
      <c r="I97" s="138" t="n"/>
      <c r="J97" s="138" t="n"/>
      <c r="K97" s="138" t="n"/>
      <c r="L97" s="138" t="n"/>
      <c r="M97" s="137">
        <f>IF($C97="","",ROUND($J97*$L97*IF($D97="Alınan",1,-1),2))</f>
        <v/>
      </c>
      <c r="N97" s="138" t="n"/>
      <c r="O97" s="138" t="n"/>
      <c r="P97" s="138" t="n"/>
      <c r="Q97" s="138" t="n"/>
      <c r="R97" s="138" t="n"/>
      <c r="S97" s="138" t="n"/>
      <c r="T97" s="138" t="n"/>
      <c r="U97" s="138" t="n"/>
      <c r="V97" s="138" t="n"/>
      <c r="W97" s="138" t="n"/>
      <c r="X97" s="138" t="n"/>
      <c r="Y97" s="138" t="n"/>
      <c r="Z97" s="138" t="n"/>
      <c r="AA97" s="138" t="n"/>
      <c r="AB97" s="138" t="n"/>
      <c r="AC97" s="138" t="n"/>
      <c r="AD97" s="137">
        <f>IF($C97="","",IF(COUNTIFS($C$6:$C$1000,$C97,$G$6:$G$1000,$G97,$J$6:$J$1000,$J97)&gt;1,"MÜKERRER","OK"))</f>
        <v/>
      </c>
      <c r="AE97" s="137">
        <f>IF($Y97="","",IFERROR(VLOOKUP($Y97,RiskKatsayilari,2,FALSE()),0))</f>
        <v/>
      </c>
      <c r="AF97" s="137">
        <f>IF(OR($M97="",$AE97=""),"",ROUND(ABS($M97)*$AE97,2))</f>
        <v/>
      </c>
      <c r="AG97" s="137">
        <f>IF($G97="","",IFERROR(INDEX(CARI_KARTLARI!$I$6:$I$1000,MATCH($G97,CARI_KARTLARI!$A$6:$A$1000,0)),"VERİ YETERSİZ"))</f>
        <v/>
      </c>
    </row>
    <row r="98" ht="18" customHeight="1" s="102">
      <c r="A98" s="137">
        <f>IF($C98="","","CKS-"&amp;TEXT(ROW()-BaslangicSatir,"000000"))</f>
        <v/>
      </c>
      <c r="B98" s="138" t="n"/>
      <c r="C98" s="138" t="n"/>
      <c r="D98" s="138" t="n"/>
      <c r="E98" s="138" t="n"/>
      <c r="F98" s="138" t="n"/>
      <c r="G98" s="138" t="n"/>
      <c r="H98" s="138" t="n"/>
      <c r="I98" s="138" t="n"/>
      <c r="J98" s="138" t="n"/>
      <c r="K98" s="138" t="n"/>
      <c r="L98" s="138" t="n"/>
      <c r="M98" s="137">
        <f>IF($C98="","",ROUND($J98*$L98*IF($D98="Alınan",1,-1),2))</f>
        <v/>
      </c>
      <c r="N98" s="138" t="n"/>
      <c r="O98" s="138" t="n"/>
      <c r="P98" s="138" t="n"/>
      <c r="Q98" s="138" t="n"/>
      <c r="R98" s="138" t="n"/>
      <c r="S98" s="138" t="n"/>
      <c r="T98" s="138" t="n"/>
      <c r="U98" s="138" t="n"/>
      <c r="V98" s="138" t="n"/>
      <c r="W98" s="138" t="n"/>
      <c r="X98" s="138" t="n"/>
      <c r="Y98" s="138" t="n"/>
      <c r="Z98" s="138" t="n"/>
      <c r="AA98" s="138" t="n"/>
      <c r="AB98" s="138" t="n"/>
      <c r="AC98" s="138" t="n"/>
      <c r="AD98" s="137">
        <f>IF($C98="","",IF(COUNTIFS($C$6:$C$1000,$C98,$G$6:$G$1000,$G98,$J$6:$J$1000,$J98)&gt;1,"MÜKERRER","OK"))</f>
        <v/>
      </c>
      <c r="AE98" s="137">
        <f>IF($Y98="","",IFERROR(VLOOKUP($Y98,RiskKatsayilari,2,FALSE()),0))</f>
        <v/>
      </c>
      <c r="AF98" s="137">
        <f>IF(OR($M98="",$AE98=""),"",ROUND(ABS($M98)*$AE98,2))</f>
        <v/>
      </c>
      <c r="AG98" s="137">
        <f>IF($G98="","",IFERROR(INDEX(CARI_KARTLARI!$I$6:$I$1000,MATCH($G98,CARI_KARTLARI!$A$6:$A$1000,0)),"VERİ YETERSİZ"))</f>
        <v/>
      </c>
    </row>
    <row r="99" ht="18" customHeight="1" s="102">
      <c r="A99" s="137">
        <f>IF($C99="","","CKS-"&amp;TEXT(ROW()-BaslangicSatir,"000000"))</f>
        <v/>
      </c>
      <c r="B99" s="138" t="n"/>
      <c r="C99" s="138" t="n"/>
      <c r="D99" s="138" t="n"/>
      <c r="E99" s="138" t="n"/>
      <c r="F99" s="138" t="n"/>
      <c r="G99" s="138" t="n"/>
      <c r="H99" s="138" t="n"/>
      <c r="I99" s="138" t="n"/>
      <c r="J99" s="138" t="n"/>
      <c r="K99" s="138" t="n"/>
      <c r="L99" s="138" t="n"/>
      <c r="M99" s="137">
        <f>IF($C99="","",ROUND($J99*$L99*IF($D99="Alınan",1,-1),2))</f>
        <v/>
      </c>
      <c r="N99" s="138" t="n"/>
      <c r="O99" s="138" t="n"/>
      <c r="P99" s="138" t="n"/>
      <c r="Q99" s="138" t="n"/>
      <c r="R99" s="138" t="n"/>
      <c r="S99" s="138" t="n"/>
      <c r="T99" s="138" t="n"/>
      <c r="U99" s="138" t="n"/>
      <c r="V99" s="138" t="n"/>
      <c r="W99" s="138" t="n"/>
      <c r="X99" s="138" t="n"/>
      <c r="Y99" s="138" t="n"/>
      <c r="Z99" s="138" t="n"/>
      <c r="AA99" s="138" t="n"/>
      <c r="AB99" s="138" t="n"/>
      <c r="AC99" s="138" t="n"/>
      <c r="AD99" s="137">
        <f>IF($C99="","",IF(COUNTIFS($C$6:$C$1000,$C99,$G$6:$G$1000,$G99,$J$6:$J$1000,$J99)&gt;1,"MÜKERRER","OK"))</f>
        <v/>
      </c>
      <c r="AE99" s="137">
        <f>IF($Y99="","",IFERROR(VLOOKUP($Y99,RiskKatsayilari,2,FALSE()),0))</f>
        <v/>
      </c>
      <c r="AF99" s="137">
        <f>IF(OR($M99="",$AE99=""),"",ROUND(ABS($M99)*$AE99,2))</f>
        <v/>
      </c>
      <c r="AG99" s="137">
        <f>IF($G99="","",IFERROR(INDEX(CARI_KARTLARI!$I$6:$I$1000,MATCH($G99,CARI_KARTLARI!$A$6:$A$1000,0)),"VERİ YETERSİZ"))</f>
        <v/>
      </c>
    </row>
    <row r="100" ht="18" customHeight="1" s="102">
      <c r="A100" s="137">
        <f>IF($C100="","","CKS-"&amp;TEXT(ROW()-BaslangicSatir,"000000"))</f>
        <v/>
      </c>
      <c r="B100" s="138" t="n"/>
      <c r="C100" s="138" t="n"/>
      <c r="D100" s="138" t="n"/>
      <c r="E100" s="138" t="n"/>
      <c r="F100" s="138" t="n"/>
      <c r="G100" s="138" t="n"/>
      <c r="H100" s="138" t="n"/>
      <c r="I100" s="138" t="n"/>
      <c r="J100" s="138" t="n"/>
      <c r="K100" s="138" t="n"/>
      <c r="L100" s="138" t="n"/>
      <c r="M100" s="137">
        <f>IF($C100="","",ROUND($J100*$L100*IF($D100="Alınan",1,-1),2))</f>
        <v/>
      </c>
      <c r="N100" s="138" t="n"/>
      <c r="O100" s="138" t="n"/>
      <c r="P100" s="138" t="n"/>
      <c r="Q100" s="138" t="n"/>
      <c r="R100" s="138" t="n"/>
      <c r="S100" s="138" t="n"/>
      <c r="T100" s="138" t="n"/>
      <c r="U100" s="138" t="n"/>
      <c r="V100" s="138" t="n"/>
      <c r="W100" s="138" t="n"/>
      <c r="X100" s="138" t="n"/>
      <c r="Y100" s="138" t="n"/>
      <c r="Z100" s="138" t="n"/>
      <c r="AA100" s="138" t="n"/>
      <c r="AB100" s="138" t="n"/>
      <c r="AC100" s="138" t="n"/>
      <c r="AD100" s="137">
        <f>IF($C100="","",IF(COUNTIFS($C$6:$C$1000,$C100,$G$6:$G$1000,$G100,$J$6:$J$1000,$J100)&gt;1,"MÜKERRER","OK"))</f>
        <v/>
      </c>
      <c r="AE100" s="137">
        <f>IF($Y100="","",IFERROR(VLOOKUP($Y100,RiskKatsayilari,2,FALSE()),0))</f>
        <v/>
      </c>
      <c r="AF100" s="137">
        <f>IF(OR($M100="",$AE100=""),"",ROUND(ABS($M100)*$AE100,2))</f>
        <v/>
      </c>
      <c r="AG100" s="137">
        <f>IF($G100="","",IFERROR(INDEX(CARI_KARTLARI!$I$6:$I$1000,MATCH($G100,CARI_KARTLARI!$A$6:$A$1000,0)),"VERİ YETERSİZ"))</f>
        <v/>
      </c>
    </row>
    <row r="101" ht="18" customHeight="1" s="102">
      <c r="A101" s="137">
        <f>IF($C101="","","CKS-"&amp;TEXT(ROW()-BaslangicSatir,"000000"))</f>
        <v/>
      </c>
      <c r="B101" s="138" t="n"/>
      <c r="C101" s="138" t="n"/>
      <c r="D101" s="138" t="n"/>
      <c r="E101" s="138" t="n"/>
      <c r="F101" s="138" t="n"/>
      <c r="G101" s="138" t="n"/>
      <c r="H101" s="138" t="n"/>
      <c r="I101" s="138" t="n"/>
      <c r="J101" s="138" t="n"/>
      <c r="K101" s="138" t="n"/>
      <c r="L101" s="138" t="n"/>
      <c r="M101" s="137">
        <f>IF($C101="","",ROUND($J101*$L101*IF($D101="Alınan",1,-1),2))</f>
        <v/>
      </c>
      <c r="N101" s="138" t="n"/>
      <c r="O101" s="138" t="n"/>
      <c r="P101" s="138" t="n"/>
      <c r="Q101" s="138" t="n"/>
      <c r="R101" s="138" t="n"/>
      <c r="S101" s="138" t="n"/>
      <c r="T101" s="138" t="n"/>
      <c r="U101" s="138" t="n"/>
      <c r="V101" s="138" t="n"/>
      <c r="W101" s="138" t="n"/>
      <c r="X101" s="138" t="n"/>
      <c r="Y101" s="138" t="n"/>
      <c r="Z101" s="138" t="n"/>
      <c r="AA101" s="138" t="n"/>
      <c r="AB101" s="138" t="n"/>
      <c r="AC101" s="138" t="n"/>
      <c r="AD101" s="137">
        <f>IF($C101="","",IF(COUNTIFS($C$6:$C$1000,$C101,$G$6:$G$1000,$G101,$J$6:$J$1000,$J101)&gt;1,"MÜKERRER","OK"))</f>
        <v/>
      </c>
      <c r="AE101" s="137">
        <f>IF($Y101="","",IFERROR(VLOOKUP($Y101,RiskKatsayilari,2,FALSE()),0))</f>
        <v/>
      </c>
      <c r="AF101" s="137">
        <f>IF(OR($M101="",$AE101=""),"",ROUND(ABS($M101)*$AE101,2))</f>
        <v/>
      </c>
      <c r="AG101" s="137">
        <f>IF($G101="","",IFERROR(INDEX(CARI_KARTLARI!$I$6:$I$1000,MATCH($G101,CARI_KARTLARI!$A$6:$A$1000,0)),"VERİ YETERSİZ"))</f>
        <v/>
      </c>
    </row>
    <row r="102" ht="18" customHeight="1" s="102">
      <c r="A102" s="137">
        <f>IF($C102="","","CKS-"&amp;TEXT(ROW()-BaslangicSatir,"000000"))</f>
        <v/>
      </c>
      <c r="B102" s="138" t="n"/>
      <c r="C102" s="138" t="n"/>
      <c r="D102" s="138" t="n"/>
      <c r="E102" s="138" t="n"/>
      <c r="F102" s="138" t="n"/>
      <c r="G102" s="138" t="n"/>
      <c r="H102" s="138" t="n"/>
      <c r="I102" s="138" t="n"/>
      <c r="J102" s="138" t="n"/>
      <c r="K102" s="138" t="n"/>
      <c r="L102" s="138" t="n"/>
      <c r="M102" s="137">
        <f>IF($C102="","",ROUND($J102*$L102*IF($D102="Alınan",1,-1),2))</f>
        <v/>
      </c>
      <c r="N102" s="138" t="n"/>
      <c r="O102" s="138" t="n"/>
      <c r="P102" s="138" t="n"/>
      <c r="Q102" s="138" t="n"/>
      <c r="R102" s="138" t="n"/>
      <c r="S102" s="138" t="n"/>
      <c r="T102" s="138" t="n"/>
      <c r="U102" s="138" t="n"/>
      <c r="V102" s="138" t="n"/>
      <c r="W102" s="138" t="n"/>
      <c r="X102" s="138" t="n"/>
      <c r="Y102" s="138" t="n"/>
      <c r="Z102" s="138" t="n"/>
      <c r="AA102" s="138" t="n"/>
      <c r="AB102" s="138" t="n"/>
      <c r="AC102" s="138" t="n"/>
      <c r="AD102" s="137">
        <f>IF($C102="","",IF(COUNTIFS($C$6:$C$1000,$C102,$G$6:$G$1000,$G102,$J$6:$J$1000,$J102)&gt;1,"MÜKERRER","OK"))</f>
        <v/>
      </c>
      <c r="AE102" s="137">
        <f>IF($Y102="","",IFERROR(VLOOKUP($Y102,RiskKatsayilari,2,FALSE()),0))</f>
        <v/>
      </c>
      <c r="AF102" s="137">
        <f>IF(OR($M102="",$AE102=""),"",ROUND(ABS($M102)*$AE102,2))</f>
        <v/>
      </c>
      <c r="AG102" s="137">
        <f>IF($G102="","",IFERROR(INDEX(CARI_KARTLARI!$I$6:$I$1000,MATCH($G102,CARI_KARTLARI!$A$6:$A$1000,0)),"VERİ YETERSİZ"))</f>
        <v/>
      </c>
    </row>
    <row r="103" ht="18" customHeight="1" s="102">
      <c r="A103" s="137">
        <f>IF($C103="","","CKS-"&amp;TEXT(ROW()-BaslangicSatir,"000000"))</f>
        <v/>
      </c>
      <c r="B103" s="138" t="n"/>
      <c r="C103" s="138" t="n"/>
      <c r="D103" s="138" t="n"/>
      <c r="E103" s="138" t="n"/>
      <c r="F103" s="138" t="n"/>
      <c r="G103" s="138" t="n"/>
      <c r="H103" s="138" t="n"/>
      <c r="I103" s="138" t="n"/>
      <c r="J103" s="138" t="n"/>
      <c r="K103" s="138" t="n"/>
      <c r="L103" s="138" t="n"/>
      <c r="M103" s="137">
        <f>IF($C103="","",ROUND($J103*$L103*IF($D103="Alınan",1,-1),2))</f>
        <v/>
      </c>
      <c r="N103" s="138" t="n"/>
      <c r="O103" s="138" t="n"/>
      <c r="P103" s="138" t="n"/>
      <c r="Q103" s="138" t="n"/>
      <c r="R103" s="138" t="n"/>
      <c r="S103" s="138" t="n"/>
      <c r="T103" s="138" t="n"/>
      <c r="U103" s="138" t="n"/>
      <c r="V103" s="138" t="n"/>
      <c r="W103" s="138" t="n"/>
      <c r="X103" s="138" t="n"/>
      <c r="Y103" s="138" t="n"/>
      <c r="Z103" s="138" t="n"/>
      <c r="AA103" s="138" t="n"/>
      <c r="AB103" s="138" t="n"/>
      <c r="AC103" s="138" t="n"/>
      <c r="AD103" s="137">
        <f>IF($C103="","",IF(COUNTIFS($C$6:$C$1000,$C103,$G$6:$G$1000,$G103,$J$6:$J$1000,$J103)&gt;1,"MÜKERRER","OK"))</f>
        <v/>
      </c>
      <c r="AE103" s="137">
        <f>IF($Y103="","",IFERROR(VLOOKUP($Y103,RiskKatsayilari,2,FALSE()),0))</f>
        <v/>
      </c>
      <c r="AF103" s="137">
        <f>IF(OR($M103="",$AE103=""),"",ROUND(ABS($M103)*$AE103,2))</f>
        <v/>
      </c>
      <c r="AG103" s="137">
        <f>IF($G103="","",IFERROR(INDEX(CARI_KARTLARI!$I$6:$I$1000,MATCH($G103,CARI_KARTLARI!$A$6:$A$1000,0)),"VERİ YETERSİZ"))</f>
        <v/>
      </c>
    </row>
    <row r="104" ht="18" customHeight="1" s="102">
      <c r="A104" s="137">
        <f>IF($C104="","","CKS-"&amp;TEXT(ROW()-BaslangicSatir,"000000"))</f>
        <v/>
      </c>
      <c r="B104" s="138" t="n"/>
      <c r="C104" s="138" t="n"/>
      <c r="D104" s="138" t="n"/>
      <c r="E104" s="138" t="n"/>
      <c r="F104" s="138" t="n"/>
      <c r="G104" s="138" t="n"/>
      <c r="H104" s="138" t="n"/>
      <c r="I104" s="138" t="n"/>
      <c r="J104" s="138" t="n"/>
      <c r="K104" s="138" t="n"/>
      <c r="L104" s="138" t="n"/>
      <c r="M104" s="137">
        <f>IF($C104="","",ROUND($J104*$L104*IF($D104="Alınan",1,-1),2))</f>
        <v/>
      </c>
      <c r="N104" s="138" t="n"/>
      <c r="O104" s="138" t="n"/>
      <c r="P104" s="138" t="n"/>
      <c r="Q104" s="138" t="n"/>
      <c r="R104" s="138" t="n"/>
      <c r="S104" s="138" t="n"/>
      <c r="T104" s="138" t="n"/>
      <c r="U104" s="138" t="n"/>
      <c r="V104" s="138" t="n"/>
      <c r="W104" s="138" t="n"/>
      <c r="X104" s="138" t="n"/>
      <c r="Y104" s="138" t="n"/>
      <c r="Z104" s="138" t="n"/>
      <c r="AA104" s="138" t="n"/>
      <c r="AB104" s="138" t="n"/>
      <c r="AC104" s="138" t="n"/>
      <c r="AD104" s="137">
        <f>IF($C104="","",IF(COUNTIFS($C$6:$C$1000,$C104,$G$6:$G$1000,$G104,$J$6:$J$1000,$J104)&gt;1,"MÜKERRER","OK"))</f>
        <v/>
      </c>
      <c r="AE104" s="137">
        <f>IF($Y104="","",IFERROR(VLOOKUP($Y104,RiskKatsayilari,2,FALSE()),0))</f>
        <v/>
      </c>
      <c r="AF104" s="137">
        <f>IF(OR($M104="",$AE104=""),"",ROUND(ABS($M104)*$AE104,2))</f>
        <v/>
      </c>
      <c r="AG104" s="137">
        <f>IF($G104="","",IFERROR(INDEX(CARI_KARTLARI!$I$6:$I$1000,MATCH($G104,CARI_KARTLARI!$A$6:$A$1000,0)),"VERİ YETERSİZ"))</f>
        <v/>
      </c>
    </row>
    <row r="105" ht="18" customHeight="1" s="102">
      <c r="A105" s="137">
        <f>IF($C105="","","CKS-"&amp;TEXT(ROW()-BaslangicSatir,"000000"))</f>
        <v/>
      </c>
      <c r="B105" s="138" t="n"/>
      <c r="C105" s="138" t="n"/>
      <c r="D105" s="138" t="n"/>
      <c r="E105" s="138" t="n"/>
      <c r="F105" s="138" t="n"/>
      <c r="G105" s="138" t="n"/>
      <c r="H105" s="138" t="n"/>
      <c r="I105" s="138" t="n"/>
      <c r="J105" s="138" t="n"/>
      <c r="K105" s="138" t="n"/>
      <c r="L105" s="138" t="n"/>
      <c r="M105" s="137">
        <f>IF($C105="","",ROUND($J105*$L105*IF($D105="Alınan",1,-1),2))</f>
        <v/>
      </c>
      <c r="N105" s="138" t="n"/>
      <c r="O105" s="138" t="n"/>
      <c r="P105" s="138" t="n"/>
      <c r="Q105" s="138" t="n"/>
      <c r="R105" s="138" t="n"/>
      <c r="S105" s="138" t="n"/>
      <c r="T105" s="138" t="n"/>
      <c r="U105" s="138" t="n"/>
      <c r="V105" s="138" t="n"/>
      <c r="W105" s="138" t="n"/>
      <c r="X105" s="138" t="n"/>
      <c r="Y105" s="138" t="n"/>
      <c r="Z105" s="138" t="n"/>
      <c r="AA105" s="138" t="n"/>
      <c r="AB105" s="138" t="n"/>
      <c r="AC105" s="138" t="n"/>
      <c r="AD105" s="137">
        <f>IF($C105="","",IF(COUNTIFS($C$6:$C$1000,$C105,$G$6:$G$1000,$G105,$J$6:$J$1000,$J105)&gt;1,"MÜKERRER","OK"))</f>
        <v/>
      </c>
      <c r="AE105" s="137">
        <f>IF($Y105="","",IFERROR(VLOOKUP($Y105,RiskKatsayilari,2,FALSE()),0))</f>
        <v/>
      </c>
      <c r="AF105" s="137">
        <f>IF(OR($M105="",$AE105=""),"",ROUND(ABS($M105)*$AE105,2))</f>
        <v/>
      </c>
      <c r="AG105" s="137">
        <f>IF($G105="","",IFERROR(INDEX(CARI_KARTLARI!$I$6:$I$1000,MATCH($G105,CARI_KARTLARI!$A$6:$A$1000,0)),"VERİ YETERSİZ"))</f>
        <v/>
      </c>
    </row>
    <row r="106" ht="18" customHeight="1" s="102">
      <c r="A106" s="137">
        <f>IF($C106="","","CKS-"&amp;TEXT(ROW()-BaslangicSatir,"000000"))</f>
        <v/>
      </c>
      <c r="B106" s="138" t="n"/>
      <c r="C106" s="138" t="n"/>
      <c r="D106" s="138" t="n"/>
      <c r="E106" s="138" t="n"/>
      <c r="F106" s="138" t="n"/>
      <c r="G106" s="138" t="n"/>
      <c r="H106" s="138" t="n"/>
      <c r="I106" s="138" t="n"/>
      <c r="J106" s="138" t="n"/>
      <c r="K106" s="138" t="n"/>
      <c r="L106" s="138" t="n"/>
      <c r="M106" s="137">
        <f>IF($C106="","",ROUND($J106*$L106*IF($D106="Alınan",1,-1),2))</f>
        <v/>
      </c>
      <c r="N106" s="138" t="n"/>
      <c r="O106" s="138" t="n"/>
      <c r="P106" s="138" t="n"/>
      <c r="Q106" s="138" t="n"/>
      <c r="R106" s="138" t="n"/>
      <c r="S106" s="138" t="n"/>
      <c r="T106" s="138" t="n"/>
      <c r="U106" s="138" t="n"/>
      <c r="V106" s="138" t="n"/>
      <c r="W106" s="138" t="n"/>
      <c r="X106" s="138" t="n"/>
      <c r="Y106" s="138" t="n"/>
      <c r="Z106" s="138" t="n"/>
      <c r="AA106" s="138" t="n"/>
      <c r="AB106" s="138" t="n"/>
      <c r="AC106" s="138" t="n"/>
      <c r="AD106" s="137">
        <f>IF($C106="","",IF(COUNTIFS($C$6:$C$1000,$C106,$G$6:$G$1000,$G106,$J$6:$J$1000,$J106)&gt;1,"MÜKERRER","OK"))</f>
        <v/>
      </c>
      <c r="AE106" s="137">
        <f>IF($Y106="","",IFERROR(VLOOKUP($Y106,RiskKatsayilari,2,FALSE()),0))</f>
        <v/>
      </c>
      <c r="AF106" s="137">
        <f>IF(OR($M106="",$AE106=""),"",ROUND(ABS($M106)*$AE106,2))</f>
        <v/>
      </c>
      <c r="AG106" s="137">
        <f>IF($G106="","",IFERROR(INDEX(CARI_KARTLARI!$I$6:$I$1000,MATCH($G106,CARI_KARTLARI!$A$6:$A$1000,0)),"VERİ YETERSİZ"))</f>
        <v/>
      </c>
    </row>
    <row r="107" ht="18" customHeight="1" s="102">
      <c r="A107" s="137">
        <f>IF($C107="","","CKS-"&amp;TEXT(ROW()-BaslangicSatir,"000000"))</f>
        <v/>
      </c>
      <c r="B107" s="138" t="n"/>
      <c r="C107" s="138" t="n"/>
      <c r="D107" s="138" t="n"/>
      <c r="E107" s="138" t="n"/>
      <c r="F107" s="138" t="n"/>
      <c r="G107" s="138" t="n"/>
      <c r="H107" s="138" t="n"/>
      <c r="I107" s="138" t="n"/>
      <c r="J107" s="138" t="n"/>
      <c r="K107" s="138" t="n"/>
      <c r="L107" s="138" t="n"/>
      <c r="M107" s="137">
        <f>IF($C107="","",ROUND($J107*$L107*IF($D107="Alınan",1,-1),2))</f>
        <v/>
      </c>
      <c r="N107" s="138" t="n"/>
      <c r="O107" s="138" t="n"/>
      <c r="P107" s="138" t="n"/>
      <c r="Q107" s="138" t="n"/>
      <c r="R107" s="138" t="n"/>
      <c r="S107" s="138" t="n"/>
      <c r="T107" s="138" t="n"/>
      <c r="U107" s="138" t="n"/>
      <c r="V107" s="138" t="n"/>
      <c r="W107" s="138" t="n"/>
      <c r="X107" s="138" t="n"/>
      <c r="Y107" s="138" t="n"/>
      <c r="Z107" s="138" t="n"/>
      <c r="AA107" s="138" t="n"/>
      <c r="AB107" s="138" t="n"/>
      <c r="AC107" s="138" t="n"/>
      <c r="AD107" s="137">
        <f>IF($C107="","",IF(COUNTIFS($C$6:$C$1000,$C107,$G$6:$G$1000,$G107,$J$6:$J$1000,$J107)&gt;1,"MÜKERRER","OK"))</f>
        <v/>
      </c>
      <c r="AE107" s="137">
        <f>IF($Y107="","",IFERROR(VLOOKUP($Y107,RiskKatsayilari,2,FALSE()),0))</f>
        <v/>
      </c>
      <c r="AF107" s="137">
        <f>IF(OR($M107="",$AE107=""),"",ROUND(ABS($M107)*$AE107,2))</f>
        <v/>
      </c>
      <c r="AG107" s="137">
        <f>IF($G107="","",IFERROR(INDEX(CARI_KARTLARI!$I$6:$I$1000,MATCH($G107,CARI_KARTLARI!$A$6:$A$1000,0)),"VERİ YETERSİZ"))</f>
        <v/>
      </c>
    </row>
    <row r="108" ht="18" customHeight="1" s="102">
      <c r="A108" s="137">
        <f>IF($C108="","","CKS-"&amp;TEXT(ROW()-BaslangicSatir,"000000"))</f>
        <v/>
      </c>
      <c r="B108" s="138" t="n"/>
      <c r="C108" s="138" t="n"/>
      <c r="D108" s="138" t="n"/>
      <c r="E108" s="138" t="n"/>
      <c r="F108" s="138" t="n"/>
      <c r="G108" s="138" t="n"/>
      <c r="H108" s="138" t="n"/>
      <c r="I108" s="138" t="n"/>
      <c r="J108" s="138" t="n"/>
      <c r="K108" s="138" t="n"/>
      <c r="L108" s="138" t="n"/>
      <c r="M108" s="137">
        <f>IF($C108="","",ROUND($J108*$L108*IF($D108="Alınan",1,-1),2))</f>
        <v/>
      </c>
      <c r="N108" s="138" t="n"/>
      <c r="O108" s="138" t="n"/>
      <c r="P108" s="138" t="n"/>
      <c r="Q108" s="138" t="n"/>
      <c r="R108" s="138" t="n"/>
      <c r="S108" s="138" t="n"/>
      <c r="T108" s="138" t="n"/>
      <c r="U108" s="138" t="n"/>
      <c r="V108" s="138" t="n"/>
      <c r="W108" s="138" t="n"/>
      <c r="X108" s="138" t="n"/>
      <c r="Y108" s="138" t="n"/>
      <c r="Z108" s="138" t="n"/>
      <c r="AA108" s="138" t="n"/>
      <c r="AB108" s="138" t="n"/>
      <c r="AC108" s="138" t="n"/>
      <c r="AD108" s="137">
        <f>IF($C108="","",IF(COUNTIFS($C$6:$C$1000,$C108,$G$6:$G$1000,$G108,$J$6:$J$1000,$J108)&gt;1,"MÜKERRER","OK"))</f>
        <v/>
      </c>
      <c r="AE108" s="137">
        <f>IF($Y108="","",IFERROR(VLOOKUP($Y108,RiskKatsayilari,2,FALSE()),0))</f>
        <v/>
      </c>
      <c r="AF108" s="137">
        <f>IF(OR($M108="",$AE108=""),"",ROUND(ABS($M108)*$AE108,2))</f>
        <v/>
      </c>
      <c r="AG108" s="137">
        <f>IF($G108="","",IFERROR(INDEX(CARI_KARTLARI!$I$6:$I$1000,MATCH($G108,CARI_KARTLARI!$A$6:$A$1000,0)),"VERİ YETERSİZ"))</f>
        <v/>
      </c>
    </row>
    <row r="109" ht="18" customHeight="1" s="102">
      <c r="A109" s="137">
        <f>IF($C109="","","CKS-"&amp;TEXT(ROW()-BaslangicSatir,"000000"))</f>
        <v/>
      </c>
      <c r="B109" s="138" t="n"/>
      <c r="C109" s="138" t="n"/>
      <c r="D109" s="138" t="n"/>
      <c r="E109" s="138" t="n"/>
      <c r="F109" s="138" t="n"/>
      <c r="G109" s="138" t="n"/>
      <c r="H109" s="138" t="n"/>
      <c r="I109" s="138" t="n"/>
      <c r="J109" s="138" t="n"/>
      <c r="K109" s="138" t="n"/>
      <c r="L109" s="138" t="n"/>
      <c r="M109" s="137">
        <f>IF($C109="","",ROUND($J109*$L109*IF($D109="Alınan",1,-1),2))</f>
        <v/>
      </c>
      <c r="N109" s="138" t="n"/>
      <c r="O109" s="138" t="n"/>
      <c r="P109" s="138" t="n"/>
      <c r="Q109" s="138" t="n"/>
      <c r="R109" s="138" t="n"/>
      <c r="S109" s="138" t="n"/>
      <c r="T109" s="138" t="n"/>
      <c r="U109" s="138" t="n"/>
      <c r="V109" s="138" t="n"/>
      <c r="W109" s="138" t="n"/>
      <c r="X109" s="138" t="n"/>
      <c r="Y109" s="138" t="n"/>
      <c r="Z109" s="138" t="n"/>
      <c r="AA109" s="138" t="n"/>
      <c r="AB109" s="138" t="n"/>
      <c r="AC109" s="138" t="n"/>
      <c r="AD109" s="137">
        <f>IF($C109="","",IF(COUNTIFS($C$6:$C$1000,$C109,$G$6:$G$1000,$G109,$J$6:$J$1000,$J109)&gt;1,"MÜKERRER","OK"))</f>
        <v/>
      </c>
      <c r="AE109" s="137">
        <f>IF($Y109="","",IFERROR(VLOOKUP($Y109,RiskKatsayilari,2,FALSE()),0))</f>
        <v/>
      </c>
      <c r="AF109" s="137">
        <f>IF(OR($M109="",$AE109=""),"",ROUND(ABS($M109)*$AE109,2))</f>
        <v/>
      </c>
      <c r="AG109" s="137">
        <f>IF($G109="","",IFERROR(INDEX(CARI_KARTLARI!$I$6:$I$1000,MATCH($G109,CARI_KARTLARI!$A$6:$A$1000,0)),"VERİ YETERSİZ"))</f>
        <v/>
      </c>
    </row>
    <row r="110" ht="18" customHeight="1" s="102">
      <c r="A110" s="137">
        <f>IF($C110="","","CKS-"&amp;TEXT(ROW()-BaslangicSatir,"000000"))</f>
        <v/>
      </c>
      <c r="B110" s="138" t="n"/>
      <c r="C110" s="138" t="n"/>
      <c r="D110" s="138" t="n"/>
      <c r="E110" s="138" t="n"/>
      <c r="F110" s="138" t="n"/>
      <c r="G110" s="138" t="n"/>
      <c r="H110" s="138" t="n"/>
      <c r="I110" s="138" t="n"/>
      <c r="J110" s="138" t="n"/>
      <c r="K110" s="138" t="n"/>
      <c r="L110" s="138" t="n"/>
      <c r="M110" s="137">
        <f>IF($C110="","",ROUND($J110*$L110*IF($D110="Alınan",1,-1),2))</f>
        <v/>
      </c>
      <c r="N110" s="138" t="n"/>
      <c r="O110" s="138" t="n"/>
      <c r="P110" s="138" t="n"/>
      <c r="Q110" s="138" t="n"/>
      <c r="R110" s="138" t="n"/>
      <c r="S110" s="138" t="n"/>
      <c r="T110" s="138" t="n"/>
      <c r="U110" s="138" t="n"/>
      <c r="V110" s="138" t="n"/>
      <c r="W110" s="138" t="n"/>
      <c r="X110" s="138" t="n"/>
      <c r="Y110" s="138" t="n"/>
      <c r="Z110" s="138" t="n"/>
      <c r="AA110" s="138" t="n"/>
      <c r="AB110" s="138" t="n"/>
      <c r="AC110" s="138" t="n"/>
      <c r="AD110" s="137">
        <f>IF($C110="","",IF(COUNTIFS($C$6:$C$1000,$C110,$G$6:$G$1000,$G110,$J$6:$J$1000,$J110)&gt;1,"MÜKERRER","OK"))</f>
        <v/>
      </c>
      <c r="AE110" s="137">
        <f>IF($Y110="","",IFERROR(VLOOKUP($Y110,RiskKatsayilari,2,FALSE()),0))</f>
        <v/>
      </c>
      <c r="AF110" s="137">
        <f>IF(OR($M110="",$AE110=""),"",ROUND(ABS($M110)*$AE110,2))</f>
        <v/>
      </c>
      <c r="AG110" s="137">
        <f>IF($G110="","",IFERROR(INDEX(CARI_KARTLARI!$I$6:$I$1000,MATCH($G110,CARI_KARTLARI!$A$6:$A$1000,0)),"VERİ YETERSİZ"))</f>
        <v/>
      </c>
    </row>
    <row r="111" ht="18" customHeight="1" s="102">
      <c r="A111" s="137">
        <f>IF($C111="","","CKS-"&amp;TEXT(ROW()-BaslangicSatir,"000000"))</f>
        <v/>
      </c>
      <c r="B111" s="138" t="n"/>
      <c r="C111" s="138" t="n"/>
      <c r="D111" s="138" t="n"/>
      <c r="E111" s="138" t="n"/>
      <c r="F111" s="138" t="n"/>
      <c r="G111" s="138" t="n"/>
      <c r="H111" s="138" t="n"/>
      <c r="I111" s="138" t="n"/>
      <c r="J111" s="138" t="n"/>
      <c r="K111" s="138" t="n"/>
      <c r="L111" s="138" t="n"/>
      <c r="M111" s="137">
        <f>IF($C111="","",ROUND($J111*$L111*IF($D111="Alınan",1,-1),2))</f>
        <v/>
      </c>
      <c r="N111" s="138" t="n"/>
      <c r="O111" s="138" t="n"/>
      <c r="P111" s="138" t="n"/>
      <c r="Q111" s="138" t="n"/>
      <c r="R111" s="138" t="n"/>
      <c r="S111" s="138" t="n"/>
      <c r="T111" s="138" t="n"/>
      <c r="U111" s="138" t="n"/>
      <c r="V111" s="138" t="n"/>
      <c r="W111" s="138" t="n"/>
      <c r="X111" s="138" t="n"/>
      <c r="Y111" s="138" t="n"/>
      <c r="Z111" s="138" t="n"/>
      <c r="AA111" s="138" t="n"/>
      <c r="AB111" s="138" t="n"/>
      <c r="AC111" s="138" t="n"/>
      <c r="AD111" s="137">
        <f>IF($C111="","",IF(COUNTIFS($C$6:$C$1000,$C111,$G$6:$G$1000,$G111,$J$6:$J$1000,$J111)&gt;1,"MÜKERRER","OK"))</f>
        <v/>
      </c>
      <c r="AE111" s="137">
        <f>IF($Y111="","",IFERROR(VLOOKUP($Y111,RiskKatsayilari,2,FALSE()),0))</f>
        <v/>
      </c>
      <c r="AF111" s="137">
        <f>IF(OR($M111="",$AE111=""),"",ROUND(ABS($M111)*$AE111,2))</f>
        <v/>
      </c>
      <c r="AG111" s="137">
        <f>IF($G111="","",IFERROR(INDEX(CARI_KARTLARI!$I$6:$I$1000,MATCH($G111,CARI_KARTLARI!$A$6:$A$1000,0)),"VERİ YETERSİZ"))</f>
        <v/>
      </c>
    </row>
    <row r="112" ht="18" customHeight="1" s="102">
      <c r="A112" s="137">
        <f>IF($C112="","","CKS-"&amp;TEXT(ROW()-BaslangicSatir,"000000"))</f>
        <v/>
      </c>
      <c r="B112" s="138" t="n"/>
      <c r="C112" s="138" t="n"/>
      <c r="D112" s="138" t="n"/>
      <c r="E112" s="138" t="n"/>
      <c r="F112" s="138" t="n"/>
      <c r="G112" s="138" t="n"/>
      <c r="H112" s="138" t="n"/>
      <c r="I112" s="138" t="n"/>
      <c r="J112" s="138" t="n"/>
      <c r="K112" s="138" t="n"/>
      <c r="L112" s="138" t="n"/>
      <c r="M112" s="137">
        <f>IF($C112="","",ROUND($J112*$L112*IF($D112="Alınan",1,-1),2))</f>
        <v/>
      </c>
      <c r="N112" s="138" t="n"/>
      <c r="O112" s="138" t="n"/>
      <c r="P112" s="138" t="n"/>
      <c r="Q112" s="138" t="n"/>
      <c r="R112" s="138" t="n"/>
      <c r="S112" s="138" t="n"/>
      <c r="T112" s="138" t="n"/>
      <c r="U112" s="138" t="n"/>
      <c r="V112" s="138" t="n"/>
      <c r="W112" s="138" t="n"/>
      <c r="X112" s="138" t="n"/>
      <c r="Y112" s="138" t="n"/>
      <c r="Z112" s="138" t="n"/>
      <c r="AA112" s="138" t="n"/>
      <c r="AB112" s="138" t="n"/>
      <c r="AC112" s="138" t="n"/>
      <c r="AD112" s="137">
        <f>IF($C112="","",IF(COUNTIFS($C$6:$C$1000,$C112,$G$6:$G$1000,$G112,$J$6:$J$1000,$J112)&gt;1,"MÜKERRER","OK"))</f>
        <v/>
      </c>
      <c r="AE112" s="137">
        <f>IF($Y112="","",IFERROR(VLOOKUP($Y112,RiskKatsayilari,2,FALSE()),0))</f>
        <v/>
      </c>
      <c r="AF112" s="137">
        <f>IF(OR($M112="",$AE112=""),"",ROUND(ABS($M112)*$AE112,2))</f>
        <v/>
      </c>
      <c r="AG112" s="137">
        <f>IF($G112="","",IFERROR(INDEX(CARI_KARTLARI!$I$6:$I$1000,MATCH($G112,CARI_KARTLARI!$A$6:$A$1000,0)),"VERİ YETERSİZ"))</f>
        <v/>
      </c>
    </row>
    <row r="113" ht="18" customHeight="1" s="102">
      <c r="A113" s="137">
        <f>IF($C113="","","CKS-"&amp;TEXT(ROW()-BaslangicSatir,"000000"))</f>
        <v/>
      </c>
      <c r="B113" s="138" t="n"/>
      <c r="C113" s="138" t="n"/>
      <c r="D113" s="138" t="n"/>
      <c r="E113" s="138" t="n"/>
      <c r="F113" s="138" t="n"/>
      <c r="G113" s="138" t="n"/>
      <c r="H113" s="138" t="n"/>
      <c r="I113" s="138" t="n"/>
      <c r="J113" s="138" t="n"/>
      <c r="K113" s="138" t="n"/>
      <c r="L113" s="138" t="n"/>
      <c r="M113" s="137">
        <f>IF($C113="","",ROUND($J113*$L113*IF($D113="Alınan",1,-1),2))</f>
        <v/>
      </c>
      <c r="N113" s="138" t="n"/>
      <c r="O113" s="138" t="n"/>
      <c r="P113" s="138" t="n"/>
      <c r="Q113" s="138" t="n"/>
      <c r="R113" s="138" t="n"/>
      <c r="S113" s="138" t="n"/>
      <c r="T113" s="138" t="n"/>
      <c r="U113" s="138" t="n"/>
      <c r="V113" s="138" t="n"/>
      <c r="W113" s="138" t="n"/>
      <c r="X113" s="138" t="n"/>
      <c r="Y113" s="138" t="n"/>
      <c r="Z113" s="138" t="n"/>
      <c r="AA113" s="138" t="n"/>
      <c r="AB113" s="138" t="n"/>
      <c r="AC113" s="138" t="n"/>
      <c r="AD113" s="137">
        <f>IF($C113="","",IF(COUNTIFS($C$6:$C$1000,$C113,$G$6:$G$1000,$G113,$J$6:$J$1000,$J113)&gt;1,"MÜKERRER","OK"))</f>
        <v/>
      </c>
      <c r="AE113" s="137">
        <f>IF($Y113="","",IFERROR(VLOOKUP($Y113,RiskKatsayilari,2,FALSE()),0))</f>
        <v/>
      </c>
      <c r="AF113" s="137">
        <f>IF(OR($M113="",$AE113=""),"",ROUND(ABS($M113)*$AE113,2))</f>
        <v/>
      </c>
      <c r="AG113" s="137">
        <f>IF($G113="","",IFERROR(INDEX(CARI_KARTLARI!$I$6:$I$1000,MATCH($G113,CARI_KARTLARI!$A$6:$A$1000,0)),"VERİ YETERSİZ"))</f>
        <v/>
      </c>
    </row>
    <row r="114" ht="18" customHeight="1" s="102">
      <c r="A114" s="137">
        <f>IF($C114="","","CKS-"&amp;TEXT(ROW()-BaslangicSatir,"000000"))</f>
        <v/>
      </c>
      <c r="B114" s="138" t="n"/>
      <c r="C114" s="138" t="n"/>
      <c r="D114" s="138" t="n"/>
      <c r="E114" s="138" t="n"/>
      <c r="F114" s="138" t="n"/>
      <c r="G114" s="138" t="n"/>
      <c r="H114" s="138" t="n"/>
      <c r="I114" s="138" t="n"/>
      <c r="J114" s="138" t="n"/>
      <c r="K114" s="138" t="n"/>
      <c r="L114" s="138" t="n"/>
      <c r="M114" s="137">
        <f>IF($C114="","",ROUND($J114*$L114*IF($D114="Alınan",1,-1),2))</f>
        <v/>
      </c>
      <c r="N114" s="138" t="n"/>
      <c r="O114" s="138" t="n"/>
      <c r="P114" s="138" t="n"/>
      <c r="Q114" s="138" t="n"/>
      <c r="R114" s="138" t="n"/>
      <c r="S114" s="138" t="n"/>
      <c r="T114" s="138" t="n"/>
      <c r="U114" s="138" t="n"/>
      <c r="V114" s="138" t="n"/>
      <c r="W114" s="138" t="n"/>
      <c r="X114" s="138" t="n"/>
      <c r="Y114" s="138" t="n"/>
      <c r="Z114" s="138" t="n"/>
      <c r="AA114" s="138" t="n"/>
      <c r="AB114" s="138" t="n"/>
      <c r="AC114" s="138" t="n"/>
      <c r="AD114" s="137">
        <f>IF($C114="","",IF(COUNTIFS($C$6:$C$1000,$C114,$G$6:$G$1000,$G114,$J$6:$J$1000,$J114)&gt;1,"MÜKERRER","OK"))</f>
        <v/>
      </c>
      <c r="AE114" s="137">
        <f>IF($Y114="","",IFERROR(VLOOKUP($Y114,RiskKatsayilari,2,FALSE()),0))</f>
        <v/>
      </c>
      <c r="AF114" s="137">
        <f>IF(OR($M114="",$AE114=""),"",ROUND(ABS($M114)*$AE114,2))</f>
        <v/>
      </c>
      <c r="AG114" s="137">
        <f>IF($G114="","",IFERROR(INDEX(CARI_KARTLARI!$I$6:$I$1000,MATCH($G114,CARI_KARTLARI!$A$6:$A$1000,0)),"VERİ YETERSİZ"))</f>
        <v/>
      </c>
    </row>
    <row r="115" ht="18" customHeight="1" s="102">
      <c r="A115" s="137">
        <f>IF($C115="","","CKS-"&amp;TEXT(ROW()-BaslangicSatir,"000000"))</f>
        <v/>
      </c>
      <c r="B115" s="138" t="n"/>
      <c r="C115" s="138" t="n"/>
      <c r="D115" s="138" t="n"/>
      <c r="E115" s="138" t="n"/>
      <c r="F115" s="138" t="n"/>
      <c r="G115" s="138" t="n"/>
      <c r="H115" s="138" t="n"/>
      <c r="I115" s="138" t="n"/>
      <c r="J115" s="138" t="n"/>
      <c r="K115" s="138" t="n"/>
      <c r="L115" s="138" t="n"/>
      <c r="M115" s="137">
        <f>IF($C115="","",ROUND($J115*$L115*IF($D115="Alınan",1,-1),2))</f>
        <v/>
      </c>
      <c r="N115" s="138" t="n"/>
      <c r="O115" s="138" t="n"/>
      <c r="P115" s="138" t="n"/>
      <c r="Q115" s="138" t="n"/>
      <c r="R115" s="138" t="n"/>
      <c r="S115" s="138" t="n"/>
      <c r="T115" s="138" t="n"/>
      <c r="U115" s="138" t="n"/>
      <c r="V115" s="138" t="n"/>
      <c r="W115" s="138" t="n"/>
      <c r="X115" s="138" t="n"/>
      <c r="Y115" s="138" t="n"/>
      <c r="Z115" s="138" t="n"/>
      <c r="AA115" s="138" t="n"/>
      <c r="AB115" s="138" t="n"/>
      <c r="AC115" s="138" t="n"/>
      <c r="AD115" s="137">
        <f>IF($C115="","",IF(COUNTIFS($C$6:$C$1000,$C115,$G$6:$G$1000,$G115,$J$6:$J$1000,$J115)&gt;1,"MÜKERRER","OK"))</f>
        <v/>
      </c>
      <c r="AE115" s="137">
        <f>IF($Y115="","",IFERROR(VLOOKUP($Y115,RiskKatsayilari,2,FALSE()),0))</f>
        <v/>
      </c>
      <c r="AF115" s="137">
        <f>IF(OR($M115="",$AE115=""),"",ROUND(ABS($M115)*$AE115,2))</f>
        <v/>
      </c>
      <c r="AG115" s="137">
        <f>IF($G115="","",IFERROR(INDEX(CARI_KARTLARI!$I$6:$I$1000,MATCH($G115,CARI_KARTLARI!$A$6:$A$1000,0)),"VERİ YETERSİZ"))</f>
        <v/>
      </c>
    </row>
    <row r="116" ht="18" customHeight="1" s="102">
      <c r="A116" s="137">
        <f>IF($C116="","","CKS-"&amp;TEXT(ROW()-BaslangicSatir,"000000"))</f>
        <v/>
      </c>
      <c r="B116" s="138" t="n"/>
      <c r="C116" s="138" t="n"/>
      <c r="D116" s="138" t="n"/>
      <c r="E116" s="138" t="n"/>
      <c r="F116" s="138" t="n"/>
      <c r="G116" s="138" t="n"/>
      <c r="H116" s="138" t="n"/>
      <c r="I116" s="138" t="n"/>
      <c r="J116" s="138" t="n"/>
      <c r="K116" s="138" t="n"/>
      <c r="L116" s="138" t="n"/>
      <c r="M116" s="137">
        <f>IF($C116="","",ROUND($J116*$L116*IF($D116="Alınan",1,-1),2))</f>
        <v/>
      </c>
      <c r="N116" s="138" t="n"/>
      <c r="O116" s="138" t="n"/>
      <c r="P116" s="138" t="n"/>
      <c r="Q116" s="138" t="n"/>
      <c r="R116" s="138" t="n"/>
      <c r="S116" s="138" t="n"/>
      <c r="T116" s="138" t="n"/>
      <c r="U116" s="138" t="n"/>
      <c r="V116" s="138" t="n"/>
      <c r="W116" s="138" t="n"/>
      <c r="X116" s="138" t="n"/>
      <c r="Y116" s="138" t="n"/>
      <c r="Z116" s="138" t="n"/>
      <c r="AA116" s="138" t="n"/>
      <c r="AB116" s="138" t="n"/>
      <c r="AC116" s="138" t="n"/>
      <c r="AD116" s="137">
        <f>IF($C116="","",IF(COUNTIFS($C$6:$C$1000,$C116,$G$6:$G$1000,$G116,$J$6:$J$1000,$J116)&gt;1,"MÜKERRER","OK"))</f>
        <v/>
      </c>
      <c r="AE116" s="137">
        <f>IF($Y116="","",IFERROR(VLOOKUP($Y116,RiskKatsayilari,2,FALSE()),0))</f>
        <v/>
      </c>
      <c r="AF116" s="137">
        <f>IF(OR($M116="",$AE116=""),"",ROUND(ABS($M116)*$AE116,2))</f>
        <v/>
      </c>
      <c r="AG116" s="137">
        <f>IF($G116="","",IFERROR(INDEX(CARI_KARTLARI!$I$6:$I$1000,MATCH($G116,CARI_KARTLARI!$A$6:$A$1000,0)),"VERİ YETERSİZ"))</f>
        <v/>
      </c>
    </row>
    <row r="117" ht="18" customHeight="1" s="102">
      <c r="A117" s="137">
        <f>IF($C117="","","CKS-"&amp;TEXT(ROW()-BaslangicSatir,"000000"))</f>
        <v/>
      </c>
      <c r="B117" s="138" t="n"/>
      <c r="C117" s="138" t="n"/>
      <c r="D117" s="138" t="n"/>
      <c r="E117" s="138" t="n"/>
      <c r="F117" s="138" t="n"/>
      <c r="G117" s="138" t="n"/>
      <c r="H117" s="138" t="n"/>
      <c r="I117" s="138" t="n"/>
      <c r="J117" s="138" t="n"/>
      <c r="K117" s="138" t="n"/>
      <c r="L117" s="138" t="n"/>
      <c r="M117" s="137">
        <f>IF($C117="","",ROUND($J117*$L117*IF($D117="Alınan",1,-1),2))</f>
        <v/>
      </c>
      <c r="N117" s="138" t="n"/>
      <c r="O117" s="138" t="n"/>
      <c r="P117" s="138" t="n"/>
      <c r="Q117" s="138" t="n"/>
      <c r="R117" s="138" t="n"/>
      <c r="S117" s="138" t="n"/>
      <c r="T117" s="138" t="n"/>
      <c r="U117" s="138" t="n"/>
      <c r="V117" s="138" t="n"/>
      <c r="W117" s="138" t="n"/>
      <c r="X117" s="138" t="n"/>
      <c r="Y117" s="138" t="n"/>
      <c r="Z117" s="138" t="n"/>
      <c r="AA117" s="138" t="n"/>
      <c r="AB117" s="138" t="n"/>
      <c r="AC117" s="138" t="n"/>
      <c r="AD117" s="137">
        <f>IF($C117="","",IF(COUNTIFS($C$6:$C$1000,$C117,$G$6:$G$1000,$G117,$J$6:$J$1000,$J117)&gt;1,"MÜKERRER","OK"))</f>
        <v/>
      </c>
      <c r="AE117" s="137">
        <f>IF($Y117="","",IFERROR(VLOOKUP($Y117,RiskKatsayilari,2,FALSE()),0))</f>
        <v/>
      </c>
      <c r="AF117" s="137">
        <f>IF(OR($M117="",$AE117=""),"",ROUND(ABS($M117)*$AE117,2))</f>
        <v/>
      </c>
      <c r="AG117" s="137">
        <f>IF($G117="","",IFERROR(INDEX(CARI_KARTLARI!$I$6:$I$1000,MATCH($G117,CARI_KARTLARI!$A$6:$A$1000,0)),"VERİ YETERSİZ"))</f>
        <v/>
      </c>
    </row>
    <row r="118" ht="18" customHeight="1" s="102">
      <c r="A118" s="137">
        <f>IF($C118="","","CKS-"&amp;TEXT(ROW()-BaslangicSatir,"000000"))</f>
        <v/>
      </c>
      <c r="B118" s="138" t="n"/>
      <c r="C118" s="138" t="n"/>
      <c r="D118" s="138" t="n"/>
      <c r="E118" s="138" t="n"/>
      <c r="F118" s="138" t="n"/>
      <c r="G118" s="138" t="n"/>
      <c r="H118" s="138" t="n"/>
      <c r="I118" s="138" t="n"/>
      <c r="J118" s="138" t="n"/>
      <c r="K118" s="138" t="n"/>
      <c r="L118" s="138" t="n"/>
      <c r="M118" s="137">
        <f>IF($C118="","",ROUND($J118*$L118*IF($D118="Alınan",1,-1),2))</f>
        <v/>
      </c>
      <c r="N118" s="138" t="n"/>
      <c r="O118" s="138" t="n"/>
      <c r="P118" s="138" t="n"/>
      <c r="Q118" s="138" t="n"/>
      <c r="R118" s="138" t="n"/>
      <c r="S118" s="138" t="n"/>
      <c r="T118" s="138" t="n"/>
      <c r="U118" s="138" t="n"/>
      <c r="V118" s="138" t="n"/>
      <c r="W118" s="138" t="n"/>
      <c r="X118" s="138" t="n"/>
      <c r="Y118" s="138" t="n"/>
      <c r="Z118" s="138" t="n"/>
      <c r="AA118" s="138" t="n"/>
      <c r="AB118" s="138" t="n"/>
      <c r="AC118" s="138" t="n"/>
      <c r="AD118" s="137">
        <f>IF($C118="","",IF(COUNTIFS($C$6:$C$1000,$C118,$G$6:$G$1000,$G118,$J$6:$J$1000,$J118)&gt;1,"MÜKERRER","OK"))</f>
        <v/>
      </c>
      <c r="AE118" s="137">
        <f>IF($Y118="","",IFERROR(VLOOKUP($Y118,RiskKatsayilari,2,FALSE()),0))</f>
        <v/>
      </c>
      <c r="AF118" s="137">
        <f>IF(OR($M118="",$AE118=""),"",ROUND(ABS($M118)*$AE118,2))</f>
        <v/>
      </c>
      <c r="AG118" s="137">
        <f>IF($G118="","",IFERROR(INDEX(CARI_KARTLARI!$I$6:$I$1000,MATCH($G118,CARI_KARTLARI!$A$6:$A$1000,0)),"VERİ YETERSİZ"))</f>
        <v/>
      </c>
    </row>
    <row r="119" ht="18" customHeight="1" s="102">
      <c r="A119" s="137">
        <f>IF($C119="","","CKS-"&amp;TEXT(ROW()-BaslangicSatir,"000000"))</f>
        <v/>
      </c>
      <c r="B119" s="138" t="n"/>
      <c r="C119" s="138" t="n"/>
      <c r="D119" s="138" t="n"/>
      <c r="E119" s="138" t="n"/>
      <c r="F119" s="138" t="n"/>
      <c r="G119" s="138" t="n"/>
      <c r="H119" s="138" t="n"/>
      <c r="I119" s="138" t="n"/>
      <c r="J119" s="138" t="n"/>
      <c r="K119" s="138" t="n"/>
      <c r="L119" s="138" t="n"/>
      <c r="M119" s="137">
        <f>IF($C119="","",ROUND($J119*$L119*IF($D119="Alınan",1,-1),2))</f>
        <v/>
      </c>
      <c r="N119" s="138" t="n"/>
      <c r="O119" s="138" t="n"/>
      <c r="P119" s="138" t="n"/>
      <c r="Q119" s="138" t="n"/>
      <c r="R119" s="138" t="n"/>
      <c r="S119" s="138" t="n"/>
      <c r="T119" s="138" t="n"/>
      <c r="U119" s="138" t="n"/>
      <c r="V119" s="138" t="n"/>
      <c r="W119" s="138" t="n"/>
      <c r="X119" s="138" t="n"/>
      <c r="Y119" s="138" t="n"/>
      <c r="Z119" s="138" t="n"/>
      <c r="AA119" s="138" t="n"/>
      <c r="AB119" s="138" t="n"/>
      <c r="AC119" s="138" t="n"/>
      <c r="AD119" s="137">
        <f>IF($C119="","",IF(COUNTIFS($C$6:$C$1000,$C119,$G$6:$G$1000,$G119,$J$6:$J$1000,$J119)&gt;1,"MÜKERRER","OK"))</f>
        <v/>
      </c>
      <c r="AE119" s="137">
        <f>IF($Y119="","",IFERROR(VLOOKUP($Y119,RiskKatsayilari,2,FALSE()),0))</f>
        <v/>
      </c>
      <c r="AF119" s="137">
        <f>IF(OR($M119="",$AE119=""),"",ROUND(ABS($M119)*$AE119,2))</f>
        <v/>
      </c>
      <c r="AG119" s="137">
        <f>IF($G119="","",IFERROR(INDEX(CARI_KARTLARI!$I$6:$I$1000,MATCH($G119,CARI_KARTLARI!$A$6:$A$1000,0)),"VERİ YETERSİZ"))</f>
        <v/>
      </c>
    </row>
    <row r="120" ht="18" customHeight="1" s="102">
      <c r="A120" s="137">
        <f>IF($C120="","","CKS-"&amp;TEXT(ROW()-BaslangicSatir,"000000"))</f>
        <v/>
      </c>
      <c r="B120" s="138" t="n"/>
      <c r="C120" s="138" t="n"/>
      <c r="D120" s="138" t="n"/>
      <c r="E120" s="138" t="n"/>
      <c r="F120" s="138" t="n"/>
      <c r="G120" s="138" t="n"/>
      <c r="H120" s="138" t="n"/>
      <c r="I120" s="138" t="n"/>
      <c r="J120" s="138" t="n"/>
      <c r="K120" s="138" t="n"/>
      <c r="L120" s="138" t="n"/>
      <c r="M120" s="137">
        <f>IF($C120="","",ROUND($J120*$L120*IF($D120="Alınan",1,-1),2))</f>
        <v/>
      </c>
      <c r="N120" s="138" t="n"/>
      <c r="O120" s="138" t="n"/>
      <c r="P120" s="138" t="n"/>
      <c r="Q120" s="138" t="n"/>
      <c r="R120" s="138" t="n"/>
      <c r="S120" s="138" t="n"/>
      <c r="T120" s="138" t="n"/>
      <c r="U120" s="138" t="n"/>
      <c r="V120" s="138" t="n"/>
      <c r="W120" s="138" t="n"/>
      <c r="X120" s="138" t="n"/>
      <c r="Y120" s="138" t="n"/>
      <c r="Z120" s="138" t="n"/>
      <c r="AA120" s="138" t="n"/>
      <c r="AB120" s="138" t="n"/>
      <c r="AC120" s="138" t="n"/>
      <c r="AD120" s="137">
        <f>IF($C120="","",IF(COUNTIFS($C$6:$C$1000,$C120,$G$6:$G$1000,$G120,$J$6:$J$1000,$J120)&gt;1,"MÜKERRER","OK"))</f>
        <v/>
      </c>
      <c r="AE120" s="137">
        <f>IF($Y120="","",IFERROR(VLOOKUP($Y120,RiskKatsayilari,2,FALSE()),0))</f>
        <v/>
      </c>
      <c r="AF120" s="137">
        <f>IF(OR($M120="",$AE120=""),"",ROUND(ABS($M120)*$AE120,2))</f>
        <v/>
      </c>
      <c r="AG120" s="137">
        <f>IF($G120="","",IFERROR(INDEX(CARI_KARTLARI!$I$6:$I$1000,MATCH($G120,CARI_KARTLARI!$A$6:$A$1000,0)),"VERİ YETERSİZ"))</f>
        <v/>
      </c>
    </row>
    <row r="121" ht="18" customHeight="1" s="102">
      <c r="A121" s="137">
        <f>IF($C121="","","CKS-"&amp;TEXT(ROW()-BaslangicSatir,"000000"))</f>
        <v/>
      </c>
      <c r="B121" s="138" t="n"/>
      <c r="C121" s="138" t="n"/>
      <c r="D121" s="138" t="n"/>
      <c r="E121" s="138" t="n"/>
      <c r="F121" s="138" t="n"/>
      <c r="G121" s="138" t="n"/>
      <c r="H121" s="138" t="n"/>
      <c r="I121" s="138" t="n"/>
      <c r="J121" s="138" t="n"/>
      <c r="K121" s="138" t="n"/>
      <c r="L121" s="138" t="n"/>
      <c r="M121" s="137">
        <f>IF($C121="","",ROUND($J121*$L121*IF($D121="Alınan",1,-1),2))</f>
        <v/>
      </c>
      <c r="N121" s="138" t="n"/>
      <c r="O121" s="138" t="n"/>
      <c r="P121" s="138" t="n"/>
      <c r="Q121" s="138" t="n"/>
      <c r="R121" s="138" t="n"/>
      <c r="S121" s="138" t="n"/>
      <c r="T121" s="138" t="n"/>
      <c r="U121" s="138" t="n"/>
      <c r="V121" s="138" t="n"/>
      <c r="W121" s="138" t="n"/>
      <c r="X121" s="138" t="n"/>
      <c r="Y121" s="138" t="n"/>
      <c r="Z121" s="138" t="n"/>
      <c r="AA121" s="138" t="n"/>
      <c r="AB121" s="138" t="n"/>
      <c r="AC121" s="138" t="n"/>
      <c r="AD121" s="137">
        <f>IF($C121="","",IF(COUNTIFS($C$6:$C$1000,$C121,$G$6:$G$1000,$G121,$J$6:$J$1000,$J121)&gt;1,"MÜKERRER","OK"))</f>
        <v/>
      </c>
      <c r="AE121" s="137">
        <f>IF($Y121="","",IFERROR(VLOOKUP($Y121,RiskKatsayilari,2,FALSE()),0))</f>
        <v/>
      </c>
      <c r="AF121" s="137">
        <f>IF(OR($M121="",$AE121=""),"",ROUND(ABS($M121)*$AE121,2))</f>
        <v/>
      </c>
      <c r="AG121" s="137">
        <f>IF($G121="","",IFERROR(INDEX(CARI_KARTLARI!$I$6:$I$1000,MATCH($G121,CARI_KARTLARI!$A$6:$A$1000,0)),"VERİ YETERSİZ"))</f>
        <v/>
      </c>
    </row>
    <row r="122" ht="18" customHeight="1" s="102">
      <c r="A122" s="137">
        <f>IF($C122="","","CKS-"&amp;TEXT(ROW()-BaslangicSatir,"000000"))</f>
        <v/>
      </c>
      <c r="B122" s="138" t="n"/>
      <c r="C122" s="138" t="n"/>
      <c r="D122" s="138" t="n"/>
      <c r="E122" s="138" t="n"/>
      <c r="F122" s="138" t="n"/>
      <c r="G122" s="138" t="n"/>
      <c r="H122" s="138" t="n"/>
      <c r="I122" s="138" t="n"/>
      <c r="J122" s="138" t="n"/>
      <c r="K122" s="138" t="n"/>
      <c r="L122" s="138" t="n"/>
      <c r="M122" s="137">
        <f>IF($C122="","",ROUND($J122*$L122*IF($D122="Alınan",1,-1),2))</f>
        <v/>
      </c>
      <c r="N122" s="138" t="n"/>
      <c r="O122" s="138" t="n"/>
      <c r="P122" s="138" t="n"/>
      <c r="Q122" s="138" t="n"/>
      <c r="R122" s="138" t="n"/>
      <c r="S122" s="138" t="n"/>
      <c r="T122" s="138" t="n"/>
      <c r="U122" s="138" t="n"/>
      <c r="V122" s="138" t="n"/>
      <c r="W122" s="138" t="n"/>
      <c r="X122" s="138" t="n"/>
      <c r="Y122" s="138" t="n"/>
      <c r="Z122" s="138" t="n"/>
      <c r="AA122" s="138" t="n"/>
      <c r="AB122" s="138" t="n"/>
      <c r="AC122" s="138" t="n"/>
      <c r="AD122" s="137">
        <f>IF($C122="","",IF(COUNTIFS($C$6:$C$1000,$C122,$G$6:$G$1000,$G122,$J$6:$J$1000,$J122)&gt;1,"MÜKERRER","OK"))</f>
        <v/>
      </c>
      <c r="AE122" s="137">
        <f>IF($Y122="","",IFERROR(VLOOKUP($Y122,RiskKatsayilari,2,FALSE()),0))</f>
        <v/>
      </c>
      <c r="AF122" s="137">
        <f>IF(OR($M122="",$AE122=""),"",ROUND(ABS($M122)*$AE122,2))</f>
        <v/>
      </c>
      <c r="AG122" s="137">
        <f>IF($G122="","",IFERROR(INDEX(CARI_KARTLARI!$I$6:$I$1000,MATCH($G122,CARI_KARTLARI!$A$6:$A$1000,0)),"VERİ YETERSİZ"))</f>
        <v/>
      </c>
    </row>
    <row r="123" ht="18" customHeight="1" s="102">
      <c r="A123" s="137">
        <f>IF($C123="","","CKS-"&amp;TEXT(ROW()-BaslangicSatir,"000000"))</f>
        <v/>
      </c>
      <c r="B123" s="138" t="n"/>
      <c r="C123" s="138" t="n"/>
      <c r="D123" s="138" t="n"/>
      <c r="E123" s="138" t="n"/>
      <c r="F123" s="138" t="n"/>
      <c r="G123" s="138" t="n"/>
      <c r="H123" s="138" t="n"/>
      <c r="I123" s="138" t="n"/>
      <c r="J123" s="138" t="n"/>
      <c r="K123" s="138" t="n"/>
      <c r="L123" s="138" t="n"/>
      <c r="M123" s="137">
        <f>IF($C123="","",ROUND($J123*$L123*IF($D123="Alınan",1,-1),2))</f>
        <v/>
      </c>
      <c r="N123" s="138" t="n"/>
      <c r="O123" s="138" t="n"/>
      <c r="P123" s="138" t="n"/>
      <c r="Q123" s="138" t="n"/>
      <c r="R123" s="138" t="n"/>
      <c r="S123" s="138" t="n"/>
      <c r="T123" s="138" t="n"/>
      <c r="U123" s="138" t="n"/>
      <c r="V123" s="138" t="n"/>
      <c r="W123" s="138" t="n"/>
      <c r="X123" s="138" t="n"/>
      <c r="Y123" s="138" t="n"/>
      <c r="Z123" s="138" t="n"/>
      <c r="AA123" s="138" t="n"/>
      <c r="AB123" s="138" t="n"/>
      <c r="AC123" s="138" t="n"/>
      <c r="AD123" s="137">
        <f>IF($C123="","",IF(COUNTIFS($C$6:$C$1000,$C123,$G$6:$G$1000,$G123,$J$6:$J$1000,$J123)&gt;1,"MÜKERRER","OK"))</f>
        <v/>
      </c>
      <c r="AE123" s="137">
        <f>IF($Y123="","",IFERROR(VLOOKUP($Y123,RiskKatsayilari,2,FALSE()),0))</f>
        <v/>
      </c>
      <c r="AF123" s="137">
        <f>IF(OR($M123="",$AE123=""),"",ROUND(ABS($M123)*$AE123,2))</f>
        <v/>
      </c>
      <c r="AG123" s="137">
        <f>IF($G123="","",IFERROR(INDEX(CARI_KARTLARI!$I$6:$I$1000,MATCH($G123,CARI_KARTLARI!$A$6:$A$1000,0)),"VERİ YETERSİZ"))</f>
        <v/>
      </c>
    </row>
    <row r="124" ht="18" customHeight="1" s="102">
      <c r="A124" s="137">
        <f>IF($C124="","","CKS-"&amp;TEXT(ROW()-BaslangicSatir,"000000"))</f>
        <v/>
      </c>
      <c r="B124" s="138" t="n"/>
      <c r="C124" s="138" t="n"/>
      <c r="D124" s="138" t="n"/>
      <c r="E124" s="138" t="n"/>
      <c r="F124" s="138" t="n"/>
      <c r="G124" s="138" t="n"/>
      <c r="H124" s="138" t="n"/>
      <c r="I124" s="138" t="n"/>
      <c r="J124" s="138" t="n"/>
      <c r="K124" s="138" t="n"/>
      <c r="L124" s="138" t="n"/>
      <c r="M124" s="137">
        <f>IF($C124="","",ROUND($J124*$L124*IF($D124="Alınan",1,-1),2))</f>
        <v/>
      </c>
      <c r="N124" s="138" t="n"/>
      <c r="O124" s="138" t="n"/>
      <c r="P124" s="138" t="n"/>
      <c r="Q124" s="138" t="n"/>
      <c r="R124" s="138" t="n"/>
      <c r="S124" s="138" t="n"/>
      <c r="T124" s="138" t="n"/>
      <c r="U124" s="138" t="n"/>
      <c r="V124" s="138" t="n"/>
      <c r="W124" s="138" t="n"/>
      <c r="X124" s="138" t="n"/>
      <c r="Y124" s="138" t="n"/>
      <c r="Z124" s="138" t="n"/>
      <c r="AA124" s="138" t="n"/>
      <c r="AB124" s="138" t="n"/>
      <c r="AC124" s="138" t="n"/>
      <c r="AD124" s="137">
        <f>IF($C124="","",IF(COUNTIFS($C$6:$C$1000,$C124,$G$6:$G$1000,$G124,$J$6:$J$1000,$J124)&gt;1,"MÜKERRER","OK"))</f>
        <v/>
      </c>
      <c r="AE124" s="137">
        <f>IF($Y124="","",IFERROR(VLOOKUP($Y124,RiskKatsayilari,2,FALSE()),0))</f>
        <v/>
      </c>
      <c r="AF124" s="137">
        <f>IF(OR($M124="",$AE124=""),"",ROUND(ABS($M124)*$AE124,2))</f>
        <v/>
      </c>
      <c r="AG124" s="137">
        <f>IF($G124="","",IFERROR(INDEX(CARI_KARTLARI!$I$6:$I$1000,MATCH($G124,CARI_KARTLARI!$A$6:$A$1000,0)),"VERİ YETERSİZ"))</f>
        <v/>
      </c>
    </row>
    <row r="125" ht="18" customHeight="1" s="102">
      <c r="A125" s="137">
        <f>IF($C125="","","CKS-"&amp;TEXT(ROW()-BaslangicSatir,"000000"))</f>
        <v/>
      </c>
      <c r="B125" s="138" t="n"/>
      <c r="C125" s="138" t="n"/>
      <c r="D125" s="138" t="n"/>
      <c r="E125" s="138" t="n"/>
      <c r="F125" s="138" t="n"/>
      <c r="G125" s="138" t="n"/>
      <c r="H125" s="138" t="n"/>
      <c r="I125" s="138" t="n"/>
      <c r="J125" s="138" t="n"/>
      <c r="K125" s="138" t="n"/>
      <c r="L125" s="138" t="n"/>
      <c r="M125" s="137">
        <f>IF($C125="","",ROUND($J125*$L125*IF($D125="Alınan",1,-1),2))</f>
        <v/>
      </c>
      <c r="N125" s="138" t="n"/>
      <c r="O125" s="138" t="n"/>
      <c r="P125" s="138" t="n"/>
      <c r="Q125" s="138" t="n"/>
      <c r="R125" s="138" t="n"/>
      <c r="S125" s="138" t="n"/>
      <c r="T125" s="138" t="n"/>
      <c r="U125" s="138" t="n"/>
      <c r="V125" s="138" t="n"/>
      <c r="W125" s="138" t="n"/>
      <c r="X125" s="138" t="n"/>
      <c r="Y125" s="138" t="n"/>
      <c r="Z125" s="138" t="n"/>
      <c r="AA125" s="138" t="n"/>
      <c r="AB125" s="138" t="n"/>
      <c r="AC125" s="138" t="n"/>
      <c r="AD125" s="137">
        <f>IF($C125="","",IF(COUNTIFS($C$6:$C$1000,$C125,$G$6:$G$1000,$G125,$J$6:$J$1000,$J125)&gt;1,"MÜKERRER","OK"))</f>
        <v/>
      </c>
      <c r="AE125" s="137">
        <f>IF($Y125="","",IFERROR(VLOOKUP($Y125,RiskKatsayilari,2,FALSE()),0))</f>
        <v/>
      </c>
      <c r="AF125" s="137">
        <f>IF(OR($M125="",$AE125=""),"",ROUND(ABS($M125)*$AE125,2))</f>
        <v/>
      </c>
      <c r="AG125" s="137">
        <f>IF($G125="","",IFERROR(INDEX(CARI_KARTLARI!$I$6:$I$1000,MATCH($G125,CARI_KARTLARI!$A$6:$A$1000,0)),"VERİ YETERSİZ"))</f>
        <v/>
      </c>
    </row>
    <row r="126" ht="18" customHeight="1" s="102">
      <c r="A126" s="137">
        <f>IF($C126="","","CKS-"&amp;TEXT(ROW()-BaslangicSatir,"000000"))</f>
        <v/>
      </c>
      <c r="B126" s="138" t="n"/>
      <c r="C126" s="138" t="n"/>
      <c r="D126" s="138" t="n"/>
      <c r="E126" s="138" t="n"/>
      <c r="F126" s="138" t="n"/>
      <c r="G126" s="138" t="n"/>
      <c r="H126" s="138" t="n"/>
      <c r="I126" s="138" t="n"/>
      <c r="J126" s="138" t="n"/>
      <c r="K126" s="138" t="n"/>
      <c r="L126" s="138" t="n"/>
      <c r="M126" s="137">
        <f>IF($C126="","",ROUND($J126*$L126*IF($D126="Alınan",1,-1),2))</f>
        <v/>
      </c>
      <c r="N126" s="138" t="n"/>
      <c r="O126" s="138" t="n"/>
      <c r="P126" s="138" t="n"/>
      <c r="Q126" s="138" t="n"/>
      <c r="R126" s="138" t="n"/>
      <c r="S126" s="138" t="n"/>
      <c r="T126" s="138" t="n"/>
      <c r="U126" s="138" t="n"/>
      <c r="V126" s="138" t="n"/>
      <c r="W126" s="138" t="n"/>
      <c r="X126" s="138" t="n"/>
      <c r="Y126" s="138" t="n"/>
      <c r="Z126" s="138" t="n"/>
      <c r="AA126" s="138" t="n"/>
      <c r="AB126" s="138" t="n"/>
      <c r="AC126" s="138" t="n"/>
      <c r="AD126" s="137">
        <f>IF($C126="","",IF(COUNTIFS($C$6:$C$1000,$C126,$G$6:$G$1000,$G126,$J$6:$J$1000,$J126)&gt;1,"MÜKERRER","OK"))</f>
        <v/>
      </c>
      <c r="AE126" s="137">
        <f>IF($Y126="","",IFERROR(VLOOKUP($Y126,RiskKatsayilari,2,FALSE()),0))</f>
        <v/>
      </c>
      <c r="AF126" s="137">
        <f>IF(OR($M126="",$AE126=""),"",ROUND(ABS($M126)*$AE126,2))</f>
        <v/>
      </c>
      <c r="AG126" s="137">
        <f>IF($G126="","",IFERROR(INDEX(CARI_KARTLARI!$I$6:$I$1000,MATCH($G126,CARI_KARTLARI!$A$6:$A$1000,0)),"VERİ YETERSİZ"))</f>
        <v/>
      </c>
    </row>
    <row r="127" ht="18" customHeight="1" s="102">
      <c r="A127" s="137">
        <f>IF($C127="","","CKS-"&amp;TEXT(ROW()-BaslangicSatir,"000000"))</f>
        <v/>
      </c>
      <c r="B127" s="138" t="n"/>
      <c r="C127" s="138" t="n"/>
      <c r="D127" s="138" t="n"/>
      <c r="E127" s="138" t="n"/>
      <c r="F127" s="138" t="n"/>
      <c r="G127" s="138" t="n"/>
      <c r="H127" s="138" t="n"/>
      <c r="I127" s="138" t="n"/>
      <c r="J127" s="138" t="n"/>
      <c r="K127" s="138" t="n"/>
      <c r="L127" s="138" t="n"/>
      <c r="M127" s="137">
        <f>IF($C127="","",ROUND($J127*$L127*IF($D127="Alınan",1,-1),2))</f>
        <v/>
      </c>
      <c r="N127" s="138" t="n"/>
      <c r="O127" s="138" t="n"/>
      <c r="P127" s="138" t="n"/>
      <c r="Q127" s="138" t="n"/>
      <c r="R127" s="138" t="n"/>
      <c r="S127" s="138" t="n"/>
      <c r="T127" s="138" t="n"/>
      <c r="U127" s="138" t="n"/>
      <c r="V127" s="138" t="n"/>
      <c r="W127" s="138" t="n"/>
      <c r="X127" s="138" t="n"/>
      <c r="Y127" s="138" t="n"/>
      <c r="Z127" s="138" t="n"/>
      <c r="AA127" s="138" t="n"/>
      <c r="AB127" s="138" t="n"/>
      <c r="AC127" s="138" t="n"/>
      <c r="AD127" s="137">
        <f>IF($C127="","",IF(COUNTIFS($C$6:$C$1000,$C127,$G$6:$G$1000,$G127,$J$6:$J$1000,$J127)&gt;1,"MÜKERRER","OK"))</f>
        <v/>
      </c>
      <c r="AE127" s="137">
        <f>IF($Y127="","",IFERROR(VLOOKUP($Y127,RiskKatsayilari,2,FALSE()),0))</f>
        <v/>
      </c>
      <c r="AF127" s="137">
        <f>IF(OR($M127="",$AE127=""),"",ROUND(ABS($M127)*$AE127,2))</f>
        <v/>
      </c>
      <c r="AG127" s="137">
        <f>IF($G127="","",IFERROR(INDEX(CARI_KARTLARI!$I$6:$I$1000,MATCH($G127,CARI_KARTLARI!$A$6:$A$1000,0)),"VERİ YETERSİZ"))</f>
        <v/>
      </c>
    </row>
    <row r="128" ht="18" customHeight="1" s="102">
      <c r="A128" s="137">
        <f>IF($C128="","","CKS-"&amp;TEXT(ROW()-BaslangicSatir,"000000"))</f>
        <v/>
      </c>
      <c r="B128" s="138" t="n"/>
      <c r="C128" s="138" t="n"/>
      <c r="D128" s="138" t="n"/>
      <c r="E128" s="138" t="n"/>
      <c r="F128" s="138" t="n"/>
      <c r="G128" s="138" t="n"/>
      <c r="H128" s="138" t="n"/>
      <c r="I128" s="138" t="n"/>
      <c r="J128" s="138" t="n"/>
      <c r="K128" s="138" t="n"/>
      <c r="L128" s="138" t="n"/>
      <c r="M128" s="137">
        <f>IF($C128="","",ROUND($J128*$L128*IF($D128="Alınan",1,-1),2))</f>
        <v/>
      </c>
      <c r="N128" s="138" t="n"/>
      <c r="O128" s="138" t="n"/>
      <c r="P128" s="138" t="n"/>
      <c r="Q128" s="138" t="n"/>
      <c r="R128" s="138" t="n"/>
      <c r="S128" s="138" t="n"/>
      <c r="T128" s="138" t="n"/>
      <c r="U128" s="138" t="n"/>
      <c r="V128" s="138" t="n"/>
      <c r="W128" s="138" t="n"/>
      <c r="X128" s="138" t="n"/>
      <c r="Y128" s="138" t="n"/>
      <c r="Z128" s="138" t="n"/>
      <c r="AA128" s="138" t="n"/>
      <c r="AB128" s="138" t="n"/>
      <c r="AC128" s="138" t="n"/>
      <c r="AD128" s="137">
        <f>IF($C128="","",IF(COUNTIFS($C$6:$C$1000,$C128,$G$6:$G$1000,$G128,$J$6:$J$1000,$J128)&gt;1,"MÜKERRER","OK"))</f>
        <v/>
      </c>
      <c r="AE128" s="137">
        <f>IF($Y128="","",IFERROR(VLOOKUP($Y128,RiskKatsayilari,2,FALSE()),0))</f>
        <v/>
      </c>
      <c r="AF128" s="137">
        <f>IF(OR($M128="",$AE128=""),"",ROUND(ABS($M128)*$AE128,2))</f>
        <v/>
      </c>
      <c r="AG128" s="137">
        <f>IF($G128="","",IFERROR(INDEX(CARI_KARTLARI!$I$6:$I$1000,MATCH($G128,CARI_KARTLARI!$A$6:$A$1000,0)),"VERİ YETERSİZ"))</f>
        <v/>
      </c>
    </row>
    <row r="129" ht="18" customHeight="1" s="102">
      <c r="A129" s="137">
        <f>IF($C129="","","CKS-"&amp;TEXT(ROW()-BaslangicSatir,"000000"))</f>
        <v/>
      </c>
      <c r="B129" s="138" t="n"/>
      <c r="C129" s="138" t="n"/>
      <c r="D129" s="138" t="n"/>
      <c r="E129" s="138" t="n"/>
      <c r="F129" s="138" t="n"/>
      <c r="G129" s="138" t="n"/>
      <c r="H129" s="138" t="n"/>
      <c r="I129" s="138" t="n"/>
      <c r="J129" s="138" t="n"/>
      <c r="K129" s="138" t="n"/>
      <c r="L129" s="138" t="n"/>
      <c r="M129" s="137">
        <f>IF($C129="","",ROUND($J129*$L129*IF($D129="Alınan",1,-1),2))</f>
        <v/>
      </c>
      <c r="N129" s="138" t="n"/>
      <c r="O129" s="138" t="n"/>
      <c r="P129" s="138" t="n"/>
      <c r="Q129" s="138" t="n"/>
      <c r="R129" s="138" t="n"/>
      <c r="S129" s="138" t="n"/>
      <c r="T129" s="138" t="n"/>
      <c r="U129" s="138" t="n"/>
      <c r="V129" s="138" t="n"/>
      <c r="W129" s="138" t="n"/>
      <c r="X129" s="138" t="n"/>
      <c r="Y129" s="138" t="n"/>
      <c r="Z129" s="138" t="n"/>
      <c r="AA129" s="138" t="n"/>
      <c r="AB129" s="138" t="n"/>
      <c r="AC129" s="138" t="n"/>
      <c r="AD129" s="137">
        <f>IF($C129="","",IF(COUNTIFS($C$6:$C$1000,$C129,$G$6:$G$1000,$G129,$J$6:$J$1000,$J129)&gt;1,"MÜKERRER","OK"))</f>
        <v/>
      </c>
      <c r="AE129" s="137">
        <f>IF($Y129="","",IFERROR(VLOOKUP($Y129,RiskKatsayilari,2,FALSE()),0))</f>
        <v/>
      </c>
      <c r="AF129" s="137">
        <f>IF(OR($M129="",$AE129=""),"",ROUND(ABS($M129)*$AE129,2))</f>
        <v/>
      </c>
      <c r="AG129" s="137">
        <f>IF($G129="","",IFERROR(INDEX(CARI_KARTLARI!$I$6:$I$1000,MATCH($G129,CARI_KARTLARI!$A$6:$A$1000,0)),"VERİ YETERSİZ"))</f>
        <v/>
      </c>
    </row>
    <row r="130" ht="18" customHeight="1" s="102">
      <c r="A130" s="137">
        <f>IF($C130="","","CKS-"&amp;TEXT(ROW()-BaslangicSatir,"000000"))</f>
        <v/>
      </c>
      <c r="B130" s="138" t="n"/>
      <c r="C130" s="138" t="n"/>
      <c r="D130" s="138" t="n"/>
      <c r="E130" s="138" t="n"/>
      <c r="F130" s="138" t="n"/>
      <c r="G130" s="138" t="n"/>
      <c r="H130" s="138" t="n"/>
      <c r="I130" s="138" t="n"/>
      <c r="J130" s="138" t="n"/>
      <c r="K130" s="138" t="n"/>
      <c r="L130" s="138" t="n"/>
      <c r="M130" s="137">
        <f>IF($C130="","",ROUND($J130*$L130*IF($D130="Alınan",1,-1),2))</f>
        <v/>
      </c>
      <c r="N130" s="138" t="n"/>
      <c r="O130" s="138" t="n"/>
      <c r="P130" s="138" t="n"/>
      <c r="Q130" s="138" t="n"/>
      <c r="R130" s="138" t="n"/>
      <c r="S130" s="138" t="n"/>
      <c r="T130" s="138" t="n"/>
      <c r="U130" s="138" t="n"/>
      <c r="V130" s="138" t="n"/>
      <c r="W130" s="138" t="n"/>
      <c r="X130" s="138" t="n"/>
      <c r="Y130" s="138" t="n"/>
      <c r="Z130" s="138" t="n"/>
      <c r="AA130" s="138" t="n"/>
      <c r="AB130" s="138" t="n"/>
      <c r="AC130" s="138" t="n"/>
      <c r="AD130" s="137">
        <f>IF($C130="","",IF(COUNTIFS($C$6:$C$1000,$C130,$G$6:$G$1000,$G130,$J$6:$J$1000,$J130)&gt;1,"MÜKERRER","OK"))</f>
        <v/>
      </c>
      <c r="AE130" s="137">
        <f>IF($Y130="","",IFERROR(VLOOKUP($Y130,RiskKatsayilari,2,FALSE()),0))</f>
        <v/>
      </c>
      <c r="AF130" s="137">
        <f>IF(OR($M130="",$AE130=""),"",ROUND(ABS($M130)*$AE130,2))</f>
        <v/>
      </c>
      <c r="AG130" s="137">
        <f>IF($G130="","",IFERROR(INDEX(CARI_KARTLARI!$I$6:$I$1000,MATCH($G130,CARI_KARTLARI!$A$6:$A$1000,0)),"VERİ YETERSİZ"))</f>
        <v/>
      </c>
    </row>
    <row r="131" ht="18" customHeight="1" s="102">
      <c r="A131" s="137">
        <f>IF($C131="","","CKS-"&amp;TEXT(ROW()-BaslangicSatir,"000000"))</f>
        <v/>
      </c>
      <c r="B131" s="138" t="n"/>
      <c r="C131" s="138" t="n"/>
      <c r="D131" s="138" t="n"/>
      <c r="E131" s="138" t="n"/>
      <c r="F131" s="138" t="n"/>
      <c r="G131" s="138" t="n"/>
      <c r="H131" s="138" t="n"/>
      <c r="I131" s="138" t="n"/>
      <c r="J131" s="138" t="n"/>
      <c r="K131" s="138" t="n"/>
      <c r="L131" s="138" t="n"/>
      <c r="M131" s="137">
        <f>IF($C131="","",ROUND($J131*$L131*IF($D131="Alınan",1,-1),2))</f>
        <v/>
      </c>
      <c r="N131" s="138" t="n"/>
      <c r="O131" s="138" t="n"/>
      <c r="P131" s="138" t="n"/>
      <c r="Q131" s="138" t="n"/>
      <c r="R131" s="138" t="n"/>
      <c r="S131" s="138" t="n"/>
      <c r="T131" s="138" t="n"/>
      <c r="U131" s="138" t="n"/>
      <c r="V131" s="138" t="n"/>
      <c r="W131" s="138" t="n"/>
      <c r="X131" s="138" t="n"/>
      <c r="Y131" s="138" t="n"/>
      <c r="Z131" s="138" t="n"/>
      <c r="AA131" s="138" t="n"/>
      <c r="AB131" s="138" t="n"/>
      <c r="AC131" s="138" t="n"/>
      <c r="AD131" s="137">
        <f>IF($C131="","",IF(COUNTIFS($C$6:$C$1000,$C131,$G$6:$G$1000,$G131,$J$6:$J$1000,$J131)&gt;1,"MÜKERRER","OK"))</f>
        <v/>
      </c>
      <c r="AE131" s="137">
        <f>IF($Y131="","",IFERROR(VLOOKUP($Y131,RiskKatsayilari,2,FALSE()),0))</f>
        <v/>
      </c>
      <c r="AF131" s="137">
        <f>IF(OR($M131="",$AE131=""),"",ROUND(ABS($M131)*$AE131,2))</f>
        <v/>
      </c>
      <c r="AG131" s="137">
        <f>IF($G131="","",IFERROR(INDEX(CARI_KARTLARI!$I$6:$I$1000,MATCH($G131,CARI_KARTLARI!$A$6:$A$1000,0)),"VERİ YETERSİZ"))</f>
        <v/>
      </c>
    </row>
    <row r="132" ht="18" customHeight="1" s="102">
      <c r="A132" s="137">
        <f>IF($C132="","","CKS-"&amp;TEXT(ROW()-BaslangicSatir,"000000"))</f>
        <v/>
      </c>
      <c r="B132" s="138" t="n"/>
      <c r="C132" s="138" t="n"/>
      <c r="D132" s="138" t="n"/>
      <c r="E132" s="138" t="n"/>
      <c r="F132" s="138" t="n"/>
      <c r="G132" s="138" t="n"/>
      <c r="H132" s="138" t="n"/>
      <c r="I132" s="138" t="n"/>
      <c r="J132" s="138" t="n"/>
      <c r="K132" s="138" t="n"/>
      <c r="L132" s="138" t="n"/>
      <c r="M132" s="137">
        <f>IF($C132="","",ROUND($J132*$L132*IF($D132="Alınan",1,-1),2))</f>
        <v/>
      </c>
      <c r="N132" s="138" t="n"/>
      <c r="O132" s="138" t="n"/>
      <c r="P132" s="138" t="n"/>
      <c r="Q132" s="138" t="n"/>
      <c r="R132" s="138" t="n"/>
      <c r="S132" s="138" t="n"/>
      <c r="T132" s="138" t="n"/>
      <c r="U132" s="138" t="n"/>
      <c r="V132" s="138" t="n"/>
      <c r="W132" s="138" t="n"/>
      <c r="X132" s="138" t="n"/>
      <c r="Y132" s="138" t="n"/>
      <c r="Z132" s="138" t="n"/>
      <c r="AA132" s="138" t="n"/>
      <c r="AB132" s="138" t="n"/>
      <c r="AC132" s="138" t="n"/>
      <c r="AD132" s="137">
        <f>IF($C132="","",IF(COUNTIFS($C$6:$C$1000,$C132,$G$6:$G$1000,$G132,$J$6:$J$1000,$J132)&gt;1,"MÜKERRER","OK"))</f>
        <v/>
      </c>
      <c r="AE132" s="137">
        <f>IF($Y132="","",IFERROR(VLOOKUP($Y132,RiskKatsayilari,2,FALSE()),0))</f>
        <v/>
      </c>
      <c r="AF132" s="137">
        <f>IF(OR($M132="",$AE132=""),"",ROUND(ABS($M132)*$AE132,2))</f>
        <v/>
      </c>
      <c r="AG132" s="137">
        <f>IF($G132="","",IFERROR(INDEX(CARI_KARTLARI!$I$6:$I$1000,MATCH($G132,CARI_KARTLARI!$A$6:$A$1000,0)),"VERİ YETERSİZ"))</f>
        <v/>
      </c>
    </row>
    <row r="133" ht="18" customHeight="1" s="102">
      <c r="A133" s="137">
        <f>IF($C133="","","CKS-"&amp;TEXT(ROW()-BaslangicSatir,"000000"))</f>
        <v/>
      </c>
      <c r="B133" s="138" t="n"/>
      <c r="C133" s="138" t="n"/>
      <c r="D133" s="138" t="n"/>
      <c r="E133" s="138" t="n"/>
      <c r="F133" s="138" t="n"/>
      <c r="G133" s="138" t="n"/>
      <c r="H133" s="138" t="n"/>
      <c r="I133" s="138" t="n"/>
      <c r="J133" s="138" t="n"/>
      <c r="K133" s="138" t="n"/>
      <c r="L133" s="138" t="n"/>
      <c r="M133" s="137">
        <f>IF($C133="","",ROUND($J133*$L133*IF($D133="Alınan",1,-1),2))</f>
        <v/>
      </c>
      <c r="N133" s="138" t="n"/>
      <c r="O133" s="138" t="n"/>
      <c r="P133" s="138" t="n"/>
      <c r="Q133" s="138" t="n"/>
      <c r="R133" s="138" t="n"/>
      <c r="S133" s="138" t="n"/>
      <c r="T133" s="138" t="n"/>
      <c r="U133" s="138" t="n"/>
      <c r="V133" s="138" t="n"/>
      <c r="W133" s="138" t="n"/>
      <c r="X133" s="138" t="n"/>
      <c r="Y133" s="138" t="n"/>
      <c r="Z133" s="138" t="n"/>
      <c r="AA133" s="138" t="n"/>
      <c r="AB133" s="138" t="n"/>
      <c r="AC133" s="138" t="n"/>
      <c r="AD133" s="137">
        <f>IF($C133="","",IF(COUNTIFS($C$6:$C$1000,$C133,$G$6:$G$1000,$G133,$J$6:$J$1000,$J133)&gt;1,"MÜKERRER","OK"))</f>
        <v/>
      </c>
      <c r="AE133" s="137">
        <f>IF($Y133="","",IFERROR(VLOOKUP($Y133,RiskKatsayilari,2,FALSE()),0))</f>
        <v/>
      </c>
      <c r="AF133" s="137">
        <f>IF(OR($M133="",$AE133=""),"",ROUND(ABS($M133)*$AE133,2))</f>
        <v/>
      </c>
      <c r="AG133" s="137">
        <f>IF($G133="","",IFERROR(INDEX(CARI_KARTLARI!$I$6:$I$1000,MATCH($G133,CARI_KARTLARI!$A$6:$A$1000,0)),"VERİ YETERSİZ"))</f>
        <v/>
      </c>
    </row>
    <row r="134" ht="18" customHeight="1" s="102">
      <c r="A134" s="137">
        <f>IF($C134="","","CKS-"&amp;TEXT(ROW()-BaslangicSatir,"000000"))</f>
        <v/>
      </c>
      <c r="B134" s="138" t="n"/>
      <c r="C134" s="138" t="n"/>
      <c r="D134" s="138" t="n"/>
      <c r="E134" s="138" t="n"/>
      <c r="F134" s="138" t="n"/>
      <c r="G134" s="138" t="n"/>
      <c r="H134" s="138" t="n"/>
      <c r="I134" s="138" t="n"/>
      <c r="J134" s="138" t="n"/>
      <c r="K134" s="138" t="n"/>
      <c r="L134" s="138" t="n"/>
      <c r="M134" s="137">
        <f>IF($C134="","",ROUND($J134*$L134*IF($D134="Alınan",1,-1),2))</f>
        <v/>
      </c>
      <c r="N134" s="138" t="n"/>
      <c r="O134" s="138" t="n"/>
      <c r="P134" s="138" t="n"/>
      <c r="Q134" s="138" t="n"/>
      <c r="R134" s="138" t="n"/>
      <c r="S134" s="138" t="n"/>
      <c r="T134" s="138" t="n"/>
      <c r="U134" s="138" t="n"/>
      <c r="V134" s="138" t="n"/>
      <c r="W134" s="138" t="n"/>
      <c r="X134" s="138" t="n"/>
      <c r="Y134" s="138" t="n"/>
      <c r="Z134" s="138" t="n"/>
      <c r="AA134" s="138" t="n"/>
      <c r="AB134" s="138" t="n"/>
      <c r="AC134" s="138" t="n"/>
      <c r="AD134" s="137">
        <f>IF($C134="","",IF(COUNTIFS($C$6:$C$1000,$C134,$G$6:$G$1000,$G134,$J$6:$J$1000,$J134)&gt;1,"MÜKERRER","OK"))</f>
        <v/>
      </c>
      <c r="AE134" s="137">
        <f>IF($Y134="","",IFERROR(VLOOKUP($Y134,RiskKatsayilari,2,FALSE()),0))</f>
        <v/>
      </c>
      <c r="AF134" s="137">
        <f>IF(OR($M134="",$AE134=""),"",ROUND(ABS($M134)*$AE134,2))</f>
        <v/>
      </c>
      <c r="AG134" s="137">
        <f>IF($G134="","",IFERROR(INDEX(CARI_KARTLARI!$I$6:$I$1000,MATCH($G134,CARI_KARTLARI!$A$6:$A$1000,0)),"VERİ YETERSİZ"))</f>
        <v/>
      </c>
    </row>
    <row r="135" ht="18" customHeight="1" s="102">
      <c r="A135" s="137">
        <f>IF($C135="","","CKS-"&amp;TEXT(ROW()-BaslangicSatir,"000000"))</f>
        <v/>
      </c>
      <c r="B135" s="138" t="n"/>
      <c r="C135" s="138" t="n"/>
      <c r="D135" s="138" t="n"/>
      <c r="E135" s="138" t="n"/>
      <c r="F135" s="138" t="n"/>
      <c r="G135" s="138" t="n"/>
      <c r="H135" s="138" t="n"/>
      <c r="I135" s="138" t="n"/>
      <c r="J135" s="138" t="n"/>
      <c r="K135" s="138" t="n"/>
      <c r="L135" s="138" t="n"/>
      <c r="M135" s="137">
        <f>IF($C135="","",ROUND($J135*$L135*IF($D135="Alınan",1,-1),2))</f>
        <v/>
      </c>
      <c r="N135" s="138" t="n"/>
      <c r="O135" s="138" t="n"/>
      <c r="P135" s="138" t="n"/>
      <c r="Q135" s="138" t="n"/>
      <c r="R135" s="138" t="n"/>
      <c r="S135" s="138" t="n"/>
      <c r="T135" s="138" t="n"/>
      <c r="U135" s="138" t="n"/>
      <c r="V135" s="138" t="n"/>
      <c r="W135" s="138" t="n"/>
      <c r="X135" s="138" t="n"/>
      <c r="Y135" s="138" t="n"/>
      <c r="Z135" s="138" t="n"/>
      <c r="AA135" s="138" t="n"/>
      <c r="AB135" s="138" t="n"/>
      <c r="AC135" s="138" t="n"/>
      <c r="AD135" s="137">
        <f>IF($C135="","",IF(COUNTIFS($C$6:$C$1000,$C135,$G$6:$G$1000,$G135,$J$6:$J$1000,$J135)&gt;1,"MÜKERRER","OK"))</f>
        <v/>
      </c>
      <c r="AE135" s="137">
        <f>IF($Y135="","",IFERROR(VLOOKUP($Y135,RiskKatsayilari,2,FALSE()),0))</f>
        <v/>
      </c>
      <c r="AF135" s="137">
        <f>IF(OR($M135="",$AE135=""),"",ROUND(ABS($M135)*$AE135,2))</f>
        <v/>
      </c>
      <c r="AG135" s="137">
        <f>IF($G135="","",IFERROR(INDEX(CARI_KARTLARI!$I$6:$I$1000,MATCH($G135,CARI_KARTLARI!$A$6:$A$1000,0)),"VERİ YETERSİZ"))</f>
        <v/>
      </c>
    </row>
    <row r="136" ht="18" customHeight="1" s="102">
      <c r="A136" s="137">
        <f>IF($C136="","","CKS-"&amp;TEXT(ROW()-BaslangicSatir,"000000"))</f>
        <v/>
      </c>
      <c r="B136" s="138" t="n"/>
      <c r="C136" s="138" t="n"/>
      <c r="D136" s="138" t="n"/>
      <c r="E136" s="138" t="n"/>
      <c r="F136" s="138" t="n"/>
      <c r="G136" s="138" t="n"/>
      <c r="H136" s="138" t="n"/>
      <c r="I136" s="138" t="n"/>
      <c r="J136" s="138" t="n"/>
      <c r="K136" s="138" t="n"/>
      <c r="L136" s="138" t="n"/>
      <c r="M136" s="137">
        <f>IF($C136="","",ROUND($J136*$L136*IF($D136="Alınan",1,-1),2))</f>
        <v/>
      </c>
      <c r="N136" s="138" t="n"/>
      <c r="O136" s="138" t="n"/>
      <c r="P136" s="138" t="n"/>
      <c r="Q136" s="138" t="n"/>
      <c r="R136" s="138" t="n"/>
      <c r="S136" s="138" t="n"/>
      <c r="T136" s="138" t="n"/>
      <c r="U136" s="138" t="n"/>
      <c r="V136" s="138" t="n"/>
      <c r="W136" s="138" t="n"/>
      <c r="X136" s="138" t="n"/>
      <c r="Y136" s="138" t="n"/>
      <c r="Z136" s="138" t="n"/>
      <c r="AA136" s="138" t="n"/>
      <c r="AB136" s="138" t="n"/>
      <c r="AC136" s="138" t="n"/>
      <c r="AD136" s="137">
        <f>IF($C136="","",IF(COUNTIFS($C$6:$C$1000,$C136,$G$6:$G$1000,$G136,$J$6:$J$1000,$J136)&gt;1,"MÜKERRER","OK"))</f>
        <v/>
      </c>
      <c r="AE136" s="137">
        <f>IF($Y136="","",IFERROR(VLOOKUP($Y136,RiskKatsayilari,2,FALSE()),0))</f>
        <v/>
      </c>
      <c r="AF136" s="137">
        <f>IF(OR($M136="",$AE136=""),"",ROUND(ABS($M136)*$AE136,2))</f>
        <v/>
      </c>
      <c r="AG136" s="137">
        <f>IF($G136="","",IFERROR(INDEX(CARI_KARTLARI!$I$6:$I$1000,MATCH($G136,CARI_KARTLARI!$A$6:$A$1000,0)),"VERİ YETERSİZ"))</f>
        <v/>
      </c>
    </row>
    <row r="137" ht="18" customHeight="1" s="102">
      <c r="A137" s="137">
        <f>IF($C137="","","CKS-"&amp;TEXT(ROW()-BaslangicSatir,"000000"))</f>
        <v/>
      </c>
      <c r="B137" s="138" t="n"/>
      <c r="C137" s="138" t="n"/>
      <c r="D137" s="138" t="n"/>
      <c r="E137" s="138" t="n"/>
      <c r="F137" s="138" t="n"/>
      <c r="G137" s="138" t="n"/>
      <c r="H137" s="138" t="n"/>
      <c r="I137" s="138" t="n"/>
      <c r="J137" s="138" t="n"/>
      <c r="K137" s="138" t="n"/>
      <c r="L137" s="138" t="n"/>
      <c r="M137" s="137">
        <f>IF($C137="","",ROUND($J137*$L137*IF($D137="Alınan",1,-1),2))</f>
        <v/>
      </c>
      <c r="N137" s="138" t="n"/>
      <c r="O137" s="138" t="n"/>
      <c r="P137" s="138" t="n"/>
      <c r="Q137" s="138" t="n"/>
      <c r="R137" s="138" t="n"/>
      <c r="S137" s="138" t="n"/>
      <c r="T137" s="138" t="n"/>
      <c r="U137" s="138" t="n"/>
      <c r="V137" s="138" t="n"/>
      <c r="W137" s="138" t="n"/>
      <c r="X137" s="138" t="n"/>
      <c r="Y137" s="138" t="n"/>
      <c r="Z137" s="138" t="n"/>
      <c r="AA137" s="138" t="n"/>
      <c r="AB137" s="138" t="n"/>
      <c r="AC137" s="138" t="n"/>
      <c r="AD137" s="137">
        <f>IF($C137="","",IF(COUNTIFS($C$6:$C$1000,$C137,$G$6:$G$1000,$G137,$J$6:$J$1000,$J137)&gt;1,"MÜKERRER","OK"))</f>
        <v/>
      </c>
      <c r="AE137" s="137">
        <f>IF($Y137="","",IFERROR(VLOOKUP($Y137,RiskKatsayilari,2,FALSE()),0))</f>
        <v/>
      </c>
      <c r="AF137" s="137">
        <f>IF(OR($M137="",$AE137=""),"",ROUND(ABS($M137)*$AE137,2))</f>
        <v/>
      </c>
      <c r="AG137" s="137">
        <f>IF($G137="","",IFERROR(INDEX(CARI_KARTLARI!$I$6:$I$1000,MATCH($G137,CARI_KARTLARI!$A$6:$A$1000,0)),"VERİ YETERSİZ"))</f>
        <v/>
      </c>
    </row>
    <row r="138" ht="18" customHeight="1" s="102">
      <c r="A138" s="137">
        <f>IF($C138="","","CKS-"&amp;TEXT(ROW()-BaslangicSatir,"000000"))</f>
        <v/>
      </c>
      <c r="B138" s="138" t="n"/>
      <c r="C138" s="138" t="n"/>
      <c r="D138" s="138" t="n"/>
      <c r="E138" s="138" t="n"/>
      <c r="F138" s="138" t="n"/>
      <c r="G138" s="138" t="n"/>
      <c r="H138" s="138" t="n"/>
      <c r="I138" s="138" t="n"/>
      <c r="J138" s="138" t="n"/>
      <c r="K138" s="138" t="n"/>
      <c r="L138" s="138" t="n"/>
      <c r="M138" s="137">
        <f>IF($C138="","",ROUND($J138*$L138*IF($D138="Alınan",1,-1),2))</f>
        <v/>
      </c>
      <c r="N138" s="138" t="n"/>
      <c r="O138" s="138" t="n"/>
      <c r="P138" s="138" t="n"/>
      <c r="Q138" s="138" t="n"/>
      <c r="R138" s="138" t="n"/>
      <c r="S138" s="138" t="n"/>
      <c r="T138" s="138" t="n"/>
      <c r="U138" s="138" t="n"/>
      <c r="V138" s="138" t="n"/>
      <c r="W138" s="138" t="n"/>
      <c r="X138" s="138" t="n"/>
      <c r="Y138" s="138" t="n"/>
      <c r="Z138" s="138" t="n"/>
      <c r="AA138" s="138" t="n"/>
      <c r="AB138" s="138" t="n"/>
      <c r="AC138" s="138" t="n"/>
      <c r="AD138" s="137">
        <f>IF($C138="","",IF(COUNTIFS($C$6:$C$1000,$C138,$G$6:$G$1000,$G138,$J$6:$J$1000,$J138)&gt;1,"MÜKERRER","OK"))</f>
        <v/>
      </c>
      <c r="AE138" s="137">
        <f>IF($Y138="","",IFERROR(VLOOKUP($Y138,RiskKatsayilari,2,FALSE()),0))</f>
        <v/>
      </c>
      <c r="AF138" s="137">
        <f>IF(OR($M138="",$AE138=""),"",ROUND(ABS($M138)*$AE138,2))</f>
        <v/>
      </c>
      <c r="AG138" s="137">
        <f>IF($G138="","",IFERROR(INDEX(CARI_KARTLARI!$I$6:$I$1000,MATCH($G138,CARI_KARTLARI!$A$6:$A$1000,0)),"VERİ YETERSİZ"))</f>
        <v/>
      </c>
    </row>
    <row r="139" ht="18" customHeight="1" s="102">
      <c r="A139" s="137">
        <f>IF($C139="","","CKS-"&amp;TEXT(ROW()-BaslangicSatir,"000000"))</f>
        <v/>
      </c>
      <c r="B139" s="138" t="n"/>
      <c r="C139" s="138" t="n"/>
      <c r="D139" s="138" t="n"/>
      <c r="E139" s="138" t="n"/>
      <c r="F139" s="138" t="n"/>
      <c r="G139" s="138" t="n"/>
      <c r="H139" s="138" t="n"/>
      <c r="I139" s="138" t="n"/>
      <c r="J139" s="138" t="n"/>
      <c r="K139" s="138" t="n"/>
      <c r="L139" s="138" t="n"/>
      <c r="M139" s="137">
        <f>IF($C139="","",ROUND($J139*$L139*IF($D139="Alınan",1,-1),2))</f>
        <v/>
      </c>
      <c r="N139" s="138" t="n"/>
      <c r="O139" s="138" t="n"/>
      <c r="P139" s="138" t="n"/>
      <c r="Q139" s="138" t="n"/>
      <c r="R139" s="138" t="n"/>
      <c r="S139" s="138" t="n"/>
      <c r="T139" s="138" t="n"/>
      <c r="U139" s="138" t="n"/>
      <c r="V139" s="138" t="n"/>
      <c r="W139" s="138" t="n"/>
      <c r="X139" s="138" t="n"/>
      <c r="Y139" s="138" t="n"/>
      <c r="Z139" s="138" t="n"/>
      <c r="AA139" s="138" t="n"/>
      <c r="AB139" s="138" t="n"/>
      <c r="AC139" s="138" t="n"/>
      <c r="AD139" s="137">
        <f>IF($C139="","",IF(COUNTIFS($C$6:$C$1000,$C139,$G$6:$G$1000,$G139,$J$6:$J$1000,$J139)&gt;1,"MÜKERRER","OK"))</f>
        <v/>
      </c>
      <c r="AE139" s="137">
        <f>IF($Y139="","",IFERROR(VLOOKUP($Y139,RiskKatsayilari,2,FALSE()),0))</f>
        <v/>
      </c>
      <c r="AF139" s="137">
        <f>IF(OR($M139="",$AE139=""),"",ROUND(ABS($M139)*$AE139,2))</f>
        <v/>
      </c>
      <c r="AG139" s="137">
        <f>IF($G139="","",IFERROR(INDEX(CARI_KARTLARI!$I$6:$I$1000,MATCH($G139,CARI_KARTLARI!$A$6:$A$1000,0)),"VERİ YETERSİZ"))</f>
        <v/>
      </c>
    </row>
    <row r="140" ht="18" customHeight="1" s="102">
      <c r="A140" s="137">
        <f>IF($C140="","","CKS-"&amp;TEXT(ROW()-BaslangicSatir,"000000"))</f>
        <v/>
      </c>
      <c r="B140" s="138" t="n"/>
      <c r="C140" s="138" t="n"/>
      <c r="D140" s="138" t="n"/>
      <c r="E140" s="138" t="n"/>
      <c r="F140" s="138" t="n"/>
      <c r="G140" s="138" t="n"/>
      <c r="H140" s="138" t="n"/>
      <c r="I140" s="138" t="n"/>
      <c r="J140" s="138" t="n"/>
      <c r="K140" s="138" t="n"/>
      <c r="L140" s="138" t="n"/>
      <c r="M140" s="137">
        <f>IF($C140="","",ROUND($J140*$L140*IF($D140="Alınan",1,-1),2))</f>
        <v/>
      </c>
      <c r="N140" s="138" t="n"/>
      <c r="O140" s="138" t="n"/>
      <c r="P140" s="138" t="n"/>
      <c r="Q140" s="138" t="n"/>
      <c r="R140" s="138" t="n"/>
      <c r="S140" s="138" t="n"/>
      <c r="T140" s="138" t="n"/>
      <c r="U140" s="138" t="n"/>
      <c r="V140" s="138" t="n"/>
      <c r="W140" s="138" t="n"/>
      <c r="X140" s="138" t="n"/>
      <c r="Y140" s="138" t="n"/>
      <c r="Z140" s="138" t="n"/>
      <c r="AA140" s="138" t="n"/>
      <c r="AB140" s="138" t="n"/>
      <c r="AC140" s="138" t="n"/>
      <c r="AD140" s="137">
        <f>IF($C140="","",IF(COUNTIFS($C$6:$C$1000,$C140,$G$6:$G$1000,$G140,$J$6:$J$1000,$J140)&gt;1,"MÜKERRER","OK"))</f>
        <v/>
      </c>
      <c r="AE140" s="137">
        <f>IF($Y140="","",IFERROR(VLOOKUP($Y140,RiskKatsayilari,2,FALSE()),0))</f>
        <v/>
      </c>
      <c r="AF140" s="137">
        <f>IF(OR($M140="",$AE140=""),"",ROUND(ABS($M140)*$AE140,2))</f>
        <v/>
      </c>
      <c r="AG140" s="137">
        <f>IF($G140="","",IFERROR(INDEX(CARI_KARTLARI!$I$6:$I$1000,MATCH($G140,CARI_KARTLARI!$A$6:$A$1000,0)),"VERİ YETERSİZ"))</f>
        <v/>
      </c>
    </row>
    <row r="141" ht="18" customHeight="1" s="102">
      <c r="A141" s="137">
        <f>IF($C141="","","CKS-"&amp;TEXT(ROW()-BaslangicSatir,"000000"))</f>
        <v/>
      </c>
      <c r="B141" s="138" t="n"/>
      <c r="C141" s="138" t="n"/>
      <c r="D141" s="138" t="n"/>
      <c r="E141" s="138" t="n"/>
      <c r="F141" s="138" t="n"/>
      <c r="G141" s="138" t="n"/>
      <c r="H141" s="138" t="n"/>
      <c r="I141" s="138" t="n"/>
      <c r="J141" s="138" t="n"/>
      <c r="K141" s="138" t="n"/>
      <c r="L141" s="138" t="n"/>
      <c r="M141" s="137">
        <f>IF($C141="","",ROUND($J141*$L141*IF($D141="Alınan",1,-1),2))</f>
        <v/>
      </c>
      <c r="N141" s="138" t="n"/>
      <c r="O141" s="138" t="n"/>
      <c r="P141" s="138" t="n"/>
      <c r="Q141" s="138" t="n"/>
      <c r="R141" s="138" t="n"/>
      <c r="S141" s="138" t="n"/>
      <c r="T141" s="138" t="n"/>
      <c r="U141" s="138" t="n"/>
      <c r="V141" s="138" t="n"/>
      <c r="W141" s="138" t="n"/>
      <c r="X141" s="138" t="n"/>
      <c r="Y141" s="138" t="n"/>
      <c r="Z141" s="138" t="n"/>
      <c r="AA141" s="138" t="n"/>
      <c r="AB141" s="138" t="n"/>
      <c r="AC141" s="138" t="n"/>
      <c r="AD141" s="137">
        <f>IF($C141="","",IF(COUNTIFS($C$6:$C$1000,$C141,$G$6:$G$1000,$G141,$J$6:$J$1000,$J141)&gt;1,"MÜKERRER","OK"))</f>
        <v/>
      </c>
      <c r="AE141" s="137">
        <f>IF($Y141="","",IFERROR(VLOOKUP($Y141,RiskKatsayilari,2,FALSE()),0))</f>
        <v/>
      </c>
      <c r="AF141" s="137">
        <f>IF(OR($M141="",$AE141=""),"",ROUND(ABS($M141)*$AE141,2))</f>
        <v/>
      </c>
      <c r="AG141" s="137">
        <f>IF($G141="","",IFERROR(INDEX(CARI_KARTLARI!$I$6:$I$1000,MATCH($G141,CARI_KARTLARI!$A$6:$A$1000,0)),"VERİ YETERSİZ"))</f>
        <v/>
      </c>
    </row>
    <row r="142" ht="18" customHeight="1" s="102">
      <c r="A142" s="137">
        <f>IF($C142="","","CKS-"&amp;TEXT(ROW()-BaslangicSatir,"000000"))</f>
        <v/>
      </c>
      <c r="B142" s="138" t="n"/>
      <c r="C142" s="138" t="n"/>
      <c r="D142" s="138" t="n"/>
      <c r="E142" s="138" t="n"/>
      <c r="F142" s="138" t="n"/>
      <c r="G142" s="138" t="n"/>
      <c r="H142" s="138" t="n"/>
      <c r="I142" s="138" t="n"/>
      <c r="J142" s="138" t="n"/>
      <c r="K142" s="138" t="n"/>
      <c r="L142" s="138" t="n"/>
      <c r="M142" s="137">
        <f>IF($C142="","",ROUND($J142*$L142*IF($D142="Alınan",1,-1),2))</f>
        <v/>
      </c>
      <c r="N142" s="138" t="n"/>
      <c r="O142" s="138" t="n"/>
      <c r="P142" s="138" t="n"/>
      <c r="Q142" s="138" t="n"/>
      <c r="R142" s="138" t="n"/>
      <c r="S142" s="138" t="n"/>
      <c r="T142" s="138" t="n"/>
      <c r="U142" s="138" t="n"/>
      <c r="V142" s="138" t="n"/>
      <c r="W142" s="138" t="n"/>
      <c r="X142" s="138" t="n"/>
      <c r="Y142" s="138" t="n"/>
      <c r="Z142" s="138" t="n"/>
      <c r="AA142" s="138" t="n"/>
      <c r="AB142" s="138" t="n"/>
      <c r="AC142" s="138" t="n"/>
      <c r="AD142" s="137">
        <f>IF($C142="","",IF(COUNTIFS($C$6:$C$1000,$C142,$G$6:$G$1000,$G142,$J$6:$J$1000,$J142)&gt;1,"MÜKERRER","OK"))</f>
        <v/>
      </c>
      <c r="AE142" s="137">
        <f>IF($Y142="","",IFERROR(VLOOKUP($Y142,RiskKatsayilari,2,FALSE()),0))</f>
        <v/>
      </c>
      <c r="AF142" s="137">
        <f>IF(OR($M142="",$AE142=""),"",ROUND(ABS($M142)*$AE142,2))</f>
        <v/>
      </c>
      <c r="AG142" s="137">
        <f>IF($G142="","",IFERROR(INDEX(CARI_KARTLARI!$I$6:$I$1000,MATCH($G142,CARI_KARTLARI!$A$6:$A$1000,0)),"VERİ YETERSİZ"))</f>
        <v/>
      </c>
    </row>
    <row r="143" ht="18" customHeight="1" s="102">
      <c r="A143" s="137">
        <f>IF($C143="","","CKS-"&amp;TEXT(ROW()-BaslangicSatir,"000000"))</f>
        <v/>
      </c>
      <c r="B143" s="138" t="n"/>
      <c r="C143" s="138" t="n"/>
      <c r="D143" s="138" t="n"/>
      <c r="E143" s="138" t="n"/>
      <c r="F143" s="138" t="n"/>
      <c r="G143" s="138" t="n"/>
      <c r="H143" s="138" t="n"/>
      <c r="I143" s="138" t="n"/>
      <c r="J143" s="138" t="n"/>
      <c r="K143" s="138" t="n"/>
      <c r="L143" s="138" t="n"/>
      <c r="M143" s="137">
        <f>IF($C143="","",ROUND($J143*$L143*IF($D143="Alınan",1,-1),2))</f>
        <v/>
      </c>
      <c r="N143" s="138" t="n"/>
      <c r="O143" s="138" t="n"/>
      <c r="P143" s="138" t="n"/>
      <c r="Q143" s="138" t="n"/>
      <c r="R143" s="138" t="n"/>
      <c r="S143" s="138" t="n"/>
      <c r="T143" s="138" t="n"/>
      <c r="U143" s="138" t="n"/>
      <c r="V143" s="138" t="n"/>
      <c r="W143" s="138" t="n"/>
      <c r="X143" s="138" t="n"/>
      <c r="Y143" s="138" t="n"/>
      <c r="Z143" s="138" t="n"/>
      <c r="AA143" s="138" t="n"/>
      <c r="AB143" s="138" t="n"/>
      <c r="AC143" s="138" t="n"/>
      <c r="AD143" s="137">
        <f>IF($C143="","",IF(COUNTIFS($C$6:$C$1000,$C143,$G$6:$G$1000,$G143,$J$6:$J$1000,$J143)&gt;1,"MÜKERRER","OK"))</f>
        <v/>
      </c>
      <c r="AE143" s="137">
        <f>IF($Y143="","",IFERROR(VLOOKUP($Y143,RiskKatsayilari,2,FALSE()),0))</f>
        <v/>
      </c>
      <c r="AF143" s="137">
        <f>IF(OR($M143="",$AE143=""),"",ROUND(ABS($M143)*$AE143,2))</f>
        <v/>
      </c>
      <c r="AG143" s="137">
        <f>IF($G143="","",IFERROR(INDEX(CARI_KARTLARI!$I$6:$I$1000,MATCH($G143,CARI_KARTLARI!$A$6:$A$1000,0)),"VERİ YETERSİZ"))</f>
        <v/>
      </c>
    </row>
    <row r="144" ht="18" customHeight="1" s="102">
      <c r="A144" s="137">
        <f>IF($C144="","","CKS-"&amp;TEXT(ROW()-BaslangicSatir,"000000"))</f>
        <v/>
      </c>
      <c r="B144" s="138" t="n"/>
      <c r="C144" s="138" t="n"/>
      <c r="D144" s="138" t="n"/>
      <c r="E144" s="138" t="n"/>
      <c r="F144" s="138" t="n"/>
      <c r="G144" s="138" t="n"/>
      <c r="H144" s="138" t="n"/>
      <c r="I144" s="138" t="n"/>
      <c r="J144" s="138" t="n"/>
      <c r="K144" s="138" t="n"/>
      <c r="L144" s="138" t="n"/>
      <c r="M144" s="137">
        <f>IF($C144="","",ROUND($J144*$L144*IF($D144="Alınan",1,-1),2))</f>
        <v/>
      </c>
      <c r="N144" s="138" t="n"/>
      <c r="O144" s="138" t="n"/>
      <c r="P144" s="138" t="n"/>
      <c r="Q144" s="138" t="n"/>
      <c r="R144" s="138" t="n"/>
      <c r="S144" s="138" t="n"/>
      <c r="T144" s="138" t="n"/>
      <c r="U144" s="138" t="n"/>
      <c r="V144" s="138" t="n"/>
      <c r="W144" s="138" t="n"/>
      <c r="X144" s="138" t="n"/>
      <c r="Y144" s="138" t="n"/>
      <c r="Z144" s="138" t="n"/>
      <c r="AA144" s="138" t="n"/>
      <c r="AB144" s="138" t="n"/>
      <c r="AC144" s="138" t="n"/>
      <c r="AD144" s="137">
        <f>IF($C144="","",IF(COUNTIFS($C$6:$C$1000,$C144,$G$6:$G$1000,$G144,$J$6:$J$1000,$J144)&gt;1,"MÜKERRER","OK"))</f>
        <v/>
      </c>
      <c r="AE144" s="137">
        <f>IF($Y144="","",IFERROR(VLOOKUP($Y144,RiskKatsayilari,2,FALSE()),0))</f>
        <v/>
      </c>
      <c r="AF144" s="137">
        <f>IF(OR($M144="",$AE144=""),"",ROUND(ABS($M144)*$AE144,2))</f>
        <v/>
      </c>
      <c r="AG144" s="137">
        <f>IF($G144="","",IFERROR(INDEX(CARI_KARTLARI!$I$6:$I$1000,MATCH($G144,CARI_KARTLARI!$A$6:$A$1000,0)),"VERİ YETERSİZ"))</f>
        <v/>
      </c>
    </row>
    <row r="145" ht="18" customHeight="1" s="102">
      <c r="A145" s="137">
        <f>IF($C145="","","CKS-"&amp;TEXT(ROW()-BaslangicSatir,"000000"))</f>
        <v/>
      </c>
      <c r="B145" s="138" t="n"/>
      <c r="C145" s="138" t="n"/>
      <c r="D145" s="138" t="n"/>
      <c r="E145" s="138" t="n"/>
      <c r="F145" s="138" t="n"/>
      <c r="G145" s="138" t="n"/>
      <c r="H145" s="138" t="n"/>
      <c r="I145" s="138" t="n"/>
      <c r="J145" s="138" t="n"/>
      <c r="K145" s="138" t="n"/>
      <c r="L145" s="138" t="n"/>
      <c r="M145" s="137">
        <f>IF($C145="","",ROUND($J145*$L145*IF($D145="Alınan",1,-1),2))</f>
        <v/>
      </c>
      <c r="N145" s="138" t="n"/>
      <c r="O145" s="138" t="n"/>
      <c r="P145" s="138" t="n"/>
      <c r="Q145" s="138" t="n"/>
      <c r="R145" s="138" t="n"/>
      <c r="S145" s="138" t="n"/>
      <c r="T145" s="138" t="n"/>
      <c r="U145" s="138" t="n"/>
      <c r="V145" s="138" t="n"/>
      <c r="W145" s="138" t="n"/>
      <c r="X145" s="138" t="n"/>
      <c r="Y145" s="138" t="n"/>
      <c r="Z145" s="138" t="n"/>
      <c r="AA145" s="138" t="n"/>
      <c r="AB145" s="138" t="n"/>
      <c r="AC145" s="138" t="n"/>
      <c r="AD145" s="137">
        <f>IF($C145="","",IF(COUNTIFS($C$6:$C$1000,$C145,$G$6:$G$1000,$G145,$J$6:$J$1000,$J145)&gt;1,"MÜKERRER","OK"))</f>
        <v/>
      </c>
      <c r="AE145" s="137">
        <f>IF($Y145="","",IFERROR(VLOOKUP($Y145,RiskKatsayilari,2,FALSE()),0))</f>
        <v/>
      </c>
      <c r="AF145" s="137">
        <f>IF(OR($M145="",$AE145=""),"",ROUND(ABS($M145)*$AE145,2))</f>
        <v/>
      </c>
      <c r="AG145" s="137">
        <f>IF($G145="","",IFERROR(INDEX(CARI_KARTLARI!$I$6:$I$1000,MATCH($G145,CARI_KARTLARI!$A$6:$A$1000,0)),"VERİ YETERSİZ"))</f>
        <v/>
      </c>
    </row>
    <row r="146" ht="18" customHeight="1" s="102">
      <c r="A146" s="137">
        <f>IF($C146="","","CKS-"&amp;TEXT(ROW()-BaslangicSatir,"000000"))</f>
        <v/>
      </c>
      <c r="B146" s="138" t="n"/>
      <c r="C146" s="138" t="n"/>
      <c r="D146" s="138" t="n"/>
      <c r="E146" s="138" t="n"/>
      <c r="F146" s="138" t="n"/>
      <c r="G146" s="138" t="n"/>
      <c r="H146" s="138" t="n"/>
      <c r="I146" s="138" t="n"/>
      <c r="J146" s="138" t="n"/>
      <c r="K146" s="138" t="n"/>
      <c r="L146" s="138" t="n"/>
      <c r="M146" s="137">
        <f>IF($C146="","",ROUND($J146*$L146*IF($D146="Alınan",1,-1),2))</f>
        <v/>
      </c>
      <c r="N146" s="138" t="n"/>
      <c r="O146" s="138" t="n"/>
      <c r="P146" s="138" t="n"/>
      <c r="Q146" s="138" t="n"/>
      <c r="R146" s="138" t="n"/>
      <c r="S146" s="138" t="n"/>
      <c r="T146" s="138" t="n"/>
      <c r="U146" s="138" t="n"/>
      <c r="V146" s="138" t="n"/>
      <c r="W146" s="138" t="n"/>
      <c r="X146" s="138" t="n"/>
      <c r="Y146" s="138" t="n"/>
      <c r="Z146" s="138" t="n"/>
      <c r="AA146" s="138" t="n"/>
      <c r="AB146" s="138" t="n"/>
      <c r="AC146" s="138" t="n"/>
      <c r="AD146" s="137">
        <f>IF($C146="","",IF(COUNTIFS($C$6:$C$1000,$C146,$G$6:$G$1000,$G146,$J$6:$J$1000,$J146)&gt;1,"MÜKERRER","OK"))</f>
        <v/>
      </c>
      <c r="AE146" s="137">
        <f>IF($Y146="","",IFERROR(VLOOKUP($Y146,RiskKatsayilari,2,FALSE()),0))</f>
        <v/>
      </c>
      <c r="AF146" s="137">
        <f>IF(OR($M146="",$AE146=""),"",ROUND(ABS($M146)*$AE146,2))</f>
        <v/>
      </c>
      <c r="AG146" s="137">
        <f>IF($G146="","",IFERROR(INDEX(CARI_KARTLARI!$I$6:$I$1000,MATCH($G146,CARI_KARTLARI!$A$6:$A$1000,0)),"VERİ YETERSİZ"))</f>
        <v/>
      </c>
    </row>
    <row r="147" ht="18" customHeight="1" s="102">
      <c r="A147" s="137">
        <f>IF($C147="","","CKS-"&amp;TEXT(ROW()-BaslangicSatir,"000000"))</f>
        <v/>
      </c>
      <c r="B147" s="138" t="n"/>
      <c r="C147" s="138" t="n"/>
      <c r="D147" s="138" t="n"/>
      <c r="E147" s="138" t="n"/>
      <c r="F147" s="138" t="n"/>
      <c r="G147" s="138" t="n"/>
      <c r="H147" s="138" t="n"/>
      <c r="I147" s="138" t="n"/>
      <c r="J147" s="138" t="n"/>
      <c r="K147" s="138" t="n"/>
      <c r="L147" s="138" t="n"/>
      <c r="M147" s="137">
        <f>IF($C147="","",ROUND($J147*$L147*IF($D147="Alınan",1,-1),2))</f>
        <v/>
      </c>
      <c r="N147" s="138" t="n"/>
      <c r="O147" s="138" t="n"/>
      <c r="P147" s="138" t="n"/>
      <c r="Q147" s="138" t="n"/>
      <c r="R147" s="138" t="n"/>
      <c r="S147" s="138" t="n"/>
      <c r="T147" s="138" t="n"/>
      <c r="U147" s="138" t="n"/>
      <c r="V147" s="138" t="n"/>
      <c r="W147" s="138" t="n"/>
      <c r="X147" s="138" t="n"/>
      <c r="Y147" s="138" t="n"/>
      <c r="Z147" s="138" t="n"/>
      <c r="AA147" s="138" t="n"/>
      <c r="AB147" s="138" t="n"/>
      <c r="AC147" s="138" t="n"/>
      <c r="AD147" s="137">
        <f>IF($C147="","",IF(COUNTIFS($C$6:$C$1000,$C147,$G$6:$G$1000,$G147,$J$6:$J$1000,$J147)&gt;1,"MÜKERRER","OK"))</f>
        <v/>
      </c>
      <c r="AE147" s="137">
        <f>IF($Y147="","",IFERROR(VLOOKUP($Y147,RiskKatsayilari,2,FALSE()),0))</f>
        <v/>
      </c>
      <c r="AF147" s="137">
        <f>IF(OR($M147="",$AE147=""),"",ROUND(ABS($M147)*$AE147,2))</f>
        <v/>
      </c>
      <c r="AG147" s="137">
        <f>IF($G147="","",IFERROR(INDEX(CARI_KARTLARI!$I$6:$I$1000,MATCH($G147,CARI_KARTLARI!$A$6:$A$1000,0)),"VERİ YETERSİZ"))</f>
        <v/>
      </c>
    </row>
    <row r="148" ht="18" customHeight="1" s="102">
      <c r="A148" s="137">
        <f>IF($C148="","","CKS-"&amp;TEXT(ROW()-BaslangicSatir,"000000"))</f>
        <v/>
      </c>
      <c r="B148" s="138" t="n"/>
      <c r="C148" s="138" t="n"/>
      <c r="D148" s="138" t="n"/>
      <c r="E148" s="138" t="n"/>
      <c r="F148" s="138" t="n"/>
      <c r="G148" s="138" t="n"/>
      <c r="H148" s="138" t="n"/>
      <c r="I148" s="138" t="n"/>
      <c r="J148" s="138" t="n"/>
      <c r="K148" s="138" t="n"/>
      <c r="L148" s="138" t="n"/>
      <c r="M148" s="137">
        <f>IF($C148="","",ROUND($J148*$L148*IF($D148="Alınan",1,-1),2))</f>
        <v/>
      </c>
      <c r="N148" s="138" t="n"/>
      <c r="O148" s="138" t="n"/>
      <c r="P148" s="138" t="n"/>
      <c r="Q148" s="138" t="n"/>
      <c r="R148" s="138" t="n"/>
      <c r="S148" s="138" t="n"/>
      <c r="T148" s="138" t="n"/>
      <c r="U148" s="138" t="n"/>
      <c r="V148" s="138" t="n"/>
      <c r="W148" s="138" t="n"/>
      <c r="X148" s="138" t="n"/>
      <c r="Y148" s="138" t="n"/>
      <c r="Z148" s="138" t="n"/>
      <c r="AA148" s="138" t="n"/>
      <c r="AB148" s="138" t="n"/>
      <c r="AC148" s="138" t="n"/>
      <c r="AD148" s="137">
        <f>IF($C148="","",IF(COUNTIFS($C$6:$C$1000,$C148,$G$6:$G$1000,$G148,$J$6:$J$1000,$J148)&gt;1,"MÜKERRER","OK"))</f>
        <v/>
      </c>
      <c r="AE148" s="137">
        <f>IF($Y148="","",IFERROR(VLOOKUP($Y148,RiskKatsayilari,2,FALSE()),0))</f>
        <v/>
      </c>
      <c r="AF148" s="137">
        <f>IF(OR($M148="",$AE148=""),"",ROUND(ABS($M148)*$AE148,2))</f>
        <v/>
      </c>
      <c r="AG148" s="137">
        <f>IF($G148="","",IFERROR(INDEX(CARI_KARTLARI!$I$6:$I$1000,MATCH($G148,CARI_KARTLARI!$A$6:$A$1000,0)),"VERİ YETERSİZ"))</f>
        <v/>
      </c>
    </row>
    <row r="149" ht="18" customHeight="1" s="102">
      <c r="A149" s="137">
        <f>IF($C149="","","CKS-"&amp;TEXT(ROW()-BaslangicSatir,"000000"))</f>
        <v/>
      </c>
      <c r="B149" s="138" t="n"/>
      <c r="C149" s="138" t="n"/>
      <c r="D149" s="138" t="n"/>
      <c r="E149" s="138" t="n"/>
      <c r="F149" s="138" t="n"/>
      <c r="G149" s="138" t="n"/>
      <c r="H149" s="138" t="n"/>
      <c r="I149" s="138" t="n"/>
      <c r="J149" s="138" t="n"/>
      <c r="K149" s="138" t="n"/>
      <c r="L149" s="138" t="n"/>
      <c r="M149" s="137">
        <f>IF($C149="","",ROUND($J149*$L149*IF($D149="Alınan",1,-1),2))</f>
        <v/>
      </c>
      <c r="N149" s="138" t="n"/>
      <c r="O149" s="138" t="n"/>
      <c r="P149" s="138" t="n"/>
      <c r="Q149" s="138" t="n"/>
      <c r="R149" s="138" t="n"/>
      <c r="S149" s="138" t="n"/>
      <c r="T149" s="138" t="n"/>
      <c r="U149" s="138" t="n"/>
      <c r="V149" s="138" t="n"/>
      <c r="W149" s="138" t="n"/>
      <c r="X149" s="138" t="n"/>
      <c r="Y149" s="138" t="n"/>
      <c r="Z149" s="138" t="n"/>
      <c r="AA149" s="138" t="n"/>
      <c r="AB149" s="138" t="n"/>
      <c r="AC149" s="138" t="n"/>
      <c r="AD149" s="137">
        <f>IF($C149="","",IF(COUNTIFS($C$6:$C$1000,$C149,$G$6:$G$1000,$G149,$J$6:$J$1000,$J149)&gt;1,"MÜKERRER","OK"))</f>
        <v/>
      </c>
      <c r="AE149" s="137">
        <f>IF($Y149="","",IFERROR(VLOOKUP($Y149,RiskKatsayilari,2,FALSE()),0))</f>
        <v/>
      </c>
      <c r="AF149" s="137">
        <f>IF(OR($M149="",$AE149=""),"",ROUND(ABS($M149)*$AE149,2))</f>
        <v/>
      </c>
      <c r="AG149" s="137">
        <f>IF($G149="","",IFERROR(INDEX(CARI_KARTLARI!$I$6:$I$1000,MATCH($G149,CARI_KARTLARI!$A$6:$A$1000,0)),"VERİ YETERSİZ"))</f>
        <v/>
      </c>
    </row>
    <row r="150" ht="18" customHeight="1" s="102">
      <c r="A150" s="137">
        <f>IF($C150="","","CKS-"&amp;TEXT(ROW()-BaslangicSatir,"000000"))</f>
        <v/>
      </c>
      <c r="B150" s="138" t="n"/>
      <c r="C150" s="138" t="n"/>
      <c r="D150" s="138" t="n"/>
      <c r="E150" s="138" t="n"/>
      <c r="F150" s="138" t="n"/>
      <c r="G150" s="138" t="n"/>
      <c r="H150" s="138" t="n"/>
      <c r="I150" s="138" t="n"/>
      <c r="J150" s="138" t="n"/>
      <c r="K150" s="138" t="n"/>
      <c r="L150" s="138" t="n"/>
      <c r="M150" s="137">
        <f>IF($C150="","",ROUND($J150*$L150*IF($D150="Alınan",1,-1),2))</f>
        <v/>
      </c>
      <c r="N150" s="138" t="n"/>
      <c r="O150" s="138" t="n"/>
      <c r="P150" s="138" t="n"/>
      <c r="Q150" s="138" t="n"/>
      <c r="R150" s="138" t="n"/>
      <c r="S150" s="138" t="n"/>
      <c r="T150" s="138" t="n"/>
      <c r="U150" s="138" t="n"/>
      <c r="V150" s="138" t="n"/>
      <c r="W150" s="138" t="n"/>
      <c r="X150" s="138" t="n"/>
      <c r="Y150" s="138" t="n"/>
      <c r="Z150" s="138" t="n"/>
      <c r="AA150" s="138" t="n"/>
      <c r="AB150" s="138" t="n"/>
      <c r="AC150" s="138" t="n"/>
      <c r="AD150" s="137">
        <f>IF($C150="","",IF(COUNTIFS($C$6:$C$1000,$C150,$G$6:$G$1000,$G150,$J$6:$J$1000,$J150)&gt;1,"MÜKERRER","OK"))</f>
        <v/>
      </c>
      <c r="AE150" s="137">
        <f>IF($Y150="","",IFERROR(VLOOKUP($Y150,RiskKatsayilari,2,FALSE()),0))</f>
        <v/>
      </c>
      <c r="AF150" s="137">
        <f>IF(OR($M150="",$AE150=""),"",ROUND(ABS($M150)*$AE150,2))</f>
        <v/>
      </c>
      <c r="AG150" s="137">
        <f>IF($G150="","",IFERROR(INDEX(CARI_KARTLARI!$I$6:$I$1000,MATCH($G150,CARI_KARTLARI!$A$6:$A$1000,0)),"VERİ YETERSİZ"))</f>
        <v/>
      </c>
    </row>
    <row r="151" ht="18" customHeight="1" s="102">
      <c r="A151" s="137">
        <f>IF($C151="","","CKS-"&amp;TEXT(ROW()-BaslangicSatir,"000000"))</f>
        <v/>
      </c>
      <c r="B151" s="138" t="n"/>
      <c r="C151" s="138" t="n"/>
      <c r="D151" s="138" t="n"/>
      <c r="E151" s="138" t="n"/>
      <c r="F151" s="138" t="n"/>
      <c r="G151" s="138" t="n"/>
      <c r="H151" s="138" t="n"/>
      <c r="I151" s="138" t="n"/>
      <c r="J151" s="138" t="n"/>
      <c r="K151" s="138" t="n"/>
      <c r="L151" s="138" t="n"/>
      <c r="M151" s="137">
        <f>IF($C151="","",ROUND($J151*$L151*IF($D151="Alınan",1,-1),2))</f>
        <v/>
      </c>
      <c r="N151" s="138" t="n"/>
      <c r="O151" s="138" t="n"/>
      <c r="P151" s="138" t="n"/>
      <c r="Q151" s="138" t="n"/>
      <c r="R151" s="138" t="n"/>
      <c r="S151" s="138" t="n"/>
      <c r="T151" s="138" t="n"/>
      <c r="U151" s="138" t="n"/>
      <c r="V151" s="138" t="n"/>
      <c r="W151" s="138" t="n"/>
      <c r="X151" s="138" t="n"/>
      <c r="Y151" s="138" t="n"/>
      <c r="Z151" s="138" t="n"/>
      <c r="AA151" s="138" t="n"/>
      <c r="AB151" s="138" t="n"/>
      <c r="AC151" s="138" t="n"/>
      <c r="AD151" s="137">
        <f>IF($C151="","",IF(COUNTIFS($C$6:$C$1000,$C151,$G$6:$G$1000,$G151,$J$6:$J$1000,$J151)&gt;1,"MÜKERRER","OK"))</f>
        <v/>
      </c>
      <c r="AE151" s="137">
        <f>IF($Y151="","",IFERROR(VLOOKUP($Y151,RiskKatsayilari,2,FALSE()),0))</f>
        <v/>
      </c>
      <c r="AF151" s="137">
        <f>IF(OR($M151="",$AE151=""),"",ROUND(ABS($M151)*$AE151,2))</f>
        <v/>
      </c>
      <c r="AG151" s="137">
        <f>IF($G151="","",IFERROR(INDEX(CARI_KARTLARI!$I$6:$I$1000,MATCH($G151,CARI_KARTLARI!$A$6:$A$1000,0)),"VERİ YETERSİZ"))</f>
        <v/>
      </c>
    </row>
    <row r="152" ht="18" customHeight="1" s="102">
      <c r="A152" s="137">
        <f>IF($C152="","","CKS-"&amp;TEXT(ROW()-BaslangicSatir,"000000"))</f>
        <v/>
      </c>
      <c r="B152" s="138" t="n"/>
      <c r="C152" s="138" t="n"/>
      <c r="D152" s="138" t="n"/>
      <c r="E152" s="138" t="n"/>
      <c r="F152" s="138" t="n"/>
      <c r="G152" s="138" t="n"/>
      <c r="H152" s="138" t="n"/>
      <c r="I152" s="138" t="n"/>
      <c r="J152" s="138" t="n"/>
      <c r="K152" s="138" t="n"/>
      <c r="L152" s="138" t="n"/>
      <c r="M152" s="137">
        <f>IF($C152="","",ROUND($J152*$L152*IF($D152="Alınan",1,-1),2))</f>
        <v/>
      </c>
      <c r="N152" s="138" t="n"/>
      <c r="O152" s="138" t="n"/>
      <c r="P152" s="138" t="n"/>
      <c r="Q152" s="138" t="n"/>
      <c r="R152" s="138" t="n"/>
      <c r="S152" s="138" t="n"/>
      <c r="T152" s="138" t="n"/>
      <c r="U152" s="138" t="n"/>
      <c r="V152" s="138" t="n"/>
      <c r="W152" s="138" t="n"/>
      <c r="X152" s="138" t="n"/>
      <c r="Y152" s="138" t="n"/>
      <c r="Z152" s="138" t="n"/>
      <c r="AA152" s="138" t="n"/>
      <c r="AB152" s="138" t="n"/>
      <c r="AC152" s="138" t="n"/>
      <c r="AD152" s="137">
        <f>IF($C152="","",IF(COUNTIFS($C$6:$C$1000,$C152,$G$6:$G$1000,$G152,$J$6:$J$1000,$J152)&gt;1,"MÜKERRER","OK"))</f>
        <v/>
      </c>
      <c r="AE152" s="137">
        <f>IF($Y152="","",IFERROR(VLOOKUP($Y152,RiskKatsayilari,2,FALSE()),0))</f>
        <v/>
      </c>
      <c r="AF152" s="137">
        <f>IF(OR($M152="",$AE152=""),"",ROUND(ABS($M152)*$AE152,2))</f>
        <v/>
      </c>
      <c r="AG152" s="137">
        <f>IF($G152="","",IFERROR(INDEX(CARI_KARTLARI!$I$6:$I$1000,MATCH($G152,CARI_KARTLARI!$A$6:$A$1000,0)),"VERİ YETERSİZ"))</f>
        <v/>
      </c>
    </row>
    <row r="153" ht="18" customHeight="1" s="102">
      <c r="A153" s="137">
        <f>IF($C153="","","CKS-"&amp;TEXT(ROW()-BaslangicSatir,"000000"))</f>
        <v/>
      </c>
      <c r="B153" s="138" t="n"/>
      <c r="C153" s="138" t="n"/>
      <c r="D153" s="138" t="n"/>
      <c r="E153" s="138" t="n"/>
      <c r="F153" s="138" t="n"/>
      <c r="G153" s="138" t="n"/>
      <c r="H153" s="138" t="n"/>
      <c r="I153" s="138" t="n"/>
      <c r="J153" s="138" t="n"/>
      <c r="K153" s="138" t="n"/>
      <c r="L153" s="138" t="n"/>
      <c r="M153" s="137">
        <f>IF($C153="","",ROUND($J153*$L153*IF($D153="Alınan",1,-1),2))</f>
        <v/>
      </c>
      <c r="N153" s="138" t="n"/>
      <c r="O153" s="138" t="n"/>
      <c r="P153" s="138" t="n"/>
      <c r="Q153" s="138" t="n"/>
      <c r="R153" s="138" t="n"/>
      <c r="S153" s="138" t="n"/>
      <c r="T153" s="138" t="n"/>
      <c r="U153" s="138" t="n"/>
      <c r="V153" s="138" t="n"/>
      <c r="W153" s="138" t="n"/>
      <c r="X153" s="138" t="n"/>
      <c r="Y153" s="138" t="n"/>
      <c r="Z153" s="138" t="n"/>
      <c r="AA153" s="138" t="n"/>
      <c r="AB153" s="138" t="n"/>
      <c r="AC153" s="138" t="n"/>
      <c r="AD153" s="137">
        <f>IF($C153="","",IF(COUNTIFS($C$6:$C$1000,$C153,$G$6:$G$1000,$G153,$J$6:$J$1000,$J153)&gt;1,"MÜKERRER","OK"))</f>
        <v/>
      </c>
      <c r="AE153" s="137">
        <f>IF($Y153="","",IFERROR(VLOOKUP($Y153,RiskKatsayilari,2,FALSE()),0))</f>
        <v/>
      </c>
      <c r="AF153" s="137">
        <f>IF(OR($M153="",$AE153=""),"",ROUND(ABS($M153)*$AE153,2))</f>
        <v/>
      </c>
      <c r="AG153" s="137">
        <f>IF($G153="","",IFERROR(INDEX(CARI_KARTLARI!$I$6:$I$1000,MATCH($G153,CARI_KARTLARI!$A$6:$A$1000,0)),"VERİ YETERSİZ"))</f>
        <v/>
      </c>
    </row>
    <row r="154" ht="18" customHeight="1" s="102">
      <c r="A154" s="137">
        <f>IF($C154="","","CKS-"&amp;TEXT(ROW()-BaslangicSatir,"000000"))</f>
        <v/>
      </c>
      <c r="B154" s="138" t="n"/>
      <c r="C154" s="138" t="n"/>
      <c r="D154" s="138" t="n"/>
      <c r="E154" s="138" t="n"/>
      <c r="F154" s="138" t="n"/>
      <c r="G154" s="138" t="n"/>
      <c r="H154" s="138" t="n"/>
      <c r="I154" s="138" t="n"/>
      <c r="J154" s="138" t="n"/>
      <c r="K154" s="138" t="n"/>
      <c r="L154" s="138" t="n"/>
      <c r="M154" s="137">
        <f>IF($C154="","",ROUND($J154*$L154*IF($D154="Alınan",1,-1),2))</f>
        <v/>
      </c>
      <c r="N154" s="138" t="n"/>
      <c r="O154" s="138" t="n"/>
      <c r="P154" s="138" t="n"/>
      <c r="Q154" s="138" t="n"/>
      <c r="R154" s="138" t="n"/>
      <c r="S154" s="138" t="n"/>
      <c r="T154" s="138" t="n"/>
      <c r="U154" s="138" t="n"/>
      <c r="V154" s="138" t="n"/>
      <c r="W154" s="138" t="n"/>
      <c r="X154" s="138" t="n"/>
      <c r="Y154" s="138" t="n"/>
      <c r="Z154" s="138" t="n"/>
      <c r="AA154" s="138" t="n"/>
      <c r="AB154" s="138" t="n"/>
      <c r="AC154" s="138" t="n"/>
      <c r="AD154" s="137">
        <f>IF($C154="","",IF(COUNTIFS($C$6:$C$1000,$C154,$G$6:$G$1000,$G154,$J$6:$J$1000,$J154)&gt;1,"MÜKERRER","OK"))</f>
        <v/>
      </c>
      <c r="AE154" s="137">
        <f>IF($Y154="","",IFERROR(VLOOKUP($Y154,RiskKatsayilari,2,FALSE()),0))</f>
        <v/>
      </c>
      <c r="AF154" s="137">
        <f>IF(OR($M154="",$AE154=""),"",ROUND(ABS($M154)*$AE154,2))</f>
        <v/>
      </c>
      <c r="AG154" s="137">
        <f>IF($G154="","",IFERROR(INDEX(CARI_KARTLARI!$I$6:$I$1000,MATCH($G154,CARI_KARTLARI!$A$6:$A$1000,0)),"VERİ YETERSİZ"))</f>
        <v/>
      </c>
    </row>
    <row r="155" ht="18" customHeight="1" s="102">
      <c r="A155" s="137">
        <f>IF($C155="","","CKS-"&amp;TEXT(ROW()-BaslangicSatir,"000000"))</f>
        <v/>
      </c>
      <c r="B155" s="138" t="n"/>
      <c r="C155" s="138" t="n"/>
      <c r="D155" s="138" t="n"/>
      <c r="E155" s="138" t="n"/>
      <c r="F155" s="138" t="n"/>
      <c r="G155" s="138" t="n"/>
      <c r="H155" s="138" t="n"/>
      <c r="I155" s="138" t="n"/>
      <c r="J155" s="138" t="n"/>
      <c r="K155" s="138" t="n"/>
      <c r="L155" s="138" t="n"/>
      <c r="M155" s="137">
        <f>IF($C155="","",ROUND($J155*$L155*IF($D155="Alınan",1,-1),2))</f>
        <v/>
      </c>
      <c r="N155" s="138" t="n"/>
      <c r="O155" s="138" t="n"/>
      <c r="P155" s="138" t="n"/>
      <c r="Q155" s="138" t="n"/>
      <c r="R155" s="138" t="n"/>
      <c r="S155" s="138" t="n"/>
      <c r="T155" s="138" t="n"/>
      <c r="U155" s="138" t="n"/>
      <c r="V155" s="138" t="n"/>
      <c r="W155" s="138" t="n"/>
      <c r="X155" s="138" t="n"/>
      <c r="Y155" s="138" t="n"/>
      <c r="Z155" s="138" t="n"/>
      <c r="AA155" s="138" t="n"/>
      <c r="AB155" s="138" t="n"/>
      <c r="AC155" s="138" t="n"/>
      <c r="AD155" s="137">
        <f>IF($C155="","",IF(COUNTIFS($C$6:$C$1000,$C155,$G$6:$G$1000,$G155,$J$6:$J$1000,$J155)&gt;1,"MÜKERRER","OK"))</f>
        <v/>
      </c>
      <c r="AE155" s="137">
        <f>IF($Y155="","",IFERROR(VLOOKUP($Y155,RiskKatsayilari,2,FALSE()),0))</f>
        <v/>
      </c>
      <c r="AF155" s="137">
        <f>IF(OR($M155="",$AE155=""),"",ROUND(ABS($M155)*$AE155,2))</f>
        <v/>
      </c>
      <c r="AG155" s="137">
        <f>IF($G155="","",IFERROR(INDEX(CARI_KARTLARI!$I$6:$I$1000,MATCH($G155,CARI_KARTLARI!$A$6:$A$1000,0)),"VERİ YETERSİZ"))</f>
        <v/>
      </c>
    </row>
    <row r="156" ht="18" customHeight="1" s="102">
      <c r="A156" s="137">
        <f>IF($C156="","","CKS-"&amp;TEXT(ROW()-BaslangicSatir,"000000"))</f>
        <v/>
      </c>
      <c r="B156" s="138" t="n"/>
      <c r="C156" s="138" t="n"/>
      <c r="D156" s="138" t="n"/>
      <c r="E156" s="138" t="n"/>
      <c r="F156" s="138" t="n"/>
      <c r="G156" s="138" t="n"/>
      <c r="H156" s="138" t="n"/>
      <c r="I156" s="138" t="n"/>
      <c r="J156" s="138" t="n"/>
      <c r="K156" s="138" t="n"/>
      <c r="L156" s="138" t="n"/>
      <c r="M156" s="137">
        <f>IF($C156="","",ROUND($J156*$L156*IF($D156="Alınan",1,-1),2))</f>
        <v/>
      </c>
      <c r="N156" s="138" t="n"/>
      <c r="O156" s="138" t="n"/>
      <c r="P156" s="138" t="n"/>
      <c r="Q156" s="138" t="n"/>
      <c r="R156" s="138" t="n"/>
      <c r="S156" s="138" t="n"/>
      <c r="T156" s="138" t="n"/>
      <c r="U156" s="138" t="n"/>
      <c r="V156" s="138" t="n"/>
      <c r="W156" s="138" t="n"/>
      <c r="X156" s="138" t="n"/>
      <c r="Y156" s="138" t="n"/>
      <c r="Z156" s="138" t="n"/>
      <c r="AA156" s="138" t="n"/>
      <c r="AB156" s="138" t="n"/>
      <c r="AC156" s="138" t="n"/>
      <c r="AD156" s="137">
        <f>IF($C156="","",IF(COUNTIFS($C$6:$C$1000,$C156,$G$6:$G$1000,$G156,$J$6:$J$1000,$J156)&gt;1,"MÜKERRER","OK"))</f>
        <v/>
      </c>
      <c r="AE156" s="137">
        <f>IF($Y156="","",IFERROR(VLOOKUP($Y156,RiskKatsayilari,2,FALSE()),0))</f>
        <v/>
      </c>
      <c r="AF156" s="137">
        <f>IF(OR($M156="",$AE156=""),"",ROUND(ABS($M156)*$AE156,2))</f>
        <v/>
      </c>
      <c r="AG156" s="137">
        <f>IF($G156="","",IFERROR(INDEX(CARI_KARTLARI!$I$6:$I$1000,MATCH($G156,CARI_KARTLARI!$A$6:$A$1000,0)),"VERİ YETERSİZ"))</f>
        <v/>
      </c>
    </row>
    <row r="157" ht="18" customHeight="1" s="102">
      <c r="A157" s="137">
        <f>IF($C157="","","CKS-"&amp;TEXT(ROW()-BaslangicSatir,"000000"))</f>
        <v/>
      </c>
      <c r="B157" s="138" t="n"/>
      <c r="C157" s="138" t="n"/>
      <c r="D157" s="138" t="n"/>
      <c r="E157" s="138" t="n"/>
      <c r="F157" s="138" t="n"/>
      <c r="G157" s="138" t="n"/>
      <c r="H157" s="138" t="n"/>
      <c r="I157" s="138" t="n"/>
      <c r="J157" s="138" t="n"/>
      <c r="K157" s="138" t="n"/>
      <c r="L157" s="138" t="n"/>
      <c r="M157" s="137">
        <f>IF($C157="","",ROUND($J157*$L157*IF($D157="Alınan",1,-1),2))</f>
        <v/>
      </c>
      <c r="N157" s="138" t="n"/>
      <c r="O157" s="138" t="n"/>
      <c r="P157" s="138" t="n"/>
      <c r="Q157" s="138" t="n"/>
      <c r="R157" s="138" t="n"/>
      <c r="S157" s="138" t="n"/>
      <c r="T157" s="138" t="n"/>
      <c r="U157" s="138" t="n"/>
      <c r="V157" s="138" t="n"/>
      <c r="W157" s="138" t="n"/>
      <c r="X157" s="138" t="n"/>
      <c r="Y157" s="138" t="n"/>
      <c r="Z157" s="138" t="n"/>
      <c r="AA157" s="138" t="n"/>
      <c r="AB157" s="138" t="n"/>
      <c r="AC157" s="138" t="n"/>
      <c r="AD157" s="137">
        <f>IF($C157="","",IF(COUNTIFS($C$6:$C$1000,$C157,$G$6:$G$1000,$G157,$J$6:$J$1000,$J157)&gt;1,"MÜKERRER","OK"))</f>
        <v/>
      </c>
      <c r="AE157" s="137">
        <f>IF($Y157="","",IFERROR(VLOOKUP($Y157,RiskKatsayilari,2,FALSE()),0))</f>
        <v/>
      </c>
      <c r="AF157" s="137">
        <f>IF(OR($M157="",$AE157=""),"",ROUND(ABS($M157)*$AE157,2))</f>
        <v/>
      </c>
      <c r="AG157" s="137">
        <f>IF($G157="","",IFERROR(INDEX(CARI_KARTLARI!$I$6:$I$1000,MATCH($G157,CARI_KARTLARI!$A$6:$A$1000,0)),"VERİ YETERSİZ"))</f>
        <v/>
      </c>
    </row>
    <row r="158" ht="18" customHeight="1" s="102">
      <c r="A158" s="137">
        <f>IF($C158="","","CKS-"&amp;TEXT(ROW()-BaslangicSatir,"000000"))</f>
        <v/>
      </c>
      <c r="B158" s="138" t="n"/>
      <c r="C158" s="138" t="n"/>
      <c r="D158" s="138" t="n"/>
      <c r="E158" s="138" t="n"/>
      <c r="F158" s="138" t="n"/>
      <c r="G158" s="138" t="n"/>
      <c r="H158" s="138" t="n"/>
      <c r="I158" s="138" t="n"/>
      <c r="J158" s="138" t="n"/>
      <c r="K158" s="138" t="n"/>
      <c r="L158" s="138" t="n"/>
      <c r="M158" s="137">
        <f>IF($C158="","",ROUND($J158*$L158*IF($D158="Alınan",1,-1),2))</f>
        <v/>
      </c>
      <c r="N158" s="138" t="n"/>
      <c r="O158" s="138" t="n"/>
      <c r="P158" s="138" t="n"/>
      <c r="Q158" s="138" t="n"/>
      <c r="R158" s="138" t="n"/>
      <c r="S158" s="138" t="n"/>
      <c r="T158" s="138" t="n"/>
      <c r="U158" s="138" t="n"/>
      <c r="V158" s="138" t="n"/>
      <c r="W158" s="138" t="n"/>
      <c r="X158" s="138" t="n"/>
      <c r="Y158" s="138" t="n"/>
      <c r="Z158" s="138" t="n"/>
      <c r="AA158" s="138" t="n"/>
      <c r="AB158" s="138" t="n"/>
      <c r="AC158" s="138" t="n"/>
      <c r="AD158" s="137">
        <f>IF($C158="","",IF(COUNTIFS($C$6:$C$1000,$C158,$G$6:$G$1000,$G158,$J$6:$J$1000,$J158)&gt;1,"MÜKERRER","OK"))</f>
        <v/>
      </c>
      <c r="AE158" s="137">
        <f>IF($Y158="","",IFERROR(VLOOKUP($Y158,RiskKatsayilari,2,FALSE()),0))</f>
        <v/>
      </c>
      <c r="AF158" s="137">
        <f>IF(OR($M158="",$AE158=""),"",ROUND(ABS($M158)*$AE158,2))</f>
        <v/>
      </c>
      <c r="AG158" s="137">
        <f>IF($G158="","",IFERROR(INDEX(CARI_KARTLARI!$I$6:$I$1000,MATCH($G158,CARI_KARTLARI!$A$6:$A$1000,0)),"VERİ YETERSİZ"))</f>
        <v/>
      </c>
    </row>
    <row r="159" ht="18" customHeight="1" s="102">
      <c r="A159" s="137">
        <f>IF($C159="","","CKS-"&amp;TEXT(ROW()-BaslangicSatir,"000000"))</f>
        <v/>
      </c>
      <c r="B159" s="138" t="n"/>
      <c r="C159" s="138" t="n"/>
      <c r="D159" s="138" t="n"/>
      <c r="E159" s="138" t="n"/>
      <c r="F159" s="138" t="n"/>
      <c r="G159" s="138" t="n"/>
      <c r="H159" s="138" t="n"/>
      <c r="I159" s="138" t="n"/>
      <c r="J159" s="138" t="n"/>
      <c r="K159" s="138" t="n"/>
      <c r="L159" s="138" t="n"/>
      <c r="M159" s="137">
        <f>IF($C159="","",ROUND($J159*$L159*IF($D159="Alınan",1,-1),2))</f>
        <v/>
      </c>
      <c r="N159" s="138" t="n"/>
      <c r="O159" s="138" t="n"/>
      <c r="P159" s="138" t="n"/>
      <c r="Q159" s="138" t="n"/>
      <c r="R159" s="138" t="n"/>
      <c r="S159" s="138" t="n"/>
      <c r="T159" s="138" t="n"/>
      <c r="U159" s="138" t="n"/>
      <c r="V159" s="138" t="n"/>
      <c r="W159" s="138" t="n"/>
      <c r="X159" s="138" t="n"/>
      <c r="Y159" s="138" t="n"/>
      <c r="Z159" s="138" t="n"/>
      <c r="AA159" s="138" t="n"/>
      <c r="AB159" s="138" t="n"/>
      <c r="AC159" s="138" t="n"/>
      <c r="AD159" s="137">
        <f>IF($C159="","",IF(COUNTIFS($C$6:$C$1000,$C159,$G$6:$G$1000,$G159,$J$6:$J$1000,$J159)&gt;1,"MÜKERRER","OK"))</f>
        <v/>
      </c>
      <c r="AE159" s="137">
        <f>IF($Y159="","",IFERROR(VLOOKUP($Y159,RiskKatsayilari,2,FALSE()),0))</f>
        <v/>
      </c>
      <c r="AF159" s="137">
        <f>IF(OR($M159="",$AE159=""),"",ROUND(ABS($M159)*$AE159,2))</f>
        <v/>
      </c>
      <c r="AG159" s="137">
        <f>IF($G159="","",IFERROR(INDEX(CARI_KARTLARI!$I$6:$I$1000,MATCH($G159,CARI_KARTLARI!$A$6:$A$1000,0)),"VERİ YETERSİZ"))</f>
        <v/>
      </c>
    </row>
    <row r="160" ht="18" customHeight="1" s="102">
      <c r="A160" s="137">
        <f>IF($C160="","","CKS-"&amp;TEXT(ROW()-BaslangicSatir,"000000"))</f>
        <v/>
      </c>
      <c r="B160" s="138" t="n"/>
      <c r="C160" s="138" t="n"/>
      <c r="D160" s="138" t="n"/>
      <c r="E160" s="138" t="n"/>
      <c r="F160" s="138" t="n"/>
      <c r="G160" s="138" t="n"/>
      <c r="H160" s="138" t="n"/>
      <c r="I160" s="138" t="n"/>
      <c r="J160" s="138" t="n"/>
      <c r="K160" s="138" t="n"/>
      <c r="L160" s="138" t="n"/>
      <c r="M160" s="137">
        <f>IF($C160="","",ROUND($J160*$L160*IF($D160="Alınan",1,-1),2))</f>
        <v/>
      </c>
      <c r="N160" s="138" t="n"/>
      <c r="O160" s="138" t="n"/>
      <c r="P160" s="138" t="n"/>
      <c r="Q160" s="138" t="n"/>
      <c r="R160" s="138" t="n"/>
      <c r="S160" s="138" t="n"/>
      <c r="T160" s="138" t="n"/>
      <c r="U160" s="138" t="n"/>
      <c r="V160" s="138" t="n"/>
      <c r="W160" s="138" t="n"/>
      <c r="X160" s="138" t="n"/>
      <c r="Y160" s="138" t="n"/>
      <c r="Z160" s="138" t="n"/>
      <c r="AA160" s="138" t="n"/>
      <c r="AB160" s="138" t="n"/>
      <c r="AC160" s="138" t="n"/>
      <c r="AD160" s="137">
        <f>IF($C160="","",IF(COUNTIFS($C$6:$C$1000,$C160,$G$6:$G$1000,$G160,$J$6:$J$1000,$J160)&gt;1,"MÜKERRER","OK"))</f>
        <v/>
      </c>
      <c r="AE160" s="137">
        <f>IF($Y160="","",IFERROR(VLOOKUP($Y160,RiskKatsayilari,2,FALSE()),0))</f>
        <v/>
      </c>
      <c r="AF160" s="137">
        <f>IF(OR($M160="",$AE160=""),"",ROUND(ABS($M160)*$AE160,2))</f>
        <v/>
      </c>
      <c r="AG160" s="137">
        <f>IF($G160="","",IFERROR(INDEX(CARI_KARTLARI!$I$6:$I$1000,MATCH($G160,CARI_KARTLARI!$A$6:$A$1000,0)),"VERİ YETERSİZ"))</f>
        <v/>
      </c>
    </row>
    <row r="161" ht="18" customHeight="1" s="102">
      <c r="A161" s="137">
        <f>IF($C161="","","CKS-"&amp;TEXT(ROW()-BaslangicSatir,"000000"))</f>
        <v/>
      </c>
      <c r="B161" s="138" t="n"/>
      <c r="C161" s="138" t="n"/>
      <c r="D161" s="138" t="n"/>
      <c r="E161" s="138" t="n"/>
      <c r="F161" s="138" t="n"/>
      <c r="G161" s="138" t="n"/>
      <c r="H161" s="138" t="n"/>
      <c r="I161" s="138" t="n"/>
      <c r="J161" s="138" t="n"/>
      <c r="K161" s="138" t="n"/>
      <c r="L161" s="138" t="n"/>
      <c r="M161" s="137">
        <f>IF($C161="","",ROUND($J161*$L161*IF($D161="Alınan",1,-1),2))</f>
        <v/>
      </c>
      <c r="N161" s="138" t="n"/>
      <c r="O161" s="138" t="n"/>
      <c r="P161" s="138" t="n"/>
      <c r="Q161" s="138" t="n"/>
      <c r="R161" s="138" t="n"/>
      <c r="S161" s="138" t="n"/>
      <c r="T161" s="138" t="n"/>
      <c r="U161" s="138" t="n"/>
      <c r="V161" s="138" t="n"/>
      <c r="W161" s="138" t="n"/>
      <c r="X161" s="138" t="n"/>
      <c r="Y161" s="138" t="n"/>
      <c r="Z161" s="138" t="n"/>
      <c r="AA161" s="138" t="n"/>
      <c r="AB161" s="138" t="n"/>
      <c r="AC161" s="138" t="n"/>
      <c r="AD161" s="137">
        <f>IF($C161="","",IF(COUNTIFS($C$6:$C$1000,$C161,$G$6:$G$1000,$G161,$J$6:$J$1000,$J161)&gt;1,"MÜKERRER","OK"))</f>
        <v/>
      </c>
      <c r="AE161" s="137">
        <f>IF($Y161="","",IFERROR(VLOOKUP($Y161,RiskKatsayilari,2,FALSE()),0))</f>
        <v/>
      </c>
      <c r="AF161" s="137">
        <f>IF(OR($M161="",$AE161=""),"",ROUND(ABS($M161)*$AE161,2))</f>
        <v/>
      </c>
      <c r="AG161" s="137">
        <f>IF($G161="","",IFERROR(INDEX(CARI_KARTLARI!$I$6:$I$1000,MATCH($G161,CARI_KARTLARI!$A$6:$A$1000,0)),"VERİ YETERSİZ"))</f>
        <v/>
      </c>
    </row>
    <row r="162" ht="18" customHeight="1" s="102">
      <c r="A162" s="137">
        <f>IF($C162="","","CKS-"&amp;TEXT(ROW()-BaslangicSatir,"000000"))</f>
        <v/>
      </c>
      <c r="B162" s="138" t="n"/>
      <c r="C162" s="138" t="n"/>
      <c r="D162" s="138" t="n"/>
      <c r="E162" s="138" t="n"/>
      <c r="F162" s="138" t="n"/>
      <c r="G162" s="138" t="n"/>
      <c r="H162" s="138" t="n"/>
      <c r="I162" s="138" t="n"/>
      <c r="J162" s="138" t="n"/>
      <c r="K162" s="138" t="n"/>
      <c r="L162" s="138" t="n"/>
      <c r="M162" s="137">
        <f>IF($C162="","",ROUND($J162*$L162*IF($D162="Alınan",1,-1),2))</f>
        <v/>
      </c>
      <c r="N162" s="138" t="n"/>
      <c r="O162" s="138" t="n"/>
      <c r="P162" s="138" t="n"/>
      <c r="Q162" s="138" t="n"/>
      <c r="R162" s="138" t="n"/>
      <c r="S162" s="138" t="n"/>
      <c r="T162" s="138" t="n"/>
      <c r="U162" s="138" t="n"/>
      <c r="V162" s="138" t="n"/>
      <c r="W162" s="138" t="n"/>
      <c r="X162" s="138" t="n"/>
      <c r="Y162" s="138" t="n"/>
      <c r="Z162" s="138" t="n"/>
      <c r="AA162" s="138" t="n"/>
      <c r="AB162" s="138" t="n"/>
      <c r="AC162" s="138" t="n"/>
      <c r="AD162" s="137">
        <f>IF($C162="","",IF(COUNTIFS($C$6:$C$1000,$C162,$G$6:$G$1000,$G162,$J$6:$J$1000,$J162)&gt;1,"MÜKERRER","OK"))</f>
        <v/>
      </c>
      <c r="AE162" s="137">
        <f>IF($Y162="","",IFERROR(VLOOKUP($Y162,RiskKatsayilari,2,FALSE()),0))</f>
        <v/>
      </c>
      <c r="AF162" s="137">
        <f>IF(OR($M162="",$AE162=""),"",ROUND(ABS($M162)*$AE162,2))</f>
        <v/>
      </c>
      <c r="AG162" s="137">
        <f>IF($G162="","",IFERROR(INDEX(CARI_KARTLARI!$I$6:$I$1000,MATCH($G162,CARI_KARTLARI!$A$6:$A$1000,0)),"VERİ YETERSİZ"))</f>
        <v/>
      </c>
    </row>
    <row r="163" ht="18" customHeight="1" s="102">
      <c r="A163" s="137">
        <f>IF($C163="","","CKS-"&amp;TEXT(ROW()-BaslangicSatir,"000000"))</f>
        <v/>
      </c>
      <c r="B163" s="138" t="n"/>
      <c r="C163" s="138" t="n"/>
      <c r="D163" s="138" t="n"/>
      <c r="E163" s="138" t="n"/>
      <c r="F163" s="138" t="n"/>
      <c r="G163" s="138" t="n"/>
      <c r="H163" s="138" t="n"/>
      <c r="I163" s="138" t="n"/>
      <c r="J163" s="138" t="n"/>
      <c r="K163" s="138" t="n"/>
      <c r="L163" s="138" t="n"/>
      <c r="M163" s="137">
        <f>IF($C163="","",ROUND($J163*$L163*IF($D163="Alınan",1,-1),2))</f>
        <v/>
      </c>
      <c r="N163" s="138" t="n"/>
      <c r="O163" s="138" t="n"/>
      <c r="P163" s="138" t="n"/>
      <c r="Q163" s="138" t="n"/>
      <c r="R163" s="138" t="n"/>
      <c r="S163" s="138" t="n"/>
      <c r="T163" s="138" t="n"/>
      <c r="U163" s="138" t="n"/>
      <c r="V163" s="138" t="n"/>
      <c r="W163" s="138" t="n"/>
      <c r="X163" s="138" t="n"/>
      <c r="Y163" s="138" t="n"/>
      <c r="Z163" s="138" t="n"/>
      <c r="AA163" s="138" t="n"/>
      <c r="AB163" s="138" t="n"/>
      <c r="AC163" s="138" t="n"/>
      <c r="AD163" s="137">
        <f>IF($C163="","",IF(COUNTIFS($C$6:$C$1000,$C163,$G$6:$G$1000,$G163,$J$6:$J$1000,$J163)&gt;1,"MÜKERRER","OK"))</f>
        <v/>
      </c>
      <c r="AE163" s="137">
        <f>IF($Y163="","",IFERROR(VLOOKUP($Y163,RiskKatsayilari,2,FALSE()),0))</f>
        <v/>
      </c>
      <c r="AF163" s="137">
        <f>IF(OR($M163="",$AE163=""),"",ROUND(ABS($M163)*$AE163,2))</f>
        <v/>
      </c>
      <c r="AG163" s="137">
        <f>IF($G163="","",IFERROR(INDEX(CARI_KARTLARI!$I$6:$I$1000,MATCH($G163,CARI_KARTLARI!$A$6:$A$1000,0)),"VERİ YETERSİZ"))</f>
        <v/>
      </c>
    </row>
    <row r="164" ht="18" customHeight="1" s="102">
      <c r="A164" s="137">
        <f>IF($C164="","","CKS-"&amp;TEXT(ROW()-BaslangicSatir,"000000"))</f>
        <v/>
      </c>
      <c r="B164" s="138" t="n"/>
      <c r="C164" s="138" t="n"/>
      <c r="D164" s="138" t="n"/>
      <c r="E164" s="138" t="n"/>
      <c r="F164" s="138" t="n"/>
      <c r="G164" s="138" t="n"/>
      <c r="H164" s="138" t="n"/>
      <c r="I164" s="138" t="n"/>
      <c r="J164" s="138" t="n"/>
      <c r="K164" s="138" t="n"/>
      <c r="L164" s="138" t="n"/>
      <c r="M164" s="137">
        <f>IF($C164="","",ROUND($J164*$L164*IF($D164="Alınan",1,-1),2))</f>
        <v/>
      </c>
      <c r="N164" s="138" t="n"/>
      <c r="O164" s="138" t="n"/>
      <c r="P164" s="138" t="n"/>
      <c r="Q164" s="138" t="n"/>
      <c r="R164" s="138" t="n"/>
      <c r="S164" s="138" t="n"/>
      <c r="T164" s="138" t="n"/>
      <c r="U164" s="138" t="n"/>
      <c r="V164" s="138" t="n"/>
      <c r="W164" s="138" t="n"/>
      <c r="X164" s="138" t="n"/>
      <c r="Y164" s="138" t="n"/>
      <c r="Z164" s="138" t="n"/>
      <c r="AA164" s="138" t="n"/>
      <c r="AB164" s="138" t="n"/>
      <c r="AC164" s="138" t="n"/>
      <c r="AD164" s="137">
        <f>IF($C164="","",IF(COUNTIFS($C$6:$C$1000,$C164,$G$6:$G$1000,$G164,$J$6:$J$1000,$J164)&gt;1,"MÜKERRER","OK"))</f>
        <v/>
      </c>
      <c r="AE164" s="137">
        <f>IF($Y164="","",IFERROR(VLOOKUP($Y164,RiskKatsayilari,2,FALSE()),0))</f>
        <v/>
      </c>
      <c r="AF164" s="137">
        <f>IF(OR($M164="",$AE164=""),"",ROUND(ABS($M164)*$AE164,2))</f>
        <v/>
      </c>
      <c r="AG164" s="137">
        <f>IF($G164="","",IFERROR(INDEX(CARI_KARTLARI!$I$6:$I$1000,MATCH($G164,CARI_KARTLARI!$A$6:$A$1000,0)),"VERİ YETERSİZ"))</f>
        <v/>
      </c>
    </row>
    <row r="165" ht="18" customHeight="1" s="102">
      <c r="A165" s="137">
        <f>IF($C165="","","CKS-"&amp;TEXT(ROW()-BaslangicSatir,"000000"))</f>
        <v/>
      </c>
      <c r="B165" s="138" t="n"/>
      <c r="C165" s="138" t="n"/>
      <c r="D165" s="138" t="n"/>
      <c r="E165" s="138" t="n"/>
      <c r="F165" s="138" t="n"/>
      <c r="G165" s="138" t="n"/>
      <c r="H165" s="138" t="n"/>
      <c r="I165" s="138" t="n"/>
      <c r="J165" s="138" t="n"/>
      <c r="K165" s="138" t="n"/>
      <c r="L165" s="138" t="n"/>
      <c r="M165" s="137">
        <f>IF($C165="","",ROUND($J165*$L165*IF($D165="Alınan",1,-1),2))</f>
        <v/>
      </c>
      <c r="N165" s="138" t="n"/>
      <c r="O165" s="138" t="n"/>
      <c r="P165" s="138" t="n"/>
      <c r="Q165" s="138" t="n"/>
      <c r="R165" s="138" t="n"/>
      <c r="S165" s="138" t="n"/>
      <c r="T165" s="138" t="n"/>
      <c r="U165" s="138" t="n"/>
      <c r="V165" s="138" t="n"/>
      <c r="W165" s="138" t="n"/>
      <c r="X165" s="138" t="n"/>
      <c r="Y165" s="138" t="n"/>
      <c r="Z165" s="138" t="n"/>
      <c r="AA165" s="138" t="n"/>
      <c r="AB165" s="138" t="n"/>
      <c r="AC165" s="138" t="n"/>
      <c r="AD165" s="137">
        <f>IF($C165="","",IF(COUNTIFS($C$6:$C$1000,$C165,$G$6:$G$1000,$G165,$J$6:$J$1000,$J165)&gt;1,"MÜKERRER","OK"))</f>
        <v/>
      </c>
      <c r="AE165" s="137">
        <f>IF($Y165="","",IFERROR(VLOOKUP($Y165,RiskKatsayilari,2,FALSE()),0))</f>
        <v/>
      </c>
      <c r="AF165" s="137">
        <f>IF(OR($M165="",$AE165=""),"",ROUND(ABS($M165)*$AE165,2))</f>
        <v/>
      </c>
      <c r="AG165" s="137">
        <f>IF($G165="","",IFERROR(INDEX(CARI_KARTLARI!$I$6:$I$1000,MATCH($G165,CARI_KARTLARI!$A$6:$A$1000,0)),"VERİ YETERSİZ"))</f>
        <v/>
      </c>
    </row>
    <row r="166" ht="18" customHeight="1" s="102">
      <c r="A166" s="137">
        <f>IF($C166="","","CKS-"&amp;TEXT(ROW()-BaslangicSatir,"000000"))</f>
        <v/>
      </c>
      <c r="B166" s="138" t="n"/>
      <c r="C166" s="138" t="n"/>
      <c r="D166" s="138" t="n"/>
      <c r="E166" s="138" t="n"/>
      <c r="F166" s="138" t="n"/>
      <c r="G166" s="138" t="n"/>
      <c r="H166" s="138" t="n"/>
      <c r="I166" s="138" t="n"/>
      <c r="J166" s="138" t="n"/>
      <c r="K166" s="138" t="n"/>
      <c r="L166" s="138" t="n"/>
      <c r="M166" s="137">
        <f>IF($C166="","",ROUND($J166*$L166*IF($D166="Alınan",1,-1),2))</f>
        <v/>
      </c>
      <c r="N166" s="138" t="n"/>
      <c r="O166" s="138" t="n"/>
      <c r="P166" s="138" t="n"/>
      <c r="Q166" s="138" t="n"/>
      <c r="R166" s="138" t="n"/>
      <c r="S166" s="138" t="n"/>
      <c r="T166" s="138" t="n"/>
      <c r="U166" s="138" t="n"/>
      <c r="V166" s="138" t="n"/>
      <c r="W166" s="138" t="n"/>
      <c r="X166" s="138" t="n"/>
      <c r="Y166" s="138" t="n"/>
      <c r="Z166" s="138" t="n"/>
      <c r="AA166" s="138" t="n"/>
      <c r="AB166" s="138" t="n"/>
      <c r="AC166" s="138" t="n"/>
      <c r="AD166" s="137">
        <f>IF($C166="","",IF(COUNTIFS($C$6:$C$1000,$C166,$G$6:$G$1000,$G166,$J$6:$J$1000,$J166)&gt;1,"MÜKERRER","OK"))</f>
        <v/>
      </c>
      <c r="AE166" s="137">
        <f>IF($Y166="","",IFERROR(VLOOKUP($Y166,RiskKatsayilari,2,FALSE()),0))</f>
        <v/>
      </c>
      <c r="AF166" s="137">
        <f>IF(OR($M166="",$AE166=""),"",ROUND(ABS($M166)*$AE166,2))</f>
        <v/>
      </c>
      <c r="AG166" s="137">
        <f>IF($G166="","",IFERROR(INDEX(CARI_KARTLARI!$I$6:$I$1000,MATCH($G166,CARI_KARTLARI!$A$6:$A$1000,0)),"VERİ YETERSİZ"))</f>
        <v/>
      </c>
    </row>
    <row r="167" ht="18" customHeight="1" s="102">
      <c r="A167" s="137">
        <f>IF($C167="","","CKS-"&amp;TEXT(ROW()-BaslangicSatir,"000000"))</f>
        <v/>
      </c>
      <c r="B167" s="138" t="n"/>
      <c r="C167" s="138" t="n"/>
      <c r="D167" s="138" t="n"/>
      <c r="E167" s="138" t="n"/>
      <c r="F167" s="138" t="n"/>
      <c r="G167" s="138" t="n"/>
      <c r="H167" s="138" t="n"/>
      <c r="I167" s="138" t="n"/>
      <c r="J167" s="138" t="n"/>
      <c r="K167" s="138" t="n"/>
      <c r="L167" s="138" t="n"/>
      <c r="M167" s="137">
        <f>IF($C167="","",ROUND($J167*$L167*IF($D167="Alınan",1,-1),2))</f>
        <v/>
      </c>
      <c r="N167" s="138" t="n"/>
      <c r="O167" s="138" t="n"/>
      <c r="P167" s="138" t="n"/>
      <c r="Q167" s="138" t="n"/>
      <c r="R167" s="138" t="n"/>
      <c r="S167" s="138" t="n"/>
      <c r="T167" s="138" t="n"/>
      <c r="U167" s="138" t="n"/>
      <c r="V167" s="138" t="n"/>
      <c r="W167" s="138" t="n"/>
      <c r="X167" s="138" t="n"/>
      <c r="Y167" s="138" t="n"/>
      <c r="Z167" s="138" t="n"/>
      <c r="AA167" s="138" t="n"/>
      <c r="AB167" s="138" t="n"/>
      <c r="AC167" s="138" t="n"/>
      <c r="AD167" s="137">
        <f>IF($C167="","",IF(COUNTIFS($C$6:$C$1000,$C167,$G$6:$G$1000,$G167,$J$6:$J$1000,$J167)&gt;1,"MÜKERRER","OK"))</f>
        <v/>
      </c>
      <c r="AE167" s="137">
        <f>IF($Y167="","",IFERROR(VLOOKUP($Y167,RiskKatsayilari,2,FALSE()),0))</f>
        <v/>
      </c>
      <c r="AF167" s="137">
        <f>IF(OR($M167="",$AE167=""),"",ROUND(ABS($M167)*$AE167,2))</f>
        <v/>
      </c>
      <c r="AG167" s="137">
        <f>IF($G167="","",IFERROR(INDEX(CARI_KARTLARI!$I$6:$I$1000,MATCH($G167,CARI_KARTLARI!$A$6:$A$1000,0)),"VERİ YETERSİZ"))</f>
        <v/>
      </c>
    </row>
    <row r="168" ht="18" customHeight="1" s="102">
      <c r="A168" s="137">
        <f>IF($C168="","","CKS-"&amp;TEXT(ROW()-BaslangicSatir,"000000"))</f>
        <v/>
      </c>
      <c r="B168" s="138" t="n"/>
      <c r="C168" s="138" t="n"/>
      <c r="D168" s="138" t="n"/>
      <c r="E168" s="138" t="n"/>
      <c r="F168" s="138" t="n"/>
      <c r="G168" s="138" t="n"/>
      <c r="H168" s="138" t="n"/>
      <c r="I168" s="138" t="n"/>
      <c r="J168" s="138" t="n"/>
      <c r="K168" s="138" t="n"/>
      <c r="L168" s="138" t="n"/>
      <c r="M168" s="137">
        <f>IF($C168="","",ROUND($J168*$L168*IF($D168="Alınan",1,-1),2))</f>
        <v/>
      </c>
      <c r="N168" s="138" t="n"/>
      <c r="O168" s="138" t="n"/>
      <c r="P168" s="138" t="n"/>
      <c r="Q168" s="138" t="n"/>
      <c r="R168" s="138" t="n"/>
      <c r="S168" s="138" t="n"/>
      <c r="T168" s="138" t="n"/>
      <c r="U168" s="138" t="n"/>
      <c r="V168" s="138" t="n"/>
      <c r="W168" s="138" t="n"/>
      <c r="X168" s="138" t="n"/>
      <c r="Y168" s="138" t="n"/>
      <c r="Z168" s="138" t="n"/>
      <c r="AA168" s="138" t="n"/>
      <c r="AB168" s="138" t="n"/>
      <c r="AC168" s="138" t="n"/>
      <c r="AD168" s="137">
        <f>IF($C168="","",IF(COUNTIFS($C$6:$C$1000,$C168,$G$6:$G$1000,$G168,$J$6:$J$1000,$J168)&gt;1,"MÜKERRER","OK"))</f>
        <v/>
      </c>
      <c r="AE168" s="137">
        <f>IF($Y168="","",IFERROR(VLOOKUP($Y168,RiskKatsayilari,2,FALSE()),0))</f>
        <v/>
      </c>
      <c r="AF168" s="137">
        <f>IF(OR($M168="",$AE168=""),"",ROUND(ABS($M168)*$AE168,2))</f>
        <v/>
      </c>
      <c r="AG168" s="137">
        <f>IF($G168="","",IFERROR(INDEX(CARI_KARTLARI!$I$6:$I$1000,MATCH($G168,CARI_KARTLARI!$A$6:$A$1000,0)),"VERİ YETERSİZ"))</f>
        <v/>
      </c>
    </row>
    <row r="169" ht="18" customHeight="1" s="102">
      <c r="A169" s="137">
        <f>IF($C169="","","CKS-"&amp;TEXT(ROW()-BaslangicSatir,"000000"))</f>
        <v/>
      </c>
      <c r="B169" s="138" t="n"/>
      <c r="C169" s="138" t="n"/>
      <c r="D169" s="138" t="n"/>
      <c r="E169" s="138" t="n"/>
      <c r="F169" s="138" t="n"/>
      <c r="G169" s="138" t="n"/>
      <c r="H169" s="138" t="n"/>
      <c r="I169" s="138" t="n"/>
      <c r="J169" s="138" t="n"/>
      <c r="K169" s="138" t="n"/>
      <c r="L169" s="138" t="n"/>
      <c r="M169" s="137">
        <f>IF($C169="","",ROUND($J169*$L169*IF($D169="Alınan",1,-1),2))</f>
        <v/>
      </c>
      <c r="N169" s="138" t="n"/>
      <c r="O169" s="138" t="n"/>
      <c r="P169" s="138" t="n"/>
      <c r="Q169" s="138" t="n"/>
      <c r="R169" s="138" t="n"/>
      <c r="S169" s="138" t="n"/>
      <c r="T169" s="138" t="n"/>
      <c r="U169" s="138" t="n"/>
      <c r="V169" s="138" t="n"/>
      <c r="W169" s="138" t="n"/>
      <c r="X169" s="138" t="n"/>
      <c r="Y169" s="138" t="n"/>
      <c r="Z169" s="138" t="n"/>
      <c r="AA169" s="138" t="n"/>
      <c r="AB169" s="138" t="n"/>
      <c r="AC169" s="138" t="n"/>
      <c r="AD169" s="137">
        <f>IF($C169="","",IF(COUNTIFS($C$6:$C$1000,$C169,$G$6:$G$1000,$G169,$J$6:$J$1000,$J169)&gt;1,"MÜKERRER","OK"))</f>
        <v/>
      </c>
      <c r="AE169" s="137">
        <f>IF($Y169="","",IFERROR(VLOOKUP($Y169,RiskKatsayilari,2,FALSE()),0))</f>
        <v/>
      </c>
      <c r="AF169" s="137">
        <f>IF(OR($M169="",$AE169=""),"",ROUND(ABS($M169)*$AE169,2))</f>
        <v/>
      </c>
      <c r="AG169" s="137">
        <f>IF($G169="","",IFERROR(INDEX(CARI_KARTLARI!$I$6:$I$1000,MATCH($G169,CARI_KARTLARI!$A$6:$A$1000,0)),"VERİ YETERSİZ"))</f>
        <v/>
      </c>
    </row>
    <row r="170" ht="18" customHeight="1" s="102">
      <c r="A170" s="137">
        <f>IF($C170="","","CKS-"&amp;TEXT(ROW()-BaslangicSatir,"000000"))</f>
        <v/>
      </c>
      <c r="B170" s="138" t="n"/>
      <c r="C170" s="138" t="n"/>
      <c r="D170" s="138" t="n"/>
      <c r="E170" s="138" t="n"/>
      <c r="F170" s="138" t="n"/>
      <c r="G170" s="138" t="n"/>
      <c r="H170" s="138" t="n"/>
      <c r="I170" s="138" t="n"/>
      <c r="J170" s="138" t="n"/>
      <c r="K170" s="138" t="n"/>
      <c r="L170" s="138" t="n"/>
      <c r="M170" s="137">
        <f>IF($C170="","",ROUND($J170*$L170*IF($D170="Alınan",1,-1),2))</f>
        <v/>
      </c>
      <c r="N170" s="138" t="n"/>
      <c r="O170" s="138" t="n"/>
      <c r="P170" s="138" t="n"/>
      <c r="Q170" s="138" t="n"/>
      <c r="R170" s="138" t="n"/>
      <c r="S170" s="138" t="n"/>
      <c r="T170" s="138" t="n"/>
      <c r="U170" s="138" t="n"/>
      <c r="V170" s="138" t="n"/>
      <c r="W170" s="138" t="n"/>
      <c r="X170" s="138" t="n"/>
      <c r="Y170" s="138" t="n"/>
      <c r="Z170" s="138" t="n"/>
      <c r="AA170" s="138" t="n"/>
      <c r="AB170" s="138" t="n"/>
      <c r="AC170" s="138" t="n"/>
      <c r="AD170" s="137">
        <f>IF($C170="","",IF(COUNTIFS($C$6:$C$1000,$C170,$G$6:$G$1000,$G170,$J$6:$J$1000,$J170)&gt;1,"MÜKERRER","OK"))</f>
        <v/>
      </c>
      <c r="AE170" s="137">
        <f>IF($Y170="","",IFERROR(VLOOKUP($Y170,RiskKatsayilari,2,FALSE()),0))</f>
        <v/>
      </c>
      <c r="AF170" s="137">
        <f>IF(OR($M170="",$AE170=""),"",ROUND(ABS($M170)*$AE170,2))</f>
        <v/>
      </c>
      <c r="AG170" s="137">
        <f>IF($G170="","",IFERROR(INDEX(CARI_KARTLARI!$I$6:$I$1000,MATCH($G170,CARI_KARTLARI!$A$6:$A$1000,0)),"VERİ YETERSİZ"))</f>
        <v/>
      </c>
    </row>
    <row r="171" ht="18" customHeight="1" s="102">
      <c r="A171" s="137">
        <f>IF($C171="","","CKS-"&amp;TEXT(ROW()-BaslangicSatir,"000000"))</f>
        <v/>
      </c>
      <c r="B171" s="138" t="n"/>
      <c r="C171" s="138" t="n"/>
      <c r="D171" s="138" t="n"/>
      <c r="E171" s="138" t="n"/>
      <c r="F171" s="138" t="n"/>
      <c r="G171" s="138" t="n"/>
      <c r="H171" s="138" t="n"/>
      <c r="I171" s="138" t="n"/>
      <c r="J171" s="138" t="n"/>
      <c r="K171" s="138" t="n"/>
      <c r="L171" s="138" t="n"/>
      <c r="M171" s="137">
        <f>IF($C171="","",ROUND($J171*$L171*IF($D171="Alınan",1,-1),2))</f>
        <v/>
      </c>
      <c r="N171" s="138" t="n"/>
      <c r="O171" s="138" t="n"/>
      <c r="P171" s="138" t="n"/>
      <c r="Q171" s="138" t="n"/>
      <c r="R171" s="138" t="n"/>
      <c r="S171" s="138" t="n"/>
      <c r="T171" s="138" t="n"/>
      <c r="U171" s="138" t="n"/>
      <c r="V171" s="138" t="n"/>
      <c r="W171" s="138" t="n"/>
      <c r="X171" s="138" t="n"/>
      <c r="Y171" s="138" t="n"/>
      <c r="Z171" s="138" t="n"/>
      <c r="AA171" s="138" t="n"/>
      <c r="AB171" s="138" t="n"/>
      <c r="AC171" s="138" t="n"/>
      <c r="AD171" s="137">
        <f>IF($C171="","",IF(COUNTIFS($C$6:$C$1000,$C171,$G$6:$G$1000,$G171,$J$6:$J$1000,$J171)&gt;1,"MÜKERRER","OK"))</f>
        <v/>
      </c>
      <c r="AE171" s="137">
        <f>IF($Y171="","",IFERROR(VLOOKUP($Y171,RiskKatsayilari,2,FALSE()),0))</f>
        <v/>
      </c>
      <c r="AF171" s="137">
        <f>IF(OR($M171="",$AE171=""),"",ROUND(ABS($M171)*$AE171,2))</f>
        <v/>
      </c>
      <c r="AG171" s="137">
        <f>IF($G171="","",IFERROR(INDEX(CARI_KARTLARI!$I$6:$I$1000,MATCH($G171,CARI_KARTLARI!$A$6:$A$1000,0)),"VERİ YETERSİZ"))</f>
        <v/>
      </c>
    </row>
    <row r="172" ht="18" customHeight="1" s="102">
      <c r="A172" s="137">
        <f>IF($C172="","","CKS-"&amp;TEXT(ROW()-BaslangicSatir,"000000"))</f>
        <v/>
      </c>
      <c r="B172" s="138" t="n"/>
      <c r="C172" s="138" t="n"/>
      <c r="D172" s="138" t="n"/>
      <c r="E172" s="138" t="n"/>
      <c r="F172" s="138" t="n"/>
      <c r="G172" s="138" t="n"/>
      <c r="H172" s="138" t="n"/>
      <c r="I172" s="138" t="n"/>
      <c r="J172" s="138" t="n"/>
      <c r="K172" s="138" t="n"/>
      <c r="L172" s="138" t="n"/>
      <c r="M172" s="137">
        <f>IF($C172="","",ROUND($J172*$L172*IF($D172="Alınan",1,-1),2))</f>
        <v/>
      </c>
      <c r="N172" s="138" t="n"/>
      <c r="O172" s="138" t="n"/>
      <c r="P172" s="138" t="n"/>
      <c r="Q172" s="138" t="n"/>
      <c r="R172" s="138" t="n"/>
      <c r="S172" s="138" t="n"/>
      <c r="T172" s="138" t="n"/>
      <c r="U172" s="138" t="n"/>
      <c r="V172" s="138" t="n"/>
      <c r="W172" s="138" t="n"/>
      <c r="X172" s="138" t="n"/>
      <c r="Y172" s="138" t="n"/>
      <c r="Z172" s="138" t="n"/>
      <c r="AA172" s="138" t="n"/>
      <c r="AB172" s="138" t="n"/>
      <c r="AC172" s="138" t="n"/>
      <c r="AD172" s="137">
        <f>IF($C172="","",IF(COUNTIFS($C$6:$C$1000,$C172,$G$6:$G$1000,$G172,$J$6:$J$1000,$J172)&gt;1,"MÜKERRER","OK"))</f>
        <v/>
      </c>
      <c r="AE172" s="137">
        <f>IF($Y172="","",IFERROR(VLOOKUP($Y172,RiskKatsayilari,2,FALSE()),0))</f>
        <v/>
      </c>
      <c r="AF172" s="137">
        <f>IF(OR($M172="",$AE172=""),"",ROUND(ABS($M172)*$AE172,2))</f>
        <v/>
      </c>
      <c r="AG172" s="137">
        <f>IF($G172="","",IFERROR(INDEX(CARI_KARTLARI!$I$6:$I$1000,MATCH($G172,CARI_KARTLARI!$A$6:$A$1000,0)),"VERİ YETERSİZ"))</f>
        <v/>
      </c>
    </row>
    <row r="173" ht="18" customHeight="1" s="102">
      <c r="A173" s="137">
        <f>IF($C173="","","CKS-"&amp;TEXT(ROW()-BaslangicSatir,"000000"))</f>
        <v/>
      </c>
      <c r="B173" s="138" t="n"/>
      <c r="C173" s="138" t="n"/>
      <c r="D173" s="138" t="n"/>
      <c r="E173" s="138" t="n"/>
      <c r="F173" s="138" t="n"/>
      <c r="G173" s="138" t="n"/>
      <c r="H173" s="138" t="n"/>
      <c r="I173" s="138" t="n"/>
      <c r="J173" s="138" t="n"/>
      <c r="K173" s="138" t="n"/>
      <c r="L173" s="138" t="n"/>
      <c r="M173" s="137">
        <f>IF($C173="","",ROUND($J173*$L173*IF($D173="Alınan",1,-1),2))</f>
        <v/>
      </c>
      <c r="N173" s="138" t="n"/>
      <c r="O173" s="138" t="n"/>
      <c r="P173" s="138" t="n"/>
      <c r="Q173" s="138" t="n"/>
      <c r="R173" s="138" t="n"/>
      <c r="S173" s="138" t="n"/>
      <c r="T173" s="138" t="n"/>
      <c r="U173" s="138" t="n"/>
      <c r="V173" s="138" t="n"/>
      <c r="W173" s="138" t="n"/>
      <c r="X173" s="138" t="n"/>
      <c r="Y173" s="138" t="n"/>
      <c r="Z173" s="138" t="n"/>
      <c r="AA173" s="138" t="n"/>
      <c r="AB173" s="138" t="n"/>
      <c r="AC173" s="138" t="n"/>
      <c r="AD173" s="137">
        <f>IF($C173="","",IF(COUNTIFS($C$6:$C$1000,$C173,$G$6:$G$1000,$G173,$J$6:$J$1000,$J173)&gt;1,"MÜKERRER","OK"))</f>
        <v/>
      </c>
      <c r="AE173" s="137">
        <f>IF($Y173="","",IFERROR(VLOOKUP($Y173,RiskKatsayilari,2,FALSE()),0))</f>
        <v/>
      </c>
      <c r="AF173" s="137">
        <f>IF(OR($M173="",$AE173=""),"",ROUND(ABS($M173)*$AE173,2))</f>
        <v/>
      </c>
      <c r="AG173" s="137">
        <f>IF($G173="","",IFERROR(INDEX(CARI_KARTLARI!$I$6:$I$1000,MATCH($G173,CARI_KARTLARI!$A$6:$A$1000,0)),"VERİ YETERSİZ"))</f>
        <v/>
      </c>
    </row>
    <row r="174" ht="18" customHeight="1" s="102">
      <c r="A174" s="137">
        <f>IF($C174="","","CKS-"&amp;TEXT(ROW()-BaslangicSatir,"000000"))</f>
        <v/>
      </c>
      <c r="B174" s="138" t="n"/>
      <c r="C174" s="138" t="n"/>
      <c r="D174" s="138" t="n"/>
      <c r="E174" s="138" t="n"/>
      <c r="F174" s="138" t="n"/>
      <c r="G174" s="138" t="n"/>
      <c r="H174" s="138" t="n"/>
      <c r="I174" s="138" t="n"/>
      <c r="J174" s="138" t="n"/>
      <c r="K174" s="138" t="n"/>
      <c r="L174" s="138" t="n"/>
      <c r="M174" s="137">
        <f>IF($C174="","",ROUND($J174*$L174*IF($D174="Alınan",1,-1),2))</f>
        <v/>
      </c>
      <c r="N174" s="138" t="n"/>
      <c r="O174" s="138" t="n"/>
      <c r="P174" s="138" t="n"/>
      <c r="Q174" s="138" t="n"/>
      <c r="R174" s="138" t="n"/>
      <c r="S174" s="138" t="n"/>
      <c r="T174" s="138" t="n"/>
      <c r="U174" s="138" t="n"/>
      <c r="V174" s="138" t="n"/>
      <c r="W174" s="138" t="n"/>
      <c r="X174" s="138" t="n"/>
      <c r="Y174" s="138" t="n"/>
      <c r="Z174" s="138" t="n"/>
      <c r="AA174" s="138" t="n"/>
      <c r="AB174" s="138" t="n"/>
      <c r="AC174" s="138" t="n"/>
      <c r="AD174" s="137">
        <f>IF($C174="","",IF(COUNTIFS($C$6:$C$1000,$C174,$G$6:$G$1000,$G174,$J$6:$J$1000,$J174)&gt;1,"MÜKERRER","OK"))</f>
        <v/>
      </c>
      <c r="AE174" s="137">
        <f>IF($Y174="","",IFERROR(VLOOKUP($Y174,RiskKatsayilari,2,FALSE()),0))</f>
        <v/>
      </c>
      <c r="AF174" s="137">
        <f>IF(OR($M174="",$AE174=""),"",ROUND(ABS($M174)*$AE174,2))</f>
        <v/>
      </c>
      <c r="AG174" s="137">
        <f>IF($G174="","",IFERROR(INDEX(CARI_KARTLARI!$I$6:$I$1000,MATCH($G174,CARI_KARTLARI!$A$6:$A$1000,0)),"VERİ YETERSİZ"))</f>
        <v/>
      </c>
    </row>
    <row r="175" ht="18" customHeight="1" s="102">
      <c r="A175" s="137">
        <f>IF($C175="","","CKS-"&amp;TEXT(ROW()-BaslangicSatir,"000000"))</f>
        <v/>
      </c>
      <c r="B175" s="138" t="n"/>
      <c r="C175" s="138" t="n"/>
      <c r="D175" s="138" t="n"/>
      <c r="E175" s="138" t="n"/>
      <c r="F175" s="138" t="n"/>
      <c r="G175" s="138" t="n"/>
      <c r="H175" s="138" t="n"/>
      <c r="I175" s="138" t="n"/>
      <c r="J175" s="138" t="n"/>
      <c r="K175" s="138" t="n"/>
      <c r="L175" s="138" t="n"/>
      <c r="M175" s="137">
        <f>IF($C175="","",ROUND($J175*$L175*IF($D175="Alınan",1,-1),2))</f>
        <v/>
      </c>
      <c r="N175" s="138" t="n"/>
      <c r="O175" s="138" t="n"/>
      <c r="P175" s="138" t="n"/>
      <c r="Q175" s="138" t="n"/>
      <c r="R175" s="138" t="n"/>
      <c r="S175" s="138" t="n"/>
      <c r="T175" s="138" t="n"/>
      <c r="U175" s="138" t="n"/>
      <c r="V175" s="138" t="n"/>
      <c r="W175" s="138" t="n"/>
      <c r="X175" s="138" t="n"/>
      <c r="Y175" s="138" t="n"/>
      <c r="Z175" s="138" t="n"/>
      <c r="AA175" s="138" t="n"/>
      <c r="AB175" s="138" t="n"/>
      <c r="AC175" s="138" t="n"/>
      <c r="AD175" s="137">
        <f>IF($C175="","",IF(COUNTIFS($C$6:$C$1000,$C175,$G$6:$G$1000,$G175,$J$6:$J$1000,$J175)&gt;1,"MÜKERRER","OK"))</f>
        <v/>
      </c>
      <c r="AE175" s="137">
        <f>IF($Y175="","",IFERROR(VLOOKUP($Y175,RiskKatsayilari,2,FALSE()),0))</f>
        <v/>
      </c>
      <c r="AF175" s="137">
        <f>IF(OR($M175="",$AE175=""),"",ROUND(ABS($M175)*$AE175,2))</f>
        <v/>
      </c>
      <c r="AG175" s="137">
        <f>IF($G175="","",IFERROR(INDEX(CARI_KARTLARI!$I$6:$I$1000,MATCH($G175,CARI_KARTLARI!$A$6:$A$1000,0)),"VERİ YETERSİZ"))</f>
        <v/>
      </c>
    </row>
    <row r="176" ht="18" customHeight="1" s="102">
      <c r="A176" s="137">
        <f>IF($C176="","","CKS-"&amp;TEXT(ROW()-BaslangicSatir,"000000"))</f>
        <v/>
      </c>
      <c r="B176" s="138" t="n"/>
      <c r="C176" s="138" t="n"/>
      <c r="D176" s="138" t="n"/>
      <c r="E176" s="138" t="n"/>
      <c r="F176" s="138" t="n"/>
      <c r="G176" s="138" t="n"/>
      <c r="H176" s="138" t="n"/>
      <c r="I176" s="138" t="n"/>
      <c r="J176" s="138" t="n"/>
      <c r="K176" s="138" t="n"/>
      <c r="L176" s="138" t="n"/>
      <c r="M176" s="137">
        <f>IF($C176="","",ROUND($J176*$L176*IF($D176="Alınan",1,-1),2))</f>
        <v/>
      </c>
      <c r="N176" s="138" t="n"/>
      <c r="O176" s="138" t="n"/>
      <c r="P176" s="138" t="n"/>
      <c r="Q176" s="138" t="n"/>
      <c r="R176" s="138" t="n"/>
      <c r="S176" s="138" t="n"/>
      <c r="T176" s="138" t="n"/>
      <c r="U176" s="138" t="n"/>
      <c r="V176" s="138" t="n"/>
      <c r="W176" s="138" t="n"/>
      <c r="X176" s="138" t="n"/>
      <c r="Y176" s="138" t="n"/>
      <c r="Z176" s="138" t="n"/>
      <c r="AA176" s="138" t="n"/>
      <c r="AB176" s="138" t="n"/>
      <c r="AC176" s="138" t="n"/>
      <c r="AD176" s="137">
        <f>IF($C176="","",IF(COUNTIFS($C$6:$C$1000,$C176,$G$6:$G$1000,$G176,$J$6:$J$1000,$J176)&gt;1,"MÜKERRER","OK"))</f>
        <v/>
      </c>
      <c r="AE176" s="137">
        <f>IF($Y176="","",IFERROR(VLOOKUP($Y176,RiskKatsayilari,2,FALSE()),0))</f>
        <v/>
      </c>
      <c r="AF176" s="137">
        <f>IF(OR($M176="",$AE176=""),"",ROUND(ABS($M176)*$AE176,2))</f>
        <v/>
      </c>
      <c r="AG176" s="137">
        <f>IF($G176="","",IFERROR(INDEX(CARI_KARTLARI!$I$6:$I$1000,MATCH($G176,CARI_KARTLARI!$A$6:$A$1000,0)),"VERİ YETERSİZ"))</f>
        <v/>
      </c>
    </row>
    <row r="177" ht="18" customHeight="1" s="102">
      <c r="A177" s="137">
        <f>IF($C177="","","CKS-"&amp;TEXT(ROW()-BaslangicSatir,"000000"))</f>
        <v/>
      </c>
      <c r="B177" s="138" t="n"/>
      <c r="C177" s="138" t="n"/>
      <c r="D177" s="138" t="n"/>
      <c r="E177" s="138" t="n"/>
      <c r="F177" s="138" t="n"/>
      <c r="G177" s="138" t="n"/>
      <c r="H177" s="138" t="n"/>
      <c r="I177" s="138" t="n"/>
      <c r="J177" s="138" t="n"/>
      <c r="K177" s="138" t="n"/>
      <c r="L177" s="138" t="n"/>
      <c r="M177" s="137">
        <f>IF($C177="","",ROUND($J177*$L177*IF($D177="Alınan",1,-1),2))</f>
        <v/>
      </c>
      <c r="N177" s="138" t="n"/>
      <c r="O177" s="138" t="n"/>
      <c r="P177" s="138" t="n"/>
      <c r="Q177" s="138" t="n"/>
      <c r="R177" s="138" t="n"/>
      <c r="S177" s="138" t="n"/>
      <c r="T177" s="138" t="n"/>
      <c r="U177" s="138" t="n"/>
      <c r="V177" s="138" t="n"/>
      <c r="W177" s="138" t="n"/>
      <c r="X177" s="138" t="n"/>
      <c r="Y177" s="138" t="n"/>
      <c r="Z177" s="138" t="n"/>
      <c r="AA177" s="138" t="n"/>
      <c r="AB177" s="138" t="n"/>
      <c r="AC177" s="138" t="n"/>
      <c r="AD177" s="137">
        <f>IF($C177="","",IF(COUNTIFS($C$6:$C$1000,$C177,$G$6:$G$1000,$G177,$J$6:$J$1000,$J177)&gt;1,"MÜKERRER","OK"))</f>
        <v/>
      </c>
      <c r="AE177" s="137">
        <f>IF($Y177="","",IFERROR(VLOOKUP($Y177,RiskKatsayilari,2,FALSE()),0))</f>
        <v/>
      </c>
      <c r="AF177" s="137">
        <f>IF(OR($M177="",$AE177=""),"",ROUND(ABS($M177)*$AE177,2))</f>
        <v/>
      </c>
      <c r="AG177" s="137">
        <f>IF($G177="","",IFERROR(INDEX(CARI_KARTLARI!$I$6:$I$1000,MATCH($G177,CARI_KARTLARI!$A$6:$A$1000,0)),"VERİ YETERSİZ"))</f>
        <v/>
      </c>
    </row>
    <row r="178" ht="18" customHeight="1" s="102">
      <c r="A178" s="137">
        <f>IF($C178="","","CKS-"&amp;TEXT(ROW()-BaslangicSatir,"000000"))</f>
        <v/>
      </c>
      <c r="B178" s="138" t="n"/>
      <c r="C178" s="138" t="n"/>
      <c r="D178" s="138" t="n"/>
      <c r="E178" s="138" t="n"/>
      <c r="F178" s="138" t="n"/>
      <c r="G178" s="138" t="n"/>
      <c r="H178" s="138" t="n"/>
      <c r="I178" s="138" t="n"/>
      <c r="J178" s="138" t="n"/>
      <c r="K178" s="138" t="n"/>
      <c r="L178" s="138" t="n"/>
      <c r="M178" s="137">
        <f>IF($C178="","",ROUND($J178*$L178*IF($D178="Alınan",1,-1),2))</f>
        <v/>
      </c>
      <c r="N178" s="138" t="n"/>
      <c r="O178" s="138" t="n"/>
      <c r="P178" s="138" t="n"/>
      <c r="Q178" s="138" t="n"/>
      <c r="R178" s="138" t="n"/>
      <c r="S178" s="138" t="n"/>
      <c r="T178" s="138" t="n"/>
      <c r="U178" s="138" t="n"/>
      <c r="V178" s="138" t="n"/>
      <c r="W178" s="138" t="n"/>
      <c r="X178" s="138" t="n"/>
      <c r="Y178" s="138" t="n"/>
      <c r="Z178" s="138" t="n"/>
      <c r="AA178" s="138" t="n"/>
      <c r="AB178" s="138" t="n"/>
      <c r="AC178" s="138" t="n"/>
      <c r="AD178" s="137">
        <f>IF($C178="","",IF(COUNTIFS($C$6:$C$1000,$C178,$G$6:$G$1000,$G178,$J$6:$J$1000,$J178)&gt;1,"MÜKERRER","OK"))</f>
        <v/>
      </c>
      <c r="AE178" s="137">
        <f>IF($Y178="","",IFERROR(VLOOKUP($Y178,RiskKatsayilari,2,FALSE()),0))</f>
        <v/>
      </c>
      <c r="AF178" s="137">
        <f>IF(OR($M178="",$AE178=""),"",ROUND(ABS($M178)*$AE178,2))</f>
        <v/>
      </c>
      <c r="AG178" s="137">
        <f>IF($G178="","",IFERROR(INDEX(CARI_KARTLARI!$I$6:$I$1000,MATCH($G178,CARI_KARTLARI!$A$6:$A$1000,0)),"VERİ YETERSİZ"))</f>
        <v/>
      </c>
    </row>
    <row r="179" ht="18" customHeight="1" s="102">
      <c r="A179" s="137">
        <f>IF($C179="","","CKS-"&amp;TEXT(ROW()-BaslangicSatir,"000000"))</f>
        <v/>
      </c>
      <c r="B179" s="138" t="n"/>
      <c r="C179" s="138" t="n"/>
      <c r="D179" s="138" t="n"/>
      <c r="E179" s="138" t="n"/>
      <c r="F179" s="138" t="n"/>
      <c r="G179" s="138" t="n"/>
      <c r="H179" s="138" t="n"/>
      <c r="I179" s="138" t="n"/>
      <c r="J179" s="138" t="n"/>
      <c r="K179" s="138" t="n"/>
      <c r="L179" s="138" t="n"/>
      <c r="M179" s="137">
        <f>IF($C179="","",ROUND($J179*$L179*IF($D179="Alınan",1,-1),2))</f>
        <v/>
      </c>
      <c r="N179" s="138" t="n"/>
      <c r="O179" s="138" t="n"/>
      <c r="P179" s="138" t="n"/>
      <c r="Q179" s="138" t="n"/>
      <c r="R179" s="138" t="n"/>
      <c r="S179" s="138" t="n"/>
      <c r="T179" s="138" t="n"/>
      <c r="U179" s="138" t="n"/>
      <c r="V179" s="138" t="n"/>
      <c r="W179" s="138" t="n"/>
      <c r="X179" s="138" t="n"/>
      <c r="Y179" s="138" t="n"/>
      <c r="Z179" s="138" t="n"/>
      <c r="AA179" s="138" t="n"/>
      <c r="AB179" s="138" t="n"/>
      <c r="AC179" s="138" t="n"/>
      <c r="AD179" s="137">
        <f>IF($C179="","",IF(COUNTIFS($C$6:$C$1000,$C179,$G$6:$G$1000,$G179,$J$6:$J$1000,$J179)&gt;1,"MÜKERRER","OK"))</f>
        <v/>
      </c>
      <c r="AE179" s="137">
        <f>IF($Y179="","",IFERROR(VLOOKUP($Y179,RiskKatsayilari,2,FALSE()),0))</f>
        <v/>
      </c>
      <c r="AF179" s="137">
        <f>IF(OR($M179="",$AE179=""),"",ROUND(ABS($M179)*$AE179,2))</f>
        <v/>
      </c>
      <c r="AG179" s="137">
        <f>IF($G179="","",IFERROR(INDEX(CARI_KARTLARI!$I$6:$I$1000,MATCH($G179,CARI_KARTLARI!$A$6:$A$1000,0)),"VERİ YETERSİZ"))</f>
        <v/>
      </c>
    </row>
    <row r="180" ht="18" customHeight="1" s="102">
      <c r="A180" s="137">
        <f>IF($C180="","","CKS-"&amp;TEXT(ROW()-BaslangicSatir,"000000"))</f>
        <v/>
      </c>
      <c r="B180" s="138" t="n"/>
      <c r="C180" s="138" t="n"/>
      <c r="D180" s="138" t="n"/>
      <c r="E180" s="138" t="n"/>
      <c r="F180" s="138" t="n"/>
      <c r="G180" s="138" t="n"/>
      <c r="H180" s="138" t="n"/>
      <c r="I180" s="138" t="n"/>
      <c r="J180" s="138" t="n"/>
      <c r="K180" s="138" t="n"/>
      <c r="L180" s="138" t="n"/>
      <c r="M180" s="137">
        <f>IF($C180="","",ROUND($J180*$L180*IF($D180="Alınan",1,-1),2))</f>
        <v/>
      </c>
      <c r="N180" s="138" t="n"/>
      <c r="O180" s="138" t="n"/>
      <c r="P180" s="138" t="n"/>
      <c r="Q180" s="138" t="n"/>
      <c r="R180" s="138" t="n"/>
      <c r="S180" s="138" t="n"/>
      <c r="T180" s="138" t="n"/>
      <c r="U180" s="138" t="n"/>
      <c r="V180" s="138" t="n"/>
      <c r="W180" s="138" t="n"/>
      <c r="X180" s="138" t="n"/>
      <c r="Y180" s="138" t="n"/>
      <c r="Z180" s="138" t="n"/>
      <c r="AA180" s="138" t="n"/>
      <c r="AB180" s="138" t="n"/>
      <c r="AC180" s="138" t="n"/>
      <c r="AD180" s="137">
        <f>IF($C180="","",IF(COUNTIFS($C$6:$C$1000,$C180,$G$6:$G$1000,$G180,$J$6:$J$1000,$J180)&gt;1,"MÜKERRER","OK"))</f>
        <v/>
      </c>
      <c r="AE180" s="137">
        <f>IF($Y180="","",IFERROR(VLOOKUP($Y180,RiskKatsayilari,2,FALSE()),0))</f>
        <v/>
      </c>
      <c r="AF180" s="137">
        <f>IF(OR($M180="",$AE180=""),"",ROUND(ABS($M180)*$AE180,2))</f>
        <v/>
      </c>
      <c r="AG180" s="137">
        <f>IF($G180="","",IFERROR(INDEX(CARI_KARTLARI!$I$6:$I$1000,MATCH($G180,CARI_KARTLARI!$A$6:$A$1000,0)),"VERİ YETERSİZ"))</f>
        <v/>
      </c>
    </row>
    <row r="181" ht="18" customHeight="1" s="102">
      <c r="A181" s="137">
        <f>IF($C181="","","CKS-"&amp;TEXT(ROW()-BaslangicSatir,"000000"))</f>
        <v/>
      </c>
      <c r="B181" s="138" t="n"/>
      <c r="C181" s="138" t="n"/>
      <c r="D181" s="138" t="n"/>
      <c r="E181" s="138" t="n"/>
      <c r="F181" s="138" t="n"/>
      <c r="G181" s="138" t="n"/>
      <c r="H181" s="138" t="n"/>
      <c r="I181" s="138" t="n"/>
      <c r="J181" s="138" t="n"/>
      <c r="K181" s="138" t="n"/>
      <c r="L181" s="138" t="n"/>
      <c r="M181" s="137">
        <f>IF($C181="","",ROUND($J181*$L181*IF($D181="Alınan",1,-1),2))</f>
        <v/>
      </c>
      <c r="N181" s="138" t="n"/>
      <c r="O181" s="138" t="n"/>
      <c r="P181" s="138" t="n"/>
      <c r="Q181" s="138" t="n"/>
      <c r="R181" s="138" t="n"/>
      <c r="S181" s="138" t="n"/>
      <c r="T181" s="138" t="n"/>
      <c r="U181" s="138" t="n"/>
      <c r="V181" s="138" t="n"/>
      <c r="W181" s="138" t="n"/>
      <c r="X181" s="138" t="n"/>
      <c r="Y181" s="138" t="n"/>
      <c r="Z181" s="138" t="n"/>
      <c r="AA181" s="138" t="n"/>
      <c r="AB181" s="138" t="n"/>
      <c r="AC181" s="138" t="n"/>
      <c r="AD181" s="137">
        <f>IF($C181="","",IF(COUNTIFS($C$6:$C$1000,$C181,$G$6:$G$1000,$G181,$J$6:$J$1000,$J181)&gt;1,"MÜKERRER","OK"))</f>
        <v/>
      </c>
      <c r="AE181" s="137">
        <f>IF($Y181="","",IFERROR(VLOOKUP($Y181,RiskKatsayilari,2,FALSE()),0))</f>
        <v/>
      </c>
      <c r="AF181" s="137">
        <f>IF(OR($M181="",$AE181=""),"",ROUND(ABS($M181)*$AE181,2))</f>
        <v/>
      </c>
      <c r="AG181" s="137">
        <f>IF($G181="","",IFERROR(INDEX(CARI_KARTLARI!$I$6:$I$1000,MATCH($G181,CARI_KARTLARI!$A$6:$A$1000,0)),"VERİ YETERSİZ"))</f>
        <v/>
      </c>
    </row>
    <row r="182" ht="18" customHeight="1" s="102">
      <c r="A182" s="137">
        <f>IF($C182="","","CKS-"&amp;TEXT(ROW()-BaslangicSatir,"000000"))</f>
        <v/>
      </c>
      <c r="B182" s="138" t="n"/>
      <c r="C182" s="138" t="n"/>
      <c r="D182" s="138" t="n"/>
      <c r="E182" s="138" t="n"/>
      <c r="F182" s="138" t="n"/>
      <c r="G182" s="138" t="n"/>
      <c r="H182" s="138" t="n"/>
      <c r="I182" s="138" t="n"/>
      <c r="J182" s="138" t="n"/>
      <c r="K182" s="138" t="n"/>
      <c r="L182" s="138" t="n"/>
      <c r="M182" s="137">
        <f>IF($C182="","",ROUND($J182*$L182*IF($D182="Alınan",1,-1),2))</f>
        <v/>
      </c>
      <c r="N182" s="138" t="n"/>
      <c r="O182" s="138" t="n"/>
      <c r="P182" s="138" t="n"/>
      <c r="Q182" s="138" t="n"/>
      <c r="R182" s="138" t="n"/>
      <c r="S182" s="138" t="n"/>
      <c r="T182" s="138" t="n"/>
      <c r="U182" s="138" t="n"/>
      <c r="V182" s="138" t="n"/>
      <c r="W182" s="138" t="n"/>
      <c r="X182" s="138" t="n"/>
      <c r="Y182" s="138" t="n"/>
      <c r="Z182" s="138" t="n"/>
      <c r="AA182" s="138" t="n"/>
      <c r="AB182" s="138" t="n"/>
      <c r="AC182" s="138" t="n"/>
      <c r="AD182" s="137">
        <f>IF($C182="","",IF(COUNTIFS($C$6:$C$1000,$C182,$G$6:$G$1000,$G182,$J$6:$J$1000,$J182)&gt;1,"MÜKERRER","OK"))</f>
        <v/>
      </c>
      <c r="AE182" s="137">
        <f>IF($Y182="","",IFERROR(VLOOKUP($Y182,RiskKatsayilari,2,FALSE()),0))</f>
        <v/>
      </c>
      <c r="AF182" s="137">
        <f>IF(OR($M182="",$AE182=""),"",ROUND(ABS($M182)*$AE182,2))</f>
        <v/>
      </c>
      <c r="AG182" s="137">
        <f>IF($G182="","",IFERROR(INDEX(CARI_KARTLARI!$I$6:$I$1000,MATCH($G182,CARI_KARTLARI!$A$6:$A$1000,0)),"VERİ YETERSİZ"))</f>
        <v/>
      </c>
    </row>
    <row r="183" ht="18" customHeight="1" s="102">
      <c r="A183" s="137">
        <f>IF($C183="","","CKS-"&amp;TEXT(ROW()-BaslangicSatir,"000000"))</f>
        <v/>
      </c>
      <c r="B183" s="138" t="n"/>
      <c r="C183" s="138" t="n"/>
      <c r="D183" s="138" t="n"/>
      <c r="E183" s="138" t="n"/>
      <c r="F183" s="138" t="n"/>
      <c r="G183" s="138" t="n"/>
      <c r="H183" s="138" t="n"/>
      <c r="I183" s="138" t="n"/>
      <c r="J183" s="138" t="n"/>
      <c r="K183" s="138" t="n"/>
      <c r="L183" s="138" t="n"/>
      <c r="M183" s="137">
        <f>IF($C183="","",ROUND($J183*$L183*IF($D183="Alınan",1,-1),2))</f>
        <v/>
      </c>
      <c r="N183" s="138" t="n"/>
      <c r="O183" s="138" t="n"/>
      <c r="P183" s="138" t="n"/>
      <c r="Q183" s="138" t="n"/>
      <c r="R183" s="138" t="n"/>
      <c r="S183" s="138" t="n"/>
      <c r="T183" s="138" t="n"/>
      <c r="U183" s="138" t="n"/>
      <c r="V183" s="138" t="n"/>
      <c r="W183" s="138" t="n"/>
      <c r="X183" s="138" t="n"/>
      <c r="Y183" s="138" t="n"/>
      <c r="Z183" s="138" t="n"/>
      <c r="AA183" s="138" t="n"/>
      <c r="AB183" s="138" t="n"/>
      <c r="AC183" s="138" t="n"/>
      <c r="AD183" s="137">
        <f>IF($C183="","",IF(COUNTIFS($C$6:$C$1000,$C183,$G$6:$G$1000,$G183,$J$6:$J$1000,$J183)&gt;1,"MÜKERRER","OK"))</f>
        <v/>
      </c>
      <c r="AE183" s="137">
        <f>IF($Y183="","",IFERROR(VLOOKUP($Y183,RiskKatsayilari,2,FALSE()),0))</f>
        <v/>
      </c>
      <c r="AF183" s="137">
        <f>IF(OR($M183="",$AE183=""),"",ROUND(ABS($M183)*$AE183,2))</f>
        <v/>
      </c>
      <c r="AG183" s="137">
        <f>IF($G183="","",IFERROR(INDEX(CARI_KARTLARI!$I$6:$I$1000,MATCH($G183,CARI_KARTLARI!$A$6:$A$1000,0)),"VERİ YETERSİZ"))</f>
        <v/>
      </c>
    </row>
    <row r="184" ht="18" customHeight="1" s="102">
      <c r="A184" s="137">
        <f>IF($C184="","","CKS-"&amp;TEXT(ROW()-BaslangicSatir,"000000"))</f>
        <v/>
      </c>
      <c r="B184" s="138" t="n"/>
      <c r="C184" s="138" t="n"/>
      <c r="D184" s="138" t="n"/>
      <c r="E184" s="138" t="n"/>
      <c r="F184" s="138" t="n"/>
      <c r="G184" s="138" t="n"/>
      <c r="H184" s="138" t="n"/>
      <c r="I184" s="138" t="n"/>
      <c r="J184" s="138" t="n"/>
      <c r="K184" s="138" t="n"/>
      <c r="L184" s="138" t="n"/>
      <c r="M184" s="137">
        <f>IF($C184="","",ROUND($J184*$L184*IF($D184="Alınan",1,-1),2))</f>
        <v/>
      </c>
      <c r="N184" s="138" t="n"/>
      <c r="O184" s="138" t="n"/>
      <c r="P184" s="138" t="n"/>
      <c r="Q184" s="138" t="n"/>
      <c r="R184" s="138" t="n"/>
      <c r="S184" s="138" t="n"/>
      <c r="T184" s="138" t="n"/>
      <c r="U184" s="138" t="n"/>
      <c r="V184" s="138" t="n"/>
      <c r="W184" s="138" t="n"/>
      <c r="X184" s="138" t="n"/>
      <c r="Y184" s="138" t="n"/>
      <c r="Z184" s="138" t="n"/>
      <c r="AA184" s="138" t="n"/>
      <c r="AB184" s="138" t="n"/>
      <c r="AC184" s="138" t="n"/>
      <c r="AD184" s="137">
        <f>IF($C184="","",IF(COUNTIFS($C$6:$C$1000,$C184,$G$6:$G$1000,$G184,$J$6:$J$1000,$J184)&gt;1,"MÜKERRER","OK"))</f>
        <v/>
      </c>
      <c r="AE184" s="137">
        <f>IF($Y184="","",IFERROR(VLOOKUP($Y184,RiskKatsayilari,2,FALSE()),0))</f>
        <v/>
      </c>
      <c r="AF184" s="137">
        <f>IF(OR($M184="",$AE184=""),"",ROUND(ABS($M184)*$AE184,2))</f>
        <v/>
      </c>
      <c r="AG184" s="137">
        <f>IF($G184="","",IFERROR(INDEX(CARI_KARTLARI!$I$6:$I$1000,MATCH($G184,CARI_KARTLARI!$A$6:$A$1000,0)),"VERİ YETERSİZ"))</f>
        <v/>
      </c>
    </row>
    <row r="185" ht="18" customHeight="1" s="102">
      <c r="A185" s="137">
        <f>IF($C185="","","CKS-"&amp;TEXT(ROW()-BaslangicSatir,"000000"))</f>
        <v/>
      </c>
      <c r="B185" s="138" t="n"/>
      <c r="C185" s="138" t="n"/>
      <c r="D185" s="138" t="n"/>
      <c r="E185" s="138" t="n"/>
      <c r="F185" s="138" t="n"/>
      <c r="G185" s="138" t="n"/>
      <c r="H185" s="138" t="n"/>
      <c r="I185" s="138" t="n"/>
      <c r="J185" s="138" t="n"/>
      <c r="K185" s="138" t="n"/>
      <c r="L185" s="138" t="n"/>
      <c r="M185" s="137">
        <f>IF($C185="","",ROUND($J185*$L185*IF($D185="Alınan",1,-1),2))</f>
        <v/>
      </c>
      <c r="N185" s="138" t="n"/>
      <c r="O185" s="138" t="n"/>
      <c r="P185" s="138" t="n"/>
      <c r="Q185" s="138" t="n"/>
      <c r="R185" s="138" t="n"/>
      <c r="S185" s="138" t="n"/>
      <c r="T185" s="138" t="n"/>
      <c r="U185" s="138" t="n"/>
      <c r="V185" s="138" t="n"/>
      <c r="W185" s="138" t="n"/>
      <c r="X185" s="138" t="n"/>
      <c r="Y185" s="138" t="n"/>
      <c r="Z185" s="138" t="n"/>
      <c r="AA185" s="138" t="n"/>
      <c r="AB185" s="138" t="n"/>
      <c r="AC185" s="138" t="n"/>
      <c r="AD185" s="137">
        <f>IF($C185="","",IF(COUNTIFS($C$6:$C$1000,$C185,$G$6:$G$1000,$G185,$J$6:$J$1000,$J185)&gt;1,"MÜKERRER","OK"))</f>
        <v/>
      </c>
      <c r="AE185" s="137">
        <f>IF($Y185="","",IFERROR(VLOOKUP($Y185,RiskKatsayilari,2,FALSE()),0))</f>
        <v/>
      </c>
      <c r="AF185" s="137">
        <f>IF(OR($M185="",$AE185=""),"",ROUND(ABS($M185)*$AE185,2))</f>
        <v/>
      </c>
      <c r="AG185" s="137">
        <f>IF($G185="","",IFERROR(INDEX(CARI_KARTLARI!$I$6:$I$1000,MATCH($G185,CARI_KARTLARI!$A$6:$A$1000,0)),"VERİ YETERSİZ"))</f>
        <v/>
      </c>
    </row>
    <row r="186" ht="18" customHeight="1" s="102">
      <c r="A186" s="137">
        <f>IF($C186="","","CKS-"&amp;TEXT(ROW()-BaslangicSatir,"000000"))</f>
        <v/>
      </c>
      <c r="B186" s="138" t="n"/>
      <c r="C186" s="138" t="n"/>
      <c r="D186" s="138" t="n"/>
      <c r="E186" s="138" t="n"/>
      <c r="F186" s="138" t="n"/>
      <c r="G186" s="138" t="n"/>
      <c r="H186" s="138" t="n"/>
      <c r="I186" s="138" t="n"/>
      <c r="J186" s="138" t="n"/>
      <c r="K186" s="138" t="n"/>
      <c r="L186" s="138" t="n"/>
      <c r="M186" s="137">
        <f>IF($C186="","",ROUND($J186*$L186*IF($D186="Alınan",1,-1),2))</f>
        <v/>
      </c>
      <c r="N186" s="138" t="n"/>
      <c r="O186" s="138" t="n"/>
      <c r="P186" s="138" t="n"/>
      <c r="Q186" s="138" t="n"/>
      <c r="R186" s="138" t="n"/>
      <c r="S186" s="138" t="n"/>
      <c r="T186" s="138" t="n"/>
      <c r="U186" s="138" t="n"/>
      <c r="V186" s="138" t="n"/>
      <c r="W186" s="138" t="n"/>
      <c r="X186" s="138" t="n"/>
      <c r="Y186" s="138" t="n"/>
      <c r="Z186" s="138" t="n"/>
      <c r="AA186" s="138" t="n"/>
      <c r="AB186" s="138" t="n"/>
      <c r="AC186" s="138" t="n"/>
      <c r="AD186" s="137">
        <f>IF($C186="","",IF(COUNTIFS($C$6:$C$1000,$C186,$G$6:$G$1000,$G186,$J$6:$J$1000,$J186)&gt;1,"MÜKERRER","OK"))</f>
        <v/>
      </c>
      <c r="AE186" s="137">
        <f>IF($Y186="","",IFERROR(VLOOKUP($Y186,RiskKatsayilari,2,FALSE()),0))</f>
        <v/>
      </c>
      <c r="AF186" s="137">
        <f>IF(OR($M186="",$AE186=""),"",ROUND(ABS($M186)*$AE186,2))</f>
        <v/>
      </c>
      <c r="AG186" s="137">
        <f>IF($G186="","",IFERROR(INDEX(CARI_KARTLARI!$I$6:$I$1000,MATCH($G186,CARI_KARTLARI!$A$6:$A$1000,0)),"VERİ YETERSİZ"))</f>
        <v/>
      </c>
    </row>
    <row r="187" ht="18" customHeight="1" s="102">
      <c r="A187" s="137">
        <f>IF($C187="","","CKS-"&amp;TEXT(ROW()-BaslangicSatir,"000000"))</f>
        <v/>
      </c>
      <c r="B187" s="138" t="n"/>
      <c r="C187" s="138" t="n"/>
      <c r="D187" s="138" t="n"/>
      <c r="E187" s="138" t="n"/>
      <c r="F187" s="138" t="n"/>
      <c r="G187" s="138" t="n"/>
      <c r="H187" s="138" t="n"/>
      <c r="I187" s="138" t="n"/>
      <c r="J187" s="138" t="n"/>
      <c r="K187" s="138" t="n"/>
      <c r="L187" s="138" t="n"/>
      <c r="M187" s="137">
        <f>IF($C187="","",ROUND($J187*$L187*IF($D187="Alınan",1,-1),2))</f>
        <v/>
      </c>
      <c r="N187" s="138" t="n"/>
      <c r="O187" s="138" t="n"/>
      <c r="P187" s="138" t="n"/>
      <c r="Q187" s="138" t="n"/>
      <c r="R187" s="138" t="n"/>
      <c r="S187" s="138" t="n"/>
      <c r="T187" s="138" t="n"/>
      <c r="U187" s="138" t="n"/>
      <c r="V187" s="138" t="n"/>
      <c r="W187" s="138" t="n"/>
      <c r="X187" s="138" t="n"/>
      <c r="Y187" s="138" t="n"/>
      <c r="Z187" s="138" t="n"/>
      <c r="AA187" s="138" t="n"/>
      <c r="AB187" s="138" t="n"/>
      <c r="AC187" s="138" t="n"/>
      <c r="AD187" s="137">
        <f>IF($C187="","",IF(COUNTIFS($C$6:$C$1000,$C187,$G$6:$G$1000,$G187,$J$6:$J$1000,$J187)&gt;1,"MÜKERRER","OK"))</f>
        <v/>
      </c>
      <c r="AE187" s="137">
        <f>IF($Y187="","",IFERROR(VLOOKUP($Y187,RiskKatsayilari,2,FALSE()),0))</f>
        <v/>
      </c>
      <c r="AF187" s="137">
        <f>IF(OR($M187="",$AE187=""),"",ROUND(ABS($M187)*$AE187,2))</f>
        <v/>
      </c>
      <c r="AG187" s="137">
        <f>IF($G187="","",IFERROR(INDEX(CARI_KARTLARI!$I$6:$I$1000,MATCH($G187,CARI_KARTLARI!$A$6:$A$1000,0)),"VERİ YETERSİZ"))</f>
        <v/>
      </c>
    </row>
    <row r="188" ht="18" customHeight="1" s="102">
      <c r="A188" s="137">
        <f>IF($C188="","","CKS-"&amp;TEXT(ROW()-BaslangicSatir,"000000"))</f>
        <v/>
      </c>
      <c r="B188" s="138" t="n"/>
      <c r="C188" s="138" t="n"/>
      <c r="D188" s="138" t="n"/>
      <c r="E188" s="138" t="n"/>
      <c r="F188" s="138" t="n"/>
      <c r="G188" s="138" t="n"/>
      <c r="H188" s="138" t="n"/>
      <c r="I188" s="138" t="n"/>
      <c r="J188" s="138" t="n"/>
      <c r="K188" s="138" t="n"/>
      <c r="L188" s="138" t="n"/>
      <c r="M188" s="137">
        <f>IF($C188="","",ROUND($J188*$L188*IF($D188="Alınan",1,-1),2))</f>
        <v/>
      </c>
      <c r="N188" s="138" t="n"/>
      <c r="O188" s="138" t="n"/>
      <c r="P188" s="138" t="n"/>
      <c r="Q188" s="138" t="n"/>
      <c r="R188" s="138" t="n"/>
      <c r="S188" s="138" t="n"/>
      <c r="T188" s="138" t="n"/>
      <c r="U188" s="138" t="n"/>
      <c r="V188" s="138" t="n"/>
      <c r="W188" s="138" t="n"/>
      <c r="X188" s="138" t="n"/>
      <c r="Y188" s="138" t="n"/>
      <c r="Z188" s="138" t="n"/>
      <c r="AA188" s="138" t="n"/>
      <c r="AB188" s="138" t="n"/>
      <c r="AC188" s="138" t="n"/>
      <c r="AD188" s="137">
        <f>IF($C188="","",IF(COUNTIFS($C$6:$C$1000,$C188,$G$6:$G$1000,$G188,$J$6:$J$1000,$J188)&gt;1,"MÜKERRER","OK"))</f>
        <v/>
      </c>
      <c r="AE188" s="137">
        <f>IF($Y188="","",IFERROR(VLOOKUP($Y188,RiskKatsayilari,2,FALSE()),0))</f>
        <v/>
      </c>
      <c r="AF188" s="137">
        <f>IF(OR($M188="",$AE188=""),"",ROUND(ABS($M188)*$AE188,2))</f>
        <v/>
      </c>
      <c r="AG188" s="137">
        <f>IF($G188="","",IFERROR(INDEX(CARI_KARTLARI!$I$6:$I$1000,MATCH($G188,CARI_KARTLARI!$A$6:$A$1000,0)),"VERİ YETERSİZ"))</f>
        <v/>
      </c>
    </row>
    <row r="189" ht="18" customHeight="1" s="102">
      <c r="A189" s="137">
        <f>IF($C189="","","CKS-"&amp;TEXT(ROW()-BaslangicSatir,"000000"))</f>
        <v/>
      </c>
      <c r="B189" s="138" t="n"/>
      <c r="C189" s="138" t="n"/>
      <c r="D189" s="138" t="n"/>
      <c r="E189" s="138" t="n"/>
      <c r="F189" s="138" t="n"/>
      <c r="G189" s="138" t="n"/>
      <c r="H189" s="138" t="n"/>
      <c r="I189" s="138" t="n"/>
      <c r="J189" s="138" t="n"/>
      <c r="K189" s="138" t="n"/>
      <c r="L189" s="138" t="n"/>
      <c r="M189" s="137">
        <f>IF($C189="","",ROUND($J189*$L189*IF($D189="Alınan",1,-1),2))</f>
        <v/>
      </c>
      <c r="N189" s="138" t="n"/>
      <c r="O189" s="138" t="n"/>
      <c r="P189" s="138" t="n"/>
      <c r="Q189" s="138" t="n"/>
      <c r="R189" s="138" t="n"/>
      <c r="S189" s="138" t="n"/>
      <c r="T189" s="138" t="n"/>
      <c r="U189" s="138" t="n"/>
      <c r="V189" s="138" t="n"/>
      <c r="W189" s="138" t="n"/>
      <c r="X189" s="138" t="n"/>
      <c r="Y189" s="138" t="n"/>
      <c r="Z189" s="138" t="n"/>
      <c r="AA189" s="138" t="n"/>
      <c r="AB189" s="138" t="n"/>
      <c r="AC189" s="138" t="n"/>
      <c r="AD189" s="137">
        <f>IF($C189="","",IF(COUNTIFS($C$6:$C$1000,$C189,$G$6:$G$1000,$G189,$J$6:$J$1000,$J189)&gt;1,"MÜKERRER","OK"))</f>
        <v/>
      </c>
      <c r="AE189" s="137">
        <f>IF($Y189="","",IFERROR(VLOOKUP($Y189,RiskKatsayilari,2,FALSE()),0))</f>
        <v/>
      </c>
      <c r="AF189" s="137">
        <f>IF(OR($M189="",$AE189=""),"",ROUND(ABS($M189)*$AE189,2))</f>
        <v/>
      </c>
      <c r="AG189" s="137">
        <f>IF($G189="","",IFERROR(INDEX(CARI_KARTLARI!$I$6:$I$1000,MATCH($G189,CARI_KARTLARI!$A$6:$A$1000,0)),"VERİ YETERSİZ"))</f>
        <v/>
      </c>
    </row>
    <row r="190" ht="18" customHeight="1" s="102">
      <c r="A190" s="137">
        <f>IF($C190="","","CKS-"&amp;TEXT(ROW()-BaslangicSatir,"000000"))</f>
        <v/>
      </c>
      <c r="B190" s="138" t="n"/>
      <c r="C190" s="138" t="n"/>
      <c r="D190" s="138" t="n"/>
      <c r="E190" s="138" t="n"/>
      <c r="F190" s="138" t="n"/>
      <c r="G190" s="138" t="n"/>
      <c r="H190" s="138" t="n"/>
      <c r="I190" s="138" t="n"/>
      <c r="J190" s="138" t="n"/>
      <c r="K190" s="138" t="n"/>
      <c r="L190" s="138" t="n"/>
      <c r="M190" s="137">
        <f>IF($C190="","",ROUND($J190*$L190*IF($D190="Alınan",1,-1),2))</f>
        <v/>
      </c>
      <c r="N190" s="138" t="n"/>
      <c r="O190" s="138" t="n"/>
      <c r="P190" s="138" t="n"/>
      <c r="Q190" s="138" t="n"/>
      <c r="R190" s="138" t="n"/>
      <c r="S190" s="138" t="n"/>
      <c r="T190" s="138" t="n"/>
      <c r="U190" s="138" t="n"/>
      <c r="V190" s="138" t="n"/>
      <c r="W190" s="138" t="n"/>
      <c r="X190" s="138" t="n"/>
      <c r="Y190" s="138" t="n"/>
      <c r="Z190" s="138" t="n"/>
      <c r="AA190" s="138" t="n"/>
      <c r="AB190" s="138" t="n"/>
      <c r="AC190" s="138" t="n"/>
      <c r="AD190" s="137">
        <f>IF($C190="","",IF(COUNTIFS($C$6:$C$1000,$C190,$G$6:$G$1000,$G190,$J$6:$J$1000,$J190)&gt;1,"MÜKERRER","OK"))</f>
        <v/>
      </c>
      <c r="AE190" s="137">
        <f>IF($Y190="","",IFERROR(VLOOKUP($Y190,RiskKatsayilari,2,FALSE()),0))</f>
        <v/>
      </c>
      <c r="AF190" s="137">
        <f>IF(OR($M190="",$AE190=""),"",ROUND(ABS($M190)*$AE190,2))</f>
        <v/>
      </c>
      <c r="AG190" s="137">
        <f>IF($G190="","",IFERROR(INDEX(CARI_KARTLARI!$I$6:$I$1000,MATCH($G190,CARI_KARTLARI!$A$6:$A$1000,0)),"VERİ YETERSİZ"))</f>
        <v/>
      </c>
    </row>
    <row r="191" ht="18" customHeight="1" s="102">
      <c r="A191" s="137">
        <f>IF($C191="","","CKS-"&amp;TEXT(ROW()-BaslangicSatir,"000000"))</f>
        <v/>
      </c>
      <c r="B191" s="138" t="n"/>
      <c r="C191" s="138" t="n"/>
      <c r="D191" s="138" t="n"/>
      <c r="E191" s="138" t="n"/>
      <c r="F191" s="138" t="n"/>
      <c r="G191" s="138" t="n"/>
      <c r="H191" s="138" t="n"/>
      <c r="I191" s="138" t="n"/>
      <c r="J191" s="138" t="n"/>
      <c r="K191" s="138" t="n"/>
      <c r="L191" s="138" t="n"/>
      <c r="M191" s="137">
        <f>IF($C191="","",ROUND($J191*$L191*IF($D191="Alınan",1,-1),2))</f>
        <v/>
      </c>
      <c r="N191" s="138" t="n"/>
      <c r="O191" s="138" t="n"/>
      <c r="P191" s="138" t="n"/>
      <c r="Q191" s="138" t="n"/>
      <c r="R191" s="138" t="n"/>
      <c r="S191" s="138" t="n"/>
      <c r="T191" s="138" t="n"/>
      <c r="U191" s="138" t="n"/>
      <c r="V191" s="138" t="n"/>
      <c r="W191" s="138" t="n"/>
      <c r="X191" s="138" t="n"/>
      <c r="Y191" s="138" t="n"/>
      <c r="Z191" s="138" t="n"/>
      <c r="AA191" s="138" t="n"/>
      <c r="AB191" s="138" t="n"/>
      <c r="AC191" s="138" t="n"/>
      <c r="AD191" s="137">
        <f>IF($C191="","",IF(COUNTIFS($C$6:$C$1000,$C191,$G$6:$G$1000,$G191,$J$6:$J$1000,$J191)&gt;1,"MÜKERRER","OK"))</f>
        <v/>
      </c>
      <c r="AE191" s="137">
        <f>IF($Y191="","",IFERROR(VLOOKUP($Y191,RiskKatsayilari,2,FALSE()),0))</f>
        <v/>
      </c>
      <c r="AF191" s="137">
        <f>IF(OR($M191="",$AE191=""),"",ROUND(ABS($M191)*$AE191,2))</f>
        <v/>
      </c>
      <c r="AG191" s="137">
        <f>IF($G191="","",IFERROR(INDEX(CARI_KARTLARI!$I$6:$I$1000,MATCH($G191,CARI_KARTLARI!$A$6:$A$1000,0)),"VERİ YETERSİZ"))</f>
        <v/>
      </c>
    </row>
    <row r="192" ht="18" customHeight="1" s="102">
      <c r="A192" s="137">
        <f>IF($C192="","","CKS-"&amp;TEXT(ROW()-BaslangicSatir,"000000"))</f>
        <v/>
      </c>
      <c r="B192" s="138" t="n"/>
      <c r="C192" s="138" t="n"/>
      <c r="D192" s="138" t="n"/>
      <c r="E192" s="138" t="n"/>
      <c r="F192" s="138" t="n"/>
      <c r="G192" s="138" t="n"/>
      <c r="H192" s="138" t="n"/>
      <c r="I192" s="138" t="n"/>
      <c r="J192" s="138" t="n"/>
      <c r="K192" s="138" t="n"/>
      <c r="L192" s="138" t="n"/>
      <c r="M192" s="137">
        <f>IF($C192="","",ROUND($J192*$L192*IF($D192="Alınan",1,-1),2))</f>
        <v/>
      </c>
      <c r="N192" s="138" t="n"/>
      <c r="O192" s="138" t="n"/>
      <c r="P192" s="138" t="n"/>
      <c r="Q192" s="138" t="n"/>
      <c r="R192" s="138" t="n"/>
      <c r="S192" s="138" t="n"/>
      <c r="T192" s="138" t="n"/>
      <c r="U192" s="138" t="n"/>
      <c r="V192" s="138" t="n"/>
      <c r="W192" s="138" t="n"/>
      <c r="X192" s="138" t="n"/>
      <c r="Y192" s="138" t="n"/>
      <c r="Z192" s="138" t="n"/>
      <c r="AA192" s="138" t="n"/>
      <c r="AB192" s="138" t="n"/>
      <c r="AC192" s="138" t="n"/>
      <c r="AD192" s="137">
        <f>IF($C192="","",IF(COUNTIFS($C$6:$C$1000,$C192,$G$6:$G$1000,$G192,$J$6:$J$1000,$J192)&gt;1,"MÜKERRER","OK"))</f>
        <v/>
      </c>
      <c r="AE192" s="137">
        <f>IF($Y192="","",IFERROR(VLOOKUP($Y192,RiskKatsayilari,2,FALSE()),0))</f>
        <v/>
      </c>
      <c r="AF192" s="137">
        <f>IF(OR($M192="",$AE192=""),"",ROUND(ABS($M192)*$AE192,2))</f>
        <v/>
      </c>
      <c r="AG192" s="137">
        <f>IF($G192="","",IFERROR(INDEX(CARI_KARTLARI!$I$6:$I$1000,MATCH($G192,CARI_KARTLARI!$A$6:$A$1000,0)),"VERİ YETERSİZ"))</f>
        <v/>
      </c>
    </row>
    <row r="193" ht="18" customHeight="1" s="102">
      <c r="A193" s="137">
        <f>IF($C193="","","CKS-"&amp;TEXT(ROW()-BaslangicSatir,"000000"))</f>
        <v/>
      </c>
      <c r="B193" s="138" t="n"/>
      <c r="C193" s="138" t="n"/>
      <c r="D193" s="138" t="n"/>
      <c r="E193" s="138" t="n"/>
      <c r="F193" s="138" t="n"/>
      <c r="G193" s="138" t="n"/>
      <c r="H193" s="138" t="n"/>
      <c r="I193" s="138" t="n"/>
      <c r="J193" s="138" t="n"/>
      <c r="K193" s="138" t="n"/>
      <c r="L193" s="138" t="n"/>
      <c r="M193" s="137">
        <f>IF($C193="","",ROUND($J193*$L193*IF($D193="Alınan",1,-1),2))</f>
        <v/>
      </c>
      <c r="N193" s="138" t="n"/>
      <c r="O193" s="138" t="n"/>
      <c r="P193" s="138" t="n"/>
      <c r="Q193" s="138" t="n"/>
      <c r="R193" s="138" t="n"/>
      <c r="S193" s="138" t="n"/>
      <c r="T193" s="138" t="n"/>
      <c r="U193" s="138" t="n"/>
      <c r="V193" s="138" t="n"/>
      <c r="W193" s="138" t="n"/>
      <c r="X193" s="138" t="n"/>
      <c r="Y193" s="138" t="n"/>
      <c r="Z193" s="138" t="n"/>
      <c r="AA193" s="138" t="n"/>
      <c r="AB193" s="138" t="n"/>
      <c r="AC193" s="138" t="n"/>
      <c r="AD193" s="137">
        <f>IF($C193="","",IF(COUNTIFS($C$6:$C$1000,$C193,$G$6:$G$1000,$G193,$J$6:$J$1000,$J193)&gt;1,"MÜKERRER","OK"))</f>
        <v/>
      </c>
      <c r="AE193" s="137">
        <f>IF($Y193="","",IFERROR(VLOOKUP($Y193,RiskKatsayilari,2,FALSE()),0))</f>
        <v/>
      </c>
      <c r="AF193" s="137">
        <f>IF(OR($M193="",$AE193=""),"",ROUND(ABS($M193)*$AE193,2))</f>
        <v/>
      </c>
      <c r="AG193" s="137">
        <f>IF($G193="","",IFERROR(INDEX(CARI_KARTLARI!$I$6:$I$1000,MATCH($G193,CARI_KARTLARI!$A$6:$A$1000,0)),"VERİ YETERSİZ"))</f>
        <v/>
      </c>
    </row>
    <row r="194" ht="18" customHeight="1" s="102">
      <c r="A194" s="137">
        <f>IF($C194="","","CKS-"&amp;TEXT(ROW()-BaslangicSatir,"000000"))</f>
        <v/>
      </c>
      <c r="B194" s="138" t="n"/>
      <c r="C194" s="138" t="n"/>
      <c r="D194" s="138" t="n"/>
      <c r="E194" s="138" t="n"/>
      <c r="F194" s="138" t="n"/>
      <c r="G194" s="138" t="n"/>
      <c r="H194" s="138" t="n"/>
      <c r="I194" s="138" t="n"/>
      <c r="J194" s="138" t="n"/>
      <c r="K194" s="138" t="n"/>
      <c r="L194" s="138" t="n"/>
      <c r="M194" s="137">
        <f>IF($C194="","",ROUND($J194*$L194*IF($D194="Alınan",1,-1),2))</f>
        <v/>
      </c>
      <c r="N194" s="138" t="n"/>
      <c r="O194" s="138" t="n"/>
      <c r="P194" s="138" t="n"/>
      <c r="Q194" s="138" t="n"/>
      <c r="R194" s="138" t="n"/>
      <c r="S194" s="138" t="n"/>
      <c r="T194" s="138" t="n"/>
      <c r="U194" s="138" t="n"/>
      <c r="V194" s="138" t="n"/>
      <c r="W194" s="138" t="n"/>
      <c r="X194" s="138" t="n"/>
      <c r="Y194" s="138" t="n"/>
      <c r="Z194" s="138" t="n"/>
      <c r="AA194" s="138" t="n"/>
      <c r="AB194" s="138" t="n"/>
      <c r="AC194" s="138" t="n"/>
      <c r="AD194" s="137">
        <f>IF($C194="","",IF(COUNTIFS($C$6:$C$1000,$C194,$G$6:$G$1000,$G194,$J$6:$J$1000,$J194)&gt;1,"MÜKERRER","OK"))</f>
        <v/>
      </c>
      <c r="AE194" s="137">
        <f>IF($Y194="","",IFERROR(VLOOKUP($Y194,RiskKatsayilari,2,FALSE()),0))</f>
        <v/>
      </c>
      <c r="AF194" s="137">
        <f>IF(OR($M194="",$AE194=""),"",ROUND(ABS($M194)*$AE194,2))</f>
        <v/>
      </c>
      <c r="AG194" s="137">
        <f>IF($G194="","",IFERROR(INDEX(CARI_KARTLARI!$I$6:$I$1000,MATCH($G194,CARI_KARTLARI!$A$6:$A$1000,0)),"VERİ YETERSİZ"))</f>
        <v/>
      </c>
    </row>
    <row r="195" ht="18" customHeight="1" s="102">
      <c r="A195" s="137">
        <f>IF($C195="","","CKS-"&amp;TEXT(ROW()-BaslangicSatir,"000000"))</f>
        <v/>
      </c>
      <c r="B195" s="138" t="n"/>
      <c r="C195" s="138" t="n"/>
      <c r="D195" s="138" t="n"/>
      <c r="E195" s="138" t="n"/>
      <c r="F195" s="138" t="n"/>
      <c r="G195" s="138" t="n"/>
      <c r="H195" s="138" t="n"/>
      <c r="I195" s="138" t="n"/>
      <c r="J195" s="138" t="n"/>
      <c r="K195" s="138" t="n"/>
      <c r="L195" s="138" t="n"/>
      <c r="M195" s="137">
        <f>IF($C195="","",ROUND($J195*$L195*IF($D195="Alınan",1,-1),2))</f>
        <v/>
      </c>
      <c r="N195" s="138" t="n"/>
      <c r="O195" s="138" t="n"/>
      <c r="P195" s="138" t="n"/>
      <c r="Q195" s="138" t="n"/>
      <c r="R195" s="138" t="n"/>
      <c r="S195" s="138" t="n"/>
      <c r="T195" s="138" t="n"/>
      <c r="U195" s="138" t="n"/>
      <c r="V195" s="138" t="n"/>
      <c r="W195" s="138" t="n"/>
      <c r="X195" s="138" t="n"/>
      <c r="Y195" s="138" t="n"/>
      <c r="Z195" s="138" t="n"/>
      <c r="AA195" s="138" t="n"/>
      <c r="AB195" s="138" t="n"/>
      <c r="AC195" s="138" t="n"/>
      <c r="AD195" s="137">
        <f>IF($C195="","",IF(COUNTIFS($C$6:$C$1000,$C195,$G$6:$G$1000,$G195,$J$6:$J$1000,$J195)&gt;1,"MÜKERRER","OK"))</f>
        <v/>
      </c>
      <c r="AE195" s="137">
        <f>IF($Y195="","",IFERROR(VLOOKUP($Y195,RiskKatsayilari,2,FALSE()),0))</f>
        <v/>
      </c>
      <c r="AF195" s="137">
        <f>IF(OR($M195="",$AE195=""),"",ROUND(ABS($M195)*$AE195,2))</f>
        <v/>
      </c>
      <c r="AG195" s="137">
        <f>IF($G195="","",IFERROR(INDEX(CARI_KARTLARI!$I$6:$I$1000,MATCH($G195,CARI_KARTLARI!$A$6:$A$1000,0)),"VERİ YETERSİZ"))</f>
        <v/>
      </c>
    </row>
    <row r="196" ht="18" customHeight="1" s="102">
      <c r="A196" s="137">
        <f>IF($C196="","","CKS-"&amp;TEXT(ROW()-BaslangicSatir,"000000"))</f>
        <v/>
      </c>
      <c r="B196" s="138" t="n"/>
      <c r="C196" s="138" t="n"/>
      <c r="D196" s="138" t="n"/>
      <c r="E196" s="138" t="n"/>
      <c r="F196" s="138" t="n"/>
      <c r="G196" s="138" t="n"/>
      <c r="H196" s="138" t="n"/>
      <c r="I196" s="138" t="n"/>
      <c r="J196" s="138" t="n"/>
      <c r="K196" s="138" t="n"/>
      <c r="L196" s="138" t="n"/>
      <c r="M196" s="137">
        <f>IF($C196="","",ROUND($J196*$L196*IF($D196="Alınan",1,-1),2))</f>
        <v/>
      </c>
      <c r="N196" s="138" t="n"/>
      <c r="O196" s="138" t="n"/>
      <c r="P196" s="138" t="n"/>
      <c r="Q196" s="138" t="n"/>
      <c r="R196" s="138" t="n"/>
      <c r="S196" s="138" t="n"/>
      <c r="T196" s="138" t="n"/>
      <c r="U196" s="138" t="n"/>
      <c r="V196" s="138" t="n"/>
      <c r="W196" s="138" t="n"/>
      <c r="X196" s="138" t="n"/>
      <c r="Y196" s="138" t="n"/>
      <c r="Z196" s="138" t="n"/>
      <c r="AA196" s="138" t="n"/>
      <c r="AB196" s="138" t="n"/>
      <c r="AC196" s="138" t="n"/>
      <c r="AD196" s="137">
        <f>IF($C196="","",IF(COUNTIFS($C$6:$C$1000,$C196,$G$6:$G$1000,$G196,$J$6:$J$1000,$J196)&gt;1,"MÜKERRER","OK"))</f>
        <v/>
      </c>
      <c r="AE196" s="137">
        <f>IF($Y196="","",IFERROR(VLOOKUP($Y196,RiskKatsayilari,2,FALSE()),0))</f>
        <v/>
      </c>
      <c r="AF196" s="137">
        <f>IF(OR($M196="",$AE196=""),"",ROUND(ABS($M196)*$AE196,2))</f>
        <v/>
      </c>
      <c r="AG196" s="137">
        <f>IF($G196="","",IFERROR(INDEX(CARI_KARTLARI!$I$6:$I$1000,MATCH($G196,CARI_KARTLARI!$A$6:$A$1000,0)),"VERİ YETERSİZ"))</f>
        <v/>
      </c>
    </row>
    <row r="197" ht="18" customHeight="1" s="102">
      <c r="A197" s="137">
        <f>IF($C197="","","CKS-"&amp;TEXT(ROW()-BaslangicSatir,"000000"))</f>
        <v/>
      </c>
      <c r="B197" s="138" t="n"/>
      <c r="C197" s="138" t="n"/>
      <c r="D197" s="138" t="n"/>
      <c r="E197" s="138" t="n"/>
      <c r="F197" s="138" t="n"/>
      <c r="G197" s="138" t="n"/>
      <c r="H197" s="138" t="n"/>
      <c r="I197" s="138" t="n"/>
      <c r="J197" s="138" t="n"/>
      <c r="K197" s="138" t="n"/>
      <c r="L197" s="138" t="n"/>
      <c r="M197" s="137">
        <f>IF($C197="","",ROUND($J197*$L197*IF($D197="Alınan",1,-1),2))</f>
        <v/>
      </c>
      <c r="N197" s="138" t="n"/>
      <c r="O197" s="138" t="n"/>
      <c r="P197" s="138" t="n"/>
      <c r="Q197" s="138" t="n"/>
      <c r="R197" s="138" t="n"/>
      <c r="S197" s="138" t="n"/>
      <c r="T197" s="138" t="n"/>
      <c r="U197" s="138" t="n"/>
      <c r="V197" s="138" t="n"/>
      <c r="W197" s="138" t="n"/>
      <c r="X197" s="138" t="n"/>
      <c r="Y197" s="138" t="n"/>
      <c r="Z197" s="138" t="n"/>
      <c r="AA197" s="138" t="n"/>
      <c r="AB197" s="138" t="n"/>
      <c r="AC197" s="138" t="n"/>
      <c r="AD197" s="137">
        <f>IF($C197="","",IF(COUNTIFS($C$6:$C$1000,$C197,$G$6:$G$1000,$G197,$J$6:$J$1000,$J197)&gt;1,"MÜKERRER","OK"))</f>
        <v/>
      </c>
      <c r="AE197" s="137">
        <f>IF($Y197="","",IFERROR(VLOOKUP($Y197,RiskKatsayilari,2,FALSE()),0))</f>
        <v/>
      </c>
      <c r="AF197" s="137">
        <f>IF(OR($M197="",$AE197=""),"",ROUND(ABS($M197)*$AE197,2))</f>
        <v/>
      </c>
      <c r="AG197" s="137">
        <f>IF($G197="","",IFERROR(INDEX(CARI_KARTLARI!$I$6:$I$1000,MATCH($G197,CARI_KARTLARI!$A$6:$A$1000,0)),"VERİ YETERSİZ"))</f>
        <v/>
      </c>
    </row>
    <row r="198" ht="18" customHeight="1" s="102">
      <c r="A198" s="137">
        <f>IF($C198="","","CKS-"&amp;TEXT(ROW()-BaslangicSatir,"000000"))</f>
        <v/>
      </c>
      <c r="B198" s="138" t="n"/>
      <c r="C198" s="138" t="n"/>
      <c r="D198" s="138" t="n"/>
      <c r="E198" s="138" t="n"/>
      <c r="F198" s="138" t="n"/>
      <c r="G198" s="138" t="n"/>
      <c r="H198" s="138" t="n"/>
      <c r="I198" s="138" t="n"/>
      <c r="J198" s="138" t="n"/>
      <c r="K198" s="138" t="n"/>
      <c r="L198" s="138" t="n"/>
      <c r="M198" s="137">
        <f>IF($C198="","",ROUND($J198*$L198*IF($D198="Alınan",1,-1),2))</f>
        <v/>
      </c>
      <c r="N198" s="138" t="n"/>
      <c r="O198" s="138" t="n"/>
      <c r="P198" s="138" t="n"/>
      <c r="Q198" s="138" t="n"/>
      <c r="R198" s="138" t="n"/>
      <c r="S198" s="138" t="n"/>
      <c r="T198" s="138" t="n"/>
      <c r="U198" s="138" t="n"/>
      <c r="V198" s="138" t="n"/>
      <c r="W198" s="138" t="n"/>
      <c r="X198" s="138" t="n"/>
      <c r="Y198" s="138" t="n"/>
      <c r="Z198" s="138" t="n"/>
      <c r="AA198" s="138" t="n"/>
      <c r="AB198" s="138" t="n"/>
      <c r="AC198" s="138" t="n"/>
      <c r="AD198" s="137">
        <f>IF($C198="","",IF(COUNTIFS($C$6:$C$1000,$C198,$G$6:$G$1000,$G198,$J$6:$J$1000,$J198)&gt;1,"MÜKERRER","OK"))</f>
        <v/>
      </c>
      <c r="AE198" s="137">
        <f>IF($Y198="","",IFERROR(VLOOKUP($Y198,RiskKatsayilari,2,FALSE()),0))</f>
        <v/>
      </c>
      <c r="AF198" s="137">
        <f>IF(OR($M198="",$AE198=""),"",ROUND(ABS($M198)*$AE198,2))</f>
        <v/>
      </c>
      <c r="AG198" s="137">
        <f>IF($G198="","",IFERROR(INDEX(CARI_KARTLARI!$I$6:$I$1000,MATCH($G198,CARI_KARTLARI!$A$6:$A$1000,0)),"VERİ YETERSİZ"))</f>
        <v/>
      </c>
    </row>
    <row r="199" ht="18" customHeight="1" s="102">
      <c r="A199" s="137">
        <f>IF($C199="","","CKS-"&amp;TEXT(ROW()-BaslangicSatir,"000000"))</f>
        <v/>
      </c>
      <c r="B199" s="138" t="n"/>
      <c r="C199" s="138" t="n"/>
      <c r="D199" s="138" t="n"/>
      <c r="E199" s="138" t="n"/>
      <c r="F199" s="138" t="n"/>
      <c r="G199" s="138" t="n"/>
      <c r="H199" s="138" t="n"/>
      <c r="I199" s="138" t="n"/>
      <c r="J199" s="138" t="n"/>
      <c r="K199" s="138" t="n"/>
      <c r="L199" s="138" t="n"/>
      <c r="M199" s="137">
        <f>IF($C199="","",ROUND($J199*$L199*IF($D199="Alınan",1,-1),2))</f>
        <v/>
      </c>
      <c r="N199" s="138" t="n"/>
      <c r="O199" s="138" t="n"/>
      <c r="P199" s="138" t="n"/>
      <c r="Q199" s="138" t="n"/>
      <c r="R199" s="138" t="n"/>
      <c r="S199" s="138" t="n"/>
      <c r="T199" s="138" t="n"/>
      <c r="U199" s="138" t="n"/>
      <c r="V199" s="138" t="n"/>
      <c r="W199" s="138" t="n"/>
      <c r="X199" s="138" t="n"/>
      <c r="Y199" s="138" t="n"/>
      <c r="Z199" s="138" t="n"/>
      <c r="AA199" s="138" t="n"/>
      <c r="AB199" s="138" t="n"/>
      <c r="AC199" s="138" t="n"/>
      <c r="AD199" s="137">
        <f>IF($C199="","",IF(COUNTIFS($C$6:$C$1000,$C199,$G$6:$G$1000,$G199,$J$6:$J$1000,$J199)&gt;1,"MÜKERRER","OK"))</f>
        <v/>
      </c>
      <c r="AE199" s="137">
        <f>IF($Y199="","",IFERROR(VLOOKUP($Y199,RiskKatsayilari,2,FALSE()),0))</f>
        <v/>
      </c>
      <c r="AF199" s="137">
        <f>IF(OR($M199="",$AE199=""),"",ROUND(ABS($M199)*$AE199,2))</f>
        <v/>
      </c>
      <c r="AG199" s="137">
        <f>IF($G199="","",IFERROR(INDEX(CARI_KARTLARI!$I$6:$I$1000,MATCH($G199,CARI_KARTLARI!$A$6:$A$1000,0)),"VERİ YETERSİZ"))</f>
        <v/>
      </c>
    </row>
    <row r="200" ht="18" customHeight="1" s="102">
      <c r="A200" s="137">
        <f>IF($C200="","","CKS-"&amp;TEXT(ROW()-BaslangicSatir,"000000"))</f>
        <v/>
      </c>
      <c r="B200" s="138" t="n"/>
      <c r="C200" s="138" t="n"/>
      <c r="D200" s="138" t="n"/>
      <c r="E200" s="138" t="n"/>
      <c r="F200" s="138" t="n"/>
      <c r="G200" s="138" t="n"/>
      <c r="H200" s="138" t="n"/>
      <c r="I200" s="138" t="n"/>
      <c r="J200" s="138" t="n"/>
      <c r="K200" s="138" t="n"/>
      <c r="L200" s="138" t="n"/>
      <c r="M200" s="137">
        <f>IF($C200="","",ROUND($J200*$L200*IF($D200="Alınan",1,-1),2))</f>
        <v/>
      </c>
      <c r="N200" s="138" t="n"/>
      <c r="O200" s="138" t="n"/>
      <c r="P200" s="138" t="n"/>
      <c r="Q200" s="138" t="n"/>
      <c r="R200" s="138" t="n"/>
      <c r="S200" s="138" t="n"/>
      <c r="T200" s="138" t="n"/>
      <c r="U200" s="138" t="n"/>
      <c r="V200" s="138" t="n"/>
      <c r="W200" s="138" t="n"/>
      <c r="X200" s="138" t="n"/>
      <c r="Y200" s="138" t="n"/>
      <c r="Z200" s="138" t="n"/>
      <c r="AA200" s="138" t="n"/>
      <c r="AB200" s="138" t="n"/>
      <c r="AC200" s="138" t="n"/>
      <c r="AD200" s="137">
        <f>IF($C200="","",IF(COUNTIFS($C$6:$C$1000,$C200,$G$6:$G$1000,$G200,$J$6:$J$1000,$J200)&gt;1,"MÜKERRER","OK"))</f>
        <v/>
      </c>
      <c r="AE200" s="137">
        <f>IF($Y200="","",IFERROR(VLOOKUP($Y200,RiskKatsayilari,2,FALSE()),0))</f>
        <v/>
      </c>
      <c r="AF200" s="137">
        <f>IF(OR($M200="",$AE200=""),"",ROUND(ABS($M200)*$AE200,2))</f>
        <v/>
      </c>
      <c r="AG200" s="137">
        <f>IF($G200="","",IFERROR(INDEX(CARI_KARTLARI!$I$6:$I$1000,MATCH($G200,CARI_KARTLARI!$A$6:$A$1000,0)),"VERİ YETERSİZ"))</f>
        <v/>
      </c>
    </row>
    <row r="201" ht="18" customHeight="1" s="102">
      <c r="A201" s="137">
        <f>IF($C201="","","CKS-"&amp;TEXT(ROW()-BaslangicSatir,"000000"))</f>
        <v/>
      </c>
      <c r="B201" s="138" t="n"/>
      <c r="C201" s="138" t="n"/>
      <c r="D201" s="138" t="n"/>
      <c r="E201" s="138" t="n"/>
      <c r="F201" s="138" t="n"/>
      <c r="G201" s="138" t="n"/>
      <c r="H201" s="138" t="n"/>
      <c r="I201" s="138" t="n"/>
      <c r="J201" s="138" t="n"/>
      <c r="K201" s="138" t="n"/>
      <c r="L201" s="138" t="n"/>
      <c r="M201" s="137">
        <f>IF($C201="","",ROUND($J201*$L201*IF($D201="Alınan",1,-1),2))</f>
        <v/>
      </c>
      <c r="N201" s="138" t="n"/>
      <c r="O201" s="138" t="n"/>
      <c r="P201" s="138" t="n"/>
      <c r="Q201" s="138" t="n"/>
      <c r="R201" s="138" t="n"/>
      <c r="S201" s="138" t="n"/>
      <c r="T201" s="138" t="n"/>
      <c r="U201" s="138" t="n"/>
      <c r="V201" s="138" t="n"/>
      <c r="W201" s="138" t="n"/>
      <c r="X201" s="138" t="n"/>
      <c r="Y201" s="138" t="n"/>
      <c r="Z201" s="138" t="n"/>
      <c r="AA201" s="138" t="n"/>
      <c r="AB201" s="138" t="n"/>
      <c r="AC201" s="138" t="n"/>
      <c r="AD201" s="137">
        <f>IF($C201="","",IF(COUNTIFS($C$6:$C$1000,$C201,$G$6:$G$1000,$G201,$J$6:$J$1000,$J201)&gt;1,"MÜKERRER","OK"))</f>
        <v/>
      </c>
      <c r="AE201" s="137">
        <f>IF($Y201="","",IFERROR(VLOOKUP($Y201,RiskKatsayilari,2,FALSE()),0))</f>
        <v/>
      </c>
      <c r="AF201" s="137">
        <f>IF(OR($M201="",$AE201=""),"",ROUND(ABS($M201)*$AE201,2))</f>
        <v/>
      </c>
      <c r="AG201" s="137">
        <f>IF($G201="","",IFERROR(INDEX(CARI_KARTLARI!$I$6:$I$1000,MATCH($G201,CARI_KARTLARI!$A$6:$A$1000,0)),"VERİ YETERSİZ"))</f>
        <v/>
      </c>
    </row>
    <row r="202" ht="18" customHeight="1" s="102">
      <c r="A202" s="137">
        <f>IF($C202="","","CKS-"&amp;TEXT(ROW()-BaslangicSatir,"000000"))</f>
        <v/>
      </c>
      <c r="B202" s="138" t="n"/>
      <c r="C202" s="138" t="n"/>
      <c r="D202" s="138" t="n"/>
      <c r="E202" s="138" t="n"/>
      <c r="F202" s="138" t="n"/>
      <c r="G202" s="138" t="n"/>
      <c r="H202" s="138" t="n"/>
      <c r="I202" s="138" t="n"/>
      <c r="J202" s="138" t="n"/>
      <c r="K202" s="138" t="n"/>
      <c r="L202" s="138" t="n"/>
      <c r="M202" s="137">
        <f>IF($C202="","",ROUND($J202*$L202*IF($D202="Alınan",1,-1),2))</f>
        <v/>
      </c>
      <c r="N202" s="138" t="n"/>
      <c r="O202" s="138" t="n"/>
      <c r="P202" s="138" t="n"/>
      <c r="Q202" s="138" t="n"/>
      <c r="R202" s="138" t="n"/>
      <c r="S202" s="138" t="n"/>
      <c r="T202" s="138" t="n"/>
      <c r="U202" s="138" t="n"/>
      <c r="V202" s="138" t="n"/>
      <c r="W202" s="138" t="n"/>
      <c r="X202" s="138" t="n"/>
      <c r="Y202" s="138" t="n"/>
      <c r="Z202" s="138" t="n"/>
      <c r="AA202" s="138" t="n"/>
      <c r="AB202" s="138" t="n"/>
      <c r="AC202" s="138" t="n"/>
      <c r="AD202" s="137">
        <f>IF($C202="","",IF(COUNTIFS($C$6:$C$1000,$C202,$G$6:$G$1000,$G202,$J$6:$J$1000,$J202)&gt;1,"MÜKERRER","OK"))</f>
        <v/>
      </c>
      <c r="AE202" s="137">
        <f>IF($Y202="","",IFERROR(VLOOKUP($Y202,RiskKatsayilari,2,FALSE()),0))</f>
        <v/>
      </c>
      <c r="AF202" s="137">
        <f>IF(OR($M202="",$AE202=""),"",ROUND(ABS($M202)*$AE202,2))</f>
        <v/>
      </c>
      <c r="AG202" s="137">
        <f>IF($G202="","",IFERROR(INDEX(CARI_KARTLARI!$I$6:$I$1000,MATCH($G202,CARI_KARTLARI!$A$6:$A$1000,0)),"VERİ YETERSİZ"))</f>
        <v/>
      </c>
    </row>
    <row r="203" ht="18" customHeight="1" s="102">
      <c r="A203" s="137">
        <f>IF($C203="","","CKS-"&amp;TEXT(ROW()-BaslangicSatir,"000000"))</f>
        <v/>
      </c>
      <c r="B203" s="138" t="n"/>
      <c r="C203" s="138" t="n"/>
      <c r="D203" s="138" t="n"/>
      <c r="E203" s="138" t="n"/>
      <c r="F203" s="138" t="n"/>
      <c r="G203" s="138" t="n"/>
      <c r="H203" s="138" t="n"/>
      <c r="I203" s="138" t="n"/>
      <c r="J203" s="138" t="n"/>
      <c r="K203" s="138" t="n"/>
      <c r="L203" s="138" t="n"/>
      <c r="M203" s="137">
        <f>IF($C203="","",ROUND($J203*$L203*IF($D203="Alınan",1,-1),2))</f>
        <v/>
      </c>
      <c r="N203" s="138" t="n"/>
      <c r="O203" s="138" t="n"/>
      <c r="P203" s="138" t="n"/>
      <c r="Q203" s="138" t="n"/>
      <c r="R203" s="138" t="n"/>
      <c r="S203" s="138" t="n"/>
      <c r="T203" s="138" t="n"/>
      <c r="U203" s="138" t="n"/>
      <c r="V203" s="138" t="n"/>
      <c r="W203" s="138" t="n"/>
      <c r="X203" s="138" t="n"/>
      <c r="Y203" s="138" t="n"/>
      <c r="Z203" s="138" t="n"/>
      <c r="AA203" s="138" t="n"/>
      <c r="AB203" s="138" t="n"/>
      <c r="AC203" s="138" t="n"/>
      <c r="AD203" s="137">
        <f>IF($C203="","",IF(COUNTIFS($C$6:$C$1000,$C203,$G$6:$G$1000,$G203,$J$6:$J$1000,$J203)&gt;1,"MÜKERRER","OK"))</f>
        <v/>
      </c>
      <c r="AE203" s="137">
        <f>IF($Y203="","",IFERROR(VLOOKUP($Y203,RiskKatsayilari,2,FALSE()),0))</f>
        <v/>
      </c>
      <c r="AF203" s="137">
        <f>IF(OR($M203="",$AE203=""),"",ROUND(ABS($M203)*$AE203,2))</f>
        <v/>
      </c>
      <c r="AG203" s="137">
        <f>IF($G203="","",IFERROR(INDEX(CARI_KARTLARI!$I$6:$I$1000,MATCH($G203,CARI_KARTLARI!$A$6:$A$1000,0)),"VERİ YETERSİZ"))</f>
        <v/>
      </c>
    </row>
    <row r="204" ht="18" customHeight="1" s="102">
      <c r="A204" s="137">
        <f>IF($C204="","","CKS-"&amp;TEXT(ROW()-BaslangicSatir,"000000"))</f>
        <v/>
      </c>
      <c r="B204" s="138" t="n"/>
      <c r="C204" s="138" t="n"/>
      <c r="D204" s="138" t="n"/>
      <c r="E204" s="138" t="n"/>
      <c r="F204" s="138" t="n"/>
      <c r="G204" s="138" t="n"/>
      <c r="H204" s="138" t="n"/>
      <c r="I204" s="138" t="n"/>
      <c r="J204" s="138" t="n"/>
      <c r="K204" s="138" t="n"/>
      <c r="L204" s="138" t="n"/>
      <c r="M204" s="137">
        <f>IF($C204="","",ROUND($J204*$L204*IF($D204="Alınan",1,-1),2))</f>
        <v/>
      </c>
      <c r="N204" s="138" t="n"/>
      <c r="O204" s="138" t="n"/>
      <c r="P204" s="138" t="n"/>
      <c r="Q204" s="138" t="n"/>
      <c r="R204" s="138" t="n"/>
      <c r="S204" s="138" t="n"/>
      <c r="T204" s="138" t="n"/>
      <c r="U204" s="138" t="n"/>
      <c r="V204" s="138" t="n"/>
      <c r="W204" s="138" t="n"/>
      <c r="X204" s="138" t="n"/>
      <c r="Y204" s="138" t="n"/>
      <c r="Z204" s="138" t="n"/>
      <c r="AA204" s="138" t="n"/>
      <c r="AB204" s="138" t="n"/>
      <c r="AC204" s="138" t="n"/>
      <c r="AD204" s="137">
        <f>IF($C204="","",IF(COUNTIFS($C$6:$C$1000,$C204,$G$6:$G$1000,$G204,$J$6:$J$1000,$J204)&gt;1,"MÜKERRER","OK"))</f>
        <v/>
      </c>
      <c r="AE204" s="137">
        <f>IF($Y204="","",IFERROR(VLOOKUP($Y204,RiskKatsayilari,2,FALSE()),0))</f>
        <v/>
      </c>
      <c r="AF204" s="137">
        <f>IF(OR($M204="",$AE204=""),"",ROUND(ABS($M204)*$AE204,2))</f>
        <v/>
      </c>
      <c r="AG204" s="137">
        <f>IF($G204="","",IFERROR(INDEX(CARI_KARTLARI!$I$6:$I$1000,MATCH($G204,CARI_KARTLARI!$A$6:$A$1000,0)),"VERİ YETERSİZ"))</f>
        <v/>
      </c>
    </row>
    <row r="205" ht="18" customHeight="1" s="102">
      <c r="A205" s="137">
        <f>IF($C205="","","CKS-"&amp;TEXT(ROW()-BaslangicSatir,"000000"))</f>
        <v/>
      </c>
      <c r="B205" s="138" t="n"/>
      <c r="C205" s="138" t="n"/>
      <c r="D205" s="138" t="n"/>
      <c r="E205" s="138" t="n"/>
      <c r="F205" s="138" t="n"/>
      <c r="G205" s="138" t="n"/>
      <c r="H205" s="138" t="n"/>
      <c r="I205" s="138" t="n"/>
      <c r="J205" s="138" t="n"/>
      <c r="K205" s="138" t="n"/>
      <c r="L205" s="138" t="n"/>
      <c r="M205" s="137">
        <f>IF($C205="","",ROUND($J205*$L205*IF($D205="Alınan",1,-1),2))</f>
        <v/>
      </c>
      <c r="N205" s="138" t="n"/>
      <c r="O205" s="138" t="n"/>
      <c r="P205" s="138" t="n"/>
      <c r="Q205" s="138" t="n"/>
      <c r="R205" s="138" t="n"/>
      <c r="S205" s="138" t="n"/>
      <c r="T205" s="138" t="n"/>
      <c r="U205" s="138" t="n"/>
      <c r="V205" s="138" t="n"/>
      <c r="W205" s="138" t="n"/>
      <c r="X205" s="138" t="n"/>
      <c r="Y205" s="138" t="n"/>
      <c r="Z205" s="138" t="n"/>
      <c r="AA205" s="138" t="n"/>
      <c r="AB205" s="138" t="n"/>
      <c r="AC205" s="138" t="n"/>
      <c r="AD205" s="137">
        <f>IF($C205="","",IF(COUNTIFS($C$6:$C$1000,$C205,$G$6:$G$1000,$G205,$J$6:$J$1000,$J205)&gt;1,"MÜKERRER","OK"))</f>
        <v/>
      </c>
      <c r="AE205" s="137">
        <f>IF($Y205="","",IFERROR(VLOOKUP($Y205,RiskKatsayilari,2,FALSE()),0))</f>
        <v/>
      </c>
      <c r="AF205" s="137">
        <f>IF(OR($M205="",$AE205=""),"",ROUND(ABS($M205)*$AE205,2))</f>
        <v/>
      </c>
      <c r="AG205" s="137">
        <f>IF($G205="","",IFERROR(INDEX(CARI_KARTLARI!$I$6:$I$1000,MATCH($G205,CARI_KARTLARI!$A$6:$A$1000,0)),"VERİ YETERSİZ"))</f>
        <v/>
      </c>
    </row>
    <row r="206" ht="18" customHeight="1" s="102">
      <c r="A206" s="137">
        <f>IF($C206="","","CKS-"&amp;TEXT(ROW()-BaslangicSatir,"000000"))</f>
        <v/>
      </c>
      <c r="B206" s="138" t="n"/>
      <c r="C206" s="138" t="n"/>
      <c r="D206" s="138" t="n"/>
      <c r="E206" s="138" t="n"/>
      <c r="F206" s="138" t="n"/>
      <c r="G206" s="138" t="n"/>
      <c r="H206" s="138" t="n"/>
      <c r="I206" s="138" t="n"/>
      <c r="J206" s="138" t="n"/>
      <c r="K206" s="138" t="n"/>
      <c r="L206" s="138" t="n"/>
      <c r="M206" s="137">
        <f>IF($C206="","",ROUND($J206*$L206*IF($D206="Alınan",1,-1),2))</f>
        <v/>
      </c>
      <c r="N206" s="138" t="n"/>
      <c r="O206" s="138" t="n"/>
      <c r="P206" s="138" t="n"/>
      <c r="Q206" s="138" t="n"/>
      <c r="R206" s="138" t="n"/>
      <c r="S206" s="138" t="n"/>
      <c r="T206" s="138" t="n"/>
      <c r="U206" s="138" t="n"/>
      <c r="V206" s="138" t="n"/>
      <c r="W206" s="138" t="n"/>
      <c r="X206" s="138" t="n"/>
      <c r="Y206" s="138" t="n"/>
      <c r="Z206" s="138" t="n"/>
      <c r="AA206" s="138" t="n"/>
      <c r="AB206" s="138" t="n"/>
      <c r="AC206" s="138" t="n"/>
      <c r="AD206" s="137">
        <f>IF($C206="","",IF(COUNTIFS($C$6:$C$1000,$C206,$G$6:$G$1000,$G206,$J$6:$J$1000,$J206)&gt;1,"MÜKERRER","OK"))</f>
        <v/>
      </c>
      <c r="AE206" s="137">
        <f>IF($Y206="","",IFERROR(VLOOKUP($Y206,RiskKatsayilari,2,FALSE()),0))</f>
        <v/>
      </c>
      <c r="AF206" s="137">
        <f>IF(OR($M206="",$AE206=""),"",ROUND(ABS($M206)*$AE206,2))</f>
        <v/>
      </c>
      <c r="AG206" s="137">
        <f>IF($G206="","",IFERROR(INDEX(CARI_KARTLARI!$I$6:$I$1000,MATCH($G206,CARI_KARTLARI!$A$6:$A$1000,0)),"VERİ YETERSİZ"))</f>
        <v/>
      </c>
    </row>
    <row r="207" ht="18" customHeight="1" s="102">
      <c r="A207" s="137">
        <f>IF($C207="","","CKS-"&amp;TEXT(ROW()-BaslangicSatir,"000000"))</f>
        <v/>
      </c>
      <c r="B207" s="138" t="n"/>
      <c r="C207" s="138" t="n"/>
      <c r="D207" s="138" t="n"/>
      <c r="E207" s="138" t="n"/>
      <c r="F207" s="138" t="n"/>
      <c r="G207" s="138" t="n"/>
      <c r="H207" s="138" t="n"/>
      <c r="I207" s="138" t="n"/>
      <c r="J207" s="138" t="n"/>
      <c r="K207" s="138" t="n"/>
      <c r="L207" s="138" t="n"/>
      <c r="M207" s="137">
        <f>IF($C207="","",ROUND($J207*$L207*IF($D207="Alınan",1,-1),2))</f>
        <v/>
      </c>
      <c r="N207" s="138" t="n"/>
      <c r="O207" s="138" t="n"/>
      <c r="P207" s="138" t="n"/>
      <c r="Q207" s="138" t="n"/>
      <c r="R207" s="138" t="n"/>
      <c r="S207" s="138" t="n"/>
      <c r="T207" s="138" t="n"/>
      <c r="U207" s="138" t="n"/>
      <c r="V207" s="138" t="n"/>
      <c r="W207" s="138" t="n"/>
      <c r="X207" s="138" t="n"/>
      <c r="Y207" s="138" t="n"/>
      <c r="Z207" s="138" t="n"/>
      <c r="AA207" s="138" t="n"/>
      <c r="AB207" s="138" t="n"/>
      <c r="AC207" s="138" t="n"/>
      <c r="AD207" s="137">
        <f>IF($C207="","",IF(COUNTIFS($C$6:$C$1000,$C207,$G$6:$G$1000,$G207,$J$6:$J$1000,$J207)&gt;1,"MÜKERRER","OK"))</f>
        <v/>
      </c>
      <c r="AE207" s="137">
        <f>IF($Y207="","",IFERROR(VLOOKUP($Y207,RiskKatsayilari,2,FALSE()),0))</f>
        <v/>
      </c>
      <c r="AF207" s="137">
        <f>IF(OR($M207="",$AE207=""),"",ROUND(ABS($M207)*$AE207,2))</f>
        <v/>
      </c>
      <c r="AG207" s="137">
        <f>IF($G207="","",IFERROR(INDEX(CARI_KARTLARI!$I$6:$I$1000,MATCH($G207,CARI_KARTLARI!$A$6:$A$1000,0)),"VERİ YETERSİZ"))</f>
        <v/>
      </c>
    </row>
    <row r="208" ht="18" customHeight="1" s="102">
      <c r="A208" s="137">
        <f>IF($C208="","","CKS-"&amp;TEXT(ROW()-BaslangicSatir,"000000"))</f>
        <v/>
      </c>
      <c r="B208" s="138" t="n"/>
      <c r="C208" s="138" t="n"/>
      <c r="D208" s="138" t="n"/>
      <c r="E208" s="138" t="n"/>
      <c r="F208" s="138" t="n"/>
      <c r="G208" s="138" t="n"/>
      <c r="H208" s="138" t="n"/>
      <c r="I208" s="138" t="n"/>
      <c r="J208" s="138" t="n"/>
      <c r="K208" s="138" t="n"/>
      <c r="L208" s="138" t="n"/>
      <c r="M208" s="137">
        <f>IF($C208="","",ROUND($J208*$L208*IF($D208="Alınan",1,-1),2))</f>
        <v/>
      </c>
      <c r="N208" s="138" t="n"/>
      <c r="O208" s="138" t="n"/>
      <c r="P208" s="138" t="n"/>
      <c r="Q208" s="138" t="n"/>
      <c r="R208" s="138" t="n"/>
      <c r="S208" s="138" t="n"/>
      <c r="T208" s="138" t="n"/>
      <c r="U208" s="138" t="n"/>
      <c r="V208" s="138" t="n"/>
      <c r="W208" s="138" t="n"/>
      <c r="X208" s="138" t="n"/>
      <c r="Y208" s="138" t="n"/>
      <c r="Z208" s="138" t="n"/>
      <c r="AA208" s="138" t="n"/>
      <c r="AB208" s="138" t="n"/>
      <c r="AC208" s="138" t="n"/>
      <c r="AD208" s="137">
        <f>IF($C208="","",IF(COUNTIFS($C$6:$C$1000,$C208,$G$6:$G$1000,$G208,$J$6:$J$1000,$J208)&gt;1,"MÜKERRER","OK"))</f>
        <v/>
      </c>
      <c r="AE208" s="137">
        <f>IF($Y208="","",IFERROR(VLOOKUP($Y208,RiskKatsayilari,2,FALSE()),0))</f>
        <v/>
      </c>
      <c r="AF208" s="137">
        <f>IF(OR($M208="",$AE208=""),"",ROUND(ABS($M208)*$AE208,2))</f>
        <v/>
      </c>
      <c r="AG208" s="137">
        <f>IF($G208="","",IFERROR(INDEX(CARI_KARTLARI!$I$6:$I$1000,MATCH($G208,CARI_KARTLARI!$A$6:$A$1000,0)),"VERİ YETERSİZ"))</f>
        <v/>
      </c>
    </row>
    <row r="209" ht="18" customHeight="1" s="102">
      <c r="A209" s="137">
        <f>IF($C209="","","CKS-"&amp;TEXT(ROW()-BaslangicSatir,"000000"))</f>
        <v/>
      </c>
      <c r="B209" s="138" t="n"/>
      <c r="C209" s="138" t="n"/>
      <c r="D209" s="138" t="n"/>
      <c r="E209" s="138" t="n"/>
      <c r="F209" s="138" t="n"/>
      <c r="G209" s="138" t="n"/>
      <c r="H209" s="138" t="n"/>
      <c r="I209" s="138" t="n"/>
      <c r="J209" s="138" t="n"/>
      <c r="K209" s="138" t="n"/>
      <c r="L209" s="138" t="n"/>
      <c r="M209" s="137">
        <f>IF($C209="","",ROUND($J209*$L209*IF($D209="Alınan",1,-1),2))</f>
        <v/>
      </c>
      <c r="N209" s="138" t="n"/>
      <c r="O209" s="138" t="n"/>
      <c r="P209" s="138" t="n"/>
      <c r="Q209" s="138" t="n"/>
      <c r="R209" s="138" t="n"/>
      <c r="S209" s="138" t="n"/>
      <c r="T209" s="138" t="n"/>
      <c r="U209" s="138" t="n"/>
      <c r="V209" s="138" t="n"/>
      <c r="W209" s="138" t="n"/>
      <c r="X209" s="138" t="n"/>
      <c r="Y209" s="138" t="n"/>
      <c r="Z209" s="138" t="n"/>
      <c r="AA209" s="138" t="n"/>
      <c r="AB209" s="138" t="n"/>
      <c r="AC209" s="138" t="n"/>
      <c r="AD209" s="137">
        <f>IF($C209="","",IF(COUNTIFS($C$6:$C$1000,$C209,$G$6:$G$1000,$G209,$J$6:$J$1000,$J209)&gt;1,"MÜKERRER","OK"))</f>
        <v/>
      </c>
      <c r="AE209" s="137">
        <f>IF($Y209="","",IFERROR(VLOOKUP($Y209,RiskKatsayilari,2,FALSE()),0))</f>
        <v/>
      </c>
      <c r="AF209" s="137">
        <f>IF(OR($M209="",$AE209=""),"",ROUND(ABS($M209)*$AE209,2))</f>
        <v/>
      </c>
      <c r="AG209" s="137">
        <f>IF($G209="","",IFERROR(INDEX(CARI_KARTLARI!$I$6:$I$1000,MATCH($G209,CARI_KARTLARI!$A$6:$A$1000,0)),"VERİ YETERSİZ"))</f>
        <v/>
      </c>
    </row>
    <row r="210" ht="18" customHeight="1" s="102">
      <c r="A210" s="137">
        <f>IF($C210="","","CKS-"&amp;TEXT(ROW()-BaslangicSatir,"000000"))</f>
        <v/>
      </c>
      <c r="B210" s="138" t="n"/>
      <c r="C210" s="138" t="n"/>
      <c r="D210" s="138" t="n"/>
      <c r="E210" s="138" t="n"/>
      <c r="F210" s="138" t="n"/>
      <c r="G210" s="138" t="n"/>
      <c r="H210" s="138" t="n"/>
      <c r="I210" s="138" t="n"/>
      <c r="J210" s="138" t="n"/>
      <c r="K210" s="138" t="n"/>
      <c r="L210" s="138" t="n"/>
      <c r="M210" s="137">
        <f>IF($C210="","",ROUND($J210*$L210*IF($D210="Alınan",1,-1),2))</f>
        <v/>
      </c>
      <c r="N210" s="138" t="n"/>
      <c r="O210" s="138" t="n"/>
      <c r="P210" s="138" t="n"/>
      <c r="Q210" s="138" t="n"/>
      <c r="R210" s="138" t="n"/>
      <c r="S210" s="138" t="n"/>
      <c r="T210" s="138" t="n"/>
      <c r="U210" s="138" t="n"/>
      <c r="V210" s="138" t="n"/>
      <c r="W210" s="138" t="n"/>
      <c r="X210" s="138" t="n"/>
      <c r="Y210" s="138" t="n"/>
      <c r="Z210" s="138" t="n"/>
      <c r="AA210" s="138" t="n"/>
      <c r="AB210" s="138" t="n"/>
      <c r="AC210" s="138" t="n"/>
      <c r="AD210" s="137">
        <f>IF($C210="","",IF(COUNTIFS($C$6:$C$1000,$C210,$G$6:$G$1000,$G210,$J$6:$J$1000,$J210)&gt;1,"MÜKERRER","OK"))</f>
        <v/>
      </c>
      <c r="AE210" s="137">
        <f>IF($Y210="","",IFERROR(VLOOKUP($Y210,RiskKatsayilari,2,FALSE()),0))</f>
        <v/>
      </c>
      <c r="AF210" s="137">
        <f>IF(OR($M210="",$AE210=""),"",ROUND(ABS($M210)*$AE210,2))</f>
        <v/>
      </c>
      <c r="AG210" s="137">
        <f>IF($G210="","",IFERROR(INDEX(CARI_KARTLARI!$I$6:$I$1000,MATCH($G210,CARI_KARTLARI!$A$6:$A$1000,0)),"VERİ YETERSİZ"))</f>
        <v/>
      </c>
    </row>
    <row r="211" ht="18" customHeight="1" s="102">
      <c r="A211" s="137">
        <f>IF($C211="","","CKS-"&amp;TEXT(ROW()-BaslangicSatir,"000000"))</f>
        <v/>
      </c>
      <c r="B211" s="138" t="n"/>
      <c r="C211" s="138" t="n"/>
      <c r="D211" s="138" t="n"/>
      <c r="E211" s="138" t="n"/>
      <c r="F211" s="138" t="n"/>
      <c r="G211" s="138" t="n"/>
      <c r="H211" s="138" t="n"/>
      <c r="I211" s="138" t="n"/>
      <c r="J211" s="138" t="n"/>
      <c r="K211" s="138" t="n"/>
      <c r="L211" s="138" t="n"/>
      <c r="M211" s="137">
        <f>IF($C211="","",ROUND($J211*$L211*IF($D211="Alınan",1,-1),2))</f>
        <v/>
      </c>
      <c r="N211" s="138" t="n"/>
      <c r="O211" s="138" t="n"/>
      <c r="P211" s="138" t="n"/>
      <c r="Q211" s="138" t="n"/>
      <c r="R211" s="138" t="n"/>
      <c r="S211" s="138" t="n"/>
      <c r="T211" s="138" t="n"/>
      <c r="U211" s="138" t="n"/>
      <c r="V211" s="138" t="n"/>
      <c r="W211" s="138" t="n"/>
      <c r="X211" s="138" t="n"/>
      <c r="Y211" s="138" t="n"/>
      <c r="Z211" s="138" t="n"/>
      <c r="AA211" s="138" t="n"/>
      <c r="AB211" s="138" t="n"/>
      <c r="AC211" s="138" t="n"/>
      <c r="AD211" s="137">
        <f>IF($C211="","",IF(COUNTIFS($C$6:$C$1000,$C211,$G$6:$G$1000,$G211,$J$6:$J$1000,$J211)&gt;1,"MÜKERRER","OK"))</f>
        <v/>
      </c>
      <c r="AE211" s="137">
        <f>IF($Y211="","",IFERROR(VLOOKUP($Y211,RiskKatsayilari,2,FALSE()),0))</f>
        <v/>
      </c>
      <c r="AF211" s="137">
        <f>IF(OR($M211="",$AE211=""),"",ROUND(ABS($M211)*$AE211,2))</f>
        <v/>
      </c>
      <c r="AG211" s="137">
        <f>IF($G211="","",IFERROR(INDEX(CARI_KARTLARI!$I$6:$I$1000,MATCH($G211,CARI_KARTLARI!$A$6:$A$1000,0)),"VERİ YETERSİZ"))</f>
        <v/>
      </c>
    </row>
    <row r="212" ht="18" customHeight="1" s="102">
      <c r="A212" s="137">
        <f>IF($C212="","","CKS-"&amp;TEXT(ROW()-BaslangicSatir,"000000"))</f>
        <v/>
      </c>
      <c r="B212" s="138" t="n"/>
      <c r="C212" s="138" t="n"/>
      <c r="D212" s="138" t="n"/>
      <c r="E212" s="138" t="n"/>
      <c r="F212" s="138" t="n"/>
      <c r="G212" s="138" t="n"/>
      <c r="H212" s="138" t="n"/>
      <c r="I212" s="138" t="n"/>
      <c r="J212" s="138" t="n"/>
      <c r="K212" s="138" t="n"/>
      <c r="L212" s="138" t="n"/>
      <c r="M212" s="137">
        <f>IF($C212="","",ROUND($J212*$L212*IF($D212="Alınan",1,-1),2))</f>
        <v/>
      </c>
      <c r="N212" s="138" t="n"/>
      <c r="O212" s="138" t="n"/>
      <c r="P212" s="138" t="n"/>
      <c r="Q212" s="138" t="n"/>
      <c r="R212" s="138" t="n"/>
      <c r="S212" s="138" t="n"/>
      <c r="T212" s="138" t="n"/>
      <c r="U212" s="138" t="n"/>
      <c r="V212" s="138" t="n"/>
      <c r="W212" s="138" t="n"/>
      <c r="X212" s="138" t="n"/>
      <c r="Y212" s="138" t="n"/>
      <c r="Z212" s="138" t="n"/>
      <c r="AA212" s="138" t="n"/>
      <c r="AB212" s="138" t="n"/>
      <c r="AC212" s="138" t="n"/>
      <c r="AD212" s="137">
        <f>IF($C212="","",IF(COUNTIFS($C$6:$C$1000,$C212,$G$6:$G$1000,$G212,$J$6:$J$1000,$J212)&gt;1,"MÜKERRER","OK"))</f>
        <v/>
      </c>
      <c r="AE212" s="137">
        <f>IF($Y212="","",IFERROR(VLOOKUP($Y212,RiskKatsayilari,2,FALSE()),0))</f>
        <v/>
      </c>
      <c r="AF212" s="137">
        <f>IF(OR($M212="",$AE212=""),"",ROUND(ABS($M212)*$AE212,2))</f>
        <v/>
      </c>
      <c r="AG212" s="137">
        <f>IF($G212="","",IFERROR(INDEX(CARI_KARTLARI!$I$6:$I$1000,MATCH($G212,CARI_KARTLARI!$A$6:$A$1000,0)),"VERİ YETERSİZ"))</f>
        <v/>
      </c>
    </row>
    <row r="213" ht="18" customHeight="1" s="102">
      <c r="A213" s="137">
        <f>IF($C213="","","CKS-"&amp;TEXT(ROW()-BaslangicSatir,"000000"))</f>
        <v/>
      </c>
      <c r="B213" s="138" t="n"/>
      <c r="C213" s="138" t="n"/>
      <c r="D213" s="138" t="n"/>
      <c r="E213" s="138" t="n"/>
      <c r="F213" s="138" t="n"/>
      <c r="G213" s="138" t="n"/>
      <c r="H213" s="138" t="n"/>
      <c r="I213" s="138" t="n"/>
      <c r="J213" s="138" t="n"/>
      <c r="K213" s="138" t="n"/>
      <c r="L213" s="138" t="n"/>
      <c r="M213" s="137">
        <f>IF($C213="","",ROUND($J213*$L213*IF($D213="Alınan",1,-1),2))</f>
        <v/>
      </c>
      <c r="N213" s="138" t="n"/>
      <c r="O213" s="138" t="n"/>
      <c r="P213" s="138" t="n"/>
      <c r="Q213" s="138" t="n"/>
      <c r="R213" s="138" t="n"/>
      <c r="S213" s="138" t="n"/>
      <c r="T213" s="138" t="n"/>
      <c r="U213" s="138" t="n"/>
      <c r="V213" s="138" t="n"/>
      <c r="W213" s="138" t="n"/>
      <c r="X213" s="138" t="n"/>
      <c r="Y213" s="138" t="n"/>
      <c r="Z213" s="138" t="n"/>
      <c r="AA213" s="138" t="n"/>
      <c r="AB213" s="138" t="n"/>
      <c r="AC213" s="138" t="n"/>
      <c r="AD213" s="137">
        <f>IF($C213="","",IF(COUNTIFS($C$6:$C$1000,$C213,$G$6:$G$1000,$G213,$J$6:$J$1000,$J213)&gt;1,"MÜKERRER","OK"))</f>
        <v/>
      </c>
      <c r="AE213" s="137">
        <f>IF($Y213="","",IFERROR(VLOOKUP($Y213,RiskKatsayilari,2,FALSE()),0))</f>
        <v/>
      </c>
      <c r="AF213" s="137">
        <f>IF(OR($M213="",$AE213=""),"",ROUND(ABS($M213)*$AE213,2))</f>
        <v/>
      </c>
      <c r="AG213" s="137">
        <f>IF($G213="","",IFERROR(INDEX(CARI_KARTLARI!$I$6:$I$1000,MATCH($G213,CARI_KARTLARI!$A$6:$A$1000,0)),"VERİ YETERSİZ"))</f>
        <v/>
      </c>
    </row>
    <row r="214" ht="18" customHeight="1" s="102">
      <c r="A214" s="137">
        <f>IF($C214="","","CKS-"&amp;TEXT(ROW()-BaslangicSatir,"000000"))</f>
        <v/>
      </c>
      <c r="B214" s="138" t="n"/>
      <c r="C214" s="138" t="n"/>
      <c r="D214" s="138" t="n"/>
      <c r="E214" s="138" t="n"/>
      <c r="F214" s="138" t="n"/>
      <c r="G214" s="138" t="n"/>
      <c r="H214" s="138" t="n"/>
      <c r="I214" s="138" t="n"/>
      <c r="J214" s="138" t="n"/>
      <c r="K214" s="138" t="n"/>
      <c r="L214" s="138" t="n"/>
      <c r="M214" s="137">
        <f>IF($C214="","",ROUND($J214*$L214*IF($D214="Alınan",1,-1),2))</f>
        <v/>
      </c>
      <c r="N214" s="138" t="n"/>
      <c r="O214" s="138" t="n"/>
      <c r="P214" s="138" t="n"/>
      <c r="Q214" s="138" t="n"/>
      <c r="R214" s="138" t="n"/>
      <c r="S214" s="138" t="n"/>
      <c r="T214" s="138" t="n"/>
      <c r="U214" s="138" t="n"/>
      <c r="V214" s="138" t="n"/>
      <c r="W214" s="138" t="n"/>
      <c r="X214" s="138" t="n"/>
      <c r="Y214" s="138" t="n"/>
      <c r="Z214" s="138" t="n"/>
      <c r="AA214" s="138" t="n"/>
      <c r="AB214" s="138" t="n"/>
      <c r="AC214" s="138" t="n"/>
      <c r="AD214" s="137">
        <f>IF($C214="","",IF(COUNTIFS($C$6:$C$1000,$C214,$G$6:$G$1000,$G214,$J$6:$J$1000,$J214)&gt;1,"MÜKERRER","OK"))</f>
        <v/>
      </c>
      <c r="AE214" s="137">
        <f>IF($Y214="","",IFERROR(VLOOKUP($Y214,RiskKatsayilari,2,FALSE()),0))</f>
        <v/>
      </c>
      <c r="AF214" s="137">
        <f>IF(OR($M214="",$AE214=""),"",ROUND(ABS($M214)*$AE214,2))</f>
        <v/>
      </c>
      <c r="AG214" s="137">
        <f>IF($G214="","",IFERROR(INDEX(CARI_KARTLARI!$I$6:$I$1000,MATCH($G214,CARI_KARTLARI!$A$6:$A$1000,0)),"VERİ YETERSİZ"))</f>
        <v/>
      </c>
    </row>
    <row r="215" ht="18" customHeight="1" s="102">
      <c r="A215" s="137">
        <f>IF($C215="","","CKS-"&amp;TEXT(ROW()-BaslangicSatir,"000000"))</f>
        <v/>
      </c>
      <c r="B215" s="138" t="n"/>
      <c r="C215" s="138" t="n"/>
      <c r="D215" s="138" t="n"/>
      <c r="E215" s="138" t="n"/>
      <c r="F215" s="138" t="n"/>
      <c r="G215" s="138" t="n"/>
      <c r="H215" s="138" t="n"/>
      <c r="I215" s="138" t="n"/>
      <c r="J215" s="138" t="n"/>
      <c r="K215" s="138" t="n"/>
      <c r="L215" s="138" t="n"/>
      <c r="M215" s="137">
        <f>IF($C215="","",ROUND($J215*$L215*IF($D215="Alınan",1,-1),2))</f>
        <v/>
      </c>
      <c r="N215" s="138" t="n"/>
      <c r="O215" s="138" t="n"/>
      <c r="P215" s="138" t="n"/>
      <c r="Q215" s="138" t="n"/>
      <c r="R215" s="138" t="n"/>
      <c r="S215" s="138" t="n"/>
      <c r="T215" s="138" t="n"/>
      <c r="U215" s="138" t="n"/>
      <c r="V215" s="138" t="n"/>
      <c r="W215" s="138" t="n"/>
      <c r="X215" s="138" t="n"/>
      <c r="Y215" s="138" t="n"/>
      <c r="Z215" s="138" t="n"/>
      <c r="AA215" s="138" t="n"/>
      <c r="AB215" s="138" t="n"/>
      <c r="AC215" s="138" t="n"/>
      <c r="AD215" s="137">
        <f>IF($C215="","",IF(COUNTIFS($C$6:$C$1000,$C215,$G$6:$G$1000,$G215,$J$6:$J$1000,$J215)&gt;1,"MÜKERRER","OK"))</f>
        <v/>
      </c>
      <c r="AE215" s="137">
        <f>IF($Y215="","",IFERROR(VLOOKUP($Y215,RiskKatsayilari,2,FALSE()),0))</f>
        <v/>
      </c>
      <c r="AF215" s="137">
        <f>IF(OR($M215="",$AE215=""),"",ROUND(ABS($M215)*$AE215,2))</f>
        <v/>
      </c>
      <c r="AG215" s="137">
        <f>IF($G215="","",IFERROR(INDEX(CARI_KARTLARI!$I$6:$I$1000,MATCH($G215,CARI_KARTLARI!$A$6:$A$1000,0)),"VERİ YETERSİZ"))</f>
        <v/>
      </c>
    </row>
    <row r="216" ht="18" customHeight="1" s="102">
      <c r="A216" s="137">
        <f>IF($C216="","","CKS-"&amp;TEXT(ROW()-BaslangicSatir,"000000"))</f>
        <v/>
      </c>
      <c r="B216" s="138" t="n"/>
      <c r="C216" s="138" t="n"/>
      <c r="D216" s="138" t="n"/>
      <c r="E216" s="138" t="n"/>
      <c r="F216" s="138" t="n"/>
      <c r="G216" s="138" t="n"/>
      <c r="H216" s="138" t="n"/>
      <c r="I216" s="138" t="n"/>
      <c r="J216" s="138" t="n"/>
      <c r="K216" s="138" t="n"/>
      <c r="L216" s="138" t="n"/>
      <c r="M216" s="137">
        <f>IF($C216="","",ROUND($J216*$L216*IF($D216="Alınan",1,-1),2))</f>
        <v/>
      </c>
      <c r="N216" s="138" t="n"/>
      <c r="O216" s="138" t="n"/>
      <c r="P216" s="138" t="n"/>
      <c r="Q216" s="138" t="n"/>
      <c r="R216" s="138" t="n"/>
      <c r="S216" s="138" t="n"/>
      <c r="T216" s="138" t="n"/>
      <c r="U216" s="138" t="n"/>
      <c r="V216" s="138" t="n"/>
      <c r="W216" s="138" t="n"/>
      <c r="X216" s="138" t="n"/>
      <c r="Y216" s="138" t="n"/>
      <c r="Z216" s="138" t="n"/>
      <c r="AA216" s="138" t="n"/>
      <c r="AB216" s="138" t="n"/>
      <c r="AC216" s="138" t="n"/>
      <c r="AD216" s="137">
        <f>IF($C216="","",IF(COUNTIFS($C$6:$C$1000,$C216,$G$6:$G$1000,$G216,$J$6:$J$1000,$J216)&gt;1,"MÜKERRER","OK"))</f>
        <v/>
      </c>
      <c r="AE216" s="137">
        <f>IF($Y216="","",IFERROR(VLOOKUP($Y216,RiskKatsayilari,2,FALSE()),0))</f>
        <v/>
      </c>
      <c r="AF216" s="137">
        <f>IF(OR($M216="",$AE216=""),"",ROUND(ABS($M216)*$AE216,2))</f>
        <v/>
      </c>
      <c r="AG216" s="137">
        <f>IF($G216="","",IFERROR(INDEX(CARI_KARTLARI!$I$6:$I$1000,MATCH($G216,CARI_KARTLARI!$A$6:$A$1000,0)),"VERİ YETERSİZ"))</f>
        <v/>
      </c>
    </row>
    <row r="217" ht="18" customHeight="1" s="102">
      <c r="A217" s="137">
        <f>IF($C217="","","CKS-"&amp;TEXT(ROW()-BaslangicSatir,"000000"))</f>
        <v/>
      </c>
      <c r="B217" s="138" t="n"/>
      <c r="C217" s="138" t="n"/>
      <c r="D217" s="138" t="n"/>
      <c r="E217" s="138" t="n"/>
      <c r="F217" s="138" t="n"/>
      <c r="G217" s="138" t="n"/>
      <c r="H217" s="138" t="n"/>
      <c r="I217" s="138" t="n"/>
      <c r="J217" s="138" t="n"/>
      <c r="K217" s="138" t="n"/>
      <c r="L217" s="138" t="n"/>
      <c r="M217" s="137">
        <f>IF($C217="","",ROUND($J217*$L217*IF($D217="Alınan",1,-1),2))</f>
        <v/>
      </c>
      <c r="N217" s="138" t="n"/>
      <c r="O217" s="138" t="n"/>
      <c r="P217" s="138" t="n"/>
      <c r="Q217" s="138" t="n"/>
      <c r="R217" s="138" t="n"/>
      <c r="S217" s="138" t="n"/>
      <c r="T217" s="138" t="n"/>
      <c r="U217" s="138" t="n"/>
      <c r="V217" s="138" t="n"/>
      <c r="W217" s="138" t="n"/>
      <c r="X217" s="138" t="n"/>
      <c r="Y217" s="138" t="n"/>
      <c r="Z217" s="138" t="n"/>
      <c r="AA217" s="138" t="n"/>
      <c r="AB217" s="138" t="n"/>
      <c r="AC217" s="138" t="n"/>
      <c r="AD217" s="137">
        <f>IF($C217="","",IF(COUNTIFS($C$6:$C$1000,$C217,$G$6:$G$1000,$G217,$J$6:$J$1000,$J217)&gt;1,"MÜKERRER","OK"))</f>
        <v/>
      </c>
      <c r="AE217" s="137">
        <f>IF($Y217="","",IFERROR(VLOOKUP($Y217,RiskKatsayilari,2,FALSE()),0))</f>
        <v/>
      </c>
      <c r="AF217" s="137">
        <f>IF(OR($M217="",$AE217=""),"",ROUND(ABS($M217)*$AE217,2))</f>
        <v/>
      </c>
      <c r="AG217" s="137">
        <f>IF($G217="","",IFERROR(INDEX(CARI_KARTLARI!$I$6:$I$1000,MATCH($G217,CARI_KARTLARI!$A$6:$A$1000,0)),"VERİ YETERSİZ"))</f>
        <v/>
      </c>
    </row>
    <row r="218" ht="18" customHeight="1" s="102">
      <c r="A218" s="137">
        <f>IF($C218="","","CKS-"&amp;TEXT(ROW()-BaslangicSatir,"000000"))</f>
        <v/>
      </c>
      <c r="B218" s="138" t="n"/>
      <c r="C218" s="138" t="n"/>
      <c r="D218" s="138" t="n"/>
      <c r="E218" s="138" t="n"/>
      <c r="F218" s="138" t="n"/>
      <c r="G218" s="138" t="n"/>
      <c r="H218" s="138" t="n"/>
      <c r="I218" s="138" t="n"/>
      <c r="J218" s="138" t="n"/>
      <c r="K218" s="138" t="n"/>
      <c r="L218" s="138" t="n"/>
      <c r="M218" s="137">
        <f>IF($C218="","",ROUND($J218*$L218*IF($D218="Alınan",1,-1),2))</f>
        <v/>
      </c>
      <c r="N218" s="138" t="n"/>
      <c r="O218" s="138" t="n"/>
      <c r="P218" s="138" t="n"/>
      <c r="Q218" s="138" t="n"/>
      <c r="R218" s="138" t="n"/>
      <c r="S218" s="138" t="n"/>
      <c r="T218" s="138" t="n"/>
      <c r="U218" s="138" t="n"/>
      <c r="V218" s="138" t="n"/>
      <c r="W218" s="138" t="n"/>
      <c r="X218" s="138" t="n"/>
      <c r="Y218" s="138" t="n"/>
      <c r="Z218" s="138" t="n"/>
      <c r="AA218" s="138" t="n"/>
      <c r="AB218" s="138" t="n"/>
      <c r="AC218" s="138" t="n"/>
      <c r="AD218" s="137">
        <f>IF($C218="","",IF(COUNTIFS($C$6:$C$1000,$C218,$G$6:$G$1000,$G218,$J$6:$J$1000,$J218)&gt;1,"MÜKERRER","OK"))</f>
        <v/>
      </c>
      <c r="AE218" s="137">
        <f>IF($Y218="","",IFERROR(VLOOKUP($Y218,RiskKatsayilari,2,FALSE()),0))</f>
        <v/>
      </c>
      <c r="AF218" s="137">
        <f>IF(OR($M218="",$AE218=""),"",ROUND(ABS($M218)*$AE218,2))</f>
        <v/>
      </c>
      <c r="AG218" s="137">
        <f>IF($G218="","",IFERROR(INDEX(CARI_KARTLARI!$I$6:$I$1000,MATCH($G218,CARI_KARTLARI!$A$6:$A$1000,0)),"VERİ YETERSİZ"))</f>
        <v/>
      </c>
    </row>
    <row r="219" ht="18" customHeight="1" s="102">
      <c r="A219" s="137">
        <f>IF($C219="","","CKS-"&amp;TEXT(ROW()-BaslangicSatir,"000000"))</f>
        <v/>
      </c>
      <c r="B219" s="138" t="n"/>
      <c r="C219" s="138" t="n"/>
      <c r="D219" s="138" t="n"/>
      <c r="E219" s="138" t="n"/>
      <c r="F219" s="138" t="n"/>
      <c r="G219" s="138" t="n"/>
      <c r="H219" s="138" t="n"/>
      <c r="I219" s="138" t="n"/>
      <c r="J219" s="138" t="n"/>
      <c r="K219" s="138" t="n"/>
      <c r="L219" s="138" t="n"/>
      <c r="M219" s="137">
        <f>IF($C219="","",ROUND($J219*$L219*IF($D219="Alınan",1,-1),2))</f>
        <v/>
      </c>
      <c r="N219" s="138" t="n"/>
      <c r="O219" s="138" t="n"/>
      <c r="P219" s="138" t="n"/>
      <c r="Q219" s="138" t="n"/>
      <c r="R219" s="138" t="n"/>
      <c r="S219" s="138" t="n"/>
      <c r="T219" s="138" t="n"/>
      <c r="U219" s="138" t="n"/>
      <c r="V219" s="138" t="n"/>
      <c r="W219" s="138" t="n"/>
      <c r="X219" s="138" t="n"/>
      <c r="Y219" s="138" t="n"/>
      <c r="Z219" s="138" t="n"/>
      <c r="AA219" s="138" t="n"/>
      <c r="AB219" s="138" t="n"/>
      <c r="AC219" s="138" t="n"/>
      <c r="AD219" s="137">
        <f>IF($C219="","",IF(COUNTIFS($C$6:$C$1000,$C219,$G$6:$G$1000,$G219,$J$6:$J$1000,$J219)&gt;1,"MÜKERRER","OK"))</f>
        <v/>
      </c>
      <c r="AE219" s="137">
        <f>IF($Y219="","",IFERROR(VLOOKUP($Y219,RiskKatsayilari,2,FALSE()),0))</f>
        <v/>
      </c>
      <c r="AF219" s="137">
        <f>IF(OR($M219="",$AE219=""),"",ROUND(ABS($M219)*$AE219,2))</f>
        <v/>
      </c>
      <c r="AG219" s="137">
        <f>IF($G219="","",IFERROR(INDEX(CARI_KARTLARI!$I$6:$I$1000,MATCH($G219,CARI_KARTLARI!$A$6:$A$1000,0)),"VERİ YETERSİZ"))</f>
        <v/>
      </c>
    </row>
    <row r="220" ht="18" customHeight="1" s="102">
      <c r="A220" s="137">
        <f>IF($C220="","","CKS-"&amp;TEXT(ROW()-BaslangicSatir,"000000"))</f>
        <v/>
      </c>
      <c r="B220" s="138" t="n"/>
      <c r="C220" s="138" t="n"/>
      <c r="D220" s="138" t="n"/>
      <c r="E220" s="138" t="n"/>
      <c r="F220" s="138" t="n"/>
      <c r="G220" s="138" t="n"/>
      <c r="H220" s="138" t="n"/>
      <c r="I220" s="138" t="n"/>
      <c r="J220" s="138" t="n"/>
      <c r="K220" s="138" t="n"/>
      <c r="L220" s="138" t="n"/>
      <c r="M220" s="137">
        <f>IF($C220="","",ROUND($J220*$L220*IF($D220="Alınan",1,-1),2))</f>
        <v/>
      </c>
      <c r="N220" s="138" t="n"/>
      <c r="O220" s="138" t="n"/>
      <c r="P220" s="138" t="n"/>
      <c r="Q220" s="138" t="n"/>
      <c r="R220" s="138" t="n"/>
      <c r="S220" s="138" t="n"/>
      <c r="T220" s="138" t="n"/>
      <c r="U220" s="138" t="n"/>
      <c r="V220" s="138" t="n"/>
      <c r="W220" s="138" t="n"/>
      <c r="X220" s="138" t="n"/>
      <c r="Y220" s="138" t="n"/>
      <c r="Z220" s="138" t="n"/>
      <c r="AA220" s="138" t="n"/>
      <c r="AB220" s="138" t="n"/>
      <c r="AC220" s="138" t="n"/>
      <c r="AD220" s="137">
        <f>IF($C220="","",IF(COUNTIFS($C$6:$C$1000,$C220,$G$6:$G$1000,$G220,$J$6:$J$1000,$J220)&gt;1,"MÜKERRER","OK"))</f>
        <v/>
      </c>
      <c r="AE220" s="137">
        <f>IF($Y220="","",IFERROR(VLOOKUP($Y220,RiskKatsayilari,2,FALSE()),0))</f>
        <v/>
      </c>
      <c r="AF220" s="137">
        <f>IF(OR($M220="",$AE220=""),"",ROUND(ABS($M220)*$AE220,2))</f>
        <v/>
      </c>
      <c r="AG220" s="137">
        <f>IF($G220="","",IFERROR(INDEX(CARI_KARTLARI!$I$6:$I$1000,MATCH($G220,CARI_KARTLARI!$A$6:$A$1000,0)),"VERİ YETERSİZ"))</f>
        <v/>
      </c>
    </row>
    <row r="221" ht="18" customHeight="1" s="102">
      <c r="A221" s="137">
        <f>IF($C221="","","CKS-"&amp;TEXT(ROW()-BaslangicSatir,"000000"))</f>
        <v/>
      </c>
      <c r="B221" s="138" t="n"/>
      <c r="C221" s="138" t="n"/>
      <c r="D221" s="138" t="n"/>
      <c r="E221" s="138" t="n"/>
      <c r="F221" s="138" t="n"/>
      <c r="G221" s="138" t="n"/>
      <c r="H221" s="138" t="n"/>
      <c r="I221" s="138" t="n"/>
      <c r="J221" s="138" t="n"/>
      <c r="K221" s="138" t="n"/>
      <c r="L221" s="138" t="n"/>
      <c r="M221" s="137">
        <f>IF($C221="","",ROUND($J221*$L221*IF($D221="Alınan",1,-1),2))</f>
        <v/>
      </c>
      <c r="N221" s="138" t="n"/>
      <c r="O221" s="138" t="n"/>
      <c r="P221" s="138" t="n"/>
      <c r="Q221" s="138" t="n"/>
      <c r="R221" s="138" t="n"/>
      <c r="S221" s="138" t="n"/>
      <c r="T221" s="138" t="n"/>
      <c r="U221" s="138" t="n"/>
      <c r="V221" s="138" t="n"/>
      <c r="W221" s="138" t="n"/>
      <c r="X221" s="138" t="n"/>
      <c r="Y221" s="138" t="n"/>
      <c r="Z221" s="138" t="n"/>
      <c r="AA221" s="138" t="n"/>
      <c r="AB221" s="138" t="n"/>
      <c r="AC221" s="138" t="n"/>
      <c r="AD221" s="137">
        <f>IF($C221="","",IF(COUNTIFS($C$6:$C$1000,$C221,$G$6:$G$1000,$G221,$J$6:$J$1000,$J221)&gt;1,"MÜKERRER","OK"))</f>
        <v/>
      </c>
      <c r="AE221" s="137">
        <f>IF($Y221="","",IFERROR(VLOOKUP($Y221,RiskKatsayilari,2,FALSE()),0))</f>
        <v/>
      </c>
      <c r="AF221" s="137">
        <f>IF(OR($M221="",$AE221=""),"",ROUND(ABS($M221)*$AE221,2))</f>
        <v/>
      </c>
      <c r="AG221" s="137">
        <f>IF($G221="","",IFERROR(INDEX(CARI_KARTLARI!$I$6:$I$1000,MATCH($G221,CARI_KARTLARI!$A$6:$A$1000,0)),"VERİ YETERSİZ"))</f>
        <v/>
      </c>
    </row>
    <row r="222" ht="18" customHeight="1" s="102">
      <c r="A222" s="137">
        <f>IF($C222="","","CKS-"&amp;TEXT(ROW()-BaslangicSatir,"000000"))</f>
        <v/>
      </c>
      <c r="B222" s="138" t="n"/>
      <c r="C222" s="138" t="n"/>
      <c r="D222" s="138" t="n"/>
      <c r="E222" s="138" t="n"/>
      <c r="F222" s="138" t="n"/>
      <c r="G222" s="138" t="n"/>
      <c r="H222" s="138" t="n"/>
      <c r="I222" s="138" t="n"/>
      <c r="J222" s="138" t="n"/>
      <c r="K222" s="138" t="n"/>
      <c r="L222" s="138" t="n"/>
      <c r="M222" s="137">
        <f>IF($C222="","",ROUND($J222*$L222*IF($D222="Alınan",1,-1),2))</f>
        <v/>
      </c>
      <c r="N222" s="138" t="n"/>
      <c r="O222" s="138" t="n"/>
      <c r="P222" s="138" t="n"/>
      <c r="Q222" s="138" t="n"/>
      <c r="R222" s="138" t="n"/>
      <c r="S222" s="138" t="n"/>
      <c r="T222" s="138" t="n"/>
      <c r="U222" s="138" t="n"/>
      <c r="V222" s="138" t="n"/>
      <c r="W222" s="138" t="n"/>
      <c r="X222" s="138" t="n"/>
      <c r="Y222" s="138" t="n"/>
      <c r="Z222" s="138" t="n"/>
      <c r="AA222" s="138" t="n"/>
      <c r="AB222" s="138" t="n"/>
      <c r="AC222" s="138" t="n"/>
      <c r="AD222" s="137">
        <f>IF($C222="","",IF(COUNTIFS($C$6:$C$1000,$C222,$G$6:$G$1000,$G222,$J$6:$J$1000,$J222)&gt;1,"MÜKERRER","OK"))</f>
        <v/>
      </c>
      <c r="AE222" s="137">
        <f>IF($Y222="","",IFERROR(VLOOKUP($Y222,RiskKatsayilari,2,FALSE()),0))</f>
        <v/>
      </c>
      <c r="AF222" s="137">
        <f>IF(OR($M222="",$AE222=""),"",ROUND(ABS($M222)*$AE222,2))</f>
        <v/>
      </c>
      <c r="AG222" s="137">
        <f>IF($G222="","",IFERROR(INDEX(CARI_KARTLARI!$I$6:$I$1000,MATCH($G222,CARI_KARTLARI!$A$6:$A$1000,0)),"VERİ YETERSİZ"))</f>
        <v/>
      </c>
    </row>
    <row r="223" ht="18" customHeight="1" s="102">
      <c r="A223" s="137">
        <f>IF($C223="","","CKS-"&amp;TEXT(ROW()-BaslangicSatir,"000000"))</f>
        <v/>
      </c>
      <c r="B223" s="138" t="n"/>
      <c r="C223" s="138" t="n"/>
      <c r="D223" s="138" t="n"/>
      <c r="E223" s="138" t="n"/>
      <c r="F223" s="138" t="n"/>
      <c r="G223" s="138" t="n"/>
      <c r="H223" s="138" t="n"/>
      <c r="I223" s="138" t="n"/>
      <c r="J223" s="138" t="n"/>
      <c r="K223" s="138" t="n"/>
      <c r="L223" s="138" t="n"/>
      <c r="M223" s="137">
        <f>IF($C223="","",ROUND($J223*$L223*IF($D223="Alınan",1,-1),2))</f>
        <v/>
      </c>
      <c r="N223" s="138" t="n"/>
      <c r="O223" s="138" t="n"/>
      <c r="P223" s="138" t="n"/>
      <c r="Q223" s="138" t="n"/>
      <c r="R223" s="138" t="n"/>
      <c r="S223" s="138" t="n"/>
      <c r="T223" s="138" t="n"/>
      <c r="U223" s="138" t="n"/>
      <c r="V223" s="138" t="n"/>
      <c r="W223" s="138" t="n"/>
      <c r="X223" s="138" t="n"/>
      <c r="Y223" s="138" t="n"/>
      <c r="Z223" s="138" t="n"/>
      <c r="AA223" s="138" t="n"/>
      <c r="AB223" s="138" t="n"/>
      <c r="AC223" s="138" t="n"/>
      <c r="AD223" s="137">
        <f>IF($C223="","",IF(COUNTIFS($C$6:$C$1000,$C223,$G$6:$G$1000,$G223,$J$6:$J$1000,$J223)&gt;1,"MÜKERRER","OK"))</f>
        <v/>
      </c>
      <c r="AE223" s="137">
        <f>IF($Y223="","",IFERROR(VLOOKUP($Y223,RiskKatsayilari,2,FALSE()),0))</f>
        <v/>
      </c>
      <c r="AF223" s="137">
        <f>IF(OR($M223="",$AE223=""),"",ROUND(ABS($M223)*$AE223,2))</f>
        <v/>
      </c>
      <c r="AG223" s="137">
        <f>IF($G223="","",IFERROR(INDEX(CARI_KARTLARI!$I$6:$I$1000,MATCH($G223,CARI_KARTLARI!$A$6:$A$1000,0)),"VERİ YETERSİZ"))</f>
        <v/>
      </c>
    </row>
    <row r="224" ht="18" customHeight="1" s="102">
      <c r="A224" s="137">
        <f>IF($C224="","","CKS-"&amp;TEXT(ROW()-BaslangicSatir,"000000"))</f>
        <v/>
      </c>
      <c r="B224" s="138" t="n"/>
      <c r="C224" s="138" t="n"/>
      <c r="D224" s="138" t="n"/>
      <c r="E224" s="138" t="n"/>
      <c r="F224" s="138" t="n"/>
      <c r="G224" s="138" t="n"/>
      <c r="H224" s="138" t="n"/>
      <c r="I224" s="138" t="n"/>
      <c r="J224" s="138" t="n"/>
      <c r="K224" s="138" t="n"/>
      <c r="L224" s="138" t="n"/>
      <c r="M224" s="137">
        <f>IF($C224="","",ROUND($J224*$L224*IF($D224="Alınan",1,-1),2))</f>
        <v/>
      </c>
      <c r="N224" s="138" t="n"/>
      <c r="O224" s="138" t="n"/>
      <c r="P224" s="138" t="n"/>
      <c r="Q224" s="138" t="n"/>
      <c r="R224" s="138" t="n"/>
      <c r="S224" s="138" t="n"/>
      <c r="T224" s="138" t="n"/>
      <c r="U224" s="138" t="n"/>
      <c r="V224" s="138" t="n"/>
      <c r="W224" s="138" t="n"/>
      <c r="X224" s="138" t="n"/>
      <c r="Y224" s="138" t="n"/>
      <c r="Z224" s="138" t="n"/>
      <c r="AA224" s="138" t="n"/>
      <c r="AB224" s="138" t="n"/>
      <c r="AC224" s="138" t="n"/>
      <c r="AD224" s="137">
        <f>IF($C224="","",IF(COUNTIFS($C$6:$C$1000,$C224,$G$6:$G$1000,$G224,$J$6:$J$1000,$J224)&gt;1,"MÜKERRER","OK"))</f>
        <v/>
      </c>
      <c r="AE224" s="137">
        <f>IF($Y224="","",IFERROR(VLOOKUP($Y224,RiskKatsayilari,2,FALSE()),0))</f>
        <v/>
      </c>
      <c r="AF224" s="137">
        <f>IF(OR($M224="",$AE224=""),"",ROUND(ABS($M224)*$AE224,2))</f>
        <v/>
      </c>
      <c r="AG224" s="137">
        <f>IF($G224="","",IFERROR(INDEX(CARI_KARTLARI!$I$6:$I$1000,MATCH($G224,CARI_KARTLARI!$A$6:$A$1000,0)),"VERİ YETERSİZ"))</f>
        <v/>
      </c>
    </row>
    <row r="225" ht="18" customHeight="1" s="102">
      <c r="A225" s="137">
        <f>IF($C225="","","CKS-"&amp;TEXT(ROW()-BaslangicSatir,"000000"))</f>
        <v/>
      </c>
      <c r="B225" s="138" t="n"/>
      <c r="C225" s="138" t="n"/>
      <c r="D225" s="138" t="n"/>
      <c r="E225" s="138" t="n"/>
      <c r="F225" s="138" t="n"/>
      <c r="G225" s="138" t="n"/>
      <c r="H225" s="138" t="n"/>
      <c r="I225" s="138" t="n"/>
      <c r="J225" s="138" t="n"/>
      <c r="K225" s="138" t="n"/>
      <c r="L225" s="138" t="n"/>
      <c r="M225" s="137">
        <f>IF($C225="","",ROUND($J225*$L225*IF($D225="Alınan",1,-1),2))</f>
        <v/>
      </c>
      <c r="N225" s="138" t="n"/>
      <c r="O225" s="138" t="n"/>
      <c r="P225" s="138" t="n"/>
      <c r="Q225" s="138" t="n"/>
      <c r="R225" s="138" t="n"/>
      <c r="S225" s="138" t="n"/>
      <c r="T225" s="138" t="n"/>
      <c r="U225" s="138" t="n"/>
      <c r="V225" s="138" t="n"/>
      <c r="W225" s="138" t="n"/>
      <c r="X225" s="138" t="n"/>
      <c r="Y225" s="138" t="n"/>
      <c r="Z225" s="138" t="n"/>
      <c r="AA225" s="138" t="n"/>
      <c r="AB225" s="138" t="n"/>
      <c r="AC225" s="138" t="n"/>
      <c r="AD225" s="137">
        <f>IF($C225="","",IF(COUNTIFS($C$6:$C$1000,$C225,$G$6:$G$1000,$G225,$J$6:$J$1000,$J225)&gt;1,"MÜKERRER","OK"))</f>
        <v/>
      </c>
      <c r="AE225" s="137">
        <f>IF($Y225="","",IFERROR(VLOOKUP($Y225,RiskKatsayilari,2,FALSE()),0))</f>
        <v/>
      </c>
      <c r="AF225" s="137">
        <f>IF(OR($M225="",$AE225=""),"",ROUND(ABS($M225)*$AE225,2))</f>
        <v/>
      </c>
      <c r="AG225" s="137">
        <f>IF($G225="","",IFERROR(INDEX(CARI_KARTLARI!$I$6:$I$1000,MATCH($G225,CARI_KARTLARI!$A$6:$A$1000,0)),"VERİ YETERSİZ"))</f>
        <v/>
      </c>
    </row>
    <row r="226" ht="18" customHeight="1" s="102">
      <c r="A226" s="137">
        <f>IF($C226="","","CKS-"&amp;TEXT(ROW()-BaslangicSatir,"000000"))</f>
        <v/>
      </c>
      <c r="B226" s="138" t="n"/>
      <c r="C226" s="138" t="n"/>
      <c r="D226" s="138" t="n"/>
      <c r="E226" s="138" t="n"/>
      <c r="F226" s="138" t="n"/>
      <c r="G226" s="138" t="n"/>
      <c r="H226" s="138" t="n"/>
      <c r="I226" s="138" t="n"/>
      <c r="J226" s="138" t="n"/>
      <c r="K226" s="138" t="n"/>
      <c r="L226" s="138" t="n"/>
      <c r="M226" s="137">
        <f>IF($C226="","",ROUND($J226*$L226*IF($D226="Alınan",1,-1),2))</f>
        <v/>
      </c>
      <c r="N226" s="138" t="n"/>
      <c r="O226" s="138" t="n"/>
      <c r="P226" s="138" t="n"/>
      <c r="Q226" s="138" t="n"/>
      <c r="R226" s="138" t="n"/>
      <c r="S226" s="138" t="n"/>
      <c r="T226" s="138" t="n"/>
      <c r="U226" s="138" t="n"/>
      <c r="V226" s="138" t="n"/>
      <c r="W226" s="138" t="n"/>
      <c r="X226" s="138" t="n"/>
      <c r="Y226" s="138" t="n"/>
      <c r="Z226" s="138" t="n"/>
      <c r="AA226" s="138" t="n"/>
      <c r="AB226" s="138" t="n"/>
      <c r="AC226" s="138" t="n"/>
      <c r="AD226" s="137">
        <f>IF($C226="","",IF(COUNTIFS($C$6:$C$1000,$C226,$G$6:$G$1000,$G226,$J$6:$J$1000,$J226)&gt;1,"MÜKERRER","OK"))</f>
        <v/>
      </c>
      <c r="AE226" s="137">
        <f>IF($Y226="","",IFERROR(VLOOKUP($Y226,RiskKatsayilari,2,FALSE()),0))</f>
        <v/>
      </c>
      <c r="AF226" s="137">
        <f>IF(OR($M226="",$AE226=""),"",ROUND(ABS($M226)*$AE226,2))</f>
        <v/>
      </c>
      <c r="AG226" s="137">
        <f>IF($G226="","",IFERROR(INDEX(CARI_KARTLARI!$I$6:$I$1000,MATCH($G226,CARI_KARTLARI!$A$6:$A$1000,0)),"VERİ YETERSİZ"))</f>
        <v/>
      </c>
    </row>
    <row r="227" ht="18" customHeight="1" s="102">
      <c r="A227" s="137">
        <f>IF($C227="","","CKS-"&amp;TEXT(ROW()-BaslangicSatir,"000000"))</f>
        <v/>
      </c>
      <c r="B227" s="138" t="n"/>
      <c r="C227" s="138" t="n"/>
      <c r="D227" s="138" t="n"/>
      <c r="E227" s="138" t="n"/>
      <c r="F227" s="138" t="n"/>
      <c r="G227" s="138" t="n"/>
      <c r="H227" s="138" t="n"/>
      <c r="I227" s="138" t="n"/>
      <c r="J227" s="138" t="n"/>
      <c r="K227" s="138" t="n"/>
      <c r="L227" s="138" t="n"/>
      <c r="M227" s="137">
        <f>IF($C227="","",ROUND($J227*$L227*IF($D227="Alınan",1,-1),2))</f>
        <v/>
      </c>
      <c r="N227" s="138" t="n"/>
      <c r="O227" s="138" t="n"/>
      <c r="P227" s="138" t="n"/>
      <c r="Q227" s="138" t="n"/>
      <c r="R227" s="138" t="n"/>
      <c r="S227" s="138" t="n"/>
      <c r="T227" s="138" t="n"/>
      <c r="U227" s="138" t="n"/>
      <c r="V227" s="138" t="n"/>
      <c r="W227" s="138" t="n"/>
      <c r="X227" s="138" t="n"/>
      <c r="Y227" s="138" t="n"/>
      <c r="Z227" s="138" t="n"/>
      <c r="AA227" s="138" t="n"/>
      <c r="AB227" s="138" t="n"/>
      <c r="AC227" s="138" t="n"/>
      <c r="AD227" s="137">
        <f>IF($C227="","",IF(COUNTIFS($C$6:$C$1000,$C227,$G$6:$G$1000,$G227,$J$6:$J$1000,$J227)&gt;1,"MÜKERRER","OK"))</f>
        <v/>
      </c>
      <c r="AE227" s="137">
        <f>IF($Y227="","",IFERROR(VLOOKUP($Y227,RiskKatsayilari,2,FALSE()),0))</f>
        <v/>
      </c>
      <c r="AF227" s="137">
        <f>IF(OR($M227="",$AE227=""),"",ROUND(ABS($M227)*$AE227,2))</f>
        <v/>
      </c>
      <c r="AG227" s="137">
        <f>IF($G227="","",IFERROR(INDEX(CARI_KARTLARI!$I$6:$I$1000,MATCH($G227,CARI_KARTLARI!$A$6:$A$1000,0)),"VERİ YETERSİZ"))</f>
        <v/>
      </c>
    </row>
    <row r="228" ht="18" customHeight="1" s="102">
      <c r="A228" s="137">
        <f>IF($C228="","","CKS-"&amp;TEXT(ROW()-BaslangicSatir,"000000"))</f>
        <v/>
      </c>
      <c r="B228" s="138" t="n"/>
      <c r="C228" s="138" t="n"/>
      <c r="D228" s="138" t="n"/>
      <c r="E228" s="138" t="n"/>
      <c r="F228" s="138" t="n"/>
      <c r="G228" s="138" t="n"/>
      <c r="H228" s="138" t="n"/>
      <c r="I228" s="138" t="n"/>
      <c r="J228" s="138" t="n"/>
      <c r="K228" s="138" t="n"/>
      <c r="L228" s="138" t="n"/>
      <c r="M228" s="137">
        <f>IF($C228="","",ROUND($J228*$L228*IF($D228="Alınan",1,-1),2))</f>
        <v/>
      </c>
      <c r="N228" s="138" t="n"/>
      <c r="O228" s="138" t="n"/>
      <c r="P228" s="138" t="n"/>
      <c r="Q228" s="138" t="n"/>
      <c r="R228" s="138" t="n"/>
      <c r="S228" s="138" t="n"/>
      <c r="T228" s="138" t="n"/>
      <c r="U228" s="138" t="n"/>
      <c r="V228" s="138" t="n"/>
      <c r="W228" s="138" t="n"/>
      <c r="X228" s="138" t="n"/>
      <c r="Y228" s="138" t="n"/>
      <c r="Z228" s="138" t="n"/>
      <c r="AA228" s="138" t="n"/>
      <c r="AB228" s="138" t="n"/>
      <c r="AC228" s="138" t="n"/>
      <c r="AD228" s="137">
        <f>IF($C228="","",IF(COUNTIFS($C$6:$C$1000,$C228,$G$6:$G$1000,$G228,$J$6:$J$1000,$J228)&gt;1,"MÜKERRER","OK"))</f>
        <v/>
      </c>
      <c r="AE228" s="137">
        <f>IF($Y228="","",IFERROR(VLOOKUP($Y228,RiskKatsayilari,2,FALSE()),0))</f>
        <v/>
      </c>
      <c r="AF228" s="137">
        <f>IF(OR($M228="",$AE228=""),"",ROUND(ABS($M228)*$AE228,2))</f>
        <v/>
      </c>
      <c r="AG228" s="137">
        <f>IF($G228="","",IFERROR(INDEX(CARI_KARTLARI!$I$6:$I$1000,MATCH($G228,CARI_KARTLARI!$A$6:$A$1000,0)),"VERİ YETERSİZ"))</f>
        <v/>
      </c>
    </row>
    <row r="229" ht="18" customHeight="1" s="102">
      <c r="A229" s="137">
        <f>IF($C229="","","CKS-"&amp;TEXT(ROW()-BaslangicSatir,"000000"))</f>
        <v/>
      </c>
      <c r="B229" s="138" t="n"/>
      <c r="C229" s="138" t="n"/>
      <c r="D229" s="138" t="n"/>
      <c r="E229" s="138" t="n"/>
      <c r="F229" s="138" t="n"/>
      <c r="G229" s="138" t="n"/>
      <c r="H229" s="138" t="n"/>
      <c r="I229" s="138" t="n"/>
      <c r="J229" s="138" t="n"/>
      <c r="K229" s="138" t="n"/>
      <c r="L229" s="138" t="n"/>
      <c r="M229" s="137">
        <f>IF($C229="","",ROUND($J229*$L229*IF($D229="Alınan",1,-1),2))</f>
        <v/>
      </c>
      <c r="N229" s="138" t="n"/>
      <c r="O229" s="138" t="n"/>
      <c r="P229" s="138" t="n"/>
      <c r="Q229" s="138" t="n"/>
      <c r="R229" s="138" t="n"/>
      <c r="S229" s="138" t="n"/>
      <c r="T229" s="138" t="n"/>
      <c r="U229" s="138" t="n"/>
      <c r="V229" s="138" t="n"/>
      <c r="W229" s="138" t="n"/>
      <c r="X229" s="138" t="n"/>
      <c r="Y229" s="138" t="n"/>
      <c r="Z229" s="138" t="n"/>
      <c r="AA229" s="138" t="n"/>
      <c r="AB229" s="138" t="n"/>
      <c r="AC229" s="138" t="n"/>
      <c r="AD229" s="137">
        <f>IF($C229="","",IF(COUNTIFS($C$6:$C$1000,$C229,$G$6:$G$1000,$G229,$J$6:$J$1000,$J229)&gt;1,"MÜKERRER","OK"))</f>
        <v/>
      </c>
      <c r="AE229" s="137">
        <f>IF($Y229="","",IFERROR(VLOOKUP($Y229,RiskKatsayilari,2,FALSE()),0))</f>
        <v/>
      </c>
      <c r="AF229" s="137">
        <f>IF(OR($M229="",$AE229=""),"",ROUND(ABS($M229)*$AE229,2))</f>
        <v/>
      </c>
      <c r="AG229" s="137">
        <f>IF($G229="","",IFERROR(INDEX(CARI_KARTLARI!$I$6:$I$1000,MATCH($G229,CARI_KARTLARI!$A$6:$A$1000,0)),"VERİ YETERSİZ"))</f>
        <v/>
      </c>
    </row>
    <row r="230" ht="18" customHeight="1" s="102">
      <c r="A230" s="137">
        <f>IF($C230="","","CKS-"&amp;TEXT(ROW()-BaslangicSatir,"000000"))</f>
        <v/>
      </c>
      <c r="B230" s="138" t="n"/>
      <c r="C230" s="138" t="n"/>
      <c r="D230" s="138" t="n"/>
      <c r="E230" s="138" t="n"/>
      <c r="F230" s="138" t="n"/>
      <c r="G230" s="138" t="n"/>
      <c r="H230" s="138" t="n"/>
      <c r="I230" s="138" t="n"/>
      <c r="J230" s="138" t="n"/>
      <c r="K230" s="138" t="n"/>
      <c r="L230" s="138" t="n"/>
      <c r="M230" s="137">
        <f>IF($C230="","",ROUND($J230*$L230*IF($D230="Alınan",1,-1),2))</f>
        <v/>
      </c>
      <c r="N230" s="138" t="n"/>
      <c r="O230" s="138" t="n"/>
      <c r="P230" s="138" t="n"/>
      <c r="Q230" s="138" t="n"/>
      <c r="R230" s="138" t="n"/>
      <c r="S230" s="138" t="n"/>
      <c r="T230" s="138" t="n"/>
      <c r="U230" s="138" t="n"/>
      <c r="V230" s="138" t="n"/>
      <c r="W230" s="138" t="n"/>
      <c r="X230" s="138" t="n"/>
      <c r="Y230" s="138" t="n"/>
      <c r="Z230" s="138" t="n"/>
      <c r="AA230" s="138" t="n"/>
      <c r="AB230" s="138" t="n"/>
      <c r="AC230" s="138" t="n"/>
      <c r="AD230" s="137">
        <f>IF($C230="","",IF(COUNTIFS($C$6:$C$1000,$C230,$G$6:$G$1000,$G230,$J$6:$J$1000,$J230)&gt;1,"MÜKERRER","OK"))</f>
        <v/>
      </c>
      <c r="AE230" s="137">
        <f>IF($Y230="","",IFERROR(VLOOKUP($Y230,RiskKatsayilari,2,FALSE()),0))</f>
        <v/>
      </c>
      <c r="AF230" s="137">
        <f>IF(OR($M230="",$AE230=""),"",ROUND(ABS($M230)*$AE230,2))</f>
        <v/>
      </c>
      <c r="AG230" s="137">
        <f>IF($G230="","",IFERROR(INDEX(CARI_KARTLARI!$I$6:$I$1000,MATCH($G230,CARI_KARTLARI!$A$6:$A$1000,0)),"VERİ YETERSİZ"))</f>
        <v/>
      </c>
    </row>
    <row r="231" ht="18" customHeight="1" s="102">
      <c r="A231" s="137">
        <f>IF($C231="","","CKS-"&amp;TEXT(ROW()-BaslangicSatir,"000000"))</f>
        <v/>
      </c>
      <c r="B231" s="138" t="n"/>
      <c r="C231" s="138" t="n"/>
      <c r="D231" s="138" t="n"/>
      <c r="E231" s="138" t="n"/>
      <c r="F231" s="138" t="n"/>
      <c r="G231" s="138" t="n"/>
      <c r="H231" s="138" t="n"/>
      <c r="I231" s="138" t="n"/>
      <c r="J231" s="138" t="n"/>
      <c r="K231" s="138" t="n"/>
      <c r="L231" s="138" t="n"/>
      <c r="M231" s="137">
        <f>IF($C231="","",ROUND($J231*$L231*IF($D231="Alınan",1,-1),2))</f>
        <v/>
      </c>
      <c r="N231" s="138" t="n"/>
      <c r="O231" s="138" t="n"/>
      <c r="P231" s="138" t="n"/>
      <c r="Q231" s="138" t="n"/>
      <c r="R231" s="138" t="n"/>
      <c r="S231" s="138" t="n"/>
      <c r="T231" s="138" t="n"/>
      <c r="U231" s="138" t="n"/>
      <c r="V231" s="138" t="n"/>
      <c r="W231" s="138" t="n"/>
      <c r="X231" s="138" t="n"/>
      <c r="Y231" s="138" t="n"/>
      <c r="Z231" s="138" t="n"/>
      <c r="AA231" s="138" t="n"/>
      <c r="AB231" s="138" t="n"/>
      <c r="AC231" s="138" t="n"/>
      <c r="AD231" s="137">
        <f>IF($C231="","",IF(COUNTIFS($C$6:$C$1000,$C231,$G$6:$G$1000,$G231,$J$6:$J$1000,$J231)&gt;1,"MÜKERRER","OK"))</f>
        <v/>
      </c>
      <c r="AE231" s="137">
        <f>IF($Y231="","",IFERROR(VLOOKUP($Y231,RiskKatsayilari,2,FALSE()),0))</f>
        <v/>
      </c>
      <c r="AF231" s="137">
        <f>IF(OR($M231="",$AE231=""),"",ROUND(ABS($M231)*$AE231,2))</f>
        <v/>
      </c>
      <c r="AG231" s="137">
        <f>IF($G231="","",IFERROR(INDEX(CARI_KARTLARI!$I$6:$I$1000,MATCH($G231,CARI_KARTLARI!$A$6:$A$1000,0)),"VERİ YETERSİZ"))</f>
        <v/>
      </c>
    </row>
    <row r="232" ht="18" customHeight="1" s="102">
      <c r="A232" s="137">
        <f>IF($C232="","","CKS-"&amp;TEXT(ROW()-BaslangicSatir,"000000"))</f>
        <v/>
      </c>
      <c r="B232" s="138" t="n"/>
      <c r="C232" s="138" t="n"/>
      <c r="D232" s="138" t="n"/>
      <c r="E232" s="138" t="n"/>
      <c r="F232" s="138" t="n"/>
      <c r="G232" s="138" t="n"/>
      <c r="H232" s="138" t="n"/>
      <c r="I232" s="138" t="n"/>
      <c r="J232" s="138" t="n"/>
      <c r="K232" s="138" t="n"/>
      <c r="L232" s="138" t="n"/>
      <c r="M232" s="137">
        <f>IF($C232="","",ROUND($J232*$L232*IF($D232="Alınan",1,-1),2))</f>
        <v/>
      </c>
      <c r="N232" s="138" t="n"/>
      <c r="O232" s="138" t="n"/>
      <c r="P232" s="138" t="n"/>
      <c r="Q232" s="138" t="n"/>
      <c r="R232" s="138" t="n"/>
      <c r="S232" s="138" t="n"/>
      <c r="T232" s="138" t="n"/>
      <c r="U232" s="138" t="n"/>
      <c r="V232" s="138" t="n"/>
      <c r="W232" s="138" t="n"/>
      <c r="X232" s="138" t="n"/>
      <c r="Y232" s="138" t="n"/>
      <c r="Z232" s="138" t="n"/>
      <c r="AA232" s="138" t="n"/>
      <c r="AB232" s="138" t="n"/>
      <c r="AC232" s="138" t="n"/>
      <c r="AD232" s="137">
        <f>IF($C232="","",IF(COUNTIFS($C$6:$C$1000,$C232,$G$6:$G$1000,$G232,$J$6:$J$1000,$J232)&gt;1,"MÜKERRER","OK"))</f>
        <v/>
      </c>
      <c r="AE232" s="137">
        <f>IF($Y232="","",IFERROR(VLOOKUP($Y232,RiskKatsayilari,2,FALSE()),0))</f>
        <v/>
      </c>
      <c r="AF232" s="137">
        <f>IF(OR($M232="",$AE232=""),"",ROUND(ABS($M232)*$AE232,2))</f>
        <v/>
      </c>
      <c r="AG232" s="137">
        <f>IF($G232="","",IFERROR(INDEX(CARI_KARTLARI!$I$6:$I$1000,MATCH($G232,CARI_KARTLARI!$A$6:$A$1000,0)),"VERİ YETERSİZ"))</f>
        <v/>
      </c>
    </row>
    <row r="233" ht="18" customHeight="1" s="102">
      <c r="A233" s="137">
        <f>IF($C233="","","CKS-"&amp;TEXT(ROW()-BaslangicSatir,"000000"))</f>
        <v/>
      </c>
      <c r="B233" s="138" t="n"/>
      <c r="C233" s="138" t="n"/>
      <c r="D233" s="138" t="n"/>
      <c r="E233" s="138" t="n"/>
      <c r="F233" s="138" t="n"/>
      <c r="G233" s="138" t="n"/>
      <c r="H233" s="138" t="n"/>
      <c r="I233" s="138" t="n"/>
      <c r="J233" s="138" t="n"/>
      <c r="K233" s="138" t="n"/>
      <c r="L233" s="138" t="n"/>
      <c r="M233" s="137">
        <f>IF($C233="","",ROUND($J233*$L233*IF($D233="Alınan",1,-1),2))</f>
        <v/>
      </c>
      <c r="N233" s="138" t="n"/>
      <c r="O233" s="138" t="n"/>
      <c r="P233" s="138" t="n"/>
      <c r="Q233" s="138" t="n"/>
      <c r="R233" s="138" t="n"/>
      <c r="S233" s="138" t="n"/>
      <c r="T233" s="138" t="n"/>
      <c r="U233" s="138" t="n"/>
      <c r="V233" s="138" t="n"/>
      <c r="W233" s="138" t="n"/>
      <c r="X233" s="138" t="n"/>
      <c r="Y233" s="138" t="n"/>
      <c r="Z233" s="138" t="n"/>
      <c r="AA233" s="138" t="n"/>
      <c r="AB233" s="138" t="n"/>
      <c r="AC233" s="138" t="n"/>
      <c r="AD233" s="137">
        <f>IF($C233="","",IF(COUNTIFS($C$6:$C$1000,$C233,$G$6:$G$1000,$G233,$J$6:$J$1000,$J233)&gt;1,"MÜKERRER","OK"))</f>
        <v/>
      </c>
      <c r="AE233" s="137">
        <f>IF($Y233="","",IFERROR(VLOOKUP($Y233,RiskKatsayilari,2,FALSE()),0))</f>
        <v/>
      </c>
      <c r="AF233" s="137">
        <f>IF(OR($M233="",$AE233=""),"",ROUND(ABS($M233)*$AE233,2))</f>
        <v/>
      </c>
      <c r="AG233" s="137">
        <f>IF($G233="","",IFERROR(INDEX(CARI_KARTLARI!$I$6:$I$1000,MATCH($G233,CARI_KARTLARI!$A$6:$A$1000,0)),"VERİ YETERSİZ"))</f>
        <v/>
      </c>
    </row>
    <row r="234" ht="18" customHeight="1" s="102">
      <c r="A234" s="137">
        <f>IF($C234="","","CKS-"&amp;TEXT(ROW()-BaslangicSatir,"000000"))</f>
        <v/>
      </c>
      <c r="B234" s="138" t="n"/>
      <c r="C234" s="138" t="n"/>
      <c r="D234" s="138" t="n"/>
      <c r="E234" s="138" t="n"/>
      <c r="F234" s="138" t="n"/>
      <c r="G234" s="138" t="n"/>
      <c r="H234" s="138" t="n"/>
      <c r="I234" s="138" t="n"/>
      <c r="J234" s="138" t="n"/>
      <c r="K234" s="138" t="n"/>
      <c r="L234" s="138" t="n"/>
      <c r="M234" s="137">
        <f>IF($C234="","",ROUND($J234*$L234*IF($D234="Alınan",1,-1),2))</f>
        <v/>
      </c>
      <c r="N234" s="138" t="n"/>
      <c r="O234" s="138" t="n"/>
      <c r="P234" s="138" t="n"/>
      <c r="Q234" s="138" t="n"/>
      <c r="R234" s="138" t="n"/>
      <c r="S234" s="138" t="n"/>
      <c r="T234" s="138" t="n"/>
      <c r="U234" s="138" t="n"/>
      <c r="V234" s="138" t="n"/>
      <c r="W234" s="138" t="n"/>
      <c r="X234" s="138" t="n"/>
      <c r="Y234" s="138" t="n"/>
      <c r="Z234" s="138" t="n"/>
      <c r="AA234" s="138" t="n"/>
      <c r="AB234" s="138" t="n"/>
      <c r="AC234" s="138" t="n"/>
      <c r="AD234" s="137">
        <f>IF($C234="","",IF(COUNTIFS($C$6:$C$1000,$C234,$G$6:$G$1000,$G234,$J$6:$J$1000,$J234)&gt;1,"MÜKERRER","OK"))</f>
        <v/>
      </c>
      <c r="AE234" s="137">
        <f>IF($Y234="","",IFERROR(VLOOKUP($Y234,RiskKatsayilari,2,FALSE()),0))</f>
        <v/>
      </c>
      <c r="AF234" s="137">
        <f>IF(OR($M234="",$AE234=""),"",ROUND(ABS($M234)*$AE234,2))</f>
        <v/>
      </c>
      <c r="AG234" s="137">
        <f>IF($G234="","",IFERROR(INDEX(CARI_KARTLARI!$I$6:$I$1000,MATCH($G234,CARI_KARTLARI!$A$6:$A$1000,0)),"VERİ YETERSİZ"))</f>
        <v/>
      </c>
    </row>
    <row r="235" ht="18" customHeight="1" s="102">
      <c r="A235" s="137">
        <f>IF($C235="","","CKS-"&amp;TEXT(ROW()-BaslangicSatir,"000000"))</f>
        <v/>
      </c>
      <c r="B235" s="138" t="n"/>
      <c r="C235" s="138" t="n"/>
      <c r="D235" s="138" t="n"/>
      <c r="E235" s="138" t="n"/>
      <c r="F235" s="138" t="n"/>
      <c r="G235" s="138" t="n"/>
      <c r="H235" s="138" t="n"/>
      <c r="I235" s="138" t="n"/>
      <c r="J235" s="138" t="n"/>
      <c r="K235" s="138" t="n"/>
      <c r="L235" s="138" t="n"/>
      <c r="M235" s="137">
        <f>IF($C235="","",ROUND($J235*$L235*IF($D235="Alınan",1,-1),2))</f>
        <v/>
      </c>
      <c r="N235" s="138" t="n"/>
      <c r="O235" s="138" t="n"/>
      <c r="P235" s="138" t="n"/>
      <c r="Q235" s="138" t="n"/>
      <c r="R235" s="138" t="n"/>
      <c r="S235" s="138" t="n"/>
      <c r="T235" s="138" t="n"/>
      <c r="U235" s="138" t="n"/>
      <c r="V235" s="138" t="n"/>
      <c r="W235" s="138" t="n"/>
      <c r="X235" s="138" t="n"/>
      <c r="Y235" s="138" t="n"/>
      <c r="Z235" s="138" t="n"/>
      <c r="AA235" s="138" t="n"/>
      <c r="AB235" s="138" t="n"/>
      <c r="AC235" s="138" t="n"/>
      <c r="AD235" s="137">
        <f>IF($C235="","",IF(COUNTIFS($C$6:$C$1000,$C235,$G$6:$G$1000,$G235,$J$6:$J$1000,$J235)&gt;1,"MÜKERRER","OK"))</f>
        <v/>
      </c>
      <c r="AE235" s="137">
        <f>IF($Y235="","",IFERROR(VLOOKUP($Y235,RiskKatsayilari,2,FALSE()),0))</f>
        <v/>
      </c>
      <c r="AF235" s="137">
        <f>IF(OR($M235="",$AE235=""),"",ROUND(ABS($M235)*$AE235,2))</f>
        <v/>
      </c>
      <c r="AG235" s="137">
        <f>IF($G235="","",IFERROR(INDEX(CARI_KARTLARI!$I$6:$I$1000,MATCH($G235,CARI_KARTLARI!$A$6:$A$1000,0)),"VERİ YETERSİZ"))</f>
        <v/>
      </c>
    </row>
    <row r="236" ht="18" customHeight="1" s="102">
      <c r="A236" s="137">
        <f>IF($C236="","","CKS-"&amp;TEXT(ROW()-BaslangicSatir,"000000"))</f>
        <v/>
      </c>
      <c r="B236" s="138" t="n"/>
      <c r="C236" s="138" t="n"/>
      <c r="D236" s="138" t="n"/>
      <c r="E236" s="138" t="n"/>
      <c r="F236" s="138" t="n"/>
      <c r="G236" s="138" t="n"/>
      <c r="H236" s="138" t="n"/>
      <c r="I236" s="138" t="n"/>
      <c r="J236" s="138" t="n"/>
      <c r="K236" s="138" t="n"/>
      <c r="L236" s="138" t="n"/>
      <c r="M236" s="137">
        <f>IF($C236="","",ROUND($J236*$L236*IF($D236="Alınan",1,-1),2))</f>
        <v/>
      </c>
      <c r="N236" s="138" t="n"/>
      <c r="O236" s="138" t="n"/>
      <c r="P236" s="138" t="n"/>
      <c r="Q236" s="138" t="n"/>
      <c r="R236" s="138" t="n"/>
      <c r="S236" s="138" t="n"/>
      <c r="T236" s="138" t="n"/>
      <c r="U236" s="138" t="n"/>
      <c r="V236" s="138" t="n"/>
      <c r="W236" s="138" t="n"/>
      <c r="X236" s="138" t="n"/>
      <c r="Y236" s="138" t="n"/>
      <c r="Z236" s="138" t="n"/>
      <c r="AA236" s="138" t="n"/>
      <c r="AB236" s="138" t="n"/>
      <c r="AC236" s="138" t="n"/>
      <c r="AD236" s="137">
        <f>IF($C236="","",IF(COUNTIFS($C$6:$C$1000,$C236,$G$6:$G$1000,$G236,$J$6:$J$1000,$J236)&gt;1,"MÜKERRER","OK"))</f>
        <v/>
      </c>
      <c r="AE236" s="137">
        <f>IF($Y236="","",IFERROR(VLOOKUP($Y236,RiskKatsayilari,2,FALSE()),0))</f>
        <v/>
      </c>
      <c r="AF236" s="137">
        <f>IF(OR($M236="",$AE236=""),"",ROUND(ABS($M236)*$AE236,2))</f>
        <v/>
      </c>
      <c r="AG236" s="137">
        <f>IF($G236="","",IFERROR(INDEX(CARI_KARTLARI!$I$6:$I$1000,MATCH($G236,CARI_KARTLARI!$A$6:$A$1000,0)),"VERİ YETERSİZ"))</f>
        <v/>
      </c>
    </row>
    <row r="237" ht="18" customHeight="1" s="102">
      <c r="A237" s="137">
        <f>IF($C237="","","CKS-"&amp;TEXT(ROW()-BaslangicSatir,"000000"))</f>
        <v/>
      </c>
      <c r="B237" s="138" t="n"/>
      <c r="C237" s="138" t="n"/>
      <c r="D237" s="138" t="n"/>
      <c r="E237" s="138" t="n"/>
      <c r="F237" s="138" t="n"/>
      <c r="G237" s="138" t="n"/>
      <c r="H237" s="138" t="n"/>
      <c r="I237" s="138" t="n"/>
      <c r="J237" s="138" t="n"/>
      <c r="K237" s="138" t="n"/>
      <c r="L237" s="138" t="n"/>
      <c r="M237" s="137">
        <f>IF($C237="","",ROUND($J237*$L237*IF($D237="Alınan",1,-1),2))</f>
        <v/>
      </c>
      <c r="N237" s="138" t="n"/>
      <c r="O237" s="138" t="n"/>
      <c r="P237" s="138" t="n"/>
      <c r="Q237" s="138" t="n"/>
      <c r="R237" s="138" t="n"/>
      <c r="S237" s="138" t="n"/>
      <c r="T237" s="138" t="n"/>
      <c r="U237" s="138" t="n"/>
      <c r="V237" s="138" t="n"/>
      <c r="W237" s="138" t="n"/>
      <c r="X237" s="138" t="n"/>
      <c r="Y237" s="138" t="n"/>
      <c r="Z237" s="138" t="n"/>
      <c r="AA237" s="138" t="n"/>
      <c r="AB237" s="138" t="n"/>
      <c r="AC237" s="138" t="n"/>
      <c r="AD237" s="137">
        <f>IF($C237="","",IF(COUNTIFS($C$6:$C$1000,$C237,$G$6:$G$1000,$G237,$J$6:$J$1000,$J237)&gt;1,"MÜKERRER","OK"))</f>
        <v/>
      </c>
      <c r="AE237" s="137">
        <f>IF($Y237="","",IFERROR(VLOOKUP($Y237,RiskKatsayilari,2,FALSE()),0))</f>
        <v/>
      </c>
      <c r="AF237" s="137">
        <f>IF(OR($M237="",$AE237=""),"",ROUND(ABS($M237)*$AE237,2))</f>
        <v/>
      </c>
      <c r="AG237" s="137">
        <f>IF($G237="","",IFERROR(INDEX(CARI_KARTLARI!$I$6:$I$1000,MATCH($G237,CARI_KARTLARI!$A$6:$A$1000,0)),"VERİ YETERSİZ"))</f>
        <v/>
      </c>
    </row>
    <row r="238" ht="18" customHeight="1" s="102">
      <c r="A238" s="137">
        <f>IF($C238="","","CKS-"&amp;TEXT(ROW()-BaslangicSatir,"000000"))</f>
        <v/>
      </c>
      <c r="B238" s="138" t="n"/>
      <c r="C238" s="138" t="n"/>
      <c r="D238" s="138" t="n"/>
      <c r="E238" s="138" t="n"/>
      <c r="F238" s="138" t="n"/>
      <c r="G238" s="138" t="n"/>
      <c r="H238" s="138" t="n"/>
      <c r="I238" s="138" t="n"/>
      <c r="J238" s="138" t="n"/>
      <c r="K238" s="138" t="n"/>
      <c r="L238" s="138" t="n"/>
      <c r="M238" s="137">
        <f>IF($C238="","",ROUND($J238*$L238*IF($D238="Alınan",1,-1),2))</f>
        <v/>
      </c>
      <c r="N238" s="138" t="n"/>
      <c r="O238" s="138" t="n"/>
      <c r="P238" s="138" t="n"/>
      <c r="Q238" s="138" t="n"/>
      <c r="R238" s="138" t="n"/>
      <c r="S238" s="138" t="n"/>
      <c r="T238" s="138" t="n"/>
      <c r="U238" s="138" t="n"/>
      <c r="V238" s="138" t="n"/>
      <c r="W238" s="138" t="n"/>
      <c r="X238" s="138" t="n"/>
      <c r="Y238" s="138" t="n"/>
      <c r="Z238" s="138" t="n"/>
      <c r="AA238" s="138" t="n"/>
      <c r="AB238" s="138" t="n"/>
      <c r="AC238" s="138" t="n"/>
      <c r="AD238" s="137">
        <f>IF($C238="","",IF(COUNTIFS($C$6:$C$1000,$C238,$G$6:$G$1000,$G238,$J$6:$J$1000,$J238)&gt;1,"MÜKERRER","OK"))</f>
        <v/>
      </c>
      <c r="AE238" s="137">
        <f>IF($Y238="","",IFERROR(VLOOKUP($Y238,RiskKatsayilari,2,FALSE()),0))</f>
        <v/>
      </c>
      <c r="AF238" s="137">
        <f>IF(OR($M238="",$AE238=""),"",ROUND(ABS($M238)*$AE238,2))</f>
        <v/>
      </c>
      <c r="AG238" s="137">
        <f>IF($G238="","",IFERROR(INDEX(CARI_KARTLARI!$I$6:$I$1000,MATCH($G238,CARI_KARTLARI!$A$6:$A$1000,0)),"VERİ YETERSİZ"))</f>
        <v/>
      </c>
    </row>
    <row r="239" ht="18" customHeight="1" s="102">
      <c r="A239" s="137">
        <f>IF($C239="","","CKS-"&amp;TEXT(ROW()-BaslangicSatir,"000000"))</f>
        <v/>
      </c>
      <c r="B239" s="138" t="n"/>
      <c r="C239" s="138" t="n"/>
      <c r="D239" s="138" t="n"/>
      <c r="E239" s="138" t="n"/>
      <c r="F239" s="138" t="n"/>
      <c r="G239" s="138" t="n"/>
      <c r="H239" s="138" t="n"/>
      <c r="I239" s="138" t="n"/>
      <c r="J239" s="138" t="n"/>
      <c r="K239" s="138" t="n"/>
      <c r="L239" s="138" t="n"/>
      <c r="M239" s="137">
        <f>IF($C239="","",ROUND($J239*$L239*IF($D239="Alınan",1,-1),2))</f>
        <v/>
      </c>
      <c r="N239" s="138" t="n"/>
      <c r="O239" s="138" t="n"/>
      <c r="P239" s="138" t="n"/>
      <c r="Q239" s="138" t="n"/>
      <c r="R239" s="138" t="n"/>
      <c r="S239" s="138" t="n"/>
      <c r="T239" s="138" t="n"/>
      <c r="U239" s="138" t="n"/>
      <c r="V239" s="138" t="n"/>
      <c r="W239" s="138" t="n"/>
      <c r="X239" s="138" t="n"/>
      <c r="Y239" s="138" t="n"/>
      <c r="Z239" s="138" t="n"/>
      <c r="AA239" s="138" t="n"/>
      <c r="AB239" s="138" t="n"/>
      <c r="AC239" s="138" t="n"/>
      <c r="AD239" s="137">
        <f>IF($C239="","",IF(COUNTIFS($C$6:$C$1000,$C239,$G$6:$G$1000,$G239,$J$6:$J$1000,$J239)&gt;1,"MÜKERRER","OK"))</f>
        <v/>
      </c>
      <c r="AE239" s="137">
        <f>IF($Y239="","",IFERROR(VLOOKUP($Y239,RiskKatsayilari,2,FALSE()),0))</f>
        <v/>
      </c>
      <c r="AF239" s="137">
        <f>IF(OR($M239="",$AE239=""),"",ROUND(ABS($M239)*$AE239,2))</f>
        <v/>
      </c>
      <c r="AG239" s="137">
        <f>IF($G239="","",IFERROR(INDEX(CARI_KARTLARI!$I$6:$I$1000,MATCH($G239,CARI_KARTLARI!$A$6:$A$1000,0)),"VERİ YETERSİZ"))</f>
        <v/>
      </c>
    </row>
    <row r="240" ht="18" customHeight="1" s="102">
      <c r="A240" s="137">
        <f>IF($C240="","","CKS-"&amp;TEXT(ROW()-BaslangicSatir,"000000"))</f>
        <v/>
      </c>
      <c r="B240" s="138" t="n"/>
      <c r="C240" s="138" t="n"/>
      <c r="D240" s="138" t="n"/>
      <c r="E240" s="138" t="n"/>
      <c r="F240" s="138" t="n"/>
      <c r="G240" s="138" t="n"/>
      <c r="H240" s="138" t="n"/>
      <c r="I240" s="138" t="n"/>
      <c r="J240" s="138" t="n"/>
      <c r="K240" s="138" t="n"/>
      <c r="L240" s="138" t="n"/>
      <c r="M240" s="137">
        <f>IF($C240="","",ROUND($J240*$L240*IF($D240="Alınan",1,-1),2))</f>
        <v/>
      </c>
      <c r="N240" s="138" t="n"/>
      <c r="O240" s="138" t="n"/>
      <c r="P240" s="138" t="n"/>
      <c r="Q240" s="138" t="n"/>
      <c r="R240" s="138" t="n"/>
      <c r="S240" s="138" t="n"/>
      <c r="T240" s="138" t="n"/>
      <c r="U240" s="138" t="n"/>
      <c r="V240" s="138" t="n"/>
      <c r="W240" s="138" t="n"/>
      <c r="X240" s="138" t="n"/>
      <c r="Y240" s="138" t="n"/>
      <c r="Z240" s="138" t="n"/>
      <c r="AA240" s="138" t="n"/>
      <c r="AB240" s="138" t="n"/>
      <c r="AC240" s="138" t="n"/>
      <c r="AD240" s="137">
        <f>IF($C240="","",IF(COUNTIFS($C$6:$C$1000,$C240,$G$6:$G$1000,$G240,$J$6:$J$1000,$J240)&gt;1,"MÜKERRER","OK"))</f>
        <v/>
      </c>
      <c r="AE240" s="137">
        <f>IF($Y240="","",IFERROR(VLOOKUP($Y240,RiskKatsayilari,2,FALSE()),0))</f>
        <v/>
      </c>
      <c r="AF240" s="137">
        <f>IF(OR($M240="",$AE240=""),"",ROUND(ABS($M240)*$AE240,2))</f>
        <v/>
      </c>
      <c r="AG240" s="137">
        <f>IF($G240="","",IFERROR(INDEX(CARI_KARTLARI!$I$6:$I$1000,MATCH($G240,CARI_KARTLARI!$A$6:$A$1000,0)),"VERİ YETERSİZ"))</f>
        <v/>
      </c>
    </row>
    <row r="241" ht="18" customHeight="1" s="102">
      <c r="A241" s="137">
        <f>IF($C241="","","CKS-"&amp;TEXT(ROW()-BaslangicSatir,"000000"))</f>
        <v/>
      </c>
      <c r="B241" s="138" t="n"/>
      <c r="C241" s="138" t="n"/>
      <c r="D241" s="138" t="n"/>
      <c r="E241" s="138" t="n"/>
      <c r="F241" s="138" t="n"/>
      <c r="G241" s="138" t="n"/>
      <c r="H241" s="138" t="n"/>
      <c r="I241" s="138" t="n"/>
      <c r="J241" s="138" t="n"/>
      <c r="K241" s="138" t="n"/>
      <c r="L241" s="138" t="n"/>
      <c r="M241" s="137">
        <f>IF($C241="","",ROUND($J241*$L241*IF($D241="Alınan",1,-1),2))</f>
        <v/>
      </c>
      <c r="N241" s="138" t="n"/>
      <c r="O241" s="138" t="n"/>
      <c r="P241" s="138" t="n"/>
      <c r="Q241" s="138" t="n"/>
      <c r="R241" s="138" t="n"/>
      <c r="S241" s="138" t="n"/>
      <c r="T241" s="138" t="n"/>
      <c r="U241" s="138" t="n"/>
      <c r="V241" s="138" t="n"/>
      <c r="W241" s="138" t="n"/>
      <c r="X241" s="138" t="n"/>
      <c r="Y241" s="138" t="n"/>
      <c r="Z241" s="138" t="n"/>
      <c r="AA241" s="138" t="n"/>
      <c r="AB241" s="138" t="n"/>
      <c r="AC241" s="138" t="n"/>
      <c r="AD241" s="137">
        <f>IF($C241="","",IF(COUNTIFS($C$6:$C$1000,$C241,$G$6:$G$1000,$G241,$J$6:$J$1000,$J241)&gt;1,"MÜKERRER","OK"))</f>
        <v/>
      </c>
      <c r="AE241" s="137">
        <f>IF($Y241="","",IFERROR(VLOOKUP($Y241,RiskKatsayilari,2,FALSE()),0))</f>
        <v/>
      </c>
      <c r="AF241" s="137">
        <f>IF(OR($M241="",$AE241=""),"",ROUND(ABS($M241)*$AE241,2))</f>
        <v/>
      </c>
      <c r="AG241" s="137">
        <f>IF($G241="","",IFERROR(INDEX(CARI_KARTLARI!$I$6:$I$1000,MATCH($G241,CARI_KARTLARI!$A$6:$A$1000,0)),"VERİ YETERSİZ"))</f>
        <v/>
      </c>
    </row>
    <row r="242" ht="18" customHeight="1" s="102">
      <c r="A242" s="137">
        <f>IF($C242="","","CKS-"&amp;TEXT(ROW()-BaslangicSatir,"000000"))</f>
        <v/>
      </c>
      <c r="B242" s="138" t="n"/>
      <c r="C242" s="138" t="n"/>
      <c r="D242" s="138" t="n"/>
      <c r="E242" s="138" t="n"/>
      <c r="F242" s="138" t="n"/>
      <c r="G242" s="138" t="n"/>
      <c r="H242" s="138" t="n"/>
      <c r="I242" s="138" t="n"/>
      <c r="J242" s="138" t="n"/>
      <c r="K242" s="138" t="n"/>
      <c r="L242" s="138" t="n"/>
      <c r="M242" s="137">
        <f>IF($C242="","",ROUND($J242*$L242*IF($D242="Alınan",1,-1),2))</f>
        <v/>
      </c>
      <c r="N242" s="138" t="n"/>
      <c r="O242" s="138" t="n"/>
      <c r="P242" s="138" t="n"/>
      <c r="Q242" s="138" t="n"/>
      <c r="R242" s="138" t="n"/>
      <c r="S242" s="138" t="n"/>
      <c r="T242" s="138" t="n"/>
      <c r="U242" s="138" t="n"/>
      <c r="V242" s="138" t="n"/>
      <c r="W242" s="138" t="n"/>
      <c r="X242" s="138" t="n"/>
      <c r="Y242" s="138" t="n"/>
      <c r="Z242" s="138" t="n"/>
      <c r="AA242" s="138" t="n"/>
      <c r="AB242" s="138" t="n"/>
      <c r="AC242" s="138" t="n"/>
      <c r="AD242" s="137">
        <f>IF($C242="","",IF(COUNTIFS($C$6:$C$1000,$C242,$G$6:$G$1000,$G242,$J$6:$J$1000,$J242)&gt;1,"MÜKERRER","OK"))</f>
        <v/>
      </c>
      <c r="AE242" s="137">
        <f>IF($Y242="","",IFERROR(VLOOKUP($Y242,RiskKatsayilari,2,FALSE()),0))</f>
        <v/>
      </c>
      <c r="AF242" s="137">
        <f>IF(OR($M242="",$AE242=""),"",ROUND(ABS($M242)*$AE242,2))</f>
        <v/>
      </c>
      <c r="AG242" s="137">
        <f>IF($G242="","",IFERROR(INDEX(CARI_KARTLARI!$I$6:$I$1000,MATCH($G242,CARI_KARTLARI!$A$6:$A$1000,0)),"VERİ YETERSİZ"))</f>
        <v/>
      </c>
    </row>
    <row r="243" ht="18" customHeight="1" s="102">
      <c r="A243" s="137">
        <f>IF($C243="","","CKS-"&amp;TEXT(ROW()-BaslangicSatir,"000000"))</f>
        <v/>
      </c>
      <c r="B243" s="138" t="n"/>
      <c r="C243" s="138" t="n"/>
      <c r="D243" s="138" t="n"/>
      <c r="E243" s="138" t="n"/>
      <c r="F243" s="138" t="n"/>
      <c r="G243" s="138" t="n"/>
      <c r="H243" s="138" t="n"/>
      <c r="I243" s="138" t="n"/>
      <c r="J243" s="138" t="n"/>
      <c r="K243" s="138" t="n"/>
      <c r="L243" s="138" t="n"/>
      <c r="M243" s="137">
        <f>IF($C243="","",ROUND($J243*$L243*IF($D243="Alınan",1,-1),2))</f>
        <v/>
      </c>
      <c r="N243" s="138" t="n"/>
      <c r="O243" s="138" t="n"/>
      <c r="P243" s="138" t="n"/>
      <c r="Q243" s="138" t="n"/>
      <c r="R243" s="138" t="n"/>
      <c r="S243" s="138" t="n"/>
      <c r="T243" s="138" t="n"/>
      <c r="U243" s="138" t="n"/>
      <c r="V243" s="138" t="n"/>
      <c r="W243" s="138" t="n"/>
      <c r="X243" s="138" t="n"/>
      <c r="Y243" s="138" t="n"/>
      <c r="Z243" s="138" t="n"/>
      <c r="AA243" s="138" t="n"/>
      <c r="AB243" s="138" t="n"/>
      <c r="AC243" s="138" t="n"/>
      <c r="AD243" s="137">
        <f>IF($C243="","",IF(COUNTIFS($C$6:$C$1000,$C243,$G$6:$G$1000,$G243,$J$6:$J$1000,$J243)&gt;1,"MÜKERRER","OK"))</f>
        <v/>
      </c>
      <c r="AE243" s="137">
        <f>IF($Y243="","",IFERROR(VLOOKUP($Y243,RiskKatsayilari,2,FALSE()),0))</f>
        <v/>
      </c>
      <c r="AF243" s="137">
        <f>IF(OR($M243="",$AE243=""),"",ROUND(ABS($M243)*$AE243,2))</f>
        <v/>
      </c>
      <c r="AG243" s="137">
        <f>IF($G243="","",IFERROR(INDEX(CARI_KARTLARI!$I$6:$I$1000,MATCH($G243,CARI_KARTLARI!$A$6:$A$1000,0)),"VERİ YETERSİZ"))</f>
        <v/>
      </c>
    </row>
    <row r="244" ht="18" customHeight="1" s="102">
      <c r="A244" s="137">
        <f>IF($C244="","","CKS-"&amp;TEXT(ROW()-BaslangicSatir,"000000"))</f>
        <v/>
      </c>
      <c r="B244" s="138" t="n"/>
      <c r="C244" s="138" t="n"/>
      <c r="D244" s="138" t="n"/>
      <c r="E244" s="138" t="n"/>
      <c r="F244" s="138" t="n"/>
      <c r="G244" s="138" t="n"/>
      <c r="H244" s="138" t="n"/>
      <c r="I244" s="138" t="n"/>
      <c r="J244" s="138" t="n"/>
      <c r="K244" s="138" t="n"/>
      <c r="L244" s="138" t="n"/>
      <c r="M244" s="137">
        <f>IF($C244="","",ROUND($J244*$L244*IF($D244="Alınan",1,-1),2))</f>
        <v/>
      </c>
      <c r="N244" s="138" t="n"/>
      <c r="O244" s="138" t="n"/>
      <c r="P244" s="138" t="n"/>
      <c r="Q244" s="138" t="n"/>
      <c r="R244" s="138" t="n"/>
      <c r="S244" s="138" t="n"/>
      <c r="T244" s="138" t="n"/>
      <c r="U244" s="138" t="n"/>
      <c r="V244" s="138" t="n"/>
      <c r="W244" s="138" t="n"/>
      <c r="X244" s="138" t="n"/>
      <c r="Y244" s="138" t="n"/>
      <c r="Z244" s="138" t="n"/>
      <c r="AA244" s="138" t="n"/>
      <c r="AB244" s="138" t="n"/>
      <c r="AC244" s="138" t="n"/>
      <c r="AD244" s="137">
        <f>IF($C244="","",IF(COUNTIFS($C$6:$C$1000,$C244,$G$6:$G$1000,$G244,$J$6:$J$1000,$J244)&gt;1,"MÜKERRER","OK"))</f>
        <v/>
      </c>
      <c r="AE244" s="137">
        <f>IF($Y244="","",IFERROR(VLOOKUP($Y244,RiskKatsayilari,2,FALSE()),0))</f>
        <v/>
      </c>
      <c r="AF244" s="137">
        <f>IF(OR($M244="",$AE244=""),"",ROUND(ABS($M244)*$AE244,2))</f>
        <v/>
      </c>
      <c r="AG244" s="137">
        <f>IF($G244="","",IFERROR(INDEX(CARI_KARTLARI!$I$6:$I$1000,MATCH($G244,CARI_KARTLARI!$A$6:$A$1000,0)),"VERİ YETERSİZ"))</f>
        <v/>
      </c>
    </row>
    <row r="245" ht="18" customHeight="1" s="102">
      <c r="A245" s="137">
        <f>IF($C245="","","CKS-"&amp;TEXT(ROW()-BaslangicSatir,"000000"))</f>
        <v/>
      </c>
      <c r="B245" s="138" t="n"/>
      <c r="C245" s="138" t="n"/>
      <c r="D245" s="138" t="n"/>
      <c r="E245" s="138" t="n"/>
      <c r="F245" s="138" t="n"/>
      <c r="G245" s="138" t="n"/>
      <c r="H245" s="138" t="n"/>
      <c r="I245" s="138" t="n"/>
      <c r="J245" s="138" t="n"/>
      <c r="K245" s="138" t="n"/>
      <c r="L245" s="138" t="n"/>
      <c r="M245" s="137">
        <f>IF($C245="","",ROUND($J245*$L245*IF($D245="Alınan",1,-1),2))</f>
        <v/>
      </c>
      <c r="N245" s="138" t="n"/>
      <c r="O245" s="138" t="n"/>
      <c r="P245" s="138" t="n"/>
      <c r="Q245" s="138" t="n"/>
      <c r="R245" s="138" t="n"/>
      <c r="S245" s="138" t="n"/>
      <c r="T245" s="138" t="n"/>
      <c r="U245" s="138" t="n"/>
      <c r="V245" s="138" t="n"/>
      <c r="W245" s="138" t="n"/>
      <c r="X245" s="138" t="n"/>
      <c r="Y245" s="138" t="n"/>
      <c r="Z245" s="138" t="n"/>
      <c r="AA245" s="138" t="n"/>
      <c r="AB245" s="138" t="n"/>
      <c r="AC245" s="138" t="n"/>
      <c r="AD245" s="137">
        <f>IF($C245="","",IF(COUNTIFS($C$6:$C$1000,$C245,$G$6:$G$1000,$G245,$J$6:$J$1000,$J245)&gt;1,"MÜKERRER","OK"))</f>
        <v/>
      </c>
      <c r="AE245" s="137">
        <f>IF($Y245="","",IFERROR(VLOOKUP($Y245,RiskKatsayilari,2,FALSE()),0))</f>
        <v/>
      </c>
      <c r="AF245" s="137">
        <f>IF(OR($M245="",$AE245=""),"",ROUND(ABS($M245)*$AE245,2))</f>
        <v/>
      </c>
      <c r="AG245" s="137">
        <f>IF($G245="","",IFERROR(INDEX(CARI_KARTLARI!$I$6:$I$1000,MATCH($G245,CARI_KARTLARI!$A$6:$A$1000,0)),"VERİ YETERSİZ"))</f>
        <v/>
      </c>
    </row>
    <row r="246" ht="18" customHeight="1" s="102">
      <c r="A246" s="137">
        <f>IF($C246="","","CKS-"&amp;TEXT(ROW()-BaslangicSatir,"000000"))</f>
        <v/>
      </c>
      <c r="B246" s="138" t="n"/>
      <c r="C246" s="138" t="n"/>
      <c r="D246" s="138" t="n"/>
      <c r="E246" s="138" t="n"/>
      <c r="F246" s="138" t="n"/>
      <c r="G246" s="138" t="n"/>
      <c r="H246" s="138" t="n"/>
      <c r="I246" s="138" t="n"/>
      <c r="J246" s="138" t="n"/>
      <c r="K246" s="138" t="n"/>
      <c r="L246" s="138" t="n"/>
      <c r="M246" s="137">
        <f>IF($C246="","",ROUND($J246*$L246*IF($D246="Alınan",1,-1),2))</f>
        <v/>
      </c>
      <c r="N246" s="138" t="n"/>
      <c r="O246" s="138" t="n"/>
      <c r="P246" s="138" t="n"/>
      <c r="Q246" s="138" t="n"/>
      <c r="R246" s="138" t="n"/>
      <c r="S246" s="138" t="n"/>
      <c r="T246" s="138" t="n"/>
      <c r="U246" s="138" t="n"/>
      <c r="V246" s="138" t="n"/>
      <c r="W246" s="138" t="n"/>
      <c r="X246" s="138" t="n"/>
      <c r="Y246" s="138" t="n"/>
      <c r="Z246" s="138" t="n"/>
      <c r="AA246" s="138" t="n"/>
      <c r="AB246" s="138" t="n"/>
      <c r="AC246" s="138" t="n"/>
      <c r="AD246" s="137">
        <f>IF($C246="","",IF(COUNTIFS($C$6:$C$1000,$C246,$G$6:$G$1000,$G246,$J$6:$J$1000,$J246)&gt;1,"MÜKERRER","OK"))</f>
        <v/>
      </c>
      <c r="AE246" s="137">
        <f>IF($Y246="","",IFERROR(VLOOKUP($Y246,RiskKatsayilari,2,FALSE()),0))</f>
        <v/>
      </c>
      <c r="AF246" s="137">
        <f>IF(OR($M246="",$AE246=""),"",ROUND(ABS($M246)*$AE246,2))</f>
        <v/>
      </c>
      <c r="AG246" s="137">
        <f>IF($G246="","",IFERROR(INDEX(CARI_KARTLARI!$I$6:$I$1000,MATCH($G246,CARI_KARTLARI!$A$6:$A$1000,0)),"VERİ YETERSİZ"))</f>
        <v/>
      </c>
    </row>
    <row r="247" ht="18" customHeight="1" s="102">
      <c r="A247" s="137">
        <f>IF($C247="","","CKS-"&amp;TEXT(ROW()-BaslangicSatir,"000000"))</f>
        <v/>
      </c>
      <c r="B247" s="138" t="n"/>
      <c r="C247" s="138" t="n"/>
      <c r="D247" s="138" t="n"/>
      <c r="E247" s="138" t="n"/>
      <c r="F247" s="138" t="n"/>
      <c r="G247" s="138" t="n"/>
      <c r="H247" s="138" t="n"/>
      <c r="I247" s="138" t="n"/>
      <c r="J247" s="138" t="n"/>
      <c r="K247" s="138" t="n"/>
      <c r="L247" s="138" t="n"/>
      <c r="M247" s="137">
        <f>IF($C247="","",ROUND($J247*$L247*IF($D247="Alınan",1,-1),2))</f>
        <v/>
      </c>
      <c r="N247" s="138" t="n"/>
      <c r="O247" s="138" t="n"/>
      <c r="P247" s="138" t="n"/>
      <c r="Q247" s="138" t="n"/>
      <c r="R247" s="138" t="n"/>
      <c r="S247" s="138" t="n"/>
      <c r="T247" s="138" t="n"/>
      <c r="U247" s="138" t="n"/>
      <c r="V247" s="138" t="n"/>
      <c r="W247" s="138" t="n"/>
      <c r="X247" s="138" t="n"/>
      <c r="Y247" s="138" t="n"/>
      <c r="Z247" s="138" t="n"/>
      <c r="AA247" s="138" t="n"/>
      <c r="AB247" s="138" t="n"/>
      <c r="AC247" s="138" t="n"/>
      <c r="AD247" s="137">
        <f>IF($C247="","",IF(COUNTIFS($C$6:$C$1000,$C247,$G$6:$G$1000,$G247,$J$6:$J$1000,$J247)&gt;1,"MÜKERRER","OK"))</f>
        <v/>
      </c>
      <c r="AE247" s="137">
        <f>IF($Y247="","",IFERROR(VLOOKUP($Y247,RiskKatsayilari,2,FALSE()),0))</f>
        <v/>
      </c>
      <c r="AF247" s="137">
        <f>IF(OR($M247="",$AE247=""),"",ROUND(ABS($M247)*$AE247,2))</f>
        <v/>
      </c>
      <c r="AG247" s="137">
        <f>IF($G247="","",IFERROR(INDEX(CARI_KARTLARI!$I$6:$I$1000,MATCH($G247,CARI_KARTLARI!$A$6:$A$1000,0)),"VERİ YETERSİZ"))</f>
        <v/>
      </c>
    </row>
    <row r="248" ht="18" customHeight="1" s="102">
      <c r="A248" s="137">
        <f>IF($C248="","","CKS-"&amp;TEXT(ROW()-BaslangicSatir,"000000"))</f>
        <v/>
      </c>
      <c r="B248" s="138" t="n"/>
      <c r="C248" s="138" t="n"/>
      <c r="D248" s="138" t="n"/>
      <c r="E248" s="138" t="n"/>
      <c r="F248" s="138" t="n"/>
      <c r="G248" s="138" t="n"/>
      <c r="H248" s="138" t="n"/>
      <c r="I248" s="138" t="n"/>
      <c r="J248" s="138" t="n"/>
      <c r="K248" s="138" t="n"/>
      <c r="L248" s="138" t="n"/>
      <c r="M248" s="137">
        <f>IF($C248="","",ROUND($J248*$L248*IF($D248="Alınan",1,-1),2))</f>
        <v/>
      </c>
      <c r="N248" s="138" t="n"/>
      <c r="O248" s="138" t="n"/>
      <c r="P248" s="138" t="n"/>
      <c r="Q248" s="138" t="n"/>
      <c r="R248" s="138" t="n"/>
      <c r="S248" s="138" t="n"/>
      <c r="T248" s="138" t="n"/>
      <c r="U248" s="138" t="n"/>
      <c r="V248" s="138" t="n"/>
      <c r="W248" s="138" t="n"/>
      <c r="X248" s="138" t="n"/>
      <c r="Y248" s="138" t="n"/>
      <c r="Z248" s="138" t="n"/>
      <c r="AA248" s="138" t="n"/>
      <c r="AB248" s="138" t="n"/>
      <c r="AC248" s="138" t="n"/>
      <c r="AD248" s="137">
        <f>IF($C248="","",IF(COUNTIFS($C$6:$C$1000,$C248,$G$6:$G$1000,$G248,$J$6:$J$1000,$J248)&gt;1,"MÜKERRER","OK"))</f>
        <v/>
      </c>
      <c r="AE248" s="137">
        <f>IF($Y248="","",IFERROR(VLOOKUP($Y248,RiskKatsayilari,2,FALSE()),0))</f>
        <v/>
      </c>
      <c r="AF248" s="137">
        <f>IF(OR($M248="",$AE248=""),"",ROUND(ABS($M248)*$AE248,2))</f>
        <v/>
      </c>
      <c r="AG248" s="137">
        <f>IF($G248="","",IFERROR(INDEX(CARI_KARTLARI!$I$6:$I$1000,MATCH($G248,CARI_KARTLARI!$A$6:$A$1000,0)),"VERİ YETERSİZ"))</f>
        <v/>
      </c>
    </row>
    <row r="249" ht="18" customHeight="1" s="102">
      <c r="A249" s="137">
        <f>IF($C249="","","CKS-"&amp;TEXT(ROW()-BaslangicSatir,"000000"))</f>
        <v/>
      </c>
      <c r="B249" s="138" t="n"/>
      <c r="C249" s="138" t="n"/>
      <c r="D249" s="138" t="n"/>
      <c r="E249" s="138" t="n"/>
      <c r="F249" s="138" t="n"/>
      <c r="G249" s="138" t="n"/>
      <c r="H249" s="138" t="n"/>
      <c r="I249" s="138" t="n"/>
      <c r="J249" s="138" t="n"/>
      <c r="K249" s="138" t="n"/>
      <c r="L249" s="138" t="n"/>
      <c r="M249" s="137">
        <f>IF($C249="","",ROUND($J249*$L249*IF($D249="Alınan",1,-1),2))</f>
        <v/>
      </c>
      <c r="N249" s="138" t="n"/>
      <c r="O249" s="138" t="n"/>
      <c r="P249" s="138" t="n"/>
      <c r="Q249" s="138" t="n"/>
      <c r="R249" s="138" t="n"/>
      <c r="S249" s="138" t="n"/>
      <c r="T249" s="138" t="n"/>
      <c r="U249" s="138" t="n"/>
      <c r="V249" s="138" t="n"/>
      <c r="W249" s="138" t="n"/>
      <c r="X249" s="138" t="n"/>
      <c r="Y249" s="138" t="n"/>
      <c r="Z249" s="138" t="n"/>
      <c r="AA249" s="138" t="n"/>
      <c r="AB249" s="138" t="n"/>
      <c r="AC249" s="138" t="n"/>
      <c r="AD249" s="137">
        <f>IF($C249="","",IF(COUNTIFS($C$6:$C$1000,$C249,$G$6:$G$1000,$G249,$J$6:$J$1000,$J249)&gt;1,"MÜKERRER","OK"))</f>
        <v/>
      </c>
      <c r="AE249" s="137">
        <f>IF($Y249="","",IFERROR(VLOOKUP($Y249,RiskKatsayilari,2,FALSE()),0))</f>
        <v/>
      </c>
      <c r="AF249" s="137">
        <f>IF(OR($M249="",$AE249=""),"",ROUND(ABS($M249)*$AE249,2))</f>
        <v/>
      </c>
      <c r="AG249" s="137">
        <f>IF($G249="","",IFERROR(INDEX(CARI_KARTLARI!$I$6:$I$1000,MATCH($G249,CARI_KARTLARI!$A$6:$A$1000,0)),"VERİ YETERSİZ"))</f>
        <v/>
      </c>
    </row>
    <row r="250" ht="18" customHeight="1" s="102">
      <c r="A250" s="137">
        <f>IF($C250="","","CKS-"&amp;TEXT(ROW()-BaslangicSatir,"000000"))</f>
        <v/>
      </c>
      <c r="B250" s="138" t="n"/>
      <c r="C250" s="138" t="n"/>
      <c r="D250" s="138" t="n"/>
      <c r="E250" s="138" t="n"/>
      <c r="F250" s="138" t="n"/>
      <c r="G250" s="138" t="n"/>
      <c r="H250" s="138" t="n"/>
      <c r="I250" s="138" t="n"/>
      <c r="J250" s="138" t="n"/>
      <c r="K250" s="138" t="n"/>
      <c r="L250" s="138" t="n"/>
      <c r="M250" s="137">
        <f>IF($C250="","",ROUND($J250*$L250*IF($D250="Alınan",1,-1),2))</f>
        <v/>
      </c>
      <c r="N250" s="138" t="n"/>
      <c r="O250" s="138" t="n"/>
      <c r="P250" s="138" t="n"/>
      <c r="Q250" s="138" t="n"/>
      <c r="R250" s="138" t="n"/>
      <c r="S250" s="138" t="n"/>
      <c r="T250" s="138" t="n"/>
      <c r="U250" s="138" t="n"/>
      <c r="V250" s="138" t="n"/>
      <c r="W250" s="138" t="n"/>
      <c r="X250" s="138" t="n"/>
      <c r="Y250" s="138" t="n"/>
      <c r="Z250" s="138" t="n"/>
      <c r="AA250" s="138" t="n"/>
      <c r="AB250" s="138" t="n"/>
      <c r="AC250" s="138" t="n"/>
      <c r="AD250" s="137">
        <f>IF($C250="","",IF(COUNTIFS($C$6:$C$1000,$C250,$G$6:$G$1000,$G250,$J$6:$J$1000,$J250)&gt;1,"MÜKERRER","OK"))</f>
        <v/>
      </c>
      <c r="AE250" s="137">
        <f>IF($Y250="","",IFERROR(VLOOKUP($Y250,RiskKatsayilari,2,FALSE()),0))</f>
        <v/>
      </c>
      <c r="AF250" s="137">
        <f>IF(OR($M250="",$AE250=""),"",ROUND(ABS($M250)*$AE250,2))</f>
        <v/>
      </c>
      <c r="AG250" s="137">
        <f>IF($G250="","",IFERROR(INDEX(CARI_KARTLARI!$I$6:$I$1000,MATCH($G250,CARI_KARTLARI!$A$6:$A$1000,0)),"VERİ YETERSİZ"))</f>
        <v/>
      </c>
    </row>
    <row r="251" ht="18" customHeight="1" s="102">
      <c r="A251" s="137">
        <f>IF($C251="","","CKS-"&amp;TEXT(ROW()-BaslangicSatir,"000000"))</f>
        <v/>
      </c>
      <c r="B251" s="138" t="n"/>
      <c r="C251" s="138" t="n"/>
      <c r="D251" s="138" t="n"/>
      <c r="E251" s="138" t="n"/>
      <c r="F251" s="138" t="n"/>
      <c r="G251" s="138" t="n"/>
      <c r="H251" s="138" t="n"/>
      <c r="I251" s="138" t="n"/>
      <c r="J251" s="138" t="n"/>
      <c r="K251" s="138" t="n"/>
      <c r="L251" s="138" t="n"/>
      <c r="M251" s="137">
        <f>IF($C251="","",ROUND($J251*$L251*IF($D251="Alınan",1,-1),2))</f>
        <v/>
      </c>
      <c r="N251" s="138" t="n"/>
      <c r="O251" s="138" t="n"/>
      <c r="P251" s="138" t="n"/>
      <c r="Q251" s="138" t="n"/>
      <c r="R251" s="138" t="n"/>
      <c r="S251" s="138" t="n"/>
      <c r="T251" s="138" t="n"/>
      <c r="U251" s="138" t="n"/>
      <c r="V251" s="138" t="n"/>
      <c r="W251" s="138" t="n"/>
      <c r="X251" s="138" t="n"/>
      <c r="Y251" s="138" t="n"/>
      <c r="Z251" s="138" t="n"/>
      <c r="AA251" s="138" t="n"/>
      <c r="AB251" s="138" t="n"/>
      <c r="AC251" s="138" t="n"/>
      <c r="AD251" s="137">
        <f>IF($C251="","",IF(COUNTIFS($C$6:$C$1000,$C251,$G$6:$G$1000,$G251,$J$6:$J$1000,$J251)&gt;1,"MÜKERRER","OK"))</f>
        <v/>
      </c>
      <c r="AE251" s="137">
        <f>IF($Y251="","",IFERROR(VLOOKUP($Y251,RiskKatsayilari,2,FALSE()),0))</f>
        <v/>
      </c>
      <c r="AF251" s="137">
        <f>IF(OR($M251="",$AE251=""),"",ROUND(ABS($M251)*$AE251,2))</f>
        <v/>
      </c>
      <c r="AG251" s="137">
        <f>IF($G251="","",IFERROR(INDEX(CARI_KARTLARI!$I$6:$I$1000,MATCH($G251,CARI_KARTLARI!$A$6:$A$1000,0)),"VERİ YETERSİZ"))</f>
        <v/>
      </c>
    </row>
    <row r="252" ht="18" customHeight="1" s="102">
      <c r="A252" s="137">
        <f>IF($C252="","","CKS-"&amp;TEXT(ROW()-BaslangicSatir,"000000"))</f>
        <v/>
      </c>
      <c r="B252" s="138" t="n"/>
      <c r="C252" s="138" t="n"/>
      <c r="D252" s="138" t="n"/>
      <c r="E252" s="138" t="n"/>
      <c r="F252" s="138" t="n"/>
      <c r="G252" s="138" t="n"/>
      <c r="H252" s="138" t="n"/>
      <c r="I252" s="138" t="n"/>
      <c r="J252" s="138" t="n"/>
      <c r="K252" s="138" t="n"/>
      <c r="L252" s="138" t="n"/>
      <c r="M252" s="137">
        <f>IF($C252="","",ROUND($J252*$L252*IF($D252="Alınan",1,-1),2))</f>
        <v/>
      </c>
      <c r="N252" s="138" t="n"/>
      <c r="O252" s="138" t="n"/>
      <c r="P252" s="138" t="n"/>
      <c r="Q252" s="138" t="n"/>
      <c r="R252" s="138" t="n"/>
      <c r="S252" s="138" t="n"/>
      <c r="T252" s="138" t="n"/>
      <c r="U252" s="138" t="n"/>
      <c r="V252" s="138" t="n"/>
      <c r="W252" s="138" t="n"/>
      <c r="X252" s="138" t="n"/>
      <c r="Y252" s="138" t="n"/>
      <c r="Z252" s="138" t="n"/>
      <c r="AA252" s="138" t="n"/>
      <c r="AB252" s="138" t="n"/>
      <c r="AC252" s="138" t="n"/>
      <c r="AD252" s="137">
        <f>IF($C252="","",IF(COUNTIFS($C$6:$C$1000,$C252,$G$6:$G$1000,$G252,$J$6:$J$1000,$J252)&gt;1,"MÜKERRER","OK"))</f>
        <v/>
      </c>
      <c r="AE252" s="137">
        <f>IF($Y252="","",IFERROR(VLOOKUP($Y252,RiskKatsayilari,2,FALSE()),0))</f>
        <v/>
      </c>
      <c r="AF252" s="137">
        <f>IF(OR($M252="",$AE252=""),"",ROUND(ABS($M252)*$AE252,2))</f>
        <v/>
      </c>
      <c r="AG252" s="137">
        <f>IF($G252="","",IFERROR(INDEX(CARI_KARTLARI!$I$6:$I$1000,MATCH($G252,CARI_KARTLARI!$A$6:$A$1000,0)),"VERİ YETERSİZ"))</f>
        <v/>
      </c>
    </row>
    <row r="253" ht="18" customHeight="1" s="102">
      <c r="A253" s="137">
        <f>IF($C253="","","CKS-"&amp;TEXT(ROW()-BaslangicSatir,"000000"))</f>
        <v/>
      </c>
      <c r="B253" s="138" t="n"/>
      <c r="C253" s="138" t="n"/>
      <c r="D253" s="138" t="n"/>
      <c r="E253" s="138" t="n"/>
      <c r="F253" s="138" t="n"/>
      <c r="G253" s="138" t="n"/>
      <c r="H253" s="138" t="n"/>
      <c r="I253" s="138" t="n"/>
      <c r="J253" s="138" t="n"/>
      <c r="K253" s="138" t="n"/>
      <c r="L253" s="138" t="n"/>
      <c r="M253" s="137">
        <f>IF($C253="","",ROUND($J253*$L253*IF($D253="Alınan",1,-1),2))</f>
        <v/>
      </c>
      <c r="N253" s="138" t="n"/>
      <c r="O253" s="138" t="n"/>
      <c r="P253" s="138" t="n"/>
      <c r="Q253" s="138" t="n"/>
      <c r="R253" s="138" t="n"/>
      <c r="S253" s="138" t="n"/>
      <c r="T253" s="138" t="n"/>
      <c r="U253" s="138" t="n"/>
      <c r="V253" s="138" t="n"/>
      <c r="W253" s="138" t="n"/>
      <c r="X253" s="138" t="n"/>
      <c r="Y253" s="138" t="n"/>
      <c r="Z253" s="138" t="n"/>
      <c r="AA253" s="138" t="n"/>
      <c r="AB253" s="138" t="n"/>
      <c r="AC253" s="138" t="n"/>
      <c r="AD253" s="137">
        <f>IF($C253="","",IF(COUNTIFS($C$6:$C$1000,$C253,$G$6:$G$1000,$G253,$J$6:$J$1000,$J253)&gt;1,"MÜKERRER","OK"))</f>
        <v/>
      </c>
      <c r="AE253" s="137">
        <f>IF($Y253="","",IFERROR(VLOOKUP($Y253,RiskKatsayilari,2,FALSE()),0))</f>
        <v/>
      </c>
      <c r="AF253" s="137">
        <f>IF(OR($M253="",$AE253=""),"",ROUND(ABS($M253)*$AE253,2))</f>
        <v/>
      </c>
      <c r="AG253" s="137">
        <f>IF($G253="","",IFERROR(INDEX(CARI_KARTLARI!$I$6:$I$1000,MATCH($G253,CARI_KARTLARI!$A$6:$A$1000,0)),"VERİ YETERSİZ"))</f>
        <v/>
      </c>
    </row>
    <row r="254" ht="18" customHeight="1" s="102">
      <c r="A254" s="137">
        <f>IF($C254="","","CKS-"&amp;TEXT(ROW()-BaslangicSatir,"000000"))</f>
        <v/>
      </c>
      <c r="B254" s="138" t="n"/>
      <c r="C254" s="138" t="n"/>
      <c r="D254" s="138" t="n"/>
      <c r="E254" s="138" t="n"/>
      <c r="F254" s="138" t="n"/>
      <c r="G254" s="138" t="n"/>
      <c r="H254" s="138" t="n"/>
      <c r="I254" s="138" t="n"/>
      <c r="J254" s="138" t="n"/>
      <c r="K254" s="138" t="n"/>
      <c r="L254" s="138" t="n"/>
      <c r="M254" s="137">
        <f>IF($C254="","",ROUND($J254*$L254*IF($D254="Alınan",1,-1),2))</f>
        <v/>
      </c>
      <c r="N254" s="138" t="n"/>
      <c r="O254" s="138" t="n"/>
      <c r="P254" s="138" t="n"/>
      <c r="Q254" s="138" t="n"/>
      <c r="R254" s="138" t="n"/>
      <c r="S254" s="138" t="n"/>
      <c r="T254" s="138" t="n"/>
      <c r="U254" s="138" t="n"/>
      <c r="V254" s="138" t="n"/>
      <c r="W254" s="138" t="n"/>
      <c r="X254" s="138" t="n"/>
      <c r="Y254" s="138" t="n"/>
      <c r="Z254" s="138" t="n"/>
      <c r="AA254" s="138" t="n"/>
      <c r="AB254" s="138" t="n"/>
      <c r="AC254" s="138" t="n"/>
      <c r="AD254" s="137">
        <f>IF($C254="","",IF(COUNTIFS($C$6:$C$1000,$C254,$G$6:$G$1000,$G254,$J$6:$J$1000,$J254)&gt;1,"MÜKERRER","OK"))</f>
        <v/>
      </c>
      <c r="AE254" s="137">
        <f>IF($Y254="","",IFERROR(VLOOKUP($Y254,RiskKatsayilari,2,FALSE()),0))</f>
        <v/>
      </c>
      <c r="AF254" s="137">
        <f>IF(OR($M254="",$AE254=""),"",ROUND(ABS($M254)*$AE254,2))</f>
        <v/>
      </c>
      <c r="AG254" s="137">
        <f>IF($G254="","",IFERROR(INDEX(CARI_KARTLARI!$I$6:$I$1000,MATCH($G254,CARI_KARTLARI!$A$6:$A$1000,0)),"VERİ YETERSİZ"))</f>
        <v/>
      </c>
    </row>
    <row r="255" ht="18" customHeight="1" s="102">
      <c r="A255" s="137">
        <f>IF($C255="","","CKS-"&amp;TEXT(ROW()-BaslangicSatir,"000000"))</f>
        <v/>
      </c>
      <c r="B255" s="138" t="n"/>
      <c r="C255" s="138" t="n"/>
      <c r="D255" s="138" t="n"/>
      <c r="E255" s="138" t="n"/>
      <c r="F255" s="138" t="n"/>
      <c r="G255" s="138" t="n"/>
      <c r="H255" s="138" t="n"/>
      <c r="I255" s="138" t="n"/>
      <c r="J255" s="138" t="n"/>
      <c r="K255" s="138" t="n"/>
      <c r="L255" s="138" t="n"/>
      <c r="M255" s="137">
        <f>IF($C255="","",ROUND($J255*$L255*IF($D255="Alınan",1,-1),2))</f>
        <v/>
      </c>
      <c r="N255" s="138" t="n"/>
      <c r="O255" s="138" t="n"/>
      <c r="P255" s="138" t="n"/>
      <c r="Q255" s="138" t="n"/>
      <c r="R255" s="138" t="n"/>
      <c r="S255" s="138" t="n"/>
      <c r="T255" s="138" t="n"/>
      <c r="U255" s="138" t="n"/>
      <c r="V255" s="138" t="n"/>
      <c r="W255" s="138" t="n"/>
      <c r="X255" s="138" t="n"/>
      <c r="Y255" s="138" t="n"/>
      <c r="Z255" s="138" t="n"/>
      <c r="AA255" s="138" t="n"/>
      <c r="AB255" s="138" t="n"/>
      <c r="AC255" s="138" t="n"/>
      <c r="AD255" s="137">
        <f>IF($C255="","",IF(COUNTIFS($C$6:$C$1000,$C255,$G$6:$G$1000,$G255,$J$6:$J$1000,$J255)&gt;1,"MÜKERRER","OK"))</f>
        <v/>
      </c>
      <c r="AE255" s="137">
        <f>IF($Y255="","",IFERROR(VLOOKUP($Y255,RiskKatsayilari,2,FALSE()),0))</f>
        <v/>
      </c>
      <c r="AF255" s="137">
        <f>IF(OR($M255="",$AE255=""),"",ROUND(ABS($M255)*$AE255,2))</f>
        <v/>
      </c>
      <c r="AG255" s="137">
        <f>IF($G255="","",IFERROR(INDEX(CARI_KARTLARI!$I$6:$I$1000,MATCH($G255,CARI_KARTLARI!$A$6:$A$1000,0)),"VERİ YETERSİZ"))</f>
        <v/>
      </c>
    </row>
    <row r="256" ht="18" customHeight="1" s="102">
      <c r="A256" s="137">
        <f>IF($C256="","","CKS-"&amp;TEXT(ROW()-BaslangicSatir,"000000"))</f>
        <v/>
      </c>
      <c r="B256" s="138" t="n"/>
      <c r="C256" s="138" t="n"/>
      <c r="D256" s="138" t="n"/>
      <c r="E256" s="138" t="n"/>
      <c r="F256" s="138" t="n"/>
      <c r="G256" s="138" t="n"/>
      <c r="H256" s="138" t="n"/>
      <c r="I256" s="138" t="n"/>
      <c r="J256" s="138" t="n"/>
      <c r="K256" s="138" t="n"/>
      <c r="L256" s="138" t="n"/>
      <c r="M256" s="137">
        <f>IF($C256="","",ROUND($J256*$L256*IF($D256="Alınan",1,-1),2))</f>
        <v/>
      </c>
      <c r="N256" s="138" t="n"/>
      <c r="O256" s="138" t="n"/>
      <c r="P256" s="138" t="n"/>
      <c r="Q256" s="138" t="n"/>
      <c r="R256" s="138" t="n"/>
      <c r="S256" s="138" t="n"/>
      <c r="T256" s="138" t="n"/>
      <c r="U256" s="138" t="n"/>
      <c r="V256" s="138" t="n"/>
      <c r="W256" s="138" t="n"/>
      <c r="X256" s="138" t="n"/>
      <c r="Y256" s="138" t="n"/>
      <c r="Z256" s="138" t="n"/>
      <c r="AA256" s="138" t="n"/>
      <c r="AB256" s="138" t="n"/>
      <c r="AC256" s="138" t="n"/>
      <c r="AD256" s="137">
        <f>IF($C256="","",IF(COUNTIFS($C$6:$C$1000,$C256,$G$6:$G$1000,$G256,$J$6:$J$1000,$J256)&gt;1,"MÜKERRER","OK"))</f>
        <v/>
      </c>
      <c r="AE256" s="137">
        <f>IF($Y256="","",IFERROR(VLOOKUP($Y256,RiskKatsayilari,2,FALSE()),0))</f>
        <v/>
      </c>
      <c r="AF256" s="137">
        <f>IF(OR($M256="",$AE256=""),"",ROUND(ABS($M256)*$AE256,2))</f>
        <v/>
      </c>
      <c r="AG256" s="137">
        <f>IF($G256="","",IFERROR(INDEX(CARI_KARTLARI!$I$6:$I$1000,MATCH($G256,CARI_KARTLARI!$A$6:$A$1000,0)),"VERİ YETERSİZ"))</f>
        <v/>
      </c>
    </row>
    <row r="257" ht="18" customHeight="1" s="102">
      <c r="A257" s="137">
        <f>IF($C257="","","CKS-"&amp;TEXT(ROW()-BaslangicSatir,"000000"))</f>
        <v/>
      </c>
      <c r="B257" s="138" t="n"/>
      <c r="C257" s="138" t="n"/>
      <c r="D257" s="138" t="n"/>
      <c r="E257" s="138" t="n"/>
      <c r="F257" s="138" t="n"/>
      <c r="G257" s="138" t="n"/>
      <c r="H257" s="138" t="n"/>
      <c r="I257" s="138" t="n"/>
      <c r="J257" s="138" t="n"/>
      <c r="K257" s="138" t="n"/>
      <c r="L257" s="138" t="n"/>
      <c r="M257" s="137">
        <f>IF($C257="","",ROUND($J257*$L257*IF($D257="Alınan",1,-1),2))</f>
        <v/>
      </c>
      <c r="N257" s="138" t="n"/>
      <c r="O257" s="138" t="n"/>
      <c r="P257" s="138" t="n"/>
      <c r="Q257" s="138" t="n"/>
      <c r="R257" s="138" t="n"/>
      <c r="S257" s="138" t="n"/>
      <c r="T257" s="138" t="n"/>
      <c r="U257" s="138" t="n"/>
      <c r="V257" s="138" t="n"/>
      <c r="W257" s="138" t="n"/>
      <c r="X257" s="138" t="n"/>
      <c r="Y257" s="138" t="n"/>
      <c r="Z257" s="138" t="n"/>
      <c r="AA257" s="138" t="n"/>
      <c r="AB257" s="138" t="n"/>
      <c r="AC257" s="138" t="n"/>
      <c r="AD257" s="137">
        <f>IF($C257="","",IF(COUNTIFS($C$6:$C$1000,$C257,$G$6:$G$1000,$G257,$J$6:$J$1000,$J257)&gt;1,"MÜKERRER","OK"))</f>
        <v/>
      </c>
      <c r="AE257" s="137">
        <f>IF($Y257="","",IFERROR(VLOOKUP($Y257,RiskKatsayilari,2,FALSE()),0))</f>
        <v/>
      </c>
      <c r="AF257" s="137">
        <f>IF(OR($M257="",$AE257=""),"",ROUND(ABS($M257)*$AE257,2))</f>
        <v/>
      </c>
      <c r="AG257" s="137">
        <f>IF($G257="","",IFERROR(INDEX(CARI_KARTLARI!$I$6:$I$1000,MATCH($G257,CARI_KARTLARI!$A$6:$A$1000,0)),"VERİ YETERSİZ"))</f>
        <v/>
      </c>
    </row>
    <row r="258" ht="18" customHeight="1" s="102">
      <c r="A258" s="137">
        <f>IF($C258="","","CKS-"&amp;TEXT(ROW()-BaslangicSatir,"000000"))</f>
        <v/>
      </c>
      <c r="B258" s="138" t="n"/>
      <c r="C258" s="138" t="n"/>
      <c r="D258" s="138" t="n"/>
      <c r="E258" s="138" t="n"/>
      <c r="F258" s="138" t="n"/>
      <c r="G258" s="138" t="n"/>
      <c r="H258" s="138" t="n"/>
      <c r="I258" s="138" t="n"/>
      <c r="J258" s="138" t="n"/>
      <c r="K258" s="138" t="n"/>
      <c r="L258" s="138" t="n"/>
      <c r="M258" s="137">
        <f>IF($C258="","",ROUND($J258*$L258*IF($D258="Alınan",1,-1),2))</f>
        <v/>
      </c>
      <c r="N258" s="138" t="n"/>
      <c r="O258" s="138" t="n"/>
      <c r="P258" s="138" t="n"/>
      <c r="Q258" s="138" t="n"/>
      <c r="R258" s="138" t="n"/>
      <c r="S258" s="138" t="n"/>
      <c r="T258" s="138" t="n"/>
      <c r="U258" s="138" t="n"/>
      <c r="V258" s="138" t="n"/>
      <c r="W258" s="138" t="n"/>
      <c r="X258" s="138" t="n"/>
      <c r="Y258" s="138" t="n"/>
      <c r="Z258" s="138" t="n"/>
      <c r="AA258" s="138" t="n"/>
      <c r="AB258" s="138" t="n"/>
      <c r="AC258" s="138" t="n"/>
      <c r="AD258" s="137">
        <f>IF($C258="","",IF(COUNTIFS($C$6:$C$1000,$C258,$G$6:$G$1000,$G258,$J$6:$J$1000,$J258)&gt;1,"MÜKERRER","OK"))</f>
        <v/>
      </c>
      <c r="AE258" s="137">
        <f>IF($Y258="","",IFERROR(VLOOKUP($Y258,RiskKatsayilari,2,FALSE()),0))</f>
        <v/>
      </c>
      <c r="AF258" s="137">
        <f>IF(OR($M258="",$AE258=""),"",ROUND(ABS($M258)*$AE258,2))</f>
        <v/>
      </c>
      <c r="AG258" s="137">
        <f>IF($G258="","",IFERROR(INDEX(CARI_KARTLARI!$I$6:$I$1000,MATCH($G258,CARI_KARTLARI!$A$6:$A$1000,0)),"VERİ YETERSİZ"))</f>
        <v/>
      </c>
    </row>
    <row r="259" ht="18" customHeight="1" s="102">
      <c r="A259" s="137">
        <f>IF($C259="","","CKS-"&amp;TEXT(ROW()-BaslangicSatir,"000000"))</f>
        <v/>
      </c>
      <c r="B259" s="138" t="n"/>
      <c r="C259" s="138" t="n"/>
      <c r="D259" s="138" t="n"/>
      <c r="E259" s="138" t="n"/>
      <c r="F259" s="138" t="n"/>
      <c r="G259" s="138" t="n"/>
      <c r="H259" s="138" t="n"/>
      <c r="I259" s="138" t="n"/>
      <c r="J259" s="138" t="n"/>
      <c r="K259" s="138" t="n"/>
      <c r="L259" s="138" t="n"/>
      <c r="M259" s="137">
        <f>IF($C259="","",ROUND($J259*$L259*IF($D259="Alınan",1,-1),2))</f>
        <v/>
      </c>
      <c r="N259" s="138" t="n"/>
      <c r="O259" s="138" t="n"/>
      <c r="P259" s="138" t="n"/>
      <c r="Q259" s="138" t="n"/>
      <c r="R259" s="138" t="n"/>
      <c r="S259" s="138" t="n"/>
      <c r="T259" s="138" t="n"/>
      <c r="U259" s="138" t="n"/>
      <c r="V259" s="138" t="n"/>
      <c r="W259" s="138" t="n"/>
      <c r="X259" s="138" t="n"/>
      <c r="Y259" s="138" t="n"/>
      <c r="Z259" s="138" t="n"/>
      <c r="AA259" s="138" t="n"/>
      <c r="AB259" s="138" t="n"/>
      <c r="AC259" s="138" t="n"/>
      <c r="AD259" s="137">
        <f>IF($C259="","",IF(COUNTIFS($C$6:$C$1000,$C259,$G$6:$G$1000,$G259,$J$6:$J$1000,$J259)&gt;1,"MÜKERRER","OK"))</f>
        <v/>
      </c>
      <c r="AE259" s="137">
        <f>IF($Y259="","",IFERROR(VLOOKUP($Y259,RiskKatsayilari,2,FALSE()),0))</f>
        <v/>
      </c>
      <c r="AF259" s="137">
        <f>IF(OR($M259="",$AE259=""),"",ROUND(ABS($M259)*$AE259,2))</f>
        <v/>
      </c>
      <c r="AG259" s="137">
        <f>IF($G259="","",IFERROR(INDEX(CARI_KARTLARI!$I$6:$I$1000,MATCH($G259,CARI_KARTLARI!$A$6:$A$1000,0)),"VERİ YETERSİZ"))</f>
        <v/>
      </c>
    </row>
    <row r="260" ht="18" customHeight="1" s="102">
      <c r="A260" s="137">
        <f>IF($C260="","","CKS-"&amp;TEXT(ROW()-BaslangicSatir,"000000"))</f>
        <v/>
      </c>
      <c r="B260" s="138" t="n"/>
      <c r="C260" s="138" t="n"/>
      <c r="D260" s="138" t="n"/>
      <c r="E260" s="138" t="n"/>
      <c r="F260" s="138" t="n"/>
      <c r="G260" s="138" t="n"/>
      <c r="H260" s="138" t="n"/>
      <c r="I260" s="138" t="n"/>
      <c r="J260" s="138" t="n"/>
      <c r="K260" s="138" t="n"/>
      <c r="L260" s="138" t="n"/>
      <c r="M260" s="137">
        <f>IF($C260="","",ROUND($J260*$L260*IF($D260="Alınan",1,-1),2))</f>
        <v/>
      </c>
      <c r="N260" s="138" t="n"/>
      <c r="O260" s="138" t="n"/>
      <c r="P260" s="138" t="n"/>
      <c r="Q260" s="138" t="n"/>
      <c r="R260" s="138" t="n"/>
      <c r="S260" s="138" t="n"/>
      <c r="T260" s="138" t="n"/>
      <c r="U260" s="138" t="n"/>
      <c r="V260" s="138" t="n"/>
      <c r="W260" s="138" t="n"/>
      <c r="X260" s="138" t="n"/>
      <c r="Y260" s="138" t="n"/>
      <c r="Z260" s="138" t="n"/>
      <c r="AA260" s="138" t="n"/>
      <c r="AB260" s="138" t="n"/>
      <c r="AC260" s="138" t="n"/>
      <c r="AD260" s="137">
        <f>IF($C260="","",IF(COUNTIFS($C$6:$C$1000,$C260,$G$6:$G$1000,$G260,$J$6:$J$1000,$J260)&gt;1,"MÜKERRER","OK"))</f>
        <v/>
      </c>
      <c r="AE260" s="137">
        <f>IF($Y260="","",IFERROR(VLOOKUP($Y260,RiskKatsayilari,2,FALSE()),0))</f>
        <v/>
      </c>
      <c r="AF260" s="137">
        <f>IF(OR($M260="",$AE260=""),"",ROUND(ABS($M260)*$AE260,2))</f>
        <v/>
      </c>
      <c r="AG260" s="137">
        <f>IF($G260="","",IFERROR(INDEX(CARI_KARTLARI!$I$6:$I$1000,MATCH($G260,CARI_KARTLARI!$A$6:$A$1000,0)),"VERİ YETERSİZ"))</f>
        <v/>
      </c>
    </row>
    <row r="261" ht="18" customHeight="1" s="102">
      <c r="A261" s="137">
        <f>IF($C261="","","CKS-"&amp;TEXT(ROW()-BaslangicSatir,"000000"))</f>
        <v/>
      </c>
      <c r="B261" s="138" t="n"/>
      <c r="C261" s="138" t="n"/>
      <c r="D261" s="138" t="n"/>
      <c r="E261" s="138" t="n"/>
      <c r="F261" s="138" t="n"/>
      <c r="G261" s="138" t="n"/>
      <c r="H261" s="138" t="n"/>
      <c r="I261" s="138" t="n"/>
      <c r="J261" s="138" t="n"/>
      <c r="K261" s="138" t="n"/>
      <c r="L261" s="138" t="n"/>
      <c r="M261" s="137">
        <f>IF($C261="","",ROUND($J261*$L261*IF($D261="Alınan",1,-1),2))</f>
        <v/>
      </c>
      <c r="N261" s="138" t="n"/>
      <c r="O261" s="138" t="n"/>
      <c r="P261" s="138" t="n"/>
      <c r="Q261" s="138" t="n"/>
      <c r="R261" s="138" t="n"/>
      <c r="S261" s="138" t="n"/>
      <c r="T261" s="138" t="n"/>
      <c r="U261" s="138" t="n"/>
      <c r="V261" s="138" t="n"/>
      <c r="W261" s="138" t="n"/>
      <c r="X261" s="138" t="n"/>
      <c r="Y261" s="138" t="n"/>
      <c r="Z261" s="138" t="n"/>
      <c r="AA261" s="138" t="n"/>
      <c r="AB261" s="138" t="n"/>
      <c r="AC261" s="138" t="n"/>
      <c r="AD261" s="137">
        <f>IF($C261="","",IF(COUNTIFS($C$6:$C$1000,$C261,$G$6:$G$1000,$G261,$J$6:$J$1000,$J261)&gt;1,"MÜKERRER","OK"))</f>
        <v/>
      </c>
      <c r="AE261" s="137">
        <f>IF($Y261="","",IFERROR(VLOOKUP($Y261,RiskKatsayilari,2,FALSE()),0))</f>
        <v/>
      </c>
      <c r="AF261" s="137">
        <f>IF(OR($M261="",$AE261=""),"",ROUND(ABS($M261)*$AE261,2))</f>
        <v/>
      </c>
      <c r="AG261" s="137">
        <f>IF($G261="","",IFERROR(INDEX(CARI_KARTLARI!$I$6:$I$1000,MATCH($G261,CARI_KARTLARI!$A$6:$A$1000,0)),"VERİ YETERSİZ"))</f>
        <v/>
      </c>
    </row>
    <row r="262" ht="18" customHeight="1" s="102">
      <c r="A262" s="137">
        <f>IF($C262="","","CKS-"&amp;TEXT(ROW()-BaslangicSatir,"000000"))</f>
        <v/>
      </c>
      <c r="B262" s="138" t="n"/>
      <c r="C262" s="138" t="n"/>
      <c r="D262" s="138" t="n"/>
      <c r="E262" s="138" t="n"/>
      <c r="F262" s="138" t="n"/>
      <c r="G262" s="138" t="n"/>
      <c r="H262" s="138" t="n"/>
      <c r="I262" s="138" t="n"/>
      <c r="J262" s="138" t="n"/>
      <c r="K262" s="138" t="n"/>
      <c r="L262" s="138" t="n"/>
      <c r="M262" s="137">
        <f>IF($C262="","",ROUND($J262*$L262*IF($D262="Alınan",1,-1),2))</f>
        <v/>
      </c>
      <c r="N262" s="138" t="n"/>
      <c r="O262" s="138" t="n"/>
      <c r="P262" s="138" t="n"/>
      <c r="Q262" s="138" t="n"/>
      <c r="R262" s="138" t="n"/>
      <c r="S262" s="138" t="n"/>
      <c r="T262" s="138" t="n"/>
      <c r="U262" s="138" t="n"/>
      <c r="V262" s="138" t="n"/>
      <c r="W262" s="138" t="n"/>
      <c r="X262" s="138" t="n"/>
      <c r="Y262" s="138" t="n"/>
      <c r="Z262" s="138" t="n"/>
      <c r="AA262" s="138" t="n"/>
      <c r="AB262" s="138" t="n"/>
      <c r="AC262" s="138" t="n"/>
      <c r="AD262" s="137">
        <f>IF($C262="","",IF(COUNTIFS($C$6:$C$1000,$C262,$G$6:$G$1000,$G262,$J$6:$J$1000,$J262)&gt;1,"MÜKERRER","OK"))</f>
        <v/>
      </c>
      <c r="AE262" s="137">
        <f>IF($Y262="","",IFERROR(VLOOKUP($Y262,RiskKatsayilari,2,FALSE()),0))</f>
        <v/>
      </c>
      <c r="AF262" s="137">
        <f>IF(OR($M262="",$AE262=""),"",ROUND(ABS($M262)*$AE262,2))</f>
        <v/>
      </c>
      <c r="AG262" s="137">
        <f>IF($G262="","",IFERROR(INDEX(CARI_KARTLARI!$I$6:$I$1000,MATCH($G262,CARI_KARTLARI!$A$6:$A$1000,0)),"VERİ YETERSİZ"))</f>
        <v/>
      </c>
    </row>
    <row r="263" ht="18" customHeight="1" s="102">
      <c r="A263" s="137">
        <f>IF($C263="","","CKS-"&amp;TEXT(ROW()-BaslangicSatir,"000000"))</f>
        <v/>
      </c>
      <c r="B263" s="138" t="n"/>
      <c r="C263" s="138" t="n"/>
      <c r="D263" s="138" t="n"/>
      <c r="E263" s="138" t="n"/>
      <c r="F263" s="138" t="n"/>
      <c r="G263" s="138" t="n"/>
      <c r="H263" s="138" t="n"/>
      <c r="I263" s="138" t="n"/>
      <c r="J263" s="138" t="n"/>
      <c r="K263" s="138" t="n"/>
      <c r="L263" s="138" t="n"/>
      <c r="M263" s="137">
        <f>IF($C263="","",ROUND($J263*$L263*IF($D263="Alınan",1,-1),2))</f>
        <v/>
      </c>
      <c r="N263" s="138" t="n"/>
      <c r="O263" s="138" t="n"/>
      <c r="P263" s="138" t="n"/>
      <c r="Q263" s="138" t="n"/>
      <c r="R263" s="138" t="n"/>
      <c r="S263" s="138" t="n"/>
      <c r="T263" s="138" t="n"/>
      <c r="U263" s="138" t="n"/>
      <c r="V263" s="138" t="n"/>
      <c r="W263" s="138" t="n"/>
      <c r="X263" s="138" t="n"/>
      <c r="Y263" s="138" t="n"/>
      <c r="Z263" s="138" t="n"/>
      <c r="AA263" s="138" t="n"/>
      <c r="AB263" s="138" t="n"/>
      <c r="AC263" s="138" t="n"/>
      <c r="AD263" s="137">
        <f>IF($C263="","",IF(COUNTIFS($C$6:$C$1000,$C263,$G$6:$G$1000,$G263,$J$6:$J$1000,$J263)&gt;1,"MÜKERRER","OK"))</f>
        <v/>
      </c>
      <c r="AE263" s="137">
        <f>IF($Y263="","",IFERROR(VLOOKUP($Y263,RiskKatsayilari,2,FALSE()),0))</f>
        <v/>
      </c>
      <c r="AF263" s="137">
        <f>IF(OR($M263="",$AE263=""),"",ROUND(ABS($M263)*$AE263,2))</f>
        <v/>
      </c>
      <c r="AG263" s="137">
        <f>IF($G263="","",IFERROR(INDEX(CARI_KARTLARI!$I$6:$I$1000,MATCH($G263,CARI_KARTLARI!$A$6:$A$1000,0)),"VERİ YETERSİZ"))</f>
        <v/>
      </c>
    </row>
    <row r="264" ht="18" customHeight="1" s="102">
      <c r="A264" s="137">
        <f>IF($C264="","","CKS-"&amp;TEXT(ROW()-BaslangicSatir,"000000"))</f>
        <v/>
      </c>
      <c r="B264" s="138" t="n"/>
      <c r="C264" s="138" t="n"/>
      <c r="D264" s="138" t="n"/>
      <c r="E264" s="138" t="n"/>
      <c r="F264" s="138" t="n"/>
      <c r="G264" s="138" t="n"/>
      <c r="H264" s="138" t="n"/>
      <c r="I264" s="138" t="n"/>
      <c r="J264" s="138" t="n"/>
      <c r="K264" s="138" t="n"/>
      <c r="L264" s="138" t="n"/>
      <c r="M264" s="137">
        <f>IF($C264="","",ROUND($J264*$L264*IF($D264="Alınan",1,-1),2))</f>
        <v/>
      </c>
      <c r="N264" s="138" t="n"/>
      <c r="O264" s="138" t="n"/>
      <c r="P264" s="138" t="n"/>
      <c r="Q264" s="138" t="n"/>
      <c r="R264" s="138" t="n"/>
      <c r="S264" s="138" t="n"/>
      <c r="T264" s="138" t="n"/>
      <c r="U264" s="138" t="n"/>
      <c r="V264" s="138" t="n"/>
      <c r="W264" s="138" t="n"/>
      <c r="X264" s="138" t="n"/>
      <c r="Y264" s="138" t="n"/>
      <c r="Z264" s="138" t="n"/>
      <c r="AA264" s="138" t="n"/>
      <c r="AB264" s="138" t="n"/>
      <c r="AC264" s="138" t="n"/>
      <c r="AD264" s="137">
        <f>IF($C264="","",IF(COUNTIFS($C$6:$C$1000,$C264,$G$6:$G$1000,$G264,$J$6:$J$1000,$J264)&gt;1,"MÜKERRER","OK"))</f>
        <v/>
      </c>
      <c r="AE264" s="137">
        <f>IF($Y264="","",IFERROR(VLOOKUP($Y264,RiskKatsayilari,2,FALSE()),0))</f>
        <v/>
      </c>
      <c r="AF264" s="137">
        <f>IF(OR($M264="",$AE264=""),"",ROUND(ABS($M264)*$AE264,2))</f>
        <v/>
      </c>
      <c r="AG264" s="137">
        <f>IF($G264="","",IFERROR(INDEX(CARI_KARTLARI!$I$6:$I$1000,MATCH($G264,CARI_KARTLARI!$A$6:$A$1000,0)),"VERİ YETERSİZ"))</f>
        <v/>
      </c>
    </row>
    <row r="265" ht="18" customHeight="1" s="102">
      <c r="A265" s="137">
        <f>IF($C265="","","CKS-"&amp;TEXT(ROW()-BaslangicSatir,"000000"))</f>
        <v/>
      </c>
      <c r="B265" s="138" t="n"/>
      <c r="C265" s="138" t="n"/>
      <c r="D265" s="138" t="n"/>
      <c r="E265" s="138" t="n"/>
      <c r="F265" s="138" t="n"/>
      <c r="G265" s="138" t="n"/>
      <c r="H265" s="138" t="n"/>
      <c r="I265" s="138" t="n"/>
      <c r="J265" s="138" t="n"/>
      <c r="K265" s="138" t="n"/>
      <c r="L265" s="138" t="n"/>
      <c r="M265" s="137">
        <f>IF($C265="","",ROUND($J265*$L265*IF($D265="Alınan",1,-1),2))</f>
        <v/>
      </c>
      <c r="N265" s="138" t="n"/>
      <c r="O265" s="138" t="n"/>
      <c r="P265" s="138" t="n"/>
      <c r="Q265" s="138" t="n"/>
      <c r="R265" s="138" t="n"/>
      <c r="S265" s="138" t="n"/>
      <c r="T265" s="138" t="n"/>
      <c r="U265" s="138" t="n"/>
      <c r="V265" s="138" t="n"/>
      <c r="W265" s="138" t="n"/>
      <c r="X265" s="138" t="n"/>
      <c r="Y265" s="138" t="n"/>
      <c r="Z265" s="138" t="n"/>
      <c r="AA265" s="138" t="n"/>
      <c r="AB265" s="138" t="n"/>
      <c r="AC265" s="138" t="n"/>
      <c r="AD265" s="137">
        <f>IF($C265="","",IF(COUNTIFS($C$6:$C$1000,$C265,$G$6:$G$1000,$G265,$J$6:$J$1000,$J265)&gt;1,"MÜKERRER","OK"))</f>
        <v/>
      </c>
      <c r="AE265" s="137">
        <f>IF($Y265="","",IFERROR(VLOOKUP($Y265,RiskKatsayilari,2,FALSE()),0))</f>
        <v/>
      </c>
      <c r="AF265" s="137">
        <f>IF(OR($M265="",$AE265=""),"",ROUND(ABS($M265)*$AE265,2))</f>
        <v/>
      </c>
      <c r="AG265" s="137">
        <f>IF($G265="","",IFERROR(INDEX(CARI_KARTLARI!$I$6:$I$1000,MATCH($G265,CARI_KARTLARI!$A$6:$A$1000,0)),"VERİ YETERSİZ"))</f>
        <v/>
      </c>
    </row>
    <row r="266" ht="18" customHeight="1" s="102">
      <c r="A266" s="137">
        <f>IF($C266="","","CKS-"&amp;TEXT(ROW()-BaslangicSatir,"000000"))</f>
        <v/>
      </c>
      <c r="B266" s="138" t="n"/>
      <c r="C266" s="138" t="n"/>
      <c r="D266" s="138" t="n"/>
      <c r="E266" s="138" t="n"/>
      <c r="F266" s="138" t="n"/>
      <c r="G266" s="138" t="n"/>
      <c r="H266" s="138" t="n"/>
      <c r="I266" s="138" t="n"/>
      <c r="J266" s="138" t="n"/>
      <c r="K266" s="138" t="n"/>
      <c r="L266" s="138" t="n"/>
      <c r="M266" s="137">
        <f>IF($C266="","",ROUND($J266*$L266*IF($D266="Alınan",1,-1),2))</f>
        <v/>
      </c>
      <c r="N266" s="138" t="n"/>
      <c r="O266" s="138" t="n"/>
      <c r="P266" s="138" t="n"/>
      <c r="Q266" s="138" t="n"/>
      <c r="R266" s="138" t="n"/>
      <c r="S266" s="138" t="n"/>
      <c r="T266" s="138" t="n"/>
      <c r="U266" s="138" t="n"/>
      <c r="V266" s="138" t="n"/>
      <c r="W266" s="138" t="n"/>
      <c r="X266" s="138" t="n"/>
      <c r="Y266" s="138" t="n"/>
      <c r="Z266" s="138" t="n"/>
      <c r="AA266" s="138" t="n"/>
      <c r="AB266" s="138" t="n"/>
      <c r="AC266" s="138" t="n"/>
      <c r="AD266" s="137">
        <f>IF($C266="","",IF(COUNTIFS($C$6:$C$1000,$C266,$G$6:$G$1000,$G266,$J$6:$J$1000,$J266)&gt;1,"MÜKERRER","OK"))</f>
        <v/>
      </c>
      <c r="AE266" s="137">
        <f>IF($Y266="","",IFERROR(VLOOKUP($Y266,RiskKatsayilari,2,FALSE()),0))</f>
        <v/>
      </c>
      <c r="AF266" s="137">
        <f>IF(OR($M266="",$AE266=""),"",ROUND(ABS($M266)*$AE266,2))</f>
        <v/>
      </c>
      <c r="AG266" s="137">
        <f>IF($G266="","",IFERROR(INDEX(CARI_KARTLARI!$I$6:$I$1000,MATCH($G266,CARI_KARTLARI!$A$6:$A$1000,0)),"VERİ YETERSİZ"))</f>
        <v/>
      </c>
    </row>
    <row r="267" ht="18" customHeight="1" s="102">
      <c r="A267" s="137">
        <f>IF($C267="","","CKS-"&amp;TEXT(ROW()-BaslangicSatir,"000000"))</f>
        <v/>
      </c>
      <c r="B267" s="138" t="n"/>
      <c r="C267" s="138" t="n"/>
      <c r="D267" s="138" t="n"/>
      <c r="E267" s="138" t="n"/>
      <c r="F267" s="138" t="n"/>
      <c r="G267" s="138" t="n"/>
      <c r="H267" s="138" t="n"/>
      <c r="I267" s="138" t="n"/>
      <c r="J267" s="138" t="n"/>
      <c r="K267" s="138" t="n"/>
      <c r="L267" s="138" t="n"/>
      <c r="M267" s="137">
        <f>IF($C267="","",ROUND($J267*$L267*IF($D267="Alınan",1,-1),2))</f>
        <v/>
      </c>
      <c r="N267" s="138" t="n"/>
      <c r="O267" s="138" t="n"/>
      <c r="P267" s="138" t="n"/>
      <c r="Q267" s="138" t="n"/>
      <c r="R267" s="138" t="n"/>
      <c r="S267" s="138" t="n"/>
      <c r="T267" s="138" t="n"/>
      <c r="U267" s="138" t="n"/>
      <c r="V267" s="138" t="n"/>
      <c r="W267" s="138" t="n"/>
      <c r="X267" s="138" t="n"/>
      <c r="Y267" s="138" t="n"/>
      <c r="Z267" s="138" t="n"/>
      <c r="AA267" s="138" t="n"/>
      <c r="AB267" s="138" t="n"/>
      <c r="AC267" s="138" t="n"/>
      <c r="AD267" s="137">
        <f>IF($C267="","",IF(COUNTIFS($C$6:$C$1000,$C267,$G$6:$G$1000,$G267,$J$6:$J$1000,$J267)&gt;1,"MÜKERRER","OK"))</f>
        <v/>
      </c>
      <c r="AE267" s="137">
        <f>IF($Y267="","",IFERROR(VLOOKUP($Y267,RiskKatsayilari,2,FALSE()),0))</f>
        <v/>
      </c>
      <c r="AF267" s="137">
        <f>IF(OR($M267="",$AE267=""),"",ROUND(ABS($M267)*$AE267,2))</f>
        <v/>
      </c>
      <c r="AG267" s="137">
        <f>IF($G267="","",IFERROR(INDEX(CARI_KARTLARI!$I$6:$I$1000,MATCH($G267,CARI_KARTLARI!$A$6:$A$1000,0)),"VERİ YETERSİZ"))</f>
        <v/>
      </c>
    </row>
    <row r="268" ht="18" customHeight="1" s="102">
      <c r="A268" s="137">
        <f>IF($C268="","","CKS-"&amp;TEXT(ROW()-BaslangicSatir,"000000"))</f>
        <v/>
      </c>
      <c r="B268" s="138" t="n"/>
      <c r="C268" s="138" t="n"/>
      <c r="D268" s="138" t="n"/>
      <c r="E268" s="138" t="n"/>
      <c r="F268" s="138" t="n"/>
      <c r="G268" s="138" t="n"/>
      <c r="H268" s="138" t="n"/>
      <c r="I268" s="138" t="n"/>
      <c r="J268" s="138" t="n"/>
      <c r="K268" s="138" t="n"/>
      <c r="L268" s="138" t="n"/>
      <c r="M268" s="137">
        <f>IF($C268="","",ROUND($J268*$L268*IF($D268="Alınan",1,-1),2))</f>
        <v/>
      </c>
      <c r="N268" s="138" t="n"/>
      <c r="O268" s="138" t="n"/>
      <c r="P268" s="138" t="n"/>
      <c r="Q268" s="138" t="n"/>
      <c r="R268" s="138" t="n"/>
      <c r="S268" s="138" t="n"/>
      <c r="T268" s="138" t="n"/>
      <c r="U268" s="138" t="n"/>
      <c r="V268" s="138" t="n"/>
      <c r="W268" s="138" t="n"/>
      <c r="X268" s="138" t="n"/>
      <c r="Y268" s="138" t="n"/>
      <c r="Z268" s="138" t="n"/>
      <c r="AA268" s="138" t="n"/>
      <c r="AB268" s="138" t="n"/>
      <c r="AC268" s="138" t="n"/>
      <c r="AD268" s="137">
        <f>IF($C268="","",IF(COUNTIFS($C$6:$C$1000,$C268,$G$6:$G$1000,$G268,$J$6:$J$1000,$J268)&gt;1,"MÜKERRER","OK"))</f>
        <v/>
      </c>
      <c r="AE268" s="137">
        <f>IF($Y268="","",IFERROR(VLOOKUP($Y268,RiskKatsayilari,2,FALSE()),0))</f>
        <v/>
      </c>
      <c r="AF268" s="137">
        <f>IF(OR($M268="",$AE268=""),"",ROUND(ABS($M268)*$AE268,2))</f>
        <v/>
      </c>
      <c r="AG268" s="137">
        <f>IF($G268="","",IFERROR(INDEX(CARI_KARTLARI!$I$6:$I$1000,MATCH($G268,CARI_KARTLARI!$A$6:$A$1000,0)),"VERİ YETERSİZ"))</f>
        <v/>
      </c>
    </row>
    <row r="269" ht="18" customHeight="1" s="102">
      <c r="A269" s="137">
        <f>IF($C269="","","CKS-"&amp;TEXT(ROW()-BaslangicSatir,"000000"))</f>
        <v/>
      </c>
      <c r="B269" s="138" t="n"/>
      <c r="C269" s="138" t="n"/>
      <c r="D269" s="138" t="n"/>
      <c r="E269" s="138" t="n"/>
      <c r="F269" s="138" t="n"/>
      <c r="G269" s="138" t="n"/>
      <c r="H269" s="138" t="n"/>
      <c r="I269" s="138" t="n"/>
      <c r="J269" s="138" t="n"/>
      <c r="K269" s="138" t="n"/>
      <c r="L269" s="138" t="n"/>
      <c r="M269" s="137">
        <f>IF($C269="","",ROUND($J269*$L269*IF($D269="Alınan",1,-1),2))</f>
        <v/>
      </c>
      <c r="N269" s="138" t="n"/>
      <c r="O269" s="138" t="n"/>
      <c r="P269" s="138" t="n"/>
      <c r="Q269" s="138" t="n"/>
      <c r="R269" s="138" t="n"/>
      <c r="S269" s="138" t="n"/>
      <c r="T269" s="138" t="n"/>
      <c r="U269" s="138" t="n"/>
      <c r="V269" s="138" t="n"/>
      <c r="W269" s="138" t="n"/>
      <c r="X269" s="138" t="n"/>
      <c r="Y269" s="138" t="n"/>
      <c r="Z269" s="138" t="n"/>
      <c r="AA269" s="138" t="n"/>
      <c r="AB269" s="138" t="n"/>
      <c r="AC269" s="138" t="n"/>
      <c r="AD269" s="137">
        <f>IF($C269="","",IF(COUNTIFS($C$6:$C$1000,$C269,$G$6:$G$1000,$G269,$J$6:$J$1000,$J269)&gt;1,"MÜKERRER","OK"))</f>
        <v/>
      </c>
      <c r="AE269" s="137">
        <f>IF($Y269="","",IFERROR(VLOOKUP($Y269,RiskKatsayilari,2,FALSE()),0))</f>
        <v/>
      </c>
      <c r="AF269" s="137">
        <f>IF(OR($M269="",$AE269=""),"",ROUND(ABS($M269)*$AE269,2))</f>
        <v/>
      </c>
      <c r="AG269" s="137">
        <f>IF($G269="","",IFERROR(INDEX(CARI_KARTLARI!$I$6:$I$1000,MATCH($G269,CARI_KARTLARI!$A$6:$A$1000,0)),"VERİ YETERSİZ"))</f>
        <v/>
      </c>
    </row>
    <row r="270" ht="18" customHeight="1" s="102">
      <c r="A270" s="137">
        <f>IF($C270="","","CKS-"&amp;TEXT(ROW()-BaslangicSatir,"000000"))</f>
        <v/>
      </c>
      <c r="B270" s="138" t="n"/>
      <c r="C270" s="138" t="n"/>
      <c r="D270" s="138" t="n"/>
      <c r="E270" s="138" t="n"/>
      <c r="F270" s="138" t="n"/>
      <c r="G270" s="138" t="n"/>
      <c r="H270" s="138" t="n"/>
      <c r="I270" s="138" t="n"/>
      <c r="J270" s="138" t="n"/>
      <c r="K270" s="138" t="n"/>
      <c r="L270" s="138" t="n"/>
      <c r="M270" s="137">
        <f>IF($C270="","",ROUND($J270*$L270*IF($D270="Alınan",1,-1),2))</f>
        <v/>
      </c>
      <c r="N270" s="138" t="n"/>
      <c r="O270" s="138" t="n"/>
      <c r="P270" s="138" t="n"/>
      <c r="Q270" s="138" t="n"/>
      <c r="R270" s="138" t="n"/>
      <c r="S270" s="138" t="n"/>
      <c r="T270" s="138" t="n"/>
      <c r="U270" s="138" t="n"/>
      <c r="V270" s="138" t="n"/>
      <c r="W270" s="138" t="n"/>
      <c r="X270" s="138" t="n"/>
      <c r="Y270" s="138" t="n"/>
      <c r="Z270" s="138" t="n"/>
      <c r="AA270" s="138" t="n"/>
      <c r="AB270" s="138" t="n"/>
      <c r="AC270" s="138" t="n"/>
      <c r="AD270" s="137">
        <f>IF($C270="","",IF(COUNTIFS($C$6:$C$1000,$C270,$G$6:$G$1000,$G270,$J$6:$J$1000,$J270)&gt;1,"MÜKERRER","OK"))</f>
        <v/>
      </c>
      <c r="AE270" s="137">
        <f>IF($Y270="","",IFERROR(VLOOKUP($Y270,RiskKatsayilari,2,FALSE()),0))</f>
        <v/>
      </c>
      <c r="AF270" s="137">
        <f>IF(OR($M270="",$AE270=""),"",ROUND(ABS($M270)*$AE270,2))</f>
        <v/>
      </c>
      <c r="AG270" s="137">
        <f>IF($G270="","",IFERROR(INDEX(CARI_KARTLARI!$I$6:$I$1000,MATCH($G270,CARI_KARTLARI!$A$6:$A$1000,0)),"VERİ YETERSİZ"))</f>
        <v/>
      </c>
    </row>
    <row r="271" ht="18" customHeight="1" s="102">
      <c r="A271" s="137">
        <f>IF($C271="","","CKS-"&amp;TEXT(ROW()-BaslangicSatir,"000000"))</f>
        <v/>
      </c>
      <c r="B271" s="138" t="n"/>
      <c r="C271" s="138" t="n"/>
      <c r="D271" s="138" t="n"/>
      <c r="E271" s="138" t="n"/>
      <c r="F271" s="138" t="n"/>
      <c r="G271" s="138" t="n"/>
      <c r="H271" s="138" t="n"/>
      <c r="I271" s="138" t="n"/>
      <c r="J271" s="138" t="n"/>
      <c r="K271" s="138" t="n"/>
      <c r="L271" s="138" t="n"/>
      <c r="M271" s="137">
        <f>IF($C271="","",ROUND($J271*$L271*IF($D271="Alınan",1,-1),2))</f>
        <v/>
      </c>
      <c r="N271" s="138" t="n"/>
      <c r="O271" s="138" t="n"/>
      <c r="P271" s="138" t="n"/>
      <c r="Q271" s="138" t="n"/>
      <c r="R271" s="138" t="n"/>
      <c r="S271" s="138" t="n"/>
      <c r="T271" s="138" t="n"/>
      <c r="U271" s="138" t="n"/>
      <c r="V271" s="138" t="n"/>
      <c r="W271" s="138" t="n"/>
      <c r="X271" s="138" t="n"/>
      <c r="Y271" s="138" t="n"/>
      <c r="Z271" s="138" t="n"/>
      <c r="AA271" s="138" t="n"/>
      <c r="AB271" s="138" t="n"/>
      <c r="AC271" s="138" t="n"/>
      <c r="AD271" s="137">
        <f>IF($C271="","",IF(COUNTIFS($C$6:$C$1000,$C271,$G$6:$G$1000,$G271,$J$6:$J$1000,$J271)&gt;1,"MÜKERRER","OK"))</f>
        <v/>
      </c>
      <c r="AE271" s="137">
        <f>IF($Y271="","",IFERROR(VLOOKUP($Y271,RiskKatsayilari,2,FALSE()),0))</f>
        <v/>
      </c>
      <c r="AF271" s="137">
        <f>IF(OR($M271="",$AE271=""),"",ROUND(ABS($M271)*$AE271,2))</f>
        <v/>
      </c>
      <c r="AG271" s="137">
        <f>IF($G271="","",IFERROR(INDEX(CARI_KARTLARI!$I$6:$I$1000,MATCH($G271,CARI_KARTLARI!$A$6:$A$1000,0)),"VERİ YETERSİZ"))</f>
        <v/>
      </c>
    </row>
    <row r="272" ht="18" customHeight="1" s="102">
      <c r="A272" s="137">
        <f>IF($C272="","","CKS-"&amp;TEXT(ROW()-BaslangicSatir,"000000"))</f>
        <v/>
      </c>
      <c r="B272" s="138" t="n"/>
      <c r="C272" s="138" t="n"/>
      <c r="D272" s="138" t="n"/>
      <c r="E272" s="138" t="n"/>
      <c r="F272" s="138" t="n"/>
      <c r="G272" s="138" t="n"/>
      <c r="H272" s="138" t="n"/>
      <c r="I272" s="138" t="n"/>
      <c r="J272" s="138" t="n"/>
      <c r="K272" s="138" t="n"/>
      <c r="L272" s="138" t="n"/>
      <c r="M272" s="137">
        <f>IF($C272="","",ROUND($J272*$L272*IF($D272="Alınan",1,-1),2))</f>
        <v/>
      </c>
      <c r="N272" s="138" t="n"/>
      <c r="O272" s="138" t="n"/>
      <c r="P272" s="138" t="n"/>
      <c r="Q272" s="138" t="n"/>
      <c r="R272" s="138" t="n"/>
      <c r="S272" s="138" t="n"/>
      <c r="T272" s="138" t="n"/>
      <c r="U272" s="138" t="n"/>
      <c r="V272" s="138" t="n"/>
      <c r="W272" s="138" t="n"/>
      <c r="X272" s="138" t="n"/>
      <c r="Y272" s="138" t="n"/>
      <c r="Z272" s="138" t="n"/>
      <c r="AA272" s="138" t="n"/>
      <c r="AB272" s="138" t="n"/>
      <c r="AC272" s="138" t="n"/>
      <c r="AD272" s="137">
        <f>IF($C272="","",IF(COUNTIFS($C$6:$C$1000,$C272,$G$6:$G$1000,$G272,$J$6:$J$1000,$J272)&gt;1,"MÜKERRER","OK"))</f>
        <v/>
      </c>
      <c r="AE272" s="137">
        <f>IF($Y272="","",IFERROR(VLOOKUP($Y272,RiskKatsayilari,2,FALSE()),0))</f>
        <v/>
      </c>
      <c r="AF272" s="137">
        <f>IF(OR($M272="",$AE272=""),"",ROUND(ABS($M272)*$AE272,2))</f>
        <v/>
      </c>
      <c r="AG272" s="137">
        <f>IF($G272="","",IFERROR(INDEX(CARI_KARTLARI!$I$6:$I$1000,MATCH($G272,CARI_KARTLARI!$A$6:$A$1000,0)),"VERİ YETERSİZ"))</f>
        <v/>
      </c>
    </row>
    <row r="273" ht="18" customHeight="1" s="102">
      <c r="A273" s="137">
        <f>IF($C273="","","CKS-"&amp;TEXT(ROW()-BaslangicSatir,"000000"))</f>
        <v/>
      </c>
      <c r="B273" s="138" t="n"/>
      <c r="C273" s="138" t="n"/>
      <c r="D273" s="138" t="n"/>
      <c r="E273" s="138" t="n"/>
      <c r="F273" s="138" t="n"/>
      <c r="G273" s="138" t="n"/>
      <c r="H273" s="138" t="n"/>
      <c r="I273" s="138" t="n"/>
      <c r="J273" s="138" t="n"/>
      <c r="K273" s="138" t="n"/>
      <c r="L273" s="138" t="n"/>
      <c r="M273" s="137">
        <f>IF($C273="","",ROUND($J273*$L273*IF($D273="Alınan",1,-1),2))</f>
        <v/>
      </c>
      <c r="N273" s="138" t="n"/>
      <c r="O273" s="138" t="n"/>
      <c r="P273" s="138" t="n"/>
      <c r="Q273" s="138" t="n"/>
      <c r="R273" s="138" t="n"/>
      <c r="S273" s="138" t="n"/>
      <c r="T273" s="138" t="n"/>
      <c r="U273" s="138" t="n"/>
      <c r="V273" s="138" t="n"/>
      <c r="W273" s="138" t="n"/>
      <c r="X273" s="138" t="n"/>
      <c r="Y273" s="138" t="n"/>
      <c r="Z273" s="138" t="n"/>
      <c r="AA273" s="138" t="n"/>
      <c r="AB273" s="138" t="n"/>
      <c r="AC273" s="138" t="n"/>
      <c r="AD273" s="137">
        <f>IF($C273="","",IF(COUNTIFS($C$6:$C$1000,$C273,$G$6:$G$1000,$G273,$J$6:$J$1000,$J273)&gt;1,"MÜKERRER","OK"))</f>
        <v/>
      </c>
      <c r="AE273" s="137">
        <f>IF($Y273="","",IFERROR(VLOOKUP($Y273,RiskKatsayilari,2,FALSE()),0))</f>
        <v/>
      </c>
      <c r="AF273" s="137">
        <f>IF(OR($M273="",$AE273=""),"",ROUND(ABS($M273)*$AE273,2))</f>
        <v/>
      </c>
      <c r="AG273" s="137">
        <f>IF($G273="","",IFERROR(INDEX(CARI_KARTLARI!$I$6:$I$1000,MATCH($G273,CARI_KARTLARI!$A$6:$A$1000,0)),"VERİ YETERSİZ"))</f>
        <v/>
      </c>
    </row>
    <row r="274" ht="18" customHeight="1" s="102">
      <c r="A274" s="137">
        <f>IF($C274="","","CKS-"&amp;TEXT(ROW()-BaslangicSatir,"000000"))</f>
        <v/>
      </c>
      <c r="B274" s="138" t="n"/>
      <c r="C274" s="138" t="n"/>
      <c r="D274" s="138" t="n"/>
      <c r="E274" s="138" t="n"/>
      <c r="F274" s="138" t="n"/>
      <c r="G274" s="138" t="n"/>
      <c r="H274" s="138" t="n"/>
      <c r="I274" s="138" t="n"/>
      <c r="J274" s="138" t="n"/>
      <c r="K274" s="138" t="n"/>
      <c r="L274" s="138" t="n"/>
      <c r="M274" s="137">
        <f>IF($C274="","",ROUND($J274*$L274*IF($D274="Alınan",1,-1),2))</f>
        <v/>
      </c>
      <c r="N274" s="138" t="n"/>
      <c r="O274" s="138" t="n"/>
      <c r="P274" s="138" t="n"/>
      <c r="Q274" s="138" t="n"/>
      <c r="R274" s="138" t="n"/>
      <c r="S274" s="138" t="n"/>
      <c r="T274" s="138" t="n"/>
      <c r="U274" s="138" t="n"/>
      <c r="V274" s="138" t="n"/>
      <c r="W274" s="138" t="n"/>
      <c r="X274" s="138" t="n"/>
      <c r="Y274" s="138" t="n"/>
      <c r="Z274" s="138" t="n"/>
      <c r="AA274" s="138" t="n"/>
      <c r="AB274" s="138" t="n"/>
      <c r="AC274" s="138" t="n"/>
      <c r="AD274" s="137">
        <f>IF($C274="","",IF(COUNTIFS($C$6:$C$1000,$C274,$G$6:$G$1000,$G274,$J$6:$J$1000,$J274)&gt;1,"MÜKERRER","OK"))</f>
        <v/>
      </c>
      <c r="AE274" s="137">
        <f>IF($Y274="","",IFERROR(VLOOKUP($Y274,RiskKatsayilari,2,FALSE()),0))</f>
        <v/>
      </c>
      <c r="AF274" s="137">
        <f>IF(OR($M274="",$AE274=""),"",ROUND(ABS($M274)*$AE274,2))</f>
        <v/>
      </c>
      <c r="AG274" s="137">
        <f>IF($G274="","",IFERROR(INDEX(CARI_KARTLARI!$I$6:$I$1000,MATCH($G274,CARI_KARTLARI!$A$6:$A$1000,0)),"VERİ YETERSİZ"))</f>
        <v/>
      </c>
    </row>
    <row r="275" ht="18" customHeight="1" s="102">
      <c r="A275" s="137">
        <f>IF($C275="","","CKS-"&amp;TEXT(ROW()-BaslangicSatir,"000000"))</f>
        <v/>
      </c>
      <c r="B275" s="138" t="n"/>
      <c r="C275" s="138" t="n"/>
      <c r="D275" s="138" t="n"/>
      <c r="E275" s="138" t="n"/>
      <c r="F275" s="138" t="n"/>
      <c r="G275" s="138" t="n"/>
      <c r="H275" s="138" t="n"/>
      <c r="I275" s="138" t="n"/>
      <c r="J275" s="138" t="n"/>
      <c r="K275" s="138" t="n"/>
      <c r="L275" s="138" t="n"/>
      <c r="M275" s="137">
        <f>IF($C275="","",ROUND($J275*$L275*IF($D275="Alınan",1,-1),2))</f>
        <v/>
      </c>
      <c r="N275" s="138" t="n"/>
      <c r="O275" s="138" t="n"/>
      <c r="P275" s="138" t="n"/>
      <c r="Q275" s="138" t="n"/>
      <c r="R275" s="138" t="n"/>
      <c r="S275" s="138" t="n"/>
      <c r="T275" s="138" t="n"/>
      <c r="U275" s="138" t="n"/>
      <c r="V275" s="138" t="n"/>
      <c r="W275" s="138" t="n"/>
      <c r="X275" s="138" t="n"/>
      <c r="Y275" s="138" t="n"/>
      <c r="Z275" s="138" t="n"/>
      <c r="AA275" s="138" t="n"/>
      <c r="AB275" s="138" t="n"/>
      <c r="AC275" s="138" t="n"/>
      <c r="AD275" s="137">
        <f>IF($C275="","",IF(COUNTIFS($C$6:$C$1000,$C275,$G$6:$G$1000,$G275,$J$6:$J$1000,$J275)&gt;1,"MÜKERRER","OK"))</f>
        <v/>
      </c>
      <c r="AE275" s="137">
        <f>IF($Y275="","",IFERROR(VLOOKUP($Y275,RiskKatsayilari,2,FALSE()),0))</f>
        <v/>
      </c>
      <c r="AF275" s="137">
        <f>IF(OR($M275="",$AE275=""),"",ROUND(ABS($M275)*$AE275,2))</f>
        <v/>
      </c>
      <c r="AG275" s="137">
        <f>IF($G275="","",IFERROR(INDEX(CARI_KARTLARI!$I$6:$I$1000,MATCH($G275,CARI_KARTLARI!$A$6:$A$1000,0)),"VERİ YETERSİZ"))</f>
        <v/>
      </c>
    </row>
    <row r="276" ht="18" customHeight="1" s="102">
      <c r="A276" s="137">
        <f>IF($C276="","","CKS-"&amp;TEXT(ROW()-BaslangicSatir,"000000"))</f>
        <v/>
      </c>
      <c r="B276" s="138" t="n"/>
      <c r="C276" s="138" t="n"/>
      <c r="D276" s="138" t="n"/>
      <c r="E276" s="138" t="n"/>
      <c r="F276" s="138" t="n"/>
      <c r="G276" s="138" t="n"/>
      <c r="H276" s="138" t="n"/>
      <c r="I276" s="138" t="n"/>
      <c r="J276" s="138" t="n"/>
      <c r="K276" s="138" t="n"/>
      <c r="L276" s="138" t="n"/>
      <c r="M276" s="137">
        <f>IF($C276="","",ROUND($J276*$L276*IF($D276="Alınan",1,-1),2))</f>
        <v/>
      </c>
      <c r="N276" s="138" t="n"/>
      <c r="O276" s="138" t="n"/>
      <c r="P276" s="138" t="n"/>
      <c r="Q276" s="138" t="n"/>
      <c r="R276" s="138" t="n"/>
      <c r="S276" s="138" t="n"/>
      <c r="T276" s="138" t="n"/>
      <c r="U276" s="138" t="n"/>
      <c r="V276" s="138" t="n"/>
      <c r="W276" s="138" t="n"/>
      <c r="X276" s="138" t="n"/>
      <c r="Y276" s="138" t="n"/>
      <c r="Z276" s="138" t="n"/>
      <c r="AA276" s="138" t="n"/>
      <c r="AB276" s="138" t="n"/>
      <c r="AC276" s="138" t="n"/>
      <c r="AD276" s="137">
        <f>IF($C276="","",IF(COUNTIFS($C$6:$C$1000,$C276,$G$6:$G$1000,$G276,$J$6:$J$1000,$J276)&gt;1,"MÜKERRER","OK"))</f>
        <v/>
      </c>
      <c r="AE276" s="137">
        <f>IF($Y276="","",IFERROR(VLOOKUP($Y276,RiskKatsayilari,2,FALSE()),0))</f>
        <v/>
      </c>
      <c r="AF276" s="137">
        <f>IF(OR($M276="",$AE276=""),"",ROUND(ABS($M276)*$AE276,2))</f>
        <v/>
      </c>
      <c r="AG276" s="137">
        <f>IF($G276="","",IFERROR(INDEX(CARI_KARTLARI!$I$6:$I$1000,MATCH($G276,CARI_KARTLARI!$A$6:$A$1000,0)),"VERİ YETERSİZ"))</f>
        <v/>
      </c>
    </row>
    <row r="277" ht="18" customHeight="1" s="102">
      <c r="A277" s="137">
        <f>IF($C277="","","CKS-"&amp;TEXT(ROW()-BaslangicSatir,"000000"))</f>
        <v/>
      </c>
      <c r="B277" s="138" t="n"/>
      <c r="C277" s="138" t="n"/>
      <c r="D277" s="138" t="n"/>
      <c r="E277" s="138" t="n"/>
      <c r="F277" s="138" t="n"/>
      <c r="G277" s="138" t="n"/>
      <c r="H277" s="138" t="n"/>
      <c r="I277" s="138" t="n"/>
      <c r="J277" s="138" t="n"/>
      <c r="K277" s="138" t="n"/>
      <c r="L277" s="138" t="n"/>
      <c r="M277" s="137">
        <f>IF($C277="","",ROUND($J277*$L277*IF($D277="Alınan",1,-1),2))</f>
        <v/>
      </c>
      <c r="N277" s="138" t="n"/>
      <c r="O277" s="138" t="n"/>
      <c r="P277" s="138" t="n"/>
      <c r="Q277" s="138" t="n"/>
      <c r="R277" s="138" t="n"/>
      <c r="S277" s="138" t="n"/>
      <c r="T277" s="138" t="n"/>
      <c r="U277" s="138" t="n"/>
      <c r="V277" s="138" t="n"/>
      <c r="W277" s="138" t="n"/>
      <c r="X277" s="138" t="n"/>
      <c r="Y277" s="138" t="n"/>
      <c r="Z277" s="138" t="n"/>
      <c r="AA277" s="138" t="n"/>
      <c r="AB277" s="138" t="n"/>
      <c r="AC277" s="138" t="n"/>
      <c r="AD277" s="137">
        <f>IF($C277="","",IF(COUNTIFS($C$6:$C$1000,$C277,$G$6:$G$1000,$G277,$J$6:$J$1000,$J277)&gt;1,"MÜKERRER","OK"))</f>
        <v/>
      </c>
      <c r="AE277" s="137">
        <f>IF($Y277="","",IFERROR(VLOOKUP($Y277,RiskKatsayilari,2,FALSE()),0))</f>
        <v/>
      </c>
      <c r="AF277" s="137">
        <f>IF(OR($M277="",$AE277=""),"",ROUND(ABS($M277)*$AE277,2))</f>
        <v/>
      </c>
      <c r="AG277" s="137">
        <f>IF($G277="","",IFERROR(INDEX(CARI_KARTLARI!$I$6:$I$1000,MATCH($G277,CARI_KARTLARI!$A$6:$A$1000,0)),"VERİ YETERSİZ"))</f>
        <v/>
      </c>
    </row>
    <row r="278" ht="18" customHeight="1" s="102">
      <c r="A278" s="137">
        <f>IF($C278="","","CKS-"&amp;TEXT(ROW()-BaslangicSatir,"000000"))</f>
        <v/>
      </c>
      <c r="B278" s="138" t="n"/>
      <c r="C278" s="138" t="n"/>
      <c r="D278" s="138" t="n"/>
      <c r="E278" s="138" t="n"/>
      <c r="F278" s="138" t="n"/>
      <c r="G278" s="138" t="n"/>
      <c r="H278" s="138" t="n"/>
      <c r="I278" s="138" t="n"/>
      <c r="J278" s="138" t="n"/>
      <c r="K278" s="138" t="n"/>
      <c r="L278" s="138" t="n"/>
      <c r="M278" s="137">
        <f>IF($C278="","",ROUND($J278*$L278*IF($D278="Alınan",1,-1),2))</f>
        <v/>
      </c>
      <c r="N278" s="138" t="n"/>
      <c r="O278" s="138" t="n"/>
      <c r="P278" s="138" t="n"/>
      <c r="Q278" s="138" t="n"/>
      <c r="R278" s="138" t="n"/>
      <c r="S278" s="138" t="n"/>
      <c r="T278" s="138" t="n"/>
      <c r="U278" s="138" t="n"/>
      <c r="V278" s="138" t="n"/>
      <c r="W278" s="138" t="n"/>
      <c r="X278" s="138" t="n"/>
      <c r="Y278" s="138" t="n"/>
      <c r="Z278" s="138" t="n"/>
      <c r="AA278" s="138" t="n"/>
      <c r="AB278" s="138" t="n"/>
      <c r="AC278" s="138" t="n"/>
      <c r="AD278" s="137">
        <f>IF($C278="","",IF(COUNTIFS($C$6:$C$1000,$C278,$G$6:$G$1000,$G278,$J$6:$J$1000,$J278)&gt;1,"MÜKERRER","OK"))</f>
        <v/>
      </c>
      <c r="AE278" s="137">
        <f>IF($Y278="","",IFERROR(VLOOKUP($Y278,RiskKatsayilari,2,FALSE()),0))</f>
        <v/>
      </c>
      <c r="AF278" s="137">
        <f>IF(OR($M278="",$AE278=""),"",ROUND(ABS($M278)*$AE278,2))</f>
        <v/>
      </c>
      <c r="AG278" s="137">
        <f>IF($G278="","",IFERROR(INDEX(CARI_KARTLARI!$I$6:$I$1000,MATCH($G278,CARI_KARTLARI!$A$6:$A$1000,0)),"VERİ YETERSİZ"))</f>
        <v/>
      </c>
    </row>
    <row r="279" ht="18" customHeight="1" s="102">
      <c r="A279" s="137">
        <f>IF($C279="","","CKS-"&amp;TEXT(ROW()-BaslangicSatir,"000000"))</f>
        <v/>
      </c>
      <c r="B279" s="138" t="n"/>
      <c r="C279" s="138" t="n"/>
      <c r="D279" s="138" t="n"/>
      <c r="E279" s="138" t="n"/>
      <c r="F279" s="138" t="n"/>
      <c r="G279" s="138" t="n"/>
      <c r="H279" s="138" t="n"/>
      <c r="I279" s="138" t="n"/>
      <c r="J279" s="138" t="n"/>
      <c r="K279" s="138" t="n"/>
      <c r="L279" s="138" t="n"/>
      <c r="M279" s="137">
        <f>IF($C279="","",ROUND($J279*$L279*IF($D279="Alınan",1,-1),2))</f>
        <v/>
      </c>
      <c r="N279" s="138" t="n"/>
      <c r="O279" s="138" t="n"/>
      <c r="P279" s="138" t="n"/>
      <c r="Q279" s="138" t="n"/>
      <c r="R279" s="138" t="n"/>
      <c r="S279" s="138" t="n"/>
      <c r="T279" s="138" t="n"/>
      <c r="U279" s="138" t="n"/>
      <c r="V279" s="138" t="n"/>
      <c r="W279" s="138" t="n"/>
      <c r="X279" s="138" t="n"/>
      <c r="Y279" s="138" t="n"/>
      <c r="Z279" s="138" t="n"/>
      <c r="AA279" s="138" t="n"/>
      <c r="AB279" s="138" t="n"/>
      <c r="AC279" s="138" t="n"/>
      <c r="AD279" s="137">
        <f>IF($C279="","",IF(COUNTIFS($C$6:$C$1000,$C279,$G$6:$G$1000,$G279,$J$6:$J$1000,$J279)&gt;1,"MÜKERRER","OK"))</f>
        <v/>
      </c>
      <c r="AE279" s="137">
        <f>IF($Y279="","",IFERROR(VLOOKUP($Y279,RiskKatsayilari,2,FALSE()),0))</f>
        <v/>
      </c>
      <c r="AF279" s="137">
        <f>IF(OR($M279="",$AE279=""),"",ROUND(ABS($M279)*$AE279,2))</f>
        <v/>
      </c>
      <c r="AG279" s="137">
        <f>IF($G279="","",IFERROR(INDEX(CARI_KARTLARI!$I$6:$I$1000,MATCH($G279,CARI_KARTLARI!$A$6:$A$1000,0)),"VERİ YETERSİZ"))</f>
        <v/>
      </c>
    </row>
    <row r="280" ht="18" customHeight="1" s="102">
      <c r="A280" s="137">
        <f>IF($C280="","","CKS-"&amp;TEXT(ROW()-BaslangicSatir,"000000"))</f>
        <v/>
      </c>
      <c r="B280" s="138" t="n"/>
      <c r="C280" s="138" t="n"/>
      <c r="D280" s="138" t="n"/>
      <c r="E280" s="138" t="n"/>
      <c r="F280" s="138" t="n"/>
      <c r="G280" s="138" t="n"/>
      <c r="H280" s="138" t="n"/>
      <c r="I280" s="138" t="n"/>
      <c r="J280" s="138" t="n"/>
      <c r="K280" s="138" t="n"/>
      <c r="L280" s="138" t="n"/>
      <c r="M280" s="137">
        <f>IF($C280="","",ROUND($J280*$L280*IF($D280="Alınan",1,-1),2))</f>
        <v/>
      </c>
      <c r="N280" s="138" t="n"/>
      <c r="O280" s="138" t="n"/>
      <c r="P280" s="138" t="n"/>
      <c r="Q280" s="138" t="n"/>
      <c r="R280" s="138" t="n"/>
      <c r="S280" s="138" t="n"/>
      <c r="T280" s="138" t="n"/>
      <c r="U280" s="138" t="n"/>
      <c r="V280" s="138" t="n"/>
      <c r="W280" s="138" t="n"/>
      <c r="X280" s="138" t="n"/>
      <c r="Y280" s="138" t="n"/>
      <c r="Z280" s="138" t="n"/>
      <c r="AA280" s="138" t="n"/>
      <c r="AB280" s="138" t="n"/>
      <c r="AC280" s="138" t="n"/>
      <c r="AD280" s="137">
        <f>IF($C280="","",IF(COUNTIFS($C$6:$C$1000,$C280,$G$6:$G$1000,$G280,$J$6:$J$1000,$J280)&gt;1,"MÜKERRER","OK"))</f>
        <v/>
      </c>
      <c r="AE280" s="137">
        <f>IF($Y280="","",IFERROR(VLOOKUP($Y280,RiskKatsayilari,2,FALSE()),0))</f>
        <v/>
      </c>
      <c r="AF280" s="137">
        <f>IF(OR($M280="",$AE280=""),"",ROUND(ABS($M280)*$AE280,2))</f>
        <v/>
      </c>
      <c r="AG280" s="137">
        <f>IF($G280="","",IFERROR(INDEX(CARI_KARTLARI!$I$6:$I$1000,MATCH($G280,CARI_KARTLARI!$A$6:$A$1000,0)),"VERİ YETERSİZ"))</f>
        <v/>
      </c>
    </row>
    <row r="281" ht="18" customHeight="1" s="102">
      <c r="A281" s="137">
        <f>IF($C281="","","CKS-"&amp;TEXT(ROW()-BaslangicSatir,"000000"))</f>
        <v/>
      </c>
      <c r="B281" s="138" t="n"/>
      <c r="C281" s="138" t="n"/>
      <c r="D281" s="138" t="n"/>
      <c r="E281" s="138" t="n"/>
      <c r="F281" s="138" t="n"/>
      <c r="G281" s="138" t="n"/>
      <c r="H281" s="138" t="n"/>
      <c r="I281" s="138" t="n"/>
      <c r="J281" s="138" t="n"/>
      <c r="K281" s="138" t="n"/>
      <c r="L281" s="138" t="n"/>
      <c r="M281" s="137">
        <f>IF($C281="","",ROUND($J281*$L281*IF($D281="Alınan",1,-1),2))</f>
        <v/>
      </c>
      <c r="N281" s="138" t="n"/>
      <c r="O281" s="138" t="n"/>
      <c r="P281" s="138" t="n"/>
      <c r="Q281" s="138" t="n"/>
      <c r="R281" s="138" t="n"/>
      <c r="S281" s="138" t="n"/>
      <c r="T281" s="138" t="n"/>
      <c r="U281" s="138" t="n"/>
      <c r="V281" s="138" t="n"/>
      <c r="W281" s="138" t="n"/>
      <c r="X281" s="138" t="n"/>
      <c r="Y281" s="138" t="n"/>
      <c r="Z281" s="138" t="n"/>
      <c r="AA281" s="138" t="n"/>
      <c r="AB281" s="138" t="n"/>
      <c r="AC281" s="138" t="n"/>
      <c r="AD281" s="137">
        <f>IF($C281="","",IF(COUNTIFS($C$6:$C$1000,$C281,$G$6:$G$1000,$G281,$J$6:$J$1000,$J281)&gt;1,"MÜKERRER","OK"))</f>
        <v/>
      </c>
      <c r="AE281" s="137">
        <f>IF($Y281="","",IFERROR(VLOOKUP($Y281,RiskKatsayilari,2,FALSE()),0))</f>
        <v/>
      </c>
      <c r="AF281" s="137">
        <f>IF(OR($M281="",$AE281=""),"",ROUND(ABS($M281)*$AE281,2))</f>
        <v/>
      </c>
      <c r="AG281" s="137">
        <f>IF($G281="","",IFERROR(INDEX(CARI_KARTLARI!$I$6:$I$1000,MATCH($G281,CARI_KARTLARI!$A$6:$A$1000,0)),"VERİ YETERSİZ"))</f>
        <v/>
      </c>
    </row>
    <row r="282" ht="18" customHeight="1" s="102">
      <c r="A282" s="137">
        <f>IF($C282="","","CKS-"&amp;TEXT(ROW()-BaslangicSatir,"000000"))</f>
        <v/>
      </c>
      <c r="B282" s="138" t="n"/>
      <c r="C282" s="138" t="n"/>
      <c r="D282" s="138" t="n"/>
      <c r="E282" s="138" t="n"/>
      <c r="F282" s="138" t="n"/>
      <c r="G282" s="138" t="n"/>
      <c r="H282" s="138" t="n"/>
      <c r="I282" s="138" t="n"/>
      <c r="J282" s="138" t="n"/>
      <c r="K282" s="138" t="n"/>
      <c r="L282" s="138" t="n"/>
      <c r="M282" s="137">
        <f>IF($C282="","",ROUND($J282*$L282*IF($D282="Alınan",1,-1),2))</f>
        <v/>
      </c>
      <c r="N282" s="138" t="n"/>
      <c r="O282" s="138" t="n"/>
      <c r="P282" s="138" t="n"/>
      <c r="Q282" s="138" t="n"/>
      <c r="R282" s="138" t="n"/>
      <c r="S282" s="138" t="n"/>
      <c r="T282" s="138" t="n"/>
      <c r="U282" s="138" t="n"/>
      <c r="V282" s="138" t="n"/>
      <c r="W282" s="138" t="n"/>
      <c r="X282" s="138" t="n"/>
      <c r="Y282" s="138" t="n"/>
      <c r="Z282" s="138" t="n"/>
      <c r="AA282" s="138" t="n"/>
      <c r="AB282" s="138" t="n"/>
      <c r="AC282" s="138" t="n"/>
      <c r="AD282" s="137">
        <f>IF($C282="","",IF(COUNTIFS($C$6:$C$1000,$C282,$G$6:$G$1000,$G282,$J$6:$J$1000,$J282)&gt;1,"MÜKERRER","OK"))</f>
        <v/>
      </c>
      <c r="AE282" s="137">
        <f>IF($Y282="","",IFERROR(VLOOKUP($Y282,RiskKatsayilari,2,FALSE()),0))</f>
        <v/>
      </c>
      <c r="AF282" s="137">
        <f>IF(OR($M282="",$AE282=""),"",ROUND(ABS($M282)*$AE282,2))</f>
        <v/>
      </c>
      <c r="AG282" s="137">
        <f>IF($G282="","",IFERROR(INDEX(CARI_KARTLARI!$I$6:$I$1000,MATCH($G282,CARI_KARTLARI!$A$6:$A$1000,0)),"VERİ YETERSİZ"))</f>
        <v/>
      </c>
    </row>
    <row r="283" ht="18" customHeight="1" s="102">
      <c r="A283" s="137">
        <f>IF($C283="","","CKS-"&amp;TEXT(ROW()-BaslangicSatir,"000000"))</f>
        <v/>
      </c>
      <c r="B283" s="138" t="n"/>
      <c r="C283" s="138" t="n"/>
      <c r="D283" s="138" t="n"/>
      <c r="E283" s="138" t="n"/>
      <c r="F283" s="138" t="n"/>
      <c r="G283" s="138" t="n"/>
      <c r="H283" s="138" t="n"/>
      <c r="I283" s="138" t="n"/>
      <c r="J283" s="138" t="n"/>
      <c r="K283" s="138" t="n"/>
      <c r="L283" s="138" t="n"/>
      <c r="M283" s="137">
        <f>IF($C283="","",ROUND($J283*$L283*IF($D283="Alınan",1,-1),2))</f>
        <v/>
      </c>
      <c r="N283" s="138" t="n"/>
      <c r="O283" s="138" t="n"/>
      <c r="P283" s="138" t="n"/>
      <c r="Q283" s="138" t="n"/>
      <c r="R283" s="138" t="n"/>
      <c r="S283" s="138" t="n"/>
      <c r="T283" s="138" t="n"/>
      <c r="U283" s="138" t="n"/>
      <c r="V283" s="138" t="n"/>
      <c r="W283" s="138" t="n"/>
      <c r="X283" s="138" t="n"/>
      <c r="Y283" s="138" t="n"/>
      <c r="Z283" s="138" t="n"/>
      <c r="AA283" s="138" t="n"/>
      <c r="AB283" s="138" t="n"/>
      <c r="AC283" s="138" t="n"/>
      <c r="AD283" s="137">
        <f>IF($C283="","",IF(COUNTIFS($C$6:$C$1000,$C283,$G$6:$G$1000,$G283,$J$6:$J$1000,$J283)&gt;1,"MÜKERRER","OK"))</f>
        <v/>
      </c>
      <c r="AE283" s="137">
        <f>IF($Y283="","",IFERROR(VLOOKUP($Y283,RiskKatsayilari,2,FALSE()),0))</f>
        <v/>
      </c>
      <c r="AF283" s="137">
        <f>IF(OR($M283="",$AE283=""),"",ROUND(ABS($M283)*$AE283,2))</f>
        <v/>
      </c>
      <c r="AG283" s="137">
        <f>IF($G283="","",IFERROR(INDEX(CARI_KARTLARI!$I$6:$I$1000,MATCH($G283,CARI_KARTLARI!$A$6:$A$1000,0)),"VERİ YETERSİZ"))</f>
        <v/>
      </c>
    </row>
    <row r="284" ht="18" customHeight="1" s="102">
      <c r="A284" s="137">
        <f>IF($C284="","","CKS-"&amp;TEXT(ROW()-BaslangicSatir,"000000"))</f>
        <v/>
      </c>
      <c r="B284" s="138" t="n"/>
      <c r="C284" s="138" t="n"/>
      <c r="D284" s="138" t="n"/>
      <c r="E284" s="138" t="n"/>
      <c r="F284" s="138" t="n"/>
      <c r="G284" s="138" t="n"/>
      <c r="H284" s="138" t="n"/>
      <c r="I284" s="138" t="n"/>
      <c r="J284" s="138" t="n"/>
      <c r="K284" s="138" t="n"/>
      <c r="L284" s="138" t="n"/>
      <c r="M284" s="137">
        <f>IF($C284="","",ROUND($J284*$L284*IF($D284="Alınan",1,-1),2))</f>
        <v/>
      </c>
      <c r="N284" s="138" t="n"/>
      <c r="O284" s="138" t="n"/>
      <c r="P284" s="138" t="n"/>
      <c r="Q284" s="138" t="n"/>
      <c r="R284" s="138" t="n"/>
      <c r="S284" s="138" t="n"/>
      <c r="T284" s="138" t="n"/>
      <c r="U284" s="138" t="n"/>
      <c r="V284" s="138" t="n"/>
      <c r="W284" s="138" t="n"/>
      <c r="X284" s="138" t="n"/>
      <c r="Y284" s="138" t="n"/>
      <c r="Z284" s="138" t="n"/>
      <c r="AA284" s="138" t="n"/>
      <c r="AB284" s="138" t="n"/>
      <c r="AC284" s="138" t="n"/>
      <c r="AD284" s="137">
        <f>IF($C284="","",IF(COUNTIFS($C$6:$C$1000,$C284,$G$6:$G$1000,$G284,$J$6:$J$1000,$J284)&gt;1,"MÜKERRER","OK"))</f>
        <v/>
      </c>
      <c r="AE284" s="137">
        <f>IF($Y284="","",IFERROR(VLOOKUP($Y284,RiskKatsayilari,2,FALSE()),0))</f>
        <v/>
      </c>
      <c r="AF284" s="137">
        <f>IF(OR($M284="",$AE284=""),"",ROUND(ABS($M284)*$AE284,2))</f>
        <v/>
      </c>
      <c r="AG284" s="137">
        <f>IF($G284="","",IFERROR(INDEX(CARI_KARTLARI!$I$6:$I$1000,MATCH($G284,CARI_KARTLARI!$A$6:$A$1000,0)),"VERİ YETERSİZ"))</f>
        <v/>
      </c>
    </row>
    <row r="285" ht="18" customHeight="1" s="102">
      <c r="A285" s="137">
        <f>IF($C285="","","CKS-"&amp;TEXT(ROW()-BaslangicSatir,"000000"))</f>
        <v/>
      </c>
      <c r="B285" s="138" t="n"/>
      <c r="C285" s="138" t="n"/>
      <c r="D285" s="138" t="n"/>
      <c r="E285" s="138" t="n"/>
      <c r="F285" s="138" t="n"/>
      <c r="G285" s="138" t="n"/>
      <c r="H285" s="138" t="n"/>
      <c r="I285" s="138" t="n"/>
      <c r="J285" s="138" t="n"/>
      <c r="K285" s="138" t="n"/>
      <c r="L285" s="138" t="n"/>
      <c r="M285" s="137">
        <f>IF($C285="","",ROUND($J285*$L285*IF($D285="Alınan",1,-1),2))</f>
        <v/>
      </c>
      <c r="N285" s="138" t="n"/>
      <c r="O285" s="138" t="n"/>
      <c r="P285" s="138" t="n"/>
      <c r="Q285" s="138" t="n"/>
      <c r="R285" s="138" t="n"/>
      <c r="S285" s="138" t="n"/>
      <c r="T285" s="138" t="n"/>
      <c r="U285" s="138" t="n"/>
      <c r="V285" s="138" t="n"/>
      <c r="W285" s="138" t="n"/>
      <c r="X285" s="138" t="n"/>
      <c r="Y285" s="138" t="n"/>
      <c r="Z285" s="138" t="n"/>
      <c r="AA285" s="138" t="n"/>
      <c r="AB285" s="138" t="n"/>
      <c r="AC285" s="138" t="n"/>
      <c r="AD285" s="137">
        <f>IF($C285="","",IF(COUNTIFS($C$6:$C$1000,$C285,$G$6:$G$1000,$G285,$J$6:$J$1000,$J285)&gt;1,"MÜKERRER","OK"))</f>
        <v/>
      </c>
      <c r="AE285" s="137">
        <f>IF($Y285="","",IFERROR(VLOOKUP($Y285,RiskKatsayilari,2,FALSE()),0))</f>
        <v/>
      </c>
      <c r="AF285" s="137">
        <f>IF(OR($M285="",$AE285=""),"",ROUND(ABS($M285)*$AE285,2))</f>
        <v/>
      </c>
      <c r="AG285" s="137">
        <f>IF($G285="","",IFERROR(INDEX(CARI_KARTLARI!$I$6:$I$1000,MATCH($G285,CARI_KARTLARI!$A$6:$A$1000,0)),"VERİ YETERSİZ"))</f>
        <v/>
      </c>
    </row>
    <row r="286" ht="18" customHeight="1" s="102">
      <c r="A286" s="137">
        <f>IF($C286="","","CKS-"&amp;TEXT(ROW()-BaslangicSatir,"000000"))</f>
        <v/>
      </c>
      <c r="B286" s="138" t="n"/>
      <c r="C286" s="138" t="n"/>
      <c r="D286" s="138" t="n"/>
      <c r="E286" s="138" t="n"/>
      <c r="F286" s="138" t="n"/>
      <c r="G286" s="138" t="n"/>
      <c r="H286" s="138" t="n"/>
      <c r="I286" s="138" t="n"/>
      <c r="J286" s="138" t="n"/>
      <c r="K286" s="138" t="n"/>
      <c r="L286" s="138" t="n"/>
      <c r="M286" s="137">
        <f>IF($C286="","",ROUND($J286*$L286*IF($D286="Alınan",1,-1),2))</f>
        <v/>
      </c>
      <c r="N286" s="138" t="n"/>
      <c r="O286" s="138" t="n"/>
      <c r="P286" s="138" t="n"/>
      <c r="Q286" s="138" t="n"/>
      <c r="R286" s="138" t="n"/>
      <c r="S286" s="138" t="n"/>
      <c r="T286" s="138" t="n"/>
      <c r="U286" s="138" t="n"/>
      <c r="V286" s="138" t="n"/>
      <c r="W286" s="138" t="n"/>
      <c r="X286" s="138" t="n"/>
      <c r="Y286" s="138" t="n"/>
      <c r="Z286" s="138" t="n"/>
      <c r="AA286" s="138" t="n"/>
      <c r="AB286" s="138" t="n"/>
      <c r="AC286" s="138" t="n"/>
      <c r="AD286" s="137">
        <f>IF($C286="","",IF(COUNTIFS($C$6:$C$1000,$C286,$G$6:$G$1000,$G286,$J$6:$J$1000,$J286)&gt;1,"MÜKERRER","OK"))</f>
        <v/>
      </c>
      <c r="AE286" s="137">
        <f>IF($Y286="","",IFERROR(VLOOKUP($Y286,RiskKatsayilari,2,FALSE()),0))</f>
        <v/>
      </c>
      <c r="AF286" s="137">
        <f>IF(OR($M286="",$AE286=""),"",ROUND(ABS($M286)*$AE286,2))</f>
        <v/>
      </c>
      <c r="AG286" s="137">
        <f>IF($G286="","",IFERROR(INDEX(CARI_KARTLARI!$I$6:$I$1000,MATCH($G286,CARI_KARTLARI!$A$6:$A$1000,0)),"VERİ YETERSİZ"))</f>
        <v/>
      </c>
    </row>
    <row r="287" ht="18" customHeight="1" s="102">
      <c r="A287" s="137">
        <f>IF($C287="","","CKS-"&amp;TEXT(ROW()-BaslangicSatir,"000000"))</f>
        <v/>
      </c>
      <c r="B287" s="138" t="n"/>
      <c r="C287" s="138" t="n"/>
      <c r="D287" s="138" t="n"/>
      <c r="E287" s="138" t="n"/>
      <c r="F287" s="138" t="n"/>
      <c r="G287" s="138" t="n"/>
      <c r="H287" s="138" t="n"/>
      <c r="I287" s="138" t="n"/>
      <c r="J287" s="138" t="n"/>
      <c r="K287" s="138" t="n"/>
      <c r="L287" s="138" t="n"/>
      <c r="M287" s="137">
        <f>IF($C287="","",ROUND($J287*$L287*IF($D287="Alınan",1,-1),2))</f>
        <v/>
      </c>
      <c r="N287" s="138" t="n"/>
      <c r="O287" s="138" t="n"/>
      <c r="P287" s="138" t="n"/>
      <c r="Q287" s="138" t="n"/>
      <c r="R287" s="138" t="n"/>
      <c r="S287" s="138" t="n"/>
      <c r="T287" s="138" t="n"/>
      <c r="U287" s="138" t="n"/>
      <c r="V287" s="138" t="n"/>
      <c r="W287" s="138" t="n"/>
      <c r="X287" s="138" t="n"/>
      <c r="Y287" s="138" t="n"/>
      <c r="Z287" s="138" t="n"/>
      <c r="AA287" s="138" t="n"/>
      <c r="AB287" s="138" t="n"/>
      <c r="AC287" s="138" t="n"/>
      <c r="AD287" s="137">
        <f>IF($C287="","",IF(COUNTIFS($C$6:$C$1000,$C287,$G$6:$G$1000,$G287,$J$6:$J$1000,$J287)&gt;1,"MÜKERRER","OK"))</f>
        <v/>
      </c>
      <c r="AE287" s="137">
        <f>IF($Y287="","",IFERROR(VLOOKUP($Y287,RiskKatsayilari,2,FALSE()),0))</f>
        <v/>
      </c>
      <c r="AF287" s="137">
        <f>IF(OR($M287="",$AE287=""),"",ROUND(ABS($M287)*$AE287,2))</f>
        <v/>
      </c>
      <c r="AG287" s="137">
        <f>IF($G287="","",IFERROR(INDEX(CARI_KARTLARI!$I$6:$I$1000,MATCH($G287,CARI_KARTLARI!$A$6:$A$1000,0)),"VERİ YETERSİZ"))</f>
        <v/>
      </c>
    </row>
    <row r="288" ht="18" customHeight="1" s="102">
      <c r="A288" s="137">
        <f>IF($C288="","","CKS-"&amp;TEXT(ROW()-BaslangicSatir,"000000"))</f>
        <v/>
      </c>
      <c r="B288" s="138" t="n"/>
      <c r="C288" s="138" t="n"/>
      <c r="D288" s="138" t="n"/>
      <c r="E288" s="138" t="n"/>
      <c r="F288" s="138" t="n"/>
      <c r="G288" s="138" t="n"/>
      <c r="H288" s="138" t="n"/>
      <c r="I288" s="138" t="n"/>
      <c r="J288" s="138" t="n"/>
      <c r="K288" s="138" t="n"/>
      <c r="L288" s="138" t="n"/>
      <c r="M288" s="137">
        <f>IF($C288="","",ROUND($J288*$L288*IF($D288="Alınan",1,-1),2))</f>
        <v/>
      </c>
      <c r="N288" s="138" t="n"/>
      <c r="O288" s="138" t="n"/>
      <c r="P288" s="138" t="n"/>
      <c r="Q288" s="138" t="n"/>
      <c r="R288" s="138" t="n"/>
      <c r="S288" s="138" t="n"/>
      <c r="T288" s="138" t="n"/>
      <c r="U288" s="138" t="n"/>
      <c r="V288" s="138" t="n"/>
      <c r="W288" s="138" t="n"/>
      <c r="X288" s="138" t="n"/>
      <c r="Y288" s="138" t="n"/>
      <c r="Z288" s="138" t="n"/>
      <c r="AA288" s="138" t="n"/>
      <c r="AB288" s="138" t="n"/>
      <c r="AC288" s="138" t="n"/>
      <c r="AD288" s="137">
        <f>IF($C288="","",IF(COUNTIFS($C$6:$C$1000,$C288,$G$6:$G$1000,$G288,$J$6:$J$1000,$J288)&gt;1,"MÜKERRER","OK"))</f>
        <v/>
      </c>
      <c r="AE288" s="137">
        <f>IF($Y288="","",IFERROR(VLOOKUP($Y288,RiskKatsayilari,2,FALSE()),0))</f>
        <v/>
      </c>
      <c r="AF288" s="137">
        <f>IF(OR($M288="",$AE288=""),"",ROUND(ABS($M288)*$AE288,2))</f>
        <v/>
      </c>
      <c r="AG288" s="137">
        <f>IF($G288="","",IFERROR(INDEX(CARI_KARTLARI!$I$6:$I$1000,MATCH($G288,CARI_KARTLARI!$A$6:$A$1000,0)),"VERİ YETERSİZ"))</f>
        <v/>
      </c>
    </row>
    <row r="289" ht="18" customHeight="1" s="102">
      <c r="A289" s="137">
        <f>IF($C289="","","CKS-"&amp;TEXT(ROW()-BaslangicSatir,"000000"))</f>
        <v/>
      </c>
      <c r="B289" s="138" t="n"/>
      <c r="C289" s="138" t="n"/>
      <c r="D289" s="138" t="n"/>
      <c r="E289" s="138" t="n"/>
      <c r="F289" s="138" t="n"/>
      <c r="G289" s="138" t="n"/>
      <c r="H289" s="138" t="n"/>
      <c r="I289" s="138" t="n"/>
      <c r="J289" s="138" t="n"/>
      <c r="K289" s="138" t="n"/>
      <c r="L289" s="138" t="n"/>
      <c r="M289" s="137">
        <f>IF($C289="","",ROUND($J289*$L289*IF($D289="Alınan",1,-1),2))</f>
        <v/>
      </c>
      <c r="N289" s="138" t="n"/>
      <c r="O289" s="138" t="n"/>
      <c r="P289" s="138" t="n"/>
      <c r="Q289" s="138" t="n"/>
      <c r="R289" s="138" t="n"/>
      <c r="S289" s="138" t="n"/>
      <c r="T289" s="138" t="n"/>
      <c r="U289" s="138" t="n"/>
      <c r="V289" s="138" t="n"/>
      <c r="W289" s="138" t="n"/>
      <c r="X289" s="138" t="n"/>
      <c r="Y289" s="138" t="n"/>
      <c r="Z289" s="138" t="n"/>
      <c r="AA289" s="138" t="n"/>
      <c r="AB289" s="138" t="n"/>
      <c r="AC289" s="138" t="n"/>
      <c r="AD289" s="137">
        <f>IF($C289="","",IF(COUNTIFS($C$6:$C$1000,$C289,$G$6:$G$1000,$G289,$J$6:$J$1000,$J289)&gt;1,"MÜKERRER","OK"))</f>
        <v/>
      </c>
      <c r="AE289" s="137">
        <f>IF($Y289="","",IFERROR(VLOOKUP($Y289,RiskKatsayilari,2,FALSE()),0))</f>
        <v/>
      </c>
      <c r="AF289" s="137">
        <f>IF(OR($M289="",$AE289=""),"",ROUND(ABS($M289)*$AE289,2))</f>
        <v/>
      </c>
      <c r="AG289" s="137">
        <f>IF($G289="","",IFERROR(INDEX(CARI_KARTLARI!$I$6:$I$1000,MATCH($G289,CARI_KARTLARI!$A$6:$A$1000,0)),"VERİ YETERSİZ"))</f>
        <v/>
      </c>
    </row>
    <row r="290" ht="18" customHeight="1" s="102">
      <c r="A290" s="137">
        <f>IF($C290="","","CKS-"&amp;TEXT(ROW()-BaslangicSatir,"000000"))</f>
        <v/>
      </c>
      <c r="B290" s="138" t="n"/>
      <c r="C290" s="138" t="n"/>
      <c r="D290" s="138" t="n"/>
      <c r="E290" s="138" t="n"/>
      <c r="F290" s="138" t="n"/>
      <c r="G290" s="138" t="n"/>
      <c r="H290" s="138" t="n"/>
      <c r="I290" s="138" t="n"/>
      <c r="J290" s="138" t="n"/>
      <c r="K290" s="138" t="n"/>
      <c r="L290" s="138" t="n"/>
      <c r="M290" s="137">
        <f>IF($C290="","",ROUND($J290*$L290*IF($D290="Alınan",1,-1),2))</f>
        <v/>
      </c>
      <c r="N290" s="138" t="n"/>
      <c r="O290" s="138" t="n"/>
      <c r="P290" s="138" t="n"/>
      <c r="Q290" s="138" t="n"/>
      <c r="R290" s="138" t="n"/>
      <c r="S290" s="138" t="n"/>
      <c r="T290" s="138" t="n"/>
      <c r="U290" s="138" t="n"/>
      <c r="V290" s="138" t="n"/>
      <c r="W290" s="138" t="n"/>
      <c r="X290" s="138" t="n"/>
      <c r="Y290" s="138" t="n"/>
      <c r="Z290" s="138" t="n"/>
      <c r="AA290" s="138" t="n"/>
      <c r="AB290" s="138" t="n"/>
      <c r="AC290" s="138" t="n"/>
      <c r="AD290" s="137">
        <f>IF($C290="","",IF(COUNTIFS($C$6:$C$1000,$C290,$G$6:$G$1000,$G290,$J$6:$J$1000,$J290)&gt;1,"MÜKERRER","OK"))</f>
        <v/>
      </c>
      <c r="AE290" s="137">
        <f>IF($Y290="","",IFERROR(VLOOKUP($Y290,RiskKatsayilari,2,FALSE()),0))</f>
        <v/>
      </c>
      <c r="AF290" s="137">
        <f>IF(OR($M290="",$AE290=""),"",ROUND(ABS($M290)*$AE290,2))</f>
        <v/>
      </c>
      <c r="AG290" s="137">
        <f>IF($G290="","",IFERROR(INDEX(CARI_KARTLARI!$I$6:$I$1000,MATCH($G290,CARI_KARTLARI!$A$6:$A$1000,0)),"VERİ YETERSİZ"))</f>
        <v/>
      </c>
    </row>
    <row r="291" ht="18" customHeight="1" s="102">
      <c r="A291" s="137">
        <f>IF($C291="","","CKS-"&amp;TEXT(ROW()-BaslangicSatir,"000000"))</f>
        <v/>
      </c>
      <c r="B291" s="138" t="n"/>
      <c r="C291" s="138" t="n"/>
      <c r="D291" s="138" t="n"/>
      <c r="E291" s="138" t="n"/>
      <c r="F291" s="138" t="n"/>
      <c r="G291" s="138" t="n"/>
      <c r="H291" s="138" t="n"/>
      <c r="I291" s="138" t="n"/>
      <c r="J291" s="138" t="n"/>
      <c r="K291" s="138" t="n"/>
      <c r="L291" s="138" t="n"/>
      <c r="M291" s="137">
        <f>IF($C291="","",ROUND($J291*$L291*IF($D291="Alınan",1,-1),2))</f>
        <v/>
      </c>
      <c r="N291" s="138" t="n"/>
      <c r="O291" s="138" t="n"/>
      <c r="P291" s="138" t="n"/>
      <c r="Q291" s="138" t="n"/>
      <c r="R291" s="138" t="n"/>
      <c r="S291" s="138" t="n"/>
      <c r="T291" s="138" t="n"/>
      <c r="U291" s="138" t="n"/>
      <c r="V291" s="138" t="n"/>
      <c r="W291" s="138" t="n"/>
      <c r="X291" s="138" t="n"/>
      <c r="Y291" s="138" t="n"/>
      <c r="Z291" s="138" t="n"/>
      <c r="AA291" s="138" t="n"/>
      <c r="AB291" s="138" t="n"/>
      <c r="AC291" s="138" t="n"/>
      <c r="AD291" s="137">
        <f>IF($C291="","",IF(COUNTIFS($C$6:$C$1000,$C291,$G$6:$G$1000,$G291,$J$6:$J$1000,$J291)&gt;1,"MÜKERRER","OK"))</f>
        <v/>
      </c>
      <c r="AE291" s="137">
        <f>IF($Y291="","",IFERROR(VLOOKUP($Y291,RiskKatsayilari,2,FALSE()),0))</f>
        <v/>
      </c>
      <c r="AF291" s="137">
        <f>IF(OR($M291="",$AE291=""),"",ROUND(ABS($M291)*$AE291,2))</f>
        <v/>
      </c>
      <c r="AG291" s="137">
        <f>IF($G291="","",IFERROR(INDEX(CARI_KARTLARI!$I$6:$I$1000,MATCH($G291,CARI_KARTLARI!$A$6:$A$1000,0)),"VERİ YETERSİZ"))</f>
        <v/>
      </c>
    </row>
    <row r="292" ht="18" customHeight="1" s="102">
      <c r="A292" s="137">
        <f>IF($C292="","","CKS-"&amp;TEXT(ROW()-BaslangicSatir,"000000"))</f>
        <v/>
      </c>
      <c r="B292" s="138" t="n"/>
      <c r="C292" s="138" t="n"/>
      <c r="D292" s="138" t="n"/>
      <c r="E292" s="138" t="n"/>
      <c r="F292" s="138" t="n"/>
      <c r="G292" s="138" t="n"/>
      <c r="H292" s="138" t="n"/>
      <c r="I292" s="138" t="n"/>
      <c r="J292" s="138" t="n"/>
      <c r="K292" s="138" t="n"/>
      <c r="L292" s="138" t="n"/>
      <c r="M292" s="137">
        <f>IF($C292="","",ROUND($J292*$L292*IF($D292="Alınan",1,-1),2))</f>
        <v/>
      </c>
      <c r="N292" s="138" t="n"/>
      <c r="O292" s="138" t="n"/>
      <c r="P292" s="138" t="n"/>
      <c r="Q292" s="138" t="n"/>
      <c r="R292" s="138" t="n"/>
      <c r="S292" s="138" t="n"/>
      <c r="T292" s="138" t="n"/>
      <c r="U292" s="138" t="n"/>
      <c r="V292" s="138" t="n"/>
      <c r="W292" s="138" t="n"/>
      <c r="X292" s="138" t="n"/>
      <c r="Y292" s="138" t="n"/>
      <c r="Z292" s="138" t="n"/>
      <c r="AA292" s="138" t="n"/>
      <c r="AB292" s="138" t="n"/>
      <c r="AC292" s="138" t="n"/>
      <c r="AD292" s="137">
        <f>IF($C292="","",IF(COUNTIFS($C$6:$C$1000,$C292,$G$6:$G$1000,$G292,$J$6:$J$1000,$J292)&gt;1,"MÜKERRER","OK"))</f>
        <v/>
      </c>
      <c r="AE292" s="137">
        <f>IF($Y292="","",IFERROR(VLOOKUP($Y292,RiskKatsayilari,2,FALSE()),0))</f>
        <v/>
      </c>
      <c r="AF292" s="137">
        <f>IF(OR($M292="",$AE292=""),"",ROUND(ABS($M292)*$AE292,2))</f>
        <v/>
      </c>
      <c r="AG292" s="137">
        <f>IF($G292="","",IFERROR(INDEX(CARI_KARTLARI!$I$6:$I$1000,MATCH($G292,CARI_KARTLARI!$A$6:$A$1000,0)),"VERİ YETERSİZ"))</f>
        <v/>
      </c>
    </row>
    <row r="293" ht="18" customHeight="1" s="102">
      <c r="A293" s="137">
        <f>IF($C293="","","CKS-"&amp;TEXT(ROW()-BaslangicSatir,"000000"))</f>
        <v/>
      </c>
      <c r="B293" s="138" t="n"/>
      <c r="C293" s="138" t="n"/>
      <c r="D293" s="138" t="n"/>
      <c r="E293" s="138" t="n"/>
      <c r="F293" s="138" t="n"/>
      <c r="G293" s="138" t="n"/>
      <c r="H293" s="138" t="n"/>
      <c r="I293" s="138" t="n"/>
      <c r="J293" s="138" t="n"/>
      <c r="K293" s="138" t="n"/>
      <c r="L293" s="138" t="n"/>
      <c r="M293" s="137">
        <f>IF($C293="","",ROUND($J293*$L293*IF($D293="Alınan",1,-1),2))</f>
        <v/>
      </c>
      <c r="N293" s="138" t="n"/>
      <c r="O293" s="138" t="n"/>
      <c r="P293" s="138" t="n"/>
      <c r="Q293" s="138" t="n"/>
      <c r="R293" s="138" t="n"/>
      <c r="S293" s="138" t="n"/>
      <c r="T293" s="138" t="n"/>
      <c r="U293" s="138" t="n"/>
      <c r="V293" s="138" t="n"/>
      <c r="W293" s="138" t="n"/>
      <c r="X293" s="138" t="n"/>
      <c r="Y293" s="138" t="n"/>
      <c r="Z293" s="138" t="n"/>
      <c r="AA293" s="138" t="n"/>
      <c r="AB293" s="138" t="n"/>
      <c r="AC293" s="138" t="n"/>
      <c r="AD293" s="137">
        <f>IF($C293="","",IF(COUNTIFS($C$6:$C$1000,$C293,$G$6:$G$1000,$G293,$J$6:$J$1000,$J293)&gt;1,"MÜKERRER","OK"))</f>
        <v/>
      </c>
      <c r="AE293" s="137">
        <f>IF($Y293="","",IFERROR(VLOOKUP($Y293,RiskKatsayilari,2,FALSE()),0))</f>
        <v/>
      </c>
      <c r="AF293" s="137">
        <f>IF(OR($M293="",$AE293=""),"",ROUND(ABS($M293)*$AE293,2))</f>
        <v/>
      </c>
      <c r="AG293" s="137">
        <f>IF($G293="","",IFERROR(INDEX(CARI_KARTLARI!$I$6:$I$1000,MATCH($G293,CARI_KARTLARI!$A$6:$A$1000,0)),"VERİ YETERSİZ"))</f>
        <v/>
      </c>
    </row>
    <row r="294" ht="18" customHeight="1" s="102">
      <c r="A294" s="137">
        <f>IF($C294="","","CKS-"&amp;TEXT(ROW()-BaslangicSatir,"000000"))</f>
        <v/>
      </c>
      <c r="B294" s="138" t="n"/>
      <c r="C294" s="138" t="n"/>
      <c r="D294" s="138" t="n"/>
      <c r="E294" s="138" t="n"/>
      <c r="F294" s="138" t="n"/>
      <c r="G294" s="138" t="n"/>
      <c r="H294" s="138" t="n"/>
      <c r="I294" s="138" t="n"/>
      <c r="J294" s="138" t="n"/>
      <c r="K294" s="138" t="n"/>
      <c r="L294" s="138" t="n"/>
      <c r="M294" s="137">
        <f>IF($C294="","",ROUND($J294*$L294*IF($D294="Alınan",1,-1),2))</f>
        <v/>
      </c>
      <c r="N294" s="138" t="n"/>
      <c r="O294" s="138" t="n"/>
      <c r="P294" s="138" t="n"/>
      <c r="Q294" s="138" t="n"/>
      <c r="R294" s="138" t="n"/>
      <c r="S294" s="138" t="n"/>
      <c r="T294" s="138" t="n"/>
      <c r="U294" s="138" t="n"/>
      <c r="V294" s="138" t="n"/>
      <c r="W294" s="138" t="n"/>
      <c r="X294" s="138" t="n"/>
      <c r="Y294" s="138" t="n"/>
      <c r="Z294" s="138" t="n"/>
      <c r="AA294" s="138" t="n"/>
      <c r="AB294" s="138" t="n"/>
      <c r="AC294" s="138" t="n"/>
      <c r="AD294" s="137">
        <f>IF($C294="","",IF(COUNTIFS($C$6:$C$1000,$C294,$G$6:$G$1000,$G294,$J$6:$J$1000,$J294)&gt;1,"MÜKERRER","OK"))</f>
        <v/>
      </c>
      <c r="AE294" s="137">
        <f>IF($Y294="","",IFERROR(VLOOKUP($Y294,RiskKatsayilari,2,FALSE()),0))</f>
        <v/>
      </c>
      <c r="AF294" s="137">
        <f>IF(OR($M294="",$AE294=""),"",ROUND(ABS($M294)*$AE294,2))</f>
        <v/>
      </c>
      <c r="AG294" s="137">
        <f>IF($G294="","",IFERROR(INDEX(CARI_KARTLARI!$I$6:$I$1000,MATCH($G294,CARI_KARTLARI!$A$6:$A$1000,0)),"VERİ YETERSİZ"))</f>
        <v/>
      </c>
    </row>
    <row r="295" ht="18" customHeight="1" s="102">
      <c r="A295" s="137">
        <f>IF($C295="","","CKS-"&amp;TEXT(ROW()-BaslangicSatir,"000000"))</f>
        <v/>
      </c>
      <c r="B295" s="138" t="n"/>
      <c r="C295" s="138" t="n"/>
      <c r="D295" s="138" t="n"/>
      <c r="E295" s="138" t="n"/>
      <c r="F295" s="138" t="n"/>
      <c r="G295" s="138" t="n"/>
      <c r="H295" s="138" t="n"/>
      <c r="I295" s="138" t="n"/>
      <c r="J295" s="138" t="n"/>
      <c r="K295" s="138" t="n"/>
      <c r="L295" s="138" t="n"/>
      <c r="M295" s="137">
        <f>IF($C295="","",ROUND($J295*$L295*IF($D295="Alınan",1,-1),2))</f>
        <v/>
      </c>
      <c r="N295" s="138" t="n"/>
      <c r="O295" s="138" t="n"/>
      <c r="P295" s="138" t="n"/>
      <c r="Q295" s="138" t="n"/>
      <c r="R295" s="138" t="n"/>
      <c r="S295" s="138" t="n"/>
      <c r="T295" s="138" t="n"/>
      <c r="U295" s="138" t="n"/>
      <c r="V295" s="138" t="n"/>
      <c r="W295" s="138" t="n"/>
      <c r="X295" s="138" t="n"/>
      <c r="Y295" s="138" t="n"/>
      <c r="Z295" s="138" t="n"/>
      <c r="AA295" s="138" t="n"/>
      <c r="AB295" s="138" t="n"/>
      <c r="AC295" s="138" t="n"/>
      <c r="AD295" s="137">
        <f>IF($C295="","",IF(COUNTIFS($C$6:$C$1000,$C295,$G$6:$G$1000,$G295,$J$6:$J$1000,$J295)&gt;1,"MÜKERRER","OK"))</f>
        <v/>
      </c>
      <c r="AE295" s="137">
        <f>IF($Y295="","",IFERROR(VLOOKUP($Y295,RiskKatsayilari,2,FALSE()),0))</f>
        <v/>
      </c>
      <c r="AF295" s="137">
        <f>IF(OR($M295="",$AE295=""),"",ROUND(ABS($M295)*$AE295,2))</f>
        <v/>
      </c>
      <c r="AG295" s="137">
        <f>IF($G295="","",IFERROR(INDEX(CARI_KARTLARI!$I$6:$I$1000,MATCH($G295,CARI_KARTLARI!$A$6:$A$1000,0)),"VERİ YETERSİZ"))</f>
        <v/>
      </c>
    </row>
    <row r="296" ht="18" customHeight="1" s="102">
      <c r="A296" s="137">
        <f>IF($C296="","","CKS-"&amp;TEXT(ROW()-BaslangicSatir,"000000"))</f>
        <v/>
      </c>
      <c r="B296" s="138" t="n"/>
      <c r="C296" s="138" t="n"/>
      <c r="D296" s="138" t="n"/>
      <c r="E296" s="138" t="n"/>
      <c r="F296" s="138" t="n"/>
      <c r="G296" s="138" t="n"/>
      <c r="H296" s="138" t="n"/>
      <c r="I296" s="138" t="n"/>
      <c r="J296" s="138" t="n"/>
      <c r="K296" s="138" t="n"/>
      <c r="L296" s="138" t="n"/>
      <c r="M296" s="137">
        <f>IF($C296="","",ROUND($J296*$L296*IF($D296="Alınan",1,-1),2))</f>
        <v/>
      </c>
      <c r="N296" s="138" t="n"/>
      <c r="O296" s="138" t="n"/>
      <c r="P296" s="138" t="n"/>
      <c r="Q296" s="138" t="n"/>
      <c r="R296" s="138" t="n"/>
      <c r="S296" s="138" t="n"/>
      <c r="T296" s="138" t="n"/>
      <c r="U296" s="138" t="n"/>
      <c r="V296" s="138" t="n"/>
      <c r="W296" s="138" t="n"/>
      <c r="X296" s="138" t="n"/>
      <c r="Y296" s="138" t="n"/>
      <c r="Z296" s="138" t="n"/>
      <c r="AA296" s="138" t="n"/>
      <c r="AB296" s="138" t="n"/>
      <c r="AC296" s="138" t="n"/>
      <c r="AD296" s="137">
        <f>IF($C296="","",IF(COUNTIFS($C$6:$C$1000,$C296,$G$6:$G$1000,$G296,$J$6:$J$1000,$J296)&gt;1,"MÜKERRER","OK"))</f>
        <v/>
      </c>
      <c r="AE296" s="137">
        <f>IF($Y296="","",IFERROR(VLOOKUP($Y296,RiskKatsayilari,2,FALSE()),0))</f>
        <v/>
      </c>
      <c r="AF296" s="137">
        <f>IF(OR($M296="",$AE296=""),"",ROUND(ABS($M296)*$AE296,2))</f>
        <v/>
      </c>
      <c r="AG296" s="137">
        <f>IF($G296="","",IFERROR(INDEX(CARI_KARTLARI!$I$6:$I$1000,MATCH($G296,CARI_KARTLARI!$A$6:$A$1000,0)),"VERİ YETERSİZ"))</f>
        <v/>
      </c>
    </row>
    <row r="297" ht="18" customHeight="1" s="102">
      <c r="A297" s="137">
        <f>IF($C297="","","CKS-"&amp;TEXT(ROW()-BaslangicSatir,"000000"))</f>
        <v/>
      </c>
      <c r="B297" s="138" t="n"/>
      <c r="C297" s="138" t="n"/>
      <c r="D297" s="138" t="n"/>
      <c r="E297" s="138" t="n"/>
      <c r="F297" s="138" t="n"/>
      <c r="G297" s="138" t="n"/>
      <c r="H297" s="138" t="n"/>
      <c r="I297" s="138" t="n"/>
      <c r="J297" s="138" t="n"/>
      <c r="K297" s="138" t="n"/>
      <c r="L297" s="138" t="n"/>
      <c r="M297" s="137">
        <f>IF($C297="","",ROUND($J297*$L297*IF($D297="Alınan",1,-1),2))</f>
        <v/>
      </c>
      <c r="N297" s="138" t="n"/>
      <c r="O297" s="138" t="n"/>
      <c r="P297" s="138" t="n"/>
      <c r="Q297" s="138" t="n"/>
      <c r="R297" s="138" t="n"/>
      <c r="S297" s="138" t="n"/>
      <c r="T297" s="138" t="n"/>
      <c r="U297" s="138" t="n"/>
      <c r="V297" s="138" t="n"/>
      <c r="W297" s="138" t="n"/>
      <c r="X297" s="138" t="n"/>
      <c r="Y297" s="138" t="n"/>
      <c r="Z297" s="138" t="n"/>
      <c r="AA297" s="138" t="n"/>
      <c r="AB297" s="138" t="n"/>
      <c r="AC297" s="138" t="n"/>
      <c r="AD297" s="137">
        <f>IF($C297="","",IF(COUNTIFS($C$6:$C$1000,$C297,$G$6:$G$1000,$G297,$J$6:$J$1000,$J297)&gt;1,"MÜKERRER","OK"))</f>
        <v/>
      </c>
      <c r="AE297" s="137">
        <f>IF($Y297="","",IFERROR(VLOOKUP($Y297,RiskKatsayilari,2,FALSE()),0))</f>
        <v/>
      </c>
      <c r="AF297" s="137">
        <f>IF(OR($M297="",$AE297=""),"",ROUND(ABS($M297)*$AE297,2))</f>
        <v/>
      </c>
      <c r="AG297" s="137">
        <f>IF($G297="","",IFERROR(INDEX(CARI_KARTLARI!$I$6:$I$1000,MATCH($G297,CARI_KARTLARI!$A$6:$A$1000,0)),"VERİ YETERSİZ"))</f>
        <v/>
      </c>
    </row>
    <row r="298" ht="18" customHeight="1" s="102">
      <c r="A298" s="137">
        <f>IF($C298="","","CKS-"&amp;TEXT(ROW()-BaslangicSatir,"000000"))</f>
        <v/>
      </c>
      <c r="B298" s="138" t="n"/>
      <c r="C298" s="138" t="n"/>
      <c r="D298" s="138" t="n"/>
      <c r="E298" s="138" t="n"/>
      <c r="F298" s="138" t="n"/>
      <c r="G298" s="138" t="n"/>
      <c r="H298" s="138" t="n"/>
      <c r="I298" s="138" t="n"/>
      <c r="J298" s="138" t="n"/>
      <c r="K298" s="138" t="n"/>
      <c r="L298" s="138" t="n"/>
      <c r="M298" s="137">
        <f>IF($C298="","",ROUND($J298*$L298*IF($D298="Alınan",1,-1),2))</f>
        <v/>
      </c>
      <c r="N298" s="138" t="n"/>
      <c r="O298" s="138" t="n"/>
      <c r="P298" s="138" t="n"/>
      <c r="Q298" s="138" t="n"/>
      <c r="R298" s="138" t="n"/>
      <c r="S298" s="138" t="n"/>
      <c r="T298" s="138" t="n"/>
      <c r="U298" s="138" t="n"/>
      <c r="V298" s="138" t="n"/>
      <c r="W298" s="138" t="n"/>
      <c r="X298" s="138" t="n"/>
      <c r="Y298" s="138" t="n"/>
      <c r="Z298" s="138" t="n"/>
      <c r="AA298" s="138" t="n"/>
      <c r="AB298" s="138" t="n"/>
      <c r="AC298" s="138" t="n"/>
      <c r="AD298" s="137">
        <f>IF($C298="","",IF(COUNTIFS($C$6:$C$1000,$C298,$G$6:$G$1000,$G298,$J$6:$J$1000,$J298)&gt;1,"MÜKERRER","OK"))</f>
        <v/>
      </c>
      <c r="AE298" s="137">
        <f>IF($Y298="","",IFERROR(VLOOKUP($Y298,RiskKatsayilari,2,FALSE()),0))</f>
        <v/>
      </c>
      <c r="AF298" s="137">
        <f>IF(OR($M298="",$AE298=""),"",ROUND(ABS($M298)*$AE298,2))</f>
        <v/>
      </c>
      <c r="AG298" s="137">
        <f>IF($G298="","",IFERROR(INDEX(CARI_KARTLARI!$I$6:$I$1000,MATCH($G298,CARI_KARTLARI!$A$6:$A$1000,0)),"VERİ YETERSİZ"))</f>
        <v/>
      </c>
    </row>
    <row r="299" ht="18" customHeight="1" s="102">
      <c r="A299" s="137">
        <f>IF($C299="","","CKS-"&amp;TEXT(ROW()-BaslangicSatir,"000000"))</f>
        <v/>
      </c>
      <c r="B299" s="138" t="n"/>
      <c r="C299" s="138" t="n"/>
      <c r="D299" s="138" t="n"/>
      <c r="E299" s="138" t="n"/>
      <c r="F299" s="138" t="n"/>
      <c r="G299" s="138" t="n"/>
      <c r="H299" s="138" t="n"/>
      <c r="I299" s="138" t="n"/>
      <c r="J299" s="138" t="n"/>
      <c r="K299" s="138" t="n"/>
      <c r="L299" s="138" t="n"/>
      <c r="M299" s="137">
        <f>IF($C299="","",ROUND($J299*$L299*IF($D299="Alınan",1,-1),2))</f>
        <v/>
      </c>
      <c r="N299" s="138" t="n"/>
      <c r="O299" s="138" t="n"/>
      <c r="P299" s="138" t="n"/>
      <c r="Q299" s="138" t="n"/>
      <c r="R299" s="138" t="n"/>
      <c r="S299" s="138" t="n"/>
      <c r="T299" s="138" t="n"/>
      <c r="U299" s="138" t="n"/>
      <c r="V299" s="138" t="n"/>
      <c r="W299" s="138" t="n"/>
      <c r="X299" s="138" t="n"/>
      <c r="Y299" s="138" t="n"/>
      <c r="Z299" s="138" t="n"/>
      <c r="AA299" s="138" t="n"/>
      <c r="AB299" s="138" t="n"/>
      <c r="AC299" s="138" t="n"/>
      <c r="AD299" s="137">
        <f>IF($C299="","",IF(COUNTIFS($C$6:$C$1000,$C299,$G$6:$G$1000,$G299,$J$6:$J$1000,$J299)&gt;1,"MÜKERRER","OK"))</f>
        <v/>
      </c>
      <c r="AE299" s="137">
        <f>IF($Y299="","",IFERROR(VLOOKUP($Y299,RiskKatsayilari,2,FALSE()),0))</f>
        <v/>
      </c>
      <c r="AF299" s="137">
        <f>IF(OR($M299="",$AE299=""),"",ROUND(ABS($M299)*$AE299,2))</f>
        <v/>
      </c>
      <c r="AG299" s="137">
        <f>IF($G299="","",IFERROR(INDEX(CARI_KARTLARI!$I$6:$I$1000,MATCH($G299,CARI_KARTLARI!$A$6:$A$1000,0)),"VERİ YETERSİZ"))</f>
        <v/>
      </c>
    </row>
    <row r="300" ht="18" customHeight="1" s="102">
      <c r="A300" s="137">
        <f>IF($C300="","","CKS-"&amp;TEXT(ROW()-BaslangicSatir,"000000"))</f>
        <v/>
      </c>
      <c r="B300" s="138" t="n"/>
      <c r="C300" s="138" t="n"/>
      <c r="D300" s="138" t="n"/>
      <c r="E300" s="138" t="n"/>
      <c r="F300" s="138" t="n"/>
      <c r="G300" s="138" t="n"/>
      <c r="H300" s="138" t="n"/>
      <c r="I300" s="138" t="n"/>
      <c r="J300" s="138" t="n"/>
      <c r="K300" s="138" t="n"/>
      <c r="L300" s="138" t="n"/>
      <c r="M300" s="137">
        <f>IF($C300="","",ROUND($J300*$L300*IF($D300="Alınan",1,-1),2))</f>
        <v/>
      </c>
      <c r="N300" s="138" t="n"/>
      <c r="O300" s="138" t="n"/>
      <c r="P300" s="138" t="n"/>
      <c r="Q300" s="138" t="n"/>
      <c r="R300" s="138" t="n"/>
      <c r="S300" s="138" t="n"/>
      <c r="T300" s="138" t="n"/>
      <c r="U300" s="138" t="n"/>
      <c r="V300" s="138" t="n"/>
      <c r="W300" s="138" t="n"/>
      <c r="X300" s="138" t="n"/>
      <c r="Y300" s="138" t="n"/>
      <c r="Z300" s="138" t="n"/>
      <c r="AA300" s="138" t="n"/>
      <c r="AB300" s="138" t="n"/>
      <c r="AC300" s="138" t="n"/>
      <c r="AD300" s="137">
        <f>IF($C300="","",IF(COUNTIFS($C$6:$C$1000,$C300,$G$6:$G$1000,$G300,$J$6:$J$1000,$J300)&gt;1,"MÜKERRER","OK"))</f>
        <v/>
      </c>
      <c r="AE300" s="137">
        <f>IF($Y300="","",IFERROR(VLOOKUP($Y300,RiskKatsayilari,2,FALSE()),0))</f>
        <v/>
      </c>
      <c r="AF300" s="137">
        <f>IF(OR($M300="",$AE300=""),"",ROUND(ABS($M300)*$AE300,2))</f>
        <v/>
      </c>
      <c r="AG300" s="137">
        <f>IF($G300="","",IFERROR(INDEX(CARI_KARTLARI!$I$6:$I$1000,MATCH($G300,CARI_KARTLARI!$A$6:$A$1000,0)),"VERİ YETERSİZ"))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D6:D1000">
    <cfRule type="cellIs" rank="0" priority="2" equalAverage="0" operator="equal" aboveAverage="0" dxfId="10" text="" percent="0" bottom="0">
      <formula>"Alınan"</formula>
    </cfRule>
    <cfRule type="cellIs" rank="0" priority="3" equalAverage="0" operator="equal" aboveAverage="0" dxfId="12" text="" percent="0" bottom="0">
      <formula>"Verilen"</formula>
    </cfRule>
  </conditionalFormatting>
  <conditionalFormatting sqref="W6:W1000">
    <cfRule type="cellIs" rank="0" priority="4" equalAverage="0" operator="equal" aboveAverage="0" dxfId="10" text="" percent="0" bottom="0">
      <formula>"TAHSİL EDİLDİ"</formula>
    </cfRule>
    <cfRule type="cellIs" rank="0" priority="5" equalAverage="0" operator="equal" aboveAverage="0" dxfId="12" text="" percent="0" bottom="0">
      <formula>"KARŞILIKSIZ"</formula>
    </cfRule>
    <cfRule type="cellIs" rank="0" priority="6" equalAverage="0" operator="equal" aboveAverage="0" dxfId="13" text="" percent="0" bottom="0">
      <formula>"İPTAL"</formula>
    </cfRule>
    <cfRule type="cellIs" rank="0" priority="7" equalAverage="0" operator="equal" aboveAverage="0" dxfId="15" text="" percent="0" bottom="0">
      <formula>"KARŞILIKSIZ"</formula>
    </cfRule>
  </conditionalFormatting>
  <conditionalFormatting sqref="AD6:AD1000">
    <cfRule type="cellIs" rank="0" priority="8" equalAverage="0" operator="equal" aboveAverage="0" dxfId="16" text="" percent="0" bottom="0">
      <formula>"MÜKERRER"</formula>
    </cfRule>
    <cfRule type="cellIs" rank="0" priority="9" equalAverage="0" operator="equal" aboveAverage="0" dxfId="10" text="" percent="0" bottom="0">
      <formula>"OK"</formula>
    </cfRule>
  </conditionalFormatting>
  <conditionalFormatting sqref="Y6:Y1000">
    <cfRule type="cellIs" rank="0" priority="10" equalAverage="0" operator="equal" aboveAverage="0" dxfId="10" text="" percent="0" bottom="0">
      <formula>"DÜŞÜK"</formula>
    </cfRule>
    <cfRule type="cellIs" rank="0" priority="11" equalAverage="0" operator="equal" aboveAverage="0" dxfId="11" text="" percent="0" bottom="0">
      <formula>"ORTA"</formula>
    </cfRule>
    <cfRule type="cellIs" rank="0" priority="12" equalAverage="0" operator="equal" aboveAverage="0" dxfId="12" text="" percent="0" bottom="0">
      <formula>"YÜKSEK"</formula>
    </cfRule>
    <cfRule type="cellIs" rank="0" priority="13" equalAverage="0" operator="equal" aboveAverage="0" dxfId="12" text="" percent="0" bottom="0">
      <formula>"KARŞILIKSIZ"</formula>
    </cfRule>
  </conditionalFormatting>
  <dataValidations count="16">
    <dataValidation sqref="B6:B1000" showDropDown="0" showInputMessage="1" showErrorMessage="1" allowBlank="1" errorTitle="Geçersiz tür" error="Belge türü ÇEK veya SENET olmalıdır." promptTitle="Belge Türü" prompt="ÇEK veya SENET seçin." type="list" errorStyle="stop" operator="between">
      <formula1>LISTELER!$A$4:$A$20</formula1>
      <formula2>0</formula2>
    </dataValidation>
    <dataValidation sqref="D6:D1000" showDropDown="0" showInputMessage="1" showErrorMessage="1" allowBlank="1" errorTitle="Geçersiz yön" error="Yön Alınan veya Verilen olmalıdır." promptTitle="Yön" prompt="Alınan belge (+) veya Verilen belge (-)." type="list" errorStyle="stop" operator="between">
      <formula1>LISTELER!$B$4:$B$20</formula1>
      <formula2>0</formula2>
    </dataValidation>
    <dataValidation sqref="G6:G1000" showDropDown="0" showInputMessage="1" showErrorMessage="1" allowBlank="1" errorTitle="Geçersiz cari" error="CARİ_KARTLARI sayfasında tanımlı bir cari kodu seçiniz." promptTitle="Cari Kodu" prompt="CARI_KARTLARI sayfasındaki kodlardan birini seçin." type="list" errorStyle="stop" operator="between">
      <formula1>CARI_KARTLARI!$A$6:$A$1000</formula1>
      <formula2>0</formula2>
    </dataValidation>
    <dataValidation sqref="H6:H1000" showDropDown="0" showInputMessage="1" showErrorMessage="1" allowBlank="1" errorTitle="Geçersiz tarih" error="Keşide tarihi geçerli bir tarih olmalıdır." promptTitle="Keşide Tarihi" prompt="Belgenin keşide (düzenlenme) tarihini girin." type="date" errorStyle="stop" operator="greaterThan">
      <formula1>DATE(2020,1,1)</formula1>
      <formula2>0</formula2>
    </dataValidation>
    <dataValidation sqref="I6:I1000" showDropDown="0" showInputMessage="1" showErrorMessage="1" allowBlank="1" errorTitle="Geçersiz tarih" error="Vade tarihi keşide tarihinden sonra olmalıdır." promptTitle="Vade Tarihi" prompt="Belgenin vade tarihini girin; keşide tarihinden önce olamaz." type="date" errorStyle="stop" operator="greaterThan">
      <formula1>DATE(2020,1,1)</formula1>
      <formula2>0</formula2>
    </dataValidation>
    <dataValidation sqref="J6:J1000" showDropDown="0" showInputMessage="1" showErrorMessage="1" allowBlank="1" errorTitle="Geçersiz tutar" error="Tutar sıfırdan büyük olmalıdır." promptTitle="Tutar" prompt="Belge tutarını TL/para birimi cinsinden girin." type="decimal" errorStyle="stop" operator="greaterThan">
      <formula1>0</formula1>
      <formula2>0</formula2>
    </dataValidation>
    <dataValidation sqref="K6:K1000" showDropDown="0" showInputMessage="1" showErrorMessage="1" allowBlank="1" errorTitle="Geçersiz birim" error="Para birimi TRY, USD veya EUR olmalıdır." promptTitle="Para Birimi" prompt="TRY/USD/EUR seçin." type="list" errorStyle="stop" operator="between">
      <formula1>"TRY,USD,EUR"</formula1>
      <formula2>0</formula2>
    </dataValidation>
    <dataValidation sqref="L6:L1000" showDropDown="0" showInputMessage="1" showErrorMessage="1" allowBlank="1" errorTitle="Geçersiz kur" error="Kur sıfırdan büyük olmalıdır." promptTitle="Kur" prompt="TL dışı belgeler için kur girin (TRY için 1)." type="decimal" errorStyle="stop" operator="greaterThan">
      <formula1>0</formula1>
      <formula2>0</formula2>
    </dataValidation>
    <dataValidation sqref="Q6:Q1000" showDropDown="0" showInputMessage="1" showErrorMessage="1" allowBlank="1" errorTitle="Geçersiz durum" error="Teminat durumu listedeki seçeneklerden biri olmalıdır." promptTitle="Teminat Durumu" prompt="Belgenin teminat durumunu seçin." type="list" errorStyle="stop" operator="between">
      <formula1>LISTELER!$C$4:$C$20</formula1>
      <formula2>0</formula2>
    </dataValidation>
    <dataValidation sqref="R6:R1000" showDropDown="0" showInputMessage="1" showErrorMessage="1" allowBlank="1" errorTitle="Geçersiz değer" error="EVET veya HAYIR seçiniz." promptTitle="Ciro Edildi" prompt="Belge başka bir cariye ciro edildi mi?" type="list" errorStyle="stop" operator="between">
      <formula1>"HAYIR,EVET"</formula1>
      <formula2>0</formula2>
    </dataValidation>
    <dataValidation sqref="T6:T1000" showDropDown="0" showInputMessage="1" showErrorMessage="1" allowBlank="1" errorTitle="Geçersiz durum" error="Portföy durumu listedeki seçeneklerden biri olmalıdır." promptTitle="Portföy Durumu" prompt="Belgenin portföydeki güncel durumu." type="list" errorStyle="stop" operator="between">
      <formula1>LISTELER!$D$4:$D$20</formula1>
      <formula2>0</formula2>
    </dataValidation>
    <dataValidation sqref="U6:U1000" showDropDown="0" showInputMessage="1" showErrorMessage="1" allowBlank="1" errorTitle="Geçersiz banka" error="Bankayı LISTELER sayfasından seçin." promptTitle="Tahsil Bankası" prompt="Tahsile verilecek bankayı seçin." type="list" errorStyle="stop" operator="between">
      <formula1>LISTELER!$L$4:$L$20</formula1>
      <formula2>0</formula2>
    </dataValidation>
    <dataValidation sqref="W6:W1000" showDropDown="0" showInputMessage="1" showErrorMessage="1" allowBlank="1" errorTitle="Geçersiz durum" error="Son durum listedeki seçeneklerden biri olmalıdır." promptTitle="Son Durum" prompt="Belgenin en güncel son durumunu seçin." type="list" errorStyle="stop" operator="between">
      <formula1>LISTELER!$E$4:$E$20</formula1>
      <formula2>0</formula2>
    </dataValidation>
    <dataValidation sqref="Y6:Y1000" showDropDown="0" showInputMessage="1" showErrorMessage="1" allowBlank="1" errorTitle="Geçersiz sınıf" error="Risk sınıfı listedeki seçeneklerden biri olmalıdır." promptTitle="Risk Sınıfı" prompt="Belgenin risk sınıfını seçin." type="list" errorStyle="stop" operator="between">
      <formula1>LISTELER!$F$4:$F$20</formula1>
      <formula2>0</formula2>
    </dataValidation>
    <dataValidation sqref="Z6:Z1000" showDropDown="0" showInputMessage="1" showErrorMessage="1" allowBlank="1" errorTitle="Geçersiz değer" error="YOK veya VAR seçiniz." promptTitle="Karşılıksız Bilgisi" prompt="Belge karşılıksız çıktı mı?" type="list" errorStyle="stop" operator="between">
      <formula1>"YOK,VAR"</formula1>
      <formula2>0</formula2>
    </dataValidation>
    <dataValidation sqref="AA6:AA1000" showDropDown="0" showInputMessage="1" showErrorMessage="1" allowBlank="1" errorTitle="Geçersiz değer" error="Hukuki takip durumu listedeki seçeneklerden biri olmalıdır." promptTitle="Hukuki Takip" prompt="Belge için hukuki takip durumu." type="list" errorStyle="stop" operator="between">
      <formula1>"YOK,DEVAM EDİYOR,SONUÇLANDI"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28" min="1" max="1"/>
    <col width="13" customWidth="1" style="128" min="2" max="2"/>
    <col width="18" customWidth="1" style="128" min="3" max="4"/>
    <col width="12" customWidth="1" style="128" min="5" max="5"/>
    <col width="18" customWidth="1" style="128" min="6" max="6"/>
    <col width="14" customWidth="1" style="128" min="7" max="7"/>
    <col width="12" customWidth="1" style="128" min="8" max="9"/>
    <col width="42" customWidth="1" style="128" min="10" max="10"/>
  </cols>
  <sheetData>
    <row r="1" ht="25.5" customHeight="1" s="102">
      <c r="A1" s="129" t="inlineStr">
        <is>
          <t>CIRO ZINCIRI — ÇEK–SENET VE VADE RİSK SİSTEMİ</t>
        </is>
      </c>
    </row>
    <row r="2" ht="19.5" customHeight="1" s="102">
      <c r="A2" s="130" t="inlineStr">
        <is>
          <t>Ciro edilen belgelerin zincirini kaydedin. Ana Belge ID, CEK_SENET_KAYIT'taki Belge ID'dir. Ciro edilen belgeler portföyde aktif sayılmaz.</t>
        </is>
      </c>
    </row>
    <row r="5" ht="30" customHeight="1" s="102">
      <c r="A5" s="131" t="inlineStr">
        <is>
          <t>Ciro ID</t>
        </is>
      </c>
      <c r="B5" s="131" t="inlineStr">
        <is>
          <t>Ana Belge ID</t>
        </is>
      </c>
      <c r="C5" s="131" t="inlineStr">
        <is>
          <t>Önceki Sahip</t>
        </is>
      </c>
      <c r="D5" s="131" t="inlineStr">
        <is>
          <t>Yeni Sahip</t>
        </is>
      </c>
      <c r="E5" s="131" t="inlineStr">
        <is>
          <t>Ciro Tarihi</t>
        </is>
      </c>
      <c r="F5" s="131" t="inlineStr">
        <is>
          <t>Ciro Amacı</t>
        </is>
      </c>
      <c r="G5" s="131" t="inlineStr">
        <is>
          <t>Sorumluluk Devam</t>
        </is>
      </c>
      <c r="H5" s="131" t="inlineStr">
        <is>
          <t>Zincir Sırası</t>
        </is>
      </c>
      <c r="I5" s="131" t="inlineStr">
        <is>
          <t>Son Durum</t>
        </is>
      </c>
      <c r="J5" s="131" t="inlineStr">
        <is>
          <t>Not</t>
        </is>
      </c>
    </row>
    <row r="6" ht="18" customHeight="1" s="102">
      <c r="A6" s="137">
        <f>IF($B6="","","CIR-"&amp;TEXT(ROW()-BaslangicSatir,"000000"))</f>
        <v/>
      </c>
      <c r="B6" s="138" t="inlineStr">
        <is>
          <t>CKS-000001</t>
        </is>
      </c>
      <c r="C6" s="138" t="inlineStr">
        <is>
          <t>Kendi Firmamız</t>
        </is>
      </c>
      <c r="D6" s="138" t="inlineStr">
        <is>
          <t>Orhan Ticaret</t>
        </is>
      </c>
      <c r="E6" s="139" t="n">
        <v>46223</v>
      </c>
      <c r="F6" s="138" t="inlineStr">
        <is>
          <t>TEMİNAT</t>
        </is>
      </c>
      <c r="G6" s="138" t="inlineStr">
        <is>
          <t>EVET</t>
        </is>
      </c>
      <c r="H6" s="142" t="n">
        <v>1</v>
      </c>
      <c r="I6" s="138" t="inlineStr">
        <is>
          <t>AKTİF</t>
        </is>
      </c>
      <c r="J6" s="138" t="inlineStr">
        <is>
          <t>Delta Tekstil çeki teminat ciro</t>
        </is>
      </c>
    </row>
    <row r="7" ht="18" customHeight="1" s="102">
      <c r="A7" s="137">
        <f>IF($B7="","","CIR-"&amp;TEXT(ROW()-BaslangicSatir,"000000"))</f>
        <v/>
      </c>
      <c r="B7" s="138" t="inlineStr">
        <is>
          <t>CKS-000003</t>
        </is>
      </c>
      <c r="C7" s="138" t="inlineStr">
        <is>
          <t>Kendi Firmamız</t>
        </is>
      </c>
      <c r="D7" s="138" t="inlineStr">
        <is>
          <t>Elif Dayanıklı</t>
        </is>
      </c>
      <c r="E7" s="139" t="n">
        <v>46231</v>
      </c>
      <c r="F7" s="138" t="inlineStr">
        <is>
          <t>TAHSİLAT</t>
        </is>
      </c>
      <c r="G7" s="138" t="inlineStr">
        <is>
          <t>HAYIR</t>
        </is>
      </c>
      <c r="H7" s="142" t="n">
        <v>2</v>
      </c>
      <c r="I7" s="138" t="inlineStr">
        <is>
          <t>AKTİF</t>
        </is>
      </c>
      <c r="J7" s="138" t="inlineStr">
        <is>
          <t>Mega İnşaat çeki tahsilat cirosu</t>
        </is>
      </c>
    </row>
    <row r="8" ht="18" customHeight="1" s="102">
      <c r="A8" s="137">
        <f>IF($B8="","","CIR-"&amp;TEXT(ROW()-BaslangicSatir,"000000"))</f>
        <v/>
      </c>
      <c r="B8" s="138" t="n"/>
      <c r="C8" s="138" t="n"/>
      <c r="D8" s="138" t="n"/>
      <c r="E8" s="138" t="n"/>
      <c r="F8" s="138" t="n"/>
      <c r="G8" s="138" t="n"/>
      <c r="H8" s="138" t="n"/>
      <c r="I8" s="138" t="n"/>
      <c r="J8" s="138" t="n"/>
    </row>
    <row r="9" ht="18" customHeight="1" s="102">
      <c r="A9" s="137">
        <f>IF($B9="","","CIR-"&amp;TEXT(ROW()-BaslangicSatir,"000000"))</f>
        <v/>
      </c>
      <c r="B9" s="138" t="n"/>
      <c r="C9" s="138" t="n"/>
      <c r="D9" s="138" t="n"/>
      <c r="E9" s="138" t="n"/>
      <c r="F9" s="138" t="n"/>
      <c r="G9" s="138" t="n"/>
      <c r="H9" s="138" t="n"/>
      <c r="I9" s="138" t="n"/>
      <c r="J9" s="138" t="n"/>
    </row>
    <row r="10" ht="18" customHeight="1" s="102">
      <c r="A10" s="137">
        <f>IF($B10="","","CIR-"&amp;TEXT(ROW()-BaslangicSatir,"000000"))</f>
        <v/>
      </c>
      <c r="B10" s="138" t="n"/>
      <c r="C10" s="138" t="n"/>
      <c r="D10" s="138" t="n"/>
      <c r="E10" s="138" t="n"/>
      <c r="F10" s="138" t="n"/>
      <c r="G10" s="138" t="n"/>
      <c r="H10" s="138" t="n"/>
      <c r="I10" s="138" t="n"/>
      <c r="J10" s="138" t="n"/>
    </row>
    <row r="11" ht="18" customHeight="1" s="102">
      <c r="A11" s="137">
        <f>IF($B11="","","CIR-"&amp;TEXT(ROW()-BaslangicSatir,"000000"))</f>
        <v/>
      </c>
      <c r="B11" s="138" t="n"/>
      <c r="C11" s="138" t="n"/>
      <c r="D11" s="138" t="n"/>
      <c r="E11" s="138" t="n"/>
      <c r="F11" s="138" t="n"/>
      <c r="G11" s="138" t="n"/>
      <c r="H11" s="138" t="n"/>
      <c r="I11" s="138" t="n"/>
      <c r="J11" s="138" t="n"/>
    </row>
    <row r="12" ht="18" customHeight="1" s="102">
      <c r="A12" s="137">
        <f>IF($B12="","","CIR-"&amp;TEXT(ROW()-BaslangicSatir,"000000"))</f>
        <v/>
      </c>
      <c r="B12" s="138" t="n"/>
      <c r="C12" s="138" t="n"/>
      <c r="D12" s="138" t="n"/>
      <c r="E12" s="138" t="n"/>
      <c r="F12" s="138" t="n"/>
      <c r="G12" s="138" t="n"/>
      <c r="H12" s="138" t="n"/>
      <c r="I12" s="138" t="n"/>
      <c r="J12" s="138" t="n"/>
    </row>
    <row r="13" ht="18" customHeight="1" s="102">
      <c r="A13" s="137">
        <f>IF($B13="","","CIR-"&amp;TEXT(ROW()-BaslangicSatir,"000000"))</f>
        <v/>
      </c>
      <c r="B13" s="138" t="n"/>
      <c r="C13" s="138" t="n"/>
      <c r="D13" s="138" t="n"/>
      <c r="E13" s="138" t="n"/>
      <c r="F13" s="138" t="n"/>
      <c r="G13" s="138" t="n"/>
      <c r="H13" s="138" t="n"/>
      <c r="I13" s="138" t="n"/>
      <c r="J13" s="138" t="n"/>
    </row>
    <row r="14" ht="18" customHeight="1" s="102">
      <c r="A14" s="137">
        <f>IF($B14="","","CIR-"&amp;TEXT(ROW()-BaslangicSatir,"000000"))</f>
        <v/>
      </c>
      <c r="B14" s="138" t="n"/>
      <c r="C14" s="138" t="n"/>
      <c r="D14" s="138" t="n"/>
      <c r="E14" s="138" t="n"/>
      <c r="F14" s="138" t="n"/>
      <c r="G14" s="138" t="n"/>
      <c r="H14" s="138" t="n"/>
      <c r="I14" s="138" t="n"/>
      <c r="J14" s="138" t="n"/>
    </row>
    <row r="15" ht="18" customHeight="1" s="102">
      <c r="A15" s="137">
        <f>IF($B15="","","CIR-"&amp;TEXT(ROW()-BaslangicSatir,"000000"))</f>
        <v/>
      </c>
      <c r="B15" s="138" t="n"/>
      <c r="C15" s="138" t="n"/>
      <c r="D15" s="138" t="n"/>
      <c r="E15" s="138" t="n"/>
      <c r="F15" s="138" t="n"/>
      <c r="G15" s="138" t="n"/>
      <c r="H15" s="138" t="n"/>
      <c r="I15" s="138" t="n"/>
      <c r="J15" s="138" t="n"/>
    </row>
    <row r="16" ht="18" customHeight="1" s="102">
      <c r="A16" s="137">
        <f>IF($B16="","","CIR-"&amp;TEXT(ROW()-BaslangicSatir,"000000"))</f>
        <v/>
      </c>
      <c r="B16" s="138" t="n"/>
      <c r="C16" s="138" t="n"/>
      <c r="D16" s="138" t="n"/>
      <c r="E16" s="138" t="n"/>
      <c r="F16" s="138" t="n"/>
      <c r="G16" s="138" t="n"/>
      <c r="H16" s="138" t="n"/>
      <c r="I16" s="138" t="n"/>
      <c r="J16" s="138" t="n"/>
    </row>
    <row r="17" ht="18" customHeight="1" s="102">
      <c r="A17" s="137">
        <f>IF($B17="","","CIR-"&amp;TEXT(ROW()-BaslangicSatir,"000000"))</f>
        <v/>
      </c>
      <c r="B17" s="138" t="n"/>
      <c r="C17" s="138" t="n"/>
      <c r="D17" s="138" t="n"/>
      <c r="E17" s="138" t="n"/>
      <c r="F17" s="138" t="n"/>
      <c r="G17" s="138" t="n"/>
      <c r="H17" s="138" t="n"/>
      <c r="I17" s="138" t="n"/>
      <c r="J17" s="138" t="n"/>
    </row>
    <row r="18" ht="18" customHeight="1" s="102">
      <c r="A18" s="137">
        <f>IF($B18="","","CIR-"&amp;TEXT(ROW()-BaslangicSatir,"000000"))</f>
        <v/>
      </c>
      <c r="B18" s="138" t="n"/>
      <c r="C18" s="138" t="n"/>
      <c r="D18" s="138" t="n"/>
      <c r="E18" s="138" t="n"/>
      <c r="F18" s="138" t="n"/>
      <c r="G18" s="138" t="n"/>
      <c r="H18" s="138" t="n"/>
      <c r="I18" s="138" t="n"/>
      <c r="J18" s="138" t="n"/>
    </row>
    <row r="19" ht="18" customHeight="1" s="102">
      <c r="A19" s="137">
        <f>IF($B19="","","CIR-"&amp;TEXT(ROW()-BaslangicSatir,"000000"))</f>
        <v/>
      </c>
      <c r="B19" s="138" t="n"/>
      <c r="C19" s="138" t="n"/>
      <c r="D19" s="138" t="n"/>
      <c r="E19" s="138" t="n"/>
      <c r="F19" s="138" t="n"/>
      <c r="G19" s="138" t="n"/>
      <c r="H19" s="138" t="n"/>
      <c r="I19" s="138" t="n"/>
      <c r="J19" s="138" t="n"/>
    </row>
    <row r="20" ht="18" customHeight="1" s="102">
      <c r="A20" s="137">
        <f>IF($B20="","","CIR-"&amp;TEXT(ROW()-BaslangicSatir,"000000"))</f>
        <v/>
      </c>
      <c r="B20" s="138" t="n"/>
      <c r="C20" s="138" t="n"/>
      <c r="D20" s="138" t="n"/>
      <c r="E20" s="138" t="n"/>
      <c r="F20" s="138" t="n"/>
      <c r="G20" s="138" t="n"/>
      <c r="H20" s="138" t="n"/>
      <c r="I20" s="138" t="n"/>
      <c r="J20" s="138" t="n"/>
    </row>
    <row r="21" ht="18" customHeight="1" s="102">
      <c r="A21" s="137">
        <f>IF($B21="","","CIR-"&amp;TEXT(ROW()-BaslangicSatir,"000000"))</f>
        <v/>
      </c>
      <c r="B21" s="138" t="n"/>
      <c r="C21" s="138" t="n"/>
      <c r="D21" s="138" t="n"/>
      <c r="E21" s="138" t="n"/>
      <c r="F21" s="138" t="n"/>
      <c r="G21" s="138" t="n"/>
      <c r="H21" s="138" t="n"/>
      <c r="I21" s="138" t="n"/>
      <c r="J21" s="138" t="n"/>
    </row>
    <row r="22" ht="18" customHeight="1" s="102">
      <c r="A22" s="137">
        <f>IF($B22="","","CIR-"&amp;TEXT(ROW()-BaslangicSatir,"000000"))</f>
        <v/>
      </c>
      <c r="B22" s="138" t="n"/>
      <c r="C22" s="138" t="n"/>
      <c r="D22" s="138" t="n"/>
      <c r="E22" s="138" t="n"/>
      <c r="F22" s="138" t="n"/>
      <c r="G22" s="138" t="n"/>
      <c r="H22" s="138" t="n"/>
      <c r="I22" s="138" t="n"/>
      <c r="J22" s="138" t="n"/>
    </row>
    <row r="23" ht="18" customHeight="1" s="102">
      <c r="A23" s="137">
        <f>IF($B23="","","CIR-"&amp;TEXT(ROW()-BaslangicSatir,"000000"))</f>
        <v/>
      </c>
      <c r="B23" s="138" t="n"/>
      <c r="C23" s="138" t="n"/>
      <c r="D23" s="138" t="n"/>
      <c r="E23" s="138" t="n"/>
      <c r="F23" s="138" t="n"/>
      <c r="G23" s="138" t="n"/>
      <c r="H23" s="138" t="n"/>
      <c r="I23" s="138" t="n"/>
      <c r="J23" s="138" t="n"/>
    </row>
    <row r="24" ht="18" customHeight="1" s="102">
      <c r="A24" s="137">
        <f>IF($B24="","","CIR-"&amp;TEXT(ROW()-BaslangicSatir,"000000"))</f>
        <v/>
      </c>
      <c r="B24" s="138" t="n"/>
      <c r="C24" s="138" t="n"/>
      <c r="D24" s="138" t="n"/>
      <c r="E24" s="138" t="n"/>
      <c r="F24" s="138" t="n"/>
      <c r="G24" s="138" t="n"/>
      <c r="H24" s="138" t="n"/>
      <c r="I24" s="138" t="n"/>
      <c r="J24" s="138" t="n"/>
    </row>
    <row r="25" ht="18" customHeight="1" s="102">
      <c r="A25" s="137">
        <f>IF($B25="","","CIR-"&amp;TEXT(ROW()-BaslangicSatir,"000000"))</f>
        <v/>
      </c>
      <c r="B25" s="138" t="n"/>
      <c r="C25" s="138" t="n"/>
      <c r="D25" s="138" t="n"/>
      <c r="E25" s="138" t="n"/>
      <c r="F25" s="138" t="n"/>
      <c r="G25" s="138" t="n"/>
      <c r="H25" s="138" t="n"/>
      <c r="I25" s="138" t="n"/>
      <c r="J25" s="138" t="n"/>
    </row>
    <row r="26" ht="18" customHeight="1" s="102">
      <c r="A26" s="137">
        <f>IF($B26="","","CIR-"&amp;TEXT(ROW()-BaslangicSatir,"000000"))</f>
        <v/>
      </c>
      <c r="B26" s="138" t="n"/>
      <c r="C26" s="138" t="n"/>
      <c r="D26" s="138" t="n"/>
      <c r="E26" s="138" t="n"/>
      <c r="F26" s="138" t="n"/>
      <c r="G26" s="138" t="n"/>
      <c r="H26" s="138" t="n"/>
      <c r="I26" s="138" t="n"/>
      <c r="J26" s="138" t="n"/>
    </row>
    <row r="27" ht="18" customHeight="1" s="102">
      <c r="A27" s="137">
        <f>IF($B27="","","CIR-"&amp;TEXT(ROW()-BaslangicSatir,"000000"))</f>
        <v/>
      </c>
      <c r="B27" s="138" t="n"/>
      <c r="C27" s="138" t="n"/>
      <c r="D27" s="138" t="n"/>
      <c r="E27" s="138" t="n"/>
      <c r="F27" s="138" t="n"/>
      <c r="G27" s="138" t="n"/>
      <c r="H27" s="138" t="n"/>
      <c r="I27" s="138" t="n"/>
      <c r="J27" s="138" t="n"/>
    </row>
    <row r="28" ht="18" customHeight="1" s="102">
      <c r="A28" s="137">
        <f>IF($B28="","","CIR-"&amp;TEXT(ROW()-BaslangicSatir,"000000"))</f>
        <v/>
      </c>
      <c r="B28" s="138" t="n"/>
      <c r="C28" s="138" t="n"/>
      <c r="D28" s="138" t="n"/>
      <c r="E28" s="138" t="n"/>
      <c r="F28" s="138" t="n"/>
      <c r="G28" s="138" t="n"/>
      <c r="H28" s="138" t="n"/>
      <c r="I28" s="138" t="n"/>
      <c r="J28" s="138" t="n"/>
    </row>
    <row r="29" ht="18" customHeight="1" s="102">
      <c r="A29" s="137">
        <f>IF($B29="","","CIR-"&amp;TEXT(ROW()-BaslangicSatir,"000000"))</f>
        <v/>
      </c>
      <c r="B29" s="138" t="n"/>
      <c r="C29" s="138" t="n"/>
      <c r="D29" s="138" t="n"/>
      <c r="E29" s="138" t="n"/>
      <c r="F29" s="138" t="n"/>
      <c r="G29" s="138" t="n"/>
      <c r="H29" s="138" t="n"/>
      <c r="I29" s="138" t="n"/>
      <c r="J29" s="138" t="n"/>
    </row>
    <row r="30" ht="18" customHeight="1" s="102">
      <c r="A30" s="137">
        <f>IF($B30="","","CIR-"&amp;TEXT(ROW()-BaslangicSatir,"000000"))</f>
        <v/>
      </c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</row>
    <row r="31" ht="18" customHeight="1" s="102">
      <c r="A31" s="137">
        <f>IF($B31="","","CIR-"&amp;TEXT(ROW()-BaslangicSatir,"000000"))</f>
        <v/>
      </c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</row>
    <row r="32" ht="18" customHeight="1" s="102">
      <c r="A32" s="137">
        <f>IF($B32="","","CIR-"&amp;TEXT(ROW()-BaslangicSatir,"000000"))</f>
        <v/>
      </c>
      <c r="B32" s="138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  <row r="33" ht="18" customHeight="1" s="102">
      <c r="A33" s="137">
        <f>IF($B33="","","CIR-"&amp;TEXT(ROW()-BaslangicSatir,"000000"))</f>
        <v/>
      </c>
      <c r="B33" s="138" t="n"/>
      <c r="C33" s="138" t="n"/>
      <c r="D33" s="138" t="n"/>
      <c r="E33" s="138" t="n"/>
      <c r="F33" s="138" t="n"/>
      <c r="G33" s="138" t="n"/>
      <c r="H33" s="138" t="n"/>
      <c r="I33" s="138" t="n"/>
      <c r="J33" s="138" t="n"/>
    </row>
    <row r="34" ht="18" customHeight="1" s="102">
      <c r="A34" s="137">
        <f>IF($B34="","","CIR-"&amp;TEXT(ROW()-BaslangicSatir,"000000"))</f>
        <v/>
      </c>
      <c r="B34" s="138" t="n"/>
      <c r="C34" s="138" t="n"/>
      <c r="D34" s="138" t="n"/>
      <c r="E34" s="138" t="n"/>
      <c r="F34" s="138" t="n"/>
      <c r="G34" s="138" t="n"/>
      <c r="H34" s="138" t="n"/>
      <c r="I34" s="138" t="n"/>
      <c r="J34" s="138" t="n"/>
    </row>
    <row r="35" ht="18" customHeight="1" s="102">
      <c r="A35" s="137">
        <f>IF($B35="","","CIR-"&amp;TEXT(ROW()-BaslangicSatir,"000000"))</f>
        <v/>
      </c>
      <c r="B35" s="138" t="n"/>
      <c r="C35" s="138" t="n"/>
      <c r="D35" s="138" t="n"/>
      <c r="E35" s="138" t="n"/>
      <c r="F35" s="138" t="n"/>
      <c r="G35" s="138" t="n"/>
      <c r="H35" s="138" t="n"/>
      <c r="I35" s="138" t="n"/>
      <c r="J35" s="138" t="n"/>
    </row>
    <row r="36" ht="18" customHeight="1" s="102">
      <c r="A36" s="137">
        <f>IF($B36="","","CIR-"&amp;TEXT(ROW()-BaslangicSatir,"000000"))</f>
        <v/>
      </c>
      <c r="B36" s="138" t="n"/>
      <c r="C36" s="138" t="n"/>
      <c r="D36" s="138" t="n"/>
      <c r="E36" s="138" t="n"/>
      <c r="F36" s="138" t="n"/>
      <c r="G36" s="138" t="n"/>
      <c r="H36" s="138" t="n"/>
      <c r="I36" s="138" t="n"/>
      <c r="J36" s="138" t="n"/>
    </row>
    <row r="37" ht="18" customHeight="1" s="102">
      <c r="A37" s="137">
        <f>IF($B37="","","CIR-"&amp;TEXT(ROW()-BaslangicSatir,"000000"))</f>
        <v/>
      </c>
      <c r="B37" s="138" t="n"/>
      <c r="C37" s="138" t="n"/>
      <c r="D37" s="138" t="n"/>
      <c r="E37" s="138" t="n"/>
      <c r="F37" s="138" t="n"/>
      <c r="G37" s="138" t="n"/>
      <c r="H37" s="138" t="n"/>
      <c r="I37" s="138" t="n"/>
      <c r="J37" s="138" t="n"/>
    </row>
    <row r="38" ht="18" customHeight="1" s="102">
      <c r="A38" s="137">
        <f>IF($B38="","","CIR-"&amp;TEXT(ROW()-BaslangicSatir,"000000"))</f>
        <v/>
      </c>
      <c r="B38" s="138" t="n"/>
      <c r="C38" s="138" t="n"/>
      <c r="D38" s="138" t="n"/>
      <c r="E38" s="138" t="n"/>
      <c r="F38" s="138" t="n"/>
      <c r="G38" s="138" t="n"/>
      <c r="H38" s="138" t="n"/>
      <c r="I38" s="138" t="n"/>
      <c r="J38" s="138" t="n"/>
    </row>
    <row r="39" ht="18" customHeight="1" s="102">
      <c r="A39" s="137">
        <f>IF($B39="","","CIR-"&amp;TEXT(ROW()-BaslangicSatir,"000000"))</f>
        <v/>
      </c>
      <c r="B39" s="138" t="n"/>
      <c r="C39" s="138" t="n"/>
      <c r="D39" s="138" t="n"/>
      <c r="E39" s="138" t="n"/>
      <c r="F39" s="138" t="n"/>
      <c r="G39" s="138" t="n"/>
      <c r="H39" s="138" t="n"/>
      <c r="I39" s="138" t="n"/>
      <c r="J39" s="138" t="n"/>
    </row>
    <row r="40" ht="18" customHeight="1" s="102">
      <c r="A40" s="137">
        <f>IF($B40="","","CIR-"&amp;TEXT(ROW()-BaslangicSatir,"000000"))</f>
        <v/>
      </c>
      <c r="B40" s="138" t="n"/>
      <c r="C40" s="138" t="n"/>
      <c r="D40" s="138" t="n"/>
      <c r="E40" s="138" t="n"/>
      <c r="F40" s="138" t="n"/>
      <c r="G40" s="138" t="n"/>
      <c r="H40" s="138" t="n"/>
      <c r="I40" s="138" t="n"/>
      <c r="J40" s="138" t="n"/>
    </row>
    <row r="41" ht="18" customHeight="1" s="102">
      <c r="A41" s="137">
        <f>IF($B41="","","CIR-"&amp;TEXT(ROW()-BaslangicSatir,"000000"))</f>
        <v/>
      </c>
      <c r="B41" s="138" t="n"/>
      <c r="C41" s="138" t="n"/>
      <c r="D41" s="138" t="n"/>
      <c r="E41" s="138" t="n"/>
      <c r="F41" s="138" t="n"/>
      <c r="G41" s="138" t="n"/>
      <c r="H41" s="138" t="n"/>
      <c r="I41" s="138" t="n"/>
      <c r="J41" s="138" t="n"/>
    </row>
    <row r="42" ht="18" customHeight="1" s="102">
      <c r="A42" s="137">
        <f>IF($B42="","","CIR-"&amp;TEXT(ROW()-BaslangicSatir,"000000"))</f>
        <v/>
      </c>
      <c r="B42" s="138" t="n"/>
      <c r="C42" s="138" t="n"/>
      <c r="D42" s="138" t="n"/>
      <c r="E42" s="138" t="n"/>
      <c r="F42" s="138" t="n"/>
      <c r="G42" s="138" t="n"/>
      <c r="H42" s="138" t="n"/>
      <c r="I42" s="138" t="n"/>
      <c r="J42" s="138" t="n"/>
    </row>
    <row r="43" ht="18" customHeight="1" s="102">
      <c r="A43" s="137">
        <f>IF($B43="","","CIR-"&amp;TEXT(ROW()-BaslangicSatir,"000000"))</f>
        <v/>
      </c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</row>
    <row r="44" ht="18" customHeight="1" s="102">
      <c r="A44" s="137">
        <f>IF($B44="","","CIR-"&amp;TEXT(ROW()-BaslangicSatir,"000000"))</f>
        <v/>
      </c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</row>
    <row r="45" ht="18" customHeight="1" s="102">
      <c r="A45" s="137">
        <f>IF($B45="","","CIR-"&amp;TEXT(ROW()-BaslangicSatir,"000000"))</f>
        <v/>
      </c>
      <c r="B45" s="138" t="n"/>
      <c r="C45" s="138" t="n"/>
      <c r="D45" s="138" t="n"/>
      <c r="E45" s="138" t="n"/>
      <c r="F45" s="138" t="n"/>
      <c r="G45" s="138" t="n"/>
      <c r="H45" s="138" t="n"/>
      <c r="I45" s="138" t="n"/>
      <c r="J45" s="138" t="n"/>
    </row>
    <row r="46" ht="18" customHeight="1" s="102">
      <c r="A46" s="137">
        <f>IF($B46="","","CIR-"&amp;TEXT(ROW()-BaslangicSatir,"000000"))</f>
        <v/>
      </c>
      <c r="B46" s="138" t="n"/>
      <c r="C46" s="138" t="n"/>
      <c r="D46" s="138" t="n"/>
      <c r="E46" s="138" t="n"/>
      <c r="F46" s="138" t="n"/>
      <c r="G46" s="138" t="n"/>
      <c r="H46" s="138" t="n"/>
      <c r="I46" s="138" t="n"/>
      <c r="J46" s="138" t="n"/>
    </row>
    <row r="47" ht="18" customHeight="1" s="102">
      <c r="A47" s="137">
        <f>IF($B47="","","CIR-"&amp;TEXT(ROW()-BaslangicSatir,"000000"))</f>
        <v/>
      </c>
      <c r="B47" s="138" t="n"/>
      <c r="C47" s="138" t="n"/>
      <c r="D47" s="138" t="n"/>
      <c r="E47" s="138" t="n"/>
      <c r="F47" s="138" t="n"/>
      <c r="G47" s="138" t="n"/>
      <c r="H47" s="138" t="n"/>
      <c r="I47" s="138" t="n"/>
      <c r="J47" s="138" t="n"/>
    </row>
    <row r="48" ht="18" customHeight="1" s="102">
      <c r="A48" s="137">
        <f>IF($B48="","","CIR-"&amp;TEXT(ROW()-BaslangicSatir,"000000"))</f>
        <v/>
      </c>
      <c r="B48" s="138" t="n"/>
      <c r="C48" s="138" t="n"/>
      <c r="D48" s="138" t="n"/>
      <c r="E48" s="138" t="n"/>
      <c r="F48" s="138" t="n"/>
      <c r="G48" s="138" t="n"/>
      <c r="H48" s="138" t="n"/>
      <c r="I48" s="138" t="n"/>
      <c r="J48" s="138" t="n"/>
    </row>
    <row r="49" ht="18" customHeight="1" s="102">
      <c r="A49" s="137">
        <f>IF($B49="","","CIR-"&amp;TEXT(ROW()-BaslangicSatir,"000000"))</f>
        <v/>
      </c>
      <c r="B49" s="138" t="n"/>
      <c r="C49" s="138" t="n"/>
      <c r="D49" s="138" t="n"/>
      <c r="E49" s="138" t="n"/>
      <c r="F49" s="138" t="n"/>
      <c r="G49" s="138" t="n"/>
      <c r="H49" s="138" t="n"/>
      <c r="I49" s="138" t="n"/>
      <c r="J49" s="138" t="n"/>
    </row>
    <row r="50" ht="18" customHeight="1" s="102">
      <c r="A50" s="137">
        <f>IF($B50="","","CIR-"&amp;TEXT(ROW()-BaslangicSatir,"000000"))</f>
        <v/>
      </c>
      <c r="B50" s="138" t="n"/>
      <c r="C50" s="138" t="n"/>
      <c r="D50" s="138" t="n"/>
      <c r="E50" s="138" t="n"/>
      <c r="F50" s="138" t="n"/>
      <c r="G50" s="138" t="n"/>
      <c r="H50" s="138" t="n"/>
      <c r="I50" s="138" t="n"/>
      <c r="J50" s="138" t="n"/>
    </row>
    <row r="51" ht="18" customHeight="1" s="102">
      <c r="A51" s="137">
        <f>IF($B51="","","CIR-"&amp;TEXT(ROW()-BaslangicSatir,"000000"))</f>
        <v/>
      </c>
      <c r="B51" s="138" t="n"/>
      <c r="C51" s="138" t="n"/>
      <c r="D51" s="138" t="n"/>
      <c r="E51" s="138" t="n"/>
      <c r="F51" s="138" t="n"/>
      <c r="G51" s="138" t="n"/>
      <c r="H51" s="138" t="n"/>
      <c r="I51" s="138" t="n"/>
      <c r="J51" s="138" t="n"/>
    </row>
    <row r="52" ht="18" customHeight="1" s="102">
      <c r="A52" s="137">
        <f>IF($B52="","","CIR-"&amp;TEXT(ROW()-BaslangicSatir,"000000"))</f>
        <v/>
      </c>
      <c r="B52" s="138" t="n"/>
      <c r="C52" s="138" t="n"/>
      <c r="D52" s="138" t="n"/>
      <c r="E52" s="138" t="n"/>
      <c r="F52" s="138" t="n"/>
      <c r="G52" s="138" t="n"/>
      <c r="H52" s="138" t="n"/>
      <c r="I52" s="138" t="n"/>
      <c r="J52" s="138" t="n"/>
    </row>
    <row r="53" ht="18" customHeight="1" s="102">
      <c r="A53" s="137">
        <f>IF($B53="","","CIR-"&amp;TEXT(ROW()-BaslangicSatir,"000000"))</f>
        <v/>
      </c>
      <c r="B53" s="138" t="n"/>
      <c r="C53" s="138" t="n"/>
      <c r="D53" s="138" t="n"/>
      <c r="E53" s="138" t="n"/>
      <c r="F53" s="138" t="n"/>
      <c r="G53" s="138" t="n"/>
      <c r="H53" s="138" t="n"/>
      <c r="I53" s="138" t="n"/>
      <c r="J53" s="138" t="n"/>
    </row>
    <row r="54" ht="18" customHeight="1" s="102">
      <c r="A54" s="137">
        <f>IF($B54="","","CIR-"&amp;TEXT(ROW()-BaslangicSatir,"000000"))</f>
        <v/>
      </c>
      <c r="B54" s="138" t="n"/>
      <c r="C54" s="138" t="n"/>
      <c r="D54" s="138" t="n"/>
      <c r="E54" s="138" t="n"/>
      <c r="F54" s="138" t="n"/>
      <c r="G54" s="138" t="n"/>
      <c r="H54" s="138" t="n"/>
      <c r="I54" s="138" t="n"/>
      <c r="J54" s="138" t="n"/>
    </row>
    <row r="55" ht="18" customHeight="1" s="102">
      <c r="A55" s="137">
        <f>IF($B55="","","CIR-"&amp;TEXT(ROW()-BaslangicSatir,"000000"))</f>
        <v/>
      </c>
      <c r="B55" s="138" t="n"/>
      <c r="C55" s="138" t="n"/>
      <c r="D55" s="138" t="n"/>
      <c r="E55" s="138" t="n"/>
      <c r="F55" s="138" t="n"/>
      <c r="G55" s="138" t="n"/>
      <c r="H55" s="138" t="n"/>
      <c r="I55" s="138" t="n"/>
      <c r="J55" s="138" t="n"/>
    </row>
    <row r="56" ht="18" customHeight="1" s="102">
      <c r="A56" s="137">
        <f>IF($B56="","","CIR-"&amp;TEXT(ROW()-BaslangicSatir,"000000"))</f>
        <v/>
      </c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</row>
    <row r="57" ht="18" customHeight="1" s="102">
      <c r="A57" s="137">
        <f>IF($B57="","","CIR-"&amp;TEXT(ROW()-BaslangicSatir,"000000"))</f>
        <v/>
      </c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</row>
    <row r="58" ht="18" customHeight="1" s="102">
      <c r="A58" s="137">
        <f>IF($B58="","","CIR-"&amp;TEXT(ROW()-BaslangicSatir,"000000"))</f>
        <v/>
      </c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</row>
    <row r="59" ht="18" customHeight="1" s="102">
      <c r="A59" s="137">
        <f>IF($B59="","","CIR-"&amp;TEXT(ROW()-BaslangicSatir,"000000"))</f>
        <v/>
      </c>
      <c r="B59" s="138" t="n"/>
      <c r="C59" s="138" t="n"/>
      <c r="D59" s="138" t="n"/>
      <c r="E59" s="138" t="n"/>
      <c r="F59" s="138" t="n"/>
      <c r="G59" s="138" t="n"/>
      <c r="H59" s="138" t="n"/>
      <c r="I59" s="138" t="n"/>
      <c r="J59" s="138" t="n"/>
    </row>
    <row r="60" ht="18" customHeight="1" s="102">
      <c r="A60" s="137">
        <f>IF($B60="","","CIR-"&amp;TEXT(ROW()-BaslangicSatir,"000000"))</f>
        <v/>
      </c>
      <c r="B60" s="138" t="n"/>
      <c r="C60" s="138" t="n"/>
      <c r="D60" s="138" t="n"/>
      <c r="E60" s="138" t="n"/>
      <c r="F60" s="138" t="n"/>
      <c r="G60" s="138" t="n"/>
      <c r="H60" s="138" t="n"/>
      <c r="I60" s="138" t="n"/>
      <c r="J60" s="138" t="n"/>
    </row>
    <row r="61" ht="18" customHeight="1" s="102">
      <c r="A61" s="137">
        <f>IF($B61="","","CIR-"&amp;TEXT(ROW()-BaslangicSatir,"000000"))</f>
        <v/>
      </c>
      <c r="B61" s="138" t="n"/>
      <c r="C61" s="138" t="n"/>
      <c r="D61" s="138" t="n"/>
      <c r="E61" s="138" t="n"/>
      <c r="F61" s="138" t="n"/>
      <c r="G61" s="138" t="n"/>
      <c r="H61" s="138" t="n"/>
      <c r="I61" s="138" t="n"/>
      <c r="J61" s="138" t="n"/>
    </row>
    <row r="62" ht="18" customHeight="1" s="102">
      <c r="A62" s="137">
        <f>IF($B62="","","CIR-"&amp;TEXT(ROW()-BaslangicSatir,"000000"))</f>
        <v/>
      </c>
      <c r="B62" s="138" t="n"/>
      <c r="C62" s="138" t="n"/>
      <c r="D62" s="138" t="n"/>
      <c r="E62" s="138" t="n"/>
      <c r="F62" s="138" t="n"/>
      <c r="G62" s="138" t="n"/>
      <c r="H62" s="138" t="n"/>
      <c r="I62" s="138" t="n"/>
      <c r="J62" s="138" t="n"/>
    </row>
    <row r="63" ht="18" customHeight="1" s="102">
      <c r="A63" s="137">
        <f>IF($B63="","","CIR-"&amp;TEXT(ROW()-BaslangicSatir,"000000"))</f>
        <v/>
      </c>
      <c r="B63" s="138" t="n"/>
      <c r="C63" s="138" t="n"/>
      <c r="D63" s="138" t="n"/>
      <c r="E63" s="138" t="n"/>
      <c r="F63" s="138" t="n"/>
      <c r="G63" s="138" t="n"/>
      <c r="H63" s="138" t="n"/>
      <c r="I63" s="138" t="n"/>
      <c r="J63" s="138" t="n"/>
    </row>
    <row r="64" ht="18" customHeight="1" s="102">
      <c r="A64" s="137">
        <f>IF($B64="","","CIR-"&amp;TEXT(ROW()-BaslangicSatir,"000000"))</f>
        <v/>
      </c>
      <c r="B64" s="138" t="n"/>
      <c r="C64" s="138" t="n"/>
      <c r="D64" s="138" t="n"/>
      <c r="E64" s="138" t="n"/>
      <c r="F64" s="138" t="n"/>
      <c r="G64" s="138" t="n"/>
      <c r="H64" s="138" t="n"/>
      <c r="I64" s="138" t="n"/>
      <c r="J64" s="138" t="n"/>
    </row>
    <row r="65" ht="18" customHeight="1" s="102">
      <c r="A65" s="137">
        <f>IF($B65="","","CIR-"&amp;TEXT(ROW()-BaslangicSatir,"000000"))</f>
        <v/>
      </c>
      <c r="B65" s="138" t="n"/>
      <c r="C65" s="138" t="n"/>
      <c r="D65" s="138" t="n"/>
      <c r="E65" s="138" t="n"/>
      <c r="F65" s="138" t="n"/>
      <c r="G65" s="138" t="n"/>
      <c r="H65" s="138" t="n"/>
      <c r="I65" s="138" t="n"/>
      <c r="J65" s="138" t="n"/>
    </row>
    <row r="66" ht="18" customHeight="1" s="102">
      <c r="A66" s="137">
        <f>IF($B66="","","CIR-"&amp;TEXT(ROW()-BaslangicSatir,"000000"))</f>
        <v/>
      </c>
      <c r="B66" s="138" t="n"/>
      <c r="C66" s="138" t="n"/>
      <c r="D66" s="138" t="n"/>
      <c r="E66" s="138" t="n"/>
      <c r="F66" s="138" t="n"/>
      <c r="G66" s="138" t="n"/>
      <c r="H66" s="138" t="n"/>
      <c r="I66" s="138" t="n"/>
      <c r="J66" s="138" t="n"/>
    </row>
    <row r="67" ht="18" customHeight="1" s="102">
      <c r="A67" s="137">
        <f>IF($B67="","","CIR-"&amp;TEXT(ROW()-BaslangicSatir,"000000"))</f>
        <v/>
      </c>
      <c r="B67" s="138" t="n"/>
      <c r="C67" s="138" t="n"/>
      <c r="D67" s="138" t="n"/>
      <c r="E67" s="138" t="n"/>
      <c r="F67" s="138" t="n"/>
      <c r="G67" s="138" t="n"/>
      <c r="H67" s="138" t="n"/>
      <c r="I67" s="138" t="n"/>
      <c r="J67" s="138" t="n"/>
    </row>
    <row r="68" ht="18" customHeight="1" s="102">
      <c r="A68" s="137">
        <f>IF($B68="","","CIR-"&amp;TEXT(ROW()-BaslangicSatir,"000000"))</f>
        <v/>
      </c>
      <c r="B68" s="138" t="n"/>
      <c r="C68" s="138" t="n"/>
      <c r="D68" s="138" t="n"/>
      <c r="E68" s="138" t="n"/>
      <c r="F68" s="138" t="n"/>
      <c r="G68" s="138" t="n"/>
      <c r="H68" s="138" t="n"/>
      <c r="I68" s="138" t="n"/>
      <c r="J68" s="138" t="n"/>
    </row>
    <row r="69" ht="18" customHeight="1" s="102">
      <c r="A69" s="137">
        <f>IF($B69="","","CIR-"&amp;TEXT(ROW()-BaslangicSatir,"000000"))</f>
        <v/>
      </c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</row>
    <row r="70" ht="18" customHeight="1" s="102">
      <c r="A70" s="137">
        <f>IF($B70="","","CIR-"&amp;TEXT(ROW()-BaslangicSatir,"000000"))</f>
        <v/>
      </c>
      <c r="B70" s="138" t="n"/>
      <c r="C70" s="138" t="n"/>
      <c r="D70" s="138" t="n"/>
      <c r="E70" s="138" t="n"/>
      <c r="F70" s="138" t="n"/>
      <c r="G70" s="138" t="n"/>
      <c r="H70" s="138" t="n"/>
      <c r="I70" s="138" t="n"/>
      <c r="J70" s="138" t="n"/>
    </row>
    <row r="71" ht="18" customHeight="1" s="102">
      <c r="A71" s="137">
        <f>IF($B71="","","CIR-"&amp;TEXT(ROW()-BaslangicSatir,"000000"))</f>
        <v/>
      </c>
      <c r="B71" s="138" t="n"/>
      <c r="C71" s="138" t="n"/>
      <c r="D71" s="138" t="n"/>
      <c r="E71" s="138" t="n"/>
      <c r="F71" s="138" t="n"/>
      <c r="G71" s="138" t="n"/>
      <c r="H71" s="138" t="n"/>
      <c r="I71" s="138" t="n"/>
      <c r="J71" s="138" t="n"/>
    </row>
    <row r="72" ht="18" customHeight="1" s="102">
      <c r="A72" s="137">
        <f>IF($B72="","","CIR-"&amp;TEXT(ROW()-BaslangicSatir,"000000"))</f>
        <v/>
      </c>
      <c r="B72" s="138" t="n"/>
      <c r="C72" s="138" t="n"/>
      <c r="D72" s="138" t="n"/>
      <c r="E72" s="138" t="n"/>
      <c r="F72" s="138" t="n"/>
      <c r="G72" s="138" t="n"/>
      <c r="H72" s="138" t="n"/>
      <c r="I72" s="138" t="n"/>
      <c r="J72" s="138" t="n"/>
    </row>
    <row r="73" ht="18" customHeight="1" s="102">
      <c r="A73" s="137">
        <f>IF($B73="","","CIR-"&amp;TEXT(ROW()-BaslangicSatir,"000000"))</f>
        <v/>
      </c>
      <c r="B73" s="138" t="n"/>
      <c r="C73" s="138" t="n"/>
      <c r="D73" s="138" t="n"/>
      <c r="E73" s="138" t="n"/>
      <c r="F73" s="138" t="n"/>
      <c r="G73" s="138" t="n"/>
      <c r="H73" s="138" t="n"/>
      <c r="I73" s="138" t="n"/>
      <c r="J73" s="138" t="n"/>
    </row>
    <row r="74" ht="18" customHeight="1" s="102">
      <c r="A74" s="137">
        <f>IF($B74="","","CIR-"&amp;TEXT(ROW()-BaslangicSatir,"000000"))</f>
        <v/>
      </c>
      <c r="B74" s="138" t="n"/>
      <c r="C74" s="138" t="n"/>
      <c r="D74" s="138" t="n"/>
      <c r="E74" s="138" t="n"/>
      <c r="F74" s="138" t="n"/>
      <c r="G74" s="138" t="n"/>
      <c r="H74" s="138" t="n"/>
      <c r="I74" s="138" t="n"/>
      <c r="J74" s="138" t="n"/>
    </row>
    <row r="75" ht="18" customHeight="1" s="102">
      <c r="A75" s="137">
        <f>IF($B75="","","CIR-"&amp;TEXT(ROW()-BaslangicSatir,"000000"))</f>
        <v/>
      </c>
      <c r="B75" s="138" t="n"/>
      <c r="C75" s="138" t="n"/>
      <c r="D75" s="138" t="n"/>
      <c r="E75" s="138" t="n"/>
      <c r="F75" s="138" t="n"/>
      <c r="G75" s="138" t="n"/>
      <c r="H75" s="138" t="n"/>
      <c r="I75" s="138" t="n"/>
      <c r="J75" s="138" t="n"/>
    </row>
    <row r="76" ht="18" customHeight="1" s="102">
      <c r="A76" s="137">
        <f>IF($B76="","","CIR-"&amp;TEXT(ROW()-BaslangicSatir,"000000"))</f>
        <v/>
      </c>
      <c r="B76" s="138" t="n"/>
      <c r="C76" s="138" t="n"/>
      <c r="D76" s="138" t="n"/>
      <c r="E76" s="138" t="n"/>
      <c r="F76" s="138" t="n"/>
      <c r="G76" s="138" t="n"/>
      <c r="H76" s="138" t="n"/>
      <c r="I76" s="138" t="n"/>
      <c r="J76" s="138" t="n"/>
    </row>
    <row r="77" ht="18" customHeight="1" s="102">
      <c r="A77" s="137">
        <f>IF($B77="","","CIR-"&amp;TEXT(ROW()-BaslangicSatir,"000000"))</f>
        <v/>
      </c>
      <c r="B77" s="138" t="n"/>
      <c r="C77" s="138" t="n"/>
      <c r="D77" s="138" t="n"/>
      <c r="E77" s="138" t="n"/>
      <c r="F77" s="138" t="n"/>
      <c r="G77" s="138" t="n"/>
      <c r="H77" s="138" t="n"/>
      <c r="I77" s="138" t="n"/>
      <c r="J77" s="138" t="n"/>
    </row>
    <row r="78" ht="18" customHeight="1" s="102">
      <c r="A78" s="137">
        <f>IF($B78="","","CIR-"&amp;TEXT(ROW()-BaslangicSatir,"000000"))</f>
        <v/>
      </c>
      <c r="B78" s="138" t="n"/>
      <c r="C78" s="138" t="n"/>
      <c r="D78" s="138" t="n"/>
      <c r="E78" s="138" t="n"/>
      <c r="F78" s="138" t="n"/>
      <c r="G78" s="138" t="n"/>
      <c r="H78" s="138" t="n"/>
      <c r="I78" s="138" t="n"/>
      <c r="J78" s="138" t="n"/>
    </row>
    <row r="79" ht="18" customHeight="1" s="102">
      <c r="A79" s="137">
        <f>IF($B79="","","CIR-"&amp;TEXT(ROW()-BaslangicSatir,"000000"))</f>
        <v/>
      </c>
      <c r="B79" s="138" t="n"/>
      <c r="C79" s="138" t="n"/>
      <c r="D79" s="138" t="n"/>
      <c r="E79" s="138" t="n"/>
      <c r="F79" s="138" t="n"/>
      <c r="G79" s="138" t="n"/>
      <c r="H79" s="138" t="n"/>
      <c r="I79" s="138" t="n"/>
      <c r="J79" s="138" t="n"/>
    </row>
    <row r="80" ht="18" customHeight="1" s="102">
      <c r="A80" s="137">
        <f>IF($B80="","","CIR-"&amp;TEXT(ROW()-BaslangicSatir,"000000"))</f>
        <v/>
      </c>
      <c r="B80" s="138" t="n"/>
      <c r="C80" s="138" t="n"/>
      <c r="D80" s="138" t="n"/>
      <c r="E80" s="138" t="n"/>
      <c r="F80" s="138" t="n"/>
      <c r="G80" s="138" t="n"/>
      <c r="H80" s="138" t="n"/>
      <c r="I80" s="138" t="n"/>
      <c r="J80" s="138" t="n"/>
    </row>
    <row r="81" ht="18" customHeight="1" s="102">
      <c r="A81" s="137">
        <f>IF($B81="","","CIR-"&amp;TEXT(ROW()-BaslangicSatir,"000000"))</f>
        <v/>
      </c>
      <c r="B81" s="138" t="n"/>
      <c r="C81" s="138" t="n"/>
      <c r="D81" s="138" t="n"/>
      <c r="E81" s="138" t="n"/>
      <c r="F81" s="138" t="n"/>
      <c r="G81" s="138" t="n"/>
      <c r="H81" s="138" t="n"/>
      <c r="I81" s="138" t="n"/>
      <c r="J81" s="138" t="n"/>
    </row>
    <row r="82" ht="18" customHeight="1" s="102">
      <c r="A82" s="137">
        <f>IF($B82="","","CIR-"&amp;TEXT(ROW()-BaslangicSatir,"000000"))</f>
        <v/>
      </c>
      <c r="B82" s="138" t="n"/>
      <c r="C82" s="138" t="n"/>
      <c r="D82" s="138" t="n"/>
      <c r="E82" s="138" t="n"/>
      <c r="F82" s="138" t="n"/>
      <c r="G82" s="138" t="n"/>
      <c r="H82" s="138" t="n"/>
      <c r="I82" s="138" t="n"/>
      <c r="J82" s="138" t="n"/>
    </row>
    <row r="83" ht="18" customHeight="1" s="102">
      <c r="A83" s="137">
        <f>IF($B83="","","CIR-"&amp;TEXT(ROW()-BaslangicSatir,"000000"))</f>
        <v/>
      </c>
      <c r="B83" s="138" t="n"/>
      <c r="C83" s="138" t="n"/>
      <c r="D83" s="138" t="n"/>
      <c r="E83" s="138" t="n"/>
      <c r="F83" s="138" t="n"/>
      <c r="G83" s="138" t="n"/>
      <c r="H83" s="138" t="n"/>
      <c r="I83" s="138" t="n"/>
      <c r="J83" s="138" t="n"/>
    </row>
    <row r="84" ht="18" customHeight="1" s="102">
      <c r="A84" s="137">
        <f>IF($B84="","","CIR-"&amp;TEXT(ROW()-BaslangicSatir,"000000"))</f>
        <v/>
      </c>
      <c r="B84" s="138" t="n"/>
      <c r="C84" s="138" t="n"/>
      <c r="D84" s="138" t="n"/>
      <c r="E84" s="138" t="n"/>
      <c r="F84" s="138" t="n"/>
      <c r="G84" s="138" t="n"/>
      <c r="H84" s="138" t="n"/>
      <c r="I84" s="138" t="n"/>
      <c r="J84" s="138" t="n"/>
    </row>
    <row r="85" ht="18" customHeight="1" s="102">
      <c r="A85" s="137">
        <f>IF($B85="","","CIR-"&amp;TEXT(ROW()-BaslangicSatir,"000000"))</f>
        <v/>
      </c>
      <c r="B85" s="138" t="n"/>
      <c r="C85" s="138" t="n"/>
      <c r="D85" s="138" t="n"/>
      <c r="E85" s="138" t="n"/>
      <c r="F85" s="138" t="n"/>
      <c r="G85" s="138" t="n"/>
      <c r="H85" s="138" t="n"/>
      <c r="I85" s="138" t="n"/>
      <c r="J85" s="138" t="n"/>
    </row>
    <row r="86" ht="18" customHeight="1" s="102">
      <c r="A86" s="137">
        <f>IF($B86="","","CIR-"&amp;TEXT(ROW()-BaslangicSatir,"000000"))</f>
        <v/>
      </c>
      <c r="B86" s="138" t="n"/>
      <c r="C86" s="138" t="n"/>
      <c r="D86" s="138" t="n"/>
      <c r="E86" s="138" t="n"/>
      <c r="F86" s="138" t="n"/>
      <c r="G86" s="138" t="n"/>
      <c r="H86" s="138" t="n"/>
      <c r="I86" s="138" t="n"/>
      <c r="J86" s="138" t="n"/>
    </row>
    <row r="87" ht="18" customHeight="1" s="102">
      <c r="A87" s="137">
        <f>IF($B87="","","CIR-"&amp;TEXT(ROW()-BaslangicSatir,"000000"))</f>
        <v/>
      </c>
      <c r="B87" s="138" t="n"/>
      <c r="C87" s="138" t="n"/>
      <c r="D87" s="138" t="n"/>
      <c r="E87" s="138" t="n"/>
      <c r="F87" s="138" t="n"/>
      <c r="G87" s="138" t="n"/>
      <c r="H87" s="138" t="n"/>
      <c r="I87" s="138" t="n"/>
      <c r="J87" s="138" t="n"/>
    </row>
    <row r="88" ht="18" customHeight="1" s="102">
      <c r="A88" s="137">
        <f>IF($B88="","","CIR-"&amp;TEXT(ROW()-BaslangicSatir,"000000"))</f>
        <v/>
      </c>
      <c r="B88" s="138" t="n"/>
      <c r="C88" s="138" t="n"/>
      <c r="D88" s="138" t="n"/>
      <c r="E88" s="138" t="n"/>
      <c r="F88" s="138" t="n"/>
      <c r="G88" s="138" t="n"/>
      <c r="H88" s="138" t="n"/>
      <c r="I88" s="138" t="n"/>
      <c r="J88" s="138" t="n"/>
    </row>
    <row r="89" ht="18" customHeight="1" s="102">
      <c r="A89" s="137">
        <f>IF($B89="","","CIR-"&amp;TEXT(ROW()-BaslangicSatir,"000000"))</f>
        <v/>
      </c>
      <c r="B89" s="138" t="n"/>
      <c r="C89" s="138" t="n"/>
      <c r="D89" s="138" t="n"/>
      <c r="E89" s="138" t="n"/>
      <c r="F89" s="138" t="n"/>
      <c r="G89" s="138" t="n"/>
      <c r="H89" s="138" t="n"/>
      <c r="I89" s="138" t="n"/>
      <c r="J89" s="138" t="n"/>
    </row>
    <row r="90" ht="18" customHeight="1" s="102">
      <c r="A90" s="137">
        <f>IF($B90="","","CIR-"&amp;TEXT(ROW()-BaslangicSatir,"000000"))</f>
        <v/>
      </c>
      <c r="B90" s="138" t="n"/>
      <c r="C90" s="138" t="n"/>
      <c r="D90" s="138" t="n"/>
      <c r="E90" s="138" t="n"/>
      <c r="F90" s="138" t="n"/>
      <c r="G90" s="138" t="n"/>
      <c r="H90" s="138" t="n"/>
      <c r="I90" s="138" t="n"/>
      <c r="J90" s="138" t="n"/>
    </row>
    <row r="91" ht="18" customHeight="1" s="102">
      <c r="A91" s="137">
        <f>IF($B91="","","CIR-"&amp;TEXT(ROW()-BaslangicSatir,"000000"))</f>
        <v/>
      </c>
      <c r="B91" s="138" t="n"/>
      <c r="C91" s="138" t="n"/>
      <c r="D91" s="138" t="n"/>
      <c r="E91" s="138" t="n"/>
      <c r="F91" s="138" t="n"/>
      <c r="G91" s="138" t="n"/>
      <c r="H91" s="138" t="n"/>
      <c r="I91" s="138" t="n"/>
      <c r="J91" s="138" t="n"/>
    </row>
    <row r="92" ht="18" customHeight="1" s="102">
      <c r="A92" s="137">
        <f>IF($B92="","","CIR-"&amp;TEXT(ROW()-BaslangicSatir,"000000"))</f>
        <v/>
      </c>
      <c r="B92" s="138" t="n"/>
      <c r="C92" s="138" t="n"/>
      <c r="D92" s="138" t="n"/>
      <c r="E92" s="138" t="n"/>
      <c r="F92" s="138" t="n"/>
      <c r="G92" s="138" t="n"/>
      <c r="H92" s="138" t="n"/>
      <c r="I92" s="138" t="n"/>
      <c r="J92" s="138" t="n"/>
    </row>
    <row r="93" ht="18" customHeight="1" s="102">
      <c r="A93" s="137">
        <f>IF($B93="","","CIR-"&amp;TEXT(ROW()-BaslangicSatir,"000000"))</f>
        <v/>
      </c>
      <c r="B93" s="138" t="n"/>
      <c r="C93" s="138" t="n"/>
      <c r="D93" s="138" t="n"/>
      <c r="E93" s="138" t="n"/>
      <c r="F93" s="138" t="n"/>
      <c r="G93" s="138" t="n"/>
      <c r="H93" s="138" t="n"/>
      <c r="I93" s="138" t="n"/>
      <c r="J93" s="138" t="n"/>
    </row>
    <row r="94" ht="18" customHeight="1" s="102">
      <c r="A94" s="137">
        <f>IF($B94="","","CIR-"&amp;TEXT(ROW()-BaslangicSatir,"000000"))</f>
        <v/>
      </c>
      <c r="B94" s="138" t="n"/>
      <c r="C94" s="138" t="n"/>
      <c r="D94" s="138" t="n"/>
      <c r="E94" s="138" t="n"/>
      <c r="F94" s="138" t="n"/>
      <c r="G94" s="138" t="n"/>
      <c r="H94" s="138" t="n"/>
      <c r="I94" s="138" t="n"/>
      <c r="J94" s="138" t="n"/>
    </row>
    <row r="95" ht="18" customHeight="1" s="102">
      <c r="A95" s="137">
        <f>IF($B95="","","CIR-"&amp;TEXT(ROW()-BaslangicSatir,"000000"))</f>
        <v/>
      </c>
      <c r="B95" s="138" t="n"/>
      <c r="C95" s="138" t="n"/>
      <c r="D95" s="138" t="n"/>
      <c r="E95" s="138" t="n"/>
      <c r="F95" s="138" t="n"/>
      <c r="G95" s="138" t="n"/>
      <c r="H95" s="138" t="n"/>
      <c r="I95" s="138" t="n"/>
      <c r="J95" s="138" t="n"/>
    </row>
    <row r="96" ht="18" customHeight="1" s="102">
      <c r="A96" s="137">
        <f>IF($B96="","","CIR-"&amp;TEXT(ROW()-BaslangicSatir,"000000"))</f>
        <v/>
      </c>
      <c r="B96" s="138" t="n"/>
      <c r="C96" s="138" t="n"/>
      <c r="D96" s="138" t="n"/>
      <c r="E96" s="138" t="n"/>
      <c r="F96" s="138" t="n"/>
      <c r="G96" s="138" t="n"/>
      <c r="H96" s="138" t="n"/>
      <c r="I96" s="138" t="n"/>
      <c r="J96" s="138" t="n"/>
    </row>
    <row r="97" ht="18" customHeight="1" s="102">
      <c r="A97" s="137">
        <f>IF($B97="","","CIR-"&amp;TEXT(ROW()-BaslangicSatir,"000000"))</f>
        <v/>
      </c>
      <c r="B97" s="138" t="n"/>
      <c r="C97" s="138" t="n"/>
      <c r="D97" s="138" t="n"/>
      <c r="E97" s="138" t="n"/>
      <c r="F97" s="138" t="n"/>
      <c r="G97" s="138" t="n"/>
      <c r="H97" s="138" t="n"/>
      <c r="I97" s="138" t="n"/>
      <c r="J97" s="138" t="n"/>
    </row>
    <row r="98" ht="18" customHeight="1" s="102">
      <c r="A98" s="137">
        <f>IF($B98="","","CIR-"&amp;TEXT(ROW()-BaslangicSatir,"000000"))</f>
        <v/>
      </c>
      <c r="B98" s="138" t="n"/>
      <c r="C98" s="138" t="n"/>
      <c r="D98" s="138" t="n"/>
      <c r="E98" s="138" t="n"/>
      <c r="F98" s="138" t="n"/>
      <c r="G98" s="138" t="n"/>
      <c r="H98" s="138" t="n"/>
      <c r="I98" s="138" t="n"/>
      <c r="J98" s="138" t="n"/>
    </row>
    <row r="99" ht="18" customHeight="1" s="102">
      <c r="A99" s="137">
        <f>IF($B99="","","CIR-"&amp;TEXT(ROW()-BaslangicSatir,"000000"))</f>
        <v/>
      </c>
      <c r="B99" s="138" t="n"/>
      <c r="C99" s="138" t="n"/>
      <c r="D99" s="138" t="n"/>
      <c r="E99" s="138" t="n"/>
      <c r="F99" s="138" t="n"/>
      <c r="G99" s="138" t="n"/>
      <c r="H99" s="138" t="n"/>
      <c r="I99" s="138" t="n"/>
      <c r="J99" s="138" t="n"/>
    </row>
    <row r="100" ht="18" customHeight="1" s="102">
      <c r="A100" s="137">
        <f>IF($B100="","","CIR-"&amp;TEXT(ROW()-BaslangicSatir,"000000"))</f>
        <v/>
      </c>
      <c r="B100" s="138" t="n"/>
      <c r="C100" s="138" t="n"/>
      <c r="D100" s="138" t="n"/>
      <c r="E100" s="138" t="n"/>
      <c r="F100" s="138" t="n"/>
      <c r="G100" s="138" t="n"/>
      <c r="H100" s="138" t="n"/>
      <c r="I100" s="138" t="n"/>
      <c r="J100" s="138" t="n"/>
    </row>
    <row r="101" ht="18" customHeight="1" s="102">
      <c r="A101" s="137">
        <f>IF($B101="","","CIR-"&amp;TEXT(ROW()-BaslangicSatir,"000000"))</f>
        <v/>
      </c>
      <c r="B101" s="138" t="n"/>
      <c r="C101" s="138" t="n"/>
      <c r="D101" s="138" t="n"/>
      <c r="E101" s="138" t="n"/>
      <c r="F101" s="138" t="n"/>
      <c r="G101" s="138" t="n"/>
      <c r="H101" s="138" t="n"/>
      <c r="I101" s="138" t="n"/>
      <c r="J101" s="138" t="n"/>
    </row>
    <row r="102" ht="18" customHeight="1" s="102">
      <c r="A102" s="137">
        <f>IF($B102="","","CIR-"&amp;TEXT(ROW()-BaslangicSatir,"000000"))</f>
        <v/>
      </c>
      <c r="B102" s="138" t="n"/>
      <c r="C102" s="138" t="n"/>
      <c r="D102" s="138" t="n"/>
      <c r="E102" s="138" t="n"/>
      <c r="F102" s="138" t="n"/>
      <c r="G102" s="138" t="n"/>
      <c r="H102" s="138" t="n"/>
      <c r="I102" s="138" t="n"/>
      <c r="J102" s="138" t="n"/>
    </row>
    <row r="103" ht="18" customHeight="1" s="102">
      <c r="A103" s="137">
        <f>IF($B103="","","CIR-"&amp;TEXT(ROW()-BaslangicSatir,"000000"))</f>
        <v/>
      </c>
      <c r="B103" s="138" t="n"/>
      <c r="C103" s="138" t="n"/>
      <c r="D103" s="138" t="n"/>
      <c r="E103" s="138" t="n"/>
      <c r="F103" s="138" t="n"/>
      <c r="G103" s="138" t="n"/>
      <c r="H103" s="138" t="n"/>
      <c r="I103" s="138" t="n"/>
      <c r="J103" s="138" t="n"/>
    </row>
    <row r="104" ht="18" customHeight="1" s="102">
      <c r="A104" s="137">
        <f>IF($B104="","","CIR-"&amp;TEXT(ROW()-BaslangicSatir,"000000"))</f>
        <v/>
      </c>
      <c r="B104" s="138" t="n"/>
      <c r="C104" s="138" t="n"/>
      <c r="D104" s="138" t="n"/>
      <c r="E104" s="138" t="n"/>
      <c r="F104" s="138" t="n"/>
      <c r="G104" s="138" t="n"/>
      <c r="H104" s="138" t="n"/>
      <c r="I104" s="138" t="n"/>
      <c r="J104" s="138" t="n"/>
    </row>
    <row r="105" ht="18" customHeight="1" s="102">
      <c r="A105" s="137">
        <f>IF($B105="","","CIR-"&amp;TEXT(ROW()-BaslangicSatir,"000000"))</f>
        <v/>
      </c>
      <c r="B105" s="138" t="n"/>
      <c r="C105" s="138" t="n"/>
      <c r="D105" s="138" t="n"/>
      <c r="E105" s="138" t="n"/>
      <c r="F105" s="138" t="n"/>
      <c r="G105" s="138" t="n"/>
      <c r="H105" s="138" t="n"/>
      <c r="I105" s="138" t="n"/>
      <c r="J105" s="138" t="n"/>
    </row>
    <row r="106" ht="18" customHeight="1" s="102">
      <c r="A106" s="137">
        <f>IF($B106="","","CIR-"&amp;TEXT(ROW()-BaslangicSatir,"000000"))</f>
        <v/>
      </c>
      <c r="B106" s="138" t="n"/>
      <c r="C106" s="138" t="n"/>
      <c r="D106" s="138" t="n"/>
      <c r="E106" s="138" t="n"/>
      <c r="F106" s="138" t="n"/>
      <c r="G106" s="138" t="n"/>
      <c r="H106" s="138" t="n"/>
      <c r="I106" s="138" t="n"/>
      <c r="J106" s="138" t="n"/>
    </row>
    <row r="107" ht="18" customHeight="1" s="102">
      <c r="A107" s="137">
        <f>IF($B107="","","CIR-"&amp;TEXT(ROW()-BaslangicSatir,"000000"))</f>
        <v/>
      </c>
      <c r="B107" s="138" t="n"/>
      <c r="C107" s="138" t="n"/>
      <c r="D107" s="138" t="n"/>
      <c r="E107" s="138" t="n"/>
      <c r="F107" s="138" t="n"/>
      <c r="G107" s="138" t="n"/>
      <c r="H107" s="138" t="n"/>
      <c r="I107" s="138" t="n"/>
      <c r="J107" s="138" t="n"/>
    </row>
    <row r="108" ht="18" customHeight="1" s="102">
      <c r="A108" s="137">
        <f>IF($B108="","","CIR-"&amp;TEXT(ROW()-BaslangicSatir,"000000"))</f>
        <v/>
      </c>
      <c r="B108" s="138" t="n"/>
      <c r="C108" s="138" t="n"/>
      <c r="D108" s="138" t="n"/>
      <c r="E108" s="138" t="n"/>
      <c r="F108" s="138" t="n"/>
      <c r="G108" s="138" t="n"/>
      <c r="H108" s="138" t="n"/>
      <c r="I108" s="138" t="n"/>
      <c r="J108" s="138" t="n"/>
    </row>
    <row r="109" ht="18" customHeight="1" s="102">
      <c r="A109" s="137">
        <f>IF($B109="","","CIR-"&amp;TEXT(ROW()-BaslangicSatir,"000000"))</f>
        <v/>
      </c>
      <c r="B109" s="138" t="n"/>
      <c r="C109" s="138" t="n"/>
      <c r="D109" s="138" t="n"/>
      <c r="E109" s="138" t="n"/>
      <c r="F109" s="138" t="n"/>
      <c r="G109" s="138" t="n"/>
      <c r="H109" s="138" t="n"/>
      <c r="I109" s="138" t="n"/>
      <c r="J109" s="138" t="n"/>
    </row>
    <row r="110" ht="18" customHeight="1" s="102">
      <c r="A110" s="137">
        <f>IF($B110="","","CIR-"&amp;TEXT(ROW()-BaslangicSatir,"000000"))</f>
        <v/>
      </c>
      <c r="B110" s="138" t="n"/>
      <c r="C110" s="138" t="n"/>
      <c r="D110" s="138" t="n"/>
      <c r="E110" s="138" t="n"/>
      <c r="F110" s="138" t="n"/>
      <c r="G110" s="138" t="n"/>
      <c r="H110" s="138" t="n"/>
      <c r="I110" s="138" t="n"/>
      <c r="J110" s="138" t="n"/>
    </row>
    <row r="111" ht="18" customHeight="1" s="102">
      <c r="A111" s="137">
        <f>IF($B111="","","CIR-"&amp;TEXT(ROW()-BaslangicSatir,"000000"))</f>
        <v/>
      </c>
      <c r="B111" s="138" t="n"/>
      <c r="C111" s="138" t="n"/>
      <c r="D111" s="138" t="n"/>
      <c r="E111" s="138" t="n"/>
      <c r="F111" s="138" t="n"/>
      <c r="G111" s="138" t="n"/>
      <c r="H111" s="138" t="n"/>
      <c r="I111" s="138" t="n"/>
      <c r="J111" s="138" t="n"/>
    </row>
    <row r="112" ht="18" customHeight="1" s="102">
      <c r="A112" s="137">
        <f>IF($B112="","","CIR-"&amp;TEXT(ROW()-BaslangicSatir,"000000"))</f>
        <v/>
      </c>
      <c r="B112" s="138" t="n"/>
      <c r="C112" s="138" t="n"/>
      <c r="D112" s="138" t="n"/>
      <c r="E112" s="138" t="n"/>
      <c r="F112" s="138" t="n"/>
      <c r="G112" s="138" t="n"/>
      <c r="H112" s="138" t="n"/>
      <c r="I112" s="138" t="n"/>
      <c r="J112" s="138" t="n"/>
    </row>
    <row r="113" ht="18" customHeight="1" s="102">
      <c r="A113" s="137">
        <f>IF($B113="","","CIR-"&amp;TEXT(ROW()-BaslangicSatir,"000000"))</f>
        <v/>
      </c>
      <c r="B113" s="138" t="n"/>
      <c r="C113" s="138" t="n"/>
      <c r="D113" s="138" t="n"/>
      <c r="E113" s="138" t="n"/>
      <c r="F113" s="138" t="n"/>
      <c r="G113" s="138" t="n"/>
      <c r="H113" s="138" t="n"/>
      <c r="I113" s="138" t="n"/>
      <c r="J113" s="138" t="n"/>
    </row>
    <row r="114" ht="18" customHeight="1" s="102">
      <c r="A114" s="137">
        <f>IF($B114="","","CIR-"&amp;TEXT(ROW()-BaslangicSatir,"000000"))</f>
        <v/>
      </c>
      <c r="B114" s="138" t="n"/>
      <c r="C114" s="138" t="n"/>
      <c r="D114" s="138" t="n"/>
      <c r="E114" s="138" t="n"/>
      <c r="F114" s="138" t="n"/>
      <c r="G114" s="138" t="n"/>
      <c r="H114" s="138" t="n"/>
      <c r="I114" s="138" t="n"/>
      <c r="J114" s="138" t="n"/>
    </row>
    <row r="115" ht="18" customHeight="1" s="102">
      <c r="A115" s="137">
        <f>IF($B115="","","CIR-"&amp;TEXT(ROW()-BaslangicSatir,"000000"))</f>
        <v/>
      </c>
      <c r="B115" s="138" t="n"/>
      <c r="C115" s="138" t="n"/>
      <c r="D115" s="138" t="n"/>
      <c r="E115" s="138" t="n"/>
      <c r="F115" s="138" t="n"/>
      <c r="G115" s="138" t="n"/>
      <c r="H115" s="138" t="n"/>
      <c r="I115" s="138" t="n"/>
      <c r="J115" s="138" t="n"/>
    </row>
    <row r="116" ht="18" customHeight="1" s="102">
      <c r="A116" s="137">
        <f>IF($B116="","","CIR-"&amp;TEXT(ROW()-BaslangicSatir,"000000"))</f>
        <v/>
      </c>
      <c r="B116" s="138" t="n"/>
      <c r="C116" s="138" t="n"/>
      <c r="D116" s="138" t="n"/>
      <c r="E116" s="138" t="n"/>
      <c r="F116" s="138" t="n"/>
      <c r="G116" s="138" t="n"/>
      <c r="H116" s="138" t="n"/>
      <c r="I116" s="138" t="n"/>
      <c r="J116" s="138" t="n"/>
    </row>
    <row r="117" ht="18" customHeight="1" s="102">
      <c r="A117" s="137">
        <f>IF($B117="","","CIR-"&amp;TEXT(ROW()-BaslangicSatir,"000000"))</f>
        <v/>
      </c>
      <c r="B117" s="138" t="n"/>
      <c r="C117" s="138" t="n"/>
      <c r="D117" s="138" t="n"/>
      <c r="E117" s="138" t="n"/>
      <c r="F117" s="138" t="n"/>
      <c r="G117" s="138" t="n"/>
      <c r="H117" s="138" t="n"/>
      <c r="I117" s="138" t="n"/>
      <c r="J117" s="138" t="n"/>
    </row>
    <row r="118" ht="18" customHeight="1" s="102">
      <c r="A118" s="137">
        <f>IF($B118="","","CIR-"&amp;TEXT(ROW()-BaslangicSatir,"000000"))</f>
        <v/>
      </c>
      <c r="B118" s="138" t="n"/>
      <c r="C118" s="138" t="n"/>
      <c r="D118" s="138" t="n"/>
      <c r="E118" s="138" t="n"/>
      <c r="F118" s="138" t="n"/>
      <c r="G118" s="138" t="n"/>
      <c r="H118" s="138" t="n"/>
      <c r="I118" s="138" t="n"/>
      <c r="J118" s="138" t="n"/>
    </row>
    <row r="119" ht="18" customHeight="1" s="102">
      <c r="A119" s="137">
        <f>IF($B119="","","CIR-"&amp;TEXT(ROW()-BaslangicSatir,"000000"))</f>
        <v/>
      </c>
      <c r="B119" s="138" t="n"/>
      <c r="C119" s="138" t="n"/>
      <c r="D119" s="138" t="n"/>
      <c r="E119" s="138" t="n"/>
      <c r="F119" s="138" t="n"/>
      <c r="G119" s="138" t="n"/>
      <c r="H119" s="138" t="n"/>
      <c r="I119" s="138" t="n"/>
      <c r="J119" s="138" t="n"/>
    </row>
    <row r="120" ht="18" customHeight="1" s="102">
      <c r="A120" s="137">
        <f>IF($B120="","","CIR-"&amp;TEXT(ROW()-BaslangicSatir,"000000"))</f>
        <v/>
      </c>
      <c r="B120" s="138" t="n"/>
      <c r="C120" s="138" t="n"/>
      <c r="D120" s="138" t="n"/>
      <c r="E120" s="138" t="n"/>
      <c r="F120" s="138" t="n"/>
      <c r="G120" s="138" t="n"/>
      <c r="H120" s="138" t="n"/>
      <c r="I120" s="138" t="n"/>
      <c r="J120" s="138" t="n"/>
    </row>
    <row r="121" ht="18" customHeight="1" s="102">
      <c r="A121" s="137">
        <f>IF($B121="","","CIR-"&amp;TEXT(ROW()-BaslangicSatir,"000000"))</f>
        <v/>
      </c>
      <c r="B121" s="138" t="n"/>
      <c r="C121" s="138" t="n"/>
      <c r="D121" s="138" t="n"/>
      <c r="E121" s="138" t="n"/>
      <c r="F121" s="138" t="n"/>
      <c r="G121" s="138" t="n"/>
      <c r="H121" s="138" t="n"/>
      <c r="I121" s="138" t="n"/>
      <c r="J121" s="138" t="n"/>
    </row>
    <row r="122" ht="18" customHeight="1" s="102">
      <c r="A122" s="137">
        <f>IF($B122="","","CIR-"&amp;TEXT(ROW()-BaslangicSatir,"000000"))</f>
        <v/>
      </c>
      <c r="B122" s="138" t="n"/>
      <c r="C122" s="138" t="n"/>
      <c r="D122" s="138" t="n"/>
      <c r="E122" s="138" t="n"/>
      <c r="F122" s="138" t="n"/>
      <c r="G122" s="138" t="n"/>
      <c r="H122" s="138" t="n"/>
      <c r="I122" s="138" t="n"/>
      <c r="J122" s="138" t="n"/>
    </row>
    <row r="123" ht="18" customHeight="1" s="102">
      <c r="A123" s="137">
        <f>IF($B123="","","CIR-"&amp;TEXT(ROW()-BaslangicSatir,"000000"))</f>
        <v/>
      </c>
      <c r="B123" s="138" t="n"/>
      <c r="C123" s="138" t="n"/>
      <c r="D123" s="138" t="n"/>
      <c r="E123" s="138" t="n"/>
      <c r="F123" s="138" t="n"/>
      <c r="G123" s="138" t="n"/>
      <c r="H123" s="138" t="n"/>
      <c r="I123" s="138" t="n"/>
      <c r="J123" s="138" t="n"/>
    </row>
    <row r="124" ht="18" customHeight="1" s="102">
      <c r="A124" s="137">
        <f>IF($B124="","","CIR-"&amp;TEXT(ROW()-BaslangicSatir,"000000"))</f>
        <v/>
      </c>
      <c r="B124" s="138" t="n"/>
      <c r="C124" s="138" t="n"/>
      <c r="D124" s="138" t="n"/>
      <c r="E124" s="138" t="n"/>
      <c r="F124" s="138" t="n"/>
      <c r="G124" s="138" t="n"/>
      <c r="H124" s="138" t="n"/>
      <c r="I124" s="138" t="n"/>
      <c r="J124" s="138" t="n"/>
    </row>
    <row r="125" ht="18" customHeight="1" s="102">
      <c r="A125" s="137">
        <f>IF($B125="","","CIR-"&amp;TEXT(ROW()-BaslangicSatir,"000000"))</f>
        <v/>
      </c>
      <c r="B125" s="138" t="n"/>
      <c r="C125" s="138" t="n"/>
      <c r="D125" s="138" t="n"/>
      <c r="E125" s="138" t="n"/>
      <c r="F125" s="138" t="n"/>
      <c r="G125" s="138" t="n"/>
      <c r="H125" s="138" t="n"/>
      <c r="I125" s="138" t="n"/>
      <c r="J125" s="138" t="n"/>
    </row>
    <row r="126" ht="18" customHeight="1" s="102">
      <c r="A126" s="137">
        <f>IF($B126="","","CIR-"&amp;TEXT(ROW()-BaslangicSatir,"000000"))</f>
        <v/>
      </c>
      <c r="B126" s="138" t="n"/>
      <c r="C126" s="138" t="n"/>
      <c r="D126" s="138" t="n"/>
      <c r="E126" s="138" t="n"/>
      <c r="F126" s="138" t="n"/>
      <c r="G126" s="138" t="n"/>
      <c r="H126" s="138" t="n"/>
      <c r="I126" s="138" t="n"/>
      <c r="J126" s="138" t="n"/>
    </row>
    <row r="127" ht="18" customHeight="1" s="102">
      <c r="A127" s="137">
        <f>IF($B127="","","CIR-"&amp;TEXT(ROW()-BaslangicSatir,"000000"))</f>
        <v/>
      </c>
      <c r="B127" s="138" t="n"/>
      <c r="C127" s="138" t="n"/>
      <c r="D127" s="138" t="n"/>
      <c r="E127" s="138" t="n"/>
      <c r="F127" s="138" t="n"/>
      <c r="G127" s="138" t="n"/>
      <c r="H127" s="138" t="n"/>
      <c r="I127" s="138" t="n"/>
      <c r="J127" s="138" t="n"/>
    </row>
    <row r="128" ht="18" customHeight="1" s="102">
      <c r="A128" s="137">
        <f>IF($B128="","","CIR-"&amp;TEXT(ROW()-BaslangicSatir,"000000"))</f>
        <v/>
      </c>
      <c r="B128" s="138" t="n"/>
      <c r="C128" s="138" t="n"/>
      <c r="D128" s="138" t="n"/>
      <c r="E128" s="138" t="n"/>
      <c r="F128" s="138" t="n"/>
      <c r="G128" s="138" t="n"/>
      <c r="H128" s="138" t="n"/>
      <c r="I128" s="138" t="n"/>
      <c r="J128" s="138" t="n"/>
    </row>
    <row r="129" ht="18" customHeight="1" s="102">
      <c r="A129" s="137">
        <f>IF($B129="","","CIR-"&amp;TEXT(ROW()-BaslangicSatir,"000000"))</f>
        <v/>
      </c>
      <c r="B129" s="138" t="n"/>
      <c r="C129" s="138" t="n"/>
      <c r="D129" s="138" t="n"/>
      <c r="E129" s="138" t="n"/>
      <c r="F129" s="138" t="n"/>
      <c r="G129" s="138" t="n"/>
      <c r="H129" s="138" t="n"/>
      <c r="I129" s="138" t="n"/>
      <c r="J129" s="138" t="n"/>
    </row>
    <row r="130" ht="18" customHeight="1" s="102">
      <c r="A130" s="137">
        <f>IF($B130="","","CIR-"&amp;TEXT(ROW()-BaslangicSatir,"000000"))</f>
        <v/>
      </c>
      <c r="B130" s="138" t="n"/>
      <c r="C130" s="138" t="n"/>
      <c r="D130" s="138" t="n"/>
      <c r="E130" s="138" t="n"/>
      <c r="F130" s="138" t="n"/>
      <c r="G130" s="138" t="n"/>
      <c r="H130" s="138" t="n"/>
      <c r="I130" s="138" t="n"/>
      <c r="J130" s="138" t="n"/>
    </row>
    <row r="131" ht="18" customHeight="1" s="102">
      <c r="A131" s="137">
        <f>IF($B131="","","CIR-"&amp;TEXT(ROW()-BaslangicSatir,"000000"))</f>
        <v/>
      </c>
      <c r="B131" s="138" t="n"/>
      <c r="C131" s="138" t="n"/>
      <c r="D131" s="138" t="n"/>
      <c r="E131" s="138" t="n"/>
      <c r="F131" s="138" t="n"/>
      <c r="G131" s="138" t="n"/>
      <c r="H131" s="138" t="n"/>
      <c r="I131" s="138" t="n"/>
      <c r="J131" s="138" t="n"/>
    </row>
    <row r="132" ht="18" customHeight="1" s="102">
      <c r="A132" s="137">
        <f>IF($B132="","","CIR-"&amp;TEXT(ROW()-BaslangicSatir,"000000"))</f>
        <v/>
      </c>
      <c r="B132" s="138" t="n"/>
      <c r="C132" s="138" t="n"/>
      <c r="D132" s="138" t="n"/>
      <c r="E132" s="138" t="n"/>
      <c r="F132" s="138" t="n"/>
      <c r="G132" s="138" t="n"/>
      <c r="H132" s="138" t="n"/>
      <c r="I132" s="138" t="n"/>
      <c r="J132" s="138" t="n"/>
    </row>
    <row r="133" ht="18" customHeight="1" s="102">
      <c r="A133" s="137">
        <f>IF($B133="","","CIR-"&amp;TEXT(ROW()-BaslangicSatir,"000000"))</f>
        <v/>
      </c>
      <c r="B133" s="138" t="n"/>
      <c r="C133" s="138" t="n"/>
      <c r="D133" s="138" t="n"/>
      <c r="E133" s="138" t="n"/>
      <c r="F133" s="138" t="n"/>
      <c r="G133" s="138" t="n"/>
      <c r="H133" s="138" t="n"/>
      <c r="I133" s="138" t="n"/>
      <c r="J133" s="138" t="n"/>
    </row>
    <row r="134" ht="18" customHeight="1" s="102">
      <c r="A134" s="137">
        <f>IF($B134="","","CIR-"&amp;TEXT(ROW()-BaslangicSatir,"000000"))</f>
        <v/>
      </c>
      <c r="B134" s="138" t="n"/>
      <c r="C134" s="138" t="n"/>
      <c r="D134" s="138" t="n"/>
      <c r="E134" s="138" t="n"/>
      <c r="F134" s="138" t="n"/>
      <c r="G134" s="138" t="n"/>
      <c r="H134" s="138" t="n"/>
      <c r="I134" s="138" t="n"/>
      <c r="J134" s="138" t="n"/>
    </row>
    <row r="135" ht="18" customHeight="1" s="102">
      <c r="A135" s="137">
        <f>IF($B135="","","CIR-"&amp;TEXT(ROW()-BaslangicSatir,"000000"))</f>
        <v/>
      </c>
      <c r="B135" s="138" t="n"/>
      <c r="C135" s="138" t="n"/>
      <c r="D135" s="138" t="n"/>
      <c r="E135" s="138" t="n"/>
      <c r="F135" s="138" t="n"/>
      <c r="G135" s="138" t="n"/>
      <c r="H135" s="138" t="n"/>
      <c r="I135" s="138" t="n"/>
      <c r="J135" s="138" t="n"/>
    </row>
    <row r="136" ht="18" customHeight="1" s="102">
      <c r="A136" s="137">
        <f>IF($B136="","","CIR-"&amp;TEXT(ROW()-BaslangicSatir,"000000"))</f>
        <v/>
      </c>
      <c r="B136" s="138" t="n"/>
      <c r="C136" s="138" t="n"/>
      <c r="D136" s="138" t="n"/>
      <c r="E136" s="138" t="n"/>
      <c r="F136" s="138" t="n"/>
      <c r="G136" s="138" t="n"/>
      <c r="H136" s="138" t="n"/>
      <c r="I136" s="138" t="n"/>
      <c r="J136" s="138" t="n"/>
    </row>
    <row r="137" ht="18" customHeight="1" s="102">
      <c r="A137" s="137">
        <f>IF($B137="","","CIR-"&amp;TEXT(ROW()-BaslangicSatir,"000000"))</f>
        <v/>
      </c>
      <c r="B137" s="138" t="n"/>
      <c r="C137" s="138" t="n"/>
      <c r="D137" s="138" t="n"/>
      <c r="E137" s="138" t="n"/>
      <c r="F137" s="138" t="n"/>
      <c r="G137" s="138" t="n"/>
      <c r="H137" s="138" t="n"/>
      <c r="I137" s="138" t="n"/>
      <c r="J137" s="138" t="n"/>
    </row>
    <row r="138" ht="18" customHeight="1" s="102">
      <c r="A138" s="137">
        <f>IF($B138="","","CIR-"&amp;TEXT(ROW()-BaslangicSatir,"000000"))</f>
        <v/>
      </c>
      <c r="B138" s="138" t="n"/>
      <c r="C138" s="138" t="n"/>
      <c r="D138" s="138" t="n"/>
      <c r="E138" s="138" t="n"/>
      <c r="F138" s="138" t="n"/>
      <c r="G138" s="138" t="n"/>
      <c r="H138" s="138" t="n"/>
      <c r="I138" s="138" t="n"/>
      <c r="J138" s="138" t="n"/>
    </row>
    <row r="139" ht="18" customHeight="1" s="102">
      <c r="A139" s="137">
        <f>IF($B139="","","CIR-"&amp;TEXT(ROW()-BaslangicSatir,"000000"))</f>
        <v/>
      </c>
      <c r="B139" s="138" t="n"/>
      <c r="C139" s="138" t="n"/>
      <c r="D139" s="138" t="n"/>
      <c r="E139" s="138" t="n"/>
      <c r="F139" s="138" t="n"/>
      <c r="G139" s="138" t="n"/>
      <c r="H139" s="138" t="n"/>
      <c r="I139" s="138" t="n"/>
      <c r="J139" s="138" t="n"/>
    </row>
    <row r="140" ht="18" customHeight="1" s="102">
      <c r="A140" s="137">
        <f>IF($B140="","","CIR-"&amp;TEXT(ROW()-BaslangicSatir,"000000"))</f>
        <v/>
      </c>
      <c r="B140" s="138" t="n"/>
      <c r="C140" s="138" t="n"/>
      <c r="D140" s="138" t="n"/>
      <c r="E140" s="138" t="n"/>
      <c r="F140" s="138" t="n"/>
      <c r="G140" s="138" t="n"/>
      <c r="H140" s="138" t="n"/>
      <c r="I140" s="138" t="n"/>
      <c r="J140" s="138" t="n"/>
    </row>
    <row r="141" ht="18" customHeight="1" s="102">
      <c r="A141" s="137">
        <f>IF($B141="","","CIR-"&amp;TEXT(ROW()-BaslangicSatir,"000000"))</f>
        <v/>
      </c>
      <c r="B141" s="138" t="n"/>
      <c r="C141" s="138" t="n"/>
      <c r="D141" s="138" t="n"/>
      <c r="E141" s="138" t="n"/>
      <c r="F141" s="138" t="n"/>
      <c r="G141" s="138" t="n"/>
      <c r="H141" s="138" t="n"/>
      <c r="I141" s="138" t="n"/>
      <c r="J141" s="138" t="n"/>
    </row>
    <row r="142" ht="18" customHeight="1" s="102">
      <c r="A142" s="137">
        <f>IF($B142="","","CIR-"&amp;TEXT(ROW()-BaslangicSatir,"000000"))</f>
        <v/>
      </c>
      <c r="B142" s="138" t="n"/>
      <c r="C142" s="138" t="n"/>
      <c r="D142" s="138" t="n"/>
      <c r="E142" s="138" t="n"/>
      <c r="F142" s="138" t="n"/>
      <c r="G142" s="138" t="n"/>
      <c r="H142" s="138" t="n"/>
      <c r="I142" s="138" t="n"/>
      <c r="J142" s="138" t="n"/>
    </row>
    <row r="143" ht="18" customHeight="1" s="102">
      <c r="A143" s="137">
        <f>IF($B143="","","CIR-"&amp;TEXT(ROW()-BaslangicSatir,"000000"))</f>
        <v/>
      </c>
      <c r="B143" s="138" t="n"/>
      <c r="C143" s="138" t="n"/>
      <c r="D143" s="138" t="n"/>
      <c r="E143" s="138" t="n"/>
      <c r="F143" s="138" t="n"/>
      <c r="G143" s="138" t="n"/>
      <c r="H143" s="138" t="n"/>
      <c r="I143" s="138" t="n"/>
      <c r="J143" s="138" t="n"/>
    </row>
    <row r="144" ht="18" customHeight="1" s="102">
      <c r="A144" s="137">
        <f>IF($B144="","","CIR-"&amp;TEXT(ROW()-BaslangicSatir,"000000"))</f>
        <v/>
      </c>
      <c r="B144" s="138" t="n"/>
      <c r="C144" s="138" t="n"/>
      <c r="D144" s="138" t="n"/>
      <c r="E144" s="138" t="n"/>
      <c r="F144" s="138" t="n"/>
      <c r="G144" s="138" t="n"/>
      <c r="H144" s="138" t="n"/>
      <c r="I144" s="138" t="n"/>
      <c r="J144" s="138" t="n"/>
    </row>
    <row r="145" ht="18" customHeight="1" s="102">
      <c r="A145" s="137">
        <f>IF($B145="","","CIR-"&amp;TEXT(ROW()-BaslangicSatir,"000000"))</f>
        <v/>
      </c>
      <c r="B145" s="138" t="n"/>
      <c r="C145" s="138" t="n"/>
      <c r="D145" s="138" t="n"/>
      <c r="E145" s="138" t="n"/>
      <c r="F145" s="138" t="n"/>
      <c r="G145" s="138" t="n"/>
      <c r="H145" s="138" t="n"/>
      <c r="I145" s="138" t="n"/>
      <c r="J145" s="138" t="n"/>
    </row>
    <row r="146" ht="18" customHeight="1" s="102">
      <c r="A146" s="137">
        <f>IF($B146="","","CIR-"&amp;TEXT(ROW()-BaslangicSatir,"000000"))</f>
        <v/>
      </c>
      <c r="B146" s="138" t="n"/>
      <c r="C146" s="138" t="n"/>
      <c r="D146" s="138" t="n"/>
      <c r="E146" s="138" t="n"/>
      <c r="F146" s="138" t="n"/>
      <c r="G146" s="138" t="n"/>
      <c r="H146" s="138" t="n"/>
      <c r="I146" s="138" t="n"/>
      <c r="J146" s="138" t="n"/>
    </row>
    <row r="147" ht="18" customHeight="1" s="102">
      <c r="A147" s="137">
        <f>IF($B147="","","CIR-"&amp;TEXT(ROW()-BaslangicSatir,"000000"))</f>
        <v/>
      </c>
      <c r="B147" s="138" t="n"/>
      <c r="C147" s="138" t="n"/>
      <c r="D147" s="138" t="n"/>
      <c r="E147" s="138" t="n"/>
      <c r="F147" s="138" t="n"/>
      <c r="G147" s="138" t="n"/>
      <c r="H147" s="138" t="n"/>
      <c r="I147" s="138" t="n"/>
      <c r="J147" s="138" t="n"/>
    </row>
    <row r="148" ht="18" customHeight="1" s="102">
      <c r="A148" s="137">
        <f>IF($B148="","","CIR-"&amp;TEXT(ROW()-BaslangicSatir,"000000"))</f>
        <v/>
      </c>
      <c r="B148" s="138" t="n"/>
      <c r="C148" s="138" t="n"/>
      <c r="D148" s="138" t="n"/>
      <c r="E148" s="138" t="n"/>
      <c r="F148" s="138" t="n"/>
      <c r="G148" s="138" t="n"/>
      <c r="H148" s="138" t="n"/>
      <c r="I148" s="138" t="n"/>
      <c r="J148" s="138" t="n"/>
    </row>
    <row r="149" ht="18" customHeight="1" s="102">
      <c r="A149" s="137">
        <f>IF($B149="","","CIR-"&amp;TEXT(ROW()-BaslangicSatir,"000000"))</f>
        <v/>
      </c>
      <c r="B149" s="138" t="n"/>
      <c r="C149" s="138" t="n"/>
      <c r="D149" s="138" t="n"/>
      <c r="E149" s="138" t="n"/>
      <c r="F149" s="138" t="n"/>
      <c r="G149" s="138" t="n"/>
      <c r="H149" s="138" t="n"/>
      <c r="I149" s="138" t="n"/>
      <c r="J149" s="138" t="n"/>
    </row>
    <row r="150" ht="18" customHeight="1" s="102">
      <c r="A150" s="137">
        <f>IF($B150="","","CIR-"&amp;TEXT(ROW()-BaslangicSatir,"000000"))</f>
        <v/>
      </c>
      <c r="B150" s="138" t="n"/>
      <c r="C150" s="138" t="n"/>
      <c r="D150" s="138" t="n"/>
      <c r="E150" s="138" t="n"/>
      <c r="F150" s="138" t="n"/>
      <c r="G150" s="138" t="n"/>
      <c r="H150" s="138" t="n"/>
      <c r="I150" s="138" t="n"/>
      <c r="J150" s="138" t="n"/>
    </row>
    <row r="151" ht="18" customHeight="1" s="102">
      <c r="A151" s="137">
        <f>IF($B151="","","CIR-"&amp;TEXT(ROW()-BaslangicSatir,"000000"))</f>
        <v/>
      </c>
      <c r="B151" s="138" t="n"/>
      <c r="C151" s="138" t="n"/>
      <c r="D151" s="138" t="n"/>
      <c r="E151" s="138" t="n"/>
      <c r="F151" s="138" t="n"/>
      <c r="G151" s="138" t="n"/>
      <c r="H151" s="138" t="n"/>
      <c r="I151" s="138" t="n"/>
      <c r="J151" s="138" t="n"/>
    </row>
    <row r="152" ht="18" customHeight="1" s="102">
      <c r="A152" s="137">
        <f>IF($B152="","","CIR-"&amp;TEXT(ROW()-BaslangicSatir,"000000"))</f>
        <v/>
      </c>
      <c r="B152" s="138" t="n"/>
      <c r="C152" s="138" t="n"/>
      <c r="D152" s="138" t="n"/>
      <c r="E152" s="138" t="n"/>
      <c r="F152" s="138" t="n"/>
      <c r="G152" s="138" t="n"/>
      <c r="H152" s="138" t="n"/>
      <c r="I152" s="138" t="n"/>
      <c r="J152" s="138" t="n"/>
    </row>
    <row r="153" ht="18" customHeight="1" s="102">
      <c r="A153" s="137">
        <f>IF($B153="","","CIR-"&amp;TEXT(ROW()-BaslangicSatir,"000000"))</f>
        <v/>
      </c>
      <c r="B153" s="138" t="n"/>
      <c r="C153" s="138" t="n"/>
      <c r="D153" s="138" t="n"/>
      <c r="E153" s="138" t="n"/>
      <c r="F153" s="138" t="n"/>
      <c r="G153" s="138" t="n"/>
      <c r="H153" s="138" t="n"/>
      <c r="I153" s="138" t="n"/>
      <c r="J153" s="138" t="n"/>
    </row>
    <row r="154" ht="18" customHeight="1" s="102">
      <c r="A154" s="137">
        <f>IF($B154="","","CIR-"&amp;TEXT(ROW()-BaslangicSatir,"000000"))</f>
        <v/>
      </c>
      <c r="B154" s="138" t="n"/>
      <c r="C154" s="138" t="n"/>
      <c r="D154" s="138" t="n"/>
      <c r="E154" s="138" t="n"/>
      <c r="F154" s="138" t="n"/>
      <c r="G154" s="138" t="n"/>
      <c r="H154" s="138" t="n"/>
      <c r="I154" s="138" t="n"/>
      <c r="J154" s="138" t="n"/>
    </row>
    <row r="155" ht="18" customHeight="1" s="102">
      <c r="A155" s="137">
        <f>IF($B155="","","CIR-"&amp;TEXT(ROW()-BaslangicSatir,"000000"))</f>
        <v/>
      </c>
      <c r="B155" s="138" t="n"/>
      <c r="C155" s="138" t="n"/>
      <c r="D155" s="138" t="n"/>
      <c r="E155" s="138" t="n"/>
      <c r="F155" s="138" t="n"/>
      <c r="G155" s="138" t="n"/>
      <c r="H155" s="138" t="n"/>
      <c r="I155" s="138" t="n"/>
      <c r="J155" s="138" t="n"/>
    </row>
    <row r="156" ht="18" customHeight="1" s="102">
      <c r="A156" s="137">
        <f>IF($B156="","","CIR-"&amp;TEXT(ROW()-BaslangicSatir,"000000"))</f>
        <v/>
      </c>
      <c r="B156" s="138" t="n"/>
      <c r="C156" s="138" t="n"/>
      <c r="D156" s="138" t="n"/>
      <c r="E156" s="138" t="n"/>
      <c r="F156" s="138" t="n"/>
      <c r="G156" s="138" t="n"/>
      <c r="H156" s="138" t="n"/>
      <c r="I156" s="138" t="n"/>
      <c r="J156" s="138" t="n"/>
    </row>
    <row r="157" ht="18" customHeight="1" s="102">
      <c r="A157" s="137">
        <f>IF($B157="","","CIR-"&amp;TEXT(ROW()-BaslangicSatir,"000000"))</f>
        <v/>
      </c>
      <c r="B157" s="138" t="n"/>
      <c r="C157" s="138" t="n"/>
      <c r="D157" s="138" t="n"/>
      <c r="E157" s="138" t="n"/>
      <c r="F157" s="138" t="n"/>
      <c r="G157" s="138" t="n"/>
      <c r="H157" s="138" t="n"/>
      <c r="I157" s="138" t="n"/>
      <c r="J157" s="138" t="n"/>
    </row>
    <row r="158" ht="18" customHeight="1" s="102">
      <c r="A158" s="137">
        <f>IF($B158="","","CIR-"&amp;TEXT(ROW()-BaslangicSatir,"000000"))</f>
        <v/>
      </c>
      <c r="B158" s="138" t="n"/>
      <c r="C158" s="138" t="n"/>
      <c r="D158" s="138" t="n"/>
      <c r="E158" s="138" t="n"/>
      <c r="F158" s="138" t="n"/>
      <c r="G158" s="138" t="n"/>
      <c r="H158" s="138" t="n"/>
      <c r="I158" s="138" t="n"/>
      <c r="J158" s="138" t="n"/>
    </row>
    <row r="159" ht="18" customHeight="1" s="102">
      <c r="A159" s="137">
        <f>IF($B159="","","CIR-"&amp;TEXT(ROW()-BaslangicSatir,"000000"))</f>
        <v/>
      </c>
      <c r="B159" s="138" t="n"/>
      <c r="C159" s="138" t="n"/>
      <c r="D159" s="138" t="n"/>
      <c r="E159" s="138" t="n"/>
      <c r="F159" s="138" t="n"/>
      <c r="G159" s="138" t="n"/>
      <c r="H159" s="138" t="n"/>
      <c r="I159" s="138" t="n"/>
      <c r="J159" s="138" t="n"/>
    </row>
    <row r="160" ht="18" customHeight="1" s="102">
      <c r="A160" s="137">
        <f>IF($B160="","","CIR-"&amp;TEXT(ROW()-BaslangicSatir,"000000"))</f>
        <v/>
      </c>
      <c r="B160" s="138" t="n"/>
      <c r="C160" s="138" t="n"/>
      <c r="D160" s="138" t="n"/>
      <c r="E160" s="138" t="n"/>
      <c r="F160" s="138" t="n"/>
      <c r="G160" s="138" t="n"/>
      <c r="H160" s="138" t="n"/>
      <c r="I160" s="138" t="n"/>
      <c r="J160" s="138" t="n"/>
    </row>
    <row r="161" ht="18" customHeight="1" s="102">
      <c r="A161" s="137">
        <f>IF($B161="","","CIR-"&amp;TEXT(ROW()-BaslangicSatir,"000000"))</f>
        <v/>
      </c>
      <c r="B161" s="138" t="n"/>
      <c r="C161" s="138" t="n"/>
      <c r="D161" s="138" t="n"/>
      <c r="E161" s="138" t="n"/>
      <c r="F161" s="138" t="n"/>
      <c r="G161" s="138" t="n"/>
      <c r="H161" s="138" t="n"/>
      <c r="I161" s="138" t="n"/>
      <c r="J161" s="138" t="n"/>
    </row>
    <row r="162" ht="18" customHeight="1" s="102">
      <c r="A162" s="137">
        <f>IF($B162="","","CIR-"&amp;TEXT(ROW()-BaslangicSatir,"000000"))</f>
        <v/>
      </c>
      <c r="B162" s="138" t="n"/>
      <c r="C162" s="138" t="n"/>
      <c r="D162" s="138" t="n"/>
      <c r="E162" s="138" t="n"/>
      <c r="F162" s="138" t="n"/>
      <c r="G162" s="138" t="n"/>
      <c r="H162" s="138" t="n"/>
      <c r="I162" s="138" t="n"/>
      <c r="J162" s="138" t="n"/>
    </row>
    <row r="163" ht="18" customHeight="1" s="102">
      <c r="A163" s="137">
        <f>IF($B163="","","CIR-"&amp;TEXT(ROW()-BaslangicSatir,"000000"))</f>
        <v/>
      </c>
      <c r="B163" s="138" t="n"/>
      <c r="C163" s="138" t="n"/>
      <c r="D163" s="138" t="n"/>
      <c r="E163" s="138" t="n"/>
      <c r="F163" s="138" t="n"/>
      <c r="G163" s="138" t="n"/>
      <c r="H163" s="138" t="n"/>
      <c r="I163" s="138" t="n"/>
      <c r="J163" s="138" t="n"/>
    </row>
    <row r="164" ht="18" customHeight="1" s="102">
      <c r="A164" s="137">
        <f>IF($B164="","","CIR-"&amp;TEXT(ROW()-BaslangicSatir,"000000"))</f>
        <v/>
      </c>
      <c r="B164" s="138" t="n"/>
      <c r="C164" s="138" t="n"/>
      <c r="D164" s="138" t="n"/>
      <c r="E164" s="138" t="n"/>
      <c r="F164" s="138" t="n"/>
      <c r="G164" s="138" t="n"/>
      <c r="H164" s="138" t="n"/>
      <c r="I164" s="138" t="n"/>
      <c r="J164" s="138" t="n"/>
    </row>
    <row r="165" ht="18" customHeight="1" s="102">
      <c r="A165" s="137">
        <f>IF($B165="","","CIR-"&amp;TEXT(ROW()-BaslangicSatir,"000000"))</f>
        <v/>
      </c>
      <c r="B165" s="138" t="n"/>
      <c r="C165" s="138" t="n"/>
      <c r="D165" s="138" t="n"/>
      <c r="E165" s="138" t="n"/>
      <c r="F165" s="138" t="n"/>
      <c r="G165" s="138" t="n"/>
      <c r="H165" s="138" t="n"/>
      <c r="I165" s="138" t="n"/>
      <c r="J165" s="138" t="n"/>
    </row>
    <row r="166" ht="18" customHeight="1" s="102">
      <c r="A166" s="137">
        <f>IF($B166="","","CIR-"&amp;TEXT(ROW()-BaslangicSatir,"000000"))</f>
        <v/>
      </c>
      <c r="B166" s="138" t="n"/>
      <c r="C166" s="138" t="n"/>
      <c r="D166" s="138" t="n"/>
      <c r="E166" s="138" t="n"/>
      <c r="F166" s="138" t="n"/>
      <c r="G166" s="138" t="n"/>
      <c r="H166" s="138" t="n"/>
      <c r="I166" s="138" t="n"/>
      <c r="J166" s="138" t="n"/>
    </row>
    <row r="167" ht="18" customHeight="1" s="102">
      <c r="A167" s="137">
        <f>IF($B167="","","CIR-"&amp;TEXT(ROW()-BaslangicSatir,"000000"))</f>
        <v/>
      </c>
      <c r="B167" s="138" t="n"/>
      <c r="C167" s="138" t="n"/>
      <c r="D167" s="138" t="n"/>
      <c r="E167" s="138" t="n"/>
      <c r="F167" s="138" t="n"/>
      <c r="G167" s="138" t="n"/>
      <c r="H167" s="138" t="n"/>
      <c r="I167" s="138" t="n"/>
      <c r="J167" s="138" t="n"/>
    </row>
    <row r="168" ht="18" customHeight="1" s="102">
      <c r="A168" s="137">
        <f>IF($B168="","","CIR-"&amp;TEXT(ROW()-BaslangicSatir,"000000"))</f>
        <v/>
      </c>
      <c r="B168" s="138" t="n"/>
      <c r="C168" s="138" t="n"/>
      <c r="D168" s="138" t="n"/>
      <c r="E168" s="138" t="n"/>
      <c r="F168" s="138" t="n"/>
      <c r="G168" s="138" t="n"/>
      <c r="H168" s="138" t="n"/>
      <c r="I168" s="138" t="n"/>
      <c r="J168" s="138" t="n"/>
    </row>
    <row r="169" ht="18" customHeight="1" s="102">
      <c r="A169" s="137">
        <f>IF($B169="","","CIR-"&amp;TEXT(ROW()-BaslangicSatir,"000000"))</f>
        <v/>
      </c>
      <c r="B169" s="138" t="n"/>
      <c r="C169" s="138" t="n"/>
      <c r="D169" s="138" t="n"/>
      <c r="E169" s="138" t="n"/>
      <c r="F169" s="138" t="n"/>
      <c r="G169" s="138" t="n"/>
      <c r="H169" s="138" t="n"/>
      <c r="I169" s="138" t="n"/>
      <c r="J169" s="138" t="n"/>
    </row>
    <row r="170" ht="18" customHeight="1" s="102">
      <c r="A170" s="137">
        <f>IF($B170="","","CIR-"&amp;TEXT(ROW()-BaslangicSatir,"000000"))</f>
        <v/>
      </c>
      <c r="B170" s="138" t="n"/>
      <c r="C170" s="138" t="n"/>
      <c r="D170" s="138" t="n"/>
      <c r="E170" s="138" t="n"/>
      <c r="F170" s="138" t="n"/>
      <c r="G170" s="138" t="n"/>
      <c r="H170" s="138" t="n"/>
      <c r="I170" s="138" t="n"/>
      <c r="J170" s="138" t="n"/>
    </row>
    <row r="171" ht="18" customHeight="1" s="102">
      <c r="A171" s="137">
        <f>IF($B171="","","CIR-"&amp;TEXT(ROW()-BaslangicSatir,"000000"))</f>
        <v/>
      </c>
      <c r="B171" s="138" t="n"/>
      <c r="C171" s="138" t="n"/>
      <c r="D171" s="138" t="n"/>
      <c r="E171" s="138" t="n"/>
      <c r="F171" s="138" t="n"/>
      <c r="G171" s="138" t="n"/>
      <c r="H171" s="138" t="n"/>
      <c r="I171" s="138" t="n"/>
      <c r="J171" s="138" t="n"/>
    </row>
    <row r="172" ht="18" customHeight="1" s="102">
      <c r="A172" s="137">
        <f>IF($B172="","","CIR-"&amp;TEXT(ROW()-BaslangicSatir,"000000"))</f>
        <v/>
      </c>
      <c r="B172" s="138" t="n"/>
      <c r="C172" s="138" t="n"/>
      <c r="D172" s="138" t="n"/>
      <c r="E172" s="138" t="n"/>
      <c r="F172" s="138" t="n"/>
      <c r="G172" s="138" t="n"/>
      <c r="H172" s="138" t="n"/>
      <c r="I172" s="138" t="n"/>
      <c r="J172" s="138" t="n"/>
    </row>
    <row r="173" ht="18" customHeight="1" s="102">
      <c r="A173" s="137">
        <f>IF($B173="","","CIR-"&amp;TEXT(ROW()-BaslangicSatir,"000000"))</f>
        <v/>
      </c>
      <c r="B173" s="138" t="n"/>
      <c r="C173" s="138" t="n"/>
      <c r="D173" s="138" t="n"/>
      <c r="E173" s="138" t="n"/>
      <c r="F173" s="138" t="n"/>
      <c r="G173" s="138" t="n"/>
      <c r="H173" s="138" t="n"/>
      <c r="I173" s="138" t="n"/>
      <c r="J173" s="138" t="n"/>
    </row>
    <row r="174" ht="18" customHeight="1" s="102">
      <c r="A174" s="137">
        <f>IF($B174="","","CIR-"&amp;TEXT(ROW()-BaslangicSatir,"000000"))</f>
        <v/>
      </c>
      <c r="B174" s="138" t="n"/>
      <c r="C174" s="138" t="n"/>
      <c r="D174" s="138" t="n"/>
      <c r="E174" s="138" t="n"/>
      <c r="F174" s="138" t="n"/>
      <c r="G174" s="138" t="n"/>
      <c r="H174" s="138" t="n"/>
      <c r="I174" s="138" t="n"/>
      <c r="J174" s="138" t="n"/>
    </row>
    <row r="175" ht="18" customHeight="1" s="102">
      <c r="A175" s="137">
        <f>IF($B175="","","CIR-"&amp;TEXT(ROW()-BaslangicSatir,"000000"))</f>
        <v/>
      </c>
      <c r="B175" s="138" t="n"/>
      <c r="C175" s="138" t="n"/>
      <c r="D175" s="138" t="n"/>
      <c r="E175" s="138" t="n"/>
      <c r="F175" s="138" t="n"/>
      <c r="G175" s="138" t="n"/>
      <c r="H175" s="138" t="n"/>
      <c r="I175" s="138" t="n"/>
      <c r="J175" s="138" t="n"/>
    </row>
    <row r="176" ht="18" customHeight="1" s="102">
      <c r="A176" s="137">
        <f>IF($B176="","","CIR-"&amp;TEXT(ROW()-BaslangicSatir,"000000"))</f>
        <v/>
      </c>
      <c r="B176" s="138" t="n"/>
      <c r="C176" s="138" t="n"/>
      <c r="D176" s="138" t="n"/>
      <c r="E176" s="138" t="n"/>
      <c r="F176" s="138" t="n"/>
      <c r="G176" s="138" t="n"/>
      <c r="H176" s="138" t="n"/>
      <c r="I176" s="138" t="n"/>
      <c r="J176" s="138" t="n"/>
    </row>
    <row r="177" ht="18" customHeight="1" s="102">
      <c r="A177" s="137">
        <f>IF($B177="","","CIR-"&amp;TEXT(ROW()-BaslangicSatir,"000000"))</f>
        <v/>
      </c>
      <c r="B177" s="138" t="n"/>
      <c r="C177" s="138" t="n"/>
      <c r="D177" s="138" t="n"/>
      <c r="E177" s="138" t="n"/>
      <c r="F177" s="138" t="n"/>
      <c r="G177" s="138" t="n"/>
      <c r="H177" s="138" t="n"/>
      <c r="I177" s="138" t="n"/>
      <c r="J177" s="138" t="n"/>
    </row>
    <row r="178" ht="18" customHeight="1" s="102">
      <c r="A178" s="137">
        <f>IF($B178="","","CIR-"&amp;TEXT(ROW()-BaslangicSatir,"000000"))</f>
        <v/>
      </c>
      <c r="B178" s="138" t="n"/>
      <c r="C178" s="138" t="n"/>
      <c r="D178" s="138" t="n"/>
      <c r="E178" s="138" t="n"/>
      <c r="F178" s="138" t="n"/>
      <c r="G178" s="138" t="n"/>
      <c r="H178" s="138" t="n"/>
      <c r="I178" s="138" t="n"/>
      <c r="J178" s="138" t="n"/>
    </row>
    <row r="179" ht="18" customHeight="1" s="102">
      <c r="A179" s="137">
        <f>IF($B179="","","CIR-"&amp;TEXT(ROW()-BaslangicSatir,"000000"))</f>
        <v/>
      </c>
      <c r="B179" s="138" t="n"/>
      <c r="C179" s="138" t="n"/>
      <c r="D179" s="138" t="n"/>
      <c r="E179" s="138" t="n"/>
      <c r="F179" s="138" t="n"/>
      <c r="G179" s="138" t="n"/>
      <c r="H179" s="138" t="n"/>
      <c r="I179" s="138" t="n"/>
      <c r="J179" s="138" t="n"/>
    </row>
    <row r="180" ht="18" customHeight="1" s="102">
      <c r="A180" s="137">
        <f>IF($B180="","","CIR-"&amp;TEXT(ROW()-BaslangicSatir,"000000"))</f>
        <v/>
      </c>
      <c r="B180" s="138" t="n"/>
      <c r="C180" s="138" t="n"/>
      <c r="D180" s="138" t="n"/>
      <c r="E180" s="138" t="n"/>
      <c r="F180" s="138" t="n"/>
      <c r="G180" s="138" t="n"/>
      <c r="H180" s="138" t="n"/>
      <c r="I180" s="138" t="n"/>
      <c r="J180" s="138" t="n"/>
    </row>
    <row r="181" ht="18" customHeight="1" s="102">
      <c r="A181" s="137">
        <f>IF($B181="","","CIR-"&amp;TEXT(ROW()-BaslangicSatir,"000000"))</f>
        <v/>
      </c>
      <c r="B181" s="138" t="n"/>
      <c r="C181" s="138" t="n"/>
      <c r="D181" s="138" t="n"/>
      <c r="E181" s="138" t="n"/>
      <c r="F181" s="138" t="n"/>
      <c r="G181" s="138" t="n"/>
      <c r="H181" s="138" t="n"/>
      <c r="I181" s="138" t="n"/>
      <c r="J181" s="138" t="n"/>
    </row>
    <row r="182" ht="18" customHeight="1" s="102">
      <c r="A182" s="137">
        <f>IF($B182="","","CIR-"&amp;TEXT(ROW()-BaslangicSatir,"000000"))</f>
        <v/>
      </c>
      <c r="B182" s="138" t="n"/>
      <c r="C182" s="138" t="n"/>
      <c r="D182" s="138" t="n"/>
      <c r="E182" s="138" t="n"/>
      <c r="F182" s="138" t="n"/>
      <c r="G182" s="138" t="n"/>
      <c r="H182" s="138" t="n"/>
      <c r="I182" s="138" t="n"/>
      <c r="J182" s="138" t="n"/>
    </row>
    <row r="183" ht="18" customHeight="1" s="102">
      <c r="A183" s="137">
        <f>IF($B183="","","CIR-"&amp;TEXT(ROW()-BaslangicSatir,"000000"))</f>
        <v/>
      </c>
      <c r="B183" s="138" t="n"/>
      <c r="C183" s="138" t="n"/>
      <c r="D183" s="138" t="n"/>
      <c r="E183" s="138" t="n"/>
      <c r="F183" s="138" t="n"/>
      <c r="G183" s="138" t="n"/>
      <c r="H183" s="138" t="n"/>
      <c r="I183" s="138" t="n"/>
      <c r="J183" s="138" t="n"/>
    </row>
    <row r="184" ht="18" customHeight="1" s="102">
      <c r="A184" s="137">
        <f>IF($B184="","","CIR-"&amp;TEXT(ROW()-BaslangicSatir,"000000"))</f>
        <v/>
      </c>
      <c r="B184" s="138" t="n"/>
      <c r="C184" s="138" t="n"/>
      <c r="D184" s="138" t="n"/>
      <c r="E184" s="138" t="n"/>
      <c r="F184" s="138" t="n"/>
      <c r="G184" s="138" t="n"/>
      <c r="H184" s="138" t="n"/>
      <c r="I184" s="138" t="n"/>
      <c r="J184" s="138" t="n"/>
    </row>
    <row r="185" ht="18" customHeight="1" s="102">
      <c r="A185" s="137">
        <f>IF($B185="","","CIR-"&amp;TEXT(ROW()-BaslangicSatir,"000000"))</f>
        <v/>
      </c>
      <c r="B185" s="138" t="n"/>
      <c r="C185" s="138" t="n"/>
      <c r="D185" s="138" t="n"/>
      <c r="E185" s="138" t="n"/>
      <c r="F185" s="138" t="n"/>
      <c r="G185" s="138" t="n"/>
      <c r="H185" s="138" t="n"/>
      <c r="I185" s="138" t="n"/>
      <c r="J185" s="138" t="n"/>
    </row>
    <row r="186" ht="18" customHeight="1" s="102">
      <c r="A186" s="137">
        <f>IF($B186="","","CIR-"&amp;TEXT(ROW()-BaslangicSatir,"000000"))</f>
        <v/>
      </c>
      <c r="B186" s="138" t="n"/>
      <c r="C186" s="138" t="n"/>
      <c r="D186" s="138" t="n"/>
      <c r="E186" s="138" t="n"/>
      <c r="F186" s="138" t="n"/>
      <c r="G186" s="138" t="n"/>
      <c r="H186" s="138" t="n"/>
      <c r="I186" s="138" t="n"/>
      <c r="J186" s="138" t="n"/>
    </row>
    <row r="187" ht="18" customHeight="1" s="102">
      <c r="A187" s="137">
        <f>IF($B187="","","CIR-"&amp;TEXT(ROW()-BaslangicSatir,"000000"))</f>
        <v/>
      </c>
      <c r="B187" s="138" t="n"/>
      <c r="C187" s="138" t="n"/>
      <c r="D187" s="138" t="n"/>
      <c r="E187" s="138" t="n"/>
      <c r="F187" s="138" t="n"/>
      <c r="G187" s="138" t="n"/>
      <c r="H187" s="138" t="n"/>
      <c r="I187" s="138" t="n"/>
      <c r="J187" s="138" t="n"/>
    </row>
    <row r="188" ht="18" customHeight="1" s="102">
      <c r="A188" s="137">
        <f>IF($B188="","","CIR-"&amp;TEXT(ROW()-BaslangicSatir,"000000"))</f>
        <v/>
      </c>
      <c r="B188" s="138" t="n"/>
      <c r="C188" s="138" t="n"/>
      <c r="D188" s="138" t="n"/>
      <c r="E188" s="138" t="n"/>
      <c r="F188" s="138" t="n"/>
      <c r="G188" s="138" t="n"/>
      <c r="H188" s="138" t="n"/>
      <c r="I188" s="138" t="n"/>
      <c r="J188" s="138" t="n"/>
    </row>
    <row r="189" ht="18" customHeight="1" s="102">
      <c r="A189" s="137">
        <f>IF($B189="","","CIR-"&amp;TEXT(ROW()-BaslangicSatir,"000000"))</f>
        <v/>
      </c>
      <c r="B189" s="138" t="n"/>
      <c r="C189" s="138" t="n"/>
      <c r="D189" s="138" t="n"/>
      <c r="E189" s="138" t="n"/>
      <c r="F189" s="138" t="n"/>
      <c r="G189" s="138" t="n"/>
      <c r="H189" s="138" t="n"/>
      <c r="I189" s="138" t="n"/>
      <c r="J189" s="138" t="n"/>
    </row>
    <row r="190" ht="18" customHeight="1" s="102">
      <c r="A190" s="137">
        <f>IF($B190="","","CIR-"&amp;TEXT(ROW()-BaslangicSatir,"000000"))</f>
        <v/>
      </c>
      <c r="B190" s="138" t="n"/>
      <c r="C190" s="138" t="n"/>
      <c r="D190" s="138" t="n"/>
      <c r="E190" s="138" t="n"/>
      <c r="F190" s="138" t="n"/>
      <c r="G190" s="138" t="n"/>
      <c r="H190" s="138" t="n"/>
      <c r="I190" s="138" t="n"/>
      <c r="J190" s="138" t="n"/>
    </row>
    <row r="191" ht="18" customHeight="1" s="102">
      <c r="A191" s="137">
        <f>IF($B191="","","CIR-"&amp;TEXT(ROW()-BaslangicSatir,"000000"))</f>
        <v/>
      </c>
      <c r="B191" s="138" t="n"/>
      <c r="C191" s="138" t="n"/>
      <c r="D191" s="138" t="n"/>
      <c r="E191" s="138" t="n"/>
      <c r="F191" s="138" t="n"/>
      <c r="G191" s="138" t="n"/>
      <c r="H191" s="138" t="n"/>
      <c r="I191" s="138" t="n"/>
      <c r="J191" s="138" t="n"/>
    </row>
    <row r="192" ht="18" customHeight="1" s="102">
      <c r="A192" s="137">
        <f>IF($B192="","","CIR-"&amp;TEXT(ROW()-BaslangicSatir,"000000"))</f>
        <v/>
      </c>
      <c r="B192" s="138" t="n"/>
      <c r="C192" s="138" t="n"/>
      <c r="D192" s="138" t="n"/>
      <c r="E192" s="138" t="n"/>
      <c r="F192" s="138" t="n"/>
      <c r="G192" s="138" t="n"/>
      <c r="H192" s="138" t="n"/>
      <c r="I192" s="138" t="n"/>
      <c r="J192" s="138" t="n"/>
    </row>
    <row r="193" ht="18" customHeight="1" s="102">
      <c r="A193" s="137">
        <f>IF($B193="","","CIR-"&amp;TEXT(ROW()-BaslangicSatir,"000000"))</f>
        <v/>
      </c>
      <c r="B193" s="138" t="n"/>
      <c r="C193" s="138" t="n"/>
      <c r="D193" s="138" t="n"/>
      <c r="E193" s="138" t="n"/>
      <c r="F193" s="138" t="n"/>
      <c r="G193" s="138" t="n"/>
      <c r="H193" s="138" t="n"/>
      <c r="I193" s="138" t="n"/>
      <c r="J193" s="138" t="n"/>
    </row>
    <row r="194" ht="18" customHeight="1" s="102">
      <c r="A194" s="137">
        <f>IF($B194="","","CIR-"&amp;TEXT(ROW()-BaslangicSatir,"000000"))</f>
        <v/>
      </c>
      <c r="B194" s="138" t="n"/>
      <c r="C194" s="138" t="n"/>
      <c r="D194" s="138" t="n"/>
      <c r="E194" s="138" t="n"/>
      <c r="F194" s="138" t="n"/>
      <c r="G194" s="138" t="n"/>
      <c r="H194" s="138" t="n"/>
      <c r="I194" s="138" t="n"/>
      <c r="J194" s="138" t="n"/>
    </row>
    <row r="195" ht="18" customHeight="1" s="102">
      <c r="A195" s="137">
        <f>IF($B195="","","CIR-"&amp;TEXT(ROW()-BaslangicSatir,"000000"))</f>
        <v/>
      </c>
      <c r="B195" s="138" t="n"/>
      <c r="C195" s="138" t="n"/>
      <c r="D195" s="138" t="n"/>
      <c r="E195" s="138" t="n"/>
      <c r="F195" s="138" t="n"/>
      <c r="G195" s="138" t="n"/>
      <c r="H195" s="138" t="n"/>
      <c r="I195" s="138" t="n"/>
      <c r="J195" s="138" t="n"/>
    </row>
    <row r="196" ht="18" customHeight="1" s="102">
      <c r="A196" s="137">
        <f>IF($B196="","","CIR-"&amp;TEXT(ROW()-BaslangicSatir,"000000"))</f>
        <v/>
      </c>
      <c r="B196" s="138" t="n"/>
      <c r="C196" s="138" t="n"/>
      <c r="D196" s="138" t="n"/>
      <c r="E196" s="138" t="n"/>
      <c r="F196" s="138" t="n"/>
      <c r="G196" s="138" t="n"/>
      <c r="H196" s="138" t="n"/>
      <c r="I196" s="138" t="n"/>
      <c r="J196" s="138" t="n"/>
    </row>
    <row r="197" ht="18" customHeight="1" s="102">
      <c r="A197" s="137">
        <f>IF($B197="","","CIR-"&amp;TEXT(ROW()-BaslangicSatir,"000000"))</f>
        <v/>
      </c>
      <c r="B197" s="138" t="n"/>
      <c r="C197" s="138" t="n"/>
      <c r="D197" s="138" t="n"/>
      <c r="E197" s="138" t="n"/>
      <c r="F197" s="138" t="n"/>
      <c r="G197" s="138" t="n"/>
      <c r="H197" s="138" t="n"/>
      <c r="I197" s="138" t="n"/>
      <c r="J197" s="138" t="n"/>
    </row>
    <row r="198" ht="18" customHeight="1" s="102">
      <c r="A198" s="137">
        <f>IF($B198="","","CIR-"&amp;TEXT(ROW()-BaslangicSatir,"000000"))</f>
        <v/>
      </c>
      <c r="B198" s="138" t="n"/>
      <c r="C198" s="138" t="n"/>
      <c r="D198" s="138" t="n"/>
      <c r="E198" s="138" t="n"/>
      <c r="F198" s="138" t="n"/>
      <c r="G198" s="138" t="n"/>
      <c r="H198" s="138" t="n"/>
      <c r="I198" s="138" t="n"/>
      <c r="J198" s="138" t="n"/>
    </row>
    <row r="199" ht="18" customHeight="1" s="102">
      <c r="A199" s="137">
        <f>IF($B199="","","CIR-"&amp;TEXT(ROW()-BaslangicSatir,"000000"))</f>
        <v/>
      </c>
      <c r="B199" s="138" t="n"/>
      <c r="C199" s="138" t="n"/>
      <c r="D199" s="138" t="n"/>
      <c r="E199" s="138" t="n"/>
      <c r="F199" s="138" t="n"/>
      <c r="G199" s="138" t="n"/>
      <c r="H199" s="138" t="n"/>
      <c r="I199" s="138" t="n"/>
      <c r="J199" s="138" t="n"/>
    </row>
    <row r="200" ht="18" customHeight="1" s="102">
      <c r="A200" s="137">
        <f>IF($B200="","","CIR-"&amp;TEXT(ROW()-BaslangicSatir,"000000"))</f>
        <v/>
      </c>
      <c r="B200" s="138" t="n"/>
      <c r="C200" s="138" t="n"/>
      <c r="D200" s="138" t="n"/>
      <c r="E200" s="138" t="n"/>
      <c r="F200" s="138" t="n"/>
      <c r="G200" s="138" t="n"/>
      <c r="H200" s="138" t="n"/>
      <c r="I200" s="138" t="n"/>
      <c r="J200" s="138" t="n"/>
    </row>
    <row r="201" ht="18" customHeight="1" s="102">
      <c r="A201" s="137">
        <f>IF($B201="","","CIR-"&amp;TEXT(ROW()-BaslangicSatir,"000000"))</f>
        <v/>
      </c>
      <c r="B201" s="143" t="n"/>
      <c r="C201" s="143" t="n"/>
      <c r="D201" s="143" t="n"/>
      <c r="E201" s="143" t="n"/>
      <c r="F201" s="143" t="n"/>
      <c r="G201" s="143" t="n"/>
      <c r="H201" s="143" t="n"/>
      <c r="I201" s="143" t="n"/>
      <c r="J201" s="143" t="n"/>
    </row>
    <row r="202" ht="18" customHeight="1" s="102">
      <c r="A202" s="137">
        <f>IF($B202="","","CIR-"&amp;TEXT(ROW()-BaslangicSatir,"000000"))</f>
        <v/>
      </c>
      <c r="B202" s="143" t="n"/>
      <c r="C202" s="143" t="n"/>
      <c r="D202" s="143" t="n"/>
      <c r="E202" s="143" t="n"/>
      <c r="F202" s="143" t="n"/>
      <c r="G202" s="143" t="n"/>
      <c r="H202" s="143" t="n"/>
      <c r="I202" s="143" t="n"/>
      <c r="J202" s="143" t="n"/>
    </row>
    <row r="203" ht="18" customHeight="1" s="102">
      <c r="A203" s="137">
        <f>IF($B203="","","CIR-"&amp;TEXT(ROW()-BaslangicSatir,"000000"))</f>
        <v/>
      </c>
      <c r="B203" s="143" t="n"/>
      <c r="C203" s="143" t="n"/>
      <c r="D203" s="143" t="n"/>
      <c r="E203" s="143" t="n"/>
      <c r="F203" s="143" t="n"/>
      <c r="G203" s="143" t="n"/>
      <c r="H203" s="143" t="n"/>
      <c r="I203" s="143" t="n"/>
      <c r="J203" s="143" t="n"/>
    </row>
    <row r="204" ht="18" customHeight="1" s="102">
      <c r="A204" s="137">
        <f>IF($B204="","","CIR-"&amp;TEXT(ROW()-BaslangicSatir,"000000"))</f>
        <v/>
      </c>
      <c r="B204" s="143" t="n"/>
      <c r="C204" s="143" t="n"/>
      <c r="D204" s="143" t="n"/>
      <c r="E204" s="143" t="n"/>
      <c r="F204" s="143" t="n"/>
      <c r="G204" s="143" t="n"/>
      <c r="H204" s="143" t="n"/>
      <c r="I204" s="143" t="n"/>
      <c r="J204" s="143" t="n"/>
    </row>
    <row r="205" ht="18" customHeight="1" s="102">
      <c r="A205" s="137">
        <f>IF($B205="","","CIR-"&amp;TEXT(ROW()-BaslangicSatir,"000000"))</f>
        <v/>
      </c>
      <c r="B205" s="143" t="n"/>
      <c r="C205" s="143" t="n"/>
      <c r="D205" s="143" t="n"/>
      <c r="E205" s="143" t="n"/>
      <c r="F205" s="143" t="n"/>
      <c r="G205" s="143" t="n"/>
      <c r="H205" s="143" t="n"/>
      <c r="I205" s="143" t="n"/>
      <c r="J205" s="143" t="n"/>
    </row>
    <row r="206" ht="18" customHeight="1" s="102">
      <c r="A206" s="137">
        <f>IF($B206="","","CIR-"&amp;TEXT(ROW()-BaslangicSatir,"000000"))</f>
        <v/>
      </c>
      <c r="B206" s="143" t="n"/>
      <c r="C206" s="143" t="n"/>
      <c r="D206" s="143" t="n"/>
      <c r="E206" s="143" t="n"/>
      <c r="F206" s="143" t="n"/>
      <c r="G206" s="143" t="n"/>
      <c r="H206" s="143" t="n"/>
      <c r="I206" s="143" t="n"/>
      <c r="J206" s="143" t="n"/>
    </row>
    <row r="207" ht="18" customHeight="1" s="102">
      <c r="A207" s="137">
        <f>IF($B207="","","CIR-"&amp;TEXT(ROW()-BaslangicSatir,"000000"))</f>
        <v/>
      </c>
      <c r="B207" s="143" t="n"/>
      <c r="C207" s="143" t="n"/>
      <c r="D207" s="143" t="n"/>
      <c r="E207" s="143" t="n"/>
      <c r="F207" s="143" t="n"/>
      <c r="G207" s="143" t="n"/>
      <c r="H207" s="143" t="n"/>
      <c r="I207" s="143" t="n"/>
      <c r="J207" s="143" t="n"/>
    </row>
    <row r="208" ht="18" customHeight="1" s="102">
      <c r="A208" s="137">
        <f>IF($B208="","","CIR-"&amp;TEXT(ROW()-BaslangicSatir,"000000"))</f>
        <v/>
      </c>
      <c r="B208" s="143" t="n"/>
      <c r="C208" s="143" t="n"/>
      <c r="D208" s="143" t="n"/>
      <c r="E208" s="143" t="n"/>
      <c r="F208" s="143" t="n"/>
      <c r="G208" s="143" t="n"/>
      <c r="H208" s="143" t="n"/>
      <c r="I208" s="143" t="n"/>
      <c r="J208" s="143" t="n"/>
    </row>
    <row r="209" ht="18" customHeight="1" s="102">
      <c r="A209" s="137">
        <f>IF($B209="","","CIR-"&amp;TEXT(ROW()-BaslangicSatir,"000000"))</f>
        <v/>
      </c>
      <c r="B209" s="143" t="n"/>
      <c r="C209" s="143" t="n"/>
      <c r="D209" s="143" t="n"/>
      <c r="E209" s="143" t="n"/>
      <c r="F209" s="143" t="n"/>
      <c r="G209" s="143" t="n"/>
      <c r="H209" s="143" t="n"/>
      <c r="I209" s="143" t="n"/>
      <c r="J209" s="143" t="n"/>
    </row>
    <row r="210" ht="18" customHeight="1" s="102">
      <c r="A210" s="137">
        <f>IF($B210="","","CIR-"&amp;TEXT(ROW()-BaslangicSatir,"000000"))</f>
        <v/>
      </c>
      <c r="B210" s="143" t="n"/>
      <c r="C210" s="143" t="n"/>
      <c r="D210" s="143" t="n"/>
      <c r="E210" s="143" t="n"/>
      <c r="F210" s="143" t="n"/>
      <c r="G210" s="143" t="n"/>
      <c r="H210" s="143" t="n"/>
      <c r="I210" s="143" t="n"/>
      <c r="J210" s="143" t="n"/>
    </row>
    <row r="211" ht="18" customHeight="1" s="102">
      <c r="A211" s="137">
        <f>IF($B211="","","CIR-"&amp;TEXT(ROW()-BaslangicSatir,"000000"))</f>
        <v/>
      </c>
      <c r="B211" s="143" t="n"/>
      <c r="C211" s="143" t="n"/>
      <c r="D211" s="143" t="n"/>
      <c r="E211" s="143" t="n"/>
      <c r="F211" s="143" t="n"/>
      <c r="G211" s="143" t="n"/>
      <c r="H211" s="143" t="n"/>
      <c r="I211" s="143" t="n"/>
      <c r="J211" s="143" t="n"/>
    </row>
    <row r="212" ht="18" customHeight="1" s="102">
      <c r="A212" s="137">
        <f>IF($B212="","","CIR-"&amp;TEXT(ROW()-BaslangicSatir,"000000"))</f>
        <v/>
      </c>
      <c r="B212" s="143" t="n"/>
      <c r="C212" s="143" t="n"/>
      <c r="D212" s="143" t="n"/>
      <c r="E212" s="143" t="n"/>
      <c r="F212" s="143" t="n"/>
      <c r="G212" s="143" t="n"/>
      <c r="H212" s="143" t="n"/>
      <c r="I212" s="143" t="n"/>
      <c r="J212" s="143" t="n"/>
    </row>
    <row r="213" ht="18" customHeight="1" s="102">
      <c r="A213" s="137">
        <f>IF($B213="","","CIR-"&amp;TEXT(ROW()-BaslangicSatir,"000000"))</f>
        <v/>
      </c>
      <c r="B213" s="143" t="n"/>
      <c r="C213" s="143" t="n"/>
      <c r="D213" s="143" t="n"/>
      <c r="E213" s="143" t="n"/>
      <c r="F213" s="143" t="n"/>
      <c r="G213" s="143" t="n"/>
      <c r="H213" s="143" t="n"/>
      <c r="I213" s="143" t="n"/>
      <c r="J213" s="143" t="n"/>
    </row>
    <row r="214" ht="18" customHeight="1" s="102">
      <c r="A214" s="137">
        <f>IF($B214="","","CIR-"&amp;TEXT(ROW()-BaslangicSatir,"000000"))</f>
        <v/>
      </c>
      <c r="B214" s="143" t="n"/>
      <c r="C214" s="143" t="n"/>
      <c r="D214" s="143" t="n"/>
      <c r="E214" s="143" t="n"/>
      <c r="F214" s="143" t="n"/>
      <c r="G214" s="143" t="n"/>
      <c r="H214" s="143" t="n"/>
      <c r="I214" s="143" t="n"/>
      <c r="J214" s="143" t="n"/>
    </row>
    <row r="215" ht="18" customHeight="1" s="102">
      <c r="A215" s="137">
        <f>IF($B215="","","CIR-"&amp;TEXT(ROW()-BaslangicSatir,"000000"))</f>
        <v/>
      </c>
      <c r="B215" s="143" t="n"/>
      <c r="C215" s="143" t="n"/>
      <c r="D215" s="143" t="n"/>
      <c r="E215" s="143" t="n"/>
      <c r="F215" s="143" t="n"/>
      <c r="G215" s="143" t="n"/>
      <c r="H215" s="143" t="n"/>
      <c r="I215" s="143" t="n"/>
      <c r="J215" s="143" t="n"/>
    </row>
    <row r="216" ht="18" customHeight="1" s="102">
      <c r="A216" s="137">
        <f>IF($B216="","","CIR-"&amp;TEXT(ROW()-BaslangicSatir,"000000"))</f>
        <v/>
      </c>
      <c r="B216" s="143" t="n"/>
      <c r="C216" s="143" t="n"/>
      <c r="D216" s="143" t="n"/>
      <c r="E216" s="143" t="n"/>
      <c r="F216" s="143" t="n"/>
      <c r="G216" s="143" t="n"/>
      <c r="H216" s="143" t="n"/>
      <c r="I216" s="143" t="n"/>
      <c r="J216" s="143" t="n"/>
    </row>
    <row r="217" ht="18" customHeight="1" s="102">
      <c r="A217" s="137">
        <f>IF($B217="","","CIR-"&amp;TEXT(ROW()-BaslangicSatir,"000000"))</f>
        <v/>
      </c>
      <c r="B217" s="143" t="n"/>
      <c r="C217" s="143" t="n"/>
      <c r="D217" s="143" t="n"/>
      <c r="E217" s="143" t="n"/>
      <c r="F217" s="143" t="n"/>
      <c r="G217" s="143" t="n"/>
      <c r="H217" s="143" t="n"/>
      <c r="I217" s="143" t="n"/>
      <c r="J217" s="143" t="n"/>
    </row>
    <row r="218" ht="18" customHeight="1" s="102">
      <c r="A218" s="137">
        <f>IF($B218="","","CIR-"&amp;TEXT(ROW()-BaslangicSatir,"000000"))</f>
        <v/>
      </c>
      <c r="B218" s="143" t="n"/>
      <c r="C218" s="143" t="n"/>
      <c r="D218" s="143" t="n"/>
      <c r="E218" s="143" t="n"/>
      <c r="F218" s="143" t="n"/>
      <c r="G218" s="143" t="n"/>
      <c r="H218" s="143" t="n"/>
      <c r="I218" s="143" t="n"/>
      <c r="J218" s="143" t="n"/>
    </row>
    <row r="219" ht="18" customHeight="1" s="102">
      <c r="A219" s="137">
        <f>IF($B219="","","CIR-"&amp;TEXT(ROW()-BaslangicSatir,"000000"))</f>
        <v/>
      </c>
      <c r="B219" s="143" t="n"/>
      <c r="C219" s="143" t="n"/>
      <c r="D219" s="143" t="n"/>
      <c r="E219" s="143" t="n"/>
      <c r="F219" s="143" t="n"/>
      <c r="G219" s="143" t="n"/>
      <c r="H219" s="143" t="n"/>
      <c r="I219" s="143" t="n"/>
      <c r="J219" s="143" t="n"/>
    </row>
    <row r="220" ht="18" customHeight="1" s="102">
      <c r="A220" s="137">
        <f>IF($B220="","","CIR-"&amp;TEXT(ROW()-BaslangicSatir,"000000"))</f>
        <v/>
      </c>
      <c r="B220" s="143" t="n"/>
      <c r="C220" s="143" t="n"/>
      <c r="D220" s="143" t="n"/>
      <c r="E220" s="143" t="n"/>
      <c r="F220" s="143" t="n"/>
      <c r="G220" s="143" t="n"/>
      <c r="H220" s="143" t="n"/>
      <c r="I220" s="143" t="n"/>
      <c r="J220" s="143" t="n"/>
    </row>
    <row r="221" ht="18" customHeight="1" s="102">
      <c r="A221" s="137">
        <f>IF($B221="","","CIR-"&amp;TEXT(ROW()-BaslangicSatir,"000000"))</f>
        <v/>
      </c>
      <c r="B221" s="143" t="n"/>
      <c r="C221" s="143" t="n"/>
      <c r="D221" s="143" t="n"/>
      <c r="E221" s="143" t="n"/>
      <c r="F221" s="143" t="n"/>
      <c r="G221" s="143" t="n"/>
      <c r="H221" s="143" t="n"/>
      <c r="I221" s="143" t="n"/>
      <c r="J221" s="143" t="n"/>
    </row>
    <row r="222" ht="18" customHeight="1" s="102">
      <c r="A222" s="137">
        <f>IF($B222="","","CIR-"&amp;TEXT(ROW()-BaslangicSatir,"000000"))</f>
        <v/>
      </c>
      <c r="B222" s="143" t="n"/>
      <c r="C222" s="143" t="n"/>
      <c r="D222" s="143" t="n"/>
      <c r="E222" s="143" t="n"/>
      <c r="F222" s="143" t="n"/>
      <c r="G222" s="143" t="n"/>
      <c r="H222" s="143" t="n"/>
      <c r="I222" s="143" t="n"/>
      <c r="J222" s="143" t="n"/>
    </row>
    <row r="223" ht="18" customHeight="1" s="102">
      <c r="A223" s="137">
        <f>IF($B223="","","CIR-"&amp;TEXT(ROW()-BaslangicSatir,"000000"))</f>
        <v/>
      </c>
      <c r="B223" s="143" t="n"/>
      <c r="C223" s="143" t="n"/>
      <c r="D223" s="143" t="n"/>
      <c r="E223" s="143" t="n"/>
      <c r="F223" s="143" t="n"/>
      <c r="G223" s="143" t="n"/>
      <c r="H223" s="143" t="n"/>
      <c r="I223" s="143" t="n"/>
      <c r="J223" s="143" t="n"/>
    </row>
    <row r="224" ht="18" customHeight="1" s="102">
      <c r="A224" s="137">
        <f>IF($B224="","","CIR-"&amp;TEXT(ROW()-BaslangicSatir,"000000"))</f>
        <v/>
      </c>
      <c r="B224" s="143" t="n"/>
      <c r="C224" s="143" t="n"/>
      <c r="D224" s="143" t="n"/>
      <c r="E224" s="143" t="n"/>
      <c r="F224" s="143" t="n"/>
      <c r="G224" s="143" t="n"/>
      <c r="H224" s="143" t="n"/>
      <c r="I224" s="143" t="n"/>
      <c r="J224" s="143" t="n"/>
    </row>
    <row r="225" ht="18" customHeight="1" s="102">
      <c r="A225" s="137">
        <f>IF($B225="","","CIR-"&amp;TEXT(ROW()-BaslangicSatir,"000000"))</f>
        <v/>
      </c>
      <c r="B225" s="143" t="n"/>
      <c r="C225" s="143" t="n"/>
      <c r="D225" s="143" t="n"/>
      <c r="E225" s="143" t="n"/>
      <c r="F225" s="143" t="n"/>
      <c r="G225" s="143" t="n"/>
      <c r="H225" s="143" t="n"/>
      <c r="I225" s="143" t="n"/>
      <c r="J225" s="143" t="n"/>
    </row>
    <row r="226" ht="18" customHeight="1" s="102">
      <c r="A226" s="137">
        <f>IF($B226="","","CIR-"&amp;TEXT(ROW()-BaslangicSatir,"000000"))</f>
        <v/>
      </c>
      <c r="B226" s="143" t="n"/>
      <c r="C226" s="143" t="n"/>
      <c r="D226" s="143" t="n"/>
      <c r="E226" s="143" t="n"/>
      <c r="F226" s="143" t="n"/>
      <c r="G226" s="143" t="n"/>
      <c r="H226" s="143" t="n"/>
      <c r="I226" s="143" t="n"/>
      <c r="J226" s="143" t="n"/>
    </row>
    <row r="227" ht="18" customHeight="1" s="102">
      <c r="A227" s="137">
        <f>IF($B227="","","CIR-"&amp;TEXT(ROW()-BaslangicSatir,"000000"))</f>
        <v/>
      </c>
      <c r="B227" s="143" t="n"/>
      <c r="C227" s="143" t="n"/>
      <c r="D227" s="143" t="n"/>
      <c r="E227" s="143" t="n"/>
      <c r="F227" s="143" t="n"/>
      <c r="G227" s="143" t="n"/>
      <c r="H227" s="143" t="n"/>
      <c r="I227" s="143" t="n"/>
      <c r="J227" s="143" t="n"/>
    </row>
    <row r="228" ht="18" customHeight="1" s="102">
      <c r="A228" s="137">
        <f>IF($B228="","","CIR-"&amp;TEXT(ROW()-BaslangicSatir,"000000"))</f>
        <v/>
      </c>
      <c r="B228" s="143" t="n"/>
      <c r="C228" s="143" t="n"/>
      <c r="D228" s="143" t="n"/>
      <c r="E228" s="143" t="n"/>
      <c r="F228" s="143" t="n"/>
      <c r="G228" s="143" t="n"/>
      <c r="H228" s="143" t="n"/>
      <c r="I228" s="143" t="n"/>
      <c r="J228" s="143" t="n"/>
    </row>
    <row r="229" ht="18" customHeight="1" s="102">
      <c r="A229" s="137">
        <f>IF($B229="","","CIR-"&amp;TEXT(ROW()-BaslangicSatir,"000000"))</f>
        <v/>
      </c>
      <c r="B229" s="143" t="n"/>
      <c r="C229" s="143" t="n"/>
      <c r="D229" s="143" t="n"/>
      <c r="E229" s="143" t="n"/>
      <c r="F229" s="143" t="n"/>
      <c r="G229" s="143" t="n"/>
      <c r="H229" s="143" t="n"/>
      <c r="I229" s="143" t="n"/>
      <c r="J229" s="143" t="n"/>
    </row>
    <row r="230" ht="18" customHeight="1" s="102">
      <c r="A230" s="137">
        <f>IF($B230="","","CIR-"&amp;TEXT(ROW()-BaslangicSatir,"000000"))</f>
        <v/>
      </c>
      <c r="B230" s="143" t="n"/>
      <c r="C230" s="143" t="n"/>
      <c r="D230" s="143" t="n"/>
      <c r="E230" s="143" t="n"/>
      <c r="F230" s="143" t="n"/>
      <c r="G230" s="143" t="n"/>
      <c r="H230" s="143" t="n"/>
      <c r="I230" s="143" t="n"/>
      <c r="J230" s="143" t="n"/>
    </row>
    <row r="231" ht="18" customHeight="1" s="102">
      <c r="A231" s="137">
        <f>IF($B231="","","CIR-"&amp;TEXT(ROW()-BaslangicSatir,"000000"))</f>
        <v/>
      </c>
      <c r="B231" s="143" t="n"/>
      <c r="C231" s="143" t="n"/>
      <c r="D231" s="143" t="n"/>
      <c r="E231" s="143" t="n"/>
      <c r="F231" s="143" t="n"/>
      <c r="G231" s="143" t="n"/>
      <c r="H231" s="143" t="n"/>
      <c r="I231" s="143" t="n"/>
      <c r="J231" s="143" t="n"/>
    </row>
    <row r="232" ht="18" customHeight="1" s="102">
      <c r="A232" s="137">
        <f>IF($B232="","","CIR-"&amp;TEXT(ROW()-BaslangicSatir,"000000"))</f>
        <v/>
      </c>
      <c r="B232" s="143" t="n"/>
      <c r="C232" s="143" t="n"/>
      <c r="D232" s="143" t="n"/>
      <c r="E232" s="143" t="n"/>
      <c r="F232" s="143" t="n"/>
      <c r="G232" s="143" t="n"/>
      <c r="H232" s="143" t="n"/>
      <c r="I232" s="143" t="n"/>
      <c r="J232" s="143" t="n"/>
    </row>
    <row r="233" ht="18" customHeight="1" s="102">
      <c r="A233" s="137">
        <f>IF($B233="","","CIR-"&amp;TEXT(ROW()-BaslangicSatir,"000000"))</f>
        <v/>
      </c>
      <c r="B233" s="143" t="n"/>
      <c r="C233" s="143" t="n"/>
      <c r="D233" s="143" t="n"/>
      <c r="E233" s="143" t="n"/>
      <c r="F233" s="143" t="n"/>
      <c r="G233" s="143" t="n"/>
      <c r="H233" s="143" t="n"/>
      <c r="I233" s="143" t="n"/>
      <c r="J233" s="143" t="n"/>
    </row>
    <row r="234" ht="18" customHeight="1" s="102">
      <c r="A234" s="137">
        <f>IF($B234="","","CIR-"&amp;TEXT(ROW()-BaslangicSatir,"000000"))</f>
        <v/>
      </c>
      <c r="B234" s="143" t="n"/>
      <c r="C234" s="143" t="n"/>
      <c r="D234" s="143" t="n"/>
      <c r="E234" s="143" t="n"/>
      <c r="F234" s="143" t="n"/>
      <c r="G234" s="143" t="n"/>
      <c r="H234" s="143" t="n"/>
      <c r="I234" s="143" t="n"/>
      <c r="J234" s="143" t="n"/>
    </row>
    <row r="235" ht="18" customHeight="1" s="102">
      <c r="A235" s="137">
        <f>IF($B235="","","CIR-"&amp;TEXT(ROW()-BaslangicSatir,"000000"))</f>
        <v/>
      </c>
      <c r="B235" s="143" t="n"/>
      <c r="C235" s="143" t="n"/>
      <c r="D235" s="143" t="n"/>
      <c r="E235" s="143" t="n"/>
      <c r="F235" s="143" t="n"/>
      <c r="G235" s="143" t="n"/>
      <c r="H235" s="143" t="n"/>
      <c r="I235" s="143" t="n"/>
      <c r="J235" s="143" t="n"/>
    </row>
    <row r="236" ht="18" customHeight="1" s="102">
      <c r="A236" s="137">
        <f>IF($B236="","","CIR-"&amp;TEXT(ROW()-BaslangicSatir,"000000"))</f>
        <v/>
      </c>
      <c r="B236" s="143" t="n"/>
      <c r="C236" s="143" t="n"/>
      <c r="D236" s="143" t="n"/>
      <c r="E236" s="143" t="n"/>
      <c r="F236" s="143" t="n"/>
      <c r="G236" s="143" t="n"/>
      <c r="H236" s="143" t="n"/>
      <c r="I236" s="143" t="n"/>
      <c r="J236" s="143" t="n"/>
    </row>
    <row r="237" ht="18" customHeight="1" s="102">
      <c r="A237" s="137">
        <f>IF($B237="","","CIR-"&amp;TEXT(ROW()-BaslangicSatir,"000000"))</f>
        <v/>
      </c>
      <c r="B237" s="143" t="n"/>
      <c r="C237" s="143" t="n"/>
      <c r="D237" s="143" t="n"/>
      <c r="E237" s="143" t="n"/>
      <c r="F237" s="143" t="n"/>
      <c r="G237" s="143" t="n"/>
      <c r="H237" s="143" t="n"/>
      <c r="I237" s="143" t="n"/>
      <c r="J237" s="143" t="n"/>
    </row>
    <row r="238" ht="18" customHeight="1" s="102">
      <c r="A238" s="137">
        <f>IF($B238="","","CIR-"&amp;TEXT(ROW()-BaslangicSatir,"000000"))</f>
        <v/>
      </c>
      <c r="B238" s="143" t="n"/>
      <c r="C238" s="143" t="n"/>
      <c r="D238" s="143" t="n"/>
      <c r="E238" s="143" t="n"/>
      <c r="F238" s="143" t="n"/>
      <c r="G238" s="143" t="n"/>
      <c r="H238" s="143" t="n"/>
      <c r="I238" s="143" t="n"/>
      <c r="J238" s="143" t="n"/>
    </row>
    <row r="239" ht="18" customHeight="1" s="102">
      <c r="A239" s="137">
        <f>IF($B239="","","CIR-"&amp;TEXT(ROW()-BaslangicSatir,"000000"))</f>
        <v/>
      </c>
      <c r="B239" s="143" t="n"/>
      <c r="C239" s="143" t="n"/>
      <c r="D239" s="143" t="n"/>
      <c r="E239" s="143" t="n"/>
      <c r="F239" s="143" t="n"/>
      <c r="G239" s="143" t="n"/>
      <c r="H239" s="143" t="n"/>
      <c r="I239" s="143" t="n"/>
      <c r="J239" s="143" t="n"/>
    </row>
    <row r="240" ht="18" customHeight="1" s="102">
      <c r="A240" s="137">
        <f>IF($B240="","","CIR-"&amp;TEXT(ROW()-BaslangicSatir,"000000"))</f>
        <v/>
      </c>
      <c r="B240" s="143" t="n"/>
      <c r="C240" s="143" t="n"/>
      <c r="D240" s="143" t="n"/>
      <c r="E240" s="143" t="n"/>
      <c r="F240" s="143" t="n"/>
      <c r="G240" s="143" t="n"/>
      <c r="H240" s="143" t="n"/>
      <c r="I240" s="143" t="n"/>
      <c r="J240" s="143" t="n"/>
    </row>
    <row r="241" ht="18" customHeight="1" s="102">
      <c r="A241" s="137">
        <f>IF($B241="","","CIR-"&amp;TEXT(ROW()-BaslangicSatir,"000000"))</f>
        <v/>
      </c>
      <c r="B241" s="143" t="n"/>
      <c r="C241" s="143" t="n"/>
      <c r="D241" s="143" t="n"/>
      <c r="E241" s="143" t="n"/>
      <c r="F241" s="143" t="n"/>
      <c r="G241" s="143" t="n"/>
      <c r="H241" s="143" t="n"/>
      <c r="I241" s="143" t="n"/>
      <c r="J241" s="143" t="n"/>
    </row>
    <row r="242" ht="18" customHeight="1" s="102">
      <c r="A242" s="137">
        <f>IF($B242="","","CIR-"&amp;TEXT(ROW()-BaslangicSatir,"000000"))</f>
        <v/>
      </c>
      <c r="B242" s="143" t="n"/>
      <c r="C242" s="143" t="n"/>
      <c r="D242" s="143" t="n"/>
      <c r="E242" s="143" t="n"/>
      <c r="F242" s="143" t="n"/>
      <c r="G242" s="143" t="n"/>
      <c r="H242" s="143" t="n"/>
      <c r="I242" s="143" t="n"/>
      <c r="J242" s="143" t="n"/>
    </row>
    <row r="243" ht="18" customHeight="1" s="102">
      <c r="A243" s="137">
        <f>IF($B243="","","CIR-"&amp;TEXT(ROW()-BaslangicSatir,"000000"))</f>
        <v/>
      </c>
      <c r="B243" s="143" t="n"/>
      <c r="C243" s="143" t="n"/>
      <c r="D243" s="143" t="n"/>
      <c r="E243" s="143" t="n"/>
      <c r="F243" s="143" t="n"/>
      <c r="G243" s="143" t="n"/>
      <c r="H243" s="143" t="n"/>
      <c r="I243" s="143" t="n"/>
      <c r="J243" s="143" t="n"/>
    </row>
    <row r="244" ht="18" customHeight="1" s="102">
      <c r="A244" s="137">
        <f>IF($B244="","","CIR-"&amp;TEXT(ROW()-BaslangicSatir,"000000"))</f>
        <v/>
      </c>
      <c r="B244" s="143" t="n"/>
      <c r="C244" s="143" t="n"/>
      <c r="D244" s="143" t="n"/>
      <c r="E244" s="143" t="n"/>
      <c r="F244" s="143" t="n"/>
      <c r="G244" s="143" t="n"/>
      <c r="H244" s="143" t="n"/>
      <c r="I244" s="143" t="n"/>
      <c r="J244" s="143" t="n"/>
    </row>
    <row r="245" ht="18" customHeight="1" s="102">
      <c r="A245" s="137">
        <f>IF($B245="","","CIR-"&amp;TEXT(ROW()-BaslangicSatir,"000000"))</f>
        <v/>
      </c>
      <c r="B245" s="143" t="n"/>
      <c r="C245" s="143" t="n"/>
      <c r="D245" s="143" t="n"/>
      <c r="E245" s="143" t="n"/>
      <c r="F245" s="143" t="n"/>
      <c r="G245" s="143" t="n"/>
      <c r="H245" s="143" t="n"/>
      <c r="I245" s="143" t="n"/>
      <c r="J245" s="143" t="n"/>
    </row>
    <row r="246" ht="18" customHeight="1" s="102">
      <c r="A246" s="137">
        <f>IF($B246="","","CIR-"&amp;TEXT(ROW()-BaslangicSatir,"000000"))</f>
        <v/>
      </c>
      <c r="B246" s="143" t="n"/>
      <c r="C246" s="143" t="n"/>
      <c r="D246" s="143" t="n"/>
      <c r="E246" s="143" t="n"/>
      <c r="F246" s="143" t="n"/>
      <c r="G246" s="143" t="n"/>
      <c r="H246" s="143" t="n"/>
      <c r="I246" s="143" t="n"/>
      <c r="J246" s="143" t="n"/>
    </row>
    <row r="247" ht="18" customHeight="1" s="102">
      <c r="A247" s="137">
        <f>IF($B247="","","CIR-"&amp;TEXT(ROW()-BaslangicSatir,"000000"))</f>
        <v/>
      </c>
      <c r="B247" s="143" t="n"/>
      <c r="C247" s="143" t="n"/>
      <c r="D247" s="143" t="n"/>
      <c r="E247" s="143" t="n"/>
      <c r="F247" s="143" t="n"/>
      <c r="G247" s="143" t="n"/>
      <c r="H247" s="143" t="n"/>
      <c r="I247" s="143" t="n"/>
      <c r="J247" s="143" t="n"/>
    </row>
    <row r="248" ht="18" customHeight="1" s="102">
      <c r="A248" s="137">
        <f>IF($B248="","","CIR-"&amp;TEXT(ROW()-BaslangicSatir,"000000"))</f>
        <v/>
      </c>
      <c r="B248" s="143" t="n"/>
      <c r="C248" s="143" t="n"/>
      <c r="D248" s="143" t="n"/>
      <c r="E248" s="143" t="n"/>
      <c r="F248" s="143" t="n"/>
      <c r="G248" s="143" t="n"/>
      <c r="H248" s="143" t="n"/>
      <c r="I248" s="143" t="n"/>
      <c r="J248" s="143" t="n"/>
    </row>
    <row r="249" ht="18" customHeight="1" s="102">
      <c r="A249" s="137">
        <f>IF($B249="","","CIR-"&amp;TEXT(ROW()-BaslangicSatir,"000000"))</f>
        <v/>
      </c>
      <c r="B249" s="143" t="n"/>
      <c r="C249" s="143" t="n"/>
      <c r="D249" s="143" t="n"/>
      <c r="E249" s="143" t="n"/>
      <c r="F249" s="143" t="n"/>
      <c r="G249" s="143" t="n"/>
      <c r="H249" s="143" t="n"/>
      <c r="I249" s="143" t="n"/>
      <c r="J249" s="143" t="n"/>
    </row>
    <row r="250" ht="18" customHeight="1" s="102">
      <c r="A250" s="137">
        <f>IF($B250="","","CIR-"&amp;TEXT(ROW()-BaslangicSatir,"000000"))</f>
        <v/>
      </c>
      <c r="B250" s="143" t="n"/>
      <c r="C250" s="143" t="n"/>
      <c r="D250" s="143" t="n"/>
      <c r="E250" s="143" t="n"/>
      <c r="F250" s="143" t="n"/>
      <c r="G250" s="143" t="n"/>
      <c r="H250" s="143" t="n"/>
      <c r="I250" s="143" t="n"/>
      <c r="J250" s="143" t="n"/>
    </row>
    <row r="251" ht="18" customHeight="1" s="102">
      <c r="A251" s="137">
        <f>IF($B251="","","CIR-"&amp;TEXT(ROW()-BaslangicSatir,"000000"))</f>
        <v/>
      </c>
      <c r="B251" s="143" t="n"/>
      <c r="C251" s="143" t="n"/>
      <c r="D251" s="143" t="n"/>
      <c r="E251" s="143" t="n"/>
      <c r="F251" s="143" t="n"/>
      <c r="G251" s="143" t="n"/>
      <c r="H251" s="143" t="n"/>
      <c r="I251" s="143" t="n"/>
      <c r="J251" s="143" t="n"/>
    </row>
    <row r="252" ht="18" customHeight="1" s="102">
      <c r="A252" s="137">
        <f>IF($B252="","","CIR-"&amp;TEXT(ROW()-BaslangicSatir,"000000"))</f>
        <v/>
      </c>
      <c r="B252" s="143" t="n"/>
      <c r="C252" s="143" t="n"/>
      <c r="D252" s="143" t="n"/>
      <c r="E252" s="143" t="n"/>
      <c r="F252" s="143" t="n"/>
      <c r="G252" s="143" t="n"/>
      <c r="H252" s="143" t="n"/>
      <c r="I252" s="143" t="n"/>
      <c r="J252" s="143" t="n"/>
    </row>
    <row r="253" ht="18" customHeight="1" s="102">
      <c r="A253" s="137">
        <f>IF($B253="","","CIR-"&amp;TEXT(ROW()-BaslangicSatir,"000000"))</f>
        <v/>
      </c>
      <c r="B253" s="143" t="n"/>
      <c r="C253" s="143" t="n"/>
      <c r="D253" s="143" t="n"/>
      <c r="E253" s="143" t="n"/>
      <c r="F253" s="143" t="n"/>
      <c r="G253" s="143" t="n"/>
      <c r="H253" s="143" t="n"/>
      <c r="I253" s="143" t="n"/>
      <c r="J253" s="143" t="n"/>
    </row>
    <row r="254" ht="18" customHeight="1" s="102">
      <c r="A254" s="137">
        <f>IF($B254="","","CIR-"&amp;TEXT(ROW()-BaslangicSatir,"000000"))</f>
        <v/>
      </c>
      <c r="B254" s="143" t="n"/>
      <c r="C254" s="143" t="n"/>
      <c r="D254" s="143" t="n"/>
      <c r="E254" s="143" t="n"/>
      <c r="F254" s="143" t="n"/>
      <c r="G254" s="143" t="n"/>
      <c r="H254" s="143" t="n"/>
      <c r="I254" s="143" t="n"/>
      <c r="J254" s="143" t="n"/>
    </row>
    <row r="255" ht="18" customHeight="1" s="102">
      <c r="A255" s="137">
        <f>IF($B255="","","CIR-"&amp;TEXT(ROW()-BaslangicSatir,"000000"))</f>
        <v/>
      </c>
      <c r="B255" s="143" t="n"/>
      <c r="C255" s="143" t="n"/>
      <c r="D255" s="143" t="n"/>
      <c r="E255" s="143" t="n"/>
      <c r="F255" s="143" t="n"/>
      <c r="G255" s="143" t="n"/>
      <c r="H255" s="143" t="n"/>
      <c r="I255" s="143" t="n"/>
      <c r="J255" s="143" t="n"/>
    </row>
    <row r="256" ht="18" customHeight="1" s="102">
      <c r="A256" s="137">
        <f>IF($B256="","","CIR-"&amp;TEXT(ROW()-BaslangicSatir,"000000"))</f>
        <v/>
      </c>
      <c r="B256" s="143" t="n"/>
      <c r="C256" s="143" t="n"/>
      <c r="D256" s="143" t="n"/>
      <c r="E256" s="143" t="n"/>
      <c r="F256" s="143" t="n"/>
      <c r="G256" s="143" t="n"/>
      <c r="H256" s="143" t="n"/>
      <c r="I256" s="143" t="n"/>
      <c r="J256" s="143" t="n"/>
    </row>
    <row r="257" ht="18" customHeight="1" s="102">
      <c r="A257" s="137">
        <f>IF($B257="","","CIR-"&amp;TEXT(ROW()-BaslangicSatir,"000000"))</f>
        <v/>
      </c>
      <c r="B257" s="143" t="n"/>
      <c r="C257" s="143" t="n"/>
      <c r="D257" s="143" t="n"/>
      <c r="E257" s="143" t="n"/>
      <c r="F257" s="143" t="n"/>
      <c r="G257" s="143" t="n"/>
      <c r="H257" s="143" t="n"/>
      <c r="I257" s="143" t="n"/>
      <c r="J257" s="143" t="n"/>
    </row>
    <row r="258" ht="18" customHeight="1" s="102">
      <c r="A258" s="137">
        <f>IF($B258="","","CIR-"&amp;TEXT(ROW()-BaslangicSatir,"000000"))</f>
        <v/>
      </c>
      <c r="B258" s="143" t="n"/>
      <c r="C258" s="143" t="n"/>
      <c r="D258" s="143" t="n"/>
      <c r="E258" s="143" t="n"/>
      <c r="F258" s="143" t="n"/>
      <c r="G258" s="143" t="n"/>
      <c r="H258" s="143" t="n"/>
      <c r="I258" s="143" t="n"/>
      <c r="J258" s="143" t="n"/>
    </row>
    <row r="259" ht="18" customHeight="1" s="102">
      <c r="A259" s="137">
        <f>IF($B259="","","CIR-"&amp;TEXT(ROW()-BaslangicSatir,"000000"))</f>
        <v/>
      </c>
      <c r="B259" s="143" t="n"/>
      <c r="C259" s="143" t="n"/>
      <c r="D259" s="143" t="n"/>
      <c r="E259" s="143" t="n"/>
      <c r="F259" s="143" t="n"/>
      <c r="G259" s="143" t="n"/>
      <c r="H259" s="143" t="n"/>
      <c r="I259" s="143" t="n"/>
      <c r="J259" s="143" t="n"/>
    </row>
    <row r="260" ht="18" customHeight="1" s="102">
      <c r="A260" s="137">
        <f>IF($B260="","","CIR-"&amp;TEXT(ROW()-BaslangicSatir,"000000"))</f>
        <v/>
      </c>
      <c r="B260" s="143" t="n"/>
      <c r="C260" s="143" t="n"/>
      <c r="D260" s="143" t="n"/>
      <c r="E260" s="143" t="n"/>
      <c r="F260" s="143" t="n"/>
      <c r="G260" s="143" t="n"/>
      <c r="H260" s="143" t="n"/>
      <c r="I260" s="143" t="n"/>
      <c r="J260" s="143" t="n"/>
    </row>
    <row r="261" ht="18" customHeight="1" s="102">
      <c r="A261" s="137">
        <f>IF($B261="","","CIR-"&amp;TEXT(ROW()-BaslangicSatir,"000000"))</f>
        <v/>
      </c>
      <c r="B261" s="143" t="n"/>
      <c r="C261" s="143" t="n"/>
      <c r="D261" s="143" t="n"/>
      <c r="E261" s="143" t="n"/>
      <c r="F261" s="143" t="n"/>
      <c r="G261" s="143" t="n"/>
      <c r="H261" s="143" t="n"/>
      <c r="I261" s="143" t="n"/>
      <c r="J261" s="143" t="n"/>
    </row>
    <row r="262" ht="18" customHeight="1" s="102">
      <c r="A262" s="137">
        <f>IF($B262="","","CIR-"&amp;TEXT(ROW()-BaslangicSatir,"000000"))</f>
        <v/>
      </c>
      <c r="B262" s="143" t="n"/>
      <c r="C262" s="143" t="n"/>
      <c r="D262" s="143" t="n"/>
      <c r="E262" s="143" t="n"/>
      <c r="F262" s="143" t="n"/>
      <c r="G262" s="143" t="n"/>
      <c r="H262" s="143" t="n"/>
      <c r="I262" s="143" t="n"/>
      <c r="J262" s="143" t="n"/>
    </row>
    <row r="263" ht="18" customHeight="1" s="102">
      <c r="A263" s="137">
        <f>IF($B263="","","CIR-"&amp;TEXT(ROW()-BaslangicSatir,"000000"))</f>
        <v/>
      </c>
      <c r="B263" s="143" t="n"/>
      <c r="C263" s="143" t="n"/>
      <c r="D263" s="143" t="n"/>
      <c r="E263" s="143" t="n"/>
      <c r="F263" s="143" t="n"/>
      <c r="G263" s="143" t="n"/>
      <c r="H263" s="143" t="n"/>
      <c r="I263" s="143" t="n"/>
      <c r="J263" s="143" t="n"/>
    </row>
    <row r="264" ht="18" customHeight="1" s="102">
      <c r="A264" s="137">
        <f>IF($B264="","","CIR-"&amp;TEXT(ROW()-BaslangicSatir,"000000"))</f>
        <v/>
      </c>
      <c r="B264" s="143" t="n"/>
      <c r="C264" s="143" t="n"/>
      <c r="D264" s="143" t="n"/>
      <c r="E264" s="143" t="n"/>
      <c r="F264" s="143" t="n"/>
      <c r="G264" s="143" t="n"/>
      <c r="H264" s="143" t="n"/>
      <c r="I264" s="143" t="n"/>
      <c r="J264" s="143" t="n"/>
    </row>
    <row r="265" ht="18" customHeight="1" s="102">
      <c r="A265" s="137">
        <f>IF($B265="","","CIR-"&amp;TEXT(ROW()-BaslangicSatir,"000000"))</f>
        <v/>
      </c>
      <c r="B265" s="143" t="n"/>
      <c r="C265" s="143" t="n"/>
      <c r="D265" s="143" t="n"/>
      <c r="E265" s="143" t="n"/>
      <c r="F265" s="143" t="n"/>
      <c r="G265" s="143" t="n"/>
      <c r="H265" s="143" t="n"/>
      <c r="I265" s="143" t="n"/>
      <c r="J265" s="143" t="n"/>
    </row>
    <row r="266" ht="18" customHeight="1" s="102">
      <c r="A266" s="137">
        <f>IF($B266="","","CIR-"&amp;TEXT(ROW()-BaslangicSatir,"000000"))</f>
        <v/>
      </c>
      <c r="B266" s="143" t="n"/>
      <c r="C266" s="143" t="n"/>
      <c r="D266" s="143" t="n"/>
      <c r="E266" s="143" t="n"/>
      <c r="F266" s="143" t="n"/>
      <c r="G266" s="143" t="n"/>
      <c r="H266" s="143" t="n"/>
      <c r="I266" s="143" t="n"/>
      <c r="J266" s="143" t="n"/>
    </row>
    <row r="267" ht="18" customHeight="1" s="102">
      <c r="A267" s="137">
        <f>IF($B267="","","CIR-"&amp;TEXT(ROW()-BaslangicSatir,"000000"))</f>
        <v/>
      </c>
      <c r="B267" s="143" t="n"/>
      <c r="C267" s="143" t="n"/>
      <c r="D267" s="143" t="n"/>
      <c r="E267" s="143" t="n"/>
      <c r="F267" s="143" t="n"/>
      <c r="G267" s="143" t="n"/>
      <c r="H267" s="143" t="n"/>
      <c r="I267" s="143" t="n"/>
      <c r="J267" s="143" t="n"/>
    </row>
    <row r="268" ht="18" customHeight="1" s="102">
      <c r="A268" s="137">
        <f>IF($B268="","","CIR-"&amp;TEXT(ROW()-BaslangicSatir,"000000"))</f>
        <v/>
      </c>
      <c r="B268" s="143" t="n"/>
      <c r="C268" s="143" t="n"/>
      <c r="D268" s="143" t="n"/>
      <c r="E268" s="143" t="n"/>
      <c r="F268" s="143" t="n"/>
      <c r="G268" s="143" t="n"/>
      <c r="H268" s="143" t="n"/>
      <c r="I268" s="143" t="n"/>
      <c r="J268" s="143" t="n"/>
    </row>
    <row r="269" ht="18" customHeight="1" s="102">
      <c r="A269" s="137">
        <f>IF($B269="","","CIR-"&amp;TEXT(ROW()-BaslangicSatir,"000000"))</f>
        <v/>
      </c>
      <c r="B269" s="143" t="n"/>
      <c r="C269" s="143" t="n"/>
      <c r="D269" s="143" t="n"/>
      <c r="E269" s="143" t="n"/>
      <c r="F269" s="143" t="n"/>
      <c r="G269" s="143" t="n"/>
      <c r="H269" s="143" t="n"/>
      <c r="I269" s="143" t="n"/>
      <c r="J269" s="143" t="n"/>
    </row>
    <row r="270" ht="18" customHeight="1" s="102">
      <c r="A270" s="137">
        <f>IF($B270="","","CIR-"&amp;TEXT(ROW()-BaslangicSatir,"000000"))</f>
        <v/>
      </c>
      <c r="B270" s="143" t="n"/>
      <c r="C270" s="143" t="n"/>
      <c r="D270" s="143" t="n"/>
      <c r="E270" s="143" t="n"/>
      <c r="F270" s="143" t="n"/>
      <c r="G270" s="143" t="n"/>
      <c r="H270" s="143" t="n"/>
      <c r="I270" s="143" t="n"/>
      <c r="J270" s="143" t="n"/>
    </row>
    <row r="271" ht="18" customHeight="1" s="102">
      <c r="A271" s="137">
        <f>IF($B271="","","CIR-"&amp;TEXT(ROW()-BaslangicSatir,"000000"))</f>
        <v/>
      </c>
      <c r="B271" s="143" t="n"/>
      <c r="C271" s="143" t="n"/>
      <c r="D271" s="143" t="n"/>
      <c r="E271" s="143" t="n"/>
      <c r="F271" s="143" t="n"/>
      <c r="G271" s="143" t="n"/>
      <c r="H271" s="143" t="n"/>
      <c r="I271" s="143" t="n"/>
      <c r="J271" s="143" t="n"/>
    </row>
    <row r="272" ht="18" customHeight="1" s="102">
      <c r="A272" s="137">
        <f>IF($B272="","","CIR-"&amp;TEXT(ROW()-BaslangicSatir,"000000"))</f>
        <v/>
      </c>
      <c r="B272" s="143" t="n"/>
      <c r="C272" s="143" t="n"/>
      <c r="D272" s="143" t="n"/>
      <c r="E272" s="143" t="n"/>
      <c r="F272" s="143" t="n"/>
      <c r="G272" s="143" t="n"/>
      <c r="H272" s="143" t="n"/>
      <c r="I272" s="143" t="n"/>
      <c r="J272" s="143" t="n"/>
    </row>
    <row r="273" ht="18" customHeight="1" s="102">
      <c r="A273" s="137">
        <f>IF($B273="","","CIR-"&amp;TEXT(ROW()-BaslangicSatir,"000000"))</f>
        <v/>
      </c>
      <c r="B273" s="143" t="n"/>
      <c r="C273" s="143" t="n"/>
      <c r="D273" s="143" t="n"/>
      <c r="E273" s="143" t="n"/>
      <c r="F273" s="143" t="n"/>
      <c r="G273" s="143" t="n"/>
      <c r="H273" s="143" t="n"/>
      <c r="I273" s="143" t="n"/>
      <c r="J273" s="143" t="n"/>
    </row>
    <row r="274" ht="18" customHeight="1" s="102">
      <c r="A274" s="137">
        <f>IF($B274="","","CIR-"&amp;TEXT(ROW()-BaslangicSatir,"000000"))</f>
        <v/>
      </c>
      <c r="B274" s="143" t="n"/>
      <c r="C274" s="143" t="n"/>
      <c r="D274" s="143" t="n"/>
      <c r="E274" s="143" t="n"/>
      <c r="F274" s="143" t="n"/>
      <c r="G274" s="143" t="n"/>
      <c r="H274" s="143" t="n"/>
      <c r="I274" s="143" t="n"/>
      <c r="J274" s="143" t="n"/>
    </row>
    <row r="275" ht="18" customHeight="1" s="102">
      <c r="A275" s="137">
        <f>IF($B275="","","CIR-"&amp;TEXT(ROW()-BaslangicSatir,"000000"))</f>
        <v/>
      </c>
      <c r="B275" s="143" t="n"/>
      <c r="C275" s="143" t="n"/>
      <c r="D275" s="143" t="n"/>
      <c r="E275" s="143" t="n"/>
      <c r="F275" s="143" t="n"/>
      <c r="G275" s="143" t="n"/>
      <c r="H275" s="143" t="n"/>
      <c r="I275" s="143" t="n"/>
      <c r="J275" s="143" t="n"/>
    </row>
    <row r="276" ht="18" customHeight="1" s="102">
      <c r="A276" s="137">
        <f>IF($B276="","","CIR-"&amp;TEXT(ROW()-BaslangicSatir,"000000"))</f>
        <v/>
      </c>
      <c r="B276" s="143" t="n"/>
      <c r="C276" s="143" t="n"/>
      <c r="D276" s="143" t="n"/>
      <c r="E276" s="143" t="n"/>
      <c r="F276" s="143" t="n"/>
      <c r="G276" s="143" t="n"/>
      <c r="H276" s="143" t="n"/>
      <c r="I276" s="143" t="n"/>
      <c r="J276" s="143" t="n"/>
    </row>
    <row r="277" ht="18" customHeight="1" s="102">
      <c r="A277" s="137">
        <f>IF($B277="","","CIR-"&amp;TEXT(ROW()-BaslangicSatir,"000000"))</f>
        <v/>
      </c>
      <c r="B277" s="143" t="n"/>
      <c r="C277" s="143" t="n"/>
      <c r="D277" s="143" t="n"/>
      <c r="E277" s="143" t="n"/>
      <c r="F277" s="143" t="n"/>
      <c r="G277" s="143" t="n"/>
      <c r="H277" s="143" t="n"/>
      <c r="I277" s="143" t="n"/>
      <c r="J277" s="143" t="n"/>
    </row>
    <row r="278" ht="18" customHeight="1" s="102">
      <c r="A278" s="137">
        <f>IF($B278="","","CIR-"&amp;TEXT(ROW()-BaslangicSatir,"000000"))</f>
        <v/>
      </c>
      <c r="B278" s="143" t="n"/>
      <c r="C278" s="143" t="n"/>
      <c r="D278" s="143" t="n"/>
      <c r="E278" s="143" t="n"/>
      <c r="F278" s="143" t="n"/>
      <c r="G278" s="143" t="n"/>
      <c r="H278" s="143" t="n"/>
      <c r="I278" s="143" t="n"/>
      <c r="J278" s="143" t="n"/>
    </row>
    <row r="279" ht="18" customHeight="1" s="102">
      <c r="A279" s="137">
        <f>IF($B279="","","CIR-"&amp;TEXT(ROW()-BaslangicSatir,"000000"))</f>
        <v/>
      </c>
      <c r="B279" s="143" t="n"/>
      <c r="C279" s="143" t="n"/>
      <c r="D279" s="143" t="n"/>
      <c r="E279" s="143" t="n"/>
      <c r="F279" s="143" t="n"/>
      <c r="G279" s="143" t="n"/>
      <c r="H279" s="143" t="n"/>
      <c r="I279" s="143" t="n"/>
      <c r="J279" s="143" t="n"/>
    </row>
    <row r="280" ht="18" customHeight="1" s="102">
      <c r="A280" s="137">
        <f>IF($B280="","","CIR-"&amp;TEXT(ROW()-BaslangicSatir,"000000"))</f>
        <v/>
      </c>
      <c r="B280" s="143" t="n"/>
      <c r="C280" s="143" t="n"/>
      <c r="D280" s="143" t="n"/>
      <c r="E280" s="143" t="n"/>
      <c r="F280" s="143" t="n"/>
      <c r="G280" s="143" t="n"/>
      <c r="H280" s="143" t="n"/>
      <c r="I280" s="143" t="n"/>
      <c r="J280" s="143" t="n"/>
    </row>
    <row r="281" ht="18" customHeight="1" s="102">
      <c r="A281" s="137">
        <f>IF($B281="","","CIR-"&amp;TEXT(ROW()-BaslangicSatir,"000000"))</f>
        <v/>
      </c>
      <c r="B281" s="143" t="n"/>
      <c r="C281" s="143" t="n"/>
      <c r="D281" s="143" t="n"/>
      <c r="E281" s="143" t="n"/>
      <c r="F281" s="143" t="n"/>
      <c r="G281" s="143" t="n"/>
      <c r="H281" s="143" t="n"/>
      <c r="I281" s="143" t="n"/>
      <c r="J281" s="143" t="n"/>
    </row>
    <row r="282" ht="18" customHeight="1" s="102">
      <c r="A282" s="137">
        <f>IF($B282="","","CIR-"&amp;TEXT(ROW()-BaslangicSatir,"000000"))</f>
        <v/>
      </c>
      <c r="B282" s="143" t="n"/>
      <c r="C282" s="143" t="n"/>
      <c r="D282" s="143" t="n"/>
      <c r="E282" s="143" t="n"/>
      <c r="F282" s="143" t="n"/>
      <c r="G282" s="143" t="n"/>
      <c r="H282" s="143" t="n"/>
      <c r="I282" s="143" t="n"/>
      <c r="J282" s="143" t="n"/>
    </row>
    <row r="283" ht="18" customHeight="1" s="102">
      <c r="A283" s="137">
        <f>IF($B283="","","CIR-"&amp;TEXT(ROW()-BaslangicSatir,"000000"))</f>
        <v/>
      </c>
      <c r="B283" s="143" t="n"/>
      <c r="C283" s="143" t="n"/>
      <c r="D283" s="143" t="n"/>
      <c r="E283" s="143" t="n"/>
      <c r="F283" s="143" t="n"/>
      <c r="G283" s="143" t="n"/>
      <c r="H283" s="143" t="n"/>
      <c r="I283" s="143" t="n"/>
      <c r="J283" s="143" t="n"/>
    </row>
    <row r="284" ht="18" customHeight="1" s="102">
      <c r="A284" s="137">
        <f>IF($B284="","","CIR-"&amp;TEXT(ROW()-BaslangicSatir,"000000"))</f>
        <v/>
      </c>
      <c r="B284" s="143" t="n"/>
      <c r="C284" s="143" t="n"/>
      <c r="D284" s="143" t="n"/>
      <c r="E284" s="143" t="n"/>
      <c r="F284" s="143" t="n"/>
      <c r="G284" s="143" t="n"/>
      <c r="H284" s="143" t="n"/>
      <c r="I284" s="143" t="n"/>
      <c r="J284" s="143" t="n"/>
    </row>
    <row r="285" ht="18" customHeight="1" s="102">
      <c r="A285" s="137">
        <f>IF($B285="","","CIR-"&amp;TEXT(ROW()-BaslangicSatir,"000000"))</f>
        <v/>
      </c>
      <c r="B285" s="143" t="n"/>
      <c r="C285" s="143" t="n"/>
      <c r="D285" s="143" t="n"/>
      <c r="E285" s="143" t="n"/>
      <c r="F285" s="143" t="n"/>
      <c r="G285" s="143" t="n"/>
      <c r="H285" s="143" t="n"/>
      <c r="I285" s="143" t="n"/>
      <c r="J285" s="143" t="n"/>
    </row>
    <row r="286" ht="18" customHeight="1" s="102">
      <c r="A286" s="137">
        <f>IF($B286="","","CIR-"&amp;TEXT(ROW()-BaslangicSatir,"000000"))</f>
        <v/>
      </c>
      <c r="B286" s="143" t="n"/>
      <c r="C286" s="143" t="n"/>
      <c r="D286" s="143" t="n"/>
      <c r="E286" s="143" t="n"/>
      <c r="F286" s="143" t="n"/>
      <c r="G286" s="143" t="n"/>
      <c r="H286" s="143" t="n"/>
      <c r="I286" s="143" t="n"/>
      <c r="J286" s="143" t="n"/>
    </row>
    <row r="287" ht="18" customHeight="1" s="102">
      <c r="A287" s="137">
        <f>IF($B287="","","CIR-"&amp;TEXT(ROW()-BaslangicSatir,"000000"))</f>
        <v/>
      </c>
      <c r="B287" s="143" t="n"/>
      <c r="C287" s="143" t="n"/>
      <c r="D287" s="143" t="n"/>
      <c r="E287" s="143" t="n"/>
      <c r="F287" s="143" t="n"/>
      <c r="G287" s="143" t="n"/>
      <c r="H287" s="143" t="n"/>
      <c r="I287" s="143" t="n"/>
      <c r="J287" s="143" t="n"/>
    </row>
    <row r="288" ht="18" customHeight="1" s="102">
      <c r="A288" s="137">
        <f>IF($B288="","","CIR-"&amp;TEXT(ROW()-BaslangicSatir,"000000"))</f>
        <v/>
      </c>
      <c r="B288" s="143" t="n"/>
      <c r="C288" s="143" t="n"/>
      <c r="D288" s="143" t="n"/>
      <c r="E288" s="143" t="n"/>
      <c r="F288" s="143" t="n"/>
      <c r="G288" s="143" t="n"/>
      <c r="H288" s="143" t="n"/>
      <c r="I288" s="143" t="n"/>
      <c r="J288" s="143" t="n"/>
    </row>
    <row r="289" ht="18" customHeight="1" s="102">
      <c r="A289" s="137">
        <f>IF($B289="","","CIR-"&amp;TEXT(ROW()-BaslangicSatir,"000000"))</f>
        <v/>
      </c>
      <c r="B289" s="143" t="n"/>
      <c r="C289" s="143" t="n"/>
      <c r="D289" s="143" t="n"/>
      <c r="E289" s="143" t="n"/>
      <c r="F289" s="143" t="n"/>
      <c r="G289" s="143" t="n"/>
      <c r="H289" s="143" t="n"/>
      <c r="I289" s="143" t="n"/>
      <c r="J289" s="143" t="n"/>
    </row>
    <row r="290" ht="18" customHeight="1" s="102">
      <c r="A290" s="137">
        <f>IF($B290="","","CIR-"&amp;TEXT(ROW()-BaslangicSatir,"000000"))</f>
        <v/>
      </c>
      <c r="B290" s="143" t="n"/>
      <c r="C290" s="143" t="n"/>
      <c r="D290" s="143" t="n"/>
      <c r="E290" s="143" t="n"/>
      <c r="F290" s="143" t="n"/>
      <c r="G290" s="143" t="n"/>
      <c r="H290" s="143" t="n"/>
      <c r="I290" s="143" t="n"/>
      <c r="J290" s="143" t="n"/>
    </row>
    <row r="291" ht="18" customHeight="1" s="102">
      <c r="A291" s="137">
        <f>IF($B291="","","CIR-"&amp;TEXT(ROW()-BaslangicSatir,"000000"))</f>
        <v/>
      </c>
      <c r="B291" s="143" t="n"/>
      <c r="C291" s="143" t="n"/>
      <c r="D291" s="143" t="n"/>
      <c r="E291" s="143" t="n"/>
      <c r="F291" s="143" t="n"/>
      <c r="G291" s="143" t="n"/>
      <c r="H291" s="143" t="n"/>
      <c r="I291" s="143" t="n"/>
      <c r="J291" s="143" t="n"/>
    </row>
    <row r="292" ht="18" customHeight="1" s="102">
      <c r="A292" s="137">
        <f>IF($B292="","","CIR-"&amp;TEXT(ROW()-BaslangicSatir,"000000"))</f>
        <v/>
      </c>
      <c r="B292" s="143" t="n"/>
      <c r="C292" s="143" t="n"/>
      <c r="D292" s="143" t="n"/>
      <c r="E292" s="143" t="n"/>
      <c r="F292" s="143" t="n"/>
      <c r="G292" s="143" t="n"/>
      <c r="H292" s="143" t="n"/>
      <c r="I292" s="143" t="n"/>
      <c r="J292" s="143" t="n"/>
    </row>
    <row r="293" ht="18" customHeight="1" s="102">
      <c r="A293" s="137">
        <f>IF($B293="","","CIR-"&amp;TEXT(ROW()-BaslangicSatir,"000000"))</f>
        <v/>
      </c>
      <c r="B293" s="143" t="n"/>
      <c r="C293" s="143" t="n"/>
      <c r="D293" s="143" t="n"/>
      <c r="E293" s="143" t="n"/>
      <c r="F293" s="143" t="n"/>
      <c r="G293" s="143" t="n"/>
      <c r="H293" s="143" t="n"/>
      <c r="I293" s="143" t="n"/>
      <c r="J293" s="143" t="n"/>
    </row>
    <row r="294" ht="18" customHeight="1" s="102">
      <c r="A294" s="137">
        <f>IF($B294="","","CIR-"&amp;TEXT(ROW()-BaslangicSatir,"000000"))</f>
        <v/>
      </c>
      <c r="B294" s="143" t="n"/>
      <c r="C294" s="143" t="n"/>
      <c r="D294" s="143" t="n"/>
      <c r="E294" s="143" t="n"/>
      <c r="F294" s="143" t="n"/>
      <c r="G294" s="143" t="n"/>
      <c r="H294" s="143" t="n"/>
      <c r="I294" s="143" t="n"/>
      <c r="J294" s="143" t="n"/>
    </row>
    <row r="295" ht="18" customHeight="1" s="102">
      <c r="A295" s="137">
        <f>IF($B295="","","CIR-"&amp;TEXT(ROW()-BaslangicSatir,"000000"))</f>
        <v/>
      </c>
      <c r="B295" s="143" t="n"/>
      <c r="C295" s="143" t="n"/>
      <c r="D295" s="143" t="n"/>
      <c r="E295" s="143" t="n"/>
      <c r="F295" s="143" t="n"/>
      <c r="G295" s="143" t="n"/>
      <c r="H295" s="143" t="n"/>
      <c r="I295" s="143" t="n"/>
      <c r="J295" s="143" t="n"/>
    </row>
    <row r="296" ht="18" customHeight="1" s="102">
      <c r="A296" s="137">
        <f>IF($B296="","","CIR-"&amp;TEXT(ROW()-BaslangicSatir,"000000"))</f>
        <v/>
      </c>
      <c r="B296" s="143" t="n"/>
      <c r="C296" s="143" t="n"/>
      <c r="D296" s="143" t="n"/>
      <c r="E296" s="143" t="n"/>
      <c r="F296" s="143" t="n"/>
      <c r="G296" s="143" t="n"/>
      <c r="H296" s="143" t="n"/>
      <c r="I296" s="143" t="n"/>
      <c r="J296" s="143" t="n"/>
    </row>
    <row r="297" ht="18" customHeight="1" s="102">
      <c r="A297" s="137">
        <f>IF($B297="","","CIR-"&amp;TEXT(ROW()-BaslangicSatir,"000000"))</f>
        <v/>
      </c>
      <c r="B297" s="143" t="n"/>
      <c r="C297" s="143" t="n"/>
      <c r="D297" s="143" t="n"/>
      <c r="E297" s="143" t="n"/>
      <c r="F297" s="143" t="n"/>
      <c r="G297" s="143" t="n"/>
      <c r="H297" s="143" t="n"/>
      <c r="I297" s="143" t="n"/>
      <c r="J297" s="143" t="n"/>
    </row>
    <row r="298" ht="18" customHeight="1" s="102">
      <c r="A298" s="137">
        <f>IF($B298="","","CIR-"&amp;TEXT(ROW()-BaslangicSatir,"000000"))</f>
        <v/>
      </c>
      <c r="B298" s="143" t="n"/>
      <c r="C298" s="143" t="n"/>
      <c r="D298" s="143" t="n"/>
      <c r="E298" s="143" t="n"/>
      <c r="F298" s="143" t="n"/>
      <c r="G298" s="143" t="n"/>
      <c r="H298" s="143" t="n"/>
      <c r="I298" s="143" t="n"/>
      <c r="J298" s="143" t="n"/>
    </row>
    <row r="299" ht="18" customHeight="1" s="102">
      <c r="A299" s="137">
        <f>IF($B299="","","CIR-"&amp;TEXT(ROW()-BaslangicSatir,"000000"))</f>
        <v/>
      </c>
      <c r="B299" s="143" t="n"/>
      <c r="C299" s="143" t="n"/>
      <c r="D299" s="143" t="n"/>
      <c r="E299" s="143" t="n"/>
      <c r="F299" s="143" t="n"/>
      <c r="G299" s="143" t="n"/>
      <c r="H299" s="143" t="n"/>
      <c r="I299" s="143" t="n"/>
      <c r="J299" s="143" t="n"/>
    </row>
    <row r="300" ht="18" customHeight="1" s="102">
      <c r="A300" s="137">
        <f>IF($B300="","","CIR-"&amp;TEXT(ROW()-BaslangicSatir,"000000"))</f>
        <v/>
      </c>
      <c r="B300" s="143" t="n"/>
      <c r="C300" s="143" t="n"/>
      <c r="D300" s="143" t="n"/>
      <c r="E300" s="143" t="n"/>
      <c r="F300" s="143" t="n"/>
      <c r="G300" s="143" t="n"/>
      <c r="H300" s="143" t="n"/>
      <c r="I300" s="143" t="n"/>
      <c r="J300" s="143" t="n"/>
    </row>
    <row r="301" ht="18" customHeight="1" s="102">
      <c r="A301" s="137">
        <f>IF($B301="","","CIR-"&amp;TEXT(ROW()-BaslangicSatir,"000000"))</f>
        <v/>
      </c>
      <c r="B301" s="143" t="n"/>
      <c r="C301" s="143" t="n"/>
      <c r="D301" s="143" t="n"/>
      <c r="E301" s="143" t="n"/>
      <c r="F301" s="143" t="n"/>
      <c r="G301" s="143" t="n"/>
      <c r="H301" s="143" t="n"/>
      <c r="I301" s="143" t="n"/>
      <c r="J301" s="143" t="n"/>
    </row>
    <row r="302" ht="18" customHeight="1" s="102">
      <c r="A302" s="137">
        <f>IF($B302="","","CIR-"&amp;TEXT(ROW()-BaslangicSatir,"000000"))</f>
        <v/>
      </c>
      <c r="B302" s="143" t="n"/>
      <c r="C302" s="143" t="n"/>
      <c r="D302" s="143" t="n"/>
      <c r="E302" s="143" t="n"/>
      <c r="F302" s="143" t="n"/>
      <c r="G302" s="143" t="n"/>
      <c r="H302" s="143" t="n"/>
      <c r="I302" s="143" t="n"/>
      <c r="J302" s="143" t="n"/>
    </row>
    <row r="303" ht="18" customHeight="1" s="102">
      <c r="A303" s="137">
        <f>IF($B303="","","CIR-"&amp;TEXT(ROW()-BaslangicSatir,"000000"))</f>
        <v/>
      </c>
      <c r="B303" s="143" t="n"/>
      <c r="C303" s="143" t="n"/>
      <c r="D303" s="143" t="n"/>
      <c r="E303" s="143" t="n"/>
      <c r="F303" s="143" t="n"/>
      <c r="G303" s="143" t="n"/>
      <c r="H303" s="143" t="n"/>
      <c r="I303" s="143" t="n"/>
      <c r="J303" s="143" t="n"/>
    </row>
    <row r="304" ht="18" customHeight="1" s="102">
      <c r="A304" s="137">
        <f>IF($B304="","","CIR-"&amp;TEXT(ROW()-BaslangicSatir,"000000"))</f>
        <v/>
      </c>
      <c r="B304" s="143" t="n"/>
      <c r="C304" s="143" t="n"/>
      <c r="D304" s="143" t="n"/>
      <c r="E304" s="143" t="n"/>
      <c r="F304" s="143" t="n"/>
      <c r="G304" s="143" t="n"/>
      <c r="H304" s="143" t="n"/>
      <c r="I304" s="143" t="n"/>
      <c r="J304" s="143" t="n"/>
    </row>
    <row r="305" ht="18" customHeight="1" s="102">
      <c r="A305" s="137">
        <f>IF($B305="","","CIR-"&amp;TEXT(ROW()-BaslangicSatir,"000000"))</f>
        <v/>
      </c>
      <c r="B305" s="143" t="n"/>
      <c r="C305" s="143" t="n"/>
      <c r="D305" s="143" t="n"/>
      <c r="E305" s="143" t="n"/>
      <c r="F305" s="143" t="n"/>
      <c r="G305" s="143" t="n"/>
      <c r="H305" s="143" t="n"/>
      <c r="I305" s="143" t="n"/>
      <c r="J305" s="143" t="n"/>
    </row>
    <row r="306" ht="18" customHeight="1" s="102">
      <c r="A306" s="137">
        <f>IF($B306="","","CIR-"&amp;TEXT(ROW()-BaslangicSatir,"000000"))</f>
        <v/>
      </c>
      <c r="B306" s="143" t="n"/>
      <c r="C306" s="143" t="n"/>
      <c r="D306" s="143" t="n"/>
      <c r="E306" s="143" t="n"/>
      <c r="F306" s="143" t="n"/>
      <c r="G306" s="143" t="n"/>
      <c r="H306" s="143" t="n"/>
      <c r="I306" s="143" t="n"/>
      <c r="J306" s="143" t="n"/>
    </row>
    <row r="307" ht="18" customHeight="1" s="102">
      <c r="A307" s="137">
        <f>IF($B307="","","CIR-"&amp;TEXT(ROW()-BaslangicSatir,"000000"))</f>
        <v/>
      </c>
      <c r="B307" s="143" t="n"/>
      <c r="C307" s="143" t="n"/>
      <c r="D307" s="143" t="n"/>
      <c r="E307" s="143" t="n"/>
      <c r="F307" s="143" t="n"/>
      <c r="G307" s="143" t="n"/>
      <c r="H307" s="143" t="n"/>
      <c r="I307" s="143" t="n"/>
      <c r="J307" s="143" t="n"/>
    </row>
    <row r="308" ht="18" customHeight="1" s="102">
      <c r="A308" s="137">
        <f>IF($B308="","","CIR-"&amp;TEXT(ROW()-BaslangicSatir,"000000"))</f>
        <v/>
      </c>
      <c r="B308" s="143" t="n"/>
      <c r="C308" s="143" t="n"/>
      <c r="D308" s="143" t="n"/>
      <c r="E308" s="143" t="n"/>
      <c r="F308" s="143" t="n"/>
      <c r="G308" s="143" t="n"/>
      <c r="H308" s="143" t="n"/>
      <c r="I308" s="143" t="n"/>
      <c r="J308" s="143" t="n"/>
    </row>
    <row r="309" ht="18" customHeight="1" s="102">
      <c r="A309" s="137">
        <f>IF($B309="","","CIR-"&amp;TEXT(ROW()-BaslangicSatir,"000000"))</f>
        <v/>
      </c>
      <c r="B309" s="143" t="n"/>
      <c r="C309" s="143" t="n"/>
      <c r="D309" s="143" t="n"/>
      <c r="E309" s="143" t="n"/>
      <c r="F309" s="143" t="n"/>
      <c r="G309" s="143" t="n"/>
      <c r="H309" s="143" t="n"/>
      <c r="I309" s="143" t="n"/>
      <c r="J309" s="143" t="n"/>
    </row>
    <row r="310" ht="18" customHeight="1" s="102">
      <c r="A310" s="137">
        <f>IF($B310="","","CIR-"&amp;TEXT(ROW()-BaslangicSatir,"000000"))</f>
        <v/>
      </c>
      <c r="B310" s="143" t="n"/>
      <c r="C310" s="143" t="n"/>
      <c r="D310" s="143" t="n"/>
      <c r="E310" s="143" t="n"/>
      <c r="F310" s="143" t="n"/>
      <c r="G310" s="143" t="n"/>
      <c r="H310" s="143" t="n"/>
      <c r="I310" s="143" t="n"/>
      <c r="J310" s="143" t="n"/>
    </row>
    <row r="311" ht="18" customHeight="1" s="102">
      <c r="A311" s="137">
        <f>IF($B311="","","CIR-"&amp;TEXT(ROW()-BaslangicSatir,"000000"))</f>
        <v/>
      </c>
      <c r="B311" s="143" t="n"/>
      <c r="C311" s="143" t="n"/>
      <c r="D311" s="143" t="n"/>
      <c r="E311" s="143" t="n"/>
      <c r="F311" s="143" t="n"/>
      <c r="G311" s="143" t="n"/>
      <c r="H311" s="143" t="n"/>
      <c r="I311" s="143" t="n"/>
      <c r="J311" s="143" t="n"/>
    </row>
    <row r="312" ht="18" customHeight="1" s="102">
      <c r="A312" s="137">
        <f>IF($B312="","","CIR-"&amp;TEXT(ROW()-BaslangicSatir,"000000"))</f>
        <v/>
      </c>
      <c r="B312" s="143" t="n"/>
      <c r="C312" s="143" t="n"/>
      <c r="D312" s="143" t="n"/>
      <c r="E312" s="143" t="n"/>
      <c r="F312" s="143" t="n"/>
      <c r="G312" s="143" t="n"/>
      <c r="H312" s="143" t="n"/>
      <c r="I312" s="143" t="n"/>
      <c r="J312" s="143" t="n"/>
    </row>
    <row r="313" ht="18" customHeight="1" s="102">
      <c r="A313" s="137">
        <f>IF($B313="","","CIR-"&amp;TEXT(ROW()-BaslangicSatir,"000000"))</f>
        <v/>
      </c>
      <c r="B313" s="143" t="n"/>
      <c r="C313" s="143" t="n"/>
      <c r="D313" s="143" t="n"/>
      <c r="E313" s="143" t="n"/>
      <c r="F313" s="143" t="n"/>
      <c r="G313" s="143" t="n"/>
      <c r="H313" s="143" t="n"/>
      <c r="I313" s="143" t="n"/>
      <c r="J313" s="143" t="n"/>
    </row>
    <row r="314" ht="18" customHeight="1" s="102">
      <c r="A314" s="137">
        <f>IF($B314="","","CIR-"&amp;TEXT(ROW()-BaslangicSatir,"000000"))</f>
        <v/>
      </c>
      <c r="B314" s="143" t="n"/>
      <c r="C314" s="143" t="n"/>
      <c r="D314" s="143" t="n"/>
      <c r="E314" s="143" t="n"/>
      <c r="F314" s="143" t="n"/>
      <c r="G314" s="143" t="n"/>
      <c r="H314" s="143" t="n"/>
      <c r="I314" s="143" t="n"/>
      <c r="J314" s="143" t="n"/>
    </row>
    <row r="315" ht="18" customHeight="1" s="102">
      <c r="A315" s="137">
        <f>IF($B315="","","CIR-"&amp;TEXT(ROW()-BaslangicSatir,"000000"))</f>
        <v/>
      </c>
      <c r="B315" s="143" t="n"/>
      <c r="C315" s="143" t="n"/>
      <c r="D315" s="143" t="n"/>
      <c r="E315" s="143" t="n"/>
      <c r="F315" s="143" t="n"/>
      <c r="G315" s="143" t="n"/>
      <c r="H315" s="143" t="n"/>
      <c r="I315" s="143" t="n"/>
      <c r="J315" s="143" t="n"/>
    </row>
    <row r="316" ht="18" customHeight="1" s="102">
      <c r="A316" s="137">
        <f>IF($B316="","","CIR-"&amp;TEXT(ROW()-BaslangicSatir,"000000"))</f>
        <v/>
      </c>
      <c r="B316" s="143" t="n"/>
      <c r="C316" s="143" t="n"/>
      <c r="D316" s="143" t="n"/>
      <c r="E316" s="143" t="n"/>
      <c r="F316" s="143" t="n"/>
      <c r="G316" s="143" t="n"/>
      <c r="H316" s="143" t="n"/>
      <c r="I316" s="143" t="n"/>
      <c r="J316" s="143" t="n"/>
    </row>
    <row r="317" ht="18" customHeight="1" s="102">
      <c r="A317" s="137">
        <f>IF($B317="","","CIR-"&amp;TEXT(ROW()-BaslangicSatir,"000000"))</f>
        <v/>
      </c>
      <c r="B317" s="143" t="n"/>
      <c r="C317" s="143" t="n"/>
      <c r="D317" s="143" t="n"/>
      <c r="E317" s="143" t="n"/>
      <c r="F317" s="143" t="n"/>
      <c r="G317" s="143" t="n"/>
      <c r="H317" s="143" t="n"/>
      <c r="I317" s="143" t="n"/>
      <c r="J317" s="143" t="n"/>
    </row>
    <row r="318" ht="18" customHeight="1" s="102">
      <c r="A318" s="137">
        <f>IF($B318="","","CIR-"&amp;TEXT(ROW()-BaslangicSatir,"000000"))</f>
        <v/>
      </c>
      <c r="B318" s="143" t="n"/>
      <c r="C318" s="143" t="n"/>
      <c r="D318" s="143" t="n"/>
      <c r="E318" s="143" t="n"/>
      <c r="F318" s="143" t="n"/>
      <c r="G318" s="143" t="n"/>
      <c r="H318" s="143" t="n"/>
      <c r="I318" s="143" t="n"/>
      <c r="J318" s="143" t="n"/>
    </row>
    <row r="319" ht="18" customHeight="1" s="102">
      <c r="A319" s="137">
        <f>IF($B319="","","CIR-"&amp;TEXT(ROW()-BaslangicSatir,"000000"))</f>
        <v/>
      </c>
      <c r="B319" s="143" t="n"/>
      <c r="C319" s="143" t="n"/>
      <c r="D319" s="143" t="n"/>
      <c r="E319" s="143" t="n"/>
      <c r="F319" s="143" t="n"/>
      <c r="G319" s="143" t="n"/>
      <c r="H319" s="143" t="n"/>
      <c r="I319" s="143" t="n"/>
      <c r="J319" s="143" t="n"/>
    </row>
    <row r="320" ht="18" customHeight="1" s="102">
      <c r="A320" s="137">
        <f>IF($B320="","","CIR-"&amp;TEXT(ROW()-BaslangicSatir,"000000"))</f>
        <v/>
      </c>
      <c r="B320" s="143" t="n"/>
      <c r="C320" s="143" t="n"/>
      <c r="D320" s="143" t="n"/>
      <c r="E320" s="143" t="n"/>
      <c r="F320" s="143" t="n"/>
      <c r="G320" s="143" t="n"/>
      <c r="H320" s="143" t="n"/>
      <c r="I320" s="143" t="n"/>
      <c r="J320" s="143" t="n"/>
    </row>
    <row r="321" ht="18" customHeight="1" s="102">
      <c r="A321" s="137">
        <f>IF($B321="","","CIR-"&amp;TEXT(ROW()-BaslangicSatir,"000000"))</f>
        <v/>
      </c>
      <c r="B321" s="143" t="n"/>
      <c r="C321" s="143" t="n"/>
      <c r="D321" s="143" t="n"/>
      <c r="E321" s="143" t="n"/>
      <c r="F321" s="143" t="n"/>
      <c r="G321" s="143" t="n"/>
      <c r="H321" s="143" t="n"/>
      <c r="I321" s="143" t="n"/>
      <c r="J321" s="143" t="n"/>
    </row>
    <row r="322" ht="18" customHeight="1" s="102">
      <c r="A322" s="137">
        <f>IF($B322="","","CIR-"&amp;TEXT(ROW()-BaslangicSatir,"000000"))</f>
        <v/>
      </c>
      <c r="B322" s="143" t="n"/>
      <c r="C322" s="143" t="n"/>
      <c r="D322" s="143" t="n"/>
      <c r="E322" s="143" t="n"/>
      <c r="F322" s="143" t="n"/>
      <c r="G322" s="143" t="n"/>
      <c r="H322" s="143" t="n"/>
      <c r="I322" s="143" t="n"/>
      <c r="J322" s="143" t="n"/>
    </row>
    <row r="323" ht="18" customHeight="1" s="102">
      <c r="A323" s="137">
        <f>IF($B323="","","CIR-"&amp;TEXT(ROW()-BaslangicSatir,"000000"))</f>
        <v/>
      </c>
      <c r="B323" s="143" t="n"/>
      <c r="C323" s="143" t="n"/>
      <c r="D323" s="143" t="n"/>
      <c r="E323" s="143" t="n"/>
      <c r="F323" s="143" t="n"/>
      <c r="G323" s="143" t="n"/>
      <c r="H323" s="143" t="n"/>
      <c r="I323" s="143" t="n"/>
      <c r="J323" s="143" t="n"/>
    </row>
    <row r="324" ht="18" customHeight="1" s="102">
      <c r="A324" s="137">
        <f>IF($B324="","","CIR-"&amp;TEXT(ROW()-BaslangicSatir,"000000"))</f>
        <v/>
      </c>
      <c r="B324" s="143" t="n"/>
      <c r="C324" s="143" t="n"/>
      <c r="D324" s="143" t="n"/>
      <c r="E324" s="143" t="n"/>
      <c r="F324" s="143" t="n"/>
      <c r="G324" s="143" t="n"/>
      <c r="H324" s="143" t="n"/>
      <c r="I324" s="143" t="n"/>
      <c r="J324" s="143" t="n"/>
    </row>
    <row r="325" ht="18" customHeight="1" s="102">
      <c r="A325" s="137">
        <f>IF($B325="","","CIR-"&amp;TEXT(ROW()-BaslangicSatir,"000000"))</f>
        <v/>
      </c>
      <c r="B325" s="143" t="n"/>
      <c r="C325" s="143" t="n"/>
      <c r="D325" s="143" t="n"/>
      <c r="E325" s="143" t="n"/>
      <c r="F325" s="143" t="n"/>
      <c r="G325" s="143" t="n"/>
      <c r="H325" s="143" t="n"/>
      <c r="I325" s="143" t="n"/>
      <c r="J325" s="143" t="n"/>
    </row>
    <row r="326" ht="18" customHeight="1" s="102">
      <c r="A326" s="137">
        <f>IF($B326="","","CIR-"&amp;TEXT(ROW()-BaslangicSatir,"000000"))</f>
        <v/>
      </c>
      <c r="B326" s="143" t="n"/>
      <c r="C326" s="143" t="n"/>
      <c r="D326" s="143" t="n"/>
      <c r="E326" s="143" t="n"/>
      <c r="F326" s="143" t="n"/>
      <c r="G326" s="143" t="n"/>
      <c r="H326" s="143" t="n"/>
      <c r="I326" s="143" t="n"/>
      <c r="J326" s="143" t="n"/>
    </row>
    <row r="327" ht="18" customHeight="1" s="102">
      <c r="A327" s="137">
        <f>IF($B327="","","CIR-"&amp;TEXT(ROW()-BaslangicSatir,"000000"))</f>
        <v/>
      </c>
      <c r="B327" s="143" t="n"/>
      <c r="C327" s="143" t="n"/>
      <c r="D327" s="143" t="n"/>
      <c r="E327" s="143" t="n"/>
      <c r="F327" s="143" t="n"/>
      <c r="G327" s="143" t="n"/>
      <c r="H327" s="143" t="n"/>
      <c r="I327" s="143" t="n"/>
      <c r="J327" s="143" t="n"/>
    </row>
    <row r="328" ht="18" customHeight="1" s="102">
      <c r="A328" s="137">
        <f>IF($B328="","","CIR-"&amp;TEXT(ROW()-BaslangicSatir,"000000"))</f>
        <v/>
      </c>
      <c r="B328" s="143" t="n"/>
      <c r="C328" s="143" t="n"/>
      <c r="D328" s="143" t="n"/>
      <c r="E328" s="143" t="n"/>
      <c r="F328" s="143" t="n"/>
      <c r="G328" s="143" t="n"/>
      <c r="H328" s="143" t="n"/>
      <c r="I328" s="143" t="n"/>
      <c r="J328" s="143" t="n"/>
    </row>
    <row r="329" ht="18" customHeight="1" s="102">
      <c r="A329" s="137">
        <f>IF($B329="","","CIR-"&amp;TEXT(ROW()-BaslangicSatir,"000000"))</f>
        <v/>
      </c>
      <c r="B329" s="143" t="n"/>
      <c r="C329" s="143" t="n"/>
      <c r="D329" s="143" t="n"/>
      <c r="E329" s="143" t="n"/>
      <c r="F329" s="143" t="n"/>
      <c r="G329" s="143" t="n"/>
      <c r="H329" s="143" t="n"/>
      <c r="I329" s="143" t="n"/>
      <c r="J329" s="143" t="n"/>
    </row>
    <row r="330" ht="18" customHeight="1" s="102">
      <c r="A330" s="137">
        <f>IF($B330="","","CIR-"&amp;TEXT(ROW()-BaslangicSatir,"000000"))</f>
        <v/>
      </c>
      <c r="B330" s="143" t="n"/>
      <c r="C330" s="143" t="n"/>
      <c r="D330" s="143" t="n"/>
      <c r="E330" s="143" t="n"/>
      <c r="F330" s="143" t="n"/>
      <c r="G330" s="143" t="n"/>
      <c r="H330" s="143" t="n"/>
      <c r="I330" s="143" t="n"/>
      <c r="J330" s="143" t="n"/>
    </row>
    <row r="331" ht="18" customHeight="1" s="102">
      <c r="A331" s="137">
        <f>IF($B331="","","CIR-"&amp;TEXT(ROW()-BaslangicSatir,"000000"))</f>
        <v/>
      </c>
      <c r="B331" s="143" t="n"/>
      <c r="C331" s="143" t="n"/>
      <c r="D331" s="143" t="n"/>
      <c r="E331" s="143" t="n"/>
      <c r="F331" s="143" t="n"/>
      <c r="G331" s="143" t="n"/>
      <c r="H331" s="143" t="n"/>
      <c r="I331" s="143" t="n"/>
      <c r="J331" s="143" t="n"/>
    </row>
    <row r="332" ht="18" customHeight="1" s="102">
      <c r="A332" s="137">
        <f>IF($B332="","","CIR-"&amp;TEXT(ROW()-BaslangicSatir,"000000"))</f>
        <v/>
      </c>
      <c r="B332" s="143" t="n"/>
      <c r="C332" s="143" t="n"/>
      <c r="D332" s="143" t="n"/>
      <c r="E332" s="143" t="n"/>
      <c r="F332" s="143" t="n"/>
      <c r="G332" s="143" t="n"/>
      <c r="H332" s="143" t="n"/>
      <c r="I332" s="143" t="n"/>
      <c r="J332" s="143" t="n"/>
    </row>
    <row r="333" ht="18" customHeight="1" s="102">
      <c r="A333" s="137">
        <f>IF($B333="","","CIR-"&amp;TEXT(ROW()-BaslangicSatir,"000000"))</f>
        <v/>
      </c>
      <c r="B333" s="143" t="n"/>
      <c r="C333" s="143" t="n"/>
      <c r="D333" s="143" t="n"/>
      <c r="E333" s="143" t="n"/>
      <c r="F333" s="143" t="n"/>
      <c r="G333" s="143" t="n"/>
      <c r="H333" s="143" t="n"/>
      <c r="I333" s="143" t="n"/>
      <c r="J333" s="143" t="n"/>
    </row>
    <row r="334" ht="18" customHeight="1" s="102">
      <c r="A334" s="137">
        <f>IF($B334="","","CIR-"&amp;TEXT(ROW()-BaslangicSatir,"000000"))</f>
        <v/>
      </c>
      <c r="B334" s="143" t="n"/>
      <c r="C334" s="143" t="n"/>
      <c r="D334" s="143" t="n"/>
      <c r="E334" s="143" t="n"/>
      <c r="F334" s="143" t="n"/>
      <c r="G334" s="143" t="n"/>
      <c r="H334" s="143" t="n"/>
      <c r="I334" s="143" t="n"/>
      <c r="J334" s="143" t="n"/>
    </row>
    <row r="335" ht="18" customHeight="1" s="102">
      <c r="A335" s="137">
        <f>IF($B335="","","CIR-"&amp;TEXT(ROW()-BaslangicSatir,"000000"))</f>
        <v/>
      </c>
      <c r="B335" s="143" t="n"/>
      <c r="C335" s="143" t="n"/>
      <c r="D335" s="143" t="n"/>
      <c r="E335" s="143" t="n"/>
      <c r="F335" s="143" t="n"/>
      <c r="G335" s="143" t="n"/>
      <c r="H335" s="143" t="n"/>
      <c r="I335" s="143" t="n"/>
      <c r="J335" s="143" t="n"/>
    </row>
    <row r="336" ht="18" customHeight="1" s="102">
      <c r="A336" s="137">
        <f>IF($B336="","","CIR-"&amp;TEXT(ROW()-BaslangicSatir,"000000"))</f>
        <v/>
      </c>
      <c r="B336" s="143" t="n"/>
      <c r="C336" s="143" t="n"/>
      <c r="D336" s="143" t="n"/>
      <c r="E336" s="143" t="n"/>
      <c r="F336" s="143" t="n"/>
      <c r="G336" s="143" t="n"/>
      <c r="H336" s="143" t="n"/>
      <c r="I336" s="143" t="n"/>
      <c r="J336" s="143" t="n"/>
    </row>
    <row r="337" ht="18" customHeight="1" s="102">
      <c r="A337" s="137">
        <f>IF($B337="","","CIR-"&amp;TEXT(ROW()-BaslangicSatir,"000000"))</f>
        <v/>
      </c>
      <c r="B337" s="143" t="n"/>
      <c r="C337" s="143" t="n"/>
      <c r="D337" s="143" t="n"/>
      <c r="E337" s="143" t="n"/>
      <c r="F337" s="143" t="n"/>
      <c r="G337" s="143" t="n"/>
      <c r="H337" s="143" t="n"/>
      <c r="I337" s="143" t="n"/>
      <c r="J337" s="143" t="n"/>
    </row>
    <row r="338" ht="18" customHeight="1" s="102">
      <c r="A338" s="137">
        <f>IF($B338="","","CIR-"&amp;TEXT(ROW()-BaslangicSatir,"000000"))</f>
        <v/>
      </c>
      <c r="B338" s="143" t="n"/>
      <c r="C338" s="143" t="n"/>
      <c r="D338" s="143" t="n"/>
      <c r="E338" s="143" t="n"/>
      <c r="F338" s="143" t="n"/>
      <c r="G338" s="143" t="n"/>
      <c r="H338" s="143" t="n"/>
      <c r="I338" s="143" t="n"/>
      <c r="J338" s="143" t="n"/>
    </row>
    <row r="339" ht="18" customHeight="1" s="102">
      <c r="A339" s="137">
        <f>IF($B339="","","CIR-"&amp;TEXT(ROW()-BaslangicSatir,"000000"))</f>
        <v/>
      </c>
      <c r="B339" s="143" t="n"/>
      <c r="C339" s="143" t="n"/>
      <c r="D339" s="143" t="n"/>
      <c r="E339" s="143" t="n"/>
      <c r="F339" s="143" t="n"/>
      <c r="G339" s="143" t="n"/>
      <c r="H339" s="143" t="n"/>
      <c r="I339" s="143" t="n"/>
      <c r="J339" s="143" t="n"/>
    </row>
    <row r="340" ht="18" customHeight="1" s="102">
      <c r="A340" s="137">
        <f>IF($B340="","","CIR-"&amp;TEXT(ROW()-BaslangicSatir,"000000"))</f>
        <v/>
      </c>
      <c r="B340" s="143" t="n"/>
      <c r="C340" s="143" t="n"/>
      <c r="D340" s="143" t="n"/>
      <c r="E340" s="143" t="n"/>
      <c r="F340" s="143" t="n"/>
      <c r="G340" s="143" t="n"/>
      <c r="H340" s="143" t="n"/>
      <c r="I340" s="143" t="n"/>
      <c r="J340" s="143" t="n"/>
    </row>
    <row r="341" ht="18" customHeight="1" s="102">
      <c r="A341" s="137">
        <f>IF($B341="","","CIR-"&amp;TEXT(ROW()-BaslangicSatir,"000000"))</f>
        <v/>
      </c>
      <c r="B341" s="143" t="n"/>
      <c r="C341" s="143" t="n"/>
      <c r="D341" s="143" t="n"/>
      <c r="E341" s="143" t="n"/>
      <c r="F341" s="143" t="n"/>
      <c r="G341" s="143" t="n"/>
      <c r="H341" s="143" t="n"/>
      <c r="I341" s="143" t="n"/>
      <c r="J341" s="143" t="n"/>
    </row>
    <row r="342" ht="18" customHeight="1" s="102">
      <c r="A342" s="137">
        <f>IF($B342="","","CIR-"&amp;TEXT(ROW()-BaslangicSatir,"000000"))</f>
        <v/>
      </c>
      <c r="B342" s="143" t="n"/>
      <c r="C342" s="143" t="n"/>
      <c r="D342" s="143" t="n"/>
      <c r="E342" s="143" t="n"/>
      <c r="F342" s="143" t="n"/>
      <c r="G342" s="143" t="n"/>
      <c r="H342" s="143" t="n"/>
      <c r="I342" s="143" t="n"/>
      <c r="J342" s="143" t="n"/>
    </row>
    <row r="343" ht="18" customHeight="1" s="102">
      <c r="A343" s="137">
        <f>IF($B343="","","CIR-"&amp;TEXT(ROW()-BaslangicSatir,"000000"))</f>
        <v/>
      </c>
      <c r="B343" s="143" t="n"/>
      <c r="C343" s="143" t="n"/>
      <c r="D343" s="143" t="n"/>
      <c r="E343" s="143" t="n"/>
      <c r="F343" s="143" t="n"/>
      <c r="G343" s="143" t="n"/>
      <c r="H343" s="143" t="n"/>
      <c r="I343" s="143" t="n"/>
      <c r="J343" s="143" t="n"/>
    </row>
    <row r="344" ht="18" customHeight="1" s="102">
      <c r="A344" s="137">
        <f>IF($B344="","","CIR-"&amp;TEXT(ROW()-BaslangicSatir,"000000"))</f>
        <v/>
      </c>
      <c r="B344" s="143" t="n"/>
      <c r="C344" s="143" t="n"/>
      <c r="D344" s="143" t="n"/>
      <c r="E344" s="143" t="n"/>
      <c r="F344" s="143" t="n"/>
      <c r="G344" s="143" t="n"/>
      <c r="H344" s="143" t="n"/>
      <c r="I344" s="143" t="n"/>
      <c r="J344" s="143" t="n"/>
    </row>
    <row r="345" ht="18" customHeight="1" s="102">
      <c r="A345" s="137">
        <f>IF($B345="","","CIR-"&amp;TEXT(ROW()-BaslangicSatir,"000000"))</f>
        <v/>
      </c>
      <c r="B345" s="143" t="n"/>
      <c r="C345" s="143" t="n"/>
      <c r="D345" s="143" t="n"/>
      <c r="E345" s="143" t="n"/>
      <c r="F345" s="143" t="n"/>
      <c r="G345" s="143" t="n"/>
      <c r="H345" s="143" t="n"/>
      <c r="I345" s="143" t="n"/>
      <c r="J345" s="143" t="n"/>
    </row>
    <row r="346" ht="18" customHeight="1" s="102">
      <c r="A346" s="137">
        <f>IF($B346="","","CIR-"&amp;TEXT(ROW()-BaslangicSatir,"000000"))</f>
        <v/>
      </c>
      <c r="B346" s="143" t="n"/>
      <c r="C346" s="143" t="n"/>
      <c r="D346" s="143" t="n"/>
      <c r="E346" s="143" t="n"/>
      <c r="F346" s="143" t="n"/>
      <c r="G346" s="143" t="n"/>
      <c r="H346" s="143" t="n"/>
      <c r="I346" s="143" t="n"/>
      <c r="J346" s="143" t="n"/>
    </row>
    <row r="347" ht="18" customHeight="1" s="102">
      <c r="A347" s="137">
        <f>IF($B347="","","CIR-"&amp;TEXT(ROW()-BaslangicSatir,"000000"))</f>
        <v/>
      </c>
      <c r="B347" s="143" t="n"/>
      <c r="C347" s="143" t="n"/>
      <c r="D347" s="143" t="n"/>
      <c r="E347" s="143" t="n"/>
      <c r="F347" s="143" t="n"/>
      <c r="G347" s="143" t="n"/>
      <c r="H347" s="143" t="n"/>
      <c r="I347" s="143" t="n"/>
      <c r="J347" s="143" t="n"/>
    </row>
    <row r="348" ht="18" customHeight="1" s="102">
      <c r="A348" s="137">
        <f>IF($B348="","","CIR-"&amp;TEXT(ROW()-BaslangicSatir,"000000"))</f>
        <v/>
      </c>
      <c r="B348" s="143" t="n"/>
      <c r="C348" s="143" t="n"/>
      <c r="D348" s="143" t="n"/>
      <c r="E348" s="143" t="n"/>
      <c r="F348" s="143" t="n"/>
      <c r="G348" s="143" t="n"/>
      <c r="H348" s="143" t="n"/>
      <c r="I348" s="143" t="n"/>
      <c r="J348" s="143" t="n"/>
    </row>
    <row r="349" ht="18" customHeight="1" s="102">
      <c r="A349" s="137">
        <f>IF($B349="","","CIR-"&amp;TEXT(ROW()-BaslangicSatir,"000000"))</f>
        <v/>
      </c>
      <c r="B349" s="143" t="n"/>
      <c r="C349" s="143" t="n"/>
      <c r="D349" s="143" t="n"/>
      <c r="E349" s="143" t="n"/>
      <c r="F349" s="143" t="n"/>
      <c r="G349" s="143" t="n"/>
      <c r="H349" s="143" t="n"/>
      <c r="I349" s="143" t="n"/>
      <c r="J349" s="143" t="n"/>
    </row>
    <row r="350" ht="18" customHeight="1" s="102">
      <c r="A350" s="137">
        <f>IF($B350="","","CIR-"&amp;TEXT(ROW()-BaslangicSatir,"000000"))</f>
        <v/>
      </c>
      <c r="B350" s="143" t="n"/>
      <c r="C350" s="143" t="n"/>
      <c r="D350" s="143" t="n"/>
      <c r="E350" s="143" t="n"/>
      <c r="F350" s="143" t="n"/>
      <c r="G350" s="143" t="n"/>
      <c r="H350" s="143" t="n"/>
      <c r="I350" s="143" t="n"/>
      <c r="J350" s="143" t="n"/>
    </row>
    <row r="351" ht="18" customHeight="1" s="102">
      <c r="A351" s="137">
        <f>IF($B351="","","CIR-"&amp;TEXT(ROW()-BaslangicSatir,"000000"))</f>
        <v/>
      </c>
      <c r="B351" s="143" t="n"/>
      <c r="C351" s="143" t="n"/>
      <c r="D351" s="143" t="n"/>
      <c r="E351" s="143" t="n"/>
      <c r="F351" s="143" t="n"/>
      <c r="G351" s="143" t="n"/>
      <c r="H351" s="143" t="n"/>
      <c r="I351" s="143" t="n"/>
      <c r="J351" s="143" t="n"/>
    </row>
    <row r="352" ht="18" customHeight="1" s="102">
      <c r="A352" s="137">
        <f>IF($B352="","","CIR-"&amp;TEXT(ROW()-BaslangicSatir,"000000"))</f>
        <v/>
      </c>
      <c r="B352" s="143" t="n"/>
      <c r="C352" s="143" t="n"/>
      <c r="D352" s="143" t="n"/>
      <c r="E352" s="143" t="n"/>
      <c r="F352" s="143" t="n"/>
      <c r="G352" s="143" t="n"/>
      <c r="H352" s="143" t="n"/>
      <c r="I352" s="143" t="n"/>
      <c r="J352" s="143" t="n"/>
    </row>
    <row r="353" ht="18" customHeight="1" s="102">
      <c r="A353" s="137">
        <f>IF($B353="","","CIR-"&amp;TEXT(ROW()-BaslangicSatir,"000000"))</f>
        <v/>
      </c>
      <c r="B353" s="143" t="n"/>
      <c r="C353" s="143" t="n"/>
      <c r="D353" s="143" t="n"/>
      <c r="E353" s="143" t="n"/>
      <c r="F353" s="143" t="n"/>
      <c r="G353" s="143" t="n"/>
      <c r="H353" s="143" t="n"/>
      <c r="I353" s="143" t="n"/>
      <c r="J353" s="143" t="n"/>
    </row>
    <row r="354" ht="18" customHeight="1" s="102">
      <c r="A354" s="137">
        <f>IF($B354="","","CIR-"&amp;TEXT(ROW()-BaslangicSatir,"000000"))</f>
        <v/>
      </c>
      <c r="B354" s="143" t="n"/>
      <c r="C354" s="143" t="n"/>
      <c r="D354" s="143" t="n"/>
      <c r="E354" s="143" t="n"/>
      <c r="F354" s="143" t="n"/>
      <c r="G354" s="143" t="n"/>
      <c r="H354" s="143" t="n"/>
      <c r="I354" s="143" t="n"/>
      <c r="J354" s="143" t="n"/>
    </row>
    <row r="355" ht="18" customHeight="1" s="102">
      <c r="A355" s="137">
        <f>IF($B355="","","CIR-"&amp;TEXT(ROW()-BaslangicSatir,"000000"))</f>
        <v/>
      </c>
      <c r="B355" s="143" t="n"/>
      <c r="C355" s="143" t="n"/>
      <c r="D355" s="143" t="n"/>
      <c r="E355" s="143" t="n"/>
      <c r="F355" s="143" t="n"/>
      <c r="G355" s="143" t="n"/>
      <c r="H355" s="143" t="n"/>
      <c r="I355" s="143" t="n"/>
      <c r="J355" s="143" t="n"/>
    </row>
    <row r="356" ht="18" customHeight="1" s="102">
      <c r="A356" s="137">
        <f>IF($B356="","","CIR-"&amp;TEXT(ROW()-BaslangicSatir,"000000"))</f>
        <v/>
      </c>
      <c r="B356" s="143" t="n"/>
      <c r="C356" s="143" t="n"/>
      <c r="D356" s="143" t="n"/>
      <c r="E356" s="143" t="n"/>
      <c r="F356" s="143" t="n"/>
      <c r="G356" s="143" t="n"/>
      <c r="H356" s="143" t="n"/>
      <c r="I356" s="143" t="n"/>
      <c r="J356" s="143" t="n"/>
    </row>
    <row r="357" ht="18" customHeight="1" s="102">
      <c r="A357" s="137">
        <f>IF($B357="","","CIR-"&amp;TEXT(ROW()-BaslangicSatir,"000000"))</f>
        <v/>
      </c>
      <c r="B357" s="143" t="n"/>
      <c r="C357" s="143" t="n"/>
      <c r="D357" s="143" t="n"/>
      <c r="E357" s="143" t="n"/>
      <c r="F357" s="143" t="n"/>
      <c r="G357" s="143" t="n"/>
      <c r="H357" s="143" t="n"/>
      <c r="I357" s="143" t="n"/>
      <c r="J357" s="143" t="n"/>
    </row>
    <row r="358" ht="18" customHeight="1" s="102">
      <c r="A358" s="137">
        <f>IF($B358="","","CIR-"&amp;TEXT(ROW()-BaslangicSatir,"000000"))</f>
        <v/>
      </c>
      <c r="B358" s="143" t="n"/>
      <c r="C358" s="143" t="n"/>
      <c r="D358" s="143" t="n"/>
      <c r="E358" s="143" t="n"/>
      <c r="F358" s="143" t="n"/>
      <c r="G358" s="143" t="n"/>
      <c r="H358" s="143" t="n"/>
      <c r="I358" s="143" t="n"/>
      <c r="J358" s="143" t="n"/>
    </row>
    <row r="359" ht="18" customHeight="1" s="102">
      <c r="A359" s="137">
        <f>IF($B359="","","CIR-"&amp;TEXT(ROW()-BaslangicSatir,"000000"))</f>
        <v/>
      </c>
      <c r="B359" s="143" t="n"/>
      <c r="C359" s="143" t="n"/>
      <c r="D359" s="143" t="n"/>
      <c r="E359" s="143" t="n"/>
      <c r="F359" s="143" t="n"/>
      <c r="G359" s="143" t="n"/>
      <c r="H359" s="143" t="n"/>
      <c r="I359" s="143" t="n"/>
      <c r="J359" s="143" t="n"/>
    </row>
    <row r="360" ht="18" customHeight="1" s="102">
      <c r="A360" s="137">
        <f>IF($B360="","","CIR-"&amp;TEXT(ROW()-BaslangicSatir,"000000"))</f>
        <v/>
      </c>
      <c r="B360" s="143" t="n"/>
      <c r="C360" s="143" t="n"/>
      <c r="D360" s="143" t="n"/>
      <c r="E360" s="143" t="n"/>
      <c r="F360" s="143" t="n"/>
      <c r="G360" s="143" t="n"/>
      <c r="H360" s="143" t="n"/>
      <c r="I360" s="143" t="n"/>
      <c r="J360" s="143" t="n"/>
    </row>
    <row r="361" ht="18" customHeight="1" s="102">
      <c r="A361" s="137">
        <f>IF($B361="","","CIR-"&amp;TEXT(ROW()-BaslangicSatir,"000000"))</f>
        <v/>
      </c>
      <c r="B361" s="143" t="n"/>
      <c r="C361" s="143" t="n"/>
      <c r="D361" s="143" t="n"/>
      <c r="E361" s="143" t="n"/>
      <c r="F361" s="143" t="n"/>
      <c r="G361" s="143" t="n"/>
      <c r="H361" s="143" t="n"/>
      <c r="I361" s="143" t="n"/>
      <c r="J361" s="143" t="n"/>
    </row>
    <row r="362" ht="18" customHeight="1" s="102">
      <c r="A362" s="137">
        <f>IF($B362="","","CIR-"&amp;TEXT(ROW()-BaslangicSatir,"000000"))</f>
        <v/>
      </c>
      <c r="B362" s="143" t="n"/>
      <c r="C362" s="143" t="n"/>
      <c r="D362" s="143" t="n"/>
      <c r="E362" s="143" t="n"/>
      <c r="F362" s="143" t="n"/>
      <c r="G362" s="143" t="n"/>
      <c r="H362" s="143" t="n"/>
      <c r="I362" s="143" t="n"/>
      <c r="J362" s="143" t="n"/>
    </row>
    <row r="363" ht="18" customHeight="1" s="102">
      <c r="A363" s="137">
        <f>IF($B363="","","CIR-"&amp;TEXT(ROW()-BaslangicSatir,"000000"))</f>
        <v/>
      </c>
      <c r="B363" s="143" t="n"/>
      <c r="C363" s="143" t="n"/>
      <c r="D363" s="143" t="n"/>
      <c r="E363" s="143" t="n"/>
      <c r="F363" s="143" t="n"/>
      <c r="G363" s="143" t="n"/>
      <c r="H363" s="143" t="n"/>
      <c r="I363" s="143" t="n"/>
      <c r="J363" s="143" t="n"/>
    </row>
    <row r="364" ht="18" customHeight="1" s="102">
      <c r="A364" s="137">
        <f>IF($B364="","","CIR-"&amp;TEXT(ROW()-BaslangicSatir,"000000"))</f>
        <v/>
      </c>
      <c r="B364" s="143" t="n"/>
      <c r="C364" s="143" t="n"/>
      <c r="D364" s="143" t="n"/>
      <c r="E364" s="143" t="n"/>
      <c r="F364" s="143" t="n"/>
      <c r="G364" s="143" t="n"/>
      <c r="H364" s="143" t="n"/>
      <c r="I364" s="143" t="n"/>
      <c r="J364" s="143" t="n"/>
    </row>
    <row r="365" ht="18" customHeight="1" s="102">
      <c r="A365" s="137">
        <f>IF($B365="","","CIR-"&amp;TEXT(ROW()-BaslangicSatir,"000000"))</f>
        <v/>
      </c>
      <c r="B365" s="143" t="n"/>
      <c r="C365" s="143" t="n"/>
      <c r="D365" s="143" t="n"/>
      <c r="E365" s="143" t="n"/>
      <c r="F365" s="143" t="n"/>
      <c r="G365" s="143" t="n"/>
      <c r="H365" s="143" t="n"/>
      <c r="I365" s="143" t="n"/>
      <c r="J365" s="143" t="n"/>
    </row>
    <row r="366" ht="18" customHeight="1" s="102">
      <c r="A366" s="137">
        <f>IF($B366="","","CIR-"&amp;TEXT(ROW()-BaslangicSatir,"000000"))</f>
        <v/>
      </c>
      <c r="B366" s="143" t="n"/>
      <c r="C366" s="143" t="n"/>
      <c r="D366" s="143" t="n"/>
      <c r="E366" s="143" t="n"/>
      <c r="F366" s="143" t="n"/>
      <c r="G366" s="143" t="n"/>
      <c r="H366" s="143" t="n"/>
      <c r="I366" s="143" t="n"/>
      <c r="J366" s="143" t="n"/>
    </row>
    <row r="367" ht="18" customHeight="1" s="102">
      <c r="A367" s="137">
        <f>IF($B367="","","CIR-"&amp;TEXT(ROW()-BaslangicSatir,"000000"))</f>
        <v/>
      </c>
      <c r="B367" s="143" t="n"/>
      <c r="C367" s="143" t="n"/>
      <c r="D367" s="143" t="n"/>
      <c r="E367" s="143" t="n"/>
      <c r="F367" s="143" t="n"/>
      <c r="G367" s="143" t="n"/>
      <c r="H367" s="143" t="n"/>
      <c r="I367" s="143" t="n"/>
      <c r="J367" s="143" t="n"/>
    </row>
    <row r="368" ht="18" customHeight="1" s="102">
      <c r="A368" s="137">
        <f>IF($B368="","","CIR-"&amp;TEXT(ROW()-BaslangicSatir,"000000"))</f>
        <v/>
      </c>
      <c r="B368" s="143" t="n"/>
      <c r="C368" s="143" t="n"/>
      <c r="D368" s="143" t="n"/>
      <c r="E368" s="143" t="n"/>
      <c r="F368" s="143" t="n"/>
      <c r="G368" s="143" t="n"/>
      <c r="H368" s="143" t="n"/>
      <c r="I368" s="143" t="n"/>
      <c r="J368" s="143" t="n"/>
    </row>
    <row r="369" ht="18" customHeight="1" s="102">
      <c r="A369" s="137">
        <f>IF($B369="","","CIR-"&amp;TEXT(ROW()-BaslangicSatir,"000000"))</f>
        <v/>
      </c>
      <c r="B369" s="143" t="n"/>
      <c r="C369" s="143" t="n"/>
      <c r="D369" s="143" t="n"/>
      <c r="E369" s="143" t="n"/>
      <c r="F369" s="143" t="n"/>
      <c r="G369" s="143" t="n"/>
      <c r="H369" s="143" t="n"/>
      <c r="I369" s="143" t="n"/>
      <c r="J369" s="143" t="n"/>
    </row>
    <row r="370" ht="18" customHeight="1" s="102">
      <c r="A370" s="137">
        <f>IF($B370="","","CIR-"&amp;TEXT(ROW()-BaslangicSatir,"000000"))</f>
        <v/>
      </c>
      <c r="B370" s="143" t="n"/>
      <c r="C370" s="143" t="n"/>
      <c r="D370" s="143" t="n"/>
      <c r="E370" s="143" t="n"/>
      <c r="F370" s="143" t="n"/>
      <c r="G370" s="143" t="n"/>
      <c r="H370" s="143" t="n"/>
      <c r="I370" s="143" t="n"/>
      <c r="J370" s="143" t="n"/>
    </row>
    <row r="371" ht="18" customHeight="1" s="102">
      <c r="A371" s="137">
        <f>IF($B371="","","CIR-"&amp;TEXT(ROW()-BaslangicSatir,"000000"))</f>
        <v/>
      </c>
      <c r="B371" s="143" t="n"/>
      <c r="C371" s="143" t="n"/>
      <c r="D371" s="143" t="n"/>
      <c r="E371" s="143" t="n"/>
      <c r="F371" s="143" t="n"/>
      <c r="G371" s="143" t="n"/>
      <c r="H371" s="143" t="n"/>
      <c r="I371" s="143" t="n"/>
      <c r="J371" s="143" t="n"/>
    </row>
    <row r="372" ht="18" customHeight="1" s="102">
      <c r="A372" s="137">
        <f>IF($B372="","","CIR-"&amp;TEXT(ROW()-BaslangicSatir,"000000"))</f>
        <v/>
      </c>
      <c r="B372" s="143" t="n"/>
      <c r="C372" s="143" t="n"/>
      <c r="D372" s="143" t="n"/>
      <c r="E372" s="143" t="n"/>
      <c r="F372" s="143" t="n"/>
      <c r="G372" s="143" t="n"/>
      <c r="H372" s="143" t="n"/>
      <c r="I372" s="143" t="n"/>
      <c r="J372" s="143" t="n"/>
    </row>
    <row r="373" ht="18" customHeight="1" s="102">
      <c r="A373" s="137">
        <f>IF($B373="","","CIR-"&amp;TEXT(ROW()-BaslangicSatir,"000000"))</f>
        <v/>
      </c>
      <c r="B373" s="143" t="n"/>
      <c r="C373" s="143" t="n"/>
      <c r="D373" s="143" t="n"/>
      <c r="E373" s="143" t="n"/>
      <c r="F373" s="143" t="n"/>
      <c r="G373" s="143" t="n"/>
      <c r="H373" s="143" t="n"/>
      <c r="I373" s="143" t="n"/>
      <c r="J373" s="143" t="n"/>
    </row>
    <row r="374" ht="18" customHeight="1" s="102">
      <c r="A374" s="137">
        <f>IF($B374="","","CIR-"&amp;TEXT(ROW()-BaslangicSatir,"000000"))</f>
        <v/>
      </c>
      <c r="B374" s="143" t="n"/>
      <c r="C374" s="143" t="n"/>
      <c r="D374" s="143" t="n"/>
      <c r="E374" s="143" t="n"/>
      <c r="F374" s="143" t="n"/>
      <c r="G374" s="143" t="n"/>
      <c r="H374" s="143" t="n"/>
      <c r="I374" s="143" t="n"/>
      <c r="J374" s="143" t="n"/>
    </row>
    <row r="375" ht="18" customHeight="1" s="102">
      <c r="A375" s="137">
        <f>IF($B375="","","CIR-"&amp;TEXT(ROW()-BaslangicSatir,"000000"))</f>
        <v/>
      </c>
      <c r="B375" s="143" t="n"/>
      <c r="C375" s="143" t="n"/>
      <c r="D375" s="143" t="n"/>
      <c r="E375" s="143" t="n"/>
      <c r="F375" s="143" t="n"/>
      <c r="G375" s="143" t="n"/>
      <c r="H375" s="143" t="n"/>
      <c r="I375" s="143" t="n"/>
      <c r="J375" s="143" t="n"/>
    </row>
    <row r="376" ht="18" customHeight="1" s="102">
      <c r="A376" s="137">
        <f>IF($B376="","","CIR-"&amp;TEXT(ROW()-BaslangicSatir,"000000"))</f>
        <v/>
      </c>
      <c r="B376" s="143" t="n"/>
      <c r="C376" s="143" t="n"/>
      <c r="D376" s="143" t="n"/>
      <c r="E376" s="143" t="n"/>
      <c r="F376" s="143" t="n"/>
      <c r="G376" s="143" t="n"/>
      <c r="H376" s="143" t="n"/>
      <c r="I376" s="143" t="n"/>
      <c r="J376" s="143" t="n"/>
    </row>
    <row r="377" ht="18" customHeight="1" s="102">
      <c r="A377" s="137">
        <f>IF($B377="","","CIR-"&amp;TEXT(ROW()-BaslangicSatir,"000000"))</f>
        <v/>
      </c>
      <c r="B377" s="143" t="n"/>
      <c r="C377" s="143" t="n"/>
      <c r="D377" s="143" t="n"/>
      <c r="E377" s="143" t="n"/>
      <c r="F377" s="143" t="n"/>
      <c r="G377" s="143" t="n"/>
      <c r="H377" s="143" t="n"/>
      <c r="I377" s="143" t="n"/>
      <c r="J377" s="143" t="n"/>
    </row>
    <row r="378" ht="18" customHeight="1" s="102">
      <c r="A378" s="137">
        <f>IF($B378="","","CIR-"&amp;TEXT(ROW()-BaslangicSatir,"000000"))</f>
        <v/>
      </c>
      <c r="B378" s="143" t="n"/>
      <c r="C378" s="143" t="n"/>
      <c r="D378" s="143" t="n"/>
      <c r="E378" s="143" t="n"/>
      <c r="F378" s="143" t="n"/>
      <c r="G378" s="143" t="n"/>
      <c r="H378" s="143" t="n"/>
      <c r="I378" s="143" t="n"/>
      <c r="J378" s="143" t="n"/>
    </row>
    <row r="379" ht="18" customHeight="1" s="102">
      <c r="A379" s="137">
        <f>IF($B379="","","CIR-"&amp;TEXT(ROW()-BaslangicSatir,"000000"))</f>
        <v/>
      </c>
      <c r="B379" s="143" t="n"/>
      <c r="C379" s="143" t="n"/>
      <c r="D379" s="143" t="n"/>
      <c r="E379" s="143" t="n"/>
      <c r="F379" s="143" t="n"/>
      <c r="G379" s="143" t="n"/>
      <c r="H379" s="143" t="n"/>
      <c r="I379" s="143" t="n"/>
      <c r="J379" s="143" t="n"/>
    </row>
    <row r="380" ht="18" customHeight="1" s="102">
      <c r="A380" s="137">
        <f>IF($B380="","","CIR-"&amp;TEXT(ROW()-BaslangicSatir,"000000"))</f>
        <v/>
      </c>
      <c r="B380" s="143" t="n"/>
      <c r="C380" s="143" t="n"/>
      <c r="D380" s="143" t="n"/>
      <c r="E380" s="143" t="n"/>
      <c r="F380" s="143" t="n"/>
      <c r="G380" s="143" t="n"/>
      <c r="H380" s="143" t="n"/>
      <c r="I380" s="143" t="n"/>
      <c r="J380" s="143" t="n"/>
    </row>
    <row r="381" ht="18" customHeight="1" s="102">
      <c r="A381" s="137">
        <f>IF($B381="","","CIR-"&amp;TEXT(ROW()-BaslangicSatir,"000000"))</f>
        <v/>
      </c>
      <c r="B381" s="143" t="n"/>
      <c r="C381" s="143" t="n"/>
      <c r="D381" s="143" t="n"/>
      <c r="E381" s="143" t="n"/>
      <c r="F381" s="143" t="n"/>
      <c r="G381" s="143" t="n"/>
      <c r="H381" s="143" t="n"/>
      <c r="I381" s="143" t="n"/>
      <c r="J381" s="143" t="n"/>
    </row>
    <row r="382" ht="18" customHeight="1" s="102">
      <c r="A382" s="137">
        <f>IF($B382="","","CIR-"&amp;TEXT(ROW()-BaslangicSatir,"000000"))</f>
        <v/>
      </c>
      <c r="B382" s="143" t="n"/>
      <c r="C382" s="143" t="n"/>
      <c r="D382" s="143" t="n"/>
      <c r="E382" s="143" t="n"/>
      <c r="F382" s="143" t="n"/>
      <c r="G382" s="143" t="n"/>
      <c r="H382" s="143" t="n"/>
      <c r="I382" s="143" t="n"/>
      <c r="J382" s="143" t="n"/>
    </row>
    <row r="383" ht="18" customHeight="1" s="102">
      <c r="A383" s="137">
        <f>IF($B383="","","CIR-"&amp;TEXT(ROW()-BaslangicSatir,"000000"))</f>
        <v/>
      </c>
      <c r="B383" s="143" t="n"/>
      <c r="C383" s="143" t="n"/>
      <c r="D383" s="143" t="n"/>
      <c r="E383" s="143" t="n"/>
      <c r="F383" s="143" t="n"/>
      <c r="G383" s="143" t="n"/>
      <c r="H383" s="143" t="n"/>
      <c r="I383" s="143" t="n"/>
      <c r="J383" s="143" t="n"/>
    </row>
    <row r="384" ht="18" customHeight="1" s="102">
      <c r="A384" s="137">
        <f>IF($B384="","","CIR-"&amp;TEXT(ROW()-BaslangicSatir,"000000"))</f>
        <v/>
      </c>
      <c r="B384" s="143" t="n"/>
      <c r="C384" s="143" t="n"/>
      <c r="D384" s="143" t="n"/>
      <c r="E384" s="143" t="n"/>
      <c r="F384" s="143" t="n"/>
      <c r="G384" s="143" t="n"/>
      <c r="H384" s="143" t="n"/>
      <c r="I384" s="143" t="n"/>
      <c r="J384" s="143" t="n"/>
    </row>
    <row r="385" ht="18" customHeight="1" s="102">
      <c r="A385" s="137">
        <f>IF($B385="","","CIR-"&amp;TEXT(ROW()-BaslangicSatir,"000000"))</f>
        <v/>
      </c>
      <c r="B385" s="143" t="n"/>
      <c r="C385" s="143" t="n"/>
      <c r="D385" s="143" t="n"/>
      <c r="E385" s="143" t="n"/>
      <c r="F385" s="143" t="n"/>
      <c r="G385" s="143" t="n"/>
      <c r="H385" s="143" t="n"/>
      <c r="I385" s="143" t="n"/>
      <c r="J385" s="143" t="n"/>
    </row>
    <row r="386" ht="18" customHeight="1" s="102">
      <c r="A386" s="137">
        <f>IF($B386="","","CIR-"&amp;TEXT(ROW()-BaslangicSatir,"000000"))</f>
        <v/>
      </c>
      <c r="B386" s="143" t="n"/>
      <c r="C386" s="143" t="n"/>
      <c r="D386" s="143" t="n"/>
      <c r="E386" s="143" t="n"/>
      <c r="F386" s="143" t="n"/>
      <c r="G386" s="143" t="n"/>
      <c r="H386" s="143" t="n"/>
      <c r="I386" s="143" t="n"/>
      <c r="J386" s="143" t="n"/>
    </row>
    <row r="387" ht="18" customHeight="1" s="102">
      <c r="A387" s="137">
        <f>IF($B387="","","CIR-"&amp;TEXT(ROW()-BaslangicSatir,"000000"))</f>
        <v/>
      </c>
      <c r="B387" s="143" t="n"/>
      <c r="C387" s="143" t="n"/>
      <c r="D387" s="143" t="n"/>
      <c r="E387" s="143" t="n"/>
      <c r="F387" s="143" t="n"/>
      <c r="G387" s="143" t="n"/>
      <c r="H387" s="143" t="n"/>
      <c r="I387" s="143" t="n"/>
      <c r="J387" s="143" t="n"/>
    </row>
    <row r="388" ht="18" customHeight="1" s="102">
      <c r="A388" s="137">
        <f>IF($B388="","","CIR-"&amp;TEXT(ROW()-BaslangicSatir,"000000"))</f>
        <v/>
      </c>
      <c r="B388" s="143" t="n"/>
      <c r="C388" s="143" t="n"/>
      <c r="D388" s="143" t="n"/>
      <c r="E388" s="143" t="n"/>
      <c r="F388" s="143" t="n"/>
      <c r="G388" s="143" t="n"/>
      <c r="H388" s="143" t="n"/>
      <c r="I388" s="143" t="n"/>
      <c r="J388" s="143" t="n"/>
    </row>
    <row r="389" ht="18" customHeight="1" s="102">
      <c r="A389" s="137">
        <f>IF($B389="","","CIR-"&amp;TEXT(ROW()-BaslangicSatir,"000000"))</f>
        <v/>
      </c>
      <c r="B389" s="143" t="n"/>
      <c r="C389" s="143" t="n"/>
      <c r="D389" s="143" t="n"/>
      <c r="E389" s="143" t="n"/>
      <c r="F389" s="143" t="n"/>
      <c r="G389" s="143" t="n"/>
      <c r="H389" s="143" t="n"/>
      <c r="I389" s="143" t="n"/>
      <c r="J389" s="143" t="n"/>
    </row>
    <row r="390" ht="18" customHeight="1" s="102">
      <c r="A390" s="137">
        <f>IF($B390="","","CIR-"&amp;TEXT(ROW()-BaslangicSatir,"000000"))</f>
        <v/>
      </c>
      <c r="B390" s="143" t="n"/>
      <c r="C390" s="143" t="n"/>
      <c r="D390" s="143" t="n"/>
      <c r="E390" s="143" t="n"/>
      <c r="F390" s="143" t="n"/>
      <c r="G390" s="143" t="n"/>
      <c r="H390" s="143" t="n"/>
      <c r="I390" s="143" t="n"/>
      <c r="J390" s="143" t="n"/>
    </row>
    <row r="391" ht="18" customHeight="1" s="102">
      <c r="A391" s="137">
        <f>IF($B391="","","CIR-"&amp;TEXT(ROW()-BaslangicSatir,"000000"))</f>
        <v/>
      </c>
      <c r="B391" s="143" t="n"/>
      <c r="C391" s="143" t="n"/>
      <c r="D391" s="143" t="n"/>
      <c r="E391" s="143" t="n"/>
      <c r="F391" s="143" t="n"/>
      <c r="G391" s="143" t="n"/>
      <c r="H391" s="143" t="n"/>
      <c r="I391" s="143" t="n"/>
      <c r="J391" s="143" t="n"/>
    </row>
    <row r="392" ht="18" customHeight="1" s="102">
      <c r="A392" s="137">
        <f>IF($B392="","","CIR-"&amp;TEXT(ROW()-BaslangicSatir,"000000"))</f>
        <v/>
      </c>
      <c r="B392" s="143" t="n"/>
      <c r="C392" s="143" t="n"/>
      <c r="D392" s="143" t="n"/>
      <c r="E392" s="143" t="n"/>
      <c r="F392" s="143" t="n"/>
      <c r="G392" s="143" t="n"/>
      <c r="H392" s="143" t="n"/>
      <c r="I392" s="143" t="n"/>
      <c r="J392" s="143" t="n"/>
    </row>
    <row r="393" ht="18" customHeight="1" s="102">
      <c r="A393" s="137">
        <f>IF($B393="","","CIR-"&amp;TEXT(ROW()-BaslangicSatir,"000000"))</f>
        <v/>
      </c>
      <c r="B393" s="143" t="n"/>
      <c r="C393" s="143" t="n"/>
      <c r="D393" s="143" t="n"/>
      <c r="E393" s="143" t="n"/>
      <c r="F393" s="143" t="n"/>
      <c r="G393" s="143" t="n"/>
      <c r="H393" s="143" t="n"/>
      <c r="I393" s="143" t="n"/>
      <c r="J393" s="143" t="n"/>
    </row>
    <row r="394" ht="18" customHeight="1" s="102">
      <c r="A394" s="137">
        <f>IF($B394="","","CIR-"&amp;TEXT(ROW()-BaslangicSatir,"000000"))</f>
        <v/>
      </c>
      <c r="B394" s="143" t="n"/>
      <c r="C394" s="143" t="n"/>
      <c r="D394" s="143" t="n"/>
      <c r="E394" s="143" t="n"/>
      <c r="F394" s="143" t="n"/>
      <c r="G394" s="143" t="n"/>
      <c r="H394" s="143" t="n"/>
      <c r="I394" s="143" t="n"/>
      <c r="J394" s="143" t="n"/>
    </row>
    <row r="395" ht="18" customHeight="1" s="102">
      <c r="A395" s="137">
        <f>IF($B395="","","CIR-"&amp;TEXT(ROW()-BaslangicSatir,"000000"))</f>
        <v/>
      </c>
      <c r="B395" s="143" t="n"/>
      <c r="C395" s="143" t="n"/>
      <c r="D395" s="143" t="n"/>
      <c r="E395" s="143" t="n"/>
      <c r="F395" s="143" t="n"/>
      <c r="G395" s="143" t="n"/>
      <c r="H395" s="143" t="n"/>
      <c r="I395" s="143" t="n"/>
      <c r="J395" s="143" t="n"/>
    </row>
    <row r="396" ht="18" customHeight="1" s="102">
      <c r="A396" s="137">
        <f>IF($B396="","","CIR-"&amp;TEXT(ROW()-BaslangicSatir,"000000"))</f>
        <v/>
      </c>
      <c r="B396" s="143" t="n"/>
      <c r="C396" s="143" t="n"/>
      <c r="D396" s="143" t="n"/>
      <c r="E396" s="143" t="n"/>
      <c r="F396" s="143" t="n"/>
      <c r="G396" s="143" t="n"/>
      <c r="H396" s="143" t="n"/>
      <c r="I396" s="143" t="n"/>
      <c r="J396" s="143" t="n"/>
    </row>
    <row r="397" ht="18" customHeight="1" s="102">
      <c r="A397" s="137">
        <f>IF($B397="","","CIR-"&amp;TEXT(ROW()-BaslangicSatir,"000000"))</f>
        <v/>
      </c>
      <c r="B397" s="143" t="n"/>
      <c r="C397" s="143" t="n"/>
      <c r="D397" s="143" t="n"/>
      <c r="E397" s="143" t="n"/>
      <c r="F397" s="143" t="n"/>
      <c r="G397" s="143" t="n"/>
      <c r="H397" s="143" t="n"/>
      <c r="I397" s="143" t="n"/>
      <c r="J397" s="143" t="n"/>
    </row>
    <row r="398" ht="18" customHeight="1" s="102">
      <c r="A398" s="137">
        <f>IF($B398="","","CIR-"&amp;TEXT(ROW()-BaslangicSatir,"000000"))</f>
        <v/>
      </c>
      <c r="B398" s="143" t="n"/>
      <c r="C398" s="143" t="n"/>
      <c r="D398" s="143" t="n"/>
      <c r="E398" s="143" t="n"/>
      <c r="F398" s="143" t="n"/>
      <c r="G398" s="143" t="n"/>
      <c r="H398" s="143" t="n"/>
      <c r="I398" s="143" t="n"/>
      <c r="J398" s="143" t="n"/>
    </row>
    <row r="399" ht="18" customHeight="1" s="102">
      <c r="A399" s="137">
        <f>IF($B399="","","CIR-"&amp;TEXT(ROW()-BaslangicSatir,"000000"))</f>
        <v/>
      </c>
      <c r="B399" s="143" t="n"/>
      <c r="C399" s="143" t="n"/>
      <c r="D399" s="143" t="n"/>
      <c r="E399" s="143" t="n"/>
      <c r="F399" s="143" t="n"/>
      <c r="G399" s="143" t="n"/>
      <c r="H399" s="143" t="n"/>
      <c r="I399" s="143" t="n"/>
      <c r="J399" s="143" t="n"/>
    </row>
    <row r="400" ht="18" customHeight="1" s="102">
      <c r="A400" s="137">
        <f>IF($B400="","","CIR-"&amp;TEXT(ROW()-BaslangicSatir,"000000"))</f>
        <v/>
      </c>
      <c r="B400" s="143" t="n"/>
      <c r="C400" s="143" t="n"/>
      <c r="D400" s="143" t="n"/>
      <c r="E400" s="143" t="n"/>
      <c r="F400" s="143" t="n"/>
      <c r="G400" s="143" t="n"/>
      <c r="H400" s="143" t="n"/>
      <c r="I400" s="143" t="n"/>
      <c r="J400" s="143" t="n"/>
    </row>
    <row r="401" ht="18" customHeight="1" s="102">
      <c r="A401" s="137">
        <f>IF($B401="","","CIR-"&amp;TEXT(ROW()-BaslangicSatir,"000000"))</f>
        <v/>
      </c>
      <c r="B401" s="143" t="n"/>
      <c r="C401" s="143" t="n"/>
      <c r="D401" s="143" t="n"/>
      <c r="E401" s="143" t="n"/>
      <c r="F401" s="143" t="n"/>
      <c r="G401" s="143" t="n"/>
      <c r="H401" s="143" t="n"/>
      <c r="I401" s="143" t="n"/>
      <c r="J401" s="143" t="n"/>
    </row>
    <row r="402" ht="18" customHeight="1" s="102">
      <c r="A402" s="137">
        <f>IF($B402="","","CIR-"&amp;TEXT(ROW()-BaslangicSatir,"000000"))</f>
        <v/>
      </c>
      <c r="B402" s="143" t="n"/>
      <c r="C402" s="143" t="n"/>
      <c r="D402" s="143" t="n"/>
      <c r="E402" s="143" t="n"/>
      <c r="F402" s="143" t="n"/>
      <c r="G402" s="143" t="n"/>
      <c r="H402" s="143" t="n"/>
      <c r="I402" s="143" t="n"/>
      <c r="J402" s="143" t="n"/>
    </row>
    <row r="403" ht="18" customHeight="1" s="102">
      <c r="A403" s="137">
        <f>IF($B403="","","CIR-"&amp;TEXT(ROW()-BaslangicSatir,"000000"))</f>
        <v/>
      </c>
      <c r="B403" s="143" t="n"/>
      <c r="C403" s="143" t="n"/>
      <c r="D403" s="143" t="n"/>
      <c r="E403" s="143" t="n"/>
      <c r="F403" s="143" t="n"/>
      <c r="G403" s="143" t="n"/>
      <c r="H403" s="143" t="n"/>
      <c r="I403" s="143" t="n"/>
      <c r="J403" s="143" t="n"/>
    </row>
    <row r="404" ht="18" customHeight="1" s="102">
      <c r="A404" s="137">
        <f>IF($B404="","","CIR-"&amp;TEXT(ROW()-BaslangicSatir,"000000"))</f>
        <v/>
      </c>
      <c r="B404" s="143" t="n"/>
      <c r="C404" s="143" t="n"/>
      <c r="D404" s="143" t="n"/>
      <c r="E404" s="143" t="n"/>
      <c r="F404" s="143" t="n"/>
      <c r="G404" s="143" t="n"/>
      <c r="H404" s="143" t="n"/>
      <c r="I404" s="143" t="n"/>
      <c r="J404" s="143" t="n"/>
    </row>
    <row r="405" ht="18" customHeight="1" s="102">
      <c r="A405" s="137">
        <f>IF($B405="","","CIR-"&amp;TEXT(ROW()-BaslangicSatir,"000000"))</f>
        <v/>
      </c>
      <c r="B405" s="143" t="n"/>
      <c r="C405" s="143" t="n"/>
      <c r="D405" s="143" t="n"/>
      <c r="E405" s="143" t="n"/>
      <c r="F405" s="143" t="n"/>
      <c r="G405" s="143" t="n"/>
      <c r="H405" s="143" t="n"/>
      <c r="I405" s="143" t="n"/>
      <c r="J405" s="143" t="n"/>
    </row>
    <row r="406" ht="18" customHeight="1" s="102">
      <c r="A406" s="137">
        <f>IF($B406="","","CIR-"&amp;TEXT(ROW()-BaslangicSatir,"000000"))</f>
        <v/>
      </c>
      <c r="B406" s="143" t="n"/>
      <c r="C406" s="143" t="n"/>
      <c r="D406" s="143" t="n"/>
      <c r="E406" s="143" t="n"/>
      <c r="F406" s="143" t="n"/>
      <c r="G406" s="143" t="n"/>
      <c r="H406" s="143" t="n"/>
      <c r="I406" s="143" t="n"/>
      <c r="J406" s="143" t="n"/>
    </row>
    <row r="407" ht="18" customHeight="1" s="102">
      <c r="A407" s="137">
        <f>IF($B407="","","CIR-"&amp;TEXT(ROW()-BaslangicSatir,"000000"))</f>
        <v/>
      </c>
      <c r="B407" s="143" t="n"/>
      <c r="C407" s="143" t="n"/>
      <c r="D407" s="143" t="n"/>
      <c r="E407" s="143" t="n"/>
      <c r="F407" s="143" t="n"/>
      <c r="G407" s="143" t="n"/>
      <c r="H407" s="143" t="n"/>
      <c r="I407" s="143" t="n"/>
      <c r="J407" s="143" t="n"/>
    </row>
    <row r="408" ht="18" customHeight="1" s="102">
      <c r="A408" s="137">
        <f>IF($B408="","","CIR-"&amp;TEXT(ROW()-BaslangicSatir,"000000"))</f>
        <v/>
      </c>
      <c r="B408" s="143" t="n"/>
      <c r="C408" s="143" t="n"/>
      <c r="D408" s="143" t="n"/>
      <c r="E408" s="143" t="n"/>
      <c r="F408" s="143" t="n"/>
      <c r="G408" s="143" t="n"/>
      <c r="H408" s="143" t="n"/>
      <c r="I408" s="143" t="n"/>
      <c r="J408" s="143" t="n"/>
    </row>
    <row r="409" ht="18" customHeight="1" s="102">
      <c r="A409" s="137">
        <f>IF($B409="","","CIR-"&amp;TEXT(ROW()-BaslangicSatir,"000000"))</f>
        <v/>
      </c>
      <c r="B409" s="143" t="n"/>
      <c r="C409" s="143" t="n"/>
      <c r="D409" s="143" t="n"/>
      <c r="E409" s="143" t="n"/>
      <c r="F409" s="143" t="n"/>
      <c r="G409" s="143" t="n"/>
      <c r="H409" s="143" t="n"/>
      <c r="I409" s="143" t="n"/>
      <c r="J409" s="143" t="n"/>
    </row>
    <row r="410" ht="18" customHeight="1" s="102">
      <c r="A410" s="137">
        <f>IF($B410="","","CIR-"&amp;TEXT(ROW()-BaslangicSatir,"000000"))</f>
        <v/>
      </c>
      <c r="B410" s="143" t="n"/>
      <c r="C410" s="143" t="n"/>
      <c r="D410" s="143" t="n"/>
      <c r="E410" s="143" t="n"/>
      <c r="F410" s="143" t="n"/>
      <c r="G410" s="143" t="n"/>
      <c r="H410" s="143" t="n"/>
      <c r="I410" s="143" t="n"/>
      <c r="J410" s="143" t="n"/>
    </row>
    <row r="411" ht="18" customHeight="1" s="102">
      <c r="A411" s="137">
        <f>IF($B411="","","CIR-"&amp;TEXT(ROW()-BaslangicSatir,"000000"))</f>
        <v/>
      </c>
      <c r="B411" s="143" t="n"/>
      <c r="C411" s="143" t="n"/>
      <c r="D411" s="143" t="n"/>
      <c r="E411" s="143" t="n"/>
      <c r="F411" s="143" t="n"/>
      <c r="G411" s="143" t="n"/>
      <c r="H411" s="143" t="n"/>
      <c r="I411" s="143" t="n"/>
      <c r="J411" s="143" t="n"/>
    </row>
    <row r="412" ht="18" customHeight="1" s="102">
      <c r="A412" s="137">
        <f>IF($B412="","","CIR-"&amp;TEXT(ROW()-BaslangicSatir,"000000"))</f>
        <v/>
      </c>
      <c r="B412" s="143" t="n"/>
      <c r="C412" s="143" t="n"/>
      <c r="D412" s="143" t="n"/>
      <c r="E412" s="143" t="n"/>
      <c r="F412" s="143" t="n"/>
      <c r="G412" s="143" t="n"/>
      <c r="H412" s="143" t="n"/>
      <c r="I412" s="143" t="n"/>
      <c r="J412" s="143" t="n"/>
    </row>
    <row r="413" ht="18" customHeight="1" s="102">
      <c r="A413" s="137">
        <f>IF($B413="","","CIR-"&amp;TEXT(ROW()-BaslangicSatir,"000000"))</f>
        <v/>
      </c>
      <c r="B413" s="143" t="n"/>
      <c r="C413" s="143" t="n"/>
      <c r="D413" s="143" t="n"/>
      <c r="E413" s="143" t="n"/>
      <c r="F413" s="143" t="n"/>
      <c r="G413" s="143" t="n"/>
      <c r="H413" s="143" t="n"/>
      <c r="I413" s="143" t="n"/>
      <c r="J413" s="143" t="n"/>
    </row>
    <row r="414" ht="18" customHeight="1" s="102">
      <c r="A414" s="137">
        <f>IF($B414="","","CIR-"&amp;TEXT(ROW()-BaslangicSatir,"000000"))</f>
        <v/>
      </c>
      <c r="B414" s="143" t="n"/>
      <c r="C414" s="143" t="n"/>
      <c r="D414" s="143" t="n"/>
      <c r="E414" s="143" t="n"/>
      <c r="F414" s="143" t="n"/>
      <c r="G414" s="143" t="n"/>
      <c r="H414" s="143" t="n"/>
      <c r="I414" s="143" t="n"/>
      <c r="J414" s="143" t="n"/>
    </row>
    <row r="415" ht="18" customHeight="1" s="102">
      <c r="A415" s="137">
        <f>IF($B415="","","CIR-"&amp;TEXT(ROW()-BaslangicSatir,"000000"))</f>
        <v/>
      </c>
      <c r="B415" s="143" t="n"/>
      <c r="C415" s="143" t="n"/>
      <c r="D415" s="143" t="n"/>
      <c r="E415" s="143" t="n"/>
      <c r="F415" s="143" t="n"/>
      <c r="G415" s="143" t="n"/>
      <c r="H415" s="143" t="n"/>
      <c r="I415" s="143" t="n"/>
      <c r="J415" s="143" t="n"/>
    </row>
    <row r="416" ht="18" customHeight="1" s="102">
      <c r="A416" s="137">
        <f>IF($B416="","","CIR-"&amp;TEXT(ROW()-BaslangicSatir,"000000"))</f>
        <v/>
      </c>
      <c r="B416" s="143" t="n"/>
      <c r="C416" s="143" t="n"/>
      <c r="D416" s="143" t="n"/>
      <c r="E416" s="143" t="n"/>
      <c r="F416" s="143" t="n"/>
      <c r="G416" s="143" t="n"/>
      <c r="H416" s="143" t="n"/>
      <c r="I416" s="143" t="n"/>
      <c r="J416" s="143" t="n"/>
    </row>
    <row r="417" ht="18" customHeight="1" s="102">
      <c r="A417" s="137">
        <f>IF($B417="","","CIR-"&amp;TEXT(ROW()-BaslangicSatir,"000000"))</f>
        <v/>
      </c>
      <c r="B417" s="143" t="n"/>
      <c r="C417" s="143" t="n"/>
      <c r="D417" s="143" t="n"/>
      <c r="E417" s="143" t="n"/>
      <c r="F417" s="143" t="n"/>
      <c r="G417" s="143" t="n"/>
      <c r="H417" s="143" t="n"/>
      <c r="I417" s="143" t="n"/>
      <c r="J417" s="143" t="n"/>
    </row>
    <row r="418" ht="18" customHeight="1" s="102">
      <c r="A418" s="137">
        <f>IF($B418="","","CIR-"&amp;TEXT(ROW()-BaslangicSatir,"000000"))</f>
        <v/>
      </c>
      <c r="B418" s="143" t="n"/>
      <c r="C418" s="143" t="n"/>
      <c r="D418" s="143" t="n"/>
      <c r="E418" s="143" t="n"/>
      <c r="F418" s="143" t="n"/>
      <c r="G418" s="143" t="n"/>
      <c r="H418" s="143" t="n"/>
      <c r="I418" s="143" t="n"/>
      <c r="J418" s="143" t="n"/>
    </row>
    <row r="419" ht="18" customHeight="1" s="102">
      <c r="A419" s="137">
        <f>IF($B419="","","CIR-"&amp;TEXT(ROW()-BaslangicSatir,"000000"))</f>
        <v/>
      </c>
      <c r="B419" s="143" t="n"/>
      <c r="C419" s="143" t="n"/>
      <c r="D419" s="143" t="n"/>
      <c r="E419" s="143" t="n"/>
      <c r="F419" s="143" t="n"/>
      <c r="G419" s="143" t="n"/>
      <c r="H419" s="143" t="n"/>
      <c r="I419" s="143" t="n"/>
      <c r="J419" s="143" t="n"/>
    </row>
    <row r="420" ht="18" customHeight="1" s="102">
      <c r="A420" s="137">
        <f>IF($B420="","","CIR-"&amp;TEXT(ROW()-BaslangicSatir,"000000"))</f>
        <v/>
      </c>
      <c r="B420" s="143" t="n"/>
      <c r="C420" s="143" t="n"/>
      <c r="D420" s="143" t="n"/>
      <c r="E420" s="143" t="n"/>
      <c r="F420" s="143" t="n"/>
      <c r="G420" s="143" t="n"/>
      <c r="H420" s="143" t="n"/>
      <c r="I420" s="143" t="n"/>
      <c r="J420" s="143" t="n"/>
    </row>
    <row r="421" ht="18" customHeight="1" s="102">
      <c r="A421" s="137">
        <f>IF($B421="","","CIR-"&amp;TEXT(ROW()-BaslangicSatir,"000000"))</f>
        <v/>
      </c>
      <c r="B421" s="143" t="n"/>
      <c r="C421" s="143" t="n"/>
      <c r="D421" s="143" t="n"/>
      <c r="E421" s="143" t="n"/>
      <c r="F421" s="143" t="n"/>
      <c r="G421" s="143" t="n"/>
      <c r="H421" s="143" t="n"/>
      <c r="I421" s="143" t="n"/>
      <c r="J421" s="143" t="n"/>
    </row>
    <row r="422" ht="18" customHeight="1" s="102">
      <c r="A422" s="137">
        <f>IF($B422="","","CIR-"&amp;TEXT(ROW()-BaslangicSatir,"000000"))</f>
        <v/>
      </c>
      <c r="B422" s="143" t="n"/>
      <c r="C422" s="143" t="n"/>
      <c r="D422" s="143" t="n"/>
      <c r="E422" s="143" t="n"/>
      <c r="F422" s="143" t="n"/>
      <c r="G422" s="143" t="n"/>
      <c r="H422" s="143" t="n"/>
      <c r="I422" s="143" t="n"/>
      <c r="J422" s="143" t="n"/>
    </row>
    <row r="423" ht="18" customHeight="1" s="102">
      <c r="A423" s="137">
        <f>IF($B423="","","CIR-"&amp;TEXT(ROW()-BaslangicSatir,"000000"))</f>
        <v/>
      </c>
      <c r="B423" s="143" t="n"/>
      <c r="C423" s="143" t="n"/>
      <c r="D423" s="143" t="n"/>
      <c r="E423" s="143" t="n"/>
      <c r="F423" s="143" t="n"/>
      <c r="G423" s="143" t="n"/>
      <c r="H423" s="143" t="n"/>
      <c r="I423" s="143" t="n"/>
      <c r="J423" s="143" t="n"/>
    </row>
    <row r="424" ht="18" customHeight="1" s="102">
      <c r="A424" s="137">
        <f>IF($B424="","","CIR-"&amp;TEXT(ROW()-BaslangicSatir,"000000"))</f>
        <v/>
      </c>
      <c r="B424" s="143" t="n"/>
      <c r="C424" s="143" t="n"/>
      <c r="D424" s="143" t="n"/>
      <c r="E424" s="143" t="n"/>
      <c r="F424" s="143" t="n"/>
      <c r="G424" s="143" t="n"/>
      <c r="H424" s="143" t="n"/>
      <c r="I424" s="143" t="n"/>
      <c r="J424" s="143" t="n"/>
    </row>
    <row r="425" ht="18" customHeight="1" s="102">
      <c r="A425" s="137">
        <f>IF($B425="","","CIR-"&amp;TEXT(ROW()-BaslangicSatir,"000000"))</f>
        <v/>
      </c>
      <c r="B425" s="143" t="n"/>
      <c r="C425" s="143" t="n"/>
      <c r="D425" s="143" t="n"/>
      <c r="E425" s="143" t="n"/>
      <c r="F425" s="143" t="n"/>
      <c r="G425" s="143" t="n"/>
      <c r="H425" s="143" t="n"/>
      <c r="I425" s="143" t="n"/>
      <c r="J425" s="143" t="n"/>
    </row>
    <row r="426" ht="18" customHeight="1" s="102">
      <c r="A426" s="137">
        <f>IF($B426="","","CIR-"&amp;TEXT(ROW()-BaslangicSatir,"000000"))</f>
        <v/>
      </c>
      <c r="B426" s="143" t="n"/>
      <c r="C426" s="143" t="n"/>
      <c r="D426" s="143" t="n"/>
      <c r="E426" s="143" t="n"/>
      <c r="F426" s="143" t="n"/>
      <c r="G426" s="143" t="n"/>
      <c r="H426" s="143" t="n"/>
      <c r="I426" s="143" t="n"/>
      <c r="J426" s="143" t="n"/>
    </row>
    <row r="427" ht="18" customHeight="1" s="102">
      <c r="A427" s="137">
        <f>IF($B427="","","CIR-"&amp;TEXT(ROW()-BaslangicSatir,"000000"))</f>
        <v/>
      </c>
      <c r="B427" s="143" t="n"/>
      <c r="C427" s="143" t="n"/>
      <c r="D427" s="143" t="n"/>
      <c r="E427" s="143" t="n"/>
      <c r="F427" s="143" t="n"/>
      <c r="G427" s="143" t="n"/>
      <c r="H427" s="143" t="n"/>
      <c r="I427" s="143" t="n"/>
      <c r="J427" s="143" t="n"/>
    </row>
    <row r="428" ht="18" customHeight="1" s="102">
      <c r="A428" s="137">
        <f>IF($B428="","","CIR-"&amp;TEXT(ROW()-BaslangicSatir,"000000"))</f>
        <v/>
      </c>
      <c r="B428" s="143" t="n"/>
      <c r="C428" s="143" t="n"/>
      <c r="D428" s="143" t="n"/>
      <c r="E428" s="143" t="n"/>
      <c r="F428" s="143" t="n"/>
      <c r="G428" s="143" t="n"/>
      <c r="H428" s="143" t="n"/>
      <c r="I428" s="143" t="n"/>
      <c r="J428" s="143" t="n"/>
    </row>
    <row r="429" ht="18" customHeight="1" s="102">
      <c r="A429" s="137">
        <f>IF($B429="","","CIR-"&amp;TEXT(ROW()-BaslangicSatir,"000000"))</f>
        <v/>
      </c>
      <c r="B429" s="143" t="n"/>
      <c r="C429" s="143" t="n"/>
      <c r="D429" s="143" t="n"/>
      <c r="E429" s="143" t="n"/>
      <c r="F429" s="143" t="n"/>
      <c r="G429" s="143" t="n"/>
      <c r="H429" s="143" t="n"/>
      <c r="I429" s="143" t="n"/>
      <c r="J429" s="143" t="n"/>
    </row>
    <row r="430" ht="18" customHeight="1" s="102">
      <c r="A430" s="137">
        <f>IF($B430="","","CIR-"&amp;TEXT(ROW()-BaslangicSatir,"000000"))</f>
        <v/>
      </c>
      <c r="B430" s="143" t="n"/>
      <c r="C430" s="143" t="n"/>
      <c r="D430" s="143" t="n"/>
      <c r="E430" s="143" t="n"/>
      <c r="F430" s="143" t="n"/>
      <c r="G430" s="143" t="n"/>
      <c r="H430" s="143" t="n"/>
      <c r="I430" s="143" t="n"/>
      <c r="J430" s="143" t="n"/>
    </row>
    <row r="431" ht="18" customHeight="1" s="102">
      <c r="A431" s="137">
        <f>IF($B431="","","CIR-"&amp;TEXT(ROW()-BaslangicSatir,"000000"))</f>
        <v/>
      </c>
      <c r="B431" s="143" t="n"/>
      <c r="C431" s="143" t="n"/>
      <c r="D431" s="143" t="n"/>
      <c r="E431" s="143" t="n"/>
      <c r="F431" s="143" t="n"/>
      <c r="G431" s="143" t="n"/>
      <c r="H431" s="143" t="n"/>
      <c r="I431" s="143" t="n"/>
      <c r="J431" s="143" t="n"/>
    </row>
    <row r="432" ht="18" customHeight="1" s="102">
      <c r="A432" s="137">
        <f>IF($B432="","","CIR-"&amp;TEXT(ROW()-BaslangicSatir,"000000"))</f>
        <v/>
      </c>
      <c r="B432" s="143" t="n"/>
      <c r="C432" s="143" t="n"/>
      <c r="D432" s="143" t="n"/>
      <c r="E432" s="143" t="n"/>
      <c r="F432" s="143" t="n"/>
      <c r="G432" s="143" t="n"/>
      <c r="H432" s="143" t="n"/>
      <c r="I432" s="143" t="n"/>
      <c r="J432" s="143" t="n"/>
    </row>
    <row r="433" ht="18" customHeight="1" s="102">
      <c r="A433" s="137">
        <f>IF($B433="","","CIR-"&amp;TEXT(ROW()-BaslangicSatir,"000000"))</f>
        <v/>
      </c>
      <c r="B433" s="143" t="n"/>
      <c r="C433" s="143" t="n"/>
      <c r="D433" s="143" t="n"/>
      <c r="E433" s="143" t="n"/>
      <c r="F433" s="143" t="n"/>
      <c r="G433" s="143" t="n"/>
      <c r="H433" s="143" t="n"/>
      <c r="I433" s="143" t="n"/>
      <c r="J433" s="143" t="n"/>
    </row>
    <row r="434" ht="18" customHeight="1" s="102">
      <c r="A434" s="137">
        <f>IF($B434="","","CIR-"&amp;TEXT(ROW()-BaslangicSatir,"000000"))</f>
        <v/>
      </c>
      <c r="B434" s="143" t="n"/>
      <c r="C434" s="143" t="n"/>
      <c r="D434" s="143" t="n"/>
      <c r="E434" s="143" t="n"/>
      <c r="F434" s="143" t="n"/>
      <c r="G434" s="143" t="n"/>
      <c r="H434" s="143" t="n"/>
      <c r="I434" s="143" t="n"/>
      <c r="J434" s="143" t="n"/>
    </row>
    <row r="435" ht="18" customHeight="1" s="102">
      <c r="A435" s="137">
        <f>IF($B435="","","CIR-"&amp;TEXT(ROW()-BaslangicSatir,"000000"))</f>
        <v/>
      </c>
      <c r="B435" s="143" t="n"/>
      <c r="C435" s="143" t="n"/>
      <c r="D435" s="143" t="n"/>
      <c r="E435" s="143" t="n"/>
      <c r="F435" s="143" t="n"/>
      <c r="G435" s="143" t="n"/>
      <c r="H435" s="143" t="n"/>
      <c r="I435" s="143" t="n"/>
      <c r="J435" s="143" t="n"/>
    </row>
    <row r="436" ht="18" customHeight="1" s="102">
      <c r="A436" s="137">
        <f>IF($B436="","","CIR-"&amp;TEXT(ROW()-BaslangicSatir,"000000"))</f>
        <v/>
      </c>
      <c r="B436" s="143" t="n"/>
      <c r="C436" s="143" t="n"/>
      <c r="D436" s="143" t="n"/>
      <c r="E436" s="143" t="n"/>
      <c r="F436" s="143" t="n"/>
      <c r="G436" s="143" t="n"/>
      <c r="H436" s="143" t="n"/>
      <c r="I436" s="143" t="n"/>
      <c r="J436" s="143" t="n"/>
    </row>
    <row r="437" ht="18" customHeight="1" s="102">
      <c r="A437" s="137">
        <f>IF($B437="","","CIR-"&amp;TEXT(ROW()-BaslangicSatir,"000000"))</f>
        <v/>
      </c>
      <c r="B437" s="143" t="n"/>
      <c r="C437" s="143" t="n"/>
      <c r="D437" s="143" t="n"/>
      <c r="E437" s="143" t="n"/>
      <c r="F437" s="143" t="n"/>
      <c r="G437" s="143" t="n"/>
      <c r="H437" s="143" t="n"/>
      <c r="I437" s="143" t="n"/>
      <c r="J437" s="143" t="n"/>
    </row>
    <row r="438" ht="18" customHeight="1" s="102">
      <c r="A438" s="137">
        <f>IF($B438="","","CIR-"&amp;TEXT(ROW()-BaslangicSatir,"000000"))</f>
        <v/>
      </c>
      <c r="B438" s="143" t="n"/>
      <c r="C438" s="143" t="n"/>
      <c r="D438" s="143" t="n"/>
      <c r="E438" s="143" t="n"/>
      <c r="F438" s="143" t="n"/>
      <c r="G438" s="143" t="n"/>
      <c r="H438" s="143" t="n"/>
      <c r="I438" s="143" t="n"/>
      <c r="J438" s="143" t="n"/>
    </row>
    <row r="439" ht="18" customHeight="1" s="102">
      <c r="A439" s="137">
        <f>IF($B439="","","CIR-"&amp;TEXT(ROW()-BaslangicSatir,"000000"))</f>
        <v/>
      </c>
      <c r="B439" s="143" t="n"/>
      <c r="C439" s="143" t="n"/>
      <c r="D439" s="143" t="n"/>
      <c r="E439" s="143" t="n"/>
      <c r="F439" s="143" t="n"/>
      <c r="G439" s="143" t="n"/>
      <c r="H439" s="143" t="n"/>
      <c r="I439" s="143" t="n"/>
      <c r="J439" s="143" t="n"/>
    </row>
    <row r="440" ht="18" customHeight="1" s="102">
      <c r="A440" s="137">
        <f>IF($B440="","","CIR-"&amp;TEXT(ROW()-BaslangicSatir,"000000"))</f>
        <v/>
      </c>
      <c r="B440" s="143" t="n"/>
      <c r="C440" s="143" t="n"/>
      <c r="D440" s="143" t="n"/>
      <c r="E440" s="143" t="n"/>
      <c r="F440" s="143" t="n"/>
      <c r="G440" s="143" t="n"/>
      <c r="H440" s="143" t="n"/>
      <c r="I440" s="143" t="n"/>
      <c r="J440" s="143" t="n"/>
    </row>
    <row r="441" ht="18" customHeight="1" s="102">
      <c r="A441" s="137">
        <f>IF($B441="","","CIR-"&amp;TEXT(ROW()-BaslangicSatir,"000000"))</f>
        <v/>
      </c>
      <c r="B441" s="143" t="n"/>
      <c r="C441" s="143" t="n"/>
      <c r="D441" s="143" t="n"/>
      <c r="E441" s="143" t="n"/>
      <c r="F441" s="143" t="n"/>
      <c r="G441" s="143" t="n"/>
      <c r="H441" s="143" t="n"/>
      <c r="I441" s="143" t="n"/>
      <c r="J441" s="143" t="n"/>
    </row>
    <row r="442" ht="18" customHeight="1" s="102">
      <c r="A442" s="137">
        <f>IF($B442="","","CIR-"&amp;TEXT(ROW()-BaslangicSatir,"000000"))</f>
        <v/>
      </c>
      <c r="B442" s="143" t="n"/>
      <c r="C442" s="143" t="n"/>
      <c r="D442" s="143" t="n"/>
      <c r="E442" s="143" t="n"/>
      <c r="F442" s="143" t="n"/>
      <c r="G442" s="143" t="n"/>
      <c r="H442" s="143" t="n"/>
      <c r="I442" s="143" t="n"/>
      <c r="J442" s="143" t="n"/>
    </row>
    <row r="443" ht="18" customHeight="1" s="102">
      <c r="A443" s="137">
        <f>IF($B443="","","CIR-"&amp;TEXT(ROW()-BaslangicSatir,"000000"))</f>
        <v/>
      </c>
      <c r="B443" s="143" t="n"/>
      <c r="C443" s="143" t="n"/>
      <c r="D443" s="143" t="n"/>
      <c r="E443" s="143" t="n"/>
      <c r="F443" s="143" t="n"/>
      <c r="G443" s="143" t="n"/>
      <c r="H443" s="143" t="n"/>
      <c r="I443" s="143" t="n"/>
      <c r="J443" s="143" t="n"/>
    </row>
    <row r="444" ht="18" customHeight="1" s="102">
      <c r="A444" s="137">
        <f>IF($B444="","","CIR-"&amp;TEXT(ROW()-BaslangicSatir,"000000"))</f>
        <v/>
      </c>
      <c r="B444" s="143" t="n"/>
      <c r="C444" s="143" t="n"/>
      <c r="D444" s="143" t="n"/>
      <c r="E444" s="143" t="n"/>
      <c r="F444" s="143" t="n"/>
      <c r="G444" s="143" t="n"/>
      <c r="H444" s="143" t="n"/>
      <c r="I444" s="143" t="n"/>
      <c r="J444" s="143" t="n"/>
    </row>
    <row r="445" ht="18" customHeight="1" s="102">
      <c r="A445" s="137">
        <f>IF($B445="","","CIR-"&amp;TEXT(ROW()-BaslangicSatir,"000000"))</f>
        <v/>
      </c>
      <c r="B445" s="143" t="n"/>
      <c r="C445" s="143" t="n"/>
      <c r="D445" s="143" t="n"/>
      <c r="E445" s="143" t="n"/>
      <c r="F445" s="143" t="n"/>
      <c r="G445" s="143" t="n"/>
      <c r="H445" s="143" t="n"/>
      <c r="I445" s="143" t="n"/>
      <c r="J445" s="143" t="n"/>
    </row>
    <row r="446" ht="18" customHeight="1" s="102">
      <c r="A446" s="137">
        <f>IF($B446="","","CIR-"&amp;TEXT(ROW()-BaslangicSatir,"000000"))</f>
        <v/>
      </c>
      <c r="B446" s="143" t="n"/>
      <c r="C446" s="143" t="n"/>
      <c r="D446" s="143" t="n"/>
      <c r="E446" s="143" t="n"/>
      <c r="F446" s="143" t="n"/>
      <c r="G446" s="143" t="n"/>
      <c r="H446" s="143" t="n"/>
      <c r="I446" s="143" t="n"/>
      <c r="J446" s="143" t="n"/>
    </row>
    <row r="447" ht="18" customHeight="1" s="102">
      <c r="A447" s="137">
        <f>IF($B447="","","CIR-"&amp;TEXT(ROW()-BaslangicSatir,"000000"))</f>
        <v/>
      </c>
      <c r="B447" s="143" t="n"/>
      <c r="C447" s="143" t="n"/>
      <c r="D447" s="143" t="n"/>
      <c r="E447" s="143" t="n"/>
      <c r="F447" s="143" t="n"/>
      <c r="G447" s="143" t="n"/>
      <c r="H447" s="143" t="n"/>
      <c r="I447" s="143" t="n"/>
      <c r="J447" s="143" t="n"/>
    </row>
    <row r="448" ht="18" customHeight="1" s="102">
      <c r="A448" s="137">
        <f>IF($B448="","","CIR-"&amp;TEXT(ROW()-BaslangicSatir,"000000"))</f>
        <v/>
      </c>
      <c r="B448" s="143" t="n"/>
      <c r="C448" s="143" t="n"/>
      <c r="D448" s="143" t="n"/>
      <c r="E448" s="143" t="n"/>
      <c r="F448" s="143" t="n"/>
      <c r="G448" s="143" t="n"/>
      <c r="H448" s="143" t="n"/>
      <c r="I448" s="143" t="n"/>
      <c r="J448" s="143" t="n"/>
    </row>
    <row r="449" ht="18" customHeight="1" s="102">
      <c r="A449" s="137">
        <f>IF($B449="","","CIR-"&amp;TEXT(ROW()-BaslangicSatir,"000000"))</f>
        <v/>
      </c>
      <c r="B449" s="143" t="n"/>
      <c r="C449" s="143" t="n"/>
      <c r="D449" s="143" t="n"/>
      <c r="E449" s="143" t="n"/>
      <c r="F449" s="143" t="n"/>
      <c r="G449" s="143" t="n"/>
      <c r="H449" s="143" t="n"/>
      <c r="I449" s="143" t="n"/>
      <c r="J449" s="143" t="n"/>
    </row>
    <row r="450" ht="18" customHeight="1" s="102">
      <c r="A450" s="137">
        <f>IF($B450="","","CIR-"&amp;TEXT(ROW()-BaslangicSatir,"000000"))</f>
        <v/>
      </c>
      <c r="B450" s="143" t="n"/>
      <c r="C450" s="143" t="n"/>
      <c r="D450" s="143" t="n"/>
      <c r="E450" s="143" t="n"/>
      <c r="F450" s="143" t="n"/>
      <c r="G450" s="143" t="n"/>
      <c r="H450" s="143" t="n"/>
      <c r="I450" s="143" t="n"/>
      <c r="J450" s="143" t="n"/>
    </row>
    <row r="451" ht="18" customHeight="1" s="102">
      <c r="A451" s="137">
        <f>IF($B451="","","CIR-"&amp;TEXT(ROW()-BaslangicSatir,"000000"))</f>
        <v/>
      </c>
      <c r="B451" s="143" t="n"/>
      <c r="C451" s="143" t="n"/>
      <c r="D451" s="143" t="n"/>
      <c r="E451" s="143" t="n"/>
      <c r="F451" s="143" t="n"/>
      <c r="G451" s="143" t="n"/>
      <c r="H451" s="143" t="n"/>
      <c r="I451" s="143" t="n"/>
      <c r="J451" s="143" t="n"/>
    </row>
    <row r="452" ht="18" customHeight="1" s="102">
      <c r="A452" s="137">
        <f>IF($B452="","","CIR-"&amp;TEXT(ROW()-BaslangicSatir,"000000"))</f>
        <v/>
      </c>
      <c r="B452" s="143" t="n"/>
      <c r="C452" s="143" t="n"/>
      <c r="D452" s="143" t="n"/>
      <c r="E452" s="143" t="n"/>
      <c r="F452" s="143" t="n"/>
      <c r="G452" s="143" t="n"/>
      <c r="H452" s="143" t="n"/>
      <c r="I452" s="143" t="n"/>
      <c r="J452" s="143" t="n"/>
    </row>
    <row r="453" ht="18" customHeight="1" s="102">
      <c r="A453" s="137">
        <f>IF($B453="","","CIR-"&amp;TEXT(ROW()-BaslangicSatir,"000000"))</f>
        <v/>
      </c>
      <c r="B453" s="143" t="n"/>
      <c r="C453" s="143" t="n"/>
      <c r="D453" s="143" t="n"/>
      <c r="E453" s="143" t="n"/>
      <c r="F453" s="143" t="n"/>
      <c r="G453" s="143" t="n"/>
      <c r="H453" s="143" t="n"/>
      <c r="I453" s="143" t="n"/>
      <c r="J453" s="143" t="n"/>
    </row>
    <row r="454" ht="18" customHeight="1" s="102">
      <c r="A454" s="137">
        <f>IF($B454="","","CIR-"&amp;TEXT(ROW()-BaslangicSatir,"000000"))</f>
        <v/>
      </c>
      <c r="B454" s="143" t="n"/>
      <c r="C454" s="143" t="n"/>
      <c r="D454" s="143" t="n"/>
      <c r="E454" s="143" t="n"/>
      <c r="F454" s="143" t="n"/>
      <c r="G454" s="143" t="n"/>
      <c r="H454" s="143" t="n"/>
      <c r="I454" s="143" t="n"/>
      <c r="J454" s="143" t="n"/>
    </row>
    <row r="455" ht="18" customHeight="1" s="102">
      <c r="A455" s="137">
        <f>IF($B455="","","CIR-"&amp;TEXT(ROW()-BaslangicSatir,"000000"))</f>
        <v/>
      </c>
      <c r="B455" s="143" t="n"/>
      <c r="C455" s="143" t="n"/>
      <c r="D455" s="143" t="n"/>
      <c r="E455" s="143" t="n"/>
      <c r="F455" s="143" t="n"/>
      <c r="G455" s="143" t="n"/>
      <c r="H455" s="143" t="n"/>
      <c r="I455" s="143" t="n"/>
      <c r="J455" s="143" t="n"/>
    </row>
    <row r="456" ht="18" customHeight="1" s="102">
      <c r="A456" s="137">
        <f>IF($B456="","","CIR-"&amp;TEXT(ROW()-BaslangicSatir,"000000"))</f>
        <v/>
      </c>
      <c r="B456" s="143" t="n"/>
      <c r="C456" s="143" t="n"/>
      <c r="D456" s="143" t="n"/>
      <c r="E456" s="143" t="n"/>
      <c r="F456" s="143" t="n"/>
      <c r="G456" s="143" t="n"/>
      <c r="H456" s="143" t="n"/>
      <c r="I456" s="143" t="n"/>
      <c r="J456" s="143" t="n"/>
    </row>
    <row r="457" ht="18" customHeight="1" s="102">
      <c r="A457" s="137">
        <f>IF($B457="","","CIR-"&amp;TEXT(ROW()-BaslangicSatir,"000000"))</f>
        <v/>
      </c>
      <c r="B457" s="143" t="n"/>
      <c r="C457" s="143" t="n"/>
      <c r="D457" s="143" t="n"/>
      <c r="E457" s="143" t="n"/>
      <c r="F457" s="143" t="n"/>
      <c r="G457" s="143" t="n"/>
      <c r="H457" s="143" t="n"/>
      <c r="I457" s="143" t="n"/>
      <c r="J457" s="143" t="n"/>
    </row>
    <row r="458" ht="18" customHeight="1" s="102">
      <c r="A458" s="137">
        <f>IF($B458="","","CIR-"&amp;TEXT(ROW()-BaslangicSatir,"000000"))</f>
        <v/>
      </c>
      <c r="B458" s="143" t="n"/>
      <c r="C458" s="143" t="n"/>
      <c r="D458" s="143" t="n"/>
      <c r="E458" s="143" t="n"/>
      <c r="F458" s="143" t="n"/>
      <c r="G458" s="143" t="n"/>
      <c r="H458" s="143" t="n"/>
      <c r="I458" s="143" t="n"/>
      <c r="J458" s="143" t="n"/>
    </row>
    <row r="459" ht="18" customHeight="1" s="102">
      <c r="A459" s="137">
        <f>IF($B459="","","CIR-"&amp;TEXT(ROW()-BaslangicSatir,"000000"))</f>
        <v/>
      </c>
      <c r="B459" s="143" t="n"/>
      <c r="C459" s="143" t="n"/>
      <c r="D459" s="143" t="n"/>
      <c r="E459" s="143" t="n"/>
      <c r="F459" s="143" t="n"/>
      <c r="G459" s="143" t="n"/>
      <c r="H459" s="143" t="n"/>
      <c r="I459" s="143" t="n"/>
      <c r="J459" s="143" t="n"/>
    </row>
    <row r="460" ht="18" customHeight="1" s="102">
      <c r="A460" s="137">
        <f>IF($B460="","","CIR-"&amp;TEXT(ROW()-BaslangicSatir,"000000"))</f>
        <v/>
      </c>
      <c r="B460" s="143" t="n"/>
      <c r="C460" s="143" t="n"/>
      <c r="D460" s="143" t="n"/>
      <c r="E460" s="143" t="n"/>
      <c r="F460" s="143" t="n"/>
      <c r="G460" s="143" t="n"/>
      <c r="H460" s="143" t="n"/>
      <c r="I460" s="143" t="n"/>
      <c r="J460" s="143" t="n"/>
    </row>
    <row r="461" ht="18" customHeight="1" s="102">
      <c r="A461" s="137">
        <f>IF($B461="","","CIR-"&amp;TEXT(ROW()-BaslangicSatir,"000000"))</f>
        <v/>
      </c>
      <c r="B461" s="143" t="n"/>
      <c r="C461" s="143" t="n"/>
      <c r="D461" s="143" t="n"/>
      <c r="E461" s="143" t="n"/>
      <c r="F461" s="143" t="n"/>
      <c r="G461" s="143" t="n"/>
      <c r="H461" s="143" t="n"/>
      <c r="I461" s="143" t="n"/>
      <c r="J461" s="143" t="n"/>
    </row>
    <row r="462" ht="18" customHeight="1" s="102">
      <c r="A462" s="137">
        <f>IF($B462="","","CIR-"&amp;TEXT(ROW()-BaslangicSatir,"000000"))</f>
        <v/>
      </c>
      <c r="B462" s="143" t="n"/>
      <c r="C462" s="143" t="n"/>
      <c r="D462" s="143" t="n"/>
      <c r="E462" s="143" t="n"/>
      <c r="F462" s="143" t="n"/>
      <c r="G462" s="143" t="n"/>
      <c r="H462" s="143" t="n"/>
      <c r="I462" s="143" t="n"/>
      <c r="J462" s="143" t="n"/>
    </row>
    <row r="463" ht="18" customHeight="1" s="102">
      <c r="A463" s="137">
        <f>IF($B463="","","CIR-"&amp;TEXT(ROW()-BaslangicSatir,"000000"))</f>
        <v/>
      </c>
      <c r="B463" s="143" t="n"/>
      <c r="C463" s="143" t="n"/>
      <c r="D463" s="143" t="n"/>
      <c r="E463" s="143" t="n"/>
      <c r="F463" s="143" t="n"/>
      <c r="G463" s="143" t="n"/>
      <c r="H463" s="143" t="n"/>
      <c r="I463" s="143" t="n"/>
      <c r="J463" s="143" t="n"/>
    </row>
    <row r="464" ht="18" customHeight="1" s="102">
      <c r="A464" s="137">
        <f>IF($B464="","","CIR-"&amp;TEXT(ROW()-BaslangicSatir,"000000"))</f>
        <v/>
      </c>
      <c r="B464" s="143" t="n"/>
      <c r="C464" s="143" t="n"/>
      <c r="D464" s="143" t="n"/>
      <c r="E464" s="143" t="n"/>
      <c r="F464" s="143" t="n"/>
      <c r="G464" s="143" t="n"/>
      <c r="H464" s="143" t="n"/>
      <c r="I464" s="143" t="n"/>
      <c r="J464" s="143" t="n"/>
    </row>
    <row r="465" ht="18" customHeight="1" s="102">
      <c r="A465" s="137">
        <f>IF($B465="","","CIR-"&amp;TEXT(ROW()-BaslangicSatir,"000000"))</f>
        <v/>
      </c>
      <c r="B465" s="143" t="n"/>
      <c r="C465" s="143" t="n"/>
      <c r="D465" s="143" t="n"/>
      <c r="E465" s="143" t="n"/>
      <c r="F465" s="143" t="n"/>
      <c r="G465" s="143" t="n"/>
      <c r="H465" s="143" t="n"/>
      <c r="I465" s="143" t="n"/>
      <c r="J465" s="143" t="n"/>
    </row>
    <row r="466" ht="18" customHeight="1" s="102">
      <c r="A466" s="137">
        <f>IF($B466="","","CIR-"&amp;TEXT(ROW()-BaslangicSatir,"000000"))</f>
        <v/>
      </c>
      <c r="B466" s="143" t="n"/>
      <c r="C466" s="143" t="n"/>
      <c r="D466" s="143" t="n"/>
      <c r="E466" s="143" t="n"/>
      <c r="F466" s="143" t="n"/>
      <c r="G466" s="143" t="n"/>
      <c r="H466" s="143" t="n"/>
      <c r="I466" s="143" t="n"/>
      <c r="J466" s="143" t="n"/>
    </row>
    <row r="467" ht="18" customHeight="1" s="102">
      <c r="A467" s="137">
        <f>IF($B467="","","CIR-"&amp;TEXT(ROW()-BaslangicSatir,"000000"))</f>
        <v/>
      </c>
      <c r="B467" s="143" t="n"/>
      <c r="C467" s="143" t="n"/>
      <c r="D467" s="143" t="n"/>
      <c r="E467" s="143" t="n"/>
      <c r="F467" s="143" t="n"/>
      <c r="G467" s="143" t="n"/>
      <c r="H467" s="143" t="n"/>
      <c r="I467" s="143" t="n"/>
      <c r="J467" s="143" t="n"/>
    </row>
    <row r="468" ht="18" customHeight="1" s="102">
      <c r="A468" s="137">
        <f>IF($B468="","","CIR-"&amp;TEXT(ROW()-BaslangicSatir,"000000"))</f>
        <v/>
      </c>
      <c r="B468" s="143" t="n"/>
      <c r="C468" s="143" t="n"/>
      <c r="D468" s="143" t="n"/>
      <c r="E468" s="143" t="n"/>
      <c r="F468" s="143" t="n"/>
      <c r="G468" s="143" t="n"/>
      <c r="H468" s="143" t="n"/>
      <c r="I468" s="143" t="n"/>
      <c r="J468" s="143" t="n"/>
    </row>
    <row r="469" ht="18" customHeight="1" s="102">
      <c r="A469" s="137">
        <f>IF($B469="","","CIR-"&amp;TEXT(ROW()-BaslangicSatir,"000000"))</f>
        <v/>
      </c>
      <c r="B469" s="143" t="n"/>
      <c r="C469" s="143" t="n"/>
      <c r="D469" s="143" t="n"/>
      <c r="E469" s="143" t="n"/>
      <c r="F469" s="143" t="n"/>
      <c r="G469" s="143" t="n"/>
      <c r="H469" s="143" t="n"/>
      <c r="I469" s="143" t="n"/>
      <c r="J469" s="143" t="n"/>
    </row>
    <row r="470" ht="18" customHeight="1" s="102">
      <c r="A470" s="137">
        <f>IF($B470="","","CIR-"&amp;TEXT(ROW()-BaslangicSatir,"000000"))</f>
        <v/>
      </c>
      <c r="B470" s="143" t="n"/>
      <c r="C470" s="143" t="n"/>
      <c r="D470" s="143" t="n"/>
      <c r="E470" s="143" t="n"/>
      <c r="F470" s="143" t="n"/>
      <c r="G470" s="143" t="n"/>
      <c r="H470" s="143" t="n"/>
      <c r="I470" s="143" t="n"/>
      <c r="J470" s="143" t="n"/>
    </row>
    <row r="471" ht="18" customHeight="1" s="102">
      <c r="A471" s="137">
        <f>IF($B471="","","CIR-"&amp;TEXT(ROW()-BaslangicSatir,"000000"))</f>
        <v/>
      </c>
      <c r="B471" s="143" t="n"/>
      <c r="C471" s="143" t="n"/>
      <c r="D471" s="143" t="n"/>
      <c r="E471" s="143" t="n"/>
      <c r="F471" s="143" t="n"/>
      <c r="G471" s="143" t="n"/>
      <c r="H471" s="143" t="n"/>
      <c r="I471" s="143" t="n"/>
      <c r="J471" s="143" t="n"/>
    </row>
    <row r="472" ht="18" customHeight="1" s="102">
      <c r="A472" s="137">
        <f>IF($B472="","","CIR-"&amp;TEXT(ROW()-BaslangicSatir,"000000"))</f>
        <v/>
      </c>
      <c r="B472" s="143" t="n"/>
      <c r="C472" s="143" t="n"/>
      <c r="D472" s="143" t="n"/>
      <c r="E472" s="143" t="n"/>
      <c r="F472" s="143" t="n"/>
      <c r="G472" s="143" t="n"/>
      <c r="H472" s="143" t="n"/>
      <c r="I472" s="143" t="n"/>
      <c r="J472" s="143" t="n"/>
    </row>
    <row r="473" ht="18" customHeight="1" s="102">
      <c r="A473" s="137">
        <f>IF($B473="","","CIR-"&amp;TEXT(ROW()-BaslangicSatir,"000000"))</f>
        <v/>
      </c>
      <c r="B473" s="143" t="n"/>
      <c r="C473" s="143" t="n"/>
      <c r="D473" s="143" t="n"/>
      <c r="E473" s="143" t="n"/>
      <c r="F473" s="143" t="n"/>
      <c r="G473" s="143" t="n"/>
      <c r="H473" s="143" t="n"/>
      <c r="I473" s="143" t="n"/>
      <c r="J473" s="143" t="n"/>
    </row>
    <row r="474" ht="18" customHeight="1" s="102">
      <c r="A474" s="137">
        <f>IF($B474="","","CIR-"&amp;TEXT(ROW()-BaslangicSatir,"000000"))</f>
        <v/>
      </c>
      <c r="B474" s="143" t="n"/>
      <c r="C474" s="143" t="n"/>
      <c r="D474" s="143" t="n"/>
      <c r="E474" s="143" t="n"/>
      <c r="F474" s="143" t="n"/>
      <c r="G474" s="143" t="n"/>
      <c r="H474" s="143" t="n"/>
      <c r="I474" s="143" t="n"/>
      <c r="J474" s="143" t="n"/>
    </row>
    <row r="475" ht="18" customHeight="1" s="102">
      <c r="A475" s="137">
        <f>IF($B475="","","CIR-"&amp;TEXT(ROW()-BaslangicSatir,"000000"))</f>
        <v/>
      </c>
      <c r="B475" s="143" t="n"/>
      <c r="C475" s="143" t="n"/>
      <c r="D475" s="143" t="n"/>
      <c r="E475" s="143" t="n"/>
      <c r="F475" s="143" t="n"/>
      <c r="G475" s="143" t="n"/>
      <c r="H475" s="143" t="n"/>
      <c r="I475" s="143" t="n"/>
      <c r="J475" s="143" t="n"/>
    </row>
    <row r="476" ht="18" customHeight="1" s="102">
      <c r="A476" s="137">
        <f>IF($B476="","","CIR-"&amp;TEXT(ROW()-BaslangicSatir,"000000"))</f>
        <v/>
      </c>
      <c r="B476" s="143" t="n"/>
      <c r="C476" s="143" t="n"/>
      <c r="D476" s="143" t="n"/>
      <c r="E476" s="143" t="n"/>
      <c r="F476" s="143" t="n"/>
      <c r="G476" s="143" t="n"/>
      <c r="H476" s="143" t="n"/>
      <c r="I476" s="143" t="n"/>
      <c r="J476" s="143" t="n"/>
    </row>
    <row r="477" ht="18" customHeight="1" s="102">
      <c r="A477" s="137">
        <f>IF($B477="","","CIR-"&amp;TEXT(ROW()-BaslangicSatir,"000000"))</f>
        <v/>
      </c>
      <c r="B477" s="143" t="n"/>
      <c r="C477" s="143" t="n"/>
      <c r="D477" s="143" t="n"/>
      <c r="E477" s="143" t="n"/>
      <c r="F477" s="143" t="n"/>
      <c r="G477" s="143" t="n"/>
      <c r="H477" s="143" t="n"/>
      <c r="I477" s="143" t="n"/>
      <c r="J477" s="143" t="n"/>
    </row>
    <row r="478" ht="18" customHeight="1" s="102">
      <c r="A478" s="137">
        <f>IF($B478="","","CIR-"&amp;TEXT(ROW()-BaslangicSatir,"000000"))</f>
        <v/>
      </c>
      <c r="B478" s="143" t="n"/>
      <c r="C478" s="143" t="n"/>
      <c r="D478" s="143" t="n"/>
      <c r="E478" s="143" t="n"/>
      <c r="F478" s="143" t="n"/>
      <c r="G478" s="143" t="n"/>
      <c r="H478" s="143" t="n"/>
      <c r="I478" s="143" t="n"/>
      <c r="J478" s="143" t="n"/>
    </row>
    <row r="479" ht="18" customHeight="1" s="102">
      <c r="A479" s="137">
        <f>IF($B479="","","CIR-"&amp;TEXT(ROW()-BaslangicSatir,"000000"))</f>
        <v/>
      </c>
      <c r="B479" s="143" t="n"/>
      <c r="C479" s="143" t="n"/>
      <c r="D479" s="143" t="n"/>
      <c r="E479" s="143" t="n"/>
      <c r="F479" s="143" t="n"/>
      <c r="G479" s="143" t="n"/>
      <c r="H479" s="143" t="n"/>
      <c r="I479" s="143" t="n"/>
      <c r="J479" s="143" t="n"/>
    </row>
    <row r="480" ht="18" customHeight="1" s="102">
      <c r="A480" s="137">
        <f>IF($B480="","","CIR-"&amp;TEXT(ROW()-BaslangicSatir,"000000"))</f>
        <v/>
      </c>
      <c r="B480" s="143" t="n"/>
      <c r="C480" s="143" t="n"/>
      <c r="D480" s="143" t="n"/>
      <c r="E480" s="143" t="n"/>
      <c r="F480" s="143" t="n"/>
      <c r="G480" s="143" t="n"/>
      <c r="H480" s="143" t="n"/>
      <c r="I480" s="143" t="n"/>
      <c r="J480" s="143" t="n"/>
    </row>
    <row r="481" ht="18" customHeight="1" s="102">
      <c r="A481" s="137">
        <f>IF($B481="","","CIR-"&amp;TEXT(ROW()-BaslangicSatir,"000000"))</f>
        <v/>
      </c>
      <c r="B481" s="143" t="n"/>
      <c r="C481" s="143" t="n"/>
      <c r="D481" s="143" t="n"/>
      <c r="E481" s="143" t="n"/>
      <c r="F481" s="143" t="n"/>
      <c r="G481" s="143" t="n"/>
      <c r="H481" s="143" t="n"/>
      <c r="I481" s="143" t="n"/>
      <c r="J481" s="143" t="n"/>
    </row>
    <row r="482" ht="18" customHeight="1" s="102">
      <c r="A482" s="137">
        <f>IF($B482="","","CIR-"&amp;TEXT(ROW()-BaslangicSatir,"000000"))</f>
        <v/>
      </c>
      <c r="B482" s="143" t="n"/>
      <c r="C482" s="143" t="n"/>
      <c r="D482" s="143" t="n"/>
      <c r="E482" s="143" t="n"/>
      <c r="F482" s="143" t="n"/>
      <c r="G482" s="143" t="n"/>
      <c r="H482" s="143" t="n"/>
      <c r="I482" s="143" t="n"/>
      <c r="J482" s="143" t="n"/>
    </row>
    <row r="483" ht="18" customHeight="1" s="102">
      <c r="A483" s="137">
        <f>IF($B483="","","CIR-"&amp;TEXT(ROW()-BaslangicSatir,"000000"))</f>
        <v/>
      </c>
      <c r="B483" s="143" t="n"/>
      <c r="C483" s="143" t="n"/>
      <c r="D483" s="143" t="n"/>
      <c r="E483" s="143" t="n"/>
      <c r="F483" s="143" t="n"/>
      <c r="G483" s="143" t="n"/>
      <c r="H483" s="143" t="n"/>
      <c r="I483" s="143" t="n"/>
      <c r="J483" s="143" t="n"/>
    </row>
    <row r="484" ht="18" customHeight="1" s="102">
      <c r="A484" s="137">
        <f>IF($B484="","","CIR-"&amp;TEXT(ROW()-BaslangicSatir,"000000"))</f>
        <v/>
      </c>
      <c r="B484" s="143" t="n"/>
      <c r="C484" s="143" t="n"/>
      <c r="D484" s="143" t="n"/>
      <c r="E484" s="143" t="n"/>
      <c r="F484" s="143" t="n"/>
      <c r="G484" s="143" t="n"/>
      <c r="H484" s="143" t="n"/>
      <c r="I484" s="143" t="n"/>
      <c r="J484" s="143" t="n"/>
    </row>
    <row r="485" ht="18" customHeight="1" s="102">
      <c r="A485" s="137">
        <f>IF($B485="","","CIR-"&amp;TEXT(ROW()-BaslangicSatir,"000000"))</f>
        <v/>
      </c>
      <c r="B485" s="143" t="n"/>
      <c r="C485" s="143" t="n"/>
      <c r="D485" s="143" t="n"/>
      <c r="E485" s="143" t="n"/>
      <c r="F485" s="143" t="n"/>
      <c r="G485" s="143" t="n"/>
      <c r="H485" s="143" t="n"/>
      <c r="I485" s="143" t="n"/>
      <c r="J485" s="143" t="n"/>
    </row>
    <row r="486" ht="18" customHeight="1" s="102">
      <c r="A486" s="137">
        <f>IF($B486="","","CIR-"&amp;TEXT(ROW()-BaslangicSatir,"000000"))</f>
        <v/>
      </c>
      <c r="B486" s="143" t="n"/>
      <c r="C486" s="143" t="n"/>
      <c r="D486" s="143" t="n"/>
      <c r="E486" s="143" t="n"/>
      <c r="F486" s="143" t="n"/>
      <c r="G486" s="143" t="n"/>
      <c r="H486" s="143" t="n"/>
      <c r="I486" s="143" t="n"/>
      <c r="J486" s="143" t="n"/>
    </row>
    <row r="487" ht="18" customHeight="1" s="102">
      <c r="A487" s="137">
        <f>IF($B487="","","CIR-"&amp;TEXT(ROW()-BaslangicSatir,"000000"))</f>
        <v/>
      </c>
      <c r="B487" s="143" t="n"/>
      <c r="C487" s="143" t="n"/>
      <c r="D487" s="143" t="n"/>
      <c r="E487" s="143" t="n"/>
      <c r="F487" s="143" t="n"/>
      <c r="G487" s="143" t="n"/>
      <c r="H487" s="143" t="n"/>
      <c r="I487" s="143" t="n"/>
      <c r="J487" s="143" t="n"/>
    </row>
    <row r="488" ht="18" customHeight="1" s="102">
      <c r="A488" s="137">
        <f>IF($B488="","","CIR-"&amp;TEXT(ROW()-BaslangicSatir,"000000"))</f>
        <v/>
      </c>
      <c r="B488" s="143" t="n"/>
      <c r="C488" s="143" t="n"/>
      <c r="D488" s="143" t="n"/>
      <c r="E488" s="143" t="n"/>
      <c r="F488" s="143" t="n"/>
      <c r="G488" s="143" t="n"/>
      <c r="H488" s="143" t="n"/>
      <c r="I488" s="143" t="n"/>
      <c r="J488" s="143" t="n"/>
    </row>
    <row r="489" ht="18" customHeight="1" s="102">
      <c r="A489" s="137">
        <f>IF($B489="","","CIR-"&amp;TEXT(ROW()-BaslangicSatir,"000000"))</f>
        <v/>
      </c>
      <c r="B489" s="143" t="n"/>
      <c r="C489" s="143" t="n"/>
      <c r="D489" s="143" t="n"/>
      <c r="E489" s="143" t="n"/>
      <c r="F489" s="143" t="n"/>
      <c r="G489" s="143" t="n"/>
      <c r="H489" s="143" t="n"/>
      <c r="I489" s="143" t="n"/>
      <c r="J489" s="143" t="n"/>
    </row>
    <row r="490" ht="18" customHeight="1" s="102">
      <c r="A490" s="137">
        <f>IF($B490="","","CIR-"&amp;TEXT(ROW()-BaslangicSatir,"000000"))</f>
        <v/>
      </c>
      <c r="B490" s="143" t="n"/>
      <c r="C490" s="143" t="n"/>
      <c r="D490" s="143" t="n"/>
      <c r="E490" s="143" t="n"/>
      <c r="F490" s="143" t="n"/>
      <c r="G490" s="143" t="n"/>
      <c r="H490" s="143" t="n"/>
      <c r="I490" s="143" t="n"/>
      <c r="J490" s="143" t="n"/>
    </row>
    <row r="491" ht="18" customHeight="1" s="102">
      <c r="A491" s="137">
        <f>IF($B491="","","CIR-"&amp;TEXT(ROW()-BaslangicSatir,"000000"))</f>
        <v/>
      </c>
      <c r="B491" s="143" t="n"/>
      <c r="C491" s="143" t="n"/>
      <c r="D491" s="143" t="n"/>
      <c r="E491" s="143" t="n"/>
      <c r="F491" s="143" t="n"/>
      <c r="G491" s="143" t="n"/>
      <c r="H491" s="143" t="n"/>
      <c r="I491" s="143" t="n"/>
      <c r="J491" s="143" t="n"/>
    </row>
    <row r="492" ht="18" customHeight="1" s="102">
      <c r="A492" s="137">
        <f>IF($B492="","","CIR-"&amp;TEXT(ROW()-BaslangicSatir,"000000"))</f>
        <v/>
      </c>
      <c r="B492" s="143" t="n"/>
      <c r="C492" s="143" t="n"/>
      <c r="D492" s="143" t="n"/>
      <c r="E492" s="143" t="n"/>
      <c r="F492" s="143" t="n"/>
      <c r="G492" s="143" t="n"/>
      <c r="H492" s="143" t="n"/>
      <c r="I492" s="143" t="n"/>
      <c r="J492" s="143" t="n"/>
    </row>
    <row r="493" ht="18" customHeight="1" s="102">
      <c r="A493" s="137">
        <f>IF($B493="","","CIR-"&amp;TEXT(ROW()-BaslangicSatir,"000000"))</f>
        <v/>
      </c>
      <c r="B493" s="143" t="n"/>
      <c r="C493" s="143" t="n"/>
      <c r="D493" s="143" t="n"/>
      <c r="E493" s="143" t="n"/>
      <c r="F493" s="143" t="n"/>
      <c r="G493" s="143" t="n"/>
      <c r="H493" s="143" t="n"/>
      <c r="I493" s="143" t="n"/>
      <c r="J493" s="143" t="n"/>
    </row>
    <row r="494" ht="18" customHeight="1" s="102">
      <c r="A494" s="137">
        <f>IF($B494="","","CIR-"&amp;TEXT(ROW()-BaslangicSatir,"000000"))</f>
        <v/>
      </c>
      <c r="B494" s="143" t="n"/>
      <c r="C494" s="143" t="n"/>
      <c r="D494" s="143" t="n"/>
      <c r="E494" s="143" t="n"/>
      <c r="F494" s="143" t="n"/>
      <c r="G494" s="143" t="n"/>
      <c r="H494" s="143" t="n"/>
      <c r="I494" s="143" t="n"/>
      <c r="J494" s="143" t="n"/>
    </row>
    <row r="495" ht="18" customHeight="1" s="102">
      <c r="A495" s="137">
        <f>IF($B495="","","CIR-"&amp;TEXT(ROW()-BaslangicSatir,"000000"))</f>
        <v/>
      </c>
      <c r="B495" s="143" t="n"/>
      <c r="C495" s="143" t="n"/>
      <c r="D495" s="143" t="n"/>
      <c r="E495" s="143" t="n"/>
      <c r="F495" s="143" t="n"/>
      <c r="G495" s="143" t="n"/>
      <c r="H495" s="143" t="n"/>
      <c r="I495" s="143" t="n"/>
      <c r="J495" s="143" t="n"/>
    </row>
    <row r="496" ht="18" customHeight="1" s="102">
      <c r="A496" s="137">
        <f>IF($B496="","","CIR-"&amp;TEXT(ROW()-BaslangicSatir,"000000"))</f>
        <v/>
      </c>
      <c r="B496" s="143" t="n"/>
      <c r="C496" s="143" t="n"/>
      <c r="D496" s="143" t="n"/>
      <c r="E496" s="143" t="n"/>
      <c r="F496" s="143" t="n"/>
      <c r="G496" s="143" t="n"/>
      <c r="H496" s="143" t="n"/>
      <c r="I496" s="143" t="n"/>
      <c r="J496" s="143" t="n"/>
    </row>
    <row r="497" ht="18" customHeight="1" s="102">
      <c r="A497" s="137">
        <f>IF($B497="","","CIR-"&amp;TEXT(ROW()-BaslangicSatir,"000000"))</f>
        <v/>
      </c>
      <c r="B497" s="143" t="n"/>
      <c r="C497" s="143" t="n"/>
      <c r="D497" s="143" t="n"/>
      <c r="E497" s="143" t="n"/>
      <c r="F497" s="143" t="n"/>
      <c r="G497" s="143" t="n"/>
      <c r="H497" s="143" t="n"/>
      <c r="I497" s="143" t="n"/>
      <c r="J497" s="143" t="n"/>
    </row>
    <row r="498" ht="18" customHeight="1" s="102">
      <c r="A498" s="137">
        <f>IF($B498="","","CIR-"&amp;TEXT(ROW()-BaslangicSatir,"000000"))</f>
        <v/>
      </c>
      <c r="B498" s="143" t="n"/>
      <c r="C498" s="143" t="n"/>
      <c r="D498" s="143" t="n"/>
      <c r="E498" s="143" t="n"/>
      <c r="F498" s="143" t="n"/>
      <c r="G498" s="143" t="n"/>
      <c r="H498" s="143" t="n"/>
      <c r="I498" s="143" t="n"/>
      <c r="J498" s="143" t="n"/>
    </row>
    <row r="499" ht="18" customHeight="1" s="102">
      <c r="A499" s="137">
        <f>IF($B499="","","CIR-"&amp;TEXT(ROW()-BaslangicSatir,"000000"))</f>
        <v/>
      </c>
      <c r="B499" s="143" t="n"/>
      <c r="C499" s="143" t="n"/>
      <c r="D499" s="143" t="n"/>
      <c r="E499" s="143" t="n"/>
      <c r="F499" s="143" t="n"/>
      <c r="G499" s="143" t="n"/>
      <c r="H499" s="143" t="n"/>
      <c r="I499" s="143" t="n"/>
      <c r="J499" s="143" t="n"/>
    </row>
    <row r="500" ht="18" customHeight="1" s="102">
      <c r="A500" s="137">
        <f>IF($B500="","","CIR-"&amp;TEXT(ROW()-BaslangicSatir,"000000"))</f>
        <v/>
      </c>
      <c r="B500" s="143" t="n"/>
      <c r="C500" s="143" t="n"/>
      <c r="D500" s="143" t="n"/>
      <c r="E500" s="143" t="n"/>
      <c r="F500" s="143" t="n"/>
      <c r="G500" s="143" t="n"/>
      <c r="H500" s="143" t="n"/>
      <c r="I500" s="143" t="n"/>
      <c r="J500" s="143" t="n"/>
    </row>
    <row r="501" ht="18" customHeight="1" s="102">
      <c r="A501" s="137">
        <f>IF($B501="","","CIR-"&amp;TEXT(ROW()-BaslangicSatir,"000000"))</f>
        <v/>
      </c>
      <c r="B501" s="143" t="n"/>
      <c r="C501" s="143" t="n"/>
      <c r="D501" s="143" t="n"/>
      <c r="E501" s="143" t="n"/>
      <c r="F501" s="143" t="n"/>
      <c r="G501" s="143" t="n"/>
      <c r="H501" s="143" t="n"/>
      <c r="I501" s="143" t="n"/>
      <c r="J501" s="143" t="n"/>
    </row>
    <row r="502" ht="18" customHeight="1" s="102">
      <c r="A502" s="137">
        <f>IF($B502="","","CIR-"&amp;TEXT(ROW()-BaslangicSatir,"000000"))</f>
        <v/>
      </c>
      <c r="B502" s="143" t="n"/>
      <c r="C502" s="143" t="n"/>
      <c r="D502" s="143" t="n"/>
      <c r="E502" s="143" t="n"/>
      <c r="F502" s="143" t="n"/>
      <c r="G502" s="143" t="n"/>
      <c r="H502" s="143" t="n"/>
      <c r="I502" s="143" t="n"/>
      <c r="J502" s="143" t="n"/>
    </row>
    <row r="503" ht="18" customHeight="1" s="102">
      <c r="A503" s="137">
        <f>IF($B503="","","CIR-"&amp;TEXT(ROW()-BaslangicSatir,"000000"))</f>
        <v/>
      </c>
      <c r="B503" s="143" t="n"/>
      <c r="C503" s="143" t="n"/>
      <c r="D503" s="143" t="n"/>
      <c r="E503" s="143" t="n"/>
      <c r="F503" s="143" t="n"/>
      <c r="G503" s="143" t="n"/>
      <c r="H503" s="143" t="n"/>
      <c r="I503" s="143" t="n"/>
      <c r="J503" s="143" t="n"/>
    </row>
    <row r="504" ht="18" customHeight="1" s="102">
      <c r="A504" s="137">
        <f>IF($B504="","","CIR-"&amp;TEXT(ROW()-BaslangicSatir,"000000"))</f>
        <v/>
      </c>
      <c r="B504" s="143" t="n"/>
      <c r="C504" s="143" t="n"/>
      <c r="D504" s="143" t="n"/>
      <c r="E504" s="143" t="n"/>
      <c r="F504" s="143" t="n"/>
      <c r="G504" s="143" t="n"/>
      <c r="H504" s="143" t="n"/>
      <c r="I504" s="143" t="n"/>
      <c r="J504" s="143" t="n"/>
    </row>
    <row r="505" ht="18" customHeight="1" s="102">
      <c r="A505" s="137">
        <f>IF($B505="","","CIR-"&amp;TEXT(ROW()-BaslangicSatir,"000000"))</f>
        <v/>
      </c>
      <c r="B505" s="143" t="n"/>
      <c r="C505" s="143" t="n"/>
      <c r="D505" s="143" t="n"/>
      <c r="E505" s="143" t="n"/>
      <c r="F505" s="143" t="n"/>
      <c r="G505" s="143" t="n"/>
      <c r="H505" s="143" t="n"/>
      <c r="I505" s="143" t="n"/>
      <c r="J505" s="143" t="n"/>
    </row>
    <row r="506" ht="18" customHeight="1" s="102">
      <c r="A506" s="137">
        <f>IF($B506="","","CIR-"&amp;TEXT(ROW()-BaslangicSatir,"000000"))</f>
        <v/>
      </c>
      <c r="B506" s="143" t="n"/>
      <c r="C506" s="143" t="n"/>
      <c r="D506" s="143" t="n"/>
      <c r="E506" s="143" t="n"/>
      <c r="F506" s="143" t="n"/>
      <c r="G506" s="143" t="n"/>
      <c r="H506" s="143" t="n"/>
      <c r="I506" s="143" t="n"/>
      <c r="J506" s="143" t="n"/>
    </row>
    <row r="507" ht="18" customHeight="1" s="102">
      <c r="A507" s="137">
        <f>IF($B507="","","CIR-"&amp;TEXT(ROW()-BaslangicSatir,"000000"))</f>
        <v/>
      </c>
      <c r="B507" s="143" t="n"/>
      <c r="C507" s="143" t="n"/>
      <c r="D507" s="143" t="n"/>
      <c r="E507" s="143" t="n"/>
      <c r="F507" s="143" t="n"/>
      <c r="G507" s="143" t="n"/>
      <c r="H507" s="143" t="n"/>
      <c r="I507" s="143" t="n"/>
      <c r="J507" s="143" t="n"/>
    </row>
    <row r="508" ht="18" customHeight="1" s="102">
      <c r="A508" s="137">
        <f>IF($B508="","","CIR-"&amp;TEXT(ROW()-BaslangicSatir,"000000"))</f>
        <v/>
      </c>
      <c r="B508" s="143" t="n"/>
      <c r="C508" s="143" t="n"/>
      <c r="D508" s="143" t="n"/>
      <c r="E508" s="143" t="n"/>
      <c r="F508" s="143" t="n"/>
      <c r="G508" s="143" t="n"/>
      <c r="H508" s="143" t="n"/>
      <c r="I508" s="143" t="n"/>
      <c r="J508" s="143" t="n"/>
    </row>
    <row r="509" ht="18" customHeight="1" s="102">
      <c r="A509" s="137">
        <f>IF($B509="","","CIR-"&amp;TEXT(ROW()-BaslangicSatir,"000000"))</f>
        <v/>
      </c>
      <c r="B509" s="143" t="n"/>
      <c r="C509" s="143" t="n"/>
      <c r="D509" s="143" t="n"/>
      <c r="E509" s="143" t="n"/>
      <c r="F509" s="143" t="n"/>
      <c r="G509" s="143" t="n"/>
      <c r="H509" s="143" t="n"/>
      <c r="I509" s="143" t="n"/>
      <c r="J509" s="143" t="n"/>
    </row>
    <row r="510" ht="18" customHeight="1" s="102">
      <c r="A510" s="137">
        <f>IF($B510="","","CIR-"&amp;TEXT(ROW()-BaslangicSatir,"000000"))</f>
        <v/>
      </c>
      <c r="B510" s="143" t="n"/>
      <c r="C510" s="143" t="n"/>
      <c r="D510" s="143" t="n"/>
      <c r="E510" s="143" t="n"/>
      <c r="F510" s="143" t="n"/>
      <c r="G510" s="143" t="n"/>
      <c r="H510" s="143" t="n"/>
      <c r="I510" s="143" t="n"/>
      <c r="J510" s="143" t="n"/>
    </row>
    <row r="511" ht="18" customHeight="1" s="102">
      <c r="A511" s="137">
        <f>IF($B511="","","CIR-"&amp;TEXT(ROW()-BaslangicSatir,"000000"))</f>
        <v/>
      </c>
      <c r="B511" s="143" t="n"/>
      <c r="C511" s="143" t="n"/>
      <c r="D511" s="143" t="n"/>
      <c r="E511" s="143" t="n"/>
      <c r="F511" s="143" t="n"/>
      <c r="G511" s="143" t="n"/>
      <c r="H511" s="143" t="n"/>
      <c r="I511" s="143" t="n"/>
      <c r="J511" s="143" t="n"/>
    </row>
    <row r="512" ht="18" customHeight="1" s="102">
      <c r="A512" s="137">
        <f>IF($B512="","","CIR-"&amp;TEXT(ROW()-BaslangicSatir,"000000"))</f>
        <v/>
      </c>
      <c r="B512" s="143" t="n"/>
      <c r="C512" s="143" t="n"/>
      <c r="D512" s="143" t="n"/>
      <c r="E512" s="143" t="n"/>
      <c r="F512" s="143" t="n"/>
      <c r="G512" s="143" t="n"/>
      <c r="H512" s="143" t="n"/>
      <c r="I512" s="143" t="n"/>
      <c r="J512" s="143" t="n"/>
    </row>
    <row r="513" ht="18" customHeight="1" s="102">
      <c r="A513" s="137">
        <f>IF($B513="","","CIR-"&amp;TEXT(ROW()-BaslangicSatir,"000000"))</f>
        <v/>
      </c>
      <c r="B513" s="143" t="n"/>
      <c r="C513" s="143" t="n"/>
      <c r="D513" s="143" t="n"/>
      <c r="E513" s="143" t="n"/>
      <c r="F513" s="143" t="n"/>
      <c r="G513" s="143" t="n"/>
      <c r="H513" s="143" t="n"/>
      <c r="I513" s="143" t="n"/>
      <c r="J513" s="143" t="n"/>
    </row>
    <row r="514" ht="18" customHeight="1" s="102">
      <c r="A514" s="137">
        <f>IF($B514="","","CIR-"&amp;TEXT(ROW()-BaslangicSatir,"000000"))</f>
        <v/>
      </c>
      <c r="B514" s="143" t="n"/>
      <c r="C514" s="143" t="n"/>
      <c r="D514" s="143" t="n"/>
      <c r="E514" s="143" t="n"/>
      <c r="F514" s="143" t="n"/>
      <c r="G514" s="143" t="n"/>
      <c r="H514" s="143" t="n"/>
      <c r="I514" s="143" t="n"/>
      <c r="J514" s="143" t="n"/>
    </row>
    <row r="515" ht="18" customHeight="1" s="102">
      <c r="A515" s="137">
        <f>IF($B515="","","CIR-"&amp;TEXT(ROW()-BaslangicSatir,"000000"))</f>
        <v/>
      </c>
      <c r="B515" s="143" t="n"/>
      <c r="C515" s="143" t="n"/>
      <c r="D515" s="143" t="n"/>
      <c r="E515" s="143" t="n"/>
      <c r="F515" s="143" t="n"/>
      <c r="G515" s="143" t="n"/>
      <c r="H515" s="143" t="n"/>
      <c r="I515" s="143" t="n"/>
      <c r="J515" s="143" t="n"/>
    </row>
    <row r="516" ht="18" customHeight="1" s="102">
      <c r="A516" s="137">
        <f>IF($B516="","","CIR-"&amp;TEXT(ROW()-BaslangicSatir,"000000"))</f>
        <v/>
      </c>
      <c r="B516" s="143" t="n"/>
      <c r="C516" s="143" t="n"/>
      <c r="D516" s="143" t="n"/>
      <c r="E516" s="143" t="n"/>
      <c r="F516" s="143" t="n"/>
      <c r="G516" s="143" t="n"/>
      <c r="H516" s="143" t="n"/>
      <c r="I516" s="143" t="n"/>
      <c r="J516" s="143" t="n"/>
    </row>
    <row r="517" ht="18" customHeight="1" s="102">
      <c r="A517" s="137">
        <f>IF($B517="","","CIR-"&amp;TEXT(ROW()-BaslangicSatir,"000000"))</f>
        <v/>
      </c>
      <c r="B517" s="143" t="n"/>
      <c r="C517" s="143" t="n"/>
      <c r="D517" s="143" t="n"/>
      <c r="E517" s="143" t="n"/>
      <c r="F517" s="143" t="n"/>
      <c r="G517" s="143" t="n"/>
      <c r="H517" s="143" t="n"/>
      <c r="I517" s="143" t="n"/>
      <c r="J517" s="143" t="n"/>
    </row>
    <row r="518" ht="18" customHeight="1" s="102">
      <c r="A518" s="137">
        <f>IF($B518="","","CIR-"&amp;TEXT(ROW()-BaslangicSatir,"000000"))</f>
        <v/>
      </c>
      <c r="B518" s="143" t="n"/>
      <c r="C518" s="143" t="n"/>
      <c r="D518" s="143" t="n"/>
      <c r="E518" s="143" t="n"/>
      <c r="F518" s="143" t="n"/>
      <c r="G518" s="143" t="n"/>
      <c r="H518" s="143" t="n"/>
      <c r="I518" s="143" t="n"/>
      <c r="J518" s="143" t="n"/>
    </row>
    <row r="519" ht="18" customHeight="1" s="102">
      <c r="A519" s="137">
        <f>IF($B519="","","CIR-"&amp;TEXT(ROW()-BaslangicSatir,"000000"))</f>
        <v/>
      </c>
      <c r="B519" s="143" t="n"/>
      <c r="C519" s="143" t="n"/>
      <c r="D519" s="143" t="n"/>
      <c r="E519" s="143" t="n"/>
      <c r="F519" s="143" t="n"/>
      <c r="G519" s="143" t="n"/>
      <c r="H519" s="143" t="n"/>
      <c r="I519" s="143" t="n"/>
      <c r="J519" s="143" t="n"/>
    </row>
    <row r="520" ht="18" customHeight="1" s="102">
      <c r="A520" s="137">
        <f>IF($B520="","","CIR-"&amp;TEXT(ROW()-BaslangicSatir,"000000"))</f>
        <v/>
      </c>
      <c r="B520" s="143" t="n"/>
      <c r="C520" s="143" t="n"/>
      <c r="D520" s="143" t="n"/>
      <c r="E520" s="143" t="n"/>
      <c r="F520" s="143" t="n"/>
      <c r="G520" s="143" t="n"/>
      <c r="H520" s="143" t="n"/>
      <c r="I520" s="143" t="n"/>
      <c r="J520" s="143" t="n"/>
    </row>
    <row r="521" ht="18" customHeight="1" s="102">
      <c r="A521" s="137">
        <f>IF($B521="","","CIR-"&amp;TEXT(ROW()-BaslangicSatir,"000000"))</f>
        <v/>
      </c>
      <c r="B521" s="143" t="n"/>
      <c r="C521" s="143" t="n"/>
      <c r="D521" s="143" t="n"/>
      <c r="E521" s="143" t="n"/>
      <c r="F521" s="143" t="n"/>
      <c r="G521" s="143" t="n"/>
      <c r="H521" s="143" t="n"/>
      <c r="I521" s="143" t="n"/>
      <c r="J521" s="143" t="n"/>
    </row>
    <row r="522" ht="18" customHeight="1" s="102">
      <c r="A522" s="137">
        <f>IF($B522="","","CIR-"&amp;TEXT(ROW()-BaslangicSatir,"000000"))</f>
        <v/>
      </c>
      <c r="B522" s="143" t="n"/>
      <c r="C522" s="143" t="n"/>
      <c r="D522" s="143" t="n"/>
      <c r="E522" s="143" t="n"/>
      <c r="F522" s="143" t="n"/>
      <c r="G522" s="143" t="n"/>
      <c r="H522" s="143" t="n"/>
      <c r="I522" s="143" t="n"/>
      <c r="J522" s="143" t="n"/>
    </row>
    <row r="523" ht="18" customHeight="1" s="102">
      <c r="A523" s="137">
        <f>IF($B523="","","CIR-"&amp;TEXT(ROW()-BaslangicSatir,"000000"))</f>
        <v/>
      </c>
      <c r="B523" s="143" t="n"/>
      <c r="C523" s="143" t="n"/>
      <c r="D523" s="143" t="n"/>
      <c r="E523" s="143" t="n"/>
      <c r="F523" s="143" t="n"/>
      <c r="G523" s="143" t="n"/>
      <c r="H523" s="143" t="n"/>
      <c r="I523" s="143" t="n"/>
      <c r="J523" s="143" t="n"/>
    </row>
    <row r="524" ht="18" customHeight="1" s="102">
      <c r="A524" s="137">
        <f>IF($B524="","","CIR-"&amp;TEXT(ROW()-BaslangicSatir,"000000"))</f>
        <v/>
      </c>
      <c r="B524" s="143" t="n"/>
      <c r="C524" s="143" t="n"/>
      <c r="D524" s="143" t="n"/>
      <c r="E524" s="143" t="n"/>
      <c r="F524" s="143" t="n"/>
      <c r="G524" s="143" t="n"/>
      <c r="H524" s="143" t="n"/>
      <c r="I524" s="143" t="n"/>
      <c r="J524" s="143" t="n"/>
    </row>
    <row r="525" ht="18" customHeight="1" s="102">
      <c r="A525" s="137">
        <f>IF($B525="","","CIR-"&amp;TEXT(ROW()-BaslangicSatir,"000000"))</f>
        <v/>
      </c>
      <c r="B525" s="143" t="n"/>
      <c r="C525" s="143" t="n"/>
      <c r="D525" s="143" t="n"/>
      <c r="E525" s="143" t="n"/>
      <c r="F525" s="143" t="n"/>
      <c r="G525" s="143" t="n"/>
      <c r="H525" s="143" t="n"/>
      <c r="I525" s="143" t="n"/>
      <c r="J525" s="143" t="n"/>
    </row>
    <row r="526" ht="18" customHeight="1" s="102">
      <c r="A526" s="137">
        <f>IF($B526="","","CIR-"&amp;TEXT(ROW()-BaslangicSatir,"000000"))</f>
        <v/>
      </c>
      <c r="B526" s="143" t="n"/>
      <c r="C526" s="143" t="n"/>
      <c r="D526" s="143" t="n"/>
      <c r="E526" s="143" t="n"/>
      <c r="F526" s="143" t="n"/>
      <c r="G526" s="143" t="n"/>
      <c r="H526" s="143" t="n"/>
      <c r="I526" s="143" t="n"/>
      <c r="J526" s="143" t="n"/>
    </row>
    <row r="527" ht="18" customHeight="1" s="102">
      <c r="A527" s="137">
        <f>IF($B527="","","CIR-"&amp;TEXT(ROW()-BaslangicSatir,"000000"))</f>
        <v/>
      </c>
      <c r="B527" s="143" t="n"/>
      <c r="C527" s="143" t="n"/>
      <c r="D527" s="143" t="n"/>
      <c r="E527" s="143" t="n"/>
      <c r="F527" s="143" t="n"/>
      <c r="G527" s="143" t="n"/>
      <c r="H527" s="143" t="n"/>
      <c r="I527" s="143" t="n"/>
      <c r="J527" s="143" t="n"/>
    </row>
    <row r="528" ht="18" customHeight="1" s="102">
      <c r="A528" s="137">
        <f>IF($B528="","","CIR-"&amp;TEXT(ROW()-BaslangicSatir,"000000"))</f>
        <v/>
      </c>
      <c r="B528" s="143" t="n"/>
      <c r="C528" s="143" t="n"/>
      <c r="D528" s="143" t="n"/>
      <c r="E528" s="143" t="n"/>
      <c r="F528" s="143" t="n"/>
      <c r="G528" s="143" t="n"/>
      <c r="H528" s="143" t="n"/>
      <c r="I528" s="143" t="n"/>
      <c r="J528" s="143" t="n"/>
    </row>
    <row r="529" ht="18" customHeight="1" s="102">
      <c r="A529" s="137">
        <f>IF($B529="","","CIR-"&amp;TEXT(ROW()-BaslangicSatir,"000000"))</f>
        <v/>
      </c>
      <c r="B529" s="143" t="n"/>
      <c r="C529" s="143" t="n"/>
      <c r="D529" s="143" t="n"/>
      <c r="E529" s="143" t="n"/>
      <c r="F529" s="143" t="n"/>
      <c r="G529" s="143" t="n"/>
      <c r="H529" s="143" t="n"/>
      <c r="I529" s="143" t="n"/>
      <c r="J529" s="143" t="n"/>
    </row>
    <row r="530" ht="18" customHeight="1" s="102">
      <c r="A530" s="137">
        <f>IF($B530="","","CIR-"&amp;TEXT(ROW()-BaslangicSatir,"000000"))</f>
        <v/>
      </c>
      <c r="B530" s="143" t="n"/>
      <c r="C530" s="143" t="n"/>
      <c r="D530" s="143" t="n"/>
      <c r="E530" s="143" t="n"/>
      <c r="F530" s="143" t="n"/>
      <c r="G530" s="143" t="n"/>
      <c r="H530" s="143" t="n"/>
      <c r="I530" s="143" t="n"/>
      <c r="J530" s="143" t="n"/>
    </row>
    <row r="531" ht="18" customHeight="1" s="102">
      <c r="A531" s="137">
        <f>IF($B531="","","CIR-"&amp;TEXT(ROW()-BaslangicSatir,"000000"))</f>
        <v/>
      </c>
      <c r="B531" s="143" t="n"/>
      <c r="C531" s="143" t="n"/>
      <c r="D531" s="143" t="n"/>
      <c r="E531" s="143" t="n"/>
      <c r="F531" s="143" t="n"/>
      <c r="G531" s="143" t="n"/>
      <c r="H531" s="143" t="n"/>
      <c r="I531" s="143" t="n"/>
      <c r="J531" s="143" t="n"/>
    </row>
    <row r="532" ht="18" customHeight="1" s="102">
      <c r="A532" s="137">
        <f>IF($B532="","","CIR-"&amp;TEXT(ROW()-BaslangicSatir,"000000"))</f>
        <v/>
      </c>
      <c r="B532" s="143" t="n"/>
      <c r="C532" s="143" t="n"/>
      <c r="D532" s="143" t="n"/>
      <c r="E532" s="143" t="n"/>
      <c r="F532" s="143" t="n"/>
      <c r="G532" s="143" t="n"/>
      <c r="H532" s="143" t="n"/>
      <c r="I532" s="143" t="n"/>
      <c r="J532" s="143" t="n"/>
    </row>
    <row r="533" ht="18" customHeight="1" s="102">
      <c r="A533" s="137">
        <f>IF($B533="","","CIR-"&amp;TEXT(ROW()-BaslangicSatir,"000000"))</f>
        <v/>
      </c>
      <c r="B533" s="143" t="n"/>
      <c r="C533" s="143" t="n"/>
      <c r="D533" s="143" t="n"/>
      <c r="E533" s="143" t="n"/>
      <c r="F533" s="143" t="n"/>
      <c r="G533" s="143" t="n"/>
      <c r="H533" s="143" t="n"/>
      <c r="I533" s="143" t="n"/>
      <c r="J533" s="143" t="n"/>
    </row>
    <row r="534" ht="18" customHeight="1" s="102">
      <c r="A534" s="137">
        <f>IF($B534="","","CIR-"&amp;TEXT(ROW()-BaslangicSatir,"000000"))</f>
        <v/>
      </c>
      <c r="B534" s="143" t="n"/>
      <c r="C534" s="143" t="n"/>
      <c r="D534" s="143" t="n"/>
      <c r="E534" s="143" t="n"/>
      <c r="F534" s="143" t="n"/>
      <c r="G534" s="143" t="n"/>
      <c r="H534" s="143" t="n"/>
      <c r="I534" s="143" t="n"/>
      <c r="J534" s="143" t="n"/>
    </row>
    <row r="535" ht="18" customHeight="1" s="102">
      <c r="A535" s="137">
        <f>IF($B535="","","CIR-"&amp;TEXT(ROW()-BaslangicSatir,"000000"))</f>
        <v/>
      </c>
      <c r="B535" s="143" t="n"/>
      <c r="C535" s="143" t="n"/>
      <c r="D535" s="143" t="n"/>
      <c r="E535" s="143" t="n"/>
      <c r="F535" s="143" t="n"/>
      <c r="G535" s="143" t="n"/>
      <c r="H535" s="143" t="n"/>
      <c r="I535" s="143" t="n"/>
      <c r="J535" s="143" t="n"/>
    </row>
    <row r="536" ht="18" customHeight="1" s="102">
      <c r="A536" s="137">
        <f>IF($B536="","","CIR-"&amp;TEXT(ROW()-BaslangicSatir,"000000"))</f>
        <v/>
      </c>
      <c r="B536" s="143" t="n"/>
      <c r="C536" s="143" t="n"/>
      <c r="D536" s="143" t="n"/>
      <c r="E536" s="143" t="n"/>
      <c r="F536" s="143" t="n"/>
      <c r="G536" s="143" t="n"/>
      <c r="H536" s="143" t="n"/>
      <c r="I536" s="143" t="n"/>
      <c r="J536" s="143" t="n"/>
    </row>
    <row r="537" ht="18" customHeight="1" s="102">
      <c r="A537" s="137">
        <f>IF($B537="","","CIR-"&amp;TEXT(ROW()-BaslangicSatir,"000000"))</f>
        <v/>
      </c>
      <c r="B537" s="143" t="n"/>
      <c r="C537" s="143" t="n"/>
      <c r="D537" s="143" t="n"/>
      <c r="E537" s="143" t="n"/>
      <c r="F537" s="143" t="n"/>
      <c r="G537" s="143" t="n"/>
      <c r="H537" s="143" t="n"/>
      <c r="I537" s="143" t="n"/>
      <c r="J537" s="143" t="n"/>
    </row>
    <row r="538" ht="18" customHeight="1" s="102">
      <c r="A538" s="137">
        <f>IF($B538="","","CIR-"&amp;TEXT(ROW()-BaslangicSatir,"000000"))</f>
        <v/>
      </c>
      <c r="B538" s="143" t="n"/>
      <c r="C538" s="143" t="n"/>
      <c r="D538" s="143" t="n"/>
      <c r="E538" s="143" t="n"/>
      <c r="F538" s="143" t="n"/>
      <c r="G538" s="143" t="n"/>
      <c r="H538" s="143" t="n"/>
      <c r="I538" s="143" t="n"/>
      <c r="J538" s="143" t="n"/>
    </row>
    <row r="539" ht="18" customHeight="1" s="102">
      <c r="A539" s="137">
        <f>IF($B539="","","CIR-"&amp;TEXT(ROW()-BaslangicSatir,"000000"))</f>
        <v/>
      </c>
      <c r="B539" s="143" t="n"/>
      <c r="C539" s="143" t="n"/>
      <c r="D539" s="143" t="n"/>
      <c r="E539" s="143" t="n"/>
      <c r="F539" s="143" t="n"/>
      <c r="G539" s="143" t="n"/>
      <c r="H539" s="143" t="n"/>
      <c r="I539" s="143" t="n"/>
      <c r="J539" s="143" t="n"/>
    </row>
    <row r="540" ht="18" customHeight="1" s="102">
      <c r="A540" s="137">
        <f>IF($B540="","","CIR-"&amp;TEXT(ROW()-BaslangicSatir,"000000"))</f>
        <v/>
      </c>
      <c r="B540" s="143" t="n"/>
      <c r="C540" s="143" t="n"/>
      <c r="D540" s="143" t="n"/>
      <c r="E540" s="143" t="n"/>
      <c r="F540" s="143" t="n"/>
      <c r="G540" s="143" t="n"/>
      <c r="H540" s="143" t="n"/>
      <c r="I540" s="143" t="n"/>
      <c r="J540" s="143" t="n"/>
    </row>
    <row r="541" ht="18" customHeight="1" s="102">
      <c r="A541" s="137">
        <f>IF($B541="","","CIR-"&amp;TEXT(ROW()-BaslangicSatir,"000000"))</f>
        <v/>
      </c>
      <c r="B541" s="143" t="n"/>
      <c r="C541" s="143" t="n"/>
      <c r="D541" s="143" t="n"/>
      <c r="E541" s="143" t="n"/>
      <c r="F541" s="143" t="n"/>
      <c r="G541" s="143" t="n"/>
      <c r="H541" s="143" t="n"/>
      <c r="I541" s="143" t="n"/>
      <c r="J541" s="143" t="n"/>
    </row>
    <row r="542" ht="18" customHeight="1" s="102">
      <c r="A542" s="137">
        <f>IF($B542="","","CIR-"&amp;TEXT(ROW()-BaslangicSatir,"000000"))</f>
        <v/>
      </c>
      <c r="B542" s="143" t="n"/>
      <c r="C542" s="143" t="n"/>
      <c r="D542" s="143" t="n"/>
      <c r="E542" s="143" t="n"/>
      <c r="F542" s="143" t="n"/>
      <c r="G542" s="143" t="n"/>
      <c r="H542" s="143" t="n"/>
      <c r="I542" s="143" t="n"/>
      <c r="J542" s="143" t="n"/>
    </row>
    <row r="543" ht="18" customHeight="1" s="102">
      <c r="A543" s="137">
        <f>IF($B543="","","CIR-"&amp;TEXT(ROW()-BaslangicSatir,"000000"))</f>
        <v/>
      </c>
      <c r="B543" s="143" t="n"/>
      <c r="C543" s="143" t="n"/>
      <c r="D543" s="143" t="n"/>
      <c r="E543" s="143" t="n"/>
      <c r="F543" s="143" t="n"/>
      <c r="G543" s="143" t="n"/>
      <c r="H543" s="143" t="n"/>
      <c r="I543" s="143" t="n"/>
      <c r="J543" s="143" t="n"/>
    </row>
    <row r="544" ht="18" customHeight="1" s="102">
      <c r="A544" s="137">
        <f>IF($B544="","","CIR-"&amp;TEXT(ROW()-BaslangicSatir,"000000"))</f>
        <v/>
      </c>
      <c r="B544" s="143" t="n"/>
      <c r="C544" s="143" t="n"/>
      <c r="D544" s="143" t="n"/>
      <c r="E544" s="143" t="n"/>
      <c r="F544" s="143" t="n"/>
      <c r="G544" s="143" t="n"/>
      <c r="H544" s="143" t="n"/>
      <c r="I544" s="143" t="n"/>
      <c r="J544" s="143" t="n"/>
    </row>
    <row r="545" ht="18" customHeight="1" s="102">
      <c r="A545" s="137">
        <f>IF($B545="","","CIR-"&amp;TEXT(ROW()-BaslangicSatir,"000000"))</f>
        <v/>
      </c>
      <c r="B545" s="143" t="n"/>
      <c r="C545" s="143" t="n"/>
      <c r="D545" s="143" t="n"/>
      <c r="E545" s="143" t="n"/>
      <c r="F545" s="143" t="n"/>
      <c r="G545" s="143" t="n"/>
      <c r="H545" s="143" t="n"/>
      <c r="I545" s="143" t="n"/>
      <c r="J545" s="143" t="n"/>
    </row>
    <row r="546" ht="18" customHeight="1" s="102">
      <c r="A546" s="137">
        <f>IF($B546="","","CIR-"&amp;TEXT(ROW()-BaslangicSatir,"000000"))</f>
        <v/>
      </c>
      <c r="B546" s="143" t="n"/>
      <c r="C546" s="143" t="n"/>
      <c r="D546" s="143" t="n"/>
      <c r="E546" s="143" t="n"/>
      <c r="F546" s="143" t="n"/>
      <c r="G546" s="143" t="n"/>
      <c r="H546" s="143" t="n"/>
      <c r="I546" s="143" t="n"/>
      <c r="J546" s="143" t="n"/>
    </row>
    <row r="547" ht="18" customHeight="1" s="102">
      <c r="A547" s="137">
        <f>IF($B547="","","CIR-"&amp;TEXT(ROW()-BaslangicSatir,"000000"))</f>
        <v/>
      </c>
      <c r="B547" s="143" t="n"/>
      <c r="C547" s="143" t="n"/>
      <c r="D547" s="143" t="n"/>
      <c r="E547" s="143" t="n"/>
      <c r="F547" s="143" t="n"/>
      <c r="G547" s="143" t="n"/>
      <c r="H547" s="143" t="n"/>
      <c r="I547" s="143" t="n"/>
      <c r="J547" s="143" t="n"/>
    </row>
    <row r="548" ht="18" customHeight="1" s="102">
      <c r="A548" s="137">
        <f>IF($B548="","","CIR-"&amp;TEXT(ROW()-BaslangicSatir,"000000"))</f>
        <v/>
      </c>
      <c r="B548" s="143" t="n"/>
      <c r="C548" s="143" t="n"/>
      <c r="D548" s="143" t="n"/>
      <c r="E548" s="143" t="n"/>
      <c r="F548" s="143" t="n"/>
      <c r="G548" s="143" t="n"/>
      <c r="H548" s="143" t="n"/>
      <c r="I548" s="143" t="n"/>
      <c r="J548" s="143" t="n"/>
    </row>
    <row r="549" ht="18" customHeight="1" s="102">
      <c r="A549" s="137">
        <f>IF($B549="","","CIR-"&amp;TEXT(ROW()-BaslangicSatir,"000000"))</f>
        <v/>
      </c>
      <c r="B549" s="143" t="n"/>
      <c r="C549" s="143" t="n"/>
      <c r="D549" s="143" t="n"/>
      <c r="E549" s="143" t="n"/>
      <c r="F549" s="143" t="n"/>
      <c r="G549" s="143" t="n"/>
      <c r="H549" s="143" t="n"/>
      <c r="I549" s="143" t="n"/>
      <c r="J549" s="143" t="n"/>
    </row>
    <row r="550" ht="18" customHeight="1" s="102">
      <c r="A550" s="137">
        <f>IF($B550="","","CIR-"&amp;TEXT(ROW()-BaslangicSatir,"000000"))</f>
        <v/>
      </c>
      <c r="B550" s="143" t="n"/>
      <c r="C550" s="143" t="n"/>
      <c r="D550" s="143" t="n"/>
      <c r="E550" s="143" t="n"/>
      <c r="F550" s="143" t="n"/>
      <c r="G550" s="143" t="n"/>
      <c r="H550" s="143" t="n"/>
      <c r="I550" s="143" t="n"/>
      <c r="J550" s="143" t="n"/>
    </row>
    <row r="551" ht="18" customHeight="1" s="102">
      <c r="A551" s="137">
        <f>IF($B551="","","CIR-"&amp;TEXT(ROW()-BaslangicSatir,"000000"))</f>
        <v/>
      </c>
      <c r="B551" s="143" t="n"/>
      <c r="C551" s="143" t="n"/>
      <c r="D551" s="143" t="n"/>
      <c r="E551" s="143" t="n"/>
      <c r="F551" s="143" t="n"/>
      <c r="G551" s="143" t="n"/>
      <c r="H551" s="143" t="n"/>
      <c r="I551" s="143" t="n"/>
      <c r="J551" s="143" t="n"/>
    </row>
    <row r="552" ht="18" customHeight="1" s="102">
      <c r="A552" s="137">
        <f>IF($B552="","","CIR-"&amp;TEXT(ROW()-BaslangicSatir,"000000"))</f>
        <v/>
      </c>
      <c r="B552" s="143" t="n"/>
      <c r="C552" s="143" t="n"/>
      <c r="D552" s="143" t="n"/>
      <c r="E552" s="143" t="n"/>
      <c r="F552" s="143" t="n"/>
      <c r="G552" s="143" t="n"/>
      <c r="H552" s="143" t="n"/>
      <c r="I552" s="143" t="n"/>
      <c r="J552" s="143" t="n"/>
    </row>
    <row r="553" ht="18" customHeight="1" s="102">
      <c r="A553" s="137">
        <f>IF($B553="","","CIR-"&amp;TEXT(ROW()-BaslangicSatir,"000000"))</f>
        <v/>
      </c>
      <c r="B553" s="143" t="n"/>
      <c r="C553" s="143" t="n"/>
      <c r="D553" s="143" t="n"/>
      <c r="E553" s="143" t="n"/>
      <c r="F553" s="143" t="n"/>
      <c r="G553" s="143" t="n"/>
      <c r="H553" s="143" t="n"/>
      <c r="I553" s="143" t="n"/>
      <c r="J553" s="143" t="n"/>
    </row>
    <row r="554" ht="18" customHeight="1" s="102">
      <c r="A554" s="137">
        <f>IF($B554="","","CIR-"&amp;TEXT(ROW()-BaslangicSatir,"000000"))</f>
        <v/>
      </c>
      <c r="B554" s="143" t="n"/>
      <c r="C554" s="143" t="n"/>
      <c r="D554" s="143" t="n"/>
      <c r="E554" s="143" t="n"/>
      <c r="F554" s="143" t="n"/>
      <c r="G554" s="143" t="n"/>
      <c r="H554" s="143" t="n"/>
      <c r="I554" s="143" t="n"/>
      <c r="J554" s="143" t="n"/>
    </row>
    <row r="555" ht="18" customHeight="1" s="102">
      <c r="A555" s="137">
        <f>IF($B555="","","CIR-"&amp;TEXT(ROW()-BaslangicSatir,"000000"))</f>
        <v/>
      </c>
      <c r="B555" s="143" t="n"/>
      <c r="C555" s="143" t="n"/>
      <c r="D555" s="143" t="n"/>
      <c r="E555" s="143" t="n"/>
      <c r="F555" s="143" t="n"/>
      <c r="G555" s="143" t="n"/>
      <c r="H555" s="143" t="n"/>
      <c r="I555" s="143" t="n"/>
      <c r="J555" s="143" t="n"/>
    </row>
    <row r="556" ht="18" customHeight="1" s="102">
      <c r="A556" s="137">
        <f>IF($B556="","","CIR-"&amp;TEXT(ROW()-BaslangicSatir,"000000"))</f>
        <v/>
      </c>
      <c r="B556" s="143" t="n"/>
      <c r="C556" s="143" t="n"/>
      <c r="D556" s="143" t="n"/>
      <c r="E556" s="143" t="n"/>
      <c r="F556" s="143" t="n"/>
      <c r="G556" s="143" t="n"/>
      <c r="H556" s="143" t="n"/>
      <c r="I556" s="143" t="n"/>
      <c r="J556" s="143" t="n"/>
    </row>
    <row r="557" ht="18" customHeight="1" s="102">
      <c r="A557" s="137">
        <f>IF($B557="","","CIR-"&amp;TEXT(ROW()-BaslangicSatir,"000000"))</f>
        <v/>
      </c>
      <c r="B557" s="143" t="n"/>
      <c r="C557" s="143" t="n"/>
      <c r="D557" s="143" t="n"/>
      <c r="E557" s="143" t="n"/>
      <c r="F557" s="143" t="n"/>
      <c r="G557" s="143" t="n"/>
      <c r="H557" s="143" t="n"/>
      <c r="I557" s="143" t="n"/>
      <c r="J557" s="143" t="n"/>
    </row>
    <row r="558" ht="18" customHeight="1" s="102">
      <c r="A558" s="137">
        <f>IF($B558="","","CIR-"&amp;TEXT(ROW()-BaslangicSatir,"000000"))</f>
        <v/>
      </c>
      <c r="B558" s="143" t="n"/>
      <c r="C558" s="143" t="n"/>
      <c r="D558" s="143" t="n"/>
      <c r="E558" s="143" t="n"/>
      <c r="F558" s="143" t="n"/>
      <c r="G558" s="143" t="n"/>
      <c r="H558" s="143" t="n"/>
      <c r="I558" s="143" t="n"/>
      <c r="J558" s="143" t="n"/>
    </row>
    <row r="559" ht="18" customHeight="1" s="102">
      <c r="A559" s="137">
        <f>IF($B559="","","CIR-"&amp;TEXT(ROW()-BaslangicSatir,"000000"))</f>
        <v/>
      </c>
      <c r="B559" s="143" t="n"/>
      <c r="C559" s="143" t="n"/>
      <c r="D559" s="143" t="n"/>
      <c r="E559" s="143" t="n"/>
      <c r="F559" s="143" t="n"/>
      <c r="G559" s="143" t="n"/>
      <c r="H559" s="143" t="n"/>
      <c r="I559" s="143" t="n"/>
      <c r="J559" s="143" t="n"/>
    </row>
    <row r="560" ht="18" customHeight="1" s="102">
      <c r="A560" s="137">
        <f>IF($B560="","","CIR-"&amp;TEXT(ROW()-BaslangicSatir,"000000"))</f>
        <v/>
      </c>
      <c r="B560" s="143" t="n"/>
      <c r="C560" s="143" t="n"/>
      <c r="D560" s="143" t="n"/>
      <c r="E560" s="143" t="n"/>
      <c r="F560" s="143" t="n"/>
      <c r="G560" s="143" t="n"/>
      <c r="H560" s="143" t="n"/>
      <c r="I560" s="143" t="n"/>
      <c r="J560" s="143" t="n"/>
    </row>
    <row r="561" ht="18" customHeight="1" s="102">
      <c r="A561" s="137">
        <f>IF($B561="","","CIR-"&amp;TEXT(ROW()-BaslangicSatir,"000000"))</f>
        <v/>
      </c>
      <c r="B561" s="143" t="n"/>
      <c r="C561" s="143" t="n"/>
      <c r="D561" s="143" t="n"/>
      <c r="E561" s="143" t="n"/>
      <c r="F561" s="143" t="n"/>
      <c r="G561" s="143" t="n"/>
      <c r="H561" s="143" t="n"/>
      <c r="I561" s="143" t="n"/>
      <c r="J561" s="143" t="n"/>
    </row>
    <row r="562" ht="18" customHeight="1" s="102">
      <c r="A562" s="137">
        <f>IF($B562="","","CIR-"&amp;TEXT(ROW()-BaslangicSatir,"000000"))</f>
        <v/>
      </c>
      <c r="B562" s="143" t="n"/>
      <c r="C562" s="143" t="n"/>
      <c r="D562" s="143" t="n"/>
      <c r="E562" s="143" t="n"/>
      <c r="F562" s="143" t="n"/>
      <c r="G562" s="143" t="n"/>
      <c r="H562" s="143" t="n"/>
      <c r="I562" s="143" t="n"/>
      <c r="J562" s="143" t="n"/>
    </row>
    <row r="563" ht="18" customHeight="1" s="102">
      <c r="A563" s="137">
        <f>IF($B563="","","CIR-"&amp;TEXT(ROW()-BaslangicSatir,"000000"))</f>
        <v/>
      </c>
      <c r="B563" s="143" t="n"/>
      <c r="C563" s="143" t="n"/>
      <c r="D563" s="143" t="n"/>
      <c r="E563" s="143" t="n"/>
      <c r="F563" s="143" t="n"/>
      <c r="G563" s="143" t="n"/>
      <c r="H563" s="143" t="n"/>
      <c r="I563" s="143" t="n"/>
      <c r="J563" s="143" t="n"/>
    </row>
    <row r="564" ht="18" customHeight="1" s="102">
      <c r="A564" s="137">
        <f>IF($B564="","","CIR-"&amp;TEXT(ROW()-BaslangicSatir,"000000"))</f>
        <v/>
      </c>
      <c r="B564" s="143" t="n"/>
      <c r="C564" s="143" t="n"/>
      <c r="D564" s="143" t="n"/>
      <c r="E564" s="143" t="n"/>
      <c r="F564" s="143" t="n"/>
      <c r="G564" s="143" t="n"/>
      <c r="H564" s="143" t="n"/>
      <c r="I564" s="143" t="n"/>
      <c r="J564" s="143" t="n"/>
    </row>
    <row r="565" ht="18" customHeight="1" s="102">
      <c r="A565" s="137">
        <f>IF($B565="","","CIR-"&amp;TEXT(ROW()-BaslangicSatir,"000000"))</f>
        <v/>
      </c>
      <c r="B565" s="143" t="n"/>
      <c r="C565" s="143" t="n"/>
      <c r="D565" s="143" t="n"/>
      <c r="E565" s="143" t="n"/>
      <c r="F565" s="143" t="n"/>
      <c r="G565" s="143" t="n"/>
      <c r="H565" s="143" t="n"/>
      <c r="I565" s="143" t="n"/>
      <c r="J565" s="143" t="n"/>
    </row>
    <row r="566" ht="18" customHeight="1" s="102">
      <c r="A566" s="137">
        <f>IF($B566="","","CIR-"&amp;TEXT(ROW()-BaslangicSatir,"000000"))</f>
        <v/>
      </c>
      <c r="B566" s="143" t="n"/>
      <c r="C566" s="143" t="n"/>
      <c r="D566" s="143" t="n"/>
      <c r="E566" s="143" t="n"/>
      <c r="F566" s="143" t="n"/>
      <c r="G566" s="143" t="n"/>
      <c r="H566" s="143" t="n"/>
      <c r="I566" s="143" t="n"/>
      <c r="J566" s="143" t="n"/>
    </row>
    <row r="567" ht="18" customHeight="1" s="102">
      <c r="A567" s="137">
        <f>IF($B567="","","CIR-"&amp;TEXT(ROW()-BaslangicSatir,"000000"))</f>
        <v/>
      </c>
      <c r="B567" s="143" t="n"/>
      <c r="C567" s="143" t="n"/>
      <c r="D567" s="143" t="n"/>
      <c r="E567" s="143" t="n"/>
      <c r="F567" s="143" t="n"/>
      <c r="G567" s="143" t="n"/>
      <c r="H567" s="143" t="n"/>
      <c r="I567" s="143" t="n"/>
      <c r="J567" s="143" t="n"/>
    </row>
    <row r="568" ht="18" customHeight="1" s="102">
      <c r="A568" s="137">
        <f>IF($B568="","","CIR-"&amp;TEXT(ROW()-BaslangicSatir,"000000"))</f>
        <v/>
      </c>
      <c r="B568" s="143" t="n"/>
      <c r="C568" s="143" t="n"/>
      <c r="D568" s="143" t="n"/>
      <c r="E568" s="143" t="n"/>
      <c r="F568" s="143" t="n"/>
      <c r="G568" s="143" t="n"/>
      <c r="H568" s="143" t="n"/>
      <c r="I568" s="143" t="n"/>
      <c r="J568" s="143" t="n"/>
    </row>
    <row r="569" ht="18" customHeight="1" s="102">
      <c r="A569" s="137">
        <f>IF($B569="","","CIR-"&amp;TEXT(ROW()-BaslangicSatir,"000000"))</f>
        <v/>
      </c>
      <c r="B569" s="143" t="n"/>
      <c r="C569" s="143" t="n"/>
      <c r="D569" s="143" t="n"/>
      <c r="E569" s="143" t="n"/>
      <c r="F569" s="143" t="n"/>
      <c r="G569" s="143" t="n"/>
      <c r="H569" s="143" t="n"/>
      <c r="I569" s="143" t="n"/>
      <c r="J569" s="143" t="n"/>
    </row>
    <row r="570" ht="18" customHeight="1" s="102">
      <c r="A570" s="137">
        <f>IF($B570="","","CIR-"&amp;TEXT(ROW()-BaslangicSatir,"000000"))</f>
        <v/>
      </c>
      <c r="B570" s="143" t="n"/>
      <c r="C570" s="143" t="n"/>
      <c r="D570" s="143" t="n"/>
      <c r="E570" s="143" t="n"/>
      <c r="F570" s="143" t="n"/>
      <c r="G570" s="143" t="n"/>
      <c r="H570" s="143" t="n"/>
      <c r="I570" s="143" t="n"/>
      <c r="J570" s="143" t="n"/>
    </row>
    <row r="571" ht="18" customHeight="1" s="102">
      <c r="A571" s="137">
        <f>IF($B571="","","CIR-"&amp;TEXT(ROW()-BaslangicSatir,"000000"))</f>
        <v/>
      </c>
      <c r="B571" s="143" t="n"/>
      <c r="C571" s="143" t="n"/>
      <c r="D571" s="143" t="n"/>
      <c r="E571" s="143" t="n"/>
      <c r="F571" s="143" t="n"/>
      <c r="G571" s="143" t="n"/>
      <c r="H571" s="143" t="n"/>
      <c r="I571" s="143" t="n"/>
      <c r="J571" s="143" t="n"/>
    </row>
    <row r="572" ht="18" customHeight="1" s="102">
      <c r="A572" s="137">
        <f>IF($B572="","","CIR-"&amp;TEXT(ROW()-BaslangicSatir,"000000"))</f>
        <v/>
      </c>
      <c r="B572" s="143" t="n"/>
      <c r="C572" s="143" t="n"/>
      <c r="D572" s="143" t="n"/>
      <c r="E572" s="143" t="n"/>
      <c r="F572" s="143" t="n"/>
      <c r="G572" s="143" t="n"/>
      <c r="H572" s="143" t="n"/>
      <c r="I572" s="143" t="n"/>
      <c r="J572" s="143" t="n"/>
    </row>
    <row r="573" ht="18" customHeight="1" s="102">
      <c r="A573" s="137">
        <f>IF($B573="","","CIR-"&amp;TEXT(ROW()-BaslangicSatir,"000000"))</f>
        <v/>
      </c>
      <c r="B573" s="143" t="n"/>
      <c r="C573" s="143" t="n"/>
      <c r="D573" s="143" t="n"/>
      <c r="E573" s="143" t="n"/>
      <c r="F573" s="143" t="n"/>
      <c r="G573" s="143" t="n"/>
      <c r="H573" s="143" t="n"/>
      <c r="I573" s="143" t="n"/>
      <c r="J573" s="143" t="n"/>
    </row>
    <row r="574" ht="18" customHeight="1" s="102">
      <c r="A574" s="137">
        <f>IF($B574="","","CIR-"&amp;TEXT(ROW()-BaslangicSatir,"000000"))</f>
        <v/>
      </c>
      <c r="B574" s="143" t="n"/>
      <c r="C574" s="143" t="n"/>
      <c r="D574" s="143" t="n"/>
      <c r="E574" s="143" t="n"/>
      <c r="F574" s="143" t="n"/>
      <c r="G574" s="143" t="n"/>
      <c r="H574" s="143" t="n"/>
      <c r="I574" s="143" t="n"/>
      <c r="J574" s="143" t="n"/>
    </row>
    <row r="575" ht="18" customHeight="1" s="102">
      <c r="A575" s="137">
        <f>IF($B575="","","CIR-"&amp;TEXT(ROW()-BaslangicSatir,"000000"))</f>
        <v/>
      </c>
      <c r="B575" s="143" t="n"/>
      <c r="C575" s="143" t="n"/>
      <c r="D575" s="143" t="n"/>
      <c r="E575" s="143" t="n"/>
      <c r="F575" s="143" t="n"/>
      <c r="G575" s="143" t="n"/>
      <c r="H575" s="143" t="n"/>
      <c r="I575" s="143" t="n"/>
      <c r="J575" s="143" t="n"/>
    </row>
    <row r="576" ht="18" customHeight="1" s="102">
      <c r="A576" s="137">
        <f>IF($B576="","","CIR-"&amp;TEXT(ROW()-BaslangicSatir,"000000"))</f>
        <v/>
      </c>
      <c r="B576" s="143" t="n"/>
      <c r="C576" s="143" t="n"/>
      <c r="D576" s="143" t="n"/>
      <c r="E576" s="143" t="n"/>
      <c r="F576" s="143" t="n"/>
      <c r="G576" s="143" t="n"/>
      <c r="H576" s="143" t="n"/>
      <c r="I576" s="143" t="n"/>
      <c r="J576" s="143" t="n"/>
    </row>
    <row r="577" ht="18" customHeight="1" s="102">
      <c r="A577" s="137">
        <f>IF($B577="","","CIR-"&amp;TEXT(ROW()-BaslangicSatir,"000000"))</f>
        <v/>
      </c>
      <c r="B577" s="143" t="n"/>
      <c r="C577" s="143" t="n"/>
      <c r="D577" s="143" t="n"/>
      <c r="E577" s="143" t="n"/>
      <c r="F577" s="143" t="n"/>
      <c r="G577" s="143" t="n"/>
      <c r="H577" s="143" t="n"/>
      <c r="I577" s="143" t="n"/>
      <c r="J577" s="143" t="n"/>
    </row>
    <row r="578" ht="18" customHeight="1" s="102">
      <c r="A578" s="137">
        <f>IF($B578="","","CIR-"&amp;TEXT(ROW()-BaslangicSatir,"000000"))</f>
        <v/>
      </c>
      <c r="B578" s="143" t="n"/>
      <c r="C578" s="143" t="n"/>
      <c r="D578" s="143" t="n"/>
      <c r="E578" s="143" t="n"/>
      <c r="F578" s="143" t="n"/>
      <c r="G578" s="143" t="n"/>
      <c r="H578" s="143" t="n"/>
      <c r="I578" s="143" t="n"/>
      <c r="J578" s="143" t="n"/>
    </row>
    <row r="579" ht="18" customHeight="1" s="102">
      <c r="A579" s="137">
        <f>IF($B579="","","CIR-"&amp;TEXT(ROW()-BaslangicSatir,"000000"))</f>
        <v/>
      </c>
      <c r="B579" s="143" t="n"/>
      <c r="C579" s="143" t="n"/>
      <c r="D579" s="143" t="n"/>
      <c r="E579" s="143" t="n"/>
      <c r="F579" s="143" t="n"/>
      <c r="G579" s="143" t="n"/>
      <c r="H579" s="143" t="n"/>
      <c r="I579" s="143" t="n"/>
      <c r="J579" s="143" t="n"/>
    </row>
    <row r="580" ht="18" customHeight="1" s="102">
      <c r="A580" s="137">
        <f>IF($B580="","","CIR-"&amp;TEXT(ROW()-BaslangicSatir,"000000"))</f>
        <v/>
      </c>
      <c r="B580" s="143" t="n"/>
      <c r="C580" s="143" t="n"/>
      <c r="D580" s="143" t="n"/>
      <c r="E580" s="143" t="n"/>
      <c r="F580" s="143" t="n"/>
      <c r="G580" s="143" t="n"/>
      <c r="H580" s="143" t="n"/>
      <c r="I580" s="143" t="n"/>
      <c r="J580" s="143" t="n"/>
    </row>
    <row r="581" ht="18" customHeight="1" s="102">
      <c r="A581" s="137">
        <f>IF($B581="","","CIR-"&amp;TEXT(ROW()-BaslangicSatir,"000000"))</f>
        <v/>
      </c>
      <c r="B581" s="143" t="n"/>
      <c r="C581" s="143" t="n"/>
      <c r="D581" s="143" t="n"/>
      <c r="E581" s="143" t="n"/>
      <c r="F581" s="143" t="n"/>
      <c r="G581" s="143" t="n"/>
      <c r="H581" s="143" t="n"/>
      <c r="I581" s="143" t="n"/>
      <c r="J581" s="143" t="n"/>
    </row>
    <row r="582" ht="18" customHeight="1" s="102">
      <c r="A582" s="137">
        <f>IF($B582="","","CIR-"&amp;TEXT(ROW()-BaslangicSatir,"000000"))</f>
        <v/>
      </c>
      <c r="B582" s="143" t="n"/>
      <c r="C582" s="143" t="n"/>
      <c r="D582" s="143" t="n"/>
      <c r="E582" s="143" t="n"/>
      <c r="F582" s="143" t="n"/>
      <c r="G582" s="143" t="n"/>
      <c r="H582" s="143" t="n"/>
      <c r="I582" s="143" t="n"/>
      <c r="J582" s="143" t="n"/>
    </row>
    <row r="583" ht="18" customHeight="1" s="102">
      <c r="A583" s="137">
        <f>IF($B583="","","CIR-"&amp;TEXT(ROW()-BaslangicSatir,"000000"))</f>
        <v/>
      </c>
      <c r="B583" s="143" t="n"/>
      <c r="C583" s="143" t="n"/>
      <c r="D583" s="143" t="n"/>
      <c r="E583" s="143" t="n"/>
      <c r="F583" s="143" t="n"/>
      <c r="G583" s="143" t="n"/>
      <c r="H583" s="143" t="n"/>
      <c r="I583" s="143" t="n"/>
      <c r="J583" s="143" t="n"/>
    </row>
    <row r="584" ht="18" customHeight="1" s="102">
      <c r="A584" s="137">
        <f>IF($B584="","","CIR-"&amp;TEXT(ROW()-BaslangicSatir,"000000"))</f>
        <v/>
      </c>
      <c r="B584" s="143" t="n"/>
      <c r="C584" s="143" t="n"/>
      <c r="D584" s="143" t="n"/>
      <c r="E584" s="143" t="n"/>
      <c r="F584" s="143" t="n"/>
      <c r="G584" s="143" t="n"/>
      <c r="H584" s="143" t="n"/>
      <c r="I584" s="143" t="n"/>
      <c r="J584" s="143" t="n"/>
    </row>
    <row r="585" ht="18" customHeight="1" s="102">
      <c r="A585" s="137">
        <f>IF($B585="","","CIR-"&amp;TEXT(ROW()-BaslangicSatir,"000000"))</f>
        <v/>
      </c>
      <c r="B585" s="143" t="n"/>
      <c r="C585" s="143" t="n"/>
      <c r="D585" s="143" t="n"/>
      <c r="E585" s="143" t="n"/>
      <c r="F585" s="143" t="n"/>
      <c r="G585" s="143" t="n"/>
      <c r="H585" s="143" t="n"/>
      <c r="I585" s="143" t="n"/>
      <c r="J585" s="143" t="n"/>
    </row>
    <row r="586" ht="18" customHeight="1" s="102">
      <c r="A586" s="137">
        <f>IF($B586="","","CIR-"&amp;TEXT(ROW()-BaslangicSatir,"000000"))</f>
        <v/>
      </c>
      <c r="B586" s="143" t="n"/>
      <c r="C586" s="143" t="n"/>
      <c r="D586" s="143" t="n"/>
      <c r="E586" s="143" t="n"/>
      <c r="F586" s="143" t="n"/>
      <c r="G586" s="143" t="n"/>
      <c r="H586" s="143" t="n"/>
      <c r="I586" s="143" t="n"/>
      <c r="J586" s="143" t="n"/>
    </row>
    <row r="587" ht="18" customHeight="1" s="102">
      <c r="A587" s="137">
        <f>IF($B587="","","CIR-"&amp;TEXT(ROW()-BaslangicSatir,"000000"))</f>
        <v/>
      </c>
      <c r="B587" s="143" t="n"/>
      <c r="C587" s="143" t="n"/>
      <c r="D587" s="143" t="n"/>
      <c r="E587" s="143" t="n"/>
      <c r="F587" s="143" t="n"/>
      <c r="G587" s="143" t="n"/>
      <c r="H587" s="143" t="n"/>
      <c r="I587" s="143" t="n"/>
      <c r="J587" s="143" t="n"/>
    </row>
    <row r="588" ht="18" customHeight="1" s="102">
      <c r="A588" s="137">
        <f>IF($B588="","","CIR-"&amp;TEXT(ROW()-BaslangicSatir,"000000"))</f>
        <v/>
      </c>
      <c r="B588" s="143" t="n"/>
      <c r="C588" s="143" t="n"/>
      <c r="D588" s="143" t="n"/>
      <c r="E588" s="143" t="n"/>
      <c r="F588" s="143" t="n"/>
      <c r="G588" s="143" t="n"/>
      <c r="H588" s="143" t="n"/>
      <c r="I588" s="143" t="n"/>
      <c r="J588" s="143" t="n"/>
    </row>
    <row r="589" ht="18" customHeight="1" s="102">
      <c r="A589" s="137">
        <f>IF($B589="","","CIR-"&amp;TEXT(ROW()-BaslangicSatir,"000000"))</f>
        <v/>
      </c>
      <c r="B589" s="143" t="n"/>
      <c r="C589" s="143" t="n"/>
      <c r="D589" s="143" t="n"/>
      <c r="E589" s="143" t="n"/>
      <c r="F589" s="143" t="n"/>
      <c r="G589" s="143" t="n"/>
      <c r="H589" s="143" t="n"/>
      <c r="I589" s="143" t="n"/>
      <c r="J589" s="143" t="n"/>
    </row>
    <row r="590" ht="18" customHeight="1" s="102">
      <c r="A590" s="137">
        <f>IF($B590="","","CIR-"&amp;TEXT(ROW()-BaslangicSatir,"000000"))</f>
        <v/>
      </c>
      <c r="B590" s="143" t="n"/>
      <c r="C590" s="143" t="n"/>
      <c r="D590" s="143" t="n"/>
      <c r="E590" s="143" t="n"/>
      <c r="F590" s="143" t="n"/>
      <c r="G590" s="143" t="n"/>
      <c r="H590" s="143" t="n"/>
      <c r="I590" s="143" t="n"/>
      <c r="J590" s="143" t="n"/>
    </row>
    <row r="591" ht="18" customHeight="1" s="102">
      <c r="A591" s="137">
        <f>IF($B591="","","CIR-"&amp;TEXT(ROW()-BaslangicSatir,"000000"))</f>
        <v/>
      </c>
      <c r="B591" s="143" t="n"/>
      <c r="C591" s="143" t="n"/>
      <c r="D591" s="143" t="n"/>
      <c r="E591" s="143" t="n"/>
      <c r="F591" s="143" t="n"/>
      <c r="G591" s="143" t="n"/>
      <c r="H591" s="143" t="n"/>
      <c r="I591" s="143" t="n"/>
      <c r="J591" s="143" t="n"/>
    </row>
    <row r="592" ht="18" customHeight="1" s="102">
      <c r="A592" s="137">
        <f>IF($B592="","","CIR-"&amp;TEXT(ROW()-BaslangicSatir,"000000"))</f>
        <v/>
      </c>
      <c r="B592" s="143" t="n"/>
      <c r="C592" s="143" t="n"/>
      <c r="D592" s="143" t="n"/>
      <c r="E592" s="143" t="n"/>
      <c r="F592" s="143" t="n"/>
      <c r="G592" s="143" t="n"/>
      <c r="H592" s="143" t="n"/>
      <c r="I592" s="143" t="n"/>
      <c r="J592" s="143" t="n"/>
    </row>
    <row r="593" ht="18" customHeight="1" s="102">
      <c r="A593" s="137">
        <f>IF($B593="","","CIR-"&amp;TEXT(ROW()-BaslangicSatir,"000000"))</f>
        <v/>
      </c>
      <c r="B593" s="143" t="n"/>
      <c r="C593" s="143" t="n"/>
      <c r="D593" s="143" t="n"/>
      <c r="E593" s="143" t="n"/>
      <c r="F593" s="143" t="n"/>
      <c r="G593" s="143" t="n"/>
      <c r="H593" s="143" t="n"/>
      <c r="I593" s="143" t="n"/>
      <c r="J593" s="143" t="n"/>
    </row>
    <row r="594" ht="18" customHeight="1" s="102">
      <c r="A594" s="137">
        <f>IF($B594="","","CIR-"&amp;TEXT(ROW()-BaslangicSatir,"000000"))</f>
        <v/>
      </c>
      <c r="B594" s="143" t="n"/>
      <c r="C594" s="143" t="n"/>
      <c r="D594" s="143" t="n"/>
      <c r="E594" s="143" t="n"/>
      <c r="F594" s="143" t="n"/>
      <c r="G594" s="143" t="n"/>
      <c r="H594" s="143" t="n"/>
      <c r="I594" s="143" t="n"/>
      <c r="J594" s="143" t="n"/>
    </row>
    <row r="595" ht="18" customHeight="1" s="102">
      <c r="A595" s="137">
        <f>IF($B595="","","CIR-"&amp;TEXT(ROW()-BaslangicSatir,"000000"))</f>
        <v/>
      </c>
      <c r="B595" s="143" t="n"/>
      <c r="C595" s="143" t="n"/>
      <c r="D595" s="143" t="n"/>
      <c r="E595" s="143" t="n"/>
      <c r="F595" s="143" t="n"/>
      <c r="G595" s="143" t="n"/>
      <c r="H595" s="143" t="n"/>
      <c r="I595" s="143" t="n"/>
      <c r="J595" s="143" t="n"/>
    </row>
    <row r="596" ht="18" customHeight="1" s="102">
      <c r="A596" s="137">
        <f>IF($B596="","","CIR-"&amp;TEXT(ROW()-BaslangicSatir,"000000"))</f>
        <v/>
      </c>
      <c r="B596" s="143" t="n"/>
      <c r="C596" s="143" t="n"/>
      <c r="D596" s="143" t="n"/>
      <c r="E596" s="143" t="n"/>
      <c r="F596" s="143" t="n"/>
      <c r="G596" s="143" t="n"/>
      <c r="H596" s="143" t="n"/>
      <c r="I596" s="143" t="n"/>
      <c r="J596" s="143" t="n"/>
    </row>
    <row r="597" ht="18" customHeight="1" s="102">
      <c r="A597" s="137">
        <f>IF($B597="","","CIR-"&amp;TEXT(ROW()-BaslangicSatir,"000000"))</f>
        <v/>
      </c>
      <c r="B597" s="143" t="n"/>
      <c r="C597" s="143" t="n"/>
      <c r="D597" s="143" t="n"/>
      <c r="E597" s="143" t="n"/>
      <c r="F597" s="143" t="n"/>
      <c r="G597" s="143" t="n"/>
      <c r="H597" s="143" t="n"/>
      <c r="I597" s="143" t="n"/>
      <c r="J597" s="143" t="n"/>
    </row>
    <row r="598" ht="18" customHeight="1" s="102">
      <c r="A598" s="137">
        <f>IF($B598="","","CIR-"&amp;TEXT(ROW()-BaslangicSatir,"000000"))</f>
        <v/>
      </c>
      <c r="B598" s="143" t="n"/>
      <c r="C598" s="143" t="n"/>
      <c r="D598" s="143" t="n"/>
      <c r="E598" s="143" t="n"/>
      <c r="F598" s="143" t="n"/>
      <c r="G598" s="143" t="n"/>
      <c r="H598" s="143" t="n"/>
      <c r="I598" s="143" t="n"/>
      <c r="J598" s="143" t="n"/>
    </row>
    <row r="599" ht="18" customHeight="1" s="102">
      <c r="A599" s="137">
        <f>IF($B599="","","CIR-"&amp;TEXT(ROW()-BaslangicSatir,"000000"))</f>
        <v/>
      </c>
      <c r="B599" s="143" t="n"/>
      <c r="C599" s="143" t="n"/>
      <c r="D599" s="143" t="n"/>
      <c r="E599" s="143" t="n"/>
      <c r="F599" s="143" t="n"/>
      <c r="G599" s="143" t="n"/>
      <c r="H599" s="143" t="n"/>
      <c r="I599" s="143" t="n"/>
      <c r="J599" s="143" t="n"/>
    </row>
    <row r="600" ht="18" customHeight="1" s="102">
      <c r="A600" s="137">
        <f>IF($B600="","","CIR-"&amp;TEXT(ROW()-BaslangicSatir,"000000"))</f>
        <v/>
      </c>
      <c r="B600" s="143" t="n"/>
      <c r="C600" s="143" t="n"/>
      <c r="D600" s="143" t="n"/>
      <c r="E600" s="143" t="n"/>
      <c r="F600" s="143" t="n"/>
      <c r="G600" s="143" t="n"/>
      <c r="H600" s="143" t="n"/>
      <c r="I600" s="143" t="n"/>
      <c r="J600" s="143" t="n"/>
    </row>
    <row r="601" ht="18" customHeight="1" s="102">
      <c r="A601" s="137">
        <f>IF($B601="","","CIR-"&amp;TEXT(ROW()-BaslangicSatir,"000000"))</f>
        <v/>
      </c>
      <c r="B601" s="143" t="n"/>
      <c r="C601" s="143" t="n"/>
      <c r="D601" s="143" t="n"/>
      <c r="E601" s="143" t="n"/>
      <c r="F601" s="143" t="n"/>
      <c r="G601" s="143" t="n"/>
      <c r="H601" s="143" t="n"/>
      <c r="I601" s="143" t="n"/>
      <c r="J601" s="143" t="n"/>
    </row>
    <row r="602" ht="18" customHeight="1" s="102">
      <c r="A602" s="137">
        <f>IF($B602="","","CIR-"&amp;TEXT(ROW()-BaslangicSatir,"000000"))</f>
        <v/>
      </c>
      <c r="B602" s="143" t="n"/>
      <c r="C602" s="143" t="n"/>
      <c r="D602" s="143" t="n"/>
      <c r="E602" s="143" t="n"/>
      <c r="F602" s="143" t="n"/>
      <c r="G602" s="143" t="n"/>
      <c r="H602" s="143" t="n"/>
      <c r="I602" s="143" t="n"/>
      <c r="J602" s="143" t="n"/>
    </row>
    <row r="603" ht="18" customHeight="1" s="102">
      <c r="A603" s="137">
        <f>IF($B603="","","CIR-"&amp;TEXT(ROW()-BaslangicSatir,"000000"))</f>
        <v/>
      </c>
      <c r="B603" s="143" t="n"/>
      <c r="C603" s="143" t="n"/>
      <c r="D603" s="143" t="n"/>
      <c r="E603" s="143" t="n"/>
      <c r="F603" s="143" t="n"/>
      <c r="G603" s="143" t="n"/>
      <c r="H603" s="143" t="n"/>
      <c r="I603" s="143" t="n"/>
      <c r="J603" s="143" t="n"/>
    </row>
    <row r="604" ht="18" customHeight="1" s="102">
      <c r="A604" s="137">
        <f>IF($B604="","","CIR-"&amp;TEXT(ROW()-BaslangicSatir,"000000"))</f>
        <v/>
      </c>
      <c r="B604" s="143" t="n"/>
      <c r="C604" s="143" t="n"/>
      <c r="D604" s="143" t="n"/>
      <c r="E604" s="143" t="n"/>
      <c r="F604" s="143" t="n"/>
      <c r="G604" s="143" t="n"/>
      <c r="H604" s="143" t="n"/>
      <c r="I604" s="143" t="n"/>
      <c r="J604" s="143" t="n"/>
    </row>
    <row r="605" ht="18" customHeight="1" s="102">
      <c r="A605" s="137">
        <f>IF($B605="","","CIR-"&amp;TEXT(ROW()-BaslangicSatir,"000000"))</f>
        <v/>
      </c>
      <c r="B605" s="143" t="n"/>
      <c r="C605" s="143" t="n"/>
      <c r="D605" s="143" t="n"/>
      <c r="E605" s="143" t="n"/>
      <c r="F605" s="143" t="n"/>
      <c r="G605" s="143" t="n"/>
      <c r="H605" s="143" t="n"/>
      <c r="I605" s="143" t="n"/>
      <c r="J605" s="143" t="n"/>
    </row>
    <row r="606" ht="18" customHeight="1" s="102">
      <c r="A606" s="137">
        <f>IF($B606="","","CIR-"&amp;TEXT(ROW()-BaslangicSatir,"000000"))</f>
        <v/>
      </c>
      <c r="B606" s="143" t="n"/>
      <c r="C606" s="143" t="n"/>
      <c r="D606" s="143" t="n"/>
      <c r="E606" s="143" t="n"/>
      <c r="F606" s="143" t="n"/>
      <c r="G606" s="143" t="n"/>
      <c r="H606" s="143" t="n"/>
      <c r="I606" s="143" t="n"/>
      <c r="J606" s="143" t="n"/>
    </row>
    <row r="607" ht="18" customHeight="1" s="102">
      <c r="A607" s="137">
        <f>IF($B607="","","CIR-"&amp;TEXT(ROW()-BaslangicSatir,"000000"))</f>
        <v/>
      </c>
      <c r="B607" s="143" t="n"/>
      <c r="C607" s="143" t="n"/>
      <c r="D607" s="143" t="n"/>
      <c r="E607" s="143" t="n"/>
      <c r="F607" s="143" t="n"/>
      <c r="G607" s="143" t="n"/>
      <c r="H607" s="143" t="n"/>
      <c r="I607" s="143" t="n"/>
      <c r="J607" s="143" t="n"/>
    </row>
    <row r="608" ht="18" customHeight="1" s="102">
      <c r="A608" s="137">
        <f>IF($B608="","","CIR-"&amp;TEXT(ROW()-BaslangicSatir,"000000"))</f>
        <v/>
      </c>
      <c r="B608" s="143" t="n"/>
      <c r="C608" s="143" t="n"/>
      <c r="D608" s="143" t="n"/>
      <c r="E608" s="143" t="n"/>
      <c r="F608" s="143" t="n"/>
      <c r="G608" s="143" t="n"/>
      <c r="H608" s="143" t="n"/>
      <c r="I608" s="143" t="n"/>
      <c r="J608" s="143" t="n"/>
    </row>
    <row r="609" ht="18" customHeight="1" s="102">
      <c r="A609" s="137">
        <f>IF($B609="","","CIR-"&amp;TEXT(ROW()-BaslangicSatir,"000000"))</f>
        <v/>
      </c>
      <c r="B609" s="143" t="n"/>
      <c r="C609" s="143" t="n"/>
      <c r="D609" s="143" t="n"/>
      <c r="E609" s="143" t="n"/>
      <c r="F609" s="143" t="n"/>
      <c r="G609" s="143" t="n"/>
      <c r="H609" s="143" t="n"/>
      <c r="I609" s="143" t="n"/>
      <c r="J609" s="143" t="n"/>
    </row>
    <row r="610" ht="18" customHeight="1" s="102">
      <c r="A610" s="137">
        <f>IF($B610="","","CIR-"&amp;TEXT(ROW()-BaslangicSatir,"000000"))</f>
        <v/>
      </c>
      <c r="B610" s="143" t="n"/>
      <c r="C610" s="143" t="n"/>
      <c r="D610" s="143" t="n"/>
      <c r="E610" s="143" t="n"/>
      <c r="F610" s="143" t="n"/>
      <c r="G610" s="143" t="n"/>
      <c r="H610" s="143" t="n"/>
      <c r="I610" s="143" t="n"/>
      <c r="J610" s="143" t="n"/>
    </row>
    <row r="611" ht="18" customHeight="1" s="102">
      <c r="A611" s="137">
        <f>IF($B611="","","CIR-"&amp;TEXT(ROW()-BaslangicSatir,"000000"))</f>
        <v/>
      </c>
      <c r="B611" s="143" t="n"/>
      <c r="C611" s="143" t="n"/>
      <c r="D611" s="143" t="n"/>
      <c r="E611" s="143" t="n"/>
      <c r="F611" s="143" t="n"/>
      <c r="G611" s="143" t="n"/>
      <c r="H611" s="143" t="n"/>
      <c r="I611" s="143" t="n"/>
      <c r="J611" s="143" t="n"/>
    </row>
    <row r="612" ht="18" customHeight="1" s="102">
      <c r="A612" s="137">
        <f>IF($B612="","","CIR-"&amp;TEXT(ROW()-BaslangicSatir,"000000"))</f>
        <v/>
      </c>
      <c r="B612" s="143" t="n"/>
      <c r="C612" s="143" t="n"/>
      <c r="D612" s="143" t="n"/>
      <c r="E612" s="143" t="n"/>
      <c r="F612" s="143" t="n"/>
      <c r="G612" s="143" t="n"/>
      <c r="H612" s="143" t="n"/>
      <c r="I612" s="143" t="n"/>
      <c r="J612" s="143" t="n"/>
    </row>
    <row r="613" ht="18" customHeight="1" s="102">
      <c r="A613" s="137">
        <f>IF($B613="","","CIR-"&amp;TEXT(ROW()-BaslangicSatir,"000000"))</f>
        <v/>
      </c>
      <c r="B613" s="143" t="n"/>
      <c r="C613" s="143" t="n"/>
      <c r="D613" s="143" t="n"/>
      <c r="E613" s="143" t="n"/>
      <c r="F613" s="143" t="n"/>
      <c r="G613" s="143" t="n"/>
      <c r="H613" s="143" t="n"/>
      <c r="I613" s="143" t="n"/>
      <c r="J613" s="143" t="n"/>
    </row>
    <row r="614" ht="18" customHeight="1" s="102">
      <c r="A614" s="137">
        <f>IF($B614="","","CIR-"&amp;TEXT(ROW()-BaslangicSatir,"000000"))</f>
        <v/>
      </c>
      <c r="B614" s="143" t="n"/>
      <c r="C614" s="143" t="n"/>
      <c r="D614" s="143" t="n"/>
      <c r="E614" s="143" t="n"/>
      <c r="F614" s="143" t="n"/>
      <c r="G614" s="143" t="n"/>
      <c r="H614" s="143" t="n"/>
      <c r="I614" s="143" t="n"/>
      <c r="J614" s="143" t="n"/>
    </row>
    <row r="615" ht="18" customHeight="1" s="102">
      <c r="A615" s="137">
        <f>IF($B615="","","CIR-"&amp;TEXT(ROW()-BaslangicSatir,"000000"))</f>
        <v/>
      </c>
      <c r="B615" s="143" t="n"/>
      <c r="C615" s="143" t="n"/>
      <c r="D615" s="143" t="n"/>
      <c r="E615" s="143" t="n"/>
      <c r="F615" s="143" t="n"/>
      <c r="G615" s="143" t="n"/>
      <c r="H615" s="143" t="n"/>
      <c r="I615" s="143" t="n"/>
      <c r="J615" s="143" t="n"/>
    </row>
    <row r="616" ht="18" customHeight="1" s="102">
      <c r="A616" s="137">
        <f>IF($B616="","","CIR-"&amp;TEXT(ROW()-BaslangicSatir,"000000"))</f>
        <v/>
      </c>
      <c r="B616" s="143" t="n"/>
      <c r="C616" s="143" t="n"/>
      <c r="D616" s="143" t="n"/>
      <c r="E616" s="143" t="n"/>
      <c r="F616" s="143" t="n"/>
      <c r="G616" s="143" t="n"/>
      <c r="H616" s="143" t="n"/>
      <c r="I616" s="143" t="n"/>
      <c r="J616" s="143" t="n"/>
    </row>
    <row r="617" ht="18" customHeight="1" s="102">
      <c r="A617" s="137">
        <f>IF($B617="","","CIR-"&amp;TEXT(ROW()-BaslangicSatir,"000000"))</f>
        <v/>
      </c>
      <c r="B617" s="143" t="n"/>
      <c r="C617" s="143" t="n"/>
      <c r="D617" s="143" t="n"/>
      <c r="E617" s="143" t="n"/>
      <c r="F617" s="143" t="n"/>
      <c r="G617" s="143" t="n"/>
      <c r="H617" s="143" t="n"/>
      <c r="I617" s="143" t="n"/>
      <c r="J617" s="143" t="n"/>
    </row>
    <row r="618" ht="18" customHeight="1" s="102">
      <c r="A618" s="137">
        <f>IF($B618="","","CIR-"&amp;TEXT(ROW()-BaslangicSatir,"000000"))</f>
        <v/>
      </c>
      <c r="B618" s="143" t="n"/>
      <c r="C618" s="143" t="n"/>
      <c r="D618" s="143" t="n"/>
      <c r="E618" s="143" t="n"/>
      <c r="F618" s="143" t="n"/>
      <c r="G618" s="143" t="n"/>
      <c r="H618" s="143" t="n"/>
      <c r="I618" s="143" t="n"/>
      <c r="J618" s="143" t="n"/>
    </row>
    <row r="619" ht="18" customHeight="1" s="102">
      <c r="A619" s="137">
        <f>IF($B619="","","CIR-"&amp;TEXT(ROW()-BaslangicSatir,"000000"))</f>
        <v/>
      </c>
      <c r="B619" s="143" t="n"/>
      <c r="C619" s="143" t="n"/>
      <c r="D619" s="143" t="n"/>
      <c r="E619" s="143" t="n"/>
      <c r="F619" s="143" t="n"/>
      <c r="G619" s="143" t="n"/>
      <c r="H619" s="143" t="n"/>
      <c r="I619" s="143" t="n"/>
      <c r="J619" s="143" t="n"/>
    </row>
    <row r="620" ht="18" customHeight="1" s="102">
      <c r="A620" s="137">
        <f>IF($B620="","","CIR-"&amp;TEXT(ROW()-BaslangicSatir,"000000"))</f>
        <v/>
      </c>
      <c r="B620" s="143" t="n"/>
      <c r="C620" s="143" t="n"/>
      <c r="D620" s="143" t="n"/>
      <c r="E620" s="143" t="n"/>
      <c r="F620" s="143" t="n"/>
      <c r="G620" s="143" t="n"/>
      <c r="H620" s="143" t="n"/>
      <c r="I620" s="143" t="n"/>
      <c r="J620" s="143" t="n"/>
    </row>
    <row r="621" ht="18" customHeight="1" s="102">
      <c r="A621" s="137">
        <f>IF($B621="","","CIR-"&amp;TEXT(ROW()-BaslangicSatir,"000000"))</f>
        <v/>
      </c>
      <c r="B621" s="143" t="n"/>
      <c r="C621" s="143" t="n"/>
      <c r="D621" s="143" t="n"/>
      <c r="E621" s="143" t="n"/>
      <c r="F621" s="143" t="n"/>
      <c r="G621" s="143" t="n"/>
      <c r="H621" s="143" t="n"/>
      <c r="I621" s="143" t="n"/>
      <c r="J621" s="143" t="n"/>
    </row>
    <row r="622" ht="18" customHeight="1" s="102">
      <c r="A622" s="137">
        <f>IF($B622="","","CIR-"&amp;TEXT(ROW()-BaslangicSatir,"000000"))</f>
        <v/>
      </c>
      <c r="B622" s="143" t="n"/>
      <c r="C622" s="143" t="n"/>
      <c r="D622" s="143" t="n"/>
      <c r="E622" s="143" t="n"/>
      <c r="F622" s="143" t="n"/>
      <c r="G622" s="143" t="n"/>
      <c r="H622" s="143" t="n"/>
      <c r="I622" s="143" t="n"/>
      <c r="J622" s="143" t="n"/>
    </row>
    <row r="623" ht="18" customHeight="1" s="102">
      <c r="A623" s="137">
        <f>IF($B623="","","CIR-"&amp;TEXT(ROW()-BaslangicSatir,"000000"))</f>
        <v/>
      </c>
      <c r="B623" s="143" t="n"/>
      <c r="C623" s="143" t="n"/>
      <c r="D623" s="143" t="n"/>
      <c r="E623" s="143" t="n"/>
      <c r="F623" s="143" t="n"/>
      <c r="G623" s="143" t="n"/>
      <c r="H623" s="143" t="n"/>
      <c r="I623" s="143" t="n"/>
      <c r="J623" s="143" t="n"/>
    </row>
    <row r="624" ht="18" customHeight="1" s="102">
      <c r="A624" s="137">
        <f>IF($B624="","","CIR-"&amp;TEXT(ROW()-BaslangicSatir,"000000"))</f>
        <v/>
      </c>
      <c r="B624" s="143" t="n"/>
      <c r="C624" s="143" t="n"/>
      <c r="D624" s="143" t="n"/>
      <c r="E624" s="143" t="n"/>
      <c r="F624" s="143" t="n"/>
      <c r="G624" s="143" t="n"/>
      <c r="H624" s="143" t="n"/>
      <c r="I624" s="143" t="n"/>
      <c r="J624" s="143" t="n"/>
    </row>
    <row r="625" ht="18" customHeight="1" s="102">
      <c r="A625" s="137">
        <f>IF($B625="","","CIR-"&amp;TEXT(ROW()-BaslangicSatir,"000000"))</f>
        <v/>
      </c>
      <c r="B625" s="143" t="n"/>
      <c r="C625" s="143" t="n"/>
      <c r="D625" s="143" t="n"/>
      <c r="E625" s="143" t="n"/>
      <c r="F625" s="143" t="n"/>
      <c r="G625" s="143" t="n"/>
      <c r="H625" s="143" t="n"/>
      <c r="I625" s="143" t="n"/>
      <c r="J625" s="143" t="n"/>
    </row>
    <row r="626" ht="18" customHeight="1" s="102">
      <c r="A626" s="137">
        <f>IF($B626="","","CIR-"&amp;TEXT(ROW()-BaslangicSatir,"000000"))</f>
        <v/>
      </c>
      <c r="B626" s="143" t="n"/>
      <c r="C626" s="143" t="n"/>
      <c r="D626" s="143" t="n"/>
      <c r="E626" s="143" t="n"/>
      <c r="F626" s="143" t="n"/>
      <c r="G626" s="143" t="n"/>
      <c r="H626" s="143" t="n"/>
      <c r="I626" s="143" t="n"/>
      <c r="J626" s="143" t="n"/>
    </row>
    <row r="627" ht="18" customHeight="1" s="102">
      <c r="A627" s="137">
        <f>IF($B627="","","CIR-"&amp;TEXT(ROW()-BaslangicSatir,"000000"))</f>
        <v/>
      </c>
      <c r="B627" s="143" t="n"/>
      <c r="C627" s="143" t="n"/>
      <c r="D627" s="143" t="n"/>
      <c r="E627" s="143" t="n"/>
      <c r="F627" s="143" t="n"/>
      <c r="G627" s="143" t="n"/>
      <c r="H627" s="143" t="n"/>
      <c r="I627" s="143" t="n"/>
      <c r="J627" s="143" t="n"/>
    </row>
    <row r="628" ht="18" customHeight="1" s="102">
      <c r="A628" s="137">
        <f>IF($B628="","","CIR-"&amp;TEXT(ROW()-BaslangicSatir,"000000"))</f>
        <v/>
      </c>
      <c r="B628" s="143" t="n"/>
      <c r="C628" s="143" t="n"/>
      <c r="D628" s="143" t="n"/>
      <c r="E628" s="143" t="n"/>
      <c r="F628" s="143" t="n"/>
      <c r="G628" s="143" t="n"/>
      <c r="H628" s="143" t="n"/>
      <c r="I628" s="143" t="n"/>
      <c r="J628" s="143" t="n"/>
    </row>
    <row r="629" ht="18" customHeight="1" s="102">
      <c r="A629" s="137">
        <f>IF($B629="","","CIR-"&amp;TEXT(ROW()-BaslangicSatir,"000000"))</f>
        <v/>
      </c>
      <c r="B629" s="143" t="n"/>
      <c r="C629" s="143" t="n"/>
      <c r="D629" s="143" t="n"/>
      <c r="E629" s="143" t="n"/>
      <c r="F629" s="143" t="n"/>
      <c r="G629" s="143" t="n"/>
      <c r="H629" s="143" t="n"/>
      <c r="I629" s="143" t="n"/>
      <c r="J629" s="143" t="n"/>
    </row>
    <row r="630" ht="18" customHeight="1" s="102">
      <c r="A630" s="137">
        <f>IF($B630="","","CIR-"&amp;TEXT(ROW()-BaslangicSatir,"000000"))</f>
        <v/>
      </c>
      <c r="B630" s="143" t="n"/>
      <c r="C630" s="143" t="n"/>
      <c r="D630" s="143" t="n"/>
      <c r="E630" s="143" t="n"/>
      <c r="F630" s="143" t="n"/>
      <c r="G630" s="143" t="n"/>
      <c r="H630" s="143" t="n"/>
      <c r="I630" s="143" t="n"/>
      <c r="J630" s="143" t="n"/>
    </row>
    <row r="631" ht="18" customHeight="1" s="102">
      <c r="A631" s="137">
        <f>IF($B631="","","CIR-"&amp;TEXT(ROW()-BaslangicSatir,"000000"))</f>
        <v/>
      </c>
      <c r="B631" s="143" t="n"/>
      <c r="C631" s="143" t="n"/>
      <c r="D631" s="143" t="n"/>
      <c r="E631" s="143" t="n"/>
      <c r="F631" s="143" t="n"/>
      <c r="G631" s="143" t="n"/>
      <c r="H631" s="143" t="n"/>
      <c r="I631" s="143" t="n"/>
      <c r="J631" s="143" t="n"/>
    </row>
    <row r="632" ht="18" customHeight="1" s="102">
      <c r="A632" s="137">
        <f>IF($B632="","","CIR-"&amp;TEXT(ROW()-BaslangicSatir,"000000"))</f>
        <v/>
      </c>
      <c r="B632" s="143" t="n"/>
      <c r="C632" s="143" t="n"/>
      <c r="D632" s="143" t="n"/>
      <c r="E632" s="143" t="n"/>
      <c r="F632" s="143" t="n"/>
      <c r="G632" s="143" t="n"/>
      <c r="H632" s="143" t="n"/>
      <c r="I632" s="143" t="n"/>
      <c r="J632" s="143" t="n"/>
    </row>
    <row r="633" ht="18" customHeight="1" s="102">
      <c r="A633" s="137">
        <f>IF($B633="","","CIR-"&amp;TEXT(ROW()-BaslangicSatir,"000000"))</f>
        <v/>
      </c>
      <c r="B633" s="143" t="n"/>
      <c r="C633" s="143" t="n"/>
      <c r="D633" s="143" t="n"/>
      <c r="E633" s="143" t="n"/>
      <c r="F633" s="143" t="n"/>
      <c r="G633" s="143" t="n"/>
      <c r="H633" s="143" t="n"/>
      <c r="I633" s="143" t="n"/>
      <c r="J633" s="143" t="n"/>
    </row>
    <row r="634" ht="18" customHeight="1" s="102">
      <c r="A634" s="137">
        <f>IF($B634="","","CIR-"&amp;TEXT(ROW()-BaslangicSatir,"000000"))</f>
        <v/>
      </c>
      <c r="B634" s="143" t="n"/>
      <c r="C634" s="143" t="n"/>
      <c r="D634" s="143" t="n"/>
      <c r="E634" s="143" t="n"/>
      <c r="F634" s="143" t="n"/>
      <c r="G634" s="143" t="n"/>
      <c r="H634" s="143" t="n"/>
      <c r="I634" s="143" t="n"/>
      <c r="J634" s="143" t="n"/>
    </row>
    <row r="635" ht="18" customHeight="1" s="102">
      <c r="A635" s="137">
        <f>IF($B635="","","CIR-"&amp;TEXT(ROW()-BaslangicSatir,"000000"))</f>
        <v/>
      </c>
      <c r="B635" s="143" t="n"/>
      <c r="C635" s="143" t="n"/>
      <c r="D635" s="143" t="n"/>
      <c r="E635" s="143" t="n"/>
      <c r="F635" s="143" t="n"/>
      <c r="G635" s="143" t="n"/>
      <c r="H635" s="143" t="n"/>
      <c r="I635" s="143" t="n"/>
      <c r="J635" s="143" t="n"/>
    </row>
    <row r="636" ht="18" customHeight="1" s="102">
      <c r="A636" s="137">
        <f>IF($B636="","","CIR-"&amp;TEXT(ROW()-BaslangicSatir,"000000"))</f>
        <v/>
      </c>
      <c r="B636" s="143" t="n"/>
      <c r="C636" s="143" t="n"/>
      <c r="D636" s="143" t="n"/>
      <c r="E636" s="143" t="n"/>
      <c r="F636" s="143" t="n"/>
      <c r="G636" s="143" t="n"/>
      <c r="H636" s="143" t="n"/>
      <c r="I636" s="143" t="n"/>
      <c r="J636" s="143" t="n"/>
    </row>
    <row r="637" ht="18" customHeight="1" s="102">
      <c r="A637" s="137">
        <f>IF($B637="","","CIR-"&amp;TEXT(ROW()-BaslangicSatir,"000000"))</f>
        <v/>
      </c>
      <c r="B637" s="143" t="n"/>
      <c r="C637" s="143" t="n"/>
      <c r="D637" s="143" t="n"/>
      <c r="E637" s="143" t="n"/>
      <c r="F637" s="143" t="n"/>
      <c r="G637" s="143" t="n"/>
      <c r="H637" s="143" t="n"/>
      <c r="I637" s="143" t="n"/>
      <c r="J637" s="143" t="n"/>
    </row>
    <row r="638" ht="18" customHeight="1" s="102">
      <c r="A638" s="137">
        <f>IF($B638="","","CIR-"&amp;TEXT(ROW()-BaslangicSatir,"000000"))</f>
        <v/>
      </c>
      <c r="B638" s="143" t="n"/>
      <c r="C638" s="143" t="n"/>
      <c r="D638" s="143" t="n"/>
      <c r="E638" s="143" t="n"/>
      <c r="F638" s="143" t="n"/>
      <c r="G638" s="143" t="n"/>
      <c r="H638" s="143" t="n"/>
      <c r="I638" s="143" t="n"/>
      <c r="J638" s="143" t="n"/>
    </row>
    <row r="639" ht="18" customHeight="1" s="102">
      <c r="A639" s="137">
        <f>IF($B639="","","CIR-"&amp;TEXT(ROW()-BaslangicSatir,"000000"))</f>
        <v/>
      </c>
      <c r="B639" s="143" t="n"/>
      <c r="C639" s="143" t="n"/>
      <c r="D639" s="143" t="n"/>
      <c r="E639" s="143" t="n"/>
      <c r="F639" s="143" t="n"/>
      <c r="G639" s="143" t="n"/>
      <c r="H639" s="143" t="n"/>
      <c r="I639" s="143" t="n"/>
      <c r="J639" s="143" t="n"/>
    </row>
    <row r="640" ht="18" customHeight="1" s="102">
      <c r="A640" s="137">
        <f>IF($B640="","","CIR-"&amp;TEXT(ROW()-BaslangicSatir,"000000"))</f>
        <v/>
      </c>
      <c r="B640" s="143" t="n"/>
      <c r="C640" s="143" t="n"/>
      <c r="D640" s="143" t="n"/>
      <c r="E640" s="143" t="n"/>
      <c r="F640" s="143" t="n"/>
      <c r="G640" s="143" t="n"/>
      <c r="H640" s="143" t="n"/>
      <c r="I640" s="143" t="n"/>
      <c r="J640" s="143" t="n"/>
    </row>
    <row r="641" ht="18" customHeight="1" s="102">
      <c r="A641" s="137">
        <f>IF($B641="","","CIR-"&amp;TEXT(ROW()-BaslangicSatir,"000000"))</f>
        <v/>
      </c>
      <c r="B641" s="143" t="n"/>
      <c r="C641" s="143" t="n"/>
      <c r="D641" s="143" t="n"/>
      <c r="E641" s="143" t="n"/>
      <c r="F641" s="143" t="n"/>
      <c r="G641" s="143" t="n"/>
      <c r="H641" s="143" t="n"/>
      <c r="I641" s="143" t="n"/>
      <c r="J641" s="143" t="n"/>
    </row>
    <row r="642" ht="18" customHeight="1" s="102">
      <c r="A642" s="137">
        <f>IF($B642="","","CIR-"&amp;TEXT(ROW()-BaslangicSatir,"000000"))</f>
        <v/>
      </c>
      <c r="B642" s="143" t="n"/>
      <c r="C642" s="143" t="n"/>
      <c r="D642" s="143" t="n"/>
      <c r="E642" s="143" t="n"/>
      <c r="F642" s="143" t="n"/>
      <c r="G642" s="143" t="n"/>
      <c r="H642" s="143" t="n"/>
      <c r="I642" s="143" t="n"/>
      <c r="J642" s="143" t="n"/>
    </row>
    <row r="643" ht="18" customHeight="1" s="102">
      <c r="A643" s="137">
        <f>IF($B643="","","CIR-"&amp;TEXT(ROW()-BaslangicSatir,"000000"))</f>
        <v/>
      </c>
      <c r="B643" s="143" t="n"/>
      <c r="C643" s="143" t="n"/>
      <c r="D643" s="143" t="n"/>
      <c r="E643" s="143" t="n"/>
      <c r="F643" s="143" t="n"/>
      <c r="G643" s="143" t="n"/>
      <c r="H643" s="143" t="n"/>
      <c r="I643" s="143" t="n"/>
      <c r="J643" s="143" t="n"/>
    </row>
    <row r="644" ht="18" customHeight="1" s="102">
      <c r="A644" s="137">
        <f>IF($B644="","","CIR-"&amp;TEXT(ROW()-BaslangicSatir,"000000"))</f>
        <v/>
      </c>
      <c r="B644" s="143" t="n"/>
      <c r="C644" s="143" t="n"/>
      <c r="D644" s="143" t="n"/>
      <c r="E644" s="143" t="n"/>
      <c r="F644" s="143" t="n"/>
      <c r="G644" s="143" t="n"/>
      <c r="H644" s="143" t="n"/>
      <c r="I644" s="143" t="n"/>
      <c r="J644" s="143" t="n"/>
    </row>
    <row r="645" ht="18" customHeight="1" s="102">
      <c r="A645" s="137">
        <f>IF($B645="","","CIR-"&amp;TEXT(ROW()-BaslangicSatir,"000000"))</f>
        <v/>
      </c>
      <c r="B645" s="143" t="n"/>
      <c r="C645" s="143" t="n"/>
      <c r="D645" s="143" t="n"/>
      <c r="E645" s="143" t="n"/>
      <c r="F645" s="143" t="n"/>
      <c r="G645" s="143" t="n"/>
      <c r="H645" s="143" t="n"/>
      <c r="I645" s="143" t="n"/>
      <c r="J645" s="143" t="n"/>
    </row>
    <row r="646" ht="18" customHeight="1" s="102">
      <c r="A646" s="137">
        <f>IF($B646="","","CIR-"&amp;TEXT(ROW()-BaslangicSatir,"000000"))</f>
        <v/>
      </c>
      <c r="B646" s="143" t="n"/>
      <c r="C646" s="143" t="n"/>
      <c r="D646" s="143" t="n"/>
      <c r="E646" s="143" t="n"/>
      <c r="F646" s="143" t="n"/>
      <c r="G646" s="143" t="n"/>
      <c r="H646" s="143" t="n"/>
      <c r="I646" s="143" t="n"/>
      <c r="J646" s="143" t="n"/>
    </row>
    <row r="647" ht="18" customHeight="1" s="102">
      <c r="A647" s="137">
        <f>IF($B647="","","CIR-"&amp;TEXT(ROW()-BaslangicSatir,"000000"))</f>
        <v/>
      </c>
      <c r="B647" s="143" t="n"/>
      <c r="C647" s="143" t="n"/>
      <c r="D647" s="143" t="n"/>
      <c r="E647" s="143" t="n"/>
      <c r="F647" s="143" t="n"/>
      <c r="G647" s="143" t="n"/>
      <c r="H647" s="143" t="n"/>
      <c r="I647" s="143" t="n"/>
      <c r="J647" s="143" t="n"/>
    </row>
    <row r="648" ht="18" customHeight="1" s="102">
      <c r="A648" s="137">
        <f>IF($B648="","","CIR-"&amp;TEXT(ROW()-BaslangicSatir,"000000"))</f>
        <v/>
      </c>
      <c r="B648" s="143" t="n"/>
      <c r="C648" s="143" t="n"/>
      <c r="D648" s="143" t="n"/>
      <c r="E648" s="143" t="n"/>
      <c r="F648" s="143" t="n"/>
      <c r="G648" s="143" t="n"/>
      <c r="H648" s="143" t="n"/>
      <c r="I648" s="143" t="n"/>
      <c r="J648" s="143" t="n"/>
    </row>
    <row r="649" ht="18" customHeight="1" s="102">
      <c r="A649" s="137">
        <f>IF($B649="","","CIR-"&amp;TEXT(ROW()-BaslangicSatir,"000000"))</f>
        <v/>
      </c>
      <c r="B649" s="143" t="n"/>
      <c r="C649" s="143" t="n"/>
      <c r="D649" s="143" t="n"/>
      <c r="E649" s="143" t="n"/>
      <c r="F649" s="143" t="n"/>
      <c r="G649" s="143" t="n"/>
      <c r="H649" s="143" t="n"/>
      <c r="I649" s="143" t="n"/>
      <c r="J649" s="143" t="n"/>
    </row>
    <row r="650" ht="18" customHeight="1" s="102">
      <c r="A650" s="137">
        <f>IF($B650="","","CIR-"&amp;TEXT(ROW()-BaslangicSatir,"000000"))</f>
        <v/>
      </c>
      <c r="B650" s="143" t="n"/>
      <c r="C650" s="143" t="n"/>
      <c r="D650" s="143" t="n"/>
      <c r="E650" s="143" t="n"/>
      <c r="F650" s="143" t="n"/>
      <c r="G650" s="143" t="n"/>
      <c r="H650" s="143" t="n"/>
      <c r="I650" s="143" t="n"/>
      <c r="J650" s="143" t="n"/>
    </row>
    <row r="651" ht="18" customHeight="1" s="102">
      <c r="A651" s="137">
        <f>IF($B651="","","CIR-"&amp;TEXT(ROW()-BaslangicSatir,"000000"))</f>
        <v/>
      </c>
      <c r="B651" s="143" t="n"/>
      <c r="C651" s="143" t="n"/>
      <c r="D651" s="143" t="n"/>
      <c r="E651" s="143" t="n"/>
      <c r="F651" s="143" t="n"/>
      <c r="G651" s="143" t="n"/>
      <c r="H651" s="143" t="n"/>
      <c r="I651" s="143" t="n"/>
      <c r="J651" s="143" t="n"/>
    </row>
    <row r="652" ht="18" customHeight="1" s="102">
      <c r="A652" s="137">
        <f>IF($B652="","","CIR-"&amp;TEXT(ROW()-BaslangicSatir,"000000"))</f>
        <v/>
      </c>
      <c r="B652" s="143" t="n"/>
      <c r="C652" s="143" t="n"/>
      <c r="D652" s="143" t="n"/>
      <c r="E652" s="143" t="n"/>
      <c r="F652" s="143" t="n"/>
      <c r="G652" s="143" t="n"/>
      <c r="H652" s="143" t="n"/>
      <c r="I652" s="143" t="n"/>
      <c r="J652" s="143" t="n"/>
    </row>
    <row r="653" ht="18" customHeight="1" s="102">
      <c r="A653" s="137">
        <f>IF($B653="","","CIR-"&amp;TEXT(ROW()-BaslangicSatir,"000000"))</f>
        <v/>
      </c>
      <c r="B653" s="143" t="n"/>
      <c r="C653" s="143" t="n"/>
      <c r="D653" s="143" t="n"/>
      <c r="E653" s="143" t="n"/>
      <c r="F653" s="143" t="n"/>
      <c r="G653" s="143" t="n"/>
      <c r="H653" s="143" t="n"/>
      <c r="I653" s="143" t="n"/>
      <c r="J653" s="143" t="n"/>
    </row>
    <row r="654" ht="18" customHeight="1" s="102">
      <c r="A654" s="137">
        <f>IF($B654="","","CIR-"&amp;TEXT(ROW()-BaslangicSatir,"000000"))</f>
        <v/>
      </c>
      <c r="B654" s="143" t="n"/>
      <c r="C654" s="143" t="n"/>
      <c r="D654" s="143" t="n"/>
      <c r="E654" s="143" t="n"/>
      <c r="F654" s="143" t="n"/>
      <c r="G654" s="143" t="n"/>
      <c r="H654" s="143" t="n"/>
      <c r="I654" s="143" t="n"/>
      <c r="J654" s="143" t="n"/>
    </row>
    <row r="655" ht="18" customHeight="1" s="102">
      <c r="A655" s="137">
        <f>IF($B655="","","CIR-"&amp;TEXT(ROW()-BaslangicSatir,"000000"))</f>
        <v/>
      </c>
      <c r="B655" s="143" t="n"/>
      <c r="C655" s="143" t="n"/>
      <c r="D655" s="143" t="n"/>
      <c r="E655" s="143" t="n"/>
      <c r="F655" s="143" t="n"/>
      <c r="G655" s="143" t="n"/>
      <c r="H655" s="143" t="n"/>
      <c r="I655" s="143" t="n"/>
      <c r="J655" s="143" t="n"/>
    </row>
    <row r="656" ht="18" customHeight="1" s="102">
      <c r="A656" s="137">
        <f>IF($B656="","","CIR-"&amp;TEXT(ROW()-BaslangicSatir,"000000"))</f>
        <v/>
      </c>
      <c r="B656" s="143" t="n"/>
      <c r="C656" s="143" t="n"/>
      <c r="D656" s="143" t="n"/>
      <c r="E656" s="143" t="n"/>
      <c r="F656" s="143" t="n"/>
      <c r="G656" s="143" t="n"/>
      <c r="H656" s="143" t="n"/>
      <c r="I656" s="143" t="n"/>
      <c r="J656" s="143" t="n"/>
    </row>
    <row r="657" ht="18" customHeight="1" s="102">
      <c r="A657" s="137">
        <f>IF($B657="","","CIR-"&amp;TEXT(ROW()-BaslangicSatir,"000000"))</f>
        <v/>
      </c>
      <c r="B657" s="143" t="n"/>
      <c r="C657" s="143" t="n"/>
      <c r="D657" s="143" t="n"/>
      <c r="E657" s="143" t="n"/>
      <c r="F657" s="143" t="n"/>
      <c r="G657" s="143" t="n"/>
      <c r="H657" s="143" t="n"/>
      <c r="I657" s="143" t="n"/>
      <c r="J657" s="143" t="n"/>
    </row>
    <row r="658" ht="18" customHeight="1" s="102">
      <c r="A658" s="137">
        <f>IF($B658="","","CIR-"&amp;TEXT(ROW()-BaslangicSatir,"000000"))</f>
        <v/>
      </c>
      <c r="B658" s="143" t="n"/>
      <c r="C658" s="143" t="n"/>
      <c r="D658" s="143" t="n"/>
      <c r="E658" s="143" t="n"/>
      <c r="F658" s="143" t="n"/>
      <c r="G658" s="143" t="n"/>
      <c r="H658" s="143" t="n"/>
      <c r="I658" s="143" t="n"/>
      <c r="J658" s="143" t="n"/>
    </row>
    <row r="659" ht="18" customHeight="1" s="102">
      <c r="A659" s="137">
        <f>IF($B659="","","CIR-"&amp;TEXT(ROW()-BaslangicSatir,"000000"))</f>
        <v/>
      </c>
      <c r="B659" s="143" t="n"/>
      <c r="C659" s="143" t="n"/>
      <c r="D659" s="143" t="n"/>
      <c r="E659" s="143" t="n"/>
      <c r="F659" s="143" t="n"/>
      <c r="G659" s="143" t="n"/>
      <c r="H659" s="143" t="n"/>
      <c r="I659" s="143" t="n"/>
      <c r="J659" s="143" t="n"/>
    </row>
    <row r="660" ht="18" customHeight="1" s="102">
      <c r="A660" s="137">
        <f>IF($B660="","","CIR-"&amp;TEXT(ROW()-BaslangicSatir,"000000"))</f>
        <v/>
      </c>
      <c r="B660" s="143" t="n"/>
      <c r="C660" s="143" t="n"/>
      <c r="D660" s="143" t="n"/>
      <c r="E660" s="143" t="n"/>
      <c r="F660" s="143" t="n"/>
      <c r="G660" s="143" t="n"/>
      <c r="H660" s="143" t="n"/>
      <c r="I660" s="143" t="n"/>
      <c r="J660" s="143" t="n"/>
    </row>
    <row r="661" ht="18" customHeight="1" s="102">
      <c r="A661" s="137">
        <f>IF($B661="","","CIR-"&amp;TEXT(ROW()-BaslangicSatir,"000000"))</f>
        <v/>
      </c>
      <c r="B661" s="143" t="n"/>
      <c r="C661" s="143" t="n"/>
      <c r="D661" s="143" t="n"/>
      <c r="E661" s="143" t="n"/>
      <c r="F661" s="143" t="n"/>
      <c r="G661" s="143" t="n"/>
      <c r="H661" s="143" t="n"/>
      <c r="I661" s="143" t="n"/>
      <c r="J661" s="143" t="n"/>
    </row>
    <row r="662" ht="18" customHeight="1" s="102">
      <c r="A662" s="137">
        <f>IF($B662="","","CIR-"&amp;TEXT(ROW()-BaslangicSatir,"000000"))</f>
        <v/>
      </c>
      <c r="B662" s="143" t="n"/>
      <c r="C662" s="143" t="n"/>
      <c r="D662" s="143" t="n"/>
      <c r="E662" s="143" t="n"/>
      <c r="F662" s="143" t="n"/>
      <c r="G662" s="143" t="n"/>
      <c r="H662" s="143" t="n"/>
      <c r="I662" s="143" t="n"/>
      <c r="J662" s="143" t="n"/>
    </row>
    <row r="663" ht="18" customHeight="1" s="102">
      <c r="A663" s="137">
        <f>IF($B663="","","CIR-"&amp;TEXT(ROW()-BaslangicSatir,"000000"))</f>
        <v/>
      </c>
      <c r="B663" s="143" t="n"/>
      <c r="C663" s="143" t="n"/>
      <c r="D663" s="143" t="n"/>
      <c r="E663" s="143" t="n"/>
      <c r="F663" s="143" t="n"/>
      <c r="G663" s="143" t="n"/>
      <c r="H663" s="143" t="n"/>
      <c r="I663" s="143" t="n"/>
      <c r="J663" s="143" t="n"/>
    </row>
    <row r="664" ht="18" customHeight="1" s="102">
      <c r="A664" s="137">
        <f>IF($B664="","","CIR-"&amp;TEXT(ROW()-BaslangicSatir,"000000"))</f>
        <v/>
      </c>
      <c r="B664" s="143" t="n"/>
      <c r="C664" s="143" t="n"/>
      <c r="D664" s="143" t="n"/>
      <c r="E664" s="143" t="n"/>
      <c r="F664" s="143" t="n"/>
      <c r="G664" s="143" t="n"/>
      <c r="H664" s="143" t="n"/>
      <c r="I664" s="143" t="n"/>
      <c r="J664" s="143" t="n"/>
    </row>
    <row r="665" ht="18" customHeight="1" s="102">
      <c r="A665" s="137">
        <f>IF($B665="","","CIR-"&amp;TEXT(ROW()-BaslangicSatir,"000000"))</f>
        <v/>
      </c>
      <c r="B665" s="143" t="n"/>
      <c r="C665" s="143" t="n"/>
      <c r="D665" s="143" t="n"/>
      <c r="E665" s="143" t="n"/>
      <c r="F665" s="143" t="n"/>
      <c r="G665" s="143" t="n"/>
      <c r="H665" s="143" t="n"/>
      <c r="I665" s="143" t="n"/>
      <c r="J665" s="143" t="n"/>
    </row>
    <row r="666" ht="18" customHeight="1" s="102">
      <c r="A666" s="137">
        <f>IF($B666="","","CIR-"&amp;TEXT(ROW()-BaslangicSatir,"000000"))</f>
        <v/>
      </c>
      <c r="B666" s="143" t="n"/>
      <c r="C666" s="143" t="n"/>
      <c r="D666" s="143" t="n"/>
      <c r="E666" s="143" t="n"/>
      <c r="F666" s="143" t="n"/>
      <c r="G666" s="143" t="n"/>
      <c r="H666" s="143" t="n"/>
      <c r="I666" s="143" t="n"/>
      <c r="J666" s="143" t="n"/>
    </row>
    <row r="667" ht="18" customHeight="1" s="102">
      <c r="A667" s="137">
        <f>IF($B667="","","CIR-"&amp;TEXT(ROW()-BaslangicSatir,"000000"))</f>
        <v/>
      </c>
      <c r="B667" s="143" t="n"/>
      <c r="C667" s="143" t="n"/>
      <c r="D667" s="143" t="n"/>
      <c r="E667" s="143" t="n"/>
      <c r="F667" s="143" t="n"/>
      <c r="G667" s="143" t="n"/>
      <c r="H667" s="143" t="n"/>
      <c r="I667" s="143" t="n"/>
      <c r="J667" s="143" t="n"/>
    </row>
    <row r="668" ht="18" customHeight="1" s="102">
      <c r="A668" s="137">
        <f>IF($B668="","","CIR-"&amp;TEXT(ROW()-BaslangicSatir,"000000"))</f>
        <v/>
      </c>
      <c r="B668" s="143" t="n"/>
      <c r="C668" s="143" t="n"/>
      <c r="D668" s="143" t="n"/>
      <c r="E668" s="143" t="n"/>
      <c r="F668" s="143" t="n"/>
      <c r="G668" s="143" t="n"/>
      <c r="H668" s="143" t="n"/>
      <c r="I668" s="143" t="n"/>
      <c r="J668" s="143" t="n"/>
    </row>
    <row r="669" ht="18" customHeight="1" s="102">
      <c r="A669" s="137">
        <f>IF($B669="","","CIR-"&amp;TEXT(ROW()-BaslangicSatir,"000000"))</f>
        <v/>
      </c>
      <c r="B669" s="143" t="n"/>
      <c r="C669" s="143" t="n"/>
      <c r="D669" s="143" t="n"/>
      <c r="E669" s="143" t="n"/>
      <c r="F669" s="143" t="n"/>
      <c r="G669" s="143" t="n"/>
      <c r="H669" s="143" t="n"/>
      <c r="I669" s="143" t="n"/>
      <c r="J669" s="143" t="n"/>
    </row>
    <row r="670" ht="18" customHeight="1" s="102">
      <c r="A670" s="137">
        <f>IF($B670="","","CIR-"&amp;TEXT(ROW()-BaslangicSatir,"000000"))</f>
        <v/>
      </c>
      <c r="B670" s="143" t="n"/>
      <c r="C670" s="143" t="n"/>
      <c r="D670" s="143" t="n"/>
      <c r="E670" s="143" t="n"/>
      <c r="F670" s="143" t="n"/>
      <c r="G670" s="143" t="n"/>
      <c r="H670" s="143" t="n"/>
      <c r="I670" s="143" t="n"/>
      <c r="J670" s="143" t="n"/>
    </row>
    <row r="671" ht="18" customHeight="1" s="102">
      <c r="A671" s="137">
        <f>IF($B671="","","CIR-"&amp;TEXT(ROW()-BaslangicSatir,"000000"))</f>
        <v/>
      </c>
      <c r="B671" s="143" t="n"/>
      <c r="C671" s="143" t="n"/>
      <c r="D671" s="143" t="n"/>
      <c r="E671" s="143" t="n"/>
      <c r="F671" s="143" t="n"/>
      <c r="G671" s="143" t="n"/>
      <c r="H671" s="143" t="n"/>
      <c r="I671" s="143" t="n"/>
      <c r="J671" s="143" t="n"/>
    </row>
    <row r="672" ht="18" customHeight="1" s="102">
      <c r="A672" s="137">
        <f>IF($B672="","","CIR-"&amp;TEXT(ROW()-BaslangicSatir,"000000"))</f>
        <v/>
      </c>
      <c r="B672" s="143" t="n"/>
      <c r="C672" s="143" t="n"/>
      <c r="D672" s="143" t="n"/>
      <c r="E672" s="143" t="n"/>
      <c r="F672" s="143" t="n"/>
      <c r="G672" s="143" t="n"/>
      <c r="H672" s="143" t="n"/>
      <c r="I672" s="143" t="n"/>
      <c r="J672" s="143" t="n"/>
    </row>
    <row r="673" ht="18" customHeight="1" s="102">
      <c r="A673" s="137">
        <f>IF($B673="","","CIR-"&amp;TEXT(ROW()-BaslangicSatir,"000000"))</f>
        <v/>
      </c>
      <c r="B673" s="143" t="n"/>
      <c r="C673" s="143" t="n"/>
      <c r="D673" s="143" t="n"/>
      <c r="E673" s="143" t="n"/>
      <c r="F673" s="143" t="n"/>
      <c r="G673" s="143" t="n"/>
      <c r="H673" s="143" t="n"/>
      <c r="I673" s="143" t="n"/>
      <c r="J673" s="143" t="n"/>
    </row>
    <row r="674" ht="18" customHeight="1" s="102">
      <c r="A674" s="137">
        <f>IF($B674="","","CIR-"&amp;TEXT(ROW()-BaslangicSatir,"000000"))</f>
        <v/>
      </c>
      <c r="B674" s="143" t="n"/>
      <c r="C674" s="143" t="n"/>
      <c r="D674" s="143" t="n"/>
      <c r="E674" s="143" t="n"/>
      <c r="F674" s="143" t="n"/>
      <c r="G674" s="143" t="n"/>
      <c r="H674" s="143" t="n"/>
      <c r="I674" s="143" t="n"/>
      <c r="J674" s="143" t="n"/>
    </row>
    <row r="675" ht="18" customHeight="1" s="102">
      <c r="A675" s="137">
        <f>IF($B675="","","CIR-"&amp;TEXT(ROW()-BaslangicSatir,"000000"))</f>
        <v/>
      </c>
      <c r="B675" s="143" t="n"/>
      <c r="C675" s="143" t="n"/>
      <c r="D675" s="143" t="n"/>
      <c r="E675" s="143" t="n"/>
      <c r="F675" s="143" t="n"/>
      <c r="G675" s="143" t="n"/>
      <c r="H675" s="143" t="n"/>
      <c r="I675" s="143" t="n"/>
      <c r="J675" s="143" t="n"/>
    </row>
    <row r="676" ht="18" customHeight="1" s="102">
      <c r="A676" s="137">
        <f>IF($B676="","","CIR-"&amp;TEXT(ROW()-BaslangicSatir,"000000"))</f>
        <v/>
      </c>
      <c r="B676" s="143" t="n"/>
      <c r="C676" s="143" t="n"/>
      <c r="D676" s="143" t="n"/>
      <c r="E676" s="143" t="n"/>
      <c r="F676" s="143" t="n"/>
      <c r="G676" s="143" t="n"/>
      <c r="H676" s="143" t="n"/>
      <c r="I676" s="143" t="n"/>
      <c r="J676" s="143" t="n"/>
    </row>
    <row r="677" ht="18" customHeight="1" s="102">
      <c r="A677" s="137">
        <f>IF($B677="","","CIR-"&amp;TEXT(ROW()-BaslangicSatir,"000000"))</f>
        <v/>
      </c>
      <c r="B677" s="143" t="n"/>
      <c r="C677" s="143" t="n"/>
      <c r="D677" s="143" t="n"/>
      <c r="E677" s="143" t="n"/>
      <c r="F677" s="143" t="n"/>
      <c r="G677" s="143" t="n"/>
      <c r="H677" s="143" t="n"/>
      <c r="I677" s="143" t="n"/>
      <c r="J677" s="143" t="n"/>
    </row>
    <row r="678" ht="18" customHeight="1" s="102">
      <c r="A678" s="137">
        <f>IF($B678="","","CIR-"&amp;TEXT(ROW()-BaslangicSatir,"000000"))</f>
        <v/>
      </c>
      <c r="B678" s="143" t="n"/>
      <c r="C678" s="143" t="n"/>
      <c r="D678" s="143" t="n"/>
      <c r="E678" s="143" t="n"/>
      <c r="F678" s="143" t="n"/>
      <c r="G678" s="143" t="n"/>
      <c r="H678" s="143" t="n"/>
      <c r="I678" s="143" t="n"/>
      <c r="J678" s="143" t="n"/>
    </row>
    <row r="679" ht="18" customHeight="1" s="102">
      <c r="A679" s="137">
        <f>IF($B679="","","CIR-"&amp;TEXT(ROW()-BaslangicSatir,"000000"))</f>
        <v/>
      </c>
      <c r="B679" s="143" t="n"/>
      <c r="C679" s="143" t="n"/>
      <c r="D679" s="143" t="n"/>
      <c r="E679" s="143" t="n"/>
      <c r="F679" s="143" t="n"/>
      <c r="G679" s="143" t="n"/>
      <c r="H679" s="143" t="n"/>
      <c r="I679" s="143" t="n"/>
      <c r="J679" s="143" t="n"/>
    </row>
    <row r="680" ht="18" customHeight="1" s="102">
      <c r="A680" s="137">
        <f>IF($B680="","","CIR-"&amp;TEXT(ROW()-BaslangicSatir,"000000"))</f>
        <v/>
      </c>
      <c r="B680" s="143" t="n"/>
      <c r="C680" s="143" t="n"/>
      <c r="D680" s="143" t="n"/>
      <c r="E680" s="143" t="n"/>
      <c r="F680" s="143" t="n"/>
      <c r="G680" s="143" t="n"/>
      <c r="H680" s="143" t="n"/>
      <c r="I680" s="143" t="n"/>
      <c r="J680" s="143" t="n"/>
    </row>
    <row r="681" ht="18" customHeight="1" s="102">
      <c r="A681" s="137">
        <f>IF($B681="","","CIR-"&amp;TEXT(ROW()-BaslangicSatir,"000000"))</f>
        <v/>
      </c>
      <c r="B681" s="143" t="n"/>
      <c r="C681" s="143" t="n"/>
      <c r="D681" s="143" t="n"/>
      <c r="E681" s="143" t="n"/>
      <c r="F681" s="143" t="n"/>
      <c r="G681" s="143" t="n"/>
      <c r="H681" s="143" t="n"/>
      <c r="I681" s="143" t="n"/>
      <c r="J681" s="143" t="n"/>
    </row>
    <row r="682" ht="18" customHeight="1" s="102">
      <c r="A682" s="137">
        <f>IF($B682="","","CIR-"&amp;TEXT(ROW()-BaslangicSatir,"000000"))</f>
        <v/>
      </c>
      <c r="B682" s="143" t="n"/>
      <c r="C682" s="143" t="n"/>
      <c r="D682" s="143" t="n"/>
      <c r="E682" s="143" t="n"/>
      <c r="F682" s="143" t="n"/>
      <c r="G682" s="143" t="n"/>
      <c r="H682" s="143" t="n"/>
      <c r="I682" s="143" t="n"/>
      <c r="J682" s="143" t="n"/>
    </row>
    <row r="683" ht="18" customHeight="1" s="102">
      <c r="A683" s="137">
        <f>IF($B683="","","CIR-"&amp;TEXT(ROW()-BaslangicSatir,"000000"))</f>
        <v/>
      </c>
      <c r="B683" s="143" t="n"/>
      <c r="C683" s="143" t="n"/>
      <c r="D683" s="143" t="n"/>
      <c r="E683" s="143" t="n"/>
      <c r="F683" s="143" t="n"/>
      <c r="G683" s="143" t="n"/>
      <c r="H683" s="143" t="n"/>
      <c r="I683" s="143" t="n"/>
      <c r="J683" s="143" t="n"/>
    </row>
    <row r="684" ht="18" customHeight="1" s="102">
      <c r="A684" s="137">
        <f>IF($B684="","","CIR-"&amp;TEXT(ROW()-BaslangicSatir,"000000"))</f>
        <v/>
      </c>
      <c r="B684" s="143" t="n"/>
      <c r="C684" s="143" t="n"/>
      <c r="D684" s="143" t="n"/>
      <c r="E684" s="143" t="n"/>
      <c r="F684" s="143" t="n"/>
      <c r="G684" s="143" t="n"/>
      <c r="H684" s="143" t="n"/>
      <c r="I684" s="143" t="n"/>
      <c r="J684" s="143" t="n"/>
    </row>
    <row r="685" ht="18" customHeight="1" s="102">
      <c r="A685" s="137">
        <f>IF($B685="","","CIR-"&amp;TEXT(ROW()-BaslangicSatir,"000000"))</f>
        <v/>
      </c>
      <c r="B685" s="143" t="n"/>
      <c r="C685" s="143" t="n"/>
      <c r="D685" s="143" t="n"/>
      <c r="E685" s="143" t="n"/>
      <c r="F685" s="143" t="n"/>
      <c r="G685" s="143" t="n"/>
      <c r="H685" s="143" t="n"/>
      <c r="I685" s="143" t="n"/>
      <c r="J685" s="143" t="n"/>
    </row>
    <row r="686" ht="18" customHeight="1" s="102">
      <c r="A686" s="137">
        <f>IF($B686="","","CIR-"&amp;TEXT(ROW()-BaslangicSatir,"000000"))</f>
        <v/>
      </c>
      <c r="B686" s="143" t="n"/>
      <c r="C686" s="143" t="n"/>
      <c r="D686" s="143" t="n"/>
      <c r="E686" s="143" t="n"/>
      <c r="F686" s="143" t="n"/>
      <c r="G686" s="143" t="n"/>
      <c r="H686" s="143" t="n"/>
      <c r="I686" s="143" t="n"/>
      <c r="J686" s="143" t="n"/>
    </row>
    <row r="687" ht="18" customHeight="1" s="102">
      <c r="A687" s="137">
        <f>IF($B687="","","CIR-"&amp;TEXT(ROW()-BaslangicSatir,"000000"))</f>
        <v/>
      </c>
      <c r="B687" s="143" t="n"/>
      <c r="C687" s="143" t="n"/>
      <c r="D687" s="143" t="n"/>
      <c r="E687" s="143" t="n"/>
      <c r="F687" s="143" t="n"/>
      <c r="G687" s="143" t="n"/>
      <c r="H687" s="143" t="n"/>
      <c r="I687" s="143" t="n"/>
      <c r="J687" s="143" t="n"/>
    </row>
    <row r="688" ht="18" customHeight="1" s="102">
      <c r="A688" s="137">
        <f>IF($B688="","","CIR-"&amp;TEXT(ROW()-BaslangicSatir,"000000"))</f>
        <v/>
      </c>
      <c r="B688" s="143" t="n"/>
      <c r="C688" s="143" t="n"/>
      <c r="D688" s="143" t="n"/>
      <c r="E688" s="143" t="n"/>
      <c r="F688" s="143" t="n"/>
      <c r="G688" s="143" t="n"/>
      <c r="H688" s="143" t="n"/>
      <c r="I688" s="143" t="n"/>
      <c r="J688" s="143" t="n"/>
    </row>
    <row r="689" ht="18" customHeight="1" s="102">
      <c r="A689" s="137">
        <f>IF($B689="","","CIR-"&amp;TEXT(ROW()-BaslangicSatir,"000000"))</f>
        <v/>
      </c>
      <c r="B689" s="143" t="n"/>
      <c r="C689" s="143" t="n"/>
      <c r="D689" s="143" t="n"/>
      <c r="E689" s="143" t="n"/>
      <c r="F689" s="143" t="n"/>
      <c r="G689" s="143" t="n"/>
      <c r="H689" s="143" t="n"/>
      <c r="I689" s="143" t="n"/>
      <c r="J689" s="143" t="n"/>
    </row>
    <row r="690" ht="18" customHeight="1" s="102">
      <c r="A690" s="137">
        <f>IF($B690="","","CIR-"&amp;TEXT(ROW()-BaslangicSatir,"000000"))</f>
        <v/>
      </c>
      <c r="B690" s="143" t="n"/>
      <c r="C690" s="143" t="n"/>
      <c r="D690" s="143" t="n"/>
      <c r="E690" s="143" t="n"/>
      <c r="F690" s="143" t="n"/>
      <c r="G690" s="143" t="n"/>
      <c r="H690" s="143" t="n"/>
      <c r="I690" s="143" t="n"/>
      <c r="J690" s="143" t="n"/>
    </row>
    <row r="691" ht="18" customHeight="1" s="102">
      <c r="A691" s="137">
        <f>IF($B691="","","CIR-"&amp;TEXT(ROW()-BaslangicSatir,"000000"))</f>
        <v/>
      </c>
      <c r="B691" s="143" t="n"/>
      <c r="C691" s="143" t="n"/>
      <c r="D691" s="143" t="n"/>
      <c r="E691" s="143" t="n"/>
      <c r="F691" s="143" t="n"/>
      <c r="G691" s="143" t="n"/>
      <c r="H691" s="143" t="n"/>
      <c r="I691" s="143" t="n"/>
      <c r="J691" s="143" t="n"/>
    </row>
    <row r="692" ht="18" customHeight="1" s="102">
      <c r="A692" s="137">
        <f>IF($B692="","","CIR-"&amp;TEXT(ROW()-BaslangicSatir,"000000"))</f>
        <v/>
      </c>
      <c r="B692" s="143" t="n"/>
      <c r="C692" s="143" t="n"/>
      <c r="D692" s="143" t="n"/>
      <c r="E692" s="143" t="n"/>
      <c r="F692" s="143" t="n"/>
      <c r="G692" s="143" t="n"/>
      <c r="H692" s="143" t="n"/>
      <c r="I692" s="143" t="n"/>
      <c r="J692" s="143" t="n"/>
    </row>
    <row r="693" ht="18" customHeight="1" s="102">
      <c r="A693" s="137">
        <f>IF($B693="","","CIR-"&amp;TEXT(ROW()-BaslangicSatir,"000000"))</f>
        <v/>
      </c>
      <c r="B693" s="143" t="n"/>
      <c r="C693" s="143" t="n"/>
      <c r="D693" s="143" t="n"/>
      <c r="E693" s="143" t="n"/>
      <c r="F693" s="143" t="n"/>
      <c r="G693" s="143" t="n"/>
      <c r="H693" s="143" t="n"/>
      <c r="I693" s="143" t="n"/>
      <c r="J693" s="143" t="n"/>
    </row>
    <row r="694" ht="18" customHeight="1" s="102">
      <c r="A694" s="137">
        <f>IF($B694="","","CIR-"&amp;TEXT(ROW()-BaslangicSatir,"000000"))</f>
        <v/>
      </c>
      <c r="B694" s="143" t="n"/>
      <c r="C694" s="143" t="n"/>
      <c r="D694" s="143" t="n"/>
      <c r="E694" s="143" t="n"/>
      <c r="F694" s="143" t="n"/>
      <c r="G694" s="143" t="n"/>
      <c r="H694" s="143" t="n"/>
      <c r="I694" s="143" t="n"/>
      <c r="J694" s="143" t="n"/>
    </row>
    <row r="695" ht="18" customHeight="1" s="102">
      <c r="A695" s="137">
        <f>IF($B695="","","CIR-"&amp;TEXT(ROW()-BaslangicSatir,"000000"))</f>
        <v/>
      </c>
      <c r="B695" s="143" t="n"/>
      <c r="C695" s="143" t="n"/>
      <c r="D695" s="143" t="n"/>
      <c r="E695" s="143" t="n"/>
      <c r="F695" s="143" t="n"/>
      <c r="G695" s="143" t="n"/>
      <c r="H695" s="143" t="n"/>
      <c r="I695" s="143" t="n"/>
      <c r="J695" s="143" t="n"/>
    </row>
    <row r="696" ht="18" customHeight="1" s="102">
      <c r="A696" s="137">
        <f>IF($B696="","","CIR-"&amp;TEXT(ROW()-BaslangicSatir,"000000"))</f>
        <v/>
      </c>
      <c r="B696" s="143" t="n"/>
      <c r="C696" s="143" t="n"/>
      <c r="D696" s="143" t="n"/>
      <c r="E696" s="143" t="n"/>
      <c r="F696" s="143" t="n"/>
      <c r="G696" s="143" t="n"/>
      <c r="H696" s="143" t="n"/>
      <c r="I696" s="143" t="n"/>
      <c r="J696" s="143" t="n"/>
    </row>
    <row r="697" ht="18" customHeight="1" s="102">
      <c r="A697" s="137">
        <f>IF($B697="","","CIR-"&amp;TEXT(ROW()-BaslangicSatir,"000000"))</f>
        <v/>
      </c>
      <c r="B697" s="143" t="n"/>
      <c r="C697" s="143" t="n"/>
      <c r="D697" s="143" t="n"/>
      <c r="E697" s="143" t="n"/>
      <c r="F697" s="143" t="n"/>
      <c r="G697" s="143" t="n"/>
      <c r="H697" s="143" t="n"/>
      <c r="I697" s="143" t="n"/>
      <c r="J697" s="143" t="n"/>
    </row>
    <row r="698" ht="18" customHeight="1" s="102">
      <c r="A698" s="137">
        <f>IF($B698="","","CIR-"&amp;TEXT(ROW()-BaslangicSatir,"000000"))</f>
        <v/>
      </c>
      <c r="B698" s="143" t="n"/>
      <c r="C698" s="143" t="n"/>
      <c r="D698" s="143" t="n"/>
      <c r="E698" s="143" t="n"/>
      <c r="F698" s="143" t="n"/>
      <c r="G698" s="143" t="n"/>
      <c r="H698" s="143" t="n"/>
      <c r="I698" s="143" t="n"/>
      <c r="J698" s="143" t="n"/>
    </row>
    <row r="699" ht="18" customHeight="1" s="102">
      <c r="A699" s="137">
        <f>IF($B699="","","CIR-"&amp;TEXT(ROW()-BaslangicSatir,"000000"))</f>
        <v/>
      </c>
      <c r="B699" s="143" t="n"/>
      <c r="C699" s="143" t="n"/>
      <c r="D699" s="143" t="n"/>
      <c r="E699" s="143" t="n"/>
      <c r="F699" s="143" t="n"/>
      <c r="G699" s="143" t="n"/>
      <c r="H699" s="143" t="n"/>
      <c r="I699" s="143" t="n"/>
      <c r="J699" s="143" t="n"/>
    </row>
    <row r="700" ht="18" customHeight="1" s="102">
      <c r="A700" s="137">
        <f>IF($B700="","","CIR-"&amp;TEXT(ROW()-BaslangicSatir,"000000"))</f>
        <v/>
      </c>
      <c r="B700" s="143" t="n"/>
      <c r="C700" s="143" t="n"/>
      <c r="D700" s="143" t="n"/>
      <c r="E700" s="143" t="n"/>
      <c r="F700" s="143" t="n"/>
      <c r="G700" s="143" t="n"/>
      <c r="H700" s="143" t="n"/>
      <c r="I700" s="143" t="n"/>
      <c r="J700" s="143" t="n"/>
    </row>
    <row r="701" ht="18" customHeight="1" s="102">
      <c r="A701" s="137">
        <f>IF($B701="","","CIR-"&amp;TEXT(ROW()-BaslangicSatir,"000000"))</f>
        <v/>
      </c>
      <c r="B701" s="143" t="n"/>
      <c r="C701" s="143" t="n"/>
      <c r="D701" s="143" t="n"/>
      <c r="E701" s="143" t="n"/>
      <c r="F701" s="143" t="n"/>
      <c r="G701" s="143" t="n"/>
      <c r="H701" s="143" t="n"/>
      <c r="I701" s="143" t="n"/>
      <c r="J701" s="143" t="n"/>
    </row>
    <row r="702" ht="18" customHeight="1" s="102">
      <c r="A702" s="137">
        <f>IF($B702="","","CIR-"&amp;TEXT(ROW()-BaslangicSatir,"000000"))</f>
        <v/>
      </c>
      <c r="B702" s="143" t="n"/>
      <c r="C702" s="143" t="n"/>
      <c r="D702" s="143" t="n"/>
      <c r="E702" s="143" t="n"/>
      <c r="F702" s="143" t="n"/>
      <c r="G702" s="143" t="n"/>
      <c r="H702" s="143" t="n"/>
      <c r="I702" s="143" t="n"/>
      <c r="J702" s="143" t="n"/>
    </row>
    <row r="703" ht="18" customHeight="1" s="102">
      <c r="A703" s="137">
        <f>IF($B703="","","CIR-"&amp;TEXT(ROW()-BaslangicSatir,"000000"))</f>
        <v/>
      </c>
      <c r="B703" s="143" t="n"/>
      <c r="C703" s="143" t="n"/>
      <c r="D703" s="143" t="n"/>
      <c r="E703" s="143" t="n"/>
      <c r="F703" s="143" t="n"/>
      <c r="G703" s="143" t="n"/>
      <c r="H703" s="143" t="n"/>
      <c r="I703" s="143" t="n"/>
      <c r="J703" s="143" t="n"/>
    </row>
    <row r="704" ht="18" customHeight="1" s="102">
      <c r="A704" s="137">
        <f>IF($B704="","","CIR-"&amp;TEXT(ROW()-BaslangicSatir,"000000"))</f>
        <v/>
      </c>
      <c r="B704" s="143" t="n"/>
      <c r="C704" s="143" t="n"/>
      <c r="D704" s="143" t="n"/>
      <c r="E704" s="143" t="n"/>
      <c r="F704" s="143" t="n"/>
      <c r="G704" s="143" t="n"/>
      <c r="H704" s="143" t="n"/>
      <c r="I704" s="143" t="n"/>
      <c r="J704" s="143" t="n"/>
    </row>
    <row r="705" ht="18" customHeight="1" s="102">
      <c r="A705" s="137">
        <f>IF($B705="","","CIR-"&amp;TEXT(ROW()-BaslangicSatir,"000000"))</f>
        <v/>
      </c>
      <c r="B705" s="143" t="n"/>
      <c r="C705" s="143" t="n"/>
      <c r="D705" s="143" t="n"/>
      <c r="E705" s="143" t="n"/>
      <c r="F705" s="143" t="n"/>
      <c r="G705" s="143" t="n"/>
      <c r="H705" s="143" t="n"/>
      <c r="I705" s="143" t="n"/>
      <c r="J705" s="143" t="n"/>
    </row>
    <row r="706" ht="18" customHeight="1" s="102">
      <c r="A706" s="137">
        <f>IF($B706="","","CIR-"&amp;TEXT(ROW()-BaslangicSatir,"000000"))</f>
        <v/>
      </c>
      <c r="B706" s="143" t="n"/>
      <c r="C706" s="143" t="n"/>
      <c r="D706" s="143" t="n"/>
      <c r="E706" s="143" t="n"/>
      <c r="F706" s="143" t="n"/>
      <c r="G706" s="143" t="n"/>
      <c r="H706" s="143" t="n"/>
      <c r="I706" s="143" t="n"/>
      <c r="J706" s="143" t="n"/>
    </row>
    <row r="707" ht="18" customHeight="1" s="102">
      <c r="A707" s="137">
        <f>IF($B707="","","CIR-"&amp;TEXT(ROW()-BaslangicSatir,"000000"))</f>
        <v/>
      </c>
      <c r="B707" s="143" t="n"/>
      <c r="C707" s="143" t="n"/>
      <c r="D707" s="143" t="n"/>
      <c r="E707" s="143" t="n"/>
      <c r="F707" s="143" t="n"/>
      <c r="G707" s="143" t="n"/>
      <c r="H707" s="143" t="n"/>
      <c r="I707" s="143" t="n"/>
      <c r="J707" s="143" t="n"/>
    </row>
    <row r="708" ht="18" customHeight="1" s="102">
      <c r="A708" s="137">
        <f>IF($B708="","","CIR-"&amp;TEXT(ROW()-BaslangicSatir,"000000"))</f>
        <v/>
      </c>
      <c r="B708" s="143" t="n"/>
      <c r="C708" s="143" t="n"/>
      <c r="D708" s="143" t="n"/>
      <c r="E708" s="143" t="n"/>
      <c r="F708" s="143" t="n"/>
      <c r="G708" s="143" t="n"/>
      <c r="H708" s="143" t="n"/>
      <c r="I708" s="143" t="n"/>
      <c r="J708" s="143" t="n"/>
    </row>
    <row r="709" ht="18" customHeight="1" s="102">
      <c r="A709" s="137">
        <f>IF($B709="","","CIR-"&amp;TEXT(ROW()-BaslangicSatir,"000000"))</f>
        <v/>
      </c>
      <c r="B709" s="143" t="n"/>
      <c r="C709" s="143" t="n"/>
      <c r="D709" s="143" t="n"/>
      <c r="E709" s="143" t="n"/>
      <c r="F709" s="143" t="n"/>
      <c r="G709" s="143" t="n"/>
      <c r="H709" s="143" t="n"/>
      <c r="I709" s="143" t="n"/>
      <c r="J709" s="143" t="n"/>
    </row>
    <row r="710" ht="18" customHeight="1" s="102">
      <c r="A710" s="137">
        <f>IF($B710="","","CIR-"&amp;TEXT(ROW()-BaslangicSatir,"000000"))</f>
        <v/>
      </c>
      <c r="B710" s="143" t="n"/>
      <c r="C710" s="143" t="n"/>
      <c r="D710" s="143" t="n"/>
      <c r="E710" s="143" t="n"/>
      <c r="F710" s="143" t="n"/>
      <c r="G710" s="143" t="n"/>
      <c r="H710" s="143" t="n"/>
      <c r="I710" s="143" t="n"/>
      <c r="J710" s="143" t="n"/>
    </row>
    <row r="711" ht="18" customHeight="1" s="102">
      <c r="A711" s="137">
        <f>IF($B711="","","CIR-"&amp;TEXT(ROW()-BaslangicSatir,"000000"))</f>
        <v/>
      </c>
      <c r="B711" s="143" t="n"/>
      <c r="C711" s="143" t="n"/>
      <c r="D711" s="143" t="n"/>
      <c r="E711" s="143" t="n"/>
      <c r="F711" s="143" t="n"/>
      <c r="G711" s="143" t="n"/>
      <c r="H711" s="143" t="n"/>
      <c r="I711" s="143" t="n"/>
      <c r="J711" s="143" t="n"/>
    </row>
    <row r="712" ht="18" customHeight="1" s="102">
      <c r="A712" s="137">
        <f>IF($B712="","","CIR-"&amp;TEXT(ROW()-BaslangicSatir,"000000"))</f>
        <v/>
      </c>
      <c r="B712" s="143" t="n"/>
      <c r="C712" s="143" t="n"/>
      <c r="D712" s="143" t="n"/>
      <c r="E712" s="143" t="n"/>
      <c r="F712" s="143" t="n"/>
      <c r="G712" s="143" t="n"/>
      <c r="H712" s="143" t="n"/>
      <c r="I712" s="143" t="n"/>
      <c r="J712" s="143" t="n"/>
    </row>
    <row r="713" ht="18" customHeight="1" s="102">
      <c r="A713" s="137">
        <f>IF($B713="","","CIR-"&amp;TEXT(ROW()-BaslangicSatir,"000000"))</f>
        <v/>
      </c>
      <c r="B713" s="143" t="n"/>
      <c r="C713" s="143" t="n"/>
      <c r="D713" s="143" t="n"/>
      <c r="E713" s="143" t="n"/>
      <c r="F713" s="143" t="n"/>
      <c r="G713" s="143" t="n"/>
      <c r="H713" s="143" t="n"/>
      <c r="I713" s="143" t="n"/>
      <c r="J713" s="143" t="n"/>
    </row>
    <row r="714" ht="18" customHeight="1" s="102">
      <c r="A714" s="137">
        <f>IF($B714="","","CIR-"&amp;TEXT(ROW()-BaslangicSatir,"000000"))</f>
        <v/>
      </c>
      <c r="B714" s="143" t="n"/>
      <c r="C714" s="143" t="n"/>
      <c r="D714" s="143" t="n"/>
      <c r="E714" s="143" t="n"/>
      <c r="F714" s="143" t="n"/>
      <c r="G714" s="143" t="n"/>
      <c r="H714" s="143" t="n"/>
      <c r="I714" s="143" t="n"/>
      <c r="J714" s="143" t="n"/>
    </row>
    <row r="715" ht="18" customHeight="1" s="102">
      <c r="A715" s="137">
        <f>IF($B715="","","CIR-"&amp;TEXT(ROW()-BaslangicSatir,"000000"))</f>
        <v/>
      </c>
      <c r="B715" s="143" t="n"/>
      <c r="C715" s="143" t="n"/>
      <c r="D715" s="143" t="n"/>
      <c r="E715" s="143" t="n"/>
      <c r="F715" s="143" t="n"/>
      <c r="G715" s="143" t="n"/>
      <c r="H715" s="143" t="n"/>
      <c r="I715" s="143" t="n"/>
      <c r="J715" s="143" t="n"/>
    </row>
    <row r="716" ht="18" customHeight="1" s="102">
      <c r="A716" s="137">
        <f>IF($B716="","","CIR-"&amp;TEXT(ROW()-BaslangicSatir,"000000"))</f>
        <v/>
      </c>
      <c r="B716" s="143" t="n"/>
      <c r="C716" s="143" t="n"/>
      <c r="D716" s="143" t="n"/>
      <c r="E716" s="143" t="n"/>
      <c r="F716" s="143" t="n"/>
      <c r="G716" s="143" t="n"/>
      <c r="H716" s="143" t="n"/>
      <c r="I716" s="143" t="n"/>
      <c r="J716" s="143" t="n"/>
    </row>
    <row r="717" ht="18" customHeight="1" s="102">
      <c r="A717" s="137">
        <f>IF($B717="","","CIR-"&amp;TEXT(ROW()-BaslangicSatir,"000000"))</f>
        <v/>
      </c>
      <c r="B717" s="143" t="n"/>
      <c r="C717" s="143" t="n"/>
      <c r="D717" s="143" t="n"/>
      <c r="E717" s="143" t="n"/>
      <c r="F717" s="143" t="n"/>
      <c r="G717" s="143" t="n"/>
      <c r="H717" s="143" t="n"/>
      <c r="I717" s="143" t="n"/>
      <c r="J717" s="143" t="n"/>
    </row>
    <row r="718" ht="18" customHeight="1" s="102">
      <c r="A718" s="137">
        <f>IF($B718="","","CIR-"&amp;TEXT(ROW()-BaslangicSatir,"000000"))</f>
        <v/>
      </c>
      <c r="B718" s="143" t="n"/>
      <c r="C718" s="143" t="n"/>
      <c r="D718" s="143" t="n"/>
      <c r="E718" s="143" t="n"/>
      <c r="F718" s="143" t="n"/>
      <c r="G718" s="143" t="n"/>
      <c r="H718" s="143" t="n"/>
      <c r="I718" s="143" t="n"/>
      <c r="J718" s="143" t="n"/>
    </row>
    <row r="719" ht="18" customHeight="1" s="102">
      <c r="A719" s="137">
        <f>IF($B719="","","CIR-"&amp;TEXT(ROW()-BaslangicSatir,"000000"))</f>
        <v/>
      </c>
      <c r="B719" s="143" t="n"/>
      <c r="C719" s="143" t="n"/>
      <c r="D719" s="143" t="n"/>
      <c r="E719" s="143" t="n"/>
      <c r="F719" s="143" t="n"/>
      <c r="G719" s="143" t="n"/>
      <c r="H719" s="143" t="n"/>
      <c r="I719" s="143" t="n"/>
      <c r="J719" s="143" t="n"/>
    </row>
    <row r="720" ht="18" customHeight="1" s="102">
      <c r="A720" s="137">
        <f>IF($B720="","","CIR-"&amp;TEXT(ROW()-BaslangicSatir,"000000"))</f>
        <v/>
      </c>
      <c r="B720" s="143" t="n"/>
      <c r="C720" s="143" t="n"/>
      <c r="D720" s="143" t="n"/>
      <c r="E720" s="143" t="n"/>
      <c r="F720" s="143" t="n"/>
      <c r="G720" s="143" t="n"/>
      <c r="H720" s="143" t="n"/>
      <c r="I720" s="143" t="n"/>
      <c r="J720" s="143" t="n"/>
    </row>
    <row r="721" ht="18" customHeight="1" s="102">
      <c r="A721" s="137">
        <f>IF($B721="","","CIR-"&amp;TEXT(ROW()-BaslangicSatir,"000000"))</f>
        <v/>
      </c>
      <c r="B721" s="143" t="n"/>
      <c r="C721" s="143" t="n"/>
      <c r="D721" s="143" t="n"/>
      <c r="E721" s="143" t="n"/>
      <c r="F721" s="143" t="n"/>
      <c r="G721" s="143" t="n"/>
      <c r="H721" s="143" t="n"/>
      <c r="I721" s="143" t="n"/>
      <c r="J721" s="143" t="n"/>
    </row>
    <row r="722" ht="18" customHeight="1" s="102">
      <c r="A722" s="137">
        <f>IF($B722="","","CIR-"&amp;TEXT(ROW()-BaslangicSatir,"000000"))</f>
        <v/>
      </c>
      <c r="B722" s="143" t="n"/>
      <c r="C722" s="143" t="n"/>
      <c r="D722" s="143" t="n"/>
      <c r="E722" s="143" t="n"/>
      <c r="F722" s="143" t="n"/>
      <c r="G722" s="143" t="n"/>
      <c r="H722" s="143" t="n"/>
      <c r="I722" s="143" t="n"/>
      <c r="J722" s="143" t="n"/>
    </row>
    <row r="723" ht="18" customHeight="1" s="102">
      <c r="A723" s="137">
        <f>IF($B723="","","CIR-"&amp;TEXT(ROW()-BaslangicSatir,"000000"))</f>
        <v/>
      </c>
      <c r="B723" s="143" t="n"/>
      <c r="C723" s="143" t="n"/>
      <c r="D723" s="143" t="n"/>
      <c r="E723" s="143" t="n"/>
      <c r="F723" s="143" t="n"/>
      <c r="G723" s="143" t="n"/>
      <c r="H723" s="143" t="n"/>
      <c r="I723" s="143" t="n"/>
      <c r="J723" s="143" t="n"/>
    </row>
    <row r="724" ht="18" customHeight="1" s="102">
      <c r="A724" s="137">
        <f>IF($B724="","","CIR-"&amp;TEXT(ROW()-BaslangicSatir,"000000"))</f>
        <v/>
      </c>
      <c r="B724" s="143" t="n"/>
      <c r="C724" s="143" t="n"/>
      <c r="D724" s="143" t="n"/>
      <c r="E724" s="143" t="n"/>
      <c r="F724" s="143" t="n"/>
      <c r="G724" s="143" t="n"/>
      <c r="H724" s="143" t="n"/>
      <c r="I724" s="143" t="n"/>
      <c r="J724" s="143" t="n"/>
    </row>
    <row r="725" ht="18" customHeight="1" s="102">
      <c r="A725" s="137">
        <f>IF($B725="","","CIR-"&amp;TEXT(ROW()-BaslangicSatir,"000000"))</f>
        <v/>
      </c>
      <c r="B725" s="143" t="n"/>
      <c r="C725" s="143" t="n"/>
      <c r="D725" s="143" t="n"/>
      <c r="E725" s="143" t="n"/>
      <c r="F725" s="143" t="n"/>
      <c r="G725" s="143" t="n"/>
      <c r="H725" s="143" t="n"/>
      <c r="I725" s="143" t="n"/>
      <c r="J725" s="143" t="n"/>
    </row>
    <row r="726" ht="18" customHeight="1" s="102">
      <c r="A726" s="137">
        <f>IF($B726="","","CIR-"&amp;TEXT(ROW()-BaslangicSatir,"000000"))</f>
        <v/>
      </c>
      <c r="B726" s="143" t="n"/>
      <c r="C726" s="143" t="n"/>
      <c r="D726" s="143" t="n"/>
      <c r="E726" s="143" t="n"/>
      <c r="F726" s="143" t="n"/>
      <c r="G726" s="143" t="n"/>
      <c r="H726" s="143" t="n"/>
      <c r="I726" s="143" t="n"/>
      <c r="J726" s="143" t="n"/>
    </row>
    <row r="727" ht="18" customHeight="1" s="102">
      <c r="A727" s="137">
        <f>IF($B727="","","CIR-"&amp;TEXT(ROW()-BaslangicSatir,"000000"))</f>
        <v/>
      </c>
      <c r="B727" s="143" t="n"/>
      <c r="C727" s="143" t="n"/>
      <c r="D727" s="143" t="n"/>
      <c r="E727" s="143" t="n"/>
      <c r="F727" s="143" t="n"/>
      <c r="G727" s="143" t="n"/>
      <c r="H727" s="143" t="n"/>
      <c r="I727" s="143" t="n"/>
      <c r="J727" s="143" t="n"/>
    </row>
    <row r="728" ht="18" customHeight="1" s="102">
      <c r="A728" s="137">
        <f>IF($B728="","","CIR-"&amp;TEXT(ROW()-BaslangicSatir,"000000"))</f>
        <v/>
      </c>
      <c r="B728" s="143" t="n"/>
      <c r="C728" s="143" t="n"/>
      <c r="D728" s="143" t="n"/>
      <c r="E728" s="143" t="n"/>
      <c r="F728" s="143" t="n"/>
      <c r="G728" s="143" t="n"/>
      <c r="H728" s="143" t="n"/>
      <c r="I728" s="143" t="n"/>
      <c r="J728" s="143" t="n"/>
    </row>
    <row r="729" ht="18" customHeight="1" s="102">
      <c r="A729" s="137">
        <f>IF($B729="","","CIR-"&amp;TEXT(ROW()-BaslangicSatir,"000000"))</f>
        <v/>
      </c>
      <c r="B729" s="143" t="n"/>
      <c r="C729" s="143" t="n"/>
      <c r="D729" s="143" t="n"/>
      <c r="E729" s="143" t="n"/>
      <c r="F729" s="143" t="n"/>
      <c r="G729" s="143" t="n"/>
      <c r="H729" s="143" t="n"/>
      <c r="I729" s="143" t="n"/>
      <c r="J729" s="143" t="n"/>
    </row>
    <row r="730" ht="18" customHeight="1" s="102">
      <c r="A730" s="137">
        <f>IF($B730="","","CIR-"&amp;TEXT(ROW()-BaslangicSatir,"000000"))</f>
        <v/>
      </c>
      <c r="B730" s="143" t="n"/>
      <c r="C730" s="143" t="n"/>
      <c r="D730" s="143" t="n"/>
      <c r="E730" s="143" t="n"/>
      <c r="F730" s="143" t="n"/>
      <c r="G730" s="143" t="n"/>
      <c r="H730" s="143" t="n"/>
      <c r="I730" s="143" t="n"/>
      <c r="J730" s="143" t="n"/>
    </row>
    <row r="731" ht="18" customHeight="1" s="102">
      <c r="A731" s="137">
        <f>IF($B731="","","CIR-"&amp;TEXT(ROW()-BaslangicSatir,"000000"))</f>
        <v/>
      </c>
      <c r="B731" s="143" t="n"/>
      <c r="C731" s="143" t="n"/>
      <c r="D731" s="143" t="n"/>
      <c r="E731" s="143" t="n"/>
      <c r="F731" s="143" t="n"/>
      <c r="G731" s="143" t="n"/>
      <c r="H731" s="143" t="n"/>
      <c r="I731" s="143" t="n"/>
      <c r="J731" s="143" t="n"/>
    </row>
    <row r="732" ht="18" customHeight="1" s="102">
      <c r="A732" s="137">
        <f>IF($B732="","","CIR-"&amp;TEXT(ROW()-BaslangicSatir,"000000"))</f>
        <v/>
      </c>
      <c r="B732" s="143" t="n"/>
      <c r="C732" s="143" t="n"/>
      <c r="D732" s="143" t="n"/>
      <c r="E732" s="143" t="n"/>
      <c r="F732" s="143" t="n"/>
      <c r="G732" s="143" t="n"/>
      <c r="H732" s="143" t="n"/>
      <c r="I732" s="143" t="n"/>
      <c r="J732" s="143" t="n"/>
    </row>
    <row r="733" ht="18" customHeight="1" s="102">
      <c r="A733" s="137">
        <f>IF($B733="","","CIR-"&amp;TEXT(ROW()-BaslangicSatir,"000000"))</f>
        <v/>
      </c>
      <c r="B733" s="143" t="n"/>
      <c r="C733" s="143" t="n"/>
      <c r="D733" s="143" t="n"/>
      <c r="E733" s="143" t="n"/>
      <c r="F733" s="143" t="n"/>
      <c r="G733" s="143" t="n"/>
      <c r="H733" s="143" t="n"/>
      <c r="I733" s="143" t="n"/>
      <c r="J733" s="143" t="n"/>
    </row>
    <row r="734" ht="18" customHeight="1" s="102">
      <c r="A734" s="137">
        <f>IF($B734="","","CIR-"&amp;TEXT(ROW()-BaslangicSatir,"000000"))</f>
        <v/>
      </c>
      <c r="B734" s="143" t="n"/>
      <c r="C734" s="143" t="n"/>
      <c r="D734" s="143" t="n"/>
      <c r="E734" s="143" t="n"/>
      <c r="F734" s="143" t="n"/>
      <c r="G734" s="143" t="n"/>
      <c r="H734" s="143" t="n"/>
      <c r="I734" s="143" t="n"/>
      <c r="J734" s="143" t="n"/>
    </row>
    <row r="735" ht="18" customHeight="1" s="102">
      <c r="A735" s="137">
        <f>IF($B735="","","CIR-"&amp;TEXT(ROW()-BaslangicSatir,"000000"))</f>
        <v/>
      </c>
      <c r="B735" s="143" t="n"/>
      <c r="C735" s="143" t="n"/>
      <c r="D735" s="143" t="n"/>
      <c r="E735" s="143" t="n"/>
      <c r="F735" s="143" t="n"/>
      <c r="G735" s="143" t="n"/>
      <c r="H735" s="143" t="n"/>
      <c r="I735" s="143" t="n"/>
      <c r="J735" s="143" t="n"/>
    </row>
    <row r="736" ht="18" customHeight="1" s="102">
      <c r="A736" s="137">
        <f>IF($B736="","","CIR-"&amp;TEXT(ROW()-BaslangicSatir,"000000"))</f>
        <v/>
      </c>
      <c r="B736" s="143" t="n"/>
      <c r="C736" s="143" t="n"/>
      <c r="D736" s="143" t="n"/>
      <c r="E736" s="143" t="n"/>
      <c r="F736" s="143" t="n"/>
      <c r="G736" s="143" t="n"/>
      <c r="H736" s="143" t="n"/>
      <c r="I736" s="143" t="n"/>
      <c r="J736" s="143" t="n"/>
    </row>
    <row r="737" ht="18" customHeight="1" s="102">
      <c r="A737" s="137">
        <f>IF($B737="","","CIR-"&amp;TEXT(ROW()-BaslangicSatir,"000000"))</f>
        <v/>
      </c>
      <c r="B737" s="143" t="n"/>
      <c r="C737" s="143" t="n"/>
      <c r="D737" s="143" t="n"/>
      <c r="E737" s="143" t="n"/>
      <c r="F737" s="143" t="n"/>
      <c r="G737" s="143" t="n"/>
      <c r="H737" s="143" t="n"/>
      <c r="I737" s="143" t="n"/>
      <c r="J737" s="143" t="n"/>
    </row>
    <row r="738" ht="18" customHeight="1" s="102">
      <c r="A738" s="137">
        <f>IF($B738="","","CIR-"&amp;TEXT(ROW()-BaslangicSatir,"000000"))</f>
        <v/>
      </c>
      <c r="B738" s="143" t="n"/>
      <c r="C738" s="143" t="n"/>
      <c r="D738" s="143" t="n"/>
      <c r="E738" s="143" t="n"/>
      <c r="F738" s="143" t="n"/>
      <c r="G738" s="143" t="n"/>
      <c r="H738" s="143" t="n"/>
      <c r="I738" s="143" t="n"/>
      <c r="J738" s="143" t="n"/>
    </row>
    <row r="739" ht="18" customHeight="1" s="102">
      <c r="A739" s="137">
        <f>IF($B739="","","CIR-"&amp;TEXT(ROW()-BaslangicSatir,"000000"))</f>
        <v/>
      </c>
      <c r="B739" s="143" t="n"/>
      <c r="C739" s="143" t="n"/>
      <c r="D739" s="143" t="n"/>
      <c r="E739" s="143" t="n"/>
      <c r="F739" s="143" t="n"/>
      <c r="G739" s="143" t="n"/>
      <c r="H739" s="143" t="n"/>
      <c r="I739" s="143" t="n"/>
      <c r="J739" s="143" t="n"/>
    </row>
    <row r="740" ht="18" customHeight="1" s="102">
      <c r="A740" s="137">
        <f>IF($B740="","","CIR-"&amp;TEXT(ROW()-BaslangicSatir,"000000"))</f>
        <v/>
      </c>
      <c r="B740" s="143" t="n"/>
      <c r="C740" s="143" t="n"/>
      <c r="D740" s="143" t="n"/>
      <c r="E740" s="143" t="n"/>
      <c r="F740" s="143" t="n"/>
      <c r="G740" s="143" t="n"/>
      <c r="H740" s="143" t="n"/>
      <c r="I740" s="143" t="n"/>
      <c r="J740" s="143" t="n"/>
    </row>
    <row r="741" ht="18" customHeight="1" s="102">
      <c r="A741" s="137">
        <f>IF($B741="","","CIR-"&amp;TEXT(ROW()-BaslangicSatir,"000000"))</f>
        <v/>
      </c>
      <c r="B741" s="143" t="n"/>
      <c r="C741" s="143" t="n"/>
      <c r="D741" s="143" t="n"/>
      <c r="E741" s="143" t="n"/>
      <c r="F741" s="143" t="n"/>
      <c r="G741" s="143" t="n"/>
      <c r="H741" s="143" t="n"/>
      <c r="I741" s="143" t="n"/>
      <c r="J741" s="143" t="n"/>
    </row>
    <row r="742" ht="18" customHeight="1" s="102">
      <c r="A742" s="137">
        <f>IF($B742="","","CIR-"&amp;TEXT(ROW()-BaslangicSatir,"000000"))</f>
        <v/>
      </c>
      <c r="B742" s="143" t="n"/>
      <c r="C742" s="143" t="n"/>
      <c r="D742" s="143" t="n"/>
      <c r="E742" s="143" t="n"/>
      <c r="F742" s="143" t="n"/>
      <c r="G742" s="143" t="n"/>
      <c r="H742" s="143" t="n"/>
      <c r="I742" s="143" t="n"/>
      <c r="J742" s="143" t="n"/>
    </row>
    <row r="743" ht="18" customHeight="1" s="102">
      <c r="A743" s="137">
        <f>IF($B743="","","CIR-"&amp;TEXT(ROW()-BaslangicSatir,"000000"))</f>
        <v/>
      </c>
      <c r="B743" s="143" t="n"/>
      <c r="C743" s="143" t="n"/>
      <c r="D743" s="143" t="n"/>
      <c r="E743" s="143" t="n"/>
      <c r="F743" s="143" t="n"/>
      <c r="G743" s="143" t="n"/>
      <c r="H743" s="143" t="n"/>
      <c r="I743" s="143" t="n"/>
      <c r="J743" s="143" t="n"/>
    </row>
    <row r="744" ht="18" customHeight="1" s="102">
      <c r="A744" s="137">
        <f>IF($B744="","","CIR-"&amp;TEXT(ROW()-BaslangicSatir,"000000"))</f>
        <v/>
      </c>
      <c r="B744" s="143" t="n"/>
      <c r="C744" s="143" t="n"/>
      <c r="D744" s="143" t="n"/>
      <c r="E744" s="143" t="n"/>
      <c r="F744" s="143" t="n"/>
      <c r="G744" s="143" t="n"/>
      <c r="H744" s="143" t="n"/>
      <c r="I744" s="143" t="n"/>
      <c r="J744" s="143" t="n"/>
    </row>
    <row r="745" ht="18" customHeight="1" s="102">
      <c r="A745" s="137">
        <f>IF($B745="","","CIR-"&amp;TEXT(ROW()-BaslangicSatir,"000000"))</f>
        <v/>
      </c>
      <c r="B745" s="143" t="n"/>
      <c r="C745" s="143" t="n"/>
      <c r="D745" s="143" t="n"/>
      <c r="E745" s="143" t="n"/>
      <c r="F745" s="143" t="n"/>
      <c r="G745" s="143" t="n"/>
      <c r="H745" s="143" t="n"/>
      <c r="I745" s="143" t="n"/>
      <c r="J745" s="143" t="n"/>
    </row>
    <row r="746" ht="18" customHeight="1" s="102">
      <c r="A746" s="137">
        <f>IF($B746="","","CIR-"&amp;TEXT(ROW()-BaslangicSatir,"000000"))</f>
        <v/>
      </c>
      <c r="B746" s="143" t="n"/>
      <c r="C746" s="143" t="n"/>
      <c r="D746" s="143" t="n"/>
      <c r="E746" s="143" t="n"/>
      <c r="F746" s="143" t="n"/>
      <c r="G746" s="143" t="n"/>
      <c r="H746" s="143" t="n"/>
      <c r="I746" s="143" t="n"/>
      <c r="J746" s="143" t="n"/>
    </row>
    <row r="747" ht="18" customHeight="1" s="102">
      <c r="A747" s="137">
        <f>IF($B747="","","CIR-"&amp;TEXT(ROW()-BaslangicSatir,"000000"))</f>
        <v/>
      </c>
      <c r="B747" s="143" t="n"/>
      <c r="C747" s="143" t="n"/>
      <c r="D747" s="143" t="n"/>
      <c r="E747" s="143" t="n"/>
      <c r="F747" s="143" t="n"/>
      <c r="G747" s="143" t="n"/>
      <c r="H747" s="143" t="n"/>
      <c r="I747" s="143" t="n"/>
      <c r="J747" s="143" t="n"/>
    </row>
    <row r="748" ht="18" customHeight="1" s="102">
      <c r="A748" s="137">
        <f>IF($B748="","","CIR-"&amp;TEXT(ROW()-BaslangicSatir,"000000"))</f>
        <v/>
      </c>
      <c r="B748" s="143" t="n"/>
      <c r="C748" s="143" t="n"/>
      <c r="D748" s="143" t="n"/>
      <c r="E748" s="143" t="n"/>
      <c r="F748" s="143" t="n"/>
      <c r="G748" s="143" t="n"/>
      <c r="H748" s="143" t="n"/>
      <c r="I748" s="143" t="n"/>
      <c r="J748" s="143" t="n"/>
    </row>
    <row r="749" ht="18" customHeight="1" s="102">
      <c r="A749" s="137">
        <f>IF($B749="","","CIR-"&amp;TEXT(ROW()-BaslangicSatir,"000000"))</f>
        <v/>
      </c>
      <c r="B749" s="143" t="n"/>
      <c r="C749" s="143" t="n"/>
      <c r="D749" s="143" t="n"/>
      <c r="E749" s="143" t="n"/>
      <c r="F749" s="143" t="n"/>
      <c r="G749" s="143" t="n"/>
      <c r="H749" s="143" t="n"/>
      <c r="I749" s="143" t="n"/>
      <c r="J749" s="143" t="n"/>
    </row>
    <row r="750" ht="18" customHeight="1" s="102">
      <c r="A750" s="137">
        <f>IF($B750="","","CIR-"&amp;TEXT(ROW()-BaslangicSatir,"000000"))</f>
        <v/>
      </c>
      <c r="B750" s="143" t="n"/>
      <c r="C750" s="143" t="n"/>
      <c r="D750" s="143" t="n"/>
      <c r="E750" s="143" t="n"/>
      <c r="F750" s="143" t="n"/>
      <c r="G750" s="143" t="n"/>
      <c r="H750" s="143" t="n"/>
      <c r="I750" s="143" t="n"/>
      <c r="J750" s="143" t="n"/>
    </row>
    <row r="751" ht="18" customHeight="1" s="102">
      <c r="A751" s="137">
        <f>IF($B751="","","CIR-"&amp;TEXT(ROW()-BaslangicSatir,"000000"))</f>
        <v/>
      </c>
      <c r="B751" s="143" t="n"/>
      <c r="C751" s="143" t="n"/>
      <c r="D751" s="143" t="n"/>
      <c r="E751" s="143" t="n"/>
      <c r="F751" s="143" t="n"/>
      <c r="G751" s="143" t="n"/>
      <c r="H751" s="143" t="n"/>
      <c r="I751" s="143" t="n"/>
      <c r="J751" s="143" t="n"/>
    </row>
    <row r="752" ht="18" customHeight="1" s="102">
      <c r="A752" s="137">
        <f>IF($B752="","","CIR-"&amp;TEXT(ROW()-BaslangicSatir,"000000"))</f>
        <v/>
      </c>
      <c r="B752" s="143" t="n"/>
      <c r="C752" s="143" t="n"/>
      <c r="D752" s="143" t="n"/>
      <c r="E752" s="143" t="n"/>
      <c r="F752" s="143" t="n"/>
      <c r="G752" s="143" t="n"/>
      <c r="H752" s="143" t="n"/>
      <c r="I752" s="143" t="n"/>
      <c r="J752" s="143" t="n"/>
    </row>
    <row r="753" ht="18" customHeight="1" s="102">
      <c r="A753" s="137">
        <f>IF($B753="","","CIR-"&amp;TEXT(ROW()-BaslangicSatir,"000000"))</f>
        <v/>
      </c>
      <c r="B753" s="143" t="n"/>
      <c r="C753" s="143" t="n"/>
      <c r="D753" s="143" t="n"/>
      <c r="E753" s="143" t="n"/>
      <c r="F753" s="143" t="n"/>
      <c r="G753" s="143" t="n"/>
      <c r="H753" s="143" t="n"/>
      <c r="I753" s="143" t="n"/>
      <c r="J753" s="143" t="n"/>
    </row>
    <row r="754" ht="18" customHeight="1" s="102">
      <c r="A754" s="137">
        <f>IF($B754="","","CIR-"&amp;TEXT(ROW()-BaslangicSatir,"000000"))</f>
        <v/>
      </c>
      <c r="B754" s="143" t="n"/>
      <c r="C754" s="143" t="n"/>
      <c r="D754" s="143" t="n"/>
      <c r="E754" s="143" t="n"/>
      <c r="F754" s="143" t="n"/>
      <c r="G754" s="143" t="n"/>
      <c r="H754" s="143" t="n"/>
      <c r="I754" s="143" t="n"/>
      <c r="J754" s="143" t="n"/>
    </row>
    <row r="755" ht="18" customHeight="1" s="102">
      <c r="A755" s="137">
        <f>IF($B755="","","CIR-"&amp;TEXT(ROW()-BaslangicSatir,"000000"))</f>
        <v/>
      </c>
      <c r="B755" s="143" t="n"/>
      <c r="C755" s="143" t="n"/>
      <c r="D755" s="143" t="n"/>
      <c r="E755" s="143" t="n"/>
      <c r="F755" s="143" t="n"/>
      <c r="G755" s="143" t="n"/>
      <c r="H755" s="143" t="n"/>
      <c r="I755" s="143" t="n"/>
      <c r="J755" s="143" t="n"/>
    </row>
    <row r="756" ht="18" customHeight="1" s="102">
      <c r="A756" s="137">
        <f>IF($B756="","","CIR-"&amp;TEXT(ROW()-BaslangicSatir,"000000"))</f>
        <v/>
      </c>
      <c r="B756" s="143" t="n"/>
      <c r="C756" s="143" t="n"/>
      <c r="D756" s="143" t="n"/>
      <c r="E756" s="143" t="n"/>
      <c r="F756" s="143" t="n"/>
      <c r="G756" s="143" t="n"/>
      <c r="H756" s="143" t="n"/>
      <c r="I756" s="143" t="n"/>
      <c r="J756" s="143" t="n"/>
    </row>
    <row r="757" ht="18" customHeight="1" s="102">
      <c r="A757" s="137">
        <f>IF($B757="","","CIR-"&amp;TEXT(ROW()-BaslangicSatir,"000000"))</f>
        <v/>
      </c>
      <c r="B757" s="143" t="n"/>
      <c r="C757" s="143" t="n"/>
      <c r="D757" s="143" t="n"/>
      <c r="E757" s="143" t="n"/>
      <c r="F757" s="143" t="n"/>
      <c r="G757" s="143" t="n"/>
      <c r="H757" s="143" t="n"/>
      <c r="I757" s="143" t="n"/>
      <c r="J757" s="143" t="n"/>
    </row>
    <row r="758" ht="18" customHeight="1" s="102">
      <c r="A758" s="137">
        <f>IF($B758="","","CIR-"&amp;TEXT(ROW()-BaslangicSatir,"000000"))</f>
        <v/>
      </c>
      <c r="B758" s="143" t="n"/>
      <c r="C758" s="143" t="n"/>
      <c r="D758" s="143" t="n"/>
      <c r="E758" s="143" t="n"/>
      <c r="F758" s="143" t="n"/>
      <c r="G758" s="143" t="n"/>
      <c r="H758" s="143" t="n"/>
      <c r="I758" s="143" t="n"/>
      <c r="J758" s="143" t="n"/>
    </row>
    <row r="759" ht="18" customHeight="1" s="102">
      <c r="A759" s="137">
        <f>IF($B759="","","CIR-"&amp;TEXT(ROW()-BaslangicSatir,"000000"))</f>
        <v/>
      </c>
      <c r="B759" s="143" t="n"/>
      <c r="C759" s="143" t="n"/>
      <c r="D759" s="143" t="n"/>
      <c r="E759" s="143" t="n"/>
      <c r="F759" s="143" t="n"/>
      <c r="G759" s="143" t="n"/>
      <c r="H759" s="143" t="n"/>
      <c r="I759" s="143" t="n"/>
      <c r="J759" s="143" t="n"/>
    </row>
    <row r="760" ht="18" customHeight="1" s="102">
      <c r="A760" s="137">
        <f>IF($B760="","","CIR-"&amp;TEXT(ROW()-BaslangicSatir,"000000"))</f>
        <v/>
      </c>
      <c r="B760" s="143" t="n"/>
      <c r="C760" s="143" t="n"/>
      <c r="D760" s="143" t="n"/>
      <c r="E760" s="143" t="n"/>
      <c r="F760" s="143" t="n"/>
      <c r="G760" s="143" t="n"/>
      <c r="H760" s="143" t="n"/>
      <c r="I760" s="143" t="n"/>
      <c r="J760" s="143" t="n"/>
    </row>
    <row r="761" ht="18" customHeight="1" s="102">
      <c r="A761" s="137">
        <f>IF($B761="","","CIR-"&amp;TEXT(ROW()-BaslangicSatir,"000000"))</f>
        <v/>
      </c>
      <c r="B761" s="143" t="n"/>
      <c r="C761" s="143" t="n"/>
      <c r="D761" s="143" t="n"/>
      <c r="E761" s="143" t="n"/>
      <c r="F761" s="143" t="n"/>
      <c r="G761" s="143" t="n"/>
      <c r="H761" s="143" t="n"/>
      <c r="I761" s="143" t="n"/>
      <c r="J761" s="143" t="n"/>
    </row>
    <row r="762" ht="18" customHeight="1" s="102">
      <c r="A762" s="137">
        <f>IF($B762="","","CIR-"&amp;TEXT(ROW()-BaslangicSatir,"000000"))</f>
        <v/>
      </c>
      <c r="B762" s="143" t="n"/>
      <c r="C762" s="143" t="n"/>
      <c r="D762" s="143" t="n"/>
      <c r="E762" s="143" t="n"/>
      <c r="F762" s="143" t="n"/>
      <c r="G762" s="143" t="n"/>
      <c r="H762" s="143" t="n"/>
      <c r="I762" s="143" t="n"/>
      <c r="J762" s="143" t="n"/>
    </row>
    <row r="763" ht="18" customHeight="1" s="102">
      <c r="A763" s="137">
        <f>IF($B763="","","CIR-"&amp;TEXT(ROW()-BaslangicSatir,"000000"))</f>
        <v/>
      </c>
      <c r="B763" s="143" t="n"/>
      <c r="C763" s="143" t="n"/>
      <c r="D763" s="143" t="n"/>
      <c r="E763" s="143" t="n"/>
      <c r="F763" s="143" t="n"/>
      <c r="G763" s="143" t="n"/>
      <c r="H763" s="143" t="n"/>
      <c r="I763" s="143" t="n"/>
      <c r="J763" s="143" t="n"/>
    </row>
    <row r="764" ht="18" customHeight="1" s="102">
      <c r="A764" s="137">
        <f>IF($B764="","","CIR-"&amp;TEXT(ROW()-BaslangicSatir,"000000"))</f>
        <v/>
      </c>
      <c r="B764" s="143" t="n"/>
      <c r="C764" s="143" t="n"/>
      <c r="D764" s="143" t="n"/>
      <c r="E764" s="143" t="n"/>
      <c r="F764" s="143" t="n"/>
      <c r="G764" s="143" t="n"/>
      <c r="H764" s="143" t="n"/>
      <c r="I764" s="143" t="n"/>
      <c r="J764" s="143" t="n"/>
    </row>
    <row r="765" ht="18" customHeight="1" s="102">
      <c r="A765" s="137">
        <f>IF($B765="","","CIR-"&amp;TEXT(ROW()-BaslangicSatir,"000000"))</f>
        <v/>
      </c>
      <c r="B765" s="143" t="n"/>
      <c r="C765" s="143" t="n"/>
      <c r="D765" s="143" t="n"/>
      <c r="E765" s="143" t="n"/>
      <c r="F765" s="143" t="n"/>
      <c r="G765" s="143" t="n"/>
      <c r="H765" s="143" t="n"/>
      <c r="I765" s="143" t="n"/>
      <c r="J765" s="143" t="n"/>
    </row>
    <row r="766" ht="18" customHeight="1" s="102">
      <c r="A766" s="137">
        <f>IF($B766="","","CIR-"&amp;TEXT(ROW()-BaslangicSatir,"000000"))</f>
        <v/>
      </c>
      <c r="B766" s="143" t="n"/>
      <c r="C766" s="143" t="n"/>
      <c r="D766" s="143" t="n"/>
      <c r="E766" s="143" t="n"/>
      <c r="F766" s="143" t="n"/>
      <c r="G766" s="143" t="n"/>
      <c r="H766" s="143" t="n"/>
      <c r="I766" s="143" t="n"/>
      <c r="J766" s="143" t="n"/>
    </row>
    <row r="767" ht="18" customHeight="1" s="102">
      <c r="A767" s="137">
        <f>IF($B767="","","CIR-"&amp;TEXT(ROW()-BaslangicSatir,"000000"))</f>
        <v/>
      </c>
      <c r="B767" s="143" t="n"/>
      <c r="C767" s="143" t="n"/>
      <c r="D767" s="143" t="n"/>
      <c r="E767" s="143" t="n"/>
      <c r="F767" s="143" t="n"/>
      <c r="G767" s="143" t="n"/>
      <c r="H767" s="143" t="n"/>
      <c r="I767" s="143" t="n"/>
      <c r="J767" s="143" t="n"/>
    </row>
    <row r="768" ht="18" customHeight="1" s="102">
      <c r="A768" s="137">
        <f>IF($B768="","","CIR-"&amp;TEXT(ROW()-BaslangicSatir,"000000"))</f>
        <v/>
      </c>
      <c r="B768" s="143" t="n"/>
      <c r="C768" s="143" t="n"/>
      <c r="D768" s="143" t="n"/>
      <c r="E768" s="143" t="n"/>
      <c r="F768" s="143" t="n"/>
      <c r="G768" s="143" t="n"/>
      <c r="H768" s="143" t="n"/>
      <c r="I768" s="143" t="n"/>
      <c r="J768" s="143" t="n"/>
    </row>
    <row r="769" ht="18" customHeight="1" s="102">
      <c r="A769" s="137">
        <f>IF($B769="","","CIR-"&amp;TEXT(ROW()-BaslangicSatir,"000000"))</f>
        <v/>
      </c>
      <c r="B769" s="143" t="n"/>
      <c r="C769" s="143" t="n"/>
      <c r="D769" s="143" t="n"/>
      <c r="E769" s="143" t="n"/>
      <c r="F769" s="143" t="n"/>
      <c r="G769" s="143" t="n"/>
      <c r="H769" s="143" t="n"/>
      <c r="I769" s="143" t="n"/>
      <c r="J769" s="143" t="n"/>
    </row>
    <row r="770" ht="18" customHeight="1" s="102">
      <c r="A770" s="137">
        <f>IF($B770="","","CIR-"&amp;TEXT(ROW()-BaslangicSatir,"000000"))</f>
        <v/>
      </c>
      <c r="B770" s="143" t="n"/>
      <c r="C770" s="143" t="n"/>
      <c r="D770" s="143" t="n"/>
      <c r="E770" s="143" t="n"/>
      <c r="F770" s="143" t="n"/>
      <c r="G770" s="143" t="n"/>
      <c r="H770" s="143" t="n"/>
      <c r="I770" s="143" t="n"/>
      <c r="J770" s="143" t="n"/>
    </row>
    <row r="771" ht="18" customHeight="1" s="102">
      <c r="A771" s="137">
        <f>IF($B771="","","CIR-"&amp;TEXT(ROW()-BaslangicSatir,"000000"))</f>
        <v/>
      </c>
      <c r="B771" s="143" t="n"/>
      <c r="C771" s="143" t="n"/>
      <c r="D771" s="143" t="n"/>
      <c r="E771" s="143" t="n"/>
      <c r="F771" s="143" t="n"/>
      <c r="G771" s="143" t="n"/>
      <c r="H771" s="143" t="n"/>
      <c r="I771" s="143" t="n"/>
      <c r="J771" s="143" t="n"/>
    </row>
    <row r="772" ht="18" customHeight="1" s="102">
      <c r="A772" s="137">
        <f>IF($B772="","","CIR-"&amp;TEXT(ROW()-BaslangicSatir,"000000"))</f>
        <v/>
      </c>
      <c r="B772" s="143" t="n"/>
      <c r="C772" s="143" t="n"/>
      <c r="D772" s="143" t="n"/>
      <c r="E772" s="143" t="n"/>
      <c r="F772" s="143" t="n"/>
      <c r="G772" s="143" t="n"/>
      <c r="H772" s="143" t="n"/>
      <c r="I772" s="143" t="n"/>
      <c r="J772" s="143" t="n"/>
    </row>
    <row r="773" ht="18" customHeight="1" s="102">
      <c r="A773" s="137">
        <f>IF($B773="","","CIR-"&amp;TEXT(ROW()-BaslangicSatir,"000000"))</f>
        <v/>
      </c>
      <c r="B773" s="143" t="n"/>
      <c r="C773" s="143" t="n"/>
      <c r="D773" s="143" t="n"/>
      <c r="E773" s="143" t="n"/>
      <c r="F773" s="143" t="n"/>
      <c r="G773" s="143" t="n"/>
      <c r="H773" s="143" t="n"/>
      <c r="I773" s="143" t="n"/>
      <c r="J773" s="143" t="n"/>
    </row>
    <row r="774" ht="18" customHeight="1" s="102">
      <c r="A774" s="137">
        <f>IF($B774="","","CIR-"&amp;TEXT(ROW()-BaslangicSatir,"000000"))</f>
        <v/>
      </c>
      <c r="B774" s="143" t="n"/>
      <c r="C774" s="143" t="n"/>
      <c r="D774" s="143" t="n"/>
      <c r="E774" s="143" t="n"/>
      <c r="F774" s="143" t="n"/>
      <c r="G774" s="143" t="n"/>
      <c r="H774" s="143" t="n"/>
      <c r="I774" s="143" t="n"/>
      <c r="J774" s="143" t="n"/>
    </row>
    <row r="775" ht="18" customHeight="1" s="102">
      <c r="A775" s="137">
        <f>IF($B775="","","CIR-"&amp;TEXT(ROW()-BaslangicSatir,"000000"))</f>
        <v/>
      </c>
      <c r="B775" s="143" t="n"/>
      <c r="C775" s="143" t="n"/>
      <c r="D775" s="143" t="n"/>
      <c r="E775" s="143" t="n"/>
      <c r="F775" s="143" t="n"/>
      <c r="G775" s="143" t="n"/>
      <c r="H775" s="143" t="n"/>
      <c r="I775" s="143" t="n"/>
      <c r="J775" s="143" t="n"/>
    </row>
    <row r="776" ht="18" customHeight="1" s="102">
      <c r="A776" s="137">
        <f>IF($B776="","","CIR-"&amp;TEXT(ROW()-BaslangicSatir,"000000"))</f>
        <v/>
      </c>
      <c r="B776" s="143" t="n"/>
      <c r="C776" s="143" t="n"/>
      <c r="D776" s="143" t="n"/>
      <c r="E776" s="143" t="n"/>
      <c r="F776" s="143" t="n"/>
      <c r="G776" s="143" t="n"/>
      <c r="H776" s="143" t="n"/>
      <c r="I776" s="143" t="n"/>
      <c r="J776" s="143" t="n"/>
    </row>
    <row r="777" ht="18" customHeight="1" s="102">
      <c r="A777" s="137">
        <f>IF($B777="","","CIR-"&amp;TEXT(ROW()-BaslangicSatir,"000000"))</f>
        <v/>
      </c>
      <c r="B777" s="143" t="n"/>
      <c r="C777" s="143" t="n"/>
      <c r="D777" s="143" t="n"/>
      <c r="E777" s="143" t="n"/>
      <c r="F777" s="143" t="n"/>
      <c r="G777" s="143" t="n"/>
      <c r="H777" s="143" t="n"/>
      <c r="I777" s="143" t="n"/>
      <c r="J777" s="143" t="n"/>
    </row>
    <row r="778" ht="18" customHeight="1" s="102">
      <c r="A778" s="137">
        <f>IF($B778="","","CIR-"&amp;TEXT(ROW()-BaslangicSatir,"000000"))</f>
        <v/>
      </c>
      <c r="B778" s="143" t="n"/>
      <c r="C778" s="143" t="n"/>
      <c r="D778" s="143" t="n"/>
      <c r="E778" s="143" t="n"/>
      <c r="F778" s="143" t="n"/>
      <c r="G778" s="143" t="n"/>
      <c r="H778" s="143" t="n"/>
      <c r="I778" s="143" t="n"/>
      <c r="J778" s="143" t="n"/>
    </row>
    <row r="779" ht="18" customHeight="1" s="102">
      <c r="A779" s="137">
        <f>IF($B779="","","CIR-"&amp;TEXT(ROW()-BaslangicSatir,"000000"))</f>
        <v/>
      </c>
      <c r="B779" s="143" t="n"/>
      <c r="C779" s="143" t="n"/>
      <c r="D779" s="143" t="n"/>
      <c r="E779" s="143" t="n"/>
      <c r="F779" s="143" t="n"/>
      <c r="G779" s="143" t="n"/>
      <c r="H779" s="143" t="n"/>
      <c r="I779" s="143" t="n"/>
      <c r="J779" s="143" t="n"/>
    </row>
    <row r="780" ht="18" customHeight="1" s="102">
      <c r="A780" s="137">
        <f>IF($B780="","","CIR-"&amp;TEXT(ROW()-BaslangicSatir,"000000"))</f>
        <v/>
      </c>
      <c r="B780" s="143" t="n"/>
      <c r="C780" s="143" t="n"/>
      <c r="D780" s="143" t="n"/>
      <c r="E780" s="143" t="n"/>
      <c r="F780" s="143" t="n"/>
      <c r="G780" s="143" t="n"/>
      <c r="H780" s="143" t="n"/>
      <c r="I780" s="143" t="n"/>
      <c r="J780" s="143" t="n"/>
    </row>
    <row r="781" ht="18" customHeight="1" s="102">
      <c r="A781" s="137">
        <f>IF($B781="","","CIR-"&amp;TEXT(ROW()-BaslangicSatir,"000000"))</f>
        <v/>
      </c>
      <c r="B781" s="143" t="n"/>
      <c r="C781" s="143" t="n"/>
      <c r="D781" s="143" t="n"/>
      <c r="E781" s="143" t="n"/>
      <c r="F781" s="143" t="n"/>
      <c r="G781" s="143" t="n"/>
      <c r="H781" s="143" t="n"/>
      <c r="I781" s="143" t="n"/>
      <c r="J781" s="143" t="n"/>
    </row>
    <row r="782" ht="18" customHeight="1" s="102">
      <c r="A782" s="137">
        <f>IF($B782="","","CIR-"&amp;TEXT(ROW()-BaslangicSatir,"000000"))</f>
        <v/>
      </c>
      <c r="B782" s="143" t="n"/>
      <c r="C782" s="143" t="n"/>
      <c r="D782" s="143" t="n"/>
      <c r="E782" s="143" t="n"/>
      <c r="F782" s="143" t="n"/>
      <c r="G782" s="143" t="n"/>
      <c r="H782" s="143" t="n"/>
      <c r="I782" s="143" t="n"/>
      <c r="J782" s="143" t="n"/>
    </row>
    <row r="783" ht="18" customHeight="1" s="102">
      <c r="A783" s="137">
        <f>IF($B783="","","CIR-"&amp;TEXT(ROW()-BaslangicSatir,"000000"))</f>
        <v/>
      </c>
      <c r="B783" s="143" t="n"/>
      <c r="C783" s="143" t="n"/>
      <c r="D783" s="143" t="n"/>
      <c r="E783" s="143" t="n"/>
      <c r="F783" s="143" t="n"/>
      <c r="G783" s="143" t="n"/>
      <c r="H783" s="143" t="n"/>
      <c r="I783" s="143" t="n"/>
      <c r="J783" s="143" t="n"/>
    </row>
    <row r="784" ht="18" customHeight="1" s="102">
      <c r="A784" s="137">
        <f>IF($B784="","","CIR-"&amp;TEXT(ROW()-BaslangicSatir,"000000"))</f>
        <v/>
      </c>
      <c r="B784" s="143" t="n"/>
      <c r="C784" s="143" t="n"/>
      <c r="D784" s="143" t="n"/>
      <c r="E784" s="143" t="n"/>
      <c r="F784" s="143" t="n"/>
      <c r="G784" s="143" t="n"/>
      <c r="H784" s="143" t="n"/>
      <c r="I784" s="143" t="n"/>
      <c r="J784" s="143" t="n"/>
    </row>
    <row r="785" ht="18" customHeight="1" s="102">
      <c r="A785" s="137">
        <f>IF($B785="","","CIR-"&amp;TEXT(ROW()-BaslangicSatir,"000000"))</f>
        <v/>
      </c>
      <c r="B785" s="143" t="n"/>
      <c r="C785" s="143" t="n"/>
      <c r="D785" s="143" t="n"/>
      <c r="E785" s="143" t="n"/>
      <c r="F785" s="143" t="n"/>
      <c r="G785" s="143" t="n"/>
      <c r="H785" s="143" t="n"/>
      <c r="I785" s="143" t="n"/>
      <c r="J785" s="143" t="n"/>
    </row>
    <row r="786" ht="18" customHeight="1" s="102">
      <c r="A786" s="137">
        <f>IF($B786="","","CIR-"&amp;TEXT(ROW()-BaslangicSatir,"000000"))</f>
        <v/>
      </c>
      <c r="B786" s="143" t="n"/>
      <c r="C786" s="143" t="n"/>
      <c r="D786" s="143" t="n"/>
      <c r="E786" s="143" t="n"/>
      <c r="F786" s="143" t="n"/>
      <c r="G786" s="143" t="n"/>
      <c r="H786" s="143" t="n"/>
      <c r="I786" s="143" t="n"/>
      <c r="J786" s="143" t="n"/>
    </row>
    <row r="787" ht="18" customHeight="1" s="102">
      <c r="A787" s="137">
        <f>IF($B787="","","CIR-"&amp;TEXT(ROW()-BaslangicSatir,"000000"))</f>
        <v/>
      </c>
      <c r="B787" s="143" t="n"/>
      <c r="C787" s="143" t="n"/>
      <c r="D787" s="143" t="n"/>
      <c r="E787" s="143" t="n"/>
      <c r="F787" s="143" t="n"/>
      <c r="G787" s="143" t="n"/>
      <c r="H787" s="143" t="n"/>
      <c r="I787" s="143" t="n"/>
      <c r="J787" s="143" t="n"/>
    </row>
    <row r="788" ht="18" customHeight="1" s="102">
      <c r="A788" s="137">
        <f>IF($B788="","","CIR-"&amp;TEXT(ROW()-BaslangicSatir,"000000"))</f>
        <v/>
      </c>
      <c r="B788" s="143" t="n"/>
      <c r="C788" s="143" t="n"/>
      <c r="D788" s="143" t="n"/>
      <c r="E788" s="143" t="n"/>
      <c r="F788" s="143" t="n"/>
      <c r="G788" s="143" t="n"/>
      <c r="H788" s="143" t="n"/>
      <c r="I788" s="143" t="n"/>
      <c r="J788" s="143" t="n"/>
    </row>
    <row r="789" ht="18" customHeight="1" s="102">
      <c r="A789" s="137">
        <f>IF($B789="","","CIR-"&amp;TEXT(ROW()-BaslangicSatir,"000000"))</f>
        <v/>
      </c>
      <c r="B789" s="143" t="n"/>
      <c r="C789" s="143" t="n"/>
      <c r="D789" s="143" t="n"/>
      <c r="E789" s="143" t="n"/>
      <c r="F789" s="143" t="n"/>
      <c r="G789" s="143" t="n"/>
      <c r="H789" s="143" t="n"/>
      <c r="I789" s="143" t="n"/>
      <c r="J789" s="143" t="n"/>
    </row>
    <row r="790" ht="18" customHeight="1" s="102">
      <c r="A790" s="137">
        <f>IF($B790="","","CIR-"&amp;TEXT(ROW()-BaslangicSatir,"000000"))</f>
        <v/>
      </c>
      <c r="B790" s="143" t="n"/>
      <c r="C790" s="143" t="n"/>
      <c r="D790" s="143" t="n"/>
      <c r="E790" s="143" t="n"/>
      <c r="F790" s="143" t="n"/>
      <c r="G790" s="143" t="n"/>
      <c r="H790" s="143" t="n"/>
      <c r="I790" s="143" t="n"/>
      <c r="J790" s="143" t="n"/>
    </row>
    <row r="791" ht="18" customHeight="1" s="102">
      <c r="A791" s="137">
        <f>IF($B791="","","CIR-"&amp;TEXT(ROW()-BaslangicSatir,"000000"))</f>
        <v/>
      </c>
      <c r="B791" s="143" t="n"/>
      <c r="C791" s="143" t="n"/>
      <c r="D791" s="143" t="n"/>
      <c r="E791" s="143" t="n"/>
      <c r="F791" s="143" t="n"/>
      <c r="G791" s="143" t="n"/>
      <c r="H791" s="143" t="n"/>
      <c r="I791" s="143" t="n"/>
      <c r="J791" s="143" t="n"/>
    </row>
    <row r="792" ht="18" customHeight="1" s="102">
      <c r="A792" s="137">
        <f>IF($B792="","","CIR-"&amp;TEXT(ROW()-BaslangicSatir,"000000"))</f>
        <v/>
      </c>
      <c r="B792" s="143" t="n"/>
      <c r="C792" s="143" t="n"/>
      <c r="D792" s="143" t="n"/>
      <c r="E792" s="143" t="n"/>
      <c r="F792" s="143" t="n"/>
      <c r="G792" s="143" t="n"/>
      <c r="H792" s="143" t="n"/>
      <c r="I792" s="143" t="n"/>
      <c r="J792" s="143" t="n"/>
    </row>
    <row r="793" ht="18" customHeight="1" s="102">
      <c r="A793" s="137">
        <f>IF($B793="","","CIR-"&amp;TEXT(ROW()-BaslangicSatir,"000000"))</f>
        <v/>
      </c>
      <c r="B793" s="143" t="n"/>
      <c r="C793" s="143" t="n"/>
      <c r="D793" s="143" t="n"/>
      <c r="E793" s="143" t="n"/>
      <c r="F793" s="143" t="n"/>
      <c r="G793" s="143" t="n"/>
      <c r="H793" s="143" t="n"/>
      <c r="I793" s="143" t="n"/>
      <c r="J793" s="143" t="n"/>
    </row>
    <row r="794" ht="18" customHeight="1" s="102">
      <c r="A794" s="137">
        <f>IF($B794="","","CIR-"&amp;TEXT(ROW()-BaslangicSatir,"000000"))</f>
        <v/>
      </c>
      <c r="B794" s="143" t="n"/>
      <c r="C794" s="143" t="n"/>
      <c r="D794" s="143" t="n"/>
      <c r="E794" s="143" t="n"/>
      <c r="F794" s="143" t="n"/>
      <c r="G794" s="143" t="n"/>
      <c r="H794" s="143" t="n"/>
      <c r="I794" s="143" t="n"/>
      <c r="J794" s="143" t="n"/>
    </row>
    <row r="795" ht="18" customHeight="1" s="102">
      <c r="A795" s="137">
        <f>IF($B795="","","CIR-"&amp;TEXT(ROW()-BaslangicSatir,"000000"))</f>
        <v/>
      </c>
      <c r="B795" s="143" t="n"/>
      <c r="C795" s="143" t="n"/>
      <c r="D795" s="143" t="n"/>
      <c r="E795" s="143" t="n"/>
      <c r="F795" s="143" t="n"/>
      <c r="G795" s="143" t="n"/>
      <c r="H795" s="143" t="n"/>
      <c r="I795" s="143" t="n"/>
      <c r="J795" s="143" t="n"/>
    </row>
    <row r="796" ht="18" customHeight="1" s="102">
      <c r="A796" s="137">
        <f>IF($B796="","","CIR-"&amp;TEXT(ROW()-BaslangicSatir,"000000"))</f>
        <v/>
      </c>
      <c r="B796" s="143" t="n"/>
      <c r="C796" s="143" t="n"/>
      <c r="D796" s="143" t="n"/>
      <c r="E796" s="143" t="n"/>
      <c r="F796" s="143" t="n"/>
      <c r="G796" s="143" t="n"/>
      <c r="H796" s="143" t="n"/>
      <c r="I796" s="143" t="n"/>
      <c r="J796" s="143" t="n"/>
    </row>
    <row r="797" ht="18" customHeight="1" s="102">
      <c r="A797" s="137">
        <f>IF($B797="","","CIR-"&amp;TEXT(ROW()-BaslangicSatir,"000000"))</f>
        <v/>
      </c>
      <c r="B797" s="143" t="n"/>
      <c r="C797" s="143" t="n"/>
      <c r="D797" s="143" t="n"/>
      <c r="E797" s="143" t="n"/>
      <c r="F797" s="143" t="n"/>
      <c r="G797" s="143" t="n"/>
      <c r="H797" s="143" t="n"/>
      <c r="I797" s="143" t="n"/>
      <c r="J797" s="143" t="n"/>
    </row>
    <row r="798" ht="18" customHeight="1" s="102">
      <c r="A798" s="137">
        <f>IF($B798="","","CIR-"&amp;TEXT(ROW()-BaslangicSatir,"000000"))</f>
        <v/>
      </c>
      <c r="B798" s="143" t="n"/>
      <c r="C798" s="143" t="n"/>
      <c r="D798" s="143" t="n"/>
      <c r="E798" s="143" t="n"/>
      <c r="F798" s="143" t="n"/>
      <c r="G798" s="143" t="n"/>
      <c r="H798" s="143" t="n"/>
      <c r="I798" s="143" t="n"/>
      <c r="J798" s="143" t="n"/>
    </row>
    <row r="799" ht="18" customHeight="1" s="102">
      <c r="A799" s="137">
        <f>IF($B799="","","CIR-"&amp;TEXT(ROW()-BaslangicSatir,"000000"))</f>
        <v/>
      </c>
      <c r="B799" s="143" t="n"/>
      <c r="C799" s="143" t="n"/>
      <c r="D799" s="143" t="n"/>
      <c r="E799" s="143" t="n"/>
      <c r="F799" s="143" t="n"/>
      <c r="G799" s="143" t="n"/>
      <c r="H799" s="143" t="n"/>
      <c r="I799" s="143" t="n"/>
      <c r="J799" s="143" t="n"/>
    </row>
    <row r="800" ht="18" customHeight="1" s="102">
      <c r="A800" s="137">
        <f>IF($B800="","","CIR-"&amp;TEXT(ROW()-BaslangicSatir,"000000"))</f>
        <v/>
      </c>
      <c r="B800" s="143" t="n"/>
      <c r="C800" s="143" t="n"/>
      <c r="D800" s="143" t="n"/>
      <c r="E800" s="143" t="n"/>
      <c r="F800" s="143" t="n"/>
      <c r="G800" s="143" t="n"/>
      <c r="H800" s="143" t="n"/>
      <c r="I800" s="143" t="n"/>
      <c r="J800" s="143" t="n"/>
    </row>
    <row r="801" ht="18" customHeight="1" s="102">
      <c r="A801" s="137">
        <f>IF($B801="","","CIR-"&amp;TEXT(ROW()-BaslangicSatir,"000000"))</f>
        <v/>
      </c>
      <c r="B801" s="143" t="n"/>
      <c r="C801" s="143" t="n"/>
      <c r="D801" s="143" t="n"/>
      <c r="E801" s="143" t="n"/>
      <c r="F801" s="143" t="n"/>
      <c r="G801" s="143" t="n"/>
      <c r="H801" s="143" t="n"/>
      <c r="I801" s="143" t="n"/>
      <c r="J801" s="143" t="n"/>
    </row>
    <row r="802" ht="18" customHeight="1" s="102">
      <c r="A802" s="137">
        <f>IF($B802="","","CIR-"&amp;TEXT(ROW()-BaslangicSatir,"000000"))</f>
        <v/>
      </c>
      <c r="B802" s="143" t="n"/>
      <c r="C802" s="143" t="n"/>
      <c r="D802" s="143" t="n"/>
      <c r="E802" s="143" t="n"/>
      <c r="F802" s="143" t="n"/>
      <c r="G802" s="143" t="n"/>
      <c r="H802" s="143" t="n"/>
      <c r="I802" s="143" t="n"/>
      <c r="J802" s="143" t="n"/>
    </row>
    <row r="803" ht="18" customHeight="1" s="102">
      <c r="A803" s="137">
        <f>IF($B803="","","CIR-"&amp;TEXT(ROW()-BaslangicSatir,"000000"))</f>
        <v/>
      </c>
      <c r="B803" s="143" t="n"/>
      <c r="C803" s="143" t="n"/>
      <c r="D803" s="143" t="n"/>
      <c r="E803" s="143" t="n"/>
      <c r="F803" s="143" t="n"/>
      <c r="G803" s="143" t="n"/>
      <c r="H803" s="143" t="n"/>
      <c r="I803" s="143" t="n"/>
      <c r="J803" s="143" t="n"/>
    </row>
    <row r="804" ht="18" customHeight="1" s="102">
      <c r="A804" s="137">
        <f>IF($B804="","","CIR-"&amp;TEXT(ROW()-BaslangicSatir,"000000"))</f>
        <v/>
      </c>
      <c r="B804" s="143" t="n"/>
      <c r="C804" s="143" t="n"/>
      <c r="D804" s="143" t="n"/>
      <c r="E804" s="143" t="n"/>
      <c r="F804" s="143" t="n"/>
      <c r="G804" s="143" t="n"/>
      <c r="H804" s="143" t="n"/>
      <c r="I804" s="143" t="n"/>
      <c r="J804" s="143" t="n"/>
    </row>
    <row r="805" ht="18" customHeight="1" s="102">
      <c r="A805" s="137">
        <f>IF($B805="","","CIR-"&amp;TEXT(ROW()-BaslangicSatir,"000000"))</f>
        <v/>
      </c>
      <c r="B805" s="143" t="n"/>
      <c r="C805" s="143" t="n"/>
      <c r="D805" s="143" t="n"/>
      <c r="E805" s="143" t="n"/>
      <c r="F805" s="143" t="n"/>
      <c r="G805" s="143" t="n"/>
      <c r="H805" s="143" t="n"/>
      <c r="I805" s="143" t="n"/>
      <c r="J805" s="143" t="n"/>
    </row>
    <row r="806" ht="18" customHeight="1" s="102">
      <c r="A806" s="137">
        <f>IF($B806="","","CIR-"&amp;TEXT(ROW()-BaslangicSatir,"000000"))</f>
        <v/>
      </c>
      <c r="B806" s="143" t="n"/>
      <c r="C806" s="143" t="n"/>
      <c r="D806" s="143" t="n"/>
      <c r="E806" s="143" t="n"/>
      <c r="F806" s="143" t="n"/>
      <c r="G806" s="143" t="n"/>
      <c r="H806" s="143" t="n"/>
      <c r="I806" s="143" t="n"/>
      <c r="J806" s="143" t="n"/>
    </row>
    <row r="807" ht="18" customHeight="1" s="102">
      <c r="A807" s="137">
        <f>IF($B807="","","CIR-"&amp;TEXT(ROW()-BaslangicSatir,"000000"))</f>
        <v/>
      </c>
      <c r="B807" s="143" t="n"/>
      <c r="C807" s="143" t="n"/>
      <c r="D807" s="143" t="n"/>
      <c r="E807" s="143" t="n"/>
      <c r="F807" s="143" t="n"/>
      <c r="G807" s="143" t="n"/>
      <c r="H807" s="143" t="n"/>
      <c r="I807" s="143" t="n"/>
      <c r="J807" s="143" t="n"/>
    </row>
    <row r="808" ht="18" customHeight="1" s="102">
      <c r="A808" s="137">
        <f>IF($B808="","","CIR-"&amp;TEXT(ROW()-BaslangicSatir,"000000"))</f>
        <v/>
      </c>
      <c r="B808" s="143" t="n"/>
      <c r="C808" s="143" t="n"/>
      <c r="D808" s="143" t="n"/>
      <c r="E808" s="143" t="n"/>
      <c r="F808" s="143" t="n"/>
      <c r="G808" s="143" t="n"/>
      <c r="H808" s="143" t="n"/>
      <c r="I808" s="143" t="n"/>
      <c r="J808" s="143" t="n"/>
    </row>
    <row r="809" ht="18" customHeight="1" s="102">
      <c r="A809" s="137">
        <f>IF($B809="","","CIR-"&amp;TEXT(ROW()-BaslangicSatir,"000000"))</f>
        <v/>
      </c>
      <c r="B809" s="143" t="n"/>
      <c r="C809" s="143" t="n"/>
      <c r="D809" s="143" t="n"/>
      <c r="E809" s="143" t="n"/>
      <c r="F809" s="143" t="n"/>
      <c r="G809" s="143" t="n"/>
      <c r="H809" s="143" t="n"/>
      <c r="I809" s="143" t="n"/>
      <c r="J809" s="143" t="n"/>
    </row>
    <row r="810" ht="18" customHeight="1" s="102">
      <c r="A810" s="137">
        <f>IF($B810="","","CIR-"&amp;TEXT(ROW()-BaslangicSatir,"000000"))</f>
        <v/>
      </c>
      <c r="B810" s="143" t="n"/>
      <c r="C810" s="143" t="n"/>
      <c r="D810" s="143" t="n"/>
      <c r="E810" s="143" t="n"/>
      <c r="F810" s="143" t="n"/>
      <c r="G810" s="143" t="n"/>
      <c r="H810" s="143" t="n"/>
      <c r="I810" s="143" t="n"/>
      <c r="J810" s="143" t="n"/>
    </row>
    <row r="811" ht="18" customHeight="1" s="102">
      <c r="A811" s="137">
        <f>IF($B811="","","CIR-"&amp;TEXT(ROW()-BaslangicSatir,"000000"))</f>
        <v/>
      </c>
      <c r="B811" s="143" t="n"/>
      <c r="C811" s="143" t="n"/>
      <c r="D811" s="143" t="n"/>
      <c r="E811" s="143" t="n"/>
      <c r="F811" s="143" t="n"/>
      <c r="G811" s="143" t="n"/>
      <c r="H811" s="143" t="n"/>
      <c r="I811" s="143" t="n"/>
      <c r="J811" s="143" t="n"/>
    </row>
    <row r="812" ht="18" customHeight="1" s="102">
      <c r="A812" s="137">
        <f>IF($B812="","","CIR-"&amp;TEXT(ROW()-BaslangicSatir,"000000"))</f>
        <v/>
      </c>
      <c r="B812" s="143" t="n"/>
      <c r="C812" s="143" t="n"/>
      <c r="D812" s="143" t="n"/>
      <c r="E812" s="143" t="n"/>
      <c r="F812" s="143" t="n"/>
      <c r="G812" s="143" t="n"/>
      <c r="H812" s="143" t="n"/>
      <c r="I812" s="143" t="n"/>
      <c r="J812" s="143" t="n"/>
    </row>
    <row r="813" ht="18" customHeight="1" s="102">
      <c r="A813" s="137">
        <f>IF($B813="","","CIR-"&amp;TEXT(ROW()-BaslangicSatir,"000000"))</f>
        <v/>
      </c>
      <c r="B813" s="143" t="n"/>
      <c r="C813" s="143" t="n"/>
      <c r="D813" s="143" t="n"/>
      <c r="E813" s="143" t="n"/>
      <c r="F813" s="143" t="n"/>
      <c r="G813" s="143" t="n"/>
      <c r="H813" s="143" t="n"/>
      <c r="I813" s="143" t="n"/>
      <c r="J813" s="143" t="n"/>
    </row>
    <row r="814" ht="18" customHeight="1" s="102">
      <c r="A814" s="137">
        <f>IF($B814="","","CIR-"&amp;TEXT(ROW()-BaslangicSatir,"000000"))</f>
        <v/>
      </c>
      <c r="B814" s="143" t="n"/>
      <c r="C814" s="143" t="n"/>
      <c r="D814" s="143" t="n"/>
      <c r="E814" s="143" t="n"/>
      <c r="F814" s="143" t="n"/>
      <c r="G814" s="143" t="n"/>
      <c r="H814" s="143" t="n"/>
      <c r="I814" s="143" t="n"/>
      <c r="J814" s="143" t="n"/>
    </row>
    <row r="815" ht="18" customHeight="1" s="102">
      <c r="A815" s="137">
        <f>IF($B815="","","CIR-"&amp;TEXT(ROW()-BaslangicSatir,"000000"))</f>
        <v/>
      </c>
      <c r="B815" s="143" t="n"/>
      <c r="C815" s="143" t="n"/>
      <c r="D815" s="143" t="n"/>
      <c r="E815" s="143" t="n"/>
      <c r="F815" s="143" t="n"/>
      <c r="G815" s="143" t="n"/>
      <c r="H815" s="143" t="n"/>
      <c r="I815" s="143" t="n"/>
      <c r="J815" s="143" t="n"/>
    </row>
    <row r="816" ht="18" customHeight="1" s="102">
      <c r="A816" s="137">
        <f>IF($B816="","","CIR-"&amp;TEXT(ROW()-BaslangicSatir,"000000"))</f>
        <v/>
      </c>
      <c r="B816" s="143" t="n"/>
      <c r="C816" s="143" t="n"/>
      <c r="D816" s="143" t="n"/>
      <c r="E816" s="143" t="n"/>
      <c r="F816" s="143" t="n"/>
      <c r="G816" s="143" t="n"/>
      <c r="H816" s="143" t="n"/>
      <c r="I816" s="143" t="n"/>
      <c r="J816" s="143" t="n"/>
    </row>
    <row r="817" ht="18" customHeight="1" s="102">
      <c r="A817" s="137">
        <f>IF($B817="","","CIR-"&amp;TEXT(ROW()-BaslangicSatir,"000000"))</f>
        <v/>
      </c>
      <c r="B817" s="143" t="n"/>
      <c r="C817" s="143" t="n"/>
      <c r="D817" s="143" t="n"/>
      <c r="E817" s="143" t="n"/>
      <c r="F817" s="143" t="n"/>
      <c r="G817" s="143" t="n"/>
      <c r="H817" s="143" t="n"/>
      <c r="I817" s="143" t="n"/>
      <c r="J817" s="143" t="n"/>
    </row>
    <row r="818" ht="18" customHeight="1" s="102">
      <c r="A818" s="137">
        <f>IF($B818="","","CIR-"&amp;TEXT(ROW()-BaslangicSatir,"000000"))</f>
        <v/>
      </c>
      <c r="B818" s="143" t="n"/>
      <c r="C818" s="143" t="n"/>
      <c r="D818" s="143" t="n"/>
      <c r="E818" s="143" t="n"/>
      <c r="F818" s="143" t="n"/>
      <c r="G818" s="143" t="n"/>
      <c r="H818" s="143" t="n"/>
      <c r="I818" s="143" t="n"/>
      <c r="J818" s="143" t="n"/>
    </row>
    <row r="819" ht="18" customHeight="1" s="102">
      <c r="A819" s="137">
        <f>IF($B819="","","CIR-"&amp;TEXT(ROW()-BaslangicSatir,"000000"))</f>
        <v/>
      </c>
      <c r="B819" s="143" t="n"/>
      <c r="C819" s="143" t="n"/>
      <c r="D819" s="143" t="n"/>
      <c r="E819" s="143" t="n"/>
      <c r="F819" s="143" t="n"/>
      <c r="G819" s="143" t="n"/>
      <c r="H819" s="143" t="n"/>
      <c r="I819" s="143" t="n"/>
      <c r="J819" s="143" t="n"/>
    </row>
    <row r="820" ht="18" customHeight="1" s="102">
      <c r="A820" s="137">
        <f>IF($B820="","","CIR-"&amp;TEXT(ROW()-BaslangicSatir,"000000"))</f>
        <v/>
      </c>
      <c r="B820" s="143" t="n"/>
      <c r="C820" s="143" t="n"/>
      <c r="D820" s="143" t="n"/>
      <c r="E820" s="143" t="n"/>
      <c r="F820" s="143" t="n"/>
      <c r="G820" s="143" t="n"/>
      <c r="H820" s="143" t="n"/>
      <c r="I820" s="143" t="n"/>
      <c r="J820" s="143" t="n"/>
    </row>
    <row r="821" ht="18" customHeight="1" s="102">
      <c r="A821" s="137">
        <f>IF($B821="","","CIR-"&amp;TEXT(ROW()-BaslangicSatir,"000000"))</f>
        <v/>
      </c>
      <c r="B821" s="143" t="n"/>
      <c r="C821" s="143" t="n"/>
      <c r="D821" s="143" t="n"/>
      <c r="E821" s="143" t="n"/>
      <c r="F821" s="143" t="n"/>
      <c r="G821" s="143" t="n"/>
      <c r="H821" s="143" t="n"/>
      <c r="I821" s="143" t="n"/>
      <c r="J821" s="143" t="n"/>
    </row>
    <row r="822" ht="18" customHeight="1" s="102">
      <c r="A822" s="137">
        <f>IF($B822="","","CIR-"&amp;TEXT(ROW()-BaslangicSatir,"000000"))</f>
        <v/>
      </c>
      <c r="B822" s="143" t="n"/>
      <c r="C822" s="143" t="n"/>
      <c r="D822" s="143" t="n"/>
      <c r="E822" s="143" t="n"/>
      <c r="F822" s="143" t="n"/>
      <c r="G822" s="143" t="n"/>
      <c r="H822" s="143" t="n"/>
      <c r="I822" s="143" t="n"/>
      <c r="J822" s="143" t="n"/>
    </row>
    <row r="823" ht="18" customHeight="1" s="102">
      <c r="A823" s="137">
        <f>IF($B823="","","CIR-"&amp;TEXT(ROW()-BaslangicSatir,"000000"))</f>
        <v/>
      </c>
      <c r="B823" s="143" t="n"/>
      <c r="C823" s="143" t="n"/>
      <c r="D823" s="143" t="n"/>
      <c r="E823" s="143" t="n"/>
      <c r="F823" s="143" t="n"/>
      <c r="G823" s="143" t="n"/>
      <c r="H823" s="143" t="n"/>
      <c r="I823" s="143" t="n"/>
      <c r="J823" s="143" t="n"/>
    </row>
    <row r="824" ht="18" customHeight="1" s="102">
      <c r="A824" s="137">
        <f>IF($B824="","","CIR-"&amp;TEXT(ROW()-BaslangicSatir,"000000"))</f>
        <v/>
      </c>
      <c r="B824" s="143" t="n"/>
      <c r="C824" s="143" t="n"/>
      <c r="D824" s="143" t="n"/>
      <c r="E824" s="143" t="n"/>
      <c r="F824" s="143" t="n"/>
      <c r="G824" s="143" t="n"/>
      <c r="H824" s="143" t="n"/>
      <c r="I824" s="143" t="n"/>
      <c r="J824" s="143" t="n"/>
    </row>
    <row r="825" ht="18" customHeight="1" s="102">
      <c r="A825" s="137">
        <f>IF($B825="","","CIR-"&amp;TEXT(ROW()-BaslangicSatir,"000000"))</f>
        <v/>
      </c>
      <c r="B825" s="143" t="n"/>
      <c r="C825" s="143" t="n"/>
      <c r="D825" s="143" t="n"/>
      <c r="E825" s="143" t="n"/>
      <c r="F825" s="143" t="n"/>
      <c r="G825" s="143" t="n"/>
      <c r="H825" s="143" t="n"/>
      <c r="I825" s="143" t="n"/>
      <c r="J825" s="143" t="n"/>
    </row>
    <row r="826" ht="18" customHeight="1" s="102">
      <c r="A826" s="137">
        <f>IF($B826="","","CIR-"&amp;TEXT(ROW()-BaslangicSatir,"000000"))</f>
        <v/>
      </c>
      <c r="B826" s="143" t="n"/>
      <c r="C826" s="143" t="n"/>
      <c r="D826" s="143" t="n"/>
      <c r="E826" s="143" t="n"/>
      <c r="F826" s="143" t="n"/>
      <c r="G826" s="143" t="n"/>
      <c r="H826" s="143" t="n"/>
      <c r="I826" s="143" t="n"/>
      <c r="J826" s="143" t="n"/>
    </row>
    <row r="827" ht="18" customHeight="1" s="102">
      <c r="A827" s="137">
        <f>IF($B827="","","CIR-"&amp;TEXT(ROW()-BaslangicSatir,"000000"))</f>
        <v/>
      </c>
      <c r="B827" s="143" t="n"/>
      <c r="C827" s="143" t="n"/>
      <c r="D827" s="143" t="n"/>
      <c r="E827" s="143" t="n"/>
      <c r="F827" s="143" t="n"/>
      <c r="G827" s="143" t="n"/>
      <c r="H827" s="143" t="n"/>
      <c r="I827" s="143" t="n"/>
      <c r="J827" s="143" t="n"/>
    </row>
    <row r="828" ht="18" customHeight="1" s="102">
      <c r="A828" s="137">
        <f>IF($B828="","","CIR-"&amp;TEXT(ROW()-BaslangicSatir,"000000"))</f>
        <v/>
      </c>
      <c r="B828" s="143" t="n"/>
      <c r="C828" s="143" t="n"/>
      <c r="D828" s="143" t="n"/>
      <c r="E828" s="143" t="n"/>
      <c r="F828" s="143" t="n"/>
      <c r="G828" s="143" t="n"/>
      <c r="H828" s="143" t="n"/>
      <c r="I828" s="143" t="n"/>
      <c r="J828" s="143" t="n"/>
    </row>
    <row r="829" ht="18" customHeight="1" s="102">
      <c r="A829" s="137">
        <f>IF($B829="","","CIR-"&amp;TEXT(ROW()-BaslangicSatir,"000000"))</f>
        <v/>
      </c>
      <c r="B829" s="143" t="n"/>
      <c r="C829" s="143" t="n"/>
      <c r="D829" s="143" t="n"/>
      <c r="E829" s="143" t="n"/>
      <c r="F829" s="143" t="n"/>
      <c r="G829" s="143" t="n"/>
      <c r="H829" s="143" t="n"/>
      <c r="I829" s="143" t="n"/>
      <c r="J829" s="143" t="n"/>
    </row>
    <row r="830" ht="18" customHeight="1" s="102">
      <c r="A830" s="137">
        <f>IF($B830="","","CIR-"&amp;TEXT(ROW()-BaslangicSatir,"000000"))</f>
        <v/>
      </c>
      <c r="B830" s="143" t="n"/>
      <c r="C830" s="143" t="n"/>
      <c r="D830" s="143" t="n"/>
      <c r="E830" s="143" t="n"/>
      <c r="F830" s="143" t="n"/>
      <c r="G830" s="143" t="n"/>
      <c r="H830" s="143" t="n"/>
      <c r="I830" s="143" t="n"/>
      <c r="J830" s="143" t="n"/>
    </row>
    <row r="831" ht="18" customHeight="1" s="102">
      <c r="A831" s="137">
        <f>IF($B831="","","CIR-"&amp;TEXT(ROW()-BaslangicSatir,"000000"))</f>
        <v/>
      </c>
      <c r="B831" s="143" t="n"/>
      <c r="C831" s="143" t="n"/>
      <c r="D831" s="143" t="n"/>
      <c r="E831" s="143" t="n"/>
      <c r="F831" s="143" t="n"/>
      <c r="G831" s="143" t="n"/>
      <c r="H831" s="143" t="n"/>
      <c r="I831" s="143" t="n"/>
      <c r="J831" s="143" t="n"/>
    </row>
    <row r="832" ht="18" customHeight="1" s="102">
      <c r="A832" s="137">
        <f>IF($B832="","","CIR-"&amp;TEXT(ROW()-BaslangicSatir,"000000"))</f>
        <v/>
      </c>
      <c r="B832" s="143" t="n"/>
      <c r="C832" s="143" t="n"/>
      <c r="D832" s="143" t="n"/>
      <c r="E832" s="143" t="n"/>
      <c r="F832" s="143" t="n"/>
      <c r="G832" s="143" t="n"/>
      <c r="H832" s="143" t="n"/>
      <c r="I832" s="143" t="n"/>
      <c r="J832" s="143" t="n"/>
    </row>
    <row r="833" ht="18" customHeight="1" s="102">
      <c r="A833" s="137">
        <f>IF($B833="","","CIR-"&amp;TEXT(ROW()-BaslangicSatir,"000000"))</f>
        <v/>
      </c>
      <c r="B833" s="143" t="n"/>
      <c r="C833" s="143" t="n"/>
      <c r="D833" s="143" t="n"/>
      <c r="E833" s="143" t="n"/>
      <c r="F833" s="143" t="n"/>
      <c r="G833" s="143" t="n"/>
      <c r="H833" s="143" t="n"/>
      <c r="I833" s="143" t="n"/>
      <c r="J833" s="143" t="n"/>
    </row>
    <row r="834" ht="18" customHeight="1" s="102">
      <c r="A834" s="137">
        <f>IF($B834="","","CIR-"&amp;TEXT(ROW()-BaslangicSatir,"000000"))</f>
        <v/>
      </c>
      <c r="B834" s="143" t="n"/>
      <c r="C834" s="143" t="n"/>
      <c r="D834" s="143" t="n"/>
      <c r="E834" s="143" t="n"/>
      <c r="F834" s="143" t="n"/>
      <c r="G834" s="143" t="n"/>
      <c r="H834" s="143" t="n"/>
      <c r="I834" s="143" t="n"/>
      <c r="J834" s="143" t="n"/>
    </row>
    <row r="835" ht="18" customHeight="1" s="102">
      <c r="A835" s="137">
        <f>IF($B835="","","CIR-"&amp;TEXT(ROW()-BaslangicSatir,"000000"))</f>
        <v/>
      </c>
      <c r="B835" s="143" t="n"/>
      <c r="C835" s="143" t="n"/>
      <c r="D835" s="143" t="n"/>
      <c r="E835" s="143" t="n"/>
      <c r="F835" s="143" t="n"/>
      <c r="G835" s="143" t="n"/>
      <c r="H835" s="143" t="n"/>
      <c r="I835" s="143" t="n"/>
      <c r="J835" s="143" t="n"/>
    </row>
    <row r="836" ht="18" customHeight="1" s="102">
      <c r="A836" s="137">
        <f>IF($B836="","","CIR-"&amp;TEXT(ROW()-BaslangicSatir,"000000"))</f>
        <v/>
      </c>
      <c r="B836" s="143" t="n"/>
      <c r="C836" s="143" t="n"/>
      <c r="D836" s="143" t="n"/>
      <c r="E836" s="143" t="n"/>
      <c r="F836" s="143" t="n"/>
      <c r="G836" s="143" t="n"/>
      <c r="H836" s="143" t="n"/>
      <c r="I836" s="143" t="n"/>
      <c r="J836" s="143" t="n"/>
    </row>
    <row r="837" ht="18" customHeight="1" s="102">
      <c r="A837" s="137">
        <f>IF($B837="","","CIR-"&amp;TEXT(ROW()-BaslangicSatir,"000000"))</f>
        <v/>
      </c>
      <c r="B837" s="143" t="n"/>
      <c r="C837" s="143" t="n"/>
      <c r="D837" s="143" t="n"/>
      <c r="E837" s="143" t="n"/>
      <c r="F837" s="143" t="n"/>
      <c r="G837" s="143" t="n"/>
      <c r="H837" s="143" t="n"/>
      <c r="I837" s="143" t="n"/>
      <c r="J837" s="143" t="n"/>
    </row>
    <row r="838" ht="18" customHeight="1" s="102">
      <c r="A838" s="137">
        <f>IF($B838="","","CIR-"&amp;TEXT(ROW()-BaslangicSatir,"000000"))</f>
        <v/>
      </c>
      <c r="B838" s="143" t="n"/>
      <c r="C838" s="143" t="n"/>
      <c r="D838" s="143" t="n"/>
      <c r="E838" s="143" t="n"/>
      <c r="F838" s="143" t="n"/>
      <c r="G838" s="143" t="n"/>
      <c r="H838" s="143" t="n"/>
      <c r="I838" s="143" t="n"/>
      <c r="J838" s="143" t="n"/>
    </row>
    <row r="839" ht="18" customHeight="1" s="102">
      <c r="A839" s="137">
        <f>IF($B839="","","CIR-"&amp;TEXT(ROW()-BaslangicSatir,"000000"))</f>
        <v/>
      </c>
      <c r="B839" s="143" t="n"/>
      <c r="C839" s="143" t="n"/>
      <c r="D839" s="143" t="n"/>
      <c r="E839" s="143" t="n"/>
      <c r="F839" s="143" t="n"/>
      <c r="G839" s="143" t="n"/>
      <c r="H839" s="143" t="n"/>
      <c r="I839" s="143" t="n"/>
      <c r="J839" s="143" t="n"/>
    </row>
    <row r="840" ht="18" customHeight="1" s="102">
      <c r="A840" s="137">
        <f>IF($B840="","","CIR-"&amp;TEXT(ROW()-BaslangicSatir,"000000"))</f>
        <v/>
      </c>
      <c r="B840" s="143" t="n"/>
      <c r="C840" s="143" t="n"/>
      <c r="D840" s="143" t="n"/>
      <c r="E840" s="143" t="n"/>
      <c r="F840" s="143" t="n"/>
      <c r="G840" s="143" t="n"/>
      <c r="H840" s="143" t="n"/>
      <c r="I840" s="143" t="n"/>
      <c r="J840" s="143" t="n"/>
    </row>
    <row r="841" ht="18" customHeight="1" s="102">
      <c r="A841" s="137">
        <f>IF($B841="","","CIR-"&amp;TEXT(ROW()-BaslangicSatir,"000000"))</f>
        <v/>
      </c>
      <c r="B841" s="143" t="n"/>
      <c r="C841" s="143" t="n"/>
      <c r="D841" s="143" t="n"/>
      <c r="E841" s="143" t="n"/>
      <c r="F841" s="143" t="n"/>
      <c r="G841" s="143" t="n"/>
      <c r="H841" s="143" t="n"/>
      <c r="I841" s="143" t="n"/>
      <c r="J841" s="143" t="n"/>
    </row>
    <row r="842" ht="18" customHeight="1" s="102">
      <c r="A842" s="137">
        <f>IF($B842="","","CIR-"&amp;TEXT(ROW()-BaslangicSatir,"000000"))</f>
        <v/>
      </c>
      <c r="B842" s="143" t="n"/>
      <c r="C842" s="143" t="n"/>
      <c r="D842" s="143" t="n"/>
      <c r="E842" s="143" t="n"/>
      <c r="F842" s="143" t="n"/>
      <c r="G842" s="143" t="n"/>
      <c r="H842" s="143" t="n"/>
      <c r="I842" s="143" t="n"/>
      <c r="J842" s="143" t="n"/>
    </row>
    <row r="843" ht="18" customHeight="1" s="102">
      <c r="A843" s="137">
        <f>IF($B843="","","CIR-"&amp;TEXT(ROW()-BaslangicSatir,"000000"))</f>
        <v/>
      </c>
      <c r="B843" s="143" t="n"/>
      <c r="C843" s="143" t="n"/>
      <c r="D843" s="143" t="n"/>
      <c r="E843" s="143" t="n"/>
      <c r="F843" s="143" t="n"/>
      <c r="G843" s="143" t="n"/>
      <c r="H843" s="143" t="n"/>
      <c r="I843" s="143" t="n"/>
      <c r="J843" s="143" t="n"/>
    </row>
    <row r="844" ht="18" customHeight="1" s="102">
      <c r="A844" s="137">
        <f>IF($B844="","","CIR-"&amp;TEXT(ROW()-BaslangicSatir,"000000"))</f>
        <v/>
      </c>
      <c r="B844" s="143" t="n"/>
      <c r="C844" s="143" t="n"/>
      <c r="D844" s="143" t="n"/>
      <c r="E844" s="143" t="n"/>
      <c r="F844" s="143" t="n"/>
      <c r="G844" s="143" t="n"/>
      <c r="H844" s="143" t="n"/>
      <c r="I844" s="143" t="n"/>
      <c r="J844" s="143" t="n"/>
    </row>
    <row r="845" ht="18" customHeight="1" s="102">
      <c r="A845" s="137">
        <f>IF($B845="","","CIR-"&amp;TEXT(ROW()-BaslangicSatir,"000000"))</f>
        <v/>
      </c>
      <c r="B845" s="143" t="n"/>
      <c r="C845" s="143" t="n"/>
      <c r="D845" s="143" t="n"/>
      <c r="E845" s="143" t="n"/>
      <c r="F845" s="143" t="n"/>
      <c r="G845" s="143" t="n"/>
      <c r="H845" s="143" t="n"/>
      <c r="I845" s="143" t="n"/>
      <c r="J845" s="143" t="n"/>
    </row>
    <row r="846" ht="18" customHeight="1" s="102">
      <c r="A846" s="137">
        <f>IF($B846="","","CIR-"&amp;TEXT(ROW()-BaslangicSatir,"000000"))</f>
        <v/>
      </c>
      <c r="B846" s="143" t="n"/>
      <c r="C846" s="143" t="n"/>
      <c r="D846" s="143" t="n"/>
      <c r="E846" s="143" t="n"/>
      <c r="F846" s="143" t="n"/>
      <c r="G846" s="143" t="n"/>
      <c r="H846" s="143" t="n"/>
      <c r="I846" s="143" t="n"/>
      <c r="J846" s="143" t="n"/>
    </row>
    <row r="847" ht="18" customHeight="1" s="102">
      <c r="A847" s="137">
        <f>IF($B847="","","CIR-"&amp;TEXT(ROW()-BaslangicSatir,"000000"))</f>
        <v/>
      </c>
      <c r="B847" s="143" t="n"/>
      <c r="C847" s="143" t="n"/>
      <c r="D847" s="143" t="n"/>
      <c r="E847" s="143" t="n"/>
      <c r="F847" s="143" t="n"/>
      <c r="G847" s="143" t="n"/>
      <c r="H847" s="143" t="n"/>
      <c r="I847" s="143" t="n"/>
      <c r="J847" s="143" t="n"/>
    </row>
    <row r="848" ht="18" customHeight="1" s="102">
      <c r="A848" s="137">
        <f>IF($B848="","","CIR-"&amp;TEXT(ROW()-BaslangicSatir,"000000"))</f>
        <v/>
      </c>
      <c r="B848" s="143" t="n"/>
      <c r="C848" s="143" t="n"/>
      <c r="D848" s="143" t="n"/>
      <c r="E848" s="143" t="n"/>
      <c r="F848" s="143" t="n"/>
      <c r="G848" s="143" t="n"/>
      <c r="H848" s="143" t="n"/>
      <c r="I848" s="143" t="n"/>
      <c r="J848" s="143" t="n"/>
    </row>
    <row r="849" ht="18" customHeight="1" s="102">
      <c r="A849" s="137">
        <f>IF($B849="","","CIR-"&amp;TEXT(ROW()-BaslangicSatir,"000000"))</f>
        <v/>
      </c>
      <c r="B849" s="143" t="n"/>
      <c r="C849" s="143" t="n"/>
      <c r="D849" s="143" t="n"/>
      <c r="E849" s="143" t="n"/>
      <c r="F849" s="143" t="n"/>
      <c r="G849" s="143" t="n"/>
      <c r="H849" s="143" t="n"/>
      <c r="I849" s="143" t="n"/>
      <c r="J849" s="143" t="n"/>
    </row>
    <row r="850" ht="18" customHeight="1" s="102">
      <c r="A850" s="137">
        <f>IF($B850="","","CIR-"&amp;TEXT(ROW()-BaslangicSatir,"000000"))</f>
        <v/>
      </c>
      <c r="B850" s="143" t="n"/>
      <c r="C850" s="143" t="n"/>
      <c r="D850" s="143" t="n"/>
      <c r="E850" s="143" t="n"/>
      <c r="F850" s="143" t="n"/>
      <c r="G850" s="143" t="n"/>
      <c r="H850" s="143" t="n"/>
      <c r="I850" s="143" t="n"/>
      <c r="J850" s="143" t="n"/>
    </row>
    <row r="851" ht="18" customHeight="1" s="102">
      <c r="A851" s="137">
        <f>IF($B851="","","CIR-"&amp;TEXT(ROW()-BaslangicSatir,"000000"))</f>
        <v/>
      </c>
      <c r="B851" s="143" t="n"/>
      <c r="C851" s="143" t="n"/>
      <c r="D851" s="143" t="n"/>
      <c r="E851" s="143" t="n"/>
      <c r="F851" s="143" t="n"/>
      <c r="G851" s="143" t="n"/>
      <c r="H851" s="143" t="n"/>
      <c r="I851" s="143" t="n"/>
      <c r="J851" s="143" t="n"/>
    </row>
    <row r="852" ht="18" customHeight="1" s="102">
      <c r="A852" s="137">
        <f>IF($B852="","","CIR-"&amp;TEXT(ROW()-BaslangicSatir,"000000"))</f>
        <v/>
      </c>
      <c r="B852" s="143" t="n"/>
      <c r="C852" s="143" t="n"/>
      <c r="D852" s="143" t="n"/>
      <c r="E852" s="143" t="n"/>
      <c r="F852" s="143" t="n"/>
      <c r="G852" s="143" t="n"/>
      <c r="H852" s="143" t="n"/>
      <c r="I852" s="143" t="n"/>
      <c r="J852" s="143" t="n"/>
    </row>
    <row r="853" ht="18" customHeight="1" s="102">
      <c r="A853" s="137">
        <f>IF($B853="","","CIR-"&amp;TEXT(ROW()-BaslangicSatir,"000000"))</f>
        <v/>
      </c>
      <c r="B853" s="143" t="n"/>
      <c r="C853" s="143" t="n"/>
      <c r="D853" s="143" t="n"/>
      <c r="E853" s="143" t="n"/>
      <c r="F853" s="143" t="n"/>
      <c r="G853" s="143" t="n"/>
      <c r="H853" s="143" t="n"/>
      <c r="I853" s="143" t="n"/>
      <c r="J853" s="143" t="n"/>
    </row>
    <row r="854" ht="18" customHeight="1" s="102">
      <c r="A854" s="137">
        <f>IF($B854="","","CIR-"&amp;TEXT(ROW()-BaslangicSatir,"000000"))</f>
        <v/>
      </c>
      <c r="B854" s="143" t="n"/>
      <c r="C854" s="143" t="n"/>
      <c r="D854" s="143" t="n"/>
      <c r="E854" s="143" t="n"/>
      <c r="F854" s="143" t="n"/>
      <c r="G854" s="143" t="n"/>
      <c r="H854" s="143" t="n"/>
      <c r="I854" s="143" t="n"/>
      <c r="J854" s="143" t="n"/>
    </row>
    <row r="855" ht="18" customHeight="1" s="102">
      <c r="A855" s="137">
        <f>IF($B855="","","CIR-"&amp;TEXT(ROW()-BaslangicSatir,"000000"))</f>
        <v/>
      </c>
      <c r="B855" s="143" t="n"/>
      <c r="C855" s="143" t="n"/>
      <c r="D855" s="143" t="n"/>
      <c r="E855" s="143" t="n"/>
      <c r="F855" s="143" t="n"/>
      <c r="G855" s="143" t="n"/>
      <c r="H855" s="143" t="n"/>
      <c r="I855" s="143" t="n"/>
      <c r="J855" s="143" t="n"/>
    </row>
    <row r="856" ht="18" customHeight="1" s="102">
      <c r="A856" s="137">
        <f>IF($B856="","","CIR-"&amp;TEXT(ROW()-BaslangicSatir,"000000"))</f>
        <v/>
      </c>
      <c r="B856" s="143" t="n"/>
      <c r="C856" s="143" t="n"/>
      <c r="D856" s="143" t="n"/>
      <c r="E856" s="143" t="n"/>
      <c r="F856" s="143" t="n"/>
      <c r="G856" s="143" t="n"/>
      <c r="H856" s="143" t="n"/>
      <c r="I856" s="143" t="n"/>
      <c r="J856" s="143" t="n"/>
    </row>
    <row r="857" ht="18" customHeight="1" s="102">
      <c r="A857" s="137">
        <f>IF($B857="","","CIR-"&amp;TEXT(ROW()-BaslangicSatir,"000000"))</f>
        <v/>
      </c>
      <c r="B857" s="143" t="n"/>
      <c r="C857" s="143" t="n"/>
      <c r="D857" s="143" t="n"/>
      <c r="E857" s="143" t="n"/>
      <c r="F857" s="143" t="n"/>
      <c r="G857" s="143" t="n"/>
      <c r="H857" s="143" t="n"/>
      <c r="I857" s="143" t="n"/>
      <c r="J857" s="143" t="n"/>
    </row>
    <row r="858" ht="18" customHeight="1" s="102">
      <c r="A858" s="137">
        <f>IF($B858="","","CIR-"&amp;TEXT(ROW()-BaslangicSatir,"000000"))</f>
        <v/>
      </c>
      <c r="B858" s="143" t="n"/>
      <c r="C858" s="143" t="n"/>
      <c r="D858" s="143" t="n"/>
      <c r="E858" s="143" t="n"/>
      <c r="F858" s="143" t="n"/>
      <c r="G858" s="143" t="n"/>
      <c r="H858" s="143" t="n"/>
      <c r="I858" s="143" t="n"/>
      <c r="J858" s="143" t="n"/>
    </row>
    <row r="859" ht="18" customHeight="1" s="102">
      <c r="A859" s="137">
        <f>IF($B859="","","CIR-"&amp;TEXT(ROW()-BaslangicSatir,"000000"))</f>
        <v/>
      </c>
      <c r="B859" s="143" t="n"/>
      <c r="C859" s="143" t="n"/>
      <c r="D859" s="143" t="n"/>
      <c r="E859" s="143" t="n"/>
      <c r="F859" s="143" t="n"/>
      <c r="G859" s="143" t="n"/>
      <c r="H859" s="143" t="n"/>
      <c r="I859" s="143" t="n"/>
      <c r="J859" s="143" t="n"/>
    </row>
    <row r="860" ht="18" customHeight="1" s="102">
      <c r="A860" s="137">
        <f>IF($B860="","","CIR-"&amp;TEXT(ROW()-BaslangicSatir,"000000"))</f>
        <v/>
      </c>
      <c r="B860" s="143" t="n"/>
      <c r="C860" s="143" t="n"/>
      <c r="D860" s="143" t="n"/>
      <c r="E860" s="143" t="n"/>
      <c r="F860" s="143" t="n"/>
      <c r="G860" s="143" t="n"/>
      <c r="H860" s="143" t="n"/>
      <c r="I860" s="143" t="n"/>
      <c r="J860" s="143" t="n"/>
    </row>
    <row r="861" ht="18" customHeight="1" s="102">
      <c r="A861" s="137">
        <f>IF($B861="","","CIR-"&amp;TEXT(ROW()-BaslangicSatir,"000000"))</f>
        <v/>
      </c>
      <c r="B861" s="143" t="n"/>
      <c r="C861" s="143" t="n"/>
      <c r="D861" s="143" t="n"/>
      <c r="E861" s="143" t="n"/>
      <c r="F861" s="143" t="n"/>
      <c r="G861" s="143" t="n"/>
      <c r="H861" s="143" t="n"/>
      <c r="I861" s="143" t="n"/>
      <c r="J861" s="143" t="n"/>
    </row>
    <row r="862" ht="18" customHeight="1" s="102">
      <c r="A862" s="137">
        <f>IF($B862="","","CIR-"&amp;TEXT(ROW()-BaslangicSatir,"000000"))</f>
        <v/>
      </c>
      <c r="B862" s="143" t="n"/>
      <c r="C862" s="143" t="n"/>
      <c r="D862" s="143" t="n"/>
      <c r="E862" s="143" t="n"/>
      <c r="F862" s="143" t="n"/>
      <c r="G862" s="143" t="n"/>
      <c r="H862" s="143" t="n"/>
      <c r="I862" s="143" t="n"/>
      <c r="J862" s="143" t="n"/>
    </row>
    <row r="863" ht="18" customHeight="1" s="102">
      <c r="A863" s="137">
        <f>IF($B863="","","CIR-"&amp;TEXT(ROW()-BaslangicSatir,"000000"))</f>
        <v/>
      </c>
      <c r="B863" s="143" t="n"/>
      <c r="C863" s="143" t="n"/>
      <c r="D863" s="143" t="n"/>
      <c r="E863" s="143" t="n"/>
      <c r="F863" s="143" t="n"/>
      <c r="G863" s="143" t="n"/>
      <c r="H863" s="143" t="n"/>
      <c r="I863" s="143" t="n"/>
      <c r="J863" s="143" t="n"/>
    </row>
    <row r="864" ht="18" customHeight="1" s="102">
      <c r="A864" s="137">
        <f>IF($B864="","","CIR-"&amp;TEXT(ROW()-BaslangicSatir,"000000"))</f>
        <v/>
      </c>
      <c r="B864" s="143" t="n"/>
      <c r="C864" s="143" t="n"/>
      <c r="D864" s="143" t="n"/>
      <c r="E864" s="143" t="n"/>
      <c r="F864" s="143" t="n"/>
      <c r="G864" s="143" t="n"/>
      <c r="H864" s="143" t="n"/>
      <c r="I864" s="143" t="n"/>
      <c r="J864" s="143" t="n"/>
    </row>
    <row r="865" ht="18" customHeight="1" s="102">
      <c r="A865" s="137">
        <f>IF($B865="","","CIR-"&amp;TEXT(ROW()-BaslangicSatir,"000000"))</f>
        <v/>
      </c>
      <c r="B865" s="143" t="n"/>
      <c r="C865" s="143" t="n"/>
      <c r="D865" s="143" t="n"/>
      <c r="E865" s="143" t="n"/>
      <c r="F865" s="143" t="n"/>
      <c r="G865" s="143" t="n"/>
      <c r="H865" s="143" t="n"/>
      <c r="I865" s="143" t="n"/>
      <c r="J865" s="143" t="n"/>
    </row>
    <row r="866" ht="18" customHeight="1" s="102">
      <c r="A866" s="137">
        <f>IF($B866="","","CIR-"&amp;TEXT(ROW()-BaslangicSatir,"000000"))</f>
        <v/>
      </c>
      <c r="B866" s="143" t="n"/>
      <c r="C866" s="143" t="n"/>
      <c r="D866" s="143" t="n"/>
      <c r="E866" s="143" t="n"/>
      <c r="F866" s="143" t="n"/>
      <c r="G866" s="143" t="n"/>
      <c r="H866" s="143" t="n"/>
      <c r="I866" s="143" t="n"/>
      <c r="J866" s="143" t="n"/>
    </row>
    <row r="867" ht="18" customHeight="1" s="102">
      <c r="A867" s="137">
        <f>IF($B867="","","CIR-"&amp;TEXT(ROW()-BaslangicSatir,"000000"))</f>
        <v/>
      </c>
      <c r="B867" s="143" t="n"/>
      <c r="C867" s="143" t="n"/>
      <c r="D867" s="143" t="n"/>
      <c r="E867" s="143" t="n"/>
      <c r="F867" s="143" t="n"/>
      <c r="G867" s="143" t="n"/>
      <c r="H867" s="143" t="n"/>
      <c r="I867" s="143" t="n"/>
      <c r="J867" s="143" t="n"/>
    </row>
    <row r="868" ht="18" customHeight="1" s="102">
      <c r="A868" s="137">
        <f>IF($B868="","","CIR-"&amp;TEXT(ROW()-BaslangicSatir,"000000"))</f>
        <v/>
      </c>
      <c r="B868" s="143" t="n"/>
      <c r="C868" s="143" t="n"/>
      <c r="D868" s="143" t="n"/>
      <c r="E868" s="143" t="n"/>
      <c r="F868" s="143" t="n"/>
      <c r="G868" s="143" t="n"/>
      <c r="H868" s="143" t="n"/>
      <c r="I868" s="143" t="n"/>
      <c r="J868" s="143" t="n"/>
    </row>
    <row r="869" ht="18" customHeight="1" s="102">
      <c r="A869" s="137">
        <f>IF($B869="","","CIR-"&amp;TEXT(ROW()-BaslangicSatir,"000000"))</f>
        <v/>
      </c>
      <c r="B869" s="143" t="n"/>
      <c r="C869" s="143" t="n"/>
      <c r="D869" s="143" t="n"/>
      <c r="E869" s="143" t="n"/>
      <c r="F869" s="143" t="n"/>
      <c r="G869" s="143" t="n"/>
      <c r="H869" s="143" t="n"/>
      <c r="I869" s="143" t="n"/>
      <c r="J869" s="143" t="n"/>
    </row>
    <row r="870" ht="18" customHeight="1" s="102">
      <c r="A870" s="137">
        <f>IF($B870="","","CIR-"&amp;TEXT(ROW()-BaslangicSatir,"000000"))</f>
        <v/>
      </c>
      <c r="B870" s="143" t="n"/>
      <c r="C870" s="143" t="n"/>
      <c r="D870" s="143" t="n"/>
      <c r="E870" s="143" t="n"/>
      <c r="F870" s="143" t="n"/>
      <c r="G870" s="143" t="n"/>
      <c r="H870" s="143" t="n"/>
      <c r="I870" s="143" t="n"/>
      <c r="J870" s="143" t="n"/>
    </row>
    <row r="871" ht="18" customHeight="1" s="102">
      <c r="A871" s="137">
        <f>IF($B871="","","CIR-"&amp;TEXT(ROW()-BaslangicSatir,"000000"))</f>
        <v/>
      </c>
      <c r="B871" s="143" t="n"/>
      <c r="C871" s="143" t="n"/>
      <c r="D871" s="143" t="n"/>
      <c r="E871" s="143" t="n"/>
      <c r="F871" s="143" t="n"/>
      <c r="G871" s="143" t="n"/>
      <c r="H871" s="143" t="n"/>
      <c r="I871" s="143" t="n"/>
      <c r="J871" s="143" t="n"/>
    </row>
    <row r="872" ht="18" customHeight="1" s="102">
      <c r="A872" s="137">
        <f>IF($B872="","","CIR-"&amp;TEXT(ROW()-BaslangicSatir,"000000"))</f>
        <v/>
      </c>
      <c r="B872" s="143" t="n"/>
      <c r="C872" s="143" t="n"/>
      <c r="D872" s="143" t="n"/>
      <c r="E872" s="143" t="n"/>
      <c r="F872" s="143" t="n"/>
      <c r="G872" s="143" t="n"/>
      <c r="H872" s="143" t="n"/>
      <c r="I872" s="143" t="n"/>
      <c r="J872" s="143" t="n"/>
    </row>
    <row r="873" ht="18" customHeight="1" s="102">
      <c r="A873" s="137">
        <f>IF($B873="","","CIR-"&amp;TEXT(ROW()-BaslangicSatir,"000000"))</f>
        <v/>
      </c>
      <c r="B873" s="143" t="n"/>
      <c r="C873" s="143" t="n"/>
      <c r="D873" s="143" t="n"/>
      <c r="E873" s="143" t="n"/>
      <c r="F873" s="143" t="n"/>
      <c r="G873" s="143" t="n"/>
      <c r="H873" s="143" t="n"/>
      <c r="I873" s="143" t="n"/>
      <c r="J873" s="143" t="n"/>
    </row>
    <row r="874" ht="18" customHeight="1" s="102">
      <c r="A874" s="137">
        <f>IF($B874="","","CIR-"&amp;TEXT(ROW()-BaslangicSatir,"000000"))</f>
        <v/>
      </c>
      <c r="B874" s="143" t="n"/>
      <c r="C874" s="143" t="n"/>
      <c r="D874" s="143" t="n"/>
      <c r="E874" s="143" t="n"/>
      <c r="F874" s="143" t="n"/>
      <c r="G874" s="143" t="n"/>
      <c r="H874" s="143" t="n"/>
      <c r="I874" s="143" t="n"/>
      <c r="J874" s="143" t="n"/>
    </row>
    <row r="875" ht="18" customHeight="1" s="102">
      <c r="A875" s="137">
        <f>IF($B875="","","CIR-"&amp;TEXT(ROW()-BaslangicSatir,"000000"))</f>
        <v/>
      </c>
      <c r="B875" s="143" t="n"/>
      <c r="C875" s="143" t="n"/>
      <c r="D875" s="143" t="n"/>
      <c r="E875" s="143" t="n"/>
      <c r="F875" s="143" t="n"/>
      <c r="G875" s="143" t="n"/>
      <c r="H875" s="143" t="n"/>
      <c r="I875" s="143" t="n"/>
      <c r="J875" s="143" t="n"/>
    </row>
    <row r="876" ht="18" customHeight="1" s="102">
      <c r="A876" s="137">
        <f>IF($B876="","","CIR-"&amp;TEXT(ROW()-BaslangicSatir,"000000"))</f>
        <v/>
      </c>
      <c r="B876" s="143" t="n"/>
      <c r="C876" s="143" t="n"/>
      <c r="D876" s="143" t="n"/>
      <c r="E876" s="143" t="n"/>
      <c r="F876" s="143" t="n"/>
      <c r="G876" s="143" t="n"/>
      <c r="H876" s="143" t="n"/>
      <c r="I876" s="143" t="n"/>
      <c r="J876" s="143" t="n"/>
    </row>
    <row r="877" ht="18" customHeight="1" s="102">
      <c r="A877" s="137">
        <f>IF($B877="","","CIR-"&amp;TEXT(ROW()-BaslangicSatir,"000000"))</f>
        <v/>
      </c>
      <c r="B877" s="143" t="n"/>
      <c r="C877" s="143" t="n"/>
      <c r="D877" s="143" t="n"/>
      <c r="E877" s="143" t="n"/>
      <c r="F877" s="143" t="n"/>
      <c r="G877" s="143" t="n"/>
      <c r="H877" s="143" t="n"/>
      <c r="I877" s="143" t="n"/>
      <c r="J877" s="143" t="n"/>
    </row>
    <row r="878" ht="18" customHeight="1" s="102">
      <c r="A878" s="137">
        <f>IF($B878="","","CIR-"&amp;TEXT(ROW()-BaslangicSatir,"000000"))</f>
        <v/>
      </c>
      <c r="B878" s="143" t="n"/>
      <c r="C878" s="143" t="n"/>
      <c r="D878" s="143" t="n"/>
      <c r="E878" s="143" t="n"/>
      <c r="F878" s="143" t="n"/>
      <c r="G878" s="143" t="n"/>
      <c r="H878" s="143" t="n"/>
      <c r="I878" s="143" t="n"/>
      <c r="J878" s="143" t="n"/>
    </row>
    <row r="879" ht="18" customHeight="1" s="102">
      <c r="A879" s="137">
        <f>IF($B879="","","CIR-"&amp;TEXT(ROW()-BaslangicSatir,"000000"))</f>
        <v/>
      </c>
      <c r="B879" s="143" t="n"/>
      <c r="C879" s="143" t="n"/>
      <c r="D879" s="143" t="n"/>
      <c r="E879" s="143" t="n"/>
      <c r="F879" s="143" t="n"/>
      <c r="G879" s="143" t="n"/>
      <c r="H879" s="143" t="n"/>
      <c r="I879" s="143" t="n"/>
      <c r="J879" s="143" t="n"/>
    </row>
    <row r="880" ht="18" customHeight="1" s="102">
      <c r="A880" s="137">
        <f>IF($B880="","","CIR-"&amp;TEXT(ROW()-BaslangicSatir,"000000"))</f>
        <v/>
      </c>
      <c r="B880" s="143" t="n"/>
      <c r="C880" s="143" t="n"/>
      <c r="D880" s="143" t="n"/>
      <c r="E880" s="143" t="n"/>
      <c r="F880" s="143" t="n"/>
      <c r="G880" s="143" t="n"/>
      <c r="H880" s="143" t="n"/>
      <c r="I880" s="143" t="n"/>
      <c r="J880" s="143" t="n"/>
    </row>
    <row r="881" ht="18" customHeight="1" s="102">
      <c r="A881" s="137">
        <f>IF($B881="","","CIR-"&amp;TEXT(ROW()-BaslangicSatir,"000000"))</f>
        <v/>
      </c>
      <c r="B881" s="143" t="n"/>
      <c r="C881" s="143" t="n"/>
      <c r="D881" s="143" t="n"/>
      <c r="E881" s="143" t="n"/>
      <c r="F881" s="143" t="n"/>
      <c r="G881" s="143" t="n"/>
      <c r="H881" s="143" t="n"/>
      <c r="I881" s="143" t="n"/>
      <c r="J881" s="143" t="n"/>
    </row>
    <row r="882" ht="18" customHeight="1" s="102">
      <c r="A882" s="137">
        <f>IF($B882="","","CIR-"&amp;TEXT(ROW()-BaslangicSatir,"000000"))</f>
        <v/>
      </c>
      <c r="B882" s="143" t="n"/>
      <c r="C882" s="143" t="n"/>
      <c r="D882" s="143" t="n"/>
      <c r="E882" s="143" t="n"/>
      <c r="F882" s="143" t="n"/>
      <c r="G882" s="143" t="n"/>
      <c r="H882" s="143" t="n"/>
      <c r="I882" s="143" t="n"/>
      <c r="J882" s="143" t="n"/>
    </row>
    <row r="883" ht="18" customHeight="1" s="102">
      <c r="A883" s="137">
        <f>IF($B883="","","CIR-"&amp;TEXT(ROW()-BaslangicSatir,"000000"))</f>
        <v/>
      </c>
      <c r="B883" s="143" t="n"/>
      <c r="C883" s="143" t="n"/>
      <c r="D883" s="143" t="n"/>
      <c r="E883" s="143" t="n"/>
      <c r="F883" s="143" t="n"/>
      <c r="G883" s="143" t="n"/>
      <c r="H883" s="143" t="n"/>
      <c r="I883" s="143" t="n"/>
      <c r="J883" s="143" t="n"/>
    </row>
    <row r="884" ht="18" customHeight="1" s="102">
      <c r="A884" s="137">
        <f>IF($B884="","","CIR-"&amp;TEXT(ROW()-BaslangicSatir,"000000"))</f>
        <v/>
      </c>
      <c r="B884" s="143" t="n"/>
      <c r="C884" s="143" t="n"/>
      <c r="D884" s="143" t="n"/>
      <c r="E884" s="143" t="n"/>
      <c r="F884" s="143" t="n"/>
      <c r="G884" s="143" t="n"/>
      <c r="H884" s="143" t="n"/>
      <c r="I884" s="143" t="n"/>
      <c r="J884" s="143" t="n"/>
    </row>
    <row r="885" ht="18" customHeight="1" s="102">
      <c r="A885" s="137">
        <f>IF($B885="","","CIR-"&amp;TEXT(ROW()-BaslangicSatir,"000000"))</f>
        <v/>
      </c>
      <c r="B885" s="143" t="n"/>
      <c r="C885" s="143" t="n"/>
      <c r="D885" s="143" t="n"/>
      <c r="E885" s="143" t="n"/>
      <c r="F885" s="143" t="n"/>
      <c r="G885" s="143" t="n"/>
      <c r="H885" s="143" t="n"/>
      <c r="I885" s="143" t="n"/>
      <c r="J885" s="143" t="n"/>
    </row>
    <row r="886" ht="18" customHeight="1" s="102">
      <c r="A886" s="137">
        <f>IF($B886="","","CIR-"&amp;TEXT(ROW()-BaslangicSatir,"000000"))</f>
        <v/>
      </c>
      <c r="B886" s="143" t="n"/>
      <c r="C886" s="143" t="n"/>
      <c r="D886" s="143" t="n"/>
      <c r="E886" s="143" t="n"/>
      <c r="F886" s="143" t="n"/>
      <c r="G886" s="143" t="n"/>
      <c r="H886" s="143" t="n"/>
      <c r="I886" s="143" t="n"/>
      <c r="J886" s="143" t="n"/>
    </row>
    <row r="887" ht="18" customHeight="1" s="102">
      <c r="A887" s="137">
        <f>IF($B887="","","CIR-"&amp;TEXT(ROW()-BaslangicSatir,"000000"))</f>
        <v/>
      </c>
      <c r="B887" s="143" t="n"/>
      <c r="C887" s="143" t="n"/>
      <c r="D887" s="143" t="n"/>
      <c r="E887" s="143" t="n"/>
      <c r="F887" s="143" t="n"/>
      <c r="G887" s="143" t="n"/>
      <c r="H887" s="143" t="n"/>
      <c r="I887" s="143" t="n"/>
      <c r="J887" s="143" t="n"/>
    </row>
    <row r="888" ht="18" customHeight="1" s="102">
      <c r="A888" s="137">
        <f>IF($B888="","","CIR-"&amp;TEXT(ROW()-BaslangicSatir,"000000"))</f>
        <v/>
      </c>
      <c r="B888" s="143" t="n"/>
      <c r="C888" s="143" t="n"/>
      <c r="D888" s="143" t="n"/>
      <c r="E888" s="143" t="n"/>
      <c r="F888" s="143" t="n"/>
      <c r="G888" s="143" t="n"/>
      <c r="H888" s="143" t="n"/>
      <c r="I888" s="143" t="n"/>
      <c r="J888" s="143" t="n"/>
    </row>
    <row r="889" ht="18" customHeight="1" s="102">
      <c r="A889" s="137">
        <f>IF($B889="","","CIR-"&amp;TEXT(ROW()-BaslangicSatir,"000000"))</f>
        <v/>
      </c>
      <c r="B889" s="143" t="n"/>
      <c r="C889" s="143" t="n"/>
      <c r="D889" s="143" t="n"/>
      <c r="E889" s="143" t="n"/>
      <c r="F889" s="143" t="n"/>
      <c r="G889" s="143" t="n"/>
      <c r="H889" s="143" t="n"/>
      <c r="I889" s="143" t="n"/>
      <c r="J889" s="143" t="n"/>
    </row>
    <row r="890" ht="18" customHeight="1" s="102">
      <c r="A890" s="137">
        <f>IF($B890="","","CIR-"&amp;TEXT(ROW()-BaslangicSatir,"000000"))</f>
        <v/>
      </c>
      <c r="B890" s="143" t="n"/>
      <c r="C890" s="143" t="n"/>
      <c r="D890" s="143" t="n"/>
      <c r="E890" s="143" t="n"/>
      <c r="F890" s="143" t="n"/>
      <c r="G890" s="143" t="n"/>
      <c r="H890" s="143" t="n"/>
      <c r="I890" s="143" t="n"/>
      <c r="J890" s="143" t="n"/>
    </row>
    <row r="891" ht="18" customHeight="1" s="102">
      <c r="A891" s="137">
        <f>IF($B891="","","CIR-"&amp;TEXT(ROW()-BaslangicSatir,"000000"))</f>
        <v/>
      </c>
      <c r="B891" s="143" t="n"/>
      <c r="C891" s="143" t="n"/>
      <c r="D891" s="143" t="n"/>
      <c r="E891" s="143" t="n"/>
      <c r="F891" s="143" t="n"/>
      <c r="G891" s="143" t="n"/>
      <c r="H891" s="143" t="n"/>
      <c r="I891" s="143" t="n"/>
      <c r="J891" s="143" t="n"/>
    </row>
    <row r="892" ht="18" customHeight="1" s="102">
      <c r="A892" s="137">
        <f>IF($B892="","","CIR-"&amp;TEXT(ROW()-BaslangicSatir,"000000"))</f>
        <v/>
      </c>
      <c r="B892" s="143" t="n"/>
      <c r="C892" s="143" t="n"/>
      <c r="D892" s="143" t="n"/>
      <c r="E892" s="143" t="n"/>
      <c r="F892" s="143" t="n"/>
      <c r="G892" s="143" t="n"/>
      <c r="H892" s="143" t="n"/>
      <c r="I892" s="143" t="n"/>
      <c r="J892" s="143" t="n"/>
    </row>
    <row r="893" ht="18" customHeight="1" s="102">
      <c r="A893" s="137">
        <f>IF($B893="","","CIR-"&amp;TEXT(ROW()-BaslangicSatir,"000000"))</f>
        <v/>
      </c>
      <c r="B893" s="143" t="n"/>
      <c r="C893" s="143" t="n"/>
      <c r="D893" s="143" t="n"/>
      <c r="E893" s="143" t="n"/>
      <c r="F893" s="143" t="n"/>
      <c r="G893" s="143" t="n"/>
      <c r="H893" s="143" t="n"/>
      <c r="I893" s="143" t="n"/>
      <c r="J893" s="143" t="n"/>
    </row>
    <row r="894" ht="18" customHeight="1" s="102">
      <c r="A894" s="137">
        <f>IF($B894="","","CIR-"&amp;TEXT(ROW()-BaslangicSatir,"000000"))</f>
        <v/>
      </c>
      <c r="B894" s="143" t="n"/>
      <c r="C894" s="143" t="n"/>
      <c r="D894" s="143" t="n"/>
      <c r="E894" s="143" t="n"/>
      <c r="F894" s="143" t="n"/>
      <c r="G894" s="143" t="n"/>
      <c r="H894" s="143" t="n"/>
      <c r="I894" s="143" t="n"/>
      <c r="J894" s="143" t="n"/>
    </row>
    <row r="895" ht="18" customHeight="1" s="102">
      <c r="A895" s="137">
        <f>IF($B895="","","CIR-"&amp;TEXT(ROW()-BaslangicSatir,"000000"))</f>
        <v/>
      </c>
      <c r="B895" s="143" t="n"/>
      <c r="C895" s="143" t="n"/>
      <c r="D895" s="143" t="n"/>
      <c r="E895" s="143" t="n"/>
      <c r="F895" s="143" t="n"/>
      <c r="G895" s="143" t="n"/>
      <c r="H895" s="143" t="n"/>
      <c r="I895" s="143" t="n"/>
      <c r="J895" s="143" t="n"/>
    </row>
    <row r="896" ht="18" customHeight="1" s="102">
      <c r="A896" s="137">
        <f>IF($B896="","","CIR-"&amp;TEXT(ROW()-BaslangicSatir,"000000"))</f>
        <v/>
      </c>
      <c r="B896" s="143" t="n"/>
      <c r="C896" s="143" t="n"/>
      <c r="D896" s="143" t="n"/>
      <c r="E896" s="143" t="n"/>
      <c r="F896" s="143" t="n"/>
      <c r="G896" s="143" t="n"/>
      <c r="H896" s="143" t="n"/>
      <c r="I896" s="143" t="n"/>
      <c r="J896" s="143" t="n"/>
    </row>
    <row r="897" ht="18" customHeight="1" s="102">
      <c r="A897" s="137">
        <f>IF($B897="","","CIR-"&amp;TEXT(ROW()-BaslangicSatir,"000000"))</f>
        <v/>
      </c>
      <c r="B897" s="143" t="n"/>
      <c r="C897" s="143" t="n"/>
      <c r="D897" s="143" t="n"/>
      <c r="E897" s="143" t="n"/>
      <c r="F897" s="143" t="n"/>
      <c r="G897" s="143" t="n"/>
      <c r="H897" s="143" t="n"/>
      <c r="I897" s="143" t="n"/>
      <c r="J897" s="143" t="n"/>
    </row>
    <row r="898" ht="18" customHeight="1" s="102">
      <c r="A898" s="137">
        <f>IF($B898="","","CIR-"&amp;TEXT(ROW()-BaslangicSatir,"000000"))</f>
        <v/>
      </c>
      <c r="B898" s="143" t="n"/>
      <c r="C898" s="143" t="n"/>
      <c r="D898" s="143" t="n"/>
      <c r="E898" s="143" t="n"/>
      <c r="F898" s="143" t="n"/>
      <c r="G898" s="143" t="n"/>
      <c r="H898" s="143" t="n"/>
      <c r="I898" s="143" t="n"/>
      <c r="J898" s="143" t="n"/>
    </row>
    <row r="899" ht="18" customHeight="1" s="102">
      <c r="A899" s="137">
        <f>IF($B899="","","CIR-"&amp;TEXT(ROW()-BaslangicSatir,"000000"))</f>
        <v/>
      </c>
      <c r="B899" s="143" t="n"/>
      <c r="C899" s="143" t="n"/>
      <c r="D899" s="143" t="n"/>
      <c r="E899" s="143" t="n"/>
      <c r="F899" s="143" t="n"/>
      <c r="G899" s="143" t="n"/>
      <c r="H899" s="143" t="n"/>
      <c r="I899" s="143" t="n"/>
      <c r="J899" s="143" t="n"/>
    </row>
    <row r="900" ht="18" customHeight="1" s="102">
      <c r="A900" s="137">
        <f>IF($B900="","","CIR-"&amp;TEXT(ROW()-BaslangicSatir,"000000"))</f>
        <v/>
      </c>
      <c r="B900" s="143" t="n"/>
      <c r="C900" s="143" t="n"/>
      <c r="D900" s="143" t="n"/>
      <c r="E900" s="143" t="n"/>
      <c r="F900" s="143" t="n"/>
      <c r="G900" s="143" t="n"/>
      <c r="H900" s="143" t="n"/>
      <c r="I900" s="143" t="n"/>
      <c r="J900" s="143" t="n"/>
    </row>
    <row r="901" ht="18" customHeight="1" s="102">
      <c r="A901" s="137">
        <f>IF($B901="","","CIR-"&amp;TEXT(ROW()-BaslangicSatir,"000000"))</f>
        <v/>
      </c>
      <c r="B901" s="143" t="n"/>
      <c r="C901" s="143" t="n"/>
      <c r="D901" s="143" t="n"/>
      <c r="E901" s="143" t="n"/>
      <c r="F901" s="143" t="n"/>
      <c r="G901" s="143" t="n"/>
      <c r="H901" s="143" t="n"/>
      <c r="I901" s="143" t="n"/>
      <c r="J901" s="143" t="n"/>
    </row>
    <row r="902" ht="18" customHeight="1" s="102">
      <c r="A902" s="137">
        <f>IF($B902="","","CIR-"&amp;TEXT(ROW()-BaslangicSatir,"000000"))</f>
        <v/>
      </c>
      <c r="B902" s="143" t="n"/>
      <c r="C902" s="143" t="n"/>
      <c r="D902" s="143" t="n"/>
      <c r="E902" s="143" t="n"/>
      <c r="F902" s="143" t="n"/>
      <c r="G902" s="143" t="n"/>
      <c r="H902" s="143" t="n"/>
      <c r="I902" s="143" t="n"/>
      <c r="J902" s="143" t="n"/>
    </row>
    <row r="903" ht="18" customHeight="1" s="102">
      <c r="A903" s="137">
        <f>IF($B903="","","CIR-"&amp;TEXT(ROW()-BaslangicSatir,"000000"))</f>
        <v/>
      </c>
      <c r="B903" s="143" t="n"/>
      <c r="C903" s="143" t="n"/>
      <c r="D903" s="143" t="n"/>
      <c r="E903" s="143" t="n"/>
      <c r="F903" s="143" t="n"/>
      <c r="G903" s="143" t="n"/>
      <c r="H903" s="143" t="n"/>
      <c r="I903" s="143" t="n"/>
      <c r="J903" s="143" t="n"/>
    </row>
    <row r="904" ht="18" customHeight="1" s="102">
      <c r="A904" s="137">
        <f>IF($B904="","","CIR-"&amp;TEXT(ROW()-BaslangicSatir,"000000"))</f>
        <v/>
      </c>
      <c r="B904" s="143" t="n"/>
      <c r="C904" s="143" t="n"/>
      <c r="D904" s="143" t="n"/>
      <c r="E904" s="143" t="n"/>
      <c r="F904" s="143" t="n"/>
      <c r="G904" s="143" t="n"/>
      <c r="H904" s="143" t="n"/>
      <c r="I904" s="143" t="n"/>
      <c r="J904" s="143" t="n"/>
    </row>
    <row r="905" ht="18" customHeight="1" s="102">
      <c r="A905" s="137">
        <f>IF($B905="","","CIR-"&amp;TEXT(ROW()-BaslangicSatir,"000000"))</f>
        <v/>
      </c>
      <c r="B905" s="143" t="n"/>
      <c r="C905" s="143" t="n"/>
      <c r="D905" s="143" t="n"/>
      <c r="E905" s="143" t="n"/>
      <c r="F905" s="143" t="n"/>
      <c r="G905" s="143" t="n"/>
      <c r="H905" s="143" t="n"/>
      <c r="I905" s="143" t="n"/>
      <c r="J905" s="143" t="n"/>
    </row>
    <row r="906" ht="18" customHeight="1" s="102">
      <c r="A906" s="137">
        <f>IF($B906="","","CIR-"&amp;TEXT(ROW()-BaslangicSatir,"000000"))</f>
        <v/>
      </c>
      <c r="B906" s="143" t="n"/>
      <c r="C906" s="143" t="n"/>
      <c r="D906" s="143" t="n"/>
      <c r="E906" s="143" t="n"/>
      <c r="F906" s="143" t="n"/>
      <c r="G906" s="143" t="n"/>
      <c r="H906" s="143" t="n"/>
      <c r="I906" s="143" t="n"/>
      <c r="J906" s="143" t="n"/>
    </row>
    <row r="907" ht="18" customHeight="1" s="102">
      <c r="A907" s="137">
        <f>IF($B907="","","CIR-"&amp;TEXT(ROW()-BaslangicSatir,"000000"))</f>
        <v/>
      </c>
      <c r="B907" s="143" t="n"/>
      <c r="C907" s="143" t="n"/>
      <c r="D907" s="143" t="n"/>
      <c r="E907" s="143" t="n"/>
      <c r="F907" s="143" t="n"/>
      <c r="G907" s="143" t="n"/>
      <c r="H907" s="143" t="n"/>
      <c r="I907" s="143" t="n"/>
      <c r="J907" s="143" t="n"/>
    </row>
    <row r="908" ht="18" customHeight="1" s="102">
      <c r="A908" s="137">
        <f>IF($B908="","","CIR-"&amp;TEXT(ROW()-BaslangicSatir,"000000"))</f>
        <v/>
      </c>
      <c r="B908" s="143" t="n"/>
      <c r="C908" s="143" t="n"/>
      <c r="D908" s="143" t="n"/>
      <c r="E908" s="143" t="n"/>
      <c r="F908" s="143" t="n"/>
      <c r="G908" s="143" t="n"/>
      <c r="H908" s="143" t="n"/>
      <c r="I908" s="143" t="n"/>
      <c r="J908" s="143" t="n"/>
    </row>
    <row r="909" ht="18" customHeight="1" s="102">
      <c r="A909" s="137">
        <f>IF($B909="","","CIR-"&amp;TEXT(ROW()-BaslangicSatir,"000000"))</f>
        <v/>
      </c>
      <c r="B909" s="143" t="n"/>
      <c r="C909" s="143" t="n"/>
      <c r="D909" s="143" t="n"/>
      <c r="E909" s="143" t="n"/>
      <c r="F909" s="143" t="n"/>
      <c r="G909" s="143" t="n"/>
      <c r="H909" s="143" t="n"/>
      <c r="I909" s="143" t="n"/>
      <c r="J909" s="143" t="n"/>
    </row>
    <row r="910" ht="18" customHeight="1" s="102">
      <c r="A910" s="137">
        <f>IF($B910="","","CIR-"&amp;TEXT(ROW()-BaslangicSatir,"000000"))</f>
        <v/>
      </c>
      <c r="B910" s="143" t="n"/>
      <c r="C910" s="143" t="n"/>
      <c r="D910" s="143" t="n"/>
      <c r="E910" s="143" t="n"/>
      <c r="F910" s="143" t="n"/>
      <c r="G910" s="143" t="n"/>
      <c r="H910" s="143" t="n"/>
      <c r="I910" s="143" t="n"/>
      <c r="J910" s="143" t="n"/>
    </row>
    <row r="911" ht="18" customHeight="1" s="102">
      <c r="A911" s="137">
        <f>IF($B911="","","CIR-"&amp;TEXT(ROW()-BaslangicSatir,"000000"))</f>
        <v/>
      </c>
      <c r="B911" s="143" t="n"/>
      <c r="C911" s="143" t="n"/>
      <c r="D911" s="143" t="n"/>
      <c r="E911" s="143" t="n"/>
      <c r="F911" s="143" t="n"/>
      <c r="G911" s="143" t="n"/>
      <c r="H911" s="143" t="n"/>
      <c r="I911" s="143" t="n"/>
      <c r="J911" s="143" t="n"/>
    </row>
    <row r="912" ht="18" customHeight="1" s="102">
      <c r="A912" s="137">
        <f>IF($B912="","","CIR-"&amp;TEXT(ROW()-BaslangicSatir,"000000"))</f>
        <v/>
      </c>
      <c r="B912" s="143" t="n"/>
      <c r="C912" s="143" t="n"/>
      <c r="D912" s="143" t="n"/>
      <c r="E912" s="143" t="n"/>
      <c r="F912" s="143" t="n"/>
      <c r="G912" s="143" t="n"/>
      <c r="H912" s="143" t="n"/>
      <c r="I912" s="143" t="n"/>
      <c r="J912" s="143" t="n"/>
    </row>
    <row r="913" ht="18" customHeight="1" s="102">
      <c r="A913" s="137">
        <f>IF($B913="","","CIR-"&amp;TEXT(ROW()-BaslangicSatir,"000000"))</f>
        <v/>
      </c>
      <c r="B913" s="143" t="n"/>
      <c r="C913" s="143" t="n"/>
      <c r="D913" s="143" t="n"/>
      <c r="E913" s="143" t="n"/>
      <c r="F913" s="143" t="n"/>
      <c r="G913" s="143" t="n"/>
      <c r="H913" s="143" t="n"/>
      <c r="I913" s="143" t="n"/>
      <c r="J913" s="143" t="n"/>
    </row>
    <row r="914" ht="18" customHeight="1" s="102">
      <c r="A914" s="137">
        <f>IF($B914="","","CIR-"&amp;TEXT(ROW()-BaslangicSatir,"000000"))</f>
        <v/>
      </c>
      <c r="B914" s="143" t="n"/>
      <c r="C914" s="143" t="n"/>
      <c r="D914" s="143" t="n"/>
      <c r="E914" s="143" t="n"/>
      <c r="F914" s="143" t="n"/>
      <c r="G914" s="143" t="n"/>
      <c r="H914" s="143" t="n"/>
      <c r="I914" s="143" t="n"/>
      <c r="J914" s="143" t="n"/>
    </row>
    <row r="915" ht="18" customHeight="1" s="102">
      <c r="A915" s="137">
        <f>IF($B915="","","CIR-"&amp;TEXT(ROW()-BaslangicSatir,"000000"))</f>
        <v/>
      </c>
      <c r="B915" s="143" t="n"/>
      <c r="C915" s="143" t="n"/>
      <c r="D915" s="143" t="n"/>
      <c r="E915" s="143" t="n"/>
      <c r="F915" s="143" t="n"/>
      <c r="G915" s="143" t="n"/>
      <c r="H915" s="143" t="n"/>
      <c r="I915" s="143" t="n"/>
      <c r="J915" s="143" t="n"/>
    </row>
    <row r="916" ht="18" customHeight="1" s="102">
      <c r="A916" s="137">
        <f>IF($B916="","","CIR-"&amp;TEXT(ROW()-BaslangicSatir,"000000"))</f>
        <v/>
      </c>
      <c r="B916" s="143" t="n"/>
      <c r="C916" s="143" t="n"/>
      <c r="D916" s="143" t="n"/>
      <c r="E916" s="143" t="n"/>
      <c r="F916" s="143" t="n"/>
      <c r="G916" s="143" t="n"/>
      <c r="H916" s="143" t="n"/>
      <c r="I916" s="143" t="n"/>
      <c r="J916" s="143" t="n"/>
    </row>
    <row r="917" ht="18" customHeight="1" s="102">
      <c r="A917" s="137">
        <f>IF($B917="","","CIR-"&amp;TEXT(ROW()-BaslangicSatir,"000000"))</f>
        <v/>
      </c>
      <c r="B917" s="143" t="n"/>
      <c r="C917" s="143" t="n"/>
      <c r="D917" s="143" t="n"/>
      <c r="E917" s="143" t="n"/>
      <c r="F917" s="143" t="n"/>
      <c r="G917" s="143" t="n"/>
      <c r="H917" s="143" t="n"/>
      <c r="I917" s="143" t="n"/>
      <c r="J917" s="143" t="n"/>
    </row>
    <row r="918" ht="18" customHeight="1" s="102">
      <c r="A918" s="137">
        <f>IF($B918="","","CIR-"&amp;TEXT(ROW()-BaslangicSatir,"000000"))</f>
        <v/>
      </c>
      <c r="B918" s="143" t="n"/>
      <c r="C918" s="143" t="n"/>
      <c r="D918" s="143" t="n"/>
      <c r="E918" s="143" t="n"/>
      <c r="F918" s="143" t="n"/>
      <c r="G918" s="143" t="n"/>
      <c r="H918" s="143" t="n"/>
      <c r="I918" s="143" t="n"/>
      <c r="J918" s="143" t="n"/>
    </row>
    <row r="919" ht="18" customHeight="1" s="102">
      <c r="A919" s="137">
        <f>IF($B919="","","CIR-"&amp;TEXT(ROW()-BaslangicSatir,"000000"))</f>
        <v/>
      </c>
      <c r="B919" s="143" t="n"/>
      <c r="C919" s="143" t="n"/>
      <c r="D919" s="143" t="n"/>
      <c r="E919" s="143" t="n"/>
      <c r="F919" s="143" t="n"/>
      <c r="G919" s="143" t="n"/>
      <c r="H919" s="143" t="n"/>
      <c r="I919" s="143" t="n"/>
      <c r="J919" s="143" t="n"/>
    </row>
    <row r="920" ht="18" customHeight="1" s="102">
      <c r="A920" s="137">
        <f>IF($B920="","","CIR-"&amp;TEXT(ROW()-BaslangicSatir,"000000"))</f>
        <v/>
      </c>
      <c r="B920" s="143" t="n"/>
      <c r="C920" s="143" t="n"/>
      <c r="D920" s="143" t="n"/>
      <c r="E920" s="143" t="n"/>
      <c r="F920" s="143" t="n"/>
      <c r="G920" s="143" t="n"/>
      <c r="H920" s="143" t="n"/>
      <c r="I920" s="143" t="n"/>
      <c r="J920" s="143" t="n"/>
    </row>
    <row r="921" ht="18" customHeight="1" s="102">
      <c r="A921" s="137">
        <f>IF($B921="","","CIR-"&amp;TEXT(ROW()-BaslangicSatir,"000000"))</f>
        <v/>
      </c>
      <c r="B921" s="143" t="n"/>
      <c r="C921" s="143" t="n"/>
      <c r="D921" s="143" t="n"/>
      <c r="E921" s="143" t="n"/>
      <c r="F921" s="143" t="n"/>
      <c r="G921" s="143" t="n"/>
      <c r="H921" s="143" t="n"/>
      <c r="I921" s="143" t="n"/>
      <c r="J921" s="143" t="n"/>
    </row>
    <row r="922" ht="18" customHeight="1" s="102">
      <c r="A922" s="137">
        <f>IF($B922="","","CIR-"&amp;TEXT(ROW()-BaslangicSatir,"000000"))</f>
        <v/>
      </c>
      <c r="B922" s="143" t="n"/>
      <c r="C922" s="143" t="n"/>
      <c r="D922" s="143" t="n"/>
      <c r="E922" s="143" t="n"/>
      <c r="F922" s="143" t="n"/>
      <c r="G922" s="143" t="n"/>
      <c r="H922" s="143" t="n"/>
      <c r="I922" s="143" t="n"/>
      <c r="J922" s="143" t="n"/>
    </row>
    <row r="923" ht="18" customHeight="1" s="102">
      <c r="A923" s="137">
        <f>IF($B923="","","CIR-"&amp;TEXT(ROW()-BaslangicSatir,"000000"))</f>
        <v/>
      </c>
      <c r="B923" s="143" t="n"/>
      <c r="C923" s="143" t="n"/>
      <c r="D923" s="143" t="n"/>
      <c r="E923" s="143" t="n"/>
      <c r="F923" s="143" t="n"/>
      <c r="G923" s="143" t="n"/>
      <c r="H923" s="143" t="n"/>
      <c r="I923" s="143" t="n"/>
      <c r="J923" s="143" t="n"/>
    </row>
    <row r="924" ht="18" customHeight="1" s="102">
      <c r="A924" s="137">
        <f>IF($B924="","","CIR-"&amp;TEXT(ROW()-BaslangicSatir,"000000"))</f>
        <v/>
      </c>
      <c r="B924" s="143" t="n"/>
      <c r="C924" s="143" t="n"/>
      <c r="D924" s="143" t="n"/>
      <c r="E924" s="143" t="n"/>
      <c r="F924" s="143" t="n"/>
      <c r="G924" s="143" t="n"/>
      <c r="H924" s="143" t="n"/>
      <c r="I924" s="143" t="n"/>
      <c r="J924" s="143" t="n"/>
    </row>
    <row r="925" ht="18" customHeight="1" s="102">
      <c r="A925" s="137">
        <f>IF($B925="","","CIR-"&amp;TEXT(ROW()-BaslangicSatir,"000000"))</f>
        <v/>
      </c>
      <c r="B925" s="143" t="n"/>
      <c r="C925" s="143" t="n"/>
      <c r="D925" s="143" t="n"/>
      <c r="E925" s="143" t="n"/>
      <c r="F925" s="143" t="n"/>
      <c r="G925" s="143" t="n"/>
      <c r="H925" s="143" t="n"/>
      <c r="I925" s="143" t="n"/>
      <c r="J925" s="143" t="n"/>
    </row>
    <row r="926" ht="18" customHeight="1" s="102">
      <c r="A926" s="137">
        <f>IF($B926="","","CIR-"&amp;TEXT(ROW()-BaslangicSatir,"000000"))</f>
        <v/>
      </c>
      <c r="B926" s="143" t="n"/>
      <c r="C926" s="143" t="n"/>
      <c r="D926" s="143" t="n"/>
      <c r="E926" s="143" t="n"/>
      <c r="F926" s="143" t="n"/>
      <c r="G926" s="143" t="n"/>
      <c r="H926" s="143" t="n"/>
      <c r="I926" s="143" t="n"/>
      <c r="J926" s="143" t="n"/>
    </row>
    <row r="927" ht="18" customHeight="1" s="102">
      <c r="A927" s="137">
        <f>IF($B927="","","CIR-"&amp;TEXT(ROW()-BaslangicSatir,"000000"))</f>
        <v/>
      </c>
      <c r="B927" s="143" t="n"/>
      <c r="C927" s="143" t="n"/>
      <c r="D927" s="143" t="n"/>
      <c r="E927" s="143" t="n"/>
      <c r="F927" s="143" t="n"/>
      <c r="G927" s="143" t="n"/>
      <c r="H927" s="143" t="n"/>
      <c r="I927" s="143" t="n"/>
      <c r="J927" s="143" t="n"/>
    </row>
    <row r="928" ht="18" customHeight="1" s="102">
      <c r="A928" s="137">
        <f>IF($B928="","","CIR-"&amp;TEXT(ROW()-BaslangicSatir,"000000"))</f>
        <v/>
      </c>
      <c r="B928" s="143" t="n"/>
      <c r="C928" s="143" t="n"/>
      <c r="D928" s="143" t="n"/>
      <c r="E928" s="143" t="n"/>
      <c r="F928" s="143" t="n"/>
      <c r="G928" s="143" t="n"/>
      <c r="H928" s="143" t="n"/>
      <c r="I928" s="143" t="n"/>
      <c r="J928" s="143" t="n"/>
    </row>
    <row r="929" ht="18" customHeight="1" s="102">
      <c r="A929" s="137">
        <f>IF($B929="","","CIR-"&amp;TEXT(ROW()-BaslangicSatir,"000000"))</f>
        <v/>
      </c>
      <c r="B929" s="143" t="n"/>
      <c r="C929" s="143" t="n"/>
      <c r="D929" s="143" t="n"/>
      <c r="E929" s="143" t="n"/>
      <c r="F929" s="143" t="n"/>
      <c r="G929" s="143" t="n"/>
      <c r="H929" s="143" t="n"/>
      <c r="I929" s="143" t="n"/>
      <c r="J929" s="143" t="n"/>
    </row>
    <row r="930" ht="18" customHeight="1" s="102">
      <c r="A930" s="137">
        <f>IF($B930="","","CIR-"&amp;TEXT(ROW()-BaslangicSatir,"000000"))</f>
        <v/>
      </c>
      <c r="B930" s="143" t="n"/>
      <c r="C930" s="143" t="n"/>
      <c r="D930" s="143" t="n"/>
      <c r="E930" s="143" t="n"/>
      <c r="F930" s="143" t="n"/>
      <c r="G930" s="143" t="n"/>
      <c r="H930" s="143" t="n"/>
      <c r="I930" s="143" t="n"/>
      <c r="J930" s="143" t="n"/>
    </row>
    <row r="931" ht="18" customHeight="1" s="102">
      <c r="A931" s="137">
        <f>IF($B931="","","CIR-"&amp;TEXT(ROW()-BaslangicSatir,"000000"))</f>
        <v/>
      </c>
      <c r="B931" s="143" t="n"/>
      <c r="C931" s="143" t="n"/>
      <c r="D931" s="143" t="n"/>
      <c r="E931" s="143" t="n"/>
      <c r="F931" s="143" t="n"/>
      <c r="G931" s="143" t="n"/>
      <c r="H931" s="143" t="n"/>
      <c r="I931" s="143" t="n"/>
      <c r="J931" s="143" t="n"/>
    </row>
    <row r="932" ht="18" customHeight="1" s="102">
      <c r="A932" s="137">
        <f>IF($B932="","","CIR-"&amp;TEXT(ROW()-BaslangicSatir,"000000"))</f>
        <v/>
      </c>
      <c r="B932" s="143" t="n"/>
      <c r="C932" s="143" t="n"/>
      <c r="D932" s="143" t="n"/>
      <c r="E932" s="143" t="n"/>
      <c r="F932" s="143" t="n"/>
      <c r="G932" s="143" t="n"/>
      <c r="H932" s="143" t="n"/>
      <c r="I932" s="143" t="n"/>
      <c r="J932" s="143" t="n"/>
    </row>
    <row r="933" ht="18" customHeight="1" s="102">
      <c r="A933" s="137">
        <f>IF($B933="","","CIR-"&amp;TEXT(ROW()-BaslangicSatir,"000000"))</f>
        <v/>
      </c>
      <c r="B933" s="143" t="n"/>
      <c r="C933" s="143" t="n"/>
      <c r="D933" s="143" t="n"/>
      <c r="E933" s="143" t="n"/>
      <c r="F933" s="143" t="n"/>
      <c r="G933" s="143" t="n"/>
      <c r="H933" s="143" t="n"/>
      <c r="I933" s="143" t="n"/>
      <c r="J933" s="143" t="n"/>
    </row>
    <row r="934" ht="18" customHeight="1" s="102">
      <c r="A934" s="137">
        <f>IF($B934="","","CIR-"&amp;TEXT(ROW()-BaslangicSatir,"000000"))</f>
        <v/>
      </c>
      <c r="B934" s="143" t="n"/>
      <c r="C934" s="143" t="n"/>
      <c r="D934" s="143" t="n"/>
      <c r="E934" s="143" t="n"/>
      <c r="F934" s="143" t="n"/>
      <c r="G934" s="143" t="n"/>
      <c r="H934" s="143" t="n"/>
      <c r="I934" s="143" t="n"/>
      <c r="J934" s="143" t="n"/>
    </row>
    <row r="935" ht="18" customHeight="1" s="102">
      <c r="A935" s="137">
        <f>IF($B935="","","CIR-"&amp;TEXT(ROW()-BaslangicSatir,"000000"))</f>
        <v/>
      </c>
      <c r="B935" s="143" t="n"/>
      <c r="C935" s="143" t="n"/>
      <c r="D935" s="143" t="n"/>
      <c r="E935" s="143" t="n"/>
      <c r="F935" s="143" t="n"/>
      <c r="G935" s="143" t="n"/>
      <c r="H935" s="143" t="n"/>
      <c r="I935" s="143" t="n"/>
      <c r="J935" s="143" t="n"/>
    </row>
    <row r="936" ht="18" customHeight="1" s="102">
      <c r="A936" s="137">
        <f>IF($B936="","","CIR-"&amp;TEXT(ROW()-BaslangicSatir,"000000"))</f>
        <v/>
      </c>
      <c r="B936" s="143" t="n"/>
      <c r="C936" s="143" t="n"/>
      <c r="D936" s="143" t="n"/>
      <c r="E936" s="143" t="n"/>
      <c r="F936" s="143" t="n"/>
      <c r="G936" s="143" t="n"/>
      <c r="H936" s="143" t="n"/>
      <c r="I936" s="143" t="n"/>
      <c r="J936" s="143" t="n"/>
    </row>
    <row r="937" ht="18" customHeight="1" s="102">
      <c r="A937" s="137">
        <f>IF($B937="","","CIR-"&amp;TEXT(ROW()-BaslangicSatir,"000000"))</f>
        <v/>
      </c>
      <c r="B937" s="143" t="n"/>
      <c r="C937" s="143" t="n"/>
      <c r="D937" s="143" t="n"/>
      <c r="E937" s="143" t="n"/>
      <c r="F937" s="143" t="n"/>
      <c r="G937" s="143" t="n"/>
      <c r="H937" s="143" t="n"/>
      <c r="I937" s="143" t="n"/>
      <c r="J937" s="143" t="n"/>
    </row>
    <row r="938" ht="18" customHeight="1" s="102">
      <c r="A938" s="137">
        <f>IF($B938="","","CIR-"&amp;TEXT(ROW()-BaslangicSatir,"000000"))</f>
        <v/>
      </c>
      <c r="B938" s="143" t="n"/>
      <c r="C938" s="143" t="n"/>
      <c r="D938" s="143" t="n"/>
      <c r="E938" s="143" t="n"/>
      <c r="F938" s="143" t="n"/>
      <c r="G938" s="143" t="n"/>
      <c r="H938" s="143" t="n"/>
      <c r="I938" s="143" t="n"/>
      <c r="J938" s="143" t="n"/>
    </row>
    <row r="939" ht="18" customHeight="1" s="102">
      <c r="A939" s="137">
        <f>IF($B939="","","CIR-"&amp;TEXT(ROW()-BaslangicSatir,"000000"))</f>
        <v/>
      </c>
      <c r="B939" s="143" t="n"/>
      <c r="C939" s="143" t="n"/>
      <c r="D939" s="143" t="n"/>
      <c r="E939" s="143" t="n"/>
      <c r="F939" s="143" t="n"/>
      <c r="G939" s="143" t="n"/>
      <c r="H939" s="143" t="n"/>
      <c r="I939" s="143" t="n"/>
      <c r="J939" s="143" t="n"/>
    </row>
    <row r="940" ht="18" customHeight="1" s="102">
      <c r="A940" s="137">
        <f>IF($B940="","","CIR-"&amp;TEXT(ROW()-BaslangicSatir,"000000"))</f>
        <v/>
      </c>
      <c r="B940" s="143" t="n"/>
      <c r="C940" s="143" t="n"/>
      <c r="D940" s="143" t="n"/>
      <c r="E940" s="143" t="n"/>
      <c r="F940" s="143" t="n"/>
      <c r="G940" s="143" t="n"/>
      <c r="H940" s="143" t="n"/>
      <c r="I940" s="143" t="n"/>
      <c r="J940" s="143" t="n"/>
    </row>
    <row r="941" ht="18" customHeight="1" s="102">
      <c r="A941" s="137">
        <f>IF($B941="","","CIR-"&amp;TEXT(ROW()-BaslangicSatir,"000000"))</f>
        <v/>
      </c>
      <c r="B941" s="143" t="n"/>
      <c r="C941" s="143" t="n"/>
      <c r="D941" s="143" t="n"/>
      <c r="E941" s="143" t="n"/>
      <c r="F941" s="143" t="n"/>
      <c r="G941" s="143" t="n"/>
      <c r="H941" s="143" t="n"/>
      <c r="I941" s="143" t="n"/>
      <c r="J941" s="143" t="n"/>
    </row>
    <row r="942" ht="18" customHeight="1" s="102">
      <c r="A942" s="137">
        <f>IF($B942="","","CIR-"&amp;TEXT(ROW()-BaslangicSatir,"000000"))</f>
        <v/>
      </c>
      <c r="B942" s="143" t="n"/>
      <c r="C942" s="143" t="n"/>
      <c r="D942" s="143" t="n"/>
      <c r="E942" s="143" t="n"/>
      <c r="F942" s="143" t="n"/>
      <c r="G942" s="143" t="n"/>
      <c r="H942" s="143" t="n"/>
      <c r="I942" s="143" t="n"/>
      <c r="J942" s="143" t="n"/>
    </row>
    <row r="943" ht="18" customHeight="1" s="102">
      <c r="A943" s="137">
        <f>IF($B943="","","CIR-"&amp;TEXT(ROW()-BaslangicSatir,"000000"))</f>
        <v/>
      </c>
      <c r="B943" s="143" t="n"/>
      <c r="C943" s="143" t="n"/>
      <c r="D943" s="143" t="n"/>
      <c r="E943" s="143" t="n"/>
      <c r="F943" s="143" t="n"/>
      <c r="G943" s="143" t="n"/>
      <c r="H943" s="143" t="n"/>
      <c r="I943" s="143" t="n"/>
      <c r="J943" s="143" t="n"/>
    </row>
    <row r="944" ht="18" customHeight="1" s="102">
      <c r="A944" s="137">
        <f>IF($B944="","","CIR-"&amp;TEXT(ROW()-BaslangicSatir,"000000"))</f>
        <v/>
      </c>
      <c r="B944" s="143" t="n"/>
      <c r="C944" s="143" t="n"/>
      <c r="D944" s="143" t="n"/>
      <c r="E944" s="143" t="n"/>
      <c r="F944" s="143" t="n"/>
      <c r="G944" s="143" t="n"/>
      <c r="H944" s="143" t="n"/>
      <c r="I944" s="143" t="n"/>
      <c r="J944" s="143" t="n"/>
    </row>
    <row r="945" ht="18" customHeight="1" s="102">
      <c r="A945" s="137">
        <f>IF($B945="","","CIR-"&amp;TEXT(ROW()-BaslangicSatir,"000000"))</f>
        <v/>
      </c>
      <c r="B945" s="143" t="n"/>
      <c r="C945" s="143" t="n"/>
      <c r="D945" s="143" t="n"/>
      <c r="E945" s="143" t="n"/>
      <c r="F945" s="143" t="n"/>
      <c r="G945" s="143" t="n"/>
      <c r="H945" s="143" t="n"/>
      <c r="I945" s="143" t="n"/>
      <c r="J945" s="143" t="n"/>
    </row>
    <row r="946" ht="18" customHeight="1" s="102">
      <c r="A946" s="137">
        <f>IF($B946="","","CIR-"&amp;TEXT(ROW()-BaslangicSatir,"000000"))</f>
        <v/>
      </c>
      <c r="B946" s="143" t="n"/>
      <c r="C946" s="143" t="n"/>
      <c r="D946" s="143" t="n"/>
      <c r="E946" s="143" t="n"/>
      <c r="F946" s="143" t="n"/>
      <c r="G946" s="143" t="n"/>
      <c r="H946" s="143" t="n"/>
      <c r="I946" s="143" t="n"/>
      <c r="J946" s="143" t="n"/>
    </row>
    <row r="947" ht="18" customHeight="1" s="102">
      <c r="A947" s="137">
        <f>IF($B947="","","CIR-"&amp;TEXT(ROW()-BaslangicSatir,"000000"))</f>
        <v/>
      </c>
      <c r="B947" s="143" t="n"/>
      <c r="C947" s="143" t="n"/>
      <c r="D947" s="143" t="n"/>
      <c r="E947" s="143" t="n"/>
      <c r="F947" s="143" t="n"/>
      <c r="G947" s="143" t="n"/>
      <c r="H947" s="143" t="n"/>
      <c r="I947" s="143" t="n"/>
      <c r="J947" s="143" t="n"/>
    </row>
    <row r="948" ht="18" customHeight="1" s="102">
      <c r="A948" s="137">
        <f>IF($B948="","","CIR-"&amp;TEXT(ROW()-BaslangicSatir,"000000"))</f>
        <v/>
      </c>
      <c r="B948" s="143" t="n"/>
      <c r="C948" s="143" t="n"/>
      <c r="D948" s="143" t="n"/>
      <c r="E948" s="143" t="n"/>
      <c r="F948" s="143" t="n"/>
      <c r="G948" s="143" t="n"/>
      <c r="H948" s="143" t="n"/>
      <c r="I948" s="143" t="n"/>
      <c r="J948" s="143" t="n"/>
    </row>
    <row r="949" ht="18" customHeight="1" s="102">
      <c r="A949" s="137">
        <f>IF($B949="","","CIR-"&amp;TEXT(ROW()-BaslangicSatir,"000000"))</f>
        <v/>
      </c>
      <c r="B949" s="143" t="n"/>
      <c r="C949" s="143" t="n"/>
      <c r="D949" s="143" t="n"/>
      <c r="E949" s="143" t="n"/>
      <c r="F949" s="143" t="n"/>
      <c r="G949" s="143" t="n"/>
      <c r="H949" s="143" t="n"/>
      <c r="I949" s="143" t="n"/>
      <c r="J949" s="143" t="n"/>
    </row>
    <row r="950" ht="18" customHeight="1" s="102">
      <c r="A950" s="137">
        <f>IF($B950="","","CIR-"&amp;TEXT(ROW()-BaslangicSatir,"000000"))</f>
        <v/>
      </c>
      <c r="B950" s="143" t="n"/>
      <c r="C950" s="143" t="n"/>
      <c r="D950" s="143" t="n"/>
      <c r="E950" s="143" t="n"/>
      <c r="F950" s="143" t="n"/>
      <c r="G950" s="143" t="n"/>
      <c r="H950" s="143" t="n"/>
      <c r="I950" s="143" t="n"/>
      <c r="J950" s="143" t="n"/>
    </row>
    <row r="951" ht="18" customHeight="1" s="102">
      <c r="A951" s="137">
        <f>IF($B951="","","CIR-"&amp;TEXT(ROW()-BaslangicSatir,"000000"))</f>
        <v/>
      </c>
      <c r="B951" s="143" t="n"/>
      <c r="C951" s="143" t="n"/>
      <c r="D951" s="143" t="n"/>
      <c r="E951" s="143" t="n"/>
      <c r="F951" s="143" t="n"/>
      <c r="G951" s="143" t="n"/>
      <c r="H951" s="143" t="n"/>
      <c r="I951" s="143" t="n"/>
      <c r="J951" s="143" t="n"/>
    </row>
    <row r="952" ht="18" customHeight="1" s="102">
      <c r="A952" s="137">
        <f>IF($B952="","","CIR-"&amp;TEXT(ROW()-BaslangicSatir,"000000"))</f>
        <v/>
      </c>
      <c r="B952" s="143" t="n"/>
      <c r="C952" s="143" t="n"/>
      <c r="D952" s="143" t="n"/>
      <c r="E952" s="143" t="n"/>
      <c r="F952" s="143" t="n"/>
      <c r="G952" s="143" t="n"/>
      <c r="H952" s="143" t="n"/>
      <c r="I952" s="143" t="n"/>
      <c r="J952" s="143" t="n"/>
    </row>
    <row r="953" ht="18" customHeight="1" s="102">
      <c r="A953" s="137">
        <f>IF($B953="","","CIR-"&amp;TEXT(ROW()-BaslangicSatir,"000000"))</f>
        <v/>
      </c>
      <c r="B953" s="143" t="n"/>
      <c r="C953" s="143" t="n"/>
      <c r="D953" s="143" t="n"/>
      <c r="E953" s="143" t="n"/>
      <c r="F953" s="143" t="n"/>
      <c r="G953" s="143" t="n"/>
      <c r="H953" s="143" t="n"/>
      <c r="I953" s="143" t="n"/>
      <c r="J953" s="143" t="n"/>
    </row>
    <row r="954" ht="18" customHeight="1" s="102">
      <c r="A954" s="137">
        <f>IF($B954="","","CIR-"&amp;TEXT(ROW()-BaslangicSatir,"000000"))</f>
        <v/>
      </c>
      <c r="B954" s="143" t="n"/>
      <c r="C954" s="143" t="n"/>
      <c r="D954" s="143" t="n"/>
      <c r="E954" s="143" t="n"/>
      <c r="F954" s="143" t="n"/>
      <c r="G954" s="143" t="n"/>
      <c r="H954" s="143" t="n"/>
      <c r="I954" s="143" t="n"/>
      <c r="J954" s="143" t="n"/>
    </row>
    <row r="955" ht="18" customHeight="1" s="102">
      <c r="A955" s="137">
        <f>IF($B955="","","CIR-"&amp;TEXT(ROW()-BaslangicSatir,"000000"))</f>
        <v/>
      </c>
      <c r="B955" s="143" t="n"/>
      <c r="C955" s="143" t="n"/>
      <c r="D955" s="143" t="n"/>
      <c r="E955" s="143" t="n"/>
      <c r="F955" s="143" t="n"/>
      <c r="G955" s="143" t="n"/>
      <c r="H955" s="143" t="n"/>
      <c r="I955" s="143" t="n"/>
      <c r="J955" s="143" t="n"/>
    </row>
    <row r="956" ht="18" customHeight="1" s="102">
      <c r="A956" s="137">
        <f>IF($B956="","","CIR-"&amp;TEXT(ROW()-BaslangicSatir,"000000"))</f>
        <v/>
      </c>
      <c r="B956" s="143" t="n"/>
      <c r="C956" s="143" t="n"/>
      <c r="D956" s="143" t="n"/>
      <c r="E956" s="143" t="n"/>
      <c r="F956" s="143" t="n"/>
      <c r="G956" s="143" t="n"/>
      <c r="H956" s="143" t="n"/>
      <c r="I956" s="143" t="n"/>
      <c r="J956" s="143" t="n"/>
    </row>
    <row r="957" ht="18" customHeight="1" s="102">
      <c r="A957" s="137">
        <f>IF($B957="","","CIR-"&amp;TEXT(ROW()-BaslangicSatir,"000000"))</f>
        <v/>
      </c>
      <c r="B957" s="143" t="n"/>
      <c r="C957" s="143" t="n"/>
      <c r="D957" s="143" t="n"/>
      <c r="E957" s="143" t="n"/>
      <c r="F957" s="143" t="n"/>
      <c r="G957" s="143" t="n"/>
      <c r="H957" s="143" t="n"/>
      <c r="I957" s="143" t="n"/>
      <c r="J957" s="143" t="n"/>
    </row>
    <row r="958" ht="18" customHeight="1" s="102">
      <c r="A958" s="137">
        <f>IF($B958="","","CIR-"&amp;TEXT(ROW()-BaslangicSatir,"000000"))</f>
        <v/>
      </c>
      <c r="B958" s="143" t="n"/>
      <c r="C958" s="143" t="n"/>
      <c r="D958" s="143" t="n"/>
      <c r="E958" s="143" t="n"/>
      <c r="F958" s="143" t="n"/>
      <c r="G958" s="143" t="n"/>
      <c r="H958" s="143" t="n"/>
      <c r="I958" s="143" t="n"/>
      <c r="J958" s="143" t="n"/>
    </row>
    <row r="959" ht="18" customHeight="1" s="102">
      <c r="A959" s="137">
        <f>IF($B959="","","CIR-"&amp;TEXT(ROW()-BaslangicSatir,"000000"))</f>
        <v/>
      </c>
      <c r="B959" s="143" t="n"/>
      <c r="C959" s="143" t="n"/>
      <c r="D959" s="143" t="n"/>
      <c r="E959" s="143" t="n"/>
      <c r="F959" s="143" t="n"/>
      <c r="G959" s="143" t="n"/>
      <c r="H959" s="143" t="n"/>
      <c r="I959" s="143" t="n"/>
      <c r="J959" s="143" t="n"/>
    </row>
    <row r="960" ht="18" customHeight="1" s="102">
      <c r="A960" s="137">
        <f>IF($B960="","","CIR-"&amp;TEXT(ROW()-BaslangicSatir,"000000"))</f>
        <v/>
      </c>
      <c r="B960" s="143" t="n"/>
      <c r="C960" s="143" t="n"/>
      <c r="D960" s="143" t="n"/>
      <c r="E960" s="143" t="n"/>
      <c r="F960" s="143" t="n"/>
      <c r="G960" s="143" t="n"/>
      <c r="H960" s="143" t="n"/>
      <c r="I960" s="143" t="n"/>
      <c r="J960" s="143" t="n"/>
    </row>
    <row r="961" ht="18" customHeight="1" s="102">
      <c r="A961" s="137">
        <f>IF($B961="","","CIR-"&amp;TEXT(ROW()-BaslangicSatir,"000000"))</f>
        <v/>
      </c>
      <c r="B961" s="143" t="n"/>
      <c r="C961" s="143" t="n"/>
      <c r="D961" s="143" t="n"/>
      <c r="E961" s="143" t="n"/>
      <c r="F961" s="143" t="n"/>
      <c r="G961" s="143" t="n"/>
      <c r="H961" s="143" t="n"/>
      <c r="I961" s="143" t="n"/>
      <c r="J961" s="143" t="n"/>
    </row>
    <row r="962" ht="18" customHeight="1" s="102">
      <c r="A962" s="137">
        <f>IF($B962="","","CIR-"&amp;TEXT(ROW()-BaslangicSatir,"000000"))</f>
        <v/>
      </c>
      <c r="B962" s="143" t="n"/>
      <c r="C962" s="143" t="n"/>
      <c r="D962" s="143" t="n"/>
      <c r="E962" s="143" t="n"/>
      <c r="F962" s="143" t="n"/>
      <c r="G962" s="143" t="n"/>
      <c r="H962" s="143" t="n"/>
      <c r="I962" s="143" t="n"/>
      <c r="J962" s="143" t="n"/>
    </row>
    <row r="963" ht="18" customHeight="1" s="102">
      <c r="A963" s="137">
        <f>IF($B963="","","CIR-"&amp;TEXT(ROW()-BaslangicSatir,"000000"))</f>
        <v/>
      </c>
      <c r="B963" s="143" t="n"/>
      <c r="C963" s="143" t="n"/>
      <c r="D963" s="143" t="n"/>
      <c r="E963" s="143" t="n"/>
      <c r="F963" s="143" t="n"/>
      <c r="G963" s="143" t="n"/>
      <c r="H963" s="143" t="n"/>
      <c r="I963" s="143" t="n"/>
      <c r="J963" s="143" t="n"/>
    </row>
    <row r="964" ht="18" customHeight="1" s="102">
      <c r="A964" s="137">
        <f>IF($B964="","","CIR-"&amp;TEXT(ROW()-BaslangicSatir,"000000"))</f>
        <v/>
      </c>
      <c r="B964" s="143" t="n"/>
      <c r="C964" s="143" t="n"/>
      <c r="D964" s="143" t="n"/>
      <c r="E964" s="143" t="n"/>
      <c r="F964" s="143" t="n"/>
      <c r="G964" s="143" t="n"/>
      <c r="H964" s="143" t="n"/>
      <c r="I964" s="143" t="n"/>
      <c r="J964" s="143" t="n"/>
    </row>
    <row r="965" ht="18" customHeight="1" s="102">
      <c r="A965" s="137">
        <f>IF($B965="","","CIR-"&amp;TEXT(ROW()-BaslangicSatir,"000000"))</f>
        <v/>
      </c>
      <c r="B965" s="143" t="n"/>
      <c r="C965" s="143" t="n"/>
      <c r="D965" s="143" t="n"/>
      <c r="E965" s="143" t="n"/>
      <c r="F965" s="143" t="n"/>
      <c r="G965" s="143" t="n"/>
      <c r="H965" s="143" t="n"/>
      <c r="I965" s="143" t="n"/>
      <c r="J965" s="143" t="n"/>
    </row>
    <row r="966" ht="18" customHeight="1" s="102">
      <c r="A966" s="137">
        <f>IF($B966="","","CIR-"&amp;TEXT(ROW()-BaslangicSatir,"000000"))</f>
        <v/>
      </c>
      <c r="B966" s="143" t="n"/>
      <c r="C966" s="143" t="n"/>
      <c r="D966" s="143" t="n"/>
      <c r="E966" s="143" t="n"/>
      <c r="F966" s="143" t="n"/>
      <c r="G966" s="143" t="n"/>
      <c r="H966" s="143" t="n"/>
      <c r="I966" s="143" t="n"/>
      <c r="J966" s="143" t="n"/>
    </row>
    <row r="967" ht="18" customHeight="1" s="102">
      <c r="A967" s="137">
        <f>IF($B967="","","CIR-"&amp;TEXT(ROW()-BaslangicSatir,"000000"))</f>
        <v/>
      </c>
      <c r="B967" s="143" t="n"/>
      <c r="C967" s="143" t="n"/>
      <c r="D967" s="143" t="n"/>
      <c r="E967" s="143" t="n"/>
      <c r="F967" s="143" t="n"/>
      <c r="G967" s="143" t="n"/>
      <c r="H967" s="143" t="n"/>
      <c r="I967" s="143" t="n"/>
      <c r="J967" s="143" t="n"/>
    </row>
    <row r="968" ht="18" customHeight="1" s="102">
      <c r="A968" s="137">
        <f>IF($B968="","","CIR-"&amp;TEXT(ROW()-BaslangicSatir,"000000"))</f>
        <v/>
      </c>
      <c r="B968" s="143" t="n"/>
      <c r="C968" s="143" t="n"/>
      <c r="D968" s="143" t="n"/>
      <c r="E968" s="143" t="n"/>
      <c r="F968" s="143" t="n"/>
      <c r="G968" s="143" t="n"/>
      <c r="H968" s="143" t="n"/>
      <c r="I968" s="143" t="n"/>
      <c r="J968" s="143" t="n"/>
    </row>
    <row r="969" ht="18" customHeight="1" s="102">
      <c r="A969" s="137">
        <f>IF($B969="","","CIR-"&amp;TEXT(ROW()-BaslangicSatir,"000000"))</f>
        <v/>
      </c>
      <c r="B969" s="143" t="n"/>
      <c r="C969" s="143" t="n"/>
      <c r="D969" s="143" t="n"/>
      <c r="E969" s="143" t="n"/>
      <c r="F969" s="143" t="n"/>
      <c r="G969" s="143" t="n"/>
      <c r="H969" s="143" t="n"/>
      <c r="I969" s="143" t="n"/>
      <c r="J969" s="143" t="n"/>
    </row>
    <row r="970" ht="18" customHeight="1" s="102">
      <c r="A970" s="137">
        <f>IF($B970="","","CIR-"&amp;TEXT(ROW()-BaslangicSatir,"000000"))</f>
        <v/>
      </c>
      <c r="B970" s="143" t="n"/>
      <c r="C970" s="143" t="n"/>
      <c r="D970" s="143" t="n"/>
      <c r="E970" s="143" t="n"/>
      <c r="F970" s="143" t="n"/>
      <c r="G970" s="143" t="n"/>
      <c r="H970" s="143" t="n"/>
      <c r="I970" s="143" t="n"/>
      <c r="J970" s="143" t="n"/>
    </row>
    <row r="971" ht="18" customHeight="1" s="102">
      <c r="A971" s="137">
        <f>IF($B971="","","CIR-"&amp;TEXT(ROW()-BaslangicSatir,"000000"))</f>
        <v/>
      </c>
      <c r="B971" s="143" t="n"/>
      <c r="C971" s="143" t="n"/>
      <c r="D971" s="143" t="n"/>
      <c r="E971" s="143" t="n"/>
      <c r="F971" s="143" t="n"/>
      <c r="G971" s="143" t="n"/>
      <c r="H971" s="143" t="n"/>
      <c r="I971" s="143" t="n"/>
      <c r="J971" s="143" t="n"/>
    </row>
    <row r="972" ht="18" customHeight="1" s="102">
      <c r="A972" s="137">
        <f>IF($B972="","","CIR-"&amp;TEXT(ROW()-BaslangicSatir,"000000"))</f>
        <v/>
      </c>
      <c r="B972" s="143" t="n"/>
      <c r="C972" s="143" t="n"/>
      <c r="D972" s="143" t="n"/>
      <c r="E972" s="143" t="n"/>
      <c r="F972" s="143" t="n"/>
      <c r="G972" s="143" t="n"/>
      <c r="H972" s="143" t="n"/>
      <c r="I972" s="143" t="n"/>
      <c r="J972" s="143" t="n"/>
    </row>
    <row r="973" ht="18" customHeight="1" s="102">
      <c r="A973" s="137">
        <f>IF($B973="","","CIR-"&amp;TEXT(ROW()-BaslangicSatir,"000000"))</f>
        <v/>
      </c>
      <c r="B973" s="143" t="n"/>
      <c r="C973" s="143" t="n"/>
      <c r="D973" s="143" t="n"/>
      <c r="E973" s="143" t="n"/>
      <c r="F973" s="143" t="n"/>
      <c r="G973" s="143" t="n"/>
      <c r="H973" s="143" t="n"/>
      <c r="I973" s="143" t="n"/>
      <c r="J973" s="143" t="n"/>
    </row>
    <row r="974" ht="18" customHeight="1" s="102">
      <c r="A974" s="137">
        <f>IF($B974="","","CIR-"&amp;TEXT(ROW()-BaslangicSatir,"000000"))</f>
        <v/>
      </c>
      <c r="B974" s="143" t="n"/>
      <c r="C974" s="143" t="n"/>
      <c r="D974" s="143" t="n"/>
      <c r="E974" s="143" t="n"/>
      <c r="F974" s="143" t="n"/>
      <c r="G974" s="143" t="n"/>
      <c r="H974" s="143" t="n"/>
      <c r="I974" s="143" t="n"/>
      <c r="J974" s="143" t="n"/>
    </row>
    <row r="975" ht="18" customHeight="1" s="102">
      <c r="A975" s="137">
        <f>IF($B975="","","CIR-"&amp;TEXT(ROW()-BaslangicSatir,"000000"))</f>
        <v/>
      </c>
      <c r="B975" s="143" t="n"/>
      <c r="C975" s="143" t="n"/>
      <c r="D975" s="143" t="n"/>
      <c r="E975" s="143" t="n"/>
      <c r="F975" s="143" t="n"/>
      <c r="G975" s="143" t="n"/>
      <c r="H975" s="143" t="n"/>
      <c r="I975" s="143" t="n"/>
      <c r="J975" s="143" t="n"/>
    </row>
    <row r="976" ht="18" customHeight="1" s="102">
      <c r="A976" s="137">
        <f>IF($B976="","","CIR-"&amp;TEXT(ROW()-BaslangicSatir,"000000"))</f>
        <v/>
      </c>
      <c r="B976" s="143" t="n"/>
      <c r="C976" s="143" t="n"/>
      <c r="D976" s="143" t="n"/>
      <c r="E976" s="143" t="n"/>
      <c r="F976" s="143" t="n"/>
      <c r="G976" s="143" t="n"/>
      <c r="H976" s="143" t="n"/>
      <c r="I976" s="143" t="n"/>
      <c r="J976" s="143" t="n"/>
    </row>
    <row r="977" ht="18" customHeight="1" s="102">
      <c r="A977" s="137">
        <f>IF($B977="","","CIR-"&amp;TEXT(ROW()-BaslangicSatir,"000000"))</f>
        <v/>
      </c>
      <c r="B977" s="143" t="n"/>
      <c r="C977" s="143" t="n"/>
      <c r="D977" s="143" t="n"/>
      <c r="E977" s="143" t="n"/>
      <c r="F977" s="143" t="n"/>
      <c r="G977" s="143" t="n"/>
      <c r="H977" s="143" t="n"/>
      <c r="I977" s="143" t="n"/>
      <c r="J977" s="143" t="n"/>
    </row>
    <row r="978" ht="18" customHeight="1" s="102">
      <c r="A978" s="137">
        <f>IF($B978="","","CIR-"&amp;TEXT(ROW()-BaslangicSatir,"000000"))</f>
        <v/>
      </c>
      <c r="B978" s="143" t="n"/>
      <c r="C978" s="143" t="n"/>
      <c r="D978" s="143" t="n"/>
      <c r="E978" s="143" t="n"/>
      <c r="F978" s="143" t="n"/>
      <c r="G978" s="143" t="n"/>
      <c r="H978" s="143" t="n"/>
      <c r="I978" s="143" t="n"/>
      <c r="J978" s="143" t="n"/>
    </row>
    <row r="979" ht="18" customHeight="1" s="102">
      <c r="A979" s="137">
        <f>IF($B979="","","CIR-"&amp;TEXT(ROW()-BaslangicSatir,"000000"))</f>
        <v/>
      </c>
      <c r="B979" s="143" t="n"/>
      <c r="C979" s="143" t="n"/>
      <c r="D979" s="143" t="n"/>
      <c r="E979" s="143" t="n"/>
      <c r="F979" s="143" t="n"/>
      <c r="G979" s="143" t="n"/>
      <c r="H979" s="143" t="n"/>
      <c r="I979" s="143" t="n"/>
      <c r="J979" s="143" t="n"/>
    </row>
    <row r="980" ht="18" customHeight="1" s="102">
      <c r="A980" s="137">
        <f>IF($B980="","","CIR-"&amp;TEXT(ROW()-BaslangicSatir,"000000"))</f>
        <v/>
      </c>
      <c r="B980" s="143" t="n"/>
      <c r="C980" s="143" t="n"/>
      <c r="D980" s="143" t="n"/>
      <c r="E980" s="143" t="n"/>
      <c r="F980" s="143" t="n"/>
      <c r="G980" s="143" t="n"/>
      <c r="H980" s="143" t="n"/>
      <c r="I980" s="143" t="n"/>
      <c r="J980" s="143" t="n"/>
    </row>
    <row r="981" ht="18" customHeight="1" s="102">
      <c r="A981" s="137">
        <f>IF($B981="","","CIR-"&amp;TEXT(ROW()-BaslangicSatir,"000000"))</f>
        <v/>
      </c>
      <c r="B981" s="143" t="n"/>
      <c r="C981" s="143" t="n"/>
      <c r="D981" s="143" t="n"/>
      <c r="E981" s="143" t="n"/>
      <c r="F981" s="143" t="n"/>
      <c r="G981" s="143" t="n"/>
      <c r="H981" s="143" t="n"/>
      <c r="I981" s="143" t="n"/>
      <c r="J981" s="143" t="n"/>
    </row>
    <row r="982" ht="18" customHeight="1" s="102">
      <c r="A982" s="137">
        <f>IF($B982="","","CIR-"&amp;TEXT(ROW()-BaslangicSatir,"000000"))</f>
        <v/>
      </c>
      <c r="B982" s="143" t="n"/>
      <c r="C982" s="143" t="n"/>
      <c r="D982" s="143" t="n"/>
      <c r="E982" s="143" t="n"/>
      <c r="F982" s="143" t="n"/>
      <c r="G982" s="143" t="n"/>
      <c r="H982" s="143" t="n"/>
      <c r="I982" s="143" t="n"/>
      <c r="J982" s="143" t="n"/>
    </row>
    <row r="983" ht="18" customHeight="1" s="102">
      <c r="A983" s="137">
        <f>IF($B983="","","CIR-"&amp;TEXT(ROW()-BaslangicSatir,"000000"))</f>
        <v/>
      </c>
      <c r="B983" s="143" t="n"/>
      <c r="C983" s="143" t="n"/>
      <c r="D983" s="143" t="n"/>
      <c r="E983" s="143" t="n"/>
      <c r="F983" s="143" t="n"/>
      <c r="G983" s="143" t="n"/>
      <c r="H983" s="143" t="n"/>
      <c r="I983" s="143" t="n"/>
      <c r="J983" s="143" t="n"/>
    </row>
    <row r="984" ht="18" customHeight="1" s="102">
      <c r="A984" s="137">
        <f>IF($B984="","","CIR-"&amp;TEXT(ROW()-BaslangicSatir,"000000"))</f>
        <v/>
      </c>
      <c r="B984" s="143" t="n"/>
      <c r="C984" s="143" t="n"/>
      <c r="D984" s="143" t="n"/>
      <c r="E984" s="143" t="n"/>
      <c r="F984" s="143" t="n"/>
      <c r="G984" s="143" t="n"/>
      <c r="H984" s="143" t="n"/>
      <c r="I984" s="143" t="n"/>
      <c r="J984" s="143" t="n"/>
    </row>
    <row r="985" ht="18" customHeight="1" s="102">
      <c r="A985" s="137">
        <f>IF($B985="","","CIR-"&amp;TEXT(ROW()-BaslangicSatir,"000000"))</f>
        <v/>
      </c>
      <c r="B985" s="143" t="n"/>
      <c r="C985" s="143" t="n"/>
      <c r="D985" s="143" t="n"/>
      <c r="E985" s="143" t="n"/>
      <c r="F985" s="143" t="n"/>
      <c r="G985" s="143" t="n"/>
      <c r="H985" s="143" t="n"/>
      <c r="I985" s="143" t="n"/>
      <c r="J985" s="143" t="n"/>
    </row>
    <row r="986" ht="18" customHeight="1" s="102">
      <c r="A986" s="137">
        <f>IF($B986="","","CIR-"&amp;TEXT(ROW()-BaslangicSatir,"000000"))</f>
        <v/>
      </c>
      <c r="B986" s="143" t="n"/>
      <c r="C986" s="143" t="n"/>
      <c r="D986" s="143" t="n"/>
      <c r="E986" s="143" t="n"/>
      <c r="F986" s="143" t="n"/>
      <c r="G986" s="143" t="n"/>
      <c r="H986" s="143" t="n"/>
      <c r="I986" s="143" t="n"/>
      <c r="J986" s="143" t="n"/>
    </row>
    <row r="987" ht="18" customHeight="1" s="102">
      <c r="A987" s="137">
        <f>IF($B987="","","CIR-"&amp;TEXT(ROW()-BaslangicSatir,"000000"))</f>
        <v/>
      </c>
      <c r="B987" s="143" t="n"/>
      <c r="C987" s="143" t="n"/>
      <c r="D987" s="143" t="n"/>
      <c r="E987" s="143" t="n"/>
      <c r="F987" s="143" t="n"/>
      <c r="G987" s="143" t="n"/>
      <c r="H987" s="143" t="n"/>
      <c r="I987" s="143" t="n"/>
      <c r="J987" s="143" t="n"/>
    </row>
    <row r="988" ht="18" customHeight="1" s="102">
      <c r="A988" s="137">
        <f>IF($B988="","","CIR-"&amp;TEXT(ROW()-BaslangicSatir,"000000"))</f>
        <v/>
      </c>
      <c r="B988" s="143" t="n"/>
      <c r="C988" s="143" t="n"/>
      <c r="D988" s="143" t="n"/>
      <c r="E988" s="143" t="n"/>
      <c r="F988" s="143" t="n"/>
      <c r="G988" s="143" t="n"/>
      <c r="H988" s="143" t="n"/>
      <c r="I988" s="143" t="n"/>
      <c r="J988" s="143" t="n"/>
    </row>
    <row r="989" ht="18" customHeight="1" s="102">
      <c r="A989" s="137">
        <f>IF($B989="","","CIR-"&amp;TEXT(ROW()-BaslangicSatir,"000000"))</f>
        <v/>
      </c>
      <c r="B989" s="143" t="n"/>
      <c r="C989" s="143" t="n"/>
      <c r="D989" s="143" t="n"/>
      <c r="E989" s="143" t="n"/>
      <c r="F989" s="143" t="n"/>
      <c r="G989" s="143" t="n"/>
      <c r="H989" s="143" t="n"/>
      <c r="I989" s="143" t="n"/>
      <c r="J989" s="143" t="n"/>
    </row>
    <row r="990" ht="18" customHeight="1" s="102">
      <c r="A990" s="137">
        <f>IF($B990="","","CIR-"&amp;TEXT(ROW()-BaslangicSatir,"000000"))</f>
        <v/>
      </c>
      <c r="B990" s="143" t="n"/>
      <c r="C990" s="143" t="n"/>
      <c r="D990" s="143" t="n"/>
      <c r="E990" s="143" t="n"/>
      <c r="F990" s="143" t="n"/>
      <c r="G990" s="143" t="n"/>
      <c r="H990" s="143" t="n"/>
      <c r="I990" s="143" t="n"/>
      <c r="J990" s="143" t="n"/>
    </row>
    <row r="991" ht="18" customHeight="1" s="102">
      <c r="A991" s="137">
        <f>IF($B991="","","CIR-"&amp;TEXT(ROW()-BaslangicSatir,"000000"))</f>
        <v/>
      </c>
      <c r="B991" s="143" t="n"/>
      <c r="C991" s="143" t="n"/>
      <c r="D991" s="143" t="n"/>
      <c r="E991" s="143" t="n"/>
      <c r="F991" s="143" t="n"/>
      <c r="G991" s="143" t="n"/>
      <c r="H991" s="143" t="n"/>
      <c r="I991" s="143" t="n"/>
      <c r="J991" s="143" t="n"/>
    </row>
    <row r="992" ht="18" customHeight="1" s="102">
      <c r="A992" s="137">
        <f>IF($B992="","","CIR-"&amp;TEXT(ROW()-BaslangicSatir,"000000"))</f>
        <v/>
      </c>
      <c r="B992" s="143" t="n"/>
      <c r="C992" s="143" t="n"/>
      <c r="D992" s="143" t="n"/>
      <c r="E992" s="143" t="n"/>
      <c r="F992" s="143" t="n"/>
      <c r="G992" s="143" t="n"/>
      <c r="H992" s="143" t="n"/>
      <c r="I992" s="143" t="n"/>
      <c r="J992" s="143" t="n"/>
    </row>
    <row r="993" ht="18" customHeight="1" s="102">
      <c r="A993" s="137">
        <f>IF($B993="","","CIR-"&amp;TEXT(ROW()-BaslangicSatir,"000000"))</f>
        <v/>
      </c>
      <c r="B993" s="143" t="n"/>
      <c r="C993" s="143" t="n"/>
      <c r="D993" s="143" t="n"/>
      <c r="E993" s="143" t="n"/>
      <c r="F993" s="143" t="n"/>
      <c r="G993" s="143" t="n"/>
      <c r="H993" s="143" t="n"/>
      <c r="I993" s="143" t="n"/>
      <c r="J993" s="143" t="n"/>
    </row>
    <row r="994" ht="18" customHeight="1" s="102">
      <c r="A994" s="137">
        <f>IF($B994="","","CIR-"&amp;TEXT(ROW()-BaslangicSatir,"000000"))</f>
        <v/>
      </c>
      <c r="B994" s="143" t="n"/>
      <c r="C994" s="143" t="n"/>
      <c r="D994" s="143" t="n"/>
      <c r="E994" s="143" t="n"/>
      <c r="F994" s="143" t="n"/>
      <c r="G994" s="143" t="n"/>
      <c r="H994" s="143" t="n"/>
      <c r="I994" s="143" t="n"/>
      <c r="J994" s="143" t="n"/>
    </row>
    <row r="995" ht="18" customHeight="1" s="102">
      <c r="A995" s="137">
        <f>IF($B995="","","CIR-"&amp;TEXT(ROW()-BaslangicSatir,"000000"))</f>
        <v/>
      </c>
      <c r="B995" s="143" t="n"/>
      <c r="C995" s="143" t="n"/>
      <c r="D995" s="143" t="n"/>
      <c r="E995" s="143" t="n"/>
      <c r="F995" s="143" t="n"/>
      <c r="G995" s="143" t="n"/>
      <c r="H995" s="143" t="n"/>
      <c r="I995" s="143" t="n"/>
      <c r="J995" s="143" t="n"/>
    </row>
    <row r="996" ht="18" customHeight="1" s="102">
      <c r="A996" s="137">
        <f>IF($B996="","","CIR-"&amp;TEXT(ROW()-BaslangicSatir,"000000"))</f>
        <v/>
      </c>
      <c r="B996" s="143" t="n"/>
      <c r="C996" s="143" t="n"/>
      <c r="D996" s="143" t="n"/>
      <c r="E996" s="143" t="n"/>
      <c r="F996" s="143" t="n"/>
      <c r="G996" s="143" t="n"/>
      <c r="H996" s="143" t="n"/>
      <c r="I996" s="143" t="n"/>
      <c r="J996" s="143" t="n"/>
    </row>
    <row r="997" ht="18" customHeight="1" s="102">
      <c r="A997" s="137">
        <f>IF($B997="","","CIR-"&amp;TEXT(ROW()-BaslangicSatir,"000000"))</f>
        <v/>
      </c>
      <c r="B997" s="143" t="n"/>
      <c r="C997" s="143" t="n"/>
      <c r="D997" s="143" t="n"/>
      <c r="E997" s="143" t="n"/>
      <c r="F997" s="143" t="n"/>
      <c r="G997" s="143" t="n"/>
      <c r="H997" s="143" t="n"/>
      <c r="I997" s="143" t="n"/>
      <c r="J997" s="143" t="n"/>
    </row>
    <row r="998" ht="18" customHeight="1" s="102">
      <c r="A998" s="137">
        <f>IF($B998="","","CIR-"&amp;TEXT(ROW()-BaslangicSatir,"000000"))</f>
        <v/>
      </c>
      <c r="B998" s="143" t="n"/>
      <c r="C998" s="143" t="n"/>
      <c r="D998" s="143" t="n"/>
      <c r="E998" s="143" t="n"/>
      <c r="F998" s="143" t="n"/>
      <c r="G998" s="143" t="n"/>
      <c r="H998" s="143" t="n"/>
      <c r="I998" s="143" t="n"/>
      <c r="J998" s="143" t="n"/>
    </row>
    <row r="999" ht="18" customHeight="1" s="102">
      <c r="A999" s="137">
        <f>IF($B999="","","CIR-"&amp;TEXT(ROW()-BaslangicSatir,"000000"))</f>
        <v/>
      </c>
      <c r="B999" s="143" t="n"/>
      <c r="C999" s="143" t="n"/>
      <c r="D999" s="143" t="n"/>
      <c r="E999" s="143" t="n"/>
      <c r="F999" s="143" t="n"/>
      <c r="G999" s="143" t="n"/>
      <c r="H999" s="143" t="n"/>
      <c r="I999" s="143" t="n"/>
      <c r="J999" s="143" t="n"/>
    </row>
    <row r="1000" ht="18" customHeight="1" s="102">
      <c r="A1000" s="137">
        <f>IF($B1000="","","CIR-"&amp;TEXT(ROW()-BaslangicSatir,"000000"))</f>
        <v/>
      </c>
      <c r="B1000" s="143" t="n"/>
      <c r="C1000" s="143" t="n"/>
      <c r="D1000" s="143" t="n"/>
      <c r="E1000" s="143" t="n"/>
      <c r="F1000" s="143" t="n"/>
      <c r="G1000" s="143" t="n"/>
      <c r="H1000" s="143" t="n"/>
      <c r="I1000" s="143" t="n"/>
      <c r="J1000" s="14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G6:G1000">
    <cfRule type="cellIs" rank="0" priority="2" equalAverage="0" operator="equal" aboveAverage="0" dxfId="11" text="" percent="0" bottom="0">
      <formula>"EVET"</formula>
    </cfRule>
    <cfRule type="cellIs" rank="0" priority="3" equalAverage="0" operator="equal" aboveAverage="0" dxfId="10" text="" percent="0" bottom="0">
      <formula>"HAYIR"</formula>
    </cfRule>
  </conditionalFormatting>
  <conditionalFormatting sqref="I6:I1000">
    <cfRule type="cellIs" rank="0" priority="4" equalAverage="0" operator="equal" aboveAverage="0" dxfId="17" text="" percent="0" bottom="0">
      <formula>"AKTİF"</formula>
    </cfRule>
    <cfRule type="cellIs" rank="0" priority="5" equalAverage="0" operator="equal" aboveAverage="0" dxfId="10" text="" percent="0" bottom="0">
      <formula>"TAMAMLANDI"</formula>
    </cfRule>
  </conditionalFormatting>
  <dataValidations count="4">
    <dataValidation sqref="B6:B1000" showDropDown="0" showInputMessage="1" showErrorMessage="1" allowBlank="1" errorTitle="Geçersiz belge" error="CEK_SENET_KAYIT'ta tanımlı bir belge seçiniz." promptTitle="Ana Belge ID" prompt="Ciro edilen belgenin ID'sini seçin." type="list" errorStyle="stop" operator="between">
      <formula1>CEK_SENET_KAYIT!$A$6:$A$1000</formula1>
      <formula2>0</formula2>
    </dataValidation>
    <dataValidation sqref="F6:F1000" showDropDown="0" showInputMessage="1" showErrorMessage="1" allowBlank="1" errorTitle="Geçersiz amaç" error="Ciro amacı listedeki seçeneklerden biri olmalıdır." promptTitle="Ciro Amacı" prompt="Ciro gerekçesini seçin." type="list" errorStyle="stop" operator="between">
      <formula1>"TEMİNAT,TEDARİKÇİYE ÖDEME,TAHSİLAT,BANKAYA CİRO,İSKONTO"</formula1>
      <formula2>0</formula2>
    </dataValidation>
    <dataValidation sqref="G6:G1000" showDropDown="0" showInputMessage="1" showErrorMessage="1" allowBlank="1" errorTitle="Geçersiz değer" error="EVET veya HAYIR seçiniz." promptTitle="Sorumluluk Devam" prompt="Ciro edenin sorumluluğu devam ediyor mu?" type="list" errorStyle="stop" operator="between">
      <formula1>"EVET,HAYIR"</formula1>
      <formula2>0</formula2>
    </dataValidation>
    <dataValidation sqref="I6:I1000" showDropDown="0" showInputMessage="1" showErrorMessage="1" allowBlank="1" errorTitle="Geçersiz durum" error="AKTİF veya TAMAMLANDI seçiniz." promptTitle="Son Durum" prompt="Ciro işleminin durumu." type="list" errorStyle="stop" operator="between">
      <formula1>"AKTİF,TAMAMLANDI"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28" min="1" max="1"/>
    <col width="13" customWidth="1" style="128" min="2" max="2"/>
    <col width="16" customWidth="1" style="128" min="3" max="3"/>
    <col width="12" customWidth="1" style="128" min="4" max="4"/>
    <col width="14" customWidth="1" style="128" min="5" max="6"/>
    <col width="12" customWidth="1" style="128" min="7" max="7"/>
    <col width="14" customWidth="1" style="128" min="8" max="8"/>
    <col width="12" customWidth="1" style="128" min="9" max="10"/>
    <col width="14" customWidth="1" style="128" min="11" max="11"/>
    <col width="40" customWidth="1" style="128" min="12" max="12"/>
  </cols>
  <sheetData>
    <row r="1" ht="25.5" customHeight="1" s="102">
      <c r="A1" s="129" t="inlineStr">
        <is>
          <t>BANKA TAHSIL — ÇEK–SENET VE VADE RİSK SİSTEMİ</t>
        </is>
      </c>
    </row>
    <row r="2" ht="19.5" customHeight="1" s="102">
      <c r="A2" s="130" t="inlineStr">
        <is>
          <t>Tahsile verilen belgelerin banka süreçlerini kaydedin. Komisyon oranı AYARLAR'dan değil belge bazında girilir; net tahsil otomatik hesaplanır.</t>
        </is>
      </c>
    </row>
    <row r="5" ht="30" customHeight="1" s="102">
      <c r="A5" s="131" t="inlineStr">
        <is>
          <t>Tahsil ID</t>
        </is>
      </c>
      <c r="B5" s="131" t="inlineStr">
        <is>
          <t>Belge ID</t>
        </is>
      </c>
      <c r="C5" s="131" t="inlineStr">
        <is>
          <t>Tahsil Bankası</t>
        </is>
      </c>
      <c r="D5" s="131" t="inlineStr">
        <is>
          <t>Şube</t>
        </is>
      </c>
      <c r="E5" s="131" t="inlineStr">
        <is>
          <t>Tahsile Veriliş Tarihi</t>
        </is>
      </c>
      <c r="F5" s="131" t="inlineStr">
        <is>
          <t>Tahsil Durumu</t>
        </is>
      </c>
      <c r="G5" s="131" t="inlineStr">
        <is>
          <t>Tahsil Tarihi</t>
        </is>
      </c>
      <c r="H5" s="131" t="inlineStr">
        <is>
          <t>Tahsil Edilen Tutar</t>
        </is>
      </c>
      <c r="I5" s="131" t="inlineStr">
        <is>
          <t>Komisyon Oranı</t>
        </is>
      </c>
      <c r="J5" s="131" t="inlineStr">
        <is>
          <t>Komisyon Tutarı</t>
        </is>
      </c>
      <c r="K5" s="131" t="inlineStr">
        <is>
          <t>Net Tahsil</t>
        </is>
      </c>
      <c r="L5" s="131" t="inlineStr">
        <is>
          <t>Not</t>
        </is>
      </c>
    </row>
    <row r="6" ht="18" customHeight="1" s="102">
      <c r="A6" s="137">
        <f>IF($B6="","","TAH-"&amp;TEXT(ROW()-BaslangicSatir,"000000"))</f>
        <v/>
      </c>
      <c r="B6" s="138" t="inlineStr">
        <is>
          <t>CKS-000010</t>
        </is>
      </c>
      <c r="C6" s="138" t="inlineStr">
        <is>
          <t>GARANTİ</t>
        </is>
      </c>
      <c r="D6" s="138" t="inlineStr">
        <is>
          <t>GAYRETTEPE</t>
        </is>
      </c>
      <c r="E6" s="139" t="n">
        <v>46244</v>
      </c>
      <c r="F6" s="138" t="inlineStr">
        <is>
          <t>TAHSİL EDİLDİ</t>
        </is>
      </c>
      <c r="G6" s="139" t="n">
        <v>46252</v>
      </c>
      <c r="H6" s="140" t="n">
        <v>45000</v>
      </c>
      <c r="I6" s="144" t="n">
        <v>0.01</v>
      </c>
      <c r="J6" s="137">
        <f>IF($H6="","",ROUND($H6*$I6,2))</f>
        <v/>
      </c>
      <c r="K6" s="137">
        <f>IF(OR($H6="",$J6=""),"",ROUND($H6-$J6,2))</f>
        <v/>
      </c>
      <c r="L6" s="138" t="inlineStr">
        <is>
          <t>Tahsilat tamamlandı</t>
        </is>
      </c>
    </row>
    <row r="7" ht="18" customHeight="1" s="102">
      <c r="A7" s="137">
        <f>IF($B7="","","TAH-"&amp;TEXT(ROW()-BaslangicSatir,"000000"))</f>
        <v/>
      </c>
      <c r="B7" s="138" t="inlineStr">
        <is>
          <t>CKS-000007</t>
        </is>
      </c>
      <c r="C7" s="138" t="inlineStr">
        <is>
          <t>İŞ</t>
        </is>
      </c>
      <c r="D7" s="138" t="inlineStr">
        <is>
          <t>MECİDİYEKÖY</t>
        </is>
      </c>
      <c r="E7" s="139" t="n">
        <v>46246</v>
      </c>
      <c r="F7" s="138" t="inlineStr">
        <is>
          <t>BEKLEMEDE</t>
        </is>
      </c>
      <c r="G7" s="139" t="n"/>
      <c r="H7" s="140" t="n"/>
      <c r="I7" s="144" t="n">
        <v>0.01</v>
      </c>
      <c r="J7" s="137">
        <f>IF($H7="","",ROUND($H7*$I7,2))</f>
        <v/>
      </c>
      <c r="K7" s="137">
        <f>IF(OR($H7="",$J7=""),"",ROUND($H7-$J7,2))</f>
        <v/>
      </c>
      <c r="L7" s="138" t="inlineStr">
        <is>
          <t>Tahsili bekleniyor</t>
        </is>
      </c>
    </row>
    <row r="8" ht="18" customHeight="1" s="102">
      <c r="A8" s="137">
        <f>IF($B8="","","TAH-"&amp;TEXT(ROW()-BaslangicSatir,"000000"))</f>
        <v/>
      </c>
      <c r="B8" s="138" t="n"/>
      <c r="C8" s="138" t="n"/>
      <c r="D8" s="138" t="n"/>
      <c r="E8" s="138" t="n"/>
      <c r="F8" s="138" t="n"/>
      <c r="G8" s="138" t="n"/>
      <c r="H8" s="138" t="n"/>
      <c r="I8" s="138" t="n"/>
      <c r="J8" s="137">
        <f>IF($H8="","",ROUND($H8*$I8,2))</f>
        <v/>
      </c>
      <c r="K8" s="137">
        <f>IF(OR($H8="",$J8=""),"",ROUND($H8-$J8,2))</f>
        <v/>
      </c>
      <c r="L8" s="138" t="n"/>
    </row>
    <row r="9" ht="18" customHeight="1" s="102">
      <c r="A9" s="137">
        <f>IF($B9="","","TAH-"&amp;TEXT(ROW()-BaslangicSatir,"000000"))</f>
        <v/>
      </c>
      <c r="B9" s="138" t="n"/>
      <c r="C9" s="138" t="n"/>
      <c r="D9" s="138" t="n"/>
      <c r="E9" s="138" t="n"/>
      <c r="F9" s="138" t="n"/>
      <c r="G9" s="138" t="n"/>
      <c r="H9" s="138" t="n"/>
      <c r="I9" s="138" t="n"/>
      <c r="J9" s="137">
        <f>IF($H9="","",ROUND($H9*$I9,2))</f>
        <v/>
      </c>
      <c r="K9" s="137">
        <f>IF(OR($H9="",$J9=""),"",ROUND($H9-$J9,2))</f>
        <v/>
      </c>
      <c r="L9" s="138" t="n"/>
    </row>
    <row r="10" ht="18" customHeight="1" s="102">
      <c r="A10" s="137">
        <f>IF($B10="","","TAH-"&amp;TEXT(ROW()-BaslangicSatir,"000000"))</f>
        <v/>
      </c>
      <c r="B10" s="138" t="n"/>
      <c r="C10" s="138" t="n"/>
      <c r="D10" s="138" t="n"/>
      <c r="E10" s="138" t="n"/>
      <c r="F10" s="138" t="n"/>
      <c r="G10" s="138" t="n"/>
      <c r="H10" s="138" t="n"/>
      <c r="I10" s="138" t="n"/>
      <c r="J10" s="137">
        <f>IF($H10="","",ROUND($H10*$I10,2))</f>
        <v/>
      </c>
      <c r="K10" s="137">
        <f>IF(OR($H10="",$J10=""),"",ROUND($H10-$J10,2))</f>
        <v/>
      </c>
      <c r="L10" s="138" t="n"/>
    </row>
    <row r="11" ht="18" customHeight="1" s="102">
      <c r="A11" s="137">
        <f>IF($B11="","","TAH-"&amp;TEXT(ROW()-BaslangicSatir,"000000"))</f>
        <v/>
      </c>
      <c r="B11" s="138" t="n"/>
      <c r="C11" s="138" t="n"/>
      <c r="D11" s="138" t="n"/>
      <c r="E11" s="138" t="n"/>
      <c r="F11" s="138" t="n"/>
      <c r="G11" s="138" t="n"/>
      <c r="H11" s="138" t="n"/>
      <c r="I11" s="138" t="n"/>
      <c r="J11" s="137">
        <f>IF($H11="","",ROUND($H11*$I11,2))</f>
        <v/>
      </c>
      <c r="K11" s="137">
        <f>IF(OR($H11="",$J11=""),"",ROUND($H11-$J11,2))</f>
        <v/>
      </c>
      <c r="L11" s="138" t="n"/>
    </row>
    <row r="12" ht="18" customHeight="1" s="102">
      <c r="A12" s="137">
        <f>IF($B12="","","TAH-"&amp;TEXT(ROW()-BaslangicSatir,"000000"))</f>
        <v/>
      </c>
      <c r="B12" s="138" t="n"/>
      <c r="C12" s="138" t="n"/>
      <c r="D12" s="138" t="n"/>
      <c r="E12" s="138" t="n"/>
      <c r="F12" s="138" t="n"/>
      <c r="G12" s="138" t="n"/>
      <c r="H12" s="138" t="n"/>
      <c r="I12" s="138" t="n"/>
      <c r="J12" s="137">
        <f>IF($H12="","",ROUND($H12*$I12,2))</f>
        <v/>
      </c>
      <c r="K12" s="137">
        <f>IF(OR($H12="",$J12=""),"",ROUND($H12-$J12,2))</f>
        <v/>
      </c>
      <c r="L12" s="138" t="n"/>
    </row>
    <row r="13" ht="18" customHeight="1" s="102">
      <c r="A13" s="137">
        <f>IF($B13="","","TAH-"&amp;TEXT(ROW()-BaslangicSatir,"000000"))</f>
        <v/>
      </c>
      <c r="B13" s="138" t="n"/>
      <c r="C13" s="138" t="n"/>
      <c r="D13" s="138" t="n"/>
      <c r="E13" s="138" t="n"/>
      <c r="F13" s="138" t="n"/>
      <c r="G13" s="138" t="n"/>
      <c r="H13" s="138" t="n"/>
      <c r="I13" s="138" t="n"/>
      <c r="J13" s="137">
        <f>IF($H13="","",ROUND($H13*$I13,2))</f>
        <v/>
      </c>
      <c r="K13" s="137">
        <f>IF(OR($H13="",$J13=""),"",ROUND($H13-$J13,2))</f>
        <v/>
      </c>
      <c r="L13" s="138" t="n"/>
    </row>
    <row r="14" ht="18" customHeight="1" s="102">
      <c r="A14" s="137">
        <f>IF($B14="","","TAH-"&amp;TEXT(ROW()-BaslangicSatir,"000000"))</f>
        <v/>
      </c>
      <c r="B14" s="138" t="n"/>
      <c r="C14" s="138" t="n"/>
      <c r="D14" s="138" t="n"/>
      <c r="E14" s="138" t="n"/>
      <c r="F14" s="138" t="n"/>
      <c r="G14" s="138" t="n"/>
      <c r="H14" s="138" t="n"/>
      <c r="I14" s="138" t="n"/>
      <c r="J14" s="137">
        <f>IF($H14="","",ROUND($H14*$I14,2))</f>
        <v/>
      </c>
      <c r="K14" s="137">
        <f>IF(OR($H14="",$J14=""),"",ROUND($H14-$J14,2))</f>
        <v/>
      </c>
      <c r="L14" s="138" t="n"/>
    </row>
    <row r="15" ht="18" customHeight="1" s="102">
      <c r="A15" s="137">
        <f>IF($B15="","","TAH-"&amp;TEXT(ROW()-BaslangicSatir,"000000"))</f>
        <v/>
      </c>
      <c r="B15" s="138" t="n"/>
      <c r="C15" s="138" t="n"/>
      <c r="D15" s="138" t="n"/>
      <c r="E15" s="138" t="n"/>
      <c r="F15" s="138" t="n"/>
      <c r="G15" s="138" t="n"/>
      <c r="H15" s="138" t="n"/>
      <c r="I15" s="138" t="n"/>
      <c r="J15" s="137">
        <f>IF($H15="","",ROUND($H15*$I15,2))</f>
        <v/>
      </c>
      <c r="K15" s="137">
        <f>IF(OR($H15="",$J15=""),"",ROUND($H15-$J15,2))</f>
        <v/>
      </c>
      <c r="L15" s="138" t="n"/>
    </row>
    <row r="16" ht="18" customHeight="1" s="102">
      <c r="A16" s="137">
        <f>IF($B16="","","TAH-"&amp;TEXT(ROW()-BaslangicSatir,"000000"))</f>
        <v/>
      </c>
      <c r="B16" s="138" t="n"/>
      <c r="C16" s="138" t="n"/>
      <c r="D16" s="138" t="n"/>
      <c r="E16" s="138" t="n"/>
      <c r="F16" s="138" t="n"/>
      <c r="G16" s="138" t="n"/>
      <c r="H16" s="138" t="n"/>
      <c r="I16" s="138" t="n"/>
      <c r="J16" s="137">
        <f>IF($H16="","",ROUND($H16*$I16,2))</f>
        <v/>
      </c>
      <c r="K16" s="137">
        <f>IF(OR($H16="",$J16=""),"",ROUND($H16-$J16,2))</f>
        <v/>
      </c>
      <c r="L16" s="138" t="n"/>
    </row>
    <row r="17" ht="18" customHeight="1" s="102">
      <c r="A17" s="137">
        <f>IF($B17="","","TAH-"&amp;TEXT(ROW()-BaslangicSatir,"000000"))</f>
        <v/>
      </c>
      <c r="B17" s="138" t="n"/>
      <c r="C17" s="138" t="n"/>
      <c r="D17" s="138" t="n"/>
      <c r="E17" s="138" t="n"/>
      <c r="F17" s="138" t="n"/>
      <c r="G17" s="138" t="n"/>
      <c r="H17" s="138" t="n"/>
      <c r="I17" s="138" t="n"/>
      <c r="J17" s="137">
        <f>IF($H17="","",ROUND($H17*$I17,2))</f>
        <v/>
      </c>
      <c r="K17" s="137">
        <f>IF(OR($H17="",$J17=""),"",ROUND($H17-$J17,2))</f>
        <v/>
      </c>
      <c r="L17" s="138" t="n"/>
    </row>
    <row r="18" ht="18" customHeight="1" s="102">
      <c r="A18" s="137">
        <f>IF($B18="","","TAH-"&amp;TEXT(ROW()-BaslangicSatir,"000000"))</f>
        <v/>
      </c>
      <c r="B18" s="138" t="n"/>
      <c r="C18" s="138" t="n"/>
      <c r="D18" s="138" t="n"/>
      <c r="E18" s="138" t="n"/>
      <c r="F18" s="138" t="n"/>
      <c r="G18" s="138" t="n"/>
      <c r="H18" s="138" t="n"/>
      <c r="I18" s="138" t="n"/>
      <c r="J18" s="137">
        <f>IF($H18="","",ROUND($H18*$I18,2))</f>
        <v/>
      </c>
      <c r="K18" s="137">
        <f>IF(OR($H18="",$J18=""),"",ROUND($H18-$J18,2))</f>
        <v/>
      </c>
      <c r="L18" s="138" t="n"/>
    </row>
    <row r="19" ht="18" customHeight="1" s="102">
      <c r="A19" s="137">
        <f>IF($B19="","","TAH-"&amp;TEXT(ROW()-BaslangicSatir,"000000"))</f>
        <v/>
      </c>
      <c r="B19" s="138" t="n"/>
      <c r="C19" s="138" t="n"/>
      <c r="D19" s="138" t="n"/>
      <c r="E19" s="138" t="n"/>
      <c r="F19" s="138" t="n"/>
      <c r="G19" s="138" t="n"/>
      <c r="H19" s="138" t="n"/>
      <c r="I19" s="138" t="n"/>
      <c r="J19" s="137">
        <f>IF($H19="","",ROUND($H19*$I19,2))</f>
        <v/>
      </c>
      <c r="K19" s="137">
        <f>IF(OR($H19="",$J19=""),"",ROUND($H19-$J19,2))</f>
        <v/>
      </c>
      <c r="L19" s="138" t="n"/>
    </row>
    <row r="20" ht="18" customHeight="1" s="102">
      <c r="A20" s="137">
        <f>IF($B20="","","TAH-"&amp;TEXT(ROW()-BaslangicSatir,"000000"))</f>
        <v/>
      </c>
      <c r="B20" s="138" t="n"/>
      <c r="C20" s="138" t="n"/>
      <c r="D20" s="138" t="n"/>
      <c r="E20" s="138" t="n"/>
      <c r="F20" s="138" t="n"/>
      <c r="G20" s="138" t="n"/>
      <c r="H20" s="138" t="n"/>
      <c r="I20" s="138" t="n"/>
      <c r="J20" s="137">
        <f>IF($H20="","",ROUND($H20*$I20,2))</f>
        <v/>
      </c>
      <c r="K20" s="137">
        <f>IF(OR($H20="",$J20=""),"",ROUND($H20-$J20,2))</f>
        <v/>
      </c>
      <c r="L20" s="138" t="n"/>
    </row>
    <row r="21" ht="18" customHeight="1" s="102">
      <c r="A21" s="137">
        <f>IF($B21="","","TAH-"&amp;TEXT(ROW()-BaslangicSatir,"000000"))</f>
        <v/>
      </c>
      <c r="B21" s="138" t="n"/>
      <c r="C21" s="138" t="n"/>
      <c r="D21" s="138" t="n"/>
      <c r="E21" s="138" t="n"/>
      <c r="F21" s="138" t="n"/>
      <c r="G21" s="138" t="n"/>
      <c r="H21" s="138" t="n"/>
      <c r="I21" s="138" t="n"/>
      <c r="J21" s="137">
        <f>IF($H21="","",ROUND($H21*$I21,2))</f>
        <v/>
      </c>
      <c r="K21" s="137">
        <f>IF(OR($H21="",$J21=""),"",ROUND($H21-$J21,2))</f>
        <v/>
      </c>
      <c r="L21" s="138" t="n"/>
    </row>
    <row r="22" ht="18" customHeight="1" s="102">
      <c r="A22" s="137">
        <f>IF($B22="","","TAH-"&amp;TEXT(ROW()-BaslangicSatir,"000000"))</f>
        <v/>
      </c>
      <c r="B22" s="138" t="n"/>
      <c r="C22" s="138" t="n"/>
      <c r="D22" s="138" t="n"/>
      <c r="E22" s="138" t="n"/>
      <c r="F22" s="138" t="n"/>
      <c r="G22" s="138" t="n"/>
      <c r="H22" s="138" t="n"/>
      <c r="I22" s="138" t="n"/>
      <c r="J22" s="137">
        <f>IF($H22="","",ROUND($H22*$I22,2))</f>
        <v/>
      </c>
      <c r="K22" s="137">
        <f>IF(OR($H22="",$J22=""),"",ROUND($H22-$J22,2))</f>
        <v/>
      </c>
      <c r="L22" s="138" t="n"/>
    </row>
    <row r="23" ht="18" customHeight="1" s="102">
      <c r="A23" s="137">
        <f>IF($B23="","","TAH-"&amp;TEXT(ROW()-BaslangicSatir,"000000"))</f>
        <v/>
      </c>
      <c r="B23" s="138" t="n"/>
      <c r="C23" s="138" t="n"/>
      <c r="D23" s="138" t="n"/>
      <c r="E23" s="138" t="n"/>
      <c r="F23" s="138" t="n"/>
      <c r="G23" s="138" t="n"/>
      <c r="H23" s="138" t="n"/>
      <c r="I23" s="138" t="n"/>
      <c r="J23" s="137">
        <f>IF($H23="","",ROUND($H23*$I23,2))</f>
        <v/>
      </c>
      <c r="K23" s="137">
        <f>IF(OR($H23="",$J23=""),"",ROUND($H23-$J23,2))</f>
        <v/>
      </c>
      <c r="L23" s="138" t="n"/>
    </row>
    <row r="24" ht="18" customHeight="1" s="102">
      <c r="A24" s="137">
        <f>IF($B24="","","TAH-"&amp;TEXT(ROW()-BaslangicSatir,"000000"))</f>
        <v/>
      </c>
      <c r="B24" s="138" t="n"/>
      <c r="C24" s="138" t="n"/>
      <c r="D24" s="138" t="n"/>
      <c r="E24" s="138" t="n"/>
      <c r="F24" s="138" t="n"/>
      <c r="G24" s="138" t="n"/>
      <c r="H24" s="138" t="n"/>
      <c r="I24" s="138" t="n"/>
      <c r="J24" s="137">
        <f>IF($H24="","",ROUND($H24*$I24,2))</f>
        <v/>
      </c>
      <c r="K24" s="137">
        <f>IF(OR($H24="",$J24=""),"",ROUND($H24-$J24,2))</f>
        <v/>
      </c>
      <c r="L24" s="138" t="n"/>
    </row>
    <row r="25" ht="18" customHeight="1" s="102">
      <c r="A25" s="137">
        <f>IF($B25="","","TAH-"&amp;TEXT(ROW()-BaslangicSatir,"000000"))</f>
        <v/>
      </c>
      <c r="B25" s="138" t="n"/>
      <c r="C25" s="138" t="n"/>
      <c r="D25" s="138" t="n"/>
      <c r="E25" s="138" t="n"/>
      <c r="F25" s="138" t="n"/>
      <c r="G25" s="138" t="n"/>
      <c r="H25" s="138" t="n"/>
      <c r="I25" s="138" t="n"/>
      <c r="J25" s="137">
        <f>IF($H25="","",ROUND($H25*$I25,2))</f>
        <v/>
      </c>
      <c r="K25" s="137">
        <f>IF(OR($H25="",$J25=""),"",ROUND($H25-$J25,2))</f>
        <v/>
      </c>
      <c r="L25" s="138" t="n"/>
    </row>
    <row r="26" ht="18" customHeight="1" s="102">
      <c r="A26" s="137">
        <f>IF($B26="","","TAH-"&amp;TEXT(ROW()-BaslangicSatir,"000000"))</f>
        <v/>
      </c>
      <c r="B26" s="138" t="n"/>
      <c r="C26" s="138" t="n"/>
      <c r="D26" s="138" t="n"/>
      <c r="E26" s="138" t="n"/>
      <c r="F26" s="138" t="n"/>
      <c r="G26" s="138" t="n"/>
      <c r="H26" s="138" t="n"/>
      <c r="I26" s="138" t="n"/>
      <c r="J26" s="137">
        <f>IF($H26="","",ROUND($H26*$I26,2))</f>
        <v/>
      </c>
      <c r="K26" s="137">
        <f>IF(OR($H26="",$J26=""),"",ROUND($H26-$J26,2))</f>
        <v/>
      </c>
      <c r="L26" s="138" t="n"/>
    </row>
    <row r="27" ht="18" customHeight="1" s="102">
      <c r="A27" s="137">
        <f>IF($B27="","","TAH-"&amp;TEXT(ROW()-BaslangicSatir,"000000"))</f>
        <v/>
      </c>
      <c r="B27" s="138" t="n"/>
      <c r="C27" s="138" t="n"/>
      <c r="D27" s="138" t="n"/>
      <c r="E27" s="138" t="n"/>
      <c r="F27" s="138" t="n"/>
      <c r="G27" s="138" t="n"/>
      <c r="H27" s="138" t="n"/>
      <c r="I27" s="138" t="n"/>
      <c r="J27" s="137">
        <f>IF($H27="","",ROUND($H27*$I27,2))</f>
        <v/>
      </c>
      <c r="K27" s="137">
        <f>IF(OR($H27="",$J27=""),"",ROUND($H27-$J27,2))</f>
        <v/>
      </c>
      <c r="L27" s="138" t="n"/>
    </row>
    <row r="28" ht="18" customHeight="1" s="102">
      <c r="A28" s="137">
        <f>IF($B28="","","TAH-"&amp;TEXT(ROW()-BaslangicSatir,"000000"))</f>
        <v/>
      </c>
      <c r="B28" s="138" t="n"/>
      <c r="C28" s="138" t="n"/>
      <c r="D28" s="138" t="n"/>
      <c r="E28" s="138" t="n"/>
      <c r="F28" s="138" t="n"/>
      <c r="G28" s="138" t="n"/>
      <c r="H28" s="138" t="n"/>
      <c r="I28" s="138" t="n"/>
      <c r="J28" s="137">
        <f>IF($H28="","",ROUND($H28*$I28,2))</f>
        <v/>
      </c>
      <c r="K28" s="137">
        <f>IF(OR($H28="",$J28=""),"",ROUND($H28-$J28,2))</f>
        <v/>
      </c>
      <c r="L28" s="138" t="n"/>
    </row>
    <row r="29" ht="18" customHeight="1" s="102">
      <c r="A29" s="137">
        <f>IF($B29="","","TAH-"&amp;TEXT(ROW()-BaslangicSatir,"000000"))</f>
        <v/>
      </c>
      <c r="B29" s="138" t="n"/>
      <c r="C29" s="138" t="n"/>
      <c r="D29" s="138" t="n"/>
      <c r="E29" s="138" t="n"/>
      <c r="F29" s="138" t="n"/>
      <c r="G29" s="138" t="n"/>
      <c r="H29" s="138" t="n"/>
      <c r="I29" s="138" t="n"/>
      <c r="J29" s="137">
        <f>IF($H29="","",ROUND($H29*$I29,2))</f>
        <v/>
      </c>
      <c r="K29" s="137">
        <f>IF(OR($H29="",$J29=""),"",ROUND($H29-$J29,2))</f>
        <v/>
      </c>
      <c r="L29" s="138" t="n"/>
    </row>
    <row r="30" ht="18" customHeight="1" s="102">
      <c r="A30" s="137">
        <f>IF($B30="","","TAH-"&amp;TEXT(ROW()-BaslangicSatir,"000000"))</f>
        <v/>
      </c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7">
        <f>IF($H30="","",ROUND($H30*$I30,2))</f>
        <v/>
      </c>
      <c r="K30" s="137">
        <f>IF(OR($H30="",$J30=""),"",ROUND($H30-$J30,2))</f>
        <v/>
      </c>
      <c r="L30" s="138" t="n"/>
    </row>
    <row r="31" ht="18" customHeight="1" s="102">
      <c r="A31" s="137">
        <f>IF($B31="","","TAH-"&amp;TEXT(ROW()-BaslangicSatir,"000000"))</f>
        <v/>
      </c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7">
        <f>IF($H31="","",ROUND($H31*$I31,2))</f>
        <v/>
      </c>
      <c r="K31" s="137">
        <f>IF(OR($H31="",$J31=""),"",ROUND($H31-$J31,2))</f>
        <v/>
      </c>
      <c r="L31" s="138" t="n"/>
    </row>
    <row r="32" ht="18" customHeight="1" s="102">
      <c r="A32" s="137">
        <f>IF($B32="","","TAH-"&amp;TEXT(ROW()-BaslangicSatir,"000000"))</f>
        <v/>
      </c>
      <c r="B32" s="138" t="n"/>
      <c r="C32" s="138" t="n"/>
      <c r="D32" s="138" t="n"/>
      <c r="E32" s="138" t="n"/>
      <c r="F32" s="138" t="n"/>
      <c r="G32" s="138" t="n"/>
      <c r="H32" s="138" t="n"/>
      <c r="I32" s="138" t="n"/>
      <c r="J32" s="137">
        <f>IF($H32="","",ROUND($H32*$I32,2))</f>
        <v/>
      </c>
      <c r="K32" s="137">
        <f>IF(OR($H32="",$J32=""),"",ROUND($H32-$J32,2))</f>
        <v/>
      </c>
      <c r="L32" s="138" t="n"/>
    </row>
    <row r="33" ht="18" customHeight="1" s="102">
      <c r="A33" s="137">
        <f>IF($B33="","","TAH-"&amp;TEXT(ROW()-BaslangicSatir,"000000"))</f>
        <v/>
      </c>
      <c r="B33" s="138" t="n"/>
      <c r="C33" s="138" t="n"/>
      <c r="D33" s="138" t="n"/>
      <c r="E33" s="138" t="n"/>
      <c r="F33" s="138" t="n"/>
      <c r="G33" s="138" t="n"/>
      <c r="H33" s="138" t="n"/>
      <c r="I33" s="138" t="n"/>
      <c r="J33" s="137">
        <f>IF($H33="","",ROUND($H33*$I33,2))</f>
        <v/>
      </c>
      <c r="K33" s="137">
        <f>IF(OR($H33="",$J33=""),"",ROUND($H33-$J33,2))</f>
        <v/>
      </c>
      <c r="L33" s="138" t="n"/>
    </row>
    <row r="34" ht="18" customHeight="1" s="102">
      <c r="A34" s="137">
        <f>IF($B34="","","TAH-"&amp;TEXT(ROW()-BaslangicSatir,"000000"))</f>
        <v/>
      </c>
      <c r="B34" s="138" t="n"/>
      <c r="C34" s="138" t="n"/>
      <c r="D34" s="138" t="n"/>
      <c r="E34" s="138" t="n"/>
      <c r="F34" s="138" t="n"/>
      <c r="G34" s="138" t="n"/>
      <c r="H34" s="138" t="n"/>
      <c r="I34" s="138" t="n"/>
      <c r="J34" s="137">
        <f>IF($H34="","",ROUND($H34*$I34,2))</f>
        <v/>
      </c>
      <c r="K34" s="137">
        <f>IF(OR($H34="",$J34=""),"",ROUND($H34-$J34,2))</f>
        <v/>
      </c>
      <c r="L34" s="138" t="n"/>
    </row>
    <row r="35" ht="18" customHeight="1" s="102">
      <c r="A35" s="137">
        <f>IF($B35="","","TAH-"&amp;TEXT(ROW()-BaslangicSatir,"000000"))</f>
        <v/>
      </c>
      <c r="B35" s="138" t="n"/>
      <c r="C35" s="138" t="n"/>
      <c r="D35" s="138" t="n"/>
      <c r="E35" s="138" t="n"/>
      <c r="F35" s="138" t="n"/>
      <c r="G35" s="138" t="n"/>
      <c r="H35" s="138" t="n"/>
      <c r="I35" s="138" t="n"/>
      <c r="J35" s="137">
        <f>IF($H35="","",ROUND($H35*$I35,2))</f>
        <v/>
      </c>
      <c r="K35" s="137">
        <f>IF(OR($H35="",$J35=""),"",ROUND($H35-$J35,2))</f>
        <v/>
      </c>
      <c r="L35" s="138" t="n"/>
    </row>
    <row r="36" ht="18" customHeight="1" s="102">
      <c r="A36" s="137">
        <f>IF($B36="","","TAH-"&amp;TEXT(ROW()-BaslangicSatir,"000000"))</f>
        <v/>
      </c>
      <c r="B36" s="138" t="n"/>
      <c r="C36" s="138" t="n"/>
      <c r="D36" s="138" t="n"/>
      <c r="E36" s="138" t="n"/>
      <c r="F36" s="138" t="n"/>
      <c r="G36" s="138" t="n"/>
      <c r="H36" s="138" t="n"/>
      <c r="I36" s="138" t="n"/>
      <c r="J36" s="137">
        <f>IF($H36="","",ROUND($H36*$I36,2))</f>
        <v/>
      </c>
      <c r="K36" s="137">
        <f>IF(OR($H36="",$J36=""),"",ROUND($H36-$J36,2))</f>
        <v/>
      </c>
      <c r="L36" s="138" t="n"/>
    </row>
    <row r="37" ht="18" customHeight="1" s="102">
      <c r="A37" s="137">
        <f>IF($B37="","","TAH-"&amp;TEXT(ROW()-BaslangicSatir,"000000"))</f>
        <v/>
      </c>
      <c r="B37" s="138" t="n"/>
      <c r="C37" s="138" t="n"/>
      <c r="D37" s="138" t="n"/>
      <c r="E37" s="138" t="n"/>
      <c r="F37" s="138" t="n"/>
      <c r="G37" s="138" t="n"/>
      <c r="H37" s="138" t="n"/>
      <c r="I37" s="138" t="n"/>
      <c r="J37" s="137">
        <f>IF($H37="","",ROUND($H37*$I37,2))</f>
        <v/>
      </c>
      <c r="K37" s="137">
        <f>IF(OR($H37="",$J37=""),"",ROUND($H37-$J37,2))</f>
        <v/>
      </c>
      <c r="L37" s="138" t="n"/>
    </row>
    <row r="38" ht="18" customHeight="1" s="102">
      <c r="A38" s="137">
        <f>IF($B38="","","TAH-"&amp;TEXT(ROW()-BaslangicSatir,"000000"))</f>
        <v/>
      </c>
      <c r="B38" s="138" t="n"/>
      <c r="C38" s="138" t="n"/>
      <c r="D38" s="138" t="n"/>
      <c r="E38" s="138" t="n"/>
      <c r="F38" s="138" t="n"/>
      <c r="G38" s="138" t="n"/>
      <c r="H38" s="138" t="n"/>
      <c r="I38" s="138" t="n"/>
      <c r="J38" s="137">
        <f>IF($H38="","",ROUND($H38*$I38,2))</f>
        <v/>
      </c>
      <c r="K38" s="137">
        <f>IF(OR($H38="",$J38=""),"",ROUND($H38-$J38,2))</f>
        <v/>
      </c>
      <c r="L38" s="138" t="n"/>
    </row>
    <row r="39" ht="18" customHeight="1" s="102">
      <c r="A39" s="137">
        <f>IF($B39="","","TAH-"&amp;TEXT(ROW()-BaslangicSatir,"000000"))</f>
        <v/>
      </c>
      <c r="B39" s="138" t="n"/>
      <c r="C39" s="138" t="n"/>
      <c r="D39" s="138" t="n"/>
      <c r="E39" s="138" t="n"/>
      <c r="F39" s="138" t="n"/>
      <c r="G39" s="138" t="n"/>
      <c r="H39" s="138" t="n"/>
      <c r="I39" s="138" t="n"/>
      <c r="J39" s="137">
        <f>IF($H39="","",ROUND($H39*$I39,2))</f>
        <v/>
      </c>
      <c r="K39" s="137">
        <f>IF(OR($H39="",$J39=""),"",ROUND($H39-$J39,2))</f>
        <v/>
      </c>
      <c r="L39" s="138" t="n"/>
    </row>
    <row r="40" ht="18" customHeight="1" s="102">
      <c r="A40" s="137">
        <f>IF($B40="","","TAH-"&amp;TEXT(ROW()-BaslangicSatir,"000000"))</f>
        <v/>
      </c>
      <c r="B40" s="138" t="n"/>
      <c r="C40" s="138" t="n"/>
      <c r="D40" s="138" t="n"/>
      <c r="E40" s="138" t="n"/>
      <c r="F40" s="138" t="n"/>
      <c r="G40" s="138" t="n"/>
      <c r="H40" s="138" t="n"/>
      <c r="I40" s="138" t="n"/>
      <c r="J40" s="137">
        <f>IF($H40="","",ROUND($H40*$I40,2))</f>
        <v/>
      </c>
      <c r="K40" s="137">
        <f>IF(OR($H40="",$J40=""),"",ROUND($H40-$J40,2))</f>
        <v/>
      </c>
      <c r="L40" s="138" t="n"/>
    </row>
    <row r="41" ht="18" customHeight="1" s="102">
      <c r="A41" s="137">
        <f>IF($B41="","","TAH-"&amp;TEXT(ROW()-BaslangicSatir,"000000"))</f>
        <v/>
      </c>
      <c r="B41" s="138" t="n"/>
      <c r="C41" s="138" t="n"/>
      <c r="D41" s="138" t="n"/>
      <c r="E41" s="138" t="n"/>
      <c r="F41" s="138" t="n"/>
      <c r="G41" s="138" t="n"/>
      <c r="H41" s="138" t="n"/>
      <c r="I41" s="138" t="n"/>
      <c r="J41" s="137">
        <f>IF($H41="","",ROUND($H41*$I41,2))</f>
        <v/>
      </c>
      <c r="K41" s="137">
        <f>IF(OR($H41="",$J41=""),"",ROUND($H41-$J41,2))</f>
        <v/>
      </c>
      <c r="L41" s="138" t="n"/>
    </row>
    <row r="42" ht="18" customHeight="1" s="102">
      <c r="A42" s="137">
        <f>IF($B42="","","TAH-"&amp;TEXT(ROW()-BaslangicSatir,"000000"))</f>
        <v/>
      </c>
      <c r="B42" s="138" t="n"/>
      <c r="C42" s="138" t="n"/>
      <c r="D42" s="138" t="n"/>
      <c r="E42" s="138" t="n"/>
      <c r="F42" s="138" t="n"/>
      <c r="G42" s="138" t="n"/>
      <c r="H42" s="138" t="n"/>
      <c r="I42" s="138" t="n"/>
      <c r="J42" s="137">
        <f>IF($H42="","",ROUND($H42*$I42,2))</f>
        <v/>
      </c>
      <c r="K42" s="137">
        <f>IF(OR($H42="",$J42=""),"",ROUND($H42-$J42,2))</f>
        <v/>
      </c>
      <c r="L42" s="138" t="n"/>
    </row>
    <row r="43" ht="18" customHeight="1" s="102">
      <c r="A43" s="137">
        <f>IF($B43="","","TAH-"&amp;TEXT(ROW()-BaslangicSatir,"000000"))</f>
        <v/>
      </c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7">
        <f>IF($H43="","",ROUND($H43*$I43,2))</f>
        <v/>
      </c>
      <c r="K43" s="137">
        <f>IF(OR($H43="",$J43=""),"",ROUND($H43-$J43,2))</f>
        <v/>
      </c>
      <c r="L43" s="138" t="n"/>
    </row>
    <row r="44" ht="18" customHeight="1" s="102">
      <c r="A44" s="137">
        <f>IF($B44="","","TAH-"&amp;TEXT(ROW()-BaslangicSatir,"000000"))</f>
        <v/>
      </c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7">
        <f>IF($H44="","",ROUND($H44*$I44,2))</f>
        <v/>
      </c>
      <c r="K44" s="137">
        <f>IF(OR($H44="",$J44=""),"",ROUND($H44-$J44,2))</f>
        <v/>
      </c>
      <c r="L44" s="138" t="n"/>
    </row>
    <row r="45" ht="18" customHeight="1" s="102">
      <c r="A45" s="137">
        <f>IF($B45="","","TAH-"&amp;TEXT(ROW()-BaslangicSatir,"000000"))</f>
        <v/>
      </c>
      <c r="B45" s="138" t="n"/>
      <c r="C45" s="138" t="n"/>
      <c r="D45" s="138" t="n"/>
      <c r="E45" s="138" t="n"/>
      <c r="F45" s="138" t="n"/>
      <c r="G45" s="138" t="n"/>
      <c r="H45" s="138" t="n"/>
      <c r="I45" s="138" t="n"/>
      <c r="J45" s="137">
        <f>IF($H45="","",ROUND($H45*$I45,2))</f>
        <v/>
      </c>
      <c r="K45" s="137">
        <f>IF(OR($H45="",$J45=""),"",ROUND($H45-$J45,2))</f>
        <v/>
      </c>
      <c r="L45" s="138" t="n"/>
    </row>
    <row r="46" ht="18" customHeight="1" s="102">
      <c r="A46" s="137">
        <f>IF($B46="","","TAH-"&amp;TEXT(ROW()-BaslangicSatir,"000000"))</f>
        <v/>
      </c>
      <c r="B46" s="138" t="n"/>
      <c r="C46" s="138" t="n"/>
      <c r="D46" s="138" t="n"/>
      <c r="E46" s="138" t="n"/>
      <c r="F46" s="138" t="n"/>
      <c r="G46" s="138" t="n"/>
      <c r="H46" s="138" t="n"/>
      <c r="I46" s="138" t="n"/>
      <c r="J46" s="137">
        <f>IF($H46="","",ROUND($H46*$I46,2))</f>
        <v/>
      </c>
      <c r="K46" s="137">
        <f>IF(OR($H46="",$J46=""),"",ROUND($H46-$J46,2))</f>
        <v/>
      </c>
      <c r="L46" s="138" t="n"/>
    </row>
    <row r="47" ht="18" customHeight="1" s="102">
      <c r="A47" s="137">
        <f>IF($B47="","","TAH-"&amp;TEXT(ROW()-BaslangicSatir,"000000"))</f>
        <v/>
      </c>
      <c r="B47" s="138" t="n"/>
      <c r="C47" s="138" t="n"/>
      <c r="D47" s="138" t="n"/>
      <c r="E47" s="138" t="n"/>
      <c r="F47" s="138" t="n"/>
      <c r="G47" s="138" t="n"/>
      <c r="H47" s="138" t="n"/>
      <c r="I47" s="138" t="n"/>
      <c r="J47" s="137">
        <f>IF($H47="","",ROUND($H47*$I47,2))</f>
        <v/>
      </c>
      <c r="K47" s="137">
        <f>IF(OR($H47="",$J47=""),"",ROUND($H47-$J47,2))</f>
        <v/>
      </c>
      <c r="L47" s="138" t="n"/>
    </row>
    <row r="48" ht="18" customHeight="1" s="102">
      <c r="A48" s="137">
        <f>IF($B48="","","TAH-"&amp;TEXT(ROW()-BaslangicSatir,"000000"))</f>
        <v/>
      </c>
      <c r="B48" s="138" t="n"/>
      <c r="C48" s="138" t="n"/>
      <c r="D48" s="138" t="n"/>
      <c r="E48" s="138" t="n"/>
      <c r="F48" s="138" t="n"/>
      <c r="G48" s="138" t="n"/>
      <c r="H48" s="138" t="n"/>
      <c r="I48" s="138" t="n"/>
      <c r="J48" s="137">
        <f>IF($H48="","",ROUND($H48*$I48,2))</f>
        <v/>
      </c>
      <c r="K48" s="137">
        <f>IF(OR($H48="",$J48=""),"",ROUND($H48-$J48,2))</f>
        <v/>
      </c>
      <c r="L48" s="138" t="n"/>
    </row>
    <row r="49" ht="18" customHeight="1" s="102">
      <c r="A49" s="137">
        <f>IF($B49="","","TAH-"&amp;TEXT(ROW()-BaslangicSatir,"000000"))</f>
        <v/>
      </c>
      <c r="B49" s="138" t="n"/>
      <c r="C49" s="138" t="n"/>
      <c r="D49" s="138" t="n"/>
      <c r="E49" s="138" t="n"/>
      <c r="F49" s="138" t="n"/>
      <c r="G49" s="138" t="n"/>
      <c r="H49" s="138" t="n"/>
      <c r="I49" s="138" t="n"/>
      <c r="J49" s="137">
        <f>IF($H49="","",ROUND($H49*$I49,2))</f>
        <v/>
      </c>
      <c r="K49" s="137">
        <f>IF(OR($H49="",$J49=""),"",ROUND($H49-$J49,2))</f>
        <v/>
      </c>
      <c r="L49" s="138" t="n"/>
    </row>
    <row r="50" ht="18" customHeight="1" s="102">
      <c r="A50" s="137">
        <f>IF($B50="","","TAH-"&amp;TEXT(ROW()-BaslangicSatir,"000000"))</f>
        <v/>
      </c>
      <c r="B50" s="138" t="n"/>
      <c r="C50" s="138" t="n"/>
      <c r="D50" s="138" t="n"/>
      <c r="E50" s="138" t="n"/>
      <c r="F50" s="138" t="n"/>
      <c r="G50" s="138" t="n"/>
      <c r="H50" s="138" t="n"/>
      <c r="I50" s="138" t="n"/>
      <c r="J50" s="137">
        <f>IF($H50="","",ROUND($H50*$I50,2))</f>
        <v/>
      </c>
      <c r="K50" s="137">
        <f>IF(OR($H50="",$J50=""),"",ROUND($H50-$J50,2))</f>
        <v/>
      </c>
      <c r="L50" s="138" t="n"/>
    </row>
    <row r="51" ht="18" customHeight="1" s="102">
      <c r="A51" s="137">
        <f>IF($B51="","","TAH-"&amp;TEXT(ROW()-BaslangicSatir,"000000"))</f>
        <v/>
      </c>
      <c r="B51" s="138" t="n"/>
      <c r="C51" s="138" t="n"/>
      <c r="D51" s="138" t="n"/>
      <c r="E51" s="138" t="n"/>
      <c r="F51" s="138" t="n"/>
      <c r="G51" s="138" t="n"/>
      <c r="H51" s="138" t="n"/>
      <c r="I51" s="138" t="n"/>
      <c r="J51" s="137">
        <f>IF($H51="","",ROUND($H51*$I51,2))</f>
        <v/>
      </c>
      <c r="K51" s="137">
        <f>IF(OR($H51="",$J51=""),"",ROUND($H51-$J51,2))</f>
        <v/>
      </c>
      <c r="L51" s="138" t="n"/>
    </row>
    <row r="52" ht="18" customHeight="1" s="102">
      <c r="A52" s="137">
        <f>IF($B52="","","TAH-"&amp;TEXT(ROW()-BaslangicSatir,"000000"))</f>
        <v/>
      </c>
      <c r="B52" s="138" t="n"/>
      <c r="C52" s="138" t="n"/>
      <c r="D52" s="138" t="n"/>
      <c r="E52" s="138" t="n"/>
      <c r="F52" s="138" t="n"/>
      <c r="G52" s="138" t="n"/>
      <c r="H52" s="138" t="n"/>
      <c r="I52" s="138" t="n"/>
      <c r="J52" s="137">
        <f>IF($H52="","",ROUND($H52*$I52,2))</f>
        <v/>
      </c>
      <c r="K52" s="137">
        <f>IF(OR($H52="",$J52=""),"",ROUND($H52-$J52,2))</f>
        <v/>
      </c>
      <c r="L52" s="138" t="n"/>
    </row>
    <row r="53" ht="18" customHeight="1" s="102">
      <c r="A53" s="137">
        <f>IF($B53="","","TAH-"&amp;TEXT(ROW()-BaslangicSatir,"000000"))</f>
        <v/>
      </c>
      <c r="B53" s="138" t="n"/>
      <c r="C53" s="138" t="n"/>
      <c r="D53" s="138" t="n"/>
      <c r="E53" s="138" t="n"/>
      <c r="F53" s="138" t="n"/>
      <c r="G53" s="138" t="n"/>
      <c r="H53" s="138" t="n"/>
      <c r="I53" s="138" t="n"/>
      <c r="J53" s="137">
        <f>IF($H53="","",ROUND($H53*$I53,2))</f>
        <v/>
      </c>
      <c r="K53" s="137">
        <f>IF(OR($H53="",$J53=""),"",ROUND($H53-$J53,2))</f>
        <v/>
      </c>
      <c r="L53" s="138" t="n"/>
    </row>
    <row r="54" ht="18" customHeight="1" s="102">
      <c r="A54" s="137">
        <f>IF($B54="","","TAH-"&amp;TEXT(ROW()-BaslangicSatir,"000000"))</f>
        <v/>
      </c>
      <c r="B54" s="138" t="n"/>
      <c r="C54" s="138" t="n"/>
      <c r="D54" s="138" t="n"/>
      <c r="E54" s="138" t="n"/>
      <c r="F54" s="138" t="n"/>
      <c r="G54" s="138" t="n"/>
      <c r="H54" s="138" t="n"/>
      <c r="I54" s="138" t="n"/>
      <c r="J54" s="137">
        <f>IF($H54="","",ROUND($H54*$I54,2))</f>
        <v/>
      </c>
      <c r="K54" s="137">
        <f>IF(OR($H54="",$J54=""),"",ROUND($H54-$J54,2))</f>
        <v/>
      </c>
      <c r="L54" s="138" t="n"/>
    </row>
    <row r="55" ht="18" customHeight="1" s="102">
      <c r="A55" s="137">
        <f>IF($B55="","","TAH-"&amp;TEXT(ROW()-BaslangicSatir,"000000"))</f>
        <v/>
      </c>
      <c r="B55" s="138" t="n"/>
      <c r="C55" s="138" t="n"/>
      <c r="D55" s="138" t="n"/>
      <c r="E55" s="138" t="n"/>
      <c r="F55" s="138" t="n"/>
      <c r="G55" s="138" t="n"/>
      <c r="H55" s="138" t="n"/>
      <c r="I55" s="138" t="n"/>
      <c r="J55" s="137">
        <f>IF($H55="","",ROUND($H55*$I55,2))</f>
        <v/>
      </c>
      <c r="K55" s="137">
        <f>IF(OR($H55="",$J55=""),"",ROUND($H55-$J55,2))</f>
        <v/>
      </c>
      <c r="L55" s="138" t="n"/>
    </row>
    <row r="56" ht="18" customHeight="1" s="102">
      <c r="A56" s="137">
        <f>IF($B56="","","TAH-"&amp;TEXT(ROW()-BaslangicSatir,"000000"))</f>
        <v/>
      </c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7">
        <f>IF($H56="","",ROUND($H56*$I56,2))</f>
        <v/>
      </c>
      <c r="K56" s="137">
        <f>IF(OR($H56="",$J56=""),"",ROUND($H56-$J56,2))</f>
        <v/>
      </c>
      <c r="L56" s="138" t="n"/>
    </row>
    <row r="57" ht="18" customHeight="1" s="102">
      <c r="A57" s="137">
        <f>IF($B57="","","TAH-"&amp;TEXT(ROW()-BaslangicSatir,"000000"))</f>
        <v/>
      </c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7">
        <f>IF($H57="","",ROUND($H57*$I57,2))</f>
        <v/>
      </c>
      <c r="K57" s="137">
        <f>IF(OR($H57="",$J57=""),"",ROUND($H57-$J57,2))</f>
        <v/>
      </c>
      <c r="L57" s="138" t="n"/>
    </row>
    <row r="58" ht="18" customHeight="1" s="102">
      <c r="A58" s="137">
        <f>IF($B58="","","TAH-"&amp;TEXT(ROW()-BaslangicSatir,"000000"))</f>
        <v/>
      </c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7">
        <f>IF($H58="","",ROUND($H58*$I58,2))</f>
        <v/>
      </c>
      <c r="K58" s="137">
        <f>IF(OR($H58="",$J58=""),"",ROUND($H58-$J58,2))</f>
        <v/>
      </c>
      <c r="L58" s="138" t="n"/>
    </row>
    <row r="59" ht="18" customHeight="1" s="102">
      <c r="A59" s="137">
        <f>IF($B59="","","TAH-"&amp;TEXT(ROW()-BaslangicSatir,"000000"))</f>
        <v/>
      </c>
      <c r="B59" s="138" t="n"/>
      <c r="C59" s="138" t="n"/>
      <c r="D59" s="138" t="n"/>
      <c r="E59" s="138" t="n"/>
      <c r="F59" s="138" t="n"/>
      <c r="G59" s="138" t="n"/>
      <c r="H59" s="138" t="n"/>
      <c r="I59" s="138" t="n"/>
      <c r="J59" s="137">
        <f>IF($H59="","",ROUND($H59*$I59,2))</f>
        <v/>
      </c>
      <c r="K59" s="137">
        <f>IF(OR($H59="",$J59=""),"",ROUND($H59-$J59,2))</f>
        <v/>
      </c>
      <c r="L59" s="138" t="n"/>
    </row>
    <row r="60" ht="18" customHeight="1" s="102">
      <c r="A60" s="137">
        <f>IF($B60="","","TAH-"&amp;TEXT(ROW()-BaslangicSatir,"000000"))</f>
        <v/>
      </c>
      <c r="B60" s="138" t="n"/>
      <c r="C60" s="138" t="n"/>
      <c r="D60" s="138" t="n"/>
      <c r="E60" s="138" t="n"/>
      <c r="F60" s="138" t="n"/>
      <c r="G60" s="138" t="n"/>
      <c r="H60" s="138" t="n"/>
      <c r="I60" s="138" t="n"/>
      <c r="J60" s="137">
        <f>IF($H60="","",ROUND($H60*$I60,2))</f>
        <v/>
      </c>
      <c r="K60" s="137">
        <f>IF(OR($H60="",$J60=""),"",ROUND($H60-$J60,2))</f>
        <v/>
      </c>
      <c r="L60" s="138" t="n"/>
    </row>
    <row r="61" ht="18" customHeight="1" s="102">
      <c r="A61" s="137">
        <f>IF($B61="","","TAH-"&amp;TEXT(ROW()-BaslangicSatir,"000000"))</f>
        <v/>
      </c>
      <c r="B61" s="138" t="n"/>
      <c r="C61" s="138" t="n"/>
      <c r="D61" s="138" t="n"/>
      <c r="E61" s="138" t="n"/>
      <c r="F61" s="138" t="n"/>
      <c r="G61" s="138" t="n"/>
      <c r="H61" s="138" t="n"/>
      <c r="I61" s="138" t="n"/>
      <c r="J61" s="137">
        <f>IF($H61="","",ROUND($H61*$I61,2))</f>
        <v/>
      </c>
      <c r="K61" s="137">
        <f>IF(OR($H61="",$J61=""),"",ROUND($H61-$J61,2))</f>
        <v/>
      </c>
      <c r="L61" s="138" t="n"/>
    </row>
    <row r="62" ht="18" customHeight="1" s="102">
      <c r="A62" s="137">
        <f>IF($B62="","","TAH-"&amp;TEXT(ROW()-BaslangicSatir,"000000"))</f>
        <v/>
      </c>
      <c r="B62" s="138" t="n"/>
      <c r="C62" s="138" t="n"/>
      <c r="D62" s="138" t="n"/>
      <c r="E62" s="138" t="n"/>
      <c r="F62" s="138" t="n"/>
      <c r="G62" s="138" t="n"/>
      <c r="H62" s="138" t="n"/>
      <c r="I62" s="138" t="n"/>
      <c r="J62" s="137">
        <f>IF($H62="","",ROUND($H62*$I62,2))</f>
        <v/>
      </c>
      <c r="K62" s="137">
        <f>IF(OR($H62="",$J62=""),"",ROUND($H62-$J62,2))</f>
        <v/>
      </c>
      <c r="L62" s="138" t="n"/>
    </row>
    <row r="63" ht="18" customHeight="1" s="102">
      <c r="A63" s="137">
        <f>IF($B63="","","TAH-"&amp;TEXT(ROW()-BaslangicSatir,"000000"))</f>
        <v/>
      </c>
      <c r="B63" s="138" t="n"/>
      <c r="C63" s="138" t="n"/>
      <c r="D63" s="138" t="n"/>
      <c r="E63" s="138" t="n"/>
      <c r="F63" s="138" t="n"/>
      <c r="G63" s="138" t="n"/>
      <c r="H63" s="138" t="n"/>
      <c r="I63" s="138" t="n"/>
      <c r="J63" s="137">
        <f>IF($H63="","",ROUND($H63*$I63,2))</f>
        <v/>
      </c>
      <c r="K63" s="137">
        <f>IF(OR($H63="",$J63=""),"",ROUND($H63-$J63,2))</f>
        <v/>
      </c>
      <c r="L63" s="138" t="n"/>
    </row>
    <row r="64" ht="18" customHeight="1" s="102">
      <c r="A64" s="137">
        <f>IF($B64="","","TAH-"&amp;TEXT(ROW()-BaslangicSatir,"000000"))</f>
        <v/>
      </c>
      <c r="B64" s="138" t="n"/>
      <c r="C64" s="138" t="n"/>
      <c r="D64" s="138" t="n"/>
      <c r="E64" s="138" t="n"/>
      <c r="F64" s="138" t="n"/>
      <c r="G64" s="138" t="n"/>
      <c r="H64" s="138" t="n"/>
      <c r="I64" s="138" t="n"/>
      <c r="J64" s="137">
        <f>IF($H64="","",ROUND($H64*$I64,2))</f>
        <v/>
      </c>
      <c r="K64" s="137">
        <f>IF(OR($H64="",$J64=""),"",ROUND($H64-$J64,2))</f>
        <v/>
      </c>
      <c r="L64" s="138" t="n"/>
    </row>
    <row r="65" ht="18" customHeight="1" s="102">
      <c r="A65" s="137">
        <f>IF($B65="","","TAH-"&amp;TEXT(ROW()-BaslangicSatir,"000000"))</f>
        <v/>
      </c>
      <c r="B65" s="138" t="n"/>
      <c r="C65" s="138" t="n"/>
      <c r="D65" s="138" t="n"/>
      <c r="E65" s="138" t="n"/>
      <c r="F65" s="138" t="n"/>
      <c r="G65" s="138" t="n"/>
      <c r="H65" s="138" t="n"/>
      <c r="I65" s="138" t="n"/>
      <c r="J65" s="137">
        <f>IF($H65="","",ROUND($H65*$I65,2))</f>
        <v/>
      </c>
      <c r="K65" s="137">
        <f>IF(OR($H65="",$J65=""),"",ROUND($H65-$J65,2))</f>
        <v/>
      </c>
      <c r="L65" s="138" t="n"/>
    </row>
    <row r="66" ht="18" customHeight="1" s="102">
      <c r="A66" s="137">
        <f>IF($B66="","","TAH-"&amp;TEXT(ROW()-BaslangicSatir,"000000"))</f>
        <v/>
      </c>
      <c r="B66" s="138" t="n"/>
      <c r="C66" s="138" t="n"/>
      <c r="D66" s="138" t="n"/>
      <c r="E66" s="138" t="n"/>
      <c r="F66" s="138" t="n"/>
      <c r="G66" s="138" t="n"/>
      <c r="H66" s="138" t="n"/>
      <c r="I66" s="138" t="n"/>
      <c r="J66" s="137">
        <f>IF($H66="","",ROUND($H66*$I66,2))</f>
        <v/>
      </c>
      <c r="K66" s="137">
        <f>IF(OR($H66="",$J66=""),"",ROUND($H66-$J66,2))</f>
        <v/>
      </c>
      <c r="L66" s="138" t="n"/>
    </row>
    <row r="67" ht="18" customHeight="1" s="102">
      <c r="A67" s="137">
        <f>IF($B67="","","TAH-"&amp;TEXT(ROW()-BaslangicSatir,"000000"))</f>
        <v/>
      </c>
      <c r="B67" s="138" t="n"/>
      <c r="C67" s="138" t="n"/>
      <c r="D67" s="138" t="n"/>
      <c r="E67" s="138" t="n"/>
      <c r="F67" s="138" t="n"/>
      <c r="G67" s="138" t="n"/>
      <c r="H67" s="138" t="n"/>
      <c r="I67" s="138" t="n"/>
      <c r="J67" s="137">
        <f>IF($H67="","",ROUND($H67*$I67,2))</f>
        <v/>
      </c>
      <c r="K67" s="137">
        <f>IF(OR($H67="",$J67=""),"",ROUND($H67-$J67,2))</f>
        <v/>
      </c>
      <c r="L67" s="138" t="n"/>
    </row>
    <row r="68" ht="18" customHeight="1" s="102">
      <c r="A68" s="137">
        <f>IF($B68="","","TAH-"&amp;TEXT(ROW()-BaslangicSatir,"000000"))</f>
        <v/>
      </c>
      <c r="B68" s="138" t="n"/>
      <c r="C68" s="138" t="n"/>
      <c r="D68" s="138" t="n"/>
      <c r="E68" s="138" t="n"/>
      <c r="F68" s="138" t="n"/>
      <c r="G68" s="138" t="n"/>
      <c r="H68" s="138" t="n"/>
      <c r="I68" s="138" t="n"/>
      <c r="J68" s="137">
        <f>IF($H68="","",ROUND($H68*$I68,2))</f>
        <v/>
      </c>
      <c r="K68" s="137">
        <f>IF(OR($H68="",$J68=""),"",ROUND($H68-$J68,2))</f>
        <v/>
      </c>
      <c r="L68" s="138" t="n"/>
    </row>
    <row r="69" ht="18" customHeight="1" s="102">
      <c r="A69" s="137">
        <f>IF($B69="","","TAH-"&amp;TEXT(ROW()-BaslangicSatir,"000000"))</f>
        <v/>
      </c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7">
        <f>IF($H69="","",ROUND($H69*$I69,2))</f>
        <v/>
      </c>
      <c r="K69" s="137">
        <f>IF(OR($H69="",$J69=""),"",ROUND($H69-$J69,2))</f>
        <v/>
      </c>
      <c r="L69" s="138" t="n"/>
    </row>
    <row r="70" ht="18" customHeight="1" s="102">
      <c r="A70" s="137">
        <f>IF($B70="","","TAH-"&amp;TEXT(ROW()-BaslangicSatir,"000000"))</f>
        <v/>
      </c>
      <c r="B70" s="138" t="n"/>
      <c r="C70" s="138" t="n"/>
      <c r="D70" s="138" t="n"/>
      <c r="E70" s="138" t="n"/>
      <c r="F70" s="138" t="n"/>
      <c r="G70" s="138" t="n"/>
      <c r="H70" s="138" t="n"/>
      <c r="I70" s="138" t="n"/>
      <c r="J70" s="137">
        <f>IF($H70="","",ROUND($H70*$I70,2))</f>
        <v/>
      </c>
      <c r="K70" s="137">
        <f>IF(OR($H70="",$J70=""),"",ROUND($H70-$J70,2))</f>
        <v/>
      </c>
      <c r="L70" s="138" t="n"/>
    </row>
    <row r="71" ht="18" customHeight="1" s="102">
      <c r="A71" s="137">
        <f>IF($B71="","","TAH-"&amp;TEXT(ROW()-BaslangicSatir,"000000"))</f>
        <v/>
      </c>
      <c r="B71" s="138" t="n"/>
      <c r="C71" s="138" t="n"/>
      <c r="D71" s="138" t="n"/>
      <c r="E71" s="138" t="n"/>
      <c r="F71" s="138" t="n"/>
      <c r="G71" s="138" t="n"/>
      <c r="H71" s="138" t="n"/>
      <c r="I71" s="138" t="n"/>
      <c r="J71" s="137">
        <f>IF($H71="","",ROUND($H71*$I71,2))</f>
        <v/>
      </c>
      <c r="K71" s="137">
        <f>IF(OR($H71="",$J71=""),"",ROUND($H71-$J71,2))</f>
        <v/>
      </c>
      <c r="L71" s="138" t="n"/>
    </row>
    <row r="72" ht="18" customHeight="1" s="102">
      <c r="A72" s="137">
        <f>IF($B72="","","TAH-"&amp;TEXT(ROW()-BaslangicSatir,"000000"))</f>
        <v/>
      </c>
      <c r="B72" s="138" t="n"/>
      <c r="C72" s="138" t="n"/>
      <c r="D72" s="138" t="n"/>
      <c r="E72" s="138" t="n"/>
      <c r="F72" s="138" t="n"/>
      <c r="G72" s="138" t="n"/>
      <c r="H72" s="138" t="n"/>
      <c r="I72" s="138" t="n"/>
      <c r="J72" s="137">
        <f>IF($H72="","",ROUND($H72*$I72,2))</f>
        <v/>
      </c>
      <c r="K72" s="137">
        <f>IF(OR($H72="",$J72=""),"",ROUND($H72-$J72,2))</f>
        <v/>
      </c>
      <c r="L72" s="138" t="n"/>
    </row>
    <row r="73" ht="18" customHeight="1" s="102">
      <c r="A73" s="137">
        <f>IF($B73="","","TAH-"&amp;TEXT(ROW()-BaslangicSatir,"000000"))</f>
        <v/>
      </c>
      <c r="B73" s="138" t="n"/>
      <c r="C73" s="138" t="n"/>
      <c r="D73" s="138" t="n"/>
      <c r="E73" s="138" t="n"/>
      <c r="F73" s="138" t="n"/>
      <c r="G73" s="138" t="n"/>
      <c r="H73" s="138" t="n"/>
      <c r="I73" s="138" t="n"/>
      <c r="J73" s="137">
        <f>IF($H73="","",ROUND($H73*$I73,2))</f>
        <v/>
      </c>
      <c r="K73" s="137">
        <f>IF(OR($H73="",$J73=""),"",ROUND($H73-$J73,2))</f>
        <v/>
      </c>
      <c r="L73" s="138" t="n"/>
    </row>
    <row r="74" ht="18" customHeight="1" s="102">
      <c r="A74" s="137">
        <f>IF($B74="","","TAH-"&amp;TEXT(ROW()-BaslangicSatir,"000000"))</f>
        <v/>
      </c>
      <c r="B74" s="138" t="n"/>
      <c r="C74" s="138" t="n"/>
      <c r="D74" s="138" t="n"/>
      <c r="E74" s="138" t="n"/>
      <c r="F74" s="138" t="n"/>
      <c r="G74" s="138" t="n"/>
      <c r="H74" s="138" t="n"/>
      <c r="I74" s="138" t="n"/>
      <c r="J74" s="137">
        <f>IF($H74="","",ROUND($H74*$I74,2))</f>
        <v/>
      </c>
      <c r="K74" s="137">
        <f>IF(OR($H74="",$J74=""),"",ROUND($H74-$J74,2))</f>
        <v/>
      </c>
      <c r="L74" s="138" t="n"/>
    </row>
    <row r="75" ht="18" customHeight="1" s="102">
      <c r="A75" s="137">
        <f>IF($B75="","","TAH-"&amp;TEXT(ROW()-BaslangicSatir,"000000"))</f>
        <v/>
      </c>
      <c r="B75" s="138" t="n"/>
      <c r="C75" s="138" t="n"/>
      <c r="D75" s="138" t="n"/>
      <c r="E75" s="138" t="n"/>
      <c r="F75" s="138" t="n"/>
      <c r="G75" s="138" t="n"/>
      <c r="H75" s="138" t="n"/>
      <c r="I75" s="138" t="n"/>
      <c r="J75" s="137">
        <f>IF($H75="","",ROUND($H75*$I75,2))</f>
        <v/>
      </c>
      <c r="K75" s="137">
        <f>IF(OR($H75="",$J75=""),"",ROUND($H75-$J75,2))</f>
        <v/>
      </c>
      <c r="L75" s="138" t="n"/>
    </row>
    <row r="76" ht="18" customHeight="1" s="102">
      <c r="A76" s="137">
        <f>IF($B76="","","TAH-"&amp;TEXT(ROW()-BaslangicSatir,"000000"))</f>
        <v/>
      </c>
      <c r="B76" s="138" t="n"/>
      <c r="C76" s="138" t="n"/>
      <c r="D76" s="138" t="n"/>
      <c r="E76" s="138" t="n"/>
      <c r="F76" s="138" t="n"/>
      <c r="G76" s="138" t="n"/>
      <c r="H76" s="138" t="n"/>
      <c r="I76" s="138" t="n"/>
      <c r="J76" s="137">
        <f>IF($H76="","",ROUND($H76*$I76,2))</f>
        <v/>
      </c>
      <c r="K76" s="137">
        <f>IF(OR($H76="",$J76=""),"",ROUND($H76-$J76,2))</f>
        <v/>
      </c>
      <c r="L76" s="138" t="n"/>
    </row>
    <row r="77" ht="18" customHeight="1" s="102">
      <c r="A77" s="137">
        <f>IF($B77="","","TAH-"&amp;TEXT(ROW()-BaslangicSatir,"000000"))</f>
        <v/>
      </c>
      <c r="B77" s="138" t="n"/>
      <c r="C77" s="138" t="n"/>
      <c r="D77" s="138" t="n"/>
      <c r="E77" s="138" t="n"/>
      <c r="F77" s="138" t="n"/>
      <c r="G77" s="138" t="n"/>
      <c r="H77" s="138" t="n"/>
      <c r="I77" s="138" t="n"/>
      <c r="J77" s="137">
        <f>IF($H77="","",ROUND($H77*$I77,2))</f>
        <v/>
      </c>
      <c r="K77" s="137">
        <f>IF(OR($H77="",$J77=""),"",ROUND($H77-$J77,2))</f>
        <v/>
      </c>
      <c r="L77" s="138" t="n"/>
    </row>
    <row r="78" ht="18" customHeight="1" s="102">
      <c r="A78" s="137">
        <f>IF($B78="","","TAH-"&amp;TEXT(ROW()-BaslangicSatir,"000000"))</f>
        <v/>
      </c>
      <c r="B78" s="138" t="n"/>
      <c r="C78" s="138" t="n"/>
      <c r="D78" s="138" t="n"/>
      <c r="E78" s="138" t="n"/>
      <c r="F78" s="138" t="n"/>
      <c r="G78" s="138" t="n"/>
      <c r="H78" s="138" t="n"/>
      <c r="I78" s="138" t="n"/>
      <c r="J78" s="137">
        <f>IF($H78="","",ROUND($H78*$I78,2))</f>
        <v/>
      </c>
      <c r="K78" s="137">
        <f>IF(OR($H78="",$J78=""),"",ROUND($H78-$J78,2))</f>
        <v/>
      </c>
      <c r="L78" s="138" t="n"/>
    </row>
    <row r="79" ht="18" customHeight="1" s="102">
      <c r="A79" s="137">
        <f>IF($B79="","","TAH-"&amp;TEXT(ROW()-BaslangicSatir,"000000"))</f>
        <v/>
      </c>
      <c r="B79" s="138" t="n"/>
      <c r="C79" s="138" t="n"/>
      <c r="D79" s="138" t="n"/>
      <c r="E79" s="138" t="n"/>
      <c r="F79" s="138" t="n"/>
      <c r="G79" s="138" t="n"/>
      <c r="H79" s="138" t="n"/>
      <c r="I79" s="138" t="n"/>
      <c r="J79" s="137">
        <f>IF($H79="","",ROUND($H79*$I79,2))</f>
        <v/>
      </c>
      <c r="K79" s="137">
        <f>IF(OR($H79="",$J79=""),"",ROUND($H79-$J79,2))</f>
        <v/>
      </c>
      <c r="L79" s="138" t="n"/>
    </row>
    <row r="80" ht="18" customHeight="1" s="102">
      <c r="A80" s="137">
        <f>IF($B80="","","TAH-"&amp;TEXT(ROW()-BaslangicSatir,"000000"))</f>
        <v/>
      </c>
      <c r="B80" s="138" t="n"/>
      <c r="C80" s="138" t="n"/>
      <c r="D80" s="138" t="n"/>
      <c r="E80" s="138" t="n"/>
      <c r="F80" s="138" t="n"/>
      <c r="G80" s="138" t="n"/>
      <c r="H80" s="138" t="n"/>
      <c r="I80" s="138" t="n"/>
      <c r="J80" s="137">
        <f>IF($H80="","",ROUND($H80*$I80,2))</f>
        <v/>
      </c>
      <c r="K80" s="137">
        <f>IF(OR($H80="",$J80=""),"",ROUND($H80-$J80,2))</f>
        <v/>
      </c>
      <c r="L80" s="138" t="n"/>
    </row>
    <row r="81" ht="18" customHeight="1" s="102">
      <c r="A81" s="137">
        <f>IF($B81="","","TAH-"&amp;TEXT(ROW()-BaslangicSatir,"000000"))</f>
        <v/>
      </c>
      <c r="B81" s="138" t="n"/>
      <c r="C81" s="138" t="n"/>
      <c r="D81" s="138" t="n"/>
      <c r="E81" s="138" t="n"/>
      <c r="F81" s="138" t="n"/>
      <c r="G81" s="138" t="n"/>
      <c r="H81" s="138" t="n"/>
      <c r="I81" s="138" t="n"/>
      <c r="J81" s="137">
        <f>IF($H81="","",ROUND($H81*$I81,2))</f>
        <v/>
      </c>
      <c r="K81" s="137">
        <f>IF(OR($H81="",$J81=""),"",ROUND($H81-$J81,2))</f>
        <v/>
      </c>
      <c r="L81" s="138" t="n"/>
    </row>
    <row r="82" ht="18" customHeight="1" s="102">
      <c r="A82" s="137">
        <f>IF($B82="","","TAH-"&amp;TEXT(ROW()-BaslangicSatir,"000000"))</f>
        <v/>
      </c>
      <c r="B82" s="138" t="n"/>
      <c r="C82" s="138" t="n"/>
      <c r="D82" s="138" t="n"/>
      <c r="E82" s="138" t="n"/>
      <c r="F82" s="138" t="n"/>
      <c r="G82" s="138" t="n"/>
      <c r="H82" s="138" t="n"/>
      <c r="I82" s="138" t="n"/>
      <c r="J82" s="137">
        <f>IF($H82="","",ROUND($H82*$I82,2))</f>
        <v/>
      </c>
      <c r="K82" s="137">
        <f>IF(OR($H82="",$J82=""),"",ROUND($H82-$J82,2))</f>
        <v/>
      </c>
      <c r="L82" s="138" t="n"/>
    </row>
    <row r="83" ht="18" customHeight="1" s="102">
      <c r="A83" s="137">
        <f>IF($B83="","","TAH-"&amp;TEXT(ROW()-BaslangicSatir,"000000"))</f>
        <v/>
      </c>
      <c r="B83" s="138" t="n"/>
      <c r="C83" s="138" t="n"/>
      <c r="D83" s="138" t="n"/>
      <c r="E83" s="138" t="n"/>
      <c r="F83" s="138" t="n"/>
      <c r="G83" s="138" t="n"/>
      <c r="H83" s="138" t="n"/>
      <c r="I83" s="138" t="n"/>
      <c r="J83" s="137">
        <f>IF($H83="","",ROUND($H83*$I83,2))</f>
        <v/>
      </c>
      <c r="K83" s="137">
        <f>IF(OR($H83="",$J83=""),"",ROUND($H83-$J83,2))</f>
        <v/>
      </c>
      <c r="L83" s="138" t="n"/>
    </row>
    <row r="84" ht="18" customHeight="1" s="102">
      <c r="A84" s="137">
        <f>IF($B84="","","TAH-"&amp;TEXT(ROW()-BaslangicSatir,"000000"))</f>
        <v/>
      </c>
      <c r="B84" s="138" t="n"/>
      <c r="C84" s="138" t="n"/>
      <c r="D84" s="138" t="n"/>
      <c r="E84" s="138" t="n"/>
      <c r="F84" s="138" t="n"/>
      <c r="G84" s="138" t="n"/>
      <c r="H84" s="138" t="n"/>
      <c r="I84" s="138" t="n"/>
      <c r="J84" s="137">
        <f>IF($H84="","",ROUND($H84*$I84,2))</f>
        <v/>
      </c>
      <c r="K84" s="137">
        <f>IF(OR($H84="",$J84=""),"",ROUND($H84-$J84,2))</f>
        <v/>
      </c>
      <c r="L84" s="138" t="n"/>
    </row>
    <row r="85" ht="18" customHeight="1" s="102">
      <c r="A85" s="137">
        <f>IF($B85="","","TAH-"&amp;TEXT(ROW()-BaslangicSatir,"000000"))</f>
        <v/>
      </c>
      <c r="B85" s="138" t="n"/>
      <c r="C85" s="138" t="n"/>
      <c r="D85" s="138" t="n"/>
      <c r="E85" s="138" t="n"/>
      <c r="F85" s="138" t="n"/>
      <c r="G85" s="138" t="n"/>
      <c r="H85" s="138" t="n"/>
      <c r="I85" s="138" t="n"/>
      <c r="J85" s="137">
        <f>IF($H85="","",ROUND($H85*$I85,2))</f>
        <v/>
      </c>
      <c r="K85" s="137">
        <f>IF(OR($H85="",$J85=""),"",ROUND($H85-$J85,2))</f>
        <v/>
      </c>
      <c r="L85" s="138" t="n"/>
    </row>
    <row r="86" ht="18" customHeight="1" s="102">
      <c r="A86" s="137">
        <f>IF($B86="","","TAH-"&amp;TEXT(ROW()-BaslangicSatir,"000000"))</f>
        <v/>
      </c>
      <c r="B86" s="138" t="n"/>
      <c r="C86" s="138" t="n"/>
      <c r="D86" s="138" t="n"/>
      <c r="E86" s="138" t="n"/>
      <c r="F86" s="138" t="n"/>
      <c r="G86" s="138" t="n"/>
      <c r="H86" s="138" t="n"/>
      <c r="I86" s="138" t="n"/>
      <c r="J86" s="137">
        <f>IF($H86="","",ROUND($H86*$I86,2))</f>
        <v/>
      </c>
      <c r="K86" s="137">
        <f>IF(OR($H86="",$J86=""),"",ROUND($H86-$J86,2))</f>
        <v/>
      </c>
      <c r="L86" s="138" t="n"/>
    </row>
    <row r="87" ht="18" customHeight="1" s="102">
      <c r="A87" s="137">
        <f>IF($B87="","","TAH-"&amp;TEXT(ROW()-BaslangicSatir,"000000"))</f>
        <v/>
      </c>
      <c r="B87" s="138" t="n"/>
      <c r="C87" s="138" t="n"/>
      <c r="D87" s="138" t="n"/>
      <c r="E87" s="138" t="n"/>
      <c r="F87" s="138" t="n"/>
      <c r="G87" s="138" t="n"/>
      <c r="H87" s="138" t="n"/>
      <c r="I87" s="138" t="n"/>
      <c r="J87" s="137">
        <f>IF($H87="","",ROUND($H87*$I87,2))</f>
        <v/>
      </c>
      <c r="K87" s="137">
        <f>IF(OR($H87="",$J87=""),"",ROUND($H87-$J87,2))</f>
        <v/>
      </c>
      <c r="L87" s="138" t="n"/>
    </row>
    <row r="88" ht="18" customHeight="1" s="102">
      <c r="A88" s="137">
        <f>IF($B88="","","TAH-"&amp;TEXT(ROW()-BaslangicSatir,"000000"))</f>
        <v/>
      </c>
      <c r="B88" s="138" t="n"/>
      <c r="C88" s="138" t="n"/>
      <c r="D88" s="138" t="n"/>
      <c r="E88" s="138" t="n"/>
      <c r="F88" s="138" t="n"/>
      <c r="G88" s="138" t="n"/>
      <c r="H88" s="138" t="n"/>
      <c r="I88" s="138" t="n"/>
      <c r="J88" s="137">
        <f>IF($H88="","",ROUND($H88*$I88,2))</f>
        <v/>
      </c>
      <c r="K88" s="137">
        <f>IF(OR($H88="",$J88=""),"",ROUND($H88-$J88,2))</f>
        <v/>
      </c>
      <c r="L88" s="138" t="n"/>
    </row>
    <row r="89" ht="18" customHeight="1" s="102">
      <c r="A89" s="137">
        <f>IF($B89="","","TAH-"&amp;TEXT(ROW()-BaslangicSatir,"000000"))</f>
        <v/>
      </c>
      <c r="B89" s="138" t="n"/>
      <c r="C89" s="138" t="n"/>
      <c r="D89" s="138" t="n"/>
      <c r="E89" s="138" t="n"/>
      <c r="F89" s="138" t="n"/>
      <c r="G89" s="138" t="n"/>
      <c r="H89" s="138" t="n"/>
      <c r="I89" s="138" t="n"/>
      <c r="J89" s="137">
        <f>IF($H89="","",ROUND($H89*$I89,2))</f>
        <v/>
      </c>
      <c r="K89" s="137">
        <f>IF(OR($H89="",$J89=""),"",ROUND($H89-$J89,2))</f>
        <v/>
      </c>
      <c r="L89" s="138" t="n"/>
    </row>
    <row r="90" ht="18" customHeight="1" s="102">
      <c r="A90" s="137">
        <f>IF($B90="","","TAH-"&amp;TEXT(ROW()-BaslangicSatir,"000000"))</f>
        <v/>
      </c>
      <c r="B90" s="138" t="n"/>
      <c r="C90" s="138" t="n"/>
      <c r="D90" s="138" t="n"/>
      <c r="E90" s="138" t="n"/>
      <c r="F90" s="138" t="n"/>
      <c r="G90" s="138" t="n"/>
      <c r="H90" s="138" t="n"/>
      <c r="I90" s="138" t="n"/>
      <c r="J90" s="137">
        <f>IF($H90="","",ROUND($H90*$I90,2))</f>
        <v/>
      </c>
      <c r="K90" s="137">
        <f>IF(OR($H90="",$J90=""),"",ROUND($H90-$J90,2))</f>
        <v/>
      </c>
      <c r="L90" s="138" t="n"/>
    </row>
    <row r="91" ht="18" customHeight="1" s="102">
      <c r="A91" s="137">
        <f>IF($B91="","","TAH-"&amp;TEXT(ROW()-BaslangicSatir,"000000"))</f>
        <v/>
      </c>
      <c r="B91" s="138" t="n"/>
      <c r="C91" s="138" t="n"/>
      <c r="D91" s="138" t="n"/>
      <c r="E91" s="138" t="n"/>
      <c r="F91" s="138" t="n"/>
      <c r="G91" s="138" t="n"/>
      <c r="H91" s="138" t="n"/>
      <c r="I91" s="138" t="n"/>
      <c r="J91" s="137">
        <f>IF($H91="","",ROUND($H91*$I91,2))</f>
        <v/>
      </c>
      <c r="K91" s="137">
        <f>IF(OR($H91="",$J91=""),"",ROUND($H91-$J91,2))</f>
        <v/>
      </c>
      <c r="L91" s="138" t="n"/>
    </row>
    <row r="92" ht="18" customHeight="1" s="102">
      <c r="A92" s="137">
        <f>IF($B92="","","TAH-"&amp;TEXT(ROW()-BaslangicSatir,"000000"))</f>
        <v/>
      </c>
      <c r="B92" s="138" t="n"/>
      <c r="C92" s="138" t="n"/>
      <c r="D92" s="138" t="n"/>
      <c r="E92" s="138" t="n"/>
      <c r="F92" s="138" t="n"/>
      <c r="G92" s="138" t="n"/>
      <c r="H92" s="138" t="n"/>
      <c r="I92" s="138" t="n"/>
      <c r="J92" s="137">
        <f>IF($H92="","",ROUND($H92*$I92,2))</f>
        <v/>
      </c>
      <c r="K92" s="137">
        <f>IF(OR($H92="",$J92=""),"",ROUND($H92-$J92,2))</f>
        <v/>
      </c>
      <c r="L92" s="138" t="n"/>
    </row>
    <row r="93" ht="18" customHeight="1" s="102">
      <c r="A93" s="137">
        <f>IF($B93="","","TAH-"&amp;TEXT(ROW()-BaslangicSatir,"000000"))</f>
        <v/>
      </c>
      <c r="B93" s="138" t="n"/>
      <c r="C93" s="138" t="n"/>
      <c r="D93" s="138" t="n"/>
      <c r="E93" s="138" t="n"/>
      <c r="F93" s="138" t="n"/>
      <c r="G93" s="138" t="n"/>
      <c r="H93" s="138" t="n"/>
      <c r="I93" s="138" t="n"/>
      <c r="J93" s="137">
        <f>IF($H93="","",ROUND($H93*$I93,2))</f>
        <v/>
      </c>
      <c r="K93" s="137">
        <f>IF(OR($H93="",$J93=""),"",ROUND($H93-$J93,2))</f>
        <v/>
      </c>
      <c r="L93" s="138" t="n"/>
    </row>
    <row r="94" ht="18" customHeight="1" s="102">
      <c r="A94" s="137">
        <f>IF($B94="","","TAH-"&amp;TEXT(ROW()-BaslangicSatir,"000000"))</f>
        <v/>
      </c>
      <c r="B94" s="138" t="n"/>
      <c r="C94" s="138" t="n"/>
      <c r="D94" s="138" t="n"/>
      <c r="E94" s="138" t="n"/>
      <c r="F94" s="138" t="n"/>
      <c r="G94" s="138" t="n"/>
      <c r="H94" s="138" t="n"/>
      <c r="I94" s="138" t="n"/>
      <c r="J94" s="137">
        <f>IF($H94="","",ROUND($H94*$I94,2))</f>
        <v/>
      </c>
      <c r="K94" s="137">
        <f>IF(OR($H94="",$J94=""),"",ROUND($H94-$J94,2))</f>
        <v/>
      </c>
      <c r="L94" s="138" t="n"/>
    </row>
    <row r="95" ht="18" customHeight="1" s="102">
      <c r="A95" s="137">
        <f>IF($B95="","","TAH-"&amp;TEXT(ROW()-BaslangicSatir,"000000"))</f>
        <v/>
      </c>
      <c r="B95" s="138" t="n"/>
      <c r="C95" s="138" t="n"/>
      <c r="D95" s="138" t="n"/>
      <c r="E95" s="138" t="n"/>
      <c r="F95" s="138" t="n"/>
      <c r="G95" s="138" t="n"/>
      <c r="H95" s="138" t="n"/>
      <c r="I95" s="138" t="n"/>
      <c r="J95" s="137">
        <f>IF($H95="","",ROUND($H95*$I95,2))</f>
        <v/>
      </c>
      <c r="K95" s="137">
        <f>IF(OR($H95="",$J95=""),"",ROUND($H95-$J95,2))</f>
        <v/>
      </c>
      <c r="L95" s="138" t="n"/>
    </row>
    <row r="96" ht="18" customHeight="1" s="102">
      <c r="A96" s="137">
        <f>IF($B96="","","TAH-"&amp;TEXT(ROW()-BaslangicSatir,"000000"))</f>
        <v/>
      </c>
      <c r="B96" s="138" t="n"/>
      <c r="C96" s="138" t="n"/>
      <c r="D96" s="138" t="n"/>
      <c r="E96" s="138" t="n"/>
      <c r="F96" s="138" t="n"/>
      <c r="G96" s="138" t="n"/>
      <c r="H96" s="138" t="n"/>
      <c r="I96" s="138" t="n"/>
      <c r="J96" s="137">
        <f>IF($H96="","",ROUND($H96*$I96,2))</f>
        <v/>
      </c>
      <c r="K96" s="137">
        <f>IF(OR($H96="",$J96=""),"",ROUND($H96-$J96,2))</f>
        <v/>
      </c>
      <c r="L96" s="138" t="n"/>
    </row>
    <row r="97" ht="18" customHeight="1" s="102">
      <c r="A97" s="137">
        <f>IF($B97="","","TAH-"&amp;TEXT(ROW()-BaslangicSatir,"000000"))</f>
        <v/>
      </c>
      <c r="B97" s="138" t="n"/>
      <c r="C97" s="138" t="n"/>
      <c r="D97" s="138" t="n"/>
      <c r="E97" s="138" t="n"/>
      <c r="F97" s="138" t="n"/>
      <c r="G97" s="138" t="n"/>
      <c r="H97" s="138" t="n"/>
      <c r="I97" s="138" t="n"/>
      <c r="J97" s="137">
        <f>IF($H97="","",ROUND($H97*$I97,2))</f>
        <v/>
      </c>
      <c r="K97" s="137">
        <f>IF(OR($H97="",$J97=""),"",ROUND($H97-$J97,2))</f>
        <v/>
      </c>
      <c r="L97" s="138" t="n"/>
    </row>
    <row r="98" ht="18" customHeight="1" s="102">
      <c r="A98" s="137">
        <f>IF($B98="","","TAH-"&amp;TEXT(ROW()-BaslangicSatir,"000000"))</f>
        <v/>
      </c>
      <c r="B98" s="138" t="n"/>
      <c r="C98" s="138" t="n"/>
      <c r="D98" s="138" t="n"/>
      <c r="E98" s="138" t="n"/>
      <c r="F98" s="138" t="n"/>
      <c r="G98" s="138" t="n"/>
      <c r="H98" s="138" t="n"/>
      <c r="I98" s="138" t="n"/>
      <c r="J98" s="137">
        <f>IF($H98="","",ROUND($H98*$I98,2))</f>
        <v/>
      </c>
      <c r="K98" s="137">
        <f>IF(OR($H98="",$J98=""),"",ROUND($H98-$J98,2))</f>
        <v/>
      </c>
      <c r="L98" s="138" t="n"/>
    </row>
    <row r="99" ht="18" customHeight="1" s="102">
      <c r="A99" s="137">
        <f>IF($B99="","","TAH-"&amp;TEXT(ROW()-BaslangicSatir,"000000"))</f>
        <v/>
      </c>
      <c r="B99" s="138" t="n"/>
      <c r="C99" s="138" t="n"/>
      <c r="D99" s="138" t="n"/>
      <c r="E99" s="138" t="n"/>
      <c r="F99" s="138" t="n"/>
      <c r="G99" s="138" t="n"/>
      <c r="H99" s="138" t="n"/>
      <c r="I99" s="138" t="n"/>
      <c r="J99" s="137">
        <f>IF($H99="","",ROUND($H99*$I99,2))</f>
        <v/>
      </c>
      <c r="K99" s="137">
        <f>IF(OR($H99="",$J99=""),"",ROUND($H99-$J99,2))</f>
        <v/>
      </c>
      <c r="L99" s="138" t="n"/>
    </row>
    <row r="100" ht="18" customHeight="1" s="102">
      <c r="A100" s="137">
        <f>IF($B100="","","TAH-"&amp;TEXT(ROW()-BaslangicSatir,"000000"))</f>
        <v/>
      </c>
      <c r="B100" s="138" t="n"/>
      <c r="C100" s="138" t="n"/>
      <c r="D100" s="138" t="n"/>
      <c r="E100" s="138" t="n"/>
      <c r="F100" s="138" t="n"/>
      <c r="G100" s="138" t="n"/>
      <c r="H100" s="138" t="n"/>
      <c r="I100" s="138" t="n"/>
      <c r="J100" s="137">
        <f>IF($H100="","",ROUND($H100*$I100,2))</f>
        <v/>
      </c>
      <c r="K100" s="137">
        <f>IF(OR($H100="",$J100=""),"",ROUND($H100-$J100,2))</f>
        <v/>
      </c>
      <c r="L100" s="138" t="n"/>
    </row>
    <row r="101" ht="18" customHeight="1" s="102">
      <c r="A101" s="137">
        <f>IF($B101="","","TAH-"&amp;TEXT(ROW()-BaslangicSatir,"000000"))</f>
        <v/>
      </c>
      <c r="B101" s="138" t="n"/>
      <c r="C101" s="138" t="n"/>
      <c r="D101" s="138" t="n"/>
      <c r="E101" s="138" t="n"/>
      <c r="F101" s="138" t="n"/>
      <c r="G101" s="138" t="n"/>
      <c r="H101" s="138" t="n"/>
      <c r="I101" s="138" t="n"/>
      <c r="J101" s="137">
        <f>IF($H101="","",ROUND($H101*$I101,2))</f>
        <v/>
      </c>
      <c r="K101" s="137">
        <f>IF(OR($H101="",$J101=""),"",ROUND($H101-$J101,2))</f>
        <v/>
      </c>
      <c r="L101" s="138" t="n"/>
    </row>
    <row r="102" ht="18" customHeight="1" s="102">
      <c r="A102" s="137">
        <f>IF($B102="","","TAH-"&amp;TEXT(ROW()-BaslangicSatir,"000000"))</f>
        <v/>
      </c>
      <c r="B102" s="138" t="n"/>
      <c r="C102" s="138" t="n"/>
      <c r="D102" s="138" t="n"/>
      <c r="E102" s="138" t="n"/>
      <c r="F102" s="138" t="n"/>
      <c r="G102" s="138" t="n"/>
      <c r="H102" s="138" t="n"/>
      <c r="I102" s="138" t="n"/>
      <c r="J102" s="137">
        <f>IF($H102="","",ROUND($H102*$I102,2))</f>
        <v/>
      </c>
      <c r="K102" s="137">
        <f>IF(OR($H102="",$J102=""),"",ROUND($H102-$J102,2))</f>
        <v/>
      </c>
      <c r="L102" s="138" t="n"/>
    </row>
    <row r="103" ht="18" customHeight="1" s="102">
      <c r="A103" s="137">
        <f>IF($B103="","","TAH-"&amp;TEXT(ROW()-BaslangicSatir,"000000"))</f>
        <v/>
      </c>
      <c r="B103" s="138" t="n"/>
      <c r="C103" s="138" t="n"/>
      <c r="D103" s="138" t="n"/>
      <c r="E103" s="138" t="n"/>
      <c r="F103" s="138" t="n"/>
      <c r="G103" s="138" t="n"/>
      <c r="H103" s="138" t="n"/>
      <c r="I103" s="138" t="n"/>
      <c r="J103" s="137">
        <f>IF($H103="","",ROUND($H103*$I103,2))</f>
        <v/>
      </c>
      <c r="K103" s="137">
        <f>IF(OR($H103="",$J103=""),"",ROUND($H103-$J103,2))</f>
        <v/>
      </c>
      <c r="L103" s="138" t="n"/>
    </row>
    <row r="104" ht="18" customHeight="1" s="102">
      <c r="A104" s="137">
        <f>IF($B104="","","TAH-"&amp;TEXT(ROW()-BaslangicSatir,"000000"))</f>
        <v/>
      </c>
      <c r="B104" s="138" t="n"/>
      <c r="C104" s="138" t="n"/>
      <c r="D104" s="138" t="n"/>
      <c r="E104" s="138" t="n"/>
      <c r="F104" s="138" t="n"/>
      <c r="G104" s="138" t="n"/>
      <c r="H104" s="138" t="n"/>
      <c r="I104" s="138" t="n"/>
      <c r="J104" s="137">
        <f>IF($H104="","",ROUND($H104*$I104,2))</f>
        <v/>
      </c>
      <c r="K104" s="137">
        <f>IF(OR($H104="",$J104=""),"",ROUND($H104-$J104,2))</f>
        <v/>
      </c>
      <c r="L104" s="138" t="n"/>
    </row>
    <row r="105" ht="18" customHeight="1" s="102">
      <c r="A105" s="137">
        <f>IF($B105="","","TAH-"&amp;TEXT(ROW()-BaslangicSatir,"000000"))</f>
        <v/>
      </c>
      <c r="B105" s="138" t="n"/>
      <c r="C105" s="138" t="n"/>
      <c r="D105" s="138" t="n"/>
      <c r="E105" s="138" t="n"/>
      <c r="F105" s="138" t="n"/>
      <c r="G105" s="138" t="n"/>
      <c r="H105" s="138" t="n"/>
      <c r="I105" s="138" t="n"/>
      <c r="J105" s="137">
        <f>IF($H105="","",ROUND($H105*$I105,2))</f>
        <v/>
      </c>
      <c r="K105" s="137">
        <f>IF(OR($H105="",$J105=""),"",ROUND($H105-$J105,2))</f>
        <v/>
      </c>
      <c r="L105" s="138" t="n"/>
    </row>
    <row r="106" ht="18" customHeight="1" s="102">
      <c r="A106" s="137">
        <f>IF($B106="","","TAH-"&amp;TEXT(ROW()-BaslangicSatir,"000000"))</f>
        <v/>
      </c>
      <c r="B106" s="138" t="n"/>
      <c r="C106" s="138" t="n"/>
      <c r="D106" s="138" t="n"/>
      <c r="E106" s="138" t="n"/>
      <c r="F106" s="138" t="n"/>
      <c r="G106" s="138" t="n"/>
      <c r="H106" s="138" t="n"/>
      <c r="I106" s="138" t="n"/>
      <c r="J106" s="137">
        <f>IF($H106="","",ROUND($H106*$I106,2))</f>
        <v/>
      </c>
      <c r="K106" s="137">
        <f>IF(OR($H106="",$J106=""),"",ROUND($H106-$J106,2))</f>
        <v/>
      </c>
      <c r="L106" s="138" t="n"/>
    </row>
    <row r="107" ht="18" customHeight="1" s="102">
      <c r="A107" s="137">
        <f>IF($B107="","","TAH-"&amp;TEXT(ROW()-BaslangicSatir,"000000"))</f>
        <v/>
      </c>
      <c r="B107" s="138" t="n"/>
      <c r="C107" s="138" t="n"/>
      <c r="D107" s="138" t="n"/>
      <c r="E107" s="138" t="n"/>
      <c r="F107" s="138" t="n"/>
      <c r="G107" s="138" t="n"/>
      <c r="H107" s="138" t="n"/>
      <c r="I107" s="138" t="n"/>
      <c r="J107" s="137">
        <f>IF($H107="","",ROUND($H107*$I107,2))</f>
        <v/>
      </c>
      <c r="K107" s="137">
        <f>IF(OR($H107="",$J107=""),"",ROUND($H107-$J107,2))</f>
        <v/>
      </c>
      <c r="L107" s="138" t="n"/>
    </row>
    <row r="108" ht="18" customHeight="1" s="102">
      <c r="A108" s="137">
        <f>IF($B108="","","TAH-"&amp;TEXT(ROW()-BaslangicSatir,"000000"))</f>
        <v/>
      </c>
      <c r="B108" s="138" t="n"/>
      <c r="C108" s="138" t="n"/>
      <c r="D108" s="138" t="n"/>
      <c r="E108" s="138" t="n"/>
      <c r="F108" s="138" t="n"/>
      <c r="G108" s="138" t="n"/>
      <c r="H108" s="138" t="n"/>
      <c r="I108" s="138" t="n"/>
      <c r="J108" s="137">
        <f>IF($H108="","",ROUND($H108*$I108,2))</f>
        <v/>
      </c>
      <c r="K108" s="137">
        <f>IF(OR($H108="",$J108=""),"",ROUND($H108-$J108,2))</f>
        <v/>
      </c>
      <c r="L108" s="138" t="n"/>
    </row>
    <row r="109" ht="18" customHeight="1" s="102">
      <c r="A109" s="137">
        <f>IF($B109="","","TAH-"&amp;TEXT(ROW()-BaslangicSatir,"000000"))</f>
        <v/>
      </c>
      <c r="B109" s="138" t="n"/>
      <c r="C109" s="138" t="n"/>
      <c r="D109" s="138" t="n"/>
      <c r="E109" s="138" t="n"/>
      <c r="F109" s="138" t="n"/>
      <c r="G109" s="138" t="n"/>
      <c r="H109" s="138" t="n"/>
      <c r="I109" s="138" t="n"/>
      <c r="J109" s="137">
        <f>IF($H109="","",ROUND($H109*$I109,2))</f>
        <v/>
      </c>
      <c r="K109" s="137">
        <f>IF(OR($H109="",$J109=""),"",ROUND($H109-$J109,2))</f>
        <v/>
      </c>
      <c r="L109" s="138" t="n"/>
    </row>
    <row r="110" ht="18" customHeight="1" s="102">
      <c r="A110" s="137">
        <f>IF($B110="","","TAH-"&amp;TEXT(ROW()-BaslangicSatir,"000000"))</f>
        <v/>
      </c>
      <c r="B110" s="138" t="n"/>
      <c r="C110" s="138" t="n"/>
      <c r="D110" s="138" t="n"/>
      <c r="E110" s="138" t="n"/>
      <c r="F110" s="138" t="n"/>
      <c r="G110" s="138" t="n"/>
      <c r="H110" s="138" t="n"/>
      <c r="I110" s="138" t="n"/>
      <c r="J110" s="137">
        <f>IF($H110="","",ROUND($H110*$I110,2))</f>
        <v/>
      </c>
      <c r="K110" s="137">
        <f>IF(OR($H110="",$J110=""),"",ROUND($H110-$J110,2))</f>
        <v/>
      </c>
      <c r="L110" s="138" t="n"/>
    </row>
    <row r="111" ht="18" customHeight="1" s="102">
      <c r="A111" s="137">
        <f>IF($B111="","","TAH-"&amp;TEXT(ROW()-BaslangicSatir,"000000"))</f>
        <v/>
      </c>
      <c r="B111" s="138" t="n"/>
      <c r="C111" s="138" t="n"/>
      <c r="D111" s="138" t="n"/>
      <c r="E111" s="138" t="n"/>
      <c r="F111" s="138" t="n"/>
      <c r="G111" s="138" t="n"/>
      <c r="H111" s="138" t="n"/>
      <c r="I111" s="138" t="n"/>
      <c r="J111" s="137">
        <f>IF($H111="","",ROUND($H111*$I111,2))</f>
        <v/>
      </c>
      <c r="K111" s="137">
        <f>IF(OR($H111="",$J111=""),"",ROUND($H111-$J111,2))</f>
        <v/>
      </c>
      <c r="L111" s="138" t="n"/>
    </row>
    <row r="112" ht="18" customHeight="1" s="102">
      <c r="A112" s="137">
        <f>IF($B112="","","TAH-"&amp;TEXT(ROW()-BaslangicSatir,"000000"))</f>
        <v/>
      </c>
      <c r="B112" s="138" t="n"/>
      <c r="C112" s="138" t="n"/>
      <c r="D112" s="138" t="n"/>
      <c r="E112" s="138" t="n"/>
      <c r="F112" s="138" t="n"/>
      <c r="G112" s="138" t="n"/>
      <c r="H112" s="138" t="n"/>
      <c r="I112" s="138" t="n"/>
      <c r="J112" s="137">
        <f>IF($H112="","",ROUND($H112*$I112,2))</f>
        <v/>
      </c>
      <c r="K112" s="137">
        <f>IF(OR($H112="",$J112=""),"",ROUND($H112-$J112,2))</f>
        <v/>
      </c>
      <c r="L112" s="138" t="n"/>
    </row>
    <row r="113" ht="18" customHeight="1" s="102">
      <c r="A113" s="137">
        <f>IF($B113="","","TAH-"&amp;TEXT(ROW()-BaslangicSatir,"000000"))</f>
        <v/>
      </c>
      <c r="B113" s="138" t="n"/>
      <c r="C113" s="138" t="n"/>
      <c r="D113" s="138" t="n"/>
      <c r="E113" s="138" t="n"/>
      <c r="F113" s="138" t="n"/>
      <c r="G113" s="138" t="n"/>
      <c r="H113" s="138" t="n"/>
      <c r="I113" s="138" t="n"/>
      <c r="J113" s="137">
        <f>IF($H113="","",ROUND($H113*$I113,2))</f>
        <v/>
      </c>
      <c r="K113" s="137">
        <f>IF(OR($H113="",$J113=""),"",ROUND($H113-$J113,2))</f>
        <v/>
      </c>
      <c r="L113" s="138" t="n"/>
    </row>
    <row r="114" ht="18" customHeight="1" s="102">
      <c r="A114" s="137">
        <f>IF($B114="","","TAH-"&amp;TEXT(ROW()-BaslangicSatir,"000000"))</f>
        <v/>
      </c>
      <c r="B114" s="138" t="n"/>
      <c r="C114" s="138" t="n"/>
      <c r="D114" s="138" t="n"/>
      <c r="E114" s="138" t="n"/>
      <c r="F114" s="138" t="n"/>
      <c r="G114" s="138" t="n"/>
      <c r="H114" s="138" t="n"/>
      <c r="I114" s="138" t="n"/>
      <c r="J114" s="137">
        <f>IF($H114="","",ROUND($H114*$I114,2))</f>
        <v/>
      </c>
      <c r="K114" s="137">
        <f>IF(OR($H114="",$J114=""),"",ROUND($H114-$J114,2))</f>
        <v/>
      </c>
      <c r="L114" s="138" t="n"/>
    </row>
    <row r="115" ht="18" customHeight="1" s="102">
      <c r="A115" s="137">
        <f>IF($B115="","","TAH-"&amp;TEXT(ROW()-BaslangicSatir,"000000"))</f>
        <v/>
      </c>
      <c r="B115" s="138" t="n"/>
      <c r="C115" s="138" t="n"/>
      <c r="D115" s="138" t="n"/>
      <c r="E115" s="138" t="n"/>
      <c r="F115" s="138" t="n"/>
      <c r="G115" s="138" t="n"/>
      <c r="H115" s="138" t="n"/>
      <c r="I115" s="138" t="n"/>
      <c r="J115" s="137">
        <f>IF($H115="","",ROUND($H115*$I115,2))</f>
        <v/>
      </c>
      <c r="K115" s="137">
        <f>IF(OR($H115="",$J115=""),"",ROUND($H115-$J115,2))</f>
        <v/>
      </c>
      <c r="L115" s="138" t="n"/>
    </row>
    <row r="116" ht="18" customHeight="1" s="102">
      <c r="A116" s="137">
        <f>IF($B116="","","TAH-"&amp;TEXT(ROW()-BaslangicSatir,"000000"))</f>
        <v/>
      </c>
      <c r="B116" s="138" t="n"/>
      <c r="C116" s="138" t="n"/>
      <c r="D116" s="138" t="n"/>
      <c r="E116" s="138" t="n"/>
      <c r="F116" s="138" t="n"/>
      <c r="G116" s="138" t="n"/>
      <c r="H116" s="138" t="n"/>
      <c r="I116" s="138" t="n"/>
      <c r="J116" s="137">
        <f>IF($H116="","",ROUND($H116*$I116,2))</f>
        <v/>
      </c>
      <c r="K116" s="137">
        <f>IF(OR($H116="",$J116=""),"",ROUND($H116-$J116,2))</f>
        <v/>
      </c>
      <c r="L116" s="138" t="n"/>
    </row>
    <row r="117" ht="18" customHeight="1" s="102">
      <c r="A117" s="137">
        <f>IF($B117="","","TAH-"&amp;TEXT(ROW()-BaslangicSatir,"000000"))</f>
        <v/>
      </c>
      <c r="B117" s="138" t="n"/>
      <c r="C117" s="138" t="n"/>
      <c r="D117" s="138" t="n"/>
      <c r="E117" s="138" t="n"/>
      <c r="F117" s="138" t="n"/>
      <c r="G117" s="138" t="n"/>
      <c r="H117" s="138" t="n"/>
      <c r="I117" s="138" t="n"/>
      <c r="J117" s="137">
        <f>IF($H117="","",ROUND($H117*$I117,2))</f>
        <v/>
      </c>
      <c r="K117" s="137">
        <f>IF(OR($H117="",$J117=""),"",ROUND($H117-$J117,2))</f>
        <v/>
      </c>
      <c r="L117" s="138" t="n"/>
    </row>
    <row r="118" ht="18" customHeight="1" s="102">
      <c r="A118" s="137">
        <f>IF($B118="","","TAH-"&amp;TEXT(ROW()-BaslangicSatir,"000000"))</f>
        <v/>
      </c>
      <c r="B118" s="138" t="n"/>
      <c r="C118" s="138" t="n"/>
      <c r="D118" s="138" t="n"/>
      <c r="E118" s="138" t="n"/>
      <c r="F118" s="138" t="n"/>
      <c r="G118" s="138" t="n"/>
      <c r="H118" s="138" t="n"/>
      <c r="I118" s="138" t="n"/>
      <c r="J118" s="137">
        <f>IF($H118="","",ROUND($H118*$I118,2))</f>
        <v/>
      </c>
      <c r="K118" s="137">
        <f>IF(OR($H118="",$J118=""),"",ROUND($H118-$J118,2))</f>
        <v/>
      </c>
      <c r="L118" s="138" t="n"/>
    </row>
    <row r="119" ht="18" customHeight="1" s="102">
      <c r="A119" s="137">
        <f>IF($B119="","","TAH-"&amp;TEXT(ROW()-BaslangicSatir,"000000"))</f>
        <v/>
      </c>
      <c r="B119" s="138" t="n"/>
      <c r="C119" s="138" t="n"/>
      <c r="D119" s="138" t="n"/>
      <c r="E119" s="138" t="n"/>
      <c r="F119" s="138" t="n"/>
      <c r="G119" s="138" t="n"/>
      <c r="H119" s="138" t="n"/>
      <c r="I119" s="138" t="n"/>
      <c r="J119" s="137">
        <f>IF($H119="","",ROUND($H119*$I119,2))</f>
        <v/>
      </c>
      <c r="K119" s="137">
        <f>IF(OR($H119="",$J119=""),"",ROUND($H119-$J119,2))</f>
        <v/>
      </c>
      <c r="L119" s="138" t="n"/>
    </row>
    <row r="120" ht="18" customHeight="1" s="102">
      <c r="A120" s="137">
        <f>IF($B120="","","TAH-"&amp;TEXT(ROW()-BaslangicSatir,"000000"))</f>
        <v/>
      </c>
      <c r="B120" s="138" t="n"/>
      <c r="C120" s="138" t="n"/>
      <c r="D120" s="138" t="n"/>
      <c r="E120" s="138" t="n"/>
      <c r="F120" s="138" t="n"/>
      <c r="G120" s="138" t="n"/>
      <c r="H120" s="138" t="n"/>
      <c r="I120" s="138" t="n"/>
      <c r="J120" s="137">
        <f>IF($H120="","",ROUND($H120*$I120,2))</f>
        <v/>
      </c>
      <c r="K120" s="137">
        <f>IF(OR($H120="",$J120=""),"",ROUND($H120-$J120,2))</f>
        <v/>
      </c>
      <c r="L120" s="138" t="n"/>
    </row>
    <row r="121" ht="18" customHeight="1" s="102">
      <c r="A121" s="137">
        <f>IF($B121="","","TAH-"&amp;TEXT(ROW()-BaslangicSatir,"000000"))</f>
        <v/>
      </c>
      <c r="B121" s="138" t="n"/>
      <c r="C121" s="138" t="n"/>
      <c r="D121" s="138" t="n"/>
      <c r="E121" s="138" t="n"/>
      <c r="F121" s="138" t="n"/>
      <c r="G121" s="138" t="n"/>
      <c r="H121" s="138" t="n"/>
      <c r="I121" s="138" t="n"/>
      <c r="J121" s="137">
        <f>IF($H121="","",ROUND($H121*$I121,2))</f>
        <v/>
      </c>
      <c r="K121" s="137">
        <f>IF(OR($H121="",$J121=""),"",ROUND($H121-$J121,2))</f>
        <v/>
      </c>
      <c r="L121" s="138" t="n"/>
    </row>
    <row r="122" ht="18" customHeight="1" s="102">
      <c r="A122" s="137">
        <f>IF($B122="","","TAH-"&amp;TEXT(ROW()-BaslangicSatir,"000000"))</f>
        <v/>
      </c>
      <c r="B122" s="138" t="n"/>
      <c r="C122" s="138" t="n"/>
      <c r="D122" s="138" t="n"/>
      <c r="E122" s="138" t="n"/>
      <c r="F122" s="138" t="n"/>
      <c r="G122" s="138" t="n"/>
      <c r="H122" s="138" t="n"/>
      <c r="I122" s="138" t="n"/>
      <c r="J122" s="137">
        <f>IF($H122="","",ROUND($H122*$I122,2))</f>
        <v/>
      </c>
      <c r="K122" s="137">
        <f>IF(OR($H122="",$J122=""),"",ROUND($H122-$J122,2))</f>
        <v/>
      </c>
      <c r="L122" s="138" t="n"/>
    </row>
    <row r="123" ht="18" customHeight="1" s="102">
      <c r="A123" s="137">
        <f>IF($B123="","","TAH-"&amp;TEXT(ROW()-BaslangicSatir,"000000"))</f>
        <v/>
      </c>
      <c r="B123" s="138" t="n"/>
      <c r="C123" s="138" t="n"/>
      <c r="D123" s="138" t="n"/>
      <c r="E123" s="138" t="n"/>
      <c r="F123" s="138" t="n"/>
      <c r="G123" s="138" t="n"/>
      <c r="H123" s="138" t="n"/>
      <c r="I123" s="138" t="n"/>
      <c r="J123" s="137">
        <f>IF($H123="","",ROUND($H123*$I123,2))</f>
        <v/>
      </c>
      <c r="K123" s="137">
        <f>IF(OR($H123="",$J123=""),"",ROUND($H123-$J123,2))</f>
        <v/>
      </c>
      <c r="L123" s="138" t="n"/>
    </row>
    <row r="124" ht="18" customHeight="1" s="102">
      <c r="A124" s="137">
        <f>IF($B124="","","TAH-"&amp;TEXT(ROW()-BaslangicSatir,"000000"))</f>
        <v/>
      </c>
      <c r="B124" s="138" t="n"/>
      <c r="C124" s="138" t="n"/>
      <c r="D124" s="138" t="n"/>
      <c r="E124" s="138" t="n"/>
      <c r="F124" s="138" t="n"/>
      <c r="G124" s="138" t="n"/>
      <c r="H124" s="138" t="n"/>
      <c r="I124" s="138" t="n"/>
      <c r="J124" s="137">
        <f>IF($H124="","",ROUND($H124*$I124,2))</f>
        <v/>
      </c>
      <c r="K124" s="137">
        <f>IF(OR($H124="",$J124=""),"",ROUND($H124-$J124,2))</f>
        <v/>
      </c>
      <c r="L124" s="138" t="n"/>
    </row>
    <row r="125" ht="18" customHeight="1" s="102">
      <c r="A125" s="137">
        <f>IF($B125="","","TAH-"&amp;TEXT(ROW()-BaslangicSatir,"000000"))</f>
        <v/>
      </c>
      <c r="B125" s="138" t="n"/>
      <c r="C125" s="138" t="n"/>
      <c r="D125" s="138" t="n"/>
      <c r="E125" s="138" t="n"/>
      <c r="F125" s="138" t="n"/>
      <c r="G125" s="138" t="n"/>
      <c r="H125" s="138" t="n"/>
      <c r="I125" s="138" t="n"/>
      <c r="J125" s="137">
        <f>IF($H125="","",ROUND($H125*$I125,2))</f>
        <v/>
      </c>
      <c r="K125" s="137">
        <f>IF(OR($H125="",$J125=""),"",ROUND($H125-$J125,2))</f>
        <v/>
      </c>
      <c r="L125" s="138" t="n"/>
    </row>
    <row r="126" ht="18" customHeight="1" s="102">
      <c r="A126" s="137">
        <f>IF($B126="","","TAH-"&amp;TEXT(ROW()-BaslangicSatir,"000000"))</f>
        <v/>
      </c>
      <c r="B126" s="138" t="n"/>
      <c r="C126" s="138" t="n"/>
      <c r="D126" s="138" t="n"/>
      <c r="E126" s="138" t="n"/>
      <c r="F126" s="138" t="n"/>
      <c r="G126" s="138" t="n"/>
      <c r="H126" s="138" t="n"/>
      <c r="I126" s="138" t="n"/>
      <c r="J126" s="137">
        <f>IF($H126="","",ROUND($H126*$I126,2))</f>
        <v/>
      </c>
      <c r="K126" s="137">
        <f>IF(OR($H126="",$J126=""),"",ROUND($H126-$J126,2))</f>
        <v/>
      </c>
      <c r="L126" s="138" t="n"/>
    </row>
    <row r="127" ht="18" customHeight="1" s="102">
      <c r="A127" s="137">
        <f>IF($B127="","","TAH-"&amp;TEXT(ROW()-BaslangicSatir,"000000"))</f>
        <v/>
      </c>
      <c r="B127" s="138" t="n"/>
      <c r="C127" s="138" t="n"/>
      <c r="D127" s="138" t="n"/>
      <c r="E127" s="138" t="n"/>
      <c r="F127" s="138" t="n"/>
      <c r="G127" s="138" t="n"/>
      <c r="H127" s="138" t="n"/>
      <c r="I127" s="138" t="n"/>
      <c r="J127" s="137">
        <f>IF($H127="","",ROUND($H127*$I127,2))</f>
        <v/>
      </c>
      <c r="K127" s="137">
        <f>IF(OR($H127="",$J127=""),"",ROUND($H127-$J127,2))</f>
        <v/>
      </c>
      <c r="L127" s="138" t="n"/>
    </row>
    <row r="128" ht="18" customHeight="1" s="102">
      <c r="A128" s="137">
        <f>IF($B128="","","TAH-"&amp;TEXT(ROW()-BaslangicSatir,"000000"))</f>
        <v/>
      </c>
      <c r="B128" s="138" t="n"/>
      <c r="C128" s="138" t="n"/>
      <c r="D128" s="138" t="n"/>
      <c r="E128" s="138" t="n"/>
      <c r="F128" s="138" t="n"/>
      <c r="G128" s="138" t="n"/>
      <c r="H128" s="138" t="n"/>
      <c r="I128" s="138" t="n"/>
      <c r="J128" s="137">
        <f>IF($H128="","",ROUND($H128*$I128,2))</f>
        <v/>
      </c>
      <c r="K128" s="137">
        <f>IF(OR($H128="",$J128=""),"",ROUND($H128-$J128,2))</f>
        <v/>
      </c>
      <c r="L128" s="138" t="n"/>
    </row>
    <row r="129" ht="18" customHeight="1" s="102">
      <c r="A129" s="137">
        <f>IF($B129="","","TAH-"&amp;TEXT(ROW()-BaslangicSatir,"000000"))</f>
        <v/>
      </c>
      <c r="B129" s="138" t="n"/>
      <c r="C129" s="138" t="n"/>
      <c r="D129" s="138" t="n"/>
      <c r="E129" s="138" t="n"/>
      <c r="F129" s="138" t="n"/>
      <c r="G129" s="138" t="n"/>
      <c r="H129" s="138" t="n"/>
      <c r="I129" s="138" t="n"/>
      <c r="J129" s="137">
        <f>IF($H129="","",ROUND($H129*$I129,2))</f>
        <v/>
      </c>
      <c r="K129" s="137">
        <f>IF(OR($H129="",$J129=""),"",ROUND($H129-$J129,2))</f>
        <v/>
      </c>
      <c r="L129" s="138" t="n"/>
    </row>
    <row r="130" ht="18" customHeight="1" s="102">
      <c r="A130" s="137">
        <f>IF($B130="","","TAH-"&amp;TEXT(ROW()-BaslangicSatir,"000000"))</f>
        <v/>
      </c>
      <c r="B130" s="138" t="n"/>
      <c r="C130" s="138" t="n"/>
      <c r="D130" s="138" t="n"/>
      <c r="E130" s="138" t="n"/>
      <c r="F130" s="138" t="n"/>
      <c r="G130" s="138" t="n"/>
      <c r="H130" s="138" t="n"/>
      <c r="I130" s="138" t="n"/>
      <c r="J130" s="137">
        <f>IF($H130="","",ROUND($H130*$I130,2))</f>
        <v/>
      </c>
      <c r="K130" s="137">
        <f>IF(OR($H130="",$J130=""),"",ROUND($H130-$J130,2))</f>
        <v/>
      </c>
      <c r="L130" s="138" t="n"/>
    </row>
    <row r="131" ht="18" customHeight="1" s="102">
      <c r="A131" s="137">
        <f>IF($B131="","","TAH-"&amp;TEXT(ROW()-BaslangicSatir,"000000"))</f>
        <v/>
      </c>
      <c r="B131" s="138" t="n"/>
      <c r="C131" s="138" t="n"/>
      <c r="D131" s="138" t="n"/>
      <c r="E131" s="138" t="n"/>
      <c r="F131" s="138" t="n"/>
      <c r="G131" s="138" t="n"/>
      <c r="H131" s="138" t="n"/>
      <c r="I131" s="138" t="n"/>
      <c r="J131" s="137">
        <f>IF($H131="","",ROUND($H131*$I131,2))</f>
        <v/>
      </c>
      <c r="K131" s="137">
        <f>IF(OR($H131="",$J131=""),"",ROUND($H131-$J131,2))</f>
        <v/>
      </c>
      <c r="L131" s="138" t="n"/>
    </row>
    <row r="132" ht="18" customHeight="1" s="102">
      <c r="A132" s="137">
        <f>IF($B132="","","TAH-"&amp;TEXT(ROW()-BaslangicSatir,"000000"))</f>
        <v/>
      </c>
      <c r="B132" s="138" t="n"/>
      <c r="C132" s="138" t="n"/>
      <c r="D132" s="138" t="n"/>
      <c r="E132" s="138" t="n"/>
      <c r="F132" s="138" t="n"/>
      <c r="G132" s="138" t="n"/>
      <c r="H132" s="138" t="n"/>
      <c r="I132" s="138" t="n"/>
      <c r="J132" s="137">
        <f>IF($H132="","",ROUND($H132*$I132,2))</f>
        <v/>
      </c>
      <c r="K132" s="137">
        <f>IF(OR($H132="",$J132=""),"",ROUND($H132-$J132,2))</f>
        <v/>
      </c>
      <c r="L132" s="138" t="n"/>
    </row>
    <row r="133" ht="18" customHeight="1" s="102">
      <c r="A133" s="137">
        <f>IF($B133="","","TAH-"&amp;TEXT(ROW()-BaslangicSatir,"000000"))</f>
        <v/>
      </c>
      <c r="B133" s="138" t="n"/>
      <c r="C133" s="138" t="n"/>
      <c r="D133" s="138" t="n"/>
      <c r="E133" s="138" t="n"/>
      <c r="F133" s="138" t="n"/>
      <c r="G133" s="138" t="n"/>
      <c r="H133" s="138" t="n"/>
      <c r="I133" s="138" t="n"/>
      <c r="J133" s="137">
        <f>IF($H133="","",ROUND($H133*$I133,2))</f>
        <v/>
      </c>
      <c r="K133" s="137">
        <f>IF(OR($H133="",$J133=""),"",ROUND($H133-$J133,2))</f>
        <v/>
      </c>
      <c r="L133" s="138" t="n"/>
    </row>
    <row r="134" ht="18" customHeight="1" s="102">
      <c r="A134" s="137">
        <f>IF($B134="","","TAH-"&amp;TEXT(ROW()-BaslangicSatir,"000000"))</f>
        <v/>
      </c>
      <c r="B134" s="138" t="n"/>
      <c r="C134" s="138" t="n"/>
      <c r="D134" s="138" t="n"/>
      <c r="E134" s="138" t="n"/>
      <c r="F134" s="138" t="n"/>
      <c r="G134" s="138" t="n"/>
      <c r="H134" s="138" t="n"/>
      <c r="I134" s="138" t="n"/>
      <c r="J134" s="137">
        <f>IF($H134="","",ROUND($H134*$I134,2))</f>
        <v/>
      </c>
      <c r="K134" s="137">
        <f>IF(OR($H134="",$J134=""),"",ROUND($H134-$J134,2))</f>
        <v/>
      </c>
      <c r="L134" s="138" t="n"/>
    </row>
    <row r="135" ht="18" customHeight="1" s="102">
      <c r="A135" s="137">
        <f>IF($B135="","","TAH-"&amp;TEXT(ROW()-BaslangicSatir,"000000"))</f>
        <v/>
      </c>
      <c r="B135" s="138" t="n"/>
      <c r="C135" s="138" t="n"/>
      <c r="D135" s="138" t="n"/>
      <c r="E135" s="138" t="n"/>
      <c r="F135" s="138" t="n"/>
      <c r="G135" s="138" t="n"/>
      <c r="H135" s="138" t="n"/>
      <c r="I135" s="138" t="n"/>
      <c r="J135" s="137">
        <f>IF($H135="","",ROUND($H135*$I135,2))</f>
        <v/>
      </c>
      <c r="K135" s="137">
        <f>IF(OR($H135="",$J135=""),"",ROUND($H135-$J135,2))</f>
        <v/>
      </c>
      <c r="L135" s="138" t="n"/>
    </row>
    <row r="136" ht="18" customHeight="1" s="102">
      <c r="A136" s="137">
        <f>IF($B136="","","TAH-"&amp;TEXT(ROW()-BaslangicSatir,"000000"))</f>
        <v/>
      </c>
      <c r="B136" s="138" t="n"/>
      <c r="C136" s="138" t="n"/>
      <c r="D136" s="138" t="n"/>
      <c r="E136" s="138" t="n"/>
      <c r="F136" s="138" t="n"/>
      <c r="G136" s="138" t="n"/>
      <c r="H136" s="138" t="n"/>
      <c r="I136" s="138" t="n"/>
      <c r="J136" s="137">
        <f>IF($H136="","",ROUND($H136*$I136,2))</f>
        <v/>
      </c>
      <c r="K136" s="137">
        <f>IF(OR($H136="",$J136=""),"",ROUND($H136-$J136,2))</f>
        <v/>
      </c>
      <c r="L136" s="138" t="n"/>
    </row>
    <row r="137" ht="18" customHeight="1" s="102">
      <c r="A137" s="137">
        <f>IF($B137="","","TAH-"&amp;TEXT(ROW()-BaslangicSatir,"000000"))</f>
        <v/>
      </c>
      <c r="B137" s="138" t="n"/>
      <c r="C137" s="138" t="n"/>
      <c r="D137" s="138" t="n"/>
      <c r="E137" s="138" t="n"/>
      <c r="F137" s="138" t="n"/>
      <c r="G137" s="138" t="n"/>
      <c r="H137" s="138" t="n"/>
      <c r="I137" s="138" t="n"/>
      <c r="J137" s="137">
        <f>IF($H137="","",ROUND($H137*$I137,2))</f>
        <v/>
      </c>
      <c r="K137" s="137">
        <f>IF(OR($H137="",$J137=""),"",ROUND($H137-$J137,2))</f>
        <v/>
      </c>
      <c r="L137" s="138" t="n"/>
    </row>
    <row r="138" ht="18" customHeight="1" s="102">
      <c r="A138" s="137">
        <f>IF($B138="","","TAH-"&amp;TEXT(ROW()-BaslangicSatir,"000000"))</f>
        <v/>
      </c>
      <c r="B138" s="138" t="n"/>
      <c r="C138" s="138" t="n"/>
      <c r="D138" s="138" t="n"/>
      <c r="E138" s="138" t="n"/>
      <c r="F138" s="138" t="n"/>
      <c r="G138" s="138" t="n"/>
      <c r="H138" s="138" t="n"/>
      <c r="I138" s="138" t="n"/>
      <c r="J138" s="137">
        <f>IF($H138="","",ROUND($H138*$I138,2))</f>
        <v/>
      </c>
      <c r="K138" s="137">
        <f>IF(OR($H138="",$J138=""),"",ROUND($H138-$J138,2))</f>
        <v/>
      </c>
      <c r="L138" s="138" t="n"/>
    </row>
    <row r="139" ht="18" customHeight="1" s="102">
      <c r="A139" s="137">
        <f>IF($B139="","","TAH-"&amp;TEXT(ROW()-BaslangicSatir,"000000"))</f>
        <v/>
      </c>
      <c r="B139" s="138" t="n"/>
      <c r="C139" s="138" t="n"/>
      <c r="D139" s="138" t="n"/>
      <c r="E139" s="138" t="n"/>
      <c r="F139" s="138" t="n"/>
      <c r="G139" s="138" t="n"/>
      <c r="H139" s="138" t="n"/>
      <c r="I139" s="138" t="n"/>
      <c r="J139" s="137">
        <f>IF($H139="","",ROUND($H139*$I139,2))</f>
        <v/>
      </c>
      <c r="K139" s="137">
        <f>IF(OR($H139="",$J139=""),"",ROUND($H139-$J139,2))</f>
        <v/>
      </c>
      <c r="L139" s="138" t="n"/>
    </row>
    <row r="140" ht="18" customHeight="1" s="102">
      <c r="A140" s="137">
        <f>IF($B140="","","TAH-"&amp;TEXT(ROW()-BaslangicSatir,"000000"))</f>
        <v/>
      </c>
      <c r="B140" s="138" t="n"/>
      <c r="C140" s="138" t="n"/>
      <c r="D140" s="138" t="n"/>
      <c r="E140" s="138" t="n"/>
      <c r="F140" s="138" t="n"/>
      <c r="G140" s="138" t="n"/>
      <c r="H140" s="138" t="n"/>
      <c r="I140" s="138" t="n"/>
      <c r="J140" s="137">
        <f>IF($H140="","",ROUND($H140*$I140,2))</f>
        <v/>
      </c>
      <c r="K140" s="137">
        <f>IF(OR($H140="",$J140=""),"",ROUND($H140-$J140,2))</f>
        <v/>
      </c>
      <c r="L140" s="138" t="n"/>
    </row>
    <row r="141" ht="18" customHeight="1" s="102">
      <c r="A141" s="137">
        <f>IF($B141="","","TAH-"&amp;TEXT(ROW()-BaslangicSatir,"000000"))</f>
        <v/>
      </c>
      <c r="B141" s="138" t="n"/>
      <c r="C141" s="138" t="n"/>
      <c r="D141" s="138" t="n"/>
      <c r="E141" s="138" t="n"/>
      <c r="F141" s="138" t="n"/>
      <c r="G141" s="138" t="n"/>
      <c r="H141" s="138" t="n"/>
      <c r="I141" s="138" t="n"/>
      <c r="J141" s="137">
        <f>IF($H141="","",ROUND($H141*$I141,2))</f>
        <v/>
      </c>
      <c r="K141" s="137">
        <f>IF(OR($H141="",$J141=""),"",ROUND($H141-$J141,2))</f>
        <v/>
      </c>
      <c r="L141" s="138" t="n"/>
    </row>
    <row r="142" ht="18" customHeight="1" s="102">
      <c r="A142" s="137">
        <f>IF($B142="","","TAH-"&amp;TEXT(ROW()-BaslangicSatir,"000000"))</f>
        <v/>
      </c>
      <c r="B142" s="138" t="n"/>
      <c r="C142" s="138" t="n"/>
      <c r="D142" s="138" t="n"/>
      <c r="E142" s="138" t="n"/>
      <c r="F142" s="138" t="n"/>
      <c r="G142" s="138" t="n"/>
      <c r="H142" s="138" t="n"/>
      <c r="I142" s="138" t="n"/>
      <c r="J142" s="137">
        <f>IF($H142="","",ROUND($H142*$I142,2))</f>
        <v/>
      </c>
      <c r="K142" s="137">
        <f>IF(OR($H142="",$J142=""),"",ROUND($H142-$J142,2))</f>
        <v/>
      </c>
      <c r="L142" s="138" t="n"/>
    </row>
    <row r="143" ht="18" customHeight="1" s="102">
      <c r="A143" s="137">
        <f>IF($B143="","","TAH-"&amp;TEXT(ROW()-BaslangicSatir,"000000"))</f>
        <v/>
      </c>
      <c r="B143" s="138" t="n"/>
      <c r="C143" s="138" t="n"/>
      <c r="D143" s="138" t="n"/>
      <c r="E143" s="138" t="n"/>
      <c r="F143" s="138" t="n"/>
      <c r="G143" s="138" t="n"/>
      <c r="H143" s="138" t="n"/>
      <c r="I143" s="138" t="n"/>
      <c r="J143" s="137">
        <f>IF($H143="","",ROUND($H143*$I143,2))</f>
        <v/>
      </c>
      <c r="K143" s="137">
        <f>IF(OR($H143="",$J143=""),"",ROUND($H143-$J143,2))</f>
        <v/>
      </c>
      <c r="L143" s="138" t="n"/>
    </row>
    <row r="144" ht="18" customHeight="1" s="102">
      <c r="A144" s="137">
        <f>IF($B144="","","TAH-"&amp;TEXT(ROW()-BaslangicSatir,"000000"))</f>
        <v/>
      </c>
      <c r="B144" s="138" t="n"/>
      <c r="C144" s="138" t="n"/>
      <c r="D144" s="138" t="n"/>
      <c r="E144" s="138" t="n"/>
      <c r="F144" s="138" t="n"/>
      <c r="G144" s="138" t="n"/>
      <c r="H144" s="138" t="n"/>
      <c r="I144" s="138" t="n"/>
      <c r="J144" s="137">
        <f>IF($H144="","",ROUND($H144*$I144,2))</f>
        <v/>
      </c>
      <c r="K144" s="137">
        <f>IF(OR($H144="",$J144=""),"",ROUND($H144-$J144,2))</f>
        <v/>
      </c>
      <c r="L144" s="138" t="n"/>
    </row>
    <row r="145" ht="18" customHeight="1" s="102">
      <c r="A145" s="137">
        <f>IF($B145="","","TAH-"&amp;TEXT(ROW()-BaslangicSatir,"000000"))</f>
        <v/>
      </c>
      <c r="B145" s="138" t="n"/>
      <c r="C145" s="138" t="n"/>
      <c r="D145" s="138" t="n"/>
      <c r="E145" s="138" t="n"/>
      <c r="F145" s="138" t="n"/>
      <c r="G145" s="138" t="n"/>
      <c r="H145" s="138" t="n"/>
      <c r="I145" s="138" t="n"/>
      <c r="J145" s="137">
        <f>IF($H145="","",ROUND($H145*$I145,2))</f>
        <v/>
      </c>
      <c r="K145" s="137">
        <f>IF(OR($H145="",$J145=""),"",ROUND($H145-$J145,2))</f>
        <v/>
      </c>
      <c r="L145" s="138" t="n"/>
    </row>
    <row r="146" ht="18" customHeight="1" s="102">
      <c r="A146" s="137">
        <f>IF($B146="","","TAH-"&amp;TEXT(ROW()-BaslangicSatir,"000000"))</f>
        <v/>
      </c>
      <c r="B146" s="138" t="n"/>
      <c r="C146" s="138" t="n"/>
      <c r="D146" s="138" t="n"/>
      <c r="E146" s="138" t="n"/>
      <c r="F146" s="138" t="n"/>
      <c r="G146" s="138" t="n"/>
      <c r="H146" s="138" t="n"/>
      <c r="I146" s="138" t="n"/>
      <c r="J146" s="137">
        <f>IF($H146="","",ROUND($H146*$I146,2))</f>
        <v/>
      </c>
      <c r="K146" s="137">
        <f>IF(OR($H146="",$J146=""),"",ROUND($H146-$J146,2))</f>
        <v/>
      </c>
      <c r="L146" s="138" t="n"/>
    </row>
    <row r="147" ht="18" customHeight="1" s="102">
      <c r="A147" s="137">
        <f>IF($B147="","","TAH-"&amp;TEXT(ROW()-BaslangicSatir,"000000"))</f>
        <v/>
      </c>
      <c r="B147" s="138" t="n"/>
      <c r="C147" s="138" t="n"/>
      <c r="D147" s="138" t="n"/>
      <c r="E147" s="138" t="n"/>
      <c r="F147" s="138" t="n"/>
      <c r="G147" s="138" t="n"/>
      <c r="H147" s="138" t="n"/>
      <c r="I147" s="138" t="n"/>
      <c r="J147" s="137">
        <f>IF($H147="","",ROUND($H147*$I147,2))</f>
        <v/>
      </c>
      <c r="K147" s="137">
        <f>IF(OR($H147="",$J147=""),"",ROUND($H147-$J147,2))</f>
        <v/>
      </c>
      <c r="L147" s="138" t="n"/>
    </row>
    <row r="148" ht="18" customHeight="1" s="102">
      <c r="A148" s="137">
        <f>IF($B148="","","TAH-"&amp;TEXT(ROW()-BaslangicSatir,"000000"))</f>
        <v/>
      </c>
      <c r="B148" s="138" t="n"/>
      <c r="C148" s="138" t="n"/>
      <c r="D148" s="138" t="n"/>
      <c r="E148" s="138" t="n"/>
      <c r="F148" s="138" t="n"/>
      <c r="G148" s="138" t="n"/>
      <c r="H148" s="138" t="n"/>
      <c r="I148" s="138" t="n"/>
      <c r="J148" s="137">
        <f>IF($H148="","",ROUND($H148*$I148,2))</f>
        <v/>
      </c>
      <c r="K148" s="137">
        <f>IF(OR($H148="",$J148=""),"",ROUND($H148-$J148,2))</f>
        <v/>
      </c>
      <c r="L148" s="138" t="n"/>
    </row>
    <row r="149" ht="18" customHeight="1" s="102">
      <c r="A149" s="137">
        <f>IF($B149="","","TAH-"&amp;TEXT(ROW()-BaslangicSatir,"000000"))</f>
        <v/>
      </c>
      <c r="B149" s="138" t="n"/>
      <c r="C149" s="138" t="n"/>
      <c r="D149" s="138" t="n"/>
      <c r="E149" s="138" t="n"/>
      <c r="F149" s="138" t="n"/>
      <c r="G149" s="138" t="n"/>
      <c r="H149" s="138" t="n"/>
      <c r="I149" s="138" t="n"/>
      <c r="J149" s="137">
        <f>IF($H149="","",ROUND($H149*$I149,2))</f>
        <v/>
      </c>
      <c r="K149" s="137">
        <f>IF(OR($H149="",$J149=""),"",ROUND($H149-$J149,2))</f>
        <v/>
      </c>
      <c r="L149" s="138" t="n"/>
    </row>
    <row r="150" ht="18" customHeight="1" s="102">
      <c r="A150" s="137">
        <f>IF($B150="","","TAH-"&amp;TEXT(ROW()-BaslangicSatir,"000000"))</f>
        <v/>
      </c>
      <c r="B150" s="138" t="n"/>
      <c r="C150" s="138" t="n"/>
      <c r="D150" s="138" t="n"/>
      <c r="E150" s="138" t="n"/>
      <c r="F150" s="138" t="n"/>
      <c r="G150" s="138" t="n"/>
      <c r="H150" s="138" t="n"/>
      <c r="I150" s="138" t="n"/>
      <c r="J150" s="137">
        <f>IF($H150="","",ROUND($H150*$I150,2))</f>
        <v/>
      </c>
      <c r="K150" s="137">
        <f>IF(OR($H150="",$J150=""),"",ROUND($H150-$J150,2))</f>
        <v/>
      </c>
      <c r="L150" s="138" t="n"/>
    </row>
    <row r="151" ht="18" customHeight="1" s="102">
      <c r="A151" s="137">
        <f>IF($B151="","","TAH-"&amp;TEXT(ROW()-BaslangicSatir,"000000"))</f>
        <v/>
      </c>
      <c r="B151" s="138" t="n"/>
      <c r="C151" s="138" t="n"/>
      <c r="D151" s="138" t="n"/>
      <c r="E151" s="138" t="n"/>
      <c r="F151" s="138" t="n"/>
      <c r="G151" s="138" t="n"/>
      <c r="H151" s="138" t="n"/>
      <c r="I151" s="138" t="n"/>
      <c r="J151" s="137">
        <f>IF($H151="","",ROUND($H151*$I151,2))</f>
        <v/>
      </c>
      <c r="K151" s="137">
        <f>IF(OR($H151="",$J151=""),"",ROUND($H151-$J151,2))</f>
        <v/>
      </c>
      <c r="L151" s="138" t="n"/>
    </row>
    <row r="152" ht="18" customHeight="1" s="102">
      <c r="A152" s="137">
        <f>IF($B152="","","TAH-"&amp;TEXT(ROW()-BaslangicSatir,"000000"))</f>
        <v/>
      </c>
      <c r="B152" s="138" t="n"/>
      <c r="C152" s="138" t="n"/>
      <c r="D152" s="138" t="n"/>
      <c r="E152" s="138" t="n"/>
      <c r="F152" s="138" t="n"/>
      <c r="G152" s="138" t="n"/>
      <c r="H152" s="138" t="n"/>
      <c r="I152" s="138" t="n"/>
      <c r="J152" s="137">
        <f>IF($H152="","",ROUND($H152*$I152,2))</f>
        <v/>
      </c>
      <c r="K152" s="137">
        <f>IF(OR($H152="",$J152=""),"",ROUND($H152-$J152,2))</f>
        <v/>
      </c>
      <c r="L152" s="138" t="n"/>
    </row>
    <row r="153" ht="18" customHeight="1" s="102">
      <c r="A153" s="137">
        <f>IF($B153="","","TAH-"&amp;TEXT(ROW()-BaslangicSatir,"000000"))</f>
        <v/>
      </c>
      <c r="B153" s="138" t="n"/>
      <c r="C153" s="138" t="n"/>
      <c r="D153" s="138" t="n"/>
      <c r="E153" s="138" t="n"/>
      <c r="F153" s="138" t="n"/>
      <c r="G153" s="138" t="n"/>
      <c r="H153" s="138" t="n"/>
      <c r="I153" s="138" t="n"/>
      <c r="J153" s="137">
        <f>IF($H153="","",ROUND($H153*$I153,2))</f>
        <v/>
      </c>
      <c r="K153" s="137">
        <f>IF(OR($H153="",$J153=""),"",ROUND($H153-$J153,2))</f>
        <v/>
      </c>
      <c r="L153" s="138" t="n"/>
    </row>
    <row r="154" ht="18" customHeight="1" s="102">
      <c r="A154" s="137">
        <f>IF($B154="","","TAH-"&amp;TEXT(ROW()-BaslangicSatir,"000000"))</f>
        <v/>
      </c>
      <c r="B154" s="138" t="n"/>
      <c r="C154" s="138" t="n"/>
      <c r="D154" s="138" t="n"/>
      <c r="E154" s="138" t="n"/>
      <c r="F154" s="138" t="n"/>
      <c r="G154" s="138" t="n"/>
      <c r="H154" s="138" t="n"/>
      <c r="I154" s="138" t="n"/>
      <c r="J154" s="137">
        <f>IF($H154="","",ROUND($H154*$I154,2))</f>
        <v/>
      </c>
      <c r="K154" s="137">
        <f>IF(OR($H154="",$J154=""),"",ROUND($H154-$J154,2))</f>
        <v/>
      </c>
      <c r="L154" s="138" t="n"/>
    </row>
    <row r="155" ht="18" customHeight="1" s="102">
      <c r="A155" s="137">
        <f>IF($B155="","","TAH-"&amp;TEXT(ROW()-BaslangicSatir,"000000"))</f>
        <v/>
      </c>
      <c r="B155" s="138" t="n"/>
      <c r="C155" s="138" t="n"/>
      <c r="D155" s="138" t="n"/>
      <c r="E155" s="138" t="n"/>
      <c r="F155" s="138" t="n"/>
      <c r="G155" s="138" t="n"/>
      <c r="H155" s="138" t="n"/>
      <c r="I155" s="138" t="n"/>
      <c r="J155" s="137">
        <f>IF($H155="","",ROUND($H155*$I155,2))</f>
        <v/>
      </c>
      <c r="K155" s="137">
        <f>IF(OR($H155="",$J155=""),"",ROUND($H155-$J155,2))</f>
        <v/>
      </c>
      <c r="L155" s="138" t="n"/>
    </row>
    <row r="156" ht="18" customHeight="1" s="102">
      <c r="A156" s="137">
        <f>IF($B156="","","TAH-"&amp;TEXT(ROW()-BaslangicSatir,"000000"))</f>
        <v/>
      </c>
      <c r="B156" s="138" t="n"/>
      <c r="C156" s="138" t="n"/>
      <c r="D156" s="138" t="n"/>
      <c r="E156" s="138" t="n"/>
      <c r="F156" s="138" t="n"/>
      <c r="G156" s="138" t="n"/>
      <c r="H156" s="138" t="n"/>
      <c r="I156" s="138" t="n"/>
      <c r="J156" s="137">
        <f>IF($H156="","",ROUND($H156*$I156,2))</f>
        <v/>
      </c>
      <c r="K156" s="137">
        <f>IF(OR($H156="",$J156=""),"",ROUND($H156-$J156,2))</f>
        <v/>
      </c>
      <c r="L156" s="138" t="n"/>
    </row>
    <row r="157" ht="18" customHeight="1" s="102">
      <c r="A157" s="137">
        <f>IF($B157="","","TAH-"&amp;TEXT(ROW()-BaslangicSatir,"000000"))</f>
        <v/>
      </c>
      <c r="B157" s="138" t="n"/>
      <c r="C157" s="138" t="n"/>
      <c r="D157" s="138" t="n"/>
      <c r="E157" s="138" t="n"/>
      <c r="F157" s="138" t="n"/>
      <c r="G157" s="138" t="n"/>
      <c r="H157" s="138" t="n"/>
      <c r="I157" s="138" t="n"/>
      <c r="J157" s="137">
        <f>IF($H157="","",ROUND($H157*$I157,2))</f>
        <v/>
      </c>
      <c r="K157" s="137">
        <f>IF(OR($H157="",$J157=""),"",ROUND($H157-$J157,2))</f>
        <v/>
      </c>
      <c r="L157" s="138" t="n"/>
    </row>
    <row r="158" ht="18" customHeight="1" s="102">
      <c r="A158" s="137">
        <f>IF($B158="","","TAH-"&amp;TEXT(ROW()-BaslangicSatir,"000000"))</f>
        <v/>
      </c>
      <c r="B158" s="138" t="n"/>
      <c r="C158" s="138" t="n"/>
      <c r="D158" s="138" t="n"/>
      <c r="E158" s="138" t="n"/>
      <c r="F158" s="138" t="n"/>
      <c r="G158" s="138" t="n"/>
      <c r="H158" s="138" t="n"/>
      <c r="I158" s="138" t="n"/>
      <c r="J158" s="137">
        <f>IF($H158="","",ROUND($H158*$I158,2))</f>
        <v/>
      </c>
      <c r="K158" s="137">
        <f>IF(OR($H158="",$J158=""),"",ROUND($H158-$J158,2))</f>
        <v/>
      </c>
      <c r="L158" s="138" t="n"/>
    </row>
    <row r="159" ht="18" customHeight="1" s="102">
      <c r="A159" s="137">
        <f>IF($B159="","","TAH-"&amp;TEXT(ROW()-BaslangicSatir,"000000"))</f>
        <v/>
      </c>
      <c r="B159" s="138" t="n"/>
      <c r="C159" s="138" t="n"/>
      <c r="D159" s="138" t="n"/>
      <c r="E159" s="138" t="n"/>
      <c r="F159" s="138" t="n"/>
      <c r="G159" s="138" t="n"/>
      <c r="H159" s="138" t="n"/>
      <c r="I159" s="138" t="n"/>
      <c r="J159" s="137">
        <f>IF($H159="","",ROUND($H159*$I159,2))</f>
        <v/>
      </c>
      <c r="K159" s="137">
        <f>IF(OR($H159="",$J159=""),"",ROUND($H159-$J159,2))</f>
        <v/>
      </c>
      <c r="L159" s="138" t="n"/>
    </row>
    <row r="160" ht="18" customHeight="1" s="102">
      <c r="A160" s="137">
        <f>IF($B160="","","TAH-"&amp;TEXT(ROW()-BaslangicSatir,"000000"))</f>
        <v/>
      </c>
      <c r="B160" s="138" t="n"/>
      <c r="C160" s="138" t="n"/>
      <c r="D160" s="138" t="n"/>
      <c r="E160" s="138" t="n"/>
      <c r="F160" s="138" t="n"/>
      <c r="G160" s="138" t="n"/>
      <c r="H160" s="138" t="n"/>
      <c r="I160" s="138" t="n"/>
      <c r="J160" s="137">
        <f>IF($H160="","",ROUND($H160*$I160,2))</f>
        <v/>
      </c>
      <c r="K160" s="137">
        <f>IF(OR($H160="",$J160=""),"",ROUND($H160-$J160,2))</f>
        <v/>
      </c>
      <c r="L160" s="138" t="n"/>
    </row>
    <row r="161" ht="18" customHeight="1" s="102">
      <c r="A161" s="137">
        <f>IF($B161="","","TAH-"&amp;TEXT(ROW()-BaslangicSatir,"000000"))</f>
        <v/>
      </c>
      <c r="B161" s="138" t="n"/>
      <c r="C161" s="138" t="n"/>
      <c r="D161" s="138" t="n"/>
      <c r="E161" s="138" t="n"/>
      <c r="F161" s="138" t="n"/>
      <c r="G161" s="138" t="n"/>
      <c r="H161" s="138" t="n"/>
      <c r="I161" s="138" t="n"/>
      <c r="J161" s="137">
        <f>IF($H161="","",ROUND($H161*$I161,2))</f>
        <v/>
      </c>
      <c r="K161" s="137">
        <f>IF(OR($H161="",$J161=""),"",ROUND($H161-$J161,2))</f>
        <v/>
      </c>
      <c r="L161" s="138" t="n"/>
    </row>
    <row r="162" ht="18" customHeight="1" s="102">
      <c r="A162" s="137">
        <f>IF($B162="","","TAH-"&amp;TEXT(ROW()-BaslangicSatir,"000000"))</f>
        <v/>
      </c>
      <c r="B162" s="138" t="n"/>
      <c r="C162" s="138" t="n"/>
      <c r="D162" s="138" t="n"/>
      <c r="E162" s="138" t="n"/>
      <c r="F162" s="138" t="n"/>
      <c r="G162" s="138" t="n"/>
      <c r="H162" s="138" t="n"/>
      <c r="I162" s="138" t="n"/>
      <c r="J162" s="137">
        <f>IF($H162="","",ROUND($H162*$I162,2))</f>
        <v/>
      </c>
      <c r="K162" s="137">
        <f>IF(OR($H162="",$J162=""),"",ROUND($H162-$J162,2))</f>
        <v/>
      </c>
      <c r="L162" s="138" t="n"/>
    </row>
    <row r="163" ht="18" customHeight="1" s="102">
      <c r="A163" s="137">
        <f>IF($B163="","","TAH-"&amp;TEXT(ROW()-BaslangicSatir,"000000"))</f>
        <v/>
      </c>
      <c r="B163" s="138" t="n"/>
      <c r="C163" s="138" t="n"/>
      <c r="D163" s="138" t="n"/>
      <c r="E163" s="138" t="n"/>
      <c r="F163" s="138" t="n"/>
      <c r="G163" s="138" t="n"/>
      <c r="H163" s="138" t="n"/>
      <c r="I163" s="138" t="n"/>
      <c r="J163" s="137">
        <f>IF($H163="","",ROUND($H163*$I163,2))</f>
        <v/>
      </c>
      <c r="K163" s="137">
        <f>IF(OR($H163="",$J163=""),"",ROUND($H163-$J163,2))</f>
        <v/>
      </c>
      <c r="L163" s="138" t="n"/>
    </row>
    <row r="164" ht="18" customHeight="1" s="102">
      <c r="A164" s="137">
        <f>IF($B164="","","TAH-"&amp;TEXT(ROW()-BaslangicSatir,"000000"))</f>
        <v/>
      </c>
      <c r="B164" s="138" t="n"/>
      <c r="C164" s="138" t="n"/>
      <c r="D164" s="138" t="n"/>
      <c r="E164" s="138" t="n"/>
      <c r="F164" s="138" t="n"/>
      <c r="G164" s="138" t="n"/>
      <c r="H164" s="138" t="n"/>
      <c r="I164" s="138" t="n"/>
      <c r="J164" s="137">
        <f>IF($H164="","",ROUND($H164*$I164,2))</f>
        <v/>
      </c>
      <c r="K164" s="137">
        <f>IF(OR($H164="",$J164=""),"",ROUND($H164-$J164,2))</f>
        <v/>
      </c>
      <c r="L164" s="138" t="n"/>
    </row>
    <row r="165" ht="18" customHeight="1" s="102">
      <c r="A165" s="137">
        <f>IF($B165="","","TAH-"&amp;TEXT(ROW()-BaslangicSatir,"000000"))</f>
        <v/>
      </c>
      <c r="B165" s="138" t="n"/>
      <c r="C165" s="138" t="n"/>
      <c r="D165" s="138" t="n"/>
      <c r="E165" s="138" t="n"/>
      <c r="F165" s="138" t="n"/>
      <c r="G165" s="138" t="n"/>
      <c r="H165" s="138" t="n"/>
      <c r="I165" s="138" t="n"/>
      <c r="J165" s="137">
        <f>IF($H165="","",ROUND($H165*$I165,2))</f>
        <v/>
      </c>
      <c r="K165" s="137">
        <f>IF(OR($H165="",$J165=""),"",ROUND($H165-$J165,2))</f>
        <v/>
      </c>
      <c r="L165" s="138" t="n"/>
    </row>
    <row r="166" ht="18" customHeight="1" s="102">
      <c r="A166" s="137">
        <f>IF($B166="","","TAH-"&amp;TEXT(ROW()-BaslangicSatir,"000000"))</f>
        <v/>
      </c>
      <c r="B166" s="138" t="n"/>
      <c r="C166" s="138" t="n"/>
      <c r="D166" s="138" t="n"/>
      <c r="E166" s="138" t="n"/>
      <c r="F166" s="138" t="n"/>
      <c r="G166" s="138" t="n"/>
      <c r="H166" s="138" t="n"/>
      <c r="I166" s="138" t="n"/>
      <c r="J166" s="137">
        <f>IF($H166="","",ROUND($H166*$I166,2))</f>
        <v/>
      </c>
      <c r="K166" s="137">
        <f>IF(OR($H166="",$J166=""),"",ROUND($H166-$J166,2))</f>
        <v/>
      </c>
      <c r="L166" s="138" t="n"/>
    </row>
    <row r="167" ht="18" customHeight="1" s="102">
      <c r="A167" s="137">
        <f>IF($B167="","","TAH-"&amp;TEXT(ROW()-BaslangicSatir,"000000"))</f>
        <v/>
      </c>
      <c r="B167" s="138" t="n"/>
      <c r="C167" s="138" t="n"/>
      <c r="D167" s="138" t="n"/>
      <c r="E167" s="138" t="n"/>
      <c r="F167" s="138" t="n"/>
      <c r="G167" s="138" t="n"/>
      <c r="H167" s="138" t="n"/>
      <c r="I167" s="138" t="n"/>
      <c r="J167" s="137">
        <f>IF($H167="","",ROUND($H167*$I167,2))</f>
        <v/>
      </c>
      <c r="K167" s="137">
        <f>IF(OR($H167="",$J167=""),"",ROUND($H167-$J167,2))</f>
        <v/>
      </c>
      <c r="L167" s="138" t="n"/>
    </row>
    <row r="168" ht="18" customHeight="1" s="102">
      <c r="A168" s="137">
        <f>IF($B168="","","TAH-"&amp;TEXT(ROW()-BaslangicSatir,"000000"))</f>
        <v/>
      </c>
      <c r="B168" s="138" t="n"/>
      <c r="C168" s="138" t="n"/>
      <c r="D168" s="138" t="n"/>
      <c r="E168" s="138" t="n"/>
      <c r="F168" s="138" t="n"/>
      <c r="G168" s="138" t="n"/>
      <c r="H168" s="138" t="n"/>
      <c r="I168" s="138" t="n"/>
      <c r="J168" s="137">
        <f>IF($H168="","",ROUND($H168*$I168,2))</f>
        <v/>
      </c>
      <c r="K168" s="137">
        <f>IF(OR($H168="",$J168=""),"",ROUND($H168-$J168,2))</f>
        <v/>
      </c>
      <c r="L168" s="138" t="n"/>
    </row>
    <row r="169" ht="18" customHeight="1" s="102">
      <c r="A169" s="137">
        <f>IF($B169="","","TAH-"&amp;TEXT(ROW()-BaslangicSatir,"000000"))</f>
        <v/>
      </c>
      <c r="B169" s="138" t="n"/>
      <c r="C169" s="138" t="n"/>
      <c r="D169" s="138" t="n"/>
      <c r="E169" s="138" t="n"/>
      <c r="F169" s="138" t="n"/>
      <c r="G169" s="138" t="n"/>
      <c r="H169" s="138" t="n"/>
      <c r="I169" s="138" t="n"/>
      <c r="J169" s="137">
        <f>IF($H169="","",ROUND($H169*$I169,2))</f>
        <v/>
      </c>
      <c r="K169" s="137">
        <f>IF(OR($H169="",$J169=""),"",ROUND($H169-$J169,2))</f>
        <v/>
      </c>
      <c r="L169" s="138" t="n"/>
    </row>
    <row r="170" ht="18" customHeight="1" s="102">
      <c r="A170" s="137">
        <f>IF($B170="","","TAH-"&amp;TEXT(ROW()-BaslangicSatir,"000000"))</f>
        <v/>
      </c>
      <c r="B170" s="138" t="n"/>
      <c r="C170" s="138" t="n"/>
      <c r="D170" s="138" t="n"/>
      <c r="E170" s="138" t="n"/>
      <c r="F170" s="138" t="n"/>
      <c r="G170" s="138" t="n"/>
      <c r="H170" s="138" t="n"/>
      <c r="I170" s="138" t="n"/>
      <c r="J170" s="137">
        <f>IF($H170="","",ROUND($H170*$I170,2))</f>
        <v/>
      </c>
      <c r="K170" s="137">
        <f>IF(OR($H170="",$J170=""),"",ROUND($H170-$J170,2))</f>
        <v/>
      </c>
      <c r="L170" s="138" t="n"/>
    </row>
    <row r="171" ht="18" customHeight="1" s="102">
      <c r="A171" s="137">
        <f>IF($B171="","","TAH-"&amp;TEXT(ROW()-BaslangicSatir,"000000"))</f>
        <v/>
      </c>
      <c r="B171" s="138" t="n"/>
      <c r="C171" s="138" t="n"/>
      <c r="D171" s="138" t="n"/>
      <c r="E171" s="138" t="n"/>
      <c r="F171" s="138" t="n"/>
      <c r="G171" s="138" t="n"/>
      <c r="H171" s="138" t="n"/>
      <c r="I171" s="138" t="n"/>
      <c r="J171" s="137">
        <f>IF($H171="","",ROUND($H171*$I171,2))</f>
        <v/>
      </c>
      <c r="K171" s="137">
        <f>IF(OR($H171="",$J171=""),"",ROUND($H171-$J171,2))</f>
        <v/>
      </c>
      <c r="L171" s="138" t="n"/>
    </row>
    <row r="172" ht="18" customHeight="1" s="102">
      <c r="A172" s="137">
        <f>IF($B172="","","TAH-"&amp;TEXT(ROW()-BaslangicSatir,"000000"))</f>
        <v/>
      </c>
      <c r="B172" s="138" t="n"/>
      <c r="C172" s="138" t="n"/>
      <c r="D172" s="138" t="n"/>
      <c r="E172" s="138" t="n"/>
      <c r="F172" s="138" t="n"/>
      <c r="G172" s="138" t="n"/>
      <c r="H172" s="138" t="n"/>
      <c r="I172" s="138" t="n"/>
      <c r="J172" s="137">
        <f>IF($H172="","",ROUND($H172*$I172,2))</f>
        <v/>
      </c>
      <c r="K172" s="137">
        <f>IF(OR($H172="",$J172=""),"",ROUND($H172-$J172,2))</f>
        <v/>
      </c>
      <c r="L172" s="138" t="n"/>
    </row>
    <row r="173" ht="18" customHeight="1" s="102">
      <c r="A173" s="137">
        <f>IF($B173="","","TAH-"&amp;TEXT(ROW()-BaslangicSatir,"000000"))</f>
        <v/>
      </c>
      <c r="B173" s="138" t="n"/>
      <c r="C173" s="138" t="n"/>
      <c r="D173" s="138" t="n"/>
      <c r="E173" s="138" t="n"/>
      <c r="F173" s="138" t="n"/>
      <c r="G173" s="138" t="n"/>
      <c r="H173" s="138" t="n"/>
      <c r="I173" s="138" t="n"/>
      <c r="J173" s="137">
        <f>IF($H173="","",ROUND($H173*$I173,2))</f>
        <v/>
      </c>
      <c r="K173" s="137">
        <f>IF(OR($H173="",$J173=""),"",ROUND($H173-$J173,2))</f>
        <v/>
      </c>
      <c r="L173" s="138" t="n"/>
    </row>
    <row r="174" ht="18" customHeight="1" s="102">
      <c r="A174" s="137">
        <f>IF($B174="","","TAH-"&amp;TEXT(ROW()-BaslangicSatir,"000000"))</f>
        <v/>
      </c>
      <c r="B174" s="138" t="n"/>
      <c r="C174" s="138" t="n"/>
      <c r="D174" s="138" t="n"/>
      <c r="E174" s="138" t="n"/>
      <c r="F174" s="138" t="n"/>
      <c r="G174" s="138" t="n"/>
      <c r="H174" s="138" t="n"/>
      <c r="I174" s="138" t="n"/>
      <c r="J174" s="137">
        <f>IF($H174="","",ROUND($H174*$I174,2))</f>
        <v/>
      </c>
      <c r="K174" s="137">
        <f>IF(OR($H174="",$J174=""),"",ROUND($H174-$J174,2))</f>
        <v/>
      </c>
      <c r="L174" s="138" t="n"/>
    </row>
    <row r="175" ht="18" customHeight="1" s="102">
      <c r="A175" s="137">
        <f>IF($B175="","","TAH-"&amp;TEXT(ROW()-BaslangicSatir,"000000"))</f>
        <v/>
      </c>
      <c r="B175" s="138" t="n"/>
      <c r="C175" s="138" t="n"/>
      <c r="D175" s="138" t="n"/>
      <c r="E175" s="138" t="n"/>
      <c r="F175" s="138" t="n"/>
      <c r="G175" s="138" t="n"/>
      <c r="H175" s="138" t="n"/>
      <c r="I175" s="138" t="n"/>
      <c r="J175" s="137">
        <f>IF($H175="","",ROUND($H175*$I175,2))</f>
        <v/>
      </c>
      <c r="K175" s="137">
        <f>IF(OR($H175="",$J175=""),"",ROUND($H175-$J175,2))</f>
        <v/>
      </c>
      <c r="L175" s="138" t="n"/>
    </row>
    <row r="176" ht="18" customHeight="1" s="102">
      <c r="A176" s="137">
        <f>IF($B176="","","TAH-"&amp;TEXT(ROW()-BaslangicSatir,"000000"))</f>
        <v/>
      </c>
      <c r="B176" s="138" t="n"/>
      <c r="C176" s="138" t="n"/>
      <c r="D176" s="138" t="n"/>
      <c r="E176" s="138" t="n"/>
      <c r="F176" s="138" t="n"/>
      <c r="G176" s="138" t="n"/>
      <c r="H176" s="138" t="n"/>
      <c r="I176" s="138" t="n"/>
      <c r="J176" s="137">
        <f>IF($H176="","",ROUND($H176*$I176,2))</f>
        <v/>
      </c>
      <c r="K176" s="137">
        <f>IF(OR($H176="",$J176=""),"",ROUND($H176-$J176,2))</f>
        <v/>
      </c>
      <c r="L176" s="138" t="n"/>
    </row>
    <row r="177" ht="18" customHeight="1" s="102">
      <c r="A177" s="137">
        <f>IF($B177="","","TAH-"&amp;TEXT(ROW()-BaslangicSatir,"000000"))</f>
        <v/>
      </c>
      <c r="B177" s="138" t="n"/>
      <c r="C177" s="138" t="n"/>
      <c r="D177" s="138" t="n"/>
      <c r="E177" s="138" t="n"/>
      <c r="F177" s="138" t="n"/>
      <c r="G177" s="138" t="n"/>
      <c r="H177" s="138" t="n"/>
      <c r="I177" s="138" t="n"/>
      <c r="J177" s="137">
        <f>IF($H177="","",ROUND($H177*$I177,2))</f>
        <v/>
      </c>
      <c r="K177" s="137">
        <f>IF(OR($H177="",$J177=""),"",ROUND($H177-$J177,2))</f>
        <v/>
      </c>
      <c r="L177" s="138" t="n"/>
    </row>
    <row r="178" ht="18" customHeight="1" s="102">
      <c r="A178" s="137">
        <f>IF($B178="","","TAH-"&amp;TEXT(ROW()-BaslangicSatir,"000000"))</f>
        <v/>
      </c>
      <c r="B178" s="138" t="n"/>
      <c r="C178" s="138" t="n"/>
      <c r="D178" s="138" t="n"/>
      <c r="E178" s="138" t="n"/>
      <c r="F178" s="138" t="n"/>
      <c r="G178" s="138" t="n"/>
      <c r="H178" s="138" t="n"/>
      <c r="I178" s="138" t="n"/>
      <c r="J178" s="137">
        <f>IF($H178="","",ROUND($H178*$I178,2))</f>
        <v/>
      </c>
      <c r="K178" s="137">
        <f>IF(OR($H178="",$J178=""),"",ROUND($H178-$J178,2))</f>
        <v/>
      </c>
      <c r="L178" s="138" t="n"/>
    </row>
    <row r="179" ht="18" customHeight="1" s="102">
      <c r="A179" s="137">
        <f>IF($B179="","","TAH-"&amp;TEXT(ROW()-BaslangicSatir,"000000"))</f>
        <v/>
      </c>
      <c r="B179" s="138" t="n"/>
      <c r="C179" s="138" t="n"/>
      <c r="D179" s="138" t="n"/>
      <c r="E179" s="138" t="n"/>
      <c r="F179" s="138" t="n"/>
      <c r="G179" s="138" t="n"/>
      <c r="H179" s="138" t="n"/>
      <c r="I179" s="138" t="n"/>
      <c r="J179" s="137">
        <f>IF($H179="","",ROUND($H179*$I179,2))</f>
        <v/>
      </c>
      <c r="K179" s="137">
        <f>IF(OR($H179="",$J179=""),"",ROUND($H179-$J179,2))</f>
        <v/>
      </c>
      <c r="L179" s="138" t="n"/>
    </row>
    <row r="180" ht="18" customHeight="1" s="102">
      <c r="A180" s="137">
        <f>IF($B180="","","TAH-"&amp;TEXT(ROW()-BaslangicSatir,"000000"))</f>
        <v/>
      </c>
      <c r="B180" s="138" t="n"/>
      <c r="C180" s="138" t="n"/>
      <c r="D180" s="138" t="n"/>
      <c r="E180" s="138" t="n"/>
      <c r="F180" s="138" t="n"/>
      <c r="G180" s="138" t="n"/>
      <c r="H180" s="138" t="n"/>
      <c r="I180" s="138" t="n"/>
      <c r="J180" s="137">
        <f>IF($H180="","",ROUND($H180*$I180,2))</f>
        <v/>
      </c>
      <c r="K180" s="137">
        <f>IF(OR($H180="",$J180=""),"",ROUND($H180-$J180,2))</f>
        <v/>
      </c>
      <c r="L180" s="138" t="n"/>
    </row>
    <row r="181" ht="18" customHeight="1" s="102">
      <c r="A181" s="137">
        <f>IF($B181="","","TAH-"&amp;TEXT(ROW()-BaslangicSatir,"000000"))</f>
        <v/>
      </c>
      <c r="B181" s="138" t="n"/>
      <c r="C181" s="138" t="n"/>
      <c r="D181" s="138" t="n"/>
      <c r="E181" s="138" t="n"/>
      <c r="F181" s="138" t="n"/>
      <c r="G181" s="138" t="n"/>
      <c r="H181" s="138" t="n"/>
      <c r="I181" s="138" t="n"/>
      <c r="J181" s="137">
        <f>IF($H181="","",ROUND($H181*$I181,2))</f>
        <v/>
      </c>
      <c r="K181" s="137">
        <f>IF(OR($H181="",$J181=""),"",ROUND($H181-$J181,2))</f>
        <v/>
      </c>
      <c r="L181" s="138" t="n"/>
    </row>
    <row r="182" ht="18" customHeight="1" s="102">
      <c r="A182" s="137">
        <f>IF($B182="","","TAH-"&amp;TEXT(ROW()-BaslangicSatir,"000000"))</f>
        <v/>
      </c>
      <c r="B182" s="138" t="n"/>
      <c r="C182" s="138" t="n"/>
      <c r="D182" s="138" t="n"/>
      <c r="E182" s="138" t="n"/>
      <c r="F182" s="138" t="n"/>
      <c r="G182" s="138" t="n"/>
      <c r="H182" s="138" t="n"/>
      <c r="I182" s="138" t="n"/>
      <c r="J182" s="137">
        <f>IF($H182="","",ROUND($H182*$I182,2))</f>
        <v/>
      </c>
      <c r="K182" s="137">
        <f>IF(OR($H182="",$J182=""),"",ROUND($H182-$J182,2))</f>
        <v/>
      </c>
      <c r="L182" s="138" t="n"/>
    </row>
    <row r="183" ht="18" customHeight="1" s="102">
      <c r="A183" s="137">
        <f>IF($B183="","","TAH-"&amp;TEXT(ROW()-BaslangicSatir,"000000"))</f>
        <v/>
      </c>
      <c r="B183" s="138" t="n"/>
      <c r="C183" s="138" t="n"/>
      <c r="D183" s="138" t="n"/>
      <c r="E183" s="138" t="n"/>
      <c r="F183" s="138" t="n"/>
      <c r="G183" s="138" t="n"/>
      <c r="H183" s="138" t="n"/>
      <c r="I183" s="138" t="n"/>
      <c r="J183" s="137">
        <f>IF($H183="","",ROUND($H183*$I183,2))</f>
        <v/>
      </c>
      <c r="K183" s="137">
        <f>IF(OR($H183="",$J183=""),"",ROUND($H183-$J183,2))</f>
        <v/>
      </c>
      <c r="L183" s="138" t="n"/>
    </row>
    <row r="184" ht="18" customHeight="1" s="102">
      <c r="A184" s="137">
        <f>IF($B184="","","TAH-"&amp;TEXT(ROW()-BaslangicSatir,"000000"))</f>
        <v/>
      </c>
      <c r="B184" s="138" t="n"/>
      <c r="C184" s="138" t="n"/>
      <c r="D184" s="138" t="n"/>
      <c r="E184" s="138" t="n"/>
      <c r="F184" s="138" t="n"/>
      <c r="G184" s="138" t="n"/>
      <c r="H184" s="138" t="n"/>
      <c r="I184" s="138" t="n"/>
      <c r="J184" s="137">
        <f>IF($H184="","",ROUND($H184*$I184,2))</f>
        <v/>
      </c>
      <c r="K184" s="137">
        <f>IF(OR($H184="",$J184=""),"",ROUND($H184-$J184,2))</f>
        <v/>
      </c>
      <c r="L184" s="138" t="n"/>
    </row>
    <row r="185" ht="18" customHeight="1" s="102">
      <c r="A185" s="137">
        <f>IF($B185="","","TAH-"&amp;TEXT(ROW()-BaslangicSatir,"000000"))</f>
        <v/>
      </c>
      <c r="B185" s="138" t="n"/>
      <c r="C185" s="138" t="n"/>
      <c r="D185" s="138" t="n"/>
      <c r="E185" s="138" t="n"/>
      <c r="F185" s="138" t="n"/>
      <c r="G185" s="138" t="n"/>
      <c r="H185" s="138" t="n"/>
      <c r="I185" s="138" t="n"/>
      <c r="J185" s="137">
        <f>IF($H185="","",ROUND($H185*$I185,2))</f>
        <v/>
      </c>
      <c r="K185" s="137">
        <f>IF(OR($H185="",$J185=""),"",ROUND($H185-$J185,2))</f>
        <v/>
      </c>
      <c r="L185" s="138" t="n"/>
    </row>
    <row r="186" ht="18" customHeight="1" s="102">
      <c r="A186" s="137">
        <f>IF($B186="","","TAH-"&amp;TEXT(ROW()-BaslangicSatir,"000000"))</f>
        <v/>
      </c>
      <c r="B186" s="138" t="n"/>
      <c r="C186" s="138" t="n"/>
      <c r="D186" s="138" t="n"/>
      <c r="E186" s="138" t="n"/>
      <c r="F186" s="138" t="n"/>
      <c r="G186" s="138" t="n"/>
      <c r="H186" s="138" t="n"/>
      <c r="I186" s="138" t="n"/>
      <c r="J186" s="137">
        <f>IF($H186="","",ROUND($H186*$I186,2))</f>
        <v/>
      </c>
      <c r="K186" s="137">
        <f>IF(OR($H186="",$J186=""),"",ROUND($H186-$J186,2))</f>
        <v/>
      </c>
      <c r="L186" s="138" t="n"/>
    </row>
    <row r="187" ht="18" customHeight="1" s="102">
      <c r="A187" s="137">
        <f>IF($B187="","","TAH-"&amp;TEXT(ROW()-BaslangicSatir,"000000"))</f>
        <v/>
      </c>
      <c r="B187" s="138" t="n"/>
      <c r="C187" s="138" t="n"/>
      <c r="D187" s="138" t="n"/>
      <c r="E187" s="138" t="n"/>
      <c r="F187" s="138" t="n"/>
      <c r="G187" s="138" t="n"/>
      <c r="H187" s="138" t="n"/>
      <c r="I187" s="138" t="n"/>
      <c r="J187" s="137">
        <f>IF($H187="","",ROUND($H187*$I187,2))</f>
        <v/>
      </c>
      <c r="K187" s="137">
        <f>IF(OR($H187="",$J187=""),"",ROUND($H187-$J187,2))</f>
        <v/>
      </c>
      <c r="L187" s="138" t="n"/>
    </row>
    <row r="188" ht="18" customHeight="1" s="102">
      <c r="A188" s="137">
        <f>IF($B188="","","TAH-"&amp;TEXT(ROW()-BaslangicSatir,"000000"))</f>
        <v/>
      </c>
      <c r="B188" s="138" t="n"/>
      <c r="C188" s="138" t="n"/>
      <c r="D188" s="138" t="n"/>
      <c r="E188" s="138" t="n"/>
      <c r="F188" s="138" t="n"/>
      <c r="G188" s="138" t="n"/>
      <c r="H188" s="138" t="n"/>
      <c r="I188" s="138" t="n"/>
      <c r="J188" s="137">
        <f>IF($H188="","",ROUND($H188*$I188,2))</f>
        <v/>
      </c>
      <c r="K188" s="137">
        <f>IF(OR($H188="",$J188=""),"",ROUND($H188-$J188,2))</f>
        <v/>
      </c>
      <c r="L188" s="138" t="n"/>
    </row>
    <row r="189" ht="18" customHeight="1" s="102">
      <c r="A189" s="137">
        <f>IF($B189="","","TAH-"&amp;TEXT(ROW()-BaslangicSatir,"000000"))</f>
        <v/>
      </c>
      <c r="B189" s="138" t="n"/>
      <c r="C189" s="138" t="n"/>
      <c r="D189" s="138" t="n"/>
      <c r="E189" s="138" t="n"/>
      <c r="F189" s="138" t="n"/>
      <c r="G189" s="138" t="n"/>
      <c r="H189" s="138" t="n"/>
      <c r="I189" s="138" t="n"/>
      <c r="J189" s="137">
        <f>IF($H189="","",ROUND($H189*$I189,2))</f>
        <v/>
      </c>
      <c r="K189" s="137">
        <f>IF(OR($H189="",$J189=""),"",ROUND($H189-$J189,2))</f>
        <v/>
      </c>
      <c r="L189" s="138" t="n"/>
    </row>
    <row r="190" ht="18" customHeight="1" s="102">
      <c r="A190" s="137">
        <f>IF($B190="","","TAH-"&amp;TEXT(ROW()-BaslangicSatir,"000000"))</f>
        <v/>
      </c>
      <c r="B190" s="138" t="n"/>
      <c r="C190" s="138" t="n"/>
      <c r="D190" s="138" t="n"/>
      <c r="E190" s="138" t="n"/>
      <c r="F190" s="138" t="n"/>
      <c r="G190" s="138" t="n"/>
      <c r="H190" s="138" t="n"/>
      <c r="I190" s="138" t="n"/>
      <c r="J190" s="137">
        <f>IF($H190="","",ROUND($H190*$I190,2))</f>
        <v/>
      </c>
      <c r="K190" s="137">
        <f>IF(OR($H190="",$J190=""),"",ROUND($H190-$J190,2))</f>
        <v/>
      </c>
      <c r="L190" s="138" t="n"/>
    </row>
    <row r="191" ht="18" customHeight="1" s="102">
      <c r="A191" s="137">
        <f>IF($B191="","","TAH-"&amp;TEXT(ROW()-BaslangicSatir,"000000"))</f>
        <v/>
      </c>
      <c r="B191" s="138" t="n"/>
      <c r="C191" s="138" t="n"/>
      <c r="D191" s="138" t="n"/>
      <c r="E191" s="138" t="n"/>
      <c r="F191" s="138" t="n"/>
      <c r="G191" s="138" t="n"/>
      <c r="H191" s="138" t="n"/>
      <c r="I191" s="138" t="n"/>
      <c r="J191" s="137">
        <f>IF($H191="","",ROUND($H191*$I191,2))</f>
        <v/>
      </c>
      <c r="K191" s="137">
        <f>IF(OR($H191="",$J191=""),"",ROUND($H191-$J191,2))</f>
        <v/>
      </c>
      <c r="L191" s="138" t="n"/>
    </row>
    <row r="192" ht="18" customHeight="1" s="102">
      <c r="A192" s="137">
        <f>IF($B192="","","TAH-"&amp;TEXT(ROW()-BaslangicSatir,"000000"))</f>
        <v/>
      </c>
      <c r="B192" s="138" t="n"/>
      <c r="C192" s="138" t="n"/>
      <c r="D192" s="138" t="n"/>
      <c r="E192" s="138" t="n"/>
      <c r="F192" s="138" t="n"/>
      <c r="G192" s="138" t="n"/>
      <c r="H192" s="138" t="n"/>
      <c r="I192" s="138" t="n"/>
      <c r="J192" s="137">
        <f>IF($H192="","",ROUND($H192*$I192,2))</f>
        <v/>
      </c>
      <c r="K192" s="137">
        <f>IF(OR($H192="",$J192=""),"",ROUND($H192-$J192,2))</f>
        <v/>
      </c>
      <c r="L192" s="138" t="n"/>
    </row>
    <row r="193" ht="18" customHeight="1" s="102">
      <c r="A193" s="137">
        <f>IF($B193="","","TAH-"&amp;TEXT(ROW()-BaslangicSatir,"000000"))</f>
        <v/>
      </c>
      <c r="B193" s="138" t="n"/>
      <c r="C193" s="138" t="n"/>
      <c r="D193" s="138" t="n"/>
      <c r="E193" s="138" t="n"/>
      <c r="F193" s="138" t="n"/>
      <c r="G193" s="138" t="n"/>
      <c r="H193" s="138" t="n"/>
      <c r="I193" s="138" t="n"/>
      <c r="J193" s="137">
        <f>IF($H193="","",ROUND($H193*$I193,2))</f>
        <v/>
      </c>
      <c r="K193" s="137">
        <f>IF(OR($H193="",$J193=""),"",ROUND($H193-$J193,2))</f>
        <v/>
      </c>
      <c r="L193" s="138" t="n"/>
    </row>
    <row r="194" ht="18" customHeight="1" s="102">
      <c r="A194" s="137">
        <f>IF($B194="","","TAH-"&amp;TEXT(ROW()-BaslangicSatir,"000000"))</f>
        <v/>
      </c>
      <c r="B194" s="138" t="n"/>
      <c r="C194" s="138" t="n"/>
      <c r="D194" s="138" t="n"/>
      <c r="E194" s="138" t="n"/>
      <c r="F194" s="138" t="n"/>
      <c r="G194" s="138" t="n"/>
      <c r="H194" s="138" t="n"/>
      <c r="I194" s="138" t="n"/>
      <c r="J194" s="137">
        <f>IF($H194="","",ROUND($H194*$I194,2))</f>
        <v/>
      </c>
      <c r="K194" s="137">
        <f>IF(OR($H194="",$J194=""),"",ROUND($H194-$J194,2))</f>
        <v/>
      </c>
      <c r="L194" s="138" t="n"/>
    </row>
    <row r="195" ht="18" customHeight="1" s="102">
      <c r="A195" s="137">
        <f>IF($B195="","","TAH-"&amp;TEXT(ROW()-BaslangicSatir,"000000"))</f>
        <v/>
      </c>
      <c r="B195" s="138" t="n"/>
      <c r="C195" s="138" t="n"/>
      <c r="D195" s="138" t="n"/>
      <c r="E195" s="138" t="n"/>
      <c r="F195" s="138" t="n"/>
      <c r="G195" s="138" t="n"/>
      <c r="H195" s="138" t="n"/>
      <c r="I195" s="138" t="n"/>
      <c r="J195" s="137">
        <f>IF($H195="","",ROUND($H195*$I195,2))</f>
        <v/>
      </c>
      <c r="K195" s="137">
        <f>IF(OR($H195="",$J195=""),"",ROUND($H195-$J195,2))</f>
        <v/>
      </c>
      <c r="L195" s="138" t="n"/>
    </row>
    <row r="196" ht="18" customHeight="1" s="102">
      <c r="A196" s="137">
        <f>IF($B196="","","TAH-"&amp;TEXT(ROW()-BaslangicSatir,"000000"))</f>
        <v/>
      </c>
      <c r="B196" s="138" t="n"/>
      <c r="C196" s="138" t="n"/>
      <c r="D196" s="138" t="n"/>
      <c r="E196" s="138" t="n"/>
      <c r="F196" s="138" t="n"/>
      <c r="G196" s="138" t="n"/>
      <c r="H196" s="138" t="n"/>
      <c r="I196" s="138" t="n"/>
      <c r="J196" s="137">
        <f>IF($H196="","",ROUND($H196*$I196,2))</f>
        <v/>
      </c>
      <c r="K196" s="137">
        <f>IF(OR($H196="",$J196=""),"",ROUND($H196-$J196,2))</f>
        <v/>
      </c>
      <c r="L196" s="138" t="n"/>
    </row>
    <row r="197" ht="18" customHeight="1" s="102">
      <c r="A197" s="137">
        <f>IF($B197="","","TAH-"&amp;TEXT(ROW()-BaslangicSatir,"000000"))</f>
        <v/>
      </c>
      <c r="B197" s="138" t="n"/>
      <c r="C197" s="138" t="n"/>
      <c r="D197" s="138" t="n"/>
      <c r="E197" s="138" t="n"/>
      <c r="F197" s="138" t="n"/>
      <c r="G197" s="138" t="n"/>
      <c r="H197" s="138" t="n"/>
      <c r="I197" s="138" t="n"/>
      <c r="J197" s="137">
        <f>IF($H197="","",ROUND($H197*$I197,2))</f>
        <v/>
      </c>
      <c r="K197" s="137">
        <f>IF(OR($H197="",$J197=""),"",ROUND($H197-$J197,2))</f>
        <v/>
      </c>
      <c r="L197" s="138" t="n"/>
    </row>
    <row r="198" ht="18" customHeight="1" s="102">
      <c r="A198" s="137">
        <f>IF($B198="","","TAH-"&amp;TEXT(ROW()-BaslangicSatir,"000000"))</f>
        <v/>
      </c>
      <c r="B198" s="138" t="n"/>
      <c r="C198" s="138" t="n"/>
      <c r="D198" s="138" t="n"/>
      <c r="E198" s="138" t="n"/>
      <c r="F198" s="138" t="n"/>
      <c r="G198" s="138" t="n"/>
      <c r="H198" s="138" t="n"/>
      <c r="I198" s="138" t="n"/>
      <c r="J198" s="137">
        <f>IF($H198="","",ROUND($H198*$I198,2))</f>
        <v/>
      </c>
      <c r="K198" s="137">
        <f>IF(OR($H198="",$J198=""),"",ROUND($H198-$J198,2))</f>
        <v/>
      </c>
      <c r="L198" s="138" t="n"/>
    </row>
    <row r="199" ht="18" customHeight="1" s="102">
      <c r="A199" s="137">
        <f>IF($B199="","","TAH-"&amp;TEXT(ROW()-BaslangicSatir,"000000"))</f>
        <v/>
      </c>
      <c r="B199" s="138" t="n"/>
      <c r="C199" s="138" t="n"/>
      <c r="D199" s="138" t="n"/>
      <c r="E199" s="138" t="n"/>
      <c r="F199" s="138" t="n"/>
      <c r="G199" s="138" t="n"/>
      <c r="H199" s="138" t="n"/>
      <c r="I199" s="138" t="n"/>
      <c r="J199" s="137">
        <f>IF($H199="","",ROUND($H199*$I199,2))</f>
        <v/>
      </c>
      <c r="K199" s="137">
        <f>IF(OR($H199="",$J199=""),"",ROUND($H199-$J199,2))</f>
        <v/>
      </c>
      <c r="L199" s="138" t="n"/>
    </row>
    <row r="200" ht="18" customHeight="1" s="102">
      <c r="A200" s="137">
        <f>IF($B200="","","TAH-"&amp;TEXT(ROW()-BaslangicSatir,"000000"))</f>
        <v/>
      </c>
      <c r="B200" s="138" t="n"/>
      <c r="C200" s="138" t="n"/>
      <c r="D200" s="138" t="n"/>
      <c r="E200" s="138" t="n"/>
      <c r="F200" s="138" t="n"/>
      <c r="G200" s="138" t="n"/>
      <c r="H200" s="138" t="n"/>
      <c r="I200" s="138" t="n"/>
      <c r="J200" s="137">
        <f>IF($H200="","",ROUND($H200*$I200,2))</f>
        <v/>
      </c>
      <c r="K200" s="137">
        <f>IF(OR($H200="",$J200=""),"",ROUND($H200-$J200,2))</f>
        <v/>
      </c>
      <c r="L200" s="138" t="n"/>
    </row>
    <row r="201" ht="18" customHeight="1" s="102">
      <c r="A201" s="137">
        <f>IF($B201="","","TAH-"&amp;TEXT(ROW()-BaslangicSatir,"000000"))</f>
        <v/>
      </c>
      <c r="B201" s="143" t="n"/>
      <c r="C201" s="143" t="n"/>
      <c r="D201" s="143" t="n"/>
      <c r="E201" s="143" t="n"/>
      <c r="F201" s="143" t="n"/>
      <c r="G201" s="143" t="n"/>
      <c r="H201" s="143" t="n"/>
      <c r="I201" s="143" t="n"/>
      <c r="J201" s="137">
        <f>IF($H201="","",ROUND($H201*$I201,2))</f>
        <v/>
      </c>
      <c r="K201" s="137">
        <f>IF(OR($H201="",$J201=""),"",ROUND($H201-$J201,2))</f>
        <v/>
      </c>
      <c r="L201" s="143" t="n"/>
    </row>
    <row r="202" ht="18" customHeight="1" s="102">
      <c r="A202" s="137">
        <f>IF($B202="","","TAH-"&amp;TEXT(ROW()-BaslangicSatir,"000000"))</f>
        <v/>
      </c>
      <c r="B202" s="143" t="n"/>
      <c r="C202" s="143" t="n"/>
      <c r="D202" s="143" t="n"/>
      <c r="E202" s="143" t="n"/>
      <c r="F202" s="143" t="n"/>
      <c r="G202" s="143" t="n"/>
      <c r="H202" s="143" t="n"/>
      <c r="I202" s="143" t="n"/>
      <c r="J202" s="137">
        <f>IF($H202="","",ROUND($H202*$I202,2))</f>
        <v/>
      </c>
      <c r="K202" s="137">
        <f>IF(OR($H202="",$J202=""),"",ROUND($H202-$J202,2))</f>
        <v/>
      </c>
      <c r="L202" s="143" t="n"/>
    </row>
    <row r="203" ht="18" customHeight="1" s="102">
      <c r="A203" s="137">
        <f>IF($B203="","","TAH-"&amp;TEXT(ROW()-BaslangicSatir,"000000"))</f>
        <v/>
      </c>
      <c r="B203" s="143" t="n"/>
      <c r="C203" s="143" t="n"/>
      <c r="D203" s="143" t="n"/>
      <c r="E203" s="143" t="n"/>
      <c r="F203" s="143" t="n"/>
      <c r="G203" s="143" t="n"/>
      <c r="H203" s="143" t="n"/>
      <c r="I203" s="143" t="n"/>
      <c r="J203" s="137">
        <f>IF($H203="","",ROUND($H203*$I203,2))</f>
        <v/>
      </c>
      <c r="K203" s="137">
        <f>IF(OR($H203="",$J203=""),"",ROUND($H203-$J203,2))</f>
        <v/>
      </c>
      <c r="L203" s="143" t="n"/>
    </row>
    <row r="204" ht="18" customHeight="1" s="102">
      <c r="A204" s="137">
        <f>IF($B204="","","TAH-"&amp;TEXT(ROW()-BaslangicSatir,"000000"))</f>
        <v/>
      </c>
      <c r="B204" s="143" t="n"/>
      <c r="C204" s="143" t="n"/>
      <c r="D204" s="143" t="n"/>
      <c r="E204" s="143" t="n"/>
      <c r="F204" s="143" t="n"/>
      <c r="G204" s="143" t="n"/>
      <c r="H204" s="143" t="n"/>
      <c r="I204" s="143" t="n"/>
      <c r="J204" s="137">
        <f>IF($H204="","",ROUND($H204*$I204,2))</f>
        <v/>
      </c>
      <c r="K204" s="137">
        <f>IF(OR($H204="",$J204=""),"",ROUND($H204-$J204,2))</f>
        <v/>
      </c>
      <c r="L204" s="143" t="n"/>
    </row>
    <row r="205" ht="18" customHeight="1" s="102">
      <c r="A205" s="137">
        <f>IF($B205="","","TAH-"&amp;TEXT(ROW()-BaslangicSatir,"000000"))</f>
        <v/>
      </c>
      <c r="B205" s="143" t="n"/>
      <c r="C205" s="143" t="n"/>
      <c r="D205" s="143" t="n"/>
      <c r="E205" s="143" t="n"/>
      <c r="F205" s="143" t="n"/>
      <c r="G205" s="143" t="n"/>
      <c r="H205" s="143" t="n"/>
      <c r="I205" s="143" t="n"/>
      <c r="J205" s="137">
        <f>IF($H205="","",ROUND($H205*$I205,2))</f>
        <v/>
      </c>
      <c r="K205" s="137">
        <f>IF(OR($H205="",$J205=""),"",ROUND($H205-$J205,2))</f>
        <v/>
      </c>
      <c r="L205" s="143" t="n"/>
    </row>
    <row r="206" ht="18" customHeight="1" s="102">
      <c r="A206" s="137">
        <f>IF($B206="","","TAH-"&amp;TEXT(ROW()-BaslangicSatir,"000000"))</f>
        <v/>
      </c>
      <c r="B206" s="143" t="n"/>
      <c r="C206" s="143" t="n"/>
      <c r="D206" s="143" t="n"/>
      <c r="E206" s="143" t="n"/>
      <c r="F206" s="143" t="n"/>
      <c r="G206" s="143" t="n"/>
      <c r="H206" s="143" t="n"/>
      <c r="I206" s="143" t="n"/>
      <c r="J206" s="137">
        <f>IF($H206="","",ROUND($H206*$I206,2))</f>
        <v/>
      </c>
      <c r="K206" s="137">
        <f>IF(OR($H206="",$J206=""),"",ROUND($H206-$J206,2))</f>
        <v/>
      </c>
      <c r="L206" s="143" t="n"/>
    </row>
    <row r="207" ht="18" customHeight="1" s="102">
      <c r="A207" s="137">
        <f>IF($B207="","","TAH-"&amp;TEXT(ROW()-BaslangicSatir,"000000"))</f>
        <v/>
      </c>
      <c r="B207" s="143" t="n"/>
      <c r="C207" s="143" t="n"/>
      <c r="D207" s="143" t="n"/>
      <c r="E207" s="143" t="n"/>
      <c r="F207" s="143" t="n"/>
      <c r="G207" s="143" t="n"/>
      <c r="H207" s="143" t="n"/>
      <c r="I207" s="143" t="n"/>
      <c r="J207" s="137">
        <f>IF($H207="","",ROUND($H207*$I207,2))</f>
        <v/>
      </c>
      <c r="K207" s="137">
        <f>IF(OR($H207="",$J207=""),"",ROUND($H207-$J207,2))</f>
        <v/>
      </c>
      <c r="L207" s="143" t="n"/>
    </row>
    <row r="208" ht="18" customHeight="1" s="102">
      <c r="A208" s="137">
        <f>IF($B208="","","TAH-"&amp;TEXT(ROW()-BaslangicSatir,"000000"))</f>
        <v/>
      </c>
      <c r="B208" s="143" t="n"/>
      <c r="C208" s="143" t="n"/>
      <c r="D208" s="143" t="n"/>
      <c r="E208" s="143" t="n"/>
      <c r="F208" s="143" t="n"/>
      <c r="G208" s="143" t="n"/>
      <c r="H208" s="143" t="n"/>
      <c r="I208" s="143" t="n"/>
      <c r="J208" s="137">
        <f>IF($H208="","",ROUND($H208*$I208,2))</f>
        <v/>
      </c>
      <c r="K208" s="137">
        <f>IF(OR($H208="",$J208=""),"",ROUND($H208-$J208,2))</f>
        <v/>
      </c>
      <c r="L208" s="143" t="n"/>
    </row>
    <row r="209" ht="18" customHeight="1" s="102">
      <c r="A209" s="137">
        <f>IF($B209="","","TAH-"&amp;TEXT(ROW()-BaslangicSatir,"000000"))</f>
        <v/>
      </c>
      <c r="B209" s="143" t="n"/>
      <c r="C209" s="143" t="n"/>
      <c r="D209" s="143" t="n"/>
      <c r="E209" s="143" t="n"/>
      <c r="F209" s="143" t="n"/>
      <c r="G209" s="143" t="n"/>
      <c r="H209" s="143" t="n"/>
      <c r="I209" s="143" t="n"/>
      <c r="J209" s="137">
        <f>IF($H209="","",ROUND($H209*$I209,2))</f>
        <v/>
      </c>
      <c r="K209" s="137">
        <f>IF(OR($H209="",$J209=""),"",ROUND($H209-$J209,2))</f>
        <v/>
      </c>
      <c r="L209" s="143" t="n"/>
    </row>
    <row r="210" ht="18" customHeight="1" s="102">
      <c r="A210" s="137">
        <f>IF($B210="","","TAH-"&amp;TEXT(ROW()-BaslangicSatir,"000000"))</f>
        <v/>
      </c>
      <c r="B210" s="143" t="n"/>
      <c r="C210" s="143" t="n"/>
      <c r="D210" s="143" t="n"/>
      <c r="E210" s="143" t="n"/>
      <c r="F210" s="143" t="n"/>
      <c r="G210" s="143" t="n"/>
      <c r="H210" s="143" t="n"/>
      <c r="I210" s="143" t="n"/>
      <c r="J210" s="137">
        <f>IF($H210="","",ROUND($H210*$I210,2))</f>
        <v/>
      </c>
      <c r="K210" s="137">
        <f>IF(OR($H210="",$J210=""),"",ROUND($H210-$J210,2))</f>
        <v/>
      </c>
      <c r="L210" s="143" t="n"/>
    </row>
    <row r="211" ht="18" customHeight="1" s="102">
      <c r="A211" s="137">
        <f>IF($B211="","","TAH-"&amp;TEXT(ROW()-BaslangicSatir,"000000"))</f>
        <v/>
      </c>
      <c r="B211" s="143" t="n"/>
      <c r="C211" s="143" t="n"/>
      <c r="D211" s="143" t="n"/>
      <c r="E211" s="143" t="n"/>
      <c r="F211" s="143" t="n"/>
      <c r="G211" s="143" t="n"/>
      <c r="H211" s="143" t="n"/>
      <c r="I211" s="143" t="n"/>
      <c r="J211" s="137">
        <f>IF($H211="","",ROUND($H211*$I211,2))</f>
        <v/>
      </c>
      <c r="K211" s="137">
        <f>IF(OR($H211="",$J211=""),"",ROUND($H211-$J211,2))</f>
        <v/>
      </c>
      <c r="L211" s="143" t="n"/>
    </row>
    <row r="212" ht="18" customHeight="1" s="102">
      <c r="A212" s="137">
        <f>IF($B212="","","TAH-"&amp;TEXT(ROW()-BaslangicSatir,"000000"))</f>
        <v/>
      </c>
      <c r="B212" s="143" t="n"/>
      <c r="C212" s="143" t="n"/>
      <c r="D212" s="143" t="n"/>
      <c r="E212" s="143" t="n"/>
      <c r="F212" s="143" t="n"/>
      <c r="G212" s="143" t="n"/>
      <c r="H212" s="143" t="n"/>
      <c r="I212" s="143" t="n"/>
      <c r="J212" s="137">
        <f>IF($H212="","",ROUND($H212*$I212,2))</f>
        <v/>
      </c>
      <c r="K212" s="137">
        <f>IF(OR($H212="",$J212=""),"",ROUND($H212-$J212,2))</f>
        <v/>
      </c>
      <c r="L212" s="143" t="n"/>
    </row>
    <row r="213" ht="18" customHeight="1" s="102">
      <c r="A213" s="137">
        <f>IF($B213="","","TAH-"&amp;TEXT(ROW()-BaslangicSatir,"000000"))</f>
        <v/>
      </c>
      <c r="B213" s="143" t="n"/>
      <c r="C213" s="143" t="n"/>
      <c r="D213" s="143" t="n"/>
      <c r="E213" s="143" t="n"/>
      <c r="F213" s="143" t="n"/>
      <c r="G213" s="143" t="n"/>
      <c r="H213" s="143" t="n"/>
      <c r="I213" s="143" t="n"/>
      <c r="J213" s="137">
        <f>IF($H213="","",ROUND($H213*$I213,2))</f>
        <v/>
      </c>
      <c r="K213" s="137">
        <f>IF(OR($H213="",$J213=""),"",ROUND($H213-$J213,2))</f>
        <v/>
      </c>
      <c r="L213" s="143" t="n"/>
    </row>
    <row r="214" ht="18" customHeight="1" s="102">
      <c r="A214" s="137">
        <f>IF($B214="","","TAH-"&amp;TEXT(ROW()-BaslangicSatir,"000000"))</f>
        <v/>
      </c>
      <c r="B214" s="143" t="n"/>
      <c r="C214" s="143" t="n"/>
      <c r="D214" s="143" t="n"/>
      <c r="E214" s="143" t="n"/>
      <c r="F214" s="143" t="n"/>
      <c r="G214" s="143" t="n"/>
      <c r="H214" s="143" t="n"/>
      <c r="I214" s="143" t="n"/>
      <c r="J214" s="137">
        <f>IF($H214="","",ROUND($H214*$I214,2))</f>
        <v/>
      </c>
      <c r="K214" s="137">
        <f>IF(OR($H214="",$J214=""),"",ROUND($H214-$J214,2))</f>
        <v/>
      </c>
      <c r="L214" s="143" t="n"/>
    </row>
    <row r="215" ht="18" customHeight="1" s="102">
      <c r="A215" s="137">
        <f>IF($B215="","","TAH-"&amp;TEXT(ROW()-BaslangicSatir,"000000"))</f>
        <v/>
      </c>
      <c r="B215" s="143" t="n"/>
      <c r="C215" s="143" t="n"/>
      <c r="D215" s="143" t="n"/>
      <c r="E215" s="143" t="n"/>
      <c r="F215" s="143" t="n"/>
      <c r="G215" s="143" t="n"/>
      <c r="H215" s="143" t="n"/>
      <c r="I215" s="143" t="n"/>
      <c r="J215" s="137">
        <f>IF($H215="","",ROUND($H215*$I215,2))</f>
        <v/>
      </c>
      <c r="K215" s="137">
        <f>IF(OR($H215="",$J215=""),"",ROUND($H215-$J215,2))</f>
        <v/>
      </c>
      <c r="L215" s="143" t="n"/>
    </row>
    <row r="216" ht="18" customHeight="1" s="102">
      <c r="A216" s="137">
        <f>IF($B216="","","TAH-"&amp;TEXT(ROW()-BaslangicSatir,"000000"))</f>
        <v/>
      </c>
      <c r="B216" s="143" t="n"/>
      <c r="C216" s="143" t="n"/>
      <c r="D216" s="143" t="n"/>
      <c r="E216" s="143" t="n"/>
      <c r="F216" s="143" t="n"/>
      <c r="G216" s="143" t="n"/>
      <c r="H216" s="143" t="n"/>
      <c r="I216" s="143" t="n"/>
      <c r="J216" s="137">
        <f>IF($H216="","",ROUND($H216*$I216,2))</f>
        <v/>
      </c>
      <c r="K216" s="137">
        <f>IF(OR($H216="",$J216=""),"",ROUND($H216-$J216,2))</f>
        <v/>
      </c>
      <c r="L216" s="143" t="n"/>
    </row>
    <row r="217" ht="18" customHeight="1" s="102">
      <c r="A217" s="137">
        <f>IF($B217="","","TAH-"&amp;TEXT(ROW()-BaslangicSatir,"000000"))</f>
        <v/>
      </c>
      <c r="B217" s="143" t="n"/>
      <c r="C217" s="143" t="n"/>
      <c r="D217" s="143" t="n"/>
      <c r="E217" s="143" t="n"/>
      <c r="F217" s="143" t="n"/>
      <c r="G217" s="143" t="n"/>
      <c r="H217" s="143" t="n"/>
      <c r="I217" s="143" t="n"/>
      <c r="J217" s="137">
        <f>IF($H217="","",ROUND($H217*$I217,2))</f>
        <v/>
      </c>
      <c r="K217" s="137">
        <f>IF(OR($H217="",$J217=""),"",ROUND($H217-$J217,2))</f>
        <v/>
      </c>
      <c r="L217" s="143" t="n"/>
    </row>
    <row r="218" ht="18" customHeight="1" s="102">
      <c r="A218" s="137">
        <f>IF($B218="","","TAH-"&amp;TEXT(ROW()-BaslangicSatir,"000000"))</f>
        <v/>
      </c>
      <c r="B218" s="143" t="n"/>
      <c r="C218" s="143" t="n"/>
      <c r="D218" s="143" t="n"/>
      <c r="E218" s="143" t="n"/>
      <c r="F218" s="143" t="n"/>
      <c r="G218" s="143" t="n"/>
      <c r="H218" s="143" t="n"/>
      <c r="I218" s="143" t="n"/>
      <c r="J218" s="137">
        <f>IF($H218="","",ROUND($H218*$I218,2))</f>
        <v/>
      </c>
      <c r="K218" s="137">
        <f>IF(OR($H218="",$J218=""),"",ROUND($H218-$J218,2))</f>
        <v/>
      </c>
      <c r="L218" s="143" t="n"/>
    </row>
    <row r="219" ht="18" customHeight="1" s="102">
      <c r="A219" s="137">
        <f>IF($B219="","","TAH-"&amp;TEXT(ROW()-BaslangicSatir,"000000"))</f>
        <v/>
      </c>
      <c r="B219" s="143" t="n"/>
      <c r="C219" s="143" t="n"/>
      <c r="D219" s="143" t="n"/>
      <c r="E219" s="143" t="n"/>
      <c r="F219" s="143" t="n"/>
      <c r="G219" s="143" t="n"/>
      <c r="H219" s="143" t="n"/>
      <c r="I219" s="143" t="n"/>
      <c r="J219" s="137">
        <f>IF($H219="","",ROUND($H219*$I219,2))</f>
        <v/>
      </c>
      <c r="K219" s="137">
        <f>IF(OR($H219="",$J219=""),"",ROUND($H219-$J219,2))</f>
        <v/>
      </c>
      <c r="L219" s="143" t="n"/>
    </row>
    <row r="220" ht="18" customHeight="1" s="102">
      <c r="A220" s="137">
        <f>IF($B220="","","TAH-"&amp;TEXT(ROW()-BaslangicSatir,"000000"))</f>
        <v/>
      </c>
      <c r="B220" s="143" t="n"/>
      <c r="C220" s="143" t="n"/>
      <c r="D220" s="143" t="n"/>
      <c r="E220" s="143" t="n"/>
      <c r="F220" s="143" t="n"/>
      <c r="G220" s="143" t="n"/>
      <c r="H220" s="143" t="n"/>
      <c r="I220" s="143" t="n"/>
      <c r="J220" s="137">
        <f>IF($H220="","",ROUND($H220*$I220,2))</f>
        <v/>
      </c>
      <c r="K220" s="137">
        <f>IF(OR($H220="",$J220=""),"",ROUND($H220-$J220,2))</f>
        <v/>
      </c>
      <c r="L220" s="143" t="n"/>
    </row>
    <row r="221" ht="18" customHeight="1" s="102">
      <c r="A221" s="137">
        <f>IF($B221="","","TAH-"&amp;TEXT(ROW()-BaslangicSatir,"000000"))</f>
        <v/>
      </c>
      <c r="B221" s="143" t="n"/>
      <c r="C221" s="143" t="n"/>
      <c r="D221" s="143" t="n"/>
      <c r="E221" s="143" t="n"/>
      <c r="F221" s="143" t="n"/>
      <c r="G221" s="143" t="n"/>
      <c r="H221" s="143" t="n"/>
      <c r="I221" s="143" t="n"/>
      <c r="J221" s="137">
        <f>IF($H221="","",ROUND($H221*$I221,2))</f>
        <v/>
      </c>
      <c r="K221" s="137">
        <f>IF(OR($H221="",$J221=""),"",ROUND($H221-$J221,2))</f>
        <v/>
      </c>
      <c r="L221" s="143" t="n"/>
    </row>
    <row r="222" ht="18" customHeight="1" s="102">
      <c r="A222" s="137">
        <f>IF($B222="","","TAH-"&amp;TEXT(ROW()-BaslangicSatir,"000000"))</f>
        <v/>
      </c>
      <c r="B222" s="143" t="n"/>
      <c r="C222" s="143" t="n"/>
      <c r="D222" s="143" t="n"/>
      <c r="E222" s="143" t="n"/>
      <c r="F222" s="143" t="n"/>
      <c r="G222" s="143" t="n"/>
      <c r="H222" s="143" t="n"/>
      <c r="I222" s="143" t="n"/>
      <c r="J222" s="137">
        <f>IF($H222="","",ROUND($H222*$I222,2))</f>
        <v/>
      </c>
      <c r="K222" s="137">
        <f>IF(OR($H222="",$J222=""),"",ROUND($H222-$J222,2))</f>
        <v/>
      </c>
      <c r="L222" s="143" t="n"/>
    </row>
    <row r="223" ht="18" customHeight="1" s="102">
      <c r="A223" s="137">
        <f>IF($B223="","","TAH-"&amp;TEXT(ROW()-BaslangicSatir,"000000"))</f>
        <v/>
      </c>
      <c r="B223" s="143" t="n"/>
      <c r="C223" s="143" t="n"/>
      <c r="D223" s="143" t="n"/>
      <c r="E223" s="143" t="n"/>
      <c r="F223" s="143" t="n"/>
      <c r="G223" s="143" t="n"/>
      <c r="H223" s="143" t="n"/>
      <c r="I223" s="143" t="n"/>
      <c r="J223" s="137">
        <f>IF($H223="","",ROUND($H223*$I223,2))</f>
        <v/>
      </c>
      <c r="K223" s="137">
        <f>IF(OR($H223="",$J223=""),"",ROUND($H223-$J223,2))</f>
        <v/>
      </c>
      <c r="L223" s="143" t="n"/>
    </row>
    <row r="224" ht="18" customHeight="1" s="102">
      <c r="A224" s="137">
        <f>IF($B224="","","TAH-"&amp;TEXT(ROW()-BaslangicSatir,"000000"))</f>
        <v/>
      </c>
      <c r="B224" s="143" t="n"/>
      <c r="C224" s="143" t="n"/>
      <c r="D224" s="143" t="n"/>
      <c r="E224" s="143" t="n"/>
      <c r="F224" s="143" t="n"/>
      <c r="G224" s="143" t="n"/>
      <c r="H224" s="143" t="n"/>
      <c r="I224" s="143" t="n"/>
      <c r="J224" s="137">
        <f>IF($H224="","",ROUND($H224*$I224,2))</f>
        <v/>
      </c>
      <c r="K224" s="137">
        <f>IF(OR($H224="",$J224=""),"",ROUND($H224-$J224,2))</f>
        <v/>
      </c>
      <c r="L224" s="143" t="n"/>
    </row>
    <row r="225" ht="18" customHeight="1" s="102">
      <c r="A225" s="137">
        <f>IF($B225="","","TAH-"&amp;TEXT(ROW()-BaslangicSatir,"000000"))</f>
        <v/>
      </c>
      <c r="B225" s="143" t="n"/>
      <c r="C225" s="143" t="n"/>
      <c r="D225" s="143" t="n"/>
      <c r="E225" s="143" t="n"/>
      <c r="F225" s="143" t="n"/>
      <c r="G225" s="143" t="n"/>
      <c r="H225" s="143" t="n"/>
      <c r="I225" s="143" t="n"/>
      <c r="J225" s="137">
        <f>IF($H225="","",ROUND($H225*$I225,2))</f>
        <v/>
      </c>
      <c r="K225" s="137">
        <f>IF(OR($H225="",$J225=""),"",ROUND($H225-$J225,2))</f>
        <v/>
      </c>
      <c r="L225" s="143" t="n"/>
    </row>
    <row r="226" ht="18" customHeight="1" s="102">
      <c r="A226" s="137">
        <f>IF($B226="","","TAH-"&amp;TEXT(ROW()-BaslangicSatir,"000000"))</f>
        <v/>
      </c>
      <c r="B226" s="143" t="n"/>
      <c r="C226" s="143" t="n"/>
      <c r="D226" s="143" t="n"/>
      <c r="E226" s="143" t="n"/>
      <c r="F226" s="143" t="n"/>
      <c r="G226" s="143" t="n"/>
      <c r="H226" s="143" t="n"/>
      <c r="I226" s="143" t="n"/>
      <c r="J226" s="137">
        <f>IF($H226="","",ROUND($H226*$I226,2))</f>
        <v/>
      </c>
      <c r="K226" s="137">
        <f>IF(OR($H226="",$J226=""),"",ROUND($H226-$J226,2))</f>
        <v/>
      </c>
      <c r="L226" s="143" t="n"/>
    </row>
    <row r="227" ht="18" customHeight="1" s="102">
      <c r="A227" s="137">
        <f>IF($B227="","","TAH-"&amp;TEXT(ROW()-BaslangicSatir,"000000"))</f>
        <v/>
      </c>
      <c r="B227" s="143" t="n"/>
      <c r="C227" s="143" t="n"/>
      <c r="D227" s="143" t="n"/>
      <c r="E227" s="143" t="n"/>
      <c r="F227" s="143" t="n"/>
      <c r="G227" s="143" t="n"/>
      <c r="H227" s="143" t="n"/>
      <c r="I227" s="143" t="n"/>
      <c r="J227" s="137">
        <f>IF($H227="","",ROUND($H227*$I227,2))</f>
        <v/>
      </c>
      <c r="K227" s="137">
        <f>IF(OR($H227="",$J227=""),"",ROUND($H227-$J227,2))</f>
        <v/>
      </c>
      <c r="L227" s="143" t="n"/>
    </row>
    <row r="228" ht="18" customHeight="1" s="102">
      <c r="A228" s="137">
        <f>IF($B228="","","TAH-"&amp;TEXT(ROW()-BaslangicSatir,"000000"))</f>
        <v/>
      </c>
      <c r="B228" s="143" t="n"/>
      <c r="C228" s="143" t="n"/>
      <c r="D228" s="143" t="n"/>
      <c r="E228" s="143" t="n"/>
      <c r="F228" s="143" t="n"/>
      <c r="G228" s="143" t="n"/>
      <c r="H228" s="143" t="n"/>
      <c r="I228" s="143" t="n"/>
      <c r="J228" s="137">
        <f>IF($H228="","",ROUND($H228*$I228,2))</f>
        <v/>
      </c>
      <c r="K228" s="137">
        <f>IF(OR($H228="",$J228=""),"",ROUND($H228-$J228,2))</f>
        <v/>
      </c>
      <c r="L228" s="143" t="n"/>
    </row>
    <row r="229" ht="18" customHeight="1" s="102">
      <c r="A229" s="137">
        <f>IF($B229="","","TAH-"&amp;TEXT(ROW()-BaslangicSatir,"000000"))</f>
        <v/>
      </c>
      <c r="B229" s="143" t="n"/>
      <c r="C229" s="143" t="n"/>
      <c r="D229" s="143" t="n"/>
      <c r="E229" s="143" t="n"/>
      <c r="F229" s="143" t="n"/>
      <c r="G229" s="143" t="n"/>
      <c r="H229" s="143" t="n"/>
      <c r="I229" s="143" t="n"/>
      <c r="J229" s="137">
        <f>IF($H229="","",ROUND($H229*$I229,2))</f>
        <v/>
      </c>
      <c r="K229" s="137">
        <f>IF(OR($H229="",$J229=""),"",ROUND($H229-$J229,2))</f>
        <v/>
      </c>
      <c r="L229" s="143" t="n"/>
    </row>
    <row r="230" ht="18" customHeight="1" s="102">
      <c r="A230" s="137">
        <f>IF($B230="","","TAH-"&amp;TEXT(ROW()-BaslangicSatir,"000000"))</f>
        <v/>
      </c>
      <c r="B230" s="143" t="n"/>
      <c r="C230" s="143" t="n"/>
      <c r="D230" s="143" t="n"/>
      <c r="E230" s="143" t="n"/>
      <c r="F230" s="143" t="n"/>
      <c r="G230" s="143" t="n"/>
      <c r="H230" s="143" t="n"/>
      <c r="I230" s="143" t="n"/>
      <c r="J230" s="137">
        <f>IF($H230="","",ROUND($H230*$I230,2))</f>
        <v/>
      </c>
      <c r="K230" s="137">
        <f>IF(OR($H230="",$J230=""),"",ROUND($H230-$J230,2))</f>
        <v/>
      </c>
      <c r="L230" s="143" t="n"/>
    </row>
    <row r="231" ht="18" customHeight="1" s="102">
      <c r="A231" s="137">
        <f>IF($B231="","","TAH-"&amp;TEXT(ROW()-BaslangicSatir,"000000"))</f>
        <v/>
      </c>
      <c r="B231" s="143" t="n"/>
      <c r="C231" s="143" t="n"/>
      <c r="D231" s="143" t="n"/>
      <c r="E231" s="143" t="n"/>
      <c r="F231" s="143" t="n"/>
      <c r="G231" s="143" t="n"/>
      <c r="H231" s="143" t="n"/>
      <c r="I231" s="143" t="n"/>
      <c r="J231" s="137">
        <f>IF($H231="","",ROUND($H231*$I231,2))</f>
        <v/>
      </c>
      <c r="K231" s="137">
        <f>IF(OR($H231="",$J231=""),"",ROUND($H231-$J231,2))</f>
        <v/>
      </c>
      <c r="L231" s="143" t="n"/>
    </row>
    <row r="232" ht="18" customHeight="1" s="102">
      <c r="A232" s="137">
        <f>IF($B232="","","TAH-"&amp;TEXT(ROW()-BaslangicSatir,"000000"))</f>
        <v/>
      </c>
      <c r="B232" s="143" t="n"/>
      <c r="C232" s="143" t="n"/>
      <c r="D232" s="143" t="n"/>
      <c r="E232" s="143" t="n"/>
      <c r="F232" s="143" t="n"/>
      <c r="G232" s="143" t="n"/>
      <c r="H232" s="143" t="n"/>
      <c r="I232" s="143" t="n"/>
      <c r="J232" s="137">
        <f>IF($H232="","",ROUND($H232*$I232,2))</f>
        <v/>
      </c>
      <c r="K232" s="137">
        <f>IF(OR($H232="",$J232=""),"",ROUND($H232-$J232,2))</f>
        <v/>
      </c>
      <c r="L232" s="143" t="n"/>
    </row>
    <row r="233" ht="18" customHeight="1" s="102">
      <c r="A233" s="137">
        <f>IF($B233="","","TAH-"&amp;TEXT(ROW()-BaslangicSatir,"000000"))</f>
        <v/>
      </c>
      <c r="B233" s="143" t="n"/>
      <c r="C233" s="143" t="n"/>
      <c r="D233" s="143" t="n"/>
      <c r="E233" s="143" t="n"/>
      <c r="F233" s="143" t="n"/>
      <c r="G233" s="143" t="n"/>
      <c r="H233" s="143" t="n"/>
      <c r="I233" s="143" t="n"/>
      <c r="J233" s="137">
        <f>IF($H233="","",ROUND($H233*$I233,2))</f>
        <v/>
      </c>
      <c r="K233" s="137">
        <f>IF(OR($H233="",$J233=""),"",ROUND($H233-$J233,2))</f>
        <v/>
      </c>
      <c r="L233" s="143" t="n"/>
    </row>
    <row r="234" ht="18" customHeight="1" s="102">
      <c r="A234" s="137">
        <f>IF($B234="","","TAH-"&amp;TEXT(ROW()-BaslangicSatir,"000000"))</f>
        <v/>
      </c>
      <c r="B234" s="143" t="n"/>
      <c r="C234" s="143" t="n"/>
      <c r="D234" s="143" t="n"/>
      <c r="E234" s="143" t="n"/>
      <c r="F234" s="143" t="n"/>
      <c r="G234" s="143" t="n"/>
      <c r="H234" s="143" t="n"/>
      <c r="I234" s="143" t="n"/>
      <c r="J234" s="137">
        <f>IF($H234="","",ROUND($H234*$I234,2))</f>
        <v/>
      </c>
      <c r="K234" s="137">
        <f>IF(OR($H234="",$J234=""),"",ROUND($H234-$J234,2))</f>
        <v/>
      </c>
      <c r="L234" s="143" t="n"/>
    </row>
    <row r="235" ht="18" customHeight="1" s="102">
      <c r="A235" s="137">
        <f>IF($B235="","","TAH-"&amp;TEXT(ROW()-BaslangicSatir,"000000"))</f>
        <v/>
      </c>
      <c r="B235" s="143" t="n"/>
      <c r="C235" s="143" t="n"/>
      <c r="D235" s="143" t="n"/>
      <c r="E235" s="143" t="n"/>
      <c r="F235" s="143" t="n"/>
      <c r="G235" s="143" t="n"/>
      <c r="H235" s="143" t="n"/>
      <c r="I235" s="143" t="n"/>
      <c r="J235" s="137">
        <f>IF($H235="","",ROUND($H235*$I235,2))</f>
        <v/>
      </c>
      <c r="K235" s="137">
        <f>IF(OR($H235="",$J235=""),"",ROUND($H235-$J235,2))</f>
        <v/>
      </c>
      <c r="L235" s="143" t="n"/>
    </row>
    <row r="236" ht="18" customHeight="1" s="102">
      <c r="A236" s="137">
        <f>IF($B236="","","TAH-"&amp;TEXT(ROW()-BaslangicSatir,"000000"))</f>
        <v/>
      </c>
      <c r="B236" s="143" t="n"/>
      <c r="C236" s="143" t="n"/>
      <c r="D236" s="143" t="n"/>
      <c r="E236" s="143" t="n"/>
      <c r="F236" s="143" t="n"/>
      <c r="G236" s="143" t="n"/>
      <c r="H236" s="143" t="n"/>
      <c r="I236" s="143" t="n"/>
      <c r="J236" s="137">
        <f>IF($H236="","",ROUND($H236*$I236,2))</f>
        <v/>
      </c>
      <c r="K236" s="137">
        <f>IF(OR($H236="",$J236=""),"",ROUND($H236-$J236,2))</f>
        <v/>
      </c>
      <c r="L236" s="143" t="n"/>
    </row>
    <row r="237" ht="18" customHeight="1" s="102">
      <c r="A237" s="137">
        <f>IF($B237="","","TAH-"&amp;TEXT(ROW()-BaslangicSatir,"000000"))</f>
        <v/>
      </c>
      <c r="B237" s="143" t="n"/>
      <c r="C237" s="143" t="n"/>
      <c r="D237" s="143" t="n"/>
      <c r="E237" s="143" t="n"/>
      <c r="F237" s="143" t="n"/>
      <c r="G237" s="143" t="n"/>
      <c r="H237" s="143" t="n"/>
      <c r="I237" s="143" t="n"/>
      <c r="J237" s="137">
        <f>IF($H237="","",ROUND($H237*$I237,2))</f>
        <v/>
      </c>
      <c r="K237" s="137">
        <f>IF(OR($H237="",$J237=""),"",ROUND($H237-$J237,2))</f>
        <v/>
      </c>
      <c r="L237" s="143" t="n"/>
    </row>
    <row r="238" ht="18" customHeight="1" s="102">
      <c r="A238" s="137">
        <f>IF($B238="","","TAH-"&amp;TEXT(ROW()-BaslangicSatir,"000000"))</f>
        <v/>
      </c>
      <c r="B238" s="143" t="n"/>
      <c r="C238" s="143" t="n"/>
      <c r="D238" s="143" t="n"/>
      <c r="E238" s="143" t="n"/>
      <c r="F238" s="143" t="n"/>
      <c r="G238" s="143" t="n"/>
      <c r="H238" s="143" t="n"/>
      <c r="I238" s="143" t="n"/>
      <c r="J238" s="137">
        <f>IF($H238="","",ROUND($H238*$I238,2))</f>
        <v/>
      </c>
      <c r="K238" s="137">
        <f>IF(OR($H238="",$J238=""),"",ROUND($H238-$J238,2))</f>
        <v/>
      </c>
      <c r="L238" s="143" t="n"/>
    </row>
    <row r="239" ht="18" customHeight="1" s="102">
      <c r="A239" s="137">
        <f>IF($B239="","","TAH-"&amp;TEXT(ROW()-BaslangicSatir,"000000"))</f>
        <v/>
      </c>
      <c r="B239" s="143" t="n"/>
      <c r="C239" s="143" t="n"/>
      <c r="D239" s="143" t="n"/>
      <c r="E239" s="143" t="n"/>
      <c r="F239" s="143" t="n"/>
      <c r="G239" s="143" t="n"/>
      <c r="H239" s="143" t="n"/>
      <c r="I239" s="143" t="n"/>
      <c r="J239" s="137">
        <f>IF($H239="","",ROUND($H239*$I239,2))</f>
        <v/>
      </c>
      <c r="K239" s="137">
        <f>IF(OR($H239="",$J239=""),"",ROUND($H239-$J239,2))</f>
        <v/>
      </c>
      <c r="L239" s="143" t="n"/>
    </row>
    <row r="240" ht="18" customHeight="1" s="102">
      <c r="A240" s="137">
        <f>IF($B240="","","TAH-"&amp;TEXT(ROW()-BaslangicSatir,"000000"))</f>
        <v/>
      </c>
      <c r="B240" s="143" t="n"/>
      <c r="C240" s="143" t="n"/>
      <c r="D240" s="143" t="n"/>
      <c r="E240" s="143" t="n"/>
      <c r="F240" s="143" t="n"/>
      <c r="G240" s="143" t="n"/>
      <c r="H240" s="143" t="n"/>
      <c r="I240" s="143" t="n"/>
      <c r="J240" s="137">
        <f>IF($H240="","",ROUND($H240*$I240,2))</f>
        <v/>
      </c>
      <c r="K240" s="137">
        <f>IF(OR($H240="",$J240=""),"",ROUND($H240-$J240,2))</f>
        <v/>
      </c>
      <c r="L240" s="143" t="n"/>
    </row>
    <row r="241" ht="18" customHeight="1" s="102">
      <c r="A241" s="137">
        <f>IF($B241="","","TAH-"&amp;TEXT(ROW()-BaslangicSatir,"000000"))</f>
        <v/>
      </c>
      <c r="B241" s="143" t="n"/>
      <c r="C241" s="143" t="n"/>
      <c r="D241" s="143" t="n"/>
      <c r="E241" s="143" t="n"/>
      <c r="F241" s="143" t="n"/>
      <c r="G241" s="143" t="n"/>
      <c r="H241" s="143" t="n"/>
      <c r="I241" s="143" t="n"/>
      <c r="J241" s="137">
        <f>IF($H241="","",ROUND($H241*$I241,2))</f>
        <v/>
      </c>
      <c r="K241" s="137">
        <f>IF(OR($H241="",$J241=""),"",ROUND($H241-$J241,2))</f>
        <v/>
      </c>
      <c r="L241" s="143" t="n"/>
    </row>
    <row r="242" ht="18" customHeight="1" s="102">
      <c r="A242" s="137">
        <f>IF($B242="","","TAH-"&amp;TEXT(ROW()-BaslangicSatir,"000000"))</f>
        <v/>
      </c>
      <c r="B242" s="143" t="n"/>
      <c r="C242" s="143" t="n"/>
      <c r="D242" s="143" t="n"/>
      <c r="E242" s="143" t="n"/>
      <c r="F242" s="143" t="n"/>
      <c r="G242" s="143" t="n"/>
      <c r="H242" s="143" t="n"/>
      <c r="I242" s="143" t="n"/>
      <c r="J242" s="137">
        <f>IF($H242="","",ROUND($H242*$I242,2))</f>
        <v/>
      </c>
      <c r="K242" s="137">
        <f>IF(OR($H242="",$J242=""),"",ROUND($H242-$J242,2))</f>
        <v/>
      </c>
      <c r="L242" s="143" t="n"/>
    </row>
    <row r="243" ht="18" customHeight="1" s="102">
      <c r="A243" s="137">
        <f>IF($B243="","","TAH-"&amp;TEXT(ROW()-BaslangicSatir,"000000"))</f>
        <v/>
      </c>
      <c r="B243" s="143" t="n"/>
      <c r="C243" s="143" t="n"/>
      <c r="D243" s="143" t="n"/>
      <c r="E243" s="143" t="n"/>
      <c r="F243" s="143" t="n"/>
      <c r="G243" s="143" t="n"/>
      <c r="H243" s="143" t="n"/>
      <c r="I243" s="143" t="n"/>
      <c r="J243" s="137">
        <f>IF($H243="","",ROUND($H243*$I243,2))</f>
        <v/>
      </c>
      <c r="K243" s="137">
        <f>IF(OR($H243="",$J243=""),"",ROUND($H243-$J243,2))</f>
        <v/>
      </c>
      <c r="L243" s="143" t="n"/>
    </row>
    <row r="244" ht="18" customHeight="1" s="102">
      <c r="A244" s="137">
        <f>IF($B244="","","TAH-"&amp;TEXT(ROW()-BaslangicSatir,"000000"))</f>
        <v/>
      </c>
      <c r="B244" s="143" t="n"/>
      <c r="C244" s="143" t="n"/>
      <c r="D244" s="143" t="n"/>
      <c r="E244" s="143" t="n"/>
      <c r="F244" s="143" t="n"/>
      <c r="G244" s="143" t="n"/>
      <c r="H244" s="143" t="n"/>
      <c r="I244" s="143" t="n"/>
      <c r="J244" s="137">
        <f>IF($H244="","",ROUND($H244*$I244,2))</f>
        <v/>
      </c>
      <c r="K244" s="137">
        <f>IF(OR($H244="",$J244=""),"",ROUND($H244-$J244,2))</f>
        <v/>
      </c>
      <c r="L244" s="143" t="n"/>
    </row>
    <row r="245" ht="18" customHeight="1" s="102">
      <c r="A245" s="137">
        <f>IF($B245="","","TAH-"&amp;TEXT(ROW()-BaslangicSatir,"000000"))</f>
        <v/>
      </c>
      <c r="B245" s="143" t="n"/>
      <c r="C245" s="143" t="n"/>
      <c r="D245" s="143" t="n"/>
      <c r="E245" s="143" t="n"/>
      <c r="F245" s="143" t="n"/>
      <c r="G245" s="143" t="n"/>
      <c r="H245" s="143" t="n"/>
      <c r="I245" s="143" t="n"/>
      <c r="J245" s="137">
        <f>IF($H245="","",ROUND($H245*$I245,2))</f>
        <v/>
      </c>
      <c r="K245" s="137">
        <f>IF(OR($H245="",$J245=""),"",ROUND($H245-$J245,2))</f>
        <v/>
      </c>
      <c r="L245" s="143" t="n"/>
    </row>
    <row r="246" ht="18" customHeight="1" s="102">
      <c r="A246" s="137">
        <f>IF($B246="","","TAH-"&amp;TEXT(ROW()-BaslangicSatir,"000000"))</f>
        <v/>
      </c>
      <c r="B246" s="143" t="n"/>
      <c r="C246" s="143" t="n"/>
      <c r="D246" s="143" t="n"/>
      <c r="E246" s="143" t="n"/>
      <c r="F246" s="143" t="n"/>
      <c r="G246" s="143" t="n"/>
      <c r="H246" s="143" t="n"/>
      <c r="I246" s="143" t="n"/>
      <c r="J246" s="137">
        <f>IF($H246="","",ROUND($H246*$I246,2))</f>
        <v/>
      </c>
      <c r="K246" s="137">
        <f>IF(OR($H246="",$J246=""),"",ROUND($H246-$J246,2))</f>
        <v/>
      </c>
      <c r="L246" s="143" t="n"/>
    </row>
    <row r="247" ht="18" customHeight="1" s="102">
      <c r="A247" s="137">
        <f>IF($B247="","","TAH-"&amp;TEXT(ROW()-BaslangicSatir,"000000"))</f>
        <v/>
      </c>
      <c r="B247" s="143" t="n"/>
      <c r="C247" s="143" t="n"/>
      <c r="D247" s="143" t="n"/>
      <c r="E247" s="143" t="n"/>
      <c r="F247" s="143" t="n"/>
      <c r="G247" s="143" t="n"/>
      <c r="H247" s="143" t="n"/>
      <c r="I247" s="143" t="n"/>
      <c r="J247" s="137">
        <f>IF($H247="","",ROUND($H247*$I247,2))</f>
        <v/>
      </c>
      <c r="K247" s="137">
        <f>IF(OR($H247="",$J247=""),"",ROUND($H247-$J247,2))</f>
        <v/>
      </c>
      <c r="L247" s="143" t="n"/>
    </row>
    <row r="248" ht="18" customHeight="1" s="102">
      <c r="A248" s="137">
        <f>IF($B248="","","TAH-"&amp;TEXT(ROW()-BaslangicSatir,"000000"))</f>
        <v/>
      </c>
      <c r="B248" s="143" t="n"/>
      <c r="C248" s="143" t="n"/>
      <c r="D248" s="143" t="n"/>
      <c r="E248" s="143" t="n"/>
      <c r="F248" s="143" t="n"/>
      <c r="G248" s="143" t="n"/>
      <c r="H248" s="143" t="n"/>
      <c r="I248" s="143" t="n"/>
      <c r="J248" s="137">
        <f>IF($H248="","",ROUND($H248*$I248,2))</f>
        <v/>
      </c>
      <c r="K248" s="137">
        <f>IF(OR($H248="",$J248=""),"",ROUND($H248-$J248,2))</f>
        <v/>
      </c>
      <c r="L248" s="143" t="n"/>
    </row>
    <row r="249" ht="18" customHeight="1" s="102">
      <c r="A249" s="137">
        <f>IF($B249="","","TAH-"&amp;TEXT(ROW()-BaslangicSatir,"000000"))</f>
        <v/>
      </c>
      <c r="B249" s="143" t="n"/>
      <c r="C249" s="143" t="n"/>
      <c r="D249" s="143" t="n"/>
      <c r="E249" s="143" t="n"/>
      <c r="F249" s="143" t="n"/>
      <c r="G249" s="143" t="n"/>
      <c r="H249" s="143" t="n"/>
      <c r="I249" s="143" t="n"/>
      <c r="J249" s="137">
        <f>IF($H249="","",ROUND($H249*$I249,2))</f>
        <v/>
      </c>
      <c r="K249" s="137">
        <f>IF(OR($H249="",$J249=""),"",ROUND($H249-$J249,2))</f>
        <v/>
      </c>
      <c r="L249" s="143" t="n"/>
    </row>
    <row r="250" ht="18" customHeight="1" s="102">
      <c r="A250" s="137">
        <f>IF($B250="","","TAH-"&amp;TEXT(ROW()-BaslangicSatir,"000000"))</f>
        <v/>
      </c>
      <c r="B250" s="143" t="n"/>
      <c r="C250" s="143" t="n"/>
      <c r="D250" s="143" t="n"/>
      <c r="E250" s="143" t="n"/>
      <c r="F250" s="143" t="n"/>
      <c r="G250" s="143" t="n"/>
      <c r="H250" s="143" t="n"/>
      <c r="I250" s="143" t="n"/>
      <c r="J250" s="137">
        <f>IF($H250="","",ROUND($H250*$I250,2))</f>
        <v/>
      </c>
      <c r="K250" s="137">
        <f>IF(OR($H250="",$J250=""),"",ROUND($H250-$J250,2))</f>
        <v/>
      </c>
      <c r="L250" s="143" t="n"/>
    </row>
    <row r="251" ht="18" customHeight="1" s="102">
      <c r="A251" s="137">
        <f>IF($B251="","","TAH-"&amp;TEXT(ROW()-BaslangicSatir,"000000"))</f>
        <v/>
      </c>
      <c r="B251" s="143" t="n"/>
      <c r="C251" s="143" t="n"/>
      <c r="D251" s="143" t="n"/>
      <c r="E251" s="143" t="n"/>
      <c r="F251" s="143" t="n"/>
      <c r="G251" s="143" t="n"/>
      <c r="H251" s="143" t="n"/>
      <c r="I251" s="143" t="n"/>
      <c r="J251" s="137">
        <f>IF($H251="","",ROUND($H251*$I251,2))</f>
        <v/>
      </c>
      <c r="K251" s="137">
        <f>IF(OR($H251="",$J251=""),"",ROUND($H251-$J251,2))</f>
        <v/>
      </c>
      <c r="L251" s="143" t="n"/>
    </row>
    <row r="252" ht="18" customHeight="1" s="102">
      <c r="A252" s="137">
        <f>IF($B252="","","TAH-"&amp;TEXT(ROW()-BaslangicSatir,"000000"))</f>
        <v/>
      </c>
      <c r="B252" s="143" t="n"/>
      <c r="C252" s="143" t="n"/>
      <c r="D252" s="143" t="n"/>
      <c r="E252" s="143" t="n"/>
      <c r="F252" s="143" t="n"/>
      <c r="G252" s="143" t="n"/>
      <c r="H252" s="143" t="n"/>
      <c r="I252" s="143" t="n"/>
      <c r="J252" s="137">
        <f>IF($H252="","",ROUND($H252*$I252,2))</f>
        <v/>
      </c>
      <c r="K252" s="137">
        <f>IF(OR($H252="",$J252=""),"",ROUND($H252-$J252,2))</f>
        <v/>
      </c>
      <c r="L252" s="143" t="n"/>
    </row>
    <row r="253" ht="18" customHeight="1" s="102">
      <c r="A253" s="137">
        <f>IF($B253="","","TAH-"&amp;TEXT(ROW()-BaslangicSatir,"000000"))</f>
        <v/>
      </c>
      <c r="B253" s="143" t="n"/>
      <c r="C253" s="143" t="n"/>
      <c r="D253" s="143" t="n"/>
      <c r="E253" s="143" t="n"/>
      <c r="F253" s="143" t="n"/>
      <c r="G253" s="143" t="n"/>
      <c r="H253" s="143" t="n"/>
      <c r="I253" s="143" t="n"/>
      <c r="J253" s="137">
        <f>IF($H253="","",ROUND($H253*$I253,2))</f>
        <v/>
      </c>
      <c r="K253" s="137">
        <f>IF(OR($H253="",$J253=""),"",ROUND($H253-$J253,2))</f>
        <v/>
      </c>
      <c r="L253" s="143" t="n"/>
    </row>
    <row r="254" ht="18" customHeight="1" s="102">
      <c r="A254" s="137">
        <f>IF($B254="","","TAH-"&amp;TEXT(ROW()-BaslangicSatir,"000000"))</f>
        <v/>
      </c>
      <c r="B254" s="143" t="n"/>
      <c r="C254" s="143" t="n"/>
      <c r="D254" s="143" t="n"/>
      <c r="E254" s="143" t="n"/>
      <c r="F254" s="143" t="n"/>
      <c r="G254" s="143" t="n"/>
      <c r="H254" s="143" t="n"/>
      <c r="I254" s="143" t="n"/>
      <c r="J254" s="137">
        <f>IF($H254="","",ROUND($H254*$I254,2))</f>
        <v/>
      </c>
      <c r="K254" s="137">
        <f>IF(OR($H254="",$J254=""),"",ROUND($H254-$J254,2))</f>
        <v/>
      </c>
      <c r="L254" s="143" t="n"/>
    </row>
    <row r="255" ht="18" customHeight="1" s="102">
      <c r="A255" s="137">
        <f>IF($B255="","","TAH-"&amp;TEXT(ROW()-BaslangicSatir,"000000"))</f>
        <v/>
      </c>
      <c r="B255" s="143" t="n"/>
      <c r="C255" s="143" t="n"/>
      <c r="D255" s="143" t="n"/>
      <c r="E255" s="143" t="n"/>
      <c r="F255" s="143" t="n"/>
      <c r="G255" s="143" t="n"/>
      <c r="H255" s="143" t="n"/>
      <c r="I255" s="143" t="n"/>
      <c r="J255" s="137">
        <f>IF($H255="","",ROUND($H255*$I255,2))</f>
        <v/>
      </c>
      <c r="K255" s="137">
        <f>IF(OR($H255="",$J255=""),"",ROUND($H255-$J255,2))</f>
        <v/>
      </c>
      <c r="L255" s="143" t="n"/>
    </row>
    <row r="256" ht="18" customHeight="1" s="102">
      <c r="A256" s="137">
        <f>IF($B256="","","TAH-"&amp;TEXT(ROW()-BaslangicSatir,"000000"))</f>
        <v/>
      </c>
      <c r="B256" s="143" t="n"/>
      <c r="C256" s="143" t="n"/>
      <c r="D256" s="143" t="n"/>
      <c r="E256" s="143" t="n"/>
      <c r="F256" s="143" t="n"/>
      <c r="G256" s="143" t="n"/>
      <c r="H256" s="143" t="n"/>
      <c r="I256" s="143" t="n"/>
      <c r="J256" s="137">
        <f>IF($H256="","",ROUND($H256*$I256,2))</f>
        <v/>
      </c>
      <c r="K256" s="137">
        <f>IF(OR($H256="",$J256=""),"",ROUND($H256-$J256,2))</f>
        <v/>
      </c>
      <c r="L256" s="143" t="n"/>
    </row>
    <row r="257" ht="18" customHeight="1" s="102">
      <c r="A257" s="137">
        <f>IF($B257="","","TAH-"&amp;TEXT(ROW()-BaslangicSatir,"000000"))</f>
        <v/>
      </c>
      <c r="B257" s="143" t="n"/>
      <c r="C257" s="143" t="n"/>
      <c r="D257" s="143" t="n"/>
      <c r="E257" s="143" t="n"/>
      <c r="F257" s="143" t="n"/>
      <c r="G257" s="143" t="n"/>
      <c r="H257" s="143" t="n"/>
      <c r="I257" s="143" t="n"/>
      <c r="J257" s="137">
        <f>IF($H257="","",ROUND($H257*$I257,2))</f>
        <v/>
      </c>
      <c r="K257" s="137">
        <f>IF(OR($H257="",$J257=""),"",ROUND($H257-$J257,2))</f>
        <v/>
      </c>
      <c r="L257" s="143" t="n"/>
    </row>
    <row r="258" ht="18" customHeight="1" s="102">
      <c r="A258" s="137">
        <f>IF($B258="","","TAH-"&amp;TEXT(ROW()-BaslangicSatir,"000000"))</f>
        <v/>
      </c>
      <c r="B258" s="143" t="n"/>
      <c r="C258" s="143" t="n"/>
      <c r="D258" s="143" t="n"/>
      <c r="E258" s="143" t="n"/>
      <c r="F258" s="143" t="n"/>
      <c r="G258" s="143" t="n"/>
      <c r="H258" s="143" t="n"/>
      <c r="I258" s="143" t="n"/>
      <c r="J258" s="137">
        <f>IF($H258="","",ROUND($H258*$I258,2))</f>
        <v/>
      </c>
      <c r="K258" s="137">
        <f>IF(OR($H258="",$J258=""),"",ROUND($H258-$J258,2))</f>
        <v/>
      </c>
      <c r="L258" s="143" t="n"/>
    </row>
    <row r="259" ht="18" customHeight="1" s="102">
      <c r="A259" s="137">
        <f>IF($B259="","","TAH-"&amp;TEXT(ROW()-BaslangicSatir,"000000"))</f>
        <v/>
      </c>
      <c r="B259" s="143" t="n"/>
      <c r="C259" s="143" t="n"/>
      <c r="D259" s="143" t="n"/>
      <c r="E259" s="143" t="n"/>
      <c r="F259" s="143" t="n"/>
      <c r="G259" s="143" t="n"/>
      <c r="H259" s="143" t="n"/>
      <c r="I259" s="143" t="n"/>
      <c r="J259" s="137">
        <f>IF($H259="","",ROUND($H259*$I259,2))</f>
        <v/>
      </c>
      <c r="K259" s="137">
        <f>IF(OR($H259="",$J259=""),"",ROUND($H259-$J259,2))</f>
        <v/>
      </c>
      <c r="L259" s="143" t="n"/>
    </row>
    <row r="260" ht="18" customHeight="1" s="102">
      <c r="A260" s="137">
        <f>IF($B260="","","TAH-"&amp;TEXT(ROW()-BaslangicSatir,"000000"))</f>
        <v/>
      </c>
      <c r="B260" s="143" t="n"/>
      <c r="C260" s="143" t="n"/>
      <c r="D260" s="143" t="n"/>
      <c r="E260" s="143" t="n"/>
      <c r="F260" s="143" t="n"/>
      <c r="G260" s="143" t="n"/>
      <c r="H260" s="143" t="n"/>
      <c r="I260" s="143" t="n"/>
      <c r="J260" s="137">
        <f>IF($H260="","",ROUND($H260*$I260,2))</f>
        <v/>
      </c>
      <c r="K260" s="137">
        <f>IF(OR($H260="",$J260=""),"",ROUND($H260-$J260,2))</f>
        <v/>
      </c>
      <c r="L260" s="143" t="n"/>
    </row>
    <row r="261" ht="18" customHeight="1" s="102">
      <c r="A261" s="137">
        <f>IF($B261="","","TAH-"&amp;TEXT(ROW()-BaslangicSatir,"000000"))</f>
        <v/>
      </c>
      <c r="B261" s="143" t="n"/>
      <c r="C261" s="143" t="n"/>
      <c r="D261" s="143" t="n"/>
      <c r="E261" s="143" t="n"/>
      <c r="F261" s="143" t="n"/>
      <c r="G261" s="143" t="n"/>
      <c r="H261" s="143" t="n"/>
      <c r="I261" s="143" t="n"/>
      <c r="J261" s="137">
        <f>IF($H261="","",ROUND($H261*$I261,2))</f>
        <v/>
      </c>
      <c r="K261" s="137">
        <f>IF(OR($H261="",$J261=""),"",ROUND($H261-$J261,2))</f>
        <v/>
      </c>
      <c r="L261" s="143" t="n"/>
    </row>
    <row r="262" ht="18" customHeight="1" s="102">
      <c r="A262" s="137">
        <f>IF($B262="","","TAH-"&amp;TEXT(ROW()-BaslangicSatir,"000000"))</f>
        <v/>
      </c>
      <c r="B262" s="143" t="n"/>
      <c r="C262" s="143" t="n"/>
      <c r="D262" s="143" t="n"/>
      <c r="E262" s="143" t="n"/>
      <c r="F262" s="143" t="n"/>
      <c r="G262" s="143" t="n"/>
      <c r="H262" s="143" t="n"/>
      <c r="I262" s="143" t="n"/>
      <c r="J262" s="137">
        <f>IF($H262="","",ROUND($H262*$I262,2))</f>
        <v/>
      </c>
      <c r="K262" s="137">
        <f>IF(OR($H262="",$J262=""),"",ROUND($H262-$J262,2))</f>
        <v/>
      </c>
      <c r="L262" s="143" t="n"/>
    </row>
    <row r="263" ht="18" customHeight="1" s="102">
      <c r="A263" s="137">
        <f>IF($B263="","","TAH-"&amp;TEXT(ROW()-BaslangicSatir,"000000"))</f>
        <v/>
      </c>
      <c r="B263" s="143" t="n"/>
      <c r="C263" s="143" t="n"/>
      <c r="D263" s="143" t="n"/>
      <c r="E263" s="143" t="n"/>
      <c r="F263" s="143" t="n"/>
      <c r="G263" s="143" t="n"/>
      <c r="H263" s="143" t="n"/>
      <c r="I263" s="143" t="n"/>
      <c r="J263" s="137">
        <f>IF($H263="","",ROUND($H263*$I263,2))</f>
        <v/>
      </c>
      <c r="K263" s="137">
        <f>IF(OR($H263="",$J263=""),"",ROUND($H263-$J263,2))</f>
        <v/>
      </c>
      <c r="L263" s="143" t="n"/>
    </row>
    <row r="264" ht="18" customHeight="1" s="102">
      <c r="A264" s="137">
        <f>IF($B264="","","TAH-"&amp;TEXT(ROW()-BaslangicSatir,"000000"))</f>
        <v/>
      </c>
      <c r="B264" s="143" t="n"/>
      <c r="C264" s="143" t="n"/>
      <c r="D264" s="143" t="n"/>
      <c r="E264" s="143" t="n"/>
      <c r="F264" s="143" t="n"/>
      <c r="G264" s="143" t="n"/>
      <c r="H264" s="143" t="n"/>
      <c r="I264" s="143" t="n"/>
      <c r="J264" s="137">
        <f>IF($H264="","",ROUND($H264*$I264,2))</f>
        <v/>
      </c>
      <c r="K264" s="137">
        <f>IF(OR($H264="",$J264=""),"",ROUND($H264-$J264,2))</f>
        <v/>
      </c>
      <c r="L264" s="143" t="n"/>
    </row>
    <row r="265" ht="18" customHeight="1" s="102">
      <c r="A265" s="137">
        <f>IF($B265="","","TAH-"&amp;TEXT(ROW()-BaslangicSatir,"000000"))</f>
        <v/>
      </c>
      <c r="B265" s="143" t="n"/>
      <c r="C265" s="143" t="n"/>
      <c r="D265" s="143" t="n"/>
      <c r="E265" s="143" t="n"/>
      <c r="F265" s="143" t="n"/>
      <c r="G265" s="143" t="n"/>
      <c r="H265" s="143" t="n"/>
      <c r="I265" s="143" t="n"/>
      <c r="J265" s="137">
        <f>IF($H265="","",ROUND($H265*$I265,2))</f>
        <v/>
      </c>
      <c r="K265" s="137">
        <f>IF(OR($H265="",$J265=""),"",ROUND($H265-$J265,2))</f>
        <v/>
      </c>
      <c r="L265" s="143" t="n"/>
    </row>
    <row r="266" ht="18" customHeight="1" s="102">
      <c r="A266" s="137">
        <f>IF($B266="","","TAH-"&amp;TEXT(ROW()-BaslangicSatir,"000000"))</f>
        <v/>
      </c>
      <c r="B266" s="143" t="n"/>
      <c r="C266" s="143" t="n"/>
      <c r="D266" s="143" t="n"/>
      <c r="E266" s="143" t="n"/>
      <c r="F266" s="143" t="n"/>
      <c r="G266" s="143" t="n"/>
      <c r="H266" s="143" t="n"/>
      <c r="I266" s="143" t="n"/>
      <c r="J266" s="137">
        <f>IF($H266="","",ROUND($H266*$I266,2))</f>
        <v/>
      </c>
      <c r="K266" s="137">
        <f>IF(OR($H266="",$J266=""),"",ROUND($H266-$J266,2))</f>
        <v/>
      </c>
      <c r="L266" s="143" t="n"/>
    </row>
    <row r="267" ht="18" customHeight="1" s="102">
      <c r="A267" s="137">
        <f>IF($B267="","","TAH-"&amp;TEXT(ROW()-BaslangicSatir,"000000"))</f>
        <v/>
      </c>
      <c r="B267" s="143" t="n"/>
      <c r="C267" s="143" t="n"/>
      <c r="D267" s="143" t="n"/>
      <c r="E267" s="143" t="n"/>
      <c r="F267" s="143" t="n"/>
      <c r="G267" s="143" t="n"/>
      <c r="H267" s="143" t="n"/>
      <c r="I267" s="143" t="n"/>
      <c r="J267" s="137">
        <f>IF($H267="","",ROUND($H267*$I267,2))</f>
        <v/>
      </c>
      <c r="K267" s="137">
        <f>IF(OR($H267="",$J267=""),"",ROUND($H267-$J267,2))</f>
        <v/>
      </c>
      <c r="L267" s="143" t="n"/>
    </row>
    <row r="268" ht="18" customHeight="1" s="102">
      <c r="A268" s="137">
        <f>IF($B268="","","TAH-"&amp;TEXT(ROW()-BaslangicSatir,"000000"))</f>
        <v/>
      </c>
      <c r="B268" s="143" t="n"/>
      <c r="C268" s="143" t="n"/>
      <c r="D268" s="143" t="n"/>
      <c r="E268" s="143" t="n"/>
      <c r="F268" s="143" t="n"/>
      <c r="G268" s="143" t="n"/>
      <c r="H268" s="143" t="n"/>
      <c r="I268" s="143" t="n"/>
      <c r="J268" s="137">
        <f>IF($H268="","",ROUND($H268*$I268,2))</f>
        <v/>
      </c>
      <c r="K268" s="137">
        <f>IF(OR($H268="",$J268=""),"",ROUND($H268-$J268,2))</f>
        <v/>
      </c>
      <c r="L268" s="143" t="n"/>
    </row>
    <row r="269" ht="18" customHeight="1" s="102">
      <c r="A269" s="137">
        <f>IF($B269="","","TAH-"&amp;TEXT(ROW()-BaslangicSatir,"000000"))</f>
        <v/>
      </c>
      <c r="B269" s="143" t="n"/>
      <c r="C269" s="143" t="n"/>
      <c r="D269" s="143" t="n"/>
      <c r="E269" s="143" t="n"/>
      <c r="F269" s="143" t="n"/>
      <c r="G269" s="143" t="n"/>
      <c r="H269" s="143" t="n"/>
      <c r="I269" s="143" t="n"/>
      <c r="J269" s="137">
        <f>IF($H269="","",ROUND($H269*$I269,2))</f>
        <v/>
      </c>
      <c r="K269" s="137">
        <f>IF(OR($H269="",$J269=""),"",ROUND($H269-$J269,2))</f>
        <v/>
      </c>
      <c r="L269" s="143" t="n"/>
    </row>
    <row r="270" ht="18" customHeight="1" s="102">
      <c r="A270" s="137">
        <f>IF($B270="","","TAH-"&amp;TEXT(ROW()-BaslangicSatir,"000000"))</f>
        <v/>
      </c>
      <c r="B270" s="143" t="n"/>
      <c r="C270" s="143" t="n"/>
      <c r="D270" s="143" t="n"/>
      <c r="E270" s="143" t="n"/>
      <c r="F270" s="143" t="n"/>
      <c r="G270" s="143" t="n"/>
      <c r="H270" s="143" t="n"/>
      <c r="I270" s="143" t="n"/>
      <c r="J270" s="137">
        <f>IF($H270="","",ROUND($H270*$I270,2))</f>
        <v/>
      </c>
      <c r="K270" s="137">
        <f>IF(OR($H270="",$J270=""),"",ROUND($H270-$J270,2))</f>
        <v/>
      </c>
      <c r="L270" s="143" t="n"/>
    </row>
    <row r="271" ht="18" customHeight="1" s="102">
      <c r="A271" s="137">
        <f>IF($B271="","","TAH-"&amp;TEXT(ROW()-BaslangicSatir,"000000"))</f>
        <v/>
      </c>
      <c r="B271" s="143" t="n"/>
      <c r="C271" s="143" t="n"/>
      <c r="D271" s="143" t="n"/>
      <c r="E271" s="143" t="n"/>
      <c r="F271" s="143" t="n"/>
      <c r="G271" s="143" t="n"/>
      <c r="H271" s="143" t="n"/>
      <c r="I271" s="143" t="n"/>
      <c r="J271" s="137">
        <f>IF($H271="","",ROUND($H271*$I271,2))</f>
        <v/>
      </c>
      <c r="K271" s="137">
        <f>IF(OR($H271="",$J271=""),"",ROUND($H271-$J271,2))</f>
        <v/>
      </c>
      <c r="L271" s="143" t="n"/>
    </row>
    <row r="272" ht="18" customHeight="1" s="102">
      <c r="A272" s="137">
        <f>IF($B272="","","TAH-"&amp;TEXT(ROW()-BaslangicSatir,"000000"))</f>
        <v/>
      </c>
      <c r="B272" s="143" t="n"/>
      <c r="C272" s="143" t="n"/>
      <c r="D272" s="143" t="n"/>
      <c r="E272" s="143" t="n"/>
      <c r="F272" s="143" t="n"/>
      <c r="G272" s="143" t="n"/>
      <c r="H272" s="143" t="n"/>
      <c r="I272" s="143" t="n"/>
      <c r="J272" s="137">
        <f>IF($H272="","",ROUND($H272*$I272,2))</f>
        <v/>
      </c>
      <c r="K272" s="137">
        <f>IF(OR($H272="",$J272=""),"",ROUND($H272-$J272,2))</f>
        <v/>
      </c>
      <c r="L272" s="143" t="n"/>
    </row>
    <row r="273" ht="18" customHeight="1" s="102">
      <c r="A273" s="137">
        <f>IF($B273="","","TAH-"&amp;TEXT(ROW()-BaslangicSatir,"000000"))</f>
        <v/>
      </c>
      <c r="B273" s="143" t="n"/>
      <c r="C273" s="143" t="n"/>
      <c r="D273" s="143" t="n"/>
      <c r="E273" s="143" t="n"/>
      <c r="F273" s="143" t="n"/>
      <c r="G273" s="143" t="n"/>
      <c r="H273" s="143" t="n"/>
      <c r="I273" s="143" t="n"/>
      <c r="J273" s="137">
        <f>IF($H273="","",ROUND($H273*$I273,2))</f>
        <v/>
      </c>
      <c r="K273" s="137">
        <f>IF(OR($H273="",$J273=""),"",ROUND($H273-$J273,2))</f>
        <v/>
      </c>
      <c r="L273" s="143" t="n"/>
    </row>
    <row r="274" ht="18" customHeight="1" s="102">
      <c r="A274" s="137">
        <f>IF($B274="","","TAH-"&amp;TEXT(ROW()-BaslangicSatir,"000000"))</f>
        <v/>
      </c>
      <c r="B274" s="143" t="n"/>
      <c r="C274" s="143" t="n"/>
      <c r="D274" s="143" t="n"/>
      <c r="E274" s="143" t="n"/>
      <c r="F274" s="143" t="n"/>
      <c r="G274" s="143" t="n"/>
      <c r="H274" s="143" t="n"/>
      <c r="I274" s="143" t="n"/>
      <c r="J274" s="137">
        <f>IF($H274="","",ROUND($H274*$I274,2))</f>
        <v/>
      </c>
      <c r="K274" s="137">
        <f>IF(OR($H274="",$J274=""),"",ROUND($H274-$J274,2))</f>
        <v/>
      </c>
      <c r="L274" s="143" t="n"/>
    </row>
    <row r="275" ht="18" customHeight="1" s="102">
      <c r="A275" s="137">
        <f>IF($B275="","","TAH-"&amp;TEXT(ROW()-BaslangicSatir,"000000"))</f>
        <v/>
      </c>
      <c r="B275" s="143" t="n"/>
      <c r="C275" s="143" t="n"/>
      <c r="D275" s="143" t="n"/>
      <c r="E275" s="143" t="n"/>
      <c r="F275" s="143" t="n"/>
      <c r="G275" s="143" t="n"/>
      <c r="H275" s="143" t="n"/>
      <c r="I275" s="143" t="n"/>
      <c r="J275" s="137">
        <f>IF($H275="","",ROUND($H275*$I275,2))</f>
        <v/>
      </c>
      <c r="K275" s="137">
        <f>IF(OR($H275="",$J275=""),"",ROUND($H275-$J275,2))</f>
        <v/>
      </c>
      <c r="L275" s="143" t="n"/>
    </row>
    <row r="276" ht="18" customHeight="1" s="102">
      <c r="A276" s="137">
        <f>IF($B276="","","TAH-"&amp;TEXT(ROW()-BaslangicSatir,"000000"))</f>
        <v/>
      </c>
      <c r="B276" s="143" t="n"/>
      <c r="C276" s="143" t="n"/>
      <c r="D276" s="143" t="n"/>
      <c r="E276" s="143" t="n"/>
      <c r="F276" s="143" t="n"/>
      <c r="G276" s="143" t="n"/>
      <c r="H276" s="143" t="n"/>
      <c r="I276" s="143" t="n"/>
      <c r="J276" s="137">
        <f>IF($H276="","",ROUND($H276*$I276,2))</f>
        <v/>
      </c>
      <c r="K276" s="137">
        <f>IF(OR($H276="",$J276=""),"",ROUND($H276-$J276,2))</f>
        <v/>
      </c>
      <c r="L276" s="143" t="n"/>
    </row>
    <row r="277" ht="18" customHeight="1" s="102">
      <c r="A277" s="137">
        <f>IF($B277="","","TAH-"&amp;TEXT(ROW()-BaslangicSatir,"000000"))</f>
        <v/>
      </c>
      <c r="B277" s="143" t="n"/>
      <c r="C277" s="143" t="n"/>
      <c r="D277" s="143" t="n"/>
      <c r="E277" s="143" t="n"/>
      <c r="F277" s="143" t="n"/>
      <c r="G277" s="143" t="n"/>
      <c r="H277" s="143" t="n"/>
      <c r="I277" s="143" t="n"/>
      <c r="J277" s="137">
        <f>IF($H277="","",ROUND($H277*$I277,2))</f>
        <v/>
      </c>
      <c r="K277" s="137">
        <f>IF(OR($H277="",$J277=""),"",ROUND($H277-$J277,2))</f>
        <v/>
      </c>
      <c r="L277" s="143" t="n"/>
    </row>
    <row r="278" ht="18" customHeight="1" s="102">
      <c r="A278" s="137">
        <f>IF($B278="","","TAH-"&amp;TEXT(ROW()-BaslangicSatir,"000000"))</f>
        <v/>
      </c>
      <c r="B278" s="143" t="n"/>
      <c r="C278" s="143" t="n"/>
      <c r="D278" s="143" t="n"/>
      <c r="E278" s="143" t="n"/>
      <c r="F278" s="143" t="n"/>
      <c r="G278" s="143" t="n"/>
      <c r="H278" s="143" t="n"/>
      <c r="I278" s="143" t="n"/>
      <c r="J278" s="137">
        <f>IF($H278="","",ROUND($H278*$I278,2))</f>
        <v/>
      </c>
      <c r="K278" s="137">
        <f>IF(OR($H278="",$J278=""),"",ROUND($H278-$J278,2))</f>
        <v/>
      </c>
      <c r="L278" s="143" t="n"/>
    </row>
    <row r="279" ht="18" customHeight="1" s="102">
      <c r="A279" s="137">
        <f>IF($B279="","","TAH-"&amp;TEXT(ROW()-BaslangicSatir,"000000"))</f>
        <v/>
      </c>
      <c r="B279" s="143" t="n"/>
      <c r="C279" s="143" t="n"/>
      <c r="D279" s="143" t="n"/>
      <c r="E279" s="143" t="n"/>
      <c r="F279" s="143" t="n"/>
      <c r="G279" s="143" t="n"/>
      <c r="H279" s="143" t="n"/>
      <c r="I279" s="143" t="n"/>
      <c r="J279" s="137">
        <f>IF($H279="","",ROUND($H279*$I279,2))</f>
        <v/>
      </c>
      <c r="K279" s="137">
        <f>IF(OR($H279="",$J279=""),"",ROUND($H279-$J279,2))</f>
        <v/>
      </c>
      <c r="L279" s="143" t="n"/>
    </row>
    <row r="280" ht="18" customHeight="1" s="102">
      <c r="A280" s="137">
        <f>IF($B280="","","TAH-"&amp;TEXT(ROW()-BaslangicSatir,"000000"))</f>
        <v/>
      </c>
      <c r="B280" s="143" t="n"/>
      <c r="C280" s="143" t="n"/>
      <c r="D280" s="143" t="n"/>
      <c r="E280" s="143" t="n"/>
      <c r="F280" s="143" t="n"/>
      <c r="G280" s="143" t="n"/>
      <c r="H280" s="143" t="n"/>
      <c r="I280" s="143" t="n"/>
      <c r="J280" s="137">
        <f>IF($H280="","",ROUND($H280*$I280,2))</f>
        <v/>
      </c>
      <c r="K280" s="137">
        <f>IF(OR($H280="",$J280=""),"",ROUND($H280-$J280,2))</f>
        <v/>
      </c>
      <c r="L280" s="143" t="n"/>
    </row>
    <row r="281" ht="18" customHeight="1" s="102">
      <c r="A281" s="137">
        <f>IF($B281="","","TAH-"&amp;TEXT(ROW()-BaslangicSatir,"000000"))</f>
        <v/>
      </c>
      <c r="B281" s="143" t="n"/>
      <c r="C281" s="143" t="n"/>
      <c r="D281" s="143" t="n"/>
      <c r="E281" s="143" t="n"/>
      <c r="F281" s="143" t="n"/>
      <c r="G281" s="143" t="n"/>
      <c r="H281" s="143" t="n"/>
      <c r="I281" s="143" t="n"/>
      <c r="J281" s="137">
        <f>IF($H281="","",ROUND($H281*$I281,2))</f>
        <v/>
      </c>
      <c r="K281" s="137">
        <f>IF(OR($H281="",$J281=""),"",ROUND($H281-$J281,2))</f>
        <v/>
      </c>
      <c r="L281" s="143" t="n"/>
    </row>
    <row r="282" ht="18" customHeight="1" s="102">
      <c r="A282" s="137">
        <f>IF($B282="","","TAH-"&amp;TEXT(ROW()-BaslangicSatir,"000000"))</f>
        <v/>
      </c>
      <c r="B282" s="143" t="n"/>
      <c r="C282" s="143" t="n"/>
      <c r="D282" s="143" t="n"/>
      <c r="E282" s="143" t="n"/>
      <c r="F282" s="143" t="n"/>
      <c r="G282" s="143" t="n"/>
      <c r="H282" s="143" t="n"/>
      <c r="I282" s="143" t="n"/>
      <c r="J282" s="137">
        <f>IF($H282="","",ROUND($H282*$I282,2))</f>
        <v/>
      </c>
      <c r="K282" s="137">
        <f>IF(OR($H282="",$J282=""),"",ROUND($H282-$J282,2))</f>
        <v/>
      </c>
      <c r="L282" s="143" t="n"/>
    </row>
    <row r="283" ht="18" customHeight="1" s="102">
      <c r="A283" s="137">
        <f>IF($B283="","","TAH-"&amp;TEXT(ROW()-BaslangicSatir,"000000"))</f>
        <v/>
      </c>
      <c r="B283" s="143" t="n"/>
      <c r="C283" s="143" t="n"/>
      <c r="D283" s="143" t="n"/>
      <c r="E283" s="143" t="n"/>
      <c r="F283" s="143" t="n"/>
      <c r="G283" s="143" t="n"/>
      <c r="H283" s="143" t="n"/>
      <c r="I283" s="143" t="n"/>
      <c r="J283" s="137">
        <f>IF($H283="","",ROUND($H283*$I283,2))</f>
        <v/>
      </c>
      <c r="K283" s="137">
        <f>IF(OR($H283="",$J283=""),"",ROUND($H283-$J283,2))</f>
        <v/>
      </c>
      <c r="L283" s="143" t="n"/>
    </row>
    <row r="284" ht="18" customHeight="1" s="102">
      <c r="A284" s="137">
        <f>IF($B284="","","TAH-"&amp;TEXT(ROW()-BaslangicSatir,"000000"))</f>
        <v/>
      </c>
      <c r="B284" s="143" t="n"/>
      <c r="C284" s="143" t="n"/>
      <c r="D284" s="143" t="n"/>
      <c r="E284" s="143" t="n"/>
      <c r="F284" s="143" t="n"/>
      <c r="G284" s="143" t="n"/>
      <c r="H284" s="143" t="n"/>
      <c r="I284" s="143" t="n"/>
      <c r="J284" s="137">
        <f>IF($H284="","",ROUND($H284*$I284,2))</f>
        <v/>
      </c>
      <c r="K284" s="137">
        <f>IF(OR($H284="",$J284=""),"",ROUND($H284-$J284,2))</f>
        <v/>
      </c>
      <c r="L284" s="143" t="n"/>
    </row>
    <row r="285" ht="18" customHeight="1" s="102">
      <c r="A285" s="137">
        <f>IF($B285="","","TAH-"&amp;TEXT(ROW()-BaslangicSatir,"000000"))</f>
        <v/>
      </c>
      <c r="B285" s="143" t="n"/>
      <c r="C285" s="143" t="n"/>
      <c r="D285" s="143" t="n"/>
      <c r="E285" s="143" t="n"/>
      <c r="F285" s="143" t="n"/>
      <c r="G285" s="143" t="n"/>
      <c r="H285" s="143" t="n"/>
      <c r="I285" s="143" t="n"/>
      <c r="J285" s="137">
        <f>IF($H285="","",ROUND($H285*$I285,2))</f>
        <v/>
      </c>
      <c r="K285" s="137">
        <f>IF(OR($H285="",$J285=""),"",ROUND($H285-$J285,2))</f>
        <v/>
      </c>
      <c r="L285" s="143" t="n"/>
    </row>
    <row r="286" ht="18" customHeight="1" s="102">
      <c r="A286" s="137">
        <f>IF($B286="","","TAH-"&amp;TEXT(ROW()-BaslangicSatir,"000000"))</f>
        <v/>
      </c>
      <c r="B286" s="143" t="n"/>
      <c r="C286" s="143" t="n"/>
      <c r="D286" s="143" t="n"/>
      <c r="E286" s="143" t="n"/>
      <c r="F286" s="143" t="n"/>
      <c r="G286" s="143" t="n"/>
      <c r="H286" s="143" t="n"/>
      <c r="I286" s="143" t="n"/>
      <c r="J286" s="137">
        <f>IF($H286="","",ROUND($H286*$I286,2))</f>
        <v/>
      </c>
      <c r="K286" s="137">
        <f>IF(OR($H286="",$J286=""),"",ROUND($H286-$J286,2))</f>
        <v/>
      </c>
      <c r="L286" s="143" t="n"/>
    </row>
    <row r="287" ht="18" customHeight="1" s="102">
      <c r="A287" s="137">
        <f>IF($B287="","","TAH-"&amp;TEXT(ROW()-BaslangicSatir,"000000"))</f>
        <v/>
      </c>
      <c r="B287" s="143" t="n"/>
      <c r="C287" s="143" t="n"/>
      <c r="D287" s="143" t="n"/>
      <c r="E287" s="143" t="n"/>
      <c r="F287" s="143" t="n"/>
      <c r="G287" s="143" t="n"/>
      <c r="H287" s="143" t="n"/>
      <c r="I287" s="143" t="n"/>
      <c r="J287" s="137">
        <f>IF($H287="","",ROUND($H287*$I287,2))</f>
        <v/>
      </c>
      <c r="K287" s="137">
        <f>IF(OR($H287="",$J287=""),"",ROUND($H287-$J287,2))</f>
        <v/>
      </c>
      <c r="L287" s="143" t="n"/>
    </row>
    <row r="288" ht="18" customHeight="1" s="102">
      <c r="A288" s="137">
        <f>IF($B288="","","TAH-"&amp;TEXT(ROW()-BaslangicSatir,"000000"))</f>
        <v/>
      </c>
      <c r="B288" s="143" t="n"/>
      <c r="C288" s="143" t="n"/>
      <c r="D288" s="143" t="n"/>
      <c r="E288" s="143" t="n"/>
      <c r="F288" s="143" t="n"/>
      <c r="G288" s="143" t="n"/>
      <c r="H288" s="143" t="n"/>
      <c r="I288" s="143" t="n"/>
      <c r="J288" s="137">
        <f>IF($H288="","",ROUND($H288*$I288,2))</f>
        <v/>
      </c>
      <c r="K288" s="137">
        <f>IF(OR($H288="",$J288=""),"",ROUND($H288-$J288,2))</f>
        <v/>
      </c>
      <c r="L288" s="143" t="n"/>
    </row>
    <row r="289" ht="18" customHeight="1" s="102">
      <c r="A289" s="137">
        <f>IF($B289="","","TAH-"&amp;TEXT(ROW()-BaslangicSatir,"000000"))</f>
        <v/>
      </c>
      <c r="B289" s="143" t="n"/>
      <c r="C289" s="143" t="n"/>
      <c r="D289" s="143" t="n"/>
      <c r="E289" s="143" t="n"/>
      <c r="F289" s="143" t="n"/>
      <c r="G289" s="143" t="n"/>
      <c r="H289" s="143" t="n"/>
      <c r="I289" s="143" t="n"/>
      <c r="J289" s="137">
        <f>IF($H289="","",ROUND($H289*$I289,2))</f>
        <v/>
      </c>
      <c r="K289" s="137">
        <f>IF(OR($H289="",$J289=""),"",ROUND($H289-$J289,2))</f>
        <v/>
      </c>
      <c r="L289" s="143" t="n"/>
    </row>
    <row r="290" ht="18" customHeight="1" s="102">
      <c r="A290" s="137">
        <f>IF($B290="","","TAH-"&amp;TEXT(ROW()-BaslangicSatir,"000000"))</f>
        <v/>
      </c>
      <c r="B290" s="143" t="n"/>
      <c r="C290" s="143" t="n"/>
      <c r="D290" s="143" t="n"/>
      <c r="E290" s="143" t="n"/>
      <c r="F290" s="143" t="n"/>
      <c r="G290" s="143" t="n"/>
      <c r="H290" s="143" t="n"/>
      <c r="I290" s="143" t="n"/>
      <c r="J290" s="137">
        <f>IF($H290="","",ROUND($H290*$I290,2))</f>
        <v/>
      </c>
      <c r="K290" s="137">
        <f>IF(OR($H290="",$J290=""),"",ROUND($H290-$J290,2))</f>
        <v/>
      </c>
      <c r="L290" s="143" t="n"/>
    </row>
    <row r="291" ht="18" customHeight="1" s="102">
      <c r="A291" s="137">
        <f>IF($B291="","","TAH-"&amp;TEXT(ROW()-BaslangicSatir,"000000"))</f>
        <v/>
      </c>
      <c r="B291" s="143" t="n"/>
      <c r="C291" s="143" t="n"/>
      <c r="D291" s="143" t="n"/>
      <c r="E291" s="143" t="n"/>
      <c r="F291" s="143" t="n"/>
      <c r="G291" s="143" t="n"/>
      <c r="H291" s="143" t="n"/>
      <c r="I291" s="143" t="n"/>
      <c r="J291" s="137">
        <f>IF($H291="","",ROUND($H291*$I291,2))</f>
        <v/>
      </c>
      <c r="K291" s="137">
        <f>IF(OR($H291="",$J291=""),"",ROUND($H291-$J291,2))</f>
        <v/>
      </c>
      <c r="L291" s="143" t="n"/>
    </row>
    <row r="292" ht="18" customHeight="1" s="102">
      <c r="A292" s="137">
        <f>IF($B292="","","TAH-"&amp;TEXT(ROW()-BaslangicSatir,"000000"))</f>
        <v/>
      </c>
      <c r="B292" s="143" t="n"/>
      <c r="C292" s="143" t="n"/>
      <c r="D292" s="143" t="n"/>
      <c r="E292" s="143" t="n"/>
      <c r="F292" s="143" t="n"/>
      <c r="G292" s="143" t="n"/>
      <c r="H292" s="143" t="n"/>
      <c r="I292" s="143" t="n"/>
      <c r="J292" s="137">
        <f>IF($H292="","",ROUND($H292*$I292,2))</f>
        <v/>
      </c>
      <c r="K292" s="137">
        <f>IF(OR($H292="",$J292=""),"",ROUND($H292-$J292,2))</f>
        <v/>
      </c>
      <c r="L292" s="143" t="n"/>
    </row>
    <row r="293" ht="18" customHeight="1" s="102">
      <c r="A293" s="137">
        <f>IF($B293="","","TAH-"&amp;TEXT(ROW()-BaslangicSatir,"000000"))</f>
        <v/>
      </c>
      <c r="B293" s="143" t="n"/>
      <c r="C293" s="143" t="n"/>
      <c r="D293" s="143" t="n"/>
      <c r="E293" s="143" t="n"/>
      <c r="F293" s="143" t="n"/>
      <c r="G293" s="143" t="n"/>
      <c r="H293" s="143" t="n"/>
      <c r="I293" s="143" t="n"/>
      <c r="J293" s="137">
        <f>IF($H293="","",ROUND($H293*$I293,2))</f>
        <v/>
      </c>
      <c r="K293" s="137">
        <f>IF(OR($H293="",$J293=""),"",ROUND($H293-$J293,2))</f>
        <v/>
      </c>
      <c r="L293" s="143" t="n"/>
    </row>
    <row r="294" ht="18" customHeight="1" s="102">
      <c r="A294" s="137">
        <f>IF($B294="","","TAH-"&amp;TEXT(ROW()-BaslangicSatir,"000000"))</f>
        <v/>
      </c>
      <c r="B294" s="143" t="n"/>
      <c r="C294" s="143" t="n"/>
      <c r="D294" s="143" t="n"/>
      <c r="E294" s="143" t="n"/>
      <c r="F294" s="143" t="n"/>
      <c r="G294" s="143" t="n"/>
      <c r="H294" s="143" t="n"/>
      <c r="I294" s="143" t="n"/>
      <c r="J294" s="137">
        <f>IF($H294="","",ROUND($H294*$I294,2))</f>
        <v/>
      </c>
      <c r="K294" s="137">
        <f>IF(OR($H294="",$J294=""),"",ROUND($H294-$J294,2))</f>
        <v/>
      </c>
      <c r="L294" s="143" t="n"/>
    </row>
    <row r="295" ht="18" customHeight="1" s="102">
      <c r="A295" s="137">
        <f>IF($B295="","","TAH-"&amp;TEXT(ROW()-BaslangicSatir,"000000"))</f>
        <v/>
      </c>
      <c r="B295" s="143" t="n"/>
      <c r="C295" s="143" t="n"/>
      <c r="D295" s="143" t="n"/>
      <c r="E295" s="143" t="n"/>
      <c r="F295" s="143" t="n"/>
      <c r="G295" s="143" t="n"/>
      <c r="H295" s="143" t="n"/>
      <c r="I295" s="143" t="n"/>
      <c r="J295" s="137">
        <f>IF($H295="","",ROUND($H295*$I295,2))</f>
        <v/>
      </c>
      <c r="K295" s="137">
        <f>IF(OR($H295="",$J295=""),"",ROUND($H295-$J295,2))</f>
        <v/>
      </c>
      <c r="L295" s="143" t="n"/>
    </row>
    <row r="296" ht="18" customHeight="1" s="102">
      <c r="A296" s="137">
        <f>IF($B296="","","TAH-"&amp;TEXT(ROW()-BaslangicSatir,"000000"))</f>
        <v/>
      </c>
      <c r="B296" s="143" t="n"/>
      <c r="C296" s="143" t="n"/>
      <c r="D296" s="143" t="n"/>
      <c r="E296" s="143" t="n"/>
      <c r="F296" s="143" t="n"/>
      <c r="G296" s="143" t="n"/>
      <c r="H296" s="143" t="n"/>
      <c r="I296" s="143" t="n"/>
      <c r="J296" s="137">
        <f>IF($H296="","",ROUND($H296*$I296,2))</f>
        <v/>
      </c>
      <c r="K296" s="137">
        <f>IF(OR($H296="",$J296=""),"",ROUND($H296-$J296,2))</f>
        <v/>
      </c>
      <c r="L296" s="143" t="n"/>
    </row>
    <row r="297" ht="18" customHeight="1" s="102">
      <c r="A297" s="137">
        <f>IF($B297="","","TAH-"&amp;TEXT(ROW()-BaslangicSatir,"000000"))</f>
        <v/>
      </c>
      <c r="B297" s="143" t="n"/>
      <c r="C297" s="143" t="n"/>
      <c r="D297" s="143" t="n"/>
      <c r="E297" s="143" t="n"/>
      <c r="F297" s="143" t="n"/>
      <c r="G297" s="143" t="n"/>
      <c r="H297" s="143" t="n"/>
      <c r="I297" s="143" t="n"/>
      <c r="J297" s="137">
        <f>IF($H297="","",ROUND($H297*$I297,2))</f>
        <v/>
      </c>
      <c r="K297" s="137">
        <f>IF(OR($H297="",$J297=""),"",ROUND($H297-$J297,2))</f>
        <v/>
      </c>
      <c r="L297" s="143" t="n"/>
    </row>
    <row r="298" ht="18" customHeight="1" s="102">
      <c r="A298" s="137">
        <f>IF($B298="","","TAH-"&amp;TEXT(ROW()-BaslangicSatir,"000000"))</f>
        <v/>
      </c>
      <c r="B298" s="143" t="n"/>
      <c r="C298" s="143" t="n"/>
      <c r="D298" s="143" t="n"/>
      <c r="E298" s="143" t="n"/>
      <c r="F298" s="143" t="n"/>
      <c r="G298" s="143" t="n"/>
      <c r="H298" s="143" t="n"/>
      <c r="I298" s="143" t="n"/>
      <c r="J298" s="137">
        <f>IF($H298="","",ROUND($H298*$I298,2))</f>
        <v/>
      </c>
      <c r="K298" s="137">
        <f>IF(OR($H298="",$J298=""),"",ROUND($H298-$J298,2))</f>
        <v/>
      </c>
      <c r="L298" s="143" t="n"/>
    </row>
    <row r="299" ht="18" customHeight="1" s="102">
      <c r="A299" s="137">
        <f>IF($B299="","","TAH-"&amp;TEXT(ROW()-BaslangicSatir,"000000"))</f>
        <v/>
      </c>
      <c r="B299" s="143" t="n"/>
      <c r="C299" s="143" t="n"/>
      <c r="D299" s="143" t="n"/>
      <c r="E299" s="143" t="n"/>
      <c r="F299" s="143" t="n"/>
      <c r="G299" s="143" t="n"/>
      <c r="H299" s="143" t="n"/>
      <c r="I299" s="143" t="n"/>
      <c r="J299" s="137">
        <f>IF($H299="","",ROUND($H299*$I299,2))</f>
        <v/>
      </c>
      <c r="K299" s="137">
        <f>IF(OR($H299="",$J299=""),"",ROUND($H299-$J299,2))</f>
        <v/>
      </c>
      <c r="L299" s="143" t="n"/>
    </row>
    <row r="300" ht="18" customHeight="1" s="102">
      <c r="A300" s="137">
        <f>IF($B300="","","TAH-"&amp;TEXT(ROW()-BaslangicSatir,"000000"))</f>
        <v/>
      </c>
      <c r="B300" s="143" t="n"/>
      <c r="C300" s="143" t="n"/>
      <c r="D300" s="143" t="n"/>
      <c r="E300" s="143" t="n"/>
      <c r="F300" s="143" t="n"/>
      <c r="G300" s="143" t="n"/>
      <c r="H300" s="143" t="n"/>
      <c r="I300" s="143" t="n"/>
      <c r="J300" s="137">
        <f>IF($H300="","",ROUND($H300*$I300,2))</f>
        <v/>
      </c>
      <c r="K300" s="137">
        <f>IF(OR($H300="",$J300=""),"",ROUND($H300-$J300,2))</f>
        <v/>
      </c>
      <c r="L300" s="143" t="n"/>
    </row>
    <row r="301" ht="18" customHeight="1" s="102">
      <c r="A301" s="137">
        <f>IF($B301="","","TAH-"&amp;TEXT(ROW()-BaslangicSatir,"000000"))</f>
        <v/>
      </c>
      <c r="B301" s="143" t="n"/>
      <c r="C301" s="143" t="n"/>
      <c r="D301" s="143" t="n"/>
      <c r="E301" s="143" t="n"/>
      <c r="F301" s="143" t="n"/>
      <c r="G301" s="143" t="n"/>
      <c r="H301" s="143" t="n"/>
      <c r="I301" s="143" t="n"/>
      <c r="J301" s="137">
        <f>IF($H301="","",ROUND($H301*$I301,2))</f>
        <v/>
      </c>
      <c r="K301" s="137">
        <f>IF(OR($H301="",$J301=""),"",ROUND($H301-$J301,2))</f>
        <v/>
      </c>
      <c r="L301" s="143" t="n"/>
    </row>
    <row r="302" ht="18" customHeight="1" s="102">
      <c r="A302" s="137">
        <f>IF($B302="","","TAH-"&amp;TEXT(ROW()-BaslangicSatir,"000000"))</f>
        <v/>
      </c>
      <c r="B302" s="143" t="n"/>
      <c r="C302" s="143" t="n"/>
      <c r="D302" s="143" t="n"/>
      <c r="E302" s="143" t="n"/>
      <c r="F302" s="143" t="n"/>
      <c r="G302" s="143" t="n"/>
      <c r="H302" s="143" t="n"/>
      <c r="I302" s="143" t="n"/>
      <c r="J302" s="137">
        <f>IF($H302="","",ROUND($H302*$I302,2))</f>
        <v/>
      </c>
      <c r="K302" s="137">
        <f>IF(OR($H302="",$J302=""),"",ROUND($H302-$J302,2))</f>
        <v/>
      </c>
      <c r="L302" s="143" t="n"/>
    </row>
    <row r="303" ht="18" customHeight="1" s="102">
      <c r="A303" s="137">
        <f>IF($B303="","","TAH-"&amp;TEXT(ROW()-BaslangicSatir,"000000"))</f>
        <v/>
      </c>
      <c r="B303" s="143" t="n"/>
      <c r="C303" s="143" t="n"/>
      <c r="D303" s="143" t="n"/>
      <c r="E303" s="143" t="n"/>
      <c r="F303" s="143" t="n"/>
      <c r="G303" s="143" t="n"/>
      <c r="H303" s="143" t="n"/>
      <c r="I303" s="143" t="n"/>
      <c r="J303" s="137">
        <f>IF($H303="","",ROUND($H303*$I303,2))</f>
        <v/>
      </c>
      <c r="K303" s="137">
        <f>IF(OR($H303="",$J303=""),"",ROUND($H303-$J303,2))</f>
        <v/>
      </c>
      <c r="L303" s="143" t="n"/>
    </row>
    <row r="304" ht="18" customHeight="1" s="102">
      <c r="A304" s="137">
        <f>IF($B304="","","TAH-"&amp;TEXT(ROW()-BaslangicSatir,"000000"))</f>
        <v/>
      </c>
      <c r="B304" s="143" t="n"/>
      <c r="C304" s="143" t="n"/>
      <c r="D304" s="143" t="n"/>
      <c r="E304" s="143" t="n"/>
      <c r="F304" s="143" t="n"/>
      <c r="G304" s="143" t="n"/>
      <c r="H304" s="143" t="n"/>
      <c r="I304" s="143" t="n"/>
      <c r="J304" s="137">
        <f>IF($H304="","",ROUND($H304*$I304,2))</f>
        <v/>
      </c>
      <c r="K304" s="137">
        <f>IF(OR($H304="",$J304=""),"",ROUND($H304-$J304,2))</f>
        <v/>
      </c>
      <c r="L304" s="143" t="n"/>
    </row>
    <row r="305" ht="18" customHeight="1" s="102">
      <c r="A305" s="137">
        <f>IF($B305="","","TAH-"&amp;TEXT(ROW()-BaslangicSatir,"000000"))</f>
        <v/>
      </c>
      <c r="B305" s="143" t="n"/>
      <c r="C305" s="143" t="n"/>
      <c r="D305" s="143" t="n"/>
      <c r="E305" s="143" t="n"/>
      <c r="F305" s="143" t="n"/>
      <c r="G305" s="143" t="n"/>
      <c r="H305" s="143" t="n"/>
      <c r="I305" s="143" t="n"/>
      <c r="J305" s="137">
        <f>IF($H305="","",ROUND($H305*$I305,2))</f>
        <v/>
      </c>
      <c r="K305" s="137">
        <f>IF(OR($H305="",$J305=""),"",ROUND($H305-$J305,2))</f>
        <v/>
      </c>
      <c r="L305" s="143" t="n"/>
    </row>
    <row r="306" ht="18" customHeight="1" s="102">
      <c r="A306" s="137">
        <f>IF($B306="","","TAH-"&amp;TEXT(ROW()-BaslangicSatir,"000000"))</f>
        <v/>
      </c>
      <c r="B306" s="143" t="n"/>
      <c r="C306" s="143" t="n"/>
      <c r="D306" s="143" t="n"/>
      <c r="E306" s="143" t="n"/>
      <c r="F306" s="143" t="n"/>
      <c r="G306" s="143" t="n"/>
      <c r="H306" s="143" t="n"/>
      <c r="I306" s="143" t="n"/>
      <c r="J306" s="137">
        <f>IF($H306="","",ROUND($H306*$I306,2))</f>
        <v/>
      </c>
      <c r="K306" s="137">
        <f>IF(OR($H306="",$J306=""),"",ROUND($H306-$J306,2))</f>
        <v/>
      </c>
      <c r="L306" s="143" t="n"/>
    </row>
    <row r="307" ht="18" customHeight="1" s="102">
      <c r="A307" s="137">
        <f>IF($B307="","","TAH-"&amp;TEXT(ROW()-BaslangicSatir,"000000"))</f>
        <v/>
      </c>
      <c r="B307" s="143" t="n"/>
      <c r="C307" s="143" t="n"/>
      <c r="D307" s="143" t="n"/>
      <c r="E307" s="143" t="n"/>
      <c r="F307" s="143" t="n"/>
      <c r="G307" s="143" t="n"/>
      <c r="H307" s="143" t="n"/>
      <c r="I307" s="143" t="n"/>
      <c r="J307" s="137">
        <f>IF($H307="","",ROUND($H307*$I307,2))</f>
        <v/>
      </c>
      <c r="K307" s="137">
        <f>IF(OR($H307="",$J307=""),"",ROUND($H307-$J307,2))</f>
        <v/>
      </c>
      <c r="L307" s="143" t="n"/>
    </row>
    <row r="308" ht="18" customHeight="1" s="102">
      <c r="A308" s="137">
        <f>IF($B308="","","TAH-"&amp;TEXT(ROW()-BaslangicSatir,"000000"))</f>
        <v/>
      </c>
      <c r="B308" s="143" t="n"/>
      <c r="C308" s="143" t="n"/>
      <c r="D308" s="143" t="n"/>
      <c r="E308" s="143" t="n"/>
      <c r="F308" s="143" t="n"/>
      <c r="G308" s="143" t="n"/>
      <c r="H308" s="143" t="n"/>
      <c r="I308" s="143" t="n"/>
      <c r="J308" s="137">
        <f>IF($H308="","",ROUND($H308*$I308,2))</f>
        <v/>
      </c>
      <c r="K308" s="137">
        <f>IF(OR($H308="",$J308=""),"",ROUND($H308-$J308,2))</f>
        <v/>
      </c>
      <c r="L308" s="143" t="n"/>
    </row>
    <row r="309" ht="18" customHeight="1" s="102">
      <c r="A309" s="137">
        <f>IF($B309="","","TAH-"&amp;TEXT(ROW()-BaslangicSatir,"000000"))</f>
        <v/>
      </c>
      <c r="B309" s="143" t="n"/>
      <c r="C309" s="143" t="n"/>
      <c r="D309" s="143" t="n"/>
      <c r="E309" s="143" t="n"/>
      <c r="F309" s="143" t="n"/>
      <c r="G309" s="143" t="n"/>
      <c r="H309" s="143" t="n"/>
      <c r="I309" s="143" t="n"/>
      <c r="J309" s="137">
        <f>IF($H309="","",ROUND($H309*$I309,2))</f>
        <v/>
      </c>
      <c r="K309" s="137">
        <f>IF(OR($H309="",$J309=""),"",ROUND($H309-$J309,2))</f>
        <v/>
      </c>
      <c r="L309" s="143" t="n"/>
    </row>
    <row r="310" ht="18" customHeight="1" s="102">
      <c r="A310" s="137">
        <f>IF($B310="","","TAH-"&amp;TEXT(ROW()-BaslangicSatir,"000000"))</f>
        <v/>
      </c>
      <c r="B310" s="143" t="n"/>
      <c r="C310" s="143" t="n"/>
      <c r="D310" s="143" t="n"/>
      <c r="E310" s="143" t="n"/>
      <c r="F310" s="143" t="n"/>
      <c r="G310" s="143" t="n"/>
      <c r="H310" s="143" t="n"/>
      <c r="I310" s="143" t="n"/>
      <c r="J310" s="137">
        <f>IF($H310="","",ROUND($H310*$I310,2))</f>
        <v/>
      </c>
      <c r="K310" s="137">
        <f>IF(OR($H310="",$J310=""),"",ROUND($H310-$J310,2))</f>
        <v/>
      </c>
      <c r="L310" s="143" t="n"/>
    </row>
    <row r="311" ht="18" customHeight="1" s="102">
      <c r="A311" s="137">
        <f>IF($B311="","","TAH-"&amp;TEXT(ROW()-BaslangicSatir,"000000"))</f>
        <v/>
      </c>
      <c r="B311" s="143" t="n"/>
      <c r="C311" s="143" t="n"/>
      <c r="D311" s="143" t="n"/>
      <c r="E311" s="143" t="n"/>
      <c r="F311" s="143" t="n"/>
      <c r="G311" s="143" t="n"/>
      <c r="H311" s="143" t="n"/>
      <c r="I311" s="143" t="n"/>
      <c r="J311" s="137">
        <f>IF($H311="","",ROUND($H311*$I311,2))</f>
        <v/>
      </c>
      <c r="K311" s="137">
        <f>IF(OR($H311="",$J311=""),"",ROUND($H311-$J311,2))</f>
        <v/>
      </c>
      <c r="L311" s="143" t="n"/>
    </row>
    <row r="312" ht="18" customHeight="1" s="102">
      <c r="A312" s="137">
        <f>IF($B312="","","TAH-"&amp;TEXT(ROW()-BaslangicSatir,"000000"))</f>
        <v/>
      </c>
      <c r="B312" s="143" t="n"/>
      <c r="C312" s="143" t="n"/>
      <c r="D312" s="143" t="n"/>
      <c r="E312" s="143" t="n"/>
      <c r="F312" s="143" t="n"/>
      <c r="G312" s="143" t="n"/>
      <c r="H312" s="143" t="n"/>
      <c r="I312" s="143" t="n"/>
      <c r="J312" s="137">
        <f>IF($H312="","",ROUND($H312*$I312,2))</f>
        <v/>
      </c>
      <c r="K312" s="137">
        <f>IF(OR($H312="",$J312=""),"",ROUND($H312-$J312,2))</f>
        <v/>
      </c>
      <c r="L312" s="143" t="n"/>
    </row>
    <row r="313" ht="18" customHeight="1" s="102">
      <c r="A313" s="137">
        <f>IF($B313="","","TAH-"&amp;TEXT(ROW()-BaslangicSatir,"000000"))</f>
        <v/>
      </c>
      <c r="B313" s="143" t="n"/>
      <c r="C313" s="143" t="n"/>
      <c r="D313" s="143" t="n"/>
      <c r="E313" s="143" t="n"/>
      <c r="F313" s="143" t="n"/>
      <c r="G313" s="143" t="n"/>
      <c r="H313" s="143" t="n"/>
      <c r="I313" s="143" t="n"/>
      <c r="J313" s="137">
        <f>IF($H313="","",ROUND($H313*$I313,2))</f>
        <v/>
      </c>
      <c r="K313" s="137">
        <f>IF(OR($H313="",$J313=""),"",ROUND($H313-$J313,2))</f>
        <v/>
      </c>
      <c r="L313" s="143" t="n"/>
    </row>
    <row r="314" ht="18" customHeight="1" s="102">
      <c r="A314" s="137">
        <f>IF($B314="","","TAH-"&amp;TEXT(ROW()-BaslangicSatir,"000000"))</f>
        <v/>
      </c>
      <c r="B314" s="143" t="n"/>
      <c r="C314" s="143" t="n"/>
      <c r="D314" s="143" t="n"/>
      <c r="E314" s="143" t="n"/>
      <c r="F314" s="143" t="n"/>
      <c r="G314" s="143" t="n"/>
      <c r="H314" s="143" t="n"/>
      <c r="I314" s="143" t="n"/>
      <c r="J314" s="137">
        <f>IF($H314="","",ROUND($H314*$I314,2))</f>
        <v/>
      </c>
      <c r="K314" s="137">
        <f>IF(OR($H314="",$J314=""),"",ROUND($H314-$J314,2))</f>
        <v/>
      </c>
      <c r="L314" s="143" t="n"/>
    </row>
    <row r="315" ht="18" customHeight="1" s="102">
      <c r="A315" s="137">
        <f>IF($B315="","","TAH-"&amp;TEXT(ROW()-BaslangicSatir,"000000"))</f>
        <v/>
      </c>
      <c r="B315" s="143" t="n"/>
      <c r="C315" s="143" t="n"/>
      <c r="D315" s="143" t="n"/>
      <c r="E315" s="143" t="n"/>
      <c r="F315" s="143" t="n"/>
      <c r="G315" s="143" t="n"/>
      <c r="H315" s="143" t="n"/>
      <c r="I315" s="143" t="n"/>
      <c r="J315" s="137">
        <f>IF($H315="","",ROUND($H315*$I315,2))</f>
        <v/>
      </c>
      <c r="K315" s="137">
        <f>IF(OR($H315="",$J315=""),"",ROUND($H315-$J315,2))</f>
        <v/>
      </c>
      <c r="L315" s="143" t="n"/>
    </row>
    <row r="316" ht="18" customHeight="1" s="102">
      <c r="A316" s="137">
        <f>IF($B316="","","TAH-"&amp;TEXT(ROW()-BaslangicSatir,"000000"))</f>
        <v/>
      </c>
      <c r="B316" s="143" t="n"/>
      <c r="C316" s="143" t="n"/>
      <c r="D316" s="143" t="n"/>
      <c r="E316" s="143" t="n"/>
      <c r="F316" s="143" t="n"/>
      <c r="G316" s="143" t="n"/>
      <c r="H316" s="143" t="n"/>
      <c r="I316" s="143" t="n"/>
      <c r="J316" s="137">
        <f>IF($H316="","",ROUND($H316*$I316,2))</f>
        <v/>
      </c>
      <c r="K316" s="137">
        <f>IF(OR($H316="",$J316=""),"",ROUND($H316-$J316,2))</f>
        <v/>
      </c>
      <c r="L316" s="143" t="n"/>
    </row>
    <row r="317" ht="18" customHeight="1" s="102">
      <c r="A317" s="137">
        <f>IF($B317="","","TAH-"&amp;TEXT(ROW()-BaslangicSatir,"000000"))</f>
        <v/>
      </c>
      <c r="B317" s="143" t="n"/>
      <c r="C317" s="143" t="n"/>
      <c r="D317" s="143" t="n"/>
      <c r="E317" s="143" t="n"/>
      <c r="F317" s="143" t="n"/>
      <c r="G317" s="143" t="n"/>
      <c r="H317" s="143" t="n"/>
      <c r="I317" s="143" t="n"/>
      <c r="J317" s="137">
        <f>IF($H317="","",ROUND($H317*$I317,2))</f>
        <v/>
      </c>
      <c r="K317" s="137">
        <f>IF(OR($H317="",$J317=""),"",ROUND($H317-$J317,2))</f>
        <v/>
      </c>
      <c r="L317" s="143" t="n"/>
    </row>
    <row r="318" ht="18" customHeight="1" s="102">
      <c r="A318" s="137">
        <f>IF($B318="","","TAH-"&amp;TEXT(ROW()-BaslangicSatir,"000000"))</f>
        <v/>
      </c>
      <c r="B318" s="143" t="n"/>
      <c r="C318" s="143" t="n"/>
      <c r="D318" s="143" t="n"/>
      <c r="E318" s="143" t="n"/>
      <c r="F318" s="143" t="n"/>
      <c r="G318" s="143" t="n"/>
      <c r="H318" s="143" t="n"/>
      <c r="I318" s="143" t="n"/>
      <c r="J318" s="137">
        <f>IF($H318="","",ROUND($H318*$I318,2))</f>
        <v/>
      </c>
      <c r="K318" s="137">
        <f>IF(OR($H318="",$J318=""),"",ROUND($H318-$J318,2))</f>
        <v/>
      </c>
      <c r="L318" s="143" t="n"/>
    </row>
    <row r="319" ht="18" customHeight="1" s="102">
      <c r="A319" s="137">
        <f>IF($B319="","","TAH-"&amp;TEXT(ROW()-BaslangicSatir,"000000"))</f>
        <v/>
      </c>
      <c r="B319" s="143" t="n"/>
      <c r="C319" s="143" t="n"/>
      <c r="D319" s="143" t="n"/>
      <c r="E319" s="143" t="n"/>
      <c r="F319" s="143" t="n"/>
      <c r="G319" s="143" t="n"/>
      <c r="H319" s="143" t="n"/>
      <c r="I319" s="143" t="n"/>
      <c r="J319" s="137">
        <f>IF($H319="","",ROUND($H319*$I319,2))</f>
        <v/>
      </c>
      <c r="K319" s="137">
        <f>IF(OR($H319="",$J319=""),"",ROUND($H319-$J319,2))</f>
        <v/>
      </c>
      <c r="L319" s="143" t="n"/>
    </row>
    <row r="320" ht="18" customHeight="1" s="102">
      <c r="A320" s="137">
        <f>IF($B320="","","TAH-"&amp;TEXT(ROW()-BaslangicSatir,"000000"))</f>
        <v/>
      </c>
      <c r="B320" s="143" t="n"/>
      <c r="C320" s="143" t="n"/>
      <c r="D320" s="143" t="n"/>
      <c r="E320" s="143" t="n"/>
      <c r="F320" s="143" t="n"/>
      <c r="G320" s="143" t="n"/>
      <c r="H320" s="143" t="n"/>
      <c r="I320" s="143" t="n"/>
      <c r="J320" s="137">
        <f>IF($H320="","",ROUND($H320*$I320,2))</f>
        <v/>
      </c>
      <c r="K320" s="137">
        <f>IF(OR($H320="",$J320=""),"",ROUND($H320-$J320,2))</f>
        <v/>
      </c>
      <c r="L320" s="143" t="n"/>
    </row>
    <row r="321" ht="18" customHeight="1" s="102">
      <c r="A321" s="137">
        <f>IF($B321="","","TAH-"&amp;TEXT(ROW()-BaslangicSatir,"000000"))</f>
        <v/>
      </c>
      <c r="B321" s="143" t="n"/>
      <c r="C321" s="143" t="n"/>
      <c r="D321" s="143" t="n"/>
      <c r="E321" s="143" t="n"/>
      <c r="F321" s="143" t="n"/>
      <c r="G321" s="143" t="n"/>
      <c r="H321" s="143" t="n"/>
      <c r="I321" s="143" t="n"/>
      <c r="J321" s="137">
        <f>IF($H321="","",ROUND($H321*$I321,2))</f>
        <v/>
      </c>
      <c r="K321" s="137">
        <f>IF(OR($H321="",$J321=""),"",ROUND($H321-$J321,2))</f>
        <v/>
      </c>
      <c r="L321" s="143" t="n"/>
    </row>
    <row r="322" ht="18" customHeight="1" s="102">
      <c r="A322" s="137">
        <f>IF($B322="","","TAH-"&amp;TEXT(ROW()-BaslangicSatir,"000000"))</f>
        <v/>
      </c>
      <c r="B322" s="143" t="n"/>
      <c r="C322" s="143" t="n"/>
      <c r="D322" s="143" t="n"/>
      <c r="E322" s="143" t="n"/>
      <c r="F322" s="143" t="n"/>
      <c r="G322" s="143" t="n"/>
      <c r="H322" s="143" t="n"/>
      <c r="I322" s="143" t="n"/>
      <c r="J322" s="137">
        <f>IF($H322="","",ROUND($H322*$I322,2))</f>
        <v/>
      </c>
      <c r="K322" s="137">
        <f>IF(OR($H322="",$J322=""),"",ROUND($H322-$J322,2))</f>
        <v/>
      </c>
      <c r="L322" s="143" t="n"/>
    </row>
    <row r="323" ht="18" customHeight="1" s="102">
      <c r="A323" s="137">
        <f>IF($B323="","","TAH-"&amp;TEXT(ROW()-BaslangicSatir,"000000"))</f>
        <v/>
      </c>
      <c r="B323" s="143" t="n"/>
      <c r="C323" s="143" t="n"/>
      <c r="D323" s="143" t="n"/>
      <c r="E323" s="143" t="n"/>
      <c r="F323" s="143" t="n"/>
      <c r="G323" s="143" t="n"/>
      <c r="H323" s="143" t="n"/>
      <c r="I323" s="143" t="n"/>
      <c r="J323" s="137">
        <f>IF($H323="","",ROUND($H323*$I323,2))</f>
        <v/>
      </c>
      <c r="K323" s="137">
        <f>IF(OR($H323="",$J323=""),"",ROUND($H323-$J323,2))</f>
        <v/>
      </c>
      <c r="L323" s="143" t="n"/>
    </row>
    <row r="324" ht="18" customHeight="1" s="102">
      <c r="A324" s="137">
        <f>IF($B324="","","TAH-"&amp;TEXT(ROW()-BaslangicSatir,"000000"))</f>
        <v/>
      </c>
      <c r="B324" s="143" t="n"/>
      <c r="C324" s="143" t="n"/>
      <c r="D324" s="143" t="n"/>
      <c r="E324" s="143" t="n"/>
      <c r="F324" s="143" t="n"/>
      <c r="G324" s="143" t="n"/>
      <c r="H324" s="143" t="n"/>
      <c r="I324" s="143" t="n"/>
      <c r="J324" s="137">
        <f>IF($H324="","",ROUND($H324*$I324,2))</f>
        <v/>
      </c>
      <c r="K324" s="137">
        <f>IF(OR($H324="",$J324=""),"",ROUND($H324-$J324,2))</f>
        <v/>
      </c>
      <c r="L324" s="143" t="n"/>
    </row>
    <row r="325" ht="18" customHeight="1" s="102">
      <c r="A325" s="137">
        <f>IF($B325="","","TAH-"&amp;TEXT(ROW()-BaslangicSatir,"000000"))</f>
        <v/>
      </c>
      <c r="B325" s="143" t="n"/>
      <c r="C325" s="143" t="n"/>
      <c r="D325" s="143" t="n"/>
      <c r="E325" s="143" t="n"/>
      <c r="F325" s="143" t="n"/>
      <c r="G325" s="143" t="n"/>
      <c r="H325" s="143" t="n"/>
      <c r="I325" s="143" t="n"/>
      <c r="J325" s="137">
        <f>IF($H325="","",ROUND($H325*$I325,2))</f>
        <v/>
      </c>
      <c r="K325" s="137">
        <f>IF(OR($H325="",$J325=""),"",ROUND($H325-$J325,2))</f>
        <v/>
      </c>
      <c r="L325" s="143" t="n"/>
    </row>
    <row r="326" ht="18" customHeight="1" s="102">
      <c r="A326" s="137">
        <f>IF($B326="","","TAH-"&amp;TEXT(ROW()-BaslangicSatir,"000000"))</f>
        <v/>
      </c>
      <c r="B326" s="143" t="n"/>
      <c r="C326" s="143" t="n"/>
      <c r="D326" s="143" t="n"/>
      <c r="E326" s="143" t="n"/>
      <c r="F326" s="143" t="n"/>
      <c r="G326" s="143" t="n"/>
      <c r="H326" s="143" t="n"/>
      <c r="I326" s="143" t="n"/>
      <c r="J326" s="137">
        <f>IF($H326="","",ROUND($H326*$I326,2))</f>
        <v/>
      </c>
      <c r="K326" s="137">
        <f>IF(OR($H326="",$J326=""),"",ROUND($H326-$J326,2))</f>
        <v/>
      </c>
      <c r="L326" s="143" t="n"/>
    </row>
    <row r="327" ht="18" customHeight="1" s="102">
      <c r="A327" s="137">
        <f>IF($B327="","","TAH-"&amp;TEXT(ROW()-BaslangicSatir,"000000"))</f>
        <v/>
      </c>
      <c r="B327" s="143" t="n"/>
      <c r="C327" s="143" t="n"/>
      <c r="D327" s="143" t="n"/>
      <c r="E327" s="143" t="n"/>
      <c r="F327" s="143" t="n"/>
      <c r="G327" s="143" t="n"/>
      <c r="H327" s="143" t="n"/>
      <c r="I327" s="143" t="n"/>
      <c r="J327" s="137">
        <f>IF($H327="","",ROUND($H327*$I327,2))</f>
        <v/>
      </c>
      <c r="K327" s="137">
        <f>IF(OR($H327="",$J327=""),"",ROUND($H327-$J327,2))</f>
        <v/>
      </c>
      <c r="L327" s="143" t="n"/>
    </row>
    <row r="328" ht="18" customHeight="1" s="102">
      <c r="A328" s="137">
        <f>IF($B328="","","TAH-"&amp;TEXT(ROW()-BaslangicSatir,"000000"))</f>
        <v/>
      </c>
      <c r="B328" s="143" t="n"/>
      <c r="C328" s="143" t="n"/>
      <c r="D328" s="143" t="n"/>
      <c r="E328" s="143" t="n"/>
      <c r="F328" s="143" t="n"/>
      <c r="G328" s="143" t="n"/>
      <c r="H328" s="143" t="n"/>
      <c r="I328" s="143" t="n"/>
      <c r="J328" s="137">
        <f>IF($H328="","",ROUND($H328*$I328,2))</f>
        <v/>
      </c>
      <c r="K328" s="137">
        <f>IF(OR($H328="",$J328=""),"",ROUND($H328-$J328,2))</f>
        <v/>
      </c>
      <c r="L328" s="143" t="n"/>
    </row>
    <row r="329" ht="18" customHeight="1" s="102">
      <c r="A329" s="137">
        <f>IF($B329="","","TAH-"&amp;TEXT(ROW()-BaslangicSatir,"000000"))</f>
        <v/>
      </c>
      <c r="B329" s="143" t="n"/>
      <c r="C329" s="143" t="n"/>
      <c r="D329" s="143" t="n"/>
      <c r="E329" s="143" t="n"/>
      <c r="F329" s="143" t="n"/>
      <c r="G329" s="143" t="n"/>
      <c r="H329" s="143" t="n"/>
      <c r="I329" s="143" t="n"/>
      <c r="J329" s="137">
        <f>IF($H329="","",ROUND($H329*$I329,2))</f>
        <v/>
      </c>
      <c r="K329" s="137">
        <f>IF(OR($H329="",$J329=""),"",ROUND($H329-$J329,2))</f>
        <v/>
      </c>
      <c r="L329" s="143" t="n"/>
    </row>
    <row r="330" ht="18" customHeight="1" s="102">
      <c r="A330" s="137">
        <f>IF($B330="","","TAH-"&amp;TEXT(ROW()-BaslangicSatir,"000000"))</f>
        <v/>
      </c>
      <c r="B330" s="143" t="n"/>
      <c r="C330" s="143" t="n"/>
      <c r="D330" s="143" t="n"/>
      <c r="E330" s="143" t="n"/>
      <c r="F330" s="143" t="n"/>
      <c r="G330" s="143" t="n"/>
      <c r="H330" s="143" t="n"/>
      <c r="I330" s="143" t="n"/>
      <c r="J330" s="137">
        <f>IF($H330="","",ROUND($H330*$I330,2))</f>
        <v/>
      </c>
      <c r="K330" s="137">
        <f>IF(OR($H330="",$J330=""),"",ROUND($H330-$J330,2))</f>
        <v/>
      </c>
      <c r="L330" s="143" t="n"/>
    </row>
    <row r="331" ht="18" customHeight="1" s="102">
      <c r="A331" s="137">
        <f>IF($B331="","","TAH-"&amp;TEXT(ROW()-BaslangicSatir,"000000"))</f>
        <v/>
      </c>
      <c r="B331" s="143" t="n"/>
      <c r="C331" s="143" t="n"/>
      <c r="D331" s="143" t="n"/>
      <c r="E331" s="143" t="n"/>
      <c r="F331" s="143" t="n"/>
      <c r="G331" s="143" t="n"/>
      <c r="H331" s="143" t="n"/>
      <c r="I331" s="143" t="n"/>
      <c r="J331" s="137">
        <f>IF($H331="","",ROUND($H331*$I331,2))</f>
        <v/>
      </c>
      <c r="K331" s="137">
        <f>IF(OR($H331="",$J331=""),"",ROUND($H331-$J331,2))</f>
        <v/>
      </c>
      <c r="L331" s="143" t="n"/>
    </row>
    <row r="332" ht="18" customHeight="1" s="102">
      <c r="A332" s="137">
        <f>IF($B332="","","TAH-"&amp;TEXT(ROW()-BaslangicSatir,"000000"))</f>
        <v/>
      </c>
      <c r="B332" s="143" t="n"/>
      <c r="C332" s="143" t="n"/>
      <c r="D332" s="143" t="n"/>
      <c r="E332" s="143" t="n"/>
      <c r="F332" s="143" t="n"/>
      <c r="G332" s="143" t="n"/>
      <c r="H332" s="143" t="n"/>
      <c r="I332" s="143" t="n"/>
      <c r="J332" s="137">
        <f>IF($H332="","",ROUND($H332*$I332,2))</f>
        <v/>
      </c>
      <c r="K332" s="137">
        <f>IF(OR($H332="",$J332=""),"",ROUND($H332-$J332,2))</f>
        <v/>
      </c>
      <c r="L332" s="143" t="n"/>
    </row>
    <row r="333" ht="18" customHeight="1" s="102">
      <c r="A333" s="137">
        <f>IF($B333="","","TAH-"&amp;TEXT(ROW()-BaslangicSatir,"000000"))</f>
        <v/>
      </c>
      <c r="B333" s="143" t="n"/>
      <c r="C333" s="143" t="n"/>
      <c r="D333" s="143" t="n"/>
      <c r="E333" s="143" t="n"/>
      <c r="F333" s="143" t="n"/>
      <c r="G333" s="143" t="n"/>
      <c r="H333" s="143" t="n"/>
      <c r="I333" s="143" t="n"/>
      <c r="J333" s="137">
        <f>IF($H333="","",ROUND($H333*$I333,2))</f>
        <v/>
      </c>
      <c r="K333" s="137">
        <f>IF(OR($H333="",$J333=""),"",ROUND($H333-$J333,2))</f>
        <v/>
      </c>
      <c r="L333" s="143" t="n"/>
    </row>
    <row r="334" ht="18" customHeight="1" s="102">
      <c r="A334" s="137">
        <f>IF($B334="","","TAH-"&amp;TEXT(ROW()-BaslangicSatir,"000000"))</f>
        <v/>
      </c>
      <c r="B334" s="143" t="n"/>
      <c r="C334" s="143" t="n"/>
      <c r="D334" s="143" t="n"/>
      <c r="E334" s="143" t="n"/>
      <c r="F334" s="143" t="n"/>
      <c r="G334" s="143" t="n"/>
      <c r="H334" s="143" t="n"/>
      <c r="I334" s="143" t="n"/>
      <c r="J334" s="137">
        <f>IF($H334="","",ROUND($H334*$I334,2))</f>
        <v/>
      </c>
      <c r="K334" s="137">
        <f>IF(OR($H334="",$J334=""),"",ROUND($H334-$J334,2))</f>
        <v/>
      </c>
      <c r="L334" s="143" t="n"/>
    </row>
    <row r="335" ht="18" customHeight="1" s="102">
      <c r="A335" s="137">
        <f>IF($B335="","","TAH-"&amp;TEXT(ROW()-BaslangicSatir,"000000"))</f>
        <v/>
      </c>
      <c r="B335" s="143" t="n"/>
      <c r="C335" s="143" t="n"/>
      <c r="D335" s="143" t="n"/>
      <c r="E335" s="143" t="n"/>
      <c r="F335" s="143" t="n"/>
      <c r="G335" s="143" t="n"/>
      <c r="H335" s="143" t="n"/>
      <c r="I335" s="143" t="n"/>
      <c r="J335" s="137">
        <f>IF($H335="","",ROUND($H335*$I335,2))</f>
        <v/>
      </c>
      <c r="K335" s="137">
        <f>IF(OR($H335="",$J335=""),"",ROUND($H335-$J335,2))</f>
        <v/>
      </c>
      <c r="L335" s="143" t="n"/>
    </row>
    <row r="336" ht="18" customHeight="1" s="102">
      <c r="A336" s="137">
        <f>IF($B336="","","TAH-"&amp;TEXT(ROW()-BaslangicSatir,"000000"))</f>
        <v/>
      </c>
      <c r="B336" s="143" t="n"/>
      <c r="C336" s="143" t="n"/>
      <c r="D336" s="143" t="n"/>
      <c r="E336" s="143" t="n"/>
      <c r="F336" s="143" t="n"/>
      <c r="G336" s="143" t="n"/>
      <c r="H336" s="143" t="n"/>
      <c r="I336" s="143" t="n"/>
      <c r="J336" s="137">
        <f>IF($H336="","",ROUND($H336*$I336,2))</f>
        <v/>
      </c>
      <c r="K336" s="137">
        <f>IF(OR($H336="",$J336=""),"",ROUND($H336-$J336,2))</f>
        <v/>
      </c>
      <c r="L336" s="143" t="n"/>
    </row>
    <row r="337" ht="18" customHeight="1" s="102">
      <c r="A337" s="137">
        <f>IF($B337="","","TAH-"&amp;TEXT(ROW()-BaslangicSatir,"000000"))</f>
        <v/>
      </c>
      <c r="B337" s="143" t="n"/>
      <c r="C337" s="143" t="n"/>
      <c r="D337" s="143" t="n"/>
      <c r="E337" s="143" t="n"/>
      <c r="F337" s="143" t="n"/>
      <c r="G337" s="143" t="n"/>
      <c r="H337" s="143" t="n"/>
      <c r="I337" s="143" t="n"/>
      <c r="J337" s="137">
        <f>IF($H337="","",ROUND($H337*$I337,2))</f>
        <v/>
      </c>
      <c r="K337" s="137">
        <f>IF(OR($H337="",$J337=""),"",ROUND($H337-$J337,2))</f>
        <v/>
      </c>
      <c r="L337" s="143" t="n"/>
    </row>
    <row r="338" ht="18" customHeight="1" s="102">
      <c r="A338" s="137">
        <f>IF($B338="","","TAH-"&amp;TEXT(ROW()-BaslangicSatir,"000000"))</f>
        <v/>
      </c>
      <c r="B338" s="143" t="n"/>
      <c r="C338" s="143" t="n"/>
      <c r="D338" s="143" t="n"/>
      <c r="E338" s="143" t="n"/>
      <c r="F338" s="143" t="n"/>
      <c r="G338" s="143" t="n"/>
      <c r="H338" s="143" t="n"/>
      <c r="I338" s="143" t="n"/>
      <c r="J338" s="137">
        <f>IF($H338="","",ROUND($H338*$I338,2))</f>
        <v/>
      </c>
      <c r="K338" s="137">
        <f>IF(OR($H338="",$J338=""),"",ROUND($H338-$J338,2))</f>
        <v/>
      </c>
      <c r="L338" s="143" t="n"/>
    </row>
    <row r="339" ht="18" customHeight="1" s="102">
      <c r="A339" s="137">
        <f>IF($B339="","","TAH-"&amp;TEXT(ROW()-BaslangicSatir,"000000"))</f>
        <v/>
      </c>
      <c r="B339" s="143" t="n"/>
      <c r="C339" s="143" t="n"/>
      <c r="D339" s="143" t="n"/>
      <c r="E339" s="143" t="n"/>
      <c r="F339" s="143" t="n"/>
      <c r="G339" s="143" t="n"/>
      <c r="H339" s="143" t="n"/>
      <c r="I339" s="143" t="n"/>
      <c r="J339" s="137">
        <f>IF($H339="","",ROUND($H339*$I339,2))</f>
        <v/>
      </c>
      <c r="K339" s="137">
        <f>IF(OR($H339="",$J339=""),"",ROUND($H339-$J339,2))</f>
        <v/>
      </c>
      <c r="L339" s="143" t="n"/>
    </row>
    <row r="340" ht="18" customHeight="1" s="102">
      <c r="A340" s="137">
        <f>IF($B340="","","TAH-"&amp;TEXT(ROW()-BaslangicSatir,"000000"))</f>
        <v/>
      </c>
      <c r="B340" s="143" t="n"/>
      <c r="C340" s="143" t="n"/>
      <c r="D340" s="143" t="n"/>
      <c r="E340" s="143" t="n"/>
      <c r="F340" s="143" t="n"/>
      <c r="G340" s="143" t="n"/>
      <c r="H340" s="143" t="n"/>
      <c r="I340" s="143" t="n"/>
      <c r="J340" s="137">
        <f>IF($H340="","",ROUND($H340*$I340,2))</f>
        <v/>
      </c>
      <c r="K340" s="137">
        <f>IF(OR($H340="",$J340=""),"",ROUND($H340-$J340,2))</f>
        <v/>
      </c>
      <c r="L340" s="143" t="n"/>
    </row>
    <row r="341" ht="18" customHeight="1" s="102">
      <c r="A341" s="137">
        <f>IF($B341="","","TAH-"&amp;TEXT(ROW()-BaslangicSatir,"000000"))</f>
        <v/>
      </c>
      <c r="B341" s="143" t="n"/>
      <c r="C341" s="143" t="n"/>
      <c r="D341" s="143" t="n"/>
      <c r="E341" s="143" t="n"/>
      <c r="F341" s="143" t="n"/>
      <c r="G341" s="143" t="n"/>
      <c r="H341" s="143" t="n"/>
      <c r="I341" s="143" t="n"/>
      <c r="J341" s="137">
        <f>IF($H341="","",ROUND($H341*$I341,2))</f>
        <v/>
      </c>
      <c r="K341" s="137">
        <f>IF(OR($H341="",$J341=""),"",ROUND($H341-$J341,2))</f>
        <v/>
      </c>
      <c r="L341" s="143" t="n"/>
    </row>
    <row r="342" ht="18" customHeight="1" s="102">
      <c r="A342" s="137">
        <f>IF($B342="","","TAH-"&amp;TEXT(ROW()-BaslangicSatir,"000000"))</f>
        <v/>
      </c>
      <c r="B342" s="143" t="n"/>
      <c r="C342" s="143" t="n"/>
      <c r="D342" s="143" t="n"/>
      <c r="E342" s="143" t="n"/>
      <c r="F342" s="143" t="n"/>
      <c r="G342" s="143" t="n"/>
      <c r="H342" s="143" t="n"/>
      <c r="I342" s="143" t="n"/>
      <c r="J342" s="137">
        <f>IF($H342="","",ROUND($H342*$I342,2))</f>
        <v/>
      </c>
      <c r="K342" s="137">
        <f>IF(OR($H342="",$J342=""),"",ROUND($H342-$J342,2))</f>
        <v/>
      </c>
      <c r="L342" s="143" t="n"/>
    </row>
    <row r="343" ht="18" customHeight="1" s="102">
      <c r="A343" s="137">
        <f>IF($B343="","","TAH-"&amp;TEXT(ROW()-BaslangicSatir,"000000"))</f>
        <v/>
      </c>
      <c r="B343" s="143" t="n"/>
      <c r="C343" s="143" t="n"/>
      <c r="D343" s="143" t="n"/>
      <c r="E343" s="143" t="n"/>
      <c r="F343" s="143" t="n"/>
      <c r="G343" s="143" t="n"/>
      <c r="H343" s="143" t="n"/>
      <c r="I343" s="143" t="n"/>
      <c r="J343" s="137">
        <f>IF($H343="","",ROUND($H343*$I343,2))</f>
        <v/>
      </c>
      <c r="K343" s="137">
        <f>IF(OR($H343="",$J343=""),"",ROUND($H343-$J343,2))</f>
        <v/>
      </c>
      <c r="L343" s="143" t="n"/>
    </row>
    <row r="344" ht="18" customHeight="1" s="102">
      <c r="A344" s="137">
        <f>IF($B344="","","TAH-"&amp;TEXT(ROW()-BaslangicSatir,"000000"))</f>
        <v/>
      </c>
      <c r="B344" s="143" t="n"/>
      <c r="C344" s="143" t="n"/>
      <c r="D344" s="143" t="n"/>
      <c r="E344" s="143" t="n"/>
      <c r="F344" s="143" t="n"/>
      <c r="G344" s="143" t="n"/>
      <c r="H344" s="143" t="n"/>
      <c r="I344" s="143" t="n"/>
      <c r="J344" s="137">
        <f>IF($H344="","",ROUND($H344*$I344,2))</f>
        <v/>
      </c>
      <c r="K344" s="137">
        <f>IF(OR($H344="",$J344=""),"",ROUND($H344-$J344,2))</f>
        <v/>
      </c>
      <c r="L344" s="143" t="n"/>
    </row>
    <row r="345" ht="18" customHeight="1" s="102">
      <c r="A345" s="137">
        <f>IF($B345="","","TAH-"&amp;TEXT(ROW()-BaslangicSatir,"000000"))</f>
        <v/>
      </c>
      <c r="B345" s="143" t="n"/>
      <c r="C345" s="143" t="n"/>
      <c r="D345" s="143" t="n"/>
      <c r="E345" s="143" t="n"/>
      <c r="F345" s="143" t="n"/>
      <c r="G345" s="143" t="n"/>
      <c r="H345" s="143" t="n"/>
      <c r="I345" s="143" t="n"/>
      <c r="J345" s="137">
        <f>IF($H345="","",ROUND($H345*$I345,2))</f>
        <v/>
      </c>
      <c r="K345" s="137">
        <f>IF(OR($H345="",$J345=""),"",ROUND($H345-$J345,2))</f>
        <v/>
      </c>
      <c r="L345" s="143" t="n"/>
    </row>
    <row r="346" ht="18" customHeight="1" s="102">
      <c r="A346" s="137">
        <f>IF($B346="","","TAH-"&amp;TEXT(ROW()-BaslangicSatir,"000000"))</f>
        <v/>
      </c>
      <c r="B346" s="143" t="n"/>
      <c r="C346" s="143" t="n"/>
      <c r="D346" s="143" t="n"/>
      <c r="E346" s="143" t="n"/>
      <c r="F346" s="143" t="n"/>
      <c r="G346" s="143" t="n"/>
      <c r="H346" s="143" t="n"/>
      <c r="I346" s="143" t="n"/>
      <c r="J346" s="137">
        <f>IF($H346="","",ROUND($H346*$I346,2))</f>
        <v/>
      </c>
      <c r="K346" s="137">
        <f>IF(OR($H346="",$J346=""),"",ROUND($H346-$J346,2))</f>
        <v/>
      </c>
      <c r="L346" s="143" t="n"/>
    </row>
    <row r="347" ht="18" customHeight="1" s="102">
      <c r="A347" s="137">
        <f>IF($B347="","","TAH-"&amp;TEXT(ROW()-BaslangicSatir,"000000"))</f>
        <v/>
      </c>
      <c r="B347" s="143" t="n"/>
      <c r="C347" s="143" t="n"/>
      <c r="D347" s="143" t="n"/>
      <c r="E347" s="143" t="n"/>
      <c r="F347" s="143" t="n"/>
      <c r="G347" s="143" t="n"/>
      <c r="H347" s="143" t="n"/>
      <c r="I347" s="143" t="n"/>
      <c r="J347" s="137">
        <f>IF($H347="","",ROUND($H347*$I347,2))</f>
        <v/>
      </c>
      <c r="K347" s="137">
        <f>IF(OR($H347="",$J347=""),"",ROUND($H347-$J347,2))</f>
        <v/>
      </c>
      <c r="L347" s="143" t="n"/>
    </row>
    <row r="348" ht="18" customHeight="1" s="102">
      <c r="A348" s="137">
        <f>IF($B348="","","TAH-"&amp;TEXT(ROW()-BaslangicSatir,"000000"))</f>
        <v/>
      </c>
      <c r="B348" s="143" t="n"/>
      <c r="C348" s="143" t="n"/>
      <c r="D348" s="143" t="n"/>
      <c r="E348" s="143" t="n"/>
      <c r="F348" s="143" t="n"/>
      <c r="G348" s="143" t="n"/>
      <c r="H348" s="143" t="n"/>
      <c r="I348" s="143" t="n"/>
      <c r="J348" s="137">
        <f>IF($H348="","",ROUND($H348*$I348,2))</f>
        <v/>
      </c>
      <c r="K348" s="137">
        <f>IF(OR($H348="",$J348=""),"",ROUND($H348-$J348,2))</f>
        <v/>
      </c>
      <c r="L348" s="143" t="n"/>
    </row>
    <row r="349" ht="18" customHeight="1" s="102">
      <c r="A349" s="137">
        <f>IF($B349="","","TAH-"&amp;TEXT(ROW()-BaslangicSatir,"000000"))</f>
        <v/>
      </c>
      <c r="B349" s="143" t="n"/>
      <c r="C349" s="143" t="n"/>
      <c r="D349" s="143" t="n"/>
      <c r="E349" s="143" t="n"/>
      <c r="F349" s="143" t="n"/>
      <c r="G349" s="143" t="n"/>
      <c r="H349" s="143" t="n"/>
      <c r="I349" s="143" t="n"/>
      <c r="J349" s="137">
        <f>IF($H349="","",ROUND($H349*$I349,2))</f>
        <v/>
      </c>
      <c r="K349" s="137">
        <f>IF(OR($H349="",$J349=""),"",ROUND($H349-$J349,2))</f>
        <v/>
      </c>
      <c r="L349" s="143" t="n"/>
    </row>
    <row r="350" ht="18" customHeight="1" s="102">
      <c r="A350" s="137">
        <f>IF($B350="","","TAH-"&amp;TEXT(ROW()-BaslangicSatir,"000000"))</f>
        <v/>
      </c>
      <c r="B350" s="143" t="n"/>
      <c r="C350" s="143" t="n"/>
      <c r="D350" s="143" t="n"/>
      <c r="E350" s="143" t="n"/>
      <c r="F350" s="143" t="n"/>
      <c r="G350" s="143" t="n"/>
      <c r="H350" s="143" t="n"/>
      <c r="I350" s="143" t="n"/>
      <c r="J350" s="137">
        <f>IF($H350="","",ROUND($H350*$I350,2))</f>
        <v/>
      </c>
      <c r="K350" s="137">
        <f>IF(OR($H350="",$J350=""),"",ROUND($H350-$J350,2))</f>
        <v/>
      </c>
      <c r="L350" s="143" t="n"/>
    </row>
    <row r="351" ht="18" customHeight="1" s="102">
      <c r="A351" s="137">
        <f>IF($B351="","","TAH-"&amp;TEXT(ROW()-BaslangicSatir,"000000"))</f>
        <v/>
      </c>
      <c r="B351" s="143" t="n"/>
      <c r="C351" s="143" t="n"/>
      <c r="D351" s="143" t="n"/>
      <c r="E351" s="143" t="n"/>
      <c r="F351" s="143" t="n"/>
      <c r="G351" s="143" t="n"/>
      <c r="H351" s="143" t="n"/>
      <c r="I351" s="143" t="n"/>
      <c r="J351" s="137">
        <f>IF($H351="","",ROUND($H351*$I351,2))</f>
        <v/>
      </c>
      <c r="K351" s="137">
        <f>IF(OR($H351="",$J351=""),"",ROUND($H351-$J351,2))</f>
        <v/>
      </c>
      <c r="L351" s="143" t="n"/>
    </row>
    <row r="352" ht="18" customHeight="1" s="102">
      <c r="A352" s="137">
        <f>IF($B352="","","TAH-"&amp;TEXT(ROW()-BaslangicSatir,"000000"))</f>
        <v/>
      </c>
      <c r="B352" s="143" t="n"/>
      <c r="C352" s="143" t="n"/>
      <c r="D352" s="143" t="n"/>
      <c r="E352" s="143" t="n"/>
      <c r="F352" s="143" t="n"/>
      <c r="G352" s="143" t="n"/>
      <c r="H352" s="143" t="n"/>
      <c r="I352" s="143" t="n"/>
      <c r="J352" s="137">
        <f>IF($H352="","",ROUND($H352*$I352,2))</f>
        <v/>
      </c>
      <c r="K352" s="137">
        <f>IF(OR($H352="",$J352=""),"",ROUND($H352-$J352,2))</f>
        <v/>
      </c>
      <c r="L352" s="143" t="n"/>
    </row>
    <row r="353" ht="18" customHeight="1" s="102">
      <c r="A353" s="137">
        <f>IF($B353="","","TAH-"&amp;TEXT(ROW()-BaslangicSatir,"000000"))</f>
        <v/>
      </c>
      <c r="B353" s="143" t="n"/>
      <c r="C353" s="143" t="n"/>
      <c r="D353" s="143" t="n"/>
      <c r="E353" s="143" t="n"/>
      <c r="F353" s="143" t="n"/>
      <c r="G353" s="143" t="n"/>
      <c r="H353" s="143" t="n"/>
      <c r="I353" s="143" t="n"/>
      <c r="J353" s="137">
        <f>IF($H353="","",ROUND($H353*$I353,2))</f>
        <v/>
      </c>
      <c r="K353" s="137">
        <f>IF(OR($H353="",$J353=""),"",ROUND($H353-$J353,2))</f>
        <v/>
      </c>
      <c r="L353" s="143" t="n"/>
    </row>
    <row r="354" ht="18" customHeight="1" s="102">
      <c r="A354" s="137">
        <f>IF($B354="","","TAH-"&amp;TEXT(ROW()-BaslangicSatir,"000000"))</f>
        <v/>
      </c>
      <c r="B354" s="143" t="n"/>
      <c r="C354" s="143" t="n"/>
      <c r="D354" s="143" t="n"/>
      <c r="E354" s="143" t="n"/>
      <c r="F354" s="143" t="n"/>
      <c r="G354" s="143" t="n"/>
      <c r="H354" s="143" t="n"/>
      <c r="I354" s="143" t="n"/>
      <c r="J354" s="137">
        <f>IF($H354="","",ROUND($H354*$I354,2))</f>
        <v/>
      </c>
      <c r="K354" s="137">
        <f>IF(OR($H354="",$J354=""),"",ROUND($H354-$J354,2))</f>
        <v/>
      </c>
      <c r="L354" s="143" t="n"/>
    </row>
    <row r="355" ht="18" customHeight="1" s="102">
      <c r="A355" s="137">
        <f>IF($B355="","","TAH-"&amp;TEXT(ROW()-BaslangicSatir,"000000"))</f>
        <v/>
      </c>
      <c r="B355" s="143" t="n"/>
      <c r="C355" s="143" t="n"/>
      <c r="D355" s="143" t="n"/>
      <c r="E355" s="143" t="n"/>
      <c r="F355" s="143" t="n"/>
      <c r="G355" s="143" t="n"/>
      <c r="H355" s="143" t="n"/>
      <c r="I355" s="143" t="n"/>
      <c r="J355" s="137">
        <f>IF($H355="","",ROUND($H355*$I355,2))</f>
        <v/>
      </c>
      <c r="K355" s="137">
        <f>IF(OR($H355="",$J355=""),"",ROUND($H355-$J355,2))</f>
        <v/>
      </c>
      <c r="L355" s="143" t="n"/>
    </row>
    <row r="356" ht="18" customHeight="1" s="102">
      <c r="A356" s="137">
        <f>IF($B356="","","TAH-"&amp;TEXT(ROW()-BaslangicSatir,"000000"))</f>
        <v/>
      </c>
      <c r="B356" s="143" t="n"/>
      <c r="C356" s="143" t="n"/>
      <c r="D356" s="143" t="n"/>
      <c r="E356" s="143" t="n"/>
      <c r="F356" s="143" t="n"/>
      <c r="G356" s="143" t="n"/>
      <c r="H356" s="143" t="n"/>
      <c r="I356" s="143" t="n"/>
      <c r="J356" s="137">
        <f>IF($H356="","",ROUND($H356*$I356,2))</f>
        <v/>
      </c>
      <c r="K356" s="137">
        <f>IF(OR($H356="",$J356=""),"",ROUND($H356-$J356,2))</f>
        <v/>
      </c>
      <c r="L356" s="143" t="n"/>
    </row>
    <row r="357" ht="18" customHeight="1" s="102">
      <c r="A357" s="137">
        <f>IF($B357="","","TAH-"&amp;TEXT(ROW()-BaslangicSatir,"000000"))</f>
        <v/>
      </c>
      <c r="B357" s="143" t="n"/>
      <c r="C357" s="143" t="n"/>
      <c r="D357" s="143" t="n"/>
      <c r="E357" s="143" t="n"/>
      <c r="F357" s="143" t="n"/>
      <c r="G357" s="143" t="n"/>
      <c r="H357" s="143" t="n"/>
      <c r="I357" s="143" t="n"/>
      <c r="J357" s="137">
        <f>IF($H357="","",ROUND($H357*$I357,2))</f>
        <v/>
      </c>
      <c r="K357" s="137">
        <f>IF(OR($H357="",$J357=""),"",ROUND($H357-$J357,2))</f>
        <v/>
      </c>
      <c r="L357" s="143" t="n"/>
    </row>
    <row r="358" ht="18" customHeight="1" s="102">
      <c r="A358" s="137">
        <f>IF($B358="","","TAH-"&amp;TEXT(ROW()-BaslangicSatir,"000000"))</f>
        <v/>
      </c>
      <c r="B358" s="143" t="n"/>
      <c r="C358" s="143" t="n"/>
      <c r="D358" s="143" t="n"/>
      <c r="E358" s="143" t="n"/>
      <c r="F358" s="143" t="n"/>
      <c r="G358" s="143" t="n"/>
      <c r="H358" s="143" t="n"/>
      <c r="I358" s="143" t="n"/>
      <c r="J358" s="137">
        <f>IF($H358="","",ROUND($H358*$I358,2))</f>
        <v/>
      </c>
      <c r="K358" s="137">
        <f>IF(OR($H358="",$J358=""),"",ROUND($H358-$J358,2))</f>
        <v/>
      </c>
      <c r="L358" s="143" t="n"/>
    </row>
    <row r="359" ht="18" customHeight="1" s="102">
      <c r="A359" s="137">
        <f>IF($B359="","","TAH-"&amp;TEXT(ROW()-BaslangicSatir,"000000"))</f>
        <v/>
      </c>
      <c r="B359" s="143" t="n"/>
      <c r="C359" s="143" t="n"/>
      <c r="D359" s="143" t="n"/>
      <c r="E359" s="143" t="n"/>
      <c r="F359" s="143" t="n"/>
      <c r="G359" s="143" t="n"/>
      <c r="H359" s="143" t="n"/>
      <c r="I359" s="143" t="n"/>
      <c r="J359" s="137">
        <f>IF($H359="","",ROUND($H359*$I359,2))</f>
        <v/>
      </c>
      <c r="K359" s="137">
        <f>IF(OR($H359="",$J359=""),"",ROUND($H359-$J359,2))</f>
        <v/>
      </c>
      <c r="L359" s="143" t="n"/>
    </row>
    <row r="360" ht="18" customHeight="1" s="102">
      <c r="A360" s="137">
        <f>IF($B360="","","TAH-"&amp;TEXT(ROW()-BaslangicSatir,"000000"))</f>
        <v/>
      </c>
      <c r="B360" s="143" t="n"/>
      <c r="C360" s="143" t="n"/>
      <c r="D360" s="143" t="n"/>
      <c r="E360" s="143" t="n"/>
      <c r="F360" s="143" t="n"/>
      <c r="G360" s="143" t="n"/>
      <c r="H360" s="143" t="n"/>
      <c r="I360" s="143" t="n"/>
      <c r="J360" s="137">
        <f>IF($H360="","",ROUND($H360*$I360,2))</f>
        <v/>
      </c>
      <c r="K360" s="137">
        <f>IF(OR($H360="",$J360=""),"",ROUND($H360-$J360,2))</f>
        <v/>
      </c>
      <c r="L360" s="143" t="n"/>
    </row>
    <row r="361" ht="18" customHeight="1" s="102">
      <c r="A361" s="137">
        <f>IF($B361="","","TAH-"&amp;TEXT(ROW()-BaslangicSatir,"000000"))</f>
        <v/>
      </c>
      <c r="B361" s="143" t="n"/>
      <c r="C361" s="143" t="n"/>
      <c r="D361" s="143" t="n"/>
      <c r="E361" s="143" t="n"/>
      <c r="F361" s="143" t="n"/>
      <c r="G361" s="143" t="n"/>
      <c r="H361" s="143" t="n"/>
      <c r="I361" s="143" t="n"/>
      <c r="J361" s="137">
        <f>IF($H361="","",ROUND($H361*$I361,2))</f>
        <v/>
      </c>
      <c r="K361" s="137">
        <f>IF(OR($H361="",$J361=""),"",ROUND($H361-$J361,2))</f>
        <v/>
      </c>
      <c r="L361" s="143" t="n"/>
    </row>
    <row r="362" ht="18" customHeight="1" s="102">
      <c r="A362" s="137">
        <f>IF($B362="","","TAH-"&amp;TEXT(ROW()-BaslangicSatir,"000000"))</f>
        <v/>
      </c>
      <c r="B362" s="143" t="n"/>
      <c r="C362" s="143" t="n"/>
      <c r="D362" s="143" t="n"/>
      <c r="E362" s="143" t="n"/>
      <c r="F362" s="143" t="n"/>
      <c r="G362" s="143" t="n"/>
      <c r="H362" s="143" t="n"/>
      <c r="I362" s="143" t="n"/>
      <c r="J362" s="137">
        <f>IF($H362="","",ROUND($H362*$I362,2))</f>
        <v/>
      </c>
      <c r="K362" s="137">
        <f>IF(OR($H362="",$J362=""),"",ROUND($H362-$J362,2))</f>
        <v/>
      </c>
      <c r="L362" s="143" t="n"/>
    </row>
    <row r="363" ht="18" customHeight="1" s="102">
      <c r="A363" s="137">
        <f>IF($B363="","","TAH-"&amp;TEXT(ROW()-BaslangicSatir,"000000"))</f>
        <v/>
      </c>
      <c r="B363" s="143" t="n"/>
      <c r="C363" s="143" t="n"/>
      <c r="D363" s="143" t="n"/>
      <c r="E363" s="143" t="n"/>
      <c r="F363" s="143" t="n"/>
      <c r="G363" s="143" t="n"/>
      <c r="H363" s="143" t="n"/>
      <c r="I363" s="143" t="n"/>
      <c r="J363" s="137">
        <f>IF($H363="","",ROUND($H363*$I363,2))</f>
        <v/>
      </c>
      <c r="K363" s="137">
        <f>IF(OR($H363="",$J363=""),"",ROUND($H363-$J363,2))</f>
        <v/>
      </c>
      <c r="L363" s="143" t="n"/>
    </row>
    <row r="364" ht="18" customHeight="1" s="102">
      <c r="A364" s="137">
        <f>IF($B364="","","TAH-"&amp;TEXT(ROW()-BaslangicSatir,"000000"))</f>
        <v/>
      </c>
      <c r="B364" s="143" t="n"/>
      <c r="C364" s="143" t="n"/>
      <c r="D364" s="143" t="n"/>
      <c r="E364" s="143" t="n"/>
      <c r="F364" s="143" t="n"/>
      <c r="G364" s="143" t="n"/>
      <c r="H364" s="143" t="n"/>
      <c r="I364" s="143" t="n"/>
      <c r="J364" s="137">
        <f>IF($H364="","",ROUND($H364*$I364,2))</f>
        <v/>
      </c>
      <c r="K364" s="137">
        <f>IF(OR($H364="",$J364=""),"",ROUND($H364-$J364,2))</f>
        <v/>
      </c>
      <c r="L364" s="143" t="n"/>
    </row>
    <row r="365" ht="18" customHeight="1" s="102">
      <c r="A365" s="137">
        <f>IF($B365="","","TAH-"&amp;TEXT(ROW()-BaslangicSatir,"000000"))</f>
        <v/>
      </c>
      <c r="B365" s="143" t="n"/>
      <c r="C365" s="143" t="n"/>
      <c r="D365" s="143" t="n"/>
      <c r="E365" s="143" t="n"/>
      <c r="F365" s="143" t="n"/>
      <c r="G365" s="143" t="n"/>
      <c r="H365" s="143" t="n"/>
      <c r="I365" s="143" t="n"/>
      <c r="J365" s="137">
        <f>IF($H365="","",ROUND($H365*$I365,2))</f>
        <v/>
      </c>
      <c r="K365" s="137">
        <f>IF(OR($H365="",$J365=""),"",ROUND($H365-$J365,2))</f>
        <v/>
      </c>
      <c r="L365" s="143" t="n"/>
    </row>
    <row r="366" ht="18" customHeight="1" s="102">
      <c r="A366" s="137">
        <f>IF($B366="","","TAH-"&amp;TEXT(ROW()-BaslangicSatir,"000000"))</f>
        <v/>
      </c>
      <c r="B366" s="143" t="n"/>
      <c r="C366" s="143" t="n"/>
      <c r="D366" s="143" t="n"/>
      <c r="E366" s="143" t="n"/>
      <c r="F366" s="143" t="n"/>
      <c r="G366" s="143" t="n"/>
      <c r="H366" s="143" t="n"/>
      <c r="I366" s="143" t="n"/>
      <c r="J366" s="137">
        <f>IF($H366="","",ROUND($H366*$I366,2))</f>
        <v/>
      </c>
      <c r="K366" s="137">
        <f>IF(OR($H366="",$J366=""),"",ROUND($H366-$J366,2))</f>
        <v/>
      </c>
      <c r="L366" s="143" t="n"/>
    </row>
    <row r="367" ht="18" customHeight="1" s="102">
      <c r="A367" s="137">
        <f>IF($B367="","","TAH-"&amp;TEXT(ROW()-BaslangicSatir,"000000"))</f>
        <v/>
      </c>
      <c r="B367" s="143" t="n"/>
      <c r="C367" s="143" t="n"/>
      <c r="D367" s="143" t="n"/>
      <c r="E367" s="143" t="n"/>
      <c r="F367" s="143" t="n"/>
      <c r="G367" s="143" t="n"/>
      <c r="H367" s="143" t="n"/>
      <c r="I367" s="143" t="n"/>
      <c r="J367" s="137">
        <f>IF($H367="","",ROUND($H367*$I367,2))</f>
        <v/>
      </c>
      <c r="K367" s="137">
        <f>IF(OR($H367="",$J367=""),"",ROUND($H367-$J367,2))</f>
        <v/>
      </c>
      <c r="L367" s="143" t="n"/>
    </row>
    <row r="368" ht="18" customHeight="1" s="102">
      <c r="A368" s="137">
        <f>IF($B368="","","TAH-"&amp;TEXT(ROW()-BaslangicSatir,"000000"))</f>
        <v/>
      </c>
      <c r="B368" s="143" t="n"/>
      <c r="C368" s="143" t="n"/>
      <c r="D368" s="143" t="n"/>
      <c r="E368" s="143" t="n"/>
      <c r="F368" s="143" t="n"/>
      <c r="G368" s="143" t="n"/>
      <c r="H368" s="143" t="n"/>
      <c r="I368" s="143" t="n"/>
      <c r="J368" s="137">
        <f>IF($H368="","",ROUND($H368*$I368,2))</f>
        <v/>
      </c>
      <c r="K368" s="137">
        <f>IF(OR($H368="",$J368=""),"",ROUND($H368-$J368,2))</f>
        <v/>
      </c>
      <c r="L368" s="143" t="n"/>
    </row>
    <row r="369" ht="18" customHeight="1" s="102">
      <c r="A369" s="137">
        <f>IF($B369="","","TAH-"&amp;TEXT(ROW()-BaslangicSatir,"000000"))</f>
        <v/>
      </c>
      <c r="B369" s="143" t="n"/>
      <c r="C369" s="143" t="n"/>
      <c r="D369" s="143" t="n"/>
      <c r="E369" s="143" t="n"/>
      <c r="F369" s="143" t="n"/>
      <c r="G369" s="143" t="n"/>
      <c r="H369" s="143" t="n"/>
      <c r="I369" s="143" t="n"/>
      <c r="J369" s="137">
        <f>IF($H369="","",ROUND($H369*$I369,2))</f>
        <v/>
      </c>
      <c r="K369" s="137">
        <f>IF(OR($H369="",$J369=""),"",ROUND($H369-$J369,2))</f>
        <v/>
      </c>
      <c r="L369" s="143" t="n"/>
    </row>
    <row r="370" ht="18" customHeight="1" s="102">
      <c r="A370" s="137">
        <f>IF($B370="","","TAH-"&amp;TEXT(ROW()-BaslangicSatir,"000000"))</f>
        <v/>
      </c>
      <c r="B370" s="143" t="n"/>
      <c r="C370" s="143" t="n"/>
      <c r="D370" s="143" t="n"/>
      <c r="E370" s="143" t="n"/>
      <c r="F370" s="143" t="n"/>
      <c r="G370" s="143" t="n"/>
      <c r="H370" s="143" t="n"/>
      <c r="I370" s="143" t="n"/>
      <c r="J370" s="137">
        <f>IF($H370="","",ROUND($H370*$I370,2))</f>
        <v/>
      </c>
      <c r="K370" s="137">
        <f>IF(OR($H370="",$J370=""),"",ROUND($H370-$J370,2))</f>
        <v/>
      </c>
      <c r="L370" s="143" t="n"/>
    </row>
    <row r="371" ht="18" customHeight="1" s="102">
      <c r="A371" s="137">
        <f>IF($B371="","","TAH-"&amp;TEXT(ROW()-BaslangicSatir,"000000"))</f>
        <v/>
      </c>
      <c r="B371" s="143" t="n"/>
      <c r="C371" s="143" t="n"/>
      <c r="D371" s="143" t="n"/>
      <c r="E371" s="143" t="n"/>
      <c r="F371" s="143" t="n"/>
      <c r="G371" s="143" t="n"/>
      <c r="H371" s="143" t="n"/>
      <c r="I371" s="143" t="n"/>
      <c r="J371" s="137">
        <f>IF($H371="","",ROUND($H371*$I371,2))</f>
        <v/>
      </c>
      <c r="K371" s="137">
        <f>IF(OR($H371="",$J371=""),"",ROUND($H371-$J371,2))</f>
        <v/>
      </c>
      <c r="L371" s="143" t="n"/>
    </row>
    <row r="372" ht="18" customHeight="1" s="102">
      <c r="A372" s="137">
        <f>IF($B372="","","TAH-"&amp;TEXT(ROW()-BaslangicSatir,"000000"))</f>
        <v/>
      </c>
      <c r="B372" s="143" t="n"/>
      <c r="C372" s="143" t="n"/>
      <c r="D372" s="143" t="n"/>
      <c r="E372" s="143" t="n"/>
      <c r="F372" s="143" t="n"/>
      <c r="G372" s="143" t="n"/>
      <c r="H372" s="143" t="n"/>
      <c r="I372" s="143" t="n"/>
      <c r="J372" s="137">
        <f>IF($H372="","",ROUND($H372*$I372,2))</f>
        <v/>
      </c>
      <c r="K372" s="137">
        <f>IF(OR($H372="",$J372=""),"",ROUND($H372-$J372,2))</f>
        <v/>
      </c>
      <c r="L372" s="143" t="n"/>
    </row>
    <row r="373" ht="18" customHeight="1" s="102">
      <c r="A373" s="137">
        <f>IF($B373="","","TAH-"&amp;TEXT(ROW()-BaslangicSatir,"000000"))</f>
        <v/>
      </c>
      <c r="B373" s="143" t="n"/>
      <c r="C373" s="143" t="n"/>
      <c r="D373" s="143" t="n"/>
      <c r="E373" s="143" t="n"/>
      <c r="F373" s="143" t="n"/>
      <c r="G373" s="143" t="n"/>
      <c r="H373" s="143" t="n"/>
      <c r="I373" s="143" t="n"/>
      <c r="J373" s="137">
        <f>IF($H373="","",ROUND($H373*$I373,2))</f>
        <v/>
      </c>
      <c r="K373" s="137">
        <f>IF(OR($H373="",$J373=""),"",ROUND($H373-$J373,2))</f>
        <v/>
      </c>
      <c r="L373" s="143" t="n"/>
    </row>
    <row r="374" ht="18" customHeight="1" s="102">
      <c r="A374" s="137">
        <f>IF($B374="","","TAH-"&amp;TEXT(ROW()-BaslangicSatir,"000000"))</f>
        <v/>
      </c>
      <c r="B374" s="143" t="n"/>
      <c r="C374" s="143" t="n"/>
      <c r="D374" s="143" t="n"/>
      <c r="E374" s="143" t="n"/>
      <c r="F374" s="143" t="n"/>
      <c r="G374" s="143" t="n"/>
      <c r="H374" s="143" t="n"/>
      <c r="I374" s="143" t="n"/>
      <c r="J374" s="137">
        <f>IF($H374="","",ROUND($H374*$I374,2))</f>
        <v/>
      </c>
      <c r="K374" s="137">
        <f>IF(OR($H374="",$J374=""),"",ROUND($H374-$J374,2))</f>
        <v/>
      </c>
      <c r="L374" s="143" t="n"/>
    </row>
    <row r="375" ht="18" customHeight="1" s="102">
      <c r="A375" s="137">
        <f>IF($B375="","","TAH-"&amp;TEXT(ROW()-BaslangicSatir,"000000"))</f>
        <v/>
      </c>
      <c r="B375" s="143" t="n"/>
      <c r="C375" s="143" t="n"/>
      <c r="D375" s="143" t="n"/>
      <c r="E375" s="143" t="n"/>
      <c r="F375" s="143" t="n"/>
      <c r="G375" s="143" t="n"/>
      <c r="H375" s="143" t="n"/>
      <c r="I375" s="143" t="n"/>
      <c r="J375" s="137">
        <f>IF($H375="","",ROUND($H375*$I375,2))</f>
        <v/>
      </c>
      <c r="K375" s="137">
        <f>IF(OR($H375="",$J375=""),"",ROUND($H375-$J375,2))</f>
        <v/>
      </c>
      <c r="L375" s="143" t="n"/>
    </row>
    <row r="376" ht="18" customHeight="1" s="102">
      <c r="A376" s="137">
        <f>IF($B376="","","TAH-"&amp;TEXT(ROW()-BaslangicSatir,"000000"))</f>
        <v/>
      </c>
      <c r="B376" s="143" t="n"/>
      <c r="C376" s="143" t="n"/>
      <c r="D376" s="143" t="n"/>
      <c r="E376" s="143" t="n"/>
      <c r="F376" s="143" t="n"/>
      <c r="G376" s="143" t="n"/>
      <c r="H376" s="143" t="n"/>
      <c r="I376" s="143" t="n"/>
      <c r="J376" s="137">
        <f>IF($H376="","",ROUND($H376*$I376,2))</f>
        <v/>
      </c>
      <c r="K376" s="137">
        <f>IF(OR($H376="",$J376=""),"",ROUND($H376-$J376,2))</f>
        <v/>
      </c>
      <c r="L376" s="143" t="n"/>
    </row>
    <row r="377" ht="18" customHeight="1" s="102">
      <c r="A377" s="137">
        <f>IF($B377="","","TAH-"&amp;TEXT(ROW()-BaslangicSatir,"000000"))</f>
        <v/>
      </c>
      <c r="B377" s="143" t="n"/>
      <c r="C377" s="143" t="n"/>
      <c r="D377" s="143" t="n"/>
      <c r="E377" s="143" t="n"/>
      <c r="F377" s="143" t="n"/>
      <c r="G377" s="143" t="n"/>
      <c r="H377" s="143" t="n"/>
      <c r="I377" s="143" t="n"/>
      <c r="J377" s="137">
        <f>IF($H377="","",ROUND($H377*$I377,2))</f>
        <v/>
      </c>
      <c r="K377" s="137">
        <f>IF(OR($H377="",$J377=""),"",ROUND($H377-$J377,2))</f>
        <v/>
      </c>
      <c r="L377" s="143" t="n"/>
    </row>
    <row r="378" ht="18" customHeight="1" s="102">
      <c r="A378" s="137">
        <f>IF($B378="","","TAH-"&amp;TEXT(ROW()-BaslangicSatir,"000000"))</f>
        <v/>
      </c>
      <c r="B378" s="143" t="n"/>
      <c r="C378" s="143" t="n"/>
      <c r="D378" s="143" t="n"/>
      <c r="E378" s="143" t="n"/>
      <c r="F378" s="143" t="n"/>
      <c r="G378" s="143" t="n"/>
      <c r="H378" s="143" t="n"/>
      <c r="I378" s="143" t="n"/>
      <c r="J378" s="137">
        <f>IF($H378="","",ROUND($H378*$I378,2))</f>
        <v/>
      </c>
      <c r="K378" s="137">
        <f>IF(OR($H378="",$J378=""),"",ROUND($H378-$J378,2))</f>
        <v/>
      </c>
      <c r="L378" s="143" t="n"/>
    </row>
    <row r="379" ht="18" customHeight="1" s="102">
      <c r="A379" s="137">
        <f>IF($B379="","","TAH-"&amp;TEXT(ROW()-BaslangicSatir,"000000"))</f>
        <v/>
      </c>
      <c r="B379" s="143" t="n"/>
      <c r="C379" s="143" t="n"/>
      <c r="D379" s="143" t="n"/>
      <c r="E379" s="143" t="n"/>
      <c r="F379" s="143" t="n"/>
      <c r="G379" s="143" t="n"/>
      <c r="H379" s="143" t="n"/>
      <c r="I379" s="143" t="n"/>
      <c r="J379" s="137">
        <f>IF($H379="","",ROUND($H379*$I379,2))</f>
        <v/>
      </c>
      <c r="K379" s="137">
        <f>IF(OR($H379="",$J379=""),"",ROUND($H379-$J379,2))</f>
        <v/>
      </c>
      <c r="L379" s="143" t="n"/>
    </row>
    <row r="380" ht="18" customHeight="1" s="102">
      <c r="A380" s="137">
        <f>IF($B380="","","TAH-"&amp;TEXT(ROW()-BaslangicSatir,"000000"))</f>
        <v/>
      </c>
      <c r="B380" s="143" t="n"/>
      <c r="C380" s="143" t="n"/>
      <c r="D380" s="143" t="n"/>
      <c r="E380" s="143" t="n"/>
      <c r="F380" s="143" t="n"/>
      <c r="G380" s="143" t="n"/>
      <c r="H380" s="143" t="n"/>
      <c r="I380" s="143" t="n"/>
      <c r="J380" s="137">
        <f>IF($H380="","",ROUND($H380*$I380,2))</f>
        <v/>
      </c>
      <c r="K380" s="137">
        <f>IF(OR($H380="",$J380=""),"",ROUND($H380-$J380,2))</f>
        <v/>
      </c>
      <c r="L380" s="143" t="n"/>
    </row>
    <row r="381" ht="18" customHeight="1" s="102">
      <c r="A381" s="137">
        <f>IF($B381="","","TAH-"&amp;TEXT(ROW()-BaslangicSatir,"000000"))</f>
        <v/>
      </c>
      <c r="B381" s="143" t="n"/>
      <c r="C381" s="143" t="n"/>
      <c r="D381" s="143" t="n"/>
      <c r="E381" s="143" t="n"/>
      <c r="F381" s="143" t="n"/>
      <c r="G381" s="143" t="n"/>
      <c r="H381" s="143" t="n"/>
      <c r="I381" s="143" t="n"/>
      <c r="J381" s="137">
        <f>IF($H381="","",ROUND($H381*$I381,2))</f>
        <v/>
      </c>
      <c r="K381" s="137">
        <f>IF(OR($H381="",$J381=""),"",ROUND($H381-$J381,2))</f>
        <v/>
      </c>
      <c r="L381" s="143" t="n"/>
    </row>
    <row r="382" ht="18" customHeight="1" s="102">
      <c r="A382" s="137">
        <f>IF($B382="","","TAH-"&amp;TEXT(ROW()-BaslangicSatir,"000000"))</f>
        <v/>
      </c>
      <c r="B382" s="143" t="n"/>
      <c r="C382" s="143" t="n"/>
      <c r="D382" s="143" t="n"/>
      <c r="E382" s="143" t="n"/>
      <c r="F382" s="143" t="n"/>
      <c r="G382" s="143" t="n"/>
      <c r="H382" s="143" t="n"/>
      <c r="I382" s="143" t="n"/>
      <c r="J382" s="137">
        <f>IF($H382="","",ROUND($H382*$I382,2))</f>
        <v/>
      </c>
      <c r="K382" s="137">
        <f>IF(OR($H382="",$J382=""),"",ROUND($H382-$J382,2))</f>
        <v/>
      </c>
      <c r="L382" s="143" t="n"/>
    </row>
    <row r="383" ht="18" customHeight="1" s="102">
      <c r="A383" s="137">
        <f>IF($B383="","","TAH-"&amp;TEXT(ROW()-BaslangicSatir,"000000"))</f>
        <v/>
      </c>
      <c r="B383" s="143" t="n"/>
      <c r="C383" s="143" t="n"/>
      <c r="D383" s="143" t="n"/>
      <c r="E383" s="143" t="n"/>
      <c r="F383" s="143" t="n"/>
      <c r="G383" s="143" t="n"/>
      <c r="H383" s="143" t="n"/>
      <c r="I383" s="143" t="n"/>
      <c r="J383" s="137">
        <f>IF($H383="","",ROUND($H383*$I383,2))</f>
        <v/>
      </c>
      <c r="K383" s="137">
        <f>IF(OR($H383="",$J383=""),"",ROUND($H383-$J383,2))</f>
        <v/>
      </c>
      <c r="L383" s="143" t="n"/>
    </row>
    <row r="384" ht="18" customHeight="1" s="102">
      <c r="A384" s="137">
        <f>IF($B384="","","TAH-"&amp;TEXT(ROW()-BaslangicSatir,"000000"))</f>
        <v/>
      </c>
      <c r="B384" s="143" t="n"/>
      <c r="C384" s="143" t="n"/>
      <c r="D384" s="143" t="n"/>
      <c r="E384" s="143" t="n"/>
      <c r="F384" s="143" t="n"/>
      <c r="G384" s="143" t="n"/>
      <c r="H384" s="143" t="n"/>
      <c r="I384" s="143" t="n"/>
      <c r="J384" s="137">
        <f>IF($H384="","",ROUND($H384*$I384,2))</f>
        <v/>
      </c>
      <c r="K384" s="137">
        <f>IF(OR($H384="",$J384=""),"",ROUND($H384-$J384,2))</f>
        <v/>
      </c>
      <c r="L384" s="143" t="n"/>
    </row>
    <row r="385" ht="18" customHeight="1" s="102">
      <c r="A385" s="137">
        <f>IF($B385="","","TAH-"&amp;TEXT(ROW()-BaslangicSatir,"000000"))</f>
        <v/>
      </c>
      <c r="B385" s="143" t="n"/>
      <c r="C385" s="143" t="n"/>
      <c r="D385" s="143" t="n"/>
      <c r="E385" s="143" t="n"/>
      <c r="F385" s="143" t="n"/>
      <c r="G385" s="143" t="n"/>
      <c r="H385" s="143" t="n"/>
      <c r="I385" s="143" t="n"/>
      <c r="J385" s="137">
        <f>IF($H385="","",ROUND($H385*$I385,2))</f>
        <v/>
      </c>
      <c r="K385" s="137">
        <f>IF(OR($H385="",$J385=""),"",ROUND($H385-$J385,2))</f>
        <v/>
      </c>
      <c r="L385" s="143" t="n"/>
    </row>
    <row r="386" ht="18" customHeight="1" s="102">
      <c r="A386" s="137">
        <f>IF($B386="","","TAH-"&amp;TEXT(ROW()-BaslangicSatir,"000000"))</f>
        <v/>
      </c>
      <c r="B386" s="143" t="n"/>
      <c r="C386" s="143" t="n"/>
      <c r="D386" s="143" t="n"/>
      <c r="E386" s="143" t="n"/>
      <c r="F386" s="143" t="n"/>
      <c r="G386" s="143" t="n"/>
      <c r="H386" s="143" t="n"/>
      <c r="I386" s="143" t="n"/>
      <c r="J386" s="137">
        <f>IF($H386="","",ROUND($H386*$I386,2))</f>
        <v/>
      </c>
      <c r="K386" s="137">
        <f>IF(OR($H386="",$J386=""),"",ROUND($H386-$J386,2))</f>
        <v/>
      </c>
      <c r="L386" s="143" t="n"/>
    </row>
    <row r="387" ht="18" customHeight="1" s="102">
      <c r="A387" s="137">
        <f>IF($B387="","","TAH-"&amp;TEXT(ROW()-BaslangicSatir,"000000"))</f>
        <v/>
      </c>
      <c r="B387" s="143" t="n"/>
      <c r="C387" s="143" t="n"/>
      <c r="D387" s="143" t="n"/>
      <c r="E387" s="143" t="n"/>
      <c r="F387" s="143" t="n"/>
      <c r="G387" s="143" t="n"/>
      <c r="H387" s="143" t="n"/>
      <c r="I387" s="143" t="n"/>
      <c r="J387" s="137">
        <f>IF($H387="","",ROUND($H387*$I387,2))</f>
        <v/>
      </c>
      <c r="K387" s="137">
        <f>IF(OR($H387="",$J387=""),"",ROUND($H387-$J387,2))</f>
        <v/>
      </c>
      <c r="L387" s="143" t="n"/>
    </row>
    <row r="388" ht="18" customHeight="1" s="102">
      <c r="A388" s="137">
        <f>IF($B388="","","TAH-"&amp;TEXT(ROW()-BaslangicSatir,"000000"))</f>
        <v/>
      </c>
      <c r="B388" s="143" t="n"/>
      <c r="C388" s="143" t="n"/>
      <c r="D388" s="143" t="n"/>
      <c r="E388" s="143" t="n"/>
      <c r="F388" s="143" t="n"/>
      <c r="G388" s="143" t="n"/>
      <c r="H388" s="143" t="n"/>
      <c r="I388" s="143" t="n"/>
      <c r="J388" s="137">
        <f>IF($H388="","",ROUND($H388*$I388,2))</f>
        <v/>
      </c>
      <c r="K388" s="137">
        <f>IF(OR($H388="",$J388=""),"",ROUND($H388-$J388,2))</f>
        <v/>
      </c>
      <c r="L388" s="143" t="n"/>
    </row>
    <row r="389" ht="18" customHeight="1" s="102">
      <c r="A389" s="137">
        <f>IF($B389="","","TAH-"&amp;TEXT(ROW()-BaslangicSatir,"000000"))</f>
        <v/>
      </c>
      <c r="B389" s="143" t="n"/>
      <c r="C389" s="143" t="n"/>
      <c r="D389" s="143" t="n"/>
      <c r="E389" s="143" t="n"/>
      <c r="F389" s="143" t="n"/>
      <c r="G389" s="143" t="n"/>
      <c r="H389" s="143" t="n"/>
      <c r="I389" s="143" t="n"/>
      <c r="J389" s="137">
        <f>IF($H389="","",ROUND($H389*$I389,2))</f>
        <v/>
      </c>
      <c r="K389" s="137">
        <f>IF(OR($H389="",$J389=""),"",ROUND($H389-$J389,2))</f>
        <v/>
      </c>
      <c r="L389" s="143" t="n"/>
    </row>
    <row r="390" ht="18" customHeight="1" s="102">
      <c r="A390" s="137">
        <f>IF($B390="","","TAH-"&amp;TEXT(ROW()-BaslangicSatir,"000000"))</f>
        <v/>
      </c>
      <c r="B390" s="143" t="n"/>
      <c r="C390" s="143" t="n"/>
      <c r="D390" s="143" t="n"/>
      <c r="E390" s="143" t="n"/>
      <c r="F390" s="143" t="n"/>
      <c r="G390" s="143" t="n"/>
      <c r="H390" s="143" t="n"/>
      <c r="I390" s="143" t="n"/>
      <c r="J390" s="137">
        <f>IF($H390="","",ROUND($H390*$I390,2))</f>
        <v/>
      </c>
      <c r="K390" s="137">
        <f>IF(OR($H390="",$J390=""),"",ROUND($H390-$J390,2))</f>
        <v/>
      </c>
      <c r="L390" s="143" t="n"/>
    </row>
    <row r="391" ht="18" customHeight="1" s="102">
      <c r="A391" s="137">
        <f>IF($B391="","","TAH-"&amp;TEXT(ROW()-BaslangicSatir,"000000"))</f>
        <v/>
      </c>
      <c r="B391" s="143" t="n"/>
      <c r="C391" s="143" t="n"/>
      <c r="D391" s="143" t="n"/>
      <c r="E391" s="143" t="n"/>
      <c r="F391" s="143" t="n"/>
      <c r="G391" s="143" t="n"/>
      <c r="H391" s="143" t="n"/>
      <c r="I391" s="143" t="n"/>
      <c r="J391" s="137">
        <f>IF($H391="","",ROUND($H391*$I391,2))</f>
        <v/>
      </c>
      <c r="K391" s="137">
        <f>IF(OR($H391="",$J391=""),"",ROUND($H391-$J391,2))</f>
        <v/>
      </c>
      <c r="L391" s="143" t="n"/>
    </row>
    <row r="392" ht="18" customHeight="1" s="102">
      <c r="A392" s="137">
        <f>IF($B392="","","TAH-"&amp;TEXT(ROW()-BaslangicSatir,"000000"))</f>
        <v/>
      </c>
      <c r="B392" s="143" t="n"/>
      <c r="C392" s="143" t="n"/>
      <c r="D392" s="143" t="n"/>
      <c r="E392" s="143" t="n"/>
      <c r="F392" s="143" t="n"/>
      <c r="G392" s="143" t="n"/>
      <c r="H392" s="143" t="n"/>
      <c r="I392" s="143" t="n"/>
      <c r="J392" s="137">
        <f>IF($H392="","",ROUND($H392*$I392,2))</f>
        <v/>
      </c>
      <c r="K392" s="137">
        <f>IF(OR($H392="",$J392=""),"",ROUND($H392-$J392,2))</f>
        <v/>
      </c>
      <c r="L392" s="143" t="n"/>
    </row>
    <row r="393" ht="18" customHeight="1" s="102">
      <c r="A393" s="137">
        <f>IF($B393="","","TAH-"&amp;TEXT(ROW()-BaslangicSatir,"000000"))</f>
        <v/>
      </c>
      <c r="B393" s="143" t="n"/>
      <c r="C393" s="143" t="n"/>
      <c r="D393" s="143" t="n"/>
      <c r="E393" s="143" t="n"/>
      <c r="F393" s="143" t="n"/>
      <c r="G393" s="143" t="n"/>
      <c r="H393" s="143" t="n"/>
      <c r="I393" s="143" t="n"/>
      <c r="J393" s="137">
        <f>IF($H393="","",ROUND($H393*$I393,2))</f>
        <v/>
      </c>
      <c r="K393" s="137">
        <f>IF(OR($H393="",$J393=""),"",ROUND($H393-$J393,2))</f>
        <v/>
      </c>
      <c r="L393" s="143" t="n"/>
    </row>
    <row r="394" ht="18" customHeight="1" s="102">
      <c r="A394" s="137">
        <f>IF($B394="","","TAH-"&amp;TEXT(ROW()-BaslangicSatir,"000000"))</f>
        <v/>
      </c>
      <c r="B394" s="143" t="n"/>
      <c r="C394" s="143" t="n"/>
      <c r="D394" s="143" t="n"/>
      <c r="E394" s="143" t="n"/>
      <c r="F394" s="143" t="n"/>
      <c r="G394" s="143" t="n"/>
      <c r="H394" s="143" t="n"/>
      <c r="I394" s="143" t="n"/>
      <c r="J394" s="137">
        <f>IF($H394="","",ROUND($H394*$I394,2))</f>
        <v/>
      </c>
      <c r="K394" s="137">
        <f>IF(OR($H394="",$J394=""),"",ROUND($H394-$J394,2))</f>
        <v/>
      </c>
      <c r="L394" s="143" t="n"/>
    </row>
    <row r="395" ht="18" customHeight="1" s="102">
      <c r="A395" s="137">
        <f>IF($B395="","","TAH-"&amp;TEXT(ROW()-BaslangicSatir,"000000"))</f>
        <v/>
      </c>
      <c r="B395" s="143" t="n"/>
      <c r="C395" s="143" t="n"/>
      <c r="D395" s="143" t="n"/>
      <c r="E395" s="143" t="n"/>
      <c r="F395" s="143" t="n"/>
      <c r="G395" s="143" t="n"/>
      <c r="H395" s="143" t="n"/>
      <c r="I395" s="143" t="n"/>
      <c r="J395" s="137">
        <f>IF($H395="","",ROUND($H395*$I395,2))</f>
        <v/>
      </c>
      <c r="K395" s="137">
        <f>IF(OR($H395="",$J395=""),"",ROUND($H395-$J395,2))</f>
        <v/>
      </c>
      <c r="L395" s="143" t="n"/>
    </row>
    <row r="396" ht="18" customHeight="1" s="102">
      <c r="A396" s="137">
        <f>IF($B396="","","TAH-"&amp;TEXT(ROW()-BaslangicSatir,"000000"))</f>
        <v/>
      </c>
      <c r="B396" s="143" t="n"/>
      <c r="C396" s="143" t="n"/>
      <c r="D396" s="143" t="n"/>
      <c r="E396" s="143" t="n"/>
      <c r="F396" s="143" t="n"/>
      <c r="G396" s="143" t="n"/>
      <c r="H396" s="143" t="n"/>
      <c r="I396" s="143" t="n"/>
      <c r="J396" s="137">
        <f>IF($H396="","",ROUND($H396*$I396,2))</f>
        <v/>
      </c>
      <c r="K396" s="137">
        <f>IF(OR($H396="",$J396=""),"",ROUND($H396-$J396,2))</f>
        <v/>
      </c>
      <c r="L396" s="143" t="n"/>
    </row>
    <row r="397" ht="18" customHeight="1" s="102">
      <c r="A397" s="137">
        <f>IF($B397="","","TAH-"&amp;TEXT(ROW()-BaslangicSatir,"000000"))</f>
        <v/>
      </c>
      <c r="B397" s="143" t="n"/>
      <c r="C397" s="143" t="n"/>
      <c r="D397" s="143" t="n"/>
      <c r="E397" s="143" t="n"/>
      <c r="F397" s="143" t="n"/>
      <c r="G397" s="143" t="n"/>
      <c r="H397" s="143" t="n"/>
      <c r="I397" s="143" t="n"/>
      <c r="J397" s="137">
        <f>IF($H397="","",ROUND($H397*$I397,2))</f>
        <v/>
      </c>
      <c r="K397" s="137">
        <f>IF(OR($H397="",$J397=""),"",ROUND($H397-$J397,2))</f>
        <v/>
      </c>
      <c r="L397" s="143" t="n"/>
    </row>
    <row r="398" ht="18" customHeight="1" s="102">
      <c r="A398" s="137">
        <f>IF($B398="","","TAH-"&amp;TEXT(ROW()-BaslangicSatir,"000000"))</f>
        <v/>
      </c>
      <c r="B398" s="143" t="n"/>
      <c r="C398" s="143" t="n"/>
      <c r="D398" s="143" t="n"/>
      <c r="E398" s="143" t="n"/>
      <c r="F398" s="143" t="n"/>
      <c r="G398" s="143" t="n"/>
      <c r="H398" s="143" t="n"/>
      <c r="I398" s="143" t="n"/>
      <c r="J398" s="137">
        <f>IF($H398="","",ROUND($H398*$I398,2))</f>
        <v/>
      </c>
      <c r="K398" s="137">
        <f>IF(OR($H398="",$J398=""),"",ROUND($H398-$J398,2))</f>
        <v/>
      </c>
      <c r="L398" s="143" t="n"/>
    </row>
    <row r="399" ht="18" customHeight="1" s="102">
      <c r="A399" s="137">
        <f>IF($B399="","","TAH-"&amp;TEXT(ROW()-BaslangicSatir,"000000"))</f>
        <v/>
      </c>
      <c r="B399" s="143" t="n"/>
      <c r="C399" s="143" t="n"/>
      <c r="D399" s="143" t="n"/>
      <c r="E399" s="143" t="n"/>
      <c r="F399" s="143" t="n"/>
      <c r="G399" s="143" t="n"/>
      <c r="H399" s="143" t="n"/>
      <c r="I399" s="143" t="n"/>
      <c r="J399" s="137">
        <f>IF($H399="","",ROUND($H399*$I399,2))</f>
        <v/>
      </c>
      <c r="K399" s="137">
        <f>IF(OR($H399="",$J399=""),"",ROUND($H399-$J399,2))</f>
        <v/>
      </c>
      <c r="L399" s="143" t="n"/>
    </row>
    <row r="400" ht="18" customHeight="1" s="102">
      <c r="A400" s="137">
        <f>IF($B400="","","TAH-"&amp;TEXT(ROW()-BaslangicSatir,"000000"))</f>
        <v/>
      </c>
      <c r="B400" s="143" t="n"/>
      <c r="C400" s="143" t="n"/>
      <c r="D400" s="143" t="n"/>
      <c r="E400" s="143" t="n"/>
      <c r="F400" s="143" t="n"/>
      <c r="G400" s="143" t="n"/>
      <c r="H400" s="143" t="n"/>
      <c r="I400" s="143" t="n"/>
      <c r="J400" s="137">
        <f>IF($H400="","",ROUND($H400*$I400,2))</f>
        <v/>
      </c>
      <c r="K400" s="137">
        <f>IF(OR($H400="",$J400=""),"",ROUND($H400-$J400,2))</f>
        <v/>
      </c>
      <c r="L400" s="143" t="n"/>
    </row>
    <row r="401" ht="18" customHeight="1" s="102">
      <c r="A401" s="137">
        <f>IF($B401="","","TAH-"&amp;TEXT(ROW()-BaslangicSatir,"000000"))</f>
        <v/>
      </c>
      <c r="B401" s="143" t="n"/>
      <c r="C401" s="143" t="n"/>
      <c r="D401" s="143" t="n"/>
      <c r="E401" s="143" t="n"/>
      <c r="F401" s="143" t="n"/>
      <c r="G401" s="143" t="n"/>
      <c r="H401" s="143" t="n"/>
      <c r="I401" s="143" t="n"/>
      <c r="J401" s="137">
        <f>IF($H401="","",ROUND($H401*$I401,2))</f>
        <v/>
      </c>
      <c r="K401" s="137">
        <f>IF(OR($H401="",$J401=""),"",ROUND($H401-$J401,2))</f>
        <v/>
      </c>
      <c r="L401" s="143" t="n"/>
    </row>
    <row r="402" ht="18" customHeight="1" s="102">
      <c r="A402" s="137">
        <f>IF($B402="","","TAH-"&amp;TEXT(ROW()-BaslangicSatir,"000000"))</f>
        <v/>
      </c>
      <c r="B402" s="143" t="n"/>
      <c r="C402" s="143" t="n"/>
      <c r="D402" s="143" t="n"/>
      <c r="E402" s="143" t="n"/>
      <c r="F402" s="143" t="n"/>
      <c r="G402" s="143" t="n"/>
      <c r="H402" s="143" t="n"/>
      <c r="I402" s="143" t="n"/>
      <c r="J402" s="137">
        <f>IF($H402="","",ROUND($H402*$I402,2))</f>
        <v/>
      </c>
      <c r="K402" s="137">
        <f>IF(OR($H402="",$J402=""),"",ROUND($H402-$J402,2))</f>
        <v/>
      </c>
      <c r="L402" s="143" t="n"/>
    </row>
    <row r="403" ht="18" customHeight="1" s="102">
      <c r="A403" s="137">
        <f>IF($B403="","","TAH-"&amp;TEXT(ROW()-BaslangicSatir,"000000"))</f>
        <v/>
      </c>
      <c r="B403" s="143" t="n"/>
      <c r="C403" s="143" t="n"/>
      <c r="D403" s="143" t="n"/>
      <c r="E403" s="143" t="n"/>
      <c r="F403" s="143" t="n"/>
      <c r="G403" s="143" t="n"/>
      <c r="H403" s="143" t="n"/>
      <c r="I403" s="143" t="n"/>
      <c r="J403" s="137">
        <f>IF($H403="","",ROUND($H403*$I403,2))</f>
        <v/>
      </c>
      <c r="K403" s="137">
        <f>IF(OR($H403="",$J403=""),"",ROUND($H403-$J403,2))</f>
        <v/>
      </c>
      <c r="L403" s="143" t="n"/>
    </row>
    <row r="404" ht="18" customHeight="1" s="102">
      <c r="A404" s="137">
        <f>IF($B404="","","TAH-"&amp;TEXT(ROW()-BaslangicSatir,"000000"))</f>
        <v/>
      </c>
      <c r="B404" s="143" t="n"/>
      <c r="C404" s="143" t="n"/>
      <c r="D404" s="143" t="n"/>
      <c r="E404" s="143" t="n"/>
      <c r="F404" s="143" t="n"/>
      <c r="G404" s="143" t="n"/>
      <c r="H404" s="143" t="n"/>
      <c r="I404" s="143" t="n"/>
      <c r="J404" s="137">
        <f>IF($H404="","",ROUND($H404*$I404,2))</f>
        <v/>
      </c>
      <c r="K404" s="137">
        <f>IF(OR($H404="",$J404=""),"",ROUND($H404-$J404,2))</f>
        <v/>
      </c>
      <c r="L404" s="143" t="n"/>
    </row>
    <row r="405" ht="18" customHeight="1" s="102">
      <c r="A405" s="137">
        <f>IF($B405="","","TAH-"&amp;TEXT(ROW()-BaslangicSatir,"000000"))</f>
        <v/>
      </c>
      <c r="B405" s="143" t="n"/>
      <c r="C405" s="143" t="n"/>
      <c r="D405" s="143" t="n"/>
      <c r="E405" s="143" t="n"/>
      <c r="F405" s="143" t="n"/>
      <c r="G405" s="143" t="n"/>
      <c r="H405" s="143" t="n"/>
      <c r="I405" s="143" t="n"/>
      <c r="J405" s="137">
        <f>IF($H405="","",ROUND($H405*$I405,2))</f>
        <v/>
      </c>
      <c r="K405" s="137">
        <f>IF(OR($H405="",$J405=""),"",ROUND($H405-$J405,2))</f>
        <v/>
      </c>
      <c r="L405" s="143" t="n"/>
    </row>
    <row r="406" ht="18" customHeight="1" s="102">
      <c r="A406" s="137">
        <f>IF($B406="","","TAH-"&amp;TEXT(ROW()-BaslangicSatir,"000000"))</f>
        <v/>
      </c>
      <c r="B406" s="143" t="n"/>
      <c r="C406" s="143" t="n"/>
      <c r="D406" s="143" t="n"/>
      <c r="E406" s="143" t="n"/>
      <c r="F406" s="143" t="n"/>
      <c r="G406" s="143" t="n"/>
      <c r="H406" s="143" t="n"/>
      <c r="I406" s="143" t="n"/>
      <c r="J406" s="137">
        <f>IF($H406="","",ROUND($H406*$I406,2))</f>
        <v/>
      </c>
      <c r="K406" s="137">
        <f>IF(OR($H406="",$J406=""),"",ROUND($H406-$J406,2))</f>
        <v/>
      </c>
      <c r="L406" s="143" t="n"/>
    </row>
    <row r="407" ht="18" customHeight="1" s="102">
      <c r="A407" s="137">
        <f>IF($B407="","","TAH-"&amp;TEXT(ROW()-BaslangicSatir,"000000"))</f>
        <v/>
      </c>
      <c r="B407" s="143" t="n"/>
      <c r="C407" s="143" t="n"/>
      <c r="D407" s="143" t="n"/>
      <c r="E407" s="143" t="n"/>
      <c r="F407" s="143" t="n"/>
      <c r="G407" s="143" t="n"/>
      <c r="H407" s="143" t="n"/>
      <c r="I407" s="143" t="n"/>
      <c r="J407" s="137">
        <f>IF($H407="","",ROUND($H407*$I407,2))</f>
        <v/>
      </c>
      <c r="K407" s="137">
        <f>IF(OR($H407="",$J407=""),"",ROUND($H407-$J407,2))</f>
        <v/>
      </c>
      <c r="L407" s="143" t="n"/>
    </row>
    <row r="408" ht="18" customHeight="1" s="102">
      <c r="A408" s="137">
        <f>IF($B408="","","TAH-"&amp;TEXT(ROW()-BaslangicSatir,"000000"))</f>
        <v/>
      </c>
      <c r="B408" s="143" t="n"/>
      <c r="C408" s="143" t="n"/>
      <c r="D408" s="143" t="n"/>
      <c r="E408" s="143" t="n"/>
      <c r="F408" s="143" t="n"/>
      <c r="G408" s="143" t="n"/>
      <c r="H408" s="143" t="n"/>
      <c r="I408" s="143" t="n"/>
      <c r="J408" s="137">
        <f>IF($H408="","",ROUND($H408*$I408,2))</f>
        <v/>
      </c>
      <c r="K408" s="137">
        <f>IF(OR($H408="",$J408=""),"",ROUND($H408-$J408,2))</f>
        <v/>
      </c>
      <c r="L408" s="143" t="n"/>
    </row>
    <row r="409" ht="18" customHeight="1" s="102">
      <c r="A409" s="137">
        <f>IF($B409="","","TAH-"&amp;TEXT(ROW()-BaslangicSatir,"000000"))</f>
        <v/>
      </c>
      <c r="B409" s="143" t="n"/>
      <c r="C409" s="143" t="n"/>
      <c r="D409" s="143" t="n"/>
      <c r="E409" s="143" t="n"/>
      <c r="F409" s="143" t="n"/>
      <c r="G409" s="143" t="n"/>
      <c r="H409" s="143" t="n"/>
      <c r="I409" s="143" t="n"/>
      <c r="J409" s="137">
        <f>IF($H409="","",ROUND($H409*$I409,2))</f>
        <v/>
      </c>
      <c r="K409" s="137">
        <f>IF(OR($H409="",$J409=""),"",ROUND($H409-$J409,2))</f>
        <v/>
      </c>
      <c r="L409" s="143" t="n"/>
    </row>
    <row r="410" ht="18" customHeight="1" s="102">
      <c r="A410" s="137">
        <f>IF($B410="","","TAH-"&amp;TEXT(ROW()-BaslangicSatir,"000000"))</f>
        <v/>
      </c>
      <c r="B410" s="143" t="n"/>
      <c r="C410" s="143" t="n"/>
      <c r="D410" s="143" t="n"/>
      <c r="E410" s="143" t="n"/>
      <c r="F410" s="143" t="n"/>
      <c r="G410" s="143" t="n"/>
      <c r="H410" s="143" t="n"/>
      <c r="I410" s="143" t="n"/>
      <c r="J410" s="137">
        <f>IF($H410="","",ROUND($H410*$I410,2))</f>
        <v/>
      </c>
      <c r="K410" s="137">
        <f>IF(OR($H410="",$J410=""),"",ROUND($H410-$J410,2))</f>
        <v/>
      </c>
      <c r="L410" s="143" t="n"/>
    </row>
    <row r="411" ht="18" customHeight="1" s="102">
      <c r="A411" s="137">
        <f>IF($B411="","","TAH-"&amp;TEXT(ROW()-BaslangicSatir,"000000"))</f>
        <v/>
      </c>
      <c r="B411" s="143" t="n"/>
      <c r="C411" s="143" t="n"/>
      <c r="D411" s="143" t="n"/>
      <c r="E411" s="143" t="n"/>
      <c r="F411" s="143" t="n"/>
      <c r="G411" s="143" t="n"/>
      <c r="H411" s="143" t="n"/>
      <c r="I411" s="143" t="n"/>
      <c r="J411" s="137">
        <f>IF($H411="","",ROUND($H411*$I411,2))</f>
        <v/>
      </c>
      <c r="K411" s="137">
        <f>IF(OR($H411="",$J411=""),"",ROUND($H411-$J411,2))</f>
        <v/>
      </c>
      <c r="L411" s="143" t="n"/>
    </row>
    <row r="412" ht="18" customHeight="1" s="102">
      <c r="A412" s="137">
        <f>IF($B412="","","TAH-"&amp;TEXT(ROW()-BaslangicSatir,"000000"))</f>
        <v/>
      </c>
      <c r="B412" s="143" t="n"/>
      <c r="C412" s="143" t="n"/>
      <c r="D412" s="143" t="n"/>
      <c r="E412" s="143" t="n"/>
      <c r="F412" s="143" t="n"/>
      <c r="G412" s="143" t="n"/>
      <c r="H412" s="143" t="n"/>
      <c r="I412" s="143" t="n"/>
      <c r="J412" s="137">
        <f>IF($H412="","",ROUND($H412*$I412,2))</f>
        <v/>
      </c>
      <c r="K412" s="137">
        <f>IF(OR($H412="",$J412=""),"",ROUND($H412-$J412,2))</f>
        <v/>
      </c>
      <c r="L412" s="143" t="n"/>
    </row>
    <row r="413" ht="18" customHeight="1" s="102">
      <c r="A413" s="137">
        <f>IF($B413="","","TAH-"&amp;TEXT(ROW()-BaslangicSatir,"000000"))</f>
        <v/>
      </c>
      <c r="B413" s="143" t="n"/>
      <c r="C413" s="143" t="n"/>
      <c r="D413" s="143" t="n"/>
      <c r="E413" s="143" t="n"/>
      <c r="F413" s="143" t="n"/>
      <c r="G413" s="143" t="n"/>
      <c r="H413" s="143" t="n"/>
      <c r="I413" s="143" t="n"/>
      <c r="J413" s="137">
        <f>IF($H413="","",ROUND($H413*$I413,2))</f>
        <v/>
      </c>
      <c r="K413" s="137">
        <f>IF(OR($H413="",$J413=""),"",ROUND($H413-$J413,2))</f>
        <v/>
      </c>
      <c r="L413" s="143" t="n"/>
    </row>
    <row r="414" ht="18" customHeight="1" s="102">
      <c r="A414" s="137">
        <f>IF($B414="","","TAH-"&amp;TEXT(ROW()-BaslangicSatir,"000000"))</f>
        <v/>
      </c>
      <c r="B414" s="143" t="n"/>
      <c r="C414" s="143" t="n"/>
      <c r="D414" s="143" t="n"/>
      <c r="E414" s="143" t="n"/>
      <c r="F414" s="143" t="n"/>
      <c r="G414" s="143" t="n"/>
      <c r="H414" s="143" t="n"/>
      <c r="I414" s="143" t="n"/>
      <c r="J414" s="137">
        <f>IF($H414="","",ROUND($H414*$I414,2))</f>
        <v/>
      </c>
      <c r="K414" s="137">
        <f>IF(OR($H414="",$J414=""),"",ROUND($H414-$J414,2))</f>
        <v/>
      </c>
      <c r="L414" s="143" t="n"/>
    </row>
    <row r="415" ht="18" customHeight="1" s="102">
      <c r="A415" s="137">
        <f>IF($B415="","","TAH-"&amp;TEXT(ROW()-BaslangicSatir,"000000"))</f>
        <v/>
      </c>
      <c r="B415" s="143" t="n"/>
      <c r="C415" s="143" t="n"/>
      <c r="D415" s="143" t="n"/>
      <c r="E415" s="143" t="n"/>
      <c r="F415" s="143" t="n"/>
      <c r="G415" s="143" t="n"/>
      <c r="H415" s="143" t="n"/>
      <c r="I415" s="143" t="n"/>
      <c r="J415" s="137">
        <f>IF($H415="","",ROUND($H415*$I415,2))</f>
        <v/>
      </c>
      <c r="K415" s="137">
        <f>IF(OR($H415="",$J415=""),"",ROUND($H415-$J415,2))</f>
        <v/>
      </c>
      <c r="L415" s="143" t="n"/>
    </row>
    <row r="416" ht="18" customHeight="1" s="102">
      <c r="A416" s="137">
        <f>IF($B416="","","TAH-"&amp;TEXT(ROW()-BaslangicSatir,"000000"))</f>
        <v/>
      </c>
      <c r="B416" s="143" t="n"/>
      <c r="C416" s="143" t="n"/>
      <c r="D416" s="143" t="n"/>
      <c r="E416" s="143" t="n"/>
      <c r="F416" s="143" t="n"/>
      <c r="G416" s="143" t="n"/>
      <c r="H416" s="143" t="n"/>
      <c r="I416" s="143" t="n"/>
      <c r="J416" s="137">
        <f>IF($H416="","",ROUND($H416*$I416,2))</f>
        <v/>
      </c>
      <c r="K416" s="137">
        <f>IF(OR($H416="",$J416=""),"",ROUND($H416-$J416,2))</f>
        <v/>
      </c>
      <c r="L416" s="143" t="n"/>
    </row>
    <row r="417" ht="18" customHeight="1" s="102">
      <c r="A417" s="137">
        <f>IF($B417="","","TAH-"&amp;TEXT(ROW()-BaslangicSatir,"000000"))</f>
        <v/>
      </c>
      <c r="B417" s="143" t="n"/>
      <c r="C417" s="143" t="n"/>
      <c r="D417" s="143" t="n"/>
      <c r="E417" s="143" t="n"/>
      <c r="F417" s="143" t="n"/>
      <c r="G417" s="143" t="n"/>
      <c r="H417" s="143" t="n"/>
      <c r="I417" s="143" t="n"/>
      <c r="J417" s="137">
        <f>IF($H417="","",ROUND($H417*$I417,2))</f>
        <v/>
      </c>
      <c r="K417" s="137">
        <f>IF(OR($H417="",$J417=""),"",ROUND($H417-$J417,2))</f>
        <v/>
      </c>
      <c r="L417" s="143" t="n"/>
    </row>
    <row r="418" ht="18" customHeight="1" s="102">
      <c r="A418" s="137">
        <f>IF($B418="","","TAH-"&amp;TEXT(ROW()-BaslangicSatir,"000000"))</f>
        <v/>
      </c>
      <c r="B418" s="143" t="n"/>
      <c r="C418" s="143" t="n"/>
      <c r="D418" s="143" t="n"/>
      <c r="E418" s="143" t="n"/>
      <c r="F418" s="143" t="n"/>
      <c r="G418" s="143" t="n"/>
      <c r="H418" s="143" t="n"/>
      <c r="I418" s="143" t="n"/>
      <c r="J418" s="137">
        <f>IF($H418="","",ROUND($H418*$I418,2))</f>
        <v/>
      </c>
      <c r="K418" s="137">
        <f>IF(OR($H418="",$J418=""),"",ROUND($H418-$J418,2))</f>
        <v/>
      </c>
      <c r="L418" s="143" t="n"/>
    </row>
    <row r="419" ht="18" customHeight="1" s="102">
      <c r="A419" s="137">
        <f>IF($B419="","","TAH-"&amp;TEXT(ROW()-BaslangicSatir,"000000"))</f>
        <v/>
      </c>
      <c r="B419" s="143" t="n"/>
      <c r="C419" s="143" t="n"/>
      <c r="D419" s="143" t="n"/>
      <c r="E419" s="143" t="n"/>
      <c r="F419" s="143" t="n"/>
      <c r="G419" s="143" t="n"/>
      <c r="H419" s="143" t="n"/>
      <c r="I419" s="143" t="n"/>
      <c r="J419" s="137">
        <f>IF($H419="","",ROUND($H419*$I419,2))</f>
        <v/>
      </c>
      <c r="K419" s="137">
        <f>IF(OR($H419="",$J419=""),"",ROUND($H419-$J419,2))</f>
        <v/>
      </c>
      <c r="L419" s="143" t="n"/>
    </row>
    <row r="420" ht="18" customHeight="1" s="102">
      <c r="A420" s="137">
        <f>IF($B420="","","TAH-"&amp;TEXT(ROW()-BaslangicSatir,"000000"))</f>
        <v/>
      </c>
      <c r="B420" s="143" t="n"/>
      <c r="C420" s="143" t="n"/>
      <c r="D420" s="143" t="n"/>
      <c r="E420" s="143" t="n"/>
      <c r="F420" s="143" t="n"/>
      <c r="G420" s="143" t="n"/>
      <c r="H420" s="143" t="n"/>
      <c r="I420" s="143" t="n"/>
      <c r="J420" s="137">
        <f>IF($H420="","",ROUND($H420*$I420,2))</f>
        <v/>
      </c>
      <c r="K420" s="137">
        <f>IF(OR($H420="",$J420=""),"",ROUND($H420-$J420,2))</f>
        <v/>
      </c>
      <c r="L420" s="143" t="n"/>
    </row>
    <row r="421" ht="18" customHeight="1" s="102">
      <c r="A421" s="137">
        <f>IF($B421="","","TAH-"&amp;TEXT(ROW()-BaslangicSatir,"000000"))</f>
        <v/>
      </c>
      <c r="B421" s="143" t="n"/>
      <c r="C421" s="143" t="n"/>
      <c r="D421" s="143" t="n"/>
      <c r="E421" s="143" t="n"/>
      <c r="F421" s="143" t="n"/>
      <c r="G421" s="143" t="n"/>
      <c r="H421" s="143" t="n"/>
      <c r="I421" s="143" t="n"/>
      <c r="J421" s="137">
        <f>IF($H421="","",ROUND($H421*$I421,2))</f>
        <v/>
      </c>
      <c r="K421" s="137">
        <f>IF(OR($H421="",$J421=""),"",ROUND($H421-$J421,2))</f>
        <v/>
      </c>
      <c r="L421" s="143" t="n"/>
    </row>
    <row r="422" ht="18" customHeight="1" s="102">
      <c r="A422" s="137">
        <f>IF($B422="","","TAH-"&amp;TEXT(ROW()-BaslangicSatir,"000000"))</f>
        <v/>
      </c>
      <c r="B422" s="143" t="n"/>
      <c r="C422" s="143" t="n"/>
      <c r="D422" s="143" t="n"/>
      <c r="E422" s="143" t="n"/>
      <c r="F422" s="143" t="n"/>
      <c r="G422" s="143" t="n"/>
      <c r="H422" s="143" t="n"/>
      <c r="I422" s="143" t="n"/>
      <c r="J422" s="137">
        <f>IF($H422="","",ROUND($H422*$I422,2))</f>
        <v/>
      </c>
      <c r="K422" s="137">
        <f>IF(OR($H422="",$J422=""),"",ROUND($H422-$J422,2))</f>
        <v/>
      </c>
      <c r="L422" s="143" t="n"/>
    </row>
    <row r="423" ht="18" customHeight="1" s="102">
      <c r="A423" s="137">
        <f>IF($B423="","","TAH-"&amp;TEXT(ROW()-BaslangicSatir,"000000"))</f>
        <v/>
      </c>
      <c r="B423" s="143" t="n"/>
      <c r="C423" s="143" t="n"/>
      <c r="D423" s="143" t="n"/>
      <c r="E423" s="143" t="n"/>
      <c r="F423" s="143" t="n"/>
      <c r="G423" s="143" t="n"/>
      <c r="H423" s="143" t="n"/>
      <c r="I423" s="143" t="n"/>
      <c r="J423" s="137">
        <f>IF($H423="","",ROUND($H423*$I423,2))</f>
        <v/>
      </c>
      <c r="K423" s="137">
        <f>IF(OR($H423="",$J423=""),"",ROUND($H423-$J423,2))</f>
        <v/>
      </c>
      <c r="L423" s="143" t="n"/>
    </row>
    <row r="424" ht="18" customHeight="1" s="102">
      <c r="A424" s="137">
        <f>IF($B424="","","TAH-"&amp;TEXT(ROW()-BaslangicSatir,"000000"))</f>
        <v/>
      </c>
      <c r="B424" s="143" t="n"/>
      <c r="C424" s="143" t="n"/>
      <c r="D424" s="143" t="n"/>
      <c r="E424" s="143" t="n"/>
      <c r="F424" s="143" t="n"/>
      <c r="G424" s="143" t="n"/>
      <c r="H424" s="143" t="n"/>
      <c r="I424" s="143" t="n"/>
      <c r="J424" s="137">
        <f>IF($H424="","",ROUND($H424*$I424,2))</f>
        <v/>
      </c>
      <c r="K424" s="137">
        <f>IF(OR($H424="",$J424=""),"",ROUND($H424-$J424,2))</f>
        <v/>
      </c>
      <c r="L424" s="143" t="n"/>
    </row>
    <row r="425" ht="18" customHeight="1" s="102">
      <c r="A425" s="137">
        <f>IF($B425="","","TAH-"&amp;TEXT(ROW()-BaslangicSatir,"000000"))</f>
        <v/>
      </c>
      <c r="B425" s="143" t="n"/>
      <c r="C425" s="143" t="n"/>
      <c r="D425" s="143" t="n"/>
      <c r="E425" s="143" t="n"/>
      <c r="F425" s="143" t="n"/>
      <c r="G425" s="143" t="n"/>
      <c r="H425" s="143" t="n"/>
      <c r="I425" s="143" t="n"/>
      <c r="J425" s="137">
        <f>IF($H425="","",ROUND($H425*$I425,2))</f>
        <v/>
      </c>
      <c r="K425" s="137">
        <f>IF(OR($H425="",$J425=""),"",ROUND($H425-$J425,2))</f>
        <v/>
      </c>
      <c r="L425" s="143" t="n"/>
    </row>
    <row r="426" ht="18" customHeight="1" s="102">
      <c r="A426" s="137">
        <f>IF($B426="","","TAH-"&amp;TEXT(ROW()-BaslangicSatir,"000000"))</f>
        <v/>
      </c>
      <c r="B426" s="143" t="n"/>
      <c r="C426" s="143" t="n"/>
      <c r="D426" s="143" t="n"/>
      <c r="E426" s="143" t="n"/>
      <c r="F426" s="143" t="n"/>
      <c r="G426" s="143" t="n"/>
      <c r="H426" s="143" t="n"/>
      <c r="I426" s="143" t="n"/>
      <c r="J426" s="137">
        <f>IF($H426="","",ROUND($H426*$I426,2))</f>
        <v/>
      </c>
      <c r="K426" s="137">
        <f>IF(OR($H426="",$J426=""),"",ROUND($H426-$J426,2))</f>
        <v/>
      </c>
      <c r="L426" s="143" t="n"/>
    </row>
    <row r="427" ht="18" customHeight="1" s="102">
      <c r="A427" s="137">
        <f>IF($B427="","","TAH-"&amp;TEXT(ROW()-BaslangicSatir,"000000"))</f>
        <v/>
      </c>
      <c r="B427" s="143" t="n"/>
      <c r="C427" s="143" t="n"/>
      <c r="D427" s="143" t="n"/>
      <c r="E427" s="143" t="n"/>
      <c r="F427" s="143" t="n"/>
      <c r="G427" s="143" t="n"/>
      <c r="H427" s="143" t="n"/>
      <c r="I427" s="143" t="n"/>
      <c r="J427" s="137">
        <f>IF($H427="","",ROUND($H427*$I427,2))</f>
        <v/>
      </c>
      <c r="K427" s="137">
        <f>IF(OR($H427="",$J427=""),"",ROUND($H427-$J427,2))</f>
        <v/>
      </c>
      <c r="L427" s="143" t="n"/>
    </row>
    <row r="428" ht="18" customHeight="1" s="102">
      <c r="A428" s="137">
        <f>IF($B428="","","TAH-"&amp;TEXT(ROW()-BaslangicSatir,"000000"))</f>
        <v/>
      </c>
      <c r="B428" s="143" t="n"/>
      <c r="C428" s="143" t="n"/>
      <c r="D428" s="143" t="n"/>
      <c r="E428" s="143" t="n"/>
      <c r="F428" s="143" t="n"/>
      <c r="G428" s="143" t="n"/>
      <c r="H428" s="143" t="n"/>
      <c r="I428" s="143" t="n"/>
      <c r="J428" s="137">
        <f>IF($H428="","",ROUND($H428*$I428,2))</f>
        <v/>
      </c>
      <c r="K428" s="137">
        <f>IF(OR($H428="",$J428=""),"",ROUND($H428-$J428,2))</f>
        <v/>
      </c>
      <c r="L428" s="143" t="n"/>
    </row>
    <row r="429" ht="18" customHeight="1" s="102">
      <c r="A429" s="137">
        <f>IF($B429="","","TAH-"&amp;TEXT(ROW()-BaslangicSatir,"000000"))</f>
        <v/>
      </c>
      <c r="B429" s="143" t="n"/>
      <c r="C429" s="143" t="n"/>
      <c r="D429" s="143" t="n"/>
      <c r="E429" s="143" t="n"/>
      <c r="F429" s="143" t="n"/>
      <c r="G429" s="143" t="n"/>
      <c r="H429" s="143" t="n"/>
      <c r="I429" s="143" t="n"/>
      <c r="J429" s="137">
        <f>IF($H429="","",ROUND($H429*$I429,2))</f>
        <v/>
      </c>
      <c r="K429" s="137">
        <f>IF(OR($H429="",$J429=""),"",ROUND($H429-$J429,2))</f>
        <v/>
      </c>
      <c r="L429" s="143" t="n"/>
    </row>
    <row r="430" ht="18" customHeight="1" s="102">
      <c r="A430" s="137">
        <f>IF($B430="","","TAH-"&amp;TEXT(ROW()-BaslangicSatir,"000000"))</f>
        <v/>
      </c>
      <c r="B430" s="143" t="n"/>
      <c r="C430" s="143" t="n"/>
      <c r="D430" s="143" t="n"/>
      <c r="E430" s="143" t="n"/>
      <c r="F430" s="143" t="n"/>
      <c r="G430" s="143" t="n"/>
      <c r="H430" s="143" t="n"/>
      <c r="I430" s="143" t="n"/>
      <c r="J430" s="137">
        <f>IF($H430="","",ROUND($H430*$I430,2))</f>
        <v/>
      </c>
      <c r="K430" s="137">
        <f>IF(OR($H430="",$J430=""),"",ROUND($H430-$J430,2))</f>
        <v/>
      </c>
      <c r="L430" s="143" t="n"/>
    </row>
    <row r="431" ht="18" customHeight="1" s="102">
      <c r="A431" s="137">
        <f>IF($B431="","","TAH-"&amp;TEXT(ROW()-BaslangicSatir,"000000"))</f>
        <v/>
      </c>
      <c r="B431" s="143" t="n"/>
      <c r="C431" s="143" t="n"/>
      <c r="D431" s="143" t="n"/>
      <c r="E431" s="143" t="n"/>
      <c r="F431" s="143" t="n"/>
      <c r="G431" s="143" t="n"/>
      <c r="H431" s="143" t="n"/>
      <c r="I431" s="143" t="n"/>
      <c r="J431" s="137">
        <f>IF($H431="","",ROUND($H431*$I431,2))</f>
        <v/>
      </c>
      <c r="K431" s="137">
        <f>IF(OR($H431="",$J431=""),"",ROUND($H431-$J431,2))</f>
        <v/>
      </c>
      <c r="L431" s="143" t="n"/>
    </row>
    <row r="432" ht="18" customHeight="1" s="102">
      <c r="A432" s="137">
        <f>IF($B432="","","TAH-"&amp;TEXT(ROW()-BaslangicSatir,"000000"))</f>
        <v/>
      </c>
      <c r="B432" s="143" t="n"/>
      <c r="C432" s="143" t="n"/>
      <c r="D432" s="143" t="n"/>
      <c r="E432" s="143" t="n"/>
      <c r="F432" s="143" t="n"/>
      <c r="G432" s="143" t="n"/>
      <c r="H432" s="143" t="n"/>
      <c r="I432" s="143" t="n"/>
      <c r="J432" s="137">
        <f>IF($H432="","",ROUND($H432*$I432,2))</f>
        <v/>
      </c>
      <c r="K432" s="137">
        <f>IF(OR($H432="",$J432=""),"",ROUND($H432-$J432,2))</f>
        <v/>
      </c>
      <c r="L432" s="143" t="n"/>
    </row>
    <row r="433" ht="18" customHeight="1" s="102">
      <c r="A433" s="137">
        <f>IF($B433="","","TAH-"&amp;TEXT(ROW()-BaslangicSatir,"000000"))</f>
        <v/>
      </c>
      <c r="B433" s="143" t="n"/>
      <c r="C433" s="143" t="n"/>
      <c r="D433" s="143" t="n"/>
      <c r="E433" s="143" t="n"/>
      <c r="F433" s="143" t="n"/>
      <c r="G433" s="143" t="n"/>
      <c r="H433" s="143" t="n"/>
      <c r="I433" s="143" t="n"/>
      <c r="J433" s="137">
        <f>IF($H433="","",ROUND($H433*$I433,2))</f>
        <v/>
      </c>
      <c r="K433" s="137">
        <f>IF(OR($H433="",$J433=""),"",ROUND($H433-$J433,2))</f>
        <v/>
      </c>
      <c r="L433" s="143" t="n"/>
    </row>
    <row r="434" ht="18" customHeight="1" s="102">
      <c r="A434" s="137">
        <f>IF($B434="","","TAH-"&amp;TEXT(ROW()-BaslangicSatir,"000000"))</f>
        <v/>
      </c>
      <c r="B434" s="143" t="n"/>
      <c r="C434" s="143" t="n"/>
      <c r="D434" s="143" t="n"/>
      <c r="E434" s="143" t="n"/>
      <c r="F434" s="143" t="n"/>
      <c r="G434" s="143" t="n"/>
      <c r="H434" s="143" t="n"/>
      <c r="I434" s="143" t="n"/>
      <c r="J434" s="137">
        <f>IF($H434="","",ROUND($H434*$I434,2))</f>
        <v/>
      </c>
      <c r="K434" s="137">
        <f>IF(OR($H434="",$J434=""),"",ROUND($H434-$J434,2))</f>
        <v/>
      </c>
      <c r="L434" s="143" t="n"/>
    </row>
    <row r="435" ht="18" customHeight="1" s="102">
      <c r="A435" s="137">
        <f>IF($B435="","","TAH-"&amp;TEXT(ROW()-BaslangicSatir,"000000"))</f>
        <v/>
      </c>
      <c r="B435" s="143" t="n"/>
      <c r="C435" s="143" t="n"/>
      <c r="D435" s="143" t="n"/>
      <c r="E435" s="143" t="n"/>
      <c r="F435" s="143" t="n"/>
      <c r="G435" s="143" t="n"/>
      <c r="H435" s="143" t="n"/>
      <c r="I435" s="143" t="n"/>
      <c r="J435" s="137">
        <f>IF($H435="","",ROUND($H435*$I435,2))</f>
        <v/>
      </c>
      <c r="K435" s="137">
        <f>IF(OR($H435="",$J435=""),"",ROUND($H435-$J435,2))</f>
        <v/>
      </c>
      <c r="L435" s="143" t="n"/>
    </row>
    <row r="436" ht="18" customHeight="1" s="102">
      <c r="A436" s="137">
        <f>IF($B436="","","TAH-"&amp;TEXT(ROW()-BaslangicSatir,"000000"))</f>
        <v/>
      </c>
      <c r="B436" s="143" t="n"/>
      <c r="C436" s="143" t="n"/>
      <c r="D436" s="143" t="n"/>
      <c r="E436" s="143" t="n"/>
      <c r="F436" s="143" t="n"/>
      <c r="G436" s="143" t="n"/>
      <c r="H436" s="143" t="n"/>
      <c r="I436" s="143" t="n"/>
      <c r="J436" s="137">
        <f>IF($H436="","",ROUND($H436*$I436,2))</f>
        <v/>
      </c>
      <c r="K436" s="137">
        <f>IF(OR($H436="",$J436=""),"",ROUND($H436-$J436,2))</f>
        <v/>
      </c>
      <c r="L436" s="143" t="n"/>
    </row>
    <row r="437" ht="18" customHeight="1" s="102">
      <c r="A437" s="137">
        <f>IF($B437="","","TAH-"&amp;TEXT(ROW()-BaslangicSatir,"000000"))</f>
        <v/>
      </c>
      <c r="B437" s="143" t="n"/>
      <c r="C437" s="143" t="n"/>
      <c r="D437" s="143" t="n"/>
      <c r="E437" s="143" t="n"/>
      <c r="F437" s="143" t="n"/>
      <c r="G437" s="143" t="n"/>
      <c r="H437" s="143" t="n"/>
      <c r="I437" s="143" t="n"/>
      <c r="J437" s="137">
        <f>IF($H437="","",ROUND($H437*$I437,2))</f>
        <v/>
      </c>
      <c r="K437" s="137">
        <f>IF(OR($H437="",$J437=""),"",ROUND($H437-$J437,2))</f>
        <v/>
      </c>
      <c r="L437" s="143" t="n"/>
    </row>
    <row r="438" ht="18" customHeight="1" s="102">
      <c r="A438" s="137">
        <f>IF($B438="","","TAH-"&amp;TEXT(ROW()-BaslangicSatir,"000000"))</f>
        <v/>
      </c>
      <c r="B438" s="143" t="n"/>
      <c r="C438" s="143" t="n"/>
      <c r="D438" s="143" t="n"/>
      <c r="E438" s="143" t="n"/>
      <c r="F438" s="143" t="n"/>
      <c r="G438" s="143" t="n"/>
      <c r="H438" s="143" t="n"/>
      <c r="I438" s="143" t="n"/>
      <c r="J438" s="137">
        <f>IF($H438="","",ROUND($H438*$I438,2))</f>
        <v/>
      </c>
      <c r="K438" s="137">
        <f>IF(OR($H438="",$J438=""),"",ROUND($H438-$J438,2))</f>
        <v/>
      </c>
      <c r="L438" s="143" t="n"/>
    </row>
    <row r="439" ht="18" customHeight="1" s="102">
      <c r="A439" s="137">
        <f>IF($B439="","","TAH-"&amp;TEXT(ROW()-BaslangicSatir,"000000"))</f>
        <v/>
      </c>
      <c r="B439" s="143" t="n"/>
      <c r="C439" s="143" t="n"/>
      <c r="D439" s="143" t="n"/>
      <c r="E439" s="143" t="n"/>
      <c r="F439" s="143" t="n"/>
      <c r="G439" s="143" t="n"/>
      <c r="H439" s="143" t="n"/>
      <c r="I439" s="143" t="n"/>
      <c r="J439" s="137">
        <f>IF($H439="","",ROUND($H439*$I439,2))</f>
        <v/>
      </c>
      <c r="K439" s="137">
        <f>IF(OR($H439="",$J439=""),"",ROUND($H439-$J439,2))</f>
        <v/>
      </c>
      <c r="L439" s="143" t="n"/>
    </row>
    <row r="440" ht="18" customHeight="1" s="102">
      <c r="A440" s="137">
        <f>IF($B440="","","TAH-"&amp;TEXT(ROW()-BaslangicSatir,"000000"))</f>
        <v/>
      </c>
      <c r="B440" s="143" t="n"/>
      <c r="C440" s="143" t="n"/>
      <c r="D440" s="143" t="n"/>
      <c r="E440" s="143" t="n"/>
      <c r="F440" s="143" t="n"/>
      <c r="G440" s="143" t="n"/>
      <c r="H440" s="143" t="n"/>
      <c r="I440" s="143" t="n"/>
      <c r="J440" s="137">
        <f>IF($H440="","",ROUND($H440*$I440,2))</f>
        <v/>
      </c>
      <c r="K440" s="137">
        <f>IF(OR($H440="",$J440=""),"",ROUND($H440-$J440,2))</f>
        <v/>
      </c>
      <c r="L440" s="143" t="n"/>
    </row>
    <row r="441" ht="18" customHeight="1" s="102">
      <c r="A441" s="137">
        <f>IF($B441="","","TAH-"&amp;TEXT(ROW()-BaslangicSatir,"000000"))</f>
        <v/>
      </c>
      <c r="B441" s="143" t="n"/>
      <c r="C441" s="143" t="n"/>
      <c r="D441" s="143" t="n"/>
      <c r="E441" s="143" t="n"/>
      <c r="F441" s="143" t="n"/>
      <c r="G441" s="143" t="n"/>
      <c r="H441" s="143" t="n"/>
      <c r="I441" s="143" t="n"/>
      <c r="J441" s="137">
        <f>IF($H441="","",ROUND($H441*$I441,2))</f>
        <v/>
      </c>
      <c r="K441" s="137">
        <f>IF(OR($H441="",$J441=""),"",ROUND($H441-$J441,2))</f>
        <v/>
      </c>
      <c r="L441" s="143" t="n"/>
    </row>
    <row r="442" ht="18" customHeight="1" s="102">
      <c r="A442" s="137">
        <f>IF($B442="","","TAH-"&amp;TEXT(ROW()-BaslangicSatir,"000000"))</f>
        <v/>
      </c>
      <c r="B442" s="143" t="n"/>
      <c r="C442" s="143" t="n"/>
      <c r="D442" s="143" t="n"/>
      <c r="E442" s="143" t="n"/>
      <c r="F442" s="143" t="n"/>
      <c r="G442" s="143" t="n"/>
      <c r="H442" s="143" t="n"/>
      <c r="I442" s="143" t="n"/>
      <c r="J442" s="137">
        <f>IF($H442="","",ROUND($H442*$I442,2))</f>
        <v/>
      </c>
      <c r="K442" s="137">
        <f>IF(OR($H442="",$J442=""),"",ROUND($H442-$J442,2))</f>
        <v/>
      </c>
      <c r="L442" s="143" t="n"/>
    </row>
    <row r="443" ht="18" customHeight="1" s="102">
      <c r="A443" s="137">
        <f>IF($B443="","","TAH-"&amp;TEXT(ROW()-BaslangicSatir,"000000"))</f>
        <v/>
      </c>
      <c r="B443" s="143" t="n"/>
      <c r="C443" s="143" t="n"/>
      <c r="D443" s="143" t="n"/>
      <c r="E443" s="143" t="n"/>
      <c r="F443" s="143" t="n"/>
      <c r="G443" s="143" t="n"/>
      <c r="H443" s="143" t="n"/>
      <c r="I443" s="143" t="n"/>
      <c r="J443" s="137">
        <f>IF($H443="","",ROUND($H443*$I443,2))</f>
        <v/>
      </c>
      <c r="K443" s="137">
        <f>IF(OR($H443="",$J443=""),"",ROUND($H443-$J443,2))</f>
        <v/>
      </c>
      <c r="L443" s="143" t="n"/>
    </row>
    <row r="444" ht="18" customHeight="1" s="102">
      <c r="A444" s="137">
        <f>IF($B444="","","TAH-"&amp;TEXT(ROW()-BaslangicSatir,"000000"))</f>
        <v/>
      </c>
      <c r="B444" s="143" t="n"/>
      <c r="C444" s="143" t="n"/>
      <c r="D444" s="143" t="n"/>
      <c r="E444" s="143" t="n"/>
      <c r="F444" s="143" t="n"/>
      <c r="G444" s="143" t="n"/>
      <c r="H444" s="143" t="n"/>
      <c r="I444" s="143" t="n"/>
      <c r="J444" s="137">
        <f>IF($H444="","",ROUND($H444*$I444,2))</f>
        <v/>
      </c>
      <c r="K444" s="137">
        <f>IF(OR($H444="",$J444=""),"",ROUND($H444-$J444,2))</f>
        <v/>
      </c>
      <c r="L444" s="143" t="n"/>
    </row>
    <row r="445" ht="18" customHeight="1" s="102">
      <c r="A445" s="137">
        <f>IF($B445="","","TAH-"&amp;TEXT(ROW()-BaslangicSatir,"000000"))</f>
        <v/>
      </c>
      <c r="B445" s="143" t="n"/>
      <c r="C445" s="143" t="n"/>
      <c r="D445" s="143" t="n"/>
      <c r="E445" s="143" t="n"/>
      <c r="F445" s="143" t="n"/>
      <c r="G445" s="143" t="n"/>
      <c r="H445" s="143" t="n"/>
      <c r="I445" s="143" t="n"/>
      <c r="J445" s="137">
        <f>IF($H445="","",ROUND($H445*$I445,2))</f>
        <v/>
      </c>
      <c r="K445" s="137">
        <f>IF(OR($H445="",$J445=""),"",ROUND($H445-$J445,2))</f>
        <v/>
      </c>
      <c r="L445" s="143" t="n"/>
    </row>
    <row r="446" ht="18" customHeight="1" s="102">
      <c r="A446" s="137">
        <f>IF($B446="","","TAH-"&amp;TEXT(ROW()-BaslangicSatir,"000000"))</f>
        <v/>
      </c>
      <c r="B446" s="143" t="n"/>
      <c r="C446" s="143" t="n"/>
      <c r="D446" s="143" t="n"/>
      <c r="E446" s="143" t="n"/>
      <c r="F446" s="143" t="n"/>
      <c r="G446" s="143" t="n"/>
      <c r="H446" s="143" t="n"/>
      <c r="I446" s="143" t="n"/>
      <c r="J446" s="137">
        <f>IF($H446="","",ROUND($H446*$I446,2))</f>
        <v/>
      </c>
      <c r="K446" s="137">
        <f>IF(OR($H446="",$J446=""),"",ROUND($H446-$J446,2))</f>
        <v/>
      </c>
      <c r="L446" s="143" t="n"/>
    </row>
    <row r="447" ht="18" customHeight="1" s="102">
      <c r="A447" s="137">
        <f>IF($B447="","","TAH-"&amp;TEXT(ROW()-BaslangicSatir,"000000"))</f>
        <v/>
      </c>
      <c r="B447" s="143" t="n"/>
      <c r="C447" s="143" t="n"/>
      <c r="D447" s="143" t="n"/>
      <c r="E447" s="143" t="n"/>
      <c r="F447" s="143" t="n"/>
      <c r="G447" s="143" t="n"/>
      <c r="H447" s="143" t="n"/>
      <c r="I447" s="143" t="n"/>
      <c r="J447" s="137">
        <f>IF($H447="","",ROUND($H447*$I447,2))</f>
        <v/>
      </c>
      <c r="K447" s="137">
        <f>IF(OR($H447="",$J447=""),"",ROUND($H447-$J447,2))</f>
        <v/>
      </c>
      <c r="L447" s="143" t="n"/>
    </row>
    <row r="448" ht="18" customHeight="1" s="102">
      <c r="A448" s="137">
        <f>IF($B448="","","TAH-"&amp;TEXT(ROW()-BaslangicSatir,"000000"))</f>
        <v/>
      </c>
      <c r="B448" s="143" t="n"/>
      <c r="C448" s="143" t="n"/>
      <c r="D448" s="143" t="n"/>
      <c r="E448" s="143" t="n"/>
      <c r="F448" s="143" t="n"/>
      <c r="G448" s="143" t="n"/>
      <c r="H448" s="143" t="n"/>
      <c r="I448" s="143" t="n"/>
      <c r="J448" s="137">
        <f>IF($H448="","",ROUND($H448*$I448,2))</f>
        <v/>
      </c>
      <c r="K448" s="137">
        <f>IF(OR($H448="",$J448=""),"",ROUND($H448-$J448,2))</f>
        <v/>
      </c>
      <c r="L448" s="143" t="n"/>
    </row>
    <row r="449" ht="18" customHeight="1" s="102">
      <c r="A449" s="137">
        <f>IF($B449="","","TAH-"&amp;TEXT(ROW()-BaslangicSatir,"000000"))</f>
        <v/>
      </c>
      <c r="B449" s="143" t="n"/>
      <c r="C449" s="143" t="n"/>
      <c r="D449" s="143" t="n"/>
      <c r="E449" s="143" t="n"/>
      <c r="F449" s="143" t="n"/>
      <c r="G449" s="143" t="n"/>
      <c r="H449" s="143" t="n"/>
      <c r="I449" s="143" t="n"/>
      <c r="J449" s="137">
        <f>IF($H449="","",ROUND($H449*$I449,2))</f>
        <v/>
      </c>
      <c r="K449" s="137">
        <f>IF(OR($H449="",$J449=""),"",ROUND($H449-$J449,2))</f>
        <v/>
      </c>
      <c r="L449" s="143" t="n"/>
    </row>
    <row r="450" ht="18" customHeight="1" s="102">
      <c r="A450" s="137">
        <f>IF($B450="","","TAH-"&amp;TEXT(ROW()-BaslangicSatir,"000000"))</f>
        <v/>
      </c>
      <c r="B450" s="143" t="n"/>
      <c r="C450" s="143" t="n"/>
      <c r="D450" s="143" t="n"/>
      <c r="E450" s="143" t="n"/>
      <c r="F450" s="143" t="n"/>
      <c r="G450" s="143" t="n"/>
      <c r="H450" s="143" t="n"/>
      <c r="I450" s="143" t="n"/>
      <c r="J450" s="137">
        <f>IF($H450="","",ROUND($H450*$I450,2))</f>
        <v/>
      </c>
      <c r="K450" s="137">
        <f>IF(OR($H450="",$J450=""),"",ROUND($H450-$J450,2))</f>
        <v/>
      </c>
      <c r="L450" s="143" t="n"/>
    </row>
    <row r="451" ht="18" customHeight="1" s="102">
      <c r="A451" s="137">
        <f>IF($B451="","","TAH-"&amp;TEXT(ROW()-BaslangicSatir,"000000"))</f>
        <v/>
      </c>
      <c r="B451" s="143" t="n"/>
      <c r="C451" s="143" t="n"/>
      <c r="D451" s="143" t="n"/>
      <c r="E451" s="143" t="n"/>
      <c r="F451" s="143" t="n"/>
      <c r="G451" s="143" t="n"/>
      <c r="H451" s="143" t="n"/>
      <c r="I451" s="143" t="n"/>
      <c r="J451" s="137">
        <f>IF($H451="","",ROUND($H451*$I451,2))</f>
        <v/>
      </c>
      <c r="K451" s="137">
        <f>IF(OR($H451="",$J451=""),"",ROUND($H451-$J451,2))</f>
        <v/>
      </c>
      <c r="L451" s="143" t="n"/>
    </row>
    <row r="452" ht="18" customHeight="1" s="102">
      <c r="A452" s="137">
        <f>IF($B452="","","TAH-"&amp;TEXT(ROW()-BaslangicSatir,"000000"))</f>
        <v/>
      </c>
      <c r="B452" s="143" t="n"/>
      <c r="C452" s="143" t="n"/>
      <c r="D452" s="143" t="n"/>
      <c r="E452" s="143" t="n"/>
      <c r="F452" s="143" t="n"/>
      <c r="G452" s="143" t="n"/>
      <c r="H452" s="143" t="n"/>
      <c r="I452" s="143" t="n"/>
      <c r="J452" s="137">
        <f>IF($H452="","",ROUND($H452*$I452,2))</f>
        <v/>
      </c>
      <c r="K452" s="137">
        <f>IF(OR($H452="",$J452=""),"",ROUND($H452-$J452,2))</f>
        <v/>
      </c>
      <c r="L452" s="143" t="n"/>
    </row>
    <row r="453" ht="18" customHeight="1" s="102">
      <c r="A453" s="137">
        <f>IF($B453="","","TAH-"&amp;TEXT(ROW()-BaslangicSatir,"000000"))</f>
        <v/>
      </c>
      <c r="B453" s="143" t="n"/>
      <c r="C453" s="143" t="n"/>
      <c r="D453" s="143" t="n"/>
      <c r="E453" s="143" t="n"/>
      <c r="F453" s="143" t="n"/>
      <c r="G453" s="143" t="n"/>
      <c r="H453" s="143" t="n"/>
      <c r="I453" s="143" t="n"/>
      <c r="J453" s="137">
        <f>IF($H453="","",ROUND($H453*$I453,2))</f>
        <v/>
      </c>
      <c r="K453" s="137">
        <f>IF(OR($H453="",$J453=""),"",ROUND($H453-$J453,2))</f>
        <v/>
      </c>
      <c r="L453" s="143" t="n"/>
    </row>
    <row r="454" ht="18" customHeight="1" s="102">
      <c r="A454" s="137">
        <f>IF($B454="","","TAH-"&amp;TEXT(ROW()-BaslangicSatir,"000000"))</f>
        <v/>
      </c>
      <c r="B454" s="143" t="n"/>
      <c r="C454" s="143" t="n"/>
      <c r="D454" s="143" t="n"/>
      <c r="E454" s="143" t="n"/>
      <c r="F454" s="143" t="n"/>
      <c r="G454" s="143" t="n"/>
      <c r="H454" s="143" t="n"/>
      <c r="I454" s="143" t="n"/>
      <c r="J454" s="137">
        <f>IF($H454="","",ROUND($H454*$I454,2))</f>
        <v/>
      </c>
      <c r="K454" s="137">
        <f>IF(OR($H454="",$J454=""),"",ROUND($H454-$J454,2))</f>
        <v/>
      </c>
      <c r="L454" s="143" t="n"/>
    </row>
    <row r="455" ht="18" customHeight="1" s="102">
      <c r="A455" s="137">
        <f>IF($B455="","","TAH-"&amp;TEXT(ROW()-BaslangicSatir,"000000"))</f>
        <v/>
      </c>
      <c r="B455" s="143" t="n"/>
      <c r="C455" s="143" t="n"/>
      <c r="D455" s="143" t="n"/>
      <c r="E455" s="143" t="n"/>
      <c r="F455" s="143" t="n"/>
      <c r="G455" s="143" t="n"/>
      <c r="H455" s="143" t="n"/>
      <c r="I455" s="143" t="n"/>
      <c r="J455" s="137">
        <f>IF($H455="","",ROUND($H455*$I455,2))</f>
        <v/>
      </c>
      <c r="K455" s="137">
        <f>IF(OR($H455="",$J455=""),"",ROUND($H455-$J455,2))</f>
        <v/>
      </c>
      <c r="L455" s="143" t="n"/>
    </row>
    <row r="456" ht="18" customHeight="1" s="102">
      <c r="A456" s="137">
        <f>IF($B456="","","TAH-"&amp;TEXT(ROW()-BaslangicSatir,"000000"))</f>
        <v/>
      </c>
      <c r="B456" s="143" t="n"/>
      <c r="C456" s="143" t="n"/>
      <c r="D456" s="143" t="n"/>
      <c r="E456" s="143" t="n"/>
      <c r="F456" s="143" t="n"/>
      <c r="G456" s="143" t="n"/>
      <c r="H456" s="143" t="n"/>
      <c r="I456" s="143" t="n"/>
      <c r="J456" s="137">
        <f>IF($H456="","",ROUND($H456*$I456,2))</f>
        <v/>
      </c>
      <c r="K456" s="137">
        <f>IF(OR($H456="",$J456=""),"",ROUND($H456-$J456,2))</f>
        <v/>
      </c>
      <c r="L456" s="143" t="n"/>
    </row>
    <row r="457" ht="18" customHeight="1" s="102">
      <c r="A457" s="137">
        <f>IF($B457="","","TAH-"&amp;TEXT(ROW()-BaslangicSatir,"000000"))</f>
        <v/>
      </c>
      <c r="B457" s="143" t="n"/>
      <c r="C457" s="143" t="n"/>
      <c r="D457" s="143" t="n"/>
      <c r="E457" s="143" t="n"/>
      <c r="F457" s="143" t="n"/>
      <c r="G457" s="143" t="n"/>
      <c r="H457" s="143" t="n"/>
      <c r="I457" s="143" t="n"/>
      <c r="J457" s="137">
        <f>IF($H457="","",ROUND($H457*$I457,2))</f>
        <v/>
      </c>
      <c r="K457" s="137">
        <f>IF(OR($H457="",$J457=""),"",ROUND($H457-$J457,2))</f>
        <v/>
      </c>
      <c r="L457" s="143" t="n"/>
    </row>
    <row r="458" ht="18" customHeight="1" s="102">
      <c r="A458" s="137">
        <f>IF($B458="","","TAH-"&amp;TEXT(ROW()-BaslangicSatir,"000000"))</f>
        <v/>
      </c>
      <c r="B458" s="143" t="n"/>
      <c r="C458" s="143" t="n"/>
      <c r="D458" s="143" t="n"/>
      <c r="E458" s="143" t="n"/>
      <c r="F458" s="143" t="n"/>
      <c r="G458" s="143" t="n"/>
      <c r="H458" s="143" t="n"/>
      <c r="I458" s="143" t="n"/>
      <c r="J458" s="137">
        <f>IF($H458="","",ROUND($H458*$I458,2))</f>
        <v/>
      </c>
      <c r="K458" s="137">
        <f>IF(OR($H458="",$J458=""),"",ROUND($H458-$J458,2))</f>
        <v/>
      </c>
      <c r="L458" s="143" t="n"/>
    </row>
    <row r="459" ht="18" customHeight="1" s="102">
      <c r="A459" s="137">
        <f>IF($B459="","","TAH-"&amp;TEXT(ROW()-BaslangicSatir,"000000"))</f>
        <v/>
      </c>
      <c r="B459" s="143" t="n"/>
      <c r="C459" s="143" t="n"/>
      <c r="D459" s="143" t="n"/>
      <c r="E459" s="143" t="n"/>
      <c r="F459" s="143" t="n"/>
      <c r="G459" s="143" t="n"/>
      <c r="H459" s="143" t="n"/>
      <c r="I459" s="143" t="n"/>
      <c r="J459" s="137">
        <f>IF($H459="","",ROUND($H459*$I459,2))</f>
        <v/>
      </c>
      <c r="K459" s="137">
        <f>IF(OR($H459="",$J459=""),"",ROUND($H459-$J459,2))</f>
        <v/>
      </c>
      <c r="L459" s="143" t="n"/>
    </row>
    <row r="460" ht="18" customHeight="1" s="102">
      <c r="A460" s="137">
        <f>IF($B460="","","TAH-"&amp;TEXT(ROW()-BaslangicSatir,"000000"))</f>
        <v/>
      </c>
      <c r="B460" s="143" t="n"/>
      <c r="C460" s="143" t="n"/>
      <c r="D460" s="143" t="n"/>
      <c r="E460" s="143" t="n"/>
      <c r="F460" s="143" t="n"/>
      <c r="G460" s="143" t="n"/>
      <c r="H460" s="143" t="n"/>
      <c r="I460" s="143" t="n"/>
      <c r="J460" s="137">
        <f>IF($H460="","",ROUND($H460*$I460,2))</f>
        <v/>
      </c>
      <c r="K460" s="137">
        <f>IF(OR($H460="",$J460=""),"",ROUND($H460-$J460,2))</f>
        <v/>
      </c>
      <c r="L460" s="143" t="n"/>
    </row>
    <row r="461" ht="18" customHeight="1" s="102">
      <c r="A461" s="137">
        <f>IF($B461="","","TAH-"&amp;TEXT(ROW()-BaslangicSatir,"000000"))</f>
        <v/>
      </c>
      <c r="B461" s="143" t="n"/>
      <c r="C461" s="143" t="n"/>
      <c r="D461" s="143" t="n"/>
      <c r="E461" s="143" t="n"/>
      <c r="F461" s="143" t="n"/>
      <c r="G461" s="143" t="n"/>
      <c r="H461" s="143" t="n"/>
      <c r="I461" s="143" t="n"/>
      <c r="J461" s="137">
        <f>IF($H461="","",ROUND($H461*$I461,2))</f>
        <v/>
      </c>
      <c r="K461" s="137">
        <f>IF(OR($H461="",$J461=""),"",ROUND($H461-$J461,2))</f>
        <v/>
      </c>
      <c r="L461" s="143" t="n"/>
    </row>
    <row r="462" ht="18" customHeight="1" s="102">
      <c r="A462" s="137">
        <f>IF($B462="","","TAH-"&amp;TEXT(ROW()-BaslangicSatir,"000000"))</f>
        <v/>
      </c>
      <c r="B462" s="143" t="n"/>
      <c r="C462" s="143" t="n"/>
      <c r="D462" s="143" t="n"/>
      <c r="E462" s="143" t="n"/>
      <c r="F462" s="143" t="n"/>
      <c r="G462" s="143" t="n"/>
      <c r="H462" s="143" t="n"/>
      <c r="I462" s="143" t="n"/>
      <c r="J462" s="137">
        <f>IF($H462="","",ROUND($H462*$I462,2))</f>
        <v/>
      </c>
      <c r="K462" s="137">
        <f>IF(OR($H462="",$J462=""),"",ROUND($H462-$J462,2))</f>
        <v/>
      </c>
      <c r="L462" s="143" t="n"/>
    </row>
    <row r="463" ht="18" customHeight="1" s="102">
      <c r="A463" s="137">
        <f>IF($B463="","","TAH-"&amp;TEXT(ROW()-BaslangicSatir,"000000"))</f>
        <v/>
      </c>
      <c r="B463" s="143" t="n"/>
      <c r="C463" s="143" t="n"/>
      <c r="D463" s="143" t="n"/>
      <c r="E463" s="143" t="n"/>
      <c r="F463" s="143" t="n"/>
      <c r="G463" s="143" t="n"/>
      <c r="H463" s="143" t="n"/>
      <c r="I463" s="143" t="n"/>
      <c r="J463" s="137">
        <f>IF($H463="","",ROUND($H463*$I463,2))</f>
        <v/>
      </c>
      <c r="K463" s="137">
        <f>IF(OR($H463="",$J463=""),"",ROUND($H463-$J463,2))</f>
        <v/>
      </c>
      <c r="L463" s="143" t="n"/>
    </row>
    <row r="464" ht="18" customHeight="1" s="102">
      <c r="A464" s="137">
        <f>IF($B464="","","TAH-"&amp;TEXT(ROW()-BaslangicSatir,"000000"))</f>
        <v/>
      </c>
      <c r="B464" s="143" t="n"/>
      <c r="C464" s="143" t="n"/>
      <c r="D464" s="143" t="n"/>
      <c r="E464" s="143" t="n"/>
      <c r="F464" s="143" t="n"/>
      <c r="G464" s="143" t="n"/>
      <c r="H464" s="143" t="n"/>
      <c r="I464" s="143" t="n"/>
      <c r="J464" s="137">
        <f>IF($H464="","",ROUND($H464*$I464,2))</f>
        <v/>
      </c>
      <c r="K464" s="137">
        <f>IF(OR($H464="",$J464=""),"",ROUND($H464-$J464,2))</f>
        <v/>
      </c>
      <c r="L464" s="143" t="n"/>
    </row>
    <row r="465" ht="18" customHeight="1" s="102">
      <c r="A465" s="137">
        <f>IF($B465="","","TAH-"&amp;TEXT(ROW()-BaslangicSatir,"000000"))</f>
        <v/>
      </c>
      <c r="B465" s="143" t="n"/>
      <c r="C465" s="143" t="n"/>
      <c r="D465" s="143" t="n"/>
      <c r="E465" s="143" t="n"/>
      <c r="F465" s="143" t="n"/>
      <c r="G465" s="143" t="n"/>
      <c r="H465" s="143" t="n"/>
      <c r="I465" s="143" t="n"/>
      <c r="J465" s="137">
        <f>IF($H465="","",ROUND($H465*$I465,2))</f>
        <v/>
      </c>
      <c r="K465" s="137">
        <f>IF(OR($H465="",$J465=""),"",ROUND($H465-$J465,2))</f>
        <v/>
      </c>
      <c r="L465" s="143" t="n"/>
    </row>
    <row r="466" ht="18" customHeight="1" s="102">
      <c r="A466" s="137">
        <f>IF($B466="","","TAH-"&amp;TEXT(ROW()-BaslangicSatir,"000000"))</f>
        <v/>
      </c>
      <c r="B466" s="143" t="n"/>
      <c r="C466" s="143" t="n"/>
      <c r="D466" s="143" t="n"/>
      <c r="E466" s="143" t="n"/>
      <c r="F466" s="143" t="n"/>
      <c r="G466" s="143" t="n"/>
      <c r="H466" s="143" t="n"/>
      <c r="I466" s="143" t="n"/>
      <c r="J466" s="137">
        <f>IF($H466="","",ROUND($H466*$I466,2))</f>
        <v/>
      </c>
      <c r="K466" s="137">
        <f>IF(OR($H466="",$J466=""),"",ROUND($H466-$J466,2))</f>
        <v/>
      </c>
      <c r="L466" s="143" t="n"/>
    </row>
    <row r="467" ht="18" customHeight="1" s="102">
      <c r="A467" s="137">
        <f>IF($B467="","","TAH-"&amp;TEXT(ROW()-BaslangicSatir,"000000"))</f>
        <v/>
      </c>
      <c r="B467" s="143" t="n"/>
      <c r="C467" s="143" t="n"/>
      <c r="D467" s="143" t="n"/>
      <c r="E467" s="143" t="n"/>
      <c r="F467" s="143" t="n"/>
      <c r="G467" s="143" t="n"/>
      <c r="H467" s="143" t="n"/>
      <c r="I467" s="143" t="n"/>
      <c r="J467" s="137">
        <f>IF($H467="","",ROUND($H467*$I467,2))</f>
        <v/>
      </c>
      <c r="K467" s="137">
        <f>IF(OR($H467="",$J467=""),"",ROUND($H467-$J467,2))</f>
        <v/>
      </c>
      <c r="L467" s="143" t="n"/>
    </row>
    <row r="468" ht="18" customHeight="1" s="102">
      <c r="A468" s="137">
        <f>IF($B468="","","TAH-"&amp;TEXT(ROW()-BaslangicSatir,"000000"))</f>
        <v/>
      </c>
      <c r="B468" s="143" t="n"/>
      <c r="C468" s="143" t="n"/>
      <c r="D468" s="143" t="n"/>
      <c r="E468" s="143" t="n"/>
      <c r="F468" s="143" t="n"/>
      <c r="G468" s="143" t="n"/>
      <c r="H468" s="143" t="n"/>
      <c r="I468" s="143" t="n"/>
      <c r="J468" s="137">
        <f>IF($H468="","",ROUND($H468*$I468,2))</f>
        <v/>
      </c>
      <c r="K468" s="137">
        <f>IF(OR($H468="",$J468=""),"",ROUND($H468-$J468,2))</f>
        <v/>
      </c>
      <c r="L468" s="143" t="n"/>
    </row>
    <row r="469" ht="18" customHeight="1" s="102">
      <c r="A469" s="137">
        <f>IF($B469="","","TAH-"&amp;TEXT(ROW()-BaslangicSatir,"000000"))</f>
        <v/>
      </c>
      <c r="B469" s="143" t="n"/>
      <c r="C469" s="143" t="n"/>
      <c r="D469" s="143" t="n"/>
      <c r="E469" s="143" t="n"/>
      <c r="F469" s="143" t="n"/>
      <c r="G469" s="143" t="n"/>
      <c r="H469" s="143" t="n"/>
      <c r="I469" s="143" t="n"/>
      <c r="J469" s="137">
        <f>IF($H469="","",ROUND($H469*$I469,2))</f>
        <v/>
      </c>
      <c r="K469" s="137">
        <f>IF(OR($H469="",$J469=""),"",ROUND($H469-$J469,2))</f>
        <v/>
      </c>
      <c r="L469" s="143" t="n"/>
    </row>
    <row r="470" ht="18" customHeight="1" s="102">
      <c r="A470" s="137">
        <f>IF($B470="","","TAH-"&amp;TEXT(ROW()-BaslangicSatir,"000000"))</f>
        <v/>
      </c>
      <c r="B470" s="143" t="n"/>
      <c r="C470" s="143" t="n"/>
      <c r="D470" s="143" t="n"/>
      <c r="E470" s="143" t="n"/>
      <c r="F470" s="143" t="n"/>
      <c r="G470" s="143" t="n"/>
      <c r="H470" s="143" t="n"/>
      <c r="I470" s="143" t="n"/>
      <c r="J470" s="137">
        <f>IF($H470="","",ROUND($H470*$I470,2))</f>
        <v/>
      </c>
      <c r="K470" s="137">
        <f>IF(OR($H470="",$J470=""),"",ROUND($H470-$J470,2))</f>
        <v/>
      </c>
      <c r="L470" s="143" t="n"/>
    </row>
    <row r="471" ht="18" customHeight="1" s="102">
      <c r="A471" s="137">
        <f>IF($B471="","","TAH-"&amp;TEXT(ROW()-BaslangicSatir,"000000"))</f>
        <v/>
      </c>
      <c r="B471" s="143" t="n"/>
      <c r="C471" s="143" t="n"/>
      <c r="D471" s="143" t="n"/>
      <c r="E471" s="143" t="n"/>
      <c r="F471" s="143" t="n"/>
      <c r="G471" s="143" t="n"/>
      <c r="H471" s="143" t="n"/>
      <c r="I471" s="143" t="n"/>
      <c r="J471" s="137">
        <f>IF($H471="","",ROUND($H471*$I471,2))</f>
        <v/>
      </c>
      <c r="K471" s="137">
        <f>IF(OR($H471="",$J471=""),"",ROUND($H471-$J471,2))</f>
        <v/>
      </c>
      <c r="L471" s="143" t="n"/>
    </row>
    <row r="472" ht="18" customHeight="1" s="102">
      <c r="A472" s="137">
        <f>IF($B472="","","TAH-"&amp;TEXT(ROW()-BaslangicSatir,"000000"))</f>
        <v/>
      </c>
      <c r="B472" s="143" t="n"/>
      <c r="C472" s="143" t="n"/>
      <c r="D472" s="143" t="n"/>
      <c r="E472" s="143" t="n"/>
      <c r="F472" s="143" t="n"/>
      <c r="G472" s="143" t="n"/>
      <c r="H472" s="143" t="n"/>
      <c r="I472" s="143" t="n"/>
      <c r="J472" s="137">
        <f>IF($H472="","",ROUND($H472*$I472,2))</f>
        <v/>
      </c>
      <c r="K472" s="137">
        <f>IF(OR($H472="",$J472=""),"",ROUND($H472-$J472,2))</f>
        <v/>
      </c>
      <c r="L472" s="143" t="n"/>
    </row>
    <row r="473" ht="18" customHeight="1" s="102">
      <c r="A473" s="137">
        <f>IF($B473="","","TAH-"&amp;TEXT(ROW()-BaslangicSatir,"000000"))</f>
        <v/>
      </c>
      <c r="B473" s="143" t="n"/>
      <c r="C473" s="143" t="n"/>
      <c r="D473" s="143" t="n"/>
      <c r="E473" s="143" t="n"/>
      <c r="F473" s="143" t="n"/>
      <c r="G473" s="143" t="n"/>
      <c r="H473" s="143" t="n"/>
      <c r="I473" s="143" t="n"/>
      <c r="J473" s="137">
        <f>IF($H473="","",ROUND($H473*$I473,2))</f>
        <v/>
      </c>
      <c r="K473" s="137">
        <f>IF(OR($H473="",$J473=""),"",ROUND($H473-$J473,2))</f>
        <v/>
      </c>
      <c r="L473" s="143" t="n"/>
    </row>
    <row r="474" ht="18" customHeight="1" s="102">
      <c r="A474" s="137">
        <f>IF($B474="","","TAH-"&amp;TEXT(ROW()-BaslangicSatir,"000000"))</f>
        <v/>
      </c>
      <c r="B474" s="143" t="n"/>
      <c r="C474" s="143" t="n"/>
      <c r="D474" s="143" t="n"/>
      <c r="E474" s="143" t="n"/>
      <c r="F474" s="143" t="n"/>
      <c r="G474" s="143" t="n"/>
      <c r="H474" s="143" t="n"/>
      <c r="I474" s="143" t="n"/>
      <c r="J474" s="137">
        <f>IF($H474="","",ROUND($H474*$I474,2))</f>
        <v/>
      </c>
      <c r="K474" s="137">
        <f>IF(OR($H474="",$J474=""),"",ROUND($H474-$J474,2))</f>
        <v/>
      </c>
      <c r="L474" s="143" t="n"/>
    </row>
    <row r="475" ht="18" customHeight="1" s="102">
      <c r="A475" s="137">
        <f>IF($B475="","","TAH-"&amp;TEXT(ROW()-BaslangicSatir,"000000"))</f>
        <v/>
      </c>
      <c r="B475" s="143" t="n"/>
      <c r="C475" s="143" t="n"/>
      <c r="D475" s="143" t="n"/>
      <c r="E475" s="143" t="n"/>
      <c r="F475" s="143" t="n"/>
      <c r="G475" s="143" t="n"/>
      <c r="H475" s="143" t="n"/>
      <c r="I475" s="143" t="n"/>
      <c r="J475" s="137">
        <f>IF($H475="","",ROUND($H475*$I475,2))</f>
        <v/>
      </c>
      <c r="K475" s="137">
        <f>IF(OR($H475="",$J475=""),"",ROUND($H475-$J475,2))</f>
        <v/>
      </c>
      <c r="L475" s="143" t="n"/>
    </row>
    <row r="476" ht="18" customHeight="1" s="102">
      <c r="A476" s="137">
        <f>IF($B476="","","TAH-"&amp;TEXT(ROW()-BaslangicSatir,"000000"))</f>
        <v/>
      </c>
      <c r="B476" s="143" t="n"/>
      <c r="C476" s="143" t="n"/>
      <c r="D476" s="143" t="n"/>
      <c r="E476" s="143" t="n"/>
      <c r="F476" s="143" t="n"/>
      <c r="G476" s="143" t="n"/>
      <c r="H476" s="143" t="n"/>
      <c r="I476" s="143" t="n"/>
      <c r="J476" s="137">
        <f>IF($H476="","",ROUND($H476*$I476,2))</f>
        <v/>
      </c>
      <c r="K476" s="137">
        <f>IF(OR($H476="",$J476=""),"",ROUND($H476-$J476,2))</f>
        <v/>
      </c>
      <c r="L476" s="143" t="n"/>
    </row>
    <row r="477" ht="18" customHeight="1" s="102">
      <c r="A477" s="137">
        <f>IF($B477="","","TAH-"&amp;TEXT(ROW()-BaslangicSatir,"000000"))</f>
        <v/>
      </c>
      <c r="B477" s="143" t="n"/>
      <c r="C477" s="143" t="n"/>
      <c r="D477" s="143" t="n"/>
      <c r="E477" s="143" t="n"/>
      <c r="F477" s="143" t="n"/>
      <c r="G477" s="143" t="n"/>
      <c r="H477" s="143" t="n"/>
      <c r="I477" s="143" t="n"/>
      <c r="J477" s="137">
        <f>IF($H477="","",ROUND($H477*$I477,2))</f>
        <v/>
      </c>
      <c r="K477" s="137">
        <f>IF(OR($H477="",$J477=""),"",ROUND($H477-$J477,2))</f>
        <v/>
      </c>
      <c r="L477" s="143" t="n"/>
    </row>
    <row r="478" ht="18" customHeight="1" s="102">
      <c r="A478" s="137">
        <f>IF($B478="","","TAH-"&amp;TEXT(ROW()-BaslangicSatir,"000000"))</f>
        <v/>
      </c>
      <c r="B478" s="143" t="n"/>
      <c r="C478" s="143" t="n"/>
      <c r="D478" s="143" t="n"/>
      <c r="E478" s="143" t="n"/>
      <c r="F478" s="143" t="n"/>
      <c r="G478" s="143" t="n"/>
      <c r="H478" s="143" t="n"/>
      <c r="I478" s="143" t="n"/>
      <c r="J478" s="137">
        <f>IF($H478="","",ROUND($H478*$I478,2))</f>
        <v/>
      </c>
      <c r="K478" s="137">
        <f>IF(OR($H478="",$J478=""),"",ROUND($H478-$J478,2))</f>
        <v/>
      </c>
      <c r="L478" s="143" t="n"/>
    </row>
    <row r="479" ht="18" customHeight="1" s="102">
      <c r="A479" s="137">
        <f>IF($B479="","","TAH-"&amp;TEXT(ROW()-BaslangicSatir,"000000"))</f>
        <v/>
      </c>
      <c r="B479" s="143" t="n"/>
      <c r="C479" s="143" t="n"/>
      <c r="D479" s="143" t="n"/>
      <c r="E479" s="143" t="n"/>
      <c r="F479" s="143" t="n"/>
      <c r="G479" s="143" t="n"/>
      <c r="H479" s="143" t="n"/>
      <c r="I479" s="143" t="n"/>
      <c r="J479" s="137">
        <f>IF($H479="","",ROUND($H479*$I479,2))</f>
        <v/>
      </c>
      <c r="K479" s="137">
        <f>IF(OR($H479="",$J479=""),"",ROUND($H479-$J479,2))</f>
        <v/>
      </c>
      <c r="L479" s="143" t="n"/>
    </row>
    <row r="480" ht="18" customHeight="1" s="102">
      <c r="A480" s="137">
        <f>IF($B480="","","TAH-"&amp;TEXT(ROW()-BaslangicSatir,"000000"))</f>
        <v/>
      </c>
      <c r="B480" s="143" t="n"/>
      <c r="C480" s="143" t="n"/>
      <c r="D480" s="143" t="n"/>
      <c r="E480" s="143" t="n"/>
      <c r="F480" s="143" t="n"/>
      <c r="G480" s="143" t="n"/>
      <c r="H480" s="143" t="n"/>
      <c r="I480" s="143" t="n"/>
      <c r="J480" s="137">
        <f>IF($H480="","",ROUND($H480*$I480,2))</f>
        <v/>
      </c>
      <c r="K480" s="137">
        <f>IF(OR($H480="",$J480=""),"",ROUND($H480-$J480,2))</f>
        <v/>
      </c>
      <c r="L480" s="143" t="n"/>
    </row>
    <row r="481" ht="18" customHeight="1" s="102">
      <c r="A481" s="137">
        <f>IF($B481="","","TAH-"&amp;TEXT(ROW()-BaslangicSatir,"000000"))</f>
        <v/>
      </c>
      <c r="B481" s="143" t="n"/>
      <c r="C481" s="143" t="n"/>
      <c r="D481" s="143" t="n"/>
      <c r="E481" s="143" t="n"/>
      <c r="F481" s="143" t="n"/>
      <c r="G481" s="143" t="n"/>
      <c r="H481" s="143" t="n"/>
      <c r="I481" s="143" t="n"/>
      <c r="J481" s="137">
        <f>IF($H481="","",ROUND($H481*$I481,2))</f>
        <v/>
      </c>
      <c r="K481" s="137">
        <f>IF(OR($H481="",$J481=""),"",ROUND($H481-$J481,2))</f>
        <v/>
      </c>
      <c r="L481" s="143" t="n"/>
    </row>
    <row r="482" ht="18" customHeight="1" s="102">
      <c r="A482" s="137">
        <f>IF($B482="","","TAH-"&amp;TEXT(ROW()-BaslangicSatir,"000000"))</f>
        <v/>
      </c>
      <c r="B482" s="143" t="n"/>
      <c r="C482" s="143" t="n"/>
      <c r="D482" s="143" t="n"/>
      <c r="E482" s="143" t="n"/>
      <c r="F482" s="143" t="n"/>
      <c r="G482" s="143" t="n"/>
      <c r="H482" s="143" t="n"/>
      <c r="I482" s="143" t="n"/>
      <c r="J482" s="137">
        <f>IF($H482="","",ROUND($H482*$I482,2))</f>
        <v/>
      </c>
      <c r="K482" s="137">
        <f>IF(OR($H482="",$J482=""),"",ROUND($H482-$J482,2))</f>
        <v/>
      </c>
      <c r="L482" s="143" t="n"/>
    </row>
    <row r="483" ht="18" customHeight="1" s="102">
      <c r="A483" s="137">
        <f>IF($B483="","","TAH-"&amp;TEXT(ROW()-BaslangicSatir,"000000"))</f>
        <v/>
      </c>
      <c r="B483" s="143" t="n"/>
      <c r="C483" s="143" t="n"/>
      <c r="D483" s="143" t="n"/>
      <c r="E483" s="143" t="n"/>
      <c r="F483" s="143" t="n"/>
      <c r="G483" s="143" t="n"/>
      <c r="H483" s="143" t="n"/>
      <c r="I483" s="143" t="n"/>
      <c r="J483" s="137">
        <f>IF($H483="","",ROUND($H483*$I483,2))</f>
        <v/>
      </c>
      <c r="K483" s="137">
        <f>IF(OR($H483="",$J483=""),"",ROUND($H483-$J483,2))</f>
        <v/>
      </c>
      <c r="L483" s="143" t="n"/>
    </row>
    <row r="484" ht="18" customHeight="1" s="102">
      <c r="A484" s="137">
        <f>IF($B484="","","TAH-"&amp;TEXT(ROW()-BaslangicSatir,"000000"))</f>
        <v/>
      </c>
      <c r="B484" s="143" t="n"/>
      <c r="C484" s="143" t="n"/>
      <c r="D484" s="143" t="n"/>
      <c r="E484" s="143" t="n"/>
      <c r="F484" s="143" t="n"/>
      <c r="G484" s="143" t="n"/>
      <c r="H484" s="143" t="n"/>
      <c r="I484" s="143" t="n"/>
      <c r="J484" s="137">
        <f>IF($H484="","",ROUND($H484*$I484,2))</f>
        <v/>
      </c>
      <c r="K484" s="137">
        <f>IF(OR($H484="",$J484=""),"",ROUND($H484-$J484,2))</f>
        <v/>
      </c>
      <c r="L484" s="143" t="n"/>
    </row>
    <row r="485" ht="18" customHeight="1" s="102">
      <c r="A485" s="137">
        <f>IF($B485="","","TAH-"&amp;TEXT(ROW()-BaslangicSatir,"000000"))</f>
        <v/>
      </c>
      <c r="B485" s="143" t="n"/>
      <c r="C485" s="143" t="n"/>
      <c r="D485" s="143" t="n"/>
      <c r="E485" s="143" t="n"/>
      <c r="F485" s="143" t="n"/>
      <c r="G485" s="143" t="n"/>
      <c r="H485" s="143" t="n"/>
      <c r="I485" s="143" t="n"/>
      <c r="J485" s="137">
        <f>IF($H485="","",ROUND($H485*$I485,2))</f>
        <v/>
      </c>
      <c r="K485" s="137">
        <f>IF(OR($H485="",$J485=""),"",ROUND($H485-$J485,2))</f>
        <v/>
      </c>
      <c r="L485" s="143" t="n"/>
    </row>
    <row r="486" ht="18" customHeight="1" s="102">
      <c r="A486" s="137">
        <f>IF($B486="","","TAH-"&amp;TEXT(ROW()-BaslangicSatir,"000000"))</f>
        <v/>
      </c>
      <c r="B486" s="143" t="n"/>
      <c r="C486" s="143" t="n"/>
      <c r="D486" s="143" t="n"/>
      <c r="E486" s="143" t="n"/>
      <c r="F486" s="143" t="n"/>
      <c r="G486" s="143" t="n"/>
      <c r="H486" s="143" t="n"/>
      <c r="I486" s="143" t="n"/>
      <c r="J486" s="137">
        <f>IF($H486="","",ROUND($H486*$I486,2))</f>
        <v/>
      </c>
      <c r="K486" s="137">
        <f>IF(OR($H486="",$J486=""),"",ROUND($H486-$J486,2))</f>
        <v/>
      </c>
      <c r="L486" s="143" t="n"/>
    </row>
    <row r="487" ht="18" customHeight="1" s="102">
      <c r="A487" s="137">
        <f>IF($B487="","","TAH-"&amp;TEXT(ROW()-BaslangicSatir,"000000"))</f>
        <v/>
      </c>
      <c r="B487" s="143" t="n"/>
      <c r="C487" s="143" t="n"/>
      <c r="D487" s="143" t="n"/>
      <c r="E487" s="143" t="n"/>
      <c r="F487" s="143" t="n"/>
      <c r="G487" s="143" t="n"/>
      <c r="H487" s="143" t="n"/>
      <c r="I487" s="143" t="n"/>
      <c r="J487" s="137">
        <f>IF($H487="","",ROUND($H487*$I487,2))</f>
        <v/>
      </c>
      <c r="K487" s="137">
        <f>IF(OR($H487="",$J487=""),"",ROUND($H487-$J487,2))</f>
        <v/>
      </c>
      <c r="L487" s="143" t="n"/>
    </row>
    <row r="488" ht="18" customHeight="1" s="102">
      <c r="A488" s="137">
        <f>IF($B488="","","TAH-"&amp;TEXT(ROW()-BaslangicSatir,"000000"))</f>
        <v/>
      </c>
      <c r="B488" s="143" t="n"/>
      <c r="C488" s="143" t="n"/>
      <c r="D488" s="143" t="n"/>
      <c r="E488" s="143" t="n"/>
      <c r="F488" s="143" t="n"/>
      <c r="G488" s="143" t="n"/>
      <c r="H488" s="143" t="n"/>
      <c r="I488" s="143" t="n"/>
      <c r="J488" s="137">
        <f>IF($H488="","",ROUND($H488*$I488,2))</f>
        <v/>
      </c>
      <c r="K488" s="137">
        <f>IF(OR($H488="",$J488=""),"",ROUND($H488-$J488,2))</f>
        <v/>
      </c>
      <c r="L488" s="143" t="n"/>
    </row>
    <row r="489" ht="18" customHeight="1" s="102">
      <c r="A489" s="137">
        <f>IF($B489="","","TAH-"&amp;TEXT(ROW()-BaslangicSatir,"000000"))</f>
        <v/>
      </c>
      <c r="B489" s="143" t="n"/>
      <c r="C489" s="143" t="n"/>
      <c r="D489" s="143" t="n"/>
      <c r="E489" s="143" t="n"/>
      <c r="F489" s="143" t="n"/>
      <c r="G489" s="143" t="n"/>
      <c r="H489" s="143" t="n"/>
      <c r="I489" s="143" t="n"/>
      <c r="J489" s="137">
        <f>IF($H489="","",ROUND($H489*$I489,2))</f>
        <v/>
      </c>
      <c r="K489" s="137">
        <f>IF(OR($H489="",$J489=""),"",ROUND($H489-$J489,2))</f>
        <v/>
      </c>
      <c r="L489" s="143" t="n"/>
    </row>
    <row r="490" ht="18" customHeight="1" s="102">
      <c r="A490" s="137">
        <f>IF($B490="","","TAH-"&amp;TEXT(ROW()-BaslangicSatir,"000000"))</f>
        <v/>
      </c>
      <c r="B490" s="143" t="n"/>
      <c r="C490" s="143" t="n"/>
      <c r="D490" s="143" t="n"/>
      <c r="E490" s="143" t="n"/>
      <c r="F490" s="143" t="n"/>
      <c r="G490" s="143" t="n"/>
      <c r="H490" s="143" t="n"/>
      <c r="I490" s="143" t="n"/>
      <c r="J490" s="137">
        <f>IF($H490="","",ROUND($H490*$I490,2))</f>
        <v/>
      </c>
      <c r="K490" s="137">
        <f>IF(OR($H490="",$J490=""),"",ROUND($H490-$J490,2))</f>
        <v/>
      </c>
      <c r="L490" s="143" t="n"/>
    </row>
    <row r="491" ht="18" customHeight="1" s="102">
      <c r="A491" s="137">
        <f>IF($B491="","","TAH-"&amp;TEXT(ROW()-BaslangicSatir,"000000"))</f>
        <v/>
      </c>
      <c r="B491" s="143" t="n"/>
      <c r="C491" s="143" t="n"/>
      <c r="D491" s="143" t="n"/>
      <c r="E491" s="143" t="n"/>
      <c r="F491" s="143" t="n"/>
      <c r="G491" s="143" t="n"/>
      <c r="H491" s="143" t="n"/>
      <c r="I491" s="143" t="n"/>
      <c r="J491" s="137">
        <f>IF($H491="","",ROUND($H491*$I491,2))</f>
        <v/>
      </c>
      <c r="K491" s="137">
        <f>IF(OR($H491="",$J491=""),"",ROUND($H491-$J491,2))</f>
        <v/>
      </c>
      <c r="L491" s="143" t="n"/>
    </row>
    <row r="492" ht="18" customHeight="1" s="102">
      <c r="A492" s="137">
        <f>IF($B492="","","TAH-"&amp;TEXT(ROW()-BaslangicSatir,"000000"))</f>
        <v/>
      </c>
      <c r="B492" s="143" t="n"/>
      <c r="C492" s="143" t="n"/>
      <c r="D492" s="143" t="n"/>
      <c r="E492" s="143" t="n"/>
      <c r="F492" s="143" t="n"/>
      <c r="G492" s="143" t="n"/>
      <c r="H492" s="143" t="n"/>
      <c r="I492" s="143" t="n"/>
      <c r="J492" s="137">
        <f>IF($H492="","",ROUND($H492*$I492,2))</f>
        <v/>
      </c>
      <c r="K492" s="137">
        <f>IF(OR($H492="",$J492=""),"",ROUND($H492-$J492,2))</f>
        <v/>
      </c>
      <c r="L492" s="143" t="n"/>
    </row>
    <row r="493" ht="18" customHeight="1" s="102">
      <c r="A493" s="137">
        <f>IF($B493="","","TAH-"&amp;TEXT(ROW()-BaslangicSatir,"000000"))</f>
        <v/>
      </c>
      <c r="B493" s="143" t="n"/>
      <c r="C493" s="143" t="n"/>
      <c r="D493" s="143" t="n"/>
      <c r="E493" s="143" t="n"/>
      <c r="F493" s="143" t="n"/>
      <c r="G493" s="143" t="n"/>
      <c r="H493" s="143" t="n"/>
      <c r="I493" s="143" t="n"/>
      <c r="J493" s="137">
        <f>IF($H493="","",ROUND($H493*$I493,2))</f>
        <v/>
      </c>
      <c r="K493" s="137">
        <f>IF(OR($H493="",$J493=""),"",ROUND($H493-$J493,2))</f>
        <v/>
      </c>
      <c r="L493" s="143" t="n"/>
    </row>
    <row r="494" ht="18" customHeight="1" s="102">
      <c r="A494" s="137">
        <f>IF($B494="","","TAH-"&amp;TEXT(ROW()-BaslangicSatir,"000000"))</f>
        <v/>
      </c>
      <c r="B494" s="143" t="n"/>
      <c r="C494" s="143" t="n"/>
      <c r="D494" s="143" t="n"/>
      <c r="E494" s="143" t="n"/>
      <c r="F494" s="143" t="n"/>
      <c r="G494" s="143" t="n"/>
      <c r="H494" s="143" t="n"/>
      <c r="I494" s="143" t="n"/>
      <c r="J494" s="137">
        <f>IF($H494="","",ROUND($H494*$I494,2))</f>
        <v/>
      </c>
      <c r="K494" s="137">
        <f>IF(OR($H494="",$J494=""),"",ROUND($H494-$J494,2))</f>
        <v/>
      </c>
      <c r="L494" s="143" t="n"/>
    </row>
    <row r="495" ht="18" customHeight="1" s="102">
      <c r="A495" s="137">
        <f>IF($B495="","","TAH-"&amp;TEXT(ROW()-BaslangicSatir,"000000"))</f>
        <v/>
      </c>
      <c r="B495" s="143" t="n"/>
      <c r="C495" s="143" t="n"/>
      <c r="D495" s="143" t="n"/>
      <c r="E495" s="143" t="n"/>
      <c r="F495" s="143" t="n"/>
      <c r="G495" s="143" t="n"/>
      <c r="H495" s="143" t="n"/>
      <c r="I495" s="143" t="n"/>
      <c r="J495" s="137">
        <f>IF($H495="","",ROUND($H495*$I495,2))</f>
        <v/>
      </c>
      <c r="K495" s="137">
        <f>IF(OR($H495="",$J495=""),"",ROUND($H495-$J495,2))</f>
        <v/>
      </c>
      <c r="L495" s="143" t="n"/>
    </row>
    <row r="496" ht="18" customHeight="1" s="102">
      <c r="A496" s="137">
        <f>IF($B496="","","TAH-"&amp;TEXT(ROW()-BaslangicSatir,"000000"))</f>
        <v/>
      </c>
      <c r="B496" s="143" t="n"/>
      <c r="C496" s="143" t="n"/>
      <c r="D496" s="143" t="n"/>
      <c r="E496" s="143" t="n"/>
      <c r="F496" s="143" t="n"/>
      <c r="G496" s="143" t="n"/>
      <c r="H496" s="143" t="n"/>
      <c r="I496" s="143" t="n"/>
      <c r="J496" s="137">
        <f>IF($H496="","",ROUND($H496*$I496,2))</f>
        <v/>
      </c>
      <c r="K496" s="137">
        <f>IF(OR($H496="",$J496=""),"",ROUND($H496-$J496,2))</f>
        <v/>
      </c>
      <c r="L496" s="143" t="n"/>
    </row>
    <row r="497" ht="18" customHeight="1" s="102">
      <c r="A497" s="137">
        <f>IF($B497="","","TAH-"&amp;TEXT(ROW()-BaslangicSatir,"000000"))</f>
        <v/>
      </c>
      <c r="B497" s="143" t="n"/>
      <c r="C497" s="143" t="n"/>
      <c r="D497" s="143" t="n"/>
      <c r="E497" s="143" t="n"/>
      <c r="F497" s="143" t="n"/>
      <c r="G497" s="143" t="n"/>
      <c r="H497" s="143" t="n"/>
      <c r="I497" s="143" t="n"/>
      <c r="J497" s="137">
        <f>IF($H497="","",ROUND($H497*$I497,2))</f>
        <v/>
      </c>
      <c r="K497" s="137">
        <f>IF(OR($H497="",$J497=""),"",ROUND($H497-$J497,2))</f>
        <v/>
      </c>
      <c r="L497" s="143" t="n"/>
    </row>
    <row r="498" ht="18" customHeight="1" s="102">
      <c r="A498" s="137">
        <f>IF($B498="","","TAH-"&amp;TEXT(ROW()-BaslangicSatir,"000000"))</f>
        <v/>
      </c>
      <c r="B498" s="143" t="n"/>
      <c r="C498" s="143" t="n"/>
      <c r="D498" s="143" t="n"/>
      <c r="E498" s="143" t="n"/>
      <c r="F498" s="143" t="n"/>
      <c r="G498" s="143" t="n"/>
      <c r="H498" s="143" t="n"/>
      <c r="I498" s="143" t="n"/>
      <c r="J498" s="137">
        <f>IF($H498="","",ROUND($H498*$I498,2))</f>
        <v/>
      </c>
      <c r="K498" s="137">
        <f>IF(OR($H498="",$J498=""),"",ROUND($H498-$J498,2))</f>
        <v/>
      </c>
      <c r="L498" s="143" t="n"/>
    </row>
    <row r="499" ht="18" customHeight="1" s="102">
      <c r="A499" s="137">
        <f>IF($B499="","","TAH-"&amp;TEXT(ROW()-BaslangicSatir,"000000"))</f>
        <v/>
      </c>
      <c r="B499" s="143" t="n"/>
      <c r="C499" s="143" t="n"/>
      <c r="D499" s="143" t="n"/>
      <c r="E499" s="143" t="n"/>
      <c r="F499" s="143" t="n"/>
      <c r="G499" s="143" t="n"/>
      <c r="H499" s="143" t="n"/>
      <c r="I499" s="143" t="n"/>
      <c r="J499" s="137">
        <f>IF($H499="","",ROUND($H499*$I499,2))</f>
        <v/>
      </c>
      <c r="K499" s="137">
        <f>IF(OR($H499="",$J499=""),"",ROUND($H499-$J499,2))</f>
        <v/>
      </c>
      <c r="L499" s="143" t="n"/>
    </row>
    <row r="500" ht="18" customHeight="1" s="102">
      <c r="A500" s="137">
        <f>IF($B500="","","TAH-"&amp;TEXT(ROW()-BaslangicSatir,"000000"))</f>
        <v/>
      </c>
      <c r="B500" s="143" t="n"/>
      <c r="C500" s="143" t="n"/>
      <c r="D500" s="143" t="n"/>
      <c r="E500" s="143" t="n"/>
      <c r="F500" s="143" t="n"/>
      <c r="G500" s="143" t="n"/>
      <c r="H500" s="143" t="n"/>
      <c r="I500" s="143" t="n"/>
      <c r="J500" s="137">
        <f>IF($H500="","",ROUND($H500*$I500,2))</f>
        <v/>
      </c>
      <c r="K500" s="137">
        <f>IF(OR($H500="",$J500=""),"",ROUND($H500-$J500,2))</f>
        <v/>
      </c>
      <c r="L500" s="143" t="n"/>
    </row>
    <row r="501" ht="18" customHeight="1" s="102">
      <c r="A501" s="137">
        <f>IF($B501="","","TAH-"&amp;TEXT(ROW()-BaslangicSatir,"000000"))</f>
        <v/>
      </c>
      <c r="B501" s="143" t="n"/>
      <c r="C501" s="143" t="n"/>
      <c r="D501" s="143" t="n"/>
      <c r="E501" s="143" t="n"/>
      <c r="F501" s="143" t="n"/>
      <c r="G501" s="143" t="n"/>
      <c r="H501" s="143" t="n"/>
      <c r="I501" s="143" t="n"/>
      <c r="J501" s="137">
        <f>IF($H501="","",ROUND($H501*$I501,2))</f>
        <v/>
      </c>
      <c r="K501" s="137">
        <f>IF(OR($H501="",$J501=""),"",ROUND($H501-$J501,2))</f>
        <v/>
      </c>
      <c r="L501" s="143" t="n"/>
    </row>
    <row r="502" ht="18" customHeight="1" s="102">
      <c r="A502" s="137">
        <f>IF($B502="","","TAH-"&amp;TEXT(ROW()-BaslangicSatir,"000000"))</f>
        <v/>
      </c>
      <c r="B502" s="143" t="n"/>
      <c r="C502" s="143" t="n"/>
      <c r="D502" s="143" t="n"/>
      <c r="E502" s="143" t="n"/>
      <c r="F502" s="143" t="n"/>
      <c r="G502" s="143" t="n"/>
      <c r="H502" s="143" t="n"/>
      <c r="I502" s="143" t="n"/>
      <c r="J502" s="137">
        <f>IF($H502="","",ROUND($H502*$I502,2))</f>
        <v/>
      </c>
      <c r="K502" s="137">
        <f>IF(OR($H502="",$J502=""),"",ROUND($H502-$J502,2))</f>
        <v/>
      </c>
      <c r="L502" s="143" t="n"/>
    </row>
    <row r="503" ht="18" customHeight="1" s="102">
      <c r="A503" s="137">
        <f>IF($B503="","","TAH-"&amp;TEXT(ROW()-BaslangicSatir,"000000"))</f>
        <v/>
      </c>
      <c r="B503" s="143" t="n"/>
      <c r="C503" s="143" t="n"/>
      <c r="D503" s="143" t="n"/>
      <c r="E503" s="143" t="n"/>
      <c r="F503" s="143" t="n"/>
      <c r="G503" s="143" t="n"/>
      <c r="H503" s="143" t="n"/>
      <c r="I503" s="143" t="n"/>
      <c r="J503" s="137">
        <f>IF($H503="","",ROUND($H503*$I503,2))</f>
        <v/>
      </c>
      <c r="K503" s="137">
        <f>IF(OR($H503="",$J503=""),"",ROUND($H503-$J503,2))</f>
        <v/>
      </c>
      <c r="L503" s="143" t="n"/>
    </row>
    <row r="504" ht="18" customHeight="1" s="102">
      <c r="A504" s="137">
        <f>IF($B504="","","TAH-"&amp;TEXT(ROW()-BaslangicSatir,"000000"))</f>
        <v/>
      </c>
      <c r="B504" s="143" t="n"/>
      <c r="C504" s="143" t="n"/>
      <c r="D504" s="143" t="n"/>
      <c r="E504" s="143" t="n"/>
      <c r="F504" s="143" t="n"/>
      <c r="G504" s="143" t="n"/>
      <c r="H504" s="143" t="n"/>
      <c r="I504" s="143" t="n"/>
      <c r="J504" s="137">
        <f>IF($H504="","",ROUND($H504*$I504,2))</f>
        <v/>
      </c>
      <c r="K504" s="137">
        <f>IF(OR($H504="",$J504=""),"",ROUND($H504-$J504,2))</f>
        <v/>
      </c>
      <c r="L504" s="143" t="n"/>
    </row>
    <row r="505" ht="18" customHeight="1" s="102">
      <c r="A505" s="137">
        <f>IF($B505="","","TAH-"&amp;TEXT(ROW()-BaslangicSatir,"000000"))</f>
        <v/>
      </c>
      <c r="B505" s="143" t="n"/>
      <c r="C505" s="143" t="n"/>
      <c r="D505" s="143" t="n"/>
      <c r="E505" s="143" t="n"/>
      <c r="F505" s="143" t="n"/>
      <c r="G505" s="143" t="n"/>
      <c r="H505" s="143" t="n"/>
      <c r="I505" s="143" t="n"/>
      <c r="J505" s="137">
        <f>IF($H505="","",ROUND($H505*$I505,2))</f>
        <v/>
      </c>
      <c r="K505" s="137">
        <f>IF(OR($H505="",$J505=""),"",ROUND($H505-$J505,2))</f>
        <v/>
      </c>
      <c r="L505" s="143" t="n"/>
    </row>
    <row r="506" ht="18" customHeight="1" s="102">
      <c r="A506" s="137">
        <f>IF($B506="","","TAH-"&amp;TEXT(ROW()-BaslangicSatir,"000000"))</f>
        <v/>
      </c>
      <c r="B506" s="143" t="n"/>
      <c r="C506" s="143" t="n"/>
      <c r="D506" s="143" t="n"/>
      <c r="E506" s="143" t="n"/>
      <c r="F506" s="143" t="n"/>
      <c r="G506" s="143" t="n"/>
      <c r="H506" s="143" t="n"/>
      <c r="I506" s="143" t="n"/>
      <c r="J506" s="137">
        <f>IF($H506="","",ROUND($H506*$I506,2))</f>
        <v/>
      </c>
      <c r="K506" s="137">
        <f>IF(OR($H506="",$J506=""),"",ROUND($H506-$J506,2))</f>
        <v/>
      </c>
      <c r="L506" s="143" t="n"/>
    </row>
    <row r="507" ht="18" customHeight="1" s="102">
      <c r="A507" s="137">
        <f>IF($B507="","","TAH-"&amp;TEXT(ROW()-BaslangicSatir,"000000"))</f>
        <v/>
      </c>
      <c r="B507" s="143" t="n"/>
      <c r="C507" s="143" t="n"/>
      <c r="D507" s="143" t="n"/>
      <c r="E507" s="143" t="n"/>
      <c r="F507" s="143" t="n"/>
      <c r="G507" s="143" t="n"/>
      <c r="H507" s="143" t="n"/>
      <c r="I507" s="143" t="n"/>
      <c r="J507" s="137">
        <f>IF($H507="","",ROUND($H507*$I507,2))</f>
        <v/>
      </c>
      <c r="K507" s="137">
        <f>IF(OR($H507="",$J507=""),"",ROUND($H507-$J507,2))</f>
        <v/>
      </c>
      <c r="L507" s="143" t="n"/>
    </row>
    <row r="508" ht="18" customHeight="1" s="102">
      <c r="A508" s="137">
        <f>IF($B508="","","TAH-"&amp;TEXT(ROW()-BaslangicSatir,"000000"))</f>
        <v/>
      </c>
      <c r="B508" s="143" t="n"/>
      <c r="C508" s="143" t="n"/>
      <c r="D508" s="143" t="n"/>
      <c r="E508" s="143" t="n"/>
      <c r="F508" s="143" t="n"/>
      <c r="G508" s="143" t="n"/>
      <c r="H508" s="143" t="n"/>
      <c r="I508" s="143" t="n"/>
      <c r="J508" s="137">
        <f>IF($H508="","",ROUND($H508*$I508,2))</f>
        <v/>
      </c>
      <c r="K508" s="137">
        <f>IF(OR($H508="",$J508=""),"",ROUND($H508-$J508,2))</f>
        <v/>
      </c>
      <c r="L508" s="143" t="n"/>
    </row>
    <row r="509" ht="18" customHeight="1" s="102">
      <c r="A509" s="137">
        <f>IF($B509="","","TAH-"&amp;TEXT(ROW()-BaslangicSatir,"000000"))</f>
        <v/>
      </c>
      <c r="B509" s="143" t="n"/>
      <c r="C509" s="143" t="n"/>
      <c r="D509" s="143" t="n"/>
      <c r="E509" s="143" t="n"/>
      <c r="F509" s="143" t="n"/>
      <c r="G509" s="143" t="n"/>
      <c r="H509" s="143" t="n"/>
      <c r="I509" s="143" t="n"/>
      <c r="J509" s="137">
        <f>IF($H509="","",ROUND($H509*$I509,2))</f>
        <v/>
      </c>
      <c r="K509" s="137">
        <f>IF(OR($H509="",$J509=""),"",ROUND($H509-$J509,2))</f>
        <v/>
      </c>
      <c r="L509" s="143" t="n"/>
    </row>
    <row r="510" ht="18" customHeight="1" s="102">
      <c r="A510" s="137">
        <f>IF($B510="","","TAH-"&amp;TEXT(ROW()-BaslangicSatir,"000000"))</f>
        <v/>
      </c>
      <c r="B510" s="143" t="n"/>
      <c r="C510" s="143" t="n"/>
      <c r="D510" s="143" t="n"/>
      <c r="E510" s="143" t="n"/>
      <c r="F510" s="143" t="n"/>
      <c r="G510" s="143" t="n"/>
      <c r="H510" s="143" t="n"/>
      <c r="I510" s="143" t="n"/>
      <c r="J510" s="137">
        <f>IF($H510="","",ROUND($H510*$I510,2))</f>
        <v/>
      </c>
      <c r="K510" s="137">
        <f>IF(OR($H510="",$J510=""),"",ROUND($H510-$J510,2))</f>
        <v/>
      </c>
      <c r="L510" s="143" t="n"/>
    </row>
    <row r="511" ht="18" customHeight="1" s="102">
      <c r="A511" s="137">
        <f>IF($B511="","","TAH-"&amp;TEXT(ROW()-BaslangicSatir,"000000"))</f>
        <v/>
      </c>
      <c r="B511" s="143" t="n"/>
      <c r="C511" s="143" t="n"/>
      <c r="D511" s="143" t="n"/>
      <c r="E511" s="143" t="n"/>
      <c r="F511" s="143" t="n"/>
      <c r="G511" s="143" t="n"/>
      <c r="H511" s="143" t="n"/>
      <c r="I511" s="143" t="n"/>
      <c r="J511" s="137">
        <f>IF($H511="","",ROUND($H511*$I511,2))</f>
        <v/>
      </c>
      <c r="K511" s="137">
        <f>IF(OR($H511="",$J511=""),"",ROUND($H511-$J511,2))</f>
        <v/>
      </c>
      <c r="L511" s="143" t="n"/>
    </row>
    <row r="512" ht="18" customHeight="1" s="102">
      <c r="A512" s="137">
        <f>IF($B512="","","TAH-"&amp;TEXT(ROW()-BaslangicSatir,"000000"))</f>
        <v/>
      </c>
      <c r="B512" s="143" t="n"/>
      <c r="C512" s="143" t="n"/>
      <c r="D512" s="143" t="n"/>
      <c r="E512" s="143" t="n"/>
      <c r="F512" s="143" t="n"/>
      <c r="G512" s="143" t="n"/>
      <c r="H512" s="143" t="n"/>
      <c r="I512" s="143" t="n"/>
      <c r="J512" s="137">
        <f>IF($H512="","",ROUND($H512*$I512,2))</f>
        <v/>
      </c>
      <c r="K512" s="137">
        <f>IF(OR($H512="",$J512=""),"",ROUND($H512-$J512,2))</f>
        <v/>
      </c>
      <c r="L512" s="143" t="n"/>
    </row>
    <row r="513" ht="18" customHeight="1" s="102">
      <c r="A513" s="137">
        <f>IF($B513="","","TAH-"&amp;TEXT(ROW()-BaslangicSatir,"000000"))</f>
        <v/>
      </c>
      <c r="B513" s="143" t="n"/>
      <c r="C513" s="143" t="n"/>
      <c r="D513" s="143" t="n"/>
      <c r="E513" s="143" t="n"/>
      <c r="F513" s="143" t="n"/>
      <c r="G513" s="143" t="n"/>
      <c r="H513" s="143" t="n"/>
      <c r="I513" s="143" t="n"/>
      <c r="J513" s="137">
        <f>IF($H513="","",ROUND($H513*$I513,2))</f>
        <v/>
      </c>
      <c r="K513" s="137">
        <f>IF(OR($H513="",$J513=""),"",ROUND($H513-$J513,2))</f>
        <v/>
      </c>
      <c r="L513" s="143" t="n"/>
    </row>
    <row r="514" ht="18" customHeight="1" s="102">
      <c r="A514" s="137">
        <f>IF($B514="","","TAH-"&amp;TEXT(ROW()-BaslangicSatir,"000000"))</f>
        <v/>
      </c>
      <c r="B514" s="143" t="n"/>
      <c r="C514" s="143" t="n"/>
      <c r="D514" s="143" t="n"/>
      <c r="E514" s="143" t="n"/>
      <c r="F514" s="143" t="n"/>
      <c r="G514" s="143" t="n"/>
      <c r="H514" s="143" t="n"/>
      <c r="I514" s="143" t="n"/>
      <c r="J514" s="137">
        <f>IF($H514="","",ROUND($H514*$I514,2))</f>
        <v/>
      </c>
      <c r="K514" s="137">
        <f>IF(OR($H514="",$J514=""),"",ROUND($H514-$J514,2))</f>
        <v/>
      </c>
      <c r="L514" s="143" t="n"/>
    </row>
    <row r="515" ht="18" customHeight="1" s="102">
      <c r="A515" s="137">
        <f>IF($B515="","","TAH-"&amp;TEXT(ROW()-BaslangicSatir,"000000"))</f>
        <v/>
      </c>
      <c r="B515" s="143" t="n"/>
      <c r="C515" s="143" t="n"/>
      <c r="D515" s="143" t="n"/>
      <c r="E515" s="143" t="n"/>
      <c r="F515" s="143" t="n"/>
      <c r="G515" s="143" t="n"/>
      <c r="H515" s="143" t="n"/>
      <c r="I515" s="143" t="n"/>
      <c r="J515" s="137">
        <f>IF($H515="","",ROUND($H515*$I515,2))</f>
        <v/>
      </c>
      <c r="K515" s="137">
        <f>IF(OR($H515="",$J515=""),"",ROUND($H515-$J515,2))</f>
        <v/>
      </c>
      <c r="L515" s="143" t="n"/>
    </row>
    <row r="516" ht="18" customHeight="1" s="102">
      <c r="A516" s="137">
        <f>IF($B516="","","TAH-"&amp;TEXT(ROW()-BaslangicSatir,"000000"))</f>
        <v/>
      </c>
      <c r="B516" s="143" t="n"/>
      <c r="C516" s="143" t="n"/>
      <c r="D516" s="143" t="n"/>
      <c r="E516" s="143" t="n"/>
      <c r="F516" s="143" t="n"/>
      <c r="G516" s="143" t="n"/>
      <c r="H516" s="143" t="n"/>
      <c r="I516" s="143" t="n"/>
      <c r="J516" s="137">
        <f>IF($H516="","",ROUND($H516*$I516,2))</f>
        <v/>
      </c>
      <c r="K516" s="137">
        <f>IF(OR($H516="",$J516=""),"",ROUND($H516-$J516,2))</f>
        <v/>
      </c>
      <c r="L516" s="143" t="n"/>
    </row>
    <row r="517" ht="18" customHeight="1" s="102">
      <c r="A517" s="137">
        <f>IF($B517="","","TAH-"&amp;TEXT(ROW()-BaslangicSatir,"000000"))</f>
        <v/>
      </c>
      <c r="B517" s="143" t="n"/>
      <c r="C517" s="143" t="n"/>
      <c r="D517" s="143" t="n"/>
      <c r="E517" s="143" t="n"/>
      <c r="F517" s="143" t="n"/>
      <c r="G517" s="143" t="n"/>
      <c r="H517" s="143" t="n"/>
      <c r="I517" s="143" t="n"/>
      <c r="J517" s="137">
        <f>IF($H517="","",ROUND($H517*$I517,2))</f>
        <v/>
      </c>
      <c r="K517" s="137">
        <f>IF(OR($H517="",$J517=""),"",ROUND($H517-$J517,2))</f>
        <v/>
      </c>
      <c r="L517" s="143" t="n"/>
    </row>
    <row r="518" ht="18" customHeight="1" s="102">
      <c r="A518" s="137">
        <f>IF($B518="","","TAH-"&amp;TEXT(ROW()-BaslangicSatir,"000000"))</f>
        <v/>
      </c>
      <c r="B518" s="143" t="n"/>
      <c r="C518" s="143" t="n"/>
      <c r="D518" s="143" t="n"/>
      <c r="E518" s="143" t="n"/>
      <c r="F518" s="143" t="n"/>
      <c r="G518" s="143" t="n"/>
      <c r="H518" s="143" t="n"/>
      <c r="I518" s="143" t="n"/>
      <c r="J518" s="137">
        <f>IF($H518="","",ROUND($H518*$I518,2))</f>
        <v/>
      </c>
      <c r="K518" s="137">
        <f>IF(OR($H518="",$J518=""),"",ROUND($H518-$J518,2))</f>
        <v/>
      </c>
      <c r="L518" s="143" t="n"/>
    </row>
    <row r="519" ht="18" customHeight="1" s="102">
      <c r="A519" s="137">
        <f>IF($B519="","","TAH-"&amp;TEXT(ROW()-BaslangicSatir,"000000"))</f>
        <v/>
      </c>
      <c r="B519" s="143" t="n"/>
      <c r="C519" s="143" t="n"/>
      <c r="D519" s="143" t="n"/>
      <c r="E519" s="143" t="n"/>
      <c r="F519" s="143" t="n"/>
      <c r="G519" s="143" t="n"/>
      <c r="H519" s="143" t="n"/>
      <c r="I519" s="143" t="n"/>
      <c r="J519" s="137">
        <f>IF($H519="","",ROUND($H519*$I519,2))</f>
        <v/>
      </c>
      <c r="K519" s="137">
        <f>IF(OR($H519="",$J519=""),"",ROUND($H519-$J519,2))</f>
        <v/>
      </c>
      <c r="L519" s="143" t="n"/>
    </row>
    <row r="520" ht="18" customHeight="1" s="102">
      <c r="A520" s="137">
        <f>IF($B520="","","TAH-"&amp;TEXT(ROW()-BaslangicSatir,"000000"))</f>
        <v/>
      </c>
      <c r="B520" s="143" t="n"/>
      <c r="C520" s="143" t="n"/>
      <c r="D520" s="143" t="n"/>
      <c r="E520" s="143" t="n"/>
      <c r="F520" s="143" t="n"/>
      <c r="G520" s="143" t="n"/>
      <c r="H520" s="143" t="n"/>
      <c r="I520" s="143" t="n"/>
      <c r="J520" s="137">
        <f>IF($H520="","",ROUND($H520*$I520,2))</f>
        <v/>
      </c>
      <c r="K520" s="137">
        <f>IF(OR($H520="",$J520=""),"",ROUND($H520-$J520,2))</f>
        <v/>
      </c>
      <c r="L520" s="143" t="n"/>
    </row>
    <row r="521" ht="18" customHeight="1" s="102">
      <c r="A521" s="137">
        <f>IF($B521="","","TAH-"&amp;TEXT(ROW()-BaslangicSatir,"000000"))</f>
        <v/>
      </c>
      <c r="B521" s="143" t="n"/>
      <c r="C521" s="143" t="n"/>
      <c r="D521" s="143" t="n"/>
      <c r="E521" s="143" t="n"/>
      <c r="F521" s="143" t="n"/>
      <c r="G521" s="143" t="n"/>
      <c r="H521" s="143" t="n"/>
      <c r="I521" s="143" t="n"/>
      <c r="J521" s="137">
        <f>IF($H521="","",ROUND($H521*$I521,2))</f>
        <v/>
      </c>
      <c r="K521" s="137">
        <f>IF(OR($H521="",$J521=""),"",ROUND($H521-$J521,2))</f>
        <v/>
      </c>
      <c r="L521" s="143" t="n"/>
    </row>
    <row r="522" ht="18" customHeight="1" s="102">
      <c r="A522" s="137">
        <f>IF($B522="","","TAH-"&amp;TEXT(ROW()-BaslangicSatir,"000000"))</f>
        <v/>
      </c>
      <c r="B522" s="143" t="n"/>
      <c r="C522" s="143" t="n"/>
      <c r="D522" s="143" t="n"/>
      <c r="E522" s="143" t="n"/>
      <c r="F522" s="143" t="n"/>
      <c r="G522" s="143" t="n"/>
      <c r="H522" s="143" t="n"/>
      <c r="I522" s="143" t="n"/>
      <c r="J522" s="137">
        <f>IF($H522="","",ROUND($H522*$I522,2))</f>
        <v/>
      </c>
      <c r="K522" s="137">
        <f>IF(OR($H522="",$J522=""),"",ROUND($H522-$J522,2))</f>
        <v/>
      </c>
      <c r="L522" s="143" t="n"/>
    </row>
    <row r="523" ht="18" customHeight="1" s="102">
      <c r="A523" s="137">
        <f>IF($B523="","","TAH-"&amp;TEXT(ROW()-BaslangicSatir,"000000"))</f>
        <v/>
      </c>
      <c r="B523" s="143" t="n"/>
      <c r="C523" s="143" t="n"/>
      <c r="D523" s="143" t="n"/>
      <c r="E523" s="143" t="n"/>
      <c r="F523" s="143" t="n"/>
      <c r="G523" s="143" t="n"/>
      <c r="H523" s="143" t="n"/>
      <c r="I523" s="143" t="n"/>
      <c r="J523" s="137">
        <f>IF($H523="","",ROUND($H523*$I523,2))</f>
        <v/>
      </c>
      <c r="K523" s="137">
        <f>IF(OR($H523="",$J523=""),"",ROUND($H523-$J523,2))</f>
        <v/>
      </c>
      <c r="L523" s="143" t="n"/>
    </row>
    <row r="524" ht="18" customHeight="1" s="102">
      <c r="A524" s="137">
        <f>IF($B524="","","TAH-"&amp;TEXT(ROW()-BaslangicSatir,"000000"))</f>
        <v/>
      </c>
      <c r="B524" s="143" t="n"/>
      <c r="C524" s="143" t="n"/>
      <c r="D524" s="143" t="n"/>
      <c r="E524" s="143" t="n"/>
      <c r="F524" s="143" t="n"/>
      <c r="G524" s="143" t="n"/>
      <c r="H524" s="143" t="n"/>
      <c r="I524" s="143" t="n"/>
      <c r="J524" s="137">
        <f>IF($H524="","",ROUND($H524*$I524,2))</f>
        <v/>
      </c>
      <c r="K524" s="137">
        <f>IF(OR($H524="",$J524=""),"",ROUND($H524-$J524,2))</f>
        <v/>
      </c>
      <c r="L524" s="143" t="n"/>
    </row>
    <row r="525" ht="18" customHeight="1" s="102">
      <c r="A525" s="137">
        <f>IF($B525="","","TAH-"&amp;TEXT(ROW()-BaslangicSatir,"000000"))</f>
        <v/>
      </c>
      <c r="B525" s="143" t="n"/>
      <c r="C525" s="143" t="n"/>
      <c r="D525" s="143" t="n"/>
      <c r="E525" s="143" t="n"/>
      <c r="F525" s="143" t="n"/>
      <c r="G525" s="143" t="n"/>
      <c r="H525" s="143" t="n"/>
      <c r="I525" s="143" t="n"/>
      <c r="J525" s="137">
        <f>IF($H525="","",ROUND($H525*$I525,2))</f>
        <v/>
      </c>
      <c r="K525" s="137">
        <f>IF(OR($H525="",$J525=""),"",ROUND($H525-$J525,2))</f>
        <v/>
      </c>
      <c r="L525" s="143" t="n"/>
    </row>
    <row r="526" ht="18" customHeight="1" s="102">
      <c r="A526" s="137">
        <f>IF($B526="","","TAH-"&amp;TEXT(ROW()-BaslangicSatir,"000000"))</f>
        <v/>
      </c>
      <c r="B526" s="143" t="n"/>
      <c r="C526" s="143" t="n"/>
      <c r="D526" s="143" t="n"/>
      <c r="E526" s="143" t="n"/>
      <c r="F526" s="143" t="n"/>
      <c r="G526" s="143" t="n"/>
      <c r="H526" s="143" t="n"/>
      <c r="I526" s="143" t="n"/>
      <c r="J526" s="137">
        <f>IF($H526="","",ROUND($H526*$I526,2))</f>
        <v/>
      </c>
      <c r="K526" s="137">
        <f>IF(OR($H526="",$J526=""),"",ROUND($H526-$J526,2))</f>
        <v/>
      </c>
      <c r="L526" s="143" t="n"/>
    </row>
    <row r="527" ht="18" customHeight="1" s="102">
      <c r="A527" s="137">
        <f>IF($B527="","","TAH-"&amp;TEXT(ROW()-BaslangicSatir,"000000"))</f>
        <v/>
      </c>
      <c r="B527" s="143" t="n"/>
      <c r="C527" s="143" t="n"/>
      <c r="D527" s="143" t="n"/>
      <c r="E527" s="143" t="n"/>
      <c r="F527" s="143" t="n"/>
      <c r="G527" s="143" t="n"/>
      <c r="H527" s="143" t="n"/>
      <c r="I527" s="143" t="n"/>
      <c r="J527" s="137">
        <f>IF($H527="","",ROUND($H527*$I527,2))</f>
        <v/>
      </c>
      <c r="K527" s="137">
        <f>IF(OR($H527="",$J527=""),"",ROUND($H527-$J527,2))</f>
        <v/>
      </c>
      <c r="L527" s="143" t="n"/>
    </row>
    <row r="528" ht="18" customHeight="1" s="102">
      <c r="A528" s="137">
        <f>IF($B528="","","TAH-"&amp;TEXT(ROW()-BaslangicSatir,"000000"))</f>
        <v/>
      </c>
      <c r="B528" s="143" t="n"/>
      <c r="C528" s="143" t="n"/>
      <c r="D528" s="143" t="n"/>
      <c r="E528" s="143" t="n"/>
      <c r="F528" s="143" t="n"/>
      <c r="G528" s="143" t="n"/>
      <c r="H528" s="143" t="n"/>
      <c r="I528" s="143" t="n"/>
      <c r="J528" s="137">
        <f>IF($H528="","",ROUND($H528*$I528,2))</f>
        <v/>
      </c>
      <c r="K528" s="137">
        <f>IF(OR($H528="",$J528=""),"",ROUND($H528-$J528,2))</f>
        <v/>
      </c>
      <c r="L528" s="143" t="n"/>
    </row>
    <row r="529" ht="18" customHeight="1" s="102">
      <c r="A529" s="137">
        <f>IF($B529="","","TAH-"&amp;TEXT(ROW()-BaslangicSatir,"000000"))</f>
        <v/>
      </c>
      <c r="B529" s="143" t="n"/>
      <c r="C529" s="143" t="n"/>
      <c r="D529" s="143" t="n"/>
      <c r="E529" s="143" t="n"/>
      <c r="F529" s="143" t="n"/>
      <c r="G529" s="143" t="n"/>
      <c r="H529" s="143" t="n"/>
      <c r="I529" s="143" t="n"/>
      <c r="J529" s="137">
        <f>IF($H529="","",ROUND($H529*$I529,2))</f>
        <v/>
      </c>
      <c r="K529" s="137">
        <f>IF(OR($H529="",$J529=""),"",ROUND($H529-$J529,2))</f>
        <v/>
      </c>
      <c r="L529" s="143" t="n"/>
    </row>
    <row r="530" ht="18" customHeight="1" s="102">
      <c r="A530" s="137">
        <f>IF($B530="","","TAH-"&amp;TEXT(ROW()-BaslangicSatir,"000000"))</f>
        <v/>
      </c>
      <c r="B530" s="143" t="n"/>
      <c r="C530" s="143" t="n"/>
      <c r="D530" s="143" t="n"/>
      <c r="E530" s="143" t="n"/>
      <c r="F530" s="143" t="n"/>
      <c r="G530" s="143" t="n"/>
      <c r="H530" s="143" t="n"/>
      <c r="I530" s="143" t="n"/>
      <c r="J530" s="137">
        <f>IF($H530="","",ROUND($H530*$I530,2))</f>
        <v/>
      </c>
      <c r="K530" s="137">
        <f>IF(OR($H530="",$J530=""),"",ROUND($H530-$J530,2))</f>
        <v/>
      </c>
      <c r="L530" s="143" t="n"/>
    </row>
    <row r="531" ht="18" customHeight="1" s="102">
      <c r="A531" s="137">
        <f>IF($B531="","","TAH-"&amp;TEXT(ROW()-BaslangicSatir,"000000"))</f>
        <v/>
      </c>
      <c r="B531" s="143" t="n"/>
      <c r="C531" s="143" t="n"/>
      <c r="D531" s="143" t="n"/>
      <c r="E531" s="143" t="n"/>
      <c r="F531" s="143" t="n"/>
      <c r="G531" s="143" t="n"/>
      <c r="H531" s="143" t="n"/>
      <c r="I531" s="143" t="n"/>
      <c r="J531" s="137">
        <f>IF($H531="","",ROUND($H531*$I531,2))</f>
        <v/>
      </c>
      <c r="K531" s="137">
        <f>IF(OR($H531="",$J531=""),"",ROUND($H531-$J531,2))</f>
        <v/>
      </c>
      <c r="L531" s="143" t="n"/>
    </row>
    <row r="532" ht="18" customHeight="1" s="102">
      <c r="A532" s="137">
        <f>IF($B532="","","TAH-"&amp;TEXT(ROW()-BaslangicSatir,"000000"))</f>
        <v/>
      </c>
      <c r="B532" s="143" t="n"/>
      <c r="C532" s="143" t="n"/>
      <c r="D532" s="143" t="n"/>
      <c r="E532" s="143" t="n"/>
      <c r="F532" s="143" t="n"/>
      <c r="G532" s="143" t="n"/>
      <c r="H532" s="143" t="n"/>
      <c r="I532" s="143" t="n"/>
      <c r="J532" s="137">
        <f>IF($H532="","",ROUND($H532*$I532,2))</f>
        <v/>
      </c>
      <c r="K532" s="137">
        <f>IF(OR($H532="",$J532=""),"",ROUND($H532-$J532,2))</f>
        <v/>
      </c>
      <c r="L532" s="143" t="n"/>
    </row>
    <row r="533" ht="18" customHeight="1" s="102">
      <c r="A533" s="137">
        <f>IF($B533="","","TAH-"&amp;TEXT(ROW()-BaslangicSatir,"000000"))</f>
        <v/>
      </c>
      <c r="B533" s="143" t="n"/>
      <c r="C533" s="143" t="n"/>
      <c r="D533" s="143" t="n"/>
      <c r="E533" s="143" t="n"/>
      <c r="F533" s="143" t="n"/>
      <c r="G533" s="143" t="n"/>
      <c r="H533" s="143" t="n"/>
      <c r="I533" s="143" t="n"/>
      <c r="J533" s="137">
        <f>IF($H533="","",ROUND($H533*$I533,2))</f>
        <v/>
      </c>
      <c r="K533" s="137">
        <f>IF(OR($H533="",$J533=""),"",ROUND($H533-$J533,2))</f>
        <v/>
      </c>
      <c r="L533" s="143" t="n"/>
    </row>
    <row r="534" ht="18" customHeight="1" s="102">
      <c r="A534" s="137">
        <f>IF($B534="","","TAH-"&amp;TEXT(ROW()-BaslangicSatir,"000000"))</f>
        <v/>
      </c>
      <c r="B534" s="143" t="n"/>
      <c r="C534" s="143" t="n"/>
      <c r="D534" s="143" t="n"/>
      <c r="E534" s="143" t="n"/>
      <c r="F534" s="143" t="n"/>
      <c r="G534" s="143" t="n"/>
      <c r="H534" s="143" t="n"/>
      <c r="I534" s="143" t="n"/>
      <c r="J534" s="137">
        <f>IF($H534="","",ROUND($H534*$I534,2))</f>
        <v/>
      </c>
      <c r="K534" s="137">
        <f>IF(OR($H534="",$J534=""),"",ROUND($H534-$J534,2))</f>
        <v/>
      </c>
      <c r="L534" s="143" t="n"/>
    </row>
    <row r="535" ht="18" customHeight="1" s="102">
      <c r="A535" s="137">
        <f>IF($B535="","","TAH-"&amp;TEXT(ROW()-BaslangicSatir,"000000"))</f>
        <v/>
      </c>
      <c r="B535" s="143" t="n"/>
      <c r="C535" s="143" t="n"/>
      <c r="D535" s="143" t="n"/>
      <c r="E535" s="143" t="n"/>
      <c r="F535" s="143" t="n"/>
      <c r="G535" s="143" t="n"/>
      <c r="H535" s="143" t="n"/>
      <c r="I535" s="143" t="n"/>
      <c r="J535" s="137">
        <f>IF($H535="","",ROUND($H535*$I535,2))</f>
        <v/>
      </c>
      <c r="K535" s="137">
        <f>IF(OR($H535="",$J535=""),"",ROUND($H535-$J535,2))</f>
        <v/>
      </c>
      <c r="L535" s="143" t="n"/>
    </row>
    <row r="536" ht="18" customHeight="1" s="102">
      <c r="A536" s="137">
        <f>IF($B536="","","TAH-"&amp;TEXT(ROW()-BaslangicSatir,"000000"))</f>
        <v/>
      </c>
      <c r="B536" s="143" t="n"/>
      <c r="C536" s="143" t="n"/>
      <c r="D536" s="143" t="n"/>
      <c r="E536" s="143" t="n"/>
      <c r="F536" s="143" t="n"/>
      <c r="G536" s="143" t="n"/>
      <c r="H536" s="143" t="n"/>
      <c r="I536" s="143" t="n"/>
      <c r="J536" s="137">
        <f>IF($H536="","",ROUND($H536*$I536,2))</f>
        <v/>
      </c>
      <c r="K536" s="137">
        <f>IF(OR($H536="",$J536=""),"",ROUND($H536-$J536,2))</f>
        <v/>
      </c>
      <c r="L536" s="143" t="n"/>
    </row>
    <row r="537" ht="18" customHeight="1" s="102">
      <c r="A537" s="137">
        <f>IF($B537="","","TAH-"&amp;TEXT(ROW()-BaslangicSatir,"000000"))</f>
        <v/>
      </c>
      <c r="B537" s="143" t="n"/>
      <c r="C537" s="143" t="n"/>
      <c r="D537" s="143" t="n"/>
      <c r="E537" s="143" t="n"/>
      <c r="F537" s="143" t="n"/>
      <c r="G537" s="143" t="n"/>
      <c r="H537" s="143" t="n"/>
      <c r="I537" s="143" t="n"/>
      <c r="J537" s="137">
        <f>IF($H537="","",ROUND($H537*$I537,2))</f>
        <v/>
      </c>
      <c r="K537" s="137">
        <f>IF(OR($H537="",$J537=""),"",ROUND($H537-$J537,2))</f>
        <v/>
      </c>
      <c r="L537" s="143" t="n"/>
    </row>
    <row r="538" ht="18" customHeight="1" s="102">
      <c r="A538" s="137">
        <f>IF($B538="","","TAH-"&amp;TEXT(ROW()-BaslangicSatir,"000000"))</f>
        <v/>
      </c>
      <c r="B538" s="143" t="n"/>
      <c r="C538" s="143" t="n"/>
      <c r="D538" s="143" t="n"/>
      <c r="E538" s="143" t="n"/>
      <c r="F538" s="143" t="n"/>
      <c r="G538" s="143" t="n"/>
      <c r="H538" s="143" t="n"/>
      <c r="I538" s="143" t="n"/>
      <c r="J538" s="137">
        <f>IF($H538="","",ROUND($H538*$I538,2))</f>
        <v/>
      </c>
      <c r="K538" s="137">
        <f>IF(OR($H538="",$J538=""),"",ROUND($H538-$J538,2))</f>
        <v/>
      </c>
      <c r="L538" s="143" t="n"/>
    </row>
    <row r="539" ht="18" customHeight="1" s="102">
      <c r="A539" s="137">
        <f>IF($B539="","","TAH-"&amp;TEXT(ROW()-BaslangicSatir,"000000"))</f>
        <v/>
      </c>
      <c r="B539" s="143" t="n"/>
      <c r="C539" s="143" t="n"/>
      <c r="D539" s="143" t="n"/>
      <c r="E539" s="143" t="n"/>
      <c r="F539" s="143" t="n"/>
      <c r="G539" s="143" t="n"/>
      <c r="H539" s="143" t="n"/>
      <c r="I539" s="143" t="n"/>
      <c r="J539" s="137">
        <f>IF($H539="","",ROUND($H539*$I539,2))</f>
        <v/>
      </c>
      <c r="K539" s="137">
        <f>IF(OR($H539="",$J539=""),"",ROUND($H539-$J539,2))</f>
        <v/>
      </c>
      <c r="L539" s="143" t="n"/>
    </row>
    <row r="540" ht="18" customHeight="1" s="102">
      <c r="A540" s="137">
        <f>IF($B540="","","TAH-"&amp;TEXT(ROW()-BaslangicSatir,"000000"))</f>
        <v/>
      </c>
      <c r="B540" s="143" t="n"/>
      <c r="C540" s="143" t="n"/>
      <c r="D540" s="143" t="n"/>
      <c r="E540" s="143" t="n"/>
      <c r="F540" s="143" t="n"/>
      <c r="G540" s="143" t="n"/>
      <c r="H540" s="143" t="n"/>
      <c r="I540" s="143" t="n"/>
      <c r="J540" s="137">
        <f>IF($H540="","",ROUND($H540*$I540,2))</f>
        <v/>
      </c>
      <c r="K540" s="137">
        <f>IF(OR($H540="",$J540=""),"",ROUND($H540-$J540,2))</f>
        <v/>
      </c>
      <c r="L540" s="143" t="n"/>
    </row>
    <row r="541" ht="18" customHeight="1" s="102">
      <c r="A541" s="137">
        <f>IF($B541="","","TAH-"&amp;TEXT(ROW()-BaslangicSatir,"000000"))</f>
        <v/>
      </c>
      <c r="B541" s="143" t="n"/>
      <c r="C541" s="143" t="n"/>
      <c r="D541" s="143" t="n"/>
      <c r="E541" s="143" t="n"/>
      <c r="F541" s="143" t="n"/>
      <c r="G541" s="143" t="n"/>
      <c r="H541" s="143" t="n"/>
      <c r="I541" s="143" t="n"/>
      <c r="J541" s="137">
        <f>IF($H541="","",ROUND($H541*$I541,2))</f>
        <v/>
      </c>
      <c r="K541" s="137">
        <f>IF(OR($H541="",$J541=""),"",ROUND($H541-$J541,2))</f>
        <v/>
      </c>
      <c r="L541" s="143" t="n"/>
    </row>
    <row r="542" ht="18" customHeight="1" s="102">
      <c r="A542" s="137">
        <f>IF($B542="","","TAH-"&amp;TEXT(ROW()-BaslangicSatir,"000000"))</f>
        <v/>
      </c>
      <c r="B542" s="143" t="n"/>
      <c r="C542" s="143" t="n"/>
      <c r="D542" s="143" t="n"/>
      <c r="E542" s="143" t="n"/>
      <c r="F542" s="143" t="n"/>
      <c r="G542" s="143" t="n"/>
      <c r="H542" s="143" t="n"/>
      <c r="I542" s="143" t="n"/>
      <c r="J542" s="137">
        <f>IF($H542="","",ROUND($H542*$I542,2))</f>
        <v/>
      </c>
      <c r="K542" s="137">
        <f>IF(OR($H542="",$J542=""),"",ROUND($H542-$J542,2))</f>
        <v/>
      </c>
      <c r="L542" s="143" t="n"/>
    </row>
    <row r="543" ht="18" customHeight="1" s="102">
      <c r="A543" s="137">
        <f>IF($B543="","","TAH-"&amp;TEXT(ROW()-BaslangicSatir,"000000"))</f>
        <v/>
      </c>
      <c r="B543" s="143" t="n"/>
      <c r="C543" s="143" t="n"/>
      <c r="D543" s="143" t="n"/>
      <c r="E543" s="143" t="n"/>
      <c r="F543" s="143" t="n"/>
      <c r="G543" s="143" t="n"/>
      <c r="H543" s="143" t="n"/>
      <c r="I543" s="143" t="n"/>
      <c r="J543" s="137">
        <f>IF($H543="","",ROUND($H543*$I543,2))</f>
        <v/>
      </c>
      <c r="K543" s="137">
        <f>IF(OR($H543="",$J543=""),"",ROUND($H543-$J543,2))</f>
        <v/>
      </c>
      <c r="L543" s="143" t="n"/>
    </row>
    <row r="544" ht="18" customHeight="1" s="102">
      <c r="A544" s="137">
        <f>IF($B544="","","TAH-"&amp;TEXT(ROW()-BaslangicSatir,"000000"))</f>
        <v/>
      </c>
      <c r="B544" s="143" t="n"/>
      <c r="C544" s="143" t="n"/>
      <c r="D544" s="143" t="n"/>
      <c r="E544" s="143" t="n"/>
      <c r="F544" s="143" t="n"/>
      <c r="G544" s="143" t="n"/>
      <c r="H544" s="143" t="n"/>
      <c r="I544" s="143" t="n"/>
      <c r="J544" s="137">
        <f>IF($H544="","",ROUND($H544*$I544,2))</f>
        <v/>
      </c>
      <c r="K544" s="137">
        <f>IF(OR($H544="",$J544=""),"",ROUND($H544-$J544,2))</f>
        <v/>
      </c>
      <c r="L544" s="143" t="n"/>
    </row>
    <row r="545" ht="18" customHeight="1" s="102">
      <c r="A545" s="137">
        <f>IF($B545="","","TAH-"&amp;TEXT(ROW()-BaslangicSatir,"000000"))</f>
        <v/>
      </c>
      <c r="B545" s="143" t="n"/>
      <c r="C545" s="143" t="n"/>
      <c r="D545" s="143" t="n"/>
      <c r="E545" s="143" t="n"/>
      <c r="F545" s="143" t="n"/>
      <c r="G545" s="143" t="n"/>
      <c r="H545" s="143" t="n"/>
      <c r="I545" s="143" t="n"/>
      <c r="J545" s="137">
        <f>IF($H545="","",ROUND($H545*$I545,2))</f>
        <v/>
      </c>
      <c r="K545" s="137">
        <f>IF(OR($H545="",$J545=""),"",ROUND($H545-$J545,2))</f>
        <v/>
      </c>
      <c r="L545" s="143" t="n"/>
    </row>
    <row r="546" ht="18" customHeight="1" s="102">
      <c r="A546" s="137">
        <f>IF($B546="","","TAH-"&amp;TEXT(ROW()-BaslangicSatir,"000000"))</f>
        <v/>
      </c>
      <c r="B546" s="143" t="n"/>
      <c r="C546" s="143" t="n"/>
      <c r="D546" s="143" t="n"/>
      <c r="E546" s="143" t="n"/>
      <c r="F546" s="143" t="n"/>
      <c r="G546" s="143" t="n"/>
      <c r="H546" s="143" t="n"/>
      <c r="I546" s="143" t="n"/>
      <c r="J546" s="137">
        <f>IF($H546="","",ROUND($H546*$I546,2))</f>
        <v/>
      </c>
      <c r="K546" s="137">
        <f>IF(OR($H546="",$J546=""),"",ROUND($H546-$J546,2))</f>
        <v/>
      </c>
      <c r="L546" s="143" t="n"/>
    </row>
    <row r="547" ht="18" customHeight="1" s="102">
      <c r="A547" s="137">
        <f>IF($B547="","","TAH-"&amp;TEXT(ROW()-BaslangicSatir,"000000"))</f>
        <v/>
      </c>
      <c r="B547" s="143" t="n"/>
      <c r="C547" s="143" t="n"/>
      <c r="D547" s="143" t="n"/>
      <c r="E547" s="143" t="n"/>
      <c r="F547" s="143" t="n"/>
      <c r="G547" s="143" t="n"/>
      <c r="H547" s="143" t="n"/>
      <c r="I547" s="143" t="n"/>
      <c r="J547" s="137">
        <f>IF($H547="","",ROUND($H547*$I547,2))</f>
        <v/>
      </c>
      <c r="K547" s="137">
        <f>IF(OR($H547="",$J547=""),"",ROUND($H547-$J547,2))</f>
        <v/>
      </c>
      <c r="L547" s="143" t="n"/>
    </row>
    <row r="548" ht="18" customHeight="1" s="102">
      <c r="A548" s="137">
        <f>IF($B548="","","TAH-"&amp;TEXT(ROW()-BaslangicSatir,"000000"))</f>
        <v/>
      </c>
      <c r="B548" s="143" t="n"/>
      <c r="C548" s="143" t="n"/>
      <c r="D548" s="143" t="n"/>
      <c r="E548" s="143" t="n"/>
      <c r="F548" s="143" t="n"/>
      <c r="G548" s="143" t="n"/>
      <c r="H548" s="143" t="n"/>
      <c r="I548" s="143" t="n"/>
      <c r="J548" s="137">
        <f>IF($H548="","",ROUND($H548*$I548,2))</f>
        <v/>
      </c>
      <c r="K548" s="137">
        <f>IF(OR($H548="",$J548=""),"",ROUND($H548-$J548,2))</f>
        <v/>
      </c>
      <c r="L548" s="143" t="n"/>
    </row>
    <row r="549" ht="18" customHeight="1" s="102">
      <c r="A549" s="137">
        <f>IF($B549="","","TAH-"&amp;TEXT(ROW()-BaslangicSatir,"000000"))</f>
        <v/>
      </c>
      <c r="B549" s="143" t="n"/>
      <c r="C549" s="143" t="n"/>
      <c r="D549" s="143" t="n"/>
      <c r="E549" s="143" t="n"/>
      <c r="F549" s="143" t="n"/>
      <c r="G549" s="143" t="n"/>
      <c r="H549" s="143" t="n"/>
      <c r="I549" s="143" t="n"/>
      <c r="J549" s="137">
        <f>IF($H549="","",ROUND($H549*$I549,2))</f>
        <v/>
      </c>
      <c r="K549" s="137">
        <f>IF(OR($H549="",$J549=""),"",ROUND($H549-$J549,2))</f>
        <v/>
      </c>
      <c r="L549" s="143" t="n"/>
    </row>
    <row r="550" ht="18" customHeight="1" s="102">
      <c r="A550" s="137">
        <f>IF($B550="","","TAH-"&amp;TEXT(ROW()-BaslangicSatir,"000000"))</f>
        <v/>
      </c>
      <c r="B550" s="143" t="n"/>
      <c r="C550" s="143" t="n"/>
      <c r="D550" s="143" t="n"/>
      <c r="E550" s="143" t="n"/>
      <c r="F550" s="143" t="n"/>
      <c r="G550" s="143" t="n"/>
      <c r="H550" s="143" t="n"/>
      <c r="I550" s="143" t="n"/>
      <c r="J550" s="137">
        <f>IF($H550="","",ROUND($H550*$I550,2))</f>
        <v/>
      </c>
      <c r="K550" s="137">
        <f>IF(OR($H550="",$J550=""),"",ROUND($H550-$J550,2))</f>
        <v/>
      </c>
      <c r="L550" s="143" t="n"/>
    </row>
    <row r="551" ht="18" customHeight="1" s="102">
      <c r="A551" s="137">
        <f>IF($B551="","","TAH-"&amp;TEXT(ROW()-BaslangicSatir,"000000"))</f>
        <v/>
      </c>
      <c r="B551" s="143" t="n"/>
      <c r="C551" s="143" t="n"/>
      <c r="D551" s="143" t="n"/>
      <c r="E551" s="143" t="n"/>
      <c r="F551" s="143" t="n"/>
      <c r="G551" s="143" t="n"/>
      <c r="H551" s="143" t="n"/>
      <c r="I551" s="143" t="n"/>
      <c r="J551" s="137">
        <f>IF($H551="","",ROUND($H551*$I551,2))</f>
        <v/>
      </c>
      <c r="K551" s="137">
        <f>IF(OR($H551="",$J551=""),"",ROUND($H551-$J551,2))</f>
        <v/>
      </c>
      <c r="L551" s="143" t="n"/>
    </row>
    <row r="552" ht="18" customHeight="1" s="102">
      <c r="A552" s="137">
        <f>IF($B552="","","TAH-"&amp;TEXT(ROW()-BaslangicSatir,"000000"))</f>
        <v/>
      </c>
      <c r="B552" s="143" t="n"/>
      <c r="C552" s="143" t="n"/>
      <c r="D552" s="143" t="n"/>
      <c r="E552" s="143" t="n"/>
      <c r="F552" s="143" t="n"/>
      <c r="G552" s="143" t="n"/>
      <c r="H552" s="143" t="n"/>
      <c r="I552" s="143" t="n"/>
      <c r="J552" s="137">
        <f>IF($H552="","",ROUND($H552*$I552,2))</f>
        <v/>
      </c>
      <c r="K552" s="137">
        <f>IF(OR($H552="",$J552=""),"",ROUND($H552-$J552,2))</f>
        <v/>
      </c>
      <c r="L552" s="143" t="n"/>
    </row>
    <row r="553" ht="18" customHeight="1" s="102">
      <c r="A553" s="137">
        <f>IF($B553="","","TAH-"&amp;TEXT(ROW()-BaslangicSatir,"000000"))</f>
        <v/>
      </c>
      <c r="B553" s="143" t="n"/>
      <c r="C553" s="143" t="n"/>
      <c r="D553" s="143" t="n"/>
      <c r="E553" s="143" t="n"/>
      <c r="F553" s="143" t="n"/>
      <c r="G553" s="143" t="n"/>
      <c r="H553" s="143" t="n"/>
      <c r="I553" s="143" t="n"/>
      <c r="J553" s="137">
        <f>IF($H553="","",ROUND($H553*$I553,2))</f>
        <v/>
      </c>
      <c r="K553" s="137">
        <f>IF(OR($H553="",$J553=""),"",ROUND($H553-$J553,2))</f>
        <v/>
      </c>
      <c r="L553" s="143" t="n"/>
    </row>
    <row r="554" ht="18" customHeight="1" s="102">
      <c r="A554" s="137">
        <f>IF($B554="","","TAH-"&amp;TEXT(ROW()-BaslangicSatir,"000000"))</f>
        <v/>
      </c>
      <c r="B554" s="143" t="n"/>
      <c r="C554" s="143" t="n"/>
      <c r="D554" s="143" t="n"/>
      <c r="E554" s="143" t="n"/>
      <c r="F554" s="143" t="n"/>
      <c r="G554" s="143" t="n"/>
      <c r="H554" s="143" t="n"/>
      <c r="I554" s="143" t="n"/>
      <c r="J554" s="137">
        <f>IF($H554="","",ROUND($H554*$I554,2))</f>
        <v/>
      </c>
      <c r="K554" s="137">
        <f>IF(OR($H554="",$J554=""),"",ROUND($H554-$J554,2))</f>
        <v/>
      </c>
      <c r="L554" s="143" t="n"/>
    </row>
    <row r="555" ht="18" customHeight="1" s="102">
      <c r="A555" s="137">
        <f>IF($B555="","","TAH-"&amp;TEXT(ROW()-BaslangicSatir,"000000"))</f>
        <v/>
      </c>
      <c r="B555" s="143" t="n"/>
      <c r="C555" s="143" t="n"/>
      <c r="D555" s="143" t="n"/>
      <c r="E555" s="143" t="n"/>
      <c r="F555" s="143" t="n"/>
      <c r="G555" s="143" t="n"/>
      <c r="H555" s="143" t="n"/>
      <c r="I555" s="143" t="n"/>
      <c r="J555" s="137">
        <f>IF($H555="","",ROUND($H555*$I555,2))</f>
        <v/>
      </c>
      <c r="K555" s="137">
        <f>IF(OR($H555="",$J555=""),"",ROUND($H555-$J555,2))</f>
        <v/>
      </c>
      <c r="L555" s="143" t="n"/>
    </row>
    <row r="556" ht="18" customHeight="1" s="102">
      <c r="A556" s="137">
        <f>IF($B556="","","TAH-"&amp;TEXT(ROW()-BaslangicSatir,"000000"))</f>
        <v/>
      </c>
      <c r="B556" s="143" t="n"/>
      <c r="C556" s="143" t="n"/>
      <c r="D556" s="143" t="n"/>
      <c r="E556" s="143" t="n"/>
      <c r="F556" s="143" t="n"/>
      <c r="G556" s="143" t="n"/>
      <c r="H556" s="143" t="n"/>
      <c r="I556" s="143" t="n"/>
      <c r="J556" s="137">
        <f>IF($H556="","",ROUND($H556*$I556,2))</f>
        <v/>
      </c>
      <c r="K556" s="137">
        <f>IF(OR($H556="",$J556=""),"",ROUND($H556-$J556,2))</f>
        <v/>
      </c>
      <c r="L556" s="143" t="n"/>
    </row>
    <row r="557" ht="18" customHeight="1" s="102">
      <c r="A557" s="137">
        <f>IF($B557="","","TAH-"&amp;TEXT(ROW()-BaslangicSatir,"000000"))</f>
        <v/>
      </c>
      <c r="B557" s="143" t="n"/>
      <c r="C557" s="143" t="n"/>
      <c r="D557" s="143" t="n"/>
      <c r="E557" s="143" t="n"/>
      <c r="F557" s="143" t="n"/>
      <c r="G557" s="143" t="n"/>
      <c r="H557" s="143" t="n"/>
      <c r="I557" s="143" t="n"/>
      <c r="J557" s="137">
        <f>IF($H557="","",ROUND($H557*$I557,2))</f>
        <v/>
      </c>
      <c r="K557" s="137">
        <f>IF(OR($H557="",$J557=""),"",ROUND($H557-$J557,2))</f>
        <v/>
      </c>
      <c r="L557" s="143" t="n"/>
    </row>
    <row r="558" ht="18" customHeight="1" s="102">
      <c r="A558" s="137">
        <f>IF($B558="","","TAH-"&amp;TEXT(ROW()-BaslangicSatir,"000000"))</f>
        <v/>
      </c>
      <c r="B558" s="143" t="n"/>
      <c r="C558" s="143" t="n"/>
      <c r="D558" s="143" t="n"/>
      <c r="E558" s="143" t="n"/>
      <c r="F558" s="143" t="n"/>
      <c r="G558" s="143" t="n"/>
      <c r="H558" s="143" t="n"/>
      <c r="I558" s="143" t="n"/>
      <c r="J558" s="137">
        <f>IF($H558="","",ROUND($H558*$I558,2))</f>
        <v/>
      </c>
      <c r="K558" s="137">
        <f>IF(OR($H558="",$J558=""),"",ROUND($H558-$J558,2))</f>
        <v/>
      </c>
      <c r="L558" s="143" t="n"/>
    </row>
    <row r="559" ht="18" customHeight="1" s="102">
      <c r="A559" s="137">
        <f>IF($B559="","","TAH-"&amp;TEXT(ROW()-BaslangicSatir,"000000"))</f>
        <v/>
      </c>
      <c r="B559" s="143" t="n"/>
      <c r="C559" s="143" t="n"/>
      <c r="D559" s="143" t="n"/>
      <c r="E559" s="143" t="n"/>
      <c r="F559" s="143" t="n"/>
      <c r="G559" s="143" t="n"/>
      <c r="H559" s="143" t="n"/>
      <c r="I559" s="143" t="n"/>
      <c r="J559" s="137">
        <f>IF($H559="","",ROUND($H559*$I559,2))</f>
        <v/>
      </c>
      <c r="K559" s="137">
        <f>IF(OR($H559="",$J559=""),"",ROUND($H559-$J559,2))</f>
        <v/>
      </c>
      <c r="L559" s="143" t="n"/>
    </row>
    <row r="560" ht="18" customHeight="1" s="102">
      <c r="A560" s="137">
        <f>IF($B560="","","TAH-"&amp;TEXT(ROW()-BaslangicSatir,"000000"))</f>
        <v/>
      </c>
      <c r="B560" s="143" t="n"/>
      <c r="C560" s="143" t="n"/>
      <c r="D560" s="143" t="n"/>
      <c r="E560" s="143" t="n"/>
      <c r="F560" s="143" t="n"/>
      <c r="G560" s="143" t="n"/>
      <c r="H560" s="143" t="n"/>
      <c r="I560" s="143" t="n"/>
      <c r="J560" s="137">
        <f>IF($H560="","",ROUND($H560*$I560,2))</f>
        <v/>
      </c>
      <c r="K560" s="137">
        <f>IF(OR($H560="",$J560=""),"",ROUND($H560-$J560,2))</f>
        <v/>
      </c>
      <c r="L560" s="143" t="n"/>
    </row>
    <row r="561" ht="18" customHeight="1" s="102">
      <c r="A561" s="137">
        <f>IF($B561="","","TAH-"&amp;TEXT(ROW()-BaslangicSatir,"000000"))</f>
        <v/>
      </c>
      <c r="B561" s="143" t="n"/>
      <c r="C561" s="143" t="n"/>
      <c r="D561" s="143" t="n"/>
      <c r="E561" s="143" t="n"/>
      <c r="F561" s="143" t="n"/>
      <c r="G561" s="143" t="n"/>
      <c r="H561" s="143" t="n"/>
      <c r="I561" s="143" t="n"/>
      <c r="J561" s="137">
        <f>IF($H561="","",ROUND($H561*$I561,2))</f>
        <v/>
      </c>
      <c r="K561" s="137">
        <f>IF(OR($H561="",$J561=""),"",ROUND($H561-$J561,2))</f>
        <v/>
      </c>
      <c r="L561" s="143" t="n"/>
    </row>
    <row r="562" ht="18" customHeight="1" s="102">
      <c r="A562" s="137">
        <f>IF($B562="","","TAH-"&amp;TEXT(ROW()-BaslangicSatir,"000000"))</f>
        <v/>
      </c>
      <c r="B562" s="143" t="n"/>
      <c r="C562" s="143" t="n"/>
      <c r="D562" s="143" t="n"/>
      <c r="E562" s="143" t="n"/>
      <c r="F562" s="143" t="n"/>
      <c r="G562" s="143" t="n"/>
      <c r="H562" s="143" t="n"/>
      <c r="I562" s="143" t="n"/>
      <c r="J562" s="137">
        <f>IF($H562="","",ROUND($H562*$I562,2))</f>
        <v/>
      </c>
      <c r="K562" s="137">
        <f>IF(OR($H562="",$J562=""),"",ROUND($H562-$J562,2))</f>
        <v/>
      </c>
      <c r="L562" s="143" t="n"/>
    </row>
    <row r="563" ht="18" customHeight="1" s="102">
      <c r="A563" s="137">
        <f>IF($B563="","","TAH-"&amp;TEXT(ROW()-BaslangicSatir,"000000"))</f>
        <v/>
      </c>
      <c r="B563" s="143" t="n"/>
      <c r="C563" s="143" t="n"/>
      <c r="D563" s="143" t="n"/>
      <c r="E563" s="143" t="n"/>
      <c r="F563" s="143" t="n"/>
      <c r="G563" s="143" t="n"/>
      <c r="H563" s="143" t="n"/>
      <c r="I563" s="143" t="n"/>
      <c r="J563" s="137">
        <f>IF($H563="","",ROUND($H563*$I563,2))</f>
        <v/>
      </c>
      <c r="K563" s="137">
        <f>IF(OR($H563="",$J563=""),"",ROUND($H563-$J563,2))</f>
        <v/>
      </c>
      <c r="L563" s="143" t="n"/>
    </row>
    <row r="564" ht="18" customHeight="1" s="102">
      <c r="A564" s="137">
        <f>IF($B564="","","TAH-"&amp;TEXT(ROW()-BaslangicSatir,"000000"))</f>
        <v/>
      </c>
      <c r="B564" s="143" t="n"/>
      <c r="C564" s="143" t="n"/>
      <c r="D564" s="143" t="n"/>
      <c r="E564" s="143" t="n"/>
      <c r="F564" s="143" t="n"/>
      <c r="G564" s="143" t="n"/>
      <c r="H564" s="143" t="n"/>
      <c r="I564" s="143" t="n"/>
      <c r="J564" s="137">
        <f>IF($H564="","",ROUND($H564*$I564,2))</f>
        <v/>
      </c>
      <c r="K564" s="137">
        <f>IF(OR($H564="",$J564=""),"",ROUND($H564-$J564,2))</f>
        <v/>
      </c>
      <c r="L564" s="143" t="n"/>
    </row>
    <row r="565" ht="18" customHeight="1" s="102">
      <c r="A565" s="137">
        <f>IF($B565="","","TAH-"&amp;TEXT(ROW()-BaslangicSatir,"000000"))</f>
        <v/>
      </c>
      <c r="B565" s="143" t="n"/>
      <c r="C565" s="143" t="n"/>
      <c r="D565" s="143" t="n"/>
      <c r="E565" s="143" t="n"/>
      <c r="F565" s="143" t="n"/>
      <c r="G565" s="143" t="n"/>
      <c r="H565" s="143" t="n"/>
      <c r="I565" s="143" t="n"/>
      <c r="J565" s="137">
        <f>IF($H565="","",ROUND($H565*$I565,2))</f>
        <v/>
      </c>
      <c r="K565" s="137">
        <f>IF(OR($H565="",$J565=""),"",ROUND($H565-$J565,2))</f>
        <v/>
      </c>
      <c r="L565" s="143" t="n"/>
    </row>
    <row r="566" ht="18" customHeight="1" s="102">
      <c r="A566" s="137">
        <f>IF($B566="","","TAH-"&amp;TEXT(ROW()-BaslangicSatir,"000000"))</f>
        <v/>
      </c>
      <c r="B566" s="143" t="n"/>
      <c r="C566" s="143" t="n"/>
      <c r="D566" s="143" t="n"/>
      <c r="E566" s="143" t="n"/>
      <c r="F566" s="143" t="n"/>
      <c r="G566" s="143" t="n"/>
      <c r="H566" s="143" t="n"/>
      <c r="I566" s="143" t="n"/>
      <c r="J566" s="137">
        <f>IF($H566="","",ROUND($H566*$I566,2))</f>
        <v/>
      </c>
      <c r="K566" s="137">
        <f>IF(OR($H566="",$J566=""),"",ROUND($H566-$J566,2))</f>
        <v/>
      </c>
      <c r="L566" s="143" t="n"/>
    </row>
    <row r="567" ht="18" customHeight="1" s="102">
      <c r="A567" s="137">
        <f>IF($B567="","","TAH-"&amp;TEXT(ROW()-BaslangicSatir,"000000"))</f>
        <v/>
      </c>
      <c r="B567" s="143" t="n"/>
      <c r="C567" s="143" t="n"/>
      <c r="D567" s="143" t="n"/>
      <c r="E567" s="143" t="n"/>
      <c r="F567" s="143" t="n"/>
      <c r="G567" s="143" t="n"/>
      <c r="H567" s="143" t="n"/>
      <c r="I567" s="143" t="n"/>
      <c r="J567" s="137">
        <f>IF($H567="","",ROUND($H567*$I567,2))</f>
        <v/>
      </c>
      <c r="K567" s="137">
        <f>IF(OR($H567="",$J567=""),"",ROUND($H567-$J567,2))</f>
        <v/>
      </c>
      <c r="L567" s="143" t="n"/>
    </row>
    <row r="568" ht="18" customHeight="1" s="102">
      <c r="A568" s="137">
        <f>IF($B568="","","TAH-"&amp;TEXT(ROW()-BaslangicSatir,"000000"))</f>
        <v/>
      </c>
      <c r="B568" s="143" t="n"/>
      <c r="C568" s="143" t="n"/>
      <c r="D568" s="143" t="n"/>
      <c r="E568" s="143" t="n"/>
      <c r="F568" s="143" t="n"/>
      <c r="G568" s="143" t="n"/>
      <c r="H568" s="143" t="n"/>
      <c r="I568" s="143" t="n"/>
      <c r="J568" s="137">
        <f>IF($H568="","",ROUND($H568*$I568,2))</f>
        <v/>
      </c>
      <c r="K568" s="137">
        <f>IF(OR($H568="",$J568=""),"",ROUND($H568-$J568,2))</f>
        <v/>
      </c>
      <c r="L568" s="143" t="n"/>
    </row>
    <row r="569" ht="18" customHeight="1" s="102">
      <c r="A569" s="137">
        <f>IF($B569="","","TAH-"&amp;TEXT(ROW()-BaslangicSatir,"000000"))</f>
        <v/>
      </c>
      <c r="B569" s="143" t="n"/>
      <c r="C569" s="143" t="n"/>
      <c r="D569" s="143" t="n"/>
      <c r="E569" s="143" t="n"/>
      <c r="F569" s="143" t="n"/>
      <c r="G569" s="143" t="n"/>
      <c r="H569" s="143" t="n"/>
      <c r="I569" s="143" t="n"/>
      <c r="J569" s="137">
        <f>IF($H569="","",ROUND($H569*$I569,2))</f>
        <v/>
      </c>
      <c r="K569" s="137">
        <f>IF(OR($H569="",$J569=""),"",ROUND($H569-$J569,2))</f>
        <v/>
      </c>
      <c r="L569" s="143" t="n"/>
    </row>
    <row r="570" ht="18" customHeight="1" s="102">
      <c r="A570" s="137">
        <f>IF($B570="","","TAH-"&amp;TEXT(ROW()-BaslangicSatir,"000000"))</f>
        <v/>
      </c>
      <c r="B570" s="143" t="n"/>
      <c r="C570" s="143" t="n"/>
      <c r="D570" s="143" t="n"/>
      <c r="E570" s="143" t="n"/>
      <c r="F570" s="143" t="n"/>
      <c r="G570" s="143" t="n"/>
      <c r="H570" s="143" t="n"/>
      <c r="I570" s="143" t="n"/>
      <c r="J570" s="137">
        <f>IF($H570="","",ROUND($H570*$I570,2))</f>
        <v/>
      </c>
      <c r="K570" s="137">
        <f>IF(OR($H570="",$J570=""),"",ROUND($H570-$J570,2))</f>
        <v/>
      </c>
      <c r="L570" s="143" t="n"/>
    </row>
    <row r="571" ht="18" customHeight="1" s="102">
      <c r="A571" s="137">
        <f>IF($B571="","","TAH-"&amp;TEXT(ROW()-BaslangicSatir,"000000"))</f>
        <v/>
      </c>
      <c r="B571" s="143" t="n"/>
      <c r="C571" s="143" t="n"/>
      <c r="D571" s="143" t="n"/>
      <c r="E571" s="143" t="n"/>
      <c r="F571" s="143" t="n"/>
      <c r="G571" s="143" t="n"/>
      <c r="H571" s="143" t="n"/>
      <c r="I571" s="143" t="n"/>
      <c r="J571" s="137">
        <f>IF($H571="","",ROUND($H571*$I571,2))</f>
        <v/>
      </c>
      <c r="K571" s="137">
        <f>IF(OR($H571="",$J571=""),"",ROUND($H571-$J571,2))</f>
        <v/>
      </c>
      <c r="L571" s="143" t="n"/>
    </row>
    <row r="572" ht="18" customHeight="1" s="102">
      <c r="A572" s="137">
        <f>IF($B572="","","TAH-"&amp;TEXT(ROW()-BaslangicSatir,"000000"))</f>
        <v/>
      </c>
      <c r="B572" s="143" t="n"/>
      <c r="C572" s="143" t="n"/>
      <c r="D572" s="143" t="n"/>
      <c r="E572" s="143" t="n"/>
      <c r="F572" s="143" t="n"/>
      <c r="G572" s="143" t="n"/>
      <c r="H572" s="143" t="n"/>
      <c r="I572" s="143" t="n"/>
      <c r="J572" s="137">
        <f>IF($H572="","",ROUND($H572*$I572,2))</f>
        <v/>
      </c>
      <c r="K572" s="137">
        <f>IF(OR($H572="",$J572=""),"",ROUND($H572-$J572,2))</f>
        <v/>
      </c>
      <c r="L572" s="143" t="n"/>
    </row>
    <row r="573" ht="18" customHeight="1" s="102">
      <c r="A573" s="137">
        <f>IF($B573="","","TAH-"&amp;TEXT(ROW()-BaslangicSatir,"000000"))</f>
        <v/>
      </c>
      <c r="B573" s="143" t="n"/>
      <c r="C573" s="143" t="n"/>
      <c r="D573" s="143" t="n"/>
      <c r="E573" s="143" t="n"/>
      <c r="F573" s="143" t="n"/>
      <c r="G573" s="143" t="n"/>
      <c r="H573" s="143" t="n"/>
      <c r="I573" s="143" t="n"/>
      <c r="J573" s="137">
        <f>IF($H573="","",ROUND($H573*$I573,2))</f>
        <v/>
      </c>
      <c r="K573" s="137">
        <f>IF(OR($H573="",$J573=""),"",ROUND($H573-$J573,2))</f>
        <v/>
      </c>
      <c r="L573" s="143" t="n"/>
    </row>
    <row r="574" ht="18" customHeight="1" s="102">
      <c r="A574" s="137">
        <f>IF($B574="","","TAH-"&amp;TEXT(ROW()-BaslangicSatir,"000000"))</f>
        <v/>
      </c>
      <c r="B574" s="143" t="n"/>
      <c r="C574" s="143" t="n"/>
      <c r="D574" s="143" t="n"/>
      <c r="E574" s="143" t="n"/>
      <c r="F574" s="143" t="n"/>
      <c r="G574" s="143" t="n"/>
      <c r="H574" s="143" t="n"/>
      <c r="I574" s="143" t="n"/>
      <c r="J574" s="137">
        <f>IF($H574="","",ROUND($H574*$I574,2))</f>
        <v/>
      </c>
      <c r="K574" s="137">
        <f>IF(OR($H574="",$J574=""),"",ROUND($H574-$J574,2))</f>
        <v/>
      </c>
      <c r="L574" s="143" t="n"/>
    </row>
    <row r="575" ht="18" customHeight="1" s="102">
      <c r="A575" s="137">
        <f>IF($B575="","","TAH-"&amp;TEXT(ROW()-BaslangicSatir,"000000"))</f>
        <v/>
      </c>
      <c r="B575" s="143" t="n"/>
      <c r="C575" s="143" t="n"/>
      <c r="D575" s="143" t="n"/>
      <c r="E575" s="143" t="n"/>
      <c r="F575" s="143" t="n"/>
      <c r="G575" s="143" t="n"/>
      <c r="H575" s="143" t="n"/>
      <c r="I575" s="143" t="n"/>
      <c r="J575" s="137">
        <f>IF($H575="","",ROUND($H575*$I575,2))</f>
        <v/>
      </c>
      <c r="K575" s="137">
        <f>IF(OR($H575="",$J575=""),"",ROUND($H575-$J575,2))</f>
        <v/>
      </c>
      <c r="L575" s="143" t="n"/>
    </row>
    <row r="576" ht="18" customHeight="1" s="102">
      <c r="A576" s="137">
        <f>IF($B576="","","TAH-"&amp;TEXT(ROW()-BaslangicSatir,"000000"))</f>
        <v/>
      </c>
      <c r="B576" s="143" t="n"/>
      <c r="C576" s="143" t="n"/>
      <c r="D576" s="143" t="n"/>
      <c r="E576" s="143" t="n"/>
      <c r="F576" s="143" t="n"/>
      <c r="G576" s="143" t="n"/>
      <c r="H576" s="143" t="n"/>
      <c r="I576" s="143" t="n"/>
      <c r="J576" s="137">
        <f>IF($H576="","",ROUND($H576*$I576,2))</f>
        <v/>
      </c>
      <c r="K576" s="137">
        <f>IF(OR($H576="",$J576=""),"",ROUND($H576-$J576,2))</f>
        <v/>
      </c>
      <c r="L576" s="143" t="n"/>
    </row>
    <row r="577" ht="18" customHeight="1" s="102">
      <c r="A577" s="137">
        <f>IF($B577="","","TAH-"&amp;TEXT(ROW()-BaslangicSatir,"000000"))</f>
        <v/>
      </c>
      <c r="B577" s="143" t="n"/>
      <c r="C577" s="143" t="n"/>
      <c r="D577" s="143" t="n"/>
      <c r="E577" s="143" t="n"/>
      <c r="F577" s="143" t="n"/>
      <c r="G577" s="143" t="n"/>
      <c r="H577" s="143" t="n"/>
      <c r="I577" s="143" t="n"/>
      <c r="J577" s="137">
        <f>IF($H577="","",ROUND($H577*$I577,2))</f>
        <v/>
      </c>
      <c r="K577" s="137">
        <f>IF(OR($H577="",$J577=""),"",ROUND($H577-$J577,2))</f>
        <v/>
      </c>
      <c r="L577" s="143" t="n"/>
    </row>
    <row r="578" ht="18" customHeight="1" s="102">
      <c r="A578" s="137">
        <f>IF($B578="","","TAH-"&amp;TEXT(ROW()-BaslangicSatir,"000000"))</f>
        <v/>
      </c>
      <c r="B578" s="143" t="n"/>
      <c r="C578" s="143" t="n"/>
      <c r="D578" s="143" t="n"/>
      <c r="E578" s="143" t="n"/>
      <c r="F578" s="143" t="n"/>
      <c r="G578" s="143" t="n"/>
      <c r="H578" s="143" t="n"/>
      <c r="I578" s="143" t="n"/>
      <c r="J578" s="137">
        <f>IF($H578="","",ROUND($H578*$I578,2))</f>
        <v/>
      </c>
      <c r="K578" s="137">
        <f>IF(OR($H578="",$J578=""),"",ROUND($H578-$J578,2))</f>
        <v/>
      </c>
      <c r="L578" s="143" t="n"/>
    </row>
    <row r="579" ht="18" customHeight="1" s="102">
      <c r="A579" s="137">
        <f>IF($B579="","","TAH-"&amp;TEXT(ROW()-BaslangicSatir,"000000"))</f>
        <v/>
      </c>
      <c r="B579" s="143" t="n"/>
      <c r="C579" s="143" t="n"/>
      <c r="D579" s="143" t="n"/>
      <c r="E579" s="143" t="n"/>
      <c r="F579" s="143" t="n"/>
      <c r="G579" s="143" t="n"/>
      <c r="H579" s="143" t="n"/>
      <c r="I579" s="143" t="n"/>
      <c r="J579" s="137">
        <f>IF($H579="","",ROUND($H579*$I579,2))</f>
        <v/>
      </c>
      <c r="K579" s="137">
        <f>IF(OR($H579="",$J579=""),"",ROUND($H579-$J579,2))</f>
        <v/>
      </c>
      <c r="L579" s="143" t="n"/>
    </row>
    <row r="580" ht="18" customHeight="1" s="102">
      <c r="A580" s="137">
        <f>IF($B580="","","TAH-"&amp;TEXT(ROW()-BaslangicSatir,"000000"))</f>
        <v/>
      </c>
      <c r="B580" s="143" t="n"/>
      <c r="C580" s="143" t="n"/>
      <c r="D580" s="143" t="n"/>
      <c r="E580" s="143" t="n"/>
      <c r="F580" s="143" t="n"/>
      <c r="G580" s="143" t="n"/>
      <c r="H580" s="143" t="n"/>
      <c r="I580" s="143" t="n"/>
      <c r="J580" s="137">
        <f>IF($H580="","",ROUND($H580*$I580,2))</f>
        <v/>
      </c>
      <c r="K580" s="137">
        <f>IF(OR($H580="",$J580=""),"",ROUND($H580-$J580,2))</f>
        <v/>
      </c>
      <c r="L580" s="143" t="n"/>
    </row>
    <row r="581" ht="18" customHeight="1" s="102">
      <c r="A581" s="137">
        <f>IF($B581="","","TAH-"&amp;TEXT(ROW()-BaslangicSatir,"000000"))</f>
        <v/>
      </c>
      <c r="B581" s="143" t="n"/>
      <c r="C581" s="143" t="n"/>
      <c r="D581" s="143" t="n"/>
      <c r="E581" s="143" t="n"/>
      <c r="F581" s="143" t="n"/>
      <c r="G581" s="143" t="n"/>
      <c r="H581" s="143" t="n"/>
      <c r="I581" s="143" t="n"/>
      <c r="J581" s="137">
        <f>IF($H581="","",ROUND($H581*$I581,2))</f>
        <v/>
      </c>
      <c r="K581" s="137">
        <f>IF(OR($H581="",$J581=""),"",ROUND($H581-$J581,2))</f>
        <v/>
      </c>
      <c r="L581" s="143" t="n"/>
    </row>
    <row r="582" ht="18" customHeight="1" s="102">
      <c r="A582" s="137">
        <f>IF($B582="","","TAH-"&amp;TEXT(ROW()-BaslangicSatir,"000000"))</f>
        <v/>
      </c>
      <c r="B582" s="143" t="n"/>
      <c r="C582" s="143" t="n"/>
      <c r="D582" s="143" t="n"/>
      <c r="E582" s="143" t="n"/>
      <c r="F582" s="143" t="n"/>
      <c r="G582" s="143" t="n"/>
      <c r="H582" s="143" t="n"/>
      <c r="I582" s="143" t="n"/>
      <c r="J582" s="137">
        <f>IF($H582="","",ROUND($H582*$I582,2))</f>
        <v/>
      </c>
      <c r="K582" s="137">
        <f>IF(OR($H582="",$J582=""),"",ROUND($H582-$J582,2))</f>
        <v/>
      </c>
      <c r="L582" s="143" t="n"/>
    </row>
    <row r="583" ht="18" customHeight="1" s="102">
      <c r="A583" s="137">
        <f>IF($B583="","","TAH-"&amp;TEXT(ROW()-BaslangicSatir,"000000"))</f>
        <v/>
      </c>
      <c r="B583" s="143" t="n"/>
      <c r="C583" s="143" t="n"/>
      <c r="D583" s="143" t="n"/>
      <c r="E583" s="143" t="n"/>
      <c r="F583" s="143" t="n"/>
      <c r="G583" s="143" t="n"/>
      <c r="H583" s="143" t="n"/>
      <c r="I583" s="143" t="n"/>
      <c r="J583" s="137">
        <f>IF($H583="","",ROUND($H583*$I583,2))</f>
        <v/>
      </c>
      <c r="K583" s="137">
        <f>IF(OR($H583="",$J583=""),"",ROUND($H583-$J583,2))</f>
        <v/>
      </c>
      <c r="L583" s="143" t="n"/>
    </row>
    <row r="584" ht="18" customHeight="1" s="102">
      <c r="A584" s="137">
        <f>IF($B584="","","TAH-"&amp;TEXT(ROW()-BaslangicSatir,"000000"))</f>
        <v/>
      </c>
      <c r="B584" s="143" t="n"/>
      <c r="C584" s="143" t="n"/>
      <c r="D584" s="143" t="n"/>
      <c r="E584" s="143" t="n"/>
      <c r="F584" s="143" t="n"/>
      <c r="G584" s="143" t="n"/>
      <c r="H584" s="143" t="n"/>
      <c r="I584" s="143" t="n"/>
      <c r="J584" s="137">
        <f>IF($H584="","",ROUND($H584*$I584,2))</f>
        <v/>
      </c>
      <c r="K584" s="137">
        <f>IF(OR($H584="",$J584=""),"",ROUND($H584-$J584,2))</f>
        <v/>
      </c>
      <c r="L584" s="143" t="n"/>
    </row>
    <row r="585" ht="18" customHeight="1" s="102">
      <c r="A585" s="137">
        <f>IF($B585="","","TAH-"&amp;TEXT(ROW()-BaslangicSatir,"000000"))</f>
        <v/>
      </c>
      <c r="B585" s="143" t="n"/>
      <c r="C585" s="143" t="n"/>
      <c r="D585" s="143" t="n"/>
      <c r="E585" s="143" t="n"/>
      <c r="F585" s="143" t="n"/>
      <c r="G585" s="143" t="n"/>
      <c r="H585" s="143" t="n"/>
      <c r="I585" s="143" t="n"/>
      <c r="J585" s="137">
        <f>IF($H585="","",ROUND($H585*$I585,2))</f>
        <v/>
      </c>
      <c r="K585" s="137">
        <f>IF(OR($H585="",$J585=""),"",ROUND($H585-$J585,2))</f>
        <v/>
      </c>
      <c r="L585" s="143" t="n"/>
    </row>
    <row r="586" ht="18" customHeight="1" s="102">
      <c r="A586" s="137">
        <f>IF($B586="","","TAH-"&amp;TEXT(ROW()-BaslangicSatir,"000000"))</f>
        <v/>
      </c>
      <c r="B586" s="143" t="n"/>
      <c r="C586" s="143" t="n"/>
      <c r="D586" s="143" t="n"/>
      <c r="E586" s="143" t="n"/>
      <c r="F586" s="143" t="n"/>
      <c r="G586" s="143" t="n"/>
      <c r="H586" s="143" t="n"/>
      <c r="I586" s="143" t="n"/>
      <c r="J586" s="137">
        <f>IF($H586="","",ROUND($H586*$I586,2))</f>
        <v/>
      </c>
      <c r="K586" s="137">
        <f>IF(OR($H586="",$J586=""),"",ROUND($H586-$J586,2))</f>
        <v/>
      </c>
      <c r="L586" s="143" t="n"/>
    </row>
    <row r="587" ht="18" customHeight="1" s="102">
      <c r="A587" s="137">
        <f>IF($B587="","","TAH-"&amp;TEXT(ROW()-BaslangicSatir,"000000"))</f>
        <v/>
      </c>
      <c r="B587" s="143" t="n"/>
      <c r="C587" s="143" t="n"/>
      <c r="D587" s="143" t="n"/>
      <c r="E587" s="143" t="n"/>
      <c r="F587" s="143" t="n"/>
      <c r="G587" s="143" t="n"/>
      <c r="H587" s="143" t="n"/>
      <c r="I587" s="143" t="n"/>
      <c r="J587" s="137">
        <f>IF($H587="","",ROUND($H587*$I587,2))</f>
        <v/>
      </c>
      <c r="K587" s="137">
        <f>IF(OR($H587="",$J587=""),"",ROUND($H587-$J587,2))</f>
        <v/>
      </c>
      <c r="L587" s="143" t="n"/>
    </row>
    <row r="588" ht="18" customHeight="1" s="102">
      <c r="A588" s="137">
        <f>IF($B588="","","TAH-"&amp;TEXT(ROW()-BaslangicSatir,"000000"))</f>
        <v/>
      </c>
      <c r="B588" s="143" t="n"/>
      <c r="C588" s="143" t="n"/>
      <c r="D588" s="143" t="n"/>
      <c r="E588" s="143" t="n"/>
      <c r="F588" s="143" t="n"/>
      <c r="G588" s="143" t="n"/>
      <c r="H588" s="143" t="n"/>
      <c r="I588" s="143" t="n"/>
      <c r="J588" s="137">
        <f>IF($H588="","",ROUND($H588*$I588,2))</f>
        <v/>
      </c>
      <c r="K588" s="137">
        <f>IF(OR($H588="",$J588=""),"",ROUND($H588-$J588,2))</f>
        <v/>
      </c>
      <c r="L588" s="143" t="n"/>
    </row>
    <row r="589" ht="18" customHeight="1" s="102">
      <c r="A589" s="137">
        <f>IF($B589="","","TAH-"&amp;TEXT(ROW()-BaslangicSatir,"000000"))</f>
        <v/>
      </c>
      <c r="B589" s="143" t="n"/>
      <c r="C589" s="143" t="n"/>
      <c r="D589" s="143" t="n"/>
      <c r="E589" s="143" t="n"/>
      <c r="F589" s="143" t="n"/>
      <c r="G589" s="143" t="n"/>
      <c r="H589" s="143" t="n"/>
      <c r="I589" s="143" t="n"/>
      <c r="J589" s="137">
        <f>IF($H589="","",ROUND($H589*$I589,2))</f>
        <v/>
      </c>
      <c r="K589" s="137">
        <f>IF(OR($H589="",$J589=""),"",ROUND($H589-$J589,2))</f>
        <v/>
      </c>
      <c r="L589" s="143" t="n"/>
    </row>
    <row r="590" ht="18" customHeight="1" s="102">
      <c r="A590" s="137">
        <f>IF($B590="","","TAH-"&amp;TEXT(ROW()-BaslangicSatir,"000000"))</f>
        <v/>
      </c>
      <c r="B590" s="143" t="n"/>
      <c r="C590" s="143" t="n"/>
      <c r="D590" s="143" t="n"/>
      <c r="E590" s="143" t="n"/>
      <c r="F590" s="143" t="n"/>
      <c r="G590" s="143" t="n"/>
      <c r="H590" s="143" t="n"/>
      <c r="I590" s="143" t="n"/>
      <c r="J590" s="137">
        <f>IF($H590="","",ROUND($H590*$I590,2))</f>
        <v/>
      </c>
      <c r="K590" s="137">
        <f>IF(OR($H590="",$J590=""),"",ROUND($H590-$J590,2))</f>
        <v/>
      </c>
      <c r="L590" s="143" t="n"/>
    </row>
    <row r="591" ht="18" customHeight="1" s="102">
      <c r="A591" s="137">
        <f>IF($B591="","","TAH-"&amp;TEXT(ROW()-BaslangicSatir,"000000"))</f>
        <v/>
      </c>
      <c r="B591" s="143" t="n"/>
      <c r="C591" s="143" t="n"/>
      <c r="D591" s="143" t="n"/>
      <c r="E591" s="143" t="n"/>
      <c r="F591" s="143" t="n"/>
      <c r="G591" s="143" t="n"/>
      <c r="H591" s="143" t="n"/>
      <c r="I591" s="143" t="n"/>
      <c r="J591" s="137">
        <f>IF($H591="","",ROUND($H591*$I591,2))</f>
        <v/>
      </c>
      <c r="K591" s="137">
        <f>IF(OR($H591="",$J591=""),"",ROUND($H591-$J591,2))</f>
        <v/>
      </c>
      <c r="L591" s="143" t="n"/>
    </row>
    <row r="592" ht="18" customHeight="1" s="102">
      <c r="A592" s="137">
        <f>IF($B592="","","TAH-"&amp;TEXT(ROW()-BaslangicSatir,"000000"))</f>
        <v/>
      </c>
      <c r="B592" s="143" t="n"/>
      <c r="C592" s="143" t="n"/>
      <c r="D592" s="143" t="n"/>
      <c r="E592" s="143" t="n"/>
      <c r="F592" s="143" t="n"/>
      <c r="G592" s="143" t="n"/>
      <c r="H592" s="143" t="n"/>
      <c r="I592" s="143" t="n"/>
      <c r="J592" s="137">
        <f>IF($H592="","",ROUND($H592*$I592,2))</f>
        <v/>
      </c>
      <c r="K592" s="137">
        <f>IF(OR($H592="",$J592=""),"",ROUND($H592-$J592,2))</f>
        <v/>
      </c>
      <c r="L592" s="143" t="n"/>
    </row>
    <row r="593" ht="18" customHeight="1" s="102">
      <c r="A593" s="137">
        <f>IF($B593="","","TAH-"&amp;TEXT(ROW()-BaslangicSatir,"000000"))</f>
        <v/>
      </c>
      <c r="B593" s="143" t="n"/>
      <c r="C593" s="143" t="n"/>
      <c r="D593" s="143" t="n"/>
      <c r="E593" s="143" t="n"/>
      <c r="F593" s="143" t="n"/>
      <c r="G593" s="143" t="n"/>
      <c r="H593" s="143" t="n"/>
      <c r="I593" s="143" t="n"/>
      <c r="J593" s="137">
        <f>IF($H593="","",ROUND($H593*$I593,2))</f>
        <v/>
      </c>
      <c r="K593" s="137">
        <f>IF(OR($H593="",$J593=""),"",ROUND($H593-$J593,2))</f>
        <v/>
      </c>
      <c r="L593" s="143" t="n"/>
    </row>
    <row r="594" ht="18" customHeight="1" s="102">
      <c r="A594" s="137">
        <f>IF($B594="","","TAH-"&amp;TEXT(ROW()-BaslangicSatir,"000000"))</f>
        <v/>
      </c>
      <c r="B594" s="143" t="n"/>
      <c r="C594" s="143" t="n"/>
      <c r="D594" s="143" t="n"/>
      <c r="E594" s="143" t="n"/>
      <c r="F594" s="143" t="n"/>
      <c r="G594" s="143" t="n"/>
      <c r="H594" s="143" t="n"/>
      <c r="I594" s="143" t="n"/>
      <c r="J594" s="137">
        <f>IF($H594="","",ROUND($H594*$I594,2))</f>
        <v/>
      </c>
      <c r="K594" s="137">
        <f>IF(OR($H594="",$J594=""),"",ROUND($H594-$J594,2))</f>
        <v/>
      </c>
      <c r="L594" s="143" t="n"/>
    </row>
    <row r="595" ht="18" customHeight="1" s="102">
      <c r="A595" s="137">
        <f>IF($B595="","","TAH-"&amp;TEXT(ROW()-BaslangicSatir,"000000"))</f>
        <v/>
      </c>
      <c r="B595" s="143" t="n"/>
      <c r="C595" s="143" t="n"/>
      <c r="D595" s="143" t="n"/>
      <c r="E595" s="143" t="n"/>
      <c r="F595" s="143" t="n"/>
      <c r="G595" s="143" t="n"/>
      <c r="H595" s="143" t="n"/>
      <c r="I595" s="143" t="n"/>
      <c r="J595" s="137">
        <f>IF($H595="","",ROUND($H595*$I595,2))</f>
        <v/>
      </c>
      <c r="K595" s="137">
        <f>IF(OR($H595="",$J595=""),"",ROUND($H595-$J595,2))</f>
        <v/>
      </c>
      <c r="L595" s="143" t="n"/>
    </row>
    <row r="596" ht="18" customHeight="1" s="102">
      <c r="A596" s="137">
        <f>IF($B596="","","TAH-"&amp;TEXT(ROW()-BaslangicSatir,"000000"))</f>
        <v/>
      </c>
      <c r="B596" s="143" t="n"/>
      <c r="C596" s="143" t="n"/>
      <c r="D596" s="143" t="n"/>
      <c r="E596" s="143" t="n"/>
      <c r="F596" s="143" t="n"/>
      <c r="G596" s="143" t="n"/>
      <c r="H596" s="143" t="n"/>
      <c r="I596" s="143" t="n"/>
      <c r="J596" s="137">
        <f>IF($H596="","",ROUND($H596*$I596,2))</f>
        <v/>
      </c>
      <c r="K596" s="137">
        <f>IF(OR($H596="",$J596=""),"",ROUND($H596-$J596,2))</f>
        <v/>
      </c>
      <c r="L596" s="143" t="n"/>
    </row>
    <row r="597" ht="18" customHeight="1" s="102">
      <c r="A597" s="137">
        <f>IF($B597="","","TAH-"&amp;TEXT(ROW()-BaslangicSatir,"000000"))</f>
        <v/>
      </c>
      <c r="B597" s="143" t="n"/>
      <c r="C597" s="143" t="n"/>
      <c r="D597" s="143" t="n"/>
      <c r="E597" s="143" t="n"/>
      <c r="F597" s="143" t="n"/>
      <c r="G597" s="143" t="n"/>
      <c r="H597" s="143" t="n"/>
      <c r="I597" s="143" t="n"/>
      <c r="J597" s="137">
        <f>IF($H597="","",ROUND($H597*$I597,2))</f>
        <v/>
      </c>
      <c r="K597" s="137">
        <f>IF(OR($H597="",$J597=""),"",ROUND($H597-$J597,2))</f>
        <v/>
      </c>
      <c r="L597" s="143" t="n"/>
    </row>
    <row r="598" ht="18" customHeight="1" s="102">
      <c r="A598" s="137">
        <f>IF($B598="","","TAH-"&amp;TEXT(ROW()-BaslangicSatir,"000000"))</f>
        <v/>
      </c>
      <c r="B598" s="143" t="n"/>
      <c r="C598" s="143" t="n"/>
      <c r="D598" s="143" t="n"/>
      <c r="E598" s="143" t="n"/>
      <c r="F598" s="143" t="n"/>
      <c r="G598" s="143" t="n"/>
      <c r="H598" s="143" t="n"/>
      <c r="I598" s="143" t="n"/>
      <c r="J598" s="137">
        <f>IF($H598="","",ROUND($H598*$I598,2))</f>
        <v/>
      </c>
      <c r="K598" s="137">
        <f>IF(OR($H598="",$J598=""),"",ROUND($H598-$J598,2))</f>
        <v/>
      </c>
      <c r="L598" s="143" t="n"/>
    </row>
    <row r="599" ht="18" customHeight="1" s="102">
      <c r="A599" s="137">
        <f>IF($B599="","","TAH-"&amp;TEXT(ROW()-BaslangicSatir,"000000"))</f>
        <v/>
      </c>
      <c r="B599" s="143" t="n"/>
      <c r="C599" s="143" t="n"/>
      <c r="D599" s="143" t="n"/>
      <c r="E599" s="143" t="n"/>
      <c r="F599" s="143" t="n"/>
      <c r="G599" s="143" t="n"/>
      <c r="H599" s="143" t="n"/>
      <c r="I599" s="143" t="n"/>
      <c r="J599" s="137">
        <f>IF($H599="","",ROUND($H599*$I599,2))</f>
        <v/>
      </c>
      <c r="K599" s="137">
        <f>IF(OR($H599="",$J599=""),"",ROUND($H599-$J599,2))</f>
        <v/>
      </c>
      <c r="L599" s="143" t="n"/>
    </row>
    <row r="600" ht="18" customHeight="1" s="102">
      <c r="A600" s="137">
        <f>IF($B600="","","TAH-"&amp;TEXT(ROW()-BaslangicSatir,"000000"))</f>
        <v/>
      </c>
      <c r="B600" s="143" t="n"/>
      <c r="C600" s="143" t="n"/>
      <c r="D600" s="143" t="n"/>
      <c r="E600" s="143" t="n"/>
      <c r="F600" s="143" t="n"/>
      <c r="G600" s="143" t="n"/>
      <c r="H600" s="143" t="n"/>
      <c r="I600" s="143" t="n"/>
      <c r="J600" s="137">
        <f>IF($H600="","",ROUND($H600*$I600,2))</f>
        <v/>
      </c>
      <c r="K600" s="137">
        <f>IF(OR($H600="",$J600=""),"",ROUND($H600-$J600,2))</f>
        <v/>
      </c>
      <c r="L600" s="143" t="n"/>
    </row>
    <row r="601" ht="18" customHeight="1" s="102">
      <c r="A601" s="137">
        <f>IF($B601="","","TAH-"&amp;TEXT(ROW()-BaslangicSatir,"000000"))</f>
        <v/>
      </c>
      <c r="B601" s="143" t="n"/>
      <c r="C601" s="143" t="n"/>
      <c r="D601" s="143" t="n"/>
      <c r="E601" s="143" t="n"/>
      <c r="F601" s="143" t="n"/>
      <c r="G601" s="143" t="n"/>
      <c r="H601" s="143" t="n"/>
      <c r="I601" s="143" t="n"/>
      <c r="J601" s="137">
        <f>IF($H601="","",ROUND($H601*$I601,2))</f>
        <v/>
      </c>
      <c r="K601" s="137">
        <f>IF(OR($H601="",$J601=""),"",ROUND($H601-$J601,2))</f>
        <v/>
      </c>
      <c r="L601" s="143" t="n"/>
    </row>
    <row r="602" ht="18" customHeight="1" s="102">
      <c r="A602" s="137">
        <f>IF($B602="","","TAH-"&amp;TEXT(ROW()-BaslangicSatir,"000000"))</f>
        <v/>
      </c>
      <c r="B602" s="143" t="n"/>
      <c r="C602" s="143" t="n"/>
      <c r="D602" s="143" t="n"/>
      <c r="E602" s="143" t="n"/>
      <c r="F602" s="143" t="n"/>
      <c r="G602" s="143" t="n"/>
      <c r="H602" s="143" t="n"/>
      <c r="I602" s="143" t="n"/>
      <c r="J602" s="137">
        <f>IF($H602="","",ROUND($H602*$I602,2))</f>
        <v/>
      </c>
      <c r="K602" s="137">
        <f>IF(OR($H602="",$J602=""),"",ROUND($H602-$J602,2))</f>
        <v/>
      </c>
      <c r="L602" s="143" t="n"/>
    </row>
    <row r="603" ht="18" customHeight="1" s="102">
      <c r="A603" s="137">
        <f>IF($B603="","","TAH-"&amp;TEXT(ROW()-BaslangicSatir,"000000"))</f>
        <v/>
      </c>
      <c r="B603" s="143" t="n"/>
      <c r="C603" s="143" t="n"/>
      <c r="D603" s="143" t="n"/>
      <c r="E603" s="143" t="n"/>
      <c r="F603" s="143" t="n"/>
      <c r="G603" s="143" t="n"/>
      <c r="H603" s="143" t="n"/>
      <c r="I603" s="143" t="n"/>
      <c r="J603" s="137">
        <f>IF($H603="","",ROUND($H603*$I603,2))</f>
        <v/>
      </c>
      <c r="K603" s="137">
        <f>IF(OR($H603="",$J603=""),"",ROUND($H603-$J603,2))</f>
        <v/>
      </c>
      <c r="L603" s="143" t="n"/>
    </row>
    <row r="604" ht="18" customHeight="1" s="102">
      <c r="A604" s="137">
        <f>IF($B604="","","TAH-"&amp;TEXT(ROW()-BaslangicSatir,"000000"))</f>
        <v/>
      </c>
      <c r="B604" s="143" t="n"/>
      <c r="C604" s="143" t="n"/>
      <c r="D604" s="143" t="n"/>
      <c r="E604" s="143" t="n"/>
      <c r="F604" s="143" t="n"/>
      <c r="G604" s="143" t="n"/>
      <c r="H604" s="143" t="n"/>
      <c r="I604" s="143" t="n"/>
      <c r="J604" s="137">
        <f>IF($H604="","",ROUND($H604*$I604,2))</f>
        <v/>
      </c>
      <c r="K604" s="137">
        <f>IF(OR($H604="",$J604=""),"",ROUND($H604-$J604,2))</f>
        <v/>
      </c>
      <c r="L604" s="143" t="n"/>
    </row>
    <row r="605" ht="18" customHeight="1" s="102">
      <c r="A605" s="137">
        <f>IF($B605="","","TAH-"&amp;TEXT(ROW()-BaslangicSatir,"000000"))</f>
        <v/>
      </c>
      <c r="B605" s="143" t="n"/>
      <c r="C605" s="143" t="n"/>
      <c r="D605" s="143" t="n"/>
      <c r="E605" s="143" t="n"/>
      <c r="F605" s="143" t="n"/>
      <c r="G605" s="143" t="n"/>
      <c r="H605" s="143" t="n"/>
      <c r="I605" s="143" t="n"/>
      <c r="J605" s="137">
        <f>IF($H605="","",ROUND($H605*$I605,2))</f>
        <v/>
      </c>
      <c r="K605" s="137">
        <f>IF(OR($H605="",$J605=""),"",ROUND($H605-$J605,2))</f>
        <v/>
      </c>
      <c r="L605" s="143" t="n"/>
    </row>
    <row r="606" ht="18" customHeight="1" s="102">
      <c r="A606" s="137">
        <f>IF($B606="","","TAH-"&amp;TEXT(ROW()-BaslangicSatir,"000000"))</f>
        <v/>
      </c>
      <c r="B606" s="143" t="n"/>
      <c r="C606" s="143" t="n"/>
      <c r="D606" s="143" t="n"/>
      <c r="E606" s="143" t="n"/>
      <c r="F606" s="143" t="n"/>
      <c r="G606" s="143" t="n"/>
      <c r="H606" s="143" t="n"/>
      <c r="I606" s="143" t="n"/>
      <c r="J606" s="137">
        <f>IF($H606="","",ROUND($H606*$I606,2))</f>
        <v/>
      </c>
      <c r="K606" s="137">
        <f>IF(OR($H606="",$J606=""),"",ROUND($H606-$J606,2))</f>
        <v/>
      </c>
      <c r="L606" s="143" t="n"/>
    </row>
    <row r="607" ht="18" customHeight="1" s="102">
      <c r="A607" s="137">
        <f>IF($B607="","","TAH-"&amp;TEXT(ROW()-BaslangicSatir,"000000"))</f>
        <v/>
      </c>
      <c r="B607" s="143" t="n"/>
      <c r="C607" s="143" t="n"/>
      <c r="D607" s="143" t="n"/>
      <c r="E607" s="143" t="n"/>
      <c r="F607" s="143" t="n"/>
      <c r="G607" s="143" t="n"/>
      <c r="H607" s="143" t="n"/>
      <c r="I607" s="143" t="n"/>
      <c r="J607" s="137">
        <f>IF($H607="","",ROUND($H607*$I607,2))</f>
        <v/>
      </c>
      <c r="K607" s="137">
        <f>IF(OR($H607="",$J607=""),"",ROUND($H607-$J607,2))</f>
        <v/>
      </c>
      <c r="L607" s="143" t="n"/>
    </row>
    <row r="608" ht="18" customHeight="1" s="102">
      <c r="A608" s="137">
        <f>IF($B608="","","TAH-"&amp;TEXT(ROW()-BaslangicSatir,"000000"))</f>
        <v/>
      </c>
      <c r="B608" s="143" t="n"/>
      <c r="C608" s="143" t="n"/>
      <c r="D608" s="143" t="n"/>
      <c r="E608" s="143" t="n"/>
      <c r="F608" s="143" t="n"/>
      <c r="G608" s="143" t="n"/>
      <c r="H608" s="143" t="n"/>
      <c r="I608" s="143" t="n"/>
      <c r="J608" s="137">
        <f>IF($H608="","",ROUND($H608*$I608,2))</f>
        <v/>
      </c>
      <c r="K608" s="137">
        <f>IF(OR($H608="",$J608=""),"",ROUND($H608-$J608,2))</f>
        <v/>
      </c>
      <c r="L608" s="143" t="n"/>
    </row>
    <row r="609" ht="18" customHeight="1" s="102">
      <c r="A609" s="137">
        <f>IF($B609="","","TAH-"&amp;TEXT(ROW()-BaslangicSatir,"000000"))</f>
        <v/>
      </c>
      <c r="B609" s="143" t="n"/>
      <c r="C609" s="143" t="n"/>
      <c r="D609" s="143" t="n"/>
      <c r="E609" s="143" t="n"/>
      <c r="F609" s="143" t="n"/>
      <c r="G609" s="143" t="n"/>
      <c r="H609" s="143" t="n"/>
      <c r="I609" s="143" t="n"/>
      <c r="J609" s="137">
        <f>IF($H609="","",ROUND($H609*$I609,2))</f>
        <v/>
      </c>
      <c r="K609" s="137">
        <f>IF(OR($H609="",$J609=""),"",ROUND($H609-$J609,2))</f>
        <v/>
      </c>
      <c r="L609" s="143" t="n"/>
    </row>
    <row r="610" ht="18" customHeight="1" s="102">
      <c r="A610" s="137">
        <f>IF($B610="","","TAH-"&amp;TEXT(ROW()-BaslangicSatir,"000000"))</f>
        <v/>
      </c>
      <c r="B610" s="143" t="n"/>
      <c r="C610" s="143" t="n"/>
      <c r="D610" s="143" t="n"/>
      <c r="E610" s="143" t="n"/>
      <c r="F610" s="143" t="n"/>
      <c r="G610" s="143" t="n"/>
      <c r="H610" s="143" t="n"/>
      <c r="I610" s="143" t="n"/>
      <c r="J610" s="137">
        <f>IF($H610="","",ROUND($H610*$I610,2))</f>
        <v/>
      </c>
      <c r="K610" s="137">
        <f>IF(OR($H610="",$J610=""),"",ROUND($H610-$J610,2))</f>
        <v/>
      </c>
      <c r="L610" s="143" t="n"/>
    </row>
    <row r="611" ht="18" customHeight="1" s="102">
      <c r="A611" s="137">
        <f>IF($B611="","","TAH-"&amp;TEXT(ROW()-BaslangicSatir,"000000"))</f>
        <v/>
      </c>
      <c r="B611" s="143" t="n"/>
      <c r="C611" s="143" t="n"/>
      <c r="D611" s="143" t="n"/>
      <c r="E611" s="143" t="n"/>
      <c r="F611" s="143" t="n"/>
      <c r="G611" s="143" t="n"/>
      <c r="H611" s="143" t="n"/>
      <c r="I611" s="143" t="n"/>
      <c r="J611" s="137">
        <f>IF($H611="","",ROUND($H611*$I611,2))</f>
        <v/>
      </c>
      <c r="K611" s="137">
        <f>IF(OR($H611="",$J611=""),"",ROUND($H611-$J611,2))</f>
        <v/>
      </c>
      <c r="L611" s="143" t="n"/>
    </row>
    <row r="612" ht="18" customHeight="1" s="102">
      <c r="A612" s="137">
        <f>IF($B612="","","TAH-"&amp;TEXT(ROW()-BaslangicSatir,"000000"))</f>
        <v/>
      </c>
      <c r="B612" s="143" t="n"/>
      <c r="C612" s="143" t="n"/>
      <c r="D612" s="143" t="n"/>
      <c r="E612" s="143" t="n"/>
      <c r="F612" s="143" t="n"/>
      <c r="G612" s="143" t="n"/>
      <c r="H612" s="143" t="n"/>
      <c r="I612" s="143" t="n"/>
      <c r="J612" s="137">
        <f>IF($H612="","",ROUND($H612*$I612,2))</f>
        <v/>
      </c>
      <c r="K612" s="137">
        <f>IF(OR($H612="",$J612=""),"",ROUND($H612-$J612,2))</f>
        <v/>
      </c>
      <c r="L612" s="143" t="n"/>
    </row>
    <row r="613" ht="18" customHeight="1" s="102">
      <c r="A613" s="137">
        <f>IF($B613="","","TAH-"&amp;TEXT(ROW()-BaslangicSatir,"000000"))</f>
        <v/>
      </c>
      <c r="B613" s="143" t="n"/>
      <c r="C613" s="143" t="n"/>
      <c r="D613" s="143" t="n"/>
      <c r="E613" s="143" t="n"/>
      <c r="F613" s="143" t="n"/>
      <c r="G613" s="143" t="n"/>
      <c r="H613" s="143" t="n"/>
      <c r="I613" s="143" t="n"/>
      <c r="J613" s="137">
        <f>IF($H613="","",ROUND($H613*$I613,2))</f>
        <v/>
      </c>
      <c r="K613" s="137">
        <f>IF(OR($H613="",$J613=""),"",ROUND($H613-$J613,2))</f>
        <v/>
      </c>
      <c r="L613" s="143" t="n"/>
    </row>
    <row r="614" ht="18" customHeight="1" s="102">
      <c r="A614" s="137">
        <f>IF($B614="","","TAH-"&amp;TEXT(ROW()-BaslangicSatir,"000000"))</f>
        <v/>
      </c>
      <c r="B614" s="143" t="n"/>
      <c r="C614" s="143" t="n"/>
      <c r="D614" s="143" t="n"/>
      <c r="E614" s="143" t="n"/>
      <c r="F614" s="143" t="n"/>
      <c r="G614" s="143" t="n"/>
      <c r="H614" s="143" t="n"/>
      <c r="I614" s="143" t="n"/>
      <c r="J614" s="137">
        <f>IF($H614="","",ROUND($H614*$I614,2))</f>
        <v/>
      </c>
      <c r="K614" s="137">
        <f>IF(OR($H614="",$J614=""),"",ROUND($H614-$J614,2))</f>
        <v/>
      </c>
      <c r="L614" s="143" t="n"/>
    </row>
    <row r="615" ht="18" customHeight="1" s="102">
      <c r="A615" s="137">
        <f>IF($B615="","","TAH-"&amp;TEXT(ROW()-BaslangicSatir,"000000"))</f>
        <v/>
      </c>
      <c r="B615" s="143" t="n"/>
      <c r="C615" s="143" t="n"/>
      <c r="D615" s="143" t="n"/>
      <c r="E615" s="143" t="n"/>
      <c r="F615" s="143" t="n"/>
      <c r="G615" s="143" t="n"/>
      <c r="H615" s="143" t="n"/>
      <c r="I615" s="143" t="n"/>
      <c r="J615" s="137">
        <f>IF($H615="","",ROUND($H615*$I615,2))</f>
        <v/>
      </c>
      <c r="K615" s="137">
        <f>IF(OR($H615="",$J615=""),"",ROUND($H615-$J615,2))</f>
        <v/>
      </c>
      <c r="L615" s="143" t="n"/>
    </row>
    <row r="616" ht="18" customHeight="1" s="102">
      <c r="A616" s="137">
        <f>IF($B616="","","TAH-"&amp;TEXT(ROW()-BaslangicSatir,"000000"))</f>
        <v/>
      </c>
      <c r="B616" s="143" t="n"/>
      <c r="C616" s="143" t="n"/>
      <c r="D616" s="143" t="n"/>
      <c r="E616" s="143" t="n"/>
      <c r="F616" s="143" t="n"/>
      <c r="G616" s="143" t="n"/>
      <c r="H616" s="143" t="n"/>
      <c r="I616" s="143" t="n"/>
      <c r="J616" s="137">
        <f>IF($H616="","",ROUND($H616*$I616,2))</f>
        <v/>
      </c>
      <c r="K616" s="137">
        <f>IF(OR($H616="",$J616=""),"",ROUND($H616-$J616,2))</f>
        <v/>
      </c>
      <c r="L616" s="143" t="n"/>
    </row>
    <row r="617" ht="18" customHeight="1" s="102">
      <c r="A617" s="137">
        <f>IF($B617="","","TAH-"&amp;TEXT(ROW()-BaslangicSatir,"000000"))</f>
        <v/>
      </c>
      <c r="B617" s="143" t="n"/>
      <c r="C617" s="143" t="n"/>
      <c r="D617" s="143" t="n"/>
      <c r="E617" s="143" t="n"/>
      <c r="F617" s="143" t="n"/>
      <c r="G617" s="143" t="n"/>
      <c r="H617" s="143" t="n"/>
      <c r="I617" s="143" t="n"/>
      <c r="J617" s="137">
        <f>IF($H617="","",ROUND($H617*$I617,2))</f>
        <v/>
      </c>
      <c r="K617" s="137">
        <f>IF(OR($H617="",$J617=""),"",ROUND($H617-$J617,2))</f>
        <v/>
      </c>
      <c r="L617" s="143" t="n"/>
    </row>
    <row r="618" ht="18" customHeight="1" s="102">
      <c r="A618" s="137">
        <f>IF($B618="","","TAH-"&amp;TEXT(ROW()-BaslangicSatir,"000000"))</f>
        <v/>
      </c>
      <c r="B618" s="143" t="n"/>
      <c r="C618" s="143" t="n"/>
      <c r="D618" s="143" t="n"/>
      <c r="E618" s="143" t="n"/>
      <c r="F618" s="143" t="n"/>
      <c r="G618" s="143" t="n"/>
      <c r="H618" s="143" t="n"/>
      <c r="I618" s="143" t="n"/>
      <c r="J618" s="137">
        <f>IF($H618="","",ROUND($H618*$I618,2))</f>
        <v/>
      </c>
      <c r="K618" s="137">
        <f>IF(OR($H618="",$J618=""),"",ROUND($H618-$J618,2))</f>
        <v/>
      </c>
      <c r="L618" s="143" t="n"/>
    </row>
    <row r="619" ht="18" customHeight="1" s="102">
      <c r="A619" s="137">
        <f>IF($B619="","","TAH-"&amp;TEXT(ROW()-BaslangicSatir,"000000"))</f>
        <v/>
      </c>
      <c r="B619" s="143" t="n"/>
      <c r="C619" s="143" t="n"/>
      <c r="D619" s="143" t="n"/>
      <c r="E619" s="143" t="n"/>
      <c r="F619" s="143" t="n"/>
      <c r="G619" s="143" t="n"/>
      <c r="H619" s="143" t="n"/>
      <c r="I619" s="143" t="n"/>
      <c r="J619" s="137">
        <f>IF($H619="","",ROUND($H619*$I619,2))</f>
        <v/>
      </c>
      <c r="K619" s="137">
        <f>IF(OR($H619="",$J619=""),"",ROUND($H619-$J619,2))</f>
        <v/>
      </c>
      <c r="L619" s="143" t="n"/>
    </row>
    <row r="620" ht="18" customHeight="1" s="102">
      <c r="A620" s="137">
        <f>IF($B620="","","TAH-"&amp;TEXT(ROW()-BaslangicSatir,"000000"))</f>
        <v/>
      </c>
      <c r="B620" s="143" t="n"/>
      <c r="C620" s="143" t="n"/>
      <c r="D620" s="143" t="n"/>
      <c r="E620" s="143" t="n"/>
      <c r="F620" s="143" t="n"/>
      <c r="G620" s="143" t="n"/>
      <c r="H620" s="143" t="n"/>
      <c r="I620" s="143" t="n"/>
      <c r="J620" s="137">
        <f>IF($H620="","",ROUND($H620*$I620,2))</f>
        <v/>
      </c>
      <c r="K620" s="137">
        <f>IF(OR($H620="",$J620=""),"",ROUND($H620-$J620,2))</f>
        <v/>
      </c>
      <c r="L620" s="143" t="n"/>
    </row>
    <row r="621" ht="18" customHeight="1" s="102">
      <c r="A621" s="137">
        <f>IF($B621="","","TAH-"&amp;TEXT(ROW()-BaslangicSatir,"000000"))</f>
        <v/>
      </c>
      <c r="B621" s="143" t="n"/>
      <c r="C621" s="143" t="n"/>
      <c r="D621" s="143" t="n"/>
      <c r="E621" s="143" t="n"/>
      <c r="F621" s="143" t="n"/>
      <c r="G621" s="143" t="n"/>
      <c r="H621" s="143" t="n"/>
      <c r="I621" s="143" t="n"/>
      <c r="J621" s="137">
        <f>IF($H621="","",ROUND($H621*$I621,2))</f>
        <v/>
      </c>
      <c r="K621" s="137">
        <f>IF(OR($H621="",$J621=""),"",ROUND($H621-$J621,2))</f>
        <v/>
      </c>
      <c r="L621" s="143" t="n"/>
    </row>
    <row r="622" ht="18" customHeight="1" s="102">
      <c r="A622" s="137">
        <f>IF($B622="","","TAH-"&amp;TEXT(ROW()-BaslangicSatir,"000000"))</f>
        <v/>
      </c>
      <c r="B622" s="143" t="n"/>
      <c r="C622" s="143" t="n"/>
      <c r="D622" s="143" t="n"/>
      <c r="E622" s="143" t="n"/>
      <c r="F622" s="143" t="n"/>
      <c r="G622" s="143" t="n"/>
      <c r="H622" s="143" t="n"/>
      <c r="I622" s="143" t="n"/>
      <c r="J622" s="137">
        <f>IF($H622="","",ROUND($H622*$I622,2))</f>
        <v/>
      </c>
      <c r="K622" s="137">
        <f>IF(OR($H622="",$J622=""),"",ROUND($H622-$J622,2))</f>
        <v/>
      </c>
      <c r="L622" s="143" t="n"/>
    </row>
    <row r="623" ht="18" customHeight="1" s="102">
      <c r="A623" s="137">
        <f>IF($B623="","","TAH-"&amp;TEXT(ROW()-BaslangicSatir,"000000"))</f>
        <v/>
      </c>
      <c r="B623" s="143" t="n"/>
      <c r="C623" s="143" t="n"/>
      <c r="D623" s="143" t="n"/>
      <c r="E623" s="143" t="n"/>
      <c r="F623" s="143" t="n"/>
      <c r="G623" s="143" t="n"/>
      <c r="H623" s="143" t="n"/>
      <c r="I623" s="143" t="n"/>
      <c r="J623" s="137">
        <f>IF($H623="","",ROUND($H623*$I623,2))</f>
        <v/>
      </c>
      <c r="K623" s="137">
        <f>IF(OR($H623="",$J623=""),"",ROUND($H623-$J623,2))</f>
        <v/>
      </c>
      <c r="L623" s="143" t="n"/>
    </row>
    <row r="624" ht="18" customHeight="1" s="102">
      <c r="A624" s="137">
        <f>IF($B624="","","TAH-"&amp;TEXT(ROW()-BaslangicSatir,"000000"))</f>
        <v/>
      </c>
      <c r="B624" s="143" t="n"/>
      <c r="C624" s="143" t="n"/>
      <c r="D624" s="143" t="n"/>
      <c r="E624" s="143" t="n"/>
      <c r="F624" s="143" t="n"/>
      <c r="G624" s="143" t="n"/>
      <c r="H624" s="143" t="n"/>
      <c r="I624" s="143" t="n"/>
      <c r="J624" s="137">
        <f>IF($H624="","",ROUND($H624*$I624,2))</f>
        <v/>
      </c>
      <c r="K624" s="137">
        <f>IF(OR($H624="",$J624=""),"",ROUND($H624-$J624,2))</f>
        <v/>
      </c>
      <c r="L624" s="143" t="n"/>
    </row>
    <row r="625" ht="18" customHeight="1" s="102">
      <c r="A625" s="137">
        <f>IF($B625="","","TAH-"&amp;TEXT(ROW()-BaslangicSatir,"000000"))</f>
        <v/>
      </c>
      <c r="B625" s="143" t="n"/>
      <c r="C625" s="143" t="n"/>
      <c r="D625" s="143" t="n"/>
      <c r="E625" s="143" t="n"/>
      <c r="F625" s="143" t="n"/>
      <c r="G625" s="143" t="n"/>
      <c r="H625" s="143" t="n"/>
      <c r="I625" s="143" t="n"/>
      <c r="J625" s="137">
        <f>IF($H625="","",ROUND($H625*$I625,2))</f>
        <v/>
      </c>
      <c r="K625" s="137">
        <f>IF(OR($H625="",$J625=""),"",ROUND($H625-$J625,2))</f>
        <v/>
      </c>
      <c r="L625" s="143" t="n"/>
    </row>
    <row r="626" ht="18" customHeight="1" s="102">
      <c r="A626" s="137">
        <f>IF($B626="","","TAH-"&amp;TEXT(ROW()-BaslangicSatir,"000000"))</f>
        <v/>
      </c>
      <c r="B626" s="143" t="n"/>
      <c r="C626" s="143" t="n"/>
      <c r="D626" s="143" t="n"/>
      <c r="E626" s="143" t="n"/>
      <c r="F626" s="143" t="n"/>
      <c r="G626" s="143" t="n"/>
      <c r="H626" s="143" t="n"/>
      <c r="I626" s="143" t="n"/>
      <c r="J626" s="137">
        <f>IF($H626="","",ROUND($H626*$I626,2))</f>
        <v/>
      </c>
      <c r="K626" s="137">
        <f>IF(OR($H626="",$J626=""),"",ROUND($H626-$J626,2))</f>
        <v/>
      </c>
      <c r="L626" s="143" t="n"/>
    </row>
    <row r="627" ht="18" customHeight="1" s="102">
      <c r="A627" s="137">
        <f>IF($B627="","","TAH-"&amp;TEXT(ROW()-BaslangicSatir,"000000"))</f>
        <v/>
      </c>
      <c r="B627" s="143" t="n"/>
      <c r="C627" s="143" t="n"/>
      <c r="D627" s="143" t="n"/>
      <c r="E627" s="143" t="n"/>
      <c r="F627" s="143" t="n"/>
      <c r="G627" s="143" t="n"/>
      <c r="H627" s="143" t="n"/>
      <c r="I627" s="143" t="n"/>
      <c r="J627" s="137">
        <f>IF($H627="","",ROUND($H627*$I627,2))</f>
        <v/>
      </c>
      <c r="K627" s="137">
        <f>IF(OR($H627="",$J627=""),"",ROUND($H627-$J627,2))</f>
        <v/>
      </c>
      <c r="L627" s="143" t="n"/>
    </row>
    <row r="628" ht="18" customHeight="1" s="102">
      <c r="A628" s="137">
        <f>IF($B628="","","TAH-"&amp;TEXT(ROW()-BaslangicSatir,"000000"))</f>
        <v/>
      </c>
      <c r="B628" s="143" t="n"/>
      <c r="C628" s="143" t="n"/>
      <c r="D628" s="143" t="n"/>
      <c r="E628" s="143" t="n"/>
      <c r="F628" s="143" t="n"/>
      <c r="G628" s="143" t="n"/>
      <c r="H628" s="143" t="n"/>
      <c r="I628" s="143" t="n"/>
      <c r="J628" s="137">
        <f>IF($H628="","",ROUND($H628*$I628,2))</f>
        <v/>
      </c>
      <c r="K628" s="137">
        <f>IF(OR($H628="",$J628=""),"",ROUND($H628-$J628,2))</f>
        <v/>
      </c>
      <c r="L628" s="143" t="n"/>
    </row>
    <row r="629" ht="18" customHeight="1" s="102">
      <c r="A629" s="137">
        <f>IF($B629="","","TAH-"&amp;TEXT(ROW()-BaslangicSatir,"000000"))</f>
        <v/>
      </c>
      <c r="B629" s="143" t="n"/>
      <c r="C629" s="143" t="n"/>
      <c r="D629" s="143" t="n"/>
      <c r="E629" s="143" t="n"/>
      <c r="F629" s="143" t="n"/>
      <c r="G629" s="143" t="n"/>
      <c r="H629" s="143" t="n"/>
      <c r="I629" s="143" t="n"/>
      <c r="J629" s="137">
        <f>IF($H629="","",ROUND($H629*$I629,2))</f>
        <v/>
      </c>
      <c r="K629" s="137">
        <f>IF(OR($H629="",$J629=""),"",ROUND($H629-$J629,2))</f>
        <v/>
      </c>
      <c r="L629" s="143" t="n"/>
    </row>
    <row r="630" ht="18" customHeight="1" s="102">
      <c r="A630" s="137">
        <f>IF($B630="","","TAH-"&amp;TEXT(ROW()-BaslangicSatir,"000000"))</f>
        <v/>
      </c>
      <c r="B630" s="143" t="n"/>
      <c r="C630" s="143" t="n"/>
      <c r="D630" s="143" t="n"/>
      <c r="E630" s="143" t="n"/>
      <c r="F630" s="143" t="n"/>
      <c r="G630" s="143" t="n"/>
      <c r="H630" s="143" t="n"/>
      <c r="I630" s="143" t="n"/>
      <c r="J630" s="137">
        <f>IF($H630="","",ROUND($H630*$I630,2))</f>
        <v/>
      </c>
      <c r="K630" s="137">
        <f>IF(OR($H630="",$J630=""),"",ROUND($H630-$J630,2))</f>
        <v/>
      </c>
      <c r="L630" s="143" t="n"/>
    </row>
    <row r="631" ht="18" customHeight="1" s="102">
      <c r="A631" s="137">
        <f>IF($B631="","","TAH-"&amp;TEXT(ROW()-BaslangicSatir,"000000"))</f>
        <v/>
      </c>
      <c r="B631" s="143" t="n"/>
      <c r="C631" s="143" t="n"/>
      <c r="D631" s="143" t="n"/>
      <c r="E631" s="143" t="n"/>
      <c r="F631" s="143" t="n"/>
      <c r="G631" s="143" t="n"/>
      <c r="H631" s="143" t="n"/>
      <c r="I631" s="143" t="n"/>
      <c r="J631" s="137">
        <f>IF($H631="","",ROUND($H631*$I631,2))</f>
        <v/>
      </c>
      <c r="K631" s="137">
        <f>IF(OR($H631="",$J631=""),"",ROUND($H631-$J631,2))</f>
        <v/>
      </c>
      <c r="L631" s="143" t="n"/>
    </row>
    <row r="632" ht="18" customHeight="1" s="102">
      <c r="A632" s="137">
        <f>IF($B632="","","TAH-"&amp;TEXT(ROW()-BaslangicSatir,"000000"))</f>
        <v/>
      </c>
      <c r="B632" s="143" t="n"/>
      <c r="C632" s="143" t="n"/>
      <c r="D632" s="143" t="n"/>
      <c r="E632" s="143" t="n"/>
      <c r="F632" s="143" t="n"/>
      <c r="G632" s="143" t="n"/>
      <c r="H632" s="143" t="n"/>
      <c r="I632" s="143" t="n"/>
      <c r="J632" s="137">
        <f>IF($H632="","",ROUND($H632*$I632,2))</f>
        <v/>
      </c>
      <c r="K632" s="137">
        <f>IF(OR($H632="",$J632=""),"",ROUND($H632-$J632,2))</f>
        <v/>
      </c>
      <c r="L632" s="143" t="n"/>
    </row>
    <row r="633" ht="18" customHeight="1" s="102">
      <c r="A633" s="137">
        <f>IF($B633="","","TAH-"&amp;TEXT(ROW()-BaslangicSatir,"000000"))</f>
        <v/>
      </c>
      <c r="B633" s="143" t="n"/>
      <c r="C633" s="143" t="n"/>
      <c r="D633" s="143" t="n"/>
      <c r="E633" s="143" t="n"/>
      <c r="F633" s="143" t="n"/>
      <c r="G633" s="143" t="n"/>
      <c r="H633" s="143" t="n"/>
      <c r="I633" s="143" t="n"/>
      <c r="J633" s="137">
        <f>IF($H633="","",ROUND($H633*$I633,2))</f>
        <v/>
      </c>
      <c r="K633" s="137">
        <f>IF(OR($H633="",$J633=""),"",ROUND($H633-$J633,2))</f>
        <v/>
      </c>
      <c r="L633" s="143" t="n"/>
    </row>
    <row r="634" ht="18" customHeight="1" s="102">
      <c r="A634" s="137">
        <f>IF($B634="","","TAH-"&amp;TEXT(ROW()-BaslangicSatir,"000000"))</f>
        <v/>
      </c>
      <c r="B634" s="143" t="n"/>
      <c r="C634" s="143" t="n"/>
      <c r="D634" s="143" t="n"/>
      <c r="E634" s="143" t="n"/>
      <c r="F634" s="143" t="n"/>
      <c r="G634" s="143" t="n"/>
      <c r="H634" s="143" t="n"/>
      <c r="I634" s="143" t="n"/>
      <c r="J634" s="137">
        <f>IF($H634="","",ROUND($H634*$I634,2))</f>
        <v/>
      </c>
      <c r="K634" s="137">
        <f>IF(OR($H634="",$J634=""),"",ROUND($H634-$J634,2))</f>
        <v/>
      </c>
      <c r="L634" s="143" t="n"/>
    </row>
    <row r="635" ht="18" customHeight="1" s="102">
      <c r="A635" s="137">
        <f>IF($B635="","","TAH-"&amp;TEXT(ROW()-BaslangicSatir,"000000"))</f>
        <v/>
      </c>
      <c r="B635" s="143" t="n"/>
      <c r="C635" s="143" t="n"/>
      <c r="D635" s="143" t="n"/>
      <c r="E635" s="143" t="n"/>
      <c r="F635" s="143" t="n"/>
      <c r="G635" s="143" t="n"/>
      <c r="H635" s="143" t="n"/>
      <c r="I635" s="143" t="n"/>
      <c r="J635" s="137">
        <f>IF($H635="","",ROUND($H635*$I635,2))</f>
        <v/>
      </c>
      <c r="K635" s="137">
        <f>IF(OR($H635="",$J635=""),"",ROUND($H635-$J635,2))</f>
        <v/>
      </c>
      <c r="L635" s="143" t="n"/>
    </row>
    <row r="636" ht="18" customHeight="1" s="102">
      <c r="A636" s="137">
        <f>IF($B636="","","TAH-"&amp;TEXT(ROW()-BaslangicSatir,"000000"))</f>
        <v/>
      </c>
      <c r="B636" s="143" t="n"/>
      <c r="C636" s="143" t="n"/>
      <c r="D636" s="143" t="n"/>
      <c r="E636" s="143" t="n"/>
      <c r="F636" s="143" t="n"/>
      <c r="G636" s="143" t="n"/>
      <c r="H636" s="143" t="n"/>
      <c r="I636" s="143" t="n"/>
      <c r="J636" s="137">
        <f>IF($H636="","",ROUND($H636*$I636,2))</f>
        <v/>
      </c>
      <c r="K636" s="137">
        <f>IF(OR($H636="",$J636=""),"",ROUND($H636-$J636,2))</f>
        <v/>
      </c>
      <c r="L636" s="143" t="n"/>
    </row>
    <row r="637" ht="18" customHeight="1" s="102">
      <c r="A637" s="137">
        <f>IF($B637="","","TAH-"&amp;TEXT(ROW()-BaslangicSatir,"000000"))</f>
        <v/>
      </c>
      <c r="B637" s="143" t="n"/>
      <c r="C637" s="143" t="n"/>
      <c r="D637" s="143" t="n"/>
      <c r="E637" s="143" t="n"/>
      <c r="F637" s="143" t="n"/>
      <c r="G637" s="143" t="n"/>
      <c r="H637" s="143" t="n"/>
      <c r="I637" s="143" t="n"/>
      <c r="J637" s="137">
        <f>IF($H637="","",ROUND($H637*$I637,2))</f>
        <v/>
      </c>
      <c r="K637" s="137">
        <f>IF(OR($H637="",$J637=""),"",ROUND($H637-$J637,2))</f>
        <v/>
      </c>
      <c r="L637" s="143" t="n"/>
    </row>
    <row r="638" ht="18" customHeight="1" s="102">
      <c r="A638" s="137">
        <f>IF($B638="","","TAH-"&amp;TEXT(ROW()-BaslangicSatir,"000000"))</f>
        <v/>
      </c>
      <c r="B638" s="143" t="n"/>
      <c r="C638" s="143" t="n"/>
      <c r="D638" s="143" t="n"/>
      <c r="E638" s="143" t="n"/>
      <c r="F638" s="143" t="n"/>
      <c r="G638" s="143" t="n"/>
      <c r="H638" s="143" t="n"/>
      <c r="I638" s="143" t="n"/>
      <c r="J638" s="137">
        <f>IF($H638="","",ROUND($H638*$I638,2))</f>
        <v/>
      </c>
      <c r="K638" s="137">
        <f>IF(OR($H638="",$J638=""),"",ROUND($H638-$J638,2))</f>
        <v/>
      </c>
      <c r="L638" s="143" t="n"/>
    </row>
    <row r="639" ht="18" customHeight="1" s="102">
      <c r="A639" s="137">
        <f>IF($B639="","","TAH-"&amp;TEXT(ROW()-BaslangicSatir,"000000"))</f>
        <v/>
      </c>
      <c r="B639" s="143" t="n"/>
      <c r="C639" s="143" t="n"/>
      <c r="D639" s="143" t="n"/>
      <c r="E639" s="143" t="n"/>
      <c r="F639" s="143" t="n"/>
      <c r="G639" s="143" t="n"/>
      <c r="H639" s="143" t="n"/>
      <c r="I639" s="143" t="n"/>
      <c r="J639" s="137">
        <f>IF($H639="","",ROUND($H639*$I639,2))</f>
        <v/>
      </c>
      <c r="K639" s="137">
        <f>IF(OR($H639="",$J639=""),"",ROUND($H639-$J639,2))</f>
        <v/>
      </c>
      <c r="L639" s="143" t="n"/>
    </row>
    <row r="640" ht="18" customHeight="1" s="102">
      <c r="A640" s="137">
        <f>IF($B640="","","TAH-"&amp;TEXT(ROW()-BaslangicSatir,"000000"))</f>
        <v/>
      </c>
      <c r="B640" s="143" t="n"/>
      <c r="C640" s="143" t="n"/>
      <c r="D640" s="143" t="n"/>
      <c r="E640" s="143" t="n"/>
      <c r="F640" s="143" t="n"/>
      <c r="G640" s="143" t="n"/>
      <c r="H640" s="143" t="n"/>
      <c r="I640" s="143" t="n"/>
      <c r="J640" s="137">
        <f>IF($H640="","",ROUND($H640*$I640,2))</f>
        <v/>
      </c>
      <c r="K640" s="137">
        <f>IF(OR($H640="",$J640=""),"",ROUND($H640-$J640,2))</f>
        <v/>
      </c>
      <c r="L640" s="143" t="n"/>
    </row>
    <row r="641" ht="18" customHeight="1" s="102">
      <c r="A641" s="137">
        <f>IF($B641="","","TAH-"&amp;TEXT(ROW()-BaslangicSatir,"000000"))</f>
        <v/>
      </c>
      <c r="B641" s="143" t="n"/>
      <c r="C641" s="143" t="n"/>
      <c r="D641" s="143" t="n"/>
      <c r="E641" s="143" t="n"/>
      <c r="F641" s="143" t="n"/>
      <c r="G641" s="143" t="n"/>
      <c r="H641" s="143" t="n"/>
      <c r="I641" s="143" t="n"/>
      <c r="J641" s="137">
        <f>IF($H641="","",ROUND($H641*$I641,2))</f>
        <v/>
      </c>
      <c r="K641" s="137">
        <f>IF(OR($H641="",$J641=""),"",ROUND($H641-$J641,2))</f>
        <v/>
      </c>
      <c r="L641" s="143" t="n"/>
    </row>
    <row r="642" ht="18" customHeight="1" s="102">
      <c r="A642" s="137">
        <f>IF($B642="","","TAH-"&amp;TEXT(ROW()-BaslangicSatir,"000000"))</f>
        <v/>
      </c>
      <c r="B642" s="143" t="n"/>
      <c r="C642" s="143" t="n"/>
      <c r="D642" s="143" t="n"/>
      <c r="E642" s="143" t="n"/>
      <c r="F642" s="143" t="n"/>
      <c r="G642" s="143" t="n"/>
      <c r="H642" s="143" t="n"/>
      <c r="I642" s="143" t="n"/>
      <c r="J642" s="137">
        <f>IF($H642="","",ROUND($H642*$I642,2))</f>
        <v/>
      </c>
      <c r="K642" s="137">
        <f>IF(OR($H642="",$J642=""),"",ROUND($H642-$J642,2))</f>
        <v/>
      </c>
      <c r="L642" s="143" t="n"/>
    </row>
    <row r="643" ht="18" customHeight="1" s="102">
      <c r="A643" s="137">
        <f>IF($B643="","","TAH-"&amp;TEXT(ROW()-BaslangicSatir,"000000"))</f>
        <v/>
      </c>
      <c r="B643" s="143" t="n"/>
      <c r="C643" s="143" t="n"/>
      <c r="D643" s="143" t="n"/>
      <c r="E643" s="143" t="n"/>
      <c r="F643" s="143" t="n"/>
      <c r="G643" s="143" t="n"/>
      <c r="H643" s="143" t="n"/>
      <c r="I643" s="143" t="n"/>
      <c r="J643" s="137">
        <f>IF($H643="","",ROUND($H643*$I643,2))</f>
        <v/>
      </c>
      <c r="K643" s="137">
        <f>IF(OR($H643="",$J643=""),"",ROUND($H643-$J643,2))</f>
        <v/>
      </c>
      <c r="L643" s="143" t="n"/>
    </row>
    <row r="644" ht="18" customHeight="1" s="102">
      <c r="A644" s="137">
        <f>IF($B644="","","TAH-"&amp;TEXT(ROW()-BaslangicSatir,"000000"))</f>
        <v/>
      </c>
      <c r="B644" s="143" t="n"/>
      <c r="C644" s="143" t="n"/>
      <c r="D644" s="143" t="n"/>
      <c r="E644" s="143" t="n"/>
      <c r="F644" s="143" t="n"/>
      <c r="G644" s="143" t="n"/>
      <c r="H644" s="143" t="n"/>
      <c r="I644" s="143" t="n"/>
      <c r="J644" s="137">
        <f>IF($H644="","",ROUND($H644*$I644,2))</f>
        <v/>
      </c>
      <c r="K644" s="137">
        <f>IF(OR($H644="",$J644=""),"",ROUND($H644-$J644,2))</f>
        <v/>
      </c>
      <c r="L644" s="143" t="n"/>
    </row>
    <row r="645" ht="18" customHeight="1" s="102">
      <c r="A645" s="137">
        <f>IF($B645="","","TAH-"&amp;TEXT(ROW()-BaslangicSatir,"000000"))</f>
        <v/>
      </c>
      <c r="B645" s="143" t="n"/>
      <c r="C645" s="143" t="n"/>
      <c r="D645" s="143" t="n"/>
      <c r="E645" s="143" t="n"/>
      <c r="F645" s="143" t="n"/>
      <c r="G645" s="143" t="n"/>
      <c r="H645" s="143" t="n"/>
      <c r="I645" s="143" t="n"/>
      <c r="J645" s="137">
        <f>IF($H645="","",ROUND($H645*$I645,2))</f>
        <v/>
      </c>
      <c r="K645" s="137">
        <f>IF(OR($H645="",$J645=""),"",ROUND($H645-$J645,2))</f>
        <v/>
      </c>
      <c r="L645" s="143" t="n"/>
    </row>
    <row r="646" ht="18" customHeight="1" s="102">
      <c r="A646" s="137">
        <f>IF($B646="","","TAH-"&amp;TEXT(ROW()-BaslangicSatir,"000000"))</f>
        <v/>
      </c>
      <c r="B646" s="143" t="n"/>
      <c r="C646" s="143" t="n"/>
      <c r="D646" s="143" t="n"/>
      <c r="E646" s="143" t="n"/>
      <c r="F646" s="143" t="n"/>
      <c r="G646" s="143" t="n"/>
      <c r="H646" s="143" t="n"/>
      <c r="I646" s="143" t="n"/>
      <c r="J646" s="137">
        <f>IF($H646="","",ROUND($H646*$I646,2))</f>
        <v/>
      </c>
      <c r="K646" s="137">
        <f>IF(OR($H646="",$J646=""),"",ROUND($H646-$J646,2))</f>
        <v/>
      </c>
      <c r="L646" s="143" t="n"/>
    </row>
    <row r="647" ht="18" customHeight="1" s="102">
      <c r="A647" s="137">
        <f>IF($B647="","","TAH-"&amp;TEXT(ROW()-BaslangicSatir,"000000"))</f>
        <v/>
      </c>
      <c r="B647" s="143" t="n"/>
      <c r="C647" s="143" t="n"/>
      <c r="D647" s="143" t="n"/>
      <c r="E647" s="143" t="n"/>
      <c r="F647" s="143" t="n"/>
      <c r="G647" s="143" t="n"/>
      <c r="H647" s="143" t="n"/>
      <c r="I647" s="143" t="n"/>
      <c r="J647" s="137">
        <f>IF($H647="","",ROUND($H647*$I647,2))</f>
        <v/>
      </c>
      <c r="K647" s="137">
        <f>IF(OR($H647="",$J647=""),"",ROUND($H647-$J647,2))</f>
        <v/>
      </c>
      <c r="L647" s="143" t="n"/>
    </row>
    <row r="648" ht="18" customHeight="1" s="102">
      <c r="A648" s="137">
        <f>IF($B648="","","TAH-"&amp;TEXT(ROW()-BaslangicSatir,"000000"))</f>
        <v/>
      </c>
      <c r="B648" s="143" t="n"/>
      <c r="C648" s="143" t="n"/>
      <c r="D648" s="143" t="n"/>
      <c r="E648" s="143" t="n"/>
      <c r="F648" s="143" t="n"/>
      <c r="G648" s="143" t="n"/>
      <c r="H648" s="143" t="n"/>
      <c r="I648" s="143" t="n"/>
      <c r="J648" s="137">
        <f>IF($H648="","",ROUND($H648*$I648,2))</f>
        <v/>
      </c>
      <c r="K648" s="137">
        <f>IF(OR($H648="",$J648=""),"",ROUND($H648-$J648,2))</f>
        <v/>
      </c>
      <c r="L648" s="143" t="n"/>
    </row>
    <row r="649" ht="18" customHeight="1" s="102">
      <c r="A649" s="137">
        <f>IF($B649="","","TAH-"&amp;TEXT(ROW()-BaslangicSatir,"000000"))</f>
        <v/>
      </c>
      <c r="B649" s="143" t="n"/>
      <c r="C649" s="143" t="n"/>
      <c r="D649" s="143" t="n"/>
      <c r="E649" s="143" t="n"/>
      <c r="F649" s="143" t="n"/>
      <c r="G649" s="143" t="n"/>
      <c r="H649" s="143" t="n"/>
      <c r="I649" s="143" t="n"/>
      <c r="J649" s="137">
        <f>IF($H649="","",ROUND($H649*$I649,2))</f>
        <v/>
      </c>
      <c r="K649" s="137">
        <f>IF(OR($H649="",$J649=""),"",ROUND($H649-$J649,2))</f>
        <v/>
      </c>
      <c r="L649" s="143" t="n"/>
    </row>
    <row r="650" ht="18" customHeight="1" s="102">
      <c r="A650" s="137">
        <f>IF($B650="","","TAH-"&amp;TEXT(ROW()-BaslangicSatir,"000000"))</f>
        <v/>
      </c>
      <c r="B650" s="143" t="n"/>
      <c r="C650" s="143" t="n"/>
      <c r="D650" s="143" t="n"/>
      <c r="E650" s="143" t="n"/>
      <c r="F650" s="143" t="n"/>
      <c r="G650" s="143" t="n"/>
      <c r="H650" s="143" t="n"/>
      <c r="I650" s="143" t="n"/>
      <c r="J650" s="137">
        <f>IF($H650="","",ROUND($H650*$I650,2))</f>
        <v/>
      </c>
      <c r="K650" s="137">
        <f>IF(OR($H650="",$J650=""),"",ROUND($H650-$J650,2))</f>
        <v/>
      </c>
      <c r="L650" s="143" t="n"/>
    </row>
    <row r="651" ht="18" customHeight="1" s="102">
      <c r="A651" s="137">
        <f>IF($B651="","","TAH-"&amp;TEXT(ROW()-BaslangicSatir,"000000"))</f>
        <v/>
      </c>
      <c r="B651" s="143" t="n"/>
      <c r="C651" s="143" t="n"/>
      <c r="D651" s="143" t="n"/>
      <c r="E651" s="143" t="n"/>
      <c r="F651" s="143" t="n"/>
      <c r="G651" s="143" t="n"/>
      <c r="H651" s="143" t="n"/>
      <c r="I651" s="143" t="n"/>
      <c r="J651" s="137">
        <f>IF($H651="","",ROUND($H651*$I651,2))</f>
        <v/>
      </c>
      <c r="K651" s="137">
        <f>IF(OR($H651="",$J651=""),"",ROUND($H651-$J651,2))</f>
        <v/>
      </c>
      <c r="L651" s="143" t="n"/>
    </row>
    <row r="652" ht="18" customHeight="1" s="102">
      <c r="A652" s="137">
        <f>IF($B652="","","TAH-"&amp;TEXT(ROW()-BaslangicSatir,"000000"))</f>
        <v/>
      </c>
      <c r="B652" s="143" t="n"/>
      <c r="C652" s="143" t="n"/>
      <c r="D652" s="143" t="n"/>
      <c r="E652" s="143" t="n"/>
      <c r="F652" s="143" t="n"/>
      <c r="G652" s="143" t="n"/>
      <c r="H652" s="143" t="n"/>
      <c r="I652" s="143" t="n"/>
      <c r="J652" s="137">
        <f>IF($H652="","",ROUND($H652*$I652,2))</f>
        <v/>
      </c>
      <c r="K652" s="137">
        <f>IF(OR($H652="",$J652=""),"",ROUND($H652-$J652,2))</f>
        <v/>
      </c>
      <c r="L652" s="143" t="n"/>
    </row>
    <row r="653" ht="18" customHeight="1" s="102">
      <c r="A653" s="137">
        <f>IF($B653="","","TAH-"&amp;TEXT(ROW()-BaslangicSatir,"000000"))</f>
        <v/>
      </c>
      <c r="B653" s="143" t="n"/>
      <c r="C653" s="143" t="n"/>
      <c r="D653" s="143" t="n"/>
      <c r="E653" s="143" t="n"/>
      <c r="F653" s="143" t="n"/>
      <c r="G653" s="143" t="n"/>
      <c r="H653" s="143" t="n"/>
      <c r="I653" s="143" t="n"/>
      <c r="J653" s="137">
        <f>IF($H653="","",ROUND($H653*$I653,2))</f>
        <v/>
      </c>
      <c r="K653" s="137">
        <f>IF(OR($H653="",$J653=""),"",ROUND($H653-$J653,2))</f>
        <v/>
      </c>
      <c r="L653" s="143" t="n"/>
    </row>
    <row r="654" ht="18" customHeight="1" s="102">
      <c r="A654" s="137">
        <f>IF($B654="","","TAH-"&amp;TEXT(ROW()-BaslangicSatir,"000000"))</f>
        <v/>
      </c>
      <c r="B654" s="143" t="n"/>
      <c r="C654" s="143" t="n"/>
      <c r="D654" s="143" t="n"/>
      <c r="E654" s="143" t="n"/>
      <c r="F654" s="143" t="n"/>
      <c r="G654" s="143" t="n"/>
      <c r="H654" s="143" t="n"/>
      <c r="I654" s="143" t="n"/>
      <c r="J654" s="137">
        <f>IF($H654="","",ROUND($H654*$I654,2))</f>
        <v/>
      </c>
      <c r="K654" s="137">
        <f>IF(OR($H654="",$J654=""),"",ROUND($H654-$J654,2))</f>
        <v/>
      </c>
      <c r="L654" s="143" t="n"/>
    </row>
    <row r="655" ht="18" customHeight="1" s="102">
      <c r="A655" s="137">
        <f>IF($B655="","","TAH-"&amp;TEXT(ROW()-BaslangicSatir,"000000"))</f>
        <v/>
      </c>
      <c r="B655" s="143" t="n"/>
      <c r="C655" s="143" t="n"/>
      <c r="D655" s="143" t="n"/>
      <c r="E655" s="143" t="n"/>
      <c r="F655" s="143" t="n"/>
      <c r="G655" s="143" t="n"/>
      <c r="H655" s="143" t="n"/>
      <c r="I655" s="143" t="n"/>
      <c r="J655" s="137">
        <f>IF($H655="","",ROUND($H655*$I655,2))</f>
        <v/>
      </c>
      <c r="K655" s="137">
        <f>IF(OR($H655="",$J655=""),"",ROUND($H655-$J655,2))</f>
        <v/>
      </c>
      <c r="L655" s="143" t="n"/>
    </row>
    <row r="656" ht="18" customHeight="1" s="102">
      <c r="A656" s="137">
        <f>IF($B656="","","TAH-"&amp;TEXT(ROW()-BaslangicSatir,"000000"))</f>
        <v/>
      </c>
      <c r="B656" s="143" t="n"/>
      <c r="C656" s="143" t="n"/>
      <c r="D656" s="143" t="n"/>
      <c r="E656" s="143" t="n"/>
      <c r="F656" s="143" t="n"/>
      <c r="G656" s="143" t="n"/>
      <c r="H656" s="143" t="n"/>
      <c r="I656" s="143" t="n"/>
      <c r="J656" s="137">
        <f>IF($H656="","",ROUND($H656*$I656,2))</f>
        <v/>
      </c>
      <c r="K656" s="137">
        <f>IF(OR($H656="",$J656=""),"",ROUND($H656-$J656,2))</f>
        <v/>
      </c>
      <c r="L656" s="143" t="n"/>
    </row>
    <row r="657" ht="18" customHeight="1" s="102">
      <c r="A657" s="137">
        <f>IF($B657="","","TAH-"&amp;TEXT(ROW()-BaslangicSatir,"000000"))</f>
        <v/>
      </c>
      <c r="B657" s="143" t="n"/>
      <c r="C657" s="143" t="n"/>
      <c r="D657" s="143" t="n"/>
      <c r="E657" s="143" t="n"/>
      <c r="F657" s="143" t="n"/>
      <c r="G657" s="143" t="n"/>
      <c r="H657" s="143" t="n"/>
      <c r="I657" s="143" t="n"/>
      <c r="J657" s="137">
        <f>IF($H657="","",ROUND($H657*$I657,2))</f>
        <v/>
      </c>
      <c r="K657" s="137">
        <f>IF(OR($H657="",$J657=""),"",ROUND($H657-$J657,2))</f>
        <v/>
      </c>
      <c r="L657" s="143" t="n"/>
    </row>
    <row r="658" ht="18" customHeight="1" s="102">
      <c r="A658" s="137">
        <f>IF($B658="","","TAH-"&amp;TEXT(ROW()-BaslangicSatir,"000000"))</f>
        <v/>
      </c>
      <c r="B658" s="143" t="n"/>
      <c r="C658" s="143" t="n"/>
      <c r="D658" s="143" t="n"/>
      <c r="E658" s="143" t="n"/>
      <c r="F658" s="143" t="n"/>
      <c r="G658" s="143" t="n"/>
      <c r="H658" s="143" t="n"/>
      <c r="I658" s="143" t="n"/>
      <c r="J658" s="137">
        <f>IF($H658="","",ROUND($H658*$I658,2))</f>
        <v/>
      </c>
      <c r="K658" s="137">
        <f>IF(OR($H658="",$J658=""),"",ROUND($H658-$J658,2))</f>
        <v/>
      </c>
      <c r="L658" s="143" t="n"/>
    </row>
    <row r="659" ht="18" customHeight="1" s="102">
      <c r="A659" s="137">
        <f>IF($B659="","","TAH-"&amp;TEXT(ROW()-BaslangicSatir,"000000"))</f>
        <v/>
      </c>
      <c r="B659" s="143" t="n"/>
      <c r="C659" s="143" t="n"/>
      <c r="D659" s="143" t="n"/>
      <c r="E659" s="143" t="n"/>
      <c r="F659" s="143" t="n"/>
      <c r="G659" s="143" t="n"/>
      <c r="H659" s="143" t="n"/>
      <c r="I659" s="143" t="n"/>
      <c r="J659" s="137">
        <f>IF($H659="","",ROUND($H659*$I659,2))</f>
        <v/>
      </c>
      <c r="K659" s="137">
        <f>IF(OR($H659="",$J659=""),"",ROUND($H659-$J659,2))</f>
        <v/>
      </c>
      <c r="L659" s="143" t="n"/>
    </row>
    <row r="660" ht="18" customHeight="1" s="102">
      <c r="A660" s="137">
        <f>IF($B660="","","TAH-"&amp;TEXT(ROW()-BaslangicSatir,"000000"))</f>
        <v/>
      </c>
      <c r="B660" s="143" t="n"/>
      <c r="C660" s="143" t="n"/>
      <c r="D660" s="143" t="n"/>
      <c r="E660" s="143" t="n"/>
      <c r="F660" s="143" t="n"/>
      <c r="G660" s="143" t="n"/>
      <c r="H660" s="143" t="n"/>
      <c r="I660" s="143" t="n"/>
      <c r="J660" s="137">
        <f>IF($H660="","",ROUND($H660*$I660,2))</f>
        <v/>
      </c>
      <c r="K660" s="137">
        <f>IF(OR($H660="",$J660=""),"",ROUND($H660-$J660,2))</f>
        <v/>
      </c>
      <c r="L660" s="143" t="n"/>
    </row>
    <row r="661" ht="18" customHeight="1" s="102">
      <c r="A661" s="137">
        <f>IF($B661="","","TAH-"&amp;TEXT(ROW()-BaslangicSatir,"000000"))</f>
        <v/>
      </c>
      <c r="B661" s="143" t="n"/>
      <c r="C661" s="143" t="n"/>
      <c r="D661" s="143" t="n"/>
      <c r="E661" s="143" t="n"/>
      <c r="F661" s="143" t="n"/>
      <c r="G661" s="143" t="n"/>
      <c r="H661" s="143" t="n"/>
      <c r="I661" s="143" t="n"/>
      <c r="J661" s="137">
        <f>IF($H661="","",ROUND($H661*$I661,2))</f>
        <v/>
      </c>
      <c r="K661" s="137">
        <f>IF(OR($H661="",$J661=""),"",ROUND($H661-$J661,2))</f>
        <v/>
      </c>
      <c r="L661" s="143" t="n"/>
    </row>
    <row r="662" ht="18" customHeight="1" s="102">
      <c r="A662" s="137">
        <f>IF($B662="","","TAH-"&amp;TEXT(ROW()-BaslangicSatir,"000000"))</f>
        <v/>
      </c>
      <c r="B662" s="143" t="n"/>
      <c r="C662" s="143" t="n"/>
      <c r="D662" s="143" t="n"/>
      <c r="E662" s="143" t="n"/>
      <c r="F662" s="143" t="n"/>
      <c r="G662" s="143" t="n"/>
      <c r="H662" s="143" t="n"/>
      <c r="I662" s="143" t="n"/>
      <c r="J662" s="137">
        <f>IF($H662="","",ROUND($H662*$I662,2))</f>
        <v/>
      </c>
      <c r="K662" s="137">
        <f>IF(OR($H662="",$J662=""),"",ROUND($H662-$J662,2))</f>
        <v/>
      </c>
      <c r="L662" s="143" t="n"/>
    </row>
    <row r="663" ht="18" customHeight="1" s="102">
      <c r="A663" s="137">
        <f>IF($B663="","","TAH-"&amp;TEXT(ROW()-BaslangicSatir,"000000"))</f>
        <v/>
      </c>
      <c r="B663" s="143" t="n"/>
      <c r="C663" s="143" t="n"/>
      <c r="D663" s="143" t="n"/>
      <c r="E663" s="143" t="n"/>
      <c r="F663" s="143" t="n"/>
      <c r="G663" s="143" t="n"/>
      <c r="H663" s="143" t="n"/>
      <c r="I663" s="143" t="n"/>
      <c r="J663" s="137">
        <f>IF($H663="","",ROUND($H663*$I663,2))</f>
        <v/>
      </c>
      <c r="K663" s="137">
        <f>IF(OR($H663="",$J663=""),"",ROUND($H663-$J663,2))</f>
        <v/>
      </c>
      <c r="L663" s="143" t="n"/>
    </row>
    <row r="664" ht="18" customHeight="1" s="102">
      <c r="A664" s="137">
        <f>IF($B664="","","TAH-"&amp;TEXT(ROW()-BaslangicSatir,"000000"))</f>
        <v/>
      </c>
      <c r="B664" s="143" t="n"/>
      <c r="C664" s="143" t="n"/>
      <c r="D664" s="143" t="n"/>
      <c r="E664" s="143" t="n"/>
      <c r="F664" s="143" t="n"/>
      <c r="G664" s="143" t="n"/>
      <c r="H664" s="143" t="n"/>
      <c r="I664" s="143" t="n"/>
      <c r="J664" s="137">
        <f>IF($H664="","",ROUND($H664*$I664,2))</f>
        <v/>
      </c>
      <c r="K664" s="137">
        <f>IF(OR($H664="",$J664=""),"",ROUND($H664-$J664,2))</f>
        <v/>
      </c>
      <c r="L664" s="143" t="n"/>
    </row>
    <row r="665" ht="18" customHeight="1" s="102">
      <c r="A665" s="137">
        <f>IF($B665="","","TAH-"&amp;TEXT(ROW()-BaslangicSatir,"000000"))</f>
        <v/>
      </c>
      <c r="B665" s="143" t="n"/>
      <c r="C665" s="143" t="n"/>
      <c r="D665" s="143" t="n"/>
      <c r="E665" s="143" t="n"/>
      <c r="F665" s="143" t="n"/>
      <c r="G665" s="143" t="n"/>
      <c r="H665" s="143" t="n"/>
      <c r="I665" s="143" t="n"/>
      <c r="J665" s="137">
        <f>IF($H665="","",ROUND($H665*$I665,2))</f>
        <v/>
      </c>
      <c r="K665" s="137">
        <f>IF(OR($H665="",$J665=""),"",ROUND($H665-$J665,2))</f>
        <v/>
      </c>
      <c r="L665" s="143" t="n"/>
    </row>
    <row r="666" ht="18" customHeight="1" s="102">
      <c r="A666" s="137">
        <f>IF($B666="","","TAH-"&amp;TEXT(ROW()-BaslangicSatir,"000000"))</f>
        <v/>
      </c>
      <c r="B666" s="143" t="n"/>
      <c r="C666" s="143" t="n"/>
      <c r="D666" s="143" t="n"/>
      <c r="E666" s="143" t="n"/>
      <c r="F666" s="143" t="n"/>
      <c r="G666" s="143" t="n"/>
      <c r="H666" s="143" t="n"/>
      <c r="I666" s="143" t="n"/>
      <c r="J666" s="137">
        <f>IF($H666="","",ROUND($H666*$I666,2))</f>
        <v/>
      </c>
      <c r="K666" s="137">
        <f>IF(OR($H666="",$J666=""),"",ROUND($H666-$J666,2))</f>
        <v/>
      </c>
      <c r="L666" s="143" t="n"/>
    </row>
    <row r="667" ht="18" customHeight="1" s="102">
      <c r="A667" s="137">
        <f>IF($B667="","","TAH-"&amp;TEXT(ROW()-BaslangicSatir,"000000"))</f>
        <v/>
      </c>
      <c r="B667" s="143" t="n"/>
      <c r="C667" s="143" t="n"/>
      <c r="D667" s="143" t="n"/>
      <c r="E667" s="143" t="n"/>
      <c r="F667" s="143" t="n"/>
      <c r="G667" s="143" t="n"/>
      <c r="H667" s="143" t="n"/>
      <c r="I667" s="143" t="n"/>
      <c r="J667" s="137">
        <f>IF($H667="","",ROUND($H667*$I667,2))</f>
        <v/>
      </c>
      <c r="K667" s="137">
        <f>IF(OR($H667="",$J667=""),"",ROUND($H667-$J667,2))</f>
        <v/>
      </c>
      <c r="L667" s="143" t="n"/>
    </row>
    <row r="668" ht="18" customHeight="1" s="102">
      <c r="A668" s="137">
        <f>IF($B668="","","TAH-"&amp;TEXT(ROW()-BaslangicSatir,"000000"))</f>
        <v/>
      </c>
      <c r="B668" s="143" t="n"/>
      <c r="C668" s="143" t="n"/>
      <c r="D668" s="143" t="n"/>
      <c r="E668" s="143" t="n"/>
      <c r="F668" s="143" t="n"/>
      <c r="G668" s="143" t="n"/>
      <c r="H668" s="143" t="n"/>
      <c r="I668" s="143" t="n"/>
      <c r="J668" s="137">
        <f>IF($H668="","",ROUND($H668*$I668,2))</f>
        <v/>
      </c>
      <c r="K668" s="137">
        <f>IF(OR($H668="",$J668=""),"",ROUND($H668-$J668,2))</f>
        <v/>
      </c>
      <c r="L668" s="143" t="n"/>
    </row>
    <row r="669" ht="18" customHeight="1" s="102">
      <c r="A669" s="137">
        <f>IF($B669="","","TAH-"&amp;TEXT(ROW()-BaslangicSatir,"000000"))</f>
        <v/>
      </c>
      <c r="B669" s="143" t="n"/>
      <c r="C669" s="143" t="n"/>
      <c r="D669" s="143" t="n"/>
      <c r="E669" s="143" t="n"/>
      <c r="F669" s="143" t="n"/>
      <c r="G669" s="143" t="n"/>
      <c r="H669" s="143" t="n"/>
      <c r="I669" s="143" t="n"/>
      <c r="J669" s="137">
        <f>IF($H669="","",ROUND($H669*$I669,2))</f>
        <v/>
      </c>
      <c r="K669" s="137">
        <f>IF(OR($H669="",$J669=""),"",ROUND($H669-$J669,2))</f>
        <v/>
      </c>
      <c r="L669" s="143" t="n"/>
    </row>
    <row r="670" ht="18" customHeight="1" s="102">
      <c r="A670" s="137">
        <f>IF($B670="","","TAH-"&amp;TEXT(ROW()-BaslangicSatir,"000000"))</f>
        <v/>
      </c>
      <c r="B670" s="143" t="n"/>
      <c r="C670" s="143" t="n"/>
      <c r="D670" s="143" t="n"/>
      <c r="E670" s="143" t="n"/>
      <c r="F670" s="143" t="n"/>
      <c r="G670" s="143" t="n"/>
      <c r="H670" s="143" t="n"/>
      <c r="I670" s="143" t="n"/>
      <c r="J670" s="137">
        <f>IF($H670="","",ROUND($H670*$I670,2))</f>
        <v/>
      </c>
      <c r="K670" s="137">
        <f>IF(OR($H670="",$J670=""),"",ROUND($H670-$J670,2))</f>
        <v/>
      </c>
      <c r="L670" s="143" t="n"/>
    </row>
    <row r="671" ht="18" customHeight="1" s="102">
      <c r="A671" s="137">
        <f>IF($B671="","","TAH-"&amp;TEXT(ROW()-BaslangicSatir,"000000"))</f>
        <v/>
      </c>
      <c r="B671" s="143" t="n"/>
      <c r="C671" s="143" t="n"/>
      <c r="D671" s="143" t="n"/>
      <c r="E671" s="143" t="n"/>
      <c r="F671" s="143" t="n"/>
      <c r="G671" s="143" t="n"/>
      <c r="H671" s="143" t="n"/>
      <c r="I671" s="143" t="n"/>
      <c r="J671" s="137">
        <f>IF($H671="","",ROUND($H671*$I671,2))</f>
        <v/>
      </c>
      <c r="K671" s="137">
        <f>IF(OR($H671="",$J671=""),"",ROUND($H671-$J671,2))</f>
        <v/>
      </c>
      <c r="L671" s="143" t="n"/>
    </row>
    <row r="672" ht="18" customHeight="1" s="102">
      <c r="A672" s="137">
        <f>IF($B672="","","TAH-"&amp;TEXT(ROW()-BaslangicSatir,"000000"))</f>
        <v/>
      </c>
      <c r="B672" s="143" t="n"/>
      <c r="C672" s="143" t="n"/>
      <c r="D672" s="143" t="n"/>
      <c r="E672" s="143" t="n"/>
      <c r="F672" s="143" t="n"/>
      <c r="G672" s="143" t="n"/>
      <c r="H672" s="143" t="n"/>
      <c r="I672" s="143" t="n"/>
      <c r="J672" s="137">
        <f>IF($H672="","",ROUND($H672*$I672,2))</f>
        <v/>
      </c>
      <c r="K672" s="137">
        <f>IF(OR($H672="",$J672=""),"",ROUND($H672-$J672,2))</f>
        <v/>
      </c>
      <c r="L672" s="143" t="n"/>
    </row>
    <row r="673" ht="18" customHeight="1" s="102">
      <c r="A673" s="137">
        <f>IF($B673="","","TAH-"&amp;TEXT(ROW()-BaslangicSatir,"000000"))</f>
        <v/>
      </c>
      <c r="B673" s="143" t="n"/>
      <c r="C673" s="143" t="n"/>
      <c r="D673" s="143" t="n"/>
      <c r="E673" s="143" t="n"/>
      <c r="F673" s="143" t="n"/>
      <c r="G673" s="143" t="n"/>
      <c r="H673" s="143" t="n"/>
      <c r="I673" s="143" t="n"/>
      <c r="J673" s="137">
        <f>IF($H673="","",ROUND($H673*$I673,2))</f>
        <v/>
      </c>
      <c r="K673" s="137">
        <f>IF(OR($H673="",$J673=""),"",ROUND($H673-$J673,2))</f>
        <v/>
      </c>
      <c r="L673" s="143" t="n"/>
    </row>
    <row r="674" ht="18" customHeight="1" s="102">
      <c r="A674" s="137">
        <f>IF($B674="","","TAH-"&amp;TEXT(ROW()-BaslangicSatir,"000000"))</f>
        <v/>
      </c>
      <c r="B674" s="143" t="n"/>
      <c r="C674" s="143" t="n"/>
      <c r="D674" s="143" t="n"/>
      <c r="E674" s="143" t="n"/>
      <c r="F674" s="143" t="n"/>
      <c r="G674" s="143" t="n"/>
      <c r="H674" s="143" t="n"/>
      <c r="I674" s="143" t="n"/>
      <c r="J674" s="137">
        <f>IF($H674="","",ROUND($H674*$I674,2))</f>
        <v/>
      </c>
      <c r="K674" s="137">
        <f>IF(OR($H674="",$J674=""),"",ROUND($H674-$J674,2))</f>
        <v/>
      </c>
      <c r="L674" s="143" t="n"/>
    </row>
    <row r="675" ht="18" customHeight="1" s="102">
      <c r="A675" s="137">
        <f>IF($B675="","","TAH-"&amp;TEXT(ROW()-BaslangicSatir,"000000"))</f>
        <v/>
      </c>
      <c r="B675" s="143" t="n"/>
      <c r="C675" s="143" t="n"/>
      <c r="D675" s="143" t="n"/>
      <c r="E675" s="143" t="n"/>
      <c r="F675" s="143" t="n"/>
      <c r="G675" s="143" t="n"/>
      <c r="H675" s="143" t="n"/>
      <c r="I675" s="143" t="n"/>
      <c r="J675" s="137">
        <f>IF($H675="","",ROUND($H675*$I675,2))</f>
        <v/>
      </c>
      <c r="K675" s="137">
        <f>IF(OR($H675="",$J675=""),"",ROUND($H675-$J675,2))</f>
        <v/>
      </c>
      <c r="L675" s="143" t="n"/>
    </row>
    <row r="676" ht="18" customHeight="1" s="102">
      <c r="A676" s="137">
        <f>IF($B676="","","TAH-"&amp;TEXT(ROW()-BaslangicSatir,"000000"))</f>
        <v/>
      </c>
      <c r="B676" s="143" t="n"/>
      <c r="C676" s="143" t="n"/>
      <c r="D676" s="143" t="n"/>
      <c r="E676" s="143" t="n"/>
      <c r="F676" s="143" t="n"/>
      <c r="G676" s="143" t="n"/>
      <c r="H676" s="143" t="n"/>
      <c r="I676" s="143" t="n"/>
      <c r="J676" s="137">
        <f>IF($H676="","",ROUND($H676*$I676,2))</f>
        <v/>
      </c>
      <c r="K676" s="137">
        <f>IF(OR($H676="",$J676=""),"",ROUND($H676-$J676,2))</f>
        <v/>
      </c>
      <c r="L676" s="143" t="n"/>
    </row>
    <row r="677" ht="18" customHeight="1" s="102">
      <c r="A677" s="137">
        <f>IF($B677="","","TAH-"&amp;TEXT(ROW()-BaslangicSatir,"000000"))</f>
        <v/>
      </c>
      <c r="B677" s="143" t="n"/>
      <c r="C677" s="143" t="n"/>
      <c r="D677" s="143" t="n"/>
      <c r="E677" s="143" t="n"/>
      <c r="F677" s="143" t="n"/>
      <c r="G677" s="143" t="n"/>
      <c r="H677" s="143" t="n"/>
      <c r="I677" s="143" t="n"/>
      <c r="J677" s="137">
        <f>IF($H677="","",ROUND($H677*$I677,2))</f>
        <v/>
      </c>
      <c r="K677" s="137">
        <f>IF(OR($H677="",$J677=""),"",ROUND($H677-$J677,2))</f>
        <v/>
      </c>
      <c r="L677" s="143" t="n"/>
    </row>
    <row r="678" ht="18" customHeight="1" s="102">
      <c r="A678" s="137">
        <f>IF($B678="","","TAH-"&amp;TEXT(ROW()-BaslangicSatir,"000000"))</f>
        <v/>
      </c>
      <c r="B678" s="143" t="n"/>
      <c r="C678" s="143" t="n"/>
      <c r="D678" s="143" t="n"/>
      <c r="E678" s="143" t="n"/>
      <c r="F678" s="143" t="n"/>
      <c r="G678" s="143" t="n"/>
      <c r="H678" s="143" t="n"/>
      <c r="I678" s="143" t="n"/>
      <c r="J678" s="137">
        <f>IF($H678="","",ROUND($H678*$I678,2))</f>
        <v/>
      </c>
      <c r="K678" s="137">
        <f>IF(OR($H678="",$J678=""),"",ROUND($H678-$J678,2))</f>
        <v/>
      </c>
      <c r="L678" s="143" t="n"/>
    </row>
    <row r="679" ht="18" customHeight="1" s="102">
      <c r="A679" s="137">
        <f>IF($B679="","","TAH-"&amp;TEXT(ROW()-BaslangicSatir,"000000"))</f>
        <v/>
      </c>
      <c r="B679" s="143" t="n"/>
      <c r="C679" s="143" t="n"/>
      <c r="D679" s="143" t="n"/>
      <c r="E679" s="143" t="n"/>
      <c r="F679" s="143" t="n"/>
      <c r="G679" s="143" t="n"/>
      <c r="H679" s="143" t="n"/>
      <c r="I679" s="143" t="n"/>
      <c r="J679" s="137">
        <f>IF($H679="","",ROUND($H679*$I679,2))</f>
        <v/>
      </c>
      <c r="K679" s="137">
        <f>IF(OR($H679="",$J679=""),"",ROUND($H679-$J679,2))</f>
        <v/>
      </c>
      <c r="L679" s="143" t="n"/>
    </row>
    <row r="680" ht="18" customHeight="1" s="102">
      <c r="A680" s="137">
        <f>IF($B680="","","TAH-"&amp;TEXT(ROW()-BaslangicSatir,"000000"))</f>
        <v/>
      </c>
      <c r="B680" s="143" t="n"/>
      <c r="C680" s="143" t="n"/>
      <c r="D680" s="143" t="n"/>
      <c r="E680" s="143" t="n"/>
      <c r="F680" s="143" t="n"/>
      <c r="G680" s="143" t="n"/>
      <c r="H680" s="143" t="n"/>
      <c r="I680" s="143" t="n"/>
      <c r="J680" s="137">
        <f>IF($H680="","",ROUND($H680*$I680,2))</f>
        <v/>
      </c>
      <c r="K680" s="137">
        <f>IF(OR($H680="",$J680=""),"",ROUND($H680-$J680,2))</f>
        <v/>
      </c>
      <c r="L680" s="143" t="n"/>
    </row>
    <row r="681" ht="18" customHeight="1" s="102">
      <c r="A681" s="137">
        <f>IF($B681="","","TAH-"&amp;TEXT(ROW()-BaslangicSatir,"000000"))</f>
        <v/>
      </c>
      <c r="B681" s="143" t="n"/>
      <c r="C681" s="143" t="n"/>
      <c r="D681" s="143" t="n"/>
      <c r="E681" s="143" t="n"/>
      <c r="F681" s="143" t="n"/>
      <c r="G681" s="143" t="n"/>
      <c r="H681" s="143" t="n"/>
      <c r="I681" s="143" t="n"/>
      <c r="J681" s="137">
        <f>IF($H681="","",ROUND($H681*$I681,2))</f>
        <v/>
      </c>
      <c r="K681" s="137">
        <f>IF(OR($H681="",$J681=""),"",ROUND($H681-$J681,2))</f>
        <v/>
      </c>
      <c r="L681" s="143" t="n"/>
    </row>
    <row r="682" ht="18" customHeight="1" s="102">
      <c r="A682" s="137">
        <f>IF($B682="","","TAH-"&amp;TEXT(ROW()-BaslangicSatir,"000000"))</f>
        <v/>
      </c>
      <c r="B682" s="143" t="n"/>
      <c r="C682" s="143" t="n"/>
      <c r="D682" s="143" t="n"/>
      <c r="E682" s="143" t="n"/>
      <c r="F682" s="143" t="n"/>
      <c r="G682" s="143" t="n"/>
      <c r="H682" s="143" t="n"/>
      <c r="I682" s="143" t="n"/>
      <c r="J682" s="137">
        <f>IF($H682="","",ROUND($H682*$I682,2))</f>
        <v/>
      </c>
      <c r="K682" s="137">
        <f>IF(OR($H682="",$J682=""),"",ROUND($H682-$J682,2))</f>
        <v/>
      </c>
      <c r="L682" s="143" t="n"/>
    </row>
    <row r="683" ht="18" customHeight="1" s="102">
      <c r="A683" s="137">
        <f>IF($B683="","","TAH-"&amp;TEXT(ROW()-BaslangicSatir,"000000"))</f>
        <v/>
      </c>
      <c r="B683" s="143" t="n"/>
      <c r="C683" s="143" t="n"/>
      <c r="D683" s="143" t="n"/>
      <c r="E683" s="143" t="n"/>
      <c r="F683" s="143" t="n"/>
      <c r="G683" s="143" t="n"/>
      <c r="H683" s="143" t="n"/>
      <c r="I683" s="143" t="n"/>
      <c r="J683" s="137">
        <f>IF($H683="","",ROUND($H683*$I683,2))</f>
        <v/>
      </c>
      <c r="K683" s="137">
        <f>IF(OR($H683="",$J683=""),"",ROUND($H683-$J683,2))</f>
        <v/>
      </c>
      <c r="L683" s="143" t="n"/>
    </row>
    <row r="684" ht="18" customHeight="1" s="102">
      <c r="A684" s="137">
        <f>IF($B684="","","TAH-"&amp;TEXT(ROW()-BaslangicSatir,"000000"))</f>
        <v/>
      </c>
      <c r="B684" s="143" t="n"/>
      <c r="C684" s="143" t="n"/>
      <c r="D684" s="143" t="n"/>
      <c r="E684" s="143" t="n"/>
      <c r="F684" s="143" t="n"/>
      <c r="G684" s="143" t="n"/>
      <c r="H684" s="143" t="n"/>
      <c r="I684" s="143" t="n"/>
      <c r="J684" s="137">
        <f>IF($H684="","",ROUND($H684*$I684,2))</f>
        <v/>
      </c>
      <c r="K684" s="137">
        <f>IF(OR($H684="",$J684=""),"",ROUND($H684-$J684,2))</f>
        <v/>
      </c>
      <c r="L684" s="143" t="n"/>
    </row>
    <row r="685" ht="18" customHeight="1" s="102">
      <c r="A685" s="137">
        <f>IF($B685="","","TAH-"&amp;TEXT(ROW()-BaslangicSatir,"000000"))</f>
        <v/>
      </c>
      <c r="B685" s="143" t="n"/>
      <c r="C685" s="143" t="n"/>
      <c r="D685" s="143" t="n"/>
      <c r="E685" s="143" t="n"/>
      <c r="F685" s="143" t="n"/>
      <c r="G685" s="143" t="n"/>
      <c r="H685" s="143" t="n"/>
      <c r="I685" s="143" t="n"/>
      <c r="J685" s="137">
        <f>IF($H685="","",ROUND($H685*$I685,2))</f>
        <v/>
      </c>
      <c r="K685" s="137">
        <f>IF(OR($H685="",$J685=""),"",ROUND($H685-$J685,2))</f>
        <v/>
      </c>
      <c r="L685" s="143" t="n"/>
    </row>
    <row r="686" ht="18" customHeight="1" s="102">
      <c r="A686" s="137">
        <f>IF($B686="","","TAH-"&amp;TEXT(ROW()-BaslangicSatir,"000000"))</f>
        <v/>
      </c>
      <c r="B686" s="143" t="n"/>
      <c r="C686" s="143" t="n"/>
      <c r="D686" s="143" t="n"/>
      <c r="E686" s="143" t="n"/>
      <c r="F686" s="143" t="n"/>
      <c r="G686" s="143" t="n"/>
      <c r="H686" s="143" t="n"/>
      <c r="I686" s="143" t="n"/>
      <c r="J686" s="137">
        <f>IF($H686="","",ROUND($H686*$I686,2))</f>
        <v/>
      </c>
      <c r="K686" s="137">
        <f>IF(OR($H686="",$J686=""),"",ROUND($H686-$J686,2))</f>
        <v/>
      </c>
      <c r="L686" s="143" t="n"/>
    </row>
    <row r="687" ht="18" customHeight="1" s="102">
      <c r="A687" s="137">
        <f>IF($B687="","","TAH-"&amp;TEXT(ROW()-BaslangicSatir,"000000"))</f>
        <v/>
      </c>
      <c r="B687" s="143" t="n"/>
      <c r="C687" s="143" t="n"/>
      <c r="D687" s="143" t="n"/>
      <c r="E687" s="143" t="n"/>
      <c r="F687" s="143" t="n"/>
      <c r="G687" s="143" t="n"/>
      <c r="H687" s="143" t="n"/>
      <c r="I687" s="143" t="n"/>
      <c r="J687" s="137">
        <f>IF($H687="","",ROUND($H687*$I687,2))</f>
        <v/>
      </c>
      <c r="K687" s="137">
        <f>IF(OR($H687="",$J687=""),"",ROUND($H687-$J687,2))</f>
        <v/>
      </c>
      <c r="L687" s="143" t="n"/>
    </row>
    <row r="688" ht="18" customHeight="1" s="102">
      <c r="A688" s="137">
        <f>IF($B688="","","TAH-"&amp;TEXT(ROW()-BaslangicSatir,"000000"))</f>
        <v/>
      </c>
      <c r="B688" s="143" t="n"/>
      <c r="C688" s="143" t="n"/>
      <c r="D688" s="143" t="n"/>
      <c r="E688" s="143" t="n"/>
      <c r="F688" s="143" t="n"/>
      <c r="G688" s="143" t="n"/>
      <c r="H688" s="143" t="n"/>
      <c r="I688" s="143" t="n"/>
      <c r="J688" s="137">
        <f>IF($H688="","",ROUND($H688*$I688,2))</f>
        <v/>
      </c>
      <c r="K688" s="137">
        <f>IF(OR($H688="",$J688=""),"",ROUND($H688-$J688,2))</f>
        <v/>
      </c>
      <c r="L688" s="143" t="n"/>
    </row>
    <row r="689" ht="18" customHeight="1" s="102">
      <c r="A689" s="137">
        <f>IF($B689="","","TAH-"&amp;TEXT(ROW()-BaslangicSatir,"000000"))</f>
        <v/>
      </c>
      <c r="B689" s="143" t="n"/>
      <c r="C689" s="143" t="n"/>
      <c r="D689" s="143" t="n"/>
      <c r="E689" s="143" t="n"/>
      <c r="F689" s="143" t="n"/>
      <c r="G689" s="143" t="n"/>
      <c r="H689" s="143" t="n"/>
      <c r="I689" s="143" t="n"/>
      <c r="J689" s="137">
        <f>IF($H689="","",ROUND($H689*$I689,2))</f>
        <v/>
      </c>
      <c r="K689" s="137">
        <f>IF(OR($H689="",$J689=""),"",ROUND($H689-$J689,2))</f>
        <v/>
      </c>
      <c r="L689" s="143" t="n"/>
    </row>
    <row r="690" ht="18" customHeight="1" s="102">
      <c r="A690" s="137">
        <f>IF($B690="","","TAH-"&amp;TEXT(ROW()-BaslangicSatir,"000000"))</f>
        <v/>
      </c>
      <c r="B690" s="143" t="n"/>
      <c r="C690" s="143" t="n"/>
      <c r="D690" s="143" t="n"/>
      <c r="E690" s="143" t="n"/>
      <c r="F690" s="143" t="n"/>
      <c r="G690" s="143" t="n"/>
      <c r="H690" s="143" t="n"/>
      <c r="I690" s="143" t="n"/>
      <c r="J690" s="137">
        <f>IF($H690="","",ROUND($H690*$I690,2))</f>
        <v/>
      </c>
      <c r="K690" s="137">
        <f>IF(OR($H690="",$J690=""),"",ROUND($H690-$J690,2))</f>
        <v/>
      </c>
      <c r="L690" s="143" t="n"/>
    </row>
    <row r="691" ht="18" customHeight="1" s="102">
      <c r="A691" s="137">
        <f>IF($B691="","","TAH-"&amp;TEXT(ROW()-BaslangicSatir,"000000"))</f>
        <v/>
      </c>
      <c r="B691" s="143" t="n"/>
      <c r="C691" s="143" t="n"/>
      <c r="D691" s="143" t="n"/>
      <c r="E691" s="143" t="n"/>
      <c r="F691" s="143" t="n"/>
      <c r="G691" s="143" t="n"/>
      <c r="H691" s="143" t="n"/>
      <c r="I691" s="143" t="n"/>
      <c r="J691" s="137">
        <f>IF($H691="","",ROUND($H691*$I691,2))</f>
        <v/>
      </c>
      <c r="K691" s="137">
        <f>IF(OR($H691="",$J691=""),"",ROUND($H691-$J691,2))</f>
        <v/>
      </c>
      <c r="L691" s="143" t="n"/>
    </row>
    <row r="692" ht="18" customHeight="1" s="102">
      <c r="A692" s="137">
        <f>IF($B692="","","TAH-"&amp;TEXT(ROW()-BaslangicSatir,"000000"))</f>
        <v/>
      </c>
      <c r="B692" s="143" t="n"/>
      <c r="C692" s="143" t="n"/>
      <c r="D692" s="143" t="n"/>
      <c r="E692" s="143" t="n"/>
      <c r="F692" s="143" t="n"/>
      <c r="G692" s="143" t="n"/>
      <c r="H692" s="143" t="n"/>
      <c r="I692" s="143" t="n"/>
      <c r="J692" s="137">
        <f>IF($H692="","",ROUND($H692*$I692,2))</f>
        <v/>
      </c>
      <c r="K692" s="137">
        <f>IF(OR($H692="",$J692=""),"",ROUND($H692-$J692,2))</f>
        <v/>
      </c>
      <c r="L692" s="143" t="n"/>
    </row>
    <row r="693" ht="18" customHeight="1" s="102">
      <c r="A693" s="137">
        <f>IF($B693="","","TAH-"&amp;TEXT(ROW()-BaslangicSatir,"000000"))</f>
        <v/>
      </c>
      <c r="B693" s="143" t="n"/>
      <c r="C693" s="143" t="n"/>
      <c r="D693" s="143" t="n"/>
      <c r="E693" s="143" t="n"/>
      <c r="F693" s="143" t="n"/>
      <c r="G693" s="143" t="n"/>
      <c r="H693" s="143" t="n"/>
      <c r="I693" s="143" t="n"/>
      <c r="J693" s="137">
        <f>IF($H693="","",ROUND($H693*$I693,2))</f>
        <v/>
      </c>
      <c r="K693" s="137">
        <f>IF(OR($H693="",$J693=""),"",ROUND($H693-$J693,2))</f>
        <v/>
      </c>
      <c r="L693" s="143" t="n"/>
    </row>
    <row r="694" ht="18" customHeight="1" s="102">
      <c r="A694" s="137">
        <f>IF($B694="","","TAH-"&amp;TEXT(ROW()-BaslangicSatir,"000000"))</f>
        <v/>
      </c>
      <c r="B694" s="143" t="n"/>
      <c r="C694" s="143" t="n"/>
      <c r="D694" s="143" t="n"/>
      <c r="E694" s="143" t="n"/>
      <c r="F694" s="143" t="n"/>
      <c r="G694" s="143" t="n"/>
      <c r="H694" s="143" t="n"/>
      <c r="I694" s="143" t="n"/>
      <c r="J694" s="137">
        <f>IF($H694="","",ROUND($H694*$I694,2))</f>
        <v/>
      </c>
      <c r="K694" s="137">
        <f>IF(OR($H694="",$J694=""),"",ROUND($H694-$J694,2))</f>
        <v/>
      </c>
      <c r="L694" s="143" t="n"/>
    </row>
    <row r="695" ht="18" customHeight="1" s="102">
      <c r="A695" s="137">
        <f>IF($B695="","","TAH-"&amp;TEXT(ROW()-BaslangicSatir,"000000"))</f>
        <v/>
      </c>
      <c r="B695" s="143" t="n"/>
      <c r="C695" s="143" t="n"/>
      <c r="D695" s="143" t="n"/>
      <c r="E695" s="143" t="n"/>
      <c r="F695" s="143" t="n"/>
      <c r="G695" s="143" t="n"/>
      <c r="H695" s="143" t="n"/>
      <c r="I695" s="143" t="n"/>
      <c r="J695" s="137">
        <f>IF($H695="","",ROUND($H695*$I695,2))</f>
        <v/>
      </c>
      <c r="K695" s="137">
        <f>IF(OR($H695="",$J695=""),"",ROUND($H695-$J695,2))</f>
        <v/>
      </c>
      <c r="L695" s="143" t="n"/>
    </row>
    <row r="696" ht="18" customHeight="1" s="102">
      <c r="A696" s="137">
        <f>IF($B696="","","TAH-"&amp;TEXT(ROW()-BaslangicSatir,"000000"))</f>
        <v/>
      </c>
      <c r="B696" s="143" t="n"/>
      <c r="C696" s="143" t="n"/>
      <c r="D696" s="143" t="n"/>
      <c r="E696" s="143" t="n"/>
      <c r="F696" s="143" t="n"/>
      <c r="G696" s="143" t="n"/>
      <c r="H696" s="143" t="n"/>
      <c r="I696" s="143" t="n"/>
      <c r="J696" s="137">
        <f>IF($H696="","",ROUND($H696*$I696,2))</f>
        <v/>
      </c>
      <c r="K696" s="137">
        <f>IF(OR($H696="",$J696=""),"",ROUND($H696-$J696,2))</f>
        <v/>
      </c>
      <c r="L696" s="143" t="n"/>
    </row>
    <row r="697" ht="18" customHeight="1" s="102">
      <c r="A697" s="137">
        <f>IF($B697="","","TAH-"&amp;TEXT(ROW()-BaslangicSatir,"000000"))</f>
        <v/>
      </c>
      <c r="B697" s="143" t="n"/>
      <c r="C697" s="143" t="n"/>
      <c r="D697" s="143" t="n"/>
      <c r="E697" s="143" t="n"/>
      <c r="F697" s="143" t="n"/>
      <c r="G697" s="143" t="n"/>
      <c r="H697" s="143" t="n"/>
      <c r="I697" s="143" t="n"/>
      <c r="J697" s="137">
        <f>IF($H697="","",ROUND($H697*$I697,2))</f>
        <v/>
      </c>
      <c r="K697" s="137">
        <f>IF(OR($H697="",$J697=""),"",ROUND($H697-$J697,2))</f>
        <v/>
      </c>
      <c r="L697" s="143" t="n"/>
    </row>
    <row r="698" ht="18" customHeight="1" s="102">
      <c r="A698" s="137">
        <f>IF($B698="","","TAH-"&amp;TEXT(ROW()-BaslangicSatir,"000000"))</f>
        <v/>
      </c>
      <c r="B698" s="143" t="n"/>
      <c r="C698" s="143" t="n"/>
      <c r="D698" s="143" t="n"/>
      <c r="E698" s="143" t="n"/>
      <c r="F698" s="143" t="n"/>
      <c r="G698" s="143" t="n"/>
      <c r="H698" s="143" t="n"/>
      <c r="I698" s="143" t="n"/>
      <c r="J698" s="137">
        <f>IF($H698="","",ROUND($H698*$I698,2))</f>
        <v/>
      </c>
      <c r="K698" s="137">
        <f>IF(OR($H698="",$J698=""),"",ROUND($H698-$J698,2))</f>
        <v/>
      </c>
      <c r="L698" s="143" t="n"/>
    </row>
    <row r="699" ht="18" customHeight="1" s="102">
      <c r="A699" s="137">
        <f>IF($B699="","","TAH-"&amp;TEXT(ROW()-BaslangicSatir,"000000"))</f>
        <v/>
      </c>
      <c r="B699" s="143" t="n"/>
      <c r="C699" s="143" t="n"/>
      <c r="D699" s="143" t="n"/>
      <c r="E699" s="143" t="n"/>
      <c r="F699" s="143" t="n"/>
      <c r="G699" s="143" t="n"/>
      <c r="H699" s="143" t="n"/>
      <c r="I699" s="143" t="n"/>
      <c r="J699" s="137">
        <f>IF($H699="","",ROUND($H699*$I699,2))</f>
        <v/>
      </c>
      <c r="K699" s="137">
        <f>IF(OR($H699="",$J699=""),"",ROUND($H699-$J699,2))</f>
        <v/>
      </c>
      <c r="L699" s="143" t="n"/>
    </row>
    <row r="700" ht="18" customHeight="1" s="102">
      <c r="A700" s="137">
        <f>IF($B700="","","TAH-"&amp;TEXT(ROW()-BaslangicSatir,"000000"))</f>
        <v/>
      </c>
      <c r="B700" s="143" t="n"/>
      <c r="C700" s="143" t="n"/>
      <c r="D700" s="143" t="n"/>
      <c r="E700" s="143" t="n"/>
      <c r="F700" s="143" t="n"/>
      <c r="G700" s="143" t="n"/>
      <c r="H700" s="143" t="n"/>
      <c r="I700" s="143" t="n"/>
      <c r="J700" s="137">
        <f>IF($H700="","",ROUND($H700*$I700,2))</f>
        <v/>
      </c>
      <c r="K700" s="137">
        <f>IF(OR($H700="",$J700=""),"",ROUND($H700-$J700,2))</f>
        <v/>
      </c>
      <c r="L700" s="143" t="n"/>
    </row>
    <row r="701" ht="18" customHeight="1" s="102">
      <c r="A701" s="137">
        <f>IF($B701="","","TAH-"&amp;TEXT(ROW()-BaslangicSatir,"000000"))</f>
        <v/>
      </c>
      <c r="B701" s="143" t="n"/>
      <c r="C701" s="143" t="n"/>
      <c r="D701" s="143" t="n"/>
      <c r="E701" s="143" t="n"/>
      <c r="F701" s="143" t="n"/>
      <c r="G701" s="143" t="n"/>
      <c r="H701" s="143" t="n"/>
      <c r="I701" s="143" t="n"/>
      <c r="J701" s="137">
        <f>IF($H701="","",ROUND($H701*$I701,2))</f>
        <v/>
      </c>
      <c r="K701" s="137">
        <f>IF(OR($H701="",$J701=""),"",ROUND($H701-$J701,2))</f>
        <v/>
      </c>
      <c r="L701" s="143" t="n"/>
    </row>
    <row r="702" ht="18" customHeight="1" s="102">
      <c r="A702" s="137">
        <f>IF($B702="","","TAH-"&amp;TEXT(ROW()-BaslangicSatir,"000000"))</f>
        <v/>
      </c>
      <c r="B702" s="143" t="n"/>
      <c r="C702" s="143" t="n"/>
      <c r="D702" s="143" t="n"/>
      <c r="E702" s="143" t="n"/>
      <c r="F702" s="143" t="n"/>
      <c r="G702" s="143" t="n"/>
      <c r="H702" s="143" t="n"/>
      <c r="I702" s="143" t="n"/>
      <c r="J702" s="137">
        <f>IF($H702="","",ROUND($H702*$I702,2))</f>
        <v/>
      </c>
      <c r="K702" s="137">
        <f>IF(OR($H702="",$J702=""),"",ROUND($H702-$J702,2))</f>
        <v/>
      </c>
      <c r="L702" s="143" t="n"/>
    </row>
    <row r="703" ht="18" customHeight="1" s="102">
      <c r="A703" s="137">
        <f>IF($B703="","","TAH-"&amp;TEXT(ROW()-BaslangicSatir,"000000"))</f>
        <v/>
      </c>
      <c r="B703" s="143" t="n"/>
      <c r="C703" s="143" t="n"/>
      <c r="D703" s="143" t="n"/>
      <c r="E703" s="143" t="n"/>
      <c r="F703" s="143" t="n"/>
      <c r="G703" s="143" t="n"/>
      <c r="H703" s="143" t="n"/>
      <c r="I703" s="143" t="n"/>
      <c r="J703" s="137">
        <f>IF($H703="","",ROUND($H703*$I703,2))</f>
        <v/>
      </c>
      <c r="K703" s="137">
        <f>IF(OR($H703="",$J703=""),"",ROUND($H703-$J703,2))</f>
        <v/>
      </c>
      <c r="L703" s="143" t="n"/>
    </row>
    <row r="704" ht="18" customHeight="1" s="102">
      <c r="A704" s="137">
        <f>IF($B704="","","TAH-"&amp;TEXT(ROW()-BaslangicSatir,"000000"))</f>
        <v/>
      </c>
      <c r="B704" s="143" t="n"/>
      <c r="C704" s="143" t="n"/>
      <c r="D704" s="143" t="n"/>
      <c r="E704" s="143" t="n"/>
      <c r="F704" s="143" t="n"/>
      <c r="G704" s="143" t="n"/>
      <c r="H704" s="143" t="n"/>
      <c r="I704" s="143" t="n"/>
      <c r="J704" s="137">
        <f>IF($H704="","",ROUND($H704*$I704,2))</f>
        <v/>
      </c>
      <c r="K704" s="137">
        <f>IF(OR($H704="",$J704=""),"",ROUND($H704-$J704,2))</f>
        <v/>
      </c>
      <c r="L704" s="143" t="n"/>
    </row>
    <row r="705" ht="18" customHeight="1" s="102">
      <c r="A705" s="137">
        <f>IF($B705="","","TAH-"&amp;TEXT(ROW()-BaslangicSatir,"000000"))</f>
        <v/>
      </c>
      <c r="B705" s="143" t="n"/>
      <c r="C705" s="143" t="n"/>
      <c r="D705" s="143" t="n"/>
      <c r="E705" s="143" t="n"/>
      <c r="F705" s="143" t="n"/>
      <c r="G705" s="143" t="n"/>
      <c r="H705" s="143" t="n"/>
      <c r="I705" s="143" t="n"/>
      <c r="J705" s="137">
        <f>IF($H705="","",ROUND($H705*$I705,2))</f>
        <v/>
      </c>
      <c r="K705" s="137">
        <f>IF(OR($H705="",$J705=""),"",ROUND($H705-$J705,2))</f>
        <v/>
      </c>
      <c r="L705" s="143" t="n"/>
    </row>
    <row r="706" ht="18" customHeight="1" s="102">
      <c r="A706" s="137">
        <f>IF($B706="","","TAH-"&amp;TEXT(ROW()-BaslangicSatir,"000000"))</f>
        <v/>
      </c>
      <c r="B706" s="143" t="n"/>
      <c r="C706" s="143" t="n"/>
      <c r="D706" s="143" t="n"/>
      <c r="E706" s="143" t="n"/>
      <c r="F706" s="143" t="n"/>
      <c r="G706" s="143" t="n"/>
      <c r="H706" s="143" t="n"/>
      <c r="I706" s="143" t="n"/>
      <c r="J706" s="137">
        <f>IF($H706="","",ROUND($H706*$I706,2))</f>
        <v/>
      </c>
      <c r="K706" s="137">
        <f>IF(OR($H706="",$J706=""),"",ROUND($H706-$J706,2))</f>
        <v/>
      </c>
      <c r="L706" s="143" t="n"/>
    </row>
    <row r="707" ht="18" customHeight="1" s="102">
      <c r="A707" s="137">
        <f>IF($B707="","","TAH-"&amp;TEXT(ROW()-BaslangicSatir,"000000"))</f>
        <v/>
      </c>
      <c r="B707" s="143" t="n"/>
      <c r="C707" s="143" t="n"/>
      <c r="D707" s="143" t="n"/>
      <c r="E707" s="143" t="n"/>
      <c r="F707" s="143" t="n"/>
      <c r="G707" s="143" t="n"/>
      <c r="H707" s="143" t="n"/>
      <c r="I707" s="143" t="n"/>
      <c r="J707" s="137">
        <f>IF($H707="","",ROUND($H707*$I707,2))</f>
        <v/>
      </c>
      <c r="K707" s="137">
        <f>IF(OR($H707="",$J707=""),"",ROUND($H707-$J707,2))</f>
        <v/>
      </c>
      <c r="L707" s="143" t="n"/>
    </row>
    <row r="708" ht="18" customHeight="1" s="102">
      <c r="A708" s="137">
        <f>IF($B708="","","TAH-"&amp;TEXT(ROW()-BaslangicSatir,"000000"))</f>
        <v/>
      </c>
      <c r="B708" s="143" t="n"/>
      <c r="C708" s="143" t="n"/>
      <c r="D708" s="143" t="n"/>
      <c r="E708" s="143" t="n"/>
      <c r="F708" s="143" t="n"/>
      <c r="G708" s="143" t="n"/>
      <c r="H708" s="143" t="n"/>
      <c r="I708" s="143" t="n"/>
      <c r="J708" s="137">
        <f>IF($H708="","",ROUND($H708*$I708,2))</f>
        <v/>
      </c>
      <c r="K708" s="137">
        <f>IF(OR($H708="",$J708=""),"",ROUND($H708-$J708,2))</f>
        <v/>
      </c>
      <c r="L708" s="143" t="n"/>
    </row>
    <row r="709" ht="18" customHeight="1" s="102">
      <c r="A709" s="137">
        <f>IF($B709="","","TAH-"&amp;TEXT(ROW()-BaslangicSatir,"000000"))</f>
        <v/>
      </c>
      <c r="B709" s="143" t="n"/>
      <c r="C709" s="143" t="n"/>
      <c r="D709" s="143" t="n"/>
      <c r="E709" s="143" t="n"/>
      <c r="F709" s="143" t="n"/>
      <c r="G709" s="143" t="n"/>
      <c r="H709" s="143" t="n"/>
      <c r="I709" s="143" t="n"/>
      <c r="J709" s="137">
        <f>IF($H709="","",ROUND($H709*$I709,2))</f>
        <v/>
      </c>
      <c r="K709" s="137">
        <f>IF(OR($H709="",$J709=""),"",ROUND($H709-$J709,2))</f>
        <v/>
      </c>
      <c r="L709" s="143" t="n"/>
    </row>
    <row r="710" ht="18" customHeight="1" s="102">
      <c r="A710" s="137">
        <f>IF($B710="","","TAH-"&amp;TEXT(ROW()-BaslangicSatir,"000000"))</f>
        <v/>
      </c>
      <c r="B710" s="143" t="n"/>
      <c r="C710" s="143" t="n"/>
      <c r="D710" s="143" t="n"/>
      <c r="E710" s="143" t="n"/>
      <c r="F710" s="143" t="n"/>
      <c r="G710" s="143" t="n"/>
      <c r="H710" s="143" t="n"/>
      <c r="I710" s="143" t="n"/>
      <c r="J710" s="137">
        <f>IF($H710="","",ROUND($H710*$I710,2))</f>
        <v/>
      </c>
      <c r="K710" s="137">
        <f>IF(OR($H710="",$J710=""),"",ROUND($H710-$J710,2))</f>
        <v/>
      </c>
      <c r="L710" s="143" t="n"/>
    </row>
    <row r="711" ht="18" customHeight="1" s="102">
      <c r="A711" s="137">
        <f>IF($B711="","","TAH-"&amp;TEXT(ROW()-BaslangicSatir,"000000"))</f>
        <v/>
      </c>
      <c r="B711" s="143" t="n"/>
      <c r="C711" s="143" t="n"/>
      <c r="D711" s="143" t="n"/>
      <c r="E711" s="143" t="n"/>
      <c r="F711" s="143" t="n"/>
      <c r="G711" s="143" t="n"/>
      <c r="H711" s="143" t="n"/>
      <c r="I711" s="143" t="n"/>
      <c r="J711" s="137">
        <f>IF($H711="","",ROUND($H711*$I711,2))</f>
        <v/>
      </c>
      <c r="K711" s="137">
        <f>IF(OR($H711="",$J711=""),"",ROUND($H711-$J711,2))</f>
        <v/>
      </c>
      <c r="L711" s="143" t="n"/>
    </row>
    <row r="712" ht="18" customHeight="1" s="102">
      <c r="A712" s="137">
        <f>IF($B712="","","TAH-"&amp;TEXT(ROW()-BaslangicSatir,"000000"))</f>
        <v/>
      </c>
      <c r="B712" s="143" t="n"/>
      <c r="C712" s="143" t="n"/>
      <c r="D712" s="143" t="n"/>
      <c r="E712" s="143" t="n"/>
      <c r="F712" s="143" t="n"/>
      <c r="G712" s="143" t="n"/>
      <c r="H712" s="143" t="n"/>
      <c r="I712" s="143" t="n"/>
      <c r="J712" s="137">
        <f>IF($H712="","",ROUND($H712*$I712,2))</f>
        <v/>
      </c>
      <c r="K712" s="137">
        <f>IF(OR($H712="",$J712=""),"",ROUND($H712-$J712,2))</f>
        <v/>
      </c>
      <c r="L712" s="143" t="n"/>
    </row>
    <row r="713" ht="18" customHeight="1" s="102">
      <c r="A713" s="137">
        <f>IF($B713="","","TAH-"&amp;TEXT(ROW()-BaslangicSatir,"000000"))</f>
        <v/>
      </c>
      <c r="B713" s="143" t="n"/>
      <c r="C713" s="143" t="n"/>
      <c r="D713" s="143" t="n"/>
      <c r="E713" s="143" t="n"/>
      <c r="F713" s="143" t="n"/>
      <c r="G713" s="143" t="n"/>
      <c r="H713" s="143" t="n"/>
      <c r="I713" s="143" t="n"/>
      <c r="J713" s="137">
        <f>IF($H713="","",ROUND($H713*$I713,2))</f>
        <v/>
      </c>
      <c r="K713" s="137">
        <f>IF(OR($H713="",$J713=""),"",ROUND($H713-$J713,2))</f>
        <v/>
      </c>
      <c r="L713" s="143" t="n"/>
    </row>
    <row r="714" ht="18" customHeight="1" s="102">
      <c r="A714" s="137">
        <f>IF($B714="","","TAH-"&amp;TEXT(ROW()-BaslangicSatir,"000000"))</f>
        <v/>
      </c>
      <c r="B714" s="143" t="n"/>
      <c r="C714" s="143" t="n"/>
      <c r="D714" s="143" t="n"/>
      <c r="E714" s="143" t="n"/>
      <c r="F714" s="143" t="n"/>
      <c r="G714" s="143" t="n"/>
      <c r="H714" s="143" t="n"/>
      <c r="I714" s="143" t="n"/>
      <c r="J714" s="137">
        <f>IF($H714="","",ROUND($H714*$I714,2))</f>
        <v/>
      </c>
      <c r="K714" s="137">
        <f>IF(OR($H714="",$J714=""),"",ROUND($H714-$J714,2))</f>
        <v/>
      </c>
      <c r="L714" s="143" t="n"/>
    </row>
    <row r="715" ht="18" customHeight="1" s="102">
      <c r="A715" s="137">
        <f>IF($B715="","","TAH-"&amp;TEXT(ROW()-BaslangicSatir,"000000"))</f>
        <v/>
      </c>
      <c r="B715" s="143" t="n"/>
      <c r="C715" s="143" t="n"/>
      <c r="D715" s="143" t="n"/>
      <c r="E715" s="143" t="n"/>
      <c r="F715" s="143" t="n"/>
      <c r="G715" s="143" t="n"/>
      <c r="H715" s="143" t="n"/>
      <c r="I715" s="143" t="n"/>
      <c r="J715" s="137">
        <f>IF($H715="","",ROUND($H715*$I715,2))</f>
        <v/>
      </c>
      <c r="K715" s="137">
        <f>IF(OR($H715="",$J715=""),"",ROUND($H715-$J715,2))</f>
        <v/>
      </c>
      <c r="L715" s="143" t="n"/>
    </row>
    <row r="716" ht="18" customHeight="1" s="102">
      <c r="A716" s="137">
        <f>IF($B716="","","TAH-"&amp;TEXT(ROW()-BaslangicSatir,"000000"))</f>
        <v/>
      </c>
      <c r="B716" s="143" t="n"/>
      <c r="C716" s="143" t="n"/>
      <c r="D716" s="143" t="n"/>
      <c r="E716" s="143" t="n"/>
      <c r="F716" s="143" t="n"/>
      <c r="G716" s="143" t="n"/>
      <c r="H716" s="143" t="n"/>
      <c r="I716" s="143" t="n"/>
      <c r="J716" s="137">
        <f>IF($H716="","",ROUND($H716*$I716,2))</f>
        <v/>
      </c>
      <c r="K716" s="137">
        <f>IF(OR($H716="",$J716=""),"",ROUND($H716-$J716,2))</f>
        <v/>
      </c>
      <c r="L716" s="143" t="n"/>
    </row>
    <row r="717" ht="18" customHeight="1" s="102">
      <c r="A717" s="137">
        <f>IF($B717="","","TAH-"&amp;TEXT(ROW()-BaslangicSatir,"000000"))</f>
        <v/>
      </c>
      <c r="B717" s="143" t="n"/>
      <c r="C717" s="143" t="n"/>
      <c r="D717" s="143" t="n"/>
      <c r="E717" s="143" t="n"/>
      <c r="F717" s="143" t="n"/>
      <c r="G717" s="143" t="n"/>
      <c r="H717" s="143" t="n"/>
      <c r="I717" s="143" t="n"/>
      <c r="J717" s="137">
        <f>IF($H717="","",ROUND($H717*$I717,2))</f>
        <v/>
      </c>
      <c r="K717" s="137">
        <f>IF(OR($H717="",$J717=""),"",ROUND($H717-$J717,2))</f>
        <v/>
      </c>
      <c r="L717" s="143" t="n"/>
    </row>
    <row r="718" ht="18" customHeight="1" s="102">
      <c r="A718" s="137">
        <f>IF($B718="","","TAH-"&amp;TEXT(ROW()-BaslangicSatir,"000000"))</f>
        <v/>
      </c>
      <c r="B718" s="143" t="n"/>
      <c r="C718" s="143" t="n"/>
      <c r="D718" s="143" t="n"/>
      <c r="E718" s="143" t="n"/>
      <c r="F718" s="143" t="n"/>
      <c r="G718" s="143" t="n"/>
      <c r="H718" s="143" t="n"/>
      <c r="I718" s="143" t="n"/>
      <c r="J718" s="137">
        <f>IF($H718="","",ROUND($H718*$I718,2))</f>
        <v/>
      </c>
      <c r="K718" s="137">
        <f>IF(OR($H718="",$J718=""),"",ROUND($H718-$J718,2))</f>
        <v/>
      </c>
      <c r="L718" s="143" t="n"/>
    </row>
    <row r="719" ht="18" customHeight="1" s="102">
      <c r="A719" s="137">
        <f>IF($B719="","","TAH-"&amp;TEXT(ROW()-BaslangicSatir,"000000"))</f>
        <v/>
      </c>
      <c r="B719" s="143" t="n"/>
      <c r="C719" s="143" t="n"/>
      <c r="D719" s="143" t="n"/>
      <c r="E719" s="143" t="n"/>
      <c r="F719" s="143" t="n"/>
      <c r="G719" s="143" t="n"/>
      <c r="H719" s="143" t="n"/>
      <c r="I719" s="143" t="n"/>
      <c r="J719" s="137">
        <f>IF($H719="","",ROUND($H719*$I719,2))</f>
        <v/>
      </c>
      <c r="K719" s="137">
        <f>IF(OR($H719="",$J719=""),"",ROUND($H719-$J719,2))</f>
        <v/>
      </c>
      <c r="L719" s="143" t="n"/>
    </row>
    <row r="720" ht="18" customHeight="1" s="102">
      <c r="A720" s="137">
        <f>IF($B720="","","TAH-"&amp;TEXT(ROW()-BaslangicSatir,"000000"))</f>
        <v/>
      </c>
      <c r="B720" s="143" t="n"/>
      <c r="C720" s="143" t="n"/>
      <c r="D720" s="143" t="n"/>
      <c r="E720" s="143" t="n"/>
      <c r="F720" s="143" t="n"/>
      <c r="G720" s="143" t="n"/>
      <c r="H720" s="143" t="n"/>
      <c r="I720" s="143" t="n"/>
      <c r="J720" s="137">
        <f>IF($H720="","",ROUND($H720*$I720,2))</f>
        <v/>
      </c>
      <c r="K720" s="137">
        <f>IF(OR($H720="",$J720=""),"",ROUND($H720-$J720,2))</f>
        <v/>
      </c>
      <c r="L720" s="143" t="n"/>
    </row>
    <row r="721" ht="18" customHeight="1" s="102">
      <c r="A721" s="137">
        <f>IF($B721="","","TAH-"&amp;TEXT(ROW()-BaslangicSatir,"000000"))</f>
        <v/>
      </c>
      <c r="B721" s="143" t="n"/>
      <c r="C721" s="143" t="n"/>
      <c r="D721" s="143" t="n"/>
      <c r="E721" s="143" t="n"/>
      <c r="F721" s="143" t="n"/>
      <c r="G721" s="143" t="n"/>
      <c r="H721" s="143" t="n"/>
      <c r="I721" s="143" t="n"/>
      <c r="J721" s="137">
        <f>IF($H721="","",ROUND($H721*$I721,2))</f>
        <v/>
      </c>
      <c r="K721" s="137">
        <f>IF(OR($H721="",$J721=""),"",ROUND($H721-$J721,2))</f>
        <v/>
      </c>
      <c r="L721" s="143" t="n"/>
    </row>
    <row r="722" ht="18" customHeight="1" s="102">
      <c r="A722" s="137">
        <f>IF($B722="","","TAH-"&amp;TEXT(ROW()-BaslangicSatir,"000000"))</f>
        <v/>
      </c>
      <c r="B722" s="143" t="n"/>
      <c r="C722" s="143" t="n"/>
      <c r="D722" s="143" t="n"/>
      <c r="E722" s="143" t="n"/>
      <c r="F722" s="143" t="n"/>
      <c r="G722" s="143" t="n"/>
      <c r="H722" s="143" t="n"/>
      <c r="I722" s="143" t="n"/>
      <c r="J722" s="137">
        <f>IF($H722="","",ROUND($H722*$I722,2))</f>
        <v/>
      </c>
      <c r="K722" s="137">
        <f>IF(OR($H722="",$J722=""),"",ROUND($H722-$J722,2))</f>
        <v/>
      </c>
      <c r="L722" s="143" t="n"/>
    </row>
    <row r="723" ht="18" customHeight="1" s="102">
      <c r="A723" s="137">
        <f>IF($B723="","","TAH-"&amp;TEXT(ROW()-BaslangicSatir,"000000"))</f>
        <v/>
      </c>
      <c r="B723" s="143" t="n"/>
      <c r="C723" s="143" t="n"/>
      <c r="D723" s="143" t="n"/>
      <c r="E723" s="143" t="n"/>
      <c r="F723" s="143" t="n"/>
      <c r="G723" s="143" t="n"/>
      <c r="H723" s="143" t="n"/>
      <c r="I723" s="143" t="n"/>
      <c r="J723" s="137">
        <f>IF($H723="","",ROUND($H723*$I723,2))</f>
        <v/>
      </c>
      <c r="K723" s="137">
        <f>IF(OR($H723="",$J723=""),"",ROUND($H723-$J723,2))</f>
        <v/>
      </c>
      <c r="L723" s="143" t="n"/>
    </row>
    <row r="724" ht="18" customHeight="1" s="102">
      <c r="A724" s="137">
        <f>IF($B724="","","TAH-"&amp;TEXT(ROW()-BaslangicSatir,"000000"))</f>
        <v/>
      </c>
      <c r="B724" s="143" t="n"/>
      <c r="C724" s="143" t="n"/>
      <c r="D724" s="143" t="n"/>
      <c r="E724" s="143" t="n"/>
      <c r="F724" s="143" t="n"/>
      <c r="G724" s="143" t="n"/>
      <c r="H724" s="143" t="n"/>
      <c r="I724" s="143" t="n"/>
      <c r="J724" s="137">
        <f>IF($H724="","",ROUND($H724*$I724,2))</f>
        <v/>
      </c>
      <c r="K724" s="137">
        <f>IF(OR($H724="",$J724=""),"",ROUND($H724-$J724,2))</f>
        <v/>
      </c>
      <c r="L724" s="143" t="n"/>
    </row>
    <row r="725" ht="18" customHeight="1" s="102">
      <c r="A725" s="137">
        <f>IF($B725="","","TAH-"&amp;TEXT(ROW()-BaslangicSatir,"000000"))</f>
        <v/>
      </c>
      <c r="B725" s="143" t="n"/>
      <c r="C725" s="143" t="n"/>
      <c r="D725" s="143" t="n"/>
      <c r="E725" s="143" t="n"/>
      <c r="F725" s="143" t="n"/>
      <c r="G725" s="143" t="n"/>
      <c r="H725" s="143" t="n"/>
      <c r="I725" s="143" t="n"/>
      <c r="J725" s="137">
        <f>IF($H725="","",ROUND($H725*$I725,2))</f>
        <v/>
      </c>
      <c r="K725" s="137">
        <f>IF(OR($H725="",$J725=""),"",ROUND($H725-$J725,2))</f>
        <v/>
      </c>
      <c r="L725" s="143" t="n"/>
    </row>
    <row r="726" ht="18" customHeight="1" s="102">
      <c r="A726" s="137">
        <f>IF($B726="","","TAH-"&amp;TEXT(ROW()-BaslangicSatir,"000000"))</f>
        <v/>
      </c>
      <c r="B726" s="143" t="n"/>
      <c r="C726" s="143" t="n"/>
      <c r="D726" s="143" t="n"/>
      <c r="E726" s="143" t="n"/>
      <c r="F726" s="143" t="n"/>
      <c r="G726" s="143" t="n"/>
      <c r="H726" s="143" t="n"/>
      <c r="I726" s="143" t="n"/>
      <c r="J726" s="137">
        <f>IF($H726="","",ROUND($H726*$I726,2))</f>
        <v/>
      </c>
      <c r="K726" s="137">
        <f>IF(OR($H726="",$J726=""),"",ROUND($H726-$J726,2))</f>
        <v/>
      </c>
      <c r="L726" s="143" t="n"/>
    </row>
    <row r="727" ht="18" customHeight="1" s="102">
      <c r="A727" s="137">
        <f>IF($B727="","","TAH-"&amp;TEXT(ROW()-BaslangicSatir,"000000"))</f>
        <v/>
      </c>
      <c r="B727" s="143" t="n"/>
      <c r="C727" s="143" t="n"/>
      <c r="D727" s="143" t="n"/>
      <c r="E727" s="143" t="n"/>
      <c r="F727" s="143" t="n"/>
      <c r="G727" s="143" t="n"/>
      <c r="H727" s="143" t="n"/>
      <c r="I727" s="143" t="n"/>
      <c r="J727" s="137">
        <f>IF($H727="","",ROUND($H727*$I727,2))</f>
        <v/>
      </c>
      <c r="K727" s="137">
        <f>IF(OR($H727="",$J727=""),"",ROUND($H727-$J727,2))</f>
        <v/>
      </c>
      <c r="L727" s="143" t="n"/>
    </row>
    <row r="728" ht="18" customHeight="1" s="102">
      <c r="A728" s="137">
        <f>IF($B728="","","TAH-"&amp;TEXT(ROW()-BaslangicSatir,"000000"))</f>
        <v/>
      </c>
      <c r="B728" s="143" t="n"/>
      <c r="C728" s="143" t="n"/>
      <c r="D728" s="143" t="n"/>
      <c r="E728" s="143" t="n"/>
      <c r="F728" s="143" t="n"/>
      <c r="G728" s="143" t="n"/>
      <c r="H728" s="143" t="n"/>
      <c r="I728" s="143" t="n"/>
      <c r="J728" s="137">
        <f>IF($H728="","",ROUND($H728*$I728,2))</f>
        <v/>
      </c>
      <c r="K728" s="137">
        <f>IF(OR($H728="",$J728=""),"",ROUND($H728-$J728,2))</f>
        <v/>
      </c>
      <c r="L728" s="143" t="n"/>
    </row>
    <row r="729" ht="18" customHeight="1" s="102">
      <c r="A729" s="137">
        <f>IF($B729="","","TAH-"&amp;TEXT(ROW()-BaslangicSatir,"000000"))</f>
        <v/>
      </c>
      <c r="B729" s="143" t="n"/>
      <c r="C729" s="143" t="n"/>
      <c r="D729" s="143" t="n"/>
      <c r="E729" s="143" t="n"/>
      <c r="F729" s="143" t="n"/>
      <c r="G729" s="143" t="n"/>
      <c r="H729" s="143" t="n"/>
      <c r="I729" s="143" t="n"/>
      <c r="J729" s="137">
        <f>IF($H729="","",ROUND($H729*$I729,2))</f>
        <v/>
      </c>
      <c r="K729" s="137">
        <f>IF(OR($H729="",$J729=""),"",ROUND($H729-$J729,2))</f>
        <v/>
      </c>
      <c r="L729" s="143" t="n"/>
    </row>
    <row r="730" ht="18" customHeight="1" s="102">
      <c r="A730" s="137">
        <f>IF($B730="","","TAH-"&amp;TEXT(ROW()-BaslangicSatir,"000000"))</f>
        <v/>
      </c>
      <c r="B730" s="143" t="n"/>
      <c r="C730" s="143" t="n"/>
      <c r="D730" s="143" t="n"/>
      <c r="E730" s="143" t="n"/>
      <c r="F730" s="143" t="n"/>
      <c r="G730" s="143" t="n"/>
      <c r="H730" s="143" t="n"/>
      <c r="I730" s="143" t="n"/>
      <c r="J730" s="137">
        <f>IF($H730="","",ROUND($H730*$I730,2))</f>
        <v/>
      </c>
      <c r="K730" s="137">
        <f>IF(OR($H730="",$J730=""),"",ROUND($H730-$J730,2))</f>
        <v/>
      </c>
      <c r="L730" s="143" t="n"/>
    </row>
    <row r="731" ht="18" customHeight="1" s="102">
      <c r="A731" s="137">
        <f>IF($B731="","","TAH-"&amp;TEXT(ROW()-BaslangicSatir,"000000"))</f>
        <v/>
      </c>
      <c r="B731" s="143" t="n"/>
      <c r="C731" s="143" t="n"/>
      <c r="D731" s="143" t="n"/>
      <c r="E731" s="143" t="n"/>
      <c r="F731" s="143" t="n"/>
      <c r="G731" s="143" t="n"/>
      <c r="H731" s="143" t="n"/>
      <c r="I731" s="143" t="n"/>
      <c r="J731" s="137">
        <f>IF($H731="","",ROUND($H731*$I731,2))</f>
        <v/>
      </c>
      <c r="K731" s="137">
        <f>IF(OR($H731="",$J731=""),"",ROUND($H731-$J731,2))</f>
        <v/>
      </c>
      <c r="L731" s="143" t="n"/>
    </row>
    <row r="732" ht="18" customHeight="1" s="102">
      <c r="A732" s="137">
        <f>IF($B732="","","TAH-"&amp;TEXT(ROW()-BaslangicSatir,"000000"))</f>
        <v/>
      </c>
      <c r="B732" s="143" t="n"/>
      <c r="C732" s="143" t="n"/>
      <c r="D732" s="143" t="n"/>
      <c r="E732" s="143" t="n"/>
      <c r="F732" s="143" t="n"/>
      <c r="G732" s="143" t="n"/>
      <c r="H732" s="143" t="n"/>
      <c r="I732" s="143" t="n"/>
      <c r="J732" s="137">
        <f>IF($H732="","",ROUND($H732*$I732,2))</f>
        <v/>
      </c>
      <c r="K732" s="137">
        <f>IF(OR($H732="",$J732=""),"",ROUND($H732-$J732,2))</f>
        <v/>
      </c>
      <c r="L732" s="143" t="n"/>
    </row>
    <row r="733" ht="18" customHeight="1" s="102">
      <c r="A733" s="137">
        <f>IF($B733="","","TAH-"&amp;TEXT(ROW()-BaslangicSatir,"000000"))</f>
        <v/>
      </c>
      <c r="B733" s="143" t="n"/>
      <c r="C733" s="143" t="n"/>
      <c r="D733" s="143" t="n"/>
      <c r="E733" s="143" t="n"/>
      <c r="F733" s="143" t="n"/>
      <c r="G733" s="143" t="n"/>
      <c r="H733" s="143" t="n"/>
      <c r="I733" s="143" t="n"/>
      <c r="J733" s="137">
        <f>IF($H733="","",ROUND($H733*$I733,2))</f>
        <v/>
      </c>
      <c r="K733" s="137">
        <f>IF(OR($H733="",$J733=""),"",ROUND($H733-$J733,2))</f>
        <v/>
      </c>
      <c r="L733" s="143" t="n"/>
    </row>
    <row r="734" ht="18" customHeight="1" s="102">
      <c r="A734" s="137">
        <f>IF($B734="","","TAH-"&amp;TEXT(ROW()-BaslangicSatir,"000000"))</f>
        <v/>
      </c>
      <c r="B734" s="143" t="n"/>
      <c r="C734" s="143" t="n"/>
      <c r="D734" s="143" t="n"/>
      <c r="E734" s="143" t="n"/>
      <c r="F734" s="143" t="n"/>
      <c r="G734" s="143" t="n"/>
      <c r="H734" s="143" t="n"/>
      <c r="I734" s="143" t="n"/>
      <c r="J734" s="137">
        <f>IF($H734="","",ROUND($H734*$I734,2))</f>
        <v/>
      </c>
      <c r="K734" s="137">
        <f>IF(OR($H734="",$J734=""),"",ROUND($H734-$J734,2))</f>
        <v/>
      </c>
      <c r="L734" s="143" t="n"/>
    </row>
    <row r="735" ht="18" customHeight="1" s="102">
      <c r="A735" s="137">
        <f>IF($B735="","","TAH-"&amp;TEXT(ROW()-BaslangicSatir,"000000"))</f>
        <v/>
      </c>
      <c r="B735" s="143" t="n"/>
      <c r="C735" s="143" t="n"/>
      <c r="D735" s="143" t="n"/>
      <c r="E735" s="143" t="n"/>
      <c r="F735" s="143" t="n"/>
      <c r="G735" s="143" t="n"/>
      <c r="H735" s="143" t="n"/>
      <c r="I735" s="143" t="n"/>
      <c r="J735" s="137">
        <f>IF($H735="","",ROUND($H735*$I735,2))</f>
        <v/>
      </c>
      <c r="K735" s="137">
        <f>IF(OR($H735="",$J735=""),"",ROUND($H735-$J735,2))</f>
        <v/>
      </c>
      <c r="L735" s="143" t="n"/>
    </row>
    <row r="736" ht="18" customHeight="1" s="102">
      <c r="A736" s="137">
        <f>IF($B736="","","TAH-"&amp;TEXT(ROW()-BaslangicSatir,"000000"))</f>
        <v/>
      </c>
      <c r="B736" s="143" t="n"/>
      <c r="C736" s="143" t="n"/>
      <c r="D736" s="143" t="n"/>
      <c r="E736" s="143" t="n"/>
      <c r="F736" s="143" t="n"/>
      <c r="G736" s="143" t="n"/>
      <c r="H736" s="143" t="n"/>
      <c r="I736" s="143" t="n"/>
      <c r="J736" s="137">
        <f>IF($H736="","",ROUND($H736*$I736,2))</f>
        <v/>
      </c>
      <c r="K736" s="137">
        <f>IF(OR($H736="",$J736=""),"",ROUND($H736-$J736,2))</f>
        <v/>
      </c>
      <c r="L736" s="143" t="n"/>
    </row>
    <row r="737" ht="18" customHeight="1" s="102">
      <c r="A737" s="137">
        <f>IF($B737="","","TAH-"&amp;TEXT(ROW()-BaslangicSatir,"000000"))</f>
        <v/>
      </c>
      <c r="B737" s="143" t="n"/>
      <c r="C737" s="143" t="n"/>
      <c r="D737" s="143" t="n"/>
      <c r="E737" s="143" t="n"/>
      <c r="F737" s="143" t="n"/>
      <c r="G737" s="143" t="n"/>
      <c r="H737" s="143" t="n"/>
      <c r="I737" s="143" t="n"/>
      <c r="J737" s="137">
        <f>IF($H737="","",ROUND($H737*$I737,2))</f>
        <v/>
      </c>
      <c r="K737" s="137">
        <f>IF(OR($H737="",$J737=""),"",ROUND($H737-$J737,2))</f>
        <v/>
      </c>
      <c r="L737" s="143" t="n"/>
    </row>
    <row r="738" ht="18" customHeight="1" s="102">
      <c r="A738" s="137">
        <f>IF($B738="","","TAH-"&amp;TEXT(ROW()-BaslangicSatir,"000000"))</f>
        <v/>
      </c>
      <c r="B738" s="143" t="n"/>
      <c r="C738" s="143" t="n"/>
      <c r="D738" s="143" t="n"/>
      <c r="E738" s="143" t="n"/>
      <c r="F738" s="143" t="n"/>
      <c r="G738" s="143" t="n"/>
      <c r="H738" s="143" t="n"/>
      <c r="I738" s="143" t="n"/>
      <c r="J738" s="137">
        <f>IF($H738="","",ROUND($H738*$I738,2))</f>
        <v/>
      </c>
      <c r="K738" s="137">
        <f>IF(OR($H738="",$J738=""),"",ROUND($H738-$J738,2))</f>
        <v/>
      </c>
      <c r="L738" s="143" t="n"/>
    </row>
    <row r="739" ht="18" customHeight="1" s="102">
      <c r="A739" s="137">
        <f>IF($B739="","","TAH-"&amp;TEXT(ROW()-BaslangicSatir,"000000"))</f>
        <v/>
      </c>
      <c r="B739" s="143" t="n"/>
      <c r="C739" s="143" t="n"/>
      <c r="D739" s="143" t="n"/>
      <c r="E739" s="143" t="n"/>
      <c r="F739" s="143" t="n"/>
      <c r="G739" s="143" t="n"/>
      <c r="H739" s="143" t="n"/>
      <c r="I739" s="143" t="n"/>
      <c r="J739" s="137">
        <f>IF($H739="","",ROUND($H739*$I739,2))</f>
        <v/>
      </c>
      <c r="K739" s="137">
        <f>IF(OR($H739="",$J739=""),"",ROUND($H739-$J739,2))</f>
        <v/>
      </c>
      <c r="L739" s="143" t="n"/>
    </row>
    <row r="740" ht="18" customHeight="1" s="102">
      <c r="A740" s="137">
        <f>IF($B740="","","TAH-"&amp;TEXT(ROW()-BaslangicSatir,"000000"))</f>
        <v/>
      </c>
      <c r="B740" s="143" t="n"/>
      <c r="C740" s="143" t="n"/>
      <c r="D740" s="143" t="n"/>
      <c r="E740" s="143" t="n"/>
      <c r="F740" s="143" t="n"/>
      <c r="G740" s="143" t="n"/>
      <c r="H740" s="143" t="n"/>
      <c r="I740" s="143" t="n"/>
      <c r="J740" s="137">
        <f>IF($H740="","",ROUND($H740*$I740,2))</f>
        <v/>
      </c>
      <c r="K740" s="137">
        <f>IF(OR($H740="",$J740=""),"",ROUND($H740-$J740,2))</f>
        <v/>
      </c>
      <c r="L740" s="143" t="n"/>
    </row>
    <row r="741" ht="18" customHeight="1" s="102">
      <c r="A741" s="137">
        <f>IF($B741="","","TAH-"&amp;TEXT(ROW()-BaslangicSatir,"000000"))</f>
        <v/>
      </c>
      <c r="B741" s="143" t="n"/>
      <c r="C741" s="143" t="n"/>
      <c r="D741" s="143" t="n"/>
      <c r="E741" s="143" t="n"/>
      <c r="F741" s="143" t="n"/>
      <c r="G741" s="143" t="n"/>
      <c r="H741" s="143" t="n"/>
      <c r="I741" s="143" t="n"/>
      <c r="J741" s="137">
        <f>IF($H741="","",ROUND($H741*$I741,2))</f>
        <v/>
      </c>
      <c r="K741" s="137">
        <f>IF(OR($H741="",$J741=""),"",ROUND($H741-$J741,2))</f>
        <v/>
      </c>
      <c r="L741" s="143" t="n"/>
    </row>
    <row r="742" ht="18" customHeight="1" s="102">
      <c r="A742" s="137">
        <f>IF($B742="","","TAH-"&amp;TEXT(ROW()-BaslangicSatir,"000000"))</f>
        <v/>
      </c>
      <c r="B742" s="143" t="n"/>
      <c r="C742" s="143" t="n"/>
      <c r="D742" s="143" t="n"/>
      <c r="E742" s="143" t="n"/>
      <c r="F742" s="143" t="n"/>
      <c r="G742" s="143" t="n"/>
      <c r="H742" s="143" t="n"/>
      <c r="I742" s="143" t="n"/>
      <c r="J742" s="137">
        <f>IF($H742="","",ROUND($H742*$I742,2))</f>
        <v/>
      </c>
      <c r="K742" s="137">
        <f>IF(OR($H742="",$J742=""),"",ROUND($H742-$J742,2))</f>
        <v/>
      </c>
      <c r="L742" s="143" t="n"/>
    </row>
    <row r="743" ht="18" customHeight="1" s="102">
      <c r="A743" s="137">
        <f>IF($B743="","","TAH-"&amp;TEXT(ROW()-BaslangicSatir,"000000"))</f>
        <v/>
      </c>
      <c r="B743" s="143" t="n"/>
      <c r="C743" s="143" t="n"/>
      <c r="D743" s="143" t="n"/>
      <c r="E743" s="143" t="n"/>
      <c r="F743" s="143" t="n"/>
      <c r="G743" s="143" t="n"/>
      <c r="H743" s="143" t="n"/>
      <c r="I743" s="143" t="n"/>
      <c r="J743" s="137">
        <f>IF($H743="","",ROUND($H743*$I743,2))</f>
        <v/>
      </c>
      <c r="K743" s="137">
        <f>IF(OR($H743="",$J743=""),"",ROUND($H743-$J743,2))</f>
        <v/>
      </c>
      <c r="L743" s="143" t="n"/>
    </row>
    <row r="744" ht="18" customHeight="1" s="102">
      <c r="A744" s="137">
        <f>IF($B744="","","TAH-"&amp;TEXT(ROW()-BaslangicSatir,"000000"))</f>
        <v/>
      </c>
      <c r="B744" s="143" t="n"/>
      <c r="C744" s="143" t="n"/>
      <c r="D744" s="143" t="n"/>
      <c r="E744" s="143" t="n"/>
      <c r="F744" s="143" t="n"/>
      <c r="G744" s="143" t="n"/>
      <c r="H744" s="143" t="n"/>
      <c r="I744" s="143" t="n"/>
      <c r="J744" s="137">
        <f>IF($H744="","",ROUND($H744*$I744,2))</f>
        <v/>
      </c>
      <c r="K744" s="137">
        <f>IF(OR($H744="",$J744=""),"",ROUND($H744-$J744,2))</f>
        <v/>
      </c>
      <c r="L744" s="143" t="n"/>
    </row>
    <row r="745" ht="18" customHeight="1" s="102">
      <c r="A745" s="137">
        <f>IF($B745="","","TAH-"&amp;TEXT(ROW()-BaslangicSatir,"000000"))</f>
        <v/>
      </c>
      <c r="B745" s="143" t="n"/>
      <c r="C745" s="143" t="n"/>
      <c r="D745" s="143" t="n"/>
      <c r="E745" s="143" t="n"/>
      <c r="F745" s="143" t="n"/>
      <c r="G745" s="143" t="n"/>
      <c r="H745" s="143" t="n"/>
      <c r="I745" s="143" t="n"/>
      <c r="J745" s="137">
        <f>IF($H745="","",ROUND($H745*$I745,2))</f>
        <v/>
      </c>
      <c r="K745" s="137">
        <f>IF(OR($H745="",$J745=""),"",ROUND($H745-$J745,2))</f>
        <v/>
      </c>
      <c r="L745" s="143" t="n"/>
    </row>
    <row r="746" ht="18" customHeight="1" s="102">
      <c r="A746" s="137">
        <f>IF($B746="","","TAH-"&amp;TEXT(ROW()-BaslangicSatir,"000000"))</f>
        <v/>
      </c>
      <c r="B746" s="143" t="n"/>
      <c r="C746" s="143" t="n"/>
      <c r="D746" s="143" t="n"/>
      <c r="E746" s="143" t="n"/>
      <c r="F746" s="143" t="n"/>
      <c r="G746" s="143" t="n"/>
      <c r="H746" s="143" t="n"/>
      <c r="I746" s="143" t="n"/>
      <c r="J746" s="137">
        <f>IF($H746="","",ROUND($H746*$I746,2))</f>
        <v/>
      </c>
      <c r="K746" s="137">
        <f>IF(OR($H746="",$J746=""),"",ROUND($H746-$J746,2))</f>
        <v/>
      </c>
      <c r="L746" s="143" t="n"/>
    </row>
    <row r="747" ht="18" customHeight="1" s="102">
      <c r="A747" s="137">
        <f>IF($B747="","","TAH-"&amp;TEXT(ROW()-BaslangicSatir,"000000"))</f>
        <v/>
      </c>
      <c r="B747" s="143" t="n"/>
      <c r="C747" s="143" t="n"/>
      <c r="D747" s="143" t="n"/>
      <c r="E747" s="143" t="n"/>
      <c r="F747" s="143" t="n"/>
      <c r="G747" s="143" t="n"/>
      <c r="H747" s="143" t="n"/>
      <c r="I747" s="143" t="n"/>
      <c r="J747" s="137">
        <f>IF($H747="","",ROUND($H747*$I747,2))</f>
        <v/>
      </c>
      <c r="K747" s="137">
        <f>IF(OR($H747="",$J747=""),"",ROUND($H747-$J747,2))</f>
        <v/>
      </c>
      <c r="L747" s="143" t="n"/>
    </row>
    <row r="748" ht="18" customHeight="1" s="102">
      <c r="A748" s="137">
        <f>IF($B748="","","TAH-"&amp;TEXT(ROW()-BaslangicSatir,"000000"))</f>
        <v/>
      </c>
      <c r="B748" s="143" t="n"/>
      <c r="C748" s="143" t="n"/>
      <c r="D748" s="143" t="n"/>
      <c r="E748" s="143" t="n"/>
      <c r="F748" s="143" t="n"/>
      <c r="G748" s="143" t="n"/>
      <c r="H748" s="143" t="n"/>
      <c r="I748" s="143" t="n"/>
      <c r="J748" s="137">
        <f>IF($H748="","",ROUND($H748*$I748,2))</f>
        <v/>
      </c>
      <c r="K748" s="137">
        <f>IF(OR($H748="",$J748=""),"",ROUND($H748-$J748,2))</f>
        <v/>
      </c>
      <c r="L748" s="143" t="n"/>
    </row>
    <row r="749" ht="18" customHeight="1" s="102">
      <c r="A749" s="137">
        <f>IF($B749="","","TAH-"&amp;TEXT(ROW()-BaslangicSatir,"000000"))</f>
        <v/>
      </c>
      <c r="B749" s="143" t="n"/>
      <c r="C749" s="143" t="n"/>
      <c r="D749" s="143" t="n"/>
      <c r="E749" s="143" t="n"/>
      <c r="F749" s="143" t="n"/>
      <c r="G749" s="143" t="n"/>
      <c r="H749" s="143" t="n"/>
      <c r="I749" s="143" t="n"/>
      <c r="J749" s="137">
        <f>IF($H749="","",ROUND($H749*$I749,2))</f>
        <v/>
      </c>
      <c r="K749" s="137">
        <f>IF(OR($H749="",$J749=""),"",ROUND($H749-$J749,2))</f>
        <v/>
      </c>
      <c r="L749" s="143" t="n"/>
    </row>
    <row r="750" ht="18" customHeight="1" s="102">
      <c r="A750" s="137">
        <f>IF($B750="","","TAH-"&amp;TEXT(ROW()-BaslangicSatir,"000000"))</f>
        <v/>
      </c>
      <c r="B750" s="143" t="n"/>
      <c r="C750" s="143" t="n"/>
      <c r="D750" s="143" t="n"/>
      <c r="E750" s="143" t="n"/>
      <c r="F750" s="143" t="n"/>
      <c r="G750" s="143" t="n"/>
      <c r="H750" s="143" t="n"/>
      <c r="I750" s="143" t="n"/>
      <c r="J750" s="137">
        <f>IF($H750="","",ROUND($H750*$I750,2))</f>
        <v/>
      </c>
      <c r="K750" s="137">
        <f>IF(OR($H750="",$J750=""),"",ROUND($H750-$J750,2))</f>
        <v/>
      </c>
      <c r="L750" s="143" t="n"/>
    </row>
    <row r="751" ht="18" customHeight="1" s="102">
      <c r="A751" s="137">
        <f>IF($B751="","","TAH-"&amp;TEXT(ROW()-BaslangicSatir,"000000"))</f>
        <v/>
      </c>
      <c r="B751" s="143" t="n"/>
      <c r="C751" s="143" t="n"/>
      <c r="D751" s="143" t="n"/>
      <c r="E751" s="143" t="n"/>
      <c r="F751" s="143" t="n"/>
      <c r="G751" s="143" t="n"/>
      <c r="H751" s="143" t="n"/>
      <c r="I751" s="143" t="n"/>
      <c r="J751" s="137">
        <f>IF($H751="","",ROUND($H751*$I751,2))</f>
        <v/>
      </c>
      <c r="K751" s="137">
        <f>IF(OR($H751="",$J751=""),"",ROUND($H751-$J751,2))</f>
        <v/>
      </c>
      <c r="L751" s="143" t="n"/>
    </row>
    <row r="752" ht="18" customHeight="1" s="102">
      <c r="A752" s="137">
        <f>IF($B752="","","TAH-"&amp;TEXT(ROW()-BaslangicSatir,"000000"))</f>
        <v/>
      </c>
      <c r="B752" s="143" t="n"/>
      <c r="C752" s="143" t="n"/>
      <c r="D752" s="143" t="n"/>
      <c r="E752" s="143" t="n"/>
      <c r="F752" s="143" t="n"/>
      <c r="G752" s="143" t="n"/>
      <c r="H752" s="143" t="n"/>
      <c r="I752" s="143" t="n"/>
      <c r="J752" s="137">
        <f>IF($H752="","",ROUND($H752*$I752,2))</f>
        <v/>
      </c>
      <c r="K752" s="137">
        <f>IF(OR($H752="",$J752=""),"",ROUND($H752-$J752,2))</f>
        <v/>
      </c>
      <c r="L752" s="143" t="n"/>
    </row>
    <row r="753" ht="18" customHeight="1" s="102">
      <c r="A753" s="137">
        <f>IF($B753="","","TAH-"&amp;TEXT(ROW()-BaslangicSatir,"000000"))</f>
        <v/>
      </c>
      <c r="B753" s="143" t="n"/>
      <c r="C753" s="143" t="n"/>
      <c r="D753" s="143" t="n"/>
      <c r="E753" s="143" t="n"/>
      <c r="F753" s="143" t="n"/>
      <c r="G753" s="143" t="n"/>
      <c r="H753" s="143" t="n"/>
      <c r="I753" s="143" t="n"/>
      <c r="J753" s="137">
        <f>IF($H753="","",ROUND($H753*$I753,2))</f>
        <v/>
      </c>
      <c r="K753" s="137">
        <f>IF(OR($H753="",$J753=""),"",ROUND($H753-$J753,2))</f>
        <v/>
      </c>
      <c r="L753" s="143" t="n"/>
    </row>
    <row r="754" ht="18" customHeight="1" s="102">
      <c r="A754" s="137">
        <f>IF($B754="","","TAH-"&amp;TEXT(ROW()-BaslangicSatir,"000000"))</f>
        <v/>
      </c>
      <c r="B754" s="143" t="n"/>
      <c r="C754" s="143" t="n"/>
      <c r="D754" s="143" t="n"/>
      <c r="E754" s="143" t="n"/>
      <c r="F754" s="143" t="n"/>
      <c r="G754" s="143" t="n"/>
      <c r="H754" s="143" t="n"/>
      <c r="I754" s="143" t="n"/>
      <c r="J754" s="137">
        <f>IF($H754="","",ROUND($H754*$I754,2))</f>
        <v/>
      </c>
      <c r="K754" s="137">
        <f>IF(OR($H754="",$J754=""),"",ROUND($H754-$J754,2))</f>
        <v/>
      </c>
      <c r="L754" s="143" t="n"/>
    </row>
    <row r="755" ht="18" customHeight="1" s="102">
      <c r="A755" s="137">
        <f>IF($B755="","","TAH-"&amp;TEXT(ROW()-BaslangicSatir,"000000"))</f>
        <v/>
      </c>
      <c r="B755" s="143" t="n"/>
      <c r="C755" s="143" t="n"/>
      <c r="D755" s="143" t="n"/>
      <c r="E755" s="143" t="n"/>
      <c r="F755" s="143" t="n"/>
      <c r="G755" s="143" t="n"/>
      <c r="H755" s="143" t="n"/>
      <c r="I755" s="143" t="n"/>
      <c r="J755" s="137">
        <f>IF($H755="","",ROUND($H755*$I755,2))</f>
        <v/>
      </c>
      <c r="K755" s="137">
        <f>IF(OR($H755="",$J755=""),"",ROUND($H755-$J755,2))</f>
        <v/>
      </c>
      <c r="L755" s="143" t="n"/>
    </row>
    <row r="756" ht="18" customHeight="1" s="102">
      <c r="A756" s="137">
        <f>IF($B756="","","TAH-"&amp;TEXT(ROW()-BaslangicSatir,"000000"))</f>
        <v/>
      </c>
      <c r="B756" s="143" t="n"/>
      <c r="C756" s="143" t="n"/>
      <c r="D756" s="143" t="n"/>
      <c r="E756" s="143" t="n"/>
      <c r="F756" s="143" t="n"/>
      <c r="G756" s="143" t="n"/>
      <c r="H756" s="143" t="n"/>
      <c r="I756" s="143" t="n"/>
      <c r="J756" s="137">
        <f>IF($H756="","",ROUND($H756*$I756,2))</f>
        <v/>
      </c>
      <c r="K756" s="137">
        <f>IF(OR($H756="",$J756=""),"",ROUND($H756-$J756,2))</f>
        <v/>
      </c>
      <c r="L756" s="143" t="n"/>
    </row>
    <row r="757" ht="18" customHeight="1" s="102">
      <c r="A757" s="137">
        <f>IF($B757="","","TAH-"&amp;TEXT(ROW()-BaslangicSatir,"000000"))</f>
        <v/>
      </c>
      <c r="B757" s="143" t="n"/>
      <c r="C757" s="143" t="n"/>
      <c r="D757" s="143" t="n"/>
      <c r="E757" s="143" t="n"/>
      <c r="F757" s="143" t="n"/>
      <c r="G757" s="143" t="n"/>
      <c r="H757" s="143" t="n"/>
      <c r="I757" s="143" t="n"/>
      <c r="J757" s="137">
        <f>IF($H757="","",ROUND($H757*$I757,2))</f>
        <v/>
      </c>
      <c r="K757" s="137">
        <f>IF(OR($H757="",$J757=""),"",ROUND($H757-$J757,2))</f>
        <v/>
      </c>
      <c r="L757" s="143" t="n"/>
    </row>
    <row r="758" ht="18" customHeight="1" s="102">
      <c r="A758" s="137">
        <f>IF($B758="","","TAH-"&amp;TEXT(ROW()-BaslangicSatir,"000000"))</f>
        <v/>
      </c>
      <c r="B758" s="143" t="n"/>
      <c r="C758" s="143" t="n"/>
      <c r="D758" s="143" t="n"/>
      <c r="E758" s="143" t="n"/>
      <c r="F758" s="143" t="n"/>
      <c r="G758" s="143" t="n"/>
      <c r="H758" s="143" t="n"/>
      <c r="I758" s="143" t="n"/>
      <c r="J758" s="137">
        <f>IF($H758="","",ROUND($H758*$I758,2))</f>
        <v/>
      </c>
      <c r="K758" s="137">
        <f>IF(OR($H758="",$J758=""),"",ROUND($H758-$J758,2))</f>
        <v/>
      </c>
      <c r="L758" s="143" t="n"/>
    </row>
    <row r="759" ht="18" customHeight="1" s="102">
      <c r="A759" s="137">
        <f>IF($B759="","","TAH-"&amp;TEXT(ROW()-BaslangicSatir,"000000"))</f>
        <v/>
      </c>
      <c r="B759" s="143" t="n"/>
      <c r="C759" s="143" t="n"/>
      <c r="D759" s="143" t="n"/>
      <c r="E759" s="143" t="n"/>
      <c r="F759" s="143" t="n"/>
      <c r="G759" s="143" t="n"/>
      <c r="H759" s="143" t="n"/>
      <c r="I759" s="143" t="n"/>
      <c r="J759" s="137">
        <f>IF($H759="","",ROUND($H759*$I759,2))</f>
        <v/>
      </c>
      <c r="K759" s="137">
        <f>IF(OR($H759="",$J759=""),"",ROUND($H759-$J759,2))</f>
        <v/>
      </c>
      <c r="L759" s="143" t="n"/>
    </row>
    <row r="760" ht="18" customHeight="1" s="102">
      <c r="A760" s="137">
        <f>IF($B760="","","TAH-"&amp;TEXT(ROW()-BaslangicSatir,"000000"))</f>
        <v/>
      </c>
      <c r="B760" s="143" t="n"/>
      <c r="C760" s="143" t="n"/>
      <c r="D760" s="143" t="n"/>
      <c r="E760" s="143" t="n"/>
      <c r="F760" s="143" t="n"/>
      <c r="G760" s="143" t="n"/>
      <c r="H760" s="143" t="n"/>
      <c r="I760" s="143" t="n"/>
      <c r="J760" s="137">
        <f>IF($H760="","",ROUND($H760*$I760,2))</f>
        <v/>
      </c>
      <c r="K760" s="137">
        <f>IF(OR($H760="",$J760=""),"",ROUND($H760-$J760,2))</f>
        <v/>
      </c>
      <c r="L760" s="143" t="n"/>
    </row>
    <row r="761" ht="18" customHeight="1" s="102">
      <c r="A761" s="137">
        <f>IF($B761="","","TAH-"&amp;TEXT(ROW()-BaslangicSatir,"000000"))</f>
        <v/>
      </c>
      <c r="B761" s="143" t="n"/>
      <c r="C761" s="143" t="n"/>
      <c r="D761" s="143" t="n"/>
      <c r="E761" s="143" t="n"/>
      <c r="F761" s="143" t="n"/>
      <c r="G761" s="143" t="n"/>
      <c r="H761" s="143" t="n"/>
      <c r="I761" s="143" t="n"/>
      <c r="J761" s="137">
        <f>IF($H761="","",ROUND($H761*$I761,2))</f>
        <v/>
      </c>
      <c r="K761" s="137">
        <f>IF(OR($H761="",$J761=""),"",ROUND($H761-$J761,2))</f>
        <v/>
      </c>
      <c r="L761" s="143" t="n"/>
    </row>
    <row r="762" ht="18" customHeight="1" s="102">
      <c r="A762" s="137">
        <f>IF($B762="","","TAH-"&amp;TEXT(ROW()-BaslangicSatir,"000000"))</f>
        <v/>
      </c>
      <c r="B762" s="143" t="n"/>
      <c r="C762" s="143" t="n"/>
      <c r="D762" s="143" t="n"/>
      <c r="E762" s="143" t="n"/>
      <c r="F762" s="143" t="n"/>
      <c r="G762" s="143" t="n"/>
      <c r="H762" s="143" t="n"/>
      <c r="I762" s="143" t="n"/>
      <c r="J762" s="137">
        <f>IF($H762="","",ROUND($H762*$I762,2))</f>
        <v/>
      </c>
      <c r="K762" s="137">
        <f>IF(OR($H762="",$J762=""),"",ROUND($H762-$J762,2))</f>
        <v/>
      </c>
      <c r="L762" s="143" t="n"/>
    </row>
    <row r="763" ht="18" customHeight="1" s="102">
      <c r="A763" s="137">
        <f>IF($B763="","","TAH-"&amp;TEXT(ROW()-BaslangicSatir,"000000"))</f>
        <v/>
      </c>
      <c r="B763" s="143" t="n"/>
      <c r="C763" s="143" t="n"/>
      <c r="D763" s="143" t="n"/>
      <c r="E763" s="143" t="n"/>
      <c r="F763" s="143" t="n"/>
      <c r="G763" s="143" t="n"/>
      <c r="H763" s="143" t="n"/>
      <c r="I763" s="143" t="n"/>
      <c r="J763" s="137">
        <f>IF($H763="","",ROUND($H763*$I763,2))</f>
        <v/>
      </c>
      <c r="K763" s="137">
        <f>IF(OR($H763="",$J763=""),"",ROUND($H763-$J763,2))</f>
        <v/>
      </c>
      <c r="L763" s="143" t="n"/>
    </row>
    <row r="764" ht="18" customHeight="1" s="102">
      <c r="A764" s="137">
        <f>IF($B764="","","TAH-"&amp;TEXT(ROW()-BaslangicSatir,"000000"))</f>
        <v/>
      </c>
      <c r="B764" s="143" t="n"/>
      <c r="C764" s="143" t="n"/>
      <c r="D764" s="143" t="n"/>
      <c r="E764" s="143" t="n"/>
      <c r="F764" s="143" t="n"/>
      <c r="G764" s="143" t="n"/>
      <c r="H764" s="143" t="n"/>
      <c r="I764" s="143" t="n"/>
      <c r="J764" s="137">
        <f>IF($H764="","",ROUND($H764*$I764,2))</f>
        <v/>
      </c>
      <c r="K764" s="137">
        <f>IF(OR($H764="",$J764=""),"",ROUND($H764-$J764,2))</f>
        <v/>
      </c>
      <c r="L764" s="143" t="n"/>
    </row>
    <row r="765" ht="18" customHeight="1" s="102">
      <c r="A765" s="137">
        <f>IF($B765="","","TAH-"&amp;TEXT(ROW()-BaslangicSatir,"000000"))</f>
        <v/>
      </c>
      <c r="B765" s="143" t="n"/>
      <c r="C765" s="143" t="n"/>
      <c r="D765" s="143" t="n"/>
      <c r="E765" s="143" t="n"/>
      <c r="F765" s="143" t="n"/>
      <c r="G765" s="143" t="n"/>
      <c r="H765" s="143" t="n"/>
      <c r="I765" s="143" t="n"/>
      <c r="J765" s="137">
        <f>IF($H765="","",ROUND($H765*$I765,2))</f>
        <v/>
      </c>
      <c r="K765" s="137">
        <f>IF(OR($H765="",$J765=""),"",ROUND($H765-$J765,2))</f>
        <v/>
      </c>
      <c r="L765" s="143" t="n"/>
    </row>
    <row r="766" ht="18" customHeight="1" s="102">
      <c r="A766" s="137">
        <f>IF($B766="","","TAH-"&amp;TEXT(ROW()-BaslangicSatir,"000000"))</f>
        <v/>
      </c>
      <c r="B766" s="143" t="n"/>
      <c r="C766" s="143" t="n"/>
      <c r="D766" s="143" t="n"/>
      <c r="E766" s="143" t="n"/>
      <c r="F766" s="143" t="n"/>
      <c r="G766" s="143" t="n"/>
      <c r="H766" s="143" t="n"/>
      <c r="I766" s="143" t="n"/>
      <c r="J766" s="137">
        <f>IF($H766="","",ROUND($H766*$I766,2))</f>
        <v/>
      </c>
      <c r="K766" s="137">
        <f>IF(OR($H766="",$J766=""),"",ROUND($H766-$J766,2))</f>
        <v/>
      </c>
      <c r="L766" s="143" t="n"/>
    </row>
    <row r="767" ht="18" customHeight="1" s="102">
      <c r="A767" s="137">
        <f>IF($B767="","","TAH-"&amp;TEXT(ROW()-BaslangicSatir,"000000"))</f>
        <v/>
      </c>
      <c r="B767" s="143" t="n"/>
      <c r="C767" s="143" t="n"/>
      <c r="D767" s="143" t="n"/>
      <c r="E767" s="143" t="n"/>
      <c r="F767" s="143" t="n"/>
      <c r="G767" s="143" t="n"/>
      <c r="H767" s="143" t="n"/>
      <c r="I767" s="143" t="n"/>
      <c r="J767" s="137">
        <f>IF($H767="","",ROUND($H767*$I767,2))</f>
        <v/>
      </c>
      <c r="K767" s="137">
        <f>IF(OR($H767="",$J767=""),"",ROUND($H767-$J767,2))</f>
        <v/>
      </c>
      <c r="L767" s="143" t="n"/>
    </row>
    <row r="768" ht="18" customHeight="1" s="102">
      <c r="A768" s="137">
        <f>IF($B768="","","TAH-"&amp;TEXT(ROW()-BaslangicSatir,"000000"))</f>
        <v/>
      </c>
      <c r="B768" s="143" t="n"/>
      <c r="C768" s="143" t="n"/>
      <c r="D768" s="143" t="n"/>
      <c r="E768" s="143" t="n"/>
      <c r="F768" s="143" t="n"/>
      <c r="G768" s="143" t="n"/>
      <c r="H768" s="143" t="n"/>
      <c r="I768" s="143" t="n"/>
      <c r="J768" s="137">
        <f>IF($H768="","",ROUND($H768*$I768,2))</f>
        <v/>
      </c>
      <c r="K768" s="137">
        <f>IF(OR($H768="",$J768=""),"",ROUND($H768-$J768,2))</f>
        <v/>
      </c>
      <c r="L768" s="143" t="n"/>
    </row>
    <row r="769" ht="18" customHeight="1" s="102">
      <c r="A769" s="137">
        <f>IF($B769="","","TAH-"&amp;TEXT(ROW()-BaslangicSatir,"000000"))</f>
        <v/>
      </c>
      <c r="B769" s="143" t="n"/>
      <c r="C769" s="143" t="n"/>
      <c r="D769" s="143" t="n"/>
      <c r="E769" s="143" t="n"/>
      <c r="F769" s="143" t="n"/>
      <c r="G769" s="143" t="n"/>
      <c r="H769" s="143" t="n"/>
      <c r="I769" s="143" t="n"/>
      <c r="J769" s="137">
        <f>IF($H769="","",ROUND($H769*$I769,2))</f>
        <v/>
      </c>
      <c r="K769" s="137">
        <f>IF(OR($H769="",$J769=""),"",ROUND($H769-$J769,2))</f>
        <v/>
      </c>
      <c r="L769" s="143" t="n"/>
    </row>
    <row r="770" ht="18" customHeight="1" s="102">
      <c r="A770" s="137">
        <f>IF($B770="","","TAH-"&amp;TEXT(ROW()-BaslangicSatir,"000000"))</f>
        <v/>
      </c>
      <c r="B770" s="143" t="n"/>
      <c r="C770" s="143" t="n"/>
      <c r="D770" s="143" t="n"/>
      <c r="E770" s="143" t="n"/>
      <c r="F770" s="143" t="n"/>
      <c r="G770" s="143" t="n"/>
      <c r="H770" s="143" t="n"/>
      <c r="I770" s="143" t="n"/>
      <c r="J770" s="137">
        <f>IF($H770="","",ROUND($H770*$I770,2))</f>
        <v/>
      </c>
      <c r="K770" s="137">
        <f>IF(OR($H770="",$J770=""),"",ROUND($H770-$J770,2))</f>
        <v/>
      </c>
      <c r="L770" s="143" t="n"/>
    </row>
    <row r="771" ht="18" customHeight="1" s="102">
      <c r="A771" s="137">
        <f>IF($B771="","","TAH-"&amp;TEXT(ROW()-BaslangicSatir,"000000"))</f>
        <v/>
      </c>
      <c r="B771" s="143" t="n"/>
      <c r="C771" s="143" t="n"/>
      <c r="D771" s="143" t="n"/>
      <c r="E771" s="143" t="n"/>
      <c r="F771" s="143" t="n"/>
      <c r="G771" s="143" t="n"/>
      <c r="H771" s="143" t="n"/>
      <c r="I771" s="143" t="n"/>
      <c r="J771" s="137">
        <f>IF($H771="","",ROUND($H771*$I771,2))</f>
        <v/>
      </c>
      <c r="K771" s="137">
        <f>IF(OR($H771="",$J771=""),"",ROUND($H771-$J771,2))</f>
        <v/>
      </c>
      <c r="L771" s="143" t="n"/>
    </row>
    <row r="772" ht="18" customHeight="1" s="102">
      <c r="A772" s="137">
        <f>IF($B772="","","TAH-"&amp;TEXT(ROW()-BaslangicSatir,"000000"))</f>
        <v/>
      </c>
      <c r="B772" s="143" t="n"/>
      <c r="C772" s="143" t="n"/>
      <c r="D772" s="143" t="n"/>
      <c r="E772" s="143" t="n"/>
      <c r="F772" s="143" t="n"/>
      <c r="G772" s="143" t="n"/>
      <c r="H772" s="143" t="n"/>
      <c r="I772" s="143" t="n"/>
      <c r="J772" s="137">
        <f>IF($H772="","",ROUND($H772*$I772,2))</f>
        <v/>
      </c>
      <c r="K772" s="137">
        <f>IF(OR($H772="",$J772=""),"",ROUND($H772-$J772,2))</f>
        <v/>
      </c>
      <c r="L772" s="143" t="n"/>
    </row>
    <row r="773" ht="18" customHeight="1" s="102">
      <c r="A773" s="137">
        <f>IF($B773="","","TAH-"&amp;TEXT(ROW()-BaslangicSatir,"000000"))</f>
        <v/>
      </c>
      <c r="B773" s="143" t="n"/>
      <c r="C773" s="143" t="n"/>
      <c r="D773" s="143" t="n"/>
      <c r="E773" s="143" t="n"/>
      <c r="F773" s="143" t="n"/>
      <c r="G773" s="143" t="n"/>
      <c r="H773" s="143" t="n"/>
      <c r="I773" s="143" t="n"/>
      <c r="J773" s="137">
        <f>IF($H773="","",ROUND($H773*$I773,2))</f>
        <v/>
      </c>
      <c r="K773" s="137">
        <f>IF(OR($H773="",$J773=""),"",ROUND($H773-$J773,2))</f>
        <v/>
      </c>
      <c r="L773" s="143" t="n"/>
    </row>
    <row r="774" ht="18" customHeight="1" s="102">
      <c r="A774" s="137">
        <f>IF($B774="","","TAH-"&amp;TEXT(ROW()-BaslangicSatir,"000000"))</f>
        <v/>
      </c>
      <c r="B774" s="143" t="n"/>
      <c r="C774" s="143" t="n"/>
      <c r="D774" s="143" t="n"/>
      <c r="E774" s="143" t="n"/>
      <c r="F774" s="143" t="n"/>
      <c r="G774" s="143" t="n"/>
      <c r="H774" s="143" t="n"/>
      <c r="I774" s="143" t="n"/>
      <c r="J774" s="137">
        <f>IF($H774="","",ROUND($H774*$I774,2))</f>
        <v/>
      </c>
      <c r="K774" s="137">
        <f>IF(OR($H774="",$J774=""),"",ROUND($H774-$J774,2))</f>
        <v/>
      </c>
      <c r="L774" s="143" t="n"/>
    </row>
    <row r="775" ht="18" customHeight="1" s="102">
      <c r="A775" s="137">
        <f>IF($B775="","","TAH-"&amp;TEXT(ROW()-BaslangicSatir,"000000"))</f>
        <v/>
      </c>
      <c r="B775" s="143" t="n"/>
      <c r="C775" s="143" t="n"/>
      <c r="D775" s="143" t="n"/>
      <c r="E775" s="143" t="n"/>
      <c r="F775" s="143" t="n"/>
      <c r="G775" s="143" t="n"/>
      <c r="H775" s="143" t="n"/>
      <c r="I775" s="143" t="n"/>
      <c r="J775" s="137">
        <f>IF($H775="","",ROUND($H775*$I775,2))</f>
        <v/>
      </c>
      <c r="K775" s="137">
        <f>IF(OR($H775="",$J775=""),"",ROUND($H775-$J775,2))</f>
        <v/>
      </c>
      <c r="L775" s="143" t="n"/>
    </row>
    <row r="776" ht="18" customHeight="1" s="102">
      <c r="A776" s="137">
        <f>IF($B776="","","TAH-"&amp;TEXT(ROW()-BaslangicSatir,"000000"))</f>
        <v/>
      </c>
      <c r="B776" s="143" t="n"/>
      <c r="C776" s="143" t="n"/>
      <c r="D776" s="143" t="n"/>
      <c r="E776" s="143" t="n"/>
      <c r="F776" s="143" t="n"/>
      <c r="G776" s="143" t="n"/>
      <c r="H776" s="143" t="n"/>
      <c r="I776" s="143" t="n"/>
      <c r="J776" s="137">
        <f>IF($H776="","",ROUND($H776*$I776,2))</f>
        <v/>
      </c>
      <c r="K776" s="137">
        <f>IF(OR($H776="",$J776=""),"",ROUND($H776-$J776,2))</f>
        <v/>
      </c>
      <c r="L776" s="143" t="n"/>
    </row>
    <row r="777" ht="18" customHeight="1" s="102">
      <c r="A777" s="137">
        <f>IF($B777="","","TAH-"&amp;TEXT(ROW()-BaslangicSatir,"000000"))</f>
        <v/>
      </c>
      <c r="B777" s="143" t="n"/>
      <c r="C777" s="143" t="n"/>
      <c r="D777" s="143" t="n"/>
      <c r="E777" s="143" t="n"/>
      <c r="F777" s="143" t="n"/>
      <c r="G777" s="143" t="n"/>
      <c r="H777" s="143" t="n"/>
      <c r="I777" s="143" t="n"/>
      <c r="J777" s="137">
        <f>IF($H777="","",ROUND($H777*$I777,2))</f>
        <v/>
      </c>
      <c r="K777" s="137">
        <f>IF(OR($H777="",$J777=""),"",ROUND($H777-$J777,2))</f>
        <v/>
      </c>
      <c r="L777" s="143" t="n"/>
    </row>
    <row r="778" ht="18" customHeight="1" s="102">
      <c r="A778" s="137">
        <f>IF($B778="","","TAH-"&amp;TEXT(ROW()-BaslangicSatir,"000000"))</f>
        <v/>
      </c>
      <c r="B778" s="143" t="n"/>
      <c r="C778" s="143" t="n"/>
      <c r="D778" s="143" t="n"/>
      <c r="E778" s="143" t="n"/>
      <c r="F778" s="143" t="n"/>
      <c r="G778" s="143" t="n"/>
      <c r="H778" s="143" t="n"/>
      <c r="I778" s="143" t="n"/>
      <c r="J778" s="137">
        <f>IF($H778="","",ROUND($H778*$I778,2))</f>
        <v/>
      </c>
      <c r="K778" s="137">
        <f>IF(OR($H778="",$J778=""),"",ROUND($H778-$J778,2))</f>
        <v/>
      </c>
      <c r="L778" s="143" t="n"/>
    </row>
    <row r="779" ht="18" customHeight="1" s="102">
      <c r="A779" s="137">
        <f>IF($B779="","","TAH-"&amp;TEXT(ROW()-BaslangicSatir,"000000"))</f>
        <v/>
      </c>
      <c r="B779" s="143" t="n"/>
      <c r="C779" s="143" t="n"/>
      <c r="D779" s="143" t="n"/>
      <c r="E779" s="143" t="n"/>
      <c r="F779" s="143" t="n"/>
      <c r="G779" s="143" t="n"/>
      <c r="H779" s="143" t="n"/>
      <c r="I779" s="143" t="n"/>
      <c r="J779" s="137">
        <f>IF($H779="","",ROUND($H779*$I779,2))</f>
        <v/>
      </c>
      <c r="K779" s="137">
        <f>IF(OR($H779="",$J779=""),"",ROUND($H779-$J779,2))</f>
        <v/>
      </c>
      <c r="L779" s="143" t="n"/>
    </row>
    <row r="780" ht="18" customHeight="1" s="102">
      <c r="A780" s="137">
        <f>IF($B780="","","TAH-"&amp;TEXT(ROW()-BaslangicSatir,"000000"))</f>
        <v/>
      </c>
      <c r="B780" s="143" t="n"/>
      <c r="C780" s="143" t="n"/>
      <c r="D780" s="143" t="n"/>
      <c r="E780" s="143" t="n"/>
      <c r="F780" s="143" t="n"/>
      <c r="G780" s="143" t="n"/>
      <c r="H780" s="143" t="n"/>
      <c r="I780" s="143" t="n"/>
      <c r="J780" s="137">
        <f>IF($H780="","",ROUND($H780*$I780,2))</f>
        <v/>
      </c>
      <c r="K780" s="137">
        <f>IF(OR($H780="",$J780=""),"",ROUND($H780-$J780,2))</f>
        <v/>
      </c>
      <c r="L780" s="143" t="n"/>
    </row>
    <row r="781" ht="18" customHeight="1" s="102">
      <c r="A781" s="137">
        <f>IF($B781="","","TAH-"&amp;TEXT(ROW()-BaslangicSatir,"000000"))</f>
        <v/>
      </c>
      <c r="B781" s="143" t="n"/>
      <c r="C781" s="143" t="n"/>
      <c r="D781" s="143" t="n"/>
      <c r="E781" s="143" t="n"/>
      <c r="F781" s="143" t="n"/>
      <c r="G781" s="143" t="n"/>
      <c r="H781" s="143" t="n"/>
      <c r="I781" s="143" t="n"/>
      <c r="J781" s="137">
        <f>IF($H781="","",ROUND($H781*$I781,2))</f>
        <v/>
      </c>
      <c r="K781" s="137">
        <f>IF(OR($H781="",$J781=""),"",ROUND($H781-$J781,2))</f>
        <v/>
      </c>
      <c r="L781" s="143" t="n"/>
    </row>
    <row r="782" ht="18" customHeight="1" s="102">
      <c r="A782" s="137">
        <f>IF($B782="","","TAH-"&amp;TEXT(ROW()-BaslangicSatir,"000000"))</f>
        <v/>
      </c>
      <c r="B782" s="143" t="n"/>
      <c r="C782" s="143" t="n"/>
      <c r="D782" s="143" t="n"/>
      <c r="E782" s="143" t="n"/>
      <c r="F782" s="143" t="n"/>
      <c r="G782" s="143" t="n"/>
      <c r="H782" s="143" t="n"/>
      <c r="I782" s="143" t="n"/>
      <c r="J782" s="137">
        <f>IF($H782="","",ROUND($H782*$I782,2))</f>
        <v/>
      </c>
      <c r="K782" s="137">
        <f>IF(OR($H782="",$J782=""),"",ROUND($H782-$J782,2))</f>
        <v/>
      </c>
      <c r="L782" s="143" t="n"/>
    </row>
    <row r="783" ht="18" customHeight="1" s="102">
      <c r="A783" s="137">
        <f>IF($B783="","","TAH-"&amp;TEXT(ROW()-BaslangicSatir,"000000"))</f>
        <v/>
      </c>
      <c r="B783" s="143" t="n"/>
      <c r="C783" s="143" t="n"/>
      <c r="D783" s="143" t="n"/>
      <c r="E783" s="143" t="n"/>
      <c r="F783" s="143" t="n"/>
      <c r="G783" s="143" t="n"/>
      <c r="H783" s="143" t="n"/>
      <c r="I783" s="143" t="n"/>
      <c r="J783" s="137">
        <f>IF($H783="","",ROUND($H783*$I783,2))</f>
        <v/>
      </c>
      <c r="K783" s="137">
        <f>IF(OR($H783="",$J783=""),"",ROUND($H783-$J783,2))</f>
        <v/>
      </c>
      <c r="L783" s="143" t="n"/>
    </row>
    <row r="784" ht="18" customHeight="1" s="102">
      <c r="A784" s="137">
        <f>IF($B784="","","TAH-"&amp;TEXT(ROW()-BaslangicSatir,"000000"))</f>
        <v/>
      </c>
      <c r="B784" s="143" t="n"/>
      <c r="C784" s="143" t="n"/>
      <c r="D784" s="143" t="n"/>
      <c r="E784" s="143" t="n"/>
      <c r="F784" s="143" t="n"/>
      <c r="G784" s="143" t="n"/>
      <c r="H784" s="143" t="n"/>
      <c r="I784" s="143" t="n"/>
      <c r="J784" s="137">
        <f>IF($H784="","",ROUND($H784*$I784,2))</f>
        <v/>
      </c>
      <c r="K784" s="137">
        <f>IF(OR($H784="",$J784=""),"",ROUND($H784-$J784,2))</f>
        <v/>
      </c>
      <c r="L784" s="143" t="n"/>
    </row>
    <row r="785" ht="18" customHeight="1" s="102">
      <c r="A785" s="137">
        <f>IF($B785="","","TAH-"&amp;TEXT(ROW()-BaslangicSatir,"000000"))</f>
        <v/>
      </c>
      <c r="B785" s="143" t="n"/>
      <c r="C785" s="143" t="n"/>
      <c r="D785" s="143" t="n"/>
      <c r="E785" s="143" t="n"/>
      <c r="F785" s="143" t="n"/>
      <c r="G785" s="143" t="n"/>
      <c r="H785" s="143" t="n"/>
      <c r="I785" s="143" t="n"/>
      <c r="J785" s="137">
        <f>IF($H785="","",ROUND($H785*$I785,2))</f>
        <v/>
      </c>
      <c r="K785" s="137">
        <f>IF(OR($H785="",$J785=""),"",ROUND($H785-$J785,2))</f>
        <v/>
      </c>
      <c r="L785" s="143" t="n"/>
    </row>
    <row r="786" ht="18" customHeight="1" s="102">
      <c r="A786" s="137">
        <f>IF($B786="","","TAH-"&amp;TEXT(ROW()-BaslangicSatir,"000000"))</f>
        <v/>
      </c>
      <c r="B786" s="143" t="n"/>
      <c r="C786" s="143" t="n"/>
      <c r="D786" s="143" t="n"/>
      <c r="E786" s="143" t="n"/>
      <c r="F786" s="143" t="n"/>
      <c r="G786" s="143" t="n"/>
      <c r="H786" s="143" t="n"/>
      <c r="I786" s="143" t="n"/>
      <c r="J786" s="137">
        <f>IF($H786="","",ROUND($H786*$I786,2))</f>
        <v/>
      </c>
      <c r="K786" s="137">
        <f>IF(OR($H786="",$J786=""),"",ROUND($H786-$J786,2))</f>
        <v/>
      </c>
      <c r="L786" s="143" t="n"/>
    </row>
    <row r="787" ht="18" customHeight="1" s="102">
      <c r="A787" s="137">
        <f>IF($B787="","","TAH-"&amp;TEXT(ROW()-BaslangicSatir,"000000"))</f>
        <v/>
      </c>
      <c r="B787" s="143" t="n"/>
      <c r="C787" s="143" t="n"/>
      <c r="D787" s="143" t="n"/>
      <c r="E787" s="143" t="n"/>
      <c r="F787" s="143" t="n"/>
      <c r="G787" s="143" t="n"/>
      <c r="H787" s="143" t="n"/>
      <c r="I787" s="143" t="n"/>
      <c r="J787" s="137">
        <f>IF($H787="","",ROUND($H787*$I787,2))</f>
        <v/>
      </c>
      <c r="K787" s="137">
        <f>IF(OR($H787="",$J787=""),"",ROUND($H787-$J787,2))</f>
        <v/>
      </c>
      <c r="L787" s="143" t="n"/>
    </row>
    <row r="788" ht="18" customHeight="1" s="102">
      <c r="A788" s="137">
        <f>IF($B788="","","TAH-"&amp;TEXT(ROW()-BaslangicSatir,"000000"))</f>
        <v/>
      </c>
      <c r="B788" s="143" t="n"/>
      <c r="C788" s="143" t="n"/>
      <c r="D788" s="143" t="n"/>
      <c r="E788" s="143" t="n"/>
      <c r="F788" s="143" t="n"/>
      <c r="G788" s="143" t="n"/>
      <c r="H788" s="143" t="n"/>
      <c r="I788" s="143" t="n"/>
      <c r="J788" s="137">
        <f>IF($H788="","",ROUND($H788*$I788,2))</f>
        <v/>
      </c>
      <c r="K788" s="137">
        <f>IF(OR($H788="",$J788=""),"",ROUND($H788-$J788,2))</f>
        <v/>
      </c>
      <c r="L788" s="143" t="n"/>
    </row>
    <row r="789" ht="18" customHeight="1" s="102">
      <c r="A789" s="137">
        <f>IF($B789="","","TAH-"&amp;TEXT(ROW()-BaslangicSatir,"000000"))</f>
        <v/>
      </c>
      <c r="B789" s="143" t="n"/>
      <c r="C789" s="143" t="n"/>
      <c r="D789" s="143" t="n"/>
      <c r="E789" s="143" t="n"/>
      <c r="F789" s="143" t="n"/>
      <c r="G789" s="143" t="n"/>
      <c r="H789" s="143" t="n"/>
      <c r="I789" s="143" t="n"/>
      <c r="J789" s="137">
        <f>IF($H789="","",ROUND($H789*$I789,2))</f>
        <v/>
      </c>
      <c r="K789" s="137">
        <f>IF(OR($H789="",$J789=""),"",ROUND($H789-$J789,2))</f>
        <v/>
      </c>
      <c r="L789" s="143" t="n"/>
    </row>
    <row r="790" ht="18" customHeight="1" s="102">
      <c r="A790" s="137">
        <f>IF($B790="","","TAH-"&amp;TEXT(ROW()-BaslangicSatir,"000000"))</f>
        <v/>
      </c>
      <c r="B790" s="143" t="n"/>
      <c r="C790" s="143" t="n"/>
      <c r="D790" s="143" t="n"/>
      <c r="E790" s="143" t="n"/>
      <c r="F790" s="143" t="n"/>
      <c r="G790" s="143" t="n"/>
      <c r="H790" s="143" t="n"/>
      <c r="I790" s="143" t="n"/>
      <c r="J790" s="137">
        <f>IF($H790="","",ROUND($H790*$I790,2))</f>
        <v/>
      </c>
      <c r="K790" s="137">
        <f>IF(OR($H790="",$J790=""),"",ROUND($H790-$J790,2))</f>
        <v/>
      </c>
      <c r="L790" s="143" t="n"/>
    </row>
    <row r="791" ht="18" customHeight="1" s="102">
      <c r="A791" s="137">
        <f>IF($B791="","","TAH-"&amp;TEXT(ROW()-BaslangicSatir,"000000"))</f>
        <v/>
      </c>
      <c r="B791" s="143" t="n"/>
      <c r="C791" s="143" t="n"/>
      <c r="D791" s="143" t="n"/>
      <c r="E791" s="143" t="n"/>
      <c r="F791" s="143" t="n"/>
      <c r="G791" s="143" t="n"/>
      <c r="H791" s="143" t="n"/>
      <c r="I791" s="143" t="n"/>
      <c r="J791" s="137">
        <f>IF($H791="","",ROUND($H791*$I791,2))</f>
        <v/>
      </c>
      <c r="K791" s="137">
        <f>IF(OR($H791="",$J791=""),"",ROUND($H791-$J791,2))</f>
        <v/>
      </c>
      <c r="L791" s="143" t="n"/>
    </row>
    <row r="792" ht="18" customHeight="1" s="102">
      <c r="A792" s="137">
        <f>IF($B792="","","TAH-"&amp;TEXT(ROW()-BaslangicSatir,"000000"))</f>
        <v/>
      </c>
      <c r="B792" s="143" t="n"/>
      <c r="C792" s="143" t="n"/>
      <c r="D792" s="143" t="n"/>
      <c r="E792" s="143" t="n"/>
      <c r="F792" s="143" t="n"/>
      <c r="G792" s="143" t="n"/>
      <c r="H792" s="143" t="n"/>
      <c r="I792" s="143" t="n"/>
      <c r="J792" s="137">
        <f>IF($H792="","",ROUND($H792*$I792,2))</f>
        <v/>
      </c>
      <c r="K792" s="137">
        <f>IF(OR($H792="",$J792=""),"",ROUND($H792-$J792,2))</f>
        <v/>
      </c>
      <c r="L792" s="143" t="n"/>
    </row>
    <row r="793" ht="18" customHeight="1" s="102">
      <c r="A793" s="137">
        <f>IF($B793="","","TAH-"&amp;TEXT(ROW()-BaslangicSatir,"000000"))</f>
        <v/>
      </c>
      <c r="B793" s="143" t="n"/>
      <c r="C793" s="143" t="n"/>
      <c r="D793" s="143" t="n"/>
      <c r="E793" s="143" t="n"/>
      <c r="F793" s="143" t="n"/>
      <c r="G793" s="143" t="n"/>
      <c r="H793" s="143" t="n"/>
      <c r="I793" s="143" t="n"/>
      <c r="J793" s="137">
        <f>IF($H793="","",ROUND($H793*$I793,2))</f>
        <v/>
      </c>
      <c r="K793" s="137">
        <f>IF(OR($H793="",$J793=""),"",ROUND($H793-$J793,2))</f>
        <v/>
      </c>
      <c r="L793" s="143" t="n"/>
    </row>
    <row r="794" ht="18" customHeight="1" s="102">
      <c r="A794" s="137">
        <f>IF($B794="","","TAH-"&amp;TEXT(ROW()-BaslangicSatir,"000000"))</f>
        <v/>
      </c>
      <c r="B794" s="143" t="n"/>
      <c r="C794" s="143" t="n"/>
      <c r="D794" s="143" t="n"/>
      <c r="E794" s="143" t="n"/>
      <c r="F794" s="143" t="n"/>
      <c r="G794" s="143" t="n"/>
      <c r="H794" s="143" t="n"/>
      <c r="I794" s="143" t="n"/>
      <c r="J794" s="137">
        <f>IF($H794="","",ROUND($H794*$I794,2))</f>
        <v/>
      </c>
      <c r="K794" s="137">
        <f>IF(OR($H794="",$J794=""),"",ROUND($H794-$J794,2))</f>
        <v/>
      </c>
      <c r="L794" s="143" t="n"/>
    </row>
    <row r="795" ht="18" customHeight="1" s="102">
      <c r="A795" s="137">
        <f>IF($B795="","","TAH-"&amp;TEXT(ROW()-BaslangicSatir,"000000"))</f>
        <v/>
      </c>
      <c r="B795" s="143" t="n"/>
      <c r="C795" s="143" t="n"/>
      <c r="D795" s="143" t="n"/>
      <c r="E795" s="143" t="n"/>
      <c r="F795" s="143" t="n"/>
      <c r="G795" s="143" t="n"/>
      <c r="H795" s="143" t="n"/>
      <c r="I795" s="143" t="n"/>
      <c r="J795" s="137">
        <f>IF($H795="","",ROUND($H795*$I795,2))</f>
        <v/>
      </c>
      <c r="K795" s="137">
        <f>IF(OR($H795="",$J795=""),"",ROUND($H795-$J795,2))</f>
        <v/>
      </c>
      <c r="L795" s="143" t="n"/>
    </row>
    <row r="796" ht="18" customHeight="1" s="102">
      <c r="A796" s="137">
        <f>IF($B796="","","TAH-"&amp;TEXT(ROW()-BaslangicSatir,"000000"))</f>
        <v/>
      </c>
      <c r="B796" s="143" t="n"/>
      <c r="C796" s="143" t="n"/>
      <c r="D796" s="143" t="n"/>
      <c r="E796" s="143" t="n"/>
      <c r="F796" s="143" t="n"/>
      <c r="G796" s="143" t="n"/>
      <c r="H796" s="143" t="n"/>
      <c r="I796" s="143" t="n"/>
      <c r="J796" s="137">
        <f>IF($H796="","",ROUND($H796*$I796,2))</f>
        <v/>
      </c>
      <c r="K796" s="137">
        <f>IF(OR($H796="",$J796=""),"",ROUND($H796-$J796,2))</f>
        <v/>
      </c>
      <c r="L796" s="143" t="n"/>
    </row>
    <row r="797" ht="18" customHeight="1" s="102">
      <c r="A797" s="137">
        <f>IF($B797="","","TAH-"&amp;TEXT(ROW()-BaslangicSatir,"000000"))</f>
        <v/>
      </c>
      <c r="B797" s="143" t="n"/>
      <c r="C797" s="143" t="n"/>
      <c r="D797" s="143" t="n"/>
      <c r="E797" s="143" t="n"/>
      <c r="F797" s="143" t="n"/>
      <c r="G797" s="143" t="n"/>
      <c r="H797" s="143" t="n"/>
      <c r="I797" s="143" t="n"/>
      <c r="J797" s="137">
        <f>IF($H797="","",ROUND($H797*$I797,2))</f>
        <v/>
      </c>
      <c r="K797" s="137">
        <f>IF(OR($H797="",$J797=""),"",ROUND($H797-$J797,2))</f>
        <v/>
      </c>
      <c r="L797" s="143" t="n"/>
    </row>
    <row r="798" ht="18" customHeight="1" s="102">
      <c r="A798" s="137">
        <f>IF($B798="","","TAH-"&amp;TEXT(ROW()-BaslangicSatir,"000000"))</f>
        <v/>
      </c>
      <c r="B798" s="143" t="n"/>
      <c r="C798" s="143" t="n"/>
      <c r="D798" s="143" t="n"/>
      <c r="E798" s="143" t="n"/>
      <c r="F798" s="143" t="n"/>
      <c r="G798" s="143" t="n"/>
      <c r="H798" s="143" t="n"/>
      <c r="I798" s="143" t="n"/>
      <c r="J798" s="137">
        <f>IF($H798="","",ROUND($H798*$I798,2))</f>
        <v/>
      </c>
      <c r="K798" s="137">
        <f>IF(OR($H798="",$J798=""),"",ROUND($H798-$J798,2))</f>
        <v/>
      </c>
      <c r="L798" s="143" t="n"/>
    </row>
    <row r="799" ht="18" customHeight="1" s="102">
      <c r="A799" s="137">
        <f>IF($B799="","","TAH-"&amp;TEXT(ROW()-BaslangicSatir,"000000"))</f>
        <v/>
      </c>
      <c r="B799" s="143" t="n"/>
      <c r="C799" s="143" t="n"/>
      <c r="D799" s="143" t="n"/>
      <c r="E799" s="143" t="n"/>
      <c r="F799" s="143" t="n"/>
      <c r="G799" s="143" t="n"/>
      <c r="H799" s="143" t="n"/>
      <c r="I799" s="143" t="n"/>
      <c r="J799" s="137">
        <f>IF($H799="","",ROUND($H799*$I799,2))</f>
        <v/>
      </c>
      <c r="K799" s="137">
        <f>IF(OR($H799="",$J799=""),"",ROUND($H799-$J799,2))</f>
        <v/>
      </c>
      <c r="L799" s="143" t="n"/>
    </row>
    <row r="800" ht="18" customHeight="1" s="102">
      <c r="A800" s="137">
        <f>IF($B800="","","TAH-"&amp;TEXT(ROW()-BaslangicSatir,"000000"))</f>
        <v/>
      </c>
      <c r="B800" s="143" t="n"/>
      <c r="C800" s="143" t="n"/>
      <c r="D800" s="143" t="n"/>
      <c r="E800" s="143" t="n"/>
      <c r="F800" s="143" t="n"/>
      <c r="G800" s="143" t="n"/>
      <c r="H800" s="143" t="n"/>
      <c r="I800" s="143" t="n"/>
      <c r="J800" s="137">
        <f>IF($H800="","",ROUND($H800*$I800,2))</f>
        <v/>
      </c>
      <c r="K800" s="137">
        <f>IF(OR($H800="",$J800=""),"",ROUND($H800-$J800,2))</f>
        <v/>
      </c>
      <c r="L800" s="143" t="n"/>
    </row>
    <row r="801" ht="18" customHeight="1" s="102">
      <c r="A801" s="137">
        <f>IF($B801="","","TAH-"&amp;TEXT(ROW()-BaslangicSatir,"000000"))</f>
        <v/>
      </c>
      <c r="B801" s="143" t="n"/>
      <c r="C801" s="143" t="n"/>
      <c r="D801" s="143" t="n"/>
      <c r="E801" s="143" t="n"/>
      <c r="F801" s="143" t="n"/>
      <c r="G801" s="143" t="n"/>
      <c r="H801" s="143" t="n"/>
      <c r="I801" s="143" t="n"/>
      <c r="J801" s="137">
        <f>IF($H801="","",ROUND($H801*$I801,2))</f>
        <v/>
      </c>
      <c r="K801" s="137">
        <f>IF(OR($H801="",$J801=""),"",ROUND($H801-$J801,2))</f>
        <v/>
      </c>
      <c r="L801" s="143" t="n"/>
    </row>
    <row r="802" ht="18" customHeight="1" s="102">
      <c r="A802" s="137">
        <f>IF($B802="","","TAH-"&amp;TEXT(ROW()-BaslangicSatir,"000000"))</f>
        <v/>
      </c>
      <c r="B802" s="143" t="n"/>
      <c r="C802" s="143" t="n"/>
      <c r="D802" s="143" t="n"/>
      <c r="E802" s="143" t="n"/>
      <c r="F802" s="143" t="n"/>
      <c r="G802" s="143" t="n"/>
      <c r="H802" s="143" t="n"/>
      <c r="I802" s="143" t="n"/>
      <c r="J802" s="137">
        <f>IF($H802="","",ROUND($H802*$I802,2))</f>
        <v/>
      </c>
      <c r="K802" s="137">
        <f>IF(OR($H802="",$J802=""),"",ROUND($H802-$J802,2))</f>
        <v/>
      </c>
      <c r="L802" s="143" t="n"/>
    </row>
    <row r="803" ht="18" customHeight="1" s="102">
      <c r="A803" s="137">
        <f>IF($B803="","","TAH-"&amp;TEXT(ROW()-BaslangicSatir,"000000"))</f>
        <v/>
      </c>
      <c r="B803" s="143" t="n"/>
      <c r="C803" s="143" t="n"/>
      <c r="D803" s="143" t="n"/>
      <c r="E803" s="143" t="n"/>
      <c r="F803" s="143" t="n"/>
      <c r="G803" s="143" t="n"/>
      <c r="H803" s="143" t="n"/>
      <c r="I803" s="143" t="n"/>
      <c r="J803" s="137">
        <f>IF($H803="","",ROUND($H803*$I803,2))</f>
        <v/>
      </c>
      <c r="K803" s="137">
        <f>IF(OR($H803="",$J803=""),"",ROUND($H803-$J803,2))</f>
        <v/>
      </c>
      <c r="L803" s="143" t="n"/>
    </row>
    <row r="804" ht="18" customHeight="1" s="102">
      <c r="A804" s="137">
        <f>IF($B804="","","TAH-"&amp;TEXT(ROW()-BaslangicSatir,"000000"))</f>
        <v/>
      </c>
      <c r="B804" s="143" t="n"/>
      <c r="C804" s="143" t="n"/>
      <c r="D804" s="143" t="n"/>
      <c r="E804" s="143" t="n"/>
      <c r="F804" s="143" t="n"/>
      <c r="G804" s="143" t="n"/>
      <c r="H804" s="143" t="n"/>
      <c r="I804" s="143" t="n"/>
      <c r="J804" s="137">
        <f>IF($H804="","",ROUND($H804*$I804,2))</f>
        <v/>
      </c>
      <c r="K804" s="137">
        <f>IF(OR($H804="",$J804=""),"",ROUND($H804-$J804,2))</f>
        <v/>
      </c>
      <c r="L804" s="143" t="n"/>
    </row>
    <row r="805" ht="18" customHeight="1" s="102">
      <c r="A805" s="137">
        <f>IF($B805="","","TAH-"&amp;TEXT(ROW()-BaslangicSatir,"000000"))</f>
        <v/>
      </c>
      <c r="B805" s="143" t="n"/>
      <c r="C805" s="143" t="n"/>
      <c r="D805" s="143" t="n"/>
      <c r="E805" s="143" t="n"/>
      <c r="F805" s="143" t="n"/>
      <c r="G805" s="143" t="n"/>
      <c r="H805" s="143" t="n"/>
      <c r="I805" s="143" t="n"/>
      <c r="J805" s="137">
        <f>IF($H805="","",ROUND($H805*$I805,2))</f>
        <v/>
      </c>
      <c r="K805" s="137">
        <f>IF(OR($H805="",$J805=""),"",ROUND($H805-$J805,2))</f>
        <v/>
      </c>
      <c r="L805" s="143" t="n"/>
    </row>
    <row r="806" ht="18" customHeight="1" s="102">
      <c r="A806" s="137">
        <f>IF($B806="","","TAH-"&amp;TEXT(ROW()-BaslangicSatir,"000000"))</f>
        <v/>
      </c>
      <c r="B806" s="143" t="n"/>
      <c r="C806" s="143" t="n"/>
      <c r="D806" s="143" t="n"/>
      <c r="E806" s="143" t="n"/>
      <c r="F806" s="143" t="n"/>
      <c r="G806" s="143" t="n"/>
      <c r="H806" s="143" t="n"/>
      <c r="I806" s="143" t="n"/>
      <c r="J806" s="137">
        <f>IF($H806="","",ROUND($H806*$I806,2))</f>
        <v/>
      </c>
      <c r="K806" s="137">
        <f>IF(OR($H806="",$J806=""),"",ROUND($H806-$J806,2))</f>
        <v/>
      </c>
      <c r="L806" s="143" t="n"/>
    </row>
    <row r="807" ht="18" customHeight="1" s="102">
      <c r="A807" s="137">
        <f>IF($B807="","","TAH-"&amp;TEXT(ROW()-BaslangicSatir,"000000"))</f>
        <v/>
      </c>
      <c r="B807" s="143" t="n"/>
      <c r="C807" s="143" t="n"/>
      <c r="D807" s="143" t="n"/>
      <c r="E807" s="143" t="n"/>
      <c r="F807" s="143" t="n"/>
      <c r="G807" s="143" t="n"/>
      <c r="H807" s="143" t="n"/>
      <c r="I807" s="143" t="n"/>
      <c r="J807" s="137">
        <f>IF($H807="","",ROUND($H807*$I807,2))</f>
        <v/>
      </c>
      <c r="K807" s="137">
        <f>IF(OR($H807="",$J807=""),"",ROUND($H807-$J807,2))</f>
        <v/>
      </c>
      <c r="L807" s="143" t="n"/>
    </row>
    <row r="808" ht="18" customHeight="1" s="102">
      <c r="A808" s="137">
        <f>IF($B808="","","TAH-"&amp;TEXT(ROW()-BaslangicSatir,"000000"))</f>
        <v/>
      </c>
      <c r="B808" s="143" t="n"/>
      <c r="C808" s="143" t="n"/>
      <c r="D808" s="143" t="n"/>
      <c r="E808" s="143" t="n"/>
      <c r="F808" s="143" t="n"/>
      <c r="G808" s="143" t="n"/>
      <c r="H808" s="143" t="n"/>
      <c r="I808" s="143" t="n"/>
      <c r="J808" s="137">
        <f>IF($H808="","",ROUND($H808*$I808,2))</f>
        <v/>
      </c>
      <c r="K808" s="137">
        <f>IF(OR($H808="",$J808=""),"",ROUND($H808-$J808,2))</f>
        <v/>
      </c>
      <c r="L808" s="143" t="n"/>
    </row>
    <row r="809" ht="18" customHeight="1" s="102">
      <c r="A809" s="137">
        <f>IF($B809="","","TAH-"&amp;TEXT(ROW()-BaslangicSatir,"000000"))</f>
        <v/>
      </c>
      <c r="B809" s="143" t="n"/>
      <c r="C809" s="143" t="n"/>
      <c r="D809" s="143" t="n"/>
      <c r="E809" s="143" t="n"/>
      <c r="F809" s="143" t="n"/>
      <c r="G809" s="143" t="n"/>
      <c r="H809" s="143" t="n"/>
      <c r="I809" s="143" t="n"/>
      <c r="J809" s="137">
        <f>IF($H809="","",ROUND($H809*$I809,2))</f>
        <v/>
      </c>
      <c r="K809" s="137">
        <f>IF(OR($H809="",$J809=""),"",ROUND($H809-$J809,2))</f>
        <v/>
      </c>
      <c r="L809" s="143" t="n"/>
    </row>
    <row r="810" ht="18" customHeight="1" s="102">
      <c r="A810" s="137">
        <f>IF($B810="","","TAH-"&amp;TEXT(ROW()-BaslangicSatir,"000000"))</f>
        <v/>
      </c>
      <c r="B810" s="143" t="n"/>
      <c r="C810" s="143" t="n"/>
      <c r="D810" s="143" t="n"/>
      <c r="E810" s="143" t="n"/>
      <c r="F810" s="143" t="n"/>
      <c r="G810" s="143" t="n"/>
      <c r="H810" s="143" t="n"/>
      <c r="I810" s="143" t="n"/>
      <c r="J810" s="137">
        <f>IF($H810="","",ROUND($H810*$I810,2))</f>
        <v/>
      </c>
      <c r="K810" s="137">
        <f>IF(OR($H810="",$J810=""),"",ROUND($H810-$J810,2))</f>
        <v/>
      </c>
      <c r="L810" s="143" t="n"/>
    </row>
    <row r="811" ht="18" customHeight="1" s="102">
      <c r="A811" s="137">
        <f>IF($B811="","","TAH-"&amp;TEXT(ROW()-BaslangicSatir,"000000"))</f>
        <v/>
      </c>
      <c r="B811" s="143" t="n"/>
      <c r="C811" s="143" t="n"/>
      <c r="D811" s="143" t="n"/>
      <c r="E811" s="143" t="n"/>
      <c r="F811" s="143" t="n"/>
      <c r="G811" s="143" t="n"/>
      <c r="H811" s="143" t="n"/>
      <c r="I811" s="143" t="n"/>
      <c r="J811" s="137">
        <f>IF($H811="","",ROUND($H811*$I811,2))</f>
        <v/>
      </c>
      <c r="K811" s="137">
        <f>IF(OR($H811="",$J811=""),"",ROUND($H811-$J811,2))</f>
        <v/>
      </c>
      <c r="L811" s="143" t="n"/>
    </row>
    <row r="812" ht="18" customHeight="1" s="102">
      <c r="A812" s="137">
        <f>IF($B812="","","TAH-"&amp;TEXT(ROW()-BaslangicSatir,"000000"))</f>
        <v/>
      </c>
      <c r="B812" s="143" t="n"/>
      <c r="C812" s="143" t="n"/>
      <c r="D812" s="143" t="n"/>
      <c r="E812" s="143" t="n"/>
      <c r="F812" s="143" t="n"/>
      <c r="G812" s="143" t="n"/>
      <c r="H812" s="143" t="n"/>
      <c r="I812" s="143" t="n"/>
      <c r="J812" s="137">
        <f>IF($H812="","",ROUND($H812*$I812,2))</f>
        <v/>
      </c>
      <c r="K812" s="137">
        <f>IF(OR($H812="",$J812=""),"",ROUND($H812-$J812,2))</f>
        <v/>
      </c>
      <c r="L812" s="143" t="n"/>
    </row>
    <row r="813" ht="18" customHeight="1" s="102">
      <c r="A813" s="137">
        <f>IF($B813="","","TAH-"&amp;TEXT(ROW()-BaslangicSatir,"000000"))</f>
        <v/>
      </c>
      <c r="B813" s="143" t="n"/>
      <c r="C813" s="143" t="n"/>
      <c r="D813" s="143" t="n"/>
      <c r="E813" s="143" t="n"/>
      <c r="F813" s="143" t="n"/>
      <c r="G813" s="143" t="n"/>
      <c r="H813" s="143" t="n"/>
      <c r="I813" s="143" t="n"/>
      <c r="J813" s="137">
        <f>IF($H813="","",ROUND($H813*$I813,2))</f>
        <v/>
      </c>
      <c r="K813" s="137">
        <f>IF(OR($H813="",$J813=""),"",ROUND($H813-$J813,2))</f>
        <v/>
      </c>
      <c r="L813" s="143" t="n"/>
    </row>
    <row r="814" ht="18" customHeight="1" s="102">
      <c r="A814" s="137">
        <f>IF($B814="","","TAH-"&amp;TEXT(ROW()-BaslangicSatir,"000000"))</f>
        <v/>
      </c>
      <c r="B814" s="143" t="n"/>
      <c r="C814" s="143" t="n"/>
      <c r="D814" s="143" t="n"/>
      <c r="E814" s="143" t="n"/>
      <c r="F814" s="143" t="n"/>
      <c r="G814" s="143" t="n"/>
      <c r="H814" s="143" t="n"/>
      <c r="I814" s="143" t="n"/>
      <c r="J814" s="137">
        <f>IF($H814="","",ROUND($H814*$I814,2))</f>
        <v/>
      </c>
      <c r="K814" s="137">
        <f>IF(OR($H814="",$J814=""),"",ROUND($H814-$J814,2))</f>
        <v/>
      </c>
      <c r="L814" s="143" t="n"/>
    </row>
    <row r="815" ht="18" customHeight="1" s="102">
      <c r="A815" s="137">
        <f>IF($B815="","","TAH-"&amp;TEXT(ROW()-BaslangicSatir,"000000"))</f>
        <v/>
      </c>
      <c r="B815" s="143" t="n"/>
      <c r="C815" s="143" t="n"/>
      <c r="D815" s="143" t="n"/>
      <c r="E815" s="143" t="n"/>
      <c r="F815" s="143" t="n"/>
      <c r="G815" s="143" t="n"/>
      <c r="H815" s="143" t="n"/>
      <c r="I815" s="143" t="n"/>
      <c r="J815" s="137">
        <f>IF($H815="","",ROUND($H815*$I815,2))</f>
        <v/>
      </c>
      <c r="K815" s="137">
        <f>IF(OR($H815="",$J815=""),"",ROUND($H815-$J815,2))</f>
        <v/>
      </c>
      <c r="L815" s="143" t="n"/>
    </row>
    <row r="816" ht="18" customHeight="1" s="102">
      <c r="A816" s="137">
        <f>IF($B816="","","TAH-"&amp;TEXT(ROW()-BaslangicSatir,"000000"))</f>
        <v/>
      </c>
      <c r="B816" s="143" t="n"/>
      <c r="C816" s="143" t="n"/>
      <c r="D816" s="143" t="n"/>
      <c r="E816" s="143" t="n"/>
      <c r="F816" s="143" t="n"/>
      <c r="G816" s="143" t="n"/>
      <c r="H816" s="143" t="n"/>
      <c r="I816" s="143" t="n"/>
      <c r="J816" s="137">
        <f>IF($H816="","",ROUND($H816*$I816,2))</f>
        <v/>
      </c>
      <c r="K816" s="137">
        <f>IF(OR($H816="",$J816=""),"",ROUND($H816-$J816,2))</f>
        <v/>
      </c>
      <c r="L816" s="143" t="n"/>
    </row>
    <row r="817" ht="18" customHeight="1" s="102">
      <c r="A817" s="137">
        <f>IF($B817="","","TAH-"&amp;TEXT(ROW()-BaslangicSatir,"000000"))</f>
        <v/>
      </c>
      <c r="B817" s="143" t="n"/>
      <c r="C817" s="143" t="n"/>
      <c r="D817" s="143" t="n"/>
      <c r="E817" s="143" t="n"/>
      <c r="F817" s="143" t="n"/>
      <c r="G817" s="143" t="n"/>
      <c r="H817" s="143" t="n"/>
      <c r="I817" s="143" t="n"/>
      <c r="J817" s="137">
        <f>IF($H817="","",ROUND($H817*$I817,2))</f>
        <v/>
      </c>
      <c r="K817" s="137">
        <f>IF(OR($H817="",$J817=""),"",ROUND($H817-$J817,2))</f>
        <v/>
      </c>
      <c r="L817" s="143" t="n"/>
    </row>
    <row r="818" ht="18" customHeight="1" s="102">
      <c r="A818" s="137">
        <f>IF($B818="","","TAH-"&amp;TEXT(ROW()-BaslangicSatir,"000000"))</f>
        <v/>
      </c>
      <c r="B818" s="143" t="n"/>
      <c r="C818" s="143" t="n"/>
      <c r="D818" s="143" t="n"/>
      <c r="E818" s="143" t="n"/>
      <c r="F818" s="143" t="n"/>
      <c r="G818" s="143" t="n"/>
      <c r="H818" s="143" t="n"/>
      <c r="I818" s="143" t="n"/>
      <c r="J818" s="137">
        <f>IF($H818="","",ROUND($H818*$I818,2))</f>
        <v/>
      </c>
      <c r="K818" s="137">
        <f>IF(OR($H818="",$J818=""),"",ROUND($H818-$J818,2))</f>
        <v/>
      </c>
      <c r="L818" s="143" t="n"/>
    </row>
    <row r="819" ht="18" customHeight="1" s="102">
      <c r="A819" s="137">
        <f>IF($B819="","","TAH-"&amp;TEXT(ROW()-BaslangicSatir,"000000"))</f>
        <v/>
      </c>
      <c r="B819" s="143" t="n"/>
      <c r="C819" s="143" t="n"/>
      <c r="D819" s="143" t="n"/>
      <c r="E819" s="143" t="n"/>
      <c r="F819" s="143" t="n"/>
      <c r="G819" s="143" t="n"/>
      <c r="H819" s="143" t="n"/>
      <c r="I819" s="143" t="n"/>
      <c r="J819" s="137">
        <f>IF($H819="","",ROUND($H819*$I819,2))</f>
        <v/>
      </c>
      <c r="K819" s="137">
        <f>IF(OR($H819="",$J819=""),"",ROUND($H819-$J819,2))</f>
        <v/>
      </c>
      <c r="L819" s="143" t="n"/>
    </row>
    <row r="820" ht="18" customHeight="1" s="102">
      <c r="A820" s="137">
        <f>IF($B820="","","TAH-"&amp;TEXT(ROW()-BaslangicSatir,"000000"))</f>
        <v/>
      </c>
      <c r="B820" s="143" t="n"/>
      <c r="C820" s="143" t="n"/>
      <c r="D820" s="143" t="n"/>
      <c r="E820" s="143" t="n"/>
      <c r="F820" s="143" t="n"/>
      <c r="G820" s="143" t="n"/>
      <c r="H820" s="143" t="n"/>
      <c r="I820" s="143" t="n"/>
      <c r="J820" s="137">
        <f>IF($H820="","",ROUND($H820*$I820,2))</f>
        <v/>
      </c>
      <c r="K820" s="137">
        <f>IF(OR($H820="",$J820=""),"",ROUND($H820-$J820,2))</f>
        <v/>
      </c>
      <c r="L820" s="143" t="n"/>
    </row>
    <row r="821" ht="18" customHeight="1" s="102">
      <c r="A821" s="137">
        <f>IF($B821="","","TAH-"&amp;TEXT(ROW()-BaslangicSatir,"000000"))</f>
        <v/>
      </c>
      <c r="B821" s="143" t="n"/>
      <c r="C821" s="143" t="n"/>
      <c r="D821" s="143" t="n"/>
      <c r="E821" s="143" t="n"/>
      <c r="F821" s="143" t="n"/>
      <c r="G821" s="143" t="n"/>
      <c r="H821" s="143" t="n"/>
      <c r="I821" s="143" t="n"/>
      <c r="J821" s="137">
        <f>IF($H821="","",ROUND($H821*$I821,2))</f>
        <v/>
      </c>
      <c r="K821" s="137">
        <f>IF(OR($H821="",$J821=""),"",ROUND($H821-$J821,2))</f>
        <v/>
      </c>
      <c r="L821" s="143" t="n"/>
    </row>
    <row r="822" ht="18" customHeight="1" s="102">
      <c r="A822" s="137">
        <f>IF($B822="","","TAH-"&amp;TEXT(ROW()-BaslangicSatir,"000000"))</f>
        <v/>
      </c>
      <c r="B822" s="143" t="n"/>
      <c r="C822" s="143" t="n"/>
      <c r="D822" s="143" t="n"/>
      <c r="E822" s="143" t="n"/>
      <c r="F822" s="143" t="n"/>
      <c r="G822" s="143" t="n"/>
      <c r="H822" s="143" t="n"/>
      <c r="I822" s="143" t="n"/>
      <c r="J822" s="137">
        <f>IF($H822="","",ROUND($H822*$I822,2))</f>
        <v/>
      </c>
      <c r="K822" s="137">
        <f>IF(OR($H822="",$J822=""),"",ROUND($H822-$J822,2))</f>
        <v/>
      </c>
      <c r="L822" s="143" t="n"/>
    </row>
    <row r="823" ht="18" customHeight="1" s="102">
      <c r="A823" s="137">
        <f>IF($B823="","","TAH-"&amp;TEXT(ROW()-BaslangicSatir,"000000"))</f>
        <v/>
      </c>
      <c r="B823" s="143" t="n"/>
      <c r="C823" s="143" t="n"/>
      <c r="D823" s="143" t="n"/>
      <c r="E823" s="143" t="n"/>
      <c r="F823" s="143" t="n"/>
      <c r="G823" s="143" t="n"/>
      <c r="H823" s="143" t="n"/>
      <c r="I823" s="143" t="n"/>
      <c r="J823" s="137">
        <f>IF($H823="","",ROUND($H823*$I823,2))</f>
        <v/>
      </c>
      <c r="K823" s="137">
        <f>IF(OR($H823="",$J823=""),"",ROUND($H823-$J823,2))</f>
        <v/>
      </c>
      <c r="L823" s="143" t="n"/>
    </row>
    <row r="824" ht="18" customHeight="1" s="102">
      <c r="A824" s="137">
        <f>IF($B824="","","TAH-"&amp;TEXT(ROW()-BaslangicSatir,"000000"))</f>
        <v/>
      </c>
      <c r="B824" s="143" t="n"/>
      <c r="C824" s="143" t="n"/>
      <c r="D824" s="143" t="n"/>
      <c r="E824" s="143" t="n"/>
      <c r="F824" s="143" t="n"/>
      <c r="G824" s="143" t="n"/>
      <c r="H824" s="143" t="n"/>
      <c r="I824" s="143" t="n"/>
      <c r="J824" s="137">
        <f>IF($H824="","",ROUND($H824*$I824,2))</f>
        <v/>
      </c>
      <c r="K824" s="137">
        <f>IF(OR($H824="",$J824=""),"",ROUND($H824-$J824,2))</f>
        <v/>
      </c>
      <c r="L824" s="143" t="n"/>
    </row>
    <row r="825" ht="18" customHeight="1" s="102">
      <c r="A825" s="137">
        <f>IF($B825="","","TAH-"&amp;TEXT(ROW()-BaslangicSatir,"000000"))</f>
        <v/>
      </c>
      <c r="B825" s="143" t="n"/>
      <c r="C825" s="143" t="n"/>
      <c r="D825" s="143" t="n"/>
      <c r="E825" s="143" t="n"/>
      <c r="F825" s="143" t="n"/>
      <c r="G825" s="143" t="n"/>
      <c r="H825" s="143" t="n"/>
      <c r="I825" s="143" t="n"/>
      <c r="J825" s="137">
        <f>IF($H825="","",ROUND($H825*$I825,2))</f>
        <v/>
      </c>
      <c r="K825" s="137">
        <f>IF(OR($H825="",$J825=""),"",ROUND($H825-$J825,2))</f>
        <v/>
      </c>
      <c r="L825" s="143" t="n"/>
    </row>
    <row r="826" ht="18" customHeight="1" s="102">
      <c r="A826" s="137">
        <f>IF($B826="","","TAH-"&amp;TEXT(ROW()-BaslangicSatir,"000000"))</f>
        <v/>
      </c>
      <c r="B826" s="143" t="n"/>
      <c r="C826" s="143" t="n"/>
      <c r="D826" s="143" t="n"/>
      <c r="E826" s="143" t="n"/>
      <c r="F826" s="143" t="n"/>
      <c r="G826" s="143" t="n"/>
      <c r="H826" s="143" t="n"/>
      <c r="I826" s="143" t="n"/>
      <c r="J826" s="137">
        <f>IF($H826="","",ROUND($H826*$I826,2))</f>
        <v/>
      </c>
      <c r="K826" s="137">
        <f>IF(OR($H826="",$J826=""),"",ROUND($H826-$J826,2))</f>
        <v/>
      </c>
      <c r="L826" s="143" t="n"/>
    </row>
    <row r="827" ht="18" customHeight="1" s="102">
      <c r="A827" s="137">
        <f>IF($B827="","","TAH-"&amp;TEXT(ROW()-BaslangicSatir,"000000"))</f>
        <v/>
      </c>
      <c r="B827" s="143" t="n"/>
      <c r="C827" s="143" t="n"/>
      <c r="D827" s="143" t="n"/>
      <c r="E827" s="143" t="n"/>
      <c r="F827" s="143" t="n"/>
      <c r="G827" s="143" t="n"/>
      <c r="H827" s="143" t="n"/>
      <c r="I827" s="143" t="n"/>
      <c r="J827" s="137">
        <f>IF($H827="","",ROUND($H827*$I827,2))</f>
        <v/>
      </c>
      <c r="K827" s="137">
        <f>IF(OR($H827="",$J827=""),"",ROUND($H827-$J827,2))</f>
        <v/>
      </c>
      <c r="L827" s="143" t="n"/>
    </row>
    <row r="828" ht="18" customHeight="1" s="102">
      <c r="A828" s="137">
        <f>IF($B828="","","TAH-"&amp;TEXT(ROW()-BaslangicSatir,"000000"))</f>
        <v/>
      </c>
      <c r="B828" s="143" t="n"/>
      <c r="C828" s="143" t="n"/>
      <c r="D828" s="143" t="n"/>
      <c r="E828" s="143" t="n"/>
      <c r="F828" s="143" t="n"/>
      <c r="G828" s="143" t="n"/>
      <c r="H828" s="143" t="n"/>
      <c r="I828" s="143" t="n"/>
      <c r="J828" s="137">
        <f>IF($H828="","",ROUND($H828*$I828,2))</f>
        <v/>
      </c>
      <c r="K828" s="137">
        <f>IF(OR($H828="",$J828=""),"",ROUND($H828-$J828,2))</f>
        <v/>
      </c>
      <c r="L828" s="143" t="n"/>
    </row>
    <row r="829" ht="18" customHeight="1" s="102">
      <c r="A829" s="137">
        <f>IF($B829="","","TAH-"&amp;TEXT(ROW()-BaslangicSatir,"000000"))</f>
        <v/>
      </c>
      <c r="B829" s="143" t="n"/>
      <c r="C829" s="143" t="n"/>
      <c r="D829" s="143" t="n"/>
      <c r="E829" s="143" t="n"/>
      <c r="F829" s="143" t="n"/>
      <c r="G829" s="143" t="n"/>
      <c r="H829" s="143" t="n"/>
      <c r="I829" s="143" t="n"/>
      <c r="J829" s="137">
        <f>IF($H829="","",ROUND($H829*$I829,2))</f>
        <v/>
      </c>
      <c r="K829" s="137">
        <f>IF(OR($H829="",$J829=""),"",ROUND($H829-$J829,2))</f>
        <v/>
      </c>
      <c r="L829" s="143" t="n"/>
    </row>
    <row r="830" ht="18" customHeight="1" s="102">
      <c r="A830" s="137">
        <f>IF($B830="","","TAH-"&amp;TEXT(ROW()-BaslangicSatir,"000000"))</f>
        <v/>
      </c>
      <c r="B830" s="143" t="n"/>
      <c r="C830" s="143" t="n"/>
      <c r="D830" s="143" t="n"/>
      <c r="E830" s="143" t="n"/>
      <c r="F830" s="143" t="n"/>
      <c r="G830" s="143" t="n"/>
      <c r="H830" s="143" t="n"/>
      <c r="I830" s="143" t="n"/>
      <c r="J830" s="137">
        <f>IF($H830="","",ROUND($H830*$I830,2))</f>
        <v/>
      </c>
      <c r="K830" s="137">
        <f>IF(OR($H830="",$J830=""),"",ROUND($H830-$J830,2))</f>
        <v/>
      </c>
      <c r="L830" s="143" t="n"/>
    </row>
    <row r="831" ht="18" customHeight="1" s="102">
      <c r="A831" s="137">
        <f>IF($B831="","","TAH-"&amp;TEXT(ROW()-BaslangicSatir,"000000"))</f>
        <v/>
      </c>
      <c r="B831" s="143" t="n"/>
      <c r="C831" s="143" t="n"/>
      <c r="D831" s="143" t="n"/>
      <c r="E831" s="143" t="n"/>
      <c r="F831" s="143" t="n"/>
      <c r="G831" s="143" t="n"/>
      <c r="H831" s="143" t="n"/>
      <c r="I831" s="143" t="n"/>
      <c r="J831" s="137">
        <f>IF($H831="","",ROUND($H831*$I831,2))</f>
        <v/>
      </c>
      <c r="K831" s="137">
        <f>IF(OR($H831="",$J831=""),"",ROUND($H831-$J831,2))</f>
        <v/>
      </c>
      <c r="L831" s="143" t="n"/>
    </row>
    <row r="832" ht="18" customHeight="1" s="102">
      <c r="A832" s="137">
        <f>IF($B832="","","TAH-"&amp;TEXT(ROW()-BaslangicSatir,"000000"))</f>
        <v/>
      </c>
      <c r="B832" s="143" t="n"/>
      <c r="C832" s="143" t="n"/>
      <c r="D832" s="143" t="n"/>
      <c r="E832" s="143" t="n"/>
      <c r="F832" s="143" t="n"/>
      <c r="G832" s="143" t="n"/>
      <c r="H832" s="143" t="n"/>
      <c r="I832" s="143" t="n"/>
      <c r="J832" s="137">
        <f>IF($H832="","",ROUND($H832*$I832,2))</f>
        <v/>
      </c>
      <c r="K832" s="137">
        <f>IF(OR($H832="",$J832=""),"",ROUND($H832-$J832,2))</f>
        <v/>
      </c>
      <c r="L832" s="143" t="n"/>
    </row>
    <row r="833" ht="18" customHeight="1" s="102">
      <c r="A833" s="137">
        <f>IF($B833="","","TAH-"&amp;TEXT(ROW()-BaslangicSatir,"000000"))</f>
        <v/>
      </c>
      <c r="B833" s="143" t="n"/>
      <c r="C833" s="143" t="n"/>
      <c r="D833" s="143" t="n"/>
      <c r="E833" s="143" t="n"/>
      <c r="F833" s="143" t="n"/>
      <c r="G833" s="143" t="n"/>
      <c r="H833" s="143" t="n"/>
      <c r="I833" s="143" t="n"/>
      <c r="J833" s="137">
        <f>IF($H833="","",ROUND($H833*$I833,2))</f>
        <v/>
      </c>
      <c r="K833" s="137">
        <f>IF(OR($H833="",$J833=""),"",ROUND($H833-$J833,2))</f>
        <v/>
      </c>
      <c r="L833" s="143" t="n"/>
    </row>
    <row r="834" ht="18" customHeight="1" s="102">
      <c r="A834" s="137">
        <f>IF($B834="","","TAH-"&amp;TEXT(ROW()-BaslangicSatir,"000000"))</f>
        <v/>
      </c>
      <c r="B834" s="143" t="n"/>
      <c r="C834" s="143" t="n"/>
      <c r="D834" s="143" t="n"/>
      <c r="E834" s="143" t="n"/>
      <c r="F834" s="143" t="n"/>
      <c r="G834" s="143" t="n"/>
      <c r="H834" s="143" t="n"/>
      <c r="I834" s="143" t="n"/>
      <c r="J834" s="137">
        <f>IF($H834="","",ROUND($H834*$I834,2))</f>
        <v/>
      </c>
      <c r="K834" s="137">
        <f>IF(OR($H834="",$J834=""),"",ROUND($H834-$J834,2))</f>
        <v/>
      </c>
      <c r="L834" s="143" t="n"/>
    </row>
    <row r="835" ht="18" customHeight="1" s="102">
      <c r="A835" s="137">
        <f>IF($B835="","","TAH-"&amp;TEXT(ROW()-BaslangicSatir,"000000"))</f>
        <v/>
      </c>
      <c r="B835" s="143" t="n"/>
      <c r="C835" s="143" t="n"/>
      <c r="D835" s="143" t="n"/>
      <c r="E835" s="143" t="n"/>
      <c r="F835" s="143" t="n"/>
      <c r="G835" s="143" t="n"/>
      <c r="H835" s="143" t="n"/>
      <c r="I835" s="143" t="n"/>
      <c r="J835" s="137">
        <f>IF($H835="","",ROUND($H835*$I835,2))</f>
        <v/>
      </c>
      <c r="K835" s="137">
        <f>IF(OR($H835="",$J835=""),"",ROUND($H835-$J835,2))</f>
        <v/>
      </c>
      <c r="L835" s="143" t="n"/>
    </row>
    <row r="836" ht="18" customHeight="1" s="102">
      <c r="A836" s="137">
        <f>IF($B836="","","TAH-"&amp;TEXT(ROW()-BaslangicSatir,"000000"))</f>
        <v/>
      </c>
      <c r="B836" s="143" t="n"/>
      <c r="C836" s="143" t="n"/>
      <c r="D836" s="143" t="n"/>
      <c r="E836" s="143" t="n"/>
      <c r="F836" s="143" t="n"/>
      <c r="G836" s="143" t="n"/>
      <c r="H836" s="143" t="n"/>
      <c r="I836" s="143" t="n"/>
      <c r="J836" s="137">
        <f>IF($H836="","",ROUND($H836*$I836,2))</f>
        <v/>
      </c>
      <c r="K836" s="137">
        <f>IF(OR($H836="",$J836=""),"",ROUND($H836-$J836,2))</f>
        <v/>
      </c>
      <c r="L836" s="143" t="n"/>
    </row>
    <row r="837" ht="18" customHeight="1" s="102">
      <c r="A837" s="137">
        <f>IF($B837="","","TAH-"&amp;TEXT(ROW()-BaslangicSatir,"000000"))</f>
        <v/>
      </c>
      <c r="B837" s="143" t="n"/>
      <c r="C837" s="143" t="n"/>
      <c r="D837" s="143" t="n"/>
      <c r="E837" s="143" t="n"/>
      <c r="F837" s="143" t="n"/>
      <c r="G837" s="143" t="n"/>
      <c r="H837" s="143" t="n"/>
      <c r="I837" s="143" t="n"/>
      <c r="J837" s="137">
        <f>IF($H837="","",ROUND($H837*$I837,2))</f>
        <v/>
      </c>
      <c r="K837" s="137">
        <f>IF(OR($H837="",$J837=""),"",ROUND($H837-$J837,2))</f>
        <v/>
      </c>
      <c r="L837" s="143" t="n"/>
    </row>
    <row r="838" ht="18" customHeight="1" s="102">
      <c r="A838" s="137">
        <f>IF($B838="","","TAH-"&amp;TEXT(ROW()-BaslangicSatir,"000000"))</f>
        <v/>
      </c>
      <c r="B838" s="143" t="n"/>
      <c r="C838" s="143" t="n"/>
      <c r="D838" s="143" t="n"/>
      <c r="E838" s="143" t="n"/>
      <c r="F838" s="143" t="n"/>
      <c r="G838" s="143" t="n"/>
      <c r="H838" s="143" t="n"/>
      <c r="I838" s="143" t="n"/>
      <c r="J838" s="137">
        <f>IF($H838="","",ROUND($H838*$I838,2))</f>
        <v/>
      </c>
      <c r="K838" s="137">
        <f>IF(OR($H838="",$J838=""),"",ROUND($H838-$J838,2))</f>
        <v/>
      </c>
      <c r="L838" s="143" t="n"/>
    </row>
    <row r="839" ht="18" customHeight="1" s="102">
      <c r="A839" s="137">
        <f>IF($B839="","","TAH-"&amp;TEXT(ROW()-BaslangicSatir,"000000"))</f>
        <v/>
      </c>
      <c r="B839" s="143" t="n"/>
      <c r="C839" s="143" t="n"/>
      <c r="D839" s="143" t="n"/>
      <c r="E839" s="143" t="n"/>
      <c r="F839" s="143" t="n"/>
      <c r="G839" s="143" t="n"/>
      <c r="H839" s="143" t="n"/>
      <c r="I839" s="143" t="n"/>
      <c r="J839" s="137">
        <f>IF($H839="","",ROUND($H839*$I839,2))</f>
        <v/>
      </c>
      <c r="K839" s="137">
        <f>IF(OR($H839="",$J839=""),"",ROUND($H839-$J839,2))</f>
        <v/>
      </c>
      <c r="L839" s="143" t="n"/>
    </row>
    <row r="840" ht="18" customHeight="1" s="102">
      <c r="A840" s="137">
        <f>IF($B840="","","TAH-"&amp;TEXT(ROW()-BaslangicSatir,"000000"))</f>
        <v/>
      </c>
      <c r="B840" s="143" t="n"/>
      <c r="C840" s="143" t="n"/>
      <c r="D840" s="143" t="n"/>
      <c r="E840" s="143" t="n"/>
      <c r="F840" s="143" t="n"/>
      <c r="G840" s="143" t="n"/>
      <c r="H840" s="143" t="n"/>
      <c r="I840" s="143" t="n"/>
      <c r="J840" s="137">
        <f>IF($H840="","",ROUND($H840*$I840,2))</f>
        <v/>
      </c>
      <c r="K840" s="137">
        <f>IF(OR($H840="",$J840=""),"",ROUND($H840-$J840,2))</f>
        <v/>
      </c>
      <c r="L840" s="143" t="n"/>
    </row>
    <row r="841" ht="18" customHeight="1" s="102">
      <c r="A841" s="137">
        <f>IF($B841="","","TAH-"&amp;TEXT(ROW()-BaslangicSatir,"000000"))</f>
        <v/>
      </c>
      <c r="B841" s="143" t="n"/>
      <c r="C841" s="143" t="n"/>
      <c r="D841" s="143" t="n"/>
      <c r="E841" s="143" t="n"/>
      <c r="F841" s="143" t="n"/>
      <c r="G841" s="143" t="n"/>
      <c r="H841" s="143" t="n"/>
      <c r="I841" s="143" t="n"/>
      <c r="J841" s="137">
        <f>IF($H841="","",ROUND($H841*$I841,2))</f>
        <v/>
      </c>
      <c r="K841" s="137">
        <f>IF(OR($H841="",$J841=""),"",ROUND($H841-$J841,2))</f>
        <v/>
      </c>
      <c r="L841" s="143" t="n"/>
    </row>
    <row r="842" ht="18" customHeight="1" s="102">
      <c r="A842" s="137">
        <f>IF($B842="","","TAH-"&amp;TEXT(ROW()-BaslangicSatir,"000000"))</f>
        <v/>
      </c>
      <c r="B842" s="143" t="n"/>
      <c r="C842" s="143" t="n"/>
      <c r="D842" s="143" t="n"/>
      <c r="E842" s="143" t="n"/>
      <c r="F842" s="143" t="n"/>
      <c r="G842" s="143" t="n"/>
      <c r="H842" s="143" t="n"/>
      <c r="I842" s="143" t="n"/>
      <c r="J842" s="137">
        <f>IF($H842="","",ROUND($H842*$I842,2))</f>
        <v/>
      </c>
      <c r="K842" s="137">
        <f>IF(OR($H842="",$J842=""),"",ROUND($H842-$J842,2))</f>
        <v/>
      </c>
      <c r="L842" s="143" t="n"/>
    </row>
    <row r="843" ht="18" customHeight="1" s="102">
      <c r="A843" s="137">
        <f>IF($B843="","","TAH-"&amp;TEXT(ROW()-BaslangicSatir,"000000"))</f>
        <v/>
      </c>
      <c r="B843" s="143" t="n"/>
      <c r="C843" s="143" t="n"/>
      <c r="D843" s="143" t="n"/>
      <c r="E843" s="143" t="n"/>
      <c r="F843" s="143" t="n"/>
      <c r="G843" s="143" t="n"/>
      <c r="H843" s="143" t="n"/>
      <c r="I843" s="143" t="n"/>
      <c r="J843" s="137">
        <f>IF($H843="","",ROUND($H843*$I843,2))</f>
        <v/>
      </c>
      <c r="K843" s="137">
        <f>IF(OR($H843="",$J843=""),"",ROUND($H843-$J843,2))</f>
        <v/>
      </c>
      <c r="L843" s="143" t="n"/>
    </row>
    <row r="844" ht="18" customHeight="1" s="102">
      <c r="A844" s="137">
        <f>IF($B844="","","TAH-"&amp;TEXT(ROW()-BaslangicSatir,"000000"))</f>
        <v/>
      </c>
      <c r="B844" s="143" t="n"/>
      <c r="C844" s="143" t="n"/>
      <c r="D844" s="143" t="n"/>
      <c r="E844" s="143" t="n"/>
      <c r="F844" s="143" t="n"/>
      <c r="G844" s="143" t="n"/>
      <c r="H844" s="143" t="n"/>
      <c r="I844" s="143" t="n"/>
      <c r="J844" s="137">
        <f>IF($H844="","",ROUND($H844*$I844,2))</f>
        <v/>
      </c>
      <c r="K844" s="137">
        <f>IF(OR($H844="",$J844=""),"",ROUND($H844-$J844,2))</f>
        <v/>
      </c>
      <c r="L844" s="143" t="n"/>
    </row>
    <row r="845" ht="18" customHeight="1" s="102">
      <c r="A845" s="137">
        <f>IF($B845="","","TAH-"&amp;TEXT(ROW()-BaslangicSatir,"000000"))</f>
        <v/>
      </c>
      <c r="B845" s="143" t="n"/>
      <c r="C845" s="143" t="n"/>
      <c r="D845" s="143" t="n"/>
      <c r="E845" s="143" t="n"/>
      <c r="F845" s="143" t="n"/>
      <c r="G845" s="143" t="n"/>
      <c r="H845" s="143" t="n"/>
      <c r="I845" s="143" t="n"/>
      <c r="J845" s="137">
        <f>IF($H845="","",ROUND($H845*$I845,2))</f>
        <v/>
      </c>
      <c r="K845" s="137">
        <f>IF(OR($H845="",$J845=""),"",ROUND($H845-$J845,2))</f>
        <v/>
      </c>
      <c r="L845" s="143" t="n"/>
    </row>
    <row r="846" ht="18" customHeight="1" s="102">
      <c r="A846" s="137">
        <f>IF($B846="","","TAH-"&amp;TEXT(ROW()-BaslangicSatir,"000000"))</f>
        <v/>
      </c>
      <c r="B846" s="143" t="n"/>
      <c r="C846" s="143" t="n"/>
      <c r="D846" s="143" t="n"/>
      <c r="E846" s="143" t="n"/>
      <c r="F846" s="143" t="n"/>
      <c r="G846" s="143" t="n"/>
      <c r="H846" s="143" t="n"/>
      <c r="I846" s="143" t="n"/>
      <c r="J846" s="137">
        <f>IF($H846="","",ROUND($H846*$I846,2))</f>
        <v/>
      </c>
      <c r="K846" s="137">
        <f>IF(OR($H846="",$J846=""),"",ROUND($H846-$J846,2))</f>
        <v/>
      </c>
      <c r="L846" s="143" t="n"/>
    </row>
    <row r="847" ht="18" customHeight="1" s="102">
      <c r="A847" s="137">
        <f>IF($B847="","","TAH-"&amp;TEXT(ROW()-BaslangicSatir,"000000"))</f>
        <v/>
      </c>
      <c r="B847" s="143" t="n"/>
      <c r="C847" s="143" t="n"/>
      <c r="D847" s="143" t="n"/>
      <c r="E847" s="143" t="n"/>
      <c r="F847" s="143" t="n"/>
      <c r="G847" s="143" t="n"/>
      <c r="H847" s="143" t="n"/>
      <c r="I847" s="143" t="n"/>
      <c r="J847" s="137">
        <f>IF($H847="","",ROUND($H847*$I847,2))</f>
        <v/>
      </c>
      <c r="K847" s="137">
        <f>IF(OR($H847="",$J847=""),"",ROUND($H847-$J847,2))</f>
        <v/>
      </c>
      <c r="L847" s="143" t="n"/>
    </row>
    <row r="848" ht="18" customHeight="1" s="102">
      <c r="A848" s="137">
        <f>IF($B848="","","TAH-"&amp;TEXT(ROW()-BaslangicSatir,"000000"))</f>
        <v/>
      </c>
      <c r="B848" s="143" t="n"/>
      <c r="C848" s="143" t="n"/>
      <c r="D848" s="143" t="n"/>
      <c r="E848" s="143" t="n"/>
      <c r="F848" s="143" t="n"/>
      <c r="G848" s="143" t="n"/>
      <c r="H848" s="143" t="n"/>
      <c r="I848" s="143" t="n"/>
      <c r="J848" s="137">
        <f>IF($H848="","",ROUND($H848*$I848,2))</f>
        <v/>
      </c>
      <c r="K848" s="137">
        <f>IF(OR($H848="",$J848=""),"",ROUND($H848-$J848,2))</f>
        <v/>
      </c>
      <c r="L848" s="143" t="n"/>
    </row>
    <row r="849" ht="18" customHeight="1" s="102">
      <c r="A849" s="137">
        <f>IF($B849="","","TAH-"&amp;TEXT(ROW()-BaslangicSatir,"000000"))</f>
        <v/>
      </c>
      <c r="B849" s="143" t="n"/>
      <c r="C849" s="143" t="n"/>
      <c r="D849" s="143" t="n"/>
      <c r="E849" s="143" t="n"/>
      <c r="F849" s="143" t="n"/>
      <c r="G849" s="143" t="n"/>
      <c r="H849" s="143" t="n"/>
      <c r="I849" s="143" t="n"/>
      <c r="J849" s="137">
        <f>IF($H849="","",ROUND($H849*$I849,2))</f>
        <v/>
      </c>
      <c r="K849" s="137">
        <f>IF(OR($H849="",$J849=""),"",ROUND($H849-$J849,2))</f>
        <v/>
      </c>
      <c r="L849" s="143" t="n"/>
    </row>
    <row r="850" ht="18" customHeight="1" s="102">
      <c r="A850" s="137">
        <f>IF($B850="","","TAH-"&amp;TEXT(ROW()-BaslangicSatir,"000000"))</f>
        <v/>
      </c>
      <c r="B850" s="143" t="n"/>
      <c r="C850" s="143" t="n"/>
      <c r="D850" s="143" t="n"/>
      <c r="E850" s="143" t="n"/>
      <c r="F850" s="143" t="n"/>
      <c r="G850" s="143" t="n"/>
      <c r="H850" s="143" t="n"/>
      <c r="I850" s="143" t="n"/>
      <c r="J850" s="137">
        <f>IF($H850="","",ROUND($H850*$I850,2))</f>
        <v/>
      </c>
      <c r="K850" s="137">
        <f>IF(OR($H850="",$J850=""),"",ROUND($H850-$J850,2))</f>
        <v/>
      </c>
      <c r="L850" s="143" t="n"/>
    </row>
    <row r="851" ht="18" customHeight="1" s="102">
      <c r="A851" s="137">
        <f>IF($B851="","","TAH-"&amp;TEXT(ROW()-BaslangicSatir,"000000"))</f>
        <v/>
      </c>
      <c r="B851" s="143" t="n"/>
      <c r="C851" s="143" t="n"/>
      <c r="D851" s="143" t="n"/>
      <c r="E851" s="143" t="n"/>
      <c r="F851" s="143" t="n"/>
      <c r="G851" s="143" t="n"/>
      <c r="H851" s="143" t="n"/>
      <c r="I851" s="143" t="n"/>
      <c r="J851" s="137">
        <f>IF($H851="","",ROUND($H851*$I851,2))</f>
        <v/>
      </c>
      <c r="K851" s="137">
        <f>IF(OR($H851="",$J851=""),"",ROUND($H851-$J851,2))</f>
        <v/>
      </c>
      <c r="L851" s="143" t="n"/>
    </row>
    <row r="852" ht="18" customHeight="1" s="102">
      <c r="A852" s="137">
        <f>IF($B852="","","TAH-"&amp;TEXT(ROW()-BaslangicSatir,"000000"))</f>
        <v/>
      </c>
      <c r="B852" s="143" t="n"/>
      <c r="C852" s="143" t="n"/>
      <c r="D852" s="143" t="n"/>
      <c r="E852" s="143" t="n"/>
      <c r="F852" s="143" t="n"/>
      <c r="G852" s="143" t="n"/>
      <c r="H852" s="143" t="n"/>
      <c r="I852" s="143" t="n"/>
      <c r="J852" s="137">
        <f>IF($H852="","",ROUND($H852*$I852,2))</f>
        <v/>
      </c>
      <c r="K852" s="137">
        <f>IF(OR($H852="",$J852=""),"",ROUND($H852-$J852,2))</f>
        <v/>
      </c>
      <c r="L852" s="143" t="n"/>
    </row>
    <row r="853" ht="18" customHeight="1" s="102">
      <c r="A853" s="137">
        <f>IF($B853="","","TAH-"&amp;TEXT(ROW()-BaslangicSatir,"000000"))</f>
        <v/>
      </c>
      <c r="B853" s="143" t="n"/>
      <c r="C853" s="143" t="n"/>
      <c r="D853" s="143" t="n"/>
      <c r="E853" s="143" t="n"/>
      <c r="F853" s="143" t="n"/>
      <c r="G853" s="143" t="n"/>
      <c r="H853" s="143" t="n"/>
      <c r="I853" s="143" t="n"/>
      <c r="J853" s="137">
        <f>IF($H853="","",ROUND($H853*$I853,2))</f>
        <v/>
      </c>
      <c r="K853" s="137">
        <f>IF(OR($H853="",$J853=""),"",ROUND($H853-$J853,2))</f>
        <v/>
      </c>
      <c r="L853" s="143" t="n"/>
    </row>
    <row r="854" ht="18" customHeight="1" s="102">
      <c r="A854" s="137">
        <f>IF($B854="","","TAH-"&amp;TEXT(ROW()-BaslangicSatir,"000000"))</f>
        <v/>
      </c>
      <c r="B854" s="143" t="n"/>
      <c r="C854" s="143" t="n"/>
      <c r="D854" s="143" t="n"/>
      <c r="E854" s="143" t="n"/>
      <c r="F854" s="143" t="n"/>
      <c r="G854" s="143" t="n"/>
      <c r="H854" s="143" t="n"/>
      <c r="I854" s="143" t="n"/>
      <c r="J854" s="137">
        <f>IF($H854="","",ROUND($H854*$I854,2))</f>
        <v/>
      </c>
      <c r="K854" s="137">
        <f>IF(OR($H854="",$J854=""),"",ROUND($H854-$J854,2))</f>
        <v/>
      </c>
      <c r="L854" s="143" t="n"/>
    </row>
    <row r="855" ht="18" customHeight="1" s="102">
      <c r="A855" s="137">
        <f>IF($B855="","","TAH-"&amp;TEXT(ROW()-BaslangicSatir,"000000"))</f>
        <v/>
      </c>
      <c r="B855" s="143" t="n"/>
      <c r="C855" s="143" t="n"/>
      <c r="D855" s="143" t="n"/>
      <c r="E855" s="143" t="n"/>
      <c r="F855" s="143" t="n"/>
      <c r="G855" s="143" t="n"/>
      <c r="H855" s="143" t="n"/>
      <c r="I855" s="143" t="n"/>
      <c r="J855" s="137">
        <f>IF($H855="","",ROUND($H855*$I855,2))</f>
        <v/>
      </c>
      <c r="K855" s="137">
        <f>IF(OR($H855="",$J855=""),"",ROUND($H855-$J855,2))</f>
        <v/>
      </c>
      <c r="L855" s="143" t="n"/>
    </row>
    <row r="856" ht="18" customHeight="1" s="102">
      <c r="A856" s="137">
        <f>IF($B856="","","TAH-"&amp;TEXT(ROW()-BaslangicSatir,"000000"))</f>
        <v/>
      </c>
      <c r="B856" s="143" t="n"/>
      <c r="C856" s="143" t="n"/>
      <c r="D856" s="143" t="n"/>
      <c r="E856" s="143" t="n"/>
      <c r="F856" s="143" t="n"/>
      <c r="G856" s="143" t="n"/>
      <c r="H856" s="143" t="n"/>
      <c r="I856" s="143" t="n"/>
      <c r="J856" s="137">
        <f>IF($H856="","",ROUND($H856*$I856,2))</f>
        <v/>
      </c>
      <c r="K856" s="137">
        <f>IF(OR($H856="",$J856=""),"",ROUND($H856-$J856,2))</f>
        <v/>
      </c>
      <c r="L856" s="143" t="n"/>
    </row>
    <row r="857" ht="18" customHeight="1" s="102">
      <c r="A857" s="137">
        <f>IF($B857="","","TAH-"&amp;TEXT(ROW()-BaslangicSatir,"000000"))</f>
        <v/>
      </c>
      <c r="B857" s="143" t="n"/>
      <c r="C857" s="143" t="n"/>
      <c r="D857" s="143" t="n"/>
      <c r="E857" s="143" t="n"/>
      <c r="F857" s="143" t="n"/>
      <c r="G857" s="143" t="n"/>
      <c r="H857" s="143" t="n"/>
      <c r="I857" s="143" t="n"/>
      <c r="J857" s="137">
        <f>IF($H857="","",ROUND($H857*$I857,2))</f>
        <v/>
      </c>
      <c r="K857" s="137">
        <f>IF(OR($H857="",$J857=""),"",ROUND($H857-$J857,2))</f>
        <v/>
      </c>
      <c r="L857" s="143" t="n"/>
    </row>
    <row r="858" ht="18" customHeight="1" s="102">
      <c r="A858" s="137">
        <f>IF($B858="","","TAH-"&amp;TEXT(ROW()-BaslangicSatir,"000000"))</f>
        <v/>
      </c>
      <c r="B858" s="143" t="n"/>
      <c r="C858" s="143" t="n"/>
      <c r="D858" s="143" t="n"/>
      <c r="E858" s="143" t="n"/>
      <c r="F858" s="143" t="n"/>
      <c r="G858" s="143" t="n"/>
      <c r="H858" s="143" t="n"/>
      <c r="I858" s="143" t="n"/>
      <c r="J858" s="137">
        <f>IF($H858="","",ROUND($H858*$I858,2))</f>
        <v/>
      </c>
      <c r="K858" s="137">
        <f>IF(OR($H858="",$J858=""),"",ROUND($H858-$J858,2))</f>
        <v/>
      </c>
      <c r="L858" s="143" t="n"/>
    </row>
    <row r="859" ht="18" customHeight="1" s="102">
      <c r="A859" s="137">
        <f>IF($B859="","","TAH-"&amp;TEXT(ROW()-BaslangicSatir,"000000"))</f>
        <v/>
      </c>
      <c r="B859" s="143" t="n"/>
      <c r="C859" s="143" t="n"/>
      <c r="D859" s="143" t="n"/>
      <c r="E859" s="143" t="n"/>
      <c r="F859" s="143" t="n"/>
      <c r="G859" s="143" t="n"/>
      <c r="H859" s="143" t="n"/>
      <c r="I859" s="143" t="n"/>
      <c r="J859" s="137">
        <f>IF($H859="","",ROUND($H859*$I859,2))</f>
        <v/>
      </c>
      <c r="K859" s="137">
        <f>IF(OR($H859="",$J859=""),"",ROUND($H859-$J859,2))</f>
        <v/>
      </c>
      <c r="L859" s="143" t="n"/>
    </row>
    <row r="860" ht="18" customHeight="1" s="102">
      <c r="A860" s="137">
        <f>IF($B860="","","TAH-"&amp;TEXT(ROW()-BaslangicSatir,"000000"))</f>
        <v/>
      </c>
      <c r="B860" s="143" t="n"/>
      <c r="C860" s="143" t="n"/>
      <c r="D860" s="143" t="n"/>
      <c r="E860" s="143" t="n"/>
      <c r="F860" s="143" t="n"/>
      <c r="G860" s="143" t="n"/>
      <c r="H860" s="143" t="n"/>
      <c r="I860" s="143" t="n"/>
      <c r="J860" s="137">
        <f>IF($H860="","",ROUND($H860*$I860,2))</f>
        <v/>
      </c>
      <c r="K860" s="137">
        <f>IF(OR($H860="",$J860=""),"",ROUND($H860-$J860,2))</f>
        <v/>
      </c>
      <c r="L860" s="143" t="n"/>
    </row>
    <row r="861" ht="18" customHeight="1" s="102">
      <c r="A861" s="137">
        <f>IF($B861="","","TAH-"&amp;TEXT(ROW()-BaslangicSatir,"000000"))</f>
        <v/>
      </c>
      <c r="B861" s="143" t="n"/>
      <c r="C861" s="143" t="n"/>
      <c r="D861" s="143" t="n"/>
      <c r="E861" s="143" t="n"/>
      <c r="F861" s="143" t="n"/>
      <c r="G861" s="143" t="n"/>
      <c r="H861" s="143" t="n"/>
      <c r="I861" s="143" t="n"/>
      <c r="J861" s="137">
        <f>IF($H861="","",ROUND($H861*$I861,2))</f>
        <v/>
      </c>
      <c r="K861" s="137">
        <f>IF(OR($H861="",$J861=""),"",ROUND($H861-$J861,2))</f>
        <v/>
      </c>
      <c r="L861" s="143" t="n"/>
    </row>
    <row r="862" ht="18" customHeight="1" s="102">
      <c r="A862" s="137">
        <f>IF($B862="","","TAH-"&amp;TEXT(ROW()-BaslangicSatir,"000000"))</f>
        <v/>
      </c>
      <c r="B862" s="143" t="n"/>
      <c r="C862" s="143" t="n"/>
      <c r="D862" s="143" t="n"/>
      <c r="E862" s="143" t="n"/>
      <c r="F862" s="143" t="n"/>
      <c r="G862" s="143" t="n"/>
      <c r="H862" s="143" t="n"/>
      <c r="I862" s="143" t="n"/>
      <c r="J862" s="137">
        <f>IF($H862="","",ROUND($H862*$I862,2))</f>
        <v/>
      </c>
      <c r="K862" s="137">
        <f>IF(OR($H862="",$J862=""),"",ROUND($H862-$J862,2))</f>
        <v/>
      </c>
      <c r="L862" s="143" t="n"/>
    </row>
    <row r="863" ht="18" customHeight="1" s="102">
      <c r="A863" s="137">
        <f>IF($B863="","","TAH-"&amp;TEXT(ROW()-BaslangicSatir,"000000"))</f>
        <v/>
      </c>
      <c r="B863" s="143" t="n"/>
      <c r="C863" s="143" t="n"/>
      <c r="D863" s="143" t="n"/>
      <c r="E863" s="143" t="n"/>
      <c r="F863" s="143" t="n"/>
      <c r="G863" s="143" t="n"/>
      <c r="H863" s="143" t="n"/>
      <c r="I863" s="143" t="n"/>
      <c r="J863" s="137">
        <f>IF($H863="","",ROUND($H863*$I863,2))</f>
        <v/>
      </c>
      <c r="K863" s="137">
        <f>IF(OR($H863="",$J863=""),"",ROUND($H863-$J863,2))</f>
        <v/>
      </c>
      <c r="L863" s="143" t="n"/>
    </row>
    <row r="864" ht="18" customHeight="1" s="102">
      <c r="A864" s="137">
        <f>IF($B864="","","TAH-"&amp;TEXT(ROW()-BaslangicSatir,"000000"))</f>
        <v/>
      </c>
      <c r="B864" s="143" t="n"/>
      <c r="C864" s="143" t="n"/>
      <c r="D864" s="143" t="n"/>
      <c r="E864" s="143" t="n"/>
      <c r="F864" s="143" t="n"/>
      <c r="G864" s="143" t="n"/>
      <c r="H864" s="143" t="n"/>
      <c r="I864" s="143" t="n"/>
      <c r="J864" s="137">
        <f>IF($H864="","",ROUND($H864*$I864,2))</f>
        <v/>
      </c>
      <c r="K864" s="137">
        <f>IF(OR($H864="",$J864=""),"",ROUND($H864-$J864,2))</f>
        <v/>
      </c>
      <c r="L864" s="143" t="n"/>
    </row>
    <row r="865" ht="18" customHeight="1" s="102">
      <c r="A865" s="137">
        <f>IF($B865="","","TAH-"&amp;TEXT(ROW()-BaslangicSatir,"000000"))</f>
        <v/>
      </c>
      <c r="B865" s="143" t="n"/>
      <c r="C865" s="143" t="n"/>
      <c r="D865" s="143" t="n"/>
      <c r="E865" s="143" t="n"/>
      <c r="F865" s="143" t="n"/>
      <c r="G865" s="143" t="n"/>
      <c r="H865" s="143" t="n"/>
      <c r="I865" s="143" t="n"/>
      <c r="J865" s="137">
        <f>IF($H865="","",ROUND($H865*$I865,2))</f>
        <v/>
      </c>
      <c r="K865" s="137">
        <f>IF(OR($H865="",$J865=""),"",ROUND($H865-$J865,2))</f>
        <v/>
      </c>
      <c r="L865" s="143" t="n"/>
    </row>
    <row r="866" ht="18" customHeight="1" s="102">
      <c r="A866" s="137">
        <f>IF($B866="","","TAH-"&amp;TEXT(ROW()-BaslangicSatir,"000000"))</f>
        <v/>
      </c>
      <c r="B866" s="143" t="n"/>
      <c r="C866" s="143" t="n"/>
      <c r="D866" s="143" t="n"/>
      <c r="E866" s="143" t="n"/>
      <c r="F866" s="143" t="n"/>
      <c r="G866" s="143" t="n"/>
      <c r="H866" s="143" t="n"/>
      <c r="I866" s="143" t="n"/>
      <c r="J866" s="137">
        <f>IF($H866="","",ROUND($H866*$I866,2))</f>
        <v/>
      </c>
      <c r="K866" s="137">
        <f>IF(OR($H866="",$J866=""),"",ROUND($H866-$J866,2))</f>
        <v/>
      </c>
      <c r="L866" s="143" t="n"/>
    </row>
    <row r="867" ht="18" customHeight="1" s="102">
      <c r="A867" s="137">
        <f>IF($B867="","","TAH-"&amp;TEXT(ROW()-BaslangicSatir,"000000"))</f>
        <v/>
      </c>
      <c r="B867" s="143" t="n"/>
      <c r="C867" s="143" t="n"/>
      <c r="D867" s="143" t="n"/>
      <c r="E867" s="143" t="n"/>
      <c r="F867" s="143" t="n"/>
      <c r="G867" s="143" t="n"/>
      <c r="H867" s="143" t="n"/>
      <c r="I867" s="143" t="n"/>
      <c r="J867" s="137">
        <f>IF($H867="","",ROUND($H867*$I867,2))</f>
        <v/>
      </c>
      <c r="K867" s="137">
        <f>IF(OR($H867="",$J867=""),"",ROUND($H867-$J867,2))</f>
        <v/>
      </c>
      <c r="L867" s="143" t="n"/>
    </row>
    <row r="868" ht="18" customHeight="1" s="102">
      <c r="A868" s="137">
        <f>IF($B868="","","TAH-"&amp;TEXT(ROW()-BaslangicSatir,"000000"))</f>
        <v/>
      </c>
      <c r="B868" s="143" t="n"/>
      <c r="C868" s="143" t="n"/>
      <c r="D868" s="143" t="n"/>
      <c r="E868" s="143" t="n"/>
      <c r="F868" s="143" t="n"/>
      <c r="G868" s="143" t="n"/>
      <c r="H868" s="143" t="n"/>
      <c r="I868" s="143" t="n"/>
      <c r="J868" s="137">
        <f>IF($H868="","",ROUND($H868*$I868,2))</f>
        <v/>
      </c>
      <c r="K868" s="137">
        <f>IF(OR($H868="",$J868=""),"",ROUND($H868-$J868,2))</f>
        <v/>
      </c>
      <c r="L868" s="143" t="n"/>
    </row>
    <row r="869" ht="18" customHeight="1" s="102">
      <c r="A869" s="137">
        <f>IF($B869="","","TAH-"&amp;TEXT(ROW()-BaslangicSatir,"000000"))</f>
        <v/>
      </c>
      <c r="B869" s="143" t="n"/>
      <c r="C869" s="143" t="n"/>
      <c r="D869" s="143" t="n"/>
      <c r="E869" s="143" t="n"/>
      <c r="F869" s="143" t="n"/>
      <c r="G869" s="143" t="n"/>
      <c r="H869" s="143" t="n"/>
      <c r="I869" s="143" t="n"/>
      <c r="J869" s="137">
        <f>IF($H869="","",ROUND($H869*$I869,2))</f>
        <v/>
      </c>
      <c r="K869" s="137">
        <f>IF(OR($H869="",$J869=""),"",ROUND($H869-$J869,2))</f>
        <v/>
      </c>
      <c r="L869" s="143" t="n"/>
    </row>
    <row r="870" ht="18" customHeight="1" s="102">
      <c r="A870" s="137">
        <f>IF($B870="","","TAH-"&amp;TEXT(ROW()-BaslangicSatir,"000000"))</f>
        <v/>
      </c>
      <c r="B870" s="143" t="n"/>
      <c r="C870" s="143" t="n"/>
      <c r="D870" s="143" t="n"/>
      <c r="E870" s="143" t="n"/>
      <c r="F870" s="143" t="n"/>
      <c r="G870" s="143" t="n"/>
      <c r="H870" s="143" t="n"/>
      <c r="I870" s="143" t="n"/>
      <c r="J870" s="137">
        <f>IF($H870="","",ROUND($H870*$I870,2))</f>
        <v/>
      </c>
      <c r="K870" s="137">
        <f>IF(OR($H870="",$J870=""),"",ROUND($H870-$J870,2))</f>
        <v/>
      </c>
      <c r="L870" s="143" t="n"/>
    </row>
    <row r="871" ht="18" customHeight="1" s="102">
      <c r="A871" s="137">
        <f>IF($B871="","","TAH-"&amp;TEXT(ROW()-BaslangicSatir,"000000"))</f>
        <v/>
      </c>
      <c r="B871" s="143" t="n"/>
      <c r="C871" s="143" t="n"/>
      <c r="D871" s="143" t="n"/>
      <c r="E871" s="143" t="n"/>
      <c r="F871" s="143" t="n"/>
      <c r="G871" s="143" t="n"/>
      <c r="H871" s="143" t="n"/>
      <c r="I871" s="143" t="n"/>
      <c r="J871" s="137">
        <f>IF($H871="","",ROUND($H871*$I871,2))</f>
        <v/>
      </c>
      <c r="K871" s="137">
        <f>IF(OR($H871="",$J871=""),"",ROUND($H871-$J871,2))</f>
        <v/>
      </c>
      <c r="L871" s="143" t="n"/>
    </row>
    <row r="872" ht="18" customHeight="1" s="102">
      <c r="A872" s="137">
        <f>IF($B872="","","TAH-"&amp;TEXT(ROW()-BaslangicSatir,"000000"))</f>
        <v/>
      </c>
      <c r="B872" s="143" t="n"/>
      <c r="C872" s="143" t="n"/>
      <c r="D872" s="143" t="n"/>
      <c r="E872" s="143" t="n"/>
      <c r="F872" s="143" t="n"/>
      <c r="G872" s="143" t="n"/>
      <c r="H872" s="143" t="n"/>
      <c r="I872" s="143" t="n"/>
      <c r="J872" s="137">
        <f>IF($H872="","",ROUND($H872*$I872,2))</f>
        <v/>
      </c>
      <c r="K872" s="137">
        <f>IF(OR($H872="",$J872=""),"",ROUND($H872-$J872,2))</f>
        <v/>
      </c>
      <c r="L872" s="143" t="n"/>
    </row>
    <row r="873" ht="18" customHeight="1" s="102">
      <c r="A873" s="137">
        <f>IF($B873="","","TAH-"&amp;TEXT(ROW()-BaslangicSatir,"000000"))</f>
        <v/>
      </c>
      <c r="B873" s="143" t="n"/>
      <c r="C873" s="143" t="n"/>
      <c r="D873" s="143" t="n"/>
      <c r="E873" s="143" t="n"/>
      <c r="F873" s="143" t="n"/>
      <c r="G873" s="143" t="n"/>
      <c r="H873" s="143" t="n"/>
      <c r="I873" s="143" t="n"/>
      <c r="J873" s="137">
        <f>IF($H873="","",ROUND($H873*$I873,2))</f>
        <v/>
      </c>
      <c r="K873" s="137">
        <f>IF(OR($H873="",$J873=""),"",ROUND($H873-$J873,2))</f>
        <v/>
      </c>
      <c r="L873" s="143" t="n"/>
    </row>
    <row r="874" ht="18" customHeight="1" s="102">
      <c r="A874" s="137">
        <f>IF($B874="","","TAH-"&amp;TEXT(ROW()-BaslangicSatir,"000000"))</f>
        <v/>
      </c>
      <c r="B874" s="143" t="n"/>
      <c r="C874" s="143" t="n"/>
      <c r="D874" s="143" t="n"/>
      <c r="E874" s="143" t="n"/>
      <c r="F874" s="143" t="n"/>
      <c r="G874" s="143" t="n"/>
      <c r="H874" s="143" t="n"/>
      <c r="I874" s="143" t="n"/>
      <c r="J874" s="137">
        <f>IF($H874="","",ROUND($H874*$I874,2))</f>
        <v/>
      </c>
      <c r="K874" s="137">
        <f>IF(OR($H874="",$J874=""),"",ROUND($H874-$J874,2))</f>
        <v/>
      </c>
      <c r="L874" s="143" t="n"/>
    </row>
    <row r="875" ht="18" customHeight="1" s="102">
      <c r="A875" s="137">
        <f>IF($B875="","","TAH-"&amp;TEXT(ROW()-BaslangicSatir,"000000"))</f>
        <v/>
      </c>
      <c r="B875" s="143" t="n"/>
      <c r="C875" s="143" t="n"/>
      <c r="D875" s="143" t="n"/>
      <c r="E875" s="143" t="n"/>
      <c r="F875" s="143" t="n"/>
      <c r="G875" s="143" t="n"/>
      <c r="H875" s="143" t="n"/>
      <c r="I875" s="143" t="n"/>
      <c r="J875" s="137">
        <f>IF($H875="","",ROUND($H875*$I875,2))</f>
        <v/>
      </c>
      <c r="K875" s="137">
        <f>IF(OR($H875="",$J875=""),"",ROUND($H875-$J875,2))</f>
        <v/>
      </c>
      <c r="L875" s="143" t="n"/>
    </row>
    <row r="876" ht="18" customHeight="1" s="102">
      <c r="A876" s="137">
        <f>IF($B876="","","TAH-"&amp;TEXT(ROW()-BaslangicSatir,"000000"))</f>
        <v/>
      </c>
      <c r="B876" s="143" t="n"/>
      <c r="C876" s="143" t="n"/>
      <c r="D876" s="143" t="n"/>
      <c r="E876" s="143" t="n"/>
      <c r="F876" s="143" t="n"/>
      <c r="G876" s="143" t="n"/>
      <c r="H876" s="143" t="n"/>
      <c r="I876" s="143" t="n"/>
      <c r="J876" s="137">
        <f>IF($H876="","",ROUND($H876*$I876,2))</f>
        <v/>
      </c>
      <c r="K876" s="137">
        <f>IF(OR($H876="",$J876=""),"",ROUND($H876-$J876,2))</f>
        <v/>
      </c>
      <c r="L876" s="143" t="n"/>
    </row>
    <row r="877" ht="18" customHeight="1" s="102">
      <c r="A877" s="137">
        <f>IF($B877="","","TAH-"&amp;TEXT(ROW()-BaslangicSatir,"000000"))</f>
        <v/>
      </c>
      <c r="B877" s="143" t="n"/>
      <c r="C877" s="143" t="n"/>
      <c r="D877" s="143" t="n"/>
      <c r="E877" s="143" t="n"/>
      <c r="F877" s="143" t="n"/>
      <c r="G877" s="143" t="n"/>
      <c r="H877" s="143" t="n"/>
      <c r="I877" s="143" t="n"/>
      <c r="J877" s="137">
        <f>IF($H877="","",ROUND($H877*$I877,2))</f>
        <v/>
      </c>
      <c r="K877" s="137">
        <f>IF(OR($H877="",$J877=""),"",ROUND($H877-$J877,2))</f>
        <v/>
      </c>
      <c r="L877" s="143" t="n"/>
    </row>
    <row r="878" ht="18" customHeight="1" s="102">
      <c r="A878" s="137">
        <f>IF($B878="","","TAH-"&amp;TEXT(ROW()-BaslangicSatir,"000000"))</f>
        <v/>
      </c>
      <c r="B878" s="143" t="n"/>
      <c r="C878" s="143" t="n"/>
      <c r="D878" s="143" t="n"/>
      <c r="E878" s="143" t="n"/>
      <c r="F878" s="143" t="n"/>
      <c r="G878" s="143" t="n"/>
      <c r="H878" s="143" t="n"/>
      <c r="I878" s="143" t="n"/>
      <c r="J878" s="137">
        <f>IF($H878="","",ROUND($H878*$I878,2))</f>
        <v/>
      </c>
      <c r="K878" s="137">
        <f>IF(OR($H878="",$J878=""),"",ROUND($H878-$J878,2))</f>
        <v/>
      </c>
      <c r="L878" s="143" t="n"/>
    </row>
    <row r="879" ht="18" customHeight="1" s="102">
      <c r="A879" s="137">
        <f>IF($B879="","","TAH-"&amp;TEXT(ROW()-BaslangicSatir,"000000"))</f>
        <v/>
      </c>
      <c r="B879" s="143" t="n"/>
      <c r="C879" s="143" t="n"/>
      <c r="D879" s="143" t="n"/>
      <c r="E879" s="143" t="n"/>
      <c r="F879" s="143" t="n"/>
      <c r="G879" s="143" t="n"/>
      <c r="H879" s="143" t="n"/>
      <c r="I879" s="143" t="n"/>
      <c r="J879" s="137">
        <f>IF($H879="","",ROUND($H879*$I879,2))</f>
        <v/>
      </c>
      <c r="K879" s="137">
        <f>IF(OR($H879="",$J879=""),"",ROUND($H879-$J879,2))</f>
        <v/>
      </c>
      <c r="L879" s="143" t="n"/>
    </row>
    <row r="880" ht="18" customHeight="1" s="102">
      <c r="A880" s="137">
        <f>IF($B880="","","TAH-"&amp;TEXT(ROW()-BaslangicSatir,"000000"))</f>
        <v/>
      </c>
      <c r="B880" s="143" t="n"/>
      <c r="C880" s="143" t="n"/>
      <c r="D880" s="143" t="n"/>
      <c r="E880" s="143" t="n"/>
      <c r="F880" s="143" t="n"/>
      <c r="G880" s="143" t="n"/>
      <c r="H880" s="143" t="n"/>
      <c r="I880" s="143" t="n"/>
      <c r="J880" s="137">
        <f>IF($H880="","",ROUND($H880*$I880,2))</f>
        <v/>
      </c>
      <c r="K880" s="137">
        <f>IF(OR($H880="",$J880=""),"",ROUND($H880-$J880,2))</f>
        <v/>
      </c>
      <c r="L880" s="143" t="n"/>
    </row>
    <row r="881" ht="18" customHeight="1" s="102">
      <c r="A881" s="137">
        <f>IF($B881="","","TAH-"&amp;TEXT(ROW()-BaslangicSatir,"000000"))</f>
        <v/>
      </c>
      <c r="B881" s="143" t="n"/>
      <c r="C881" s="143" t="n"/>
      <c r="D881" s="143" t="n"/>
      <c r="E881" s="143" t="n"/>
      <c r="F881" s="143" t="n"/>
      <c r="G881" s="143" t="n"/>
      <c r="H881" s="143" t="n"/>
      <c r="I881" s="143" t="n"/>
      <c r="J881" s="137">
        <f>IF($H881="","",ROUND($H881*$I881,2))</f>
        <v/>
      </c>
      <c r="K881" s="137">
        <f>IF(OR($H881="",$J881=""),"",ROUND($H881-$J881,2))</f>
        <v/>
      </c>
      <c r="L881" s="143" t="n"/>
    </row>
    <row r="882" ht="18" customHeight="1" s="102">
      <c r="A882" s="137">
        <f>IF($B882="","","TAH-"&amp;TEXT(ROW()-BaslangicSatir,"000000"))</f>
        <v/>
      </c>
      <c r="B882" s="143" t="n"/>
      <c r="C882" s="143" t="n"/>
      <c r="D882" s="143" t="n"/>
      <c r="E882" s="143" t="n"/>
      <c r="F882" s="143" t="n"/>
      <c r="G882" s="143" t="n"/>
      <c r="H882" s="143" t="n"/>
      <c r="I882" s="143" t="n"/>
      <c r="J882" s="137">
        <f>IF($H882="","",ROUND($H882*$I882,2))</f>
        <v/>
      </c>
      <c r="K882" s="137">
        <f>IF(OR($H882="",$J882=""),"",ROUND($H882-$J882,2))</f>
        <v/>
      </c>
      <c r="L882" s="143" t="n"/>
    </row>
    <row r="883" ht="18" customHeight="1" s="102">
      <c r="A883" s="137">
        <f>IF($B883="","","TAH-"&amp;TEXT(ROW()-BaslangicSatir,"000000"))</f>
        <v/>
      </c>
      <c r="B883" s="143" t="n"/>
      <c r="C883" s="143" t="n"/>
      <c r="D883" s="143" t="n"/>
      <c r="E883" s="143" t="n"/>
      <c r="F883" s="143" t="n"/>
      <c r="G883" s="143" t="n"/>
      <c r="H883" s="143" t="n"/>
      <c r="I883" s="143" t="n"/>
      <c r="J883" s="137">
        <f>IF($H883="","",ROUND($H883*$I883,2))</f>
        <v/>
      </c>
      <c r="K883" s="137">
        <f>IF(OR($H883="",$J883=""),"",ROUND($H883-$J883,2))</f>
        <v/>
      </c>
      <c r="L883" s="143" t="n"/>
    </row>
    <row r="884" ht="18" customHeight="1" s="102">
      <c r="A884" s="137">
        <f>IF($B884="","","TAH-"&amp;TEXT(ROW()-BaslangicSatir,"000000"))</f>
        <v/>
      </c>
      <c r="B884" s="143" t="n"/>
      <c r="C884" s="143" t="n"/>
      <c r="D884" s="143" t="n"/>
      <c r="E884" s="143" t="n"/>
      <c r="F884" s="143" t="n"/>
      <c r="G884" s="143" t="n"/>
      <c r="H884" s="143" t="n"/>
      <c r="I884" s="143" t="n"/>
      <c r="J884" s="137">
        <f>IF($H884="","",ROUND($H884*$I884,2))</f>
        <v/>
      </c>
      <c r="K884" s="137">
        <f>IF(OR($H884="",$J884=""),"",ROUND($H884-$J884,2))</f>
        <v/>
      </c>
      <c r="L884" s="143" t="n"/>
    </row>
    <row r="885" ht="18" customHeight="1" s="102">
      <c r="A885" s="137">
        <f>IF($B885="","","TAH-"&amp;TEXT(ROW()-BaslangicSatir,"000000"))</f>
        <v/>
      </c>
      <c r="B885" s="143" t="n"/>
      <c r="C885" s="143" t="n"/>
      <c r="D885" s="143" t="n"/>
      <c r="E885" s="143" t="n"/>
      <c r="F885" s="143" t="n"/>
      <c r="G885" s="143" t="n"/>
      <c r="H885" s="143" t="n"/>
      <c r="I885" s="143" t="n"/>
      <c r="J885" s="137">
        <f>IF($H885="","",ROUND($H885*$I885,2))</f>
        <v/>
      </c>
      <c r="K885" s="137">
        <f>IF(OR($H885="",$J885=""),"",ROUND($H885-$J885,2))</f>
        <v/>
      </c>
      <c r="L885" s="143" t="n"/>
    </row>
    <row r="886" ht="18" customHeight="1" s="102">
      <c r="A886" s="137">
        <f>IF($B886="","","TAH-"&amp;TEXT(ROW()-BaslangicSatir,"000000"))</f>
        <v/>
      </c>
      <c r="B886" s="143" t="n"/>
      <c r="C886" s="143" t="n"/>
      <c r="D886" s="143" t="n"/>
      <c r="E886" s="143" t="n"/>
      <c r="F886" s="143" t="n"/>
      <c r="G886" s="143" t="n"/>
      <c r="H886" s="143" t="n"/>
      <c r="I886" s="143" t="n"/>
      <c r="J886" s="137">
        <f>IF($H886="","",ROUND($H886*$I886,2))</f>
        <v/>
      </c>
      <c r="K886" s="137">
        <f>IF(OR($H886="",$J886=""),"",ROUND($H886-$J886,2))</f>
        <v/>
      </c>
      <c r="L886" s="143" t="n"/>
    </row>
    <row r="887" ht="18" customHeight="1" s="102">
      <c r="A887" s="137">
        <f>IF($B887="","","TAH-"&amp;TEXT(ROW()-BaslangicSatir,"000000"))</f>
        <v/>
      </c>
      <c r="B887" s="143" t="n"/>
      <c r="C887" s="143" t="n"/>
      <c r="D887" s="143" t="n"/>
      <c r="E887" s="143" t="n"/>
      <c r="F887" s="143" t="n"/>
      <c r="G887" s="143" t="n"/>
      <c r="H887" s="143" t="n"/>
      <c r="I887" s="143" t="n"/>
      <c r="J887" s="137">
        <f>IF($H887="","",ROUND($H887*$I887,2))</f>
        <v/>
      </c>
      <c r="K887" s="137">
        <f>IF(OR($H887="",$J887=""),"",ROUND($H887-$J887,2))</f>
        <v/>
      </c>
      <c r="L887" s="143" t="n"/>
    </row>
    <row r="888" ht="18" customHeight="1" s="102">
      <c r="A888" s="137">
        <f>IF($B888="","","TAH-"&amp;TEXT(ROW()-BaslangicSatir,"000000"))</f>
        <v/>
      </c>
      <c r="B888" s="143" t="n"/>
      <c r="C888" s="143" t="n"/>
      <c r="D888" s="143" t="n"/>
      <c r="E888" s="143" t="n"/>
      <c r="F888" s="143" t="n"/>
      <c r="G888" s="143" t="n"/>
      <c r="H888" s="143" t="n"/>
      <c r="I888" s="143" t="n"/>
      <c r="J888" s="137">
        <f>IF($H888="","",ROUND($H888*$I888,2))</f>
        <v/>
      </c>
      <c r="K888" s="137">
        <f>IF(OR($H888="",$J888=""),"",ROUND($H888-$J888,2))</f>
        <v/>
      </c>
      <c r="L888" s="143" t="n"/>
    </row>
    <row r="889" ht="18" customHeight="1" s="102">
      <c r="A889" s="137">
        <f>IF($B889="","","TAH-"&amp;TEXT(ROW()-BaslangicSatir,"000000"))</f>
        <v/>
      </c>
      <c r="B889" s="143" t="n"/>
      <c r="C889" s="143" t="n"/>
      <c r="D889" s="143" t="n"/>
      <c r="E889" s="143" t="n"/>
      <c r="F889" s="143" t="n"/>
      <c r="G889" s="143" t="n"/>
      <c r="H889" s="143" t="n"/>
      <c r="I889" s="143" t="n"/>
      <c r="J889" s="137">
        <f>IF($H889="","",ROUND($H889*$I889,2))</f>
        <v/>
      </c>
      <c r="K889" s="137">
        <f>IF(OR($H889="",$J889=""),"",ROUND($H889-$J889,2))</f>
        <v/>
      </c>
      <c r="L889" s="143" t="n"/>
    </row>
    <row r="890" ht="18" customHeight="1" s="102">
      <c r="A890" s="137">
        <f>IF($B890="","","TAH-"&amp;TEXT(ROW()-BaslangicSatir,"000000"))</f>
        <v/>
      </c>
      <c r="B890" s="143" t="n"/>
      <c r="C890" s="143" t="n"/>
      <c r="D890" s="143" t="n"/>
      <c r="E890" s="143" t="n"/>
      <c r="F890" s="143" t="n"/>
      <c r="G890" s="143" t="n"/>
      <c r="H890" s="143" t="n"/>
      <c r="I890" s="143" t="n"/>
      <c r="J890" s="137">
        <f>IF($H890="","",ROUND($H890*$I890,2))</f>
        <v/>
      </c>
      <c r="K890" s="137">
        <f>IF(OR($H890="",$J890=""),"",ROUND($H890-$J890,2))</f>
        <v/>
      </c>
      <c r="L890" s="143" t="n"/>
    </row>
    <row r="891" ht="18" customHeight="1" s="102">
      <c r="A891" s="137">
        <f>IF($B891="","","TAH-"&amp;TEXT(ROW()-BaslangicSatir,"000000"))</f>
        <v/>
      </c>
      <c r="B891" s="143" t="n"/>
      <c r="C891" s="143" t="n"/>
      <c r="D891" s="143" t="n"/>
      <c r="E891" s="143" t="n"/>
      <c r="F891" s="143" t="n"/>
      <c r="G891" s="143" t="n"/>
      <c r="H891" s="143" t="n"/>
      <c r="I891" s="143" t="n"/>
      <c r="J891" s="137">
        <f>IF($H891="","",ROUND($H891*$I891,2))</f>
        <v/>
      </c>
      <c r="K891" s="137">
        <f>IF(OR($H891="",$J891=""),"",ROUND($H891-$J891,2))</f>
        <v/>
      </c>
      <c r="L891" s="143" t="n"/>
    </row>
    <row r="892" ht="18" customHeight="1" s="102">
      <c r="A892" s="137">
        <f>IF($B892="","","TAH-"&amp;TEXT(ROW()-BaslangicSatir,"000000"))</f>
        <v/>
      </c>
      <c r="B892" s="143" t="n"/>
      <c r="C892" s="143" t="n"/>
      <c r="D892" s="143" t="n"/>
      <c r="E892" s="143" t="n"/>
      <c r="F892" s="143" t="n"/>
      <c r="G892" s="143" t="n"/>
      <c r="H892" s="143" t="n"/>
      <c r="I892" s="143" t="n"/>
      <c r="J892" s="137">
        <f>IF($H892="","",ROUND($H892*$I892,2))</f>
        <v/>
      </c>
      <c r="K892" s="137">
        <f>IF(OR($H892="",$J892=""),"",ROUND($H892-$J892,2))</f>
        <v/>
      </c>
      <c r="L892" s="143" t="n"/>
    </row>
    <row r="893" ht="18" customHeight="1" s="102">
      <c r="A893" s="137">
        <f>IF($B893="","","TAH-"&amp;TEXT(ROW()-BaslangicSatir,"000000"))</f>
        <v/>
      </c>
      <c r="B893" s="143" t="n"/>
      <c r="C893" s="143" t="n"/>
      <c r="D893" s="143" t="n"/>
      <c r="E893" s="143" t="n"/>
      <c r="F893" s="143" t="n"/>
      <c r="G893" s="143" t="n"/>
      <c r="H893" s="143" t="n"/>
      <c r="I893" s="143" t="n"/>
      <c r="J893" s="137">
        <f>IF($H893="","",ROUND($H893*$I893,2))</f>
        <v/>
      </c>
      <c r="K893" s="137">
        <f>IF(OR($H893="",$J893=""),"",ROUND($H893-$J893,2))</f>
        <v/>
      </c>
      <c r="L893" s="143" t="n"/>
    </row>
    <row r="894" ht="18" customHeight="1" s="102">
      <c r="A894" s="137">
        <f>IF($B894="","","TAH-"&amp;TEXT(ROW()-BaslangicSatir,"000000"))</f>
        <v/>
      </c>
      <c r="B894" s="143" t="n"/>
      <c r="C894" s="143" t="n"/>
      <c r="D894" s="143" t="n"/>
      <c r="E894" s="143" t="n"/>
      <c r="F894" s="143" t="n"/>
      <c r="G894" s="143" t="n"/>
      <c r="H894" s="143" t="n"/>
      <c r="I894" s="143" t="n"/>
      <c r="J894" s="137">
        <f>IF($H894="","",ROUND($H894*$I894,2))</f>
        <v/>
      </c>
      <c r="K894" s="137">
        <f>IF(OR($H894="",$J894=""),"",ROUND($H894-$J894,2))</f>
        <v/>
      </c>
      <c r="L894" s="143" t="n"/>
    </row>
    <row r="895" ht="18" customHeight="1" s="102">
      <c r="A895" s="137">
        <f>IF($B895="","","TAH-"&amp;TEXT(ROW()-BaslangicSatir,"000000"))</f>
        <v/>
      </c>
      <c r="B895" s="143" t="n"/>
      <c r="C895" s="143" t="n"/>
      <c r="D895" s="143" t="n"/>
      <c r="E895" s="143" t="n"/>
      <c r="F895" s="143" t="n"/>
      <c r="G895" s="143" t="n"/>
      <c r="H895" s="143" t="n"/>
      <c r="I895" s="143" t="n"/>
      <c r="J895" s="137">
        <f>IF($H895="","",ROUND($H895*$I895,2))</f>
        <v/>
      </c>
      <c r="K895" s="137">
        <f>IF(OR($H895="",$J895=""),"",ROUND($H895-$J895,2))</f>
        <v/>
      </c>
      <c r="L895" s="143" t="n"/>
    </row>
    <row r="896" ht="18" customHeight="1" s="102">
      <c r="A896" s="137">
        <f>IF($B896="","","TAH-"&amp;TEXT(ROW()-BaslangicSatir,"000000"))</f>
        <v/>
      </c>
      <c r="B896" s="143" t="n"/>
      <c r="C896" s="143" t="n"/>
      <c r="D896" s="143" t="n"/>
      <c r="E896" s="143" t="n"/>
      <c r="F896" s="143" t="n"/>
      <c r="G896" s="143" t="n"/>
      <c r="H896" s="143" t="n"/>
      <c r="I896" s="143" t="n"/>
      <c r="J896" s="137">
        <f>IF($H896="","",ROUND($H896*$I896,2))</f>
        <v/>
      </c>
      <c r="K896" s="137">
        <f>IF(OR($H896="",$J896=""),"",ROUND($H896-$J896,2))</f>
        <v/>
      </c>
      <c r="L896" s="143" t="n"/>
    </row>
    <row r="897" ht="18" customHeight="1" s="102">
      <c r="A897" s="137">
        <f>IF($B897="","","TAH-"&amp;TEXT(ROW()-BaslangicSatir,"000000"))</f>
        <v/>
      </c>
      <c r="B897" s="143" t="n"/>
      <c r="C897" s="143" t="n"/>
      <c r="D897" s="143" t="n"/>
      <c r="E897" s="143" t="n"/>
      <c r="F897" s="143" t="n"/>
      <c r="G897" s="143" t="n"/>
      <c r="H897" s="143" t="n"/>
      <c r="I897" s="143" t="n"/>
      <c r="J897" s="137">
        <f>IF($H897="","",ROUND($H897*$I897,2))</f>
        <v/>
      </c>
      <c r="K897" s="137">
        <f>IF(OR($H897="",$J897=""),"",ROUND($H897-$J897,2))</f>
        <v/>
      </c>
      <c r="L897" s="143" t="n"/>
    </row>
    <row r="898" ht="18" customHeight="1" s="102">
      <c r="A898" s="137">
        <f>IF($B898="","","TAH-"&amp;TEXT(ROW()-BaslangicSatir,"000000"))</f>
        <v/>
      </c>
      <c r="B898" s="143" t="n"/>
      <c r="C898" s="143" t="n"/>
      <c r="D898" s="143" t="n"/>
      <c r="E898" s="143" t="n"/>
      <c r="F898" s="143" t="n"/>
      <c r="G898" s="143" t="n"/>
      <c r="H898" s="143" t="n"/>
      <c r="I898" s="143" t="n"/>
      <c r="J898" s="137">
        <f>IF($H898="","",ROUND($H898*$I898,2))</f>
        <v/>
      </c>
      <c r="K898" s="137">
        <f>IF(OR($H898="",$J898=""),"",ROUND($H898-$J898,2))</f>
        <v/>
      </c>
      <c r="L898" s="143" t="n"/>
    </row>
    <row r="899" ht="18" customHeight="1" s="102">
      <c r="A899" s="137">
        <f>IF($B899="","","TAH-"&amp;TEXT(ROW()-BaslangicSatir,"000000"))</f>
        <v/>
      </c>
      <c r="B899" s="143" t="n"/>
      <c r="C899" s="143" t="n"/>
      <c r="D899" s="143" t="n"/>
      <c r="E899" s="143" t="n"/>
      <c r="F899" s="143" t="n"/>
      <c r="G899" s="143" t="n"/>
      <c r="H899" s="143" t="n"/>
      <c r="I899" s="143" t="n"/>
      <c r="J899" s="137">
        <f>IF($H899="","",ROUND($H899*$I899,2))</f>
        <v/>
      </c>
      <c r="K899" s="137">
        <f>IF(OR($H899="",$J899=""),"",ROUND($H899-$J899,2))</f>
        <v/>
      </c>
      <c r="L899" s="143" t="n"/>
    </row>
    <row r="900" ht="18" customHeight="1" s="102">
      <c r="A900" s="137">
        <f>IF($B900="","","TAH-"&amp;TEXT(ROW()-BaslangicSatir,"000000"))</f>
        <v/>
      </c>
      <c r="B900" s="143" t="n"/>
      <c r="C900" s="143" t="n"/>
      <c r="D900" s="143" t="n"/>
      <c r="E900" s="143" t="n"/>
      <c r="F900" s="143" t="n"/>
      <c r="G900" s="143" t="n"/>
      <c r="H900" s="143" t="n"/>
      <c r="I900" s="143" t="n"/>
      <c r="J900" s="137">
        <f>IF($H900="","",ROUND($H900*$I900,2))</f>
        <v/>
      </c>
      <c r="K900" s="137">
        <f>IF(OR($H900="",$J900=""),"",ROUND($H900-$J900,2))</f>
        <v/>
      </c>
      <c r="L900" s="143" t="n"/>
    </row>
    <row r="901" ht="18" customHeight="1" s="102">
      <c r="A901" s="137">
        <f>IF($B901="","","TAH-"&amp;TEXT(ROW()-BaslangicSatir,"000000"))</f>
        <v/>
      </c>
      <c r="B901" s="143" t="n"/>
      <c r="C901" s="143" t="n"/>
      <c r="D901" s="143" t="n"/>
      <c r="E901" s="143" t="n"/>
      <c r="F901" s="143" t="n"/>
      <c r="G901" s="143" t="n"/>
      <c r="H901" s="143" t="n"/>
      <c r="I901" s="143" t="n"/>
      <c r="J901" s="137">
        <f>IF($H901="","",ROUND($H901*$I901,2))</f>
        <v/>
      </c>
      <c r="K901" s="137">
        <f>IF(OR($H901="",$J901=""),"",ROUND($H901-$J901,2))</f>
        <v/>
      </c>
      <c r="L901" s="143" t="n"/>
    </row>
    <row r="902" ht="18" customHeight="1" s="102">
      <c r="A902" s="137">
        <f>IF($B902="","","TAH-"&amp;TEXT(ROW()-BaslangicSatir,"000000"))</f>
        <v/>
      </c>
      <c r="B902" s="143" t="n"/>
      <c r="C902" s="143" t="n"/>
      <c r="D902" s="143" t="n"/>
      <c r="E902" s="143" t="n"/>
      <c r="F902" s="143" t="n"/>
      <c r="G902" s="143" t="n"/>
      <c r="H902" s="143" t="n"/>
      <c r="I902" s="143" t="n"/>
      <c r="J902" s="137">
        <f>IF($H902="","",ROUND($H902*$I902,2))</f>
        <v/>
      </c>
      <c r="K902" s="137">
        <f>IF(OR($H902="",$J902=""),"",ROUND($H902-$J902,2))</f>
        <v/>
      </c>
      <c r="L902" s="143" t="n"/>
    </row>
    <row r="903" ht="18" customHeight="1" s="102">
      <c r="A903" s="137">
        <f>IF($B903="","","TAH-"&amp;TEXT(ROW()-BaslangicSatir,"000000"))</f>
        <v/>
      </c>
      <c r="B903" s="143" t="n"/>
      <c r="C903" s="143" t="n"/>
      <c r="D903" s="143" t="n"/>
      <c r="E903" s="143" t="n"/>
      <c r="F903" s="143" t="n"/>
      <c r="G903" s="143" t="n"/>
      <c r="H903" s="143" t="n"/>
      <c r="I903" s="143" t="n"/>
      <c r="J903" s="137">
        <f>IF($H903="","",ROUND($H903*$I903,2))</f>
        <v/>
      </c>
      <c r="K903" s="137">
        <f>IF(OR($H903="",$J903=""),"",ROUND($H903-$J903,2))</f>
        <v/>
      </c>
      <c r="L903" s="143" t="n"/>
    </row>
    <row r="904" ht="18" customHeight="1" s="102">
      <c r="A904" s="137">
        <f>IF($B904="","","TAH-"&amp;TEXT(ROW()-BaslangicSatir,"000000"))</f>
        <v/>
      </c>
      <c r="B904" s="143" t="n"/>
      <c r="C904" s="143" t="n"/>
      <c r="D904" s="143" t="n"/>
      <c r="E904" s="143" t="n"/>
      <c r="F904" s="143" t="n"/>
      <c r="G904" s="143" t="n"/>
      <c r="H904" s="143" t="n"/>
      <c r="I904" s="143" t="n"/>
      <c r="J904" s="137">
        <f>IF($H904="","",ROUND($H904*$I904,2))</f>
        <v/>
      </c>
      <c r="K904" s="137">
        <f>IF(OR($H904="",$J904=""),"",ROUND($H904-$J904,2))</f>
        <v/>
      </c>
      <c r="L904" s="143" t="n"/>
    </row>
    <row r="905" ht="18" customHeight="1" s="102">
      <c r="A905" s="137">
        <f>IF($B905="","","TAH-"&amp;TEXT(ROW()-BaslangicSatir,"000000"))</f>
        <v/>
      </c>
      <c r="B905" s="143" t="n"/>
      <c r="C905" s="143" t="n"/>
      <c r="D905" s="143" t="n"/>
      <c r="E905" s="143" t="n"/>
      <c r="F905" s="143" t="n"/>
      <c r="G905" s="143" t="n"/>
      <c r="H905" s="143" t="n"/>
      <c r="I905" s="143" t="n"/>
      <c r="J905" s="137">
        <f>IF($H905="","",ROUND($H905*$I905,2))</f>
        <v/>
      </c>
      <c r="K905" s="137">
        <f>IF(OR($H905="",$J905=""),"",ROUND($H905-$J905,2))</f>
        <v/>
      </c>
      <c r="L905" s="143" t="n"/>
    </row>
    <row r="906" ht="18" customHeight="1" s="102">
      <c r="A906" s="137">
        <f>IF($B906="","","TAH-"&amp;TEXT(ROW()-BaslangicSatir,"000000"))</f>
        <v/>
      </c>
      <c r="B906" s="143" t="n"/>
      <c r="C906" s="143" t="n"/>
      <c r="D906" s="143" t="n"/>
      <c r="E906" s="143" t="n"/>
      <c r="F906" s="143" t="n"/>
      <c r="G906" s="143" t="n"/>
      <c r="H906" s="143" t="n"/>
      <c r="I906" s="143" t="n"/>
      <c r="J906" s="137">
        <f>IF($H906="","",ROUND($H906*$I906,2))</f>
        <v/>
      </c>
      <c r="K906" s="137">
        <f>IF(OR($H906="",$J906=""),"",ROUND($H906-$J906,2))</f>
        <v/>
      </c>
      <c r="L906" s="143" t="n"/>
    </row>
    <row r="907" ht="18" customHeight="1" s="102">
      <c r="A907" s="137">
        <f>IF($B907="","","TAH-"&amp;TEXT(ROW()-BaslangicSatir,"000000"))</f>
        <v/>
      </c>
      <c r="B907" s="143" t="n"/>
      <c r="C907" s="143" t="n"/>
      <c r="D907" s="143" t="n"/>
      <c r="E907" s="143" t="n"/>
      <c r="F907" s="143" t="n"/>
      <c r="G907" s="143" t="n"/>
      <c r="H907" s="143" t="n"/>
      <c r="I907" s="143" t="n"/>
      <c r="J907" s="137">
        <f>IF($H907="","",ROUND($H907*$I907,2))</f>
        <v/>
      </c>
      <c r="K907" s="137">
        <f>IF(OR($H907="",$J907=""),"",ROUND($H907-$J907,2))</f>
        <v/>
      </c>
      <c r="L907" s="143" t="n"/>
    </row>
    <row r="908" ht="18" customHeight="1" s="102">
      <c r="A908" s="137">
        <f>IF($B908="","","TAH-"&amp;TEXT(ROW()-BaslangicSatir,"000000"))</f>
        <v/>
      </c>
      <c r="B908" s="143" t="n"/>
      <c r="C908" s="143" t="n"/>
      <c r="D908" s="143" t="n"/>
      <c r="E908" s="143" t="n"/>
      <c r="F908" s="143" t="n"/>
      <c r="G908" s="143" t="n"/>
      <c r="H908" s="143" t="n"/>
      <c r="I908" s="143" t="n"/>
      <c r="J908" s="137">
        <f>IF($H908="","",ROUND($H908*$I908,2))</f>
        <v/>
      </c>
      <c r="K908" s="137">
        <f>IF(OR($H908="",$J908=""),"",ROUND($H908-$J908,2))</f>
        <v/>
      </c>
      <c r="L908" s="143" t="n"/>
    </row>
    <row r="909" ht="18" customHeight="1" s="102">
      <c r="A909" s="137">
        <f>IF($B909="","","TAH-"&amp;TEXT(ROW()-BaslangicSatir,"000000"))</f>
        <v/>
      </c>
      <c r="B909" s="143" t="n"/>
      <c r="C909" s="143" t="n"/>
      <c r="D909" s="143" t="n"/>
      <c r="E909" s="143" t="n"/>
      <c r="F909" s="143" t="n"/>
      <c r="G909" s="143" t="n"/>
      <c r="H909" s="143" t="n"/>
      <c r="I909" s="143" t="n"/>
      <c r="J909" s="137">
        <f>IF($H909="","",ROUND($H909*$I909,2))</f>
        <v/>
      </c>
      <c r="K909" s="137">
        <f>IF(OR($H909="",$J909=""),"",ROUND($H909-$J909,2))</f>
        <v/>
      </c>
      <c r="L909" s="143" t="n"/>
    </row>
    <row r="910" ht="18" customHeight="1" s="102">
      <c r="A910" s="137">
        <f>IF($B910="","","TAH-"&amp;TEXT(ROW()-BaslangicSatir,"000000"))</f>
        <v/>
      </c>
      <c r="B910" s="143" t="n"/>
      <c r="C910" s="143" t="n"/>
      <c r="D910" s="143" t="n"/>
      <c r="E910" s="143" t="n"/>
      <c r="F910" s="143" t="n"/>
      <c r="G910" s="143" t="n"/>
      <c r="H910" s="143" t="n"/>
      <c r="I910" s="143" t="n"/>
      <c r="J910" s="137">
        <f>IF($H910="","",ROUND($H910*$I910,2))</f>
        <v/>
      </c>
      <c r="K910" s="137">
        <f>IF(OR($H910="",$J910=""),"",ROUND($H910-$J910,2))</f>
        <v/>
      </c>
      <c r="L910" s="143" t="n"/>
    </row>
    <row r="911" ht="18" customHeight="1" s="102">
      <c r="A911" s="137">
        <f>IF($B911="","","TAH-"&amp;TEXT(ROW()-BaslangicSatir,"000000"))</f>
        <v/>
      </c>
      <c r="B911" s="143" t="n"/>
      <c r="C911" s="143" t="n"/>
      <c r="D911" s="143" t="n"/>
      <c r="E911" s="143" t="n"/>
      <c r="F911" s="143" t="n"/>
      <c r="G911" s="143" t="n"/>
      <c r="H911" s="143" t="n"/>
      <c r="I911" s="143" t="n"/>
      <c r="J911" s="137">
        <f>IF($H911="","",ROUND($H911*$I911,2))</f>
        <v/>
      </c>
      <c r="K911" s="137">
        <f>IF(OR($H911="",$J911=""),"",ROUND($H911-$J911,2))</f>
        <v/>
      </c>
      <c r="L911" s="143" t="n"/>
    </row>
    <row r="912" ht="18" customHeight="1" s="102">
      <c r="A912" s="137">
        <f>IF($B912="","","TAH-"&amp;TEXT(ROW()-BaslangicSatir,"000000"))</f>
        <v/>
      </c>
      <c r="B912" s="143" t="n"/>
      <c r="C912" s="143" t="n"/>
      <c r="D912" s="143" t="n"/>
      <c r="E912" s="143" t="n"/>
      <c r="F912" s="143" t="n"/>
      <c r="G912" s="143" t="n"/>
      <c r="H912" s="143" t="n"/>
      <c r="I912" s="143" t="n"/>
      <c r="J912" s="137">
        <f>IF($H912="","",ROUND($H912*$I912,2))</f>
        <v/>
      </c>
      <c r="K912" s="137">
        <f>IF(OR($H912="",$J912=""),"",ROUND($H912-$J912,2))</f>
        <v/>
      </c>
      <c r="L912" s="143" t="n"/>
    </row>
    <row r="913" ht="18" customHeight="1" s="102">
      <c r="A913" s="137">
        <f>IF($B913="","","TAH-"&amp;TEXT(ROW()-BaslangicSatir,"000000"))</f>
        <v/>
      </c>
      <c r="B913" s="143" t="n"/>
      <c r="C913" s="143" t="n"/>
      <c r="D913" s="143" t="n"/>
      <c r="E913" s="143" t="n"/>
      <c r="F913" s="143" t="n"/>
      <c r="G913" s="143" t="n"/>
      <c r="H913" s="143" t="n"/>
      <c r="I913" s="143" t="n"/>
      <c r="J913" s="137">
        <f>IF($H913="","",ROUND($H913*$I913,2))</f>
        <v/>
      </c>
      <c r="K913" s="137">
        <f>IF(OR($H913="",$J913=""),"",ROUND($H913-$J913,2))</f>
        <v/>
      </c>
      <c r="L913" s="143" t="n"/>
    </row>
    <row r="914" ht="18" customHeight="1" s="102">
      <c r="A914" s="137">
        <f>IF($B914="","","TAH-"&amp;TEXT(ROW()-BaslangicSatir,"000000"))</f>
        <v/>
      </c>
      <c r="B914" s="143" t="n"/>
      <c r="C914" s="143" t="n"/>
      <c r="D914" s="143" t="n"/>
      <c r="E914" s="143" t="n"/>
      <c r="F914" s="143" t="n"/>
      <c r="G914" s="143" t="n"/>
      <c r="H914" s="143" t="n"/>
      <c r="I914" s="143" t="n"/>
      <c r="J914" s="137">
        <f>IF($H914="","",ROUND($H914*$I914,2))</f>
        <v/>
      </c>
      <c r="K914" s="137">
        <f>IF(OR($H914="",$J914=""),"",ROUND($H914-$J914,2))</f>
        <v/>
      </c>
      <c r="L914" s="143" t="n"/>
    </row>
    <row r="915" ht="18" customHeight="1" s="102">
      <c r="A915" s="137">
        <f>IF($B915="","","TAH-"&amp;TEXT(ROW()-BaslangicSatir,"000000"))</f>
        <v/>
      </c>
      <c r="B915" s="143" t="n"/>
      <c r="C915" s="143" t="n"/>
      <c r="D915" s="143" t="n"/>
      <c r="E915" s="143" t="n"/>
      <c r="F915" s="143" t="n"/>
      <c r="G915" s="143" t="n"/>
      <c r="H915" s="143" t="n"/>
      <c r="I915" s="143" t="n"/>
      <c r="J915" s="137">
        <f>IF($H915="","",ROUND($H915*$I915,2))</f>
        <v/>
      </c>
      <c r="K915" s="137">
        <f>IF(OR($H915="",$J915=""),"",ROUND($H915-$J915,2))</f>
        <v/>
      </c>
      <c r="L915" s="143" t="n"/>
    </row>
    <row r="916" ht="18" customHeight="1" s="102">
      <c r="A916" s="137">
        <f>IF($B916="","","TAH-"&amp;TEXT(ROW()-BaslangicSatir,"000000"))</f>
        <v/>
      </c>
      <c r="B916" s="143" t="n"/>
      <c r="C916" s="143" t="n"/>
      <c r="D916" s="143" t="n"/>
      <c r="E916" s="143" t="n"/>
      <c r="F916" s="143" t="n"/>
      <c r="G916" s="143" t="n"/>
      <c r="H916" s="143" t="n"/>
      <c r="I916" s="143" t="n"/>
      <c r="J916" s="137">
        <f>IF($H916="","",ROUND($H916*$I916,2))</f>
        <v/>
      </c>
      <c r="K916" s="137">
        <f>IF(OR($H916="",$J916=""),"",ROUND($H916-$J916,2))</f>
        <v/>
      </c>
      <c r="L916" s="143" t="n"/>
    </row>
    <row r="917" ht="18" customHeight="1" s="102">
      <c r="A917" s="137">
        <f>IF($B917="","","TAH-"&amp;TEXT(ROW()-BaslangicSatir,"000000"))</f>
        <v/>
      </c>
      <c r="B917" s="143" t="n"/>
      <c r="C917" s="143" t="n"/>
      <c r="D917" s="143" t="n"/>
      <c r="E917" s="143" t="n"/>
      <c r="F917" s="143" t="n"/>
      <c r="G917" s="143" t="n"/>
      <c r="H917" s="143" t="n"/>
      <c r="I917" s="143" t="n"/>
      <c r="J917" s="137">
        <f>IF($H917="","",ROUND($H917*$I917,2))</f>
        <v/>
      </c>
      <c r="K917" s="137">
        <f>IF(OR($H917="",$J917=""),"",ROUND($H917-$J917,2))</f>
        <v/>
      </c>
      <c r="L917" s="143" t="n"/>
    </row>
    <row r="918" ht="18" customHeight="1" s="102">
      <c r="A918" s="137">
        <f>IF($B918="","","TAH-"&amp;TEXT(ROW()-BaslangicSatir,"000000"))</f>
        <v/>
      </c>
      <c r="B918" s="143" t="n"/>
      <c r="C918" s="143" t="n"/>
      <c r="D918" s="143" t="n"/>
      <c r="E918" s="143" t="n"/>
      <c r="F918" s="143" t="n"/>
      <c r="G918" s="143" t="n"/>
      <c r="H918" s="143" t="n"/>
      <c r="I918" s="143" t="n"/>
      <c r="J918" s="137">
        <f>IF($H918="","",ROUND($H918*$I918,2))</f>
        <v/>
      </c>
      <c r="K918" s="137">
        <f>IF(OR($H918="",$J918=""),"",ROUND($H918-$J918,2))</f>
        <v/>
      </c>
      <c r="L918" s="143" t="n"/>
    </row>
    <row r="919" ht="18" customHeight="1" s="102">
      <c r="A919" s="137">
        <f>IF($B919="","","TAH-"&amp;TEXT(ROW()-BaslangicSatir,"000000"))</f>
        <v/>
      </c>
      <c r="B919" s="143" t="n"/>
      <c r="C919" s="143" t="n"/>
      <c r="D919" s="143" t="n"/>
      <c r="E919" s="143" t="n"/>
      <c r="F919" s="143" t="n"/>
      <c r="G919" s="143" t="n"/>
      <c r="H919" s="143" t="n"/>
      <c r="I919" s="143" t="n"/>
      <c r="J919" s="137">
        <f>IF($H919="","",ROUND($H919*$I919,2))</f>
        <v/>
      </c>
      <c r="K919" s="137">
        <f>IF(OR($H919="",$J919=""),"",ROUND($H919-$J919,2))</f>
        <v/>
      </c>
      <c r="L919" s="143" t="n"/>
    </row>
    <row r="920" ht="18" customHeight="1" s="102">
      <c r="A920" s="137">
        <f>IF($B920="","","TAH-"&amp;TEXT(ROW()-BaslangicSatir,"000000"))</f>
        <v/>
      </c>
      <c r="B920" s="143" t="n"/>
      <c r="C920" s="143" t="n"/>
      <c r="D920" s="143" t="n"/>
      <c r="E920" s="143" t="n"/>
      <c r="F920" s="143" t="n"/>
      <c r="G920" s="143" t="n"/>
      <c r="H920" s="143" t="n"/>
      <c r="I920" s="143" t="n"/>
      <c r="J920" s="137">
        <f>IF($H920="","",ROUND($H920*$I920,2))</f>
        <v/>
      </c>
      <c r="K920" s="137">
        <f>IF(OR($H920="",$J920=""),"",ROUND($H920-$J920,2))</f>
        <v/>
      </c>
      <c r="L920" s="143" t="n"/>
    </row>
    <row r="921" ht="18" customHeight="1" s="102">
      <c r="A921" s="137">
        <f>IF($B921="","","TAH-"&amp;TEXT(ROW()-BaslangicSatir,"000000"))</f>
        <v/>
      </c>
      <c r="B921" s="143" t="n"/>
      <c r="C921" s="143" t="n"/>
      <c r="D921" s="143" t="n"/>
      <c r="E921" s="143" t="n"/>
      <c r="F921" s="143" t="n"/>
      <c r="G921" s="143" t="n"/>
      <c r="H921" s="143" t="n"/>
      <c r="I921" s="143" t="n"/>
      <c r="J921" s="137">
        <f>IF($H921="","",ROUND($H921*$I921,2))</f>
        <v/>
      </c>
      <c r="K921" s="137">
        <f>IF(OR($H921="",$J921=""),"",ROUND($H921-$J921,2))</f>
        <v/>
      </c>
      <c r="L921" s="143" t="n"/>
    </row>
    <row r="922" ht="18" customHeight="1" s="102">
      <c r="A922" s="137">
        <f>IF($B922="","","TAH-"&amp;TEXT(ROW()-BaslangicSatir,"000000"))</f>
        <v/>
      </c>
      <c r="B922" s="143" t="n"/>
      <c r="C922" s="143" t="n"/>
      <c r="D922" s="143" t="n"/>
      <c r="E922" s="143" t="n"/>
      <c r="F922" s="143" t="n"/>
      <c r="G922" s="143" t="n"/>
      <c r="H922" s="143" t="n"/>
      <c r="I922" s="143" t="n"/>
      <c r="J922" s="137">
        <f>IF($H922="","",ROUND($H922*$I922,2))</f>
        <v/>
      </c>
      <c r="K922" s="137">
        <f>IF(OR($H922="",$J922=""),"",ROUND($H922-$J922,2))</f>
        <v/>
      </c>
      <c r="L922" s="143" t="n"/>
    </row>
    <row r="923" ht="18" customHeight="1" s="102">
      <c r="A923" s="137">
        <f>IF($B923="","","TAH-"&amp;TEXT(ROW()-BaslangicSatir,"000000"))</f>
        <v/>
      </c>
      <c r="B923" s="143" t="n"/>
      <c r="C923" s="143" t="n"/>
      <c r="D923" s="143" t="n"/>
      <c r="E923" s="143" t="n"/>
      <c r="F923" s="143" t="n"/>
      <c r="G923" s="143" t="n"/>
      <c r="H923" s="143" t="n"/>
      <c r="I923" s="143" t="n"/>
      <c r="J923" s="137">
        <f>IF($H923="","",ROUND($H923*$I923,2))</f>
        <v/>
      </c>
      <c r="K923" s="137">
        <f>IF(OR($H923="",$J923=""),"",ROUND($H923-$J923,2))</f>
        <v/>
      </c>
      <c r="L923" s="143" t="n"/>
    </row>
    <row r="924" ht="18" customHeight="1" s="102">
      <c r="A924" s="137">
        <f>IF($B924="","","TAH-"&amp;TEXT(ROW()-BaslangicSatir,"000000"))</f>
        <v/>
      </c>
      <c r="B924" s="143" t="n"/>
      <c r="C924" s="143" t="n"/>
      <c r="D924" s="143" t="n"/>
      <c r="E924" s="143" t="n"/>
      <c r="F924" s="143" t="n"/>
      <c r="G924" s="143" t="n"/>
      <c r="H924" s="143" t="n"/>
      <c r="I924" s="143" t="n"/>
      <c r="J924" s="137">
        <f>IF($H924="","",ROUND($H924*$I924,2))</f>
        <v/>
      </c>
      <c r="K924" s="137">
        <f>IF(OR($H924="",$J924=""),"",ROUND($H924-$J924,2))</f>
        <v/>
      </c>
      <c r="L924" s="143" t="n"/>
    </row>
    <row r="925" ht="18" customHeight="1" s="102">
      <c r="A925" s="137">
        <f>IF($B925="","","TAH-"&amp;TEXT(ROW()-BaslangicSatir,"000000"))</f>
        <v/>
      </c>
      <c r="B925" s="143" t="n"/>
      <c r="C925" s="143" t="n"/>
      <c r="D925" s="143" t="n"/>
      <c r="E925" s="143" t="n"/>
      <c r="F925" s="143" t="n"/>
      <c r="G925" s="143" t="n"/>
      <c r="H925" s="143" t="n"/>
      <c r="I925" s="143" t="n"/>
      <c r="J925" s="137">
        <f>IF($H925="","",ROUND($H925*$I925,2))</f>
        <v/>
      </c>
      <c r="K925" s="137">
        <f>IF(OR($H925="",$J925=""),"",ROUND($H925-$J925,2))</f>
        <v/>
      </c>
      <c r="L925" s="143" t="n"/>
    </row>
    <row r="926" ht="18" customHeight="1" s="102">
      <c r="A926" s="137">
        <f>IF($B926="","","TAH-"&amp;TEXT(ROW()-BaslangicSatir,"000000"))</f>
        <v/>
      </c>
      <c r="B926" s="143" t="n"/>
      <c r="C926" s="143" t="n"/>
      <c r="D926" s="143" t="n"/>
      <c r="E926" s="143" t="n"/>
      <c r="F926" s="143" t="n"/>
      <c r="G926" s="143" t="n"/>
      <c r="H926" s="143" t="n"/>
      <c r="I926" s="143" t="n"/>
      <c r="J926" s="137">
        <f>IF($H926="","",ROUND($H926*$I926,2))</f>
        <v/>
      </c>
      <c r="K926" s="137">
        <f>IF(OR($H926="",$J926=""),"",ROUND($H926-$J926,2))</f>
        <v/>
      </c>
      <c r="L926" s="143" t="n"/>
    </row>
    <row r="927" ht="18" customHeight="1" s="102">
      <c r="A927" s="137">
        <f>IF($B927="","","TAH-"&amp;TEXT(ROW()-BaslangicSatir,"000000"))</f>
        <v/>
      </c>
      <c r="B927" s="143" t="n"/>
      <c r="C927" s="143" t="n"/>
      <c r="D927" s="143" t="n"/>
      <c r="E927" s="143" t="n"/>
      <c r="F927" s="143" t="n"/>
      <c r="G927" s="143" t="n"/>
      <c r="H927" s="143" t="n"/>
      <c r="I927" s="143" t="n"/>
      <c r="J927" s="137">
        <f>IF($H927="","",ROUND($H927*$I927,2))</f>
        <v/>
      </c>
      <c r="K927" s="137">
        <f>IF(OR($H927="",$J927=""),"",ROUND($H927-$J927,2))</f>
        <v/>
      </c>
      <c r="L927" s="143" t="n"/>
    </row>
    <row r="928" ht="18" customHeight="1" s="102">
      <c r="A928" s="137">
        <f>IF($B928="","","TAH-"&amp;TEXT(ROW()-BaslangicSatir,"000000"))</f>
        <v/>
      </c>
      <c r="B928" s="143" t="n"/>
      <c r="C928" s="143" t="n"/>
      <c r="D928" s="143" t="n"/>
      <c r="E928" s="143" t="n"/>
      <c r="F928" s="143" t="n"/>
      <c r="G928" s="143" t="n"/>
      <c r="H928" s="143" t="n"/>
      <c r="I928" s="143" t="n"/>
      <c r="J928" s="137">
        <f>IF($H928="","",ROUND($H928*$I928,2))</f>
        <v/>
      </c>
      <c r="K928" s="137">
        <f>IF(OR($H928="",$J928=""),"",ROUND($H928-$J928,2))</f>
        <v/>
      </c>
      <c r="L928" s="143" t="n"/>
    </row>
    <row r="929" ht="18" customHeight="1" s="102">
      <c r="A929" s="137">
        <f>IF($B929="","","TAH-"&amp;TEXT(ROW()-BaslangicSatir,"000000"))</f>
        <v/>
      </c>
      <c r="B929" s="143" t="n"/>
      <c r="C929" s="143" t="n"/>
      <c r="D929" s="143" t="n"/>
      <c r="E929" s="143" t="n"/>
      <c r="F929" s="143" t="n"/>
      <c r="G929" s="143" t="n"/>
      <c r="H929" s="143" t="n"/>
      <c r="I929" s="143" t="n"/>
      <c r="J929" s="137">
        <f>IF($H929="","",ROUND($H929*$I929,2))</f>
        <v/>
      </c>
      <c r="K929" s="137">
        <f>IF(OR($H929="",$J929=""),"",ROUND($H929-$J929,2))</f>
        <v/>
      </c>
      <c r="L929" s="143" t="n"/>
    </row>
    <row r="930" ht="18" customHeight="1" s="102">
      <c r="A930" s="137">
        <f>IF($B930="","","TAH-"&amp;TEXT(ROW()-BaslangicSatir,"000000"))</f>
        <v/>
      </c>
      <c r="B930" s="143" t="n"/>
      <c r="C930" s="143" t="n"/>
      <c r="D930" s="143" t="n"/>
      <c r="E930" s="143" t="n"/>
      <c r="F930" s="143" t="n"/>
      <c r="G930" s="143" t="n"/>
      <c r="H930" s="143" t="n"/>
      <c r="I930" s="143" t="n"/>
      <c r="J930" s="137">
        <f>IF($H930="","",ROUND($H930*$I930,2))</f>
        <v/>
      </c>
      <c r="K930" s="137">
        <f>IF(OR($H930="",$J930=""),"",ROUND($H930-$J930,2))</f>
        <v/>
      </c>
      <c r="L930" s="143" t="n"/>
    </row>
    <row r="931" ht="18" customHeight="1" s="102">
      <c r="A931" s="137">
        <f>IF($B931="","","TAH-"&amp;TEXT(ROW()-BaslangicSatir,"000000"))</f>
        <v/>
      </c>
      <c r="B931" s="143" t="n"/>
      <c r="C931" s="143" t="n"/>
      <c r="D931" s="143" t="n"/>
      <c r="E931" s="143" t="n"/>
      <c r="F931" s="143" t="n"/>
      <c r="G931" s="143" t="n"/>
      <c r="H931" s="143" t="n"/>
      <c r="I931" s="143" t="n"/>
      <c r="J931" s="137">
        <f>IF($H931="","",ROUND($H931*$I931,2))</f>
        <v/>
      </c>
      <c r="K931" s="137">
        <f>IF(OR($H931="",$J931=""),"",ROUND($H931-$J931,2))</f>
        <v/>
      </c>
      <c r="L931" s="143" t="n"/>
    </row>
    <row r="932" ht="18" customHeight="1" s="102">
      <c r="A932" s="137">
        <f>IF($B932="","","TAH-"&amp;TEXT(ROW()-BaslangicSatir,"000000"))</f>
        <v/>
      </c>
      <c r="B932" s="143" t="n"/>
      <c r="C932" s="143" t="n"/>
      <c r="D932" s="143" t="n"/>
      <c r="E932" s="143" t="n"/>
      <c r="F932" s="143" t="n"/>
      <c r="G932" s="143" t="n"/>
      <c r="H932" s="143" t="n"/>
      <c r="I932" s="143" t="n"/>
      <c r="J932" s="137">
        <f>IF($H932="","",ROUND($H932*$I932,2))</f>
        <v/>
      </c>
      <c r="K932" s="137">
        <f>IF(OR($H932="",$J932=""),"",ROUND($H932-$J932,2))</f>
        <v/>
      </c>
      <c r="L932" s="143" t="n"/>
    </row>
    <row r="933" ht="18" customHeight="1" s="102">
      <c r="A933" s="137">
        <f>IF($B933="","","TAH-"&amp;TEXT(ROW()-BaslangicSatir,"000000"))</f>
        <v/>
      </c>
      <c r="B933" s="143" t="n"/>
      <c r="C933" s="143" t="n"/>
      <c r="D933" s="143" t="n"/>
      <c r="E933" s="143" t="n"/>
      <c r="F933" s="143" t="n"/>
      <c r="G933" s="143" t="n"/>
      <c r="H933" s="143" t="n"/>
      <c r="I933" s="143" t="n"/>
      <c r="J933" s="137">
        <f>IF($H933="","",ROUND($H933*$I933,2))</f>
        <v/>
      </c>
      <c r="K933" s="137">
        <f>IF(OR($H933="",$J933=""),"",ROUND($H933-$J933,2))</f>
        <v/>
      </c>
      <c r="L933" s="143" t="n"/>
    </row>
    <row r="934" ht="18" customHeight="1" s="102">
      <c r="A934" s="137">
        <f>IF($B934="","","TAH-"&amp;TEXT(ROW()-BaslangicSatir,"000000"))</f>
        <v/>
      </c>
      <c r="B934" s="143" t="n"/>
      <c r="C934" s="143" t="n"/>
      <c r="D934" s="143" t="n"/>
      <c r="E934" s="143" t="n"/>
      <c r="F934" s="143" t="n"/>
      <c r="G934" s="143" t="n"/>
      <c r="H934" s="143" t="n"/>
      <c r="I934" s="143" t="n"/>
      <c r="J934" s="137">
        <f>IF($H934="","",ROUND($H934*$I934,2))</f>
        <v/>
      </c>
      <c r="K934" s="137">
        <f>IF(OR($H934="",$J934=""),"",ROUND($H934-$J934,2))</f>
        <v/>
      </c>
      <c r="L934" s="143" t="n"/>
    </row>
    <row r="935" ht="18" customHeight="1" s="102">
      <c r="A935" s="137">
        <f>IF($B935="","","TAH-"&amp;TEXT(ROW()-BaslangicSatir,"000000"))</f>
        <v/>
      </c>
      <c r="B935" s="143" t="n"/>
      <c r="C935" s="143" t="n"/>
      <c r="D935" s="143" t="n"/>
      <c r="E935" s="143" t="n"/>
      <c r="F935" s="143" t="n"/>
      <c r="G935" s="143" t="n"/>
      <c r="H935" s="143" t="n"/>
      <c r="I935" s="143" t="n"/>
      <c r="J935" s="137">
        <f>IF($H935="","",ROUND($H935*$I935,2))</f>
        <v/>
      </c>
      <c r="K935" s="137">
        <f>IF(OR($H935="",$J935=""),"",ROUND($H935-$J935,2))</f>
        <v/>
      </c>
      <c r="L935" s="143" t="n"/>
    </row>
    <row r="936" ht="18" customHeight="1" s="102">
      <c r="A936" s="137">
        <f>IF($B936="","","TAH-"&amp;TEXT(ROW()-BaslangicSatir,"000000"))</f>
        <v/>
      </c>
      <c r="B936" s="143" t="n"/>
      <c r="C936" s="143" t="n"/>
      <c r="D936" s="143" t="n"/>
      <c r="E936" s="143" t="n"/>
      <c r="F936" s="143" t="n"/>
      <c r="G936" s="143" t="n"/>
      <c r="H936" s="143" t="n"/>
      <c r="I936" s="143" t="n"/>
      <c r="J936" s="137">
        <f>IF($H936="","",ROUND($H936*$I936,2))</f>
        <v/>
      </c>
      <c r="K936" s="137">
        <f>IF(OR($H936="",$J936=""),"",ROUND($H936-$J936,2))</f>
        <v/>
      </c>
      <c r="L936" s="143" t="n"/>
    </row>
    <row r="937" ht="18" customHeight="1" s="102">
      <c r="A937" s="137">
        <f>IF($B937="","","TAH-"&amp;TEXT(ROW()-BaslangicSatir,"000000"))</f>
        <v/>
      </c>
      <c r="B937" s="143" t="n"/>
      <c r="C937" s="143" t="n"/>
      <c r="D937" s="143" t="n"/>
      <c r="E937" s="143" t="n"/>
      <c r="F937" s="143" t="n"/>
      <c r="G937" s="143" t="n"/>
      <c r="H937" s="143" t="n"/>
      <c r="I937" s="143" t="n"/>
      <c r="J937" s="137">
        <f>IF($H937="","",ROUND($H937*$I937,2))</f>
        <v/>
      </c>
      <c r="K937" s="137">
        <f>IF(OR($H937="",$J937=""),"",ROUND($H937-$J937,2))</f>
        <v/>
      </c>
      <c r="L937" s="143" t="n"/>
    </row>
    <row r="938" ht="18" customHeight="1" s="102">
      <c r="A938" s="137">
        <f>IF($B938="","","TAH-"&amp;TEXT(ROW()-BaslangicSatir,"000000"))</f>
        <v/>
      </c>
      <c r="B938" s="143" t="n"/>
      <c r="C938" s="143" t="n"/>
      <c r="D938" s="143" t="n"/>
      <c r="E938" s="143" t="n"/>
      <c r="F938" s="143" t="n"/>
      <c r="G938" s="143" t="n"/>
      <c r="H938" s="143" t="n"/>
      <c r="I938" s="143" t="n"/>
      <c r="J938" s="137">
        <f>IF($H938="","",ROUND($H938*$I938,2))</f>
        <v/>
      </c>
      <c r="K938" s="137">
        <f>IF(OR($H938="",$J938=""),"",ROUND($H938-$J938,2))</f>
        <v/>
      </c>
      <c r="L938" s="143" t="n"/>
    </row>
    <row r="939" ht="18" customHeight="1" s="102">
      <c r="A939" s="137">
        <f>IF($B939="","","TAH-"&amp;TEXT(ROW()-BaslangicSatir,"000000"))</f>
        <v/>
      </c>
      <c r="B939" s="143" t="n"/>
      <c r="C939" s="143" t="n"/>
      <c r="D939" s="143" t="n"/>
      <c r="E939" s="143" t="n"/>
      <c r="F939" s="143" t="n"/>
      <c r="G939" s="143" t="n"/>
      <c r="H939" s="143" t="n"/>
      <c r="I939" s="143" t="n"/>
      <c r="J939" s="137">
        <f>IF($H939="","",ROUND($H939*$I939,2))</f>
        <v/>
      </c>
      <c r="K939" s="137">
        <f>IF(OR($H939="",$J939=""),"",ROUND($H939-$J939,2))</f>
        <v/>
      </c>
      <c r="L939" s="143" t="n"/>
    </row>
    <row r="940" ht="18" customHeight="1" s="102">
      <c r="A940" s="137">
        <f>IF($B940="","","TAH-"&amp;TEXT(ROW()-BaslangicSatir,"000000"))</f>
        <v/>
      </c>
      <c r="B940" s="143" t="n"/>
      <c r="C940" s="143" t="n"/>
      <c r="D940" s="143" t="n"/>
      <c r="E940" s="143" t="n"/>
      <c r="F940" s="143" t="n"/>
      <c r="G940" s="143" t="n"/>
      <c r="H940" s="143" t="n"/>
      <c r="I940" s="143" t="n"/>
      <c r="J940" s="137">
        <f>IF($H940="","",ROUND($H940*$I940,2))</f>
        <v/>
      </c>
      <c r="K940" s="137">
        <f>IF(OR($H940="",$J940=""),"",ROUND($H940-$J940,2))</f>
        <v/>
      </c>
      <c r="L940" s="143" t="n"/>
    </row>
    <row r="941" ht="18" customHeight="1" s="102">
      <c r="A941" s="137">
        <f>IF($B941="","","TAH-"&amp;TEXT(ROW()-BaslangicSatir,"000000"))</f>
        <v/>
      </c>
      <c r="B941" s="143" t="n"/>
      <c r="C941" s="143" t="n"/>
      <c r="D941" s="143" t="n"/>
      <c r="E941" s="143" t="n"/>
      <c r="F941" s="143" t="n"/>
      <c r="G941" s="143" t="n"/>
      <c r="H941" s="143" t="n"/>
      <c r="I941" s="143" t="n"/>
      <c r="J941" s="137">
        <f>IF($H941="","",ROUND($H941*$I941,2))</f>
        <v/>
      </c>
      <c r="K941" s="137">
        <f>IF(OR($H941="",$J941=""),"",ROUND($H941-$J941,2))</f>
        <v/>
      </c>
      <c r="L941" s="143" t="n"/>
    </row>
    <row r="942" ht="18" customHeight="1" s="102">
      <c r="A942" s="137">
        <f>IF($B942="","","TAH-"&amp;TEXT(ROW()-BaslangicSatir,"000000"))</f>
        <v/>
      </c>
      <c r="B942" s="143" t="n"/>
      <c r="C942" s="143" t="n"/>
      <c r="D942" s="143" t="n"/>
      <c r="E942" s="143" t="n"/>
      <c r="F942" s="143" t="n"/>
      <c r="G942" s="143" t="n"/>
      <c r="H942" s="143" t="n"/>
      <c r="I942" s="143" t="n"/>
      <c r="J942" s="137">
        <f>IF($H942="","",ROUND($H942*$I942,2))</f>
        <v/>
      </c>
      <c r="K942" s="137">
        <f>IF(OR($H942="",$J942=""),"",ROUND($H942-$J942,2))</f>
        <v/>
      </c>
      <c r="L942" s="143" t="n"/>
    </row>
    <row r="943" ht="18" customHeight="1" s="102">
      <c r="A943" s="137">
        <f>IF($B943="","","TAH-"&amp;TEXT(ROW()-BaslangicSatir,"000000"))</f>
        <v/>
      </c>
      <c r="B943" s="143" t="n"/>
      <c r="C943" s="143" t="n"/>
      <c r="D943" s="143" t="n"/>
      <c r="E943" s="143" t="n"/>
      <c r="F943" s="143" t="n"/>
      <c r="G943" s="143" t="n"/>
      <c r="H943" s="143" t="n"/>
      <c r="I943" s="143" t="n"/>
      <c r="J943" s="137">
        <f>IF($H943="","",ROUND($H943*$I943,2))</f>
        <v/>
      </c>
      <c r="K943" s="137">
        <f>IF(OR($H943="",$J943=""),"",ROUND($H943-$J943,2))</f>
        <v/>
      </c>
      <c r="L943" s="143" t="n"/>
    </row>
    <row r="944" ht="18" customHeight="1" s="102">
      <c r="A944" s="137">
        <f>IF($B944="","","TAH-"&amp;TEXT(ROW()-BaslangicSatir,"000000"))</f>
        <v/>
      </c>
      <c r="B944" s="143" t="n"/>
      <c r="C944" s="143" t="n"/>
      <c r="D944" s="143" t="n"/>
      <c r="E944" s="143" t="n"/>
      <c r="F944" s="143" t="n"/>
      <c r="G944" s="143" t="n"/>
      <c r="H944" s="143" t="n"/>
      <c r="I944" s="143" t="n"/>
      <c r="J944" s="137">
        <f>IF($H944="","",ROUND($H944*$I944,2))</f>
        <v/>
      </c>
      <c r="K944" s="137">
        <f>IF(OR($H944="",$J944=""),"",ROUND($H944-$J944,2))</f>
        <v/>
      </c>
      <c r="L944" s="143" t="n"/>
    </row>
    <row r="945" ht="18" customHeight="1" s="102">
      <c r="A945" s="137">
        <f>IF($B945="","","TAH-"&amp;TEXT(ROW()-BaslangicSatir,"000000"))</f>
        <v/>
      </c>
      <c r="B945" s="143" t="n"/>
      <c r="C945" s="143" t="n"/>
      <c r="D945" s="143" t="n"/>
      <c r="E945" s="143" t="n"/>
      <c r="F945" s="143" t="n"/>
      <c r="G945" s="143" t="n"/>
      <c r="H945" s="143" t="n"/>
      <c r="I945" s="143" t="n"/>
      <c r="J945" s="137">
        <f>IF($H945="","",ROUND($H945*$I945,2))</f>
        <v/>
      </c>
      <c r="K945" s="137">
        <f>IF(OR($H945="",$J945=""),"",ROUND($H945-$J945,2))</f>
        <v/>
      </c>
      <c r="L945" s="143" t="n"/>
    </row>
    <row r="946" ht="18" customHeight="1" s="102">
      <c r="A946" s="137">
        <f>IF($B946="","","TAH-"&amp;TEXT(ROW()-BaslangicSatir,"000000"))</f>
        <v/>
      </c>
      <c r="B946" s="143" t="n"/>
      <c r="C946" s="143" t="n"/>
      <c r="D946" s="143" t="n"/>
      <c r="E946" s="143" t="n"/>
      <c r="F946" s="143" t="n"/>
      <c r="G946" s="143" t="n"/>
      <c r="H946" s="143" t="n"/>
      <c r="I946" s="143" t="n"/>
      <c r="J946" s="137">
        <f>IF($H946="","",ROUND($H946*$I946,2))</f>
        <v/>
      </c>
      <c r="K946" s="137">
        <f>IF(OR($H946="",$J946=""),"",ROUND($H946-$J946,2))</f>
        <v/>
      </c>
      <c r="L946" s="143" t="n"/>
    </row>
    <row r="947" ht="18" customHeight="1" s="102">
      <c r="A947" s="137">
        <f>IF($B947="","","TAH-"&amp;TEXT(ROW()-BaslangicSatir,"000000"))</f>
        <v/>
      </c>
      <c r="B947" s="143" t="n"/>
      <c r="C947" s="143" t="n"/>
      <c r="D947" s="143" t="n"/>
      <c r="E947" s="143" t="n"/>
      <c r="F947" s="143" t="n"/>
      <c r="G947" s="143" t="n"/>
      <c r="H947" s="143" t="n"/>
      <c r="I947" s="143" t="n"/>
      <c r="J947" s="137">
        <f>IF($H947="","",ROUND($H947*$I947,2))</f>
        <v/>
      </c>
      <c r="K947" s="137">
        <f>IF(OR($H947="",$J947=""),"",ROUND($H947-$J947,2))</f>
        <v/>
      </c>
      <c r="L947" s="143" t="n"/>
    </row>
    <row r="948" ht="18" customHeight="1" s="102">
      <c r="A948" s="137">
        <f>IF($B948="","","TAH-"&amp;TEXT(ROW()-BaslangicSatir,"000000"))</f>
        <v/>
      </c>
      <c r="B948" s="143" t="n"/>
      <c r="C948" s="143" t="n"/>
      <c r="D948" s="143" t="n"/>
      <c r="E948" s="143" t="n"/>
      <c r="F948" s="143" t="n"/>
      <c r="G948" s="143" t="n"/>
      <c r="H948" s="143" t="n"/>
      <c r="I948" s="143" t="n"/>
      <c r="J948" s="137">
        <f>IF($H948="","",ROUND($H948*$I948,2))</f>
        <v/>
      </c>
      <c r="K948" s="137">
        <f>IF(OR($H948="",$J948=""),"",ROUND($H948-$J948,2))</f>
        <v/>
      </c>
      <c r="L948" s="143" t="n"/>
    </row>
    <row r="949" ht="18" customHeight="1" s="102">
      <c r="A949" s="137">
        <f>IF($B949="","","TAH-"&amp;TEXT(ROW()-BaslangicSatir,"000000"))</f>
        <v/>
      </c>
      <c r="B949" s="143" t="n"/>
      <c r="C949" s="143" t="n"/>
      <c r="D949" s="143" t="n"/>
      <c r="E949" s="143" t="n"/>
      <c r="F949" s="143" t="n"/>
      <c r="G949" s="143" t="n"/>
      <c r="H949" s="143" t="n"/>
      <c r="I949" s="143" t="n"/>
      <c r="J949" s="137">
        <f>IF($H949="","",ROUND($H949*$I949,2))</f>
        <v/>
      </c>
      <c r="K949" s="137">
        <f>IF(OR($H949="",$J949=""),"",ROUND($H949-$J949,2))</f>
        <v/>
      </c>
      <c r="L949" s="143" t="n"/>
    </row>
    <row r="950" ht="18" customHeight="1" s="102">
      <c r="A950" s="137">
        <f>IF($B950="","","TAH-"&amp;TEXT(ROW()-BaslangicSatir,"000000"))</f>
        <v/>
      </c>
      <c r="B950" s="143" t="n"/>
      <c r="C950" s="143" t="n"/>
      <c r="D950" s="143" t="n"/>
      <c r="E950" s="143" t="n"/>
      <c r="F950" s="143" t="n"/>
      <c r="G950" s="143" t="n"/>
      <c r="H950" s="143" t="n"/>
      <c r="I950" s="143" t="n"/>
      <c r="J950" s="137">
        <f>IF($H950="","",ROUND($H950*$I950,2))</f>
        <v/>
      </c>
      <c r="K950" s="137">
        <f>IF(OR($H950="",$J950=""),"",ROUND($H950-$J950,2))</f>
        <v/>
      </c>
      <c r="L950" s="143" t="n"/>
    </row>
    <row r="951" ht="18" customHeight="1" s="102">
      <c r="A951" s="137">
        <f>IF($B951="","","TAH-"&amp;TEXT(ROW()-BaslangicSatir,"000000"))</f>
        <v/>
      </c>
      <c r="B951" s="143" t="n"/>
      <c r="C951" s="143" t="n"/>
      <c r="D951" s="143" t="n"/>
      <c r="E951" s="143" t="n"/>
      <c r="F951" s="143" t="n"/>
      <c r="G951" s="143" t="n"/>
      <c r="H951" s="143" t="n"/>
      <c r="I951" s="143" t="n"/>
      <c r="J951" s="137">
        <f>IF($H951="","",ROUND($H951*$I951,2))</f>
        <v/>
      </c>
      <c r="K951" s="137">
        <f>IF(OR($H951="",$J951=""),"",ROUND($H951-$J951,2))</f>
        <v/>
      </c>
      <c r="L951" s="143" t="n"/>
    </row>
    <row r="952" ht="18" customHeight="1" s="102">
      <c r="A952" s="137">
        <f>IF($B952="","","TAH-"&amp;TEXT(ROW()-BaslangicSatir,"000000"))</f>
        <v/>
      </c>
      <c r="B952" s="143" t="n"/>
      <c r="C952" s="143" t="n"/>
      <c r="D952" s="143" t="n"/>
      <c r="E952" s="143" t="n"/>
      <c r="F952" s="143" t="n"/>
      <c r="G952" s="143" t="n"/>
      <c r="H952" s="143" t="n"/>
      <c r="I952" s="143" t="n"/>
      <c r="J952" s="137">
        <f>IF($H952="","",ROUND($H952*$I952,2))</f>
        <v/>
      </c>
      <c r="K952" s="137">
        <f>IF(OR($H952="",$J952=""),"",ROUND($H952-$J952,2))</f>
        <v/>
      </c>
      <c r="L952" s="143" t="n"/>
    </row>
    <row r="953" ht="18" customHeight="1" s="102">
      <c r="A953" s="137">
        <f>IF($B953="","","TAH-"&amp;TEXT(ROW()-BaslangicSatir,"000000"))</f>
        <v/>
      </c>
      <c r="B953" s="143" t="n"/>
      <c r="C953" s="143" t="n"/>
      <c r="D953" s="143" t="n"/>
      <c r="E953" s="143" t="n"/>
      <c r="F953" s="143" t="n"/>
      <c r="G953" s="143" t="n"/>
      <c r="H953" s="143" t="n"/>
      <c r="I953" s="143" t="n"/>
      <c r="J953" s="137">
        <f>IF($H953="","",ROUND($H953*$I953,2))</f>
        <v/>
      </c>
      <c r="K953" s="137">
        <f>IF(OR($H953="",$J953=""),"",ROUND($H953-$J953,2))</f>
        <v/>
      </c>
      <c r="L953" s="143" t="n"/>
    </row>
    <row r="954" ht="18" customHeight="1" s="102">
      <c r="A954" s="137">
        <f>IF($B954="","","TAH-"&amp;TEXT(ROW()-BaslangicSatir,"000000"))</f>
        <v/>
      </c>
      <c r="B954" s="143" t="n"/>
      <c r="C954" s="143" t="n"/>
      <c r="D954" s="143" t="n"/>
      <c r="E954" s="143" t="n"/>
      <c r="F954" s="143" t="n"/>
      <c r="G954" s="143" t="n"/>
      <c r="H954" s="143" t="n"/>
      <c r="I954" s="143" t="n"/>
      <c r="J954" s="137">
        <f>IF($H954="","",ROUND($H954*$I954,2))</f>
        <v/>
      </c>
      <c r="K954" s="137">
        <f>IF(OR($H954="",$J954=""),"",ROUND($H954-$J954,2))</f>
        <v/>
      </c>
      <c r="L954" s="143" t="n"/>
    </row>
    <row r="955" ht="18" customHeight="1" s="102">
      <c r="A955" s="137">
        <f>IF($B955="","","TAH-"&amp;TEXT(ROW()-BaslangicSatir,"000000"))</f>
        <v/>
      </c>
      <c r="B955" s="143" t="n"/>
      <c r="C955" s="143" t="n"/>
      <c r="D955" s="143" t="n"/>
      <c r="E955" s="143" t="n"/>
      <c r="F955" s="143" t="n"/>
      <c r="G955" s="143" t="n"/>
      <c r="H955" s="143" t="n"/>
      <c r="I955" s="143" t="n"/>
      <c r="J955" s="137">
        <f>IF($H955="","",ROUND($H955*$I955,2))</f>
        <v/>
      </c>
      <c r="K955" s="137">
        <f>IF(OR($H955="",$J955=""),"",ROUND($H955-$J955,2))</f>
        <v/>
      </c>
      <c r="L955" s="143" t="n"/>
    </row>
    <row r="956" ht="18" customHeight="1" s="102">
      <c r="A956" s="137">
        <f>IF($B956="","","TAH-"&amp;TEXT(ROW()-BaslangicSatir,"000000"))</f>
        <v/>
      </c>
      <c r="B956" s="143" t="n"/>
      <c r="C956" s="143" t="n"/>
      <c r="D956" s="143" t="n"/>
      <c r="E956" s="143" t="n"/>
      <c r="F956" s="143" t="n"/>
      <c r="G956" s="143" t="n"/>
      <c r="H956" s="143" t="n"/>
      <c r="I956" s="143" t="n"/>
      <c r="J956" s="137">
        <f>IF($H956="","",ROUND($H956*$I956,2))</f>
        <v/>
      </c>
      <c r="K956" s="137">
        <f>IF(OR($H956="",$J956=""),"",ROUND($H956-$J956,2))</f>
        <v/>
      </c>
      <c r="L956" s="143" t="n"/>
    </row>
    <row r="957" ht="18" customHeight="1" s="102">
      <c r="A957" s="137">
        <f>IF($B957="","","TAH-"&amp;TEXT(ROW()-BaslangicSatir,"000000"))</f>
        <v/>
      </c>
      <c r="B957" s="143" t="n"/>
      <c r="C957" s="143" t="n"/>
      <c r="D957" s="143" t="n"/>
      <c r="E957" s="143" t="n"/>
      <c r="F957" s="143" t="n"/>
      <c r="G957" s="143" t="n"/>
      <c r="H957" s="143" t="n"/>
      <c r="I957" s="143" t="n"/>
      <c r="J957" s="137">
        <f>IF($H957="","",ROUND($H957*$I957,2))</f>
        <v/>
      </c>
      <c r="K957" s="137">
        <f>IF(OR($H957="",$J957=""),"",ROUND($H957-$J957,2))</f>
        <v/>
      </c>
      <c r="L957" s="143" t="n"/>
    </row>
    <row r="958" ht="18" customHeight="1" s="102">
      <c r="A958" s="137">
        <f>IF($B958="","","TAH-"&amp;TEXT(ROW()-BaslangicSatir,"000000"))</f>
        <v/>
      </c>
      <c r="B958" s="143" t="n"/>
      <c r="C958" s="143" t="n"/>
      <c r="D958" s="143" t="n"/>
      <c r="E958" s="143" t="n"/>
      <c r="F958" s="143" t="n"/>
      <c r="G958" s="143" t="n"/>
      <c r="H958" s="143" t="n"/>
      <c r="I958" s="143" t="n"/>
      <c r="J958" s="137">
        <f>IF($H958="","",ROUND($H958*$I958,2))</f>
        <v/>
      </c>
      <c r="K958" s="137">
        <f>IF(OR($H958="",$J958=""),"",ROUND($H958-$J958,2))</f>
        <v/>
      </c>
      <c r="L958" s="143" t="n"/>
    </row>
    <row r="959" ht="18" customHeight="1" s="102">
      <c r="A959" s="137">
        <f>IF($B959="","","TAH-"&amp;TEXT(ROW()-BaslangicSatir,"000000"))</f>
        <v/>
      </c>
      <c r="B959" s="143" t="n"/>
      <c r="C959" s="143" t="n"/>
      <c r="D959" s="143" t="n"/>
      <c r="E959" s="143" t="n"/>
      <c r="F959" s="143" t="n"/>
      <c r="G959" s="143" t="n"/>
      <c r="H959" s="143" t="n"/>
      <c r="I959" s="143" t="n"/>
      <c r="J959" s="137">
        <f>IF($H959="","",ROUND($H959*$I959,2))</f>
        <v/>
      </c>
      <c r="K959" s="137">
        <f>IF(OR($H959="",$J959=""),"",ROUND($H959-$J959,2))</f>
        <v/>
      </c>
      <c r="L959" s="143" t="n"/>
    </row>
    <row r="960" ht="18" customHeight="1" s="102">
      <c r="A960" s="137">
        <f>IF($B960="","","TAH-"&amp;TEXT(ROW()-BaslangicSatir,"000000"))</f>
        <v/>
      </c>
      <c r="B960" s="143" t="n"/>
      <c r="C960" s="143" t="n"/>
      <c r="D960" s="143" t="n"/>
      <c r="E960" s="143" t="n"/>
      <c r="F960" s="143" t="n"/>
      <c r="G960" s="143" t="n"/>
      <c r="H960" s="143" t="n"/>
      <c r="I960" s="143" t="n"/>
      <c r="J960" s="137">
        <f>IF($H960="","",ROUND($H960*$I960,2))</f>
        <v/>
      </c>
      <c r="K960" s="137">
        <f>IF(OR($H960="",$J960=""),"",ROUND($H960-$J960,2))</f>
        <v/>
      </c>
      <c r="L960" s="143" t="n"/>
    </row>
    <row r="961" ht="18" customHeight="1" s="102">
      <c r="A961" s="137">
        <f>IF($B961="","","TAH-"&amp;TEXT(ROW()-BaslangicSatir,"000000"))</f>
        <v/>
      </c>
      <c r="B961" s="143" t="n"/>
      <c r="C961" s="143" t="n"/>
      <c r="D961" s="143" t="n"/>
      <c r="E961" s="143" t="n"/>
      <c r="F961" s="143" t="n"/>
      <c r="G961" s="143" t="n"/>
      <c r="H961" s="143" t="n"/>
      <c r="I961" s="143" t="n"/>
      <c r="J961" s="137">
        <f>IF($H961="","",ROUND($H961*$I961,2))</f>
        <v/>
      </c>
      <c r="K961" s="137">
        <f>IF(OR($H961="",$J961=""),"",ROUND($H961-$J961,2))</f>
        <v/>
      </c>
      <c r="L961" s="143" t="n"/>
    </row>
    <row r="962" ht="18" customHeight="1" s="102">
      <c r="A962" s="137">
        <f>IF($B962="","","TAH-"&amp;TEXT(ROW()-BaslangicSatir,"000000"))</f>
        <v/>
      </c>
      <c r="B962" s="143" t="n"/>
      <c r="C962" s="143" t="n"/>
      <c r="D962" s="143" t="n"/>
      <c r="E962" s="143" t="n"/>
      <c r="F962" s="143" t="n"/>
      <c r="G962" s="143" t="n"/>
      <c r="H962" s="143" t="n"/>
      <c r="I962" s="143" t="n"/>
      <c r="J962" s="137">
        <f>IF($H962="","",ROUND($H962*$I962,2))</f>
        <v/>
      </c>
      <c r="K962" s="137">
        <f>IF(OR($H962="",$J962=""),"",ROUND($H962-$J962,2))</f>
        <v/>
      </c>
      <c r="L962" s="143" t="n"/>
    </row>
    <row r="963" ht="18" customHeight="1" s="102">
      <c r="A963" s="137">
        <f>IF($B963="","","TAH-"&amp;TEXT(ROW()-BaslangicSatir,"000000"))</f>
        <v/>
      </c>
      <c r="B963" s="143" t="n"/>
      <c r="C963" s="143" t="n"/>
      <c r="D963" s="143" t="n"/>
      <c r="E963" s="143" t="n"/>
      <c r="F963" s="143" t="n"/>
      <c r="G963" s="143" t="n"/>
      <c r="H963" s="143" t="n"/>
      <c r="I963" s="143" t="n"/>
      <c r="J963" s="137">
        <f>IF($H963="","",ROUND($H963*$I963,2))</f>
        <v/>
      </c>
      <c r="K963" s="137">
        <f>IF(OR($H963="",$J963=""),"",ROUND($H963-$J963,2))</f>
        <v/>
      </c>
      <c r="L963" s="143" t="n"/>
    </row>
    <row r="964" ht="18" customHeight="1" s="102">
      <c r="A964" s="137">
        <f>IF($B964="","","TAH-"&amp;TEXT(ROW()-BaslangicSatir,"000000"))</f>
        <v/>
      </c>
      <c r="B964" s="143" t="n"/>
      <c r="C964" s="143" t="n"/>
      <c r="D964" s="143" t="n"/>
      <c r="E964" s="143" t="n"/>
      <c r="F964" s="143" t="n"/>
      <c r="G964" s="143" t="n"/>
      <c r="H964" s="143" t="n"/>
      <c r="I964" s="143" t="n"/>
      <c r="J964" s="137">
        <f>IF($H964="","",ROUND($H964*$I964,2))</f>
        <v/>
      </c>
      <c r="K964" s="137">
        <f>IF(OR($H964="",$J964=""),"",ROUND($H964-$J964,2))</f>
        <v/>
      </c>
      <c r="L964" s="143" t="n"/>
    </row>
    <row r="965" ht="18" customHeight="1" s="102">
      <c r="A965" s="137">
        <f>IF($B965="","","TAH-"&amp;TEXT(ROW()-BaslangicSatir,"000000"))</f>
        <v/>
      </c>
      <c r="B965" s="143" t="n"/>
      <c r="C965" s="143" t="n"/>
      <c r="D965" s="143" t="n"/>
      <c r="E965" s="143" t="n"/>
      <c r="F965" s="143" t="n"/>
      <c r="G965" s="143" t="n"/>
      <c r="H965" s="143" t="n"/>
      <c r="I965" s="143" t="n"/>
      <c r="J965" s="137">
        <f>IF($H965="","",ROUND($H965*$I965,2))</f>
        <v/>
      </c>
      <c r="K965" s="137">
        <f>IF(OR($H965="",$J965=""),"",ROUND($H965-$J965,2))</f>
        <v/>
      </c>
      <c r="L965" s="143" t="n"/>
    </row>
    <row r="966" ht="18" customHeight="1" s="102">
      <c r="A966" s="137">
        <f>IF($B966="","","TAH-"&amp;TEXT(ROW()-BaslangicSatir,"000000"))</f>
        <v/>
      </c>
      <c r="B966" s="143" t="n"/>
      <c r="C966" s="143" t="n"/>
      <c r="D966" s="143" t="n"/>
      <c r="E966" s="143" t="n"/>
      <c r="F966" s="143" t="n"/>
      <c r="G966" s="143" t="n"/>
      <c r="H966" s="143" t="n"/>
      <c r="I966" s="143" t="n"/>
      <c r="J966" s="137">
        <f>IF($H966="","",ROUND($H966*$I966,2))</f>
        <v/>
      </c>
      <c r="K966" s="137">
        <f>IF(OR($H966="",$J966=""),"",ROUND($H966-$J966,2))</f>
        <v/>
      </c>
      <c r="L966" s="143" t="n"/>
    </row>
    <row r="967" ht="18" customHeight="1" s="102">
      <c r="A967" s="137">
        <f>IF($B967="","","TAH-"&amp;TEXT(ROW()-BaslangicSatir,"000000"))</f>
        <v/>
      </c>
      <c r="B967" s="143" t="n"/>
      <c r="C967" s="143" t="n"/>
      <c r="D967" s="143" t="n"/>
      <c r="E967" s="143" t="n"/>
      <c r="F967" s="143" t="n"/>
      <c r="G967" s="143" t="n"/>
      <c r="H967" s="143" t="n"/>
      <c r="I967" s="143" t="n"/>
      <c r="J967" s="137">
        <f>IF($H967="","",ROUND($H967*$I967,2))</f>
        <v/>
      </c>
      <c r="K967" s="137">
        <f>IF(OR($H967="",$J967=""),"",ROUND($H967-$J967,2))</f>
        <v/>
      </c>
      <c r="L967" s="143" t="n"/>
    </row>
    <row r="968" ht="18" customHeight="1" s="102">
      <c r="A968" s="137">
        <f>IF($B968="","","TAH-"&amp;TEXT(ROW()-BaslangicSatir,"000000"))</f>
        <v/>
      </c>
      <c r="B968" s="143" t="n"/>
      <c r="C968" s="143" t="n"/>
      <c r="D968" s="143" t="n"/>
      <c r="E968" s="143" t="n"/>
      <c r="F968" s="143" t="n"/>
      <c r="G968" s="143" t="n"/>
      <c r="H968" s="143" t="n"/>
      <c r="I968" s="143" t="n"/>
      <c r="J968" s="137">
        <f>IF($H968="","",ROUND($H968*$I968,2))</f>
        <v/>
      </c>
      <c r="K968" s="137">
        <f>IF(OR($H968="",$J968=""),"",ROUND($H968-$J968,2))</f>
        <v/>
      </c>
      <c r="L968" s="143" t="n"/>
    </row>
    <row r="969" ht="18" customHeight="1" s="102">
      <c r="A969" s="137">
        <f>IF($B969="","","TAH-"&amp;TEXT(ROW()-BaslangicSatir,"000000"))</f>
        <v/>
      </c>
      <c r="B969" s="143" t="n"/>
      <c r="C969" s="143" t="n"/>
      <c r="D969" s="143" t="n"/>
      <c r="E969" s="143" t="n"/>
      <c r="F969" s="143" t="n"/>
      <c r="G969" s="143" t="n"/>
      <c r="H969" s="143" t="n"/>
      <c r="I969" s="143" t="n"/>
      <c r="J969" s="137">
        <f>IF($H969="","",ROUND($H969*$I969,2))</f>
        <v/>
      </c>
      <c r="K969" s="137">
        <f>IF(OR($H969="",$J969=""),"",ROUND($H969-$J969,2))</f>
        <v/>
      </c>
      <c r="L969" s="143" t="n"/>
    </row>
    <row r="970" ht="18" customHeight="1" s="102">
      <c r="A970" s="137">
        <f>IF($B970="","","TAH-"&amp;TEXT(ROW()-BaslangicSatir,"000000"))</f>
        <v/>
      </c>
      <c r="B970" s="143" t="n"/>
      <c r="C970" s="143" t="n"/>
      <c r="D970" s="143" t="n"/>
      <c r="E970" s="143" t="n"/>
      <c r="F970" s="143" t="n"/>
      <c r="G970" s="143" t="n"/>
      <c r="H970" s="143" t="n"/>
      <c r="I970" s="143" t="n"/>
      <c r="J970" s="137">
        <f>IF($H970="","",ROUND($H970*$I970,2))</f>
        <v/>
      </c>
      <c r="K970" s="137">
        <f>IF(OR($H970="",$J970=""),"",ROUND($H970-$J970,2))</f>
        <v/>
      </c>
      <c r="L970" s="143" t="n"/>
    </row>
    <row r="971" ht="18" customHeight="1" s="102">
      <c r="A971" s="137">
        <f>IF($B971="","","TAH-"&amp;TEXT(ROW()-BaslangicSatir,"000000"))</f>
        <v/>
      </c>
      <c r="B971" s="143" t="n"/>
      <c r="C971" s="143" t="n"/>
      <c r="D971" s="143" t="n"/>
      <c r="E971" s="143" t="n"/>
      <c r="F971" s="143" t="n"/>
      <c r="G971" s="143" t="n"/>
      <c r="H971" s="143" t="n"/>
      <c r="I971" s="143" t="n"/>
      <c r="J971" s="137">
        <f>IF($H971="","",ROUND($H971*$I971,2))</f>
        <v/>
      </c>
      <c r="K971" s="137">
        <f>IF(OR($H971="",$J971=""),"",ROUND($H971-$J971,2))</f>
        <v/>
      </c>
      <c r="L971" s="143" t="n"/>
    </row>
    <row r="972" ht="18" customHeight="1" s="102">
      <c r="A972" s="137">
        <f>IF($B972="","","TAH-"&amp;TEXT(ROW()-BaslangicSatir,"000000"))</f>
        <v/>
      </c>
      <c r="B972" s="143" t="n"/>
      <c r="C972" s="143" t="n"/>
      <c r="D972" s="143" t="n"/>
      <c r="E972" s="143" t="n"/>
      <c r="F972" s="143" t="n"/>
      <c r="G972" s="143" t="n"/>
      <c r="H972" s="143" t="n"/>
      <c r="I972" s="143" t="n"/>
      <c r="J972" s="137">
        <f>IF($H972="","",ROUND($H972*$I972,2))</f>
        <v/>
      </c>
      <c r="K972" s="137">
        <f>IF(OR($H972="",$J972=""),"",ROUND($H972-$J972,2))</f>
        <v/>
      </c>
      <c r="L972" s="143" t="n"/>
    </row>
    <row r="973" ht="18" customHeight="1" s="102">
      <c r="A973" s="137">
        <f>IF($B973="","","TAH-"&amp;TEXT(ROW()-BaslangicSatir,"000000"))</f>
        <v/>
      </c>
      <c r="B973" s="143" t="n"/>
      <c r="C973" s="143" t="n"/>
      <c r="D973" s="143" t="n"/>
      <c r="E973" s="143" t="n"/>
      <c r="F973" s="143" t="n"/>
      <c r="G973" s="143" t="n"/>
      <c r="H973" s="143" t="n"/>
      <c r="I973" s="143" t="n"/>
      <c r="J973" s="137">
        <f>IF($H973="","",ROUND($H973*$I973,2))</f>
        <v/>
      </c>
      <c r="K973" s="137">
        <f>IF(OR($H973="",$J973=""),"",ROUND($H973-$J973,2))</f>
        <v/>
      </c>
      <c r="L973" s="143" t="n"/>
    </row>
    <row r="974" ht="18" customHeight="1" s="102">
      <c r="A974" s="137">
        <f>IF($B974="","","TAH-"&amp;TEXT(ROW()-BaslangicSatir,"000000"))</f>
        <v/>
      </c>
      <c r="B974" s="143" t="n"/>
      <c r="C974" s="143" t="n"/>
      <c r="D974" s="143" t="n"/>
      <c r="E974" s="143" t="n"/>
      <c r="F974" s="143" t="n"/>
      <c r="G974" s="143" t="n"/>
      <c r="H974" s="143" t="n"/>
      <c r="I974" s="143" t="n"/>
      <c r="J974" s="137">
        <f>IF($H974="","",ROUND($H974*$I974,2))</f>
        <v/>
      </c>
      <c r="K974" s="137">
        <f>IF(OR($H974="",$J974=""),"",ROUND($H974-$J974,2))</f>
        <v/>
      </c>
      <c r="L974" s="143" t="n"/>
    </row>
    <row r="975" ht="18" customHeight="1" s="102">
      <c r="A975" s="137">
        <f>IF($B975="","","TAH-"&amp;TEXT(ROW()-BaslangicSatir,"000000"))</f>
        <v/>
      </c>
      <c r="B975" s="143" t="n"/>
      <c r="C975" s="143" t="n"/>
      <c r="D975" s="143" t="n"/>
      <c r="E975" s="143" t="n"/>
      <c r="F975" s="143" t="n"/>
      <c r="G975" s="143" t="n"/>
      <c r="H975" s="143" t="n"/>
      <c r="I975" s="143" t="n"/>
      <c r="J975" s="137">
        <f>IF($H975="","",ROUND($H975*$I975,2))</f>
        <v/>
      </c>
      <c r="K975" s="137">
        <f>IF(OR($H975="",$J975=""),"",ROUND($H975-$J975,2))</f>
        <v/>
      </c>
      <c r="L975" s="143" t="n"/>
    </row>
    <row r="976" ht="18" customHeight="1" s="102">
      <c r="A976" s="137">
        <f>IF($B976="","","TAH-"&amp;TEXT(ROW()-BaslangicSatir,"000000"))</f>
        <v/>
      </c>
      <c r="B976" s="143" t="n"/>
      <c r="C976" s="143" t="n"/>
      <c r="D976" s="143" t="n"/>
      <c r="E976" s="143" t="n"/>
      <c r="F976" s="143" t="n"/>
      <c r="G976" s="143" t="n"/>
      <c r="H976" s="143" t="n"/>
      <c r="I976" s="143" t="n"/>
      <c r="J976" s="137">
        <f>IF($H976="","",ROUND($H976*$I976,2))</f>
        <v/>
      </c>
      <c r="K976" s="137">
        <f>IF(OR($H976="",$J976=""),"",ROUND($H976-$J976,2))</f>
        <v/>
      </c>
      <c r="L976" s="143" t="n"/>
    </row>
    <row r="977" ht="18" customHeight="1" s="102">
      <c r="A977" s="137">
        <f>IF($B977="","","TAH-"&amp;TEXT(ROW()-BaslangicSatir,"000000"))</f>
        <v/>
      </c>
      <c r="B977" s="143" t="n"/>
      <c r="C977" s="143" t="n"/>
      <c r="D977" s="143" t="n"/>
      <c r="E977" s="143" t="n"/>
      <c r="F977" s="143" t="n"/>
      <c r="G977" s="143" t="n"/>
      <c r="H977" s="143" t="n"/>
      <c r="I977" s="143" t="n"/>
      <c r="J977" s="137">
        <f>IF($H977="","",ROUND($H977*$I977,2))</f>
        <v/>
      </c>
      <c r="K977" s="137">
        <f>IF(OR($H977="",$J977=""),"",ROUND($H977-$J977,2))</f>
        <v/>
      </c>
      <c r="L977" s="143" t="n"/>
    </row>
    <row r="978" ht="18" customHeight="1" s="102">
      <c r="A978" s="137">
        <f>IF($B978="","","TAH-"&amp;TEXT(ROW()-BaslangicSatir,"000000"))</f>
        <v/>
      </c>
      <c r="B978" s="143" t="n"/>
      <c r="C978" s="143" t="n"/>
      <c r="D978" s="143" t="n"/>
      <c r="E978" s="143" t="n"/>
      <c r="F978" s="143" t="n"/>
      <c r="G978" s="143" t="n"/>
      <c r="H978" s="143" t="n"/>
      <c r="I978" s="143" t="n"/>
      <c r="J978" s="137">
        <f>IF($H978="","",ROUND($H978*$I978,2))</f>
        <v/>
      </c>
      <c r="K978" s="137">
        <f>IF(OR($H978="",$J978=""),"",ROUND($H978-$J978,2))</f>
        <v/>
      </c>
      <c r="L978" s="143" t="n"/>
    </row>
    <row r="979" ht="18" customHeight="1" s="102">
      <c r="A979" s="137">
        <f>IF($B979="","","TAH-"&amp;TEXT(ROW()-BaslangicSatir,"000000"))</f>
        <v/>
      </c>
      <c r="B979" s="143" t="n"/>
      <c r="C979" s="143" t="n"/>
      <c r="D979" s="143" t="n"/>
      <c r="E979" s="143" t="n"/>
      <c r="F979" s="143" t="n"/>
      <c r="G979" s="143" t="n"/>
      <c r="H979" s="143" t="n"/>
      <c r="I979" s="143" t="n"/>
      <c r="J979" s="137">
        <f>IF($H979="","",ROUND($H979*$I979,2))</f>
        <v/>
      </c>
      <c r="K979" s="137">
        <f>IF(OR($H979="",$J979=""),"",ROUND($H979-$J979,2))</f>
        <v/>
      </c>
      <c r="L979" s="143" t="n"/>
    </row>
    <row r="980" ht="18" customHeight="1" s="102">
      <c r="A980" s="137">
        <f>IF($B980="","","TAH-"&amp;TEXT(ROW()-BaslangicSatir,"000000"))</f>
        <v/>
      </c>
      <c r="B980" s="143" t="n"/>
      <c r="C980" s="143" t="n"/>
      <c r="D980" s="143" t="n"/>
      <c r="E980" s="143" t="n"/>
      <c r="F980" s="143" t="n"/>
      <c r="G980" s="143" t="n"/>
      <c r="H980" s="143" t="n"/>
      <c r="I980" s="143" t="n"/>
      <c r="J980" s="137">
        <f>IF($H980="","",ROUND($H980*$I980,2))</f>
        <v/>
      </c>
      <c r="K980" s="137">
        <f>IF(OR($H980="",$J980=""),"",ROUND($H980-$J980,2))</f>
        <v/>
      </c>
      <c r="L980" s="143" t="n"/>
    </row>
    <row r="981" ht="18" customHeight="1" s="102">
      <c r="A981" s="137">
        <f>IF($B981="","","TAH-"&amp;TEXT(ROW()-BaslangicSatir,"000000"))</f>
        <v/>
      </c>
      <c r="B981" s="143" t="n"/>
      <c r="C981" s="143" t="n"/>
      <c r="D981" s="143" t="n"/>
      <c r="E981" s="143" t="n"/>
      <c r="F981" s="143" t="n"/>
      <c r="G981" s="143" t="n"/>
      <c r="H981" s="143" t="n"/>
      <c r="I981" s="143" t="n"/>
      <c r="J981" s="137">
        <f>IF($H981="","",ROUND($H981*$I981,2))</f>
        <v/>
      </c>
      <c r="K981" s="137">
        <f>IF(OR($H981="",$J981=""),"",ROUND($H981-$J981,2))</f>
        <v/>
      </c>
      <c r="L981" s="143" t="n"/>
    </row>
    <row r="982" ht="18" customHeight="1" s="102">
      <c r="A982" s="137">
        <f>IF($B982="","","TAH-"&amp;TEXT(ROW()-BaslangicSatir,"000000"))</f>
        <v/>
      </c>
      <c r="B982" s="143" t="n"/>
      <c r="C982" s="143" t="n"/>
      <c r="D982" s="143" t="n"/>
      <c r="E982" s="143" t="n"/>
      <c r="F982" s="143" t="n"/>
      <c r="G982" s="143" t="n"/>
      <c r="H982" s="143" t="n"/>
      <c r="I982" s="143" t="n"/>
      <c r="J982" s="137">
        <f>IF($H982="","",ROUND($H982*$I982,2))</f>
        <v/>
      </c>
      <c r="K982" s="137">
        <f>IF(OR($H982="",$J982=""),"",ROUND($H982-$J982,2))</f>
        <v/>
      </c>
      <c r="L982" s="143" t="n"/>
    </row>
    <row r="983" ht="18" customHeight="1" s="102">
      <c r="A983" s="137">
        <f>IF($B983="","","TAH-"&amp;TEXT(ROW()-BaslangicSatir,"000000"))</f>
        <v/>
      </c>
      <c r="B983" s="143" t="n"/>
      <c r="C983" s="143" t="n"/>
      <c r="D983" s="143" t="n"/>
      <c r="E983" s="143" t="n"/>
      <c r="F983" s="143" t="n"/>
      <c r="G983" s="143" t="n"/>
      <c r="H983" s="143" t="n"/>
      <c r="I983" s="143" t="n"/>
      <c r="J983" s="137">
        <f>IF($H983="","",ROUND($H983*$I983,2))</f>
        <v/>
      </c>
      <c r="K983" s="137">
        <f>IF(OR($H983="",$J983=""),"",ROUND($H983-$J983,2))</f>
        <v/>
      </c>
      <c r="L983" s="143" t="n"/>
    </row>
    <row r="984" ht="18" customHeight="1" s="102">
      <c r="A984" s="137">
        <f>IF($B984="","","TAH-"&amp;TEXT(ROW()-BaslangicSatir,"000000"))</f>
        <v/>
      </c>
      <c r="B984" s="143" t="n"/>
      <c r="C984" s="143" t="n"/>
      <c r="D984" s="143" t="n"/>
      <c r="E984" s="143" t="n"/>
      <c r="F984" s="143" t="n"/>
      <c r="G984" s="143" t="n"/>
      <c r="H984" s="143" t="n"/>
      <c r="I984" s="143" t="n"/>
      <c r="J984" s="137">
        <f>IF($H984="","",ROUND($H984*$I984,2))</f>
        <v/>
      </c>
      <c r="K984" s="137">
        <f>IF(OR($H984="",$J984=""),"",ROUND($H984-$J984,2))</f>
        <v/>
      </c>
      <c r="L984" s="143" t="n"/>
    </row>
    <row r="985" ht="18" customHeight="1" s="102">
      <c r="A985" s="137">
        <f>IF($B985="","","TAH-"&amp;TEXT(ROW()-BaslangicSatir,"000000"))</f>
        <v/>
      </c>
      <c r="B985" s="143" t="n"/>
      <c r="C985" s="143" t="n"/>
      <c r="D985" s="143" t="n"/>
      <c r="E985" s="143" t="n"/>
      <c r="F985" s="143" t="n"/>
      <c r="G985" s="143" t="n"/>
      <c r="H985" s="143" t="n"/>
      <c r="I985" s="143" t="n"/>
      <c r="J985" s="137">
        <f>IF($H985="","",ROUND($H985*$I985,2))</f>
        <v/>
      </c>
      <c r="K985" s="137">
        <f>IF(OR($H985="",$J985=""),"",ROUND($H985-$J985,2))</f>
        <v/>
      </c>
      <c r="L985" s="143" t="n"/>
    </row>
    <row r="986" ht="18" customHeight="1" s="102">
      <c r="A986" s="137">
        <f>IF($B986="","","TAH-"&amp;TEXT(ROW()-BaslangicSatir,"000000"))</f>
        <v/>
      </c>
      <c r="B986" s="143" t="n"/>
      <c r="C986" s="143" t="n"/>
      <c r="D986" s="143" t="n"/>
      <c r="E986" s="143" t="n"/>
      <c r="F986" s="143" t="n"/>
      <c r="G986" s="143" t="n"/>
      <c r="H986" s="143" t="n"/>
      <c r="I986" s="143" t="n"/>
      <c r="J986" s="137">
        <f>IF($H986="","",ROUND($H986*$I986,2))</f>
        <v/>
      </c>
      <c r="K986" s="137">
        <f>IF(OR($H986="",$J986=""),"",ROUND($H986-$J986,2))</f>
        <v/>
      </c>
      <c r="L986" s="143" t="n"/>
    </row>
    <row r="987" ht="18" customHeight="1" s="102">
      <c r="A987" s="137">
        <f>IF($B987="","","TAH-"&amp;TEXT(ROW()-BaslangicSatir,"000000"))</f>
        <v/>
      </c>
      <c r="B987" s="143" t="n"/>
      <c r="C987" s="143" t="n"/>
      <c r="D987" s="143" t="n"/>
      <c r="E987" s="143" t="n"/>
      <c r="F987" s="143" t="n"/>
      <c r="G987" s="143" t="n"/>
      <c r="H987" s="143" t="n"/>
      <c r="I987" s="143" t="n"/>
      <c r="J987" s="137">
        <f>IF($H987="","",ROUND($H987*$I987,2))</f>
        <v/>
      </c>
      <c r="K987" s="137">
        <f>IF(OR($H987="",$J987=""),"",ROUND($H987-$J987,2))</f>
        <v/>
      </c>
      <c r="L987" s="143" t="n"/>
    </row>
    <row r="988" ht="18" customHeight="1" s="102">
      <c r="A988" s="137">
        <f>IF($B988="","","TAH-"&amp;TEXT(ROW()-BaslangicSatir,"000000"))</f>
        <v/>
      </c>
      <c r="B988" s="143" t="n"/>
      <c r="C988" s="143" t="n"/>
      <c r="D988" s="143" t="n"/>
      <c r="E988" s="143" t="n"/>
      <c r="F988" s="143" t="n"/>
      <c r="G988" s="143" t="n"/>
      <c r="H988" s="143" t="n"/>
      <c r="I988" s="143" t="n"/>
      <c r="J988" s="137">
        <f>IF($H988="","",ROUND($H988*$I988,2))</f>
        <v/>
      </c>
      <c r="K988" s="137">
        <f>IF(OR($H988="",$J988=""),"",ROUND($H988-$J988,2))</f>
        <v/>
      </c>
      <c r="L988" s="143" t="n"/>
    </row>
    <row r="989" ht="18" customHeight="1" s="102">
      <c r="A989" s="137">
        <f>IF($B989="","","TAH-"&amp;TEXT(ROW()-BaslangicSatir,"000000"))</f>
        <v/>
      </c>
      <c r="B989" s="143" t="n"/>
      <c r="C989" s="143" t="n"/>
      <c r="D989" s="143" t="n"/>
      <c r="E989" s="143" t="n"/>
      <c r="F989" s="143" t="n"/>
      <c r="G989" s="143" t="n"/>
      <c r="H989" s="143" t="n"/>
      <c r="I989" s="143" t="n"/>
      <c r="J989" s="137">
        <f>IF($H989="","",ROUND($H989*$I989,2))</f>
        <v/>
      </c>
      <c r="K989" s="137">
        <f>IF(OR($H989="",$J989=""),"",ROUND($H989-$J989,2))</f>
        <v/>
      </c>
      <c r="L989" s="143" t="n"/>
    </row>
    <row r="990" ht="18" customHeight="1" s="102">
      <c r="A990" s="137">
        <f>IF($B990="","","TAH-"&amp;TEXT(ROW()-BaslangicSatir,"000000"))</f>
        <v/>
      </c>
      <c r="B990" s="143" t="n"/>
      <c r="C990" s="143" t="n"/>
      <c r="D990" s="143" t="n"/>
      <c r="E990" s="143" t="n"/>
      <c r="F990" s="143" t="n"/>
      <c r="G990" s="143" t="n"/>
      <c r="H990" s="143" t="n"/>
      <c r="I990" s="143" t="n"/>
      <c r="J990" s="137">
        <f>IF($H990="","",ROUND($H990*$I990,2))</f>
        <v/>
      </c>
      <c r="K990" s="137">
        <f>IF(OR($H990="",$J990=""),"",ROUND($H990-$J990,2))</f>
        <v/>
      </c>
      <c r="L990" s="143" t="n"/>
    </row>
    <row r="991" ht="18" customHeight="1" s="102">
      <c r="A991" s="137">
        <f>IF($B991="","","TAH-"&amp;TEXT(ROW()-BaslangicSatir,"000000"))</f>
        <v/>
      </c>
      <c r="B991" s="143" t="n"/>
      <c r="C991" s="143" t="n"/>
      <c r="D991" s="143" t="n"/>
      <c r="E991" s="143" t="n"/>
      <c r="F991" s="143" t="n"/>
      <c r="G991" s="143" t="n"/>
      <c r="H991" s="143" t="n"/>
      <c r="I991" s="143" t="n"/>
      <c r="J991" s="137">
        <f>IF($H991="","",ROUND($H991*$I991,2))</f>
        <v/>
      </c>
      <c r="K991" s="137">
        <f>IF(OR($H991="",$J991=""),"",ROUND($H991-$J991,2))</f>
        <v/>
      </c>
      <c r="L991" s="143" t="n"/>
    </row>
    <row r="992" ht="18" customHeight="1" s="102">
      <c r="A992" s="137">
        <f>IF($B992="","","TAH-"&amp;TEXT(ROW()-BaslangicSatir,"000000"))</f>
        <v/>
      </c>
      <c r="B992" s="143" t="n"/>
      <c r="C992" s="143" t="n"/>
      <c r="D992" s="143" t="n"/>
      <c r="E992" s="143" t="n"/>
      <c r="F992" s="143" t="n"/>
      <c r="G992" s="143" t="n"/>
      <c r="H992" s="143" t="n"/>
      <c r="I992" s="143" t="n"/>
      <c r="J992" s="137">
        <f>IF($H992="","",ROUND($H992*$I992,2))</f>
        <v/>
      </c>
      <c r="K992" s="137">
        <f>IF(OR($H992="",$J992=""),"",ROUND($H992-$J992,2))</f>
        <v/>
      </c>
      <c r="L992" s="143" t="n"/>
    </row>
    <row r="993" ht="18" customHeight="1" s="102">
      <c r="A993" s="137">
        <f>IF($B993="","","TAH-"&amp;TEXT(ROW()-BaslangicSatir,"000000"))</f>
        <v/>
      </c>
      <c r="B993" s="143" t="n"/>
      <c r="C993" s="143" t="n"/>
      <c r="D993" s="143" t="n"/>
      <c r="E993" s="143" t="n"/>
      <c r="F993" s="143" t="n"/>
      <c r="G993" s="143" t="n"/>
      <c r="H993" s="143" t="n"/>
      <c r="I993" s="143" t="n"/>
      <c r="J993" s="137">
        <f>IF($H993="","",ROUND($H993*$I993,2))</f>
        <v/>
      </c>
      <c r="K993" s="137">
        <f>IF(OR($H993="",$J993=""),"",ROUND($H993-$J993,2))</f>
        <v/>
      </c>
      <c r="L993" s="143" t="n"/>
    </row>
    <row r="994" ht="18" customHeight="1" s="102">
      <c r="A994" s="137">
        <f>IF($B994="","","TAH-"&amp;TEXT(ROW()-BaslangicSatir,"000000"))</f>
        <v/>
      </c>
      <c r="B994" s="143" t="n"/>
      <c r="C994" s="143" t="n"/>
      <c r="D994" s="143" t="n"/>
      <c r="E994" s="143" t="n"/>
      <c r="F994" s="143" t="n"/>
      <c r="G994" s="143" t="n"/>
      <c r="H994" s="143" t="n"/>
      <c r="I994" s="143" t="n"/>
      <c r="J994" s="137">
        <f>IF($H994="","",ROUND($H994*$I994,2))</f>
        <v/>
      </c>
      <c r="K994" s="137">
        <f>IF(OR($H994="",$J994=""),"",ROUND($H994-$J994,2))</f>
        <v/>
      </c>
      <c r="L994" s="143" t="n"/>
    </row>
    <row r="995" ht="18" customHeight="1" s="102">
      <c r="A995" s="137">
        <f>IF($B995="","","TAH-"&amp;TEXT(ROW()-BaslangicSatir,"000000"))</f>
        <v/>
      </c>
      <c r="B995" s="143" t="n"/>
      <c r="C995" s="143" t="n"/>
      <c r="D995" s="143" t="n"/>
      <c r="E995" s="143" t="n"/>
      <c r="F995" s="143" t="n"/>
      <c r="G995" s="143" t="n"/>
      <c r="H995" s="143" t="n"/>
      <c r="I995" s="143" t="n"/>
      <c r="J995" s="137">
        <f>IF($H995="","",ROUND($H995*$I995,2))</f>
        <v/>
      </c>
      <c r="K995" s="137">
        <f>IF(OR($H995="",$J995=""),"",ROUND($H995-$J995,2))</f>
        <v/>
      </c>
      <c r="L995" s="143" t="n"/>
    </row>
    <row r="996" ht="18" customHeight="1" s="102">
      <c r="A996" s="137">
        <f>IF($B996="","","TAH-"&amp;TEXT(ROW()-BaslangicSatir,"000000"))</f>
        <v/>
      </c>
      <c r="B996" s="143" t="n"/>
      <c r="C996" s="143" t="n"/>
      <c r="D996" s="143" t="n"/>
      <c r="E996" s="143" t="n"/>
      <c r="F996" s="143" t="n"/>
      <c r="G996" s="143" t="n"/>
      <c r="H996" s="143" t="n"/>
      <c r="I996" s="143" t="n"/>
      <c r="J996" s="137">
        <f>IF($H996="","",ROUND($H996*$I996,2))</f>
        <v/>
      </c>
      <c r="K996" s="137">
        <f>IF(OR($H996="",$J996=""),"",ROUND($H996-$J996,2))</f>
        <v/>
      </c>
      <c r="L996" s="143" t="n"/>
    </row>
    <row r="997" ht="18" customHeight="1" s="102">
      <c r="A997" s="137">
        <f>IF($B997="","","TAH-"&amp;TEXT(ROW()-BaslangicSatir,"000000"))</f>
        <v/>
      </c>
      <c r="B997" s="143" t="n"/>
      <c r="C997" s="143" t="n"/>
      <c r="D997" s="143" t="n"/>
      <c r="E997" s="143" t="n"/>
      <c r="F997" s="143" t="n"/>
      <c r="G997" s="143" t="n"/>
      <c r="H997" s="143" t="n"/>
      <c r="I997" s="143" t="n"/>
      <c r="J997" s="137">
        <f>IF($H997="","",ROUND($H997*$I997,2))</f>
        <v/>
      </c>
      <c r="K997" s="137">
        <f>IF(OR($H997="",$J997=""),"",ROUND($H997-$J997,2))</f>
        <v/>
      </c>
      <c r="L997" s="143" t="n"/>
    </row>
    <row r="998" ht="18" customHeight="1" s="102">
      <c r="A998" s="137">
        <f>IF($B998="","","TAH-"&amp;TEXT(ROW()-BaslangicSatir,"000000"))</f>
        <v/>
      </c>
      <c r="B998" s="143" t="n"/>
      <c r="C998" s="143" t="n"/>
      <c r="D998" s="143" t="n"/>
      <c r="E998" s="143" t="n"/>
      <c r="F998" s="143" t="n"/>
      <c r="G998" s="143" t="n"/>
      <c r="H998" s="143" t="n"/>
      <c r="I998" s="143" t="n"/>
      <c r="J998" s="137">
        <f>IF($H998="","",ROUND($H998*$I998,2))</f>
        <v/>
      </c>
      <c r="K998" s="137">
        <f>IF(OR($H998="",$J998=""),"",ROUND($H998-$J998,2))</f>
        <v/>
      </c>
      <c r="L998" s="143" t="n"/>
    </row>
    <row r="999" ht="18" customHeight="1" s="102">
      <c r="A999" s="137">
        <f>IF($B999="","","TAH-"&amp;TEXT(ROW()-BaslangicSatir,"000000"))</f>
        <v/>
      </c>
      <c r="B999" s="143" t="n"/>
      <c r="C999" s="143" t="n"/>
      <c r="D999" s="143" t="n"/>
      <c r="E999" s="143" t="n"/>
      <c r="F999" s="143" t="n"/>
      <c r="G999" s="143" t="n"/>
      <c r="H999" s="143" t="n"/>
      <c r="I999" s="143" t="n"/>
      <c r="J999" s="137">
        <f>IF($H999="","",ROUND($H999*$I999,2))</f>
        <v/>
      </c>
      <c r="K999" s="137">
        <f>IF(OR($H999="",$J999=""),"",ROUND($H999-$J999,2))</f>
        <v/>
      </c>
      <c r="L999" s="143" t="n"/>
    </row>
    <row r="1000" ht="18" customHeight="1" s="102">
      <c r="A1000" s="137">
        <f>IF($B1000="","","TAH-"&amp;TEXT(ROW()-BaslangicSatir,"000000"))</f>
        <v/>
      </c>
      <c r="B1000" s="143" t="n"/>
      <c r="C1000" s="143" t="n"/>
      <c r="D1000" s="143" t="n"/>
      <c r="E1000" s="143" t="n"/>
      <c r="F1000" s="143" t="n"/>
      <c r="G1000" s="143" t="n"/>
      <c r="H1000" s="143" t="n"/>
      <c r="I1000" s="143" t="n"/>
      <c r="J1000" s="137">
        <f>IF($H1000="","",ROUND($H1000*$I1000,2))</f>
        <v/>
      </c>
      <c r="K1000" s="137">
        <f>IF(OR($H1000="",$J1000=""),"",ROUND($H1000-$J1000,2))</f>
        <v/>
      </c>
      <c r="L1000" s="14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F6:F1000">
    <cfRule type="cellIs" rank="0" priority="2" equalAverage="0" operator="equal" aboveAverage="0" dxfId="10" text="" percent="0" bottom="0">
      <formula>"TAHSİL EDİLDİ"</formula>
    </cfRule>
    <cfRule type="cellIs" rank="0" priority="3" equalAverage="0" operator="equal" aboveAverage="0" dxfId="11" text="" percent="0" bottom="0">
      <formula>"BEKLEMEDE"</formula>
    </cfRule>
    <cfRule type="cellIs" rank="0" priority="4" equalAverage="0" operator="equal" aboveAverage="0" dxfId="12" text="" percent="0" bottom="0">
      <formula>"KARŞILIKSIZ"</formula>
    </cfRule>
  </conditionalFormatting>
  <conditionalFormatting sqref="K6:K1000">
    <cfRule type="cellIs" rank="0" priority="5" equalAverage="0" operator="lessThan" aboveAverage="0" dxfId="12" text="" percent="0" bottom="0">
      <formula>0</formula>
    </cfRule>
    <cfRule type="cellIs" rank="0" priority="6" equalAverage="0" operator="greaterThan" aboveAverage="0" dxfId="10" text="" percent="0" bottom="0">
      <formula>0</formula>
    </cfRule>
  </conditionalFormatting>
  <dataValidations count="5">
    <dataValidation sqref="B6:B1000" showDropDown="0" showInputMessage="1" showErrorMessage="1" allowBlank="1" errorTitle="Geçersiz belge" error="CEK_SENET_KAYIT'ta tanımlı bir belge seçiniz." promptTitle="Belge ID" prompt="Tahsile verilen belgenin ID'sini seçin." type="list" errorStyle="stop" operator="between">
      <formula1>CEK_SENET_KAYIT!$A$6:$A$1000</formula1>
      <formula2>0</formula2>
    </dataValidation>
    <dataValidation sqref="C6:C1000" showDropDown="0" showInputMessage="1" showErrorMessage="1" allowBlank="1" errorTitle="Geçersiz banka" error="Bankayı LISTELER sayfasından seçin." promptTitle="Tahsil Bankası" prompt="Tahsilin yapıldığı/yapılacağı banka." type="list" errorStyle="stop" operator="between">
      <formula1>LISTELER!$L$4:$L$20</formula1>
      <formula2>0</formula2>
    </dataValidation>
    <dataValidation sqref="F6:F1000" showDropDown="0" showInputMessage="1" showErrorMessage="1" allowBlank="1" errorTitle="Geçersiz durum" error="BEKLEMEDE, TAHSİL EDİLDİ veya KARŞILIKSIZ seçiniz." promptTitle="Tahsil Durumu" prompt="Tahsil işleminin güncel durumu." type="list" errorStyle="stop" operator="between">
      <formula1>"BEKLEMEDE,TAHSİL EDİLDİ,KARŞILIKSIZ"</formula1>
      <formula2>0</formula2>
    </dataValidation>
    <dataValidation sqref="H6:H1000" showDropDown="0" showInputMessage="1" showErrorMessage="1" allowBlank="1" errorTitle="Geçersiz tutar" error="Tutar sıfırdan büyük olmalıdır." promptTitle="Tahsil Edilen Tutar" prompt="Tahsil edilen brüt tutar." type="decimal" errorStyle="stop" operator="greaterThan">
      <formula1>0</formula1>
      <formula2>0</formula2>
    </dataValidation>
    <dataValidation sqref="I6:I1000" showDropDown="0" showInputMessage="1" showErrorMessage="1" allowBlank="1" errorTitle="Geçersiz oran" error="Komisyon oranı 0-1 arası olmalıdır." promptTitle="Komisyon Oranı" prompt="Banka komisyon oranını ondalık girin (örn. 0.01 = %1)." type="decimal" errorStyle="stop" operator="less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28" min="1" max="1"/>
    <col width="13" customWidth="1" style="128" min="2" max="2"/>
    <col width="12" customWidth="1" style="128" min="3" max="3"/>
    <col width="16" customWidth="1" style="128" min="4" max="4"/>
    <col width="40" customWidth="1" style="128" min="5" max="5"/>
    <col width="30" customWidth="1" style="128" min="6" max="6"/>
    <col width="14" customWidth="1" style="128" min="7" max="7"/>
  </cols>
  <sheetData>
    <row r="1" ht="25.5" customHeight="1" s="102">
      <c r="A1" s="129" t="inlineStr">
        <is>
          <t>DURUM HAREKETLERI — ÇEK–SENET VE VADE RİSK SİSTEMİ</t>
        </is>
      </c>
    </row>
    <row r="2" ht="19.5" customHeight="1" s="102">
      <c r="A2" s="130" t="inlineStr">
        <is>
          <t>Belgelerin durum değişimlerini (ör. portföyde → tahsile verildi) buraya kaydedin. Bu kayıt işlem geçmişi için denetim izi sağlar.</t>
        </is>
      </c>
    </row>
    <row r="5" ht="30" customHeight="1" s="102">
      <c r="A5" s="131" t="inlineStr">
        <is>
          <t>Hareket ID</t>
        </is>
      </c>
      <c r="B5" s="131" t="inlineStr">
        <is>
          <t>Belge ID</t>
        </is>
      </c>
      <c r="C5" s="131" t="inlineStr">
        <is>
          <t>Tarih</t>
        </is>
      </c>
      <c r="D5" s="131" t="inlineStr">
        <is>
          <t>Eski Durum</t>
        </is>
      </c>
      <c r="E5" s="131" t="inlineStr">
        <is>
          <t>Yeni Durum</t>
        </is>
      </c>
      <c r="F5" s="131" t="inlineStr">
        <is>
          <t>Açıklama</t>
        </is>
      </c>
      <c r="G5" s="131" t="inlineStr">
        <is>
          <t>Kullanıcı</t>
        </is>
      </c>
    </row>
    <row r="6" ht="18" customHeight="1" s="102">
      <c r="A6" s="137">
        <f>IF($B6="","","HRK-"&amp;TEXT(ROW()-BaslangicSatir,"000000"))</f>
        <v/>
      </c>
      <c r="B6" s="138" t="inlineStr">
        <is>
          <t>CKS-000001</t>
        </is>
      </c>
      <c r="C6" s="139" t="n">
        <v>46223</v>
      </c>
      <c r="D6" s="138" t="inlineStr">
        <is>
          <t>PORTFÖYDE</t>
        </is>
      </c>
      <c r="E6" s="138" t="inlineStr">
        <is>
          <t>CİRO EDİLDİ</t>
        </is>
      </c>
      <c r="F6" s="138" t="inlineStr">
        <is>
          <t>Orhan Ticaret'e ciro edildi</t>
        </is>
      </c>
      <c r="G6" s="138" t="inlineStr">
        <is>
          <t>Finans Müdürü</t>
        </is>
      </c>
    </row>
    <row r="7" ht="18" customHeight="1" s="102">
      <c r="A7" s="137">
        <f>IF($B7="","","HRK-"&amp;TEXT(ROW()-BaslangicSatir,"000000"))</f>
        <v/>
      </c>
      <c r="B7" s="138" t="inlineStr">
        <is>
          <t>CKS-000006</t>
        </is>
      </c>
      <c r="C7" s="139" t="n">
        <v>46240</v>
      </c>
      <c r="D7" s="138" t="inlineStr">
        <is>
          <t>PORTFÖYDE</t>
        </is>
      </c>
      <c r="E7" s="138" t="inlineStr">
        <is>
          <t>KARŞILIKSIZ</t>
        </is>
      </c>
      <c r="F7" s="138" t="inlineStr">
        <is>
          <t>Banka bildirimi ile karşılıksız çıktı</t>
        </is>
      </c>
      <c r="G7" s="138" t="inlineStr">
        <is>
          <t>Hukuk / İç Kontrol</t>
        </is>
      </c>
    </row>
    <row r="8" ht="18" customHeight="1" s="102">
      <c r="A8" s="137">
        <f>IF($B8="","","HRK-"&amp;TEXT(ROW()-BaslangicSatir,"000000"))</f>
        <v/>
      </c>
      <c r="B8" s="138" t="inlineStr">
        <is>
          <t>CKS-000010</t>
        </is>
      </c>
      <c r="C8" s="139" t="n">
        <v>46252</v>
      </c>
      <c r="D8" s="138" t="inlineStr">
        <is>
          <t>TAHSİLE VERİLDİ</t>
        </is>
      </c>
      <c r="E8" s="138" t="inlineStr">
        <is>
          <t>TAHSİL EDİLDİ</t>
        </is>
      </c>
      <c r="F8" s="138" t="inlineStr">
        <is>
          <t>Tahsilat tamamlandı</t>
        </is>
      </c>
      <c r="G8" s="138" t="inlineStr">
        <is>
          <t>Finans Müdürü</t>
        </is>
      </c>
    </row>
    <row r="9" ht="18" customHeight="1" s="102">
      <c r="A9" s="137">
        <f>IF($B9="","","HRK-"&amp;TEXT(ROW()-BaslangicSatir,"000000"))</f>
        <v/>
      </c>
      <c r="B9" s="138" t="n"/>
      <c r="C9" s="138" t="n"/>
      <c r="D9" s="138" t="n"/>
      <c r="E9" s="138" t="n"/>
      <c r="F9" s="138" t="n"/>
      <c r="G9" s="138" t="n"/>
    </row>
    <row r="10" ht="18" customHeight="1" s="102">
      <c r="A10" s="137">
        <f>IF($B10="","","HRK-"&amp;TEXT(ROW()-BaslangicSatir,"000000"))</f>
        <v/>
      </c>
      <c r="B10" s="138" t="n"/>
      <c r="C10" s="138" t="n"/>
      <c r="D10" s="138" t="n"/>
      <c r="E10" s="138" t="n"/>
      <c r="F10" s="138" t="n"/>
      <c r="G10" s="138" t="n"/>
    </row>
    <row r="11" ht="18" customHeight="1" s="102">
      <c r="A11" s="137">
        <f>IF($B11="","","HRK-"&amp;TEXT(ROW()-BaslangicSatir,"000000"))</f>
        <v/>
      </c>
      <c r="B11" s="138" t="n"/>
      <c r="C11" s="138" t="n"/>
      <c r="D11" s="138" t="n"/>
      <c r="E11" s="138" t="n"/>
      <c r="F11" s="138" t="n"/>
      <c r="G11" s="138" t="n"/>
    </row>
    <row r="12" ht="18" customHeight="1" s="102">
      <c r="A12" s="137">
        <f>IF($B12="","","HRK-"&amp;TEXT(ROW()-BaslangicSatir,"000000"))</f>
        <v/>
      </c>
      <c r="B12" s="138" t="n"/>
      <c r="C12" s="138" t="n"/>
      <c r="D12" s="138" t="n"/>
      <c r="E12" s="138" t="n"/>
      <c r="F12" s="138" t="n"/>
      <c r="G12" s="138" t="n"/>
    </row>
    <row r="13" ht="18" customHeight="1" s="102">
      <c r="A13" s="137">
        <f>IF($B13="","","HRK-"&amp;TEXT(ROW()-BaslangicSatir,"000000"))</f>
        <v/>
      </c>
      <c r="B13" s="138" t="n"/>
      <c r="C13" s="138" t="n"/>
      <c r="D13" s="138" t="n"/>
      <c r="E13" s="138" t="n"/>
      <c r="F13" s="138" t="n"/>
      <c r="G13" s="138" t="n"/>
    </row>
    <row r="14" ht="18" customHeight="1" s="102">
      <c r="A14" s="137">
        <f>IF($B14="","","HRK-"&amp;TEXT(ROW()-BaslangicSatir,"000000"))</f>
        <v/>
      </c>
      <c r="B14" s="138" t="n"/>
      <c r="C14" s="138" t="n"/>
      <c r="D14" s="138" t="n"/>
      <c r="E14" s="138" t="n"/>
      <c r="F14" s="138" t="n"/>
      <c r="G14" s="138" t="n"/>
    </row>
    <row r="15" ht="18" customHeight="1" s="102">
      <c r="A15" s="137">
        <f>IF($B15="","","HRK-"&amp;TEXT(ROW()-BaslangicSatir,"000000"))</f>
        <v/>
      </c>
      <c r="B15" s="138" t="n"/>
      <c r="C15" s="138" t="n"/>
      <c r="D15" s="138" t="n"/>
      <c r="E15" s="138" t="n"/>
      <c r="F15" s="138" t="n"/>
      <c r="G15" s="138" t="n"/>
    </row>
    <row r="16" ht="18" customHeight="1" s="102">
      <c r="A16" s="137">
        <f>IF($B16="","","HRK-"&amp;TEXT(ROW()-BaslangicSatir,"000000"))</f>
        <v/>
      </c>
      <c r="B16" s="138" t="n"/>
      <c r="C16" s="138" t="n"/>
      <c r="D16" s="138" t="n"/>
      <c r="E16" s="138" t="n"/>
      <c r="F16" s="138" t="n"/>
      <c r="G16" s="138" t="n"/>
    </row>
    <row r="17" ht="18" customHeight="1" s="102">
      <c r="A17" s="137">
        <f>IF($B17="","","HRK-"&amp;TEXT(ROW()-BaslangicSatir,"000000"))</f>
        <v/>
      </c>
      <c r="B17" s="138" t="n"/>
      <c r="C17" s="138" t="n"/>
      <c r="D17" s="138" t="n"/>
      <c r="E17" s="138" t="n"/>
      <c r="F17" s="138" t="n"/>
      <c r="G17" s="138" t="n"/>
    </row>
    <row r="18" ht="18" customHeight="1" s="102">
      <c r="A18" s="137">
        <f>IF($B18="","","HRK-"&amp;TEXT(ROW()-BaslangicSatir,"000000"))</f>
        <v/>
      </c>
      <c r="B18" s="138" t="n"/>
      <c r="C18" s="138" t="n"/>
      <c r="D18" s="138" t="n"/>
      <c r="E18" s="138" t="n"/>
      <c r="F18" s="138" t="n"/>
      <c r="G18" s="138" t="n"/>
    </row>
    <row r="19" ht="18" customHeight="1" s="102">
      <c r="A19" s="137">
        <f>IF($B19="","","HRK-"&amp;TEXT(ROW()-BaslangicSatir,"000000"))</f>
        <v/>
      </c>
      <c r="B19" s="138" t="n"/>
      <c r="C19" s="138" t="n"/>
      <c r="D19" s="138" t="n"/>
      <c r="E19" s="138" t="n"/>
      <c r="F19" s="138" t="n"/>
      <c r="G19" s="138" t="n"/>
    </row>
    <row r="20" ht="18" customHeight="1" s="102">
      <c r="A20" s="137">
        <f>IF($B20="","","HRK-"&amp;TEXT(ROW()-BaslangicSatir,"000000"))</f>
        <v/>
      </c>
      <c r="B20" s="138" t="n"/>
      <c r="C20" s="138" t="n"/>
      <c r="D20" s="138" t="n"/>
      <c r="E20" s="138" t="n"/>
      <c r="F20" s="138" t="n"/>
      <c r="G20" s="138" t="n"/>
    </row>
    <row r="21" ht="18" customHeight="1" s="102">
      <c r="A21" s="137">
        <f>IF($B21="","","HRK-"&amp;TEXT(ROW()-BaslangicSatir,"000000"))</f>
        <v/>
      </c>
      <c r="B21" s="138" t="n"/>
      <c r="C21" s="138" t="n"/>
      <c r="D21" s="138" t="n"/>
      <c r="E21" s="138" t="n"/>
      <c r="F21" s="138" t="n"/>
      <c r="G21" s="138" t="n"/>
    </row>
    <row r="22" ht="18" customHeight="1" s="102">
      <c r="A22" s="137">
        <f>IF($B22="","","HRK-"&amp;TEXT(ROW()-BaslangicSatir,"000000"))</f>
        <v/>
      </c>
      <c r="B22" s="138" t="n"/>
      <c r="C22" s="138" t="n"/>
      <c r="D22" s="138" t="n"/>
      <c r="E22" s="138" t="n"/>
      <c r="F22" s="138" t="n"/>
      <c r="G22" s="138" t="n"/>
    </row>
    <row r="23" ht="18" customHeight="1" s="102">
      <c r="A23" s="137">
        <f>IF($B23="","","HRK-"&amp;TEXT(ROW()-BaslangicSatir,"000000"))</f>
        <v/>
      </c>
      <c r="B23" s="138" t="n"/>
      <c r="C23" s="138" t="n"/>
      <c r="D23" s="138" t="n"/>
      <c r="E23" s="138" t="n"/>
      <c r="F23" s="138" t="n"/>
      <c r="G23" s="138" t="n"/>
    </row>
    <row r="24" ht="18" customHeight="1" s="102">
      <c r="A24" s="137">
        <f>IF($B24="","","HRK-"&amp;TEXT(ROW()-BaslangicSatir,"000000"))</f>
        <v/>
      </c>
      <c r="B24" s="138" t="n"/>
      <c r="C24" s="138" t="n"/>
      <c r="D24" s="138" t="n"/>
      <c r="E24" s="138" t="n"/>
      <c r="F24" s="138" t="n"/>
      <c r="G24" s="138" t="n"/>
    </row>
    <row r="25" ht="18" customHeight="1" s="102">
      <c r="A25" s="137">
        <f>IF($B25="","","HRK-"&amp;TEXT(ROW()-BaslangicSatir,"000000"))</f>
        <v/>
      </c>
      <c r="B25" s="138" t="n"/>
      <c r="C25" s="138" t="n"/>
      <c r="D25" s="138" t="n"/>
      <c r="E25" s="138" t="n"/>
      <c r="F25" s="138" t="n"/>
      <c r="G25" s="138" t="n"/>
    </row>
    <row r="26" ht="18" customHeight="1" s="102">
      <c r="A26" s="137">
        <f>IF($B26="","","HRK-"&amp;TEXT(ROW()-BaslangicSatir,"000000"))</f>
        <v/>
      </c>
      <c r="B26" s="138" t="n"/>
      <c r="C26" s="138" t="n"/>
      <c r="D26" s="138" t="n"/>
      <c r="E26" s="138" t="n"/>
      <c r="F26" s="138" t="n"/>
      <c r="G26" s="138" t="n"/>
    </row>
    <row r="27" ht="18" customHeight="1" s="102">
      <c r="A27" s="137">
        <f>IF($B27="","","HRK-"&amp;TEXT(ROW()-BaslangicSatir,"000000"))</f>
        <v/>
      </c>
      <c r="B27" s="138" t="n"/>
      <c r="C27" s="138" t="n"/>
      <c r="D27" s="138" t="n"/>
      <c r="E27" s="138" t="n"/>
      <c r="F27" s="138" t="n"/>
      <c r="G27" s="138" t="n"/>
    </row>
    <row r="28" ht="18" customHeight="1" s="102">
      <c r="A28" s="137">
        <f>IF($B28="","","HRK-"&amp;TEXT(ROW()-BaslangicSatir,"000000"))</f>
        <v/>
      </c>
      <c r="B28" s="138" t="n"/>
      <c r="C28" s="138" t="n"/>
      <c r="D28" s="138" t="n"/>
      <c r="E28" s="138" t="n"/>
      <c r="F28" s="138" t="n"/>
      <c r="G28" s="138" t="n"/>
    </row>
    <row r="29" ht="18" customHeight="1" s="102">
      <c r="A29" s="137">
        <f>IF($B29="","","HRK-"&amp;TEXT(ROW()-BaslangicSatir,"000000"))</f>
        <v/>
      </c>
      <c r="B29" s="138" t="n"/>
      <c r="C29" s="138" t="n"/>
      <c r="D29" s="138" t="n"/>
      <c r="E29" s="138" t="n"/>
      <c r="F29" s="138" t="n"/>
      <c r="G29" s="138" t="n"/>
    </row>
    <row r="30" ht="18" customHeight="1" s="102">
      <c r="A30" s="137">
        <f>IF($B30="","","HRK-"&amp;TEXT(ROW()-BaslangicSatir,"000000"))</f>
        <v/>
      </c>
      <c r="B30" s="138" t="n"/>
      <c r="C30" s="138" t="n"/>
      <c r="D30" s="138" t="n"/>
      <c r="E30" s="138" t="n"/>
      <c r="F30" s="138" t="n"/>
      <c r="G30" s="138" t="n"/>
    </row>
    <row r="31" ht="18" customHeight="1" s="102">
      <c r="A31" s="137">
        <f>IF($B31="","","HRK-"&amp;TEXT(ROW()-BaslangicSatir,"000000"))</f>
        <v/>
      </c>
      <c r="B31" s="138" t="n"/>
      <c r="C31" s="138" t="n"/>
      <c r="D31" s="138" t="n"/>
      <c r="E31" s="138" t="n"/>
      <c r="F31" s="138" t="n"/>
      <c r="G31" s="138" t="n"/>
    </row>
    <row r="32" ht="18" customHeight="1" s="102">
      <c r="A32" s="137">
        <f>IF($B32="","","HRK-"&amp;TEXT(ROW()-BaslangicSatir,"000000"))</f>
        <v/>
      </c>
      <c r="B32" s="138" t="n"/>
      <c r="C32" s="138" t="n"/>
      <c r="D32" s="138" t="n"/>
      <c r="E32" s="138" t="n"/>
      <c r="F32" s="138" t="n"/>
      <c r="G32" s="138" t="n"/>
    </row>
    <row r="33" ht="18" customHeight="1" s="102">
      <c r="A33" s="137">
        <f>IF($B33="","","HRK-"&amp;TEXT(ROW()-BaslangicSatir,"000000"))</f>
        <v/>
      </c>
      <c r="B33" s="138" t="n"/>
      <c r="C33" s="138" t="n"/>
      <c r="D33" s="138" t="n"/>
      <c r="E33" s="138" t="n"/>
      <c r="F33" s="138" t="n"/>
      <c r="G33" s="138" t="n"/>
    </row>
    <row r="34" ht="18" customHeight="1" s="102">
      <c r="A34" s="137">
        <f>IF($B34="","","HRK-"&amp;TEXT(ROW()-BaslangicSatir,"000000"))</f>
        <v/>
      </c>
      <c r="B34" s="138" t="n"/>
      <c r="C34" s="138" t="n"/>
      <c r="D34" s="138" t="n"/>
      <c r="E34" s="138" t="n"/>
      <c r="F34" s="138" t="n"/>
      <c r="G34" s="138" t="n"/>
    </row>
    <row r="35" ht="18" customHeight="1" s="102">
      <c r="A35" s="137">
        <f>IF($B35="","","HRK-"&amp;TEXT(ROW()-BaslangicSatir,"000000"))</f>
        <v/>
      </c>
      <c r="B35" s="138" t="n"/>
      <c r="C35" s="138" t="n"/>
      <c r="D35" s="138" t="n"/>
      <c r="E35" s="138" t="n"/>
      <c r="F35" s="138" t="n"/>
      <c r="G35" s="138" t="n"/>
    </row>
    <row r="36" ht="18" customHeight="1" s="102">
      <c r="A36" s="137">
        <f>IF($B36="","","HRK-"&amp;TEXT(ROW()-BaslangicSatir,"000000"))</f>
        <v/>
      </c>
      <c r="B36" s="138" t="n"/>
      <c r="C36" s="138" t="n"/>
      <c r="D36" s="138" t="n"/>
      <c r="E36" s="138" t="n"/>
      <c r="F36" s="138" t="n"/>
      <c r="G36" s="138" t="n"/>
    </row>
    <row r="37" ht="18" customHeight="1" s="102">
      <c r="A37" s="137">
        <f>IF($B37="","","HRK-"&amp;TEXT(ROW()-BaslangicSatir,"000000"))</f>
        <v/>
      </c>
      <c r="B37" s="138" t="n"/>
      <c r="C37" s="138" t="n"/>
      <c r="D37" s="138" t="n"/>
      <c r="E37" s="138" t="n"/>
      <c r="F37" s="138" t="n"/>
      <c r="G37" s="138" t="n"/>
    </row>
    <row r="38" ht="18" customHeight="1" s="102">
      <c r="A38" s="137">
        <f>IF($B38="","","HRK-"&amp;TEXT(ROW()-BaslangicSatir,"000000"))</f>
        <v/>
      </c>
      <c r="B38" s="138" t="n"/>
      <c r="C38" s="138" t="n"/>
      <c r="D38" s="138" t="n"/>
      <c r="E38" s="138" t="n"/>
      <c r="F38" s="138" t="n"/>
      <c r="G38" s="138" t="n"/>
    </row>
    <row r="39" ht="18" customHeight="1" s="102">
      <c r="A39" s="137">
        <f>IF($B39="","","HRK-"&amp;TEXT(ROW()-BaslangicSatir,"000000"))</f>
        <v/>
      </c>
      <c r="B39" s="138" t="n"/>
      <c r="C39" s="138" t="n"/>
      <c r="D39" s="138" t="n"/>
      <c r="E39" s="138" t="n"/>
      <c r="F39" s="138" t="n"/>
      <c r="G39" s="138" t="n"/>
    </row>
    <row r="40" ht="18" customHeight="1" s="102">
      <c r="A40" s="137">
        <f>IF($B40="","","HRK-"&amp;TEXT(ROW()-BaslangicSatir,"000000"))</f>
        <v/>
      </c>
      <c r="B40" s="138" t="n"/>
      <c r="C40" s="138" t="n"/>
      <c r="D40" s="138" t="n"/>
      <c r="E40" s="138" t="n"/>
      <c r="F40" s="138" t="n"/>
      <c r="G40" s="138" t="n"/>
    </row>
    <row r="41" ht="18" customHeight="1" s="102">
      <c r="A41" s="137">
        <f>IF($B41="","","HRK-"&amp;TEXT(ROW()-BaslangicSatir,"000000"))</f>
        <v/>
      </c>
      <c r="B41" s="138" t="n"/>
      <c r="C41" s="138" t="n"/>
      <c r="D41" s="138" t="n"/>
      <c r="E41" s="138" t="n"/>
      <c r="F41" s="138" t="n"/>
      <c r="G41" s="138" t="n"/>
    </row>
    <row r="42" ht="18" customHeight="1" s="102">
      <c r="A42" s="137">
        <f>IF($B42="","","HRK-"&amp;TEXT(ROW()-BaslangicSatir,"000000"))</f>
        <v/>
      </c>
      <c r="B42" s="138" t="n"/>
      <c r="C42" s="138" t="n"/>
      <c r="D42" s="138" t="n"/>
      <c r="E42" s="138" t="n"/>
      <c r="F42" s="138" t="n"/>
      <c r="G42" s="138" t="n"/>
    </row>
    <row r="43" ht="18" customHeight="1" s="102">
      <c r="A43" s="137">
        <f>IF($B43="","","HRK-"&amp;TEXT(ROW()-BaslangicSatir,"000000"))</f>
        <v/>
      </c>
      <c r="B43" s="138" t="n"/>
      <c r="C43" s="138" t="n"/>
      <c r="D43" s="138" t="n"/>
      <c r="E43" s="138" t="n"/>
      <c r="F43" s="138" t="n"/>
      <c r="G43" s="138" t="n"/>
    </row>
    <row r="44" ht="18" customHeight="1" s="102">
      <c r="A44" s="137">
        <f>IF($B44="","","HRK-"&amp;TEXT(ROW()-BaslangicSatir,"000000"))</f>
        <v/>
      </c>
      <c r="B44" s="138" t="n"/>
      <c r="C44" s="138" t="n"/>
      <c r="D44" s="138" t="n"/>
      <c r="E44" s="138" t="n"/>
      <c r="F44" s="138" t="n"/>
      <c r="G44" s="138" t="n"/>
    </row>
    <row r="45" ht="18" customHeight="1" s="102">
      <c r="A45" s="137">
        <f>IF($B45="","","HRK-"&amp;TEXT(ROW()-BaslangicSatir,"000000"))</f>
        <v/>
      </c>
      <c r="B45" s="138" t="n"/>
      <c r="C45" s="138" t="n"/>
      <c r="D45" s="138" t="n"/>
      <c r="E45" s="138" t="n"/>
      <c r="F45" s="138" t="n"/>
      <c r="G45" s="138" t="n"/>
    </row>
    <row r="46" ht="18" customHeight="1" s="102">
      <c r="A46" s="137">
        <f>IF($B46="","","HRK-"&amp;TEXT(ROW()-BaslangicSatir,"000000"))</f>
        <v/>
      </c>
      <c r="B46" s="138" t="n"/>
      <c r="C46" s="138" t="n"/>
      <c r="D46" s="138" t="n"/>
      <c r="E46" s="138" t="n"/>
      <c r="F46" s="138" t="n"/>
      <c r="G46" s="138" t="n"/>
    </row>
    <row r="47" ht="18" customHeight="1" s="102">
      <c r="A47" s="137">
        <f>IF($B47="","","HRK-"&amp;TEXT(ROW()-BaslangicSatir,"000000"))</f>
        <v/>
      </c>
      <c r="B47" s="138" t="n"/>
      <c r="C47" s="138" t="n"/>
      <c r="D47" s="138" t="n"/>
      <c r="E47" s="138" t="n"/>
      <c r="F47" s="138" t="n"/>
      <c r="G47" s="138" t="n"/>
    </row>
    <row r="48" ht="18" customHeight="1" s="102">
      <c r="A48" s="137">
        <f>IF($B48="","","HRK-"&amp;TEXT(ROW()-BaslangicSatir,"000000"))</f>
        <v/>
      </c>
      <c r="B48" s="138" t="n"/>
      <c r="C48" s="138" t="n"/>
      <c r="D48" s="138" t="n"/>
      <c r="E48" s="138" t="n"/>
      <c r="F48" s="138" t="n"/>
      <c r="G48" s="138" t="n"/>
    </row>
    <row r="49" ht="18" customHeight="1" s="102">
      <c r="A49" s="137">
        <f>IF($B49="","","HRK-"&amp;TEXT(ROW()-BaslangicSatir,"000000"))</f>
        <v/>
      </c>
      <c r="B49" s="138" t="n"/>
      <c r="C49" s="138" t="n"/>
      <c r="D49" s="138" t="n"/>
      <c r="E49" s="138" t="n"/>
      <c r="F49" s="138" t="n"/>
      <c r="G49" s="138" t="n"/>
    </row>
    <row r="50" ht="18" customHeight="1" s="102">
      <c r="A50" s="137">
        <f>IF($B50="","","HRK-"&amp;TEXT(ROW()-BaslangicSatir,"000000"))</f>
        <v/>
      </c>
      <c r="B50" s="138" t="n"/>
      <c r="C50" s="138" t="n"/>
      <c r="D50" s="138" t="n"/>
      <c r="E50" s="138" t="n"/>
      <c r="F50" s="138" t="n"/>
      <c r="G50" s="138" t="n"/>
    </row>
    <row r="51" ht="18" customHeight="1" s="102">
      <c r="A51" s="137">
        <f>IF($B51="","","HRK-"&amp;TEXT(ROW()-BaslangicSatir,"000000"))</f>
        <v/>
      </c>
      <c r="B51" s="138" t="n"/>
      <c r="C51" s="138" t="n"/>
      <c r="D51" s="138" t="n"/>
      <c r="E51" s="138" t="n"/>
      <c r="F51" s="138" t="n"/>
      <c r="G51" s="138" t="n"/>
    </row>
    <row r="52" ht="18" customHeight="1" s="102">
      <c r="A52" s="137">
        <f>IF($B52="","","HRK-"&amp;TEXT(ROW()-BaslangicSatir,"000000"))</f>
        <v/>
      </c>
      <c r="B52" s="138" t="n"/>
      <c r="C52" s="138" t="n"/>
      <c r="D52" s="138" t="n"/>
      <c r="E52" s="138" t="n"/>
      <c r="F52" s="138" t="n"/>
      <c r="G52" s="138" t="n"/>
    </row>
    <row r="53" ht="18" customHeight="1" s="102">
      <c r="A53" s="137">
        <f>IF($B53="","","HRK-"&amp;TEXT(ROW()-BaslangicSatir,"000000"))</f>
        <v/>
      </c>
      <c r="B53" s="138" t="n"/>
      <c r="C53" s="138" t="n"/>
      <c r="D53" s="138" t="n"/>
      <c r="E53" s="138" t="n"/>
      <c r="F53" s="138" t="n"/>
      <c r="G53" s="138" t="n"/>
    </row>
    <row r="54" ht="18" customHeight="1" s="102">
      <c r="A54" s="137">
        <f>IF($B54="","","HRK-"&amp;TEXT(ROW()-BaslangicSatir,"000000"))</f>
        <v/>
      </c>
      <c r="B54" s="138" t="n"/>
      <c r="C54" s="138" t="n"/>
      <c r="D54" s="138" t="n"/>
      <c r="E54" s="138" t="n"/>
      <c r="F54" s="138" t="n"/>
      <c r="G54" s="138" t="n"/>
    </row>
    <row r="55" ht="18" customHeight="1" s="102">
      <c r="A55" s="137">
        <f>IF($B55="","","HRK-"&amp;TEXT(ROW()-BaslangicSatir,"000000"))</f>
        <v/>
      </c>
      <c r="B55" s="138" t="n"/>
      <c r="C55" s="138" t="n"/>
      <c r="D55" s="138" t="n"/>
      <c r="E55" s="138" t="n"/>
      <c r="F55" s="138" t="n"/>
      <c r="G55" s="138" t="n"/>
    </row>
    <row r="56" ht="18" customHeight="1" s="102">
      <c r="A56" s="137">
        <f>IF($B56="","","HRK-"&amp;TEXT(ROW()-BaslangicSatir,"000000"))</f>
        <v/>
      </c>
      <c r="B56" s="138" t="n"/>
      <c r="C56" s="138" t="n"/>
      <c r="D56" s="138" t="n"/>
      <c r="E56" s="138" t="n"/>
      <c r="F56" s="138" t="n"/>
      <c r="G56" s="138" t="n"/>
    </row>
    <row r="57" ht="18" customHeight="1" s="102">
      <c r="A57" s="137">
        <f>IF($B57="","","HRK-"&amp;TEXT(ROW()-BaslangicSatir,"000000"))</f>
        <v/>
      </c>
      <c r="B57" s="138" t="n"/>
      <c r="C57" s="138" t="n"/>
      <c r="D57" s="138" t="n"/>
      <c r="E57" s="138" t="n"/>
      <c r="F57" s="138" t="n"/>
      <c r="G57" s="138" t="n"/>
    </row>
    <row r="58" ht="18" customHeight="1" s="102">
      <c r="A58" s="137">
        <f>IF($B58="","","HRK-"&amp;TEXT(ROW()-BaslangicSatir,"000000"))</f>
        <v/>
      </c>
      <c r="B58" s="138" t="n"/>
      <c r="C58" s="138" t="n"/>
      <c r="D58" s="138" t="n"/>
      <c r="E58" s="138" t="n"/>
      <c r="F58" s="138" t="n"/>
      <c r="G58" s="138" t="n"/>
    </row>
    <row r="59" ht="18" customHeight="1" s="102">
      <c r="A59" s="137">
        <f>IF($B59="","","HRK-"&amp;TEXT(ROW()-BaslangicSatir,"000000"))</f>
        <v/>
      </c>
      <c r="B59" s="138" t="n"/>
      <c r="C59" s="138" t="n"/>
      <c r="D59" s="138" t="n"/>
      <c r="E59" s="138" t="n"/>
      <c r="F59" s="138" t="n"/>
      <c r="G59" s="138" t="n"/>
    </row>
    <row r="60" ht="18" customHeight="1" s="102">
      <c r="A60" s="137">
        <f>IF($B60="","","HRK-"&amp;TEXT(ROW()-BaslangicSatir,"000000"))</f>
        <v/>
      </c>
      <c r="B60" s="138" t="n"/>
      <c r="C60" s="138" t="n"/>
      <c r="D60" s="138" t="n"/>
      <c r="E60" s="138" t="n"/>
      <c r="F60" s="138" t="n"/>
      <c r="G60" s="138" t="n"/>
    </row>
    <row r="61" ht="18" customHeight="1" s="102">
      <c r="A61" s="137">
        <f>IF($B61="","","HRK-"&amp;TEXT(ROW()-BaslangicSatir,"000000"))</f>
        <v/>
      </c>
      <c r="B61" s="138" t="n"/>
      <c r="C61" s="138" t="n"/>
      <c r="D61" s="138" t="n"/>
      <c r="E61" s="138" t="n"/>
      <c r="F61" s="138" t="n"/>
      <c r="G61" s="138" t="n"/>
    </row>
    <row r="62" ht="18" customHeight="1" s="102">
      <c r="A62" s="137">
        <f>IF($B62="","","HRK-"&amp;TEXT(ROW()-BaslangicSatir,"000000"))</f>
        <v/>
      </c>
      <c r="B62" s="138" t="n"/>
      <c r="C62" s="138" t="n"/>
      <c r="D62" s="138" t="n"/>
      <c r="E62" s="138" t="n"/>
      <c r="F62" s="138" t="n"/>
      <c r="G62" s="138" t="n"/>
    </row>
    <row r="63" ht="18" customHeight="1" s="102">
      <c r="A63" s="137">
        <f>IF($B63="","","HRK-"&amp;TEXT(ROW()-BaslangicSatir,"000000"))</f>
        <v/>
      </c>
      <c r="B63" s="138" t="n"/>
      <c r="C63" s="138" t="n"/>
      <c r="D63" s="138" t="n"/>
      <c r="E63" s="138" t="n"/>
      <c r="F63" s="138" t="n"/>
      <c r="G63" s="138" t="n"/>
    </row>
    <row r="64" ht="18" customHeight="1" s="102">
      <c r="A64" s="137">
        <f>IF($B64="","","HRK-"&amp;TEXT(ROW()-BaslangicSatir,"000000"))</f>
        <v/>
      </c>
      <c r="B64" s="138" t="n"/>
      <c r="C64" s="138" t="n"/>
      <c r="D64" s="138" t="n"/>
      <c r="E64" s="138" t="n"/>
      <c r="F64" s="138" t="n"/>
      <c r="G64" s="138" t="n"/>
    </row>
    <row r="65" ht="18" customHeight="1" s="102">
      <c r="A65" s="137">
        <f>IF($B65="","","HRK-"&amp;TEXT(ROW()-BaslangicSatir,"000000"))</f>
        <v/>
      </c>
      <c r="B65" s="138" t="n"/>
      <c r="C65" s="138" t="n"/>
      <c r="D65" s="138" t="n"/>
      <c r="E65" s="138" t="n"/>
      <c r="F65" s="138" t="n"/>
      <c r="G65" s="138" t="n"/>
    </row>
    <row r="66" ht="18" customHeight="1" s="102">
      <c r="A66" s="137">
        <f>IF($B66="","","HRK-"&amp;TEXT(ROW()-BaslangicSatir,"000000"))</f>
        <v/>
      </c>
      <c r="B66" s="138" t="n"/>
      <c r="C66" s="138" t="n"/>
      <c r="D66" s="138" t="n"/>
      <c r="E66" s="138" t="n"/>
      <c r="F66" s="138" t="n"/>
      <c r="G66" s="138" t="n"/>
    </row>
    <row r="67" ht="18" customHeight="1" s="102">
      <c r="A67" s="137">
        <f>IF($B67="","","HRK-"&amp;TEXT(ROW()-BaslangicSatir,"000000"))</f>
        <v/>
      </c>
      <c r="B67" s="138" t="n"/>
      <c r="C67" s="138" t="n"/>
      <c r="D67" s="138" t="n"/>
      <c r="E67" s="138" t="n"/>
      <c r="F67" s="138" t="n"/>
      <c r="G67" s="138" t="n"/>
    </row>
    <row r="68" ht="18" customHeight="1" s="102">
      <c r="A68" s="137">
        <f>IF($B68="","","HRK-"&amp;TEXT(ROW()-BaslangicSatir,"000000"))</f>
        <v/>
      </c>
      <c r="B68" s="138" t="n"/>
      <c r="C68" s="138" t="n"/>
      <c r="D68" s="138" t="n"/>
      <c r="E68" s="138" t="n"/>
      <c r="F68" s="138" t="n"/>
      <c r="G68" s="138" t="n"/>
    </row>
    <row r="69" ht="18" customHeight="1" s="102">
      <c r="A69" s="137">
        <f>IF($B69="","","HRK-"&amp;TEXT(ROW()-BaslangicSatir,"000000"))</f>
        <v/>
      </c>
      <c r="B69" s="138" t="n"/>
      <c r="C69" s="138" t="n"/>
      <c r="D69" s="138" t="n"/>
      <c r="E69" s="138" t="n"/>
      <c r="F69" s="138" t="n"/>
      <c r="G69" s="138" t="n"/>
    </row>
    <row r="70" ht="18" customHeight="1" s="102">
      <c r="A70" s="137">
        <f>IF($B70="","","HRK-"&amp;TEXT(ROW()-BaslangicSatir,"000000"))</f>
        <v/>
      </c>
      <c r="B70" s="138" t="n"/>
      <c r="C70" s="138" t="n"/>
      <c r="D70" s="138" t="n"/>
      <c r="E70" s="138" t="n"/>
      <c r="F70" s="138" t="n"/>
      <c r="G70" s="138" t="n"/>
    </row>
    <row r="71" ht="18" customHeight="1" s="102">
      <c r="A71" s="137">
        <f>IF($B71="","","HRK-"&amp;TEXT(ROW()-BaslangicSatir,"000000"))</f>
        <v/>
      </c>
      <c r="B71" s="138" t="n"/>
      <c r="C71" s="138" t="n"/>
      <c r="D71" s="138" t="n"/>
      <c r="E71" s="138" t="n"/>
      <c r="F71" s="138" t="n"/>
      <c r="G71" s="138" t="n"/>
    </row>
    <row r="72" ht="18" customHeight="1" s="102">
      <c r="A72" s="137">
        <f>IF($B72="","","HRK-"&amp;TEXT(ROW()-BaslangicSatir,"000000"))</f>
        <v/>
      </c>
      <c r="B72" s="138" t="n"/>
      <c r="C72" s="138" t="n"/>
      <c r="D72" s="138" t="n"/>
      <c r="E72" s="138" t="n"/>
      <c r="F72" s="138" t="n"/>
      <c r="G72" s="138" t="n"/>
    </row>
    <row r="73" ht="18" customHeight="1" s="102">
      <c r="A73" s="137">
        <f>IF($B73="","","HRK-"&amp;TEXT(ROW()-BaslangicSatir,"000000"))</f>
        <v/>
      </c>
      <c r="B73" s="138" t="n"/>
      <c r="C73" s="138" t="n"/>
      <c r="D73" s="138" t="n"/>
      <c r="E73" s="138" t="n"/>
      <c r="F73" s="138" t="n"/>
      <c r="G73" s="138" t="n"/>
    </row>
    <row r="74" ht="18" customHeight="1" s="102">
      <c r="A74" s="137">
        <f>IF($B74="","","HRK-"&amp;TEXT(ROW()-BaslangicSatir,"000000"))</f>
        <v/>
      </c>
      <c r="B74" s="138" t="n"/>
      <c r="C74" s="138" t="n"/>
      <c r="D74" s="138" t="n"/>
      <c r="E74" s="138" t="n"/>
      <c r="F74" s="138" t="n"/>
      <c r="G74" s="138" t="n"/>
    </row>
    <row r="75" ht="18" customHeight="1" s="102">
      <c r="A75" s="137">
        <f>IF($B75="","","HRK-"&amp;TEXT(ROW()-BaslangicSatir,"000000"))</f>
        <v/>
      </c>
      <c r="B75" s="138" t="n"/>
      <c r="C75" s="138" t="n"/>
      <c r="D75" s="138" t="n"/>
      <c r="E75" s="138" t="n"/>
      <c r="F75" s="138" t="n"/>
      <c r="G75" s="138" t="n"/>
    </row>
    <row r="76" ht="18" customHeight="1" s="102">
      <c r="A76" s="137">
        <f>IF($B76="","","HRK-"&amp;TEXT(ROW()-BaslangicSatir,"000000"))</f>
        <v/>
      </c>
      <c r="B76" s="138" t="n"/>
      <c r="C76" s="138" t="n"/>
      <c r="D76" s="138" t="n"/>
      <c r="E76" s="138" t="n"/>
      <c r="F76" s="138" t="n"/>
      <c r="G76" s="138" t="n"/>
    </row>
    <row r="77" ht="18" customHeight="1" s="102">
      <c r="A77" s="137">
        <f>IF($B77="","","HRK-"&amp;TEXT(ROW()-BaslangicSatir,"000000"))</f>
        <v/>
      </c>
      <c r="B77" s="138" t="n"/>
      <c r="C77" s="138" t="n"/>
      <c r="D77" s="138" t="n"/>
      <c r="E77" s="138" t="n"/>
      <c r="F77" s="138" t="n"/>
      <c r="G77" s="138" t="n"/>
    </row>
    <row r="78" ht="18" customHeight="1" s="102">
      <c r="A78" s="137">
        <f>IF($B78="","","HRK-"&amp;TEXT(ROW()-BaslangicSatir,"000000"))</f>
        <v/>
      </c>
      <c r="B78" s="138" t="n"/>
      <c r="C78" s="138" t="n"/>
      <c r="D78" s="138" t="n"/>
      <c r="E78" s="138" t="n"/>
      <c r="F78" s="138" t="n"/>
      <c r="G78" s="138" t="n"/>
    </row>
    <row r="79" ht="18" customHeight="1" s="102">
      <c r="A79" s="137">
        <f>IF($B79="","","HRK-"&amp;TEXT(ROW()-BaslangicSatir,"000000"))</f>
        <v/>
      </c>
      <c r="B79" s="138" t="n"/>
      <c r="C79" s="138" t="n"/>
      <c r="D79" s="138" t="n"/>
      <c r="E79" s="138" t="n"/>
      <c r="F79" s="138" t="n"/>
      <c r="G79" s="138" t="n"/>
    </row>
    <row r="80" ht="18" customHeight="1" s="102">
      <c r="A80" s="137">
        <f>IF($B80="","","HRK-"&amp;TEXT(ROW()-BaslangicSatir,"000000"))</f>
        <v/>
      </c>
      <c r="B80" s="138" t="n"/>
      <c r="C80" s="138" t="n"/>
      <c r="D80" s="138" t="n"/>
      <c r="E80" s="138" t="n"/>
      <c r="F80" s="138" t="n"/>
      <c r="G80" s="138" t="n"/>
    </row>
    <row r="81" ht="18" customHeight="1" s="102">
      <c r="A81" s="137">
        <f>IF($B81="","","HRK-"&amp;TEXT(ROW()-BaslangicSatir,"000000"))</f>
        <v/>
      </c>
      <c r="B81" s="138" t="n"/>
      <c r="C81" s="138" t="n"/>
      <c r="D81" s="138" t="n"/>
      <c r="E81" s="138" t="n"/>
      <c r="F81" s="138" t="n"/>
      <c r="G81" s="138" t="n"/>
    </row>
    <row r="82" ht="18" customHeight="1" s="102">
      <c r="A82" s="137">
        <f>IF($B82="","","HRK-"&amp;TEXT(ROW()-BaslangicSatir,"000000"))</f>
        <v/>
      </c>
      <c r="B82" s="138" t="n"/>
      <c r="C82" s="138" t="n"/>
      <c r="D82" s="138" t="n"/>
      <c r="E82" s="138" t="n"/>
      <c r="F82" s="138" t="n"/>
      <c r="G82" s="138" t="n"/>
    </row>
    <row r="83" ht="18" customHeight="1" s="102">
      <c r="A83" s="137">
        <f>IF($B83="","","HRK-"&amp;TEXT(ROW()-BaslangicSatir,"000000"))</f>
        <v/>
      </c>
      <c r="B83" s="138" t="n"/>
      <c r="C83" s="138" t="n"/>
      <c r="D83" s="138" t="n"/>
      <c r="E83" s="138" t="n"/>
      <c r="F83" s="138" t="n"/>
      <c r="G83" s="138" t="n"/>
    </row>
    <row r="84" ht="18" customHeight="1" s="102">
      <c r="A84" s="137">
        <f>IF($B84="","","HRK-"&amp;TEXT(ROW()-BaslangicSatir,"000000"))</f>
        <v/>
      </c>
      <c r="B84" s="138" t="n"/>
      <c r="C84" s="138" t="n"/>
      <c r="D84" s="138" t="n"/>
      <c r="E84" s="138" t="n"/>
      <c r="F84" s="138" t="n"/>
      <c r="G84" s="138" t="n"/>
    </row>
    <row r="85" ht="18" customHeight="1" s="102">
      <c r="A85" s="137">
        <f>IF($B85="","","HRK-"&amp;TEXT(ROW()-BaslangicSatir,"000000"))</f>
        <v/>
      </c>
      <c r="B85" s="138" t="n"/>
      <c r="C85" s="138" t="n"/>
      <c r="D85" s="138" t="n"/>
      <c r="E85" s="138" t="n"/>
      <c r="F85" s="138" t="n"/>
      <c r="G85" s="138" t="n"/>
    </row>
    <row r="86" ht="18" customHeight="1" s="102">
      <c r="A86" s="137">
        <f>IF($B86="","","HRK-"&amp;TEXT(ROW()-BaslangicSatir,"000000"))</f>
        <v/>
      </c>
      <c r="B86" s="138" t="n"/>
      <c r="C86" s="138" t="n"/>
      <c r="D86" s="138" t="n"/>
      <c r="E86" s="138" t="n"/>
      <c r="F86" s="138" t="n"/>
      <c r="G86" s="138" t="n"/>
    </row>
    <row r="87" ht="18" customHeight="1" s="102">
      <c r="A87" s="137">
        <f>IF($B87="","","HRK-"&amp;TEXT(ROW()-BaslangicSatir,"000000"))</f>
        <v/>
      </c>
      <c r="B87" s="138" t="n"/>
      <c r="C87" s="138" t="n"/>
      <c r="D87" s="138" t="n"/>
      <c r="E87" s="138" t="n"/>
      <c r="F87" s="138" t="n"/>
      <c r="G87" s="138" t="n"/>
    </row>
    <row r="88" ht="18" customHeight="1" s="102">
      <c r="A88" s="137">
        <f>IF($B88="","","HRK-"&amp;TEXT(ROW()-BaslangicSatir,"000000"))</f>
        <v/>
      </c>
      <c r="B88" s="138" t="n"/>
      <c r="C88" s="138" t="n"/>
      <c r="D88" s="138" t="n"/>
      <c r="E88" s="138" t="n"/>
      <c r="F88" s="138" t="n"/>
      <c r="G88" s="138" t="n"/>
    </row>
    <row r="89" ht="18" customHeight="1" s="102">
      <c r="A89" s="137">
        <f>IF($B89="","","HRK-"&amp;TEXT(ROW()-BaslangicSatir,"000000"))</f>
        <v/>
      </c>
      <c r="B89" s="138" t="n"/>
      <c r="C89" s="138" t="n"/>
      <c r="D89" s="138" t="n"/>
      <c r="E89" s="138" t="n"/>
      <c r="F89" s="138" t="n"/>
      <c r="G89" s="138" t="n"/>
    </row>
    <row r="90" ht="18" customHeight="1" s="102">
      <c r="A90" s="137">
        <f>IF($B90="","","HRK-"&amp;TEXT(ROW()-BaslangicSatir,"000000"))</f>
        <v/>
      </c>
      <c r="B90" s="138" t="n"/>
      <c r="C90" s="138" t="n"/>
      <c r="D90" s="138" t="n"/>
      <c r="E90" s="138" t="n"/>
      <c r="F90" s="138" t="n"/>
      <c r="G90" s="138" t="n"/>
    </row>
    <row r="91" ht="18" customHeight="1" s="102">
      <c r="A91" s="137">
        <f>IF($B91="","","HRK-"&amp;TEXT(ROW()-BaslangicSatir,"000000"))</f>
        <v/>
      </c>
      <c r="B91" s="138" t="n"/>
      <c r="C91" s="138" t="n"/>
      <c r="D91" s="138" t="n"/>
      <c r="E91" s="138" t="n"/>
      <c r="F91" s="138" t="n"/>
      <c r="G91" s="138" t="n"/>
    </row>
    <row r="92" ht="18" customHeight="1" s="102">
      <c r="A92" s="137">
        <f>IF($B92="","","HRK-"&amp;TEXT(ROW()-BaslangicSatir,"000000"))</f>
        <v/>
      </c>
      <c r="B92" s="138" t="n"/>
      <c r="C92" s="138" t="n"/>
      <c r="D92" s="138" t="n"/>
      <c r="E92" s="138" t="n"/>
      <c r="F92" s="138" t="n"/>
      <c r="G92" s="138" t="n"/>
    </row>
    <row r="93" ht="18" customHeight="1" s="102">
      <c r="A93" s="137">
        <f>IF($B93="","","HRK-"&amp;TEXT(ROW()-BaslangicSatir,"000000"))</f>
        <v/>
      </c>
      <c r="B93" s="138" t="n"/>
      <c r="C93" s="138" t="n"/>
      <c r="D93" s="138" t="n"/>
      <c r="E93" s="138" t="n"/>
      <c r="F93" s="138" t="n"/>
      <c r="G93" s="138" t="n"/>
    </row>
    <row r="94" ht="18" customHeight="1" s="102">
      <c r="A94" s="137">
        <f>IF($B94="","","HRK-"&amp;TEXT(ROW()-BaslangicSatir,"000000"))</f>
        <v/>
      </c>
      <c r="B94" s="138" t="n"/>
      <c r="C94" s="138" t="n"/>
      <c r="D94" s="138" t="n"/>
      <c r="E94" s="138" t="n"/>
      <c r="F94" s="138" t="n"/>
      <c r="G94" s="138" t="n"/>
    </row>
    <row r="95" ht="18" customHeight="1" s="102">
      <c r="A95" s="137">
        <f>IF($B95="","","HRK-"&amp;TEXT(ROW()-BaslangicSatir,"000000"))</f>
        <v/>
      </c>
      <c r="B95" s="138" t="n"/>
      <c r="C95" s="138" t="n"/>
      <c r="D95" s="138" t="n"/>
      <c r="E95" s="138" t="n"/>
      <c r="F95" s="138" t="n"/>
      <c r="G95" s="138" t="n"/>
    </row>
    <row r="96" ht="18" customHeight="1" s="102">
      <c r="A96" s="137">
        <f>IF($B96="","","HRK-"&amp;TEXT(ROW()-BaslangicSatir,"000000"))</f>
        <v/>
      </c>
      <c r="B96" s="138" t="n"/>
      <c r="C96" s="138" t="n"/>
      <c r="D96" s="138" t="n"/>
      <c r="E96" s="138" t="n"/>
      <c r="F96" s="138" t="n"/>
      <c r="G96" s="138" t="n"/>
    </row>
    <row r="97" ht="18" customHeight="1" s="102">
      <c r="A97" s="137">
        <f>IF($B97="","","HRK-"&amp;TEXT(ROW()-BaslangicSatir,"000000"))</f>
        <v/>
      </c>
      <c r="B97" s="138" t="n"/>
      <c r="C97" s="138" t="n"/>
      <c r="D97" s="138" t="n"/>
      <c r="E97" s="138" t="n"/>
      <c r="F97" s="138" t="n"/>
      <c r="G97" s="138" t="n"/>
    </row>
    <row r="98" ht="18" customHeight="1" s="102">
      <c r="A98" s="137">
        <f>IF($B98="","","HRK-"&amp;TEXT(ROW()-BaslangicSatir,"000000"))</f>
        <v/>
      </c>
      <c r="B98" s="138" t="n"/>
      <c r="C98" s="138" t="n"/>
      <c r="D98" s="138" t="n"/>
      <c r="E98" s="138" t="n"/>
      <c r="F98" s="138" t="n"/>
      <c r="G98" s="138" t="n"/>
    </row>
    <row r="99" ht="18" customHeight="1" s="102">
      <c r="A99" s="137">
        <f>IF($B99="","","HRK-"&amp;TEXT(ROW()-BaslangicSatir,"000000"))</f>
        <v/>
      </c>
      <c r="B99" s="138" t="n"/>
      <c r="C99" s="138" t="n"/>
      <c r="D99" s="138" t="n"/>
      <c r="E99" s="138" t="n"/>
      <c r="F99" s="138" t="n"/>
      <c r="G99" s="138" t="n"/>
    </row>
    <row r="100" ht="18" customHeight="1" s="102">
      <c r="A100" s="137">
        <f>IF($B100="","","HRK-"&amp;TEXT(ROW()-BaslangicSatir,"000000"))</f>
        <v/>
      </c>
      <c r="B100" s="138" t="n"/>
      <c r="C100" s="138" t="n"/>
      <c r="D100" s="138" t="n"/>
      <c r="E100" s="138" t="n"/>
      <c r="F100" s="138" t="n"/>
      <c r="G100" s="138" t="n"/>
    </row>
    <row r="101" ht="18" customHeight="1" s="102">
      <c r="A101" s="137">
        <f>IF($B101="","","HRK-"&amp;TEXT(ROW()-BaslangicSatir,"000000"))</f>
        <v/>
      </c>
      <c r="B101" s="138" t="n"/>
      <c r="C101" s="138" t="n"/>
      <c r="D101" s="138" t="n"/>
      <c r="E101" s="138" t="n"/>
      <c r="F101" s="138" t="n"/>
      <c r="G101" s="138" t="n"/>
    </row>
    <row r="102" ht="18" customHeight="1" s="102">
      <c r="A102" s="137">
        <f>IF($B102="","","HRK-"&amp;TEXT(ROW()-BaslangicSatir,"000000"))</f>
        <v/>
      </c>
      <c r="B102" s="138" t="n"/>
      <c r="C102" s="138" t="n"/>
      <c r="D102" s="138" t="n"/>
      <c r="E102" s="138" t="n"/>
      <c r="F102" s="138" t="n"/>
      <c r="G102" s="138" t="n"/>
    </row>
    <row r="103" ht="18" customHeight="1" s="102">
      <c r="A103" s="137">
        <f>IF($B103="","","HRK-"&amp;TEXT(ROW()-BaslangicSatir,"000000"))</f>
        <v/>
      </c>
      <c r="B103" s="138" t="n"/>
      <c r="C103" s="138" t="n"/>
      <c r="D103" s="138" t="n"/>
      <c r="E103" s="138" t="n"/>
      <c r="F103" s="138" t="n"/>
      <c r="G103" s="138" t="n"/>
    </row>
    <row r="104" ht="18" customHeight="1" s="102">
      <c r="A104" s="137">
        <f>IF($B104="","","HRK-"&amp;TEXT(ROW()-BaslangicSatir,"000000"))</f>
        <v/>
      </c>
      <c r="B104" s="138" t="n"/>
      <c r="C104" s="138" t="n"/>
      <c r="D104" s="138" t="n"/>
      <c r="E104" s="138" t="n"/>
      <c r="F104" s="138" t="n"/>
      <c r="G104" s="138" t="n"/>
    </row>
    <row r="105" ht="18" customHeight="1" s="102">
      <c r="A105" s="137">
        <f>IF($B105="","","HRK-"&amp;TEXT(ROW()-BaslangicSatir,"000000"))</f>
        <v/>
      </c>
      <c r="B105" s="138" t="n"/>
      <c r="C105" s="138" t="n"/>
      <c r="D105" s="138" t="n"/>
      <c r="E105" s="138" t="n"/>
      <c r="F105" s="138" t="n"/>
      <c r="G105" s="138" t="n"/>
    </row>
    <row r="106" ht="18" customHeight="1" s="102">
      <c r="A106" s="137">
        <f>IF($B106="","","HRK-"&amp;TEXT(ROW()-BaslangicSatir,"000000"))</f>
        <v/>
      </c>
      <c r="B106" s="138" t="n"/>
      <c r="C106" s="138" t="n"/>
      <c r="D106" s="138" t="n"/>
      <c r="E106" s="138" t="n"/>
      <c r="F106" s="138" t="n"/>
      <c r="G106" s="138" t="n"/>
    </row>
    <row r="107" ht="18" customHeight="1" s="102">
      <c r="A107" s="137">
        <f>IF($B107="","","HRK-"&amp;TEXT(ROW()-BaslangicSatir,"000000"))</f>
        <v/>
      </c>
      <c r="B107" s="138" t="n"/>
      <c r="C107" s="138" t="n"/>
      <c r="D107" s="138" t="n"/>
      <c r="E107" s="138" t="n"/>
      <c r="F107" s="138" t="n"/>
      <c r="G107" s="138" t="n"/>
    </row>
    <row r="108" ht="18" customHeight="1" s="102">
      <c r="A108" s="137">
        <f>IF($B108="","","HRK-"&amp;TEXT(ROW()-BaslangicSatir,"000000"))</f>
        <v/>
      </c>
      <c r="B108" s="138" t="n"/>
      <c r="C108" s="138" t="n"/>
      <c r="D108" s="138" t="n"/>
      <c r="E108" s="138" t="n"/>
      <c r="F108" s="138" t="n"/>
      <c r="G108" s="138" t="n"/>
    </row>
    <row r="109" ht="18" customHeight="1" s="102">
      <c r="A109" s="137">
        <f>IF($B109="","","HRK-"&amp;TEXT(ROW()-BaslangicSatir,"000000"))</f>
        <v/>
      </c>
      <c r="B109" s="138" t="n"/>
      <c r="C109" s="138" t="n"/>
      <c r="D109" s="138" t="n"/>
      <c r="E109" s="138" t="n"/>
      <c r="F109" s="138" t="n"/>
      <c r="G109" s="138" t="n"/>
    </row>
    <row r="110" ht="18" customHeight="1" s="102">
      <c r="A110" s="137">
        <f>IF($B110="","","HRK-"&amp;TEXT(ROW()-BaslangicSatir,"000000"))</f>
        <v/>
      </c>
      <c r="B110" s="138" t="n"/>
      <c r="C110" s="138" t="n"/>
      <c r="D110" s="138" t="n"/>
      <c r="E110" s="138" t="n"/>
      <c r="F110" s="138" t="n"/>
      <c r="G110" s="138" t="n"/>
    </row>
    <row r="111" ht="18" customHeight="1" s="102">
      <c r="A111" s="137">
        <f>IF($B111="","","HRK-"&amp;TEXT(ROW()-BaslangicSatir,"000000"))</f>
        <v/>
      </c>
      <c r="B111" s="138" t="n"/>
      <c r="C111" s="138" t="n"/>
      <c r="D111" s="138" t="n"/>
      <c r="E111" s="138" t="n"/>
      <c r="F111" s="138" t="n"/>
      <c r="G111" s="138" t="n"/>
    </row>
    <row r="112" ht="18" customHeight="1" s="102">
      <c r="A112" s="137">
        <f>IF($B112="","","HRK-"&amp;TEXT(ROW()-BaslangicSatir,"000000"))</f>
        <v/>
      </c>
      <c r="B112" s="138" t="n"/>
      <c r="C112" s="138" t="n"/>
      <c r="D112" s="138" t="n"/>
      <c r="E112" s="138" t="n"/>
      <c r="F112" s="138" t="n"/>
      <c r="G112" s="138" t="n"/>
    </row>
    <row r="113" ht="18" customHeight="1" s="102">
      <c r="A113" s="137">
        <f>IF($B113="","","HRK-"&amp;TEXT(ROW()-BaslangicSatir,"000000"))</f>
        <v/>
      </c>
      <c r="B113" s="138" t="n"/>
      <c r="C113" s="138" t="n"/>
      <c r="D113" s="138" t="n"/>
      <c r="E113" s="138" t="n"/>
      <c r="F113" s="138" t="n"/>
      <c r="G113" s="138" t="n"/>
    </row>
    <row r="114" ht="18" customHeight="1" s="102">
      <c r="A114" s="137">
        <f>IF($B114="","","HRK-"&amp;TEXT(ROW()-BaslangicSatir,"000000"))</f>
        <v/>
      </c>
      <c r="B114" s="138" t="n"/>
      <c r="C114" s="138" t="n"/>
      <c r="D114" s="138" t="n"/>
      <c r="E114" s="138" t="n"/>
      <c r="F114" s="138" t="n"/>
      <c r="G114" s="138" t="n"/>
    </row>
    <row r="115" ht="18" customHeight="1" s="102">
      <c r="A115" s="137">
        <f>IF($B115="","","HRK-"&amp;TEXT(ROW()-BaslangicSatir,"000000"))</f>
        <v/>
      </c>
      <c r="B115" s="138" t="n"/>
      <c r="C115" s="138" t="n"/>
      <c r="D115" s="138" t="n"/>
      <c r="E115" s="138" t="n"/>
      <c r="F115" s="138" t="n"/>
      <c r="G115" s="138" t="n"/>
    </row>
    <row r="116" ht="18" customHeight="1" s="102">
      <c r="A116" s="137">
        <f>IF($B116="","","HRK-"&amp;TEXT(ROW()-BaslangicSatir,"000000"))</f>
        <v/>
      </c>
      <c r="B116" s="138" t="n"/>
      <c r="C116" s="138" t="n"/>
      <c r="D116" s="138" t="n"/>
      <c r="E116" s="138" t="n"/>
      <c r="F116" s="138" t="n"/>
      <c r="G116" s="138" t="n"/>
    </row>
    <row r="117" ht="18" customHeight="1" s="102">
      <c r="A117" s="137">
        <f>IF($B117="","","HRK-"&amp;TEXT(ROW()-BaslangicSatir,"000000"))</f>
        <v/>
      </c>
      <c r="B117" s="138" t="n"/>
      <c r="C117" s="138" t="n"/>
      <c r="D117" s="138" t="n"/>
      <c r="E117" s="138" t="n"/>
      <c r="F117" s="138" t="n"/>
      <c r="G117" s="138" t="n"/>
    </row>
    <row r="118" ht="18" customHeight="1" s="102">
      <c r="A118" s="137">
        <f>IF($B118="","","HRK-"&amp;TEXT(ROW()-BaslangicSatir,"000000"))</f>
        <v/>
      </c>
      <c r="B118" s="138" t="n"/>
      <c r="C118" s="138" t="n"/>
      <c r="D118" s="138" t="n"/>
      <c r="E118" s="138" t="n"/>
      <c r="F118" s="138" t="n"/>
      <c r="G118" s="138" t="n"/>
    </row>
    <row r="119" ht="18" customHeight="1" s="102">
      <c r="A119" s="137">
        <f>IF($B119="","","HRK-"&amp;TEXT(ROW()-BaslangicSatir,"000000"))</f>
        <v/>
      </c>
      <c r="B119" s="138" t="n"/>
      <c r="C119" s="138" t="n"/>
      <c r="D119" s="138" t="n"/>
      <c r="E119" s="138" t="n"/>
      <c r="F119" s="138" t="n"/>
      <c r="G119" s="138" t="n"/>
    </row>
    <row r="120" ht="18" customHeight="1" s="102">
      <c r="A120" s="137">
        <f>IF($B120="","","HRK-"&amp;TEXT(ROW()-BaslangicSatir,"000000"))</f>
        <v/>
      </c>
      <c r="B120" s="138" t="n"/>
      <c r="C120" s="138" t="n"/>
      <c r="D120" s="138" t="n"/>
      <c r="E120" s="138" t="n"/>
      <c r="F120" s="138" t="n"/>
      <c r="G120" s="138" t="n"/>
    </row>
    <row r="121" ht="18" customHeight="1" s="102">
      <c r="A121" s="137">
        <f>IF($B121="","","HRK-"&amp;TEXT(ROW()-BaslangicSatir,"000000"))</f>
        <v/>
      </c>
      <c r="B121" s="138" t="n"/>
      <c r="C121" s="138" t="n"/>
      <c r="D121" s="138" t="n"/>
      <c r="E121" s="138" t="n"/>
      <c r="F121" s="138" t="n"/>
      <c r="G121" s="138" t="n"/>
    </row>
    <row r="122" ht="18" customHeight="1" s="102">
      <c r="A122" s="137">
        <f>IF($B122="","","HRK-"&amp;TEXT(ROW()-BaslangicSatir,"000000"))</f>
        <v/>
      </c>
      <c r="B122" s="138" t="n"/>
      <c r="C122" s="138" t="n"/>
      <c r="D122" s="138" t="n"/>
      <c r="E122" s="138" t="n"/>
      <c r="F122" s="138" t="n"/>
      <c r="G122" s="138" t="n"/>
    </row>
    <row r="123" ht="18" customHeight="1" s="102">
      <c r="A123" s="137">
        <f>IF($B123="","","HRK-"&amp;TEXT(ROW()-BaslangicSatir,"000000"))</f>
        <v/>
      </c>
      <c r="B123" s="138" t="n"/>
      <c r="C123" s="138" t="n"/>
      <c r="D123" s="138" t="n"/>
      <c r="E123" s="138" t="n"/>
      <c r="F123" s="138" t="n"/>
      <c r="G123" s="138" t="n"/>
    </row>
    <row r="124" ht="18" customHeight="1" s="102">
      <c r="A124" s="137">
        <f>IF($B124="","","HRK-"&amp;TEXT(ROW()-BaslangicSatir,"000000"))</f>
        <v/>
      </c>
      <c r="B124" s="138" t="n"/>
      <c r="C124" s="138" t="n"/>
      <c r="D124" s="138" t="n"/>
      <c r="E124" s="138" t="n"/>
      <c r="F124" s="138" t="n"/>
      <c r="G124" s="138" t="n"/>
    </row>
    <row r="125" ht="18" customHeight="1" s="102">
      <c r="A125" s="137">
        <f>IF($B125="","","HRK-"&amp;TEXT(ROW()-BaslangicSatir,"000000"))</f>
        <v/>
      </c>
      <c r="B125" s="138" t="n"/>
      <c r="C125" s="138" t="n"/>
      <c r="D125" s="138" t="n"/>
      <c r="E125" s="138" t="n"/>
      <c r="F125" s="138" t="n"/>
      <c r="G125" s="138" t="n"/>
    </row>
    <row r="126" ht="18" customHeight="1" s="102">
      <c r="A126" s="137">
        <f>IF($B126="","","HRK-"&amp;TEXT(ROW()-BaslangicSatir,"000000"))</f>
        <v/>
      </c>
      <c r="B126" s="138" t="n"/>
      <c r="C126" s="138" t="n"/>
      <c r="D126" s="138" t="n"/>
      <c r="E126" s="138" t="n"/>
      <c r="F126" s="138" t="n"/>
      <c r="G126" s="138" t="n"/>
    </row>
    <row r="127" ht="18" customHeight="1" s="102">
      <c r="A127" s="137">
        <f>IF($B127="","","HRK-"&amp;TEXT(ROW()-BaslangicSatir,"000000"))</f>
        <v/>
      </c>
      <c r="B127" s="138" t="n"/>
      <c r="C127" s="138" t="n"/>
      <c r="D127" s="138" t="n"/>
      <c r="E127" s="138" t="n"/>
      <c r="F127" s="138" t="n"/>
      <c r="G127" s="138" t="n"/>
    </row>
    <row r="128" ht="18" customHeight="1" s="102">
      <c r="A128" s="137">
        <f>IF($B128="","","HRK-"&amp;TEXT(ROW()-BaslangicSatir,"000000"))</f>
        <v/>
      </c>
      <c r="B128" s="138" t="n"/>
      <c r="C128" s="138" t="n"/>
      <c r="D128" s="138" t="n"/>
      <c r="E128" s="138" t="n"/>
      <c r="F128" s="138" t="n"/>
      <c r="G128" s="138" t="n"/>
    </row>
    <row r="129" ht="18" customHeight="1" s="102">
      <c r="A129" s="137">
        <f>IF($B129="","","HRK-"&amp;TEXT(ROW()-BaslangicSatir,"000000"))</f>
        <v/>
      </c>
      <c r="B129" s="138" t="n"/>
      <c r="C129" s="138" t="n"/>
      <c r="D129" s="138" t="n"/>
      <c r="E129" s="138" t="n"/>
      <c r="F129" s="138" t="n"/>
      <c r="G129" s="138" t="n"/>
    </row>
    <row r="130" ht="18" customHeight="1" s="102">
      <c r="A130" s="137">
        <f>IF($B130="","","HRK-"&amp;TEXT(ROW()-BaslangicSatir,"000000"))</f>
        <v/>
      </c>
      <c r="B130" s="138" t="n"/>
      <c r="C130" s="138" t="n"/>
      <c r="D130" s="138" t="n"/>
      <c r="E130" s="138" t="n"/>
      <c r="F130" s="138" t="n"/>
      <c r="G130" s="138" t="n"/>
    </row>
    <row r="131" ht="18" customHeight="1" s="102">
      <c r="A131" s="137">
        <f>IF($B131="","","HRK-"&amp;TEXT(ROW()-BaslangicSatir,"000000"))</f>
        <v/>
      </c>
      <c r="B131" s="138" t="n"/>
      <c r="C131" s="138" t="n"/>
      <c r="D131" s="138" t="n"/>
      <c r="E131" s="138" t="n"/>
      <c r="F131" s="138" t="n"/>
      <c r="G131" s="138" t="n"/>
    </row>
    <row r="132" ht="18" customHeight="1" s="102">
      <c r="A132" s="137">
        <f>IF($B132="","","HRK-"&amp;TEXT(ROW()-BaslangicSatir,"000000"))</f>
        <v/>
      </c>
      <c r="B132" s="138" t="n"/>
      <c r="C132" s="138" t="n"/>
      <c r="D132" s="138" t="n"/>
      <c r="E132" s="138" t="n"/>
      <c r="F132" s="138" t="n"/>
      <c r="G132" s="138" t="n"/>
    </row>
    <row r="133" ht="18" customHeight="1" s="102">
      <c r="A133" s="137">
        <f>IF($B133="","","HRK-"&amp;TEXT(ROW()-BaslangicSatir,"000000"))</f>
        <v/>
      </c>
      <c r="B133" s="138" t="n"/>
      <c r="C133" s="138" t="n"/>
      <c r="D133" s="138" t="n"/>
      <c r="E133" s="138" t="n"/>
      <c r="F133" s="138" t="n"/>
      <c r="G133" s="138" t="n"/>
    </row>
    <row r="134" ht="18" customHeight="1" s="102">
      <c r="A134" s="137">
        <f>IF($B134="","","HRK-"&amp;TEXT(ROW()-BaslangicSatir,"000000"))</f>
        <v/>
      </c>
      <c r="B134" s="138" t="n"/>
      <c r="C134" s="138" t="n"/>
      <c r="D134" s="138" t="n"/>
      <c r="E134" s="138" t="n"/>
      <c r="F134" s="138" t="n"/>
      <c r="G134" s="138" t="n"/>
    </row>
    <row r="135" ht="18" customHeight="1" s="102">
      <c r="A135" s="137">
        <f>IF($B135="","","HRK-"&amp;TEXT(ROW()-BaslangicSatir,"000000"))</f>
        <v/>
      </c>
      <c r="B135" s="138" t="n"/>
      <c r="C135" s="138" t="n"/>
      <c r="D135" s="138" t="n"/>
      <c r="E135" s="138" t="n"/>
      <c r="F135" s="138" t="n"/>
      <c r="G135" s="138" t="n"/>
    </row>
    <row r="136" ht="18" customHeight="1" s="102">
      <c r="A136" s="137">
        <f>IF($B136="","","HRK-"&amp;TEXT(ROW()-BaslangicSatir,"000000"))</f>
        <v/>
      </c>
      <c r="B136" s="138" t="n"/>
      <c r="C136" s="138" t="n"/>
      <c r="D136" s="138" t="n"/>
      <c r="E136" s="138" t="n"/>
      <c r="F136" s="138" t="n"/>
      <c r="G136" s="138" t="n"/>
    </row>
    <row r="137" ht="18" customHeight="1" s="102">
      <c r="A137" s="137">
        <f>IF($B137="","","HRK-"&amp;TEXT(ROW()-BaslangicSatir,"000000"))</f>
        <v/>
      </c>
      <c r="B137" s="138" t="n"/>
      <c r="C137" s="138" t="n"/>
      <c r="D137" s="138" t="n"/>
      <c r="E137" s="138" t="n"/>
      <c r="F137" s="138" t="n"/>
      <c r="G137" s="138" t="n"/>
    </row>
    <row r="138" ht="18" customHeight="1" s="102">
      <c r="A138" s="137">
        <f>IF($B138="","","HRK-"&amp;TEXT(ROW()-BaslangicSatir,"000000"))</f>
        <v/>
      </c>
      <c r="B138" s="138" t="n"/>
      <c r="C138" s="138" t="n"/>
      <c r="D138" s="138" t="n"/>
      <c r="E138" s="138" t="n"/>
      <c r="F138" s="138" t="n"/>
      <c r="G138" s="138" t="n"/>
    </row>
    <row r="139" ht="18" customHeight="1" s="102">
      <c r="A139" s="137">
        <f>IF($B139="","","HRK-"&amp;TEXT(ROW()-BaslangicSatir,"000000"))</f>
        <v/>
      </c>
      <c r="B139" s="138" t="n"/>
      <c r="C139" s="138" t="n"/>
      <c r="D139" s="138" t="n"/>
      <c r="E139" s="138" t="n"/>
      <c r="F139" s="138" t="n"/>
      <c r="G139" s="138" t="n"/>
    </row>
    <row r="140" ht="18" customHeight="1" s="102">
      <c r="A140" s="137">
        <f>IF($B140="","","HRK-"&amp;TEXT(ROW()-BaslangicSatir,"000000"))</f>
        <v/>
      </c>
      <c r="B140" s="138" t="n"/>
      <c r="C140" s="138" t="n"/>
      <c r="D140" s="138" t="n"/>
      <c r="E140" s="138" t="n"/>
      <c r="F140" s="138" t="n"/>
      <c r="G140" s="138" t="n"/>
    </row>
    <row r="141" ht="18" customHeight="1" s="102">
      <c r="A141" s="137">
        <f>IF($B141="","","HRK-"&amp;TEXT(ROW()-BaslangicSatir,"000000"))</f>
        <v/>
      </c>
      <c r="B141" s="138" t="n"/>
      <c r="C141" s="138" t="n"/>
      <c r="D141" s="138" t="n"/>
      <c r="E141" s="138" t="n"/>
      <c r="F141" s="138" t="n"/>
      <c r="G141" s="138" t="n"/>
    </row>
    <row r="142" ht="18" customHeight="1" s="102">
      <c r="A142" s="137">
        <f>IF($B142="","","HRK-"&amp;TEXT(ROW()-BaslangicSatir,"000000"))</f>
        <v/>
      </c>
      <c r="B142" s="138" t="n"/>
      <c r="C142" s="138" t="n"/>
      <c r="D142" s="138" t="n"/>
      <c r="E142" s="138" t="n"/>
      <c r="F142" s="138" t="n"/>
      <c r="G142" s="138" t="n"/>
    </row>
    <row r="143" ht="18" customHeight="1" s="102">
      <c r="A143" s="137">
        <f>IF($B143="","","HRK-"&amp;TEXT(ROW()-BaslangicSatir,"000000"))</f>
        <v/>
      </c>
      <c r="B143" s="138" t="n"/>
      <c r="C143" s="138" t="n"/>
      <c r="D143" s="138" t="n"/>
      <c r="E143" s="138" t="n"/>
      <c r="F143" s="138" t="n"/>
      <c r="G143" s="138" t="n"/>
    </row>
    <row r="144" ht="18" customHeight="1" s="102">
      <c r="A144" s="137">
        <f>IF($B144="","","HRK-"&amp;TEXT(ROW()-BaslangicSatir,"000000"))</f>
        <v/>
      </c>
      <c r="B144" s="138" t="n"/>
      <c r="C144" s="138" t="n"/>
      <c r="D144" s="138" t="n"/>
      <c r="E144" s="138" t="n"/>
      <c r="F144" s="138" t="n"/>
      <c r="G144" s="138" t="n"/>
    </row>
    <row r="145" ht="18" customHeight="1" s="102">
      <c r="A145" s="137">
        <f>IF($B145="","","HRK-"&amp;TEXT(ROW()-BaslangicSatir,"000000"))</f>
        <v/>
      </c>
      <c r="B145" s="138" t="n"/>
      <c r="C145" s="138" t="n"/>
      <c r="D145" s="138" t="n"/>
      <c r="E145" s="138" t="n"/>
      <c r="F145" s="138" t="n"/>
      <c r="G145" s="138" t="n"/>
    </row>
    <row r="146" ht="18" customHeight="1" s="102">
      <c r="A146" s="137">
        <f>IF($B146="","","HRK-"&amp;TEXT(ROW()-BaslangicSatir,"000000"))</f>
        <v/>
      </c>
      <c r="B146" s="138" t="n"/>
      <c r="C146" s="138" t="n"/>
      <c r="D146" s="138" t="n"/>
      <c r="E146" s="138" t="n"/>
      <c r="F146" s="138" t="n"/>
      <c r="G146" s="138" t="n"/>
    </row>
    <row r="147" ht="18" customHeight="1" s="102">
      <c r="A147" s="137">
        <f>IF($B147="","","HRK-"&amp;TEXT(ROW()-BaslangicSatir,"000000"))</f>
        <v/>
      </c>
      <c r="B147" s="138" t="n"/>
      <c r="C147" s="138" t="n"/>
      <c r="D147" s="138" t="n"/>
      <c r="E147" s="138" t="n"/>
      <c r="F147" s="138" t="n"/>
      <c r="G147" s="138" t="n"/>
    </row>
    <row r="148" ht="18" customHeight="1" s="102">
      <c r="A148" s="137">
        <f>IF($B148="","","HRK-"&amp;TEXT(ROW()-BaslangicSatir,"000000"))</f>
        <v/>
      </c>
      <c r="B148" s="138" t="n"/>
      <c r="C148" s="138" t="n"/>
      <c r="D148" s="138" t="n"/>
      <c r="E148" s="138" t="n"/>
      <c r="F148" s="138" t="n"/>
      <c r="G148" s="138" t="n"/>
    </row>
    <row r="149" ht="18" customHeight="1" s="102">
      <c r="A149" s="137">
        <f>IF($B149="","","HRK-"&amp;TEXT(ROW()-BaslangicSatir,"000000"))</f>
        <v/>
      </c>
      <c r="B149" s="138" t="n"/>
      <c r="C149" s="138" t="n"/>
      <c r="D149" s="138" t="n"/>
      <c r="E149" s="138" t="n"/>
      <c r="F149" s="138" t="n"/>
      <c r="G149" s="138" t="n"/>
    </row>
    <row r="150" ht="18" customHeight="1" s="102">
      <c r="A150" s="137">
        <f>IF($B150="","","HRK-"&amp;TEXT(ROW()-BaslangicSatir,"000000"))</f>
        <v/>
      </c>
      <c r="B150" s="138" t="n"/>
      <c r="C150" s="138" t="n"/>
      <c r="D150" s="138" t="n"/>
      <c r="E150" s="138" t="n"/>
      <c r="F150" s="138" t="n"/>
      <c r="G150" s="138" t="n"/>
    </row>
    <row r="151" ht="18" customHeight="1" s="102">
      <c r="A151" s="137">
        <f>IF($B151="","","HRK-"&amp;TEXT(ROW()-BaslangicSatir,"000000"))</f>
        <v/>
      </c>
      <c r="B151" s="138" t="n"/>
      <c r="C151" s="138" t="n"/>
      <c r="D151" s="138" t="n"/>
      <c r="E151" s="138" t="n"/>
      <c r="F151" s="138" t="n"/>
      <c r="G151" s="138" t="n"/>
    </row>
    <row r="152" ht="18" customHeight="1" s="102">
      <c r="A152" s="137">
        <f>IF($B152="","","HRK-"&amp;TEXT(ROW()-BaslangicSatir,"000000"))</f>
        <v/>
      </c>
      <c r="B152" s="138" t="n"/>
      <c r="C152" s="138" t="n"/>
      <c r="D152" s="138" t="n"/>
      <c r="E152" s="138" t="n"/>
      <c r="F152" s="138" t="n"/>
      <c r="G152" s="138" t="n"/>
    </row>
    <row r="153" ht="18" customHeight="1" s="102">
      <c r="A153" s="137">
        <f>IF($B153="","","HRK-"&amp;TEXT(ROW()-BaslangicSatir,"000000"))</f>
        <v/>
      </c>
      <c r="B153" s="138" t="n"/>
      <c r="C153" s="138" t="n"/>
      <c r="D153" s="138" t="n"/>
      <c r="E153" s="138" t="n"/>
      <c r="F153" s="138" t="n"/>
      <c r="G153" s="138" t="n"/>
    </row>
    <row r="154" ht="18" customHeight="1" s="102">
      <c r="A154" s="137">
        <f>IF($B154="","","HRK-"&amp;TEXT(ROW()-BaslangicSatir,"000000"))</f>
        <v/>
      </c>
      <c r="B154" s="138" t="n"/>
      <c r="C154" s="138" t="n"/>
      <c r="D154" s="138" t="n"/>
      <c r="E154" s="138" t="n"/>
      <c r="F154" s="138" t="n"/>
      <c r="G154" s="138" t="n"/>
    </row>
    <row r="155" ht="18" customHeight="1" s="102">
      <c r="A155" s="137">
        <f>IF($B155="","","HRK-"&amp;TEXT(ROW()-BaslangicSatir,"000000"))</f>
        <v/>
      </c>
      <c r="B155" s="138" t="n"/>
      <c r="C155" s="138" t="n"/>
      <c r="D155" s="138" t="n"/>
      <c r="E155" s="138" t="n"/>
      <c r="F155" s="138" t="n"/>
      <c r="G155" s="138" t="n"/>
    </row>
    <row r="156" ht="18" customHeight="1" s="102">
      <c r="A156" s="137">
        <f>IF($B156="","","HRK-"&amp;TEXT(ROW()-BaslangicSatir,"000000"))</f>
        <v/>
      </c>
      <c r="B156" s="138" t="n"/>
      <c r="C156" s="138" t="n"/>
      <c r="D156" s="138" t="n"/>
      <c r="E156" s="138" t="n"/>
      <c r="F156" s="138" t="n"/>
      <c r="G156" s="138" t="n"/>
    </row>
    <row r="157" ht="18" customHeight="1" s="102">
      <c r="A157" s="137">
        <f>IF($B157="","","HRK-"&amp;TEXT(ROW()-BaslangicSatir,"000000"))</f>
        <v/>
      </c>
      <c r="B157" s="138" t="n"/>
      <c r="C157" s="138" t="n"/>
      <c r="D157" s="138" t="n"/>
      <c r="E157" s="138" t="n"/>
      <c r="F157" s="138" t="n"/>
      <c r="G157" s="138" t="n"/>
    </row>
    <row r="158" ht="18" customHeight="1" s="102">
      <c r="A158" s="137">
        <f>IF($B158="","","HRK-"&amp;TEXT(ROW()-BaslangicSatir,"000000"))</f>
        <v/>
      </c>
      <c r="B158" s="138" t="n"/>
      <c r="C158" s="138" t="n"/>
      <c r="D158" s="138" t="n"/>
      <c r="E158" s="138" t="n"/>
      <c r="F158" s="138" t="n"/>
      <c r="G158" s="138" t="n"/>
    </row>
    <row r="159" ht="18" customHeight="1" s="102">
      <c r="A159" s="137">
        <f>IF($B159="","","HRK-"&amp;TEXT(ROW()-BaslangicSatir,"000000"))</f>
        <v/>
      </c>
      <c r="B159" s="138" t="n"/>
      <c r="C159" s="138" t="n"/>
      <c r="D159" s="138" t="n"/>
      <c r="E159" s="138" t="n"/>
      <c r="F159" s="138" t="n"/>
      <c r="G159" s="138" t="n"/>
    </row>
    <row r="160" ht="18" customHeight="1" s="102">
      <c r="A160" s="137">
        <f>IF($B160="","","HRK-"&amp;TEXT(ROW()-BaslangicSatir,"000000"))</f>
        <v/>
      </c>
      <c r="B160" s="138" t="n"/>
      <c r="C160" s="138" t="n"/>
      <c r="D160" s="138" t="n"/>
      <c r="E160" s="138" t="n"/>
      <c r="F160" s="138" t="n"/>
      <c r="G160" s="138" t="n"/>
    </row>
    <row r="161" ht="18" customHeight="1" s="102">
      <c r="A161" s="137">
        <f>IF($B161="","","HRK-"&amp;TEXT(ROW()-BaslangicSatir,"000000"))</f>
        <v/>
      </c>
      <c r="B161" s="138" t="n"/>
      <c r="C161" s="138" t="n"/>
      <c r="D161" s="138" t="n"/>
      <c r="E161" s="138" t="n"/>
      <c r="F161" s="138" t="n"/>
      <c r="G161" s="138" t="n"/>
    </row>
    <row r="162" ht="18" customHeight="1" s="102">
      <c r="A162" s="137">
        <f>IF($B162="","","HRK-"&amp;TEXT(ROW()-BaslangicSatir,"000000"))</f>
        <v/>
      </c>
      <c r="B162" s="138" t="n"/>
      <c r="C162" s="138" t="n"/>
      <c r="D162" s="138" t="n"/>
      <c r="E162" s="138" t="n"/>
      <c r="F162" s="138" t="n"/>
      <c r="G162" s="138" t="n"/>
    </row>
    <row r="163" ht="18" customHeight="1" s="102">
      <c r="A163" s="137">
        <f>IF($B163="","","HRK-"&amp;TEXT(ROW()-BaslangicSatir,"000000"))</f>
        <v/>
      </c>
      <c r="B163" s="138" t="n"/>
      <c r="C163" s="138" t="n"/>
      <c r="D163" s="138" t="n"/>
      <c r="E163" s="138" t="n"/>
      <c r="F163" s="138" t="n"/>
      <c r="G163" s="138" t="n"/>
    </row>
    <row r="164" ht="18" customHeight="1" s="102">
      <c r="A164" s="137">
        <f>IF($B164="","","HRK-"&amp;TEXT(ROW()-BaslangicSatir,"000000"))</f>
        <v/>
      </c>
      <c r="B164" s="138" t="n"/>
      <c r="C164" s="138" t="n"/>
      <c r="D164" s="138" t="n"/>
      <c r="E164" s="138" t="n"/>
      <c r="F164" s="138" t="n"/>
      <c r="G164" s="138" t="n"/>
    </row>
    <row r="165" ht="18" customHeight="1" s="102">
      <c r="A165" s="137">
        <f>IF($B165="","","HRK-"&amp;TEXT(ROW()-BaslangicSatir,"000000"))</f>
        <v/>
      </c>
      <c r="B165" s="138" t="n"/>
      <c r="C165" s="138" t="n"/>
      <c r="D165" s="138" t="n"/>
      <c r="E165" s="138" t="n"/>
      <c r="F165" s="138" t="n"/>
      <c r="G165" s="138" t="n"/>
    </row>
    <row r="166" ht="18" customHeight="1" s="102">
      <c r="A166" s="137">
        <f>IF($B166="","","HRK-"&amp;TEXT(ROW()-BaslangicSatir,"000000"))</f>
        <v/>
      </c>
      <c r="B166" s="138" t="n"/>
      <c r="C166" s="138" t="n"/>
      <c r="D166" s="138" t="n"/>
      <c r="E166" s="138" t="n"/>
      <c r="F166" s="138" t="n"/>
      <c r="G166" s="138" t="n"/>
    </row>
    <row r="167" ht="18" customHeight="1" s="102">
      <c r="A167" s="137">
        <f>IF($B167="","","HRK-"&amp;TEXT(ROW()-BaslangicSatir,"000000"))</f>
        <v/>
      </c>
      <c r="B167" s="138" t="n"/>
      <c r="C167" s="138" t="n"/>
      <c r="D167" s="138" t="n"/>
      <c r="E167" s="138" t="n"/>
      <c r="F167" s="138" t="n"/>
      <c r="G167" s="138" t="n"/>
    </row>
    <row r="168" ht="18" customHeight="1" s="102">
      <c r="A168" s="137">
        <f>IF($B168="","","HRK-"&amp;TEXT(ROW()-BaslangicSatir,"000000"))</f>
        <v/>
      </c>
      <c r="B168" s="138" t="n"/>
      <c r="C168" s="138" t="n"/>
      <c r="D168" s="138" t="n"/>
      <c r="E168" s="138" t="n"/>
      <c r="F168" s="138" t="n"/>
      <c r="G168" s="138" t="n"/>
    </row>
    <row r="169" ht="18" customHeight="1" s="102">
      <c r="A169" s="137">
        <f>IF($B169="","","HRK-"&amp;TEXT(ROW()-BaslangicSatir,"000000"))</f>
        <v/>
      </c>
      <c r="B169" s="138" t="n"/>
      <c r="C169" s="138" t="n"/>
      <c r="D169" s="138" t="n"/>
      <c r="E169" s="138" t="n"/>
      <c r="F169" s="138" t="n"/>
      <c r="G169" s="138" t="n"/>
    </row>
    <row r="170" ht="18" customHeight="1" s="102">
      <c r="A170" s="137">
        <f>IF($B170="","","HRK-"&amp;TEXT(ROW()-BaslangicSatir,"000000"))</f>
        <v/>
      </c>
      <c r="B170" s="138" t="n"/>
      <c r="C170" s="138" t="n"/>
      <c r="D170" s="138" t="n"/>
      <c r="E170" s="138" t="n"/>
      <c r="F170" s="138" t="n"/>
      <c r="G170" s="138" t="n"/>
    </row>
    <row r="171" ht="18" customHeight="1" s="102">
      <c r="A171" s="137">
        <f>IF($B171="","","HRK-"&amp;TEXT(ROW()-BaslangicSatir,"000000"))</f>
        <v/>
      </c>
      <c r="B171" s="138" t="n"/>
      <c r="C171" s="138" t="n"/>
      <c r="D171" s="138" t="n"/>
      <c r="E171" s="138" t="n"/>
      <c r="F171" s="138" t="n"/>
      <c r="G171" s="138" t="n"/>
    </row>
    <row r="172" ht="18" customHeight="1" s="102">
      <c r="A172" s="137">
        <f>IF($B172="","","HRK-"&amp;TEXT(ROW()-BaslangicSatir,"000000"))</f>
        <v/>
      </c>
      <c r="B172" s="138" t="n"/>
      <c r="C172" s="138" t="n"/>
      <c r="D172" s="138" t="n"/>
      <c r="E172" s="138" t="n"/>
      <c r="F172" s="138" t="n"/>
      <c r="G172" s="138" t="n"/>
    </row>
    <row r="173" ht="18" customHeight="1" s="102">
      <c r="A173" s="137">
        <f>IF($B173="","","HRK-"&amp;TEXT(ROW()-BaslangicSatir,"000000"))</f>
        <v/>
      </c>
      <c r="B173" s="138" t="n"/>
      <c r="C173" s="138" t="n"/>
      <c r="D173" s="138" t="n"/>
      <c r="E173" s="138" t="n"/>
      <c r="F173" s="138" t="n"/>
      <c r="G173" s="138" t="n"/>
    </row>
    <row r="174" ht="18" customHeight="1" s="102">
      <c r="A174" s="137">
        <f>IF($B174="","","HRK-"&amp;TEXT(ROW()-BaslangicSatir,"000000"))</f>
        <v/>
      </c>
      <c r="B174" s="138" t="n"/>
      <c r="C174" s="138" t="n"/>
      <c r="D174" s="138" t="n"/>
      <c r="E174" s="138" t="n"/>
      <c r="F174" s="138" t="n"/>
      <c r="G174" s="138" t="n"/>
    </row>
    <row r="175" ht="18" customHeight="1" s="102">
      <c r="A175" s="137">
        <f>IF($B175="","","HRK-"&amp;TEXT(ROW()-BaslangicSatir,"000000"))</f>
        <v/>
      </c>
      <c r="B175" s="138" t="n"/>
      <c r="C175" s="138" t="n"/>
      <c r="D175" s="138" t="n"/>
      <c r="E175" s="138" t="n"/>
      <c r="F175" s="138" t="n"/>
      <c r="G175" s="138" t="n"/>
    </row>
    <row r="176" ht="18" customHeight="1" s="102">
      <c r="A176" s="137">
        <f>IF($B176="","","HRK-"&amp;TEXT(ROW()-BaslangicSatir,"000000"))</f>
        <v/>
      </c>
      <c r="B176" s="138" t="n"/>
      <c r="C176" s="138" t="n"/>
      <c r="D176" s="138" t="n"/>
      <c r="E176" s="138" t="n"/>
      <c r="F176" s="138" t="n"/>
      <c r="G176" s="138" t="n"/>
    </row>
    <row r="177" ht="18" customHeight="1" s="102">
      <c r="A177" s="137">
        <f>IF($B177="","","HRK-"&amp;TEXT(ROW()-BaslangicSatir,"000000"))</f>
        <v/>
      </c>
      <c r="B177" s="138" t="n"/>
      <c r="C177" s="138" t="n"/>
      <c r="D177" s="138" t="n"/>
      <c r="E177" s="138" t="n"/>
      <c r="F177" s="138" t="n"/>
      <c r="G177" s="138" t="n"/>
    </row>
    <row r="178" ht="18" customHeight="1" s="102">
      <c r="A178" s="137">
        <f>IF($B178="","","HRK-"&amp;TEXT(ROW()-BaslangicSatir,"000000"))</f>
        <v/>
      </c>
      <c r="B178" s="138" t="n"/>
      <c r="C178" s="138" t="n"/>
      <c r="D178" s="138" t="n"/>
      <c r="E178" s="138" t="n"/>
      <c r="F178" s="138" t="n"/>
      <c r="G178" s="138" t="n"/>
    </row>
    <row r="179" ht="18" customHeight="1" s="102">
      <c r="A179" s="137">
        <f>IF($B179="","","HRK-"&amp;TEXT(ROW()-BaslangicSatir,"000000"))</f>
        <v/>
      </c>
      <c r="B179" s="138" t="n"/>
      <c r="C179" s="138" t="n"/>
      <c r="D179" s="138" t="n"/>
      <c r="E179" s="138" t="n"/>
      <c r="F179" s="138" t="n"/>
      <c r="G179" s="138" t="n"/>
    </row>
    <row r="180" ht="18" customHeight="1" s="102">
      <c r="A180" s="137">
        <f>IF($B180="","","HRK-"&amp;TEXT(ROW()-BaslangicSatir,"000000"))</f>
        <v/>
      </c>
      <c r="B180" s="138" t="n"/>
      <c r="C180" s="138" t="n"/>
      <c r="D180" s="138" t="n"/>
      <c r="E180" s="138" t="n"/>
      <c r="F180" s="138" t="n"/>
      <c r="G180" s="138" t="n"/>
    </row>
    <row r="181" ht="18" customHeight="1" s="102">
      <c r="A181" s="137">
        <f>IF($B181="","","HRK-"&amp;TEXT(ROW()-BaslangicSatir,"000000"))</f>
        <v/>
      </c>
      <c r="B181" s="138" t="n"/>
      <c r="C181" s="138" t="n"/>
      <c r="D181" s="138" t="n"/>
      <c r="E181" s="138" t="n"/>
      <c r="F181" s="138" t="n"/>
      <c r="G181" s="138" t="n"/>
    </row>
    <row r="182" ht="18" customHeight="1" s="102">
      <c r="A182" s="137">
        <f>IF($B182="","","HRK-"&amp;TEXT(ROW()-BaslangicSatir,"000000"))</f>
        <v/>
      </c>
      <c r="B182" s="138" t="n"/>
      <c r="C182" s="138" t="n"/>
      <c r="D182" s="138" t="n"/>
      <c r="E182" s="138" t="n"/>
      <c r="F182" s="138" t="n"/>
      <c r="G182" s="138" t="n"/>
    </row>
    <row r="183" ht="18" customHeight="1" s="102">
      <c r="A183" s="137">
        <f>IF($B183="","","HRK-"&amp;TEXT(ROW()-BaslangicSatir,"000000"))</f>
        <v/>
      </c>
      <c r="B183" s="138" t="n"/>
      <c r="C183" s="138" t="n"/>
      <c r="D183" s="138" t="n"/>
      <c r="E183" s="138" t="n"/>
      <c r="F183" s="138" t="n"/>
      <c r="G183" s="138" t="n"/>
    </row>
    <row r="184" ht="18" customHeight="1" s="102">
      <c r="A184" s="137">
        <f>IF($B184="","","HRK-"&amp;TEXT(ROW()-BaslangicSatir,"000000"))</f>
        <v/>
      </c>
      <c r="B184" s="138" t="n"/>
      <c r="C184" s="138" t="n"/>
      <c r="D184" s="138" t="n"/>
      <c r="E184" s="138" t="n"/>
      <c r="F184" s="138" t="n"/>
      <c r="G184" s="138" t="n"/>
    </row>
    <row r="185" ht="18" customHeight="1" s="102">
      <c r="A185" s="137">
        <f>IF($B185="","","HRK-"&amp;TEXT(ROW()-BaslangicSatir,"000000"))</f>
        <v/>
      </c>
      <c r="B185" s="138" t="n"/>
      <c r="C185" s="138" t="n"/>
      <c r="D185" s="138" t="n"/>
      <c r="E185" s="138" t="n"/>
      <c r="F185" s="138" t="n"/>
      <c r="G185" s="138" t="n"/>
    </row>
    <row r="186" ht="18" customHeight="1" s="102">
      <c r="A186" s="137">
        <f>IF($B186="","","HRK-"&amp;TEXT(ROW()-BaslangicSatir,"000000"))</f>
        <v/>
      </c>
      <c r="B186" s="138" t="n"/>
      <c r="C186" s="138" t="n"/>
      <c r="D186" s="138" t="n"/>
      <c r="E186" s="138" t="n"/>
      <c r="F186" s="138" t="n"/>
      <c r="G186" s="138" t="n"/>
    </row>
    <row r="187" ht="18" customHeight="1" s="102">
      <c r="A187" s="137">
        <f>IF($B187="","","HRK-"&amp;TEXT(ROW()-BaslangicSatir,"000000"))</f>
        <v/>
      </c>
      <c r="B187" s="138" t="n"/>
      <c r="C187" s="138" t="n"/>
      <c r="D187" s="138" t="n"/>
      <c r="E187" s="138" t="n"/>
      <c r="F187" s="138" t="n"/>
      <c r="G187" s="138" t="n"/>
    </row>
    <row r="188" ht="18" customHeight="1" s="102">
      <c r="A188" s="137">
        <f>IF($B188="","","HRK-"&amp;TEXT(ROW()-BaslangicSatir,"000000"))</f>
        <v/>
      </c>
      <c r="B188" s="138" t="n"/>
      <c r="C188" s="138" t="n"/>
      <c r="D188" s="138" t="n"/>
      <c r="E188" s="138" t="n"/>
      <c r="F188" s="138" t="n"/>
      <c r="G188" s="138" t="n"/>
    </row>
    <row r="189" ht="18" customHeight="1" s="102">
      <c r="A189" s="137">
        <f>IF($B189="","","HRK-"&amp;TEXT(ROW()-BaslangicSatir,"000000"))</f>
        <v/>
      </c>
      <c r="B189" s="138" t="n"/>
      <c r="C189" s="138" t="n"/>
      <c r="D189" s="138" t="n"/>
      <c r="E189" s="138" t="n"/>
      <c r="F189" s="138" t="n"/>
      <c r="G189" s="138" t="n"/>
    </row>
    <row r="190" ht="18" customHeight="1" s="102">
      <c r="A190" s="137">
        <f>IF($B190="","","HRK-"&amp;TEXT(ROW()-BaslangicSatir,"000000"))</f>
        <v/>
      </c>
      <c r="B190" s="138" t="n"/>
      <c r="C190" s="138" t="n"/>
      <c r="D190" s="138" t="n"/>
      <c r="E190" s="138" t="n"/>
      <c r="F190" s="138" t="n"/>
      <c r="G190" s="138" t="n"/>
    </row>
    <row r="191" ht="18" customHeight="1" s="102">
      <c r="A191" s="137">
        <f>IF($B191="","","HRK-"&amp;TEXT(ROW()-BaslangicSatir,"000000"))</f>
        <v/>
      </c>
      <c r="B191" s="138" t="n"/>
      <c r="C191" s="138" t="n"/>
      <c r="D191" s="138" t="n"/>
      <c r="E191" s="138" t="n"/>
      <c r="F191" s="138" t="n"/>
      <c r="G191" s="138" t="n"/>
    </row>
    <row r="192" ht="18" customHeight="1" s="102">
      <c r="A192" s="137">
        <f>IF($B192="","","HRK-"&amp;TEXT(ROW()-BaslangicSatir,"000000"))</f>
        <v/>
      </c>
      <c r="B192" s="138" t="n"/>
      <c r="C192" s="138" t="n"/>
      <c r="D192" s="138" t="n"/>
      <c r="E192" s="138" t="n"/>
      <c r="F192" s="138" t="n"/>
      <c r="G192" s="138" t="n"/>
    </row>
    <row r="193" ht="18" customHeight="1" s="102">
      <c r="A193" s="137">
        <f>IF($B193="","","HRK-"&amp;TEXT(ROW()-BaslangicSatir,"000000"))</f>
        <v/>
      </c>
      <c r="B193" s="138" t="n"/>
      <c r="C193" s="138" t="n"/>
      <c r="D193" s="138" t="n"/>
      <c r="E193" s="138" t="n"/>
      <c r="F193" s="138" t="n"/>
      <c r="G193" s="138" t="n"/>
    </row>
    <row r="194" ht="18" customHeight="1" s="102">
      <c r="A194" s="137">
        <f>IF($B194="","","HRK-"&amp;TEXT(ROW()-BaslangicSatir,"000000"))</f>
        <v/>
      </c>
      <c r="B194" s="138" t="n"/>
      <c r="C194" s="138" t="n"/>
      <c r="D194" s="138" t="n"/>
      <c r="E194" s="138" t="n"/>
      <c r="F194" s="138" t="n"/>
      <c r="G194" s="138" t="n"/>
    </row>
    <row r="195" ht="18" customHeight="1" s="102">
      <c r="A195" s="137">
        <f>IF($B195="","","HRK-"&amp;TEXT(ROW()-BaslangicSatir,"000000"))</f>
        <v/>
      </c>
      <c r="B195" s="138" t="n"/>
      <c r="C195" s="138" t="n"/>
      <c r="D195" s="138" t="n"/>
      <c r="E195" s="138" t="n"/>
      <c r="F195" s="138" t="n"/>
      <c r="G195" s="138" t="n"/>
    </row>
    <row r="196" ht="18" customHeight="1" s="102">
      <c r="A196" s="137">
        <f>IF($B196="","","HRK-"&amp;TEXT(ROW()-BaslangicSatir,"000000"))</f>
        <v/>
      </c>
      <c r="B196" s="138" t="n"/>
      <c r="C196" s="138" t="n"/>
      <c r="D196" s="138" t="n"/>
      <c r="E196" s="138" t="n"/>
      <c r="F196" s="138" t="n"/>
      <c r="G196" s="138" t="n"/>
    </row>
    <row r="197" ht="18" customHeight="1" s="102">
      <c r="A197" s="137">
        <f>IF($B197="","","HRK-"&amp;TEXT(ROW()-BaslangicSatir,"000000"))</f>
        <v/>
      </c>
      <c r="B197" s="138" t="n"/>
      <c r="C197" s="138" t="n"/>
      <c r="D197" s="138" t="n"/>
      <c r="E197" s="138" t="n"/>
      <c r="F197" s="138" t="n"/>
      <c r="G197" s="138" t="n"/>
    </row>
    <row r="198" ht="18" customHeight="1" s="102">
      <c r="A198" s="137">
        <f>IF($B198="","","HRK-"&amp;TEXT(ROW()-BaslangicSatir,"000000"))</f>
        <v/>
      </c>
      <c r="B198" s="138" t="n"/>
      <c r="C198" s="138" t="n"/>
      <c r="D198" s="138" t="n"/>
      <c r="E198" s="138" t="n"/>
      <c r="F198" s="138" t="n"/>
      <c r="G198" s="138" t="n"/>
    </row>
    <row r="199" ht="18" customHeight="1" s="102">
      <c r="A199" s="137">
        <f>IF($B199="","","HRK-"&amp;TEXT(ROW()-BaslangicSatir,"000000"))</f>
        <v/>
      </c>
      <c r="B199" s="138" t="n"/>
      <c r="C199" s="138" t="n"/>
      <c r="D199" s="138" t="n"/>
      <c r="E199" s="138" t="n"/>
      <c r="F199" s="138" t="n"/>
      <c r="G199" s="138" t="n"/>
    </row>
    <row r="200" ht="18" customHeight="1" s="102">
      <c r="A200" s="137">
        <f>IF($B200="","","HRK-"&amp;TEXT(ROW()-BaslangicSatir,"000000"))</f>
        <v/>
      </c>
      <c r="B200" s="138" t="n"/>
      <c r="C200" s="138" t="n"/>
      <c r="D200" s="138" t="n"/>
      <c r="E200" s="138" t="n"/>
      <c r="F200" s="138" t="n"/>
      <c r="G200" s="138" t="n"/>
    </row>
    <row r="201" ht="18" customHeight="1" s="102">
      <c r="A201" s="137">
        <f>IF($B201="","","HRK-"&amp;TEXT(ROW()-BaslangicSatir,"000000"))</f>
        <v/>
      </c>
      <c r="B201" s="143" t="n"/>
      <c r="C201" s="143" t="n"/>
      <c r="D201" s="143" t="n"/>
      <c r="E201" s="143" t="n"/>
      <c r="F201" s="143" t="n"/>
      <c r="G201" s="143" t="n"/>
    </row>
    <row r="202" ht="18" customHeight="1" s="102">
      <c r="A202" s="137">
        <f>IF($B202="","","HRK-"&amp;TEXT(ROW()-BaslangicSatir,"000000"))</f>
        <v/>
      </c>
      <c r="B202" s="143" t="n"/>
      <c r="C202" s="143" t="n"/>
      <c r="D202" s="143" t="n"/>
      <c r="E202" s="143" t="n"/>
      <c r="F202" s="143" t="n"/>
      <c r="G202" s="143" t="n"/>
    </row>
    <row r="203" ht="18" customHeight="1" s="102">
      <c r="A203" s="137">
        <f>IF($B203="","","HRK-"&amp;TEXT(ROW()-BaslangicSatir,"000000"))</f>
        <v/>
      </c>
      <c r="B203" s="143" t="n"/>
      <c r="C203" s="143" t="n"/>
      <c r="D203" s="143" t="n"/>
      <c r="E203" s="143" t="n"/>
      <c r="F203" s="143" t="n"/>
      <c r="G203" s="143" t="n"/>
    </row>
    <row r="204" ht="18" customHeight="1" s="102">
      <c r="A204" s="137">
        <f>IF($B204="","","HRK-"&amp;TEXT(ROW()-BaslangicSatir,"000000"))</f>
        <v/>
      </c>
      <c r="B204" s="143" t="n"/>
      <c r="C204" s="143" t="n"/>
      <c r="D204" s="143" t="n"/>
      <c r="E204" s="143" t="n"/>
      <c r="F204" s="143" t="n"/>
      <c r="G204" s="143" t="n"/>
    </row>
    <row r="205" ht="18" customHeight="1" s="102">
      <c r="A205" s="137">
        <f>IF($B205="","","HRK-"&amp;TEXT(ROW()-BaslangicSatir,"000000"))</f>
        <v/>
      </c>
      <c r="B205" s="143" t="n"/>
      <c r="C205" s="143" t="n"/>
      <c r="D205" s="143" t="n"/>
      <c r="E205" s="143" t="n"/>
      <c r="F205" s="143" t="n"/>
      <c r="G205" s="143" t="n"/>
    </row>
    <row r="206" ht="18" customHeight="1" s="102">
      <c r="A206" s="137">
        <f>IF($B206="","","HRK-"&amp;TEXT(ROW()-BaslangicSatir,"000000"))</f>
        <v/>
      </c>
      <c r="B206" s="143" t="n"/>
      <c r="C206" s="143" t="n"/>
      <c r="D206" s="143" t="n"/>
      <c r="E206" s="143" t="n"/>
      <c r="F206" s="143" t="n"/>
      <c r="G206" s="143" t="n"/>
    </row>
    <row r="207" ht="18" customHeight="1" s="102">
      <c r="A207" s="137">
        <f>IF($B207="","","HRK-"&amp;TEXT(ROW()-BaslangicSatir,"000000"))</f>
        <v/>
      </c>
      <c r="B207" s="143" t="n"/>
      <c r="C207" s="143" t="n"/>
      <c r="D207" s="143" t="n"/>
      <c r="E207" s="143" t="n"/>
      <c r="F207" s="143" t="n"/>
      <c r="G207" s="143" t="n"/>
    </row>
    <row r="208" ht="18" customHeight="1" s="102">
      <c r="A208" s="137">
        <f>IF($B208="","","HRK-"&amp;TEXT(ROW()-BaslangicSatir,"000000"))</f>
        <v/>
      </c>
      <c r="B208" s="143" t="n"/>
      <c r="C208" s="143" t="n"/>
      <c r="D208" s="143" t="n"/>
      <c r="E208" s="143" t="n"/>
      <c r="F208" s="143" t="n"/>
      <c r="G208" s="143" t="n"/>
    </row>
    <row r="209" ht="18" customHeight="1" s="102">
      <c r="A209" s="137">
        <f>IF($B209="","","HRK-"&amp;TEXT(ROW()-BaslangicSatir,"000000"))</f>
        <v/>
      </c>
      <c r="B209" s="143" t="n"/>
      <c r="C209" s="143" t="n"/>
      <c r="D209" s="143" t="n"/>
      <c r="E209" s="143" t="n"/>
      <c r="F209" s="143" t="n"/>
      <c r="G209" s="143" t="n"/>
    </row>
    <row r="210" ht="18" customHeight="1" s="102">
      <c r="A210" s="137">
        <f>IF($B210="","","HRK-"&amp;TEXT(ROW()-BaslangicSatir,"000000"))</f>
        <v/>
      </c>
      <c r="B210" s="143" t="n"/>
      <c r="C210" s="143" t="n"/>
      <c r="D210" s="143" t="n"/>
      <c r="E210" s="143" t="n"/>
      <c r="F210" s="143" t="n"/>
      <c r="G210" s="143" t="n"/>
    </row>
    <row r="211" ht="18" customHeight="1" s="102">
      <c r="A211" s="137">
        <f>IF($B211="","","HRK-"&amp;TEXT(ROW()-BaslangicSatir,"000000"))</f>
        <v/>
      </c>
      <c r="B211" s="143" t="n"/>
      <c r="C211" s="143" t="n"/>
      <c r="D211" s="143" t="n"/>
      <c r="E211" s="143" t="n"/>
      <c r="F211" s="143" t="n"/>
      <c r="G211" s="143" t="n"/>
    </row>
    <row r="212" ht="18" customHeight="1" s="102">
      <c r="A212" s="137">
        <f>IF($B212="","","HRK-"&amp;TEXT(ROW()-BaslangicSatir,"000000"))</f>
        <v/>
      </c>
      <c r="B212" s="143" t="n"/>
      <c r="C212" s="143" t="n"/>
      <c r="D212" s="143" t="n"/>
      <c r="E212" s="143" t="n"/>
      <c r="F212" s="143" t="n"/>
      <c r="G212" s="143" t="n"/>
    </row>
    <row r="213" ht="18" customHeight="1" s="102">
      <c r="A213" s="137">
        <f>IF($B213="","","HRK-"&amp;TEXT(ROW()-BaslangicSatir,"000000"))</f>
        <v/>
      </c>
      <c r="B213" s="143" t="n"/>
      <c r="C213" s="143" t="n"/>
      <c r="D213" s="143" t="n"/>
      <c r="E213" s="143" t="n"/>
      <c r="F213" s="143" t="n"/>
      <c r="G213" s="143" t="n"/>
    </row>
    <row r="214" ht="18" customHeight="1" s="102">
      <c r="A214" s="137">
        <f>IF($B214="","","HRK-"&amp;TEXT(ROW()-BaslangicSatir,"000000"))</f>
        <v/>
      </c>
      <c r="B214" s="143" t="n"/>
      <c r="C214" s="143" t="n"/>
      <c r="D214" s="143" t="n"/>
      <c r="E214" s="143" t="n"/>
      <c r="F214" s="143" t="n"/>
      <c r="G214" s="143" t="n"/>
    </row>
    <row r="215" ht="18" customHeight="1" s="102">
      <c r="A215" s="137">
        <f>IF($B215="","","HRK-"&amp;TEXT(ROW()-BaslangicSatir,"000000"))</f>
        <v/>
      </c>
      <c r="B215" s="143" t="n"/>
      <c r="C215" s="143" t="n"/>
      <c r="D215" s="143" t="n"/>
      <c r="E215" s="143" t="n"/>
      <c r="F215" s="143" t="n"/>
      <c r="G215" s="143" t="n"/>
    </row>
    <row r="216" ht="18" customHeight="1" s="102">
      <c r="A216" s="137">
        <f>IF($B216="","","HRK-"&amp;TEXT(ROW()-BaslangicSatir,"000000"))</f>
        <v/>
      </c>
      <c r="B216" s="143" t="n"/>
      <c r="C216" s="143" t="n"/>
      <c r="D216" s="143" t="n"/>
      <c r="E216" s="143" t="n"/>
      <c r="F216" s="143" t="n"/>
      <c r="G216" s="143" t="n"/>
    </row>
    <row r="217" ht="18" customHeight="1" s="102">
      <c r="A217" s="137">
        <f>IF($B217="","","HRK-"&amp;TEXT(ROW()-BaslangicSatir,"000000"))</f>
        <v/>
      </c>
      <c r="B217" s="143" t="n"/>
      <c r="C217" s="143" t="n"/>
      <c r="D217" s="143" t="n"/>
      <c r="E217" s="143" t="n"/>
      <c r="F217" s="143" t="n"/>
      <c r="G217" s="143" t="n"/>
    </row>
    <row r="218" ht="18" customHeight="1" s="102">
      <c r="A218" s="137">
        <f>IF($B218="","","HRK-"&amp;TEXT(ROW()-BaslangicSatir,"000000"))</f>
        <v/>
      </c>
      <c r="B218" s="143" t="n"/>
      <c r="C218" s="143" t="n"/>
      <c r="D218" s="143" t="n"/>
      <c r="E218" s="143" t="n"/>
      <c r="F218" s="143" t="n"/>
      <c r="G218" s="143" t="n"/>
    </row>
    <row r="219" ht="18" customHeight="1" s="102">
      <c r="A219" s="137">
        <f>IF($B219="","","HRK-"&amp;TEXT(ROW()-BaslangicSatir,"000000"))</f>
        <v/>
      </c>
      <c r="B219" s="143" t="n"/>
      <c r="C219" s="143" t="n"/>
      <c r="D219" s="143" t="n"/>
      <c r="E219" s="143" t="n"/>
      <c r="F219" s="143" t="n"/>
      <c r="G219" s="143" t="n"/>
    </row>
    <row r="220" ht="18" customHeight="1" s="102">
      <c r="A220" s="137">
        <f>IF($B220="","","HRK-"&amp;TEXT(ROW()-BaslangicSatir,"000000"))</f>
        <v/>
      </c>
      <c r="B220" s="143" t="n"/>
      <c r="C220" s="143" t="n"/>
      <c r="D220" s="143" t="n"/>
      <c r="E220" s="143" t="n"/>
      <c r="F220" s="143" t="n"/>
      <c r="G220" s="143" t="n"/>
    </row>
    <row r="221" ht="18" customHeight="1" s="102">
      <c r="A221" s="137">
        <f>IF($B221="","","HRK-"&amp;TEXT(ROW()-BaslangicSatir,"000000"))</f>
        <v/>
      </c>
      <c r="B221" s="143" t="n"/>
      <c r="C221" s="143" t="n"/>
      <c r="D221" s="143" t="n"/>
      <c r="E221" s="143" t="n"/>
      <c r="F221" s="143" t="n"/>
      <c r="G221" s="143" t="n"/>
    </row>
    <row r="222" ht="18" customHeight="1" s="102">
      <c r="A222" s="137">
        <f>IF($B222="","","HRK-"&amp;TEXT(ROW()-BaslangicSatir,"000000"))</f>
        <v/>
      </c>
      <c r="B222" s="143" t="n"/>
      <c r="C222" s="143" t="n"/>
      <c r="D222" s="143" t="n"/>
      <c r="E222" s="143" t="n"/>
      <c r="F222" s="143" t="n"/>
      <c r="G222" s="143" t="n"/>
    </row>
    <row r="223" ht="18" customHeight="1" s="102">
      <c r="A223" s="137">
        <f>IF($B223="","","HRK-"&amp;TEXT(ROW()-BaslangicSatir,"000000"))</f>
        <v/>
      </c>
      <c r="B223" s="143" t="n"/>
      <c r="C223" s="143" t="n"/>
      <c r="D223" s="143" t="n"/>
      <c r="E223" s="143" t="n"/>
      <c r="F223" s="143" t="n"/>
      <c r="G223" s="143" t="n"/>
    </row>
    <row r="224" ht="18" customHeight="1" s="102">
      <c r="A224" s="137">
        <f>IF($B224="","","HRK-"&amp;TEXT(ROW()-BaslangicSatir,"000000"))</f>
        <v/>
      </c>
      <c r="B224" s="143" t="n"/>
      <c r="C224" s="143" t="n"/>
      <c r="D224" s="143" t="n"/>
      <c r="E224" s="143" t="n"/>
      <c r="F224" s="143" t="n"/>
      <c r="G224" s="143" t="n"/>
    </row>
    <row r="225" ht="18" customHeight="1" s="102">
      <c r="A225" s="137">
        <f>IF($B225="","","HRK-"&amp;TEXT(ROW()-BaslangicSatir,"000000"))</f>
        <v/>
      </c>
      <c r="B225" s="143" t="n"/>
      <c r="C225" s="143" t="n"/>
      <c r="D225" s="143" t="n"/>
      <c r="E225" s="143" t="n"/>
      <c r="F225" s="143" t="n"/>
      <c r="G225" s="143" t="n"/>
    </row>
    <row r="226" ht="18" customHeight="1" s="102">
      <c r="A226" s="137">
        <f>IF($B226="","","HRK-"&amp;TEXT(ROW()-BaslangicSatir,"000000"))</f>
        <v/>
      </c>
      <c r="B226" s="143" t="n"/>
      <c r="C226" s="143" t="n"/>
      <c r="D226" s="143" t="n"/>
      <c r="E226" s="143" t="n"/>
      <c r="F226" s="143" t="n"/>
      <c r="G226" s="143" t="n"/>
    </row>
    <row r="227" ht="18" customHeight="1" s="102">
      <c r="A227" s="137">
        <f>IF($B227="","","HRK-"&amp;TEXT(ROW()-BaslangicSatir,"000000"))</f>
        <v/>
      </c>
      <c r="B227" s="143" t="n"/>
      <c r="C227" s="143" t="n"/>
      <c r="D227" s="143" t="n"/>
      <c r="E227" s="143" t="n"/>
      <c r="F227" s="143" t="n"/>
      <c r="G227" s="143" t="n"/>
    </row>
    <row r="228" ht="18" customHeight="1" s="102">
      <c r="A228" s="137">
        <f>IF($B228="","","HRK-"&amp;TEXT(ROW()-BaslangicSatir,"000000"))</f>
        <v/>
      </c>
      <c r="B228" s="143" t="n"/>
      <c r="C228" s="143" t="n"/>
      <c r="D228" s="143" t="n"/>
      <c r="E228" s="143" t="n"/>
      <c r="F228" s="143" t="n"/>
      <c r="G228" s="143" t="n"/>
    </row>
    <row r="229" ht="18" customHeight="1" s="102">
      <c r="A229" s="137">
        <f>IF($B229="","","HRK-"&amp;TEXT(ROW()-BaslangicSatir,"000000"))</f>
        <v/>
      </c>
      <c r="B229" s="143" t="n"/>
      <c r="C229" s="143" t="n"/>
      <c r="D229" s="143" t="n"/>
      <c r="E229" s="143" t="n"/>
      <c r="F229" s="143" t="n"/>
      <c r="G229" s="143" t="n"/>
    </row>
    <row r="230" ht="18" customHeight="1" s="102">
      <c r="A230" s="137">
        <f>IF($B230="","","HRK-"&amp;TEXT(ROW()-BaslangicSatir,"000000"))</f>
        <v/>
      </c>
      <c r="B230" s="143" t="n"/>
      <c r="C230" s="143" t="n"/>
      <c r="D230" s="143" t="n"/>
      <c r="E230" s="143" t="n"/>
      <c r="F230" s="143" t="n"/>
      <c r="G230" s="143" t="n"/>
    </row>
    <row r="231" ht="18" customHeight="1" s="102">
      <c r="A231" s="137">
        <f>IF($B231="","","HRK-"&amp;TEXT(ROW()-BaslangicSatir,"000000"))</f>
        <v/>
      </c>
      <c r="B231" s="143" t="n"/>
      <c r="C231" s="143" t="n"/>
      <c r="D231" s="143" t="n"/>
      <c r="E231" s="143" t="n"/>
      <c r="F231" s="143" t="n"/>
      <c r="G231" s="143" t="n"/>
    </row>
    <row r="232" ht="18" customHeight="1" s="102">
      <c r="A232" s="137">
        <f>IF($B232="","","HRK-"&amp;TEXT(ROW()-BaslangicSatir,"000000"))</f>
        <v/>
      </c>
      <c r="B232" s="143" t="n"/>
      <c r="C232" s="143" t="n"/>
      <c r="D232" s="143" t="n"/>
      <c r="E232" s="143" t="n"/>
      <c r="F232" s="143" t="n"/>
      <c r="G232" s="143" t="n"/>
    </row>
    <row r="233" ht="18" customHeight="1" s="102">
      <c r="A233" s="137">
        <f>IF($B233="","","HRK-"&amp;TEXT(ROW()-BaslangicSatir,"000000"))</f>
        <v/>
      </c>
      <c r="B233" s="143" t="n"/>
      <c r="C233" s="143" t="n"/>
      <c r="D233" s="143" t="n"/>
      <c r="E233" s="143" t="n"/>
      <c r="F233" s="143" t="n"/>
      <c r="G233" s="143" t="n"/>
    </row>
    <row r="234" ht="18" customHeight="1" s="102">
      <c r="A234" s="137">
        <f>IF($B234="","","HRK-"&amp;TEXT(ROW()-BaslangicSatir,"000000"))</f>
        <v/>
      </c>
      <c r="B234" s="143" t="n"/>
      <c r="C234" s="143" t="n"/>
      <c r="D234" s="143" t="n"/>
      <c r="E234" s="143" t="n"/>
      <c r="F234" s="143" t="n"/>
      <c r="G234" s="143" t="n"/>
    </row>
    <row r="235" ht="18" customHeight="1" s="102">
      <c r="A235" s="137">
        <f>IF($B235="","","HRK-"&amp;TEXT(ROW()-BaslangicSatir,"000000"))</f>
        <v/>
      </c>
      <c r="B235" s="143" t="n"/>
      <c r="C235" s="143" t="n"/>
      <c r="D235" s="143" t="n"/>
      <c r="E235" s="143" t="n"/>
      <c r="F235" s="143" t="n"/>
      <c r="G235" s="143" t="n"/>
    </row>
    <row r="236" ht="18" customHeight="1" s="102">
      <c r="A236" s="137">
        <f>IF($B236="","","HRK-"&amp;TEXT(ROW()-BaslangicSatir,"000000"))</f>
        <v/>
      </c>
      <c r="B236" s="143" t="n"/>
      <c r="C236" s="143" t="n"/>
      <c r="D236" s="143" t="n"/>
      <c r="E236" s="143" t="n"/>
      <c r="F236" s="143" t="n"/>
      <c r="G236" s="143" t="n"/>
    </row>
    <row r="237" ht="18" customHeight="1" s="102">
      <c r="A237" s="137">
        <f>IF($B237="","","HRK-"&amp;TEXT(ROW()-BaslangicSatir,"000000"))</f>
        <v/>
      </c>
      <c r="B237" s="143" t="n"/>
      <c r="C237" s="143" t="n"/>
      <c r="D237" s="143" t="n"/>
      <c r="E237" s="143" t="n"/>
      <c r="F237" s="143" t="n"/>
      <c r="G237" s="143" t="n"/>
    </row>
    <row r="238" ht="18" customHeight="1" s="102">
      <c r="A238" s="137">
        <f>IF($B238="","","HRK-"&amp;TEXT(ROW()-BaslangicSatir,"000000"))</f>
        <v/>
      </c>
      <c r="B238" s="143" t="n"/>
      <c r="C238" s="143" t="n"/>
      <c r="D238" s="143" t="n"/>
      <c r="E238" s="143" t="n"/>
      <c r="F238" s="143" t="n"/>
      <c r="G238" s="143" t="n"/>
    </row>
    <row r="239" ht="18" customHeight="1" s="102">
      <c r="A239" s="137">
        <f>IF($B239="","","HRK-"&amp;TEXT(ROW()-BaslangicSatir,"000000"))</f>
        <v/>
      </c>
      <c r="B239" s="143" t="n"/>
      <c r="C239" s="143" t="n"/>
      <c r="D239" s="143" t="n"/>
      <c r="E239" s="143" t="n"/>
      <c r="F239" s="143" t="n"/>
      <c r="G239" s="143" t="n"/>
    </row>
    <row r="240" ht="18" customHeight="1" s="102">
      <c r="A240" s="137">
        <f>IF($B240="","","HRK-"&amp;TEXT(ROW()-BaslangicSatir,"000000"))</f>
        <v/>
      </c>
      <c r="B240" s="143" t="n"/>
      <c r="C240" s="143" t="n"/>
      <c r="D240" s="143" t="n"/>
      <c r="E240" s="143" t="n"/>
      <c r="F240" s="143" t="n"/>
      <c r="G240" s="143" t="n"/>
    </row>
    <row r="241" ht="18" customHeight="1" s="102">
      <c r="A241" s="137">
        <f>IF($B241="","","HRK-"&amp;TEXT(ROW()-BaslangicSatir,"000000"))</f>
        <v/>
      </c>
      <c r="B241" s="143" t="n"/>
      <c r="C241" s="143" t="n"/>
      <c r="D241" s="143" t="n"/>
      <c r="E241" s="143" t="n"/>
      <c r="F241" s="143" t="n"/>
      <c r="G241" s="143" t="n"/>
    </row>
    <row r="242" ht="18" customHeight="1" s="102">
      <c r="A242" s="137">
        <f>IF($B242="","","HRK-"&amp;TEXT(ROW()-BaslangicSatir,"000000"))</f>
        <v/>
      </c>
      <c r="B242" s="143" t="n"/>
      <c r="C242" s="143" t="n"/>
      <c r="D242" s="143" t="n"/>
      <c r="E242" s="143" t="n"/>
      <c r="F242" s="143" t="n"/>
      <c r="G242" s="143" t="n"/>
    </row>
    <row r="243" ht="18" customHeight="1" s="102">
      <c r="A243" s="137">
        <f>IF($B243="","","HRK-"&amp;TEXT(ROW()-BaslangicSatir,"000000"))</f>
        <v/>
      </c>
      <c r="B243" s="143" t="n"/>
      <c r="C243" s="143" t="n"/>
      <c r="D243" s="143" t="n"/>
      <c r="E243" s="143" t="n"/>
      <c r="F243" s="143" t="n"/>
      <c r="G243" s="143" t="n"/>
    </row>
    <row r="244" ht="18" customHeight="1" s="102">
      <c r="A244" s="137">
        <f>IF($B244="","","HRK-"&amp;TEXT(ROW()-BaslangicSatir,"000000"))</f>
        <v/>
      </c>
      <c r="B244" s="143" t="n"/>
      <c r="C244" s="143" t="n"/>
      <c r="D244" s="143" t="n"/>
      <c r="E244" s="143" t="n"/>
      <c r="F244" s="143" t="n"/>
      <c r="G244" s="143" t="n"/>
    </row>
    <row r="245" ht="18" customHeight="1" s="102">
      <c r="A245" s="137">
        <f>IF($B245="","","HRK-"&amp;TEXT(ROW()-BaslangicSatir,"000000"))</f>
        <v/>
      </c>
      <c r="B245" s="143" t="n"/>
      <c r="C245" s="143" t="n"/>
      <c r="D245" s="143" t="n"/>
      <c r="E245" s="143" t="n"/>
      <c r="F245" s="143" t="n"/>
      <c r="G245" s="143" t="n"/>
    </row>
    <row r="246" ht="18" customHeight="1" s="102">
      <c r="A246" s="137">
        <f>IF($B246="","","HRK-"&amp;TEXT(ROW()-BaslangicSatir,"000000"))</f>
        <v/>
      </c>
      <c r="B246" s="143" t="n"/>
      <c r="C246" s="143" t="n"/>
      <c r="D246" s="143" t="n"/>
      <c r="E246" s="143" t="n"/>
      <c r="F246" s="143" t="n"/>
      <c r="G246" s="143" t="n"/>
    </row>
    <row r="247" ht="18" customHeight="1" s="102">
      <c r="A247" s="137">
        <f>IF($B247="","","HRK-"&amp;TEXT(ROW()-BaslangicSatir,"000000"))</f>
        <v/>
      </c>
      <c r="B247" s="143" t="n"/>
      <c r="C247" s="143" t="n"/>
      <c r="D247" s="143" t="n"/>
      <c r="E247" s="143" t="n"/>
      <c r="F247" s="143" t="n"/>
      <c r="G247" s="143" t="n"/>
    </row>
    <row r="248" ht="18" customHeight="1" s="102">
      <c r="A248" s="137">
        <f>IF($B248="","","HRK-"&amp;TEXT(ROW()-BaslangicSatir,"000000"))</f>
        <v/>
      </c>
      <c r="B248" s="143" t="n"/>
      <c r="C248" s="143" t="n"/>
      <c r="D248" s="143" t="n"/>
      <c r="E248" s="143" t="n"/>
      <c r="F248" s="143" t="n"/>
      <c r="G248" s="143" t="n"/>
    </row>
    <row r="249" ht="18" customHeight="1" s="102">
      <c r="A249" s="137">
        <f>IF($B249="","","HRK-"&amp;TEXT(ROW()-BaslangicSatir,"000000"))</f>
        <v/>
      </c>
      <c r="B249" s="143" t="n"/>
      <c r="C249" s="143" t="n"/>
      <c r="D249" s="143" t="n"/>
      <c r="E249" s="143" t="n"/>
      <c r="F249" s="143" t="n"/>
      <c r="G249" s="143" t="n"/>
    </row>
    <row r="250" ht="18" customHeight="1" s="102">
      <c r="A250" s="137">
        <f>IF($B250="","","HRK-"&amp;TEXT(ROW()-BaslangicSatir,"000000"))</f>
        <v/>
      </c>
      <c r="B250" s="143" t="n"/>
      <c r="C250" s="143" t="n"/>
      <c r="D250" s="143" t="n"/>
      <c r="E250" s="143" t="n"/>
      <c r="F250" s="143" t="n"/>
      <c r="G250" s="143" t="n"/>
    </row>
    <row r="251" ht="18" customHeight="1" s="102">
      <c r="A251" s="137">
        <f>IF($B251="","","HRK-"&amp;TEXT(ROW()-BaslangicSatir,"000000"))</f>
        <v/>
      </c>
      <c r="B251" s="143" t="n"/>
      <c r="C251" s="143" t="n"/>
      <c r="D251" s="143" t="n"/>
      <c r="E251" s="143" t="n"/>
      <c r="F251" s="143" t="n"/>
      <c r="G251" s="143" t="n"/>
    </row>
    <row r="252" ht="18" customHeight="1" s="102">
      <c r="A252" s="137">
        <f>IF($B252="","","HRK-"&amp;TEXT(ROW()-BaslangicSatir,"000000"))</f>
        <v/>
      </c>
      <c r="B252" s="143" t="n"/>
      <c r="C252" s="143" t="n"/>
      <c r="D252" s="143" t="n"/>
      <c r="E252" s="143" t="n"/>
      <c r="F252" s="143" t="n"/>
      <c r="G252" s="143" t="n"/>
    </row>
    <row r="253" ht="18" customHeight="1" s="102">
      <c r="A253" s="137">
        <f>IF($B253="","","HRK-"&amp;TEXT(ROW()-BaslangicSatir,"000000"))</f>
        <v/>
      </c>
      <c r="B253" s="143" t="n"/>
      <c r="C253" s="143" t="n"/>
      <c r="D253" s="143" t="n"/>
      <c r="E253" s="143" t="n"/>
      <c r="F253" s="143" t="n"/>
      <c r="G253" s="143" t="n"/>
    </row>
    <row r="254" ht="18" customHeight="1" s="102">
      <c r="A254" s="137">
        <f>IF($B254="","","HRK-"&amp;TEXT(ROW()-BaslangicSatir,"000000"))</f>
        <v/>
      </c>
      <c r="B254" s="143" t="n"/>
      <c r="C254" s="143" t="n"/>
      <c r="D254" s="143" t="n"/>
      <c r="E254" s="143" t="n"/>
      <c r="F254" s="143" t="n"/>
      <c r="G254" s="143" t="n"/>
    </row>
    <row r="255" ht="18" customHeight="1" s="102">
      <c r="A255" s="137">
        <f>IF($B255="","","HRK-"&amp;TEXT(ROW()-BaslangicSatir,"000000"))</f>
        <v/>
      </c>
      <c r="B255" s="143" t="n"/>
      <c r="C255" s="143" t="n"/>
      <c r="D255" s="143" t="n"/>
      <c r="E255" s="143" t="n"/>
      <c r="F255" s="143" t="n"/>
      <c r="G255" s="143" t="n"/>
    </row>
    <row r="256" ht="18" customHeight="1" s="102">
      <c r="A256" s="137">
        <f>IF($B256="","","HRK-"&amp;TEXT(ROW()-BaslangicSatir,"000000"))</f>
        <v/>
      </c>
      <c r="B256" s="143" t="n"/>
      <c r="C256" s="143" t="n"/>
      <c r="D256" s="143" t="n"/>
      <c r="E256" s="143" t="n"/>
      <c r="F256" s="143" t="n"/>
      <c r="G256" s="143" t="n"/>
    </row>
    <row r="257" ht="18" customHeight="1" s="102">
      <c r="A257" s="137">
        <f>IF($B257="","","HRK-"&amp;TEXT(ROW()-BaslangicSatir,"000000"))</f>
        <v/>
      </c>
      <c r="B257" s="143" t="n"/>
      <c r="C257" s="143" t="n"/>
      <c r="D257" s="143" t="n"/>
      <c r="E257" s="143" t="n"/>
      <c r="F257" s="143" t="n"/>
      <c r="G257" s="143" t="n"/>
    </row>
    <row r="258" ht="18" customHeight="1" s="102">
      <c r="A258" s="137">
        <f>IF($B258="","","HRK-"&amp;TEXT(ROW()-BaslangicSatir,"000000"))</f>
        <v/>
      </c>
      <c r="B258" s="143" t="n"/>
      <c r="C258" s="143" t="n"/>
      <c r="D258" s="143" t="n"/>
      <c r="E258" s="143" t="n"/>
      <c r="F258" s="143" t="n"/>
      <c r="G258" s="143" t="n"/>
    </row>
    <row r="259" ht="18" customHeight="1" s="102">
      <c r="A259" s="137">
        <f>IF($B259="","","HRK-"&amp;TEXT(ROW()-BaslangicSatir,"000000"))</f>
        <v/>
      </c>
      <c r="B259" s="143" t="n"/>
      <c r="C259" s="143" t="n"/>
      <c r="D259" s="143" t="n"/>
      <c r="E259" s="143" t="n"/>
      <c r="F259" s="143" t="n"/>
      <c r="G259" s="143" t="n"/>
    </row>
    <row r="260" ht="18" customHeight="1" s="102">
      <c r="A260" s="137">
        <f>IF($B260="","","HRK-"&amp;TEXT(ROW()-BaslangicSatir,"000000"))</f>
        <v/>
      </c>
      <c r="B260" s="143" t="n"/>
      <c r="C260" s="143" t="n"/>
      <c r="D260" s="143" t="n"/>
      <c r="E260" s="143" t="n"/>
      <c r="F260" s="143" t="n"/>
      <c r="G260" s="143" t="n"/>
    </row>
    <row r="261" ht="18" customHeight="1" s="102">
      <c r="A261" s="137">
        <f>IF($B261="","","HRK-"&amp;TEXT(ROW()-BaslangicSatir,"000000"))</f>
        <v/>
      </c>
      <c r="B261" s="143" t="n"/>
      <c r="C261" s="143" t="n"/>
      <c r="D261" s="143" t="n"/>
      <c r="E261" s="143" t="n"/>
      <c r="F261" s="143" t="n"/>
      <c r="G261" s="143" t="n"/>
    </row>
    <row r="262" ht="18" customHeight="1" s="102">
      <c r="A262" s="137">
        <f>IF($B262="","","HRK-"&amp;TEXT(ROW()-BaslangicSatir,"000000"))</f>
        <v/>
      </c>
      <c r="B262" s="143" t="n"/>
      <c r="C262" s="143" t="n"/>
      <c r="D262" s="143" t="n"/>
      <c r="E262" s="143" t="n"/>
      <c r="F262" s="143" t="n"/>
      <c r="G262" s="143" t="n"/>
    </row>
    <row r="263" ht="18" customHeight="1" s="102">
      <c r="A263" s="137">
        <f>IF($B263="","","HRK-"&amp;TEXT(ROW()-BaslangicSatir,"000000"))</f>
        <v/>
      </c>
      <c r="B263" s="143" t="n"/>
      <c r="C263" s="143" t="n"/>
      <c r="D263" s="143" t="n"/>
      <c r="E263" s="143" t="n"/>
      <c r="F263" s="143" t="n"/>
      <c r="G263" s="143" t="n"/>
    </row>
    <row r="264" ht="18" customHeight="1" s="102">
      <c r="A264" s="137">
        <f>IF($B264="","","HRK-"&amp;TEXT(ROW()-BaslangicSatir,"000000"))</f>
        <v/>
      </c>
      <c r="B264" s="143" t="n"/>
      <c r="C264" s="143" t="n"/>
      <c r="D264" s="143" t="n"/>
      <c r="E264" s="143" t="n"/>
      <c r="F264" s="143" t="n"/>
      <c r="G264" s="143" t="n"/>
    </row>
    <row r="265" ht="18" customHeight="1" s="102">
      <c r="A265" s="137">
        <f>IF($B265="","","HRK-"&amp;TEXT(ROW()-BaslangicSatir,"000000"))</f>
        <v/>
      </c>
      <c r="B265" s="143" t="n"/>
      <c r="C265" s="143" t="n"/>
      <c r="D265" s="143" t="n"/>
      <c r="E265" s="143" t="n"/>
      <c r="F265" s="143" t="n"/>
      <c r="G265" s="143" t="n"/>
    </row>
    <row r="266" ht="18" customHeight="1" s="102">
      <c r="A266" s="137">
        <f>IF($B266="","","HRK-"&amp;TEXT(ROW()-BaslangicSatir,"000000"))</f>
        <v/>
      </c>
      <c r="B266" s="143" t="n"/>
      <c r="C266" s="143" t="n"/>
      <c r="D266" s="143" t="n"/>
      <c r="E266" s="143" t="n"/>
      <c r="F266" s="143" t="n"/>
      <c r="G266" s="143" t="n"/>
    </row>
    <row r="267" ht="18" customHeight="1" s="102">
      <c r="A267" s="137">
        <f>IF($B267="","","HRK-"&amp;TEXT(ROW()-BaslangicSatir,"000000"))</f>
        <v/>
      </c>
      <c r="B267" s="143" t="n"/>
      <c r="C267" s="143" t="n"/>
      <c r="D267" s="143" t="n"/>
      <c r="E267" s="143" t="n"/>
      <c r="F267" s="143" t="n"/>
      <c r="G267" s="143" t="n"/>
    </row>
    <row r="268" ht="18" customHeight="1" s="102">
      <c r="A268" s="137">
        <f>IF($B268="","","HRK-"&amp;TEXT(ROW()-BaslangicSatir,"000000"))</f>
        <v/>
      </c>
      <c r="B268" s="143" t="n"/>
      <c r="C268" s="143" t="n"/>
      <c r="D268" s="143" t="n"/>
      <c r="E268" s="143" t="n"/>
      <c r="F268" s="143" t="n"/>
      <c r="G268" s="143" t="n"/>
    </row>
    <row r="269" ht="18" customHeight="1" s="102">
      <c r="A269" s="137">
        <f>IF($B269="","","HRK-"&amp;TEXT(ROW()-BaslangicSatir,"000000"))</f>
        <v/>
      </c>
      <c r="B269" s="143" t="n"/>
      <c r="C269" s="143" t="n"/>
      <c r="D269" s="143" t="n"/>
      <c r="E269" s="143" t="n"/>
      <c r="F269" s="143" t="n"/>
      <c r="G269" s="143" t="n"/>
    </row>
    <row r="270" ht="18" customHeight="1" s="102">
      <c r="A270" s="137">
        <f>IF($B270="","","HRK-"&amp;TEXT(ROW()-BaslangicSatir,"000000"))</f>
        <v/>
      </c>
      <c r="B270" s="143" t="n"/>
      <c r="C270" s="143" t="n"/>
      <c r="D270" s="143" t="n"/>
      <c r="E270" s="143" t="n"/>
      <c r="F270" s="143" t="n"/>
      <c r="G270" s="143" t="n"/>
    </row>
    <row r="271" ht="18" customHeight="1" s="102">
      <c r="A271" s="137">
        <f>IF($B271="","","HRK-"&amp;TEXT(ROW()-BaslangicSatir,"000000"))</f>
        <v/>
      </c>
      <c r="B271" s="143" t="n"/>
      <c r="C271" s="143" t="n"/>
      <c r="D271" s="143" t="n"/>
      <c r="E271" s="143" t="n"/>
      <c r="F271" s="143" t="n"/>
      <c r="G271" s="143" t="n"/>
    </row>
    <row r="272" ht="18" customHeight="1" s="102">
      <c r="A272" s="137">
        <f>IF($B272="","","HRK-"&amp;TEXT(ROW()-BaslangicSatir,"000000"))</f>
        <v/>
      </c>
      <c r="B272" s="143" t="n"/>
      <c r="C272" s="143" t="n"/>
      <c r="D272" s="143" t="n"/>
      <c r="E272" s="143" t="n"/>
      <c r="F272" s="143" t="n"/>
      <c r="G272" s="143" t="n"/>
    </row>
    <row r="273" ht="18" customHeight="1" s="102">
      <c r="A273" s="137">
        <f>IF($B273="","","HRK-"&amp;TEXT(ROW()-BaslangicSatir,"000000"))</f>
        <v/>
      </c>
      <c r="B273" s="143" t="n"/>
      <c r="C273" s="143" t="n"/>
      <c r="D273" s="143" t="n"/>
      <c r="E273" s="143" t="n"/>
      <c r="F273" s="143" t="n"/>
      <c r="G273" s="143" t="n"/>
    </row>
    <row r="274" ht="18" customHeight="1" s="102">
      <c r="A274" s="137">
        <f>IF($B274="","","HRK-"&amp;TEXT(ROW()-BaslangicSatir,"000000"))</f>
        <v/>
      </c>
      <c r="B274" s="143" t="n"/>
      <c r="C274" s="143" t="n"/>
      <c r="D274" s="143" t="n"/>
      <c r="E274" s="143" t="n"/>
      <c r="F274" s="143" t="n"/>
      <c r="G274" s="143" t="n"/>
    </row>
    <row r="275" ht="18" customHeight="1" s="102">
      <c r="A275" s="137">
        <f>IF($B275="","","HRK-"&amp;TEXT(ROW()-BaslangicSatir,"000000"))</f>
        <v/>
      </c>
      <c r="B275" s="143" t="n"/>
      <c r="C275" s="143" t="n"/>
      <c r="D275" s="143" t="n"/>
      <c r="E275" s="143" t="n"/>
      <c r="F275" s="143" t="n"/>
      <c r="G275" s="143" t="n"/>
    </row>
    <row r="276" ht="18" customHeight="1" s="102">
      <c r="A276" s="137">
        <f>IF($B276="","","HRK-"&amp;TEXT(ROW()-BaslangicSatir,"000000"))</f>
        <v/>
      </c>
      <c r="B276" s="143" t="n"/>
      <c r="C276" s="143" t="n"/>
      <c r="D276" s="143" t="n"/>
      <c r="E276" s="143" t="n"/>
      <c r="F276" s="143" t="n"/>
      <c r="G276" s="143" t="n"/>
    </row>
    <row r="277" ht="18" customHeight="1" s="102">
      <c r="A277" s="137">
        <f>IF($B277="","","HRK-"&amp;TEXT(ROW()-BaslangicSatir,"000000"))</f>
        <v/>
      </c>
      <c r="B277" s="143" t="n"/>
      <c r="C277" s="143" t="n"/>
      <c r="D277" s="143" t="n"/>
      <c r="E277" s="143" t="n"/>
      <c r="F277" s="143" t="n"/>
      <c r="G277" s="143" t="n"/>
    </row>
    <row r="278" ht="18" customHeight="1" s="102">
      <c r="A278" s="137">
        <f>IF($B278="","","HRK-"&amp;TEXT(ROW()-BaslangicSatir,"000000"))</f>
        <v/>
      </c>
      <c r="B278" s="143" t="n"/>
      <c r="C278" s="143" t="n"/>
      <c r="D278" s="143" t="n"/>
      <c r="E278" s="143" t="n"/>
      <c r="F278" s="143" t="n"/>
      <c r="G278" s="143" t="n"/>
    </row>
    <row r="279" ht="18" customHeight="1" s="102">
      <c r="A279" s="137">
        <f>IF($B279="","","HRK-"&amp;TEXT(ROW()-BaslangicSatir,"000000"))</f>
        <v/>
      </c>
      <c r="B279" s="143" t="n"/>
      <c r="C279" s="143" t="n"/>
      <c r="D279" s="143" t="n"/>
      <c r="E279" s="143" t="n"/>
      <c r="F279" s="143" t="n"/>
      <c r="G279" s="143" t="n"/>
    </row>
    <row r="280" ht="18" customHeight="1" s="102">
      <c r="A280" s="137">
        <f>IF($B280="","","HRK-"&amp;TEXT(ROW()-BaslangicSatir,"000000"))</f>
        <v/>
      </c>
      <c r="B280" s="143" t="n"/>
      <c r="C280" s="143" t="n"/>
      <c r="D280" s="143" t="n"/>
      <c r="E280" s="143" t="n"/>
      <c r="F280" s="143" t="n"/>
      <c r="G280" s="143" t="n"/>
    </row>
    <row r="281" ht="18" customHeight="1" s="102">
      <c r="A281" s="137">
        <f>IF($B281="","","HRK-"&amp;TEXT(ROW()-BaslangicSatir,"000000"))</f>
        <v/>
      </c>
      <c r="B281" s="143" t="n"/>
      <c r="C281" s="143" t="n"/>
      <c r="D281" s="143" t="n"/>
      <c r="E281" s="143" t="n"/>
      <c r="F281" s="143" t="n"/>
      <c r="G281" s="143" t="n"/>
    </row>
    <row r="282" ht="18" customHeight="1" s="102">
      <c r="A282" s="137">
        <f>IF($B282="","","HRK-"&amp;TEXT(ROW()-BaslangicSatir,"000000"))</f>
        <v/>
      </c>
      <c r="B282" s="143" t="n"/>
      <c r="C282" s="143" t="n"/>
      <c r="D282" s="143" t="n"/>
      <c r="E282" s="143" t="n"/>
      <c r="F282" s="143" t="n"/>
      <c r="G282" s="143" t="n"/>
    </row>
    <row r="283" ht="18" customHeight="1" s="102">
      <c r="A283" s="137">
        <f>IF($B283="","","HRK-"&amp;TEXT(ROW()-BaslangicSatir,"000000"))</f>
        <v/>
      </c>
      <c r="B283" s="143" t="n"/>
      <c r="C283" s="143" t="n"/>
      <c r="D283" s="143" t="n"/>
      <c r="E283" s="143" t="n"/>
      <c r="F283" s="143" t="n"/>
      <c r="G283" s="143" t="n"/>
    </row>
    <row r="284" ht="18" customHeight="1" s="102">
      <c r="A284" s="137">
        <f>IF($B284="","","HRK-"&amp;TEXT(ROW()-BaslangicSatir,"000000"))</f>
        <v/>
      </c>
      <c r="B284" s="143" t="n"/>
      <c r="C284" s="143" t="n"/>
      <c r="D284" s="143" t="n"/>
      <c r="E284" s="143" t="n"/>
      <c r="F284" s="143" t="n"/>
      <c r="G284" s="143" t="n"/>
    </row>
    <row r="285" ht="18" customHeight="1" s="102">
      <c r="A285" s="137">
        <f>IF($B285="","","HRK-"&amp;TEXT(ROW()-BaslangicSatir,"000000"))</f>
        <v/>
      </c>
      <c r="B285" s="143" t="n"/>
      <c r="C285" s="143" t="n"/>
      <c r="D285" s="143" t="n"/>
      <c r="E285" s="143" t="n"/>
      <c r="F285" s="143" t="n"/>
      <c r="G285" s="143" t="n"/>
    </row>
    <row r="286" ht="18" customHeight="1" s="102">
      <c r="A286" s="137">
        <f>IF($B286="","","HRK-"&amp;TEXT(ROW()-BaslangicSatir,"000000"))</f>
        <v/>
      </c>
      <c r="B286" s="143" t="n"/>
      <c r="C286" s="143" t="n"/>
      <c r="D286" s="143" t="n"/>
      <c r="E286" s="143" t="n"/>
      <c r="F286" s="143" t="n"/>
      <c r="G286" s="143" t="n"/>
    </row>
    <row r="287" ht="18" customHeight="1" s="102">
      <c r="A287" s="137">
        <f>IF($B287="","","HRK-"&amp;TEXT(ROW()-BaslangicSatir,"000000"))</f>
        <v/>
      </c>
      <c r="B287" s="143" t="n"/>
      <c r="C287" s="143" t="n"/>
      <c r="D287" s="143" t="n"/>
      <c r="E287" s="143" t="n"/>
      <c r="F287" s="143" t="n"/>
      <c r="G287" s="143" t="n"/>
    </row>
    <row r="288" ht="18" customHeight="1" s="102">
      <c r="A288" s="137">
        <f>IF($B288="","","HRK-"&amp;TEXT(ROW()-BaslangicSatir,"000000"))</f>
        <v/>
      </c>
      <c r="B288" s="143" t="n"/>
      <c r="C288" s="143" t="n"/>
      <c r="D288" s="143" t="n"/>
      <c r="E288" s="143" t="n"/>
      <c r="F288" s="143" t="n"/>
      <c r="G288" s="143" t="n"/>
    </row>
    <row r="289" ht="18" customHeight="1" s="102">
      <c r="A289" s="137">
        <f>IF($B289="","","HRK-"&amp;TEXT(ROW()-BaslangicSatir,"000000"))</f>
        <v/>
      </c>
      <c r="B289" s="143" t="n"/>
      <c r="C289" s="143" t="n"/>
      <c r="D289" s="143" t="n"/>
      <c r="E289" s="143" t="n"/>
      <c r="F289" s="143" t="n"/>
      <c r="G289" s="143" t="n"/>
    </row>
    <row r="290" ht="18" customHeight="1" s="102">
      <c r="A290" s="137">
        <f>IF($B290="","","HRK-"&amp;TEXT(ROW()-BaslangicSatir,"000000"))</f>
        <v/>
      </c>
      <c r="B290" s="143" t="n"/>
      <c r="C290" s="143" t="n"/>
      <c r="D290" s="143" t="n"/>
      <c r="E290" s="143" t="n"/>
      <c r="F290" s="143" t="n"/>
      <c r="G290" s="143" t="n"/>
    </row>
    <row r="291" ht="18" customHeight="1" s="102">
      <c r="A291" s="137">
        <f>IF($B291="","","HRK-"&amp;TEXT(ROW()-BaslangicSatir,"000000"))</f>
        <v/>
      </c>
      <c r="B291" s="143" t="n"/>
      <c r="C291" s="143" t="n"/>
      <c r="D291" s="143" t="n"/>
      <c r="E291" s="143" t="n"/>
      <c r="F291" s="143" t="n"/>
      <c r="G291" s="143" t="n"/>
    </row>
    <row r="292" ht="18" customHeight="1" s="102">
      <c r="A292" s="137">
        <f>IF($B292="","","HRK-"&amp;TEXT(ROW()-BaslangicSatir,"000000"))</f>
        <v/>
      </c>
      <c r="B292" s="143" t="n"/>
      <c r="C292" s="143" t="n"/>
      <c r="D292" s="143" t="n"/>
      <c r="E292" s="143" t="n"/>
      <c r="F292" s="143" t="n"/>
      <c r="G292" s="143" t="n"/>
    </row>
    <row r="293" ht="18" customHeight="1" s="102">
      <c r="A293" s="137">
        <f>IF($B293="","","HRK-"&amp;TEXT(ROW()-BaslangicSatir,"000000"))</f>
        <v/>
      </c>
      <c r="B293" s="143" t="n"/>
      <c r="C293" s="143" t="n"/>
      <c r="D293" s="143" t="n"/>
      <c r="E293" s="143" t="n"/>
      <c r="F293" s="143" t="n"/>
      <c r="G293" s="143" t="n"/>
    </row>
    <row r="294" ht="18" customHeight="1" s="102">
      <c r="A294" s="137">
        <f>IF($B294="","","HRK-"&amp;TEXT(ROW()-BaslangicSatir,"000000"))</f>
        <v/>
      </c>
      <c r="B294" s="143" t="n"/>
      <c r="C294" s="143" t="n"/>
      <c r="D294" s="143" t="n"/>
      <c r="E294" s="143" t="n"/>
      <c r="F294" s="143" t="n"/>
      <c r="G294" s="143" t="n"/>
    </row>
    <row r="295" ht="18" customHeight="1" s="102">
      <c r="A295" s="137">
        <f>IF($B295="","","HRK-"&amp;TEXT(ROW()-BaslangicSatir,"000000"))</f>
        <v/>
      </c>
      <c r="B295" s="143" t="n"/>
      <c r="C295" s="143" t="n"/>
      <c r="D295" s="143" t="n"/>
      <c r="E295" s="143" t="n"/>
      <c r="F295" s="143" t="n"/>
      <c r="G295" s="143" t="n"/>
    </row>
    <row r="296" ht="18" customHeight="1" s="102">
      <c r="A296" s="137">
        <f>IF($B296="","","HRK-"&amp;TEXT(ROW()-BaslangicSatir,"000000"))</f>
        <v/>
      </c>
      <c r="B296" s="143" t="n"/>
      <c r="C296" s="143" t="n"/>
      <c r="D296" s="143" t="n"/>
      <c r="E296" s="143" t="n"/>
      <c r="F296" s="143" t="n"/>
      <c r="G296" s="143" t="n"/>
    </row>
    <row r="297" ht="18" customHeight="1" s="102">
      <c r="A297" s="137">
        <f>IF($B297="","","HRK-"&amp;TEXT(ROW()-BaslangicSatir,"000000"))</f>
        <v/>
      </c>
      <c r="B297" s="143" t="n"/>
      <c r="C297" s="143" t="n"/>
      <c r="D297" s="143" t="n"/>
      <c r="E297" s="143" t="n"/>
      <c r="F297" s="143" t="n"/>
      <c r="G297" s="143" t="n"/>
    </row>
    <row r="298" ht="18" customHeight="1" s="102">
      <c r="A298" s="137">
        <f>IF($B298="","","HRK-"&amp;TEXT(ROW()-BaslangicSatir,"000000"))</f>
        <v/>
      </c>
      <c r="B298" s="143" t="n"/>
      <c r="C298" s="143" t="n"/>
      <c r="D298" s="143" t="n"/>
      <c r="E298" s="143" t="n"/>
      <c r="F298" s="143" t="n"/>
      <c r="G298" s="143" t="n"/>
    </row>
    <row r="299" ht="18" customHeight="1" s="102">
      <c r="A299" s="137">
        <f>IF($B299="","","HRK-"&amp;TEXT(ROW()-BaslangicSatir,"000000"))</f>
        <v/>
      </c>
      <c r="B299" s="143" t="n"/>
      <c r="C299" s="143" t="n"/>
      <c r="D299" s="143" t="n"/>
      <c r="E299" s="143" t="n"/>
      <c r="F299" s="143" t="n"/>
      <c r="G299" s="143" t="n"/>
    </row>
    <row r="300" ht="18" customHeight="1" s="102">
      <c r="A300" s="137">
        <f>IF($B300="","","HRK-"&amp;TEXT(ROW()-BaslangicSatir,"000000"))</f>
        <v/>
      </c>
      <c r="B300" s="143" t="n"/>
      <c r="C300" s="143" t="n"/>
      <c r="D300" s="143" t="n"/>
      <c r="E300" s="143" t="n"/>
      <c r="F300" s="143" t="n"/>
      <c r="G300" s="143" t="n"/>
    </row>
    <row r="301" ht="18" customHeight="1" s="102">
      <c r="A301" s="137">
        <f>IF($B301="","","HRK-"&amp;TEXT(ROW()-BaslangicSatir,"000000"))</f>
        <v/>
      </c>
      <c r="B301" s="143" t="n"/>
      <c r="C301" s="143" t="n"/>
      <c r="D301" s="143" t="n"/>
      <c r="E301" s="143" t="n"/>
      <c r="F301" s="143" t="n"/>
      <c r="G301" s="143" t="n"/>
    </row>
    <row r="302" ht="18" customHeight="1" s="102">
      <c r="A302" s="137">
        <f>IF($B302="","","HRK-"&amp;TEXT(ROW()-BaslangicSatir,"000000"))</f>
        <v/>
      </c>
      <c r="B302" s="143" t="n"/>
      <c r="C302" s="143" t="n"/>
      <c r="D302" s="143" t="n"/>
      <c r="E302" s="143" t="n"/>
      <c r="F302" s="143" t="n"/>
      <c r="G302" s="143" t="n"/>
    </row>
    <row r="303" ht="18" customHeight="1" s="102">
      <c r="A303" s="137">
        <f>IF($B303="","","HRK-"&amp;TEXT(ROW()-BaslangicSatir,"000000"))</f>
        <v/>
      </c>
      <c r="B303" s="143" t="n"/>
      <c r="C303" s="143" t="n"/>
      <c r="D303" s="143" t="n"/>
      <c r="E303" s="143" t="n"/>
      <c r="F303" s="143" t="n"/>
      <c r="G303" s="143" t="n"/>
    </row>
    <row r="304" ht="18" customHeight="1" s="102">
      <c r="A304" s="137">
        <f>IF($B304="","","HRK-"&amp;TEXT(ROW()-BaslangicSatir,"000000"))</f>
        <v/>
      </c>
      <c r="B304" s="143" t="n"/>
      <c r="C304" s="143" t="n"/>
      <c r="D304" s="143" t="n"/>
      <c r="E304" s="143" t="n"/>
      <c r="F304" s="143" t="n"/>
      <c r="G304" s="143" t="n"/>
    </row>
    <row r="305" ht="18" customHeight="1" s="102">
      <c r="A305" s="137">
        <f>IF($B305="","","HRK-"&amp;TEXT(ROW()-BaslangicSatir,"000000"))</f>
        <v/>
      </c>
      <c r="B305" s="143" t="n"/>
      <c r="C305" s="143" t="n"/>
      <c r="D305" s="143" t="n"/>
      <c r="E305" s="143" t="n"/>
      <c r="F305" s="143" t="n"/>
      <c r="G305" s="143" t="n"/>
    </row>
    <row r="306" ht="18" customHeight="1" s="102">
      <c r="A306" s="137">
        <f>IF($B306="","","HRK-"&amp;TEXT(ROW()-BaslangicSatir,"000000"))</f>
        <v/>
      </c>
      <c r="B306" s="143" t="n"/>
      <c r="C306" s="143" t="n"/>
      <c r="D306" s="143" t="n"/>
      <c r="E306" s="143" t="n"/>
      <c r="F306" s="143" t="n"/>
      <c r="G306" s="143" t="n"/>
    </row>
    <row r="307" ht="18" customHeight="1" s="102">
      <c r="A307" s="137">
        <f>IF($B307="","","HRK-"&amp;TEXT(ROW()-BaslangicSatir,"000000"))</f>
        <v/>
      </c>
      <c r="B307" s="143" t="n"/>
      <c r="C307" s="143" t="n"/>
      <c r="D307" s="143" t="n"/>
      <c r="E307" s="143" t="n"/>
      <c r="F307" s="143" t="n"/>
      <c r="G307" s="143" t="n"/>
    </row>
    <row r="308" ht="18" customHeight="1" s="102">
      <c r="A308" s="137">
        <f>IF($B308="","","HRK-"&amp;TEXT(ROW()-BaslangicSatir,"000000"))</f>
        <v/>
      </c>
      <c r="B308" s="143" t="n"/>
      <c r="C308" s="143" t="n"/>
      <c r="D308" s="143" t="n"/>
      <c r="E308" s="143" t="n"/>
      <c r="F308" s="143" t="n"/>
      <c r="G308" s="143" t="n"/>
    </row>
    <row r="309" ht="18" customHeight="1" s="102">
      <c r="A309" s="137">
        <f>IF($B309="","","HRK-"&amp;TEXT(ROW()-BaslangicSatir,"000000"))</f>
        <v/>
      </c>
      <c r="B309" s="143" t="n"/>
      <c r="C309" s="143" t="n"/>
      <c r="D309" s="143" t="n"/>
      <c r="E309" s="143" t="n"/>
      <c r="F309" s="143" t="n"/>
      <c r="G309" s="143" t="n"/>
    </row>
    <row r="310" ht="18" customHeight="1" s="102">
      <c r="A310" s="137">
        <f>IF($B310="","","HRK-"&amp;TEXT(ROW()-BaslangicSatir,"000000"))</f>
        <v/>
      </c>
      <c r="B310" s="143" t="n"/>
      <c r="C310" s="143" t="n"/>
      <c r="D310" s="143" t="n"/>
      <c r="E310" s="143" t="n"/>
      <c r="F310" s="143" t="n"/>
      <c r="G310" s="143" t="n"/>
    </row>
    <row r="311" ht="18" customHeight="1" s="102">
      <c r="A311" s="137">
        <f>IF($B311="","","HRK-"&amp;TEXT(ROW()-BaslangicSatir,"000000"))</f>
        <v/>
      </c>
      <c r="B311" s="143" t="n"/>
      <c r="C311" s="143" t="n"/>
      <c r="D311" s="143" t="n"/>
      <c r="E311" s="143" t="n"/>
      <c r="F311" s="143" t="n"/>
      <c r="G311" s="143" t="n"/>
    </row>
    <row r="312" ht="18" customHeight="1" s="102">
      <c r="A312" s="137">
        <f>IF($B312="","","HRK-"&amp;TEXT(ROW()-BaslangicSatir,"000000"))</f>
        <v/>
      </c>
      <c r="B312" s="143" t="n"/>
      <c r="C312" s="143" t="n"/>
      <c r="D312" s="143" t="n"/>
      <c r="E312" s="143" t="n"/>
      <c r="F312" s="143" t="n"/>
      <c r="G312" s="143" t="n"/>
    </row>
    <row r="313" ht="18" customHeight="1" s="102">
      <c r="A313" s="137">
        <f>IF($B313="","","HRK-"&amp;TEXT(ROW()-BaslangicSatir,"000000"))</f>
        <v/>
      </c>
      <c r="B313" s="143" t="n"/>
      <c r="C313" s="143" t="n"/>
      <c r="D313" s="143" t="n"/>
      <c r="E313" s="143" t="n"/>
      <c r="F313" s="143" t="n"/>
      <c r="G313" s="143" t="n"/>
    </row>
    <row r="314" ht="18" customHeight="1" s="102">
      <c r="A314" s="137">
        <f>IF($B314="","","HRK-"&amp;TEXT(ROW()-BaslangicSatir,"000000"))</f>
        <v/>
      </c>
      <c r="B314" s="143" t="n"/>
      <c r="C314" s="143" t="n"/>
      <c r="D314" s="143" t="n"/>
      <c r="E314" s="143" t="n"/>
      <c r="F314" s="143" t="n"/>
      <c r="G314" s="143" t="n"/>
    </row>
    <row r="315" ht="18" customHeight="1" s="102">
      <c r="A315" s="137">
        <f>IF($B315="","","HRK-"&amp;TEXT(ROW()-BaslangicSatir,"000000"))</f>
        <v/>
      </c>
      <c r="B315" s="143" t="n"/>
      <c r="C315" s="143" t="n"/>
      <c r="D315" s="143" t="n"/>
      <c r="E315" s="143" t="n"/>
      <c r="F315" s="143" t="n"/>
      <c r="G315" s="143" t="n"/>
    </row>
    <row r="316" ht="18" customHeight="1" s="102">
      <c r="A316" s="137">
        <f>IF($B316="","","HRK-"&amp;TEXT(ROW()-BaslangicSatir,"000000"))</f>
        <v/>
      </c>
      <c r="B316" s="143" t="n"/>
      <c r="C316" s="143" t="n"/>
      <c r="D316" s="143" t="n"/>
      <c r="E316" s="143" t="n"/>
      <c r="F316" s="143" t="n"/>
      <c r="G316" s="143" t="n"/>
    </row>
    <row r="317" ht="18" customHeight="1" s="102">
      <c r="A317" s="137">
        <f>IF($B317="","","HRK-"&amp;TEXT(ROW()-BaslangicSatir,"000000"))</f>
        <v/>
      </c>
      <c r="B317" s="143" t="n"/>
      <c r="C317" s="143" t="n"/>
      <c r="D317" s="143" t="n"/>
      <c r="E317" s="143" t="n"/>
      <c r="F317" s="143" t="n"/>
      <c r="G317" s="143" t="n"/>
    </row>
    <row r="318" ht="18" customHeight="1" s="102">
      <c r="A318" s="137">
        <f>IF($B318="","","HRK-"&amp;TEXT(ROW()-BaslangicSatir,"000000"))</f>
        <v/>
      </c>
      <c r="B318" s="143" t="n"/>
      <c r="C318" s="143" t="n"/>
      <c r="D318" s="143" t="n"/>
      <c r="E318" s="143" t="n"/>
      <c r="F318" s="143" t="n"/>
      <c r="G318" s="143" t="n"/>
    </row>
    <row r="319" ht="18" customHeight="1" s="102">
      <c r="A319" s="137">
        <f>IF($B319="","","HRK-"&amp;TEXT(ROW()-BaslangicSatir,"000000"))</f>
        <v/>
      </c>
      <c r="B319" s="143" t="n"/>
      <c r="C319" s="143" t="n"/>
      <c r="D319" s="143" t="n"/>
      <c r="E319" s="143" t="n"/>
      <c r="F319" s="143" t="n"/>
      <c r="G319" s="143" t="n"/>
    </row>
    <row r="320" ht="18" customHeight="1" s="102">
      <c r="A320" s="137">
        <f>IF($B320="","","HRK-"&amp;TEXT(ROW()-BaslangicSatir,"000000"))</f>
        <v/>
      </c>
      <c r="B320" s="143" t="n"/>
      <c r="C320" s="143" t="n"/>
      <c r="D320" s="143" t="n"/>
      <c r="E320" s="143" t="n"/>
      <c r="F320" s="143" t="n"/>
      <c r="G320" s="143" t="n"/>
    </row>
    <row r="321" ht="18" customHeight="1" s="102">
      <c r="A321" s="137">
        <f>IF($B321="","","HRK-"&amp;TEXT(ROW()-BaslangicSatir,"000000"))</f>
        <v/>
      </c>
      <c r="B321" s="143" t="n"/>
      <c r="C321" s="143" t="n"/>
      <c r="D321" s="143" t="n"/>
      <c r="E321" s="143" t="n"/>
      <c r="F321" s="143" t="n"/>
      <c r="G321" s="143" t="n"/>
    </row>
    <row r="322" ht="18" customHeight="1" s="102">
      <c r="A322" s="137">
        <f>IF($B322="","","HRK-"&amp;TEXT(ROW()-BaslangicSatir,"000000"))</f>
        <v/>
      </c>
      <c r="B322" s="143" t="n"/>
      <c r="C322" s="143" t="n"/>
      <c r="D322" s="143" t="n"/>
      <c r="E322" s="143" t="n"/>
      <c r="F322" s="143" t="n"/>
      <c r="G322" s="143" t="n"/>
    </row>
    <row r="323" ht="18" customHeight="1" s="102">
      <c r="A323" s="137">
        <f>IF($B323="","","HRK-"&amp;TEXT(ROW()-BaslangicSatir,"000000"))</f>
        <v/>
      </c>
      <c r="B323" s="143" t="n"/>
      <c r="C323" s="143" t="n"/>
      <c r="D323" s="143" t="n"/>
      <c r="E323" s="143" t="n"/>
      <c r="F323" s="143" t="n"/>
      <c r="G323" s="143" t="n"/>
    </row>
    <row r="324" ht="18" customHeight="1" s="102">
      <c r="A324" s="137">
        <f>IF($B324="","","HRK-"&amp;TEXT(ROW()-BaslangicSatir,"000000"))</f>
        <v/>
      </c>
      <c r="B324" s="143" t="n"/>
      <c r="C324" s="143" t="n"/>
      <c r="D324" s="143" t="n"/>
      <c r="E324" s="143" t="n"/>
      <c r="F324" s="143" t="n"/>
      <c r="G324" s="143" t="n"/>
    </row>
    <row r="325" ht="18" customHeight="1" s="102">
      <c r="A325" s="137">
        <f>IF($B325="","","HRK-"&amp;TEXT(ROW()-BaslangicSatir,"000000"))</f>
        <v/>
      </c>
      <c r="B325" s="143" t="n"/>
      <c r="C325" s="143" t="n"/>
      <c r="D325" s="143" t="n"/>
      <c r="E325" s="143" t="n"/>
      <c r="F325" s="143" t="n"/>
      <c r="G325" s="143" t="n"/>
    </row>
    <row r="326" ht="18" customHeight="1" s="102">
      <c r="A326" s="137">
        <f>IF($B326="","","HRK-"&amp;TEXT(ROW()-BaslangicSatir,"000000"))</f>
        <v/>
      </c>
      <c r="B326" s="143" t="n"/>
      <c r="C326" s="143" t="n"/>
      <c r="D326" s="143" t="n"/>
      <c r="E326" s="143" t="n"/>
      <c r="F326" s="143" t="n"/>
      <c r="G326" s="143" t="n"/>
    </row>
    <row r="327" ht="18" customHeight="1" s="102">
      <c r="A327" s="137">
        <f>IF($B327="","","HRK-"&amp;TEXT(ROW()-BaslangicSatir,"000000"))</f>
        <v/>
      </c>
      <c r="B327" s="143" t="n"/>
      <c r="C327" s="143" t="n"/>
      <c r="D327" s="143" t="n"/>
      <c r="E327" s="143" t="n"/>
      <c r="F327" s="143" t="n"/>
      <c r="G327" s="143" t="n"/>
    </row>
    <row r="328" ht="18" customHeight="1" s="102">
      <c r="A328" s="137">
        <f>IF($B328="","","HRK-"&amp;TEXT(ROW()-BaslangicSatir,"000000"))</f>
        <v/>
      </c>
      <c r="B328" s="143" t="n"/>
      <c r="C328" s="143" t="n"/>
      <c r="D328" s="143" t="n"/>
      <c r="E328" s="143" t="n"/>
      <c r="F328" s="143" t="n"/>
      <c r="G328" s="143" t="n"/>
    </row>
    <row r="329" ht="18" customHeight="1" s="102">
      <c r="A329" s="137">
        <f>IF($B329="","","HRK-"&amp;TEXT(ROW()-BaslangicSatir,"000000"))</f>
        <v/>
      </c>
      <c r="B329" s="143" t="n"/>
      <c r="C329" s="143" t="n"/>
      <c r="D329" s="143" t="n"/>
      <c r="E329" s="143" t="n"/>
      <c r="F329" s="143" t="n"/>
      <c r="G329" s="143" t="n"/>
    </row>
    <row r="330" ht="18" customHeight="1" s="102">
      <c r="A330" s="137">
        <f>IF($B330="","","HRK-"&amp;TEXT(ROW()-BaslangicSatir,"000000"))</f>
        <v/>
      </c>
      <c r="B330" s="143" t="n"/>
      <c r="C330" s="143" t="n"/>
      <c r="D330" s="143" t="n"/>
      <c r="E330" s="143" t="n"/>
      <c r="F330" s="143" t="n"/>
      <c r="G330" s="143" t="n"/>
    </row>
    <row r="331" ht="18" customHeight="1" s="102">
      <c r="A331" s="137">
        <f>IF($B331="","","HRK-"&amp;TEXT(ROW()-BaslangicSatir,"000000"))</f>
        <v/>
      </c>
      <c r="B331" s="143" t="n"/>
      <c r="C331" s="143" t="n"/>
      <c r="D331" s="143" t="n"/>
      <c r="E331" s="143" t="n"/>
      <c r="F331" s="143" t="n"/>
      <c r="G331" s="143" t="n"/>
    </row>
    <row r="332" ht="18" customHeight="1" s="102">
      <c r="A332" s="137">
        <f>IF($B332="","","HRK-"&amp;TEXT(ROW()-BaslangicSatir,"000000"))</f>
        <v/>
      </c>
      <c r="B332" s="143" t="n"/>
      <c r="C332" s="143" t="n"/>
      <c r="D332" s="143" t="n"/>
      <c r="E332" s="143" t="n"/>
      <c r="F332" s="143" t="n"/>
      <c r="G332" s="143" t="n"/>
    </row>
    <row r="333" ht="18" customHeight="1" s="102">
      <c r="A333" s="137">
        <f>IF($B333="","","HRK-"&amp;TEXT(ROW()-BaslangicSatir,"000000"))</f>
        <v/>
      </c>
      <c r="B333" s="143" t="n"/>
      <c r="C333" s="143" t="n"/>
      <c r="D333" s="143" t="n"/>
      <c r="E333" s="143" t="n"/>
      <c r="F333" s="143" t="n"/>
      <c r="G333" s="143" t="n"/>
    </row>
    <row r="334" ht="18" customHeight="1" s="102">
      <c r="A334" s="137">
        <f>IF($B334="","","HRK-"&amp;TEXT(ROW()-BaslangicSatir,"000000"))</f>
        <v/>
      </c>
      <c r="B334" s="143" t="n"/>
      <c r="C334" s="143" t="n"/>
      <c r="D334" s="143" t="n"/>
      <c r="E334" s="143" t="n"/>
      <c r="F334" s="143" t="n"/>
      <c r="G334" s="143" t="n"/>
    </row>
    <row r="335" ht="18" customHeight="1" s="102">
      <c r="A335" s="137">
        <f>IF($B335="","","HRK-"&amp;TEXT(ROW()-BaslangicSatir,"000000"))</f>
        <v/>
      </c>
      <c r="B335" s="143" t="n"/>
      <c r="C335" s="143" t="n"/>
      <c r="D335" s="143" t="n"/>
      <c r="E335" s="143" t="n"/>
      <c r="F335" s="143" t="n"/>
      <c r="G335" s="143" t="n"/>
    </row>
    <row r="336" ht="18" customHeight="1" s="102">
      <c r="A336" s="137">
        <f>IF($B336="","","HRK-"&amp;TEXT(ROW()-BaslangicSatir,"000000"))</f>
        <v/>
      </c>
      <c r="B336" s="143" t="n"/>
      <c r="C336" s="143" t="n"/>
      <c r="D336" s="143" t="n"/>
      <c r="E336" s="143" t="n"/>
      <c r="F336" s="143" t="n"/>
      <c r="G336" s="143" t="n"/>
    </row>
    <row r="337" ht="18" customHeight="1" s="102">
      <c r="A337" s="137">
        <f>IF($B337="","","HRK-"&amp;TEXT(ROW()-BaslangicSatir,"000000"))</f>
        <v/>
      </c>
      <c r="B337" s="143" t="n"/>
      <c r="C337" s="143" t="n"/>
      <c r="D337" s="143" t="n"/>
      <c r="E337" s="143" t="n"/>
      <c r="F337" s="143" t="n"/>
      <c r="G337" s="143" t="n"/>
    </row>
    <row r="338" ht="18" customHeight="1" s="102">
      <c r="A338" s="137">
        <f>IF($B338="","","HRK-"&amp;TEXT(ROW()-BaslangicSatir,"000000"))</f>
        <v/>
      </c>
      <c r="B338" s="143" t="n"/>
      <c r="C338" s="143" t="n"/>
      <c r="D338" s="143" t="n"/>
      <c r="E338" s="143" t="n"/>
      <c r="F338" s="143" t="n"/>
      <c r="G338" s="143" t="n"/>
    </row>
    <row r="339" ht="18" customHeight="1" s="102">
      <c r="A339" s="137">
        <f>IF($B339="","","HRK-"&amp;TEXT(ROW()-BaslangicSatir,"000000"))</f>
        <v/>
      </c>
      <c r="B339" s="143" t="n"/>
      <c r="C339" s="143" t="n"/>
      <c r="D339" s="143" t="n"/>
      <c r="E339" s="143" t="n"/>
      <c r="F339" s="143" t="n"/>
      <c r="G339" s="143" t="n"/>
    </row>
    <row r="340" ht="18" customHeight="1" s="102">
      <c r="A340" s="137">
        <f>IF($B340="","","HRK-"&amp;TEXT(ROW()-BaslangicSatir,"000000"))</f>
        <v/>
      </c>
      <c r="B340" s="143" t="n"/>
      <c r="C340" s="143" t="n"/>
      <c r="D340" s="143" t="n"/>
      <c r="E340" s="143" t="n"/>
      <c r="F340" s="143" t="n"/>
      <c r="G340" s="143" t="n"/>
    </row>
    <row r="341" ht="18" customHeight="1" s="102">
      <c r="A341" s="137">
        <f>IF($B341="","","HRK-"&amp;TEXT(ROW()-BaslangicSatir,"000000"))</f>
        <v/>
      </c>
      <c r="B341" s="143" t="n"/>
      <c r="C341" s="143" t="n"/>
      <c r="D341" s="143" t="n"/>
      <c r="E341" s="143" t="n"/>
      <c r="F341" s="143" t="n"/>
      <c r="G341" s="143" t="n"/>
    </row>
    <row r="342" ht="18" customHeight="1" s="102">
      <c r="A342" s="137">
        <f>IF($B342="","","HRK-"&amp;TEXT(ROW()-BaslangicSatir,"000000"))</f>
        <v/>
      </c>
      <c r="B342" s="143" t="n"/>
      <c r="C342" s="143" t="n"/>
      <c r="D342" s="143" t="n"/>
      <c r="E342" s="143" t="n"/>
      <c r="F342" s="143" t="n"/>
      <c r="G342" s="143" t="n"/>
    </row>
    <row r="343" ht="18" customHeight="1" s="102">
      <c r="A343" s="137">
        <f>IF($B343="","","HRK-"&amp;TEXT(ROW()-BaslangicSatir,"000000"))</f>
        <v/>
      </c>
      <c r="B343" s="143" t="n"/>
      <c r="C343" s="143" t="n"/>
      <c r="D343" s="143" t="n"/>
      <c r="E343" s="143" t="n"/>
      <c r="F343" s="143" t="n"/>
      <c r="G343" s="143" t="n"/>
    </row>
    <row r="344" ht="18" customHeight="1" s="102">
      <c r="A344" s="137">
        <f>IF($B344="","","HRK-"&amp;TEXT(ROW()-BaslangicSatir,"000000"))</f>
        <v/>
      </c>
      <c r="B344" s="143" t="n"/>
      <c r="C344" s="143" t="n"/>
      <c r="D344" s="143" t="n"/>
      <c r="E344" s="143" t="n"/>
      <c r="F344" s="143" t="n"/>
      <c r="G344" s="143" t="n"/>
    </row>
    <row r="345" ht="18" customHeight="1" s="102">
      <c r="A345" s="137">
        <f>IF($B345="","","HRK-"&amp;TEXT(ROW()-BaslangicSatir,"000000"))</f>
        <v/>
      </c>
      <c r="B345" s="143" t="n"/>
      <c r="C345" s="143" t="n"/>
      <c r="D345" s="143" t="n"/>
      <c r="E345" s="143" t="n"/>
      <c r="F345" s="143" t="n"/>
      <c r="G345" s="143" t="n"/>
    </row>
    <row r="346" ht="18" customHeight="1" s="102">
      <c r="A346" s="137">
        <f>IF($B346="","","HRK-"&amp;TEXT(ROW()-BaslangicSatir,"000000"))</f>
        <v/>
      </c>
      <c r="B346" s="143" t="n"/>
      <c r="C346" s="143" t="n"/>
      <c r="D346" s="143" t="n"/>
      <c r="E346" s="143" t="n"/>
      <c r="F346" s="143" t="n"/>
      <c r="G346" s="143" t="n"/>
    </row>
    <row r="347" ht="18" customHeight="1" s="102">
      <c r="A347" s="137">
        <f>IF($B347="","","HRK-"&amp;TEXT(ROW()-BaslangicSatir,"000000"))</f>
        <v/>
      </c>
      <c r="B347" s="143" t="n"/>
      <c r="C347" s="143" t="n"/>
      <c r="D347" s="143" t="n"/>
      <c r="E347" s="143" t="n"/>
      <c r="F347" s="143" t="n"/>
      <c r="G347" s="143" t="n"/>
    </row>
    <row r="348" ht="18" customHeight="1" s="102">
      <c r="A348" s="137">
        <f>IF($B348="","","HRK-"&amp;TEXT(ROW()-BaslangicSatir,"000000"))</f>
        <v/>
      </c>
      <c r="B348" s="143" t="n"/>
      <c r="C348" s="143" t="n"/>
      <c r="D348" s="143" t="n"/>
      <c r="E348" s="143" t="n"/>
      <c r="F348" s="143" t="n"/>
      <c r="G348" s="143" t="n"/>
    </row>
    <row r="349" ht="18" customHeight="1" s="102">
      <c r="A349" s="137">
        <f>IF($B349="","","HRK-"&amp;TEXT(ROW()-BaslangicSatir,"000000"))</f>
        <v/>
      </c>
      <c r="B349" s="143" t="n"/>
      <c r="C349" s="143" t="n"/>
      <c r="D349" s="143" t="n"/>
      <c r="E349" s="143" t="n"/>
      <c r="F349" s="143" t="n"/>
      <c r="G349" s="143" t="n"/>
    </row>
    <row r="350" ht="18" customHeight="1" s="102">
      <c r="A350" s="137">
        <f>IF($B350="","","HRK-"&amp;TEXT(ROW()-BaslangicSatir,"000000"))</f>
        <v/>
      </c>
      <c r="B350" s="143" t="n"/>
      <c r="C350" s="143" t="n"/>
      <c r="D350" s="143" t="n"/>
      <c r="E350" s="143" t="n"/>
      <c r="F350" s="143" t="n"/>
      <c r="G350" s="143" t="n"/>
    </row>
    <row r="351" ht="18" customHeight="1" s="102">
      <c r="A351" s="137">
        <f>IF($B351="","","HRK-"&amp;TEXT(ROW()-BaslangicSatir,"000000"))</f>
        <v/>
      </c>
      <c r="B351" s="143" t="n"/>
      <c r="C351" s="143" t="n"/>
      <c r="D351" s="143" t="n"/>
      <c r="E351" s="143" t="n"/>
      <c r="F351" s="143" t="n"/>
      <c r="G351" s="143" t="n"/>
    </row>
    <row r="352" ht="18" customHeight="1" s="102">
      <c r="A352" s="137">
        <f>IF($B352="","","HRK-"&amp;TEXT(ROW()-BaslangicSatir,"000000"))</f>
        <v/>
      </c>
      <c r="B352" s="143" t="n"/>
      <c r="C352" s="143" t="n"/>
      <c r="D352" s="143" t="n"/>
      <c r="E352" s="143" t="n"/>
      <c r="F352" s="143" t="n"/>
      <c r="G352" s="143" t="n"/>
    </row>
    <row r="353" ht="18" customHeight="1" s="102">
      <c r="A353" s="137">
        <f>IF($B353="","","HRK-"&amp;TEXT(ROW()-BaslangicSatir,"000000"))</f>
        <v/>
      </c>
      <c r="B353" s="143" t="n"/>
      <c r="C353" s="143" t="n"/>
      <c r="D353" s="143" t="n"/>
      <c r="E353" s="143" t="n"/>
      <c r="F353" s="143" t="n"/>
      <c r="G353" s="143" t="n"/>
    </row>
    <row r="354" ht="18" customHeight="1" s="102">
      <c r="A354" s="137">
        <f>IF($B354="","","HRK-"&amp;TEXT(ROW()-BaslangicSatir,"000000"))</f>
        <v/>
      </c>
      <c r="B354" s="143" t="n"/>
      <c r="C354" s="143" t="n"/>
      <c r="D354" s="143" t="n"/>
      <c r="E354" s="143" t="n"/>
      <c r="F354" s="143" t="n"/>
      <c r="G354" s="143" t="n"/>
    </row>
    <row r="355" ht="18" customHeight="1" s="102">
      <c r="A355" s="137">
        <f>IF($B355="","","HRK-"&amp;TEXT(ROW()-BaslangicSatir,"000000"))</f>
        <v/>
      </c>
      <c r="B355" s="143" t="n"/>
      <c r="C355" s="143" t="n"/>
      <c r="D355" s="143" t="n"/>
      <c r="E355" s="143" t="n"/>
      <c r="F355" s="143" t="n"/>
      <c r="G355" s="143" t="n"/>
    </row>
    <row r="356" ht="18" customHeight="1" s="102">
      <c r="A356" s="137">
        <f>IF($B356="","","HRK-"&amp;TEXT(ROW()-BaslangicSatir,"000000"))</f>
        <v/>
      </c>
      <c r="B356" s="143" t="n"/>
      <c r="C356" s="143" t="n"/>
      <c r="D356" s="143" t="n"/>
      <c r="E356" s="143" t="n"/>
      <c r="F356" s="143" t="n"/>
      <c r="G356" s="143" t="n"/>
    </row>
    <row r="357" ht="18" customHeight="1" s="102">
      <c r="A357" s="137">
        <f>IF($B357="","","HRK-"&amp;TEXT(ROW()-BaslangicSatir,"000000"))</f>
        <v/>
      </c>
      <c r="B357" s="143" t="n"/>
      <c r="C357" s="143" t="n"/>
      <c r="D357" s="143" t="n"/>
      <c r="E357" s="143" t="n"/>
      <c r="F357" s="143" t="n"/>
      <c r="G357" s="143" t="n"/>
    </row>
    <row r="358" ht="18" customHeight="1" s="102">
      <c r="A358" s="137">
        <f>IF($B358="","","HRK-"&amp;TEXT(ROW()-BaslangicSatir,"000000"))</f>
        <v/>
      </c>
      <c r="B358" s="143" t="n"/>
      <c r="C358" s="143" t="n"/>
      <c r="D358" s="143" t="n"/>
      <c r="E358" s="143" t="n"/>
      <c r="F358" s="143" t="n"/>
      <c r="G358" s="143" t="n"/>
    </row>
    <row r="359" ht="18" customHeight="1" s="102">
      <c r="A359" s="137">
        <f>IF($B359="","","HRK-"&amp;TEXT(ROW()-BaslangicSatir,"000000"))</f>
        <v/>
      </c>
      <c r="B359" s="143" t="n"/>
      <c r="C359" s="143" t="n"/>
      <c r="D359" s="143" t="n"/>
      <c r="E359" s="143" t="n"/>
      <c r="F359" s="143" t="n"/>
      <c r="G359" s="143" t="n"/>
    </row>
    <row r="360" ht="18" customHeight="1" s="102">
      <c r="A360" s="137">
        <f>IF($B360="","","HRK-"&amp;TEXT(ROW()-BaslangicSatir,"000000"))</f>
        <v/>
      </c>
      <c r="B360" s="143" t="n"/>
      <c r="C360" s="143" t="n"/>
      <c r="D360" s="143" t="n"/>
      <c r="E360" s="143" t="n"/>
      <c r="F360" s="143" t="n"/>
      <c r="G360" s="143" t="n"/>
    </row>
    <row r="361" ht="18" customHeight="1" s="102">
      <c r="A361" s="137">
        <f>IF($B361="","","HRK-"&amp;TEXT(ROW()-BaslangicSatir,"000000"))</f>
        <v/>
      </c>
      <c r="B361" s="143" t="n"/>
      <c r="C361" s="143" t="n"/>
      <c r="D361" s="143" t="n"/>
      <c r="E361" s="143" t="n"/>
      <c r="F361" s="143" t="n"/>
      <c r="G361" s="143" t="n"/>
    </row>
    <row r="362" ht="18" customHeight="1" s="102">
      <c r="A362" s="137">
        <f>IF($B362="","","HRK-"&amp;TEXT(ROW()-BaslangicSatir,"000000"))</f>
        <v/>
      </c>
      <c r="B362" s="143" t="n"/>
      <c r="C362" s="143" t="n"/>
      <c r="D362" s="143" t="n"/>
      <c r="E362" s="143" t="n"/>
      <c r="F362" s="143" t="n"/>
      <c r="G362" s="143" t="n"/>
    </row>
    <row r="363" ht="18" customHeight="1" s="102">
      <c r="A363" s="137">
        <f>IF($B363="","","HRK-"&amp;TEXT(ROW()-BaslangicSatir,"000000"))</f>
        <v/>
      </c>
      <c r="B363" s="143" t="n"/>
      <c r="C363" s="143" t="n"/>
      <c r="D363" s="143" t="n"/>
      <c r="E363" s="143" t="n"/>
      <c r="F363" s="143" t="n"/>
      <c r="G363" s="143" t="n"/>
    </row>
    <row r="364" ht="18" customHeight="1" s="102">
      <c r="A364" s="137">
        <f>IF($B364="","","HRK-"&amp;TEXT(ROW()-BaslangicSatir,"000000"))</f>
        <v/>
      </c>
      <c r="B364" s="143" t="n"/>
      <c r="C364" s="143" t="n"/>
      <c r="D364" s="143" t="n"/>
      <c r="E364" s="143" t="n"/>
      <c r="F364" s="143" t="n"/>
      <c r="G364" s="143" t="n"/>
    </row>
    <row r="365" ht="18" customHeight="1" s="102">
      <c r="A365" s="137">
        <f>IF($B365="","","HRK-"&amp;TEXT(ROW()-BaslangicSatir,"000000"))</f>
        <v/>
      </c>
      <c r="B365" s="143" t="n"/>
      <c r="C365" s="143" t="n"/>
      <c r="D365" s="143" t="n"/>
      <c r="E365" s="143" t="n"/>
      <c r="F365" s="143" t="n"/>
      <c r="G365" s="143" t="n"/>
    </row>
    <row r="366" ht="18" customHeight="1" s="102">
      <c r="A366" s="137">
        <f>IF($B366="","","HRK-"&amp;TEXT(ROW()-BaslangicSatir,"000000"))</f>
        <v/>
      </c>
      <c r="B366" s="143" t="n"/>
      <c r="C366" s="143" t="n"/>
      <c r="D366" s="143" t="n"/>
      <c r="E366" s="143" t="n"/>
      <c r="F366" s="143" t="n"/>
      <c r="G366" s="143" t="n"/>
    </row>
    <row r="367" ht="18" customHeight="1" s="102">
      <c r="A367" s="137">
        <f>IF($B367="","","HRK-"&amp;TEXT(ROW()-BaslangicSatir,"000000"))</f>
        <v/>
      </c>
      <c r="B367" s="143" t="n"/>
      <c r="C367" s="143" t="n"/>
      <c r="D367" s="143" t="n"/>
      <c r="E367" s="143" t="n"/>
      <c r="F367" s="143" t="n"/>
      <c r="G367" s="143" t="n"/>
    </row>
    <row r="368" ht="18" customHeight="1" s="102">
      <c r="A368" s="137">
        <f>IF($B368="","","HRK-"&amp;TEXT(ROW()-BaslangicSatir,"000000"))</f>
        <v/>
      </c>
      <c r="B368" s="143" t="n"/>
      <c r="C368" s="143" t="n"/>
      <c r="D368" s="143" t="n"/>
      <c r="E368" s="143" t="n"/>
      <c r="F368" s="143" t="n"/>
      <c r="G368" s="143" t="n"/>
    </row>
    <row r="369" ht="18" customHeight="1" s="102">
      <c r="A369" s="137">
        <f>IF($B369="","","HRK-"&amp;TEXT(ROW()-BaslangicSatir,"000000"))</f>
        <v/>
      </c>
      <c r="B369" s="143" t="n"/>
      <c r="C369" s="143" t="n"/>
      <c r="D369" s="143" t="n"/>
      <c r="E369" s="143" t="n"/>
      <c r="F369" s="143" t="n"/>
      <c r="G369" s="143" t="n"/>
    </row>
    <row r="370" ht="18" customHeight="1" s="102">
      <c r="A370" s="137">
        <f>IF($B370="","","HRK-"&amp;TEXT(ROW()-BaslangicSatir,"000000"))</f>
        <v/>
      </c>
      <c r="B370" s="143" t="n"/>
      <c r="C370" s="143" t="n"/>
      <c r="D370" s="143" t="n"/>
      <c r="E370" s="143" t="n"/>
      <c r="F370" s="143" t="n"/>
      <c r="G370" s="143" t="n"/>
    </row>
    <row r="371" ht="18" customHeight="1" s="102">
      <c r="A371" s="137">
        <f>IF($B371="","","HRK-"&amp;TEXT(ROW()-BaslangicSatir,"000000"))</f>
        <v/>
      </c>
      <c r="B371" s="143" t="n"/>
      <c r="C371" s="143" t="n"/>
      <c r="D371" s="143" t="n"/>
      <c r="E371" s="143" t="n"/>
      <c r="F371" s="143" t="n"/>
      <c r="G371" s="143" t="n"/>
    </row>
    <row r="372" ht="18" customHeight="1" s="102">
      <c r="A372" s="137">
        <f>IF($B372="","","HRK-"&amp;TEXT(ROW()-BaslangicSatir,"000000"))</f>
        <v/>
      </c>
      <c r="B372" s="143" t="n"/>
      <c r="C372" s="143" t="n"/>
      <c r="D372" s="143" t="n"/>
      <c r="E372" s="143" t="n"/>
      <c r="F372" s="143" t="n"/>
      <c r="G372" s="143" t="n"/>
    </row>
    <row r="373" ht="18" customHeight="1" s="102">
      <c r="A373" s="137">
        <f>IF($B373="","","HRK-"&amp;TEXT(ROW()-BaslangicSatir,"000000"))</f>
        <v/>
      </c>
      <c r="B373" s="143" t="n"/>
      <c r="C373" s="143" t="n"/>
      <c r="D373" s="143" t="n"/>
      <c r="E373" s="143" t="n"/>
      <c r="F373" s="143" t="n"/>
      <c r="G373" s="143" t="n"/>
    </row>
    <row r="374" ht="18" customHeight="1" s="102">
      <c r="A374" s="137">
        <f>IF($B374="","","HRK-"&amp;TEXT(ROW()-BaslangicSatir,"000000"))</f>
        <v/>
      </c>
      <c r="B374" s="143" t="n"/>
      <c r="C374" s="143" t="n"/>
      <c r="D374" s="143" t="n"/>
      <c r="E374" s="143" t="n"/>
      <c r="F374" s="143" t="n"/>
      <c r="G374" s="143" t="n"/>
    </row>
    <row r="375" ht="18" customHeight="1" s="102">
      <c r="A375" s="137">
        <f>IF($B375="","","HRK-"&amp;TEXT(ROW()-BaslangicSatir,"000000"))</f>
        <v/>
      </c>
      <c r="B375" s="143" t="n"/>
      <c r="C375" s="143" t="n"/>
      <c r="D375" s="143" t="n"/>
      <c r="E375" s="143" t="n"/>
      <c r="F375" s="143" t="n"/>
      <c r="G375" s="143" t="n"/>
    </row>
    <row r="376" ht="18" customHeight="1" s="102">
      <c r="A376" s="137">
        <f>IF($B376="","","HRK-"&amp;TEXT(ROW()-BaslangicSatir,"000000"))</f>
        <v/>
      </c>
      <c r="B376" s="143" t="n"/>
      <c r="C376" s="143" t="n"/>
      <c r="D376" s="143" t="n"/>
      <c r="E376" s="143" t="n"/>
      <c r="F376" s="143" t="n"/>
      <c r="G376" s="143" t="n"/>
    </row>
    <row r="377" ht="18" customHeight="1" s="102">
      <c r="A377" s="137">
        <f>IF($B377="","","HRK-"&amp;TEXT(ROW()-BaslangicSatir,"000000"))</f>
        <v/>
      </c>
      <c r="B377" s="143" t="n"/>
      <c r="C377" s="143" t="n"/>
      <c r="D377" s="143" t="n"/>
      <c r="E377" s="143" t="n"/>
      <c r="F377" s="143" t="n"/>
      <c r="G377" s="143" t="n"/>
    </row>
    <row r="378" ht="18" customHeight="1" s="102">
      <c r="A378" s="137">
        <f>IF($B378="","","HRK-"&amp;TEXT(ROW()-BaslangicSatir,"000000"))</f>
        <v/>
      </c>
      <c r="B378" s="143" t="n"/>
      <c r="C378" s="143" t="n"/>
      <c r="D378" s="143" t="n"/>
      <c r="E378" s="143" t="n"/>
      <c r="F378" s="143" t="n"/>
      <c r="G378" s="143" t="n"/>
    </row>
    <row r="379" ht="18" customHeight="1" s="102">
      <c r="A379" s="137">
        <f>IF($B379="","","HRK-"&amp;TEXT(ROW()-BaslangicSatir,"000000"))</f>
        <v/>
      </c>
      <c r="B379" s="143" t="n"/>
      <c r="C379" s="143" t="n"/>
      <c r="D379" s="143" t="n"/>
      <c r="E379" s="143" t="n"/>
      <c r="F379" s="143" t="n"/>
      <c r="G379" s="143" t="n"/>
    </row>
    <row r="380" ht="18" customHeight="1" s="102">
      <c r="A380" s="137">
        <f>IF($B380="","","HRK-"&amp;TEXT(ROW()-BaslangicSatir,"000000"))</f>
        <v/>
      </c>
      <c r="B380" s="143" t="n"/>
      <c r="C380" s="143" t="n"/>
      <c r="D380" s="143" t="n"/>
      <c r="E380" s="143" t="n"/>
      <c r="F380" s="143" t="n"/>
      <c r="G380" s="143" t="n"/>
    </row>
    <row r="381" ht="18" customHeight="1" s="102">
      <c r="A381" s="137">
        <f>IF($B381="","","HRK-"&amp;TEXT(ROW()-BaslangicSatir,"000000"))</f>
        <v/>
      </c>
      <c r="B381" s="143" t="n"/>
      <c r="C381" s="143" t="n"/>
      <c r="D381" s="143" t="n"/>
      <c r="E381" s="143" t="n"/>
      <c r="F381" s="143" t="n"/>
      <c r="G381" s="143" t="n"/>
    </row>
    <row r="382" ht="18" customHeight="1" s="102">
      <c r="A382" s="137">
        <f>IF($B382="","","HRK-"&amp;TEXT(ROW()-BaslangicSatir,"000000"))</f>
        <v/>
      </c>
      <c r="B382" s="143" t="n"/>
      <c r="C382" s="143" t="n"/>
      <c r="D382" s="143" t="n"/>
      <c r="E382" s="143" t="n"/>
      <c r="F382" s="143" t="n"/>
      <c r="G382" s="143" t="n"/>
    </row>
    <row r="383" ht="18" customHeight="1" s="102">
      <c r="A383" s="137">
        <f>IF($B383="","","HRK-"&amp;TEXT(ROW()-BaslangicSatir,"000000"))</f>
        <v/>
      </c>
      <c r="B383" s="143" t="n"/>
      <c r="C383" s="143" t="n"/>
      <c r="D383" s="143" t="n"/>
      <c r="E383" s="143" t="n"/>
      <c r="F383" s="143" t="n"/>
      <c r="G383" s="143" t="n"/>
    </row>
    <row r="384" ht="18" customHeight="1" s="102">
      <c r="A384" s="137">
        <f>IF($B384="","","HRK-"&amp;TEXT(ROW()-BaslangicSatir,"000000"))</f>
        <v/>
      </c>
      <c r="B384" s="143" t="n"/>
      <c r="C384" s="143" t="n"/>
      <c r="D384" s="143" t="n"/>
      <c r="E384" s="143" t="n"/>
      <c r="F384" s="143" t="n"/>
      <c r="G384" s="143" t="n"/>
    </row>
    <row r="385" ht="18" customHeight="1" s="102">
      <c r="A385" s="137">
        <f>IF($B385="","","HRK-"&amp;TEXT(ROW()-BaslangicSatir,"000000"))</f>
        <v/>
      </c>
      <c r="B385" s="143" t="n"/>
      <c r="C385" s="143" t="n"/>
      <c r="D385" s="143" t="n"/>
      <c r="E385" s="143" t="n"/>
      <c r="F385" s="143" t="n"/>
      <c r="G385" s="143" t="n"/>
    </row>
    <row r="386" ht="18" customHeight="1" s="102">
      <c r="A386" s="137">
        <f>IF($B386="","","HRK-"&amp;TEXT(ROW()-BaslangicSatir,"000000"))</f>
        <v/>
      </c>
      <c r="B386" s="143" t="n"/>
      <c r="C386" s="143" t="n"/>
      <c r="D386" s="143" t="n"/>
      <c r="E386" s="143" t="n"/>
      <c r="F386" s="143" t="n"/>
      <c r="G386" s="143" t="n"/>
    </row>
    <row r="387" ht="18" customHeight="1" s="102">
      <c r="A387" s="137">
        <f>IF($B387="","","HRK-"&amp;TEXT(ROW()-BaslangicSatir,"000000"))</f>
        <v/>
      </c>
      <c r="B387" s="143" t="n"/>
      <c r="C387" s="143" t="n"/>
      <c r="D387" s="143" t="n"/>
      <c r="E387" s="143" t="n"/>
      <c r="F387" s="143" t="n"/>
      <c r="G387" s="143" t="n"/>
    </row>
    <row r="388" ht="18" customHeight="1" s="102">
      <c r="A388" s="137">
        <f>IF($B388="","","HRK-"&amp;TEXT(ROW()-BaslangicSatir,"000000"))</f>
        <v/>
      </c>
      <c r="B388" s="143" t="n"/>
      <c r="C388" s="143" t="n"/>
      <c r="D388" s="143" t="n"/>
      <c r="E388" s="143" t="n"/>
      <c r="F388" s="143" t="n"/>
      <c r="G388" s="143" t="n"/>
    </row>
    <row r="389" ht="18" customHeight="1" s="102">
      <c r="A389" s="137">
        <f>IF($B389="","","HRK-"&amp;TEXT(ROW()-BaslangicSatir,"000000"))</f>
        <v/>
      </c>
      <c r="B389" s="143" t="n"/>
      <c r="C389" s="143" t="n"/>
      <c r="D389" s="143" t="n"/>
      <c r="E389" s="143" t="n"/>
      <c r="F389" s="143" t="n"/>
      <c r="G389" s="143" t="n"/>
    </row>
    <row r="390" ht="18" customHeight="1" s="102">
      <c r="A390" s="137">
        <f>IF($B390="","","HRK-"&amp;TEXT(ROW()-BaslangicSatir,"000000"))</f>
        <v/>
      </c>
      <c r="B390" s="143" t="n"/>
      <c r="C390" s="143" t="n"/>
      <c r="D390" s="143" t="n"/>
      <c r="E390" s="143" t="n"/>
      <c r="F390" s="143" t="n"/>
      <c r="G390" s="143" t="n"/>
    </row>
    <row r="391" ht="18" customHeight="1" s="102">
      <c r="A391" s="137">
        <f>IF($B391="","","HRK-"&amp;TEXT(ROW()-BaslangicSatir,"000000"))</f>
        <v/>
      </c>
      <c r="B391" s="143" t="n"/>
      <c r="C391" s="143" t="n"/>
      <c r="D391" s="143" t="n"/>
      <c r="E391" s="143" t="n"/>
      <c r="F391" s="143" t="n"/>
      <c r="G391" s="143" t="n"/>
    </row>
    <row r="392" ht="18" customHeight="1" s="102">
      <c r="A392" s="137">
        <f>IF($B392="","","HRK-"&amp;TEXT(ROW()-BaslangicSatir,"000000"))</f>
        <v/>
      </c>
      <c r="B392" s="143" t="n"/>
      <c r="C392" s="143" t="n"/>
      <c r="D392" s="143" t="n"/>
      <c r="E392" s="143" t="n"/>
      <c r="F392" s="143" t="n"/>
      <c r="G392" s="143" t="n"/>
    </row>
    <row r="393" ht="18" customHeight="1" s="102">
      <c r="A393" s="137">
        <f>IF($B393="","","HRK-"&amp;TEXT(ROW()-BaslangicSatir,"000000"))</f>
        <v/>
      </c>
      <c r="B393" s="143" t="n"/>
      <c r="C393" s="143" t="n"/>
      <c r="D393" s="143" t="n"/>
      <c r="E393" s="143" t="n"/>
      <c r="F393" s="143" t="n"/>
      <c r="G393" s="143" t="n"/>
    </row>
    <row r="394" ht="18" customHeight="1" s="102">
      <c r="A394" s="137">
        <f>IF($B394="","","HRK-"&amp;TEXT(ROW()-BaslangicSatir,"000000"))</f>
        <v/>
      </c>
      <c r="B394" s="143" t="n"/>
      <c r="C394" s="143" t="n"/>
      <c r="D394" s="143" t="n"/>
      <c r="E394" s="143" t="n"/>
      <c r="F394" s="143" t="n"/>
      <c r="G394" s="143" t="n"/>
    </row>
    <row r="395" ht="18" customHeight="1" s="102">
      <c r="A395" s="137">
        <f>IF($B395="","","HRK-"&amp;TEXT(ROW()-BaslangicSatir,"000000"))</f>
        <v/>
      </c>
      <c r="B395" s="143" t="n"/>
      <c r="C395" s="143" t="n"/>
      <c r="D395" s="143" t="n"/>
      <c r="E395" s="143" t="n"/>
      <c r="F395" s="143" t="n"/>
      <c r="G395" s="143" t="n"/>
    </row>
    <row r="396" ht="18" customHeight="1" s="102">
      <c r="A396" s="137">
        <f>IF($B396="","","HRK-"&amp;TEXT(ROW()-BaslangicSatir,"000000"))</f>
        <v/>
      </c>
      <c r="B396" s="143" t="n"/>
      <c r="C396" s="143" t="n"/>
      <c r="D396" s="143" t="n"/>
      <c r="E396" s="143" t="n"/>
      <c r="F396" s="143" t="n"/>
      <c r="G396" s="143" t="n"/>
    </row>
    <row r="397" ht="18" customHeight="1" s="102">
      <c r="A397" s="137">
        <f>IF($B397="","","HRK-"&amp;TEXT(ROW()-BaslangicSatir,"000000"))</f>
        <v/>
      </c>
      <c r="B397" s="143" t="n"/>
      <c r="C397" s="143" t="n"/>
      <c r="D397" s="143" t="n"/>
      <c r="E397" s="143" t="n"/>
      <c r="F397" s="143" t="n"/>
      <c r="G397" s="143" t="n"/>
    </row>
    <row r="398" ht="18" customHeight="1" s="102">
      <c r="A398" s="137">
        <f>IF($B398="","","HRK-"&amp;TEXT(ROW()-BaslangicSatir,"000000"))</f>
        <v/>
      </c>
      <c r="B398" s="143" t="n"/>
      <c r="C398" s="143" t="n"/>
      <c r="D398" s="143" t="n"/>
      <c r="E398" s="143" t="n"/>
      <c r="F398" s="143" t="n"/>
      <c r="G398" s="143" t="n"/>
    </row>
    <row r="399" ht="18" customHeight="1" s="102">
      <c r="A399" s="137">
        <f>IF($B399="","","HRK-"&amp;TEXT(ROW()-BaslangicSatir,"000000"))</f>
        <v/>
      </c>
      <c r="B399" s="143" t="n"/>
      <c r="C399" s="143" t="n"/>
      <c r="D399" s="143" t="n"/>
      <c r="E399" s="143" t="n"/>
      <c r="F399" s="143" t="n"/>
      <c r="G399" s="143" t="n"/>
    </row>
    <row r="400" ht="18" customHeight="1" s="102">
      <c r="A400" s="137">
        <f>IF($B400="","","HRK-"&amp;TEXT(ROW()-BaslangicSatir,"000000"))</f>
        <v/>
      </c>
      <c r="B400" s="143" t="n"/>
      <c r="C400" s="143" t="n"/>
      <c r="D400" s="143" t="n"/>
      <c r="E400" s="143" t="n"/>
      <c r="F400" s="143" t="n"/>
      <c r="G400" s="143" t="n"/>
    </row>
    <row r="401" ht="18" customHeight="1" s="102">
      <c r="A401" s="137">
        <f>IF($B401="","","HRK-"&amp;TEXT(ROW()-BaslangicSatir,"000000"))</f>
        <v/>
      </c>
      <c r="B401" s="143" t="n"/>
      <c r="C401" s="143" t="n"/>
      <c r="D401" s="143" t="n"/>
      <c r="E401" s="143" t="n"/>
      <c r="F401" s="143" t="n"/>
      <c r="G401" s="143" t="n"/>
    </row>
    <row r="402" ht="18" customHeight="1" s="102">
      <c r="A402" s="137">
        <f>IF($B402="","","HRK-"&amp;TEXT(ROW()-BaslangicSatir,"000000"))</f>
        <v/>
      </c>
      <c r="B402" s="143" t="n"/>
      <c r="C402" s="143" t="n"/>
      <c r="D402" s="143" t="n"/>
      <c r="E402" s="143" t="n"/>
      <c r="F402" s="143" t="n"/>
      <c r="G402" s="143" t="n"/>
    </row>
    <row r="403" ht="18" customHeight="1" s="102">
      <c r="A403" s="137">
        <f>IF($B403="","","HRK-"&amp;TEXT(ROW()-BaslangicSatir,"000000"))</f>
        <v/>
      </c>
      <c r="B403" s="143" t="n"/>
      <c r="C403" s="143" t="n"/>
      <c r="D403" s="143" t="n"/>
      <c r="E403" s="143" t="n"/>
      <c r="F403" s="143" t="n"/>
      <c r="G403" s="143" t="n"/>
    </row>
    <row r="404" ht="18" customHeight="1" s="102">
      <c r="A404" s="137">
        <f>IF($B404="","","HRK-"&amp;TEXT(ROW()-BaslangicSatir,"000000"))</f>
        <v/>
      </c>
      <c r="B404" s="143" t="n"/>
      <c r="C404" s="143" t="n"/>
      <c r="D404" s="143" t="n"/>
      <c r="E404" s="143" t="n"/>
      <c r="F404" s="143" t="n"/>
      <c r="G404" s="143" t="n"/>
    </row>
    <row r="405" ht="18" customHeight="1" s="102">
      <c r="A405" s="137">
        <f>IF($B405="","","HRK-"&amp;TEXT(ROW()-BaslangicSatir,"000000"))</f>
        <v/>
      </c>
      <c r="B405" s="143" t="n"/>
      <c r="C405" s="143" t="n"/>
      <c r="D405" s="143" t="n"/>
      <c r="E405" s="143" t="n"/>
      <c r="F405" s="143" t="n"/>
      <c r="G405" s="143" t="n"/>
    </row>
    <row r="406" ht="18" customHeight="1" s="102">
      <c r="A406" s="137">
        <f>IF($B406="","","HRK-"&amp;TEXT(ROW()-BaslangicSatir,"000000"))</f>
        <v/>
      </c>
      <c r="B406" s="143" t="n"/>
      <c r="C406" s="143" t="n"/>
      <c r="D406" s="143" t="n"/>
      <c r="E406" s="143" t="n"/>
      <c r="F406" s="143" t="n"/>
      <c r="G406" s="143" t="n"/>
    </row>
    <row r="407" ht="18" customHeight="1" s="102">
      <c r="A407" s="137">
        <f>IF($B407="","","HRK-"&amp;TEXT(ROW()-BaslangicSatir,"000000"))</f>
        <v/>
      </c>
      <c r="B407" s="143" t="n"/>
      <c r="C407" s="143" t="n"/>
      <c r="D407" s="143" t="n"/>
      <c r="E407" s="143" t="n"/>
      <c r="F407" s="143" t="n"/>
      <c r="G407" s="143" t="n"/>
    </row>
    <row r="408" ht="18" customHeight="1" s="102">
      <c r="A408" s="137">
        <f>IF($B408="","","HRK-"&amp;TEXT(ROW()-BaslangicSatir,"000000"))</f>
        <v/>
      </c>
      <c r="B408" s="143" t="n"/>
      <c r="C408" s="143" t="n"/>
      <c r="D408" s="143" t="n"/>
      <c r="E408" s="143" t="n"/>
      <c r="F408" s="143" t="n"/>
      <c r="G408" s="143" t="n"/>
    </row>
    <row r="409" ht="18" customHeight="1" s="102">
      <c r="A409" s="137">
        <f>IF($B409="","","HRK-"&amp;TEXT(ROW()-BaslangicSatir,"000000"))</f>
        <v/>
      </c>
      <c r="B409" s="143" t="n"/>
      <c r="C409" s="143" t="n"/>
      <c r="D409" s="143" t="n"/>
      <c r="E409" s="143" t="n"/>
      <c r="F409" s="143" t="n"/>
      <c r="G409" s="143" t="n"/>
    </row>
    <row r="410" ht="18" customHeight="1" s="102">
      <c r="A410" s="137">
        <f>IF($B410="","","HRK-"&amp;TEXT(ROW()-BaslangicSatir,"000000"))</f>
        <v/>
      </c>
      <c r="B410" s="143" t="n"/>
      <c r="C410" s="143" t="n"/>
      <c r="D410" s="143" t="n"/>
      <c r="E410" s="143" t="n"/>
      <c r="F410" s="143" t="n"/>
      <c r="G410" s="143" t="n"/>
    </row>
    <row r="411" ht="18" customHeight="1" s="102">
      <c r="A411" s="137">
        <f>IF($B411="","","HRK-"&amp;TEXT(ROW()-BaslangicSatir,"000000"))</f>
        <v/>
      </c>
      <c r="B411" s="143" t="n"/>
      <c r="C411" s="143" t="n"/>
      <c r="D411" s="143" t="n"/>
      <c r="E411" s="143" t="n"/>
      <c r="F411" s="143" t="n"/>
      <c r="G411" s="143" t="n"/>
    </row>
    <row r="412" ht="18" customHeight="1" s="102">
      <c r="A412" s="137">
        <f>IF($B412="","","HRK-"&amp;TEXT(ROW()-BaslangicSatir,"000000"))</f>
        <v/>
      </c>
      <c r="B412" s="143" t="n"/>
      <c r="C412" s="143" t="n"/>
      <c r="D412" s="143" t="n"/>
      <c r="E412" s="143" t="n"/>
      <c r="F412" s="143" t="n"/>
      <c r="G412" s="143" t="n"/>
    </row>
    <row r="413" ht="18" customHeight="1" s="102">
      <c r="A413" s="137">
        <f>IF($B413="","","HRK-"&amp;TEXT(ROW()-BaslangicSatir,"000000"))</f>
        <v/>
      </c>
      <c r="B413" s="143" t="n"/>
      <c r="C413" s="143" t="n"/>
      <c r="D413" s="143" t="n"/>
      <c r="E413" s="143" t="n"/>
      <c r="F413" s="143" t="n"/>
      <c r="G413" s="143" t="n"/>
    </row>
    <row r="414" ht="18" customHeight="1" s="102">
      <c r="A414" s="137">
        <f>IF($B414="","","HRK-"&amp;TEXT(ROW()-BaslangicSatir,"000000"))</f>
        <v/>
      </c>
      <c r="B414" s="143" t="n"/>
      <c r="C414" s="143" t="n"/>
      <c r="D414" s="143" t="n"/>
      <c r="E414" s="143" t="n"/>
      <c r="F414" s="143" t="n"/>
      <c r="G414" s="143" t="n"/>
    </row>
    <row r="415" ht="18" customHeight="1" s="102">
      <c r="A415" s="137">
        <f>IF($B415="","","HRK-"&amp;TEXT(ROW()-BaslangicSatir,"000000"))</f>
        <v/>
      </c>
      <c r="B415" s="143" t="n"/>
      <c r="C415" s="143" t="n"/>
      <c r="D415" s="143" t="n"/>
      <c r="E415" s="143" t="n"/>
      <c r="F415" s="143" t="n"/>
      <c r="G415" s="143" t="n"/>
    </row>
    <row r="416" ht="18" customHeight="1" s="102">
      <c r="A416" s="137">
        <f>IF($B416="","","HRK-"&amp;TEXT(ROW()-BaslangicSatir,"000000"))</f>
        <v/>
      </c>
      <c r="B416" s="143" t="n"/>
      <c r="C416" s="143" t="n"/>
      <c r="D416" s="143" t="n"/>
      <c r="E416" s="143" t="n"/>
      <c r="F416" s="143" t="n"/>
      <c r="G416" s="143" t="n"/>
    </row>
    <row r="417" ht="18" customHeight="1" s="102">
      <c r="A417" s="137">
        <f>IF($B417="","","HRK-"&amp;TEXT(ROW()-BaslangicSatir,"000000"))</f>
        <v/>
      </c>
      <c r="B417" s="143" t="n"/>
      <c r="C417" s="143" t="n"/>
      <c r="D417" s="143" t="n"/>
      <c r="E417" s="143" t="n"/>
      <c r="F417" s="143" t="n"/>
      <c r="G417" s="143" t="n"/>
    </row>
    <row r="418" ht="18" customHeight="1" s="102">
      <c r="A418" s="137">
        <f>IF($B418="","","HRK-"&amp;TEXT(ROW()-BaslangicSatir,"000000"))</f>
        <v/>
      </c>
      <c r="B418" s="143" t="n"/>
      <c r="C418" s="143" t="n"/>
      <c r="D418" s="143" t="n"/>
      <c r="E418" s="143" t="n"/>
      <c r="F418" s="143" t="n"/>
      <c r="G418" s="143" t="n"/>
    </row>
    <row r="419" ht="18" customHeight="1" s="102">
      <c r="A419" s="137">
        <f>IF($B419="","","HRK-"&amp;TEXT(ROW()-BaslangicSatir,"000000"))</f>
        <v/>
      </c>
      <c r="B419" s="143" t="n"/>
      <c r="C419" s="143" t="n"/>
      <c r="D419" s="143" t="n"/>
      <c r="E419" s="143" t="n"/>
      <c r="F419" s="143" t="n"/>
      <c r="G419" s="143" t="n"/>
    </row>
    <row r="420" ht="18" customHeight="1" s="102">
      <c r="A420" s="137">
        <f>IF($B420="","","HRK-"&amp;TEXT(ROW()-BaslangicSatir,"000000"))</f>
        <v/>
      </c>
      <c r="B420" s="143" t="n"/>
      <c r="C420" s="143" t="n"/>
      <c r="D420" s="143" t="n"/>
      <c r="E420" s="143" t="n"/>
      <c r="F420" s="143" t="n"/>
      <c r="G420" s="143" t="n"/>
    </row>
    <row r="421" ht="18" customHeight="1" s="102">
      <c r="A421" s="137">
        <f>IF($B421="","","HRK-"&amp;TEXT(ROW()-BaslangicSatir,"000000"))</f>
        <v/>
      </c>
      <c r="B421" s="143" t="n"/>
      <c r="C421" s="143" t="n"/>
      <c r="D421" s="143" t="n"/>
      <c r="E421" s="143" t="n"/>
      <c r="F421" s="143" t="n"/>
      <c r="G421" s="143" t="n"/>
    </row>
    <row r="422" ht="18" customHeight="1" s="102">
      <c r="A422" s="137">
        <f>IF($B422="","","HRK-"&amp;TEXT(ROW()-BaslangicSatir,"000000"))</f>
        <v/>
      </c>
      <c r="B422" s="143" t="n"/>
      <c r="C422" s="143" t="n"/>
      <c r="D422" s="143" t="n"/>
      <c r="E422" s="143" t="n"/>
      <c r="F422" s="143" t="n"/>
      <c r="G422" s="143" t="n"/>
    </row>
    <row r="423" ht="18" customHeight="1" s="102">
      <c r="A423" s="137">
        <f>IF($B423="","","HRK-"&amp;TEXT(ROW()-BaslangicSatir,"000000"))</f>
        <v/>
      </c>
      <c r="B423" s="143" t="n"/>
      <c r="C423" s="143" t="n"/>
      <c r="D423" s="143" t="n"/>
      <c r="E423" s="143" t="n"/>
      <c r="F423" s="143" t="n"/>
      <c r="G423" s="143" t="n"/>
    </row>
    <row r="424" ht="18" customHeight="1" s="102">
      <c r="A424" s="137">
        <f>IF($B424="","","HRK-"&amp;TEXT(ROW()-BaslangicSatir,"000000"))</f>
        <v/>
      </c>
      <c r="B424" s="143" t="n"/>
      <c r="C424" s="143" t="n"/>
      <c r="D424" s="143" t="n"/>
      <c r="E424" s="143" t="n"/>
      <c r="F424" s="143" t="n"/>
      <c r="G424" s="143" t="n"/>
    </row>
    <row r="425" ht="18" customHeight="1" s="102">
      <c r="A425" s="137">
        <f>IF($B425="","","HRK-"&amp;TEXT(ROW()-BaslangicSatir,"000000"))</f>
        <v/>
      </c>
      <c r="B425" s="143" t="n"/>
      <c r="C425" s="143" t="n"/>
      <c r="D425" s="143" t="n"/>
      <c r="E425" s="143" t="n"/>
      <c r="F425" s="143" t="n"/>
      <c r="G425" s="143" t="n"/>
    </row>
    <row r="426" ht="18" customHeight="1" s="102">
      <c r="A426" s="137">
        <f>IF($B426="","","HRK-"&amp;TEXT(ROW()-BaslangicSatir,"000000"))</f>
        <v/>
      </c>
      <c r="B426" s="143" t="n"/>
      <c r="C426" s="143" t="n"/>
      <c r="D426" s="143" t="n"/>
      <c r="E426" s="143" t="n"/>
      <c r="F426" s="143" t="n"/>
      <c r="G426" s="143" t="n"/>
    </row>
    <row r="427" ht="18" customHeight="1" s="102">
      <c r="A427" s="137">
        <f>IF($B427="","","HRK-"&amp;TEXT(ROW()-BaslangicSatir,"000000"))</f>
        <v/>
      </c>
      <c r="B427" s="143" t="n"/>
      <c r="C427" s="143" t="n"/>
      <c r="D427" s="143" t="n"/>
      <c r="E427" s="143" t="n"/>
      <c r="F427" s="143" t="n"/>
      <c r="G427" s="143" t="n"/>
    </row>
    <row r="428" ht="18" customHeight="1" s="102">
      <c r="A428" s="137">
        <f>IF($B428="","","HRK-"&amp;TEXT(ROW()-BaslangicSatir,"000000"))</f>
        <v/>
      </c>
      <c r="B428" s="143" t="n"/>
      <c r="C428" s="143" t="n"/>
      <c r="D428" s="143" t="n"/>
      <c r="E428" s="143" t="n"/>
      <c r="F428" s="143" t="n"/>
      <c r="G428" s="143" t="n"/>
    </row>
    <row r="429" ht="18" customHeight="1" s="102">
      <c r="A429" s="137">
        <f>IF($B429="","","HRK-"&amp;TEXT(ROW()-BaslangicSatir,"000000"))</f>
        <v/>
      </c>
      <c r="B429" s="143" t="n"/>
      <c r="C429" s="143" t="n"/>
      <c r="D429" s="143" t="n"/>
      <c r="E429" s="143" t="n"/>
      <c r="F429" s="143" t="n"/>
      <c r="G429" s="143" t="n"/>
    </row>
    <row r="430" ht="18" customHeight="1" s="102">
      <c r="A430" s="137">
        <f>IF($B430="","","HRK-"&amp;TEXT(ROW()-BaslangicSatir,"000000"))</f>
        <v/>
      </c>
      <c r="B430" s="143" t="n"/>
      <c r="C430" s="143" t="n"/>
      <c r="D430" s="143" t="n"/>
      <c r="E430" s="143" t="n"/>
      <c r="F430" s="143" t="n"/>
      <c r="G430" s="143" t="n"/>
    </row>
    <row r="431" ht="18" customHeight="1" s="102">
      <c r="A431" s="137">
        <f>IF($B431="","","HRK-"&amp;TEXT(ROW()-BaslangicSatir,"000000"))</f>
        <v/>
      </c>
      <c r="B431" s="143" t="n"/>
      <c r="C431" s="143" t="n"/>
      <c r="D431" s="143" t="n"/>
      <c r="E431" s="143" t="n"/>
      <c r="F431" s="143" t="n"/>
      <c r="G431" s="143" t="n"/>
    </row>
    <row r="432" ht="18" customHeight="1" s="102">
      <c r="A432" s="137">
        <f>IF($B432="","","HRK-"&amp;TEXT(ROW()-BaslangicSatir,"000000"))</f>
        <v/>
      </c>
      <c r="B432" s="143" t="n"/>
      <c r="C432" s="143" t="n"/>
      <c r="D432" s="143" t="n"/>
      <c r="E432" s="143" t="n"/>
      <c r="F432" s="143" t="n"/>
      <c r="G432" s="143" t="n"/>
    </row>
    <row r="433" ht="18" customHeight="1" s="102">
      <c r="A433" s="137">
        <f>IF($B433="","","HRK-"&amp;TEXT(ROW()-BaslangicSatir,"000000"))</f>
        <v/>
      </c>
      <c r="B433" s="143" t="n"/>
      <c r="C433" s="143" t="n"/>
      <c r="D433" s="143" t="n"/>
      <c r="E433" s="143" t="n"/>
      <c r="F433" s="143" t="n"/>
      <c r="G433" s="143" t="n"/>
    </row>
    <row r="434" ht="18" customHeight="1" s="102">
      <c r="A434" s="137">
        <f>IF($B434="","","HRK-"&amp;TEXT(ROW()-BaslangicSatir,"000000"))</f>
        <v/>
      </c>
      <c r="B434" s="143" t="n"/>
      <c r="C434" s="143" t="n"/>
      <c r="D434" s="143" t="n"/>
      <c r="E434" s="143" t="n"/>
      <c r="F434" s="143" t="n"/>
      <c r="G434" s="143" t="n"/>
    </row>
    <row r="435" ht="18" customHeight="1" s="102">
      <c r="A435" s="137">
        <f>IF($B435="","","HRK-"&amp;TEXT(ROW()-BaslangicSatir,"000000"))</f>
        <v/>
      </c>
      <c r="B435" s="143" t="n"/>
      <c r="C435" s="143" t="n"/>
      <c r="D435" s="143" t="n"/>
      <c r="E435" s="143" t="n"/>
      <c r="F435" s="143" t="n"/>
      <c r="G435" s="143" t="n"/>
    </row>
    <row r="436" ht="18" customHeight="1" s="102">
      <c r="A436" s="137">
        <f>IF($B436="","","HRK-"&amp;TEXT(ROW()-BaslangicSatir,"000000"))</f>
        <v/>
      </c>
      <c r="B436" s="143" t="n"/>
      <c r="C436" s="143" t="n"/>
      <c r="D436" s="143" t="n"/>
      <c r="E436" s="143" t="n"/>
      <c r="F436" s="143" t="n"/>
      <c r="G436" s="143" t="n"/>
    </row>
    <row r="437" ht="18" customHeight="1" s="102">
      <c r="A437" s="137">
        <f>IF($B437="","","HRK-"&amp;TEXT(ROW()-BaslangicSatir,"000000"))</f>
        <v/>
      </c>
      <c r="B437" s="143" t="n"/>
      <c r="C437" s="143" t="n"/>
      <c r="D437" s="143" t="n"/>
      <c r="E437" s="143" t="n"/>
      <c r="F437" s="143" t="n"/>
      <c r="G437" s="143" t="n"/>
    </row>
    <row r="438" ht="18" customHeight="1" s="102">
      <c r="A438" s="137">
        <f>IF($B438="","","HRK-"&amp;TEXT(ROW()-BaslangicSatir,"000000"))</f>
        <v/>
      </c>
      <c r="B438" s="143" t="n"/>
      <c r="C438" s="143" t="n"/>
      <c r="D438" s="143" t="n"/>
      <c r="E438" s="143" t="n"/>
      <c r="F438" s="143" t="n"/>
      <c r="G438" s="143" t="n"/>
    </row>
    <row r="439" ht="18" customHeight="1" s="102">
      <c r="A439" s="137">
        <f>IF($B439="","","HRK-"&amp;TEXT(ROW()-BaslangicSatir,"000000"))</f>
        <v/>
      </c>
      <c r="B439" s="143" t="n"/>
      <c r="C439" s="143" t="n"/>
      <c r="D439" s="143" t="n"/>
      <c r="E439" s="143" t="n"/>
      <c r="F439" s="143" t="n"/>
      <c r="G439" s="143" t="n"/>
    </row>
    <row r="440" ht="18" customHeight="1" s="102">
      <c r="A440" s="137">
        <f>IF($B440="","","HRK-"&amp;TEXT(ROW()-BaslangicSatir,"000000"))</f>
        <v/>
      </c>
      <c r="B440" s="143" t="n"/>
      <c r="C440" s="143" t="n"/>
      <c r="D440" s="143" t="n"/>
      <c r="E440" s="143" t="n"/>
      <c r="F440" s="143" t="n"/>
      <c r="G440" s="143" t="n"/>
    </row>
    <row r="441" ht="18" customHeight="1" s="102">
      <c r="A441" s="137">
        <f>IF($B441="","","HRK-"&amp;TEXT(ROW()-BaslangicSatir,"000000"))</f>
        <v/>
      </c>
      <c r="B441" s="143" t="n"/>
      <c r="C441" s="143" t="n"/>
      <c r="D441" s="143" t="n"/>
      <c r="E441" s="143" t="n"/>
      <c r="F441" s="143" t="n"/>
      <c r="G441" s="143" t="n"/>
    </row>
    <row r="442" ht="18" customHeight="1" s="102">
      <c r="A442" s="137">
        <f>IF($B442="","","HRK-"&amp;TEXT(ROW()-BaslangicSatir,"000000"))</f>
        <v/>
      </c>
      <c r="B442" s="143" t="n"/>
      <c r="C442" s="143" t="n"/>
      <c r="D442" s="143" t="n"/>
      <c r="E442" s="143" t="n"/>
      <c r="F442" s="143" t="n"/>
      <c r="G442" s="143" t="n"/>
    </row>
    <row r="443" ht="18" customHeight="1" s="102">
      <c r="A443" s="137">
        <f>IF($B443="","","HRK-"&amp;TEXT(ROW()-BaslangicSatir,"000000"))</f>
        <v/>
      </c>
      <c r="B443" s="143" t="n"/>
      <c r="C443" s="143" t="n"/>
      <c r="D443" s="143" t="n"/>
      <c r="E443" s="143" t="n"/>
      <c r="F443" s="143" t="n"/>
      <c r="G443" s="143" t="n"/>
    </row>
    <row r="444" ht="18" customHeight="1" s="102">
      <c r="A444" s="137">
        <f>IF($B444="","","HRK-"&amp;TEXT(ROW()-BaslangicSatir,"000000"))</f>
        <v/>
      </c>
      <c r="B444" s="143" t="n"/>
      <c r="C444" s="143" t="n"/>
      <c r="D444" s="143" t="n"/>
      <c r="E444" s="143" t="n"/>
      <c r="F444" s="143" t="n"/>
      <c r="G444" s="143" t="n"/>
    </row>
    <row r="445" ht="18" customHeight="1" s="102">
      <c r="A445" s="137">
        <f>IF($B445="","","HRK-"&amp;TEXT(ROW()-BaslangicSatir,"000000"))</f>
        <v/>
      </c>
      <c r="B445" s="143" t="n"/>
      <c r="C445" s="143" t="n"/>
      <c r="D445" s="143" t="n"/>
      <c r="E445" s="143" t="n"/>
      <c r="F445" s="143" t="n"/>
      <c r="G445" s="143" t="n"/>
    </row>
    <row r="446" ht="18" customHeight="1" s="102">
      <c r="A446" s="137">
        <f>IF($B446="","","HRK-"&amp;TEXT(ROW()-BaslangicSatir,"000000"))</f>
        <v/>
      </c>
      <c r="B446" s="143" t="n"/>
      <c r="C446" s="143" t="n"/>
      <c r="D446" s="143" t="n"/>
      <c r="E446" s="143" t="n"/>
      <c r="F446" s="143" t="n"/>
      <c r="G446" s="143" t="n"/>
    </row>
    <row r="447" ht="18" customHeight="1" s="102">
      <c r="A447" s="137">
        <f>IF($B447="","","HRK-"&amp;TEXT(ROW()-BaslangicSatir,"000000"))</f>
        <v/>
      </c>
      <c r="B447" s="143" t="n"/>
      <c r="C447" s="143" t="n"/>
      <c r="D447" s="143" t="n"/>
      <c r="E447" s="143" t="n"/>
      <c r="F447" s="143" t="n"/>
      <c r="G447" s="143" t="n"/>
    </row>
    <row r="448" ht="18" customHeight="1" s="102">
      <c r="A448" s="137">
        <f>IF($B448="","","HRK-"&amp;TEXT(ROW()-BaslangicSatir,"000000"))</f>
        <v/>
      </c>
      <c r="B448" s="143" t="n"/>
      <c r="C448" s="143" t="n"/>
      <c r="D448" s="143" t="n"/>
      <c r="E448" s="143" t="n"/>
      <c r="F448" s="143" t="n"/>
      <c r="G448" s="143" t="n"/>
    </row>
    <row r="449" ht="18" customHeight="1" s="102">
      <c r="A449" s="137">
        <f>IF($B449="","","HRK-"&amp;TEXT(ROW()-BaslangicSatir,"000000"))</f>
        <v/>
      </c>
      <c r="B449" s="143" t="n"/>
      <c r="C449" s="143" t="n"/>
      <c r="D449" s="143" t="n"/>
      <c r="E449" s="143" t="n"/>
      <c r="F449" s="143" t="n"/>
      <c r="G449" s="143" t="n"/>
    </row>
    <row r="450" ht="18" customHeight="1" s="102">
      <c r="A450" s="137">
        <f>IF($B450="","","HRK-"&amp;TEXT(ROW()-BaslangicSatir,"000000"))</f>
        <v/>
      </c>
      <c r="B450" s="143" t="n"/>
      <c r="C450" s="143" t="n"/>
      <c r="D450" s="143" t="n"/>
      <c r="E450" s="143" t="n"/>
      <c r="F450" s="143" t="n"/>
      <c r="G450" s="143" t="n"/>
    </row>
    <row r="451" ht="18" customHeight="1" s="102">
      <c r="A451" s="137">
        <f>IF($B451="","","HRK-"&amp;TEXT(ROW()-BaslangicSatir,"000000"))</f>
        <v/>
      </c>
      <c r="B451" s="143" t="n"/>
      <c r="C451" s="143" t="n"/>
      <c r="D451" s="143" t="n"/>
      <c r="E451" s="143" t="n"/>
      <c r="F451" s="143" t="n"/>
      <c r="G451" s="143" t="n"/>
    </row>
    <row r="452" ht="18" customHeight="1" s="102">
      <c r="A452" s="137">
        <f>IF($B452="","","HRK-"&amp;TEXT(ROW()-BaslangicSatir,"000000"))</f>
        <v/>
      </c>
      <c r="B452" s="143" t="n"/>
      <c r="C452" s="143" t="n"/>
      <c r="D452" s="143" t="n"/>
      <c r="E452" s="143" t="n"/>
      <c r="F452" s="143" t="n"/>
      <c r="G452" s="143" t="n"/>
    </row>
    <row r="453" ht="18" customHeight="1" s="102">
      <c r="A453" s="137">
        <f>IF($B453="","","HRK-"&amp;TEXT(ROW()-BaslangicSatir,"000000"))</f>
        <v/>
      </c>
      <c r="B453" s="143" t="n"/>
      <c r="C453" s="143" t="n"/>
      <c r="D453" s="143" t="n"/>
      <c r="E453" s="143" t="n"/>
      <c r="F453" s="143" t="n"/>
      <c r="G453" s="143" t="n"/>
    </row>
    <row r="454" ht="18" customHeight="1" s="102">
      <c r="A454" s="137">
        <f>IF($B454="","","HRK-"&amp;TEXT(ROW()-BaslangicSatir,"000000"))</f>
        <v/>
      </c>
      <c r="B454" s="143" t="n"/>
      <c r="C454" s="143" t="n"/>
      <c r="D454" s="143" t="n"/>
      <c r="E454" s="143" t="n"/>
      <c r="F454" s="143" t="n"/>
      <c r="G454" s="143" t="n"/>
    </row>
    <row r="455" ht="18" customHeight="1" s="102">
      <c r="A455" s="137">
        <f>IF($B455="","","HRK-"&amp;TEXT(ROW()-BaslangicSatir,"000000"))</f>
        <v/>
      </c>
      <c r="B455" s="143" t="n"/>
      <c r="C455" s="143" t="n"/>
      <c r="D455" s="143" t="n"/>
      <c r="E455" s="143" t="n"/>
      <c r="F455" s="143" t="n"/>
      <c r="G455" s="143" t="n"/>
    </row>
    <row r="456" ht="18" customHeight="1" s="102">
      <c r="A456" s="137">
        <f>IF($B456="","","HRK-"&amp;TEXT(ROW()-BaslangicSatir,"000000"))</f>
        <v/>
      </c>
      <c r="B456" s="143" t="n"/>
      <c r="C456" s="143" t="n"/>
      <c r="D456" s="143" t="n"/>
      <c r="E456" s="143" t="n"/>
      <c r="F456" s="143" t="n"/>
      <c r="G456" s="143" t="n"/>
    </row>
    <row r="457" ht="18" customHeight="1" s="102">
      <c r="A457" s="137">
        <f>IF($B457="","","HRK-"&amp;TEXT(ROW()-BaslangicSatir,"000000"))</f>
        <v/>
      </c>
      <c r="B457" s="143" t="n"/>
      <c r="C457" s="143" t="n"/>
      <c r="D457" s="143" t="n"/>
      <c r="E457" s="143" t="n"/>
      <c r="F457" s="143" t="n"/>
      <c r="G457" s="143" t="n"/>
    </row>
    <row r="458" ht="18" customHeight="1" s="102">
      <c r="A458" s="137">
        <f>IF($B458="","","HRK-"&amp;TEXT(ROW()-BaslangicSatir,"000000"))</f>
        <v/>
      </c>
      <c r="B458" s="143" t="n"/>
      <c r="C458" s="143" t="n"/>
      <c r="D458" s="143" t="n"/>
      <c r="E458" s="143" t="n"/>
      <c r="F458" s="143" t="n"/>
      <c r="G458" s="143" t="n"/>
    </row>
    <row r="459" ht="18" customHeight="1" s="102">
      <c r="A459" s="137">
        <f>IF($B459="","","HRK-"&amp;TEXT(ROW()-BaslangicSatir,"000000"))</f>
        <v/>
      </c>
      <c r="B459" s="143" t="n"/>
      <c r="C459" s="143" t="n"/>
      <c r="D459" s="143" t="n"/>
      <c r="E459" s="143" t="n"/>
      <c r="F459" s="143" t="n"/>
      <c r="G459" s="143" t="n"/>
    </row>
    <row r="460" ht="18" customHeight="1" s="102">
      <c r="A460" s="137">
        <f>IF($B460="","","HRK-"&amp;TEXT(ROW()-BaslangicSatir,"000000"))</f>
        <v/>
      </c>
      <c r="B460" s="143" t="n"/>
      <c r="C460" s="143" t="n"/>
      <c r="D460" s="143" t="n"/>
      <c r="E460" s="143" t="n"/>
      <c r="F460" s="143" t="n"/>
      <c r="G460" s="143" t="n"/>
    </row>
    <row r="461" ht="18" customHeight="1" s="102">
      <c r="A461" s="137">
        <f>IF($B461="","","HRK-"&amp;TEXT(ROW()-BaslangicSatir,"000000"))</f>
        <v/>
      </c>
      <c r="B461" s="143" t="n"/>
      <c r="C461" s="143" t="n"/>
      <c r="D461" s="143" t="n"/>
      <c r="E461" s="143" t="n"/>
      <c r="F461" s="143" t="n"/>
      <c r="G461" s="143" t="n"/>
    </row>
    <row r="462" ht="18" customHeight="1" s="102">
      <c r="A462" s="137">
        <f>IF($B462="","","HRK-"&amp;TEXT(ROW()-BaslangicSatir,"000000"))</f>
        <v/>
      </c>
      <c r="B462" s="143" t="n"/>
      <c r="C462" s="143" t="n"/>
      <c r="D462" s="143" t="n"/>
      <c r="E462" s="143" t="n"/>
      <c r="F462" s="143" t="n"/>
      <c r="G462" s="143" t="n"/>
    </row>
    <row r="463" ht="18" customHeight="1" s="102">
      <c r="A463" s="137">
        <f>IF($B463="","","HRK-"&amp;TEXT(ROW()-BaslangicSatir,"000000"))</f>
        <v/>
      </c>
      <c r="B463" s="143" t="n"/>
      <c r="C463" s="143" t="n"/>
      <c r="D463" s="143" t="n"/>
      <c r="E463" s="143" t="n"/>
      <c r="F463" s="143" t="n"/>
      <c r="G463" s="143" t="n"/>
    </row>
    <row r="464" ht="18" customHeight="1" s="102">
      <c r="A464" s="137">
        <f>IF($B464="","","HRK-"&amp;TEXT(ROW()-BaslangicSatir,"000000"))</f>
        <v/>
      </c>
      <c r="B464" s="143" t="n"/>
      <c r="C464" s="143" t="n"/>
      <c r="D464" s="143" t="n"/>
      <c r="E464" s="143" t="n"/>
      <c r="F464" s="143" t="n"/>
      <c r="G464" s="143" t="n"/>
    </row>
    <row r="465" ht="18" customHeight="1" s="102">
      <c r="A465" s="137">
        <f>IF($B465="","","HRK-"&amp;TEXT(ROW()-BaslangicSatir,"000000"))</f>
        <v/>
      </c>
      <c r="B465" s="143" t="n"/>
      <c r="C465" s="143" t="n"/>
      <c r="D465" s="143" t="n"/>
      <c r="E465" s="143" t="n"/>
      <c r="F465" s="143" t="n"/>
      <c r="G465" s="143" t="n"/>
    </row>
    <row r="466" ht="18" customHeight="1" s="102">
      <c r="A466" s="137">
        <f>IF($B466="","","HRK-"&amp;TEXT(ROW()-BaslangicSatir,"000000"))</f>
        <v/>
      </c>
      <c r="B466" s="143" t="n"/>
      <c r="C466" s="143" t="n"/>
      <c r="D466" s="143" t="n"/>
      <c r="E466" s="143" t="n"/>
      <c r="F466" s="143" t="n"/>
      <c r="G466" s="143" t="n"/>
    </row>
    <row r="467" ht="18" customHeight="1" s="102">
      <c r="A467" s="137">
        <f>IF($B467="","","HRK-"&amp;TEXT(ROW()-BaslangicSatir,"000000"))</f>
        <v/>
      </c>
      <c r="B467" s="143" t="n"/>
      <c r="C467" s="143" t="n"/>
      <c r="D467" s="143" t="n"/>
      <c r="E467" s="143" t="n"/>
      <c r="F467" s="143" t="n"/>
      <c r="G467" s="143" t="n"/>
    </row>
    <row r="468" ht="18" customHeight="1" s="102">
      <c r="A468" s="137">
        <f>IF($B468="","","HRK-"&amp;TEXT(ROW()-BaslangicSatir,"000000"))</f>
        <v/>
      </c>
      <c r="B468" s="143" t="n"/>
      <c r="C468" s="143" t="n"/>
      <c r="D468" s="143" t="n"/>
      <c r="E468" s="143" t="n"/>
      <c r="F468" s="143" t="n"/>
      <c r="G468" s="143" t="n"/>
    </row>
    <row r="469" ht="18" customHeight="1" s="102">
      <c r="A469" s="137">
        <f>IF($B469="","","HRK-"&amp;TEXT(ROW()-BaslangicSatir,"000000"))</f>
        <v/>
      </c>
      <c r="B469" s="143" t="n"/>
      <c r="C469" s="143" t="n"/>
      <c r="D469" s="143" t="n"/>
      <c r="E469" s="143" t="n"/>
      <c r="F469" s="143" t="n"/>
      <c r="G469" s="143" t="n"/>
    </row>
    <row r="470" ht="18" customHeight="1" s="102">
      <c r="A470" s="137">
        <f>IF($B470="","","HRK-"&amp;TEXT(ROW()-BaslangicSatir,"000000"))</f>
        <v/>
      </c>
      <c r="B470" s="143" t="n"/>
      <c r="C470" s="143" t="n"/>
      <c r="D470" s="143" t="n"/>
      <c r="E470" s="143" t="n"/>
      <c r="F470" s="143" t="n"/>
      <c r="G470" s="143" t="n"/>
    </row>
    <row r="471" ht="18" customHeight="1" s="102">
      <c r="A471" s="137">
        <f>IF($B471="","","HRK-"&amp;TEXT(ROW()-BaslangicSatir,"000000"))</f>
        <v/>
      </c>
      <c r="B471" s="143" t="n"/>
      <c r="C471" s="143" t="n"/>
      <c r="D471" s="143" t="n"/>
      <c r="E471" s="143" t="n"/>
      <c r="F471" s="143" t="n"/>
      <c r="G471" s="143" t="n"/>
    </row>
    <row r="472" ht="18" customHeight="1" s="102">
      <c r="A472" s="137">
        <f>IF($B472="","","HRK-"&amp;TEXT(ROW()-BaslangicSatir,"000000"))</f>
        <v/>
      </c>
      <c r="B472" s="143" t="n"/>
      <c r="C472" s="143" t="n"/>
      <c r="D472" s="143" t="n"/>
      <c r="E472" s="143" t="n"/>
      <c r="F472" s="143" t="n"/>
      <c r="G472" s="143" t="n"/>
    </row>
    <row r="473" ht="18" customHeight="1" s="102">
      <c r="A473" s="137">
        <f>IF($B473="","","HRK-"&amp;TEXT(ROW()-BaslangicSatir,"000000"))</f>
        <v/>
      </c>
      <c r="B473" s="143" t="n"/>
      <c r="C473" s="143" t="n"/>
      <c r="D473" s="143" t="n"/>
      <c r="E473" s="143" t="n"/>
      <c r="F473" s="143" t="n"/>
      <c r="G473" s="143" t="n"/>
    </row>
    <row r="474" ht="18" customHeight="1" s="102">
      <c r="A474" s="137">
        <f>IF($B474="","","HRK-"&amp;TEXT(ROW()-BaslangicSatir,"000000"))</f>
        <v/>
      </c>
      <c r="B474" s="143" t="n"/>
      <c r="C474" s="143" t="n"/>
      <c r="D474" s="143" t="n"/>
      <c r="E474" s="143" t="n"/>
      <c r="F474" s="143" t="n"/>
      <c r="G474" s="143" t="n"/>
    </row>
    <row r="475" ht="18" customHeight="1" s="102">
      <c r="A475" s="137">
        <f>IF($B475="","","HRK-"&amp;TEXT(ROW()-BaslangicSatir,"000000"))</f>
        <v/>
      </c>
      <c r="B475" s="143" t="n"/>
      <c r="C475" s="143" t="n"/>
      <c r="D475" s="143" t="n"/>
      <c r="E475" s="143" t="n"/>
      <c r="F475" s="143" t="n"/>
      <c r="G475" s="143" t="n"/>
    </row>
    <row r="476" ht="18" customHeight="1" s="102">
      <c r="A476" s="137">
        <f>IF($B476="","","HRK-"&amp;TEXT(ROW()-BaslangicSatir,"000000"))</f>
        <v/>
      </c>
      <c r="B476" s="143" t="n"/>
      <c r="C476" s="143" t="n"/>
      <c r="D476" s="143" t="n"/>
      <c r="E476" s="143" t="n"/>
      <c r="F476" s="143" t="n"/>
      <c r="G476" s="143" t="n"/>
    </row>
    <row r="477" ht="18" customHeight="1" s="102">
      <c r="A477" s="137">
        <f>IF($B477="","","HRK-"&amp;TEXT(ROW()-BaslangicSatir,"000000"))</f>
        <v/>
      </c>
      <c r="B477" s="143" t="n"/>
      <c r="C477" s="143" t="n"/>
      <c r="D477" s="143" t="n"/>
      <c r="E477" s="143" t="n"/>
      <c r="F477" s="143" t="n"/>
      <c r="G477" s="143" t="n"/>
    </row>
    <row r="478" ht="18" customHeight="1" s="102">
      <c r="A478" s="137">
        <f>IF($B478="","","HRK-"&amp;TEXT(ROW()-BaslangicSatir,"000000"))</f>
        <v/>
      </c>
      <c r="B478" s="143" t="n"/>
      <c r="C478" s="143" t="n"/>
      <c r="D478" s="143" t="n"/>
      <c r="E478" s="143" t="n"/>
      <c r="F478" s="143" t="n"/>
      <c r="G478" s="143" t="n"/>
    </row>
    <row r="479" ht="18" customHeight="1" s="102">
      <c r="A479" s="137">
        <f>IF($B479="","","HRK-"&amp;TEXT(ROW()-BaslangicSatir,"000000"))</f>
        <v/>
      </c>
      <c r="B479" s="143" t="n"/>
      <c r="C479" s="143" t="n"/>
      <c r="D479" s="143" t="n"/>
      <c r="E479" s="143" t="n"/>
      <c r="F479" s="143" t="n"/>
      <c r="G479" s="143" t="n"/>
    </row>
    <row r="480" ht="18" customHeight="1" s="102">
      <c r="A480" s="137">
        <f>IF($B480="","","HRK-"&amp;TEXT(ROW()-BaslangicSatir,"000000"))</f>
        <v/>
      </c>
      <c r="B480" s="143" t="n"/>
      <c r="C480" s="143" t="n"/>
      <c r="D480" s="143" t="n"/>
      <c r="E480" s="143" t="n"/>
      <c r="F480" s="143" t="n"/>
      <c r="G480" s="143" t="n"/>
    </row>
    <row r="481" ht="18" customHeight="1" s="102">
      <c r="A481" s="137">
        <f>IF($B481="","","HRK-"&amp;TEXT(ROW()-BaslangicSatir,"000000"))</f>
        <v/>
      </c>
      <c r="B481" s="143" t="n"/>
      <c r="C481" s="143" t="n"/>
      <c r="D481" s="143" t="n"/>
      <c r="E481" s="143" t="n"/>
      <c r="F481" s="143" t="n"/>
      <c r="G481" s="143" t="n"/>
    </row>
    <row r="482" ht="18" customHeight="1" s="102">
      <c r="A482" s="137">
        <f>IF($B482="","","HRK-"&amp;TEXT(ROW()-BaslangicSatir,"000000"))</f>
        <v/>
      </c>
      <c r="B482" s="143" t="n"/>
      <c r="C482" s="143" t="n"/>
      <c r="D482" s="143" t="n"/>
      <c r="E482" s="143" t="n"/>
      <c r="F482" s="143" t="n"/>
      <c r="G482" s="143" t="n"/>
    </row>
    <row r="483" ht="18" customHeight="1" s="102">
      <c r="A483" s="137">
        <f>IF($B483="","","HRK-"&amp;TEXT(ROW()-BaslangicSatir,"000000"))</f>
        <v/>
      </c>
      <c r="B483" s="143" t="n"/>
      <c r="C483" s="143" t="n"/>
      <c r="D483" s="143" t="n"/>
      <c r="E483" s="143" t="n"/>
      <c r="F483" s="143" t="n"/>
      <c r="G483" s="143" t="n"/>
    </row>
    <row r="484" ht="18" customHeight="1" s="102">
      <c r="A484" s="137">
        <f>IF($B484="","","HRK-"&amp;TEXT(ROW()-BaslangicSatir,"000000"))</f>
        <v/>
      </c>
      <c r="B484" s="143" t="n"/>
      <c r="C484" s="143" t="n"/>
      <c r="D484" s="143" t="n"/>
      <c r="E484" s="143" t="n"/>
      <c r="F484" s="143" t="n"/>
      <c r="G484" s="143" t="n"/>
    </row>
    <row r="485" ht="18" customHeight="1" s="102">
      <c r="A485" s="137">
        <f>IF($B485="","","HRK-"&amp;TEXT(ROW()-BaslangicSatir,"000000"))</f>
        <v/>
      </c>
      <c r="B485" s="143" t="n"/>
      <c r="C485" s="143" t="n"/>
      <c r="D485" s="143" t="n"/>
      <c r="E485" s="143" t="n"/>
      <c r="F485" s="143" t="n"/>
      <c r="G485" s="143" t="n"/>
    </row>
    <row r="486" ht="18" customHeight="1" s="102">
      <c r="A486" s="137">
        <f>IF($B486="","","HRK-"&amp;TEXT(ROW()-BaslangicSatir,"000000"))</f>
        <v/>
      </c>
      <c r="B486" s="143" t="n"/>
      <c r="C486" s="143" t="n"/>
      <c r="D486" s="143" t="n"/>
      <c r="E486" s="143" t="n"/>
      <c r="F486" s="143" t="n"/>
      <c r="G486" s="143" t="n"/>
    </row>
    <row r="487" ht="18" customHeight="1" s="102">
      <c r="A487" s="137">
        <f>IF($B487="","","HRK-"&amp;TEXT(ROW()-BaslangicSatir,"000000"))</f>
        <v/>
      </c>
      <c r="B487" s="143" t="n"/>
      <c r="C487" s="143" t="n"/>
      <c r="D487" s="143" t="n"/>
      <c r="E487" s="143" t="n"/>
      <c r="F487" s="143" t="n"/>
      <c r="G487" s="143" t="n"/>
    </row>
    <row r="488" ht="18" customHeight="1" s="102">
      <c r="A488" s="137">
        <f>IF($B488="","","HRK-"&amp;TEXT(ROW()-BaslangicSatir,"000000"))</f>
        <v/>
      </c>
      <c r="B488" s="143" t="n"/>
      <c r="C488" s="143" t="n"/>
      <c r="D488" s="143" t="n"/>
      <c r="E488" s="143" t="n"/>
      <c r="F488" s="143" t="n"/>
      <c r="G488" s="143" t="n"/>
    </row>
    <row r="489" ht="18" customHeight="1" s="102">
      <c r="A489" s="137">
        <f>IF($B489="","","HRK-"&amp;TEXT(ROW()-BaslangicSatir,"000000"))</f>
        <v/>
      </c>
      <c r="B489" s="143" t="n"/>
      <c r="C489" s="143" t="n"/>
      <c r="D489" s="143" t="n"/>
      <c r="E489" s="143" t="n"/>
      <c r="F489" s="143" t="n"/>
      <c r="G489" s="143" t="n"/>
    </row>
    <row r="490" ht="18" customHeight="1" s="102">
      <c r="A490" s="137">
        <f>IF($B490="","","HRK-"&amp;TEXT(ROW()-BaslangicSatir,"000000"))</f>
        <v/>
      </c>
      <c r="B490" s="143" t="n"/>
      <c r="C490" s="143" t="n"/>
      <c r="D490" s="143" t="n"/>
      <c r="E490" s="143" t="n"/>
      <c r="F490" s="143" t="n"/>
      <c r="G490" s="143" t="n"/>
    </row>
    <row r="491" ht="18" customHeight="1" s="102">
      <c r="A491" s="137">
        <f>IF($B491="","","HRK-"&amp;TEXT(ROW()-BaslangicSatir,"000000"))</f>
        <v/>
      </c>
      <c r="B491" s="143" t="n"/>
      <c r="C491" s="143" t="n"/>
      <c r="D491" s="143" t="n"/>
      <c r="E491" s="143" t="n"/>
      <c r="F491" s="143" t="n"/>
      <c r="G491" s="143" t="n"/>
    </row>
    <row r="492" ht="18" customHeight="1" s="102">
      <c r="A492" s="137">
        <f>IF($B492="","","HRK-"&amp;TEXT(ROW()-BaslangicSatir,"000000"))</f>
        <v/>
      </c>
      <c r="B492" s="143" t="n"/>
      <c r="C492" s="143" t="n"/>
      <c r="D492" s="143" t="n"/>
      <c r="E492" s="143" t="n"/>
      <c r="F492" s="143" t="n"/>
      <c r="G492" s="143" t="n"/>
    </row>
    <row r="493" ht="18" customHeight="1" s="102">
      <c r="A493" s="137">
        <f>IF($B493="","","HRK-"&amp;TEXT(ROW()-BaslangicSatir,"000000"))</f>
        <v/>
      </c>
      <c r="B493" s="143" t="n"/>
      <c r="C493" s="143" t="n"/>
      <c r="D493" s="143" t="n"/>
      <c r="E493" s="143" t="n"/>
      <c r="F493" s="143" t="n"/>
      <c r="G493" s="143" t="n"/>
    </row>
    <row r="494" ht="18" customHeight="1" s="102">
      <c r="A494" s="137">
        <f>IF($B494="","","HRK-"&amp;TEXT(ROW()-BaslangicSatir,"000000"))</f>
        <v/>
      </c>
      <c r="B494" s="143" t="n"/>
      <c r="C494" s="143" t="n"/>
      <c r="D494" s="143" t="n"/>
      <c r="E494" s="143" t="n"/>
      <c r="F494" s="143" t="n"/>
      <c r="G494" s="143" t="n"/>
    </row>
    <row r="495" ht="18" customHeight="1" s="102">
      <c r="A495" s="137">
        <f>IF($B495="","","HRK-"&amp;TEXT(ROW()-BaslangicSatir,"000000"))</f>
        <v/>
      </c>
      <c r="B495" s="143" t="n"/>
      <c r="C495" s="143" t="n"/>
      <c r="D495" s="143" t="n"/>
      <c r="E495" s="143" t="n"/>
      <c r="F495" s="143" t="n"/>
      <c r="G495" s="143" t="n"/>
    </row>
    <row r="496" ht="18" customHeight="1" s="102">
      <c r="A496" s="137">
        <f>IF($B496="","","HRK-"&amp;TEXT(ROW()-BaslangicSatir,"000000"))</f>
        <v/>
      </c>
      <c r="B496" s="143" t="n"/>
      <c r="C496" s="143" t="n"/>
      <c r="D496" s="143" t="n"/>
      <c r="E496" s="143" t="n"/>
      <c r="F496" s="143" t="n"/>
      <c r="G496" s="143" t="n"/>
    </row>
    <row r="497" ht="18" customHeight="1" s="102">
      <c r="A497" s="137">
        <f>IF($B497="","","HRK-"&amp;TEXT(ROW()-BaslangicSatir,"000000"))</f>
        <v/>
      </c>
      <c r="B497" s="143" t="n"/>
      <c r="C497" s="143" t="n"/>
      <c r="D497" s="143" t="n"/>
      <c r="E497" s="143" t="n"/>
      <c r="F497" s="143" t="n"/>
      <c r="G497" s="143" t="n"/>
    </row>
    <row r="498" ht="18" customHeight="1" s="102">
      <c r="A498" s="137">
        <f>IF($B498="","","HRK-"&amp;TEXT(ROW()-BaslangicSatir,"000000"))</f>
        <v/>
      </c>
      <c r="B498" s="143" t="n"/>
      <c r="C498" s="143" t="n"/>
      <c r="D498" s="143" t="n"/>
      <c r="E498" s="143" t="n"/>
      <c r="F498" s="143" t="n"/>
      <c r="G498" s="143" t="n"/>
    </row>
    <row r="499" ht="18" customHeight="1" s="102">
      <c r="A499" s="137">
        <f>IF($B499="","","HRK-"&amp;TEXT(ROW()-BaslangicSatir,"000000"))</f>
        <v/>
      </c>
      <c r="B499" s="143" t="n"/>
      <c r="C499" s="143" t="n"/>
      <c r="D499" s="143" t="n"/>
      <c r="E499" s="143" t="n"/>
      <c r="F499" s="143" t="n"/>
      <c r="G499" s="143" t="n"/>
    </row>
    <row r="500" ht="18" customHeight="1" s="102">
      <c r="A500" s="137">
        <f>IF($B500="","","HRK-"&amp;TEXT(ROW()-BaslangicSatir,"000000"))</f>
        <v/>
      </c>
      <c r="B500" s="143" t="n"/>
      <c r="C500" s="143" t="n"/>
      <c r="D500" s="143" t="n"/>
      <c r="E500" s="143" t="n"/>
      <c r="F500" s="143" t="n"/>
      <c r="G500" s="143" t="n"/>
    </row>
    <row r="501" ht="18" customHeight="1" s="102">
      <c r="A501" s="137">
        <f>IF($B501="","","HRK-"&amp;TEXT(ROW()-BaslangicSatir,"000000"))</f>
        <v/>
      </c>
      <c r="B501" s="143" t="n"/>
      <c r="C501" s="143" t="n"/>
      <c r="D501" s="143" t="n"/>
      <c r="E501" s="143" t="n"/>
      <c r="F501" s="143" t="n"/>
      <c r="G501" s="143" t="n"/>
    </row>
    <row r="502" ht="18" customHeight="1" s="102">
      <c r="A502" s="137">
        <f>IF($B502="","","HRK-"&amp;TEXT(ROW()-BaslangicSatir,"000000"))</f>
        <v/>
      </c>
      <c r="B502" s="143" t="n"/>
      <c r="C502" s="143" t="n"/>
      <c r="D502" s="143" t="n"/>
      <c r="E502" s="143" t="n"/>
      <c r="F502" s="143" t="n"/>
      <c r="G502" s="143" t="n"/>
    </row>
    <row r="503" ht="18" customHeight="1" s="102">
      <c r="A503" s="137">
        <f>IF($B503="","","HRK-"&amp;TEXT(ROW()-BaslangicSatir,"000000"))</f>
        <v/>
      </c>
      <c r="B503" s="143" t="n"/>
      <c r="C503" s="143" t="n"/>
      <c r="D503" s="143" t="n"/>
      <c r="E503" s="143" t="n"/>
      <c r="F503" s="143" t="n"/>
      <c r="G503" s="143" t="n"/>
    </row>
    <row r="504" ht="18" customHeight="1" s="102">
      <c r="A504" s="137">
        <f>IF($B504="","","HRK-"&amp;TEXT(ROW()-BaslangicSatir,"000000"))</f>
        <v/>
      </c>
      <c r="B504" s="143" t="n"/>
      <c r="C504" s="143" t="n"/>
      <c r="D504" s="143" t="n"/>
      <c r="E504" s="143" t="n"/>
      <c r="F504" s="143" t="n"/>
      <c r="G504" s="143" t="n"/>
    </row>
    <row r="505" ht="18" customHeight="1" s="102">
      <c r="A505" s="137">
        <f>IF($B505="","","HRK-"&amp;TEXT(ROW()-BaslangicSatir,"000000"))</f>
        <v/>
      </c>
      <c r="B505" s="143" t="n"/>
      <c r="C505" s="143" t="n"/>
      <c r="D505" s="143" t="n"/>
      <c r="E505" s="143" t="n"/>
      <c r="F505" s="143" t="n"/>
      <c r="G505" s="143" t="n"/>
    </row>
    <row r="506" ht="18" customHeight="1" s="102">
      <c r="A506" s="137">
        <f>IF($B506="","","HRK-"&amp;TEXT(ROW()-BaslangicSatir,"000000"))</f>
        <v/>
      </c>
      <c r="B506" s="143" t="n"/>
      <c r="C506" s="143" t="n"/>
      <c r="D506" s="143" t="n"/>
      <c r="E506" s="143" t="n"/>
      <c r="F506" s="143" t="n"/>
      <c r="G506" s="143" t="n"/>
    </row>
    <row r="507" ht="18" customHeight="1" s="102">
      <c r="A507" s="137">
        <f>IF($B507="","","HRK-"&amp;TEXT(ROW()-BaslangicSatir,"000000"))</f>
        <v/>
      </c>
      <c r="B507" s="143" t="n"/>
      <c r="C507" s="143" t="n"/>
      <c r="D507" s="143" t="n"/>
      <c r="E507" s="143" t="n"/>
      <c r="F507" s="143" t="n"/>
      <c r="G507" s="143" t="n"/>
    </row>
    <row r="508" ht="18" customHeight="1" s="102">
      <c r="A508" s="137">
        <f>IF($B508="","","HRK-"&amp;TEXT(ROW()-BaslangicSatir,"000000"))</f>
        <v/>
      </c>
      <c r="B508" s="143" t="n"/>
      <c r="C508" s="143" t="n"/>
      <c r="D508" s="143" t="n"/>
      <c r="E508" s="143" t="n"/>
      <c r="F508" s="143" t="n"/>
      <c r="G508" s="143" t="n"/>
    </row>
    <row r="509" ht="18" customHeight="1" s="102">
      <c r="A509" s="137">
        <f>IF($B509="","","HRK-"&amp;TEXT(ROW()-BaslangicSatir,"000000"))</f>
        <v/>
      </c>
      <c r="B509" s="143" t="n"/>
      <c r="C509" s="143" t="n"/>
      <c r="D509" s="143" t="n"/>
      <c r="E509" s="143" t="n"/>
      <c r="F509" s="143" t="n"/>
      <c r="G509" s="143" t="n"/>
    </row>
    <row r="510" ht="18" customHeight="1" s="102">
      <c r="A510" s="137">
        <f>IF($B510="","","HRK-"&amp;TEXT(ROW()-BaslangicSatir,"000000"))</f>
        <v/>
      </c>
      <c r="B510" s="143" t="n"/>
      <c r="C510" s="143" t="n"/>
      <c r="D510" s="143" t="n"/>
      <c r="E510" s="143" t="n"/>
      <c r="F510" s="143" t="n"/>
      <c r="G510" s="143" t="n"/>
    </row>
    <row r="511" ht="18" customHeight="1" s="102">
      <c r="A511" s="137">
        <f>IF($B511="","","HRK-"&amp;TEXT(ROW()-BaslangicSatir,"000000"))</f>
        <v/>
      </c>
      <c r="B511" s="143" t="n"/>
      <c r="C511" s="143" t="n"/>
      <c r="D511" s="143" t="n"/>
      <c r="E511" s="143" t="n"/>
      <c r="F511" s="143" t="n"/>
      <c r="G511" s="143" t="n"/>
    </row>
    <row r="512" ht="18" customHeight="1" s="102">
      <c r="A512" s="137">
        <f>IF($B512="","","HRK-"&amp;TEXT(ROW()-BaslangicSatir,"000000"))</f>
        <v/>
      </c>
      <c r="B512" s="143" t="n"/>
      <c r="C512" s="143" t="n"/>
      <c r="D512" s="143" t="n"/>
      <c r="E512" s="143" t="n"/>
      <c r="F512" s="143" t="n"/>
      <c r="G512" s="143" t="n"/>
    </row>
    <row r="513" ht="18" customHeight="1" s="102">
      <c r="A513" s="137">
        <f>IF($B513="","","HRK-"&amp;TEXT(ROW()-BaslangicSatir,"000000"))</f>
        <v/>
      </c>
      <c r="B513" s="143" t="n"/>
      <c r="C513" s="143" t="n"/>
      <c r="D513" s="143" t="n"/>
      <c r="E513" s="143" t="n"/>
      <c r="F513" s="143" t="n"/>
      <c r="G513" s="143" t="n"/>
    </row>
    <row r="514" ht="18" customHeight="1" s="102">
      <c r="A514" s="137">
        <f>IF($B514="","","HRK-"&amp;TEXT(ROW()-BaslangicSatir,"000000"))</f>
        <v/>
      </c>
      <c r="B514" s="143" t="n"/>
      <c r="C514" s="143" t="n"/>
      <c r="D514" s="143" t="n"/>
      <c r="E514" s="143" t="n"/>
      <c r="F514" s="143" t="n"/>
      <c r="G514" s="143" t="n"/>
    </row>
    <row r="515" ht="18" customHeight="1" s="102">
      <c r="A515" s="137">
        <f>IF($B515="","","HRK-"&amp;TEXT(ROW()-BaslangicSatir,"000000"))</f>
        <v/>
      </c>
      <c r="B515" s="143" t="n"/>
      <c r="C515" s="143" t="n"/>
      <c r="D515" s="143" t="n"/>
      <c r="E515" s="143" t="n"/>
      <c r="F515" s="143" t="n"/>
      <c r="G515" s="143" t="n"/>
    </row>
    <row r="516" ht="18" customHeight="1" s="102">
      <c r="A516" s="137">
        <f>IF($B516="","","HRK-"&amp;TEXT(ROW()-BaslangicSatir,"000000"))</f>
        <v/>
      </c>
      <c r="B516" s="143" t="n"/>
      <c r="C516" s="143" t="n"/>
      <c r="D516" s="143" t="n"/>
      <c r="E516" s="143" t="n"/>
      <c r="F516" s="143" t="n"/>
      <c r="G516" s="143" t="n"/>
    </row>
    <row r="517" ht="18" customHeight="1" s="102">
      <c r="A517" s="137">
        <f>IF($B517="","","HRK-"&amp;TEXT(ROW()-BaslangicSatir,"000000"))</f>
        <v/>
      </c>
      <c r="B517" s="143" t="n"/>
      <c r="C517" s="143" t="n"/>
      <c r="D517" s="143" t="n"/>
      <c r="E517" s="143" t="n"/>
      <c r="F517" s="143" t="n"/>
      <c r="G517" s="143" t="n"/>
    </row>
    <row r="518" ht="18" customHeight="1" s="102">
      <c r="A518" s="137">
        <f>IF($B518="","","HRK-"&amp;TEXT(ROW()-BaslangicSatir,"000000"))</f>
        <v/>
      </c>
      <c r="B518" s="143" t="n"/>
      <c r="C518" s="143" t="n"/>
      <c r="D518" s="143" t="n"/>
      <c r="E518" s="143" t="n"/>
      <c r="F518" s="143" t="n"/>
      <c r="G518" s="143" t="n"/>
    </row>
    <row r="519" ht="18" customHeight="1" s="102">
      <c r="A519" s="137">
        <f>IF($B519="","","HRK-"&amp;TEXT(ROW()-BaslangicSatir,"000000"))</f>
        <v/>
      </c>
      <c r="B519" s="143" t="n"/>
      <c r="C519" s="143" t="n"/>
      <c r="D519" s="143" t="n"/>
      <c r="E519" s="143" t="n"/>
      <c r="F519" s="143" t="n"/>
      <c r="G519" s="143" t="n"/>
    </row>
    <row r="520" ht="18" customHeight="1" s="102">
      <c r="A520" s="137">
        <f>IF($B520="","","HRK-"&amp;TEXT(ROW()-BaslangicSatir,"000000"))</f>
        <v/>
      </c>
      <c r="B520" s="143" t="n"/>
      <c r="C520" s="143" t="n"/>
      <c r="D520" s="143" t="n"/>
      <c r="E520" s="143" t="n"/>
      <c r="F520" s="143" t="n"/>
      <c r="G520" s="143" t="n"/>
    </row>
    <row r="521" ht="18" customHeight="1" s="102">
      <c r="A521" s="137">
        <f>IF($B521="","","HRK-"&amp;TEXT(ROW()-BaslangicSatir,"000000"))</f>
        <v/>
      </c>
      <c r="B521" s="143" t="n"/>
      <c r="C521" s="143" t="n"/>
      <c r="D521" s="143" t="n"/>
      <c r="E521" s="143" t="n"/>
      <c r="F521" s="143" t="n"/>
      <c r="G521" s="143" t="n"/>
    </row>
    <row r="522" ht="18" customHeight="1" s="102">
      <c r="A522" s="137">
        <f>IF($B522="","","HRK-"&amp;TEXT(ROW()-BaslangicSatir,"000000"))</f>
        <v/>
      </c>
      <c r="B522" s="143" t="n"/>
      <c r="C522" s="143" t="n"/>
      <c r="D522" s="143" t="n"/>
      <c r="E522" s="143" t="n"/>
      <c r="F522" s="143" t="n"/>
      <c r="G522" s="143" t="n"/>
    </row>
    <row r="523" ht="18" customHeight="1" s="102">
      <c r="A523" s="137">
        <f>IF($B523="","","HRK-"&amp;TEXT(ROW()-BaslangicSatir,"000000"))</f>
        <v/>
      </c>
      <c r="B523" s="143" t="n"/>
      <c r="C523" s="143" t="n"/>
      <c r="D523" s="143" t="n"/>
      <c r="E523" s="143" t="n"/>
      <c r="F523" s="143" t="n"/>
      <c r="G523" s="143" t="n"/>
    </row>
    <row r="524" ht="18" customHeight="1" s="102">
      <c r="A524" s="137">
        <f>IF($B524="","","HRK-"&amp;TEXT(ROW()-BaslangicSatir,"000000"))</f>
        <v/>
      </c>
      <c r="B524" s="143" t="n"/>
      <c r="C524" s="143" t="n"/>
      <c r="D524" s="143" t="n"/>
      <c r="E524" s="143" t="n"/>
      <c r="F524" s="143" t="n"/>
      <c r="G524" s="143" t="n"/>
    </row>
    <row r="525" ht="18" customHeight="1" s="102">
      <c r="A525" s="137">
        <f>IF($B525="","","HRK-"&amp;TEXT(ROW()-BaslangicSatir,"000000"))</f>
        <v/>
      </c>
      <c r="B525" s="143" t="n"/>
      <c r="C525" s="143" t="n"/>
      <c r="D525" s="143" t="n"/>
      <c r="E525" s="143" t="n"/>
      <c r="F525" s="143" t="n"/>
      <c r="G525" s="143" t="n"/>
    </row>
    <row r="526" ht="18" customHeight="1" s="102">
      <c r="A526" s="137">
        <f>IF($B526="","","HRK-"&amp;TEXT(ROW()-BaslangicSatir,"000000"))</f>
        <v/>
      </c>
      <c r="B526" s="143" t="n"/>
      <c r="C526" s="143" t="n"/>
      <c r="D526" s="143" t="n"/>
      <c r="E526" s="143" t="n"/>
      <c r="F526" s="143" t="n"/>
      <c r="G526" s="143" t="n"/>
    </row>
    <row r="527" ht="18" customHeight="1" s="102">
      <c r="A527" s="137">
        <f>IF($B527="","","HRK-"&amp;TEXT(ROW()-BaslangicSatir,"000000"))</f>
        <v/>
      </c>
      <c r="B527" s="143" t="n"/>
      <c r="C527" s="143" t="n"/>
      <c r="D527" s="143" t="n"/>
      <c r="E527" s="143" t="n"/>
      <c r="F527" s="143" t="n"/>
      <c r="G527" s="143" t="n"/>
    </row>
    <row r="528" ht="18" customHeight="1" s="102">
      <c r="A528" s="137">
        <f>IF($B528="","","HRK-"&amp;TEXT(ROW()-BaslangicSatir,"000000"))</f>
        <v/>
      </c>
      <c r="B528" s="143" t="n"/>
      <c r="C528" s="143" t="n"/>
      <c r="D528" s="143" t="n"/>
      <c r="E528" s="143" t="n"/>
      <c r="F528" s="143" t="n"/>
      <c r="G528" s="143" t="n"/>
    </row>
    <row r="529" ht="18" customHeight="1" s="102">
      <c r="A529" s="137">
        <f>IF($B529="","","HRK-"&amp;TEXT(ROW()-BaslangicSatir,"000000"))</f>
        <v/>
      </c>
      <c r="B529" s="143" t="n"/>
      <c r="C529" s="143" t="n"/>
      <c r="D529" s="143" t="n"/>
      <c r="E529" s="143" t="n"/>
      <c r="F529" s="143" t="n"/>
      <c r="G529" s="143" t="n"/>
    </row>
    <row r="530" ht="18" customHeight="1" s="102">
      <c r="A530" s="137">
        <f>IF($B530="","","HRK-"&amp;TEXT(ROW()-BaslangicSatir,"000000"))</f>
        <v/>
      </c>
      <c r="B530" s="143" t="n"/>
      <c r="C530" s="143" t="n"/>
      <c r="D530" s="143" t="n"/>
      <c r="E530" s="143" t="n"/>
      <c r="F530" s="143" t="n"/>
      <c r="G530" s="143" t="n"/>
    </row>
    <row r="531" ht="18" customHeight="1" s="102">
      <c r="A531" s="137">
        <f>IF($B531="","","HRK-"&amp;TEXT(ROW()-BaslangicSatir,"000000"))</f>
        <v/>
      </c>
      <c r="B531" s="143" t="n"/>
      <c r="C531" s="143" t="n"/>
      <c r="D531" s="143" t="n"/>
      <c r="E531" s="143" t="n"/>
      <c r="F531" s="143" t="n"/>
      <c r="G531" s="143" t="n"/>
    </row>
    <row r="532" ht="18" customHeight="1" s="102">
      <c r="A532" s="137">
        <f>IF($B532="","","HRK-"&amp;TEXT(ROW()-BaslangicSatir,"000000"))</f>
        <v/>
      </c>
      <c r="B532" s="143" t="n"/>
      <c r="C532" s="143" t="n"/>
      <c r="D532" s="143" t="n"/>
      <c r="E532" s="143" t="n"/>
      <c r="F532" s="143" t="n"/>
      <c r="G532" s="143" t="n"/>
    </row>
    <row r="533" ht="18" customHeight="1" s="102">
      <c r="A533" s="137">
        <f>IF($B533="","","HRK-"&amp;TEXT(ROW()-BaslangicSatir,"000000"))</f>
        <v/>
      </c>
      <c r="B533" s="143" t="n"/>
      <c r="C533" s="143" t="n"/>
      <c r="D533" s="143" t="n"/>
      <c r="E533" s="143" t="n"/>
      <c r="F533" s="143" t="n"/>
      <c r="G533" s="143" t="n"/>
    </row>
    <row r="534" ht="18" customHeight="1" s="102">
      <c r="A534" s="137">
        <f>IF($B534="","","HRK-"&amp;TEXT(ROW()-BaslangicSatir,"000000"))</f>
        <v/>
      </c>
      <c r="B534" s="143" t="n"/>
      <c r="C534" s="143" t="n"/>
      <c r="D534" s="143" t="n"/>
      <c r="E534" s="143" t="n"/>
      <c r="F534" s="143" t="n"/>
      <c r="G534" s="143" t="n"/>
    </row>
    <row r="535" ht="18" customHeight="1" s="102">
      <c r="A535" s="137">
        <f>IF($B535="","","HRK-"&amp;TEXT(ROW()-BaslangicSatir,"000000"))</f>
        <v/>
      </c>
      <c r="B535" s="143" t="n"/>
      <c r="C535" s="143" t="n"/>
      <c r="D535" s="143" t="n"/>
      <c r="E535" s="143" t="n"/>
      <c r="F535" s="143" t="n"/>
      <c r="G535" s="143" t="n"/>
    </row>
    <row r="536" ht="18" customHeight="1" s="102">
      <c r="A536" s="137">
        <f>IF($B536="","","HRK-"&amp;TEXT(ROW()-BaslangicSatir,"000000"))</f>
        <v/>
      </c>
      <c r="B536" s="143" t="n"/>
      <c r="C536" s="143" t="n"/>
      <c r="D536" s="143" t="n"/>
      <c r="E536" s="143" t="n"/>
      <c r="F536" s="143" t="n"/>
      <c r="G536" s="143" t="n"/>
    </row>
    <row r="537" ht="18" customHeight="1" s="102">
      <c r="A537" s="137">
        <f>IF($B537="","","HRK-"&amp;TEXT(ROW()-BaslangicSatir,"000000"))</f>
        <v/>
      </c>
      <c r="B537" s="143" t="n"/>
      <c r="C537" s="143" t="n"/>
      <c r="D537" s="143" t="n"/>
      <c r="E537" s="143" t="n"/>
      <c r="F537" s="143" t="n"/>
      <c r="G537" s="143" t="n"/>
    </row>
    <row r="538" ht="18" customHeight="1" s="102">
      <c r="A538" s="137">
        <f>IF($B538="","","HRK-"&amp;TEXT(ROW()-BaslangicSatir,"000000"))</f>
        <v/>
      </c>
      <c r="B538" s="143" t="n"/>
      <c r="C538" s="143" t="n"/>
      <c r="D538" s="143" t="n"/>
      <c r="E538" s="143" t="n"/>
      <c r="F538" s="143" t="n"/>
      <c r="G538" s="143" t="n"/>
    </row>
    <row r="539" ht="18" customHeight="1" s="102">
      <c r="A539" s="137">
        <f>IF($B539="","","HRK-"&amp;TEXT(ROW()-BaslangicSatir,"000000"))</f>
        <v/>
      </c>
      <c r="B539" s="143" t="n"/>
      <c r="C539" s="143" t="n"/>
      <c r="D539" s="143" t="n"/>
      <c r="E539" s="143" t="n"/>
      <c r="F539" s="143" t="n"/>
      <c r="G539" s="143" t="n"/>
    </row>
    <row r="540" ht="18" customHeight="1" s="102">
      <c r="A540" s="137">
        <f>IF($B540="","","HRK-"&amp;TEXT(ROW()-BaslangicSatir,"000000"))</f>
        <v/>
      </c>
      <c r="B540" s="143" t="n"/>
      <c r="C540" s="143" t="n"/>
      <c r="D540" s="143" t="n"/>
      <c r="E540" s="143" t="n"/>
      <c r="F540" s="143" t="n"/>
      <c r="G540" s="143" t="n"/>
    </row>
    <row r="541" ht="18" customHeight="1" s="102">
      <c r="A541" s="137">
        <f>IF($B541="","","HRK-"&amp;TEXT(ROW()-BaslangicSatir,"000000"))</f>
        <v/>
      </c>
      <c r="B541" s="143" t="n"/>
      <c r="C541" s="143" t="n"/>
      <c r="D541" s="143" t="n"/>
      <c r="E541" s="143" t="n"/>
      <c r="F541" s="143" t="n"/>
      <c r="G541" s="143" t="n"/>
    </row>
    <row r="542" ht="18" customHeight="1" s="102">
      <c r="A542" s="137">
        <f>IF($B542="","","HRK-"&amp;TEXT(ROW()-BaslangicSatir,"000000"))</f>
        <v/>
      </c>
      <c r="B542" s="143" t="n"/>
      <c r="C542" s="143" t="n"/>
      <c r="D542" s="143" t="n"/>
      <c r="E542" s="143" t="n"/>
      <c r="F542" s="143" t="n"/>
      <c r="G542" s="143" t="n"/>
    </row>
    <row r="543" ht="18" customHeight="1" s="102">
      <c r="A543" s="137">
        <f>IF($B543="","","HRK-"&amp;TEXT(ROW()-BaslangicSatir,"000000"))</f>
        <v/>
      </c>
      <c r="B543" s="143" t="n"/>
      <c r="C543" s="143" t="n"/>
      <c r="D543" s="143" t="n"/>
      <c r="E543" s="143" t="n"/>
      <c r="F543" s="143" t="n"/>
      <c r="G543" s="143" t="n"/>
    </row>
    <row r="544" ht="18" customHeight="1" s="102">
      <c r="A544" s="137">
        <f>IF($B544="","","HRK-"&amp;TEXT(ROW()-BaslangicSatir,"000000"))</f>
        <v/>
      </c>
      <c r="B544" s="143" t="n"/>
      <c r="C544" s="143" t="n"/>
      <c r="D544" s="143" t="n"/>
      <c r="E544" s="143" t="n"/>
      <c r="F544" s="143" t="n"/>
      <c r="G544" s="143" t="n"/>
    </row>
    <row r="545" ht="18" customHeight="1" s="102">
      <c r="A545" s="137">
        <f>IF($B545="","","HRK-"&amp;TEXT(ROW()-BaslangicSatir,"000000"))</f>
        <v/>
      </c>
      <c r="B545" s="143" t="n"/>
      <c r="C545" s="143" t="n"/>
      <c r="D545" s="143" t="n"/>
      <c r="E545" s="143" t="n"/>
      <c r="F545" s="143" t="n"/>
      <c r="G545" s="143" t="n"/>
    </row>
    <row r="546" ht="18" customHeight="1" s="102">
      <c r="A546" s="137">
        <f>IF($B546="","","HRK-"&amp;TEXT(ROW()-BaslangicSatir,"000000"))</f>
        <v/>
      </c>
      <c r="B546" s="143" t="n"/>
      <c r="C546" s="143" t="n"/>
      <c r="D546" s="143" t="n"/>
      <c r="E546" s="143" t="n"/>
      <c r="F546" s="143" t="n"/>
      <c r="G546" s="143" t="n"/>
    </row>
    <row r="547" ht="18" customHeight="1" s="102">
      <c r="A547" s="137">
        <f>IF($B547="","","HRK-"&amp;TEXT(ROW()-BaslangicSatir,"000000"))</f>
        <v/>
      </c>
      <c r="B547" s="143" t="n"/>
      <c r="C547" s="143" t="n"/>
      <c r="D547" s="143" t="n"/>
      <c r="E547" s="143" t="n"/>
      <c r="F547" s="143" t="n"/>
      <c r="G547" s="143" t="n"/>
    </row>
    <row r="548" ht="18" customHeight="1" s="102">
      <c r="A548" s="137">
        <f>IF($B548="","","HRK-"&amp;TEXT(ROW()-BaslangicSatir,"000000"))</f>
        <v/>
      </c>
      <c r="B548" s="143" t="n"/>
      <c r="C548" s="143" t="n"/>
      <c r="D548" s="143" t="n"/>
      <c r="E548" s="143" t="n"/>
      <c r="F548" s="143" t="n"/>
      <c r="G548" s="143" t="n"/>
    </row>
    <row r="549" ht="18" customHeight="1" s="102">
      <c r="A549" s="137">
        <f>IF($B549="","","HRK-"&amp;TEXT(ROW()-BaslangicSatir,"000000"))</f>
        <v/>
      </c>
      <c r="B549" s="143" t="n"/>
      <c r="C549" s="143" t="n"/>
      <c r="D549" s="143" t="n"/>
      <c r="E549" s="143" t="n"/>
      <c r="F549" s="143" t="n"/>
      <c r="G549" s="143" t="n"/>
    </row>
    <row r="550" ht="18" customHeight="1" s="102">
      <c r="A550" s="137">
        <f>IF($B550="","","HRK-"&amp;TEXT(ROW()-BaslangicSatir,"000000"))</f>
        <v/>
      </c>
      <c r="B550" s="143" t="n"/>
      <c r="C550" s="143" t="n"/>
      <c r="D550" s="143" t="n"/>
      <c r="E550" s="143" t="n"/>
      <c r="F550" s="143" t="n"/>
      <c r="G550" s="143" t="n"/>
    </row>
    <row r="551" ht="18" customHeight="1" s="102">
      <c r="A551" s="137">
        <f>IF($B551="","","HRK-"&amp;TEXT(ROW()-BaslangicSatir,"000000"))</f>
        <v/>
      </c>
      <c r="B551" s="143" t="n"/>
      <c r="C551" s="143" t="n"/>
      <c r="D551" s="143" t="n"/>
      <c r="E551" s="143" t="n"/>
      <c r="F551" s="143" t="n"/>
      <c r="G551" s="143" t="n"/>
    </row>
    <row r="552" ht="18" customHeight="1" s="102">
      <c r="A552" s="137">
        <f>IF($B552="","","HRK-"&amp;TEXT(ROW()-BaslangicSatir,"000000"))</f>
        <v/>
      </c>
      <c r="B552" s="143" t="n"/>
      <c r="C552" s="143" t="n"/>
      <c r="D552" s="143" t="n"/>
      <c r="E552" s="143" t="n"/>
      <c r="F552" s="143" t="n"/>
      <c r="G552" s="143" t="n"/>
    </row>
    <row r="553" ht="18" customHeight="1" s="102">
      <c r="A553" s="137">
        <f>IF($B553="","","HRK-"&amp;TEXT(ROW()-BaslangicSatir,"000000"))</f>
        <v/>
      </c>
      <c r="B553" s="143" t="n"/>
      <c r="C553" s="143" t="n"/>
      <c r="D553" s="143" t="n"/>
      <c r="E553" s="143" t="n"/>
      <c r="F553" s="143" t="n"/>
      <c r="G553" s="143" t="n"/>
    </row>
    <row r="554" ht="18" customHeight="1" s="102">
      <c r="A554" s="137">
        <f>IF($B554="","","HRK-"&amp;TEXT(ROW()-BaslangicSatir,"000000"))</f>
        <v/>
      </c>
      <c r="B554" s="143" t="n"/>
      <c r="C554" s="143" t="n"/>
      <c r="D554" s="143" t="n"/>
      <c r="E554" s="143" t="n"/>
      <c r="F554" s="143" t="n"/>
      <c r="G554" s="143" t="n"/>
    </row>
    <row r="555" ht="18" customHeight="1" s="102">
      <c r="A555" s="137">
        <f>IF($B555="","","HRK-"&amp;TEXT(ROW()-BaslangicSatir,"000000"))</f>
        <v/>
      </c>
      <c r="B555" s="143" t="n"/>
      <c r="C555" s="143" t="n"/>
      <c r="D555" s="143" t="n"/>
      <c r="E555" s="143" t="n"/>
      <c r="F555" s="143" t="n"/>
      <c r="G555" s="143" t="n"/>
    </row>
    <row r="556" ht="18" customHeight="1" s="102">
      <c r="A556" s="137">
        <f>IF($B556="","","HRK-"&amp;TEXT(ROW()-BaslangicSatir,"000000"))</f>
        <v/>
      </c>
      <c r="B556" s="143" t="n"/>
      <c r="C556" s="143" t="n"/>
      <c r="D556" s="143" t="n"/>
      <c r="E556" s="143" t="n"/>
      <c r="F556" s="143" t="n"/>
      <c r="G556" s="143" t="n"/>
    </row>
    <row r="557" ht="18" customHeight="1" s="102">
      <c r="A557" s="137">
        <f>IF($B557="","","HRK-"&amp;TEXT(ROW()-BaslangicSatir,"000000"))</f>
        <v/>
      </c>
      <c r="B557" s="143" t="n"/>
      <c r="C557" s="143" t="n"/>
      <c r="D557" s="143" t="n"/>
      <c r="E557" s="143" t="n"/>
      <c r="F557" s="143" t="n"/>
      <c r="G557" s="143" t="n"/>
    </row>
    <row r="558" ht="18" customHeight="1" s="102">
      <c r="A558" s="137">
        <f>IF($B558="","","HRK-"&amp;TEXT(ROW()-BaslangicSatir,"000000"))</f>
        <v/>
      </c>
      <c r="B558" s="143" t="n"/>
      <c r="C558" s="143" t="n"/>
      <c r="D558" s="143" t="n"/>
      <c r="E558" s="143" t="n"/>
      <c r="F558" s="143" t="n"/>
      <c r="G558" s="143" t="n"/>
    </row>
    <row r="559" ht="18" customHeight="1" s="102">
      <c r="A559" s="137">
        <f>IF($B559="","","HRK-"&amp;TEXT(ROW()-BaslangicSatir,"000000"))</f>
        <v/>
      </c>
      <c r="B559" s="143" t="n"/>
      <c r="C559" s="143" t="n"/>
      <c r="D559" s="143" t="n"/>
      <c r="E559" s="143" t="n"/>
      <c r="F559" s="143" t="n"/>
      <c r="G559" s="143" t="n"/>
    </row>
    <row r="560" ht="18" customHeight="1" s="102">
      <c r="A560" s="137">
        <f>IF($B560="","","HRK-"&amp;TEXT(ROW()-BaslangicSatir,"000000"))</f>
        <v/>
      </c>
      <c r="B560" s="143" t="n"/>
      <c r="C560" s="143" t="n"/>
      <c r="D560" s="143" t="n"/>
      <c r="E560" s="143" t="n"/>
      <c r="F560" s="143" t="n"/>
      <c r="G560" s="143" t="n"/>
    </row>
    <row r="561" ht="18" customHeight="1" s="102">
      <c r="A561" s="137">
        <f>IF($B561="","","HRK-"&amp;TEXT(ROW()-BaslangicSatir,"000000"))</f>
        <v/>
      </c>
      <c r="B561" s="143" t="n"/>
      <c r="C561" s="143" t="n"/>
      <c r="D561" s="143" t="n"/>
      <c r="E561" s="143" t="n"/>
      <c r="F561" s="143" t="n"/>
      <c r="G561" s="143" t="n"/>
    </row>
    <row r="562" ht="18" customHeight="1" s="102">
      <c r="A562" s="137">
        <f>IF($B562="","","HRK-"&amp;TEXT(ROW()-BaslangicSatir,"000000"))</f>
        <v/>
      </c>
      <c r="B562" s="143" t="n"/>
      <c r="C562" s="143" t="n"/>
      <c r="D562" s="143" t="n"/>
      <c r="E562" s="143" t="n"/>
      <c r="F562" s="143" t="n"/>
      <c r="G562" s="143" t="n"/>
    </row>
    <row r="563" ht="18" customHeight="1" s="102">
      <c r="A563" s="137">
        <f>IF($B563="","","HRK-"&amp;TEXT(ROW()-BaslangicSatir,"000000"))</f>
        <v/>
      </c>
      <c r="B563" s="143" t="n"/>
      <c r="C563" s="143" t="n"/>
      <c r="D563" s="143" t="n"/>
      <c r="E563" s="143" t="n"/>
      <c r="F563" s="143" t="n"/>
      <c r="G563" s="143" t="n"/>
    </row>
    <row r="564" ht="18" customHeight="1" s="102">
      <c r="A564" s="137">
        <f>IF($B564="","","HRK-"&amp;TEXT(ROW()-BaslangicSatir,"000000"))</f>
        <v/>
      </c>
      <c r="B564" s="143" t="n"/>
      <c r="C564" s="143" t="n"/>
      <c r="D564" s="143" t="n"/>
      <c r="E564" s="143" t="n"/>
      <c r="F564" s="143" t="n"/>
      <c r="G564" s="143" t="n"/>
    </row>
    <row r="565" ht="18" customHeight="1" s="102">
      <c r="A565" s="137">
        <f>IF($B565="","","HRK-"&amp;TEXT(ROW()-BaslangicSatir,"000000"))</f>
        <v/>
      </c>
      <c r="B565" s="143" t="n"/>
      <c r="C565" s="143" t="n"/>
      <c r="D565" s="143" t="n"/>
      <c r="E565" s="143" t="n"/>
      <c r="F565" s="143" t="n"/>
      <c r="G565" s="143" t="n"/>
    </row>
    <row r="566" ht="18" customHeight="1" s="102">
      <c r="A566" s="137">
        <f>IF($B566="","","HRK-"&amp;TEXT(ROW()-BaslangicSatir,"000000"))</f>
        <v/>
      </c>
      <c r="B566" s="143" t="n"/>
      <c r="C566" s="143" t="n"/>
      <c r="D566" s="143" t="n"/>
      <c r="E566" s="143" t="n"/>
      <c r="F566" s="143" t="n"/>
      <c r="G566" s="143" t="n"/>
    </row>
    <row r="567" ht="18" customHeight="1" s="102">
      <c r="A567" s="137">
        <f>IF($B567="","","HRK-"&amp;TEXT(ROW()-BaslangicSatir,"000000"))</f>
        <v/>
      </c>
      <c r="B567" s="143" t="n"/>
      <c r="C567" s="143" t="n"/>
      <c r="D567" s="143" t="n"/>
      <c r="E567" s="143" t="n"/>
      <c r="F567" s="143" t="n"/>
      <c r="G567" s="143" t="n"/>
    </row>
    <row r="568" ht="18" customHeight="1" s="102">
      <c r="A568" s="137">
        <f>IF($B568="","","HRK-"&amp;TEXT(ROW()-BaslangicSatir,"000000"))</f>
        <v/>
      </c>
      <c r="B568" s="143" t="n"/>
      <c r="C568" s="143" t="n"/>
      <c r="D568" s="143" t="n"/>
      <c r="E568" s="143" t="n"/>
      <c r="F568" s="143" t="n"/>
      <c r="G568" s="143" t="n"/>
    </row>
    <row r="569" ht="18" customHeight="1" s="102">
      <c r="A569" s="137">
        <f>IF($B569="","","HRK-"&amp;TEXT(ROW()-BaslangicSatir,"000000"))</f>
        <v/>
      </c>
      <c r="B569" s="143" t="n"/>
      <c r="C569" s="143" t="n"/>
      <c r="D569" s="143" t="n"/>
      <c r="E569" s="143" t="n"/>
      <c r="F569" s="143" t="n"/>
      <c r="G569" s="143" t="n"/>
    </row>
    <row r="570" ht="18" customHeight="1" s="102">
      <c r="A570" s="137">
        <f>IF($B570="","","HRK-"&amp;TEXT(ROW()-BaslangicSatir,"000000"))</f>
        <v/>
      </c>
      <c r="B570" s="143" t="n"/>
      <c r="C570" s="143" t="n"/>
      <c r="D570" s="143" t="n"/>
      <c r="E570" s="143" t="n"/>
      <c r="F570" s="143" t="n"/>
      <c r="G570" s="143" t="n"/>
    </row>
    <row r="571" ht="18" customHeight="1" s="102">
      <c r="A571" s="137">
        <f>IF($B571="","","HRK-"&amp;TEXT(ROW()-BaslangicSatir,"000000"))</f>
        <v/>
      </c>
      <c r="B571" s="143" t="n"/>
      <c r="C571" s="143" t="n"/>
      <c r="D571" s="143" t="n"/>
      <c r="E571" s="143" t="n"/>
      <c r="F571" s="143" t="n"/>
      <c r="G571" s="143" t="n"/>
    </row>
    <row r="572" ht="18" customHeight="1" s="102">
      <c r="A572" s="137">
        <f>IF($B572="","","HRK-"&amp;TEXT(ROW()-BaslangicSatir,"000000"))</f>
        <v/>
      </c>
      <c r="B572" s="143" t="n"/>
      <c r="C572" s="143" t="n"/>
      <c r="D572" s="143" t="n"/>
      <c r="E572" s="143" t="n"/>
      <c r="F572" s="143" t="n"/>
      <c r="G572" s="143" t="n"/>
    </row>
    <row r="573" ht="18" customHeight="1" s="102">
      <c r="A573" s="137">
        <f>IF($B573="","","HRK-"&amp;TEXT(ROW()-BaslangicSatir,"000000"))</f>
        <v/>
      </c>
      <c r="B573" s="143" t="n"/>
      <c r="C573" s="143" t="n"/>
      <c r="D573" s="143" t="n"/>
      <c r="E573" s="143" t="n"/>
      <c r="F573" s="143" t="n"/>
      <c r="G573" s="143" t="n"/>
    </row>
    <row r="574" ht="18" customHeight="1" s="102">
      <c r="A574" s="137">
        <f>IF($B574="","","HRK-"&amp;TEXT(ROW()-BaslangicSatir,"000000"))</f>
        <v/>
      </c>
      <c r="B574" s="143" t="n"/>
      <c r="C574" s="143" t="n"/>
      <c r="D574" s="143" t="n"/>
      <c r="E574" s="143" t="n"/>
      <c r="F574" s="143" t="n"/>
      <c r="G574" s="143" t="n"/>
    </row>
    <row r="575" ht="18" customHeight="1" s="102">
      <c r="A575" s="137">
        <f>IF($B575="","","HRK-"&amp;TEXT(ROW()-BaslangicSatir,"000000"))</f>
        <v/>
      </c>
      <c r="B575" s="143" t="n"/>
      <c r="C575" s="143" t="n"/>
      <c r="D575" s="143" t="n"/>
      <c r="E575" s="143" t="n"/>
      <c r="F575" s="143" t="n"/>
      <c r="G575" s="143" t="n"/>
    </row>
    <row r="576" ht="18" customHeight="1" s="102">
      <c r="A576" s="137">
        <f>IF($B576="","","HRK-"&amp;TEXT(ROW()-BaslangicSatir,"000000"))</f>
        <v/>
      </c>
      <c r="B576" s="143" t="n"/>
      <c r="C576" s="143" t="n"/>
      <c r="D576" s="143" t="n"/>
      <c r="E576" s="143" t="n"/>
      <c r="F576" s="143" t="n"/>
      <c r="G576" s="143" t="n"/>
    </row>
    <row r="577" ht="18" customHeight="1" s="102">
      <c r="A577" s="137">
        <f>IF($B577="","","HRK-"&amp;TEXT(ROW()-BaslangicSatir,"000000"))</f>
        <v/>
      </c>
      <c r="B577" s="143" t="n"/>
      <c r="C577" s="143" t="n"/>
      <c r="D577" s="143" t="n"/>
      <c r="E577" s="143" t="n"/>
      <c r="F577" s="143" t="n"/>
      <c r="G577" s="143" t="n"/>
    </row>
    <row r="578" ht="18" customHeight="1" s="102">
      <c r="A578" s="137">
        <f>IF($B578="","","HRK-"&amp;TEXT(ROW()-BaslangicSatir,"000000"))</f>
        <v/>
      </c>
      <c r="B578" s="143" t="n"/>
      <c r="C578" s="143" t="n"/>
      <c r="D578" s="143" t="n"/>
      <c r="E578" s="143" t="n"/>
      <c r="F578" s="143" t="n"/>
      <c r="G578" s="143" t="n"/>
    </row>
    <row r="579" ht="18" customHeight="1" s="102">
      <c r="A579" s="137">
        <f>IF($B579="","","HRK-"&amp;TEXT(ROW()-BaslangicSatir,"000000"))</f>
        <v/>
      </c>
      <c r="B579" s="143" t="n"/>
      <c r="C579" s="143" t="n"/>
      <c r="D579" s="143" t="n"/>
      <c r="E579" s="143" t="n"/>
      <c r="F579" s="143" t="n"/>
      <c r="G579" s="143" t="n"/>
    </row>
    <row r="580" ht="18" customHeight="1" s="102">
      <c r="A580" s="137">
        <f>IF($B580="","","HRK-"&amp;TEXT(ROW()-BaslangicSatir,"000000"))</f>
        <v/>
      </c>
      <c r="B580" s="143" t="n"/>
      <c r="C580" s="143" t="n"/>
      <c r="D580" s="143" t="n"/>
      <c r="E580" s="143" t="n"/>
      <c r="F580" s="143" t="n"/>
      <c r="G580" s="143" t="n"/>
    </row>
    <row r="581" ht="18" customHeight="1" s="102">
      <c r="A581" s="137">
        <f>IF($B581="","","HRK-"&amp;TEXT(ROW()-BaslangicSatir,"000000"))</f>
        <v/>
      </c>
      <c r="B581" s="143" t="n"/>
      <c r="C581" s="143" t="n"/>
      <c r="D581" s="143" t="n"/>
      <c r="E581" s="143" t="n"/>
      <c r="F581" s="143" t="n"/>
      <c r="G581" s="143" t="n"/>
    </row>
    <row r="582" ht="18" customHeight="1" s="102">
      <c r="A582" s="137">
        <f>IF($B582="","","HRK-"&amp;TEXT(ROW()-BaslangicSatir,"000000"))</f>
        <v/>
      </c>
      <c r="B582" s="143" t="n"/>
      <c r="C582" s="143" t="n"/>
      <c r="D582" s="143" t="n"/>
      <c r="E582" s="143" t="n"/>
      <c r="F582" s="143" t="n"/>
      <c r="G582" s="143" t="n"/>
    </row>
    <row r="583" ht="18" customHeight="1" s="102">
      <c r="A583" s="137">
        <f>IF($B583="","","HRK-"&amp;TEXT(ROW()-BaslangicSatir,"000000"))</f>
        <v/>
      </c>
      <c r="B583" s="143" t="n"/>
      <c r="C583" s="143" t="n"/>
      <c r="D583" s="143" t="n"/>
      <c r="E583" s="143" t="n"/>
      <c r="F583" s="143" t="n"/>
      <c r="G583" s="143" t="n"/>
    </row>
    <row r="584" ht="18" customHeight="1" s="102">
      <c r="A584" s="137">
        <f>IF($B584="","","HRK-"&amp;TEXT(ROW()-BaslangicSatir,"000000"))</f>
        <v/>
      </c>
      <c r="B584" s="143" t="n"/>
      <c r="C584" s="143" t="n"/>
      <c r="D584" s="143" t="n"/>
      <c r="E584" s="143" t="n"/>
      <c r="F584" s="143" t="n"/>
      <c r="G584" s="143" t="n"/>
    </row>
    <row r="585" ht="18" customHeight="1" s="102">
      <c r="A585" s="137">
        <f>IF($B585="","","HRK-"&amp;TEXT(ROW()-BaslangicSatir,"000000"))</f>
        <v/>
      </c>
      <c r="B585" s="143" t="n"/>
      <c r="C585" s="143" t="n"/>
      <c r="D585" s="143" t="n"/>
      <c r="E585" s="143" t="n"/>
      <c r="F585" s="143" t="n"/>
      <c r="G585" s="143" t="n"/>
    </row>
    <row r="586" ht="18" customHeight="1" s="102">
      <c r="A586" s="137">
        <f>IF($B586="","","HRK-"&amp;TEXT(ROW()-BaslangicSatir,"000000"))</f>
        <v/>
      </c>
      <c r="B586" s="143" t="n"/>
      <c r="C586" s="143" t="n"/>
      <c r="D586" s="143" t="n"/>
      <c r="E586" s="143" t="n"/>
      <c r="F586" s="143" t="n"/>
      <c r="G586" s="143" t="n"/>
    </row>
    <row r="587" ht="18" customHeight="1" s="102">
      <c r="A587" s="137">
        <f>IF($B587="","","HRK-"&amp;TEXT(ROW()-BaslangicSatir,"000000"))</f>
        <v/>
      </c>
      <c r="B587" s="143" t="n"/>
      <c r="C587" s="143" t="n"/>
      <c r="D587" s="143" t="n"/>
      <c r="E587" s="143" t="n"/>
      <c r="F587" s="143" t="n"/>
      <c r="G587" s="143" t="n"/>
    </row>
    <row r="588" ht="18" customHeight="1" s="102">
      <c r="A588" s="137">
        <f>IF($B588="","","HRK-"&amp;TEXT(ROW()-BaslangicSatir,"000000"))</f>
        <v/>
      </c>
      <c r="B588" s="143" t="n"/>
      <c r="C588" s="143" t="n"/>
      <c r="D588" s="143" t="n"/>
      <c r="E588" s="143" t="n"/>
      <c r="F588" s="143" t="n"/>
      <c r="G588" s="143" t="n"/>
    </row>
    <row r="589" ht="18" customHeight="1" s="102">
      <c r="A589" s="137">
        <f>IF($B589="","","HRK-"&amp;TEXT(ROW()-BaslangicSatir,"000000"))</f>
        <v/>
      </c>
      <c r="B589" s="143" t="n"/>
      <c r="C589" s="143" t="n"/>
      <c r="D589" s="143" t="n"/>
      <c r="E589" s="143" t="n"/>
      <c r="F589" s="143" t="n"/>
      <c r="G589" s="143" t="n"/>
    </row>
    <row r="590" ht="18" customHeight="1" s="102">
      <c r="A590" s="137">
        <f>IF($B590="","","HRK-"&amp;TEXT(ROW()-BaslangicSatir,"000000"))</f>
        <v/>
      </c>
      <c r="B590" s="143" t="n"/>
      <c r="C590" s="143" t="n"/>
      <c r="D590" s="143" t="n"/>
      <c r="E590" s="143" t="n"/>
      <c r="F590" s="143" t="n"/>
      <c r="G590" s="143" t="n"/>
    </row>
    <row r="591" ht="18" customHeight="1" s="102">
      <c r="A591" s="137">
        <f>IF($B591="","","HRK-"&amp;TEXT(ROW()-BaslangicSatir,"000000"))</f>
        <v/>
      </c>
      <c r="B591" s="143" t="n"/>
      <c r="C591" s="143" t="n"/>
      <c r="D591" s="143" t="n"/>
      <c r="E591" s="143" t="n"/>
      <c r="F591" s="143" t="n"/>
      <c r="G591" s="143" t="n"/>
    </row>
    <row r="592" ht="18" customHeight="1" s="102">
      <c r="A592" s="137">
        <f>IF($B592="","","HRK-"&amp;TEXT(ROW()-BaslangicSatir,"000000"))</f>
        <v/>
      </c>
      <c r="B592" s="143" t="n"/>
      <c r="C592" s="143" t="n"/>
      <c r="D592" s="143" t="n"/>
      <c r="E592" s="143" t="n"/>
      <c r="F592" s="143" t="n"/>
      <c r="G592" s="143" t="n"/>
    </row>
    <row r="593" ht="18" customHeight="1" s="102">
      <c r="A593" s="137">
        <f>IF($B593="","","HRK-"&amp;TEXT(ROW()-BaslangicSatir,"000000"))</f>
        <v/>
      </c>
      <c r="B593" s="143" t="n"/>
      <c r="C593" s="143" t="n"/>
      <c r="D593" s="143" t="n"/>
      <c r="E593" s="143" t="n"/>
      <c r="F593" s="143" t="n"/>
      <c r="G593" s="143" t="n"/>
    </row>
    <row r="594" ht="18" customHeight="1" s="102">
      <c r="A594" s="137">
        <f>IF($B594="","","HRK-"&amp;TEXT(ROW()-BaslangicSatir,"000000"))</f>
        <v/>
      </c>
      <c r="B594" s="143" t="n"/>
      <c r="C594" s="143" t="n"/>
      <c r="D594" s="143" t="n"/>
      <c r="E594" s="143" t="n"/>
      <c r="F594" s="143" t="n"/>
      <c r="G594" s="143" t="n"/>
    </row>
    <row r="595" ht="18" customHeight="1" s="102">
      <c r="A595" s="137">
        <f>IF($B595="","","HRK-"&amp;TEXT(ROW()-BaslangicSatir,"000000"))</f>
        <v/>
      </c>
      <c r="B595" s="143" t="n"/>
      <c r="C595" s="143" t="n"/>
      <c r="D595" s="143" t="n"/>
      <c r="E595" s="143" t="n"/>
      <c r="F595" s="143" t="n"/>
      <c r="G595" s="143" t="n"/>
    </row>
    <row r="596" ht="18" customHeight="1" s="102">
      <c r="A596" s="137">
        <f>IF($B596="","","HRK-"&amp;TEXT(ROW()-BaslangicSatir,"000000"))</f>
        <v/>
      </c>
      <c r="B596" s="143" t="n"/>
      <c r="C596" s="143" t="n"/>
      <c r="D596" s="143" t="n"/>
      <c r="E596" s="143" t="n"/>
      <c r="F596" s="143" t="n"/>
      <c r="G596" s="143" t="n"/>
    </row>
    <row r="597" ht="18" customHeight="1" s="102">
      <c r="A597" s="137">
        <f>IF($B597="","","HRK-"&amp;TEXT(ROW()-BaslangicSatir,"000000"))</f>
        <v/>
      </c>
      <c r="B597" s="143" t="n"/>
      <c r="C597" s="143" t="n"/>
      <c r="D597" s="143" t="n"/>
      <c r="E597" s="143" t="n"/>
      <c r="F597" s="143" t="n"/>
      <c r="G597" s="143" t="n"/>
    </row>
    <row r="598" ht="18" customHeight="1" s="102">
      <c r="A598" s="137">
        <f>IF($B598="","","HRK-"&amp;TEXT(ROW()-BaslangicSatir,"000000"))</f>
        <v/>
      </c>
      <c r="B598" s="143" t="n"/>
      <c r="C598" s="143" t="n"/>
      <c r="D598" s="143" t="n"/>
      <c r="E598" s="143" t="n"/>
      <c r="F598" s="143" t="n"/>
      <c r="G598" s="143" t="n"/>
    </row>
    <row r="599" ht="18" customHeight="1" s="102">
      <c r="A599" s="137">
        <f>IF($B599="","","HRK-"&amp;TEXT(ROW()-BaslangicSatir,"000000"))</f>
        <v/>
      </c>
      <c r="B599" s="143" t="n"/>
      <c r="C599" s="143" t="n"/>
      <c r="D599" s="143" t="n"/>
      <c r="E599" s="143" t="n"/>
      <c r="F599" s="143" t="n"/>
      <c r="G599" s="143" t="n"/>
    </row>
    <row r="600" ht="18" customHeight="1" s="102">
      <c r="A600" s="137">
        <f>IF($B600="","","HRK-"&amp;TEXT(ROW()-BaslangicSatir,"000000"))</f>
        <v/>
      </c>
      <c r="B600" s="143" t="n"/>
      <c r="C600" s="143" t="n"/>
      <c r="D600" s="143" t="n"/>
      <c r="E600" s="143" t="n"/>
      <c r="F600" s="143" t="n"/>
      <c r="G600" s="143" t="n"/>
    </row>
    <row r="601" ht="18" customHeight="1" s="102">
      <c r="A601" s="137">
        <f>IF($B601="","","HRK-"&amp;TEXT(ROW()-BaslangicSatir,"000000"))</f>
        <v/>
      </c>
      <c r="B601" s="143" t="n"/>
      <c r="C601" s="143" t="n"/>
      <c r="D601" s="143" t="n"/>
      <c r="E601" s="143" t="n"/>
      <c r="F601" s="143" t="n"/>
      <c r="G601" s="143" t="n"/>
    </row>
    <row r="602" ht="18" customHeight="1" s="102">
      <c r="A602" s="137">
        <f>IF($B602="","","HRK-"&amp;TEXT(ROW()-BaslangicSatir,"000000"))</f>
        <v/>
      </c>
      <c r="B602" s="143" t="n"/>
      <c r="C602" s="143" t="n"/>
      <c r="D602" s="143" t="n"/>
      <c r="E602" s="143" t="n"/>
      <c r="F602" s="143" t="n"/>
      <c r="G602" s="143" t="n"/>
    </row>
    <row r="603" ht="18" customHeight="1" s="102">
      <c r="A603" s="137">
        <f>IF($B603="","","HRK-"&amp;TEXT(ROW()-BaslangicSatir,"000000"))</f>
        <v/>
      </c>
      <c r="B603" s="143" t="n"/>
      <c r="C603" s="143" t="n"/>
      <c r="D603" s="143" t="n"/>
      <c r="E603" s="143" t="n"/>
      <c r="F603" s="143" t="n"/>
      <c r="G603" s="143" t="n"/>
    </row>
    <row r="604" ht="18" customHeight="1" s="102">
      <c r="A604" s="137">
        <f>IF($B604="","","HRK-"&amp;TEXT(ROW()-BaslangicSatir,"000000"))</f>
        <v/>
      </c>
      <c r="B604" s="143" t="n"/>
      <c r="C604" s="143" t="n"/>
      <c r="D604" s="143" t="n"/>
      <c r="E604" s="143" t="n"/>
      <c r="F604" s="143" t="n"/>
      <c r="G604" s="143" t="n"/>
    </row>
    <row r="605" ht="18" customHeight="1" s="102">
      <c r="A605" s="137">
        <f>IF($B605="","","HRK-"&amp;TEXT(ROW()-BaslangicSatir,"000000"))</f>
        <v/>
      </c>
      <c r="B605" s="143" t="n"/>
      <c r="C605" s="143" t="n"/>
      <c r="D605" s="143" t="n"/>
      <c r="E605" s="143" t="n"/>
      <c r="F605" s="143" t="n"/>
      <c r="G605" s="143" t="n"/>
    </row>
    <row r="606" ht="18" customHeight="1" s="102">
      <c r="A606" s="137">
        <f>IF($B606="","","HRK-"&amp;TEXT(ROW()-BaslangicSatir,"000000"))</f>
        <v/>
      </c>
      <c r="B606" s="143" t="n"/>
      <c r="C606" s="143" t="n"/>
      <c r="D606" s="143" t="n"/>
      <c r="E606" s="143" t="n"/>
      <c r="F606" s="143" t="n"/>
      <c r="G606" s="143" t="n"/>
    </row>
    <row r="607" ht="18" customHeight="1" s="102">
      <c r="A607" s="137">
        <f>IF($B607="","","HRK-"&amp;TEXT(ROW()-BaslangicSatir,"000000"))</f>
        <v/>
      </c>
      <c r="B607" s="143" t="n"/>
      <c r="C607" s="143" t="n"/>
      <c r="D607" s="143" t="n"/>
      <c r="E607" s="143" t="n"/>
      <c r="F607" s="143" t="n"/>
      <c r="G607" s="143" t="n"/>
    </row>
    <row r="608" ht="18" customHeight="1" s="102">
      <c r="A608" s="137">
        <f>IF($B608="","","HRK-"&amp;TEXT(ROW()-BaslangicSatir,"000000"))</f>
        <v/>
      </c>
      <c r="B608" s="143" t="n"/>
      <c r="C608" s="143" t="n"/>
      <c r="D608" s="143" t="n"/>
      <c r="E608" s="143" t="n"/>
      <c r="F608" s="143" t="n"/>
      <c r="G608" s="143" t="n"/>
    </row>
    <row r="609" ht="18" customHeight="1" s="102">
      <c r="A609" s="137">
        <f>IF($B609="","","HRK-"&amp;TEXT(ROW()-BaslangicSatir,"000000"))</f>
        <v/>
      </c>
      <c r="B609" s="143" t="n"/>
      <c r="C609" s="143" t="n"/>
      <c r="D609" s="143" t="n"/>
      <c r="E609" s="143" t="n"/>
      <c r="F609" s="143" t="n"/>
      <c r="G609" s="143" t="n"/>
    </row>
    <row r="610" ht="18" customHeight="1" s="102">
      <c r="A610" s="137">
        <f>IF($B610="","","HRK-"&amp;TEXT(ROW()-BaslangicSatir,"000000"))</f>
        <v/>
      </c>
      <c r="B610" s="143" t="n"/>
      <c r="C610" s="143" t="n"/>
      <c r="D610" s="143" t="n"/>
      <c r="E610" s="143" t="n"/>
      <c r="F610" s="143" t="n"/>
      <c r="G610" s="143" t="n"/>
    </row>
    <row r="611" ht="18" customHeight="1" s="102">
      <c r="A611" s="137">
        <f>IF($B611="","","HRK-"&amp;TEXT(ROW()-BaslangicSatir,"000000"))</f>
        <v/>
      </c>
      <c r="B611" s="143" t="n"/>
      <c r="C611" s="143" t="n"/>
      <c r="D611" s="143" t="n"/>
      <c r="E611" s="143" t="n"/>
      <c r="F611" s="143" t="n"/>
      <c r="G611" s="143" t="n"/>
    </row>
    <row r="612" ht="18" customHeight="1" s="102">
      <c r="A612" s="137">
        <f>IF($B612="","","HRK-"&amp;TEXT(ROW()-BaslangicSatir,"000000"))</f>
        <v/>
      </c>
      <c r="B612" s="143" t="n"/>
      <c r="C612" s="143" t="n"/>
      <c r="D612" s="143" t="n"/>
      <c r="E612" s="143" t="n"/>
      <c r="F612" s="143" t="n"/>
      <c r="G612" s="143" t="n"/>
    </row>
    <row r="613" ht="18" customHeight="1" s="102">
      <c r="A613" s="137">
        <f>IF($B613="","","HRK-"&amp;TEXT(ROW()-BaslangicSatir,"000000"))</f>
        <v/>
      </c>
      <c r="B613" s="143" t="n"/>
      <c r="C613" s="143" t="n"/>
      <c r="D613" s="143" t="n"/>
      <c r="E613" s="143" t="n"/>
      <c r="F613" s="143" t="n"/>
      <c r="G613" s="143" t="n"/>
    </row>
    <row r="614" ht="18" customHeight="1" s="102">
      <c r="A614" s="137">
        <f>IF($B614="","","HRK-"&amp;TEXT(ROW()-BaslangicSatir,"000000"))</f>
        <v/>
      </c>
      <c r="B614" s="143" t="n"/>
      <c r="C614" s="143" t="n"/>
      <c r="D614" s="143" t="n"/>
      <c r="E614" s="143" t="n"/>
      <c r="F614" s="143" t="n"/>
      <c r="G614" s="143" t="n"/>
    </row>
    <row r="615" ht="18" customHeight="1" s="102">
      <c r="A615" s="137">
        <f>IF($B615="","","HRK-"&amp;TEXT(ROW()-BaslangicSatir,"000000"))</f>
        <v/>
      </c>
      <c r="B615" s="143" t="n"/>
      <c r="C615" s="143" t="n"/>
      <c r="D615" s="143" t="n"/>
      <c r="E615" s="143" t="n"/>
      <c r="F615" s="143" t="n"/>
      <c r="G615" s="143" t="n"/>
    </row>
    <row r="616" ht="18" customHeight="1" s="102">
      <c r="A616" s="137">
        <f>IF($B616="","","HRK-"&amp;TEXT(ROW()-BaslangicSatir,"000000"))</f>
        <v/>
      </c>
      <c r="B616" s="143" t="n"/>
      <c r="C616" s="143" t="n"/>
      <c r="D616" s="143" t="n"/>
      <c r="E616" s="143" t="n"/>
      <c r="F616" s="143" t="n"/>
      <c r="G616" s="143" t="n"/>
    </row>
    <row r="617" ht="18" customHeight="1" s="102">
      <c r="A617" s="137">
        <f>IF($B617="","","HRK-"&amp;TEXT(ROW()-BaslangicSatir,"000000"))</f>
        <v/>
      </c>
      <c r="B617" s="143" t="n"/>
      <c r="C617" s="143" t="n"/>
      <c r="D617" s="143" t="n"/>
      <c r="E617" s="143" t="n"/>
      <c r="F617" s="143" t="n"/>
      <c r="G617" s="143" t="n"/>
    </row>
    <row r="618" ht="18" customHeight="1" s="102">
      <c r="A618" s="137">
        <f>IF($B618="","","HRK-"&amp;TEXT(ROW()-BaslangicSatir,"000000"))</f>
        <v/>
      </c>
      <c r="B618" s="143" t="n"/>
      <c r="C618" s="143" t="n"/>
      <c r="D618" s="143" t="n"/>
      <c r="E618" s="143" t="n"/>
      <c r="F618" s="143" t="n"/>
      <c r="G618" s="143" t="n"/>
    </row>
    <row r="619" ht="18" customHeight="1" s="102">
      <c r="A619" s="137">
        <f>IF($B619="","","HRK-"&amp;TEXT(ROW()-BaslangicSatir,"000000"))</f>
        <v/>
      </c>
      <c r="B619" s="143" t="n"/>
      <c r="C619" s="143" t="n"/>
      <c r="D619" s="143" t="n"/>
      <c r="E619" s="143" t="n"/>
      <c r="F619" s="143" t="n"/>
      <c r="G619" s="143" t="n"/>
    </row>
    <row r="620" ht="18" customHeight="1" s="102">
      <c r="A620" s="137">
        <f>IF($B620="","","HRK-"&amp;TEXT(ROW()-BaslangicSatir,"000000"))</f>
        <v/>
      </c>
      <c r="B620" s="143" t="n"/>
      <c r="C620" s="143" t="n"/>
      <c r="D620" s="143" t="n"/>
      <c r="E620" s="143" t="n"/>
      <c r="F620" s="143" t="n"/>
      <c r="G620" s="143" t="n"/>
    </row>
    <row r="621" ht="18" customHeight="1" s="102">
      <c r="A621" s="137">
        <f>IF($B621="","","HRK-"&amp;TEXT(ROW()-BaslangicSatir,"000000"))</f>
        <v/>
      </c>
      <c r="B621" s="143" t="n"/>
      <c r="C621" s="143" t="n"/>
      <c r="D621" s="143" t="n"/>
      <c r="E621" s="143" t="n"/>
      <c r="F621" s="143" t="n"/>
      <c r="G621" s="143" t="n"/>
    </row>
    <row r="622" ht="18" customHeight="1" s="102">
      <c r="A622" s="137">
        <f>IF($B622="","","HRK-"&amp;TEXT(ROW()-BaslangicSatir,"000000"))</f>
        <v/>
      </c>
      <c r="B622" s="143" t="n"/>
      <c r="C622" s="143" t="n"/>
      <c r="D622" s="143" t="n"/>
      <c r="E622" s="143" t="n"/>
      <c r="F622" s="143" t="n"/>
      <c r="G622" s="143" t="n"/>
    </row>
    <row r="623" ht="18" customHeight="1" s="102">
      <c r="A623" s="137">
        <f>IF($B623="","","HRK-"&amp;TEXT(ROW()-BaslangicSatir,"000000"))</f>
        <v/>
      </c>
      <c r="B623" s="143" t="n"/>
      <c r="C623" s="143" t="n"/>
      <c r="D623" s="143" t="n"/>
      <c r="E623" s="143" t="n"/>
      <c r="F623" s="143" t="n"/>
      <c r="G623" s="143" t="n"/>
    </row>
    <row r="624" ht="18" customHeight="1" s="102">
      <c r="A624" s="137">
        <f>IF($B624="","","HRK-"&amp;TEXT(ROW()-BaslangicSatir,"000000"))</f>
        <v/>
      </c>
      <c r="B624" s="143" t="n"/>
      <c r="C624" s="143" t="n"/>
      <c r="D624" s="143" t="n"/>
      <c r="E624" s="143" t="n"/>
      <c r="F624" s="143" t="n"/>
      <c r="G624" s="143" t="n"/>
    </row>
    <row r="625" ht="18" customHeight="1" s="102">
      <c r="A625" s="137">
        <f>IF($B625="","","HRK-"&amp;TEXT(ROW()-BaslangicSatir,"000000"))</f>
        <v/>
      </c>
      <c r="B625" s="143" t="n"/>
      <c r="C625" s="143" t="n"/>
      <c r="D625" s="143" t="n"/>
      <c r="E625" s="143" t="n"/>
      <c r="F625" s="143" t="n"/>
      <c r="G625" s="143" t="n"/>
    </row>
    <row r="626" ht="18" customHeight="1" s="102">
      <c r="A626" s="137">
        <f>IF($B626="","","HRK-"&amp;TEXT(ROW()-BaslangicSatir,"000000"))</f>
        <v/>
      </c>
      <c r="B626" s="143" t="n"/>
      <c r="C626" s="143" t="n"/>
      <c r="D626" s="143" t="n"/>
      <c r="E626" s="143" t="n"/>
      <c r="F626" s="143" t="n"/>
      <c r="G626" s="143" t="n"/>
    </row>
    <row r="627" ht="18" customHeight="1" s="102">
      <c r="A627" s="137">
        <f>IF($B627="","","HRK-"&amp;TEXT(ROW()-BaslangicSatir,"000000"))</f>
        <v/>
      </c>
      <c r="B627" s="143" t="n"/>
      <c r="C627" s="143" t="n"/>
      <c r="D627" s="143" t="n"/>
      <c r="E627" s="143" t="n"/>
      <c r="F627" s="143" t="n"/>
      <c r="G627" s="143" t="n"/>
    </row>
    <row r="628" ht="18" customHeight="1" s="102">
      <c r="A628" s="137">
        <f>IF($B628="","","HRK-"&amp;TEXT(ROW()-BaslangicSatir,"000000"))</f>
        <v/>
      </c>
      <c r="B628" s="143" t="n"/>
      <c r="C628" s="143" t="n"/>
      <c r="D628" s="143" t="n"/>
      <c r="E628" s="143" t="n"/>
      <c r="F628" s="143" t="n"/>
      <c r="G628" s="143" t="n"/>
    </row>
    <row r="629" ht="18" customHeight="1" s="102">
      <c r="A629" s="137">
        <f>IF($B629="","","HRK-"&amp;TEXT(ROW()-BaslangicSatir,"000000"))</f>
        <v/>
      </c>
      <c r="B629" s="143" t="n"/>
      <c r="C629" s="143" t="n"/>
      <c r="D629" s="143" t="n"/>
      <c r="E629" s="143" t="n"/>
      <c r="F629" s="143" t="n"/>
      <c r="G629" s="143" t="n"/>
    </row>
    <row r="630" ht="18" customHeight="1" s="102">
      <c r="A630" s="137">
        <f>IF($B630="","","HRK-"&amp;TEXT(ROW()-BaslangicSatir,"000000"))</f>
        <v/>
      </c>
      <c r="B630" s="143" t="n"/>
      <c r="C630" s="143" t="n"/>
      <c r="D630" s="143" t="n"/>
      <c r="E630" s="143" t="n"/>
      <c r="F630" s="143" t="n"/>
      <c r="G630" s="143" t="n"/>
    </row>
    <row r="631" ht="18" customHeight="1" s="102">
      <c r="A631" s="137">
        <f>IF($B631="","","HRK-"&amp;TEXT(ROW()-BaslangicSatir,"000000"))</f>
        <v/>
      </c>
      <c r="B631" s="143" t="n"/>
      <c r="C631" s="143" t="n"/>
      <c r="D631" s="143" t="n"/>
      <c r="E631" s="143" t="n"/>
      <c r="F631" s="143" t="n"/>
      <c r="G631" s="143" t="n"/>
    </row>
    <row r="632" ht="18" customHeight="1" s="102">
      <c r="A632" s="137">
        <f>IF($B632="","","HRK-"&amp;TEXT(ROW()-BaslangicSatir,"000000"))</f>
        <v/>
      </c>
      <c r="B632" s="143" t="n"/>
      <c r="C632" s="143" t="n"/>
      <c r="D632" s="143" t="n"/>
      <c r="E632" s="143" t="n"/>
      <c r="F632" s="143" t="n"/>
      <c r="G632" s="143" t="n"/>
    </row>
    <row r="633" ht="18" customHeight="1" s="102">
      <c r="A633" s="137">
        <f>IF($B633="","","HRK-"&amp;TEXT(ROW()-BaslangicSatir,"000000"))</f>
        <v/>
      </c>
      <c r="B633" s="143" t="n"/>
      <c r="C633" s="143" t="n"/>
      <c r="D633" s="143" t="n"/>
      <c r="E633" s="143" t="n"/>
      <c r="F633" s="143" t="n"/>
      <c r="G633" s="143" t="n"/>
    </row>
    <row r="634" ht="18" customHeight="1" s="102">
      <c r="A634" s="137">
        <f>IF($B634="","","HRK-"&amp;TEXT(ROW()-BaslangicSatir,"000000"))</f>
        <v/>
      </c>
      <c r="B634" s="143" t="n"/>
      <c r="C634" s="143" t="n"/>
      <c r="D634" s="143" t="n"/>
      <c r="E634" s="143" t="n"/>
      <c r="F634" s="143" t="n"/>
      <c r="G634" s="143" t="n"/>
    </row>
    <row r="635" ht="18" customHeight="1" s="102">
      <c r="A635" s="137">
        <f>IF($B635="","","HRK-"&amp;TEXT(ROW()-BaslangicSatir,"000000"))</f>
        <v/>
      </c>
      <c r="B635" s="143" t="n"/>
      <c r="C635" s="143" t="n"/>
      <c r="D635" s="143" t="n"/>
      <c r="E635" s="143" t="n"/>
      <c r="F635" s="143" t="n"/>
      <c r="G635" s="143" t="n"/>
    </row>
    <row r="636" ht="18" customHeight="1" s="102">
      <c r="A636" s="137">
        <f>IF($B636="","","HRK-"&amp;TEXT(ROW()-BaslangicSatir,"000000"))</f>
        <v/>
      </c>
      <c r="B636" s="143" t="n"/>
      <c r="C636" s="143" t="n"/>
      <c r="D636" s="143" t="n"/>
      <c r="E636" s="143" t="n"/>
      <c r="F636" s="143" t="n"/>
      <c r="G636" s="143" t="n"/>
    </row>
    <row r="637" ht="18" customHeight="1" s="102">
      <c r="A637" s="137">
        <f>IF($B637="","","HRK-"&amp;TEXT(ROW()-BaslangicSatir,"000000"))</f>
        <v/>
      </c>
      <c r="B637" s="143" t="n"/>
      <c r="C637" s="143" t="n"/>
      <c r="D637" s="143" t="n"/>
      <c r="E637" s="143" t="n"/>
      <c r="F637" s="143" t="n"/>
      <c r="G637" s="143" t="n"/>
    </row>
    <row r="638" ht="18" customHeight="1" s="102">
      <c r="A638" s="137">
        <f>IF($B638="","","HRK-"&amp;TEXT(ROW()-BaslangicSatir,"000000"))</f>
        <v/>
      </c>
      <c r="B638" s="143" t="n"/>
      <c r="C638" s="143" t="n"/>
      <c r="D638" s="143" t="n"/>
      <c r="E638" s="143" t="n"/>
      <c r="F638" s="143" t="n"/>
      <c r="G638" s="143" t="n"/>
    </row>
    <row r="639" ht="18" customHeight="1" s="102">
      <c r="A639" s="137">
        <f>IF($B639="","","HRK-"&amp;TEXT(ROW()-BaslangicSatir,"000000"))</f>
        <v/>
      </c>
      <c r="B639" s="143" t="n"/>
      <c r="C639" s="143" t="n"/>
      <c r="D639" s="143" t="n"/>
      <c r="E639" s="143" t="n"/>
      <c r="F639" s="143" t="n"/>
      <c r="G639" s="143" t="n"/>
    </row>
    <row r="640" ht="18" customHeight="1" s="102">
      <c r="A640" s="137">
        <f>IF($B640="","","HRK-"&amp;TEXT(ROW()-BaslangicSatir,"000000"))</f>
        <v/>
      </c>
      <c r="B640" s="143" t="n"/>
      <c r="C640" s="143" t="n"/>
      <c r="D640" s="143" t="n"/>
      <c r="E640" s="143" t="n"/>
      <c r="F640" s="143" t="n"/>
      <c r="G640" s="143" t="n"/>
    </row>
    <row r="641" ht="18" customHeight="1" s="102">
      <c r="A641" s="137">
        <f>IF($B641="","","HRK-"&amp;TEXT(ROW()-BaslangicSatir,"000000"))</f>
        <v/>
      </c>
      <c r="B641" s="143" t="n"/>
      <c r="C641" s="143" t="n"/>
      <c r="D641" s="143" t="n"/>
      <c r="E641" s="143" t="n"/>
      <c r="F641" s="143" t="n"/>
      <c r="G641" s="143" t="n"/>
    </row>
    <row r="642" ht="18" customHeight="1" s="102">
      <c r="A642" s="137">
        <f>IF($B642="","","HRK-"&amp;TEXT(ROW()-BaslangicSatir,"000000"))</f>
        <v/>
      </c>
      <c r="B642" s="143" t="n"/>
      <c r="C642" s="143" t="n"/>
      <c r="D642" s="143" t="n"/>
      <c r="E642" s="143" t="n"/>
      <c r="F642" s="143" t="n"/>
      <c r="G642" s="143" t="n"/>
    </row>
    <row r="643" ht="18" customHeight="1" s="102">
      <c r="A643" s="137">
        <f>IF($B643="","","HRK-"&amp;TEXT(ROW()-BaslangicSatir,"000000"))</f>
        <v/>
      </c>
      <c r="B643" s="143" t="n"/>
      <c r="C643" s="143" t="n"/>
      <c r="D643" s="143" t="n"/>
      <c r="E643" s="143" t="n"/>
      <c r="F643" s="143" t="n"/>
      <c r="G643" s="143" t="n"/>
    </row>
    <row r="644" ht="18" customHeight="1" s="102">
      <c r="A644" s="137">
        <f>IF($B644="","","HRK-"&amp;TEXT(ROW()-BaslangicSatir,"000000"))</f>
        <v/>
      </c>
      <c r="B644" s="143" t="n"/>
      <c r="C644" s="143" t="n"/>
      <c r="D644" s="143" t="n"/>
      <c r="E644" s="143" t="n"/>
      <c r="F644" s="143" t="n"/>
      <c r="G644" s="143" t="n"/>
    </row>
    <row r="645" ht="18" customHeight="1" s="102">
      <c r="A645" s="137">
        <f>IF($B645="","","HRK-"&amp;TEXT(ROW()-BaslangicSatir,"000000"))</f>
        <v/>
      </c>
      <c r="B645" s="143" t="n"/>
      <c r="C645" s="143" t="n"/>
      <c r="D645" s="143" t="n"/>
      <c r="E645" s="143" t="n"/>
      <c r="F645" s="143" t="n"/>
      <c r="G645" s="143" t="n"/>
    </row>
    <row r="646" ht="18" customHeight="1" s="102">
      <c r="A646" s="137">
        <f>IF($B646="","","HRK-"&amp;TEXT(ROW()-BaslangicSatir,"000000"))</f>
        <v/>
      </c>
      <c r="B646" s="143" t="n"/>
      <c r="C646" s="143" t="n"/>
      <c r="D646" s="143" t="n"/>
      <c r="E646" s="143" t="n"/>
      <c r="F646" s="143" t="n"/>
      <c r="G646" s="143" t="n"/>
    </row>
    <row r="647" ht="18" customHeight="1" s="102">
      <c r="A647" s="137">
        <f>IF($B647="","","HRK-"&amp;TEXT(ROW()-BaslangicSatir,"000000"))</f>
        <v/>
      </c>
      <c r="B647" s="143" t="n"/>
      <c r="C647" s="143" t="n"/>
      <c r="D647" s="143" t="n"/>
      <c r="E647" s="143" t="n"/>
      <c r="F647" s="143" t="n"/>
      <c r="G647" s="143" t="n"/>
    </row>
    <row r="648" ht="18" customHeight="1" s="102">
      <c r="A648" s="137">
        <f>IF($B648="","","HRK-"&amp;TEXT(ROW()-BaslangicSatir,"000000"))</f>
        <v/>
      </c>
      <c r="B648" s="143" t="n"/>
      <c r="C648" s="143" t="n"/>
      <c r="D648" s="143" t="n"/>
      <c r="E648" s="143" t="n"/>
      <c r="F648" s="143" t="n"/>
      <c r="G648" s="143" t="n"/>
    </row>
    <row r="649" ht="18" customHeight="1" s="102">
      <c r="A649" s="137">
        <f>IF($B649="","","HRK-"&amp;TEXT(ROW()-BaslangicSatir,"000000"))</f>
        <v/>
      </c>
      <c r="B649" s="143" t="n"/>
      <c r="C649" s="143" t="n"/>
      <c r="D649" s="143" t="n"/>
      <c r="E649" s="143" t="n"/>
      <c r="F649" s="143" t="n"/>
      <c r="G649" s="143" t="n"/>
    </row>
    <row r="650" ht="18" customHeight="1" s="102">
      <c r="A650" s="137">
        <f>IF($B650="","","HRK-"&amp;TEXT(ROW()-BaslangicSatir,"000000"))</f>
        <v/>
      </c>
      <c r="B650" s="143" t="n"/>
      <c r="C650" s="143" t="n"/>
      <c r="D650" s="143" t="n"/>
      <c r="E650" s="143" t="n"/>
      <c r="F650" s="143" t="n"/>
      <c r="G650" s="143" t="n"/>
    </row>
    <row r="651" ht="18" customHeight="1" s="102">
      <c r="A651" s="137">
        <f>IF($B651="","","HRK-"&amp;TEXT(ROW()-BaslangicSatir,"000000"))</f>
        <v/>
      </c>
      <c r="B651" s="143" t="n"/>
      <c r="C651" s="143" t="n"/>
      <c r="D651" s="143" t="n"/>
      <c r="E651" s="143" t="n"/>
      <c r="F651" s="143" t="n"/>
      <c r="G651" s="143" t="n"/>
    </row>
    <row r="652" ht="18" customHeight="1" s="102">
      <c r="A652" s="137">
        <f>IF($B652="","","HRK-"&amp;TEXT(ROW()-BaslangicSatir,"000000"))</f>
        <v/>
      </c>
      <c r="B652" s="143" t="n"/>
      <c r="C652" s="143" t="n"/>
      <c r="D652" s="143" t="n"/>
      <c r="E652" s="143" t="n"/>
      <c r="F652" s="143" t="n"/>
      <c r="G652" s="143" t="n"/>
    </row>
    <row r="653" ht="18" customHeight="1" s="102">
      <c r="A653" s="137">
        <f>IF($B653="","","HRK-"&amp;TEXT(ROW()-BaslangicSatir,"000000"))</f>
        <v/>
      </c>
      <c r="B653" s="143" t="n"/>
      <c r="C653" s="143" t="n"/>
      <c r="D653" s="143" t="n"/>
      <c r="E653" s="143" t="n"/>
      <c r="F653" s="143" t="n"/>
      <c r="G653" s="143" t="n"/>
    </row>
    <row r="654" ht="18" customHeight="1" s="102">
      <c r="A654" s="137">
        <f>IF($B654="","","HRK-"&amp;TEXT(ROW()-BaslangicSatir,"000000"))</f>
        <v/>
      </c>
      <c r="B654" s="143" t="n"/>
      <c r="C654" s="143" t="n"/>
      <c r="D654" s="143" t="n"/>
      <c r="E654" s="143" t="n"/>
      <c r="F654" s="143" t="n"/>
      <c r="G654" s="143" t="n"/>
    </row>
    <row r="655" ht="18" customHeight="1" s="102">
      <c r="A655" s="137">
        <f>IF($B655="","","HRK-"&amp;TEXT(ROW()-BaslangicSatir,"000000"))</f>
        <v/>
      </c>
      <c r="B655" s="143" t="n"/>
      <c r="C655" s="143" t="n"/>
      <c r="D655" s="143" t="n"/>
      <c r="E655" s="143" t="n"/>
      <c r="F655" s="143" t="n"/>
      <c r="G655" s="143" t="n"/>
    </row>
    <row r="656" ht="18" customHeight="1" s="102">
      <c r="A656" s="137">
        <f>IF($B656="","","HRK-"&amp;TEXT(ROW()-BaslangicSatir,"000000"))</f>
        <v/>
      </c>
      <c r="B656" s="143" t="n"/>
      <c r="C656" s="143" t="n"/>
      <c r="D656" s="143" t="n"/>
      <c r="E656" s="143" t="n"/>
      <c r="F656" s="143" t="n"/>
      <c r="G656" s="143" t="n"/>
    </row>
    <row r="657" ht="18" customHeight="1" s="102">
      <c r="A657" s="137">
        <f>IF($B657="","","HRK-"&amp;TEXT(ROW()-BaslangicSatir,"000000"))</f>
        <v/>
      </c>
      <c r="B657" s="143" t="n"/>
      <c r="C657" s="143" t="n"/>
      <c r="D657" s="143" t="n"/>
      <c r="E657" s="143" t="n"/>
      <c r="F657" s="143" t="n"/>
      <c r="G657" s="143" t="n"/>
    </row>
    <row r="658" ht="18" customHeight="1" s="102">
      <c r="A658" s="137">
        <f>IF($B658="","","HRK-"&amp;TEXT(ROW()-BaslangicSatir,"000000"))</f>
        <v/>
      </c>
      <c r="B658" s="143" t="n"/>
      <c r="C658" s="143" t="n"/>
      <c r="D658" s="143" t="n"/>
      <c r="E658" s="143" t="n"/>
      <c r="F658" s="143" t="n"/>
      <c r="G658" s="143" t="n"/>
    </row>
    <row r="659" ht="18" customHeight="1" s="102">
      <c r="A659" s="137">
        <f>IF($B659="","","HRK-"&amp;TEXT(ROW()-BaslangicSatir,"000000"))</f>
        <v/>
      </c>
      <c r="B659" s="143" t="n"/>
      <c r="C659" s="143" t="n"/>
      <c r="D659" s="143" t="n"/>
      <c r="E659" s="143" t="n"/>
      <c r="F659" s="143" t="n"/>
      <c r="G659" s="143" t="n"/>
    </row>
    <row r="660" ht="18" customHeight="1" s="102">
      <c r="A660" s="137">
        <f>IF($B660="","","HRK-"&amp;TEXT(ROW()-BaslangicSatir,"000000"))</f>
        <v/>
      </c>
      <c r="B660" s="143" t="n"/>
      <c r="C660" s="143" t="n"/>
      <c r="D660" s="143" t="n"/>
      <c r="E660" s="143" t="n"/>
      <c r="F660" s="143" t="n"/>
      <c r="G660" s="143" t="n"/>
    </row>
    <row r="661" ht="18" customHeight="1" s="102">
      <c r="A661" s="137">
        <f>IF($B661="","","HRK-"&amp;TEXT(ROW()-BaslangicSatir,"000000"))</f>
        <v/>
      </c>
      <c r="B661" s="143" t="n"/>
      <c r="C661" s="143" t="n"/>
      <c r="D661" s="143" t="n"/>
      <c r="E661" s="143" t="n"/>
      <c r="F661" s="143" t="n"/>
      <c r="G661" s="143" t="n"/>
    </row>
    <row r="662" ht="18" customHeight="1" s="102">
      <c r="A662" s="137">
        <f>IF($B662="","","HRK-"&amp;TEXT(ROW()-BaslangicSatir,"000000"))</f>
        <v/>
      </c>
      <c r="B662" s="143" t="n"/>
      <c r="C662" s="143" t="n"/>
      <c r="D662" s="143" t="n"/>
      <c r="E662" s="143" t="n"/>
      <c r="F662" s="143" t="n"/>
      <c r="G662" s="143" t="n"/>
    </row>
    <row r="663" ht="18" customHeight="1" s="102">
      <c r="A663" s="137">
        <f>IF($B663="","","HRK-"&amp;TEXT(ROW()-BaslangicSatir,"000000"))</f>
        <v/>
      </c>
      <c r="B663" s="143" t="n"/>
      <c r="C663" s="143" t="n"/>
      <c r="D663" s="143" t="n"/>
      <c r="E663" s="143" t="n"/>
      <c r="F663" s="143" t="n"/>
      <c r="G663" s="143" t="n"/>
    </row>
    <row r="664" ht="18" customHeight="1" s="102">
      <c r="A664" s="137">
        <f>IF($B664="","","HRK-"&amp;TEXT(ROW()-BaslangicSatir,"000000"))</f>
        <v/>
      </c>
      <c r="B664" s="143" t="n"/>
      <c r="C664" s="143" t="n"/>
      <c r="D664" s="143" t="n"/>
      <c r="E664" s="143" t="n"/>
      <c r="F664" s="143" t="n"/>
      <c r="G664" s="143" t="n"/>
    </row>
    <row r="665" ht="18" customHeight="1" s="102">
      <c r="A665" s="137">
        <f>IF($B665="","","HRK-"&amp;TEXT(ROW()-BaslangicSatir,"000000"))</f>
        <v/>
      </c>
      <c r="B665" s="143" t="n"/>
      <c r="C665" s="143" t="n"/>
      <c r="D665" s="143" t="n"/>
      <c r="E665" s="143" t="n"/>
      <c r="F665" s="143" t="n"/>
      <c r="G665" s="143" t="n"/>
    </row>
    <row r="666" ht="18" customHeight="1" s="102">
      <c r="A666" s="137">
        <f>IF($B666="","","HRK-"&amp;TEXT(ROW()-BaslangicSatir,"000000"))</f>
        <v/>
      </c>
      <c r="B666" s="143" t="n"/>
      <c r="C666" s="143" t="n"/>
      <c r="D666" s="143" t="n"/>
      <c r="E666" s="143" t="n"/>
      <c r="F666" s="143" t="n"/>
      <c r="G666" s="143" t="n"/>
    </row>
    <row r="667" ht="18" customHeight="1" s="102">
      <c r="A667" s="137">
        <f>IF($B667="","","HRK-"&amp;TEXT(ROW()-BaslangicSatir,"000000"))</f>
        <v/>
      </c>
      <c r="B667" s="143" t="n"/>
      <c r="C667" s="143" t="n"/>
      <c r="D667" s="143" t="n"/>
      <c r="E667" s="143" t="n"/>
      <c r="F667" s="143" t="n"/>
      <c r="G667" s="143" t="n"/>
    </row>
    <row r="668" ht="18" customHeight="1" s="102">
      <c r="A668" s="137">
        <f>IF($B668="","","HRK-"&amp;TEXT(ROW()-BaslangicSatir,"000000"))</f>
        <v/>
      </c>
      <c r="B668" s="143" t="n"/>
      <c r="C668" s="143" t="n"/>
      <c r="D668" s="143" t="n"/>
      <c r="E668" s="143" t="n"/>
      <c r="F668" s="143" t="n"/>
      <c r="G668" s="143" t="n"/>
    </row>
    <row r="669" ht="18" customHeight="1" s="102">
      <c r="A669" s="137">
        <f>IF($B669="","","HRK-"&amp;TEXT(ROW()-BaslangicSatir,"000000"))</f>
        <v/>
      </c>
      <c r="B669" s="143" t="n"/>
      <c r="C669" s="143" t="n"/>
      <c r="D669" s="143" t="n"/>
      <c r="E669" s="143" t="n"/>
      <c r="F669" s="143" t="n"/>
      <c r="G669" s="143" t="n"/>
    </row>
    <row r="670" ht="18" customHeight="1" s="102">
      <c r="A670" s="137">
        <f>IF($B670="","","HRK-"&amp;TEXT(ROW()-BaslangicSatir,"000000"))</f>
        <v/>
      </c>
      <c r="B670" s="143" t="n"/>
      <c r="C670" s="143" t="n"/>
      <c r="D670" s="143" t="n"/>
      <c r="E670" s="143" t="n"/>
      <c r="F670" s="143" t="n"/>
      <c r="G670" s="143" t="n"/>
    </row>
    <row r="671" ht="18" customHeight="1" s="102">
      <c r="A671" s="137">
        <f>IF($B671="","","HRK-"&amp;TEXT(ROW()-BaslangicSatir,"000000"))</f>
        <v/>
      </c>
      <c r="B671" s="143" t="n"/>
      <c r="C671" s="143" t="n"/>
      <c r="D671" s="143" t="n"/>
      <c r="E671" s="143" t="n"/>
      <c r="F671" s="143" t="n"/>
      <c r="G671" s="143" t="n"/>
    </row>
    <row r="672" ht="18" customHeight="1" s="102">
      <c r="A672" s="137">
        <f>IF($B672="","","HRK-"&amp;TEXT(ROW()-BaslangicSatir,"000000"))</f>
        <v/>
      </c>
      <c r="B672" s="143" t="n"/>
      <c r="C672" s="143" t="n"/>
      <c r="D672" s="143" t="n"/>
      <c r="E672" s="143" t="n"/>
      <c r="F672" s="143" t="n"/>
      <c r="G672" s="143" t="n"/>
    </row>
    <row r="673" ht="18" customHeight="1" s="102">
      <c r="A673" s="137">
        <f>IF($B673="","","HRK-"&amp;TEXT(ROW()-BaslangicSatir,"000000"))</f>
        <v/>
      </c>
      <c r="B673" s="143" t="n"/>
      <c r="C673" s="143" t="n"/>
      <c r="D673" s="143" t="n"/>
      <c r="E673" s="143" t="n"/>
      <c r="F673" s="143" t="n"/>
      <c r="G673" s="143" t="n"/>
    </row>
    <row r="674" ht="18" customHeight="1" s="102">
      <c r="A674" s="137">
        <f>IF($B674="","","HRK-"&amp;TEXT(ROW()-BaslangicSatir,"000000"))</f>
        <v/>
      </c>
      <c r="B674" s="143" t="n"/>
      <c r="C674" s="143" t="n"/>
      <c r="D674" s="143" t="n"/>
      <c r="E674" s="143" t="n"/>
      <c r="F674" s="143" t="n"/>
      <c r="G674" s="143" t="n"/>
    </row>
    <row r="675" ht="18" customHeight="1" s="102">
      <c r="A675" s="137">
        <f>IF($B675="","","HRK-"&amp;TEXT(ROW()-BaslangicSatir,"000000"))</f>
        <v/>
      </c>
      <c r="B675" s="143" t="n"/>
      <c r="C675" s="143" t="n"/>
      <c r="D675" s="143" t="n"/>
      <c r="E675" s="143" t="n"/>
      <c r="F675" s="143" t="n"/>
      <c r="G675" s="143" t="n"/>
    </row>
    <row r="676" ht="18" customHeight="1" s="102">
      <c r="A676" s="137">
        <f>IF($B676="","","HRK-"&amp;TEXT(ROW()-BaslangicSatir,"000000"))</f>
        <v/>
      </c>
      <c r="B676" s="143" t="n"/>
      <c r="C676" s="143" t="n"/>
      <c r="D676" s="143" t="n"/>
      <c r="E676" s="143" t="n"/>
      <c r="F676" s="143" t="n"/>
      <c r="G676" s="143" t="n"/>
    </row>
    <row r="677" ht="18" customHeight="1" s="102">
      <c r="A677" s="137">
        <f>IF($B677="","","HRK-"&amp;TEXT(ROW()-BaslangicSatir,"000000"))</f>
        <v/>
      </c>
      <c r="B677" s="143" t="n"/>
      <c r="C677" s="143" t="n"/>
      <c r="D677" s="143" t="n"/>
      <c r="E677" s="143" t="n"/>
      <c r="F677" s="143" t="n"/>
      <c r="G677" s="143" t="n"/>
    </row>
    <row r="678" ht="18" customHeight="1" s="102">
      <c r="A678" s="137">
        <f>IF($B678="","","HRK-"&amp;TEXT(ROW()-BaslangicSatir,"000000"))</f>
        <v/>
      </c>
      <c r="B678" s="143" t="n"/>
      <c r="C678" s="143" t="n"/>
      <c r="D678" s="143" t="n"/>
      <c r="E678" s="143" t="n"/>
      <c r="F678" s="143" t="n"/>
      <c r="G678" s="143" t="n"/>
    </row>
    <row r="679" ht="18" customHeight="1" s="102">
      <c r="A679" s="137">
        <f>IF($B679="","","HRK-"&amp;TEXT(ROW()-BaslangicSatir,"000000"))</f>
        <v/>
      </c>
      <c r="B679" s="143" t="n"/>
      <c r="C679" s="143" t="n"/>
      <c r="D679" s="143" t="n"/>
      <c r="E679" s="143" t="n"/>
      <c r="F679" s="143" t="n"/>
      <c r="G679" s="143" t="n"/>
    </row>
    <row r="680" ht="18" customHeight="1" s="102">
      <c r="A680" s="137">
        <f>IF($B680="","","HRK-"&amp;TEXT(ROW()-BaslangicSatir,"000000"))</f>
        <v/>
      </c>
      <c r="B680" s="143" t="n"/>
      <c r="C680" s="143" t="n"/>
      <c r="D680" s="143" t="n"/>
      <c r="E680" s="143" t="n"/>
      <c r="F680" s="143" t="n"/>
      <c r="G680" s="143" t="n"/>
    </row>
    <row r="681" ht="18" customHeight="1" s="102">
      <c r="A681" s="137">
        <f>IF($B681="","","HRK-"&amp;TEXT(ROW()-BaslangicSatir,"000000"))</f>
        <v/>
      </c>
      <c r="B681" s="143" t="n"/>
      <c r="C681" s="143" t="n"/>
      <c r="D681" s="143" t="n"/>
      <c r="E681" s="143" t="n"/>
      <c r="F681" s="143" t="n"/>
      <c r="G681" s="143" t="n"/>
    </row>
    <row r="682" ht="18" customHeight="1" s="102">
      <c r="A682" s="137">
        <f>IF($B682="","","HRK-"&amp;TEXT(ROW()-BaslangicSatir,"000000"))</f>
        <v/>
      </c>
      <c r="B682" s="143" t="n"/>
      <c r="C682" s="143" t="n"/>
      <c r="D682" s="143" t="n"/>
      <c r="E682" s="143" t="n"/>
      <c r="F682" s="143" t="n"/>
      <c r="G682" s="143" t="n"/>
    </row>
    <row r="683" ht="18" customHeight="1" s="102">
      <c r="A683" s="137">
        <f>IF($B683="","","HRK-"&amp;TEXT(ROW()-BaslangicSatir,"000000"))</f>
        <v/>
      </c>
      <c r="B683" s="143" t="n"/>
      <c r="C683" s="143" t="n"/>
      <c r="D683" s="143" t="n"/>
      <c r="E683" s="143" t="n"/>
      <c r="F683" s="143" t="n"/>
      <c r="G683" s="143" t="n"/>
    </row>
    <row r="684" ht="18" customHeight="1" s="102">
      <c r="A684" s="137">
        <f>IF($B684="","","HRK-"&amp;TEXT(ROW()-BaslangicSatir,"000000"))</f>
        <v/>
      </c>
      <c r="B684" s="143" t="n"/>
      <c r="C684" s="143" t="n"/>
      <c r="D684" s="143" t="n"/>
      <c r="E684" s="143" t="n"/>
      <c r="F684" s="143" t="n"/>
      <c r="G684" s="143" t="n"/>
    </row>
    <row r="685" ht="18" customHeight="1" s="102">
      <c r="A685" s="137">
        <f>IF($B685="","","HRK-"&amp;TEXT(ROW()-BaslangicSatir,"000000"))</f>
        <v/>
      </c>
      <c r="B685" s="143" t="n"/>
      <c r="C685" s="143" t="n"/>
      <c r="D685" s="143" t="n"/>
      <c r="E685" s="143" t="n"/>
      <c r="F685" s="143" t="n"/>
      <c r="G685" s="143" t="n"/>
    </row>
    <row r="686" ht="18" customHeight="1" s="102">
      <c r="A686" s="137">
        <f>IF($B686="","","HRK-"&amp;TEXT(ROW()-BaslangicSatir,"000000"))</f>
        <v/>
      </c>
      <c r="B686" s="143" t="n"/>
      <c r="C686" s="143" t="n"/>
      <c r="D686" s="143" t="n"/>
      <c r="E686" s="143" t="n"/>
      <c r="F686" s="143" t="n"/>
      <c r="G686" s="143" t="n"/>
    </row>
    <row r="687" ht="18" customHeight="1" s="102">
      <c r="A687" s="137">
        <f>IF($B687="","","HRK-"&amp;TEXT(ROW()-BaslangicSatir,"000000"))</f>
        <v/>
      </c>
      <c r="B687" s="143" t="n"/>
      <c r="C687" s="143" t="n"/>
      <c r="D687" s="143" t="n"/>
      <c r="E687" s="143" t="n"/>
      <c r="F687" s="143" t="n"/>
      <c r="G687" s="143" t="n"/>
    </row>
    <row r="688" ht="18" customHeight="1" s="102">
      <c r="A688" s="137">
        <f>IF($B688="","","HRK-"&amp;TEXT(ROW()-BaslangicSatir,"000000"))</f>
        <v/>
      </c>
      <c r="B688" s="143" t="n"/>
      <c r="C688" s="143" t="n"/>
      <c r="D688" s="143" t="n"/>
      <c r="E688" s="143" t="n"/>
      <c r="F688" s="143" t="n"/>
      <c r="G688" s="143" t="n"/>
    </row>
    <row r="689" ht="18" customHeight="1" s="102">
      <c r="A689" s="137">
        <f>IF($B689="","","HRK-"&amp;TEXT(ROW()-BaslangicSatir,"000000"))</f>
        <v/>
      </c>
      <c r="B689" s="143" t="n"/>
      <c r="C689" s="143" t="n"/>
      <c r="D689" s="143" t="n"/>
      <c r="E689" s="143" t="n"/>
      <c r="F689" s="143" t="n"/>
      <c r="G689" s="143" t="n"/>
    </row>
    <row r="690" ht="18" customHeight="1" s="102">
      <c r="A690" s="137">
        <f>IF($B690="","","HRK-"&amp;TEXT(ROW()-BaslangicSatir,"000000"))</f>
        <v/>
      </c>
      <c r="B690" s="143" t="n"/>
      <c r="C690" s="143" t="n"/>
      <c r="D690" s="143" t="n"/>
      <c r="E690" s="143" t="n"/>
      <c r="F690" s="143" t="n"/>
      <c r="G690" s="143" t="n"/>
    </row>
    <row r="691" ht="18" customHeight="1" s="102">
      <c r="A691" s="137">
        <f>IF($B691="","","HRK-"&amp;TEXT(ROW()-BaslangicSatir,"000000"))</f>
        <v/>
      </c>
      <c r="B691" s="143" t="n"/>
      <c r="C691" s="143" t="n"/>
      <c r="D691" s="143" t="n"/>
      <c r="E691" s="143" t="n"/>
      <c r="F691" s="143" t="n"/>
      <c r="G691" s="143" t="n"/>
    </row>
    <row r="692" ht="18" customHeight="1" s="102">
      <c r="A692" s="137">
        <f>IF($B692="","","HRK-"&amp;TEXT(ROW()-BaslangicSatir,"000000"))</f>
        <v/>
      </c>
      <c r="B692" s="143" t="n"/>
      <c r="C692" s="143" t="n"/>
      <c r="D692" s="143" t="n"/>
      <c r="E692" s="143" t="n"/>
      <c r="F692" s="143" t="n"/>
      <c r="G692" s="143" t="n"/>
    </row>
    <row r="693" ht="18" customHeight="1" s="102">
      <c r="A693" s="137">
        <f>IF($B693="","","HRK-"&amp;TEXT(ROW()-BaslangicSatir,"000000"))</f>
        <v/>
      </c>
      <c r="B693" s="143" t="n"/>
      <c r="C693" s="143" t="n"/>
      <c r="D693" s="143" t="n"/>
      <c r="E693" s="143" t="n"/>
      <c r="F693" s="143" t="n"/>
      <c r="G693" s="143" t="n"/>
    </row>
    <row r="694" ht="18" customHeight="1" s="102">
      <c r="A694" s="137">
        <f>IF($B694="","","HRK-"&amp;TEXT(ROW()-BaslangicSatir,"000000"))</f>
        <v/>
      </c>
      <c r="B694" s="143" t="n"/>
      <c r="C694" s="143" t="n"/>
      <c r="D694" s="143" t="n"/>
      <c r="E694" s="143" t="n"/>
      <c r="F694" s="143" t="n"/>
      <c r="G694" s="143" t="n"/>
    </row>
    <row r="695" ht="18" customHeight="1" s="102">
      <c r="A695" s="137">
        <f>IF($B695="","","HRK-"&amp;TEXT(ROW()-BaslangicSatir,"000000"))</f>
        <v/>
      </c>
      <c r="B695" s="143" t="n"/>
      <c r="C695" s="143" t="n"/>
      <c r="D695" s="143" t="n"/>
      <c r="E695" s="143" t="n"/>
      <c r="F695" s="143" t="n"/>
      <c r="G695" s="143" t="n"/>
    </row>
    <row r="696" ht="18" customHeight="1" s="102">
      <c r="A696" s="137">
        <f>IF($B696="","","HRK-"&amp;TEXT(ROW()-BaslangicSatir,"000000"))</f>
        <v/>
      </c>
      <c r="B696" s="143" t="n"/>
      <c r="C696" s="143" t="n"/>
      <c r="D696" s="143" t="n"/>
      <c r="E696" s="143" t="n"/>
      <c r="F696" s="143" t="n"/>
      <c r="G696" s="143" t="n"/>
    </row>
    <row r="697" ht="18" customHeight="1" s="102">
      <c r="A697" s="137">
        <f>IF($B697="","","HRK-"&amp;TEXT(ROW()-BaslangicSatir,"000000"))</f>
        <v/>
      </c>
      <c r="B697" s="143" t="n"/>
      <c r="C697" s="143" t="n"/>
      <c r="D697" s="143" t="n"/>
      <c r="E697" s="143" t="n"/>
      <c r="F697" s="143" t="n"/>
      <c r="G697" s="143" t="n"/>
    </row>
    <row r="698" ht="18" customHeight="1" s="102">
      <c r="A698" s="137">
        <f>IF($B698="","","HRK-"&amp;TEXT(ROW()-BaslangicSatir,"000000"))</f>
        <v/>
      </c>
      <c r="B698" s="143" t="n"/>
      <c r="C698" s="143" t="n"/>
      <c r="D698" s="143" t="n"/>
      <c r="E698" s="143" t="n"/>
      <c r="F698" s="143" t="n"/>
      <c r="G698" s="143" t="n"/>
    </row>
    <row r="699" ht="18" customHeight="1" s="102">
      <c r="A699" s="137">
        <f>IF($B699="","","HRK-"&amp;TEXT(ROW()-BaslangicSatir,"000000"))</f>
        <v/>
      </c>
      <c r="B699" s="143" t="n"/>
      <c r="C699" s="143" t="n"/>
      <c r="D699" s="143" t="n"/>
      <c r="E699" s="143" t="n"/>
      <c r="F699" s="143" t="n"/>
      <c r="G699" s="143" t="n"/>
    </row>
    <row r="700" ht="18" customHeight="1" s="102">
      <c r="A700" s="137">
        <f>IF($B700="","","HRK-"&amp;TEXT(ROW()-BaslangicSatir,"000000"))</f>
        <v/>
      </c>
      <c r="B700" s="143" t="n"/>
      <c r="C700" s="143" t="n"/>
      <c r="D700" s="143" t="n"/>
      <c r="E700" s="143" t="n"/>
      <c r="F700" s="143" t="n"/>
      <c r="G700" s="143" t="n"/>
    </row>
    <row r="701" ht="18" customHeight="1" s="102">
      <c r="A701" s="137">
        <f>IF($B701="","","HRK-"&amp;TEXT(ROW()-BaslangicSatir,"000000"))</f>
        <v/>
      </c>
      <c r="B701" s="143" t="n"/>
      <c r="C701" s="143" t="n"/>
      <c r="D701" s="143" t="n"/>
      <c r="E701" s="143" t="n"/>
      <c r="F701" s="143" t="n"/>
      <c r="G701" s="143" t="n"/>
    </row>
    <row r="702" ht="18" customHeight="1" s="102">
      <c r="A702" s="137">
        <f>IF($B702="","","HRK-"&amp;TEXT(ROW()-BaslangicSatir,"000000"))</f>
        <v/>
      </c>
      <c r="B702" s="143" t="n"/>
      <c r="C702" s="143" t="n"/>
      <c r="D702" s="143" t="n"/>
      <c r="E702" s="143" t="n"/>
      <c r="F702" s="143" t="n"/>
      <c r="G702" s="143" t="n"/>
    </row>
    <row r="703" ht="18" customHeight="1" s="102">
      <c r="A703" s="137">
        <f>IF($B703="","","HRK-"&amp;TEXT(ROW()-BaslangicSatir,"000000"))</f>
        <v/>
      </c>
      <c r="B703" s="143" t="n"/>
      <c r="C703" s="143" t="n"/>
      <c r="D703" s="143" t="n"/>
      <c r="E703" s="143" t="n"/>
      <c r="F703" s="143" t="n"/>
      <c r="G703" s="143" t="n"/>
    </row>
    <row r="704" ht="18" customHeight="1" s="102">
      <c r="A704" s="137">
        <f>IF($B704="","","HRK-"&amp;TEXT(ROW()-BaslangicSatir,"000000"))</f>
        <v/>
      </c>
      <c r="B704" s="143" t="n"/>
      <c r="C704" s="143" t="n"/>
      <c r="D704" s="143" t="n"/>
      <c r="E704" s="143" t="n"/>
      <c r="F704" s="143" t="n"/>
      <c r="G704" s="143" t="n"/>
    </row>
    <row r="705" ht="18" customHeight="1" s="102">
      <c r="A705" s="137">
        <f>IF($B705="","","HRK-"&amp;TEXT(ROW()-BaslangicSatir,"000000"))</f>
        <v/>
      </c>
      <c r="B705" s="143" t="n"/>
      <c r="C705" s="143" t="n"/>
      <c r="D705" s="143" t="n"/>
      <c r="E705" s="143" t="n"/>
      <c r="F705" s="143" t="n"/>
      <c r="G705" s="143" t="n"/>
    </row>
    <row r="706" ht="18" customHeight="1" s="102">
      <c r="A706" s="137">
        <f>IF($B706="","","HRK-"&amp;TEXT(ROW()-BaslangicSatir,"000000"))</f>
        <v/>
      </c>
      <c r="B706" s="143" t="n"/>
      <c r="C706" s="143" t="n"/>
      <c r="D706" s="143" t="n"/>
      <c r="E706" s="143" t="n"/>
      <c r="F706" s="143" t="n"/>
      <c r="G706" s="143" t="n"/>
    </row>
    <row r="707" ht="18" customHeight="1" s="102">
      <c r="A707" s="137">
        <f>IF($B707="","","HRK-"&amp;TEXT(ROW()-BaslangicSatir,"000000"))</f>
        <v/>
      </c>
      <c r="B707" s="143" t="n"/>
      <c r="C707" s="143" t="n"/>
      <c r="D707" s="143" t="n"/>
      <c r="E707" s="143" t="n"/>
      <c r="F707" s="143" t="n"/>
      <c r="G707" s="143" t="n"/>
    </row>
    <row r="708" ht="18" customHeight="1" s="102">
      <c r="A708" s="137">
        <f>IF($B708="","","HRK-"&amp;TEXT(ROW()-BaslangicSatir,"000000"))</f>
        <v/>
      </c>
      <c r="B708" s="143" t="n"/>
      <c r="C708" s="143" t="n"/>
      <c r="D708" s="143" t="n"/>
      <c r="E708" s="143" t="n"/>
      <c r="F708" s="143" t="n"/>
      <c r="G708" s="143" t="n"/>
    </row>
    <row r="709" ht="18" customHeight="1" s="102">
      <c r="A709" s="137">
        <f>IF($B709="","","HRK-"&amp;TEXT(ROW()-BaslangicSatir,"000000"))</f>
        <v/>
      </c>
      <c r="B709" s="143" t="n"/>
      <c r="C709" s="143" t="n"/>
      <c r="D709" s="143" t="n"/>
      <c r="E709" s="143" t="n"/>
      <c r="F709" s="143" t="n"/>
      <c r="G709" s="143" t="n"/>
    </row>
    <row r="710" ht="18" customHeight="1" s="102">
      <c r="A710" s="137">
        <f>IF($B710="","","HRK-"&amp;TEXT(ROW()-BaslangicSatir,"000000"))</f>
        <v/>
      </c>
      <c r="B710" s="143" t="n"/>
      <c r="C710" s="143" t="n"/>
      <c r="D710" s="143" t="n"/>
      <c r="E710" s="143" t="n"/>
      <c r="F710" s="143" t="n"/>
      <c r="G710" s="143" t="n"/>
    </row>
    <row r="711" ht="18" customHeight="1" s="102">
      <c r="A711" s="137">
        <f>IF($B711="","","HRK-"&amp;TEXT(ROW()-BaslangicSatir,"000000"))</f>
        <v/>
      </c>
      <c r="B711" s="143" t="n"/>
      <c r="C711" s="143" t="n"/>
      <c r="D711" s="143" t="n"/>
      <c r="E711" s="143" t="n"/>
      <c r="F711" s="143" t="n"/>
      <c r="G711" s="143" t="n"/>
    </row>
    <row r="712" ht="18" customHeight="1" s="102">
      <c r="A712" s="137">
        <f>IF($B712="","","HRK-"&amp;TEXT(ROW()-BaslangicSatir,"000000"))</f>
        <v/>
      </c>
      <c r="B712" s="143" t="n"/>
      <c r="C712" s="143" t="n"/>
      <c r="D712" s="143" t="n"/>
      <c r="E712" s="143" t="n"/>
      <c r="F712" s="143" t="n"/>
      <c r="G712" s="143" t="n"/>
    </row>
    <row r="713" ht="18" customHeight="1" s="102">
      <c r="A713" s="137">
        <f>IF($B713="","","HRK-"&amp;TEXT(ROW()-BaslangicSatir,"000000"))</f>
        <v/>
      </c>
      <c r="B713" s="143" t="n"/>
      <c r="C713" s="143" t="n"/>
      <c r="D713" s="143" t="n"/>
      <c r="E713" s="143" t="n"/>
      <c r="F713" s="143" t="n"/>
      <c r="G713" s="143" t="n"/>
    </row>
    <row r="714" ht="18" customHeight="1" s="102">
      <c r="A714" s="137">
        <f>IF($B714="","","HRK-"&amp;TEXT(ROW()-BaslangicSatir,"000000"))</f>
        <v/>
      </c>
      <c r="B714" s="143" t="n"/>
      <c r="C714" s="143" t="n"/>
      <c r="D714" s="143" t="n"/>
      <c r="E714" s="143" t="n"/>
      <c r="F714" s="143" t="n"/>
      <c r="G714" s="143" t="n"/>
    </row>
    <row r="715" ht="18" customHeight="1" s="102">
      <c r="A715" s="137">
        <f>IF($B715="","","HRK-"&amp;TEXT(ROW()-BaslangicSatir,"000000"))</f>
        <v/>
      </c>
      <c r="B715" s="143" t="n"/>
      <c r="C715" s="143" t="n"/>
      <c r="D715" s="143" t="n"/>
      <c r="E715" s="143" t="n"/>
      <c r="F715" s="143" t="n"/>
      <c r="G715" s="143" t="n"/>
    </row>
    <row r="716" ht="18" customHeight="1" s="102">
      <c r="A716" s="137">
        <f>IF($B716="","","HRK-"&amp;TEXT(ROW()-BaslangicSatir,"000000"))</f>
        <v/>
      </c>
      <c r="B716" s="143" t="n"/>
      <c r="C716" s="143" t="n"/>
      <c r="D716" s="143" t="n"/>
      <c r="E716" s="143" t="n"/>
      <c r="F716" s="143" t="n"/>
      <c r="G716" s="143" t="n"/>
    </row>
    <row r="717" ht="18" customHeight="1" s="102">
      <c r="A717" s="137">
        <f>IF($B717="","","HRK-"&amp;TEXT(ROW()-BaslangicSatir,"000000"))</f>
        <v/>
      </c>
      <c r="B717" s="143" t="n"/>
      <c r="C717" s="143" t="n"/>
      <c r="D717" s="143" t="n"/>
      <c r="E717" s="143" t="n"/>
      <c r="F717" s="143" t="n"/>
      <c r="G717" s="143" t="n"/>
    </row>
    <row r="718" ht="18" customHeight="1" s="102">
      <c r="A718" s="137">
        <f>IF($B718="","","HRK-"&amp;TEXT(ROW()-BaslangicSatir,"000000"))</f>
        <v/>
      </c>
      <c r="B718" s="143" t="n"/>
      <c r="C718" s="143" t="n"/>
      <c r="D718" s="143" t="n"/>
      <c r="E718" s="143" t="n"/>
      <c r="F718" s="143" t="n"/>
      <c r="G718" s="143" t="n"/>
    </row>
    <row r="719" ht="18" customHeight="1" s="102">
      <c r="A719" s="137">
        <f>IF($B719="","","HRK-"&amp;TEXT(ROW()-BaslangicSatir,"000000"))</f>
        <v/>
      </c>
      <c r="B719" s="143" t="n"/>
      <c r="C719" s="143" t="n"/>
      <c r="D719" s="143" t="n"/>
      <c r="E719" s="143" t="n"/>
      <c r="F719" s="143" t="n"/>
      <c r="G719" s="143" t="n"/>
    </row>
    <row r="720" ht="18" customHeight="1" s="102">
      <c r="A720" s="137">
        <f>IF($B720="","","HRK-"&amp;TEXT(ROW()-BaslangicSatir,"000000"))</f>
        <v/>
      </c>
      <c r="B720" s="143" t="n"/>
      <c r="C720" s="143" t="n"/>
      <c r="D720" s="143" t="n"/>
      <c r="E720" s="143" t="n"/>
      <c r="F720" s="143" t="n"/>
      <c r="G720" s="143" t="n"/>
    </row>
    <row r="721" ht="18" customHeight="1" s="102">
      <c r="A721" s="137">
        <f>IF($B721="","","HRK-"&amp;TEXT(ROW()-BaslangicSatir,"000000"))</f>
        <v/>
      </c>
      <c r="B721" s="143" t="n"/>
      <c r="C721" s="143" t="n"/>
      <c r="D721" s="143" t="n"/>
      <c r="E721" s="143" t="n"/>
      <c r="F721" s="143" t="n"/>
      <c r="G721" s="143" t="n"/>
    </row>
    <row r="722" ht="18" customHeight="1" s="102">
      <c r="A722" s="137">
        <f>IF($B722="","","HRK-"&amp;TEXT(ROW()-BaslangicSatir,"000000"))</f>
        <v/>
      </c>
      <c r="B722" s="143" t="n"/>
      <c r="C722" s="143" t="n"/>
      <c r="D722" s="143" t="n"/>
      <c r="E722" s="143" t="n"/>
      <c r="F722" s="143" t="n"/>
      <c r="G722" s="143" t="n"/>
    </row>
    <row r="723" ht="18" customHeight="1" s="102">
      <c r="A723" s="137">
        <f>IF($B723="","","HRK-"&amp;TEXT(ROW()-BaslangicSatir,"000000"))</f>
        <v/>
      </c>
      <c r="B723" s="143" t="n"/>
      <c r="C723" s="143" t="n"/>
      <c r="D723" s="143" t="n"/>
      <c r="E723" s="143" t="n"/>
      <c r="F723" s="143" t="n"/>
      <c r="G723" s="143" t="n"/>
    </row>
    <row r="724" ht="18" customHeight="1" s="102">
      <c r="A724" s="137">
        <f>IF($B724="","","HRK-"&amp;TEXT(ROW()-BaslangicSatir,"000000"))</f>
        <v/>
      </c>
      <c r="B724" s="143" t="n"/>
      <c r="C724" s="143" t="n"/>
      <c r="D724" s="143" t="n"/>
      <c r="E724" s="143" t="n"/>
      <c r="F724" s="143" t="n"/>
      <c r="G724" s="143" t="n"/>
    </row>
    <row r="725" ht="18" customHeight="1" s="102">
      <c r="A725" s="137">
        <f>IF($B725="","","HRK-"&amp;TEXT(ROW()-BaslangicSatir,"000000"))</f>
        <v/>
      </c>
      <c r="B725" s="143" t="n"/>
      <c r="C725" s="143" t="n"/>
      <c r="D725" s="143" t="n"/>
      <c r="E725" s="143" t="n"/>
      <c r="F725" s="143" t="n"/>
      <c r="G725" s="143" t="n"/>
    </row>
    <row r="726" ht="18" customHeight="1" s="102">
      <c r="A726" s="137">
        <f>IF($B726="","","HRK-"&amp;TEXT(ROW()-BaslangicSatir,"000000"))</f>
        <v/>
      </c>
      <c r="B726" s="143" t="n"/>
      <c r="C726" s="143" t="n"/>
      <c r="D726" s="143" t="n"/>
      <c r="E726" s="143" t="n"/>
      <c r="F726" s="143" t="n"/>
      <c r="G726" s="143" t="n"/>
    </row>
    <row r="727" ht="18" customHeight="1" s="102">
      <c r="A727" s="137">
        <f>IF($B727="","","HRK-"&amp;TEXT(ROW()-BaslangicSatir,"000000"))</f>
        <v/>
      </c>
      <c r="B727" s="143" t="n"/>
      <c r="C727" s="143" t="n"/>
      <c r="D727" s="143" t="n"/>
      <c r="E727" s="143" t="n"/>
      <c r="F727" s="143" t="n"/>
      <c r="G727" s="143" t="n"/>
    </row>
    <row r="728" ht="18" customHeight="1" s="102">
      <c r="A728" s="137">
        <f>IF($B728="","","HRK-"&amp;TEXT(ROW()-BaslangicSatir,"000000"))</f>
        <v/>
      </c>
      <c r="B728" s="143" t="n"/>
      <c r="C728" s="143" t="n"/>
      <c r="D728" s="143" t="n"/>
      <c r="E728" s="143" t="n"/>
      <c r="F728" s="143" t="n"/>
      <c r="G728" s="143" t="n"/>
    </row>
    <row r="729" ht="18" customHeight="1" s="102">
      <c r="A729" s="137">
        <f>IF($B729="","","HRK-"&amp;TEXT(ROW()-BaslangicSatir,"000000"))</f>
        <v/>
      </c>
      <c r="B729" s="143" t="n"/>
      <c r="C729" s="143" t="n"/>
      <c r="D729" s="143" t="n"/>
      <c r="E729" s="143" t="n"/>
      <c r="F729" s="143" t="n"/>
      <c r="G729" s="143" t="n"/>
    </row>
    <row r="730" ht="18" customHeight="1" s="102">
      <c r="A730" s="137">
        <f>IF($B730="","","HRK-"&amp;TEXT(ROW()-BaslangicSatir,"000000"))</f>
        <v/>
      </c>
      <c r="B730" s="143" t="n"/>
      <c r="C730" s="143" t="n"/>
      <c r="D730" s="143" t="n"/>
      <c r="E730" s="143" t="n"/>
      <c r="F730" s="143" t="n"/>
      <c r="G730" s="143" t="n"/>
    </row>
    <row r="731" ht="18" customHeight="1" s="102">
      <c r="A731" s="137">
        <f>IF($B731="","","HRK-"&amp;TEXT(ROW()-BaslangicSatir,"000000"))</f>
        <v/>
      </c>
      <c r="B731" s="143" t="n"/>
      <c r="C731" s="143" t="n"/>
      <c r="D731" s="143" t="n"/>
      <c r="E731" s="143" t="n"/>
      <c r="F731" s="143" t="n"/>
      <c r="G731" s="143" t="n"/>
    </row>
    <row r="732" ht="18" customHeight="1" s="102">
      <c r="A732" s="137">
        <f>IF($B732="","","HRK-"&amp;TEXT(ROW()-BaslangicSatir,"000000"))</f>
        <v/>
      </c>
      <c r="B732" s="143" t="n"/>
      <c r="C732" s="143" t="n"/>
      <c r="D732" s="143" t="n"/>
      <c r="E732" s="143" t="n"/>
      <c r="F732" s="143" t="n"/>
      <c r="G732" s="143" t="n"/>
    </row>
    <row r="733" ht="18" customHeight="1" s="102">
      <c r="A733" s="137">
        <f>IF($B733="","","HRK-"&amp;TEXT(ROW()-BaslangicSatir,"000000"))</f>
        <v/>
      </c>
      <c r="B733" s="143" t="n"/>
      <c r="C733" s="143" t="n"/>
      <c r="D733" s="143" t="n"/>
      <c r="E733" s="143" t="n"/>
      <c r="F733" s="143" t="n"/>
      <c r="G733" s="143" t="n"/>
    </row>
    <row r="734" ht="18" customHeight="1" s="102">
      <c r="A734" s="137">
        <f>IF($B734="","","HRK-"&amp;TEXT(ROW()-BaslangicSatir,"000000"))</f>
        <v/>
      </c>
      <c r="B734" s="143" t="n"/>
      <c r="C734" s="143" t="n"/>
      <c r="D734" s="143" t="n"/>
      <c r="E734" s="143" t="n"/>
      <c r="F734" s="143" t="n"/>
      <c r="G734" s="143" t="n"/>
    </row>
    <row r="735" ht="18" customHeight="1" s="102">
      <c r="A735" s="137">
        <f>IF($B735="","","HRK-"&amp;TEXT(ROW()-BaslangicSatir,"000000"))</f>
        <v/>
      </c>
      <c r="B735" s="143" t="n"/>
      <c r="C735" s="143" t="n"/>
      <c r="D735" s="143" t="n"/>
      <c r="E735" s="143" t="n"/>
      <c r="F735" s="143" t="n"/>
      <c r="G735" s="143" t="n"/>
    </row>
    <row r="736" ht="18" customHeight="1" s="102">
      <c r="A736" s="137">
        <f>IF($B736="","","HRK-"&amp;TEXT(ROW()-BaslangicSatir,"000000"))</f>
        <v/>
      </c>
      <c r="B736" s="143" t="n"/>
      <c r="C736" s="143" t="n"/>
      <c r="D736" s="143" t="n"/>
      <c r="E736" s="143" t="n"/>
      <c r="F736" s="143" t="n"/>
      <c r="G736" s="143" t="n"/>
    </row>
    <row r="737" ht="18" customHeight="1" s="102">
      <c r="A737" s="137">
        <f>IF($B737="","","HRK-"&amp;TEXT(ROW()-BaslangicSatir,"000000"))</f>
        <v/>
      </c>
      <c r="B737" s="143" t="n"/>
      <c r="C737" s="143" t="n"/>
      <c r="D737" s="143" t="n"/>
      <c r="E737" s="143" t="n"/>
      <c r="F737" s="143" t="n"/>
      <c r="G737" s="143" t="n"/>
    </row>
    <row r="738" ht="18" customHeight="1" s="102">
      <c r="A738" s="137">
        <f>IF($B738="","","HRK-"&amp;TEXT(ROW()-BaslangicSatir,"000000"))</f>
        <v/>
      </c>
      <c r="B738" s="143" t="n"/>
      <c r="C738" s="143" t="n"/>
      <c r="D738" s="143" t="n"/>
      <c r="E738" s="143" t="n"/>
      <c r="F738" s="143" t="n"/>
      <c r="G738" s="143" t="n"/>
    </row>
    <row r="739" ht="18" customHeight="1" s="102">
      <c r="A739" s="137">
        <f>IF($B739="","","HRK-"&amp;TEXT(ROW()-BaslangicSatir,"000000"))</f>
        <v/>
      </c>
      <c r="B739" s="143" t="n"/>
      <c r="C739" s="143" t="n"/>
      <c r="D739" s="143" t="n"/>
      <c r="E739" s="143" t="n"/>
      <c r="F739" s="143" t="n"/>
      <c r="G739" s="143" t="n"/>
    </row>
    <row r="740" ht="18" customHeight="1" s="102">
      <c r="A740" s="137">
        <f>IF($B740="","","HRK-"&amp;TEXT(ROW()-BaslangicSatir,"000000"))</f>
        <v/>
      </c>
      <c r="B740" s="143" t="n"/>
      <c r="C740" s="143" t="n"/>
      <c r="D740" s="143" t="n"/>
      <c r="E740" s="143" t="n"/>
      <c r="F740" s="143" t="n"/>
      <c r="G740" s="143" t="n"/>
    </row>
    <row r="741" ht="18" customHeight="1" s="102">
      <c r="A741" s="137">
        <f>IF($B741="","","HRK-"&amp;TEXT(ROW()-BaslangicSatir,"000000"))</f>
        <v/>
      </c>
      <c r="B741" s="143" t="n"/>
      <c r="C741" s="143" t="n"/>
      <c r="D741" s="143" t="n"/>
      <c r="E741" s="143" t="n"/>
      <c r="F741" s="143" t="n"/>
      <c r="G741" s="143" t="n"/>
    </row>
    <row r="742" ht="18" customHeight="1" s="102">
      <c r="A742" s="137">
        <f>IF($B742="","","HRK-"&amp;TEXT(ROW()-BaslangicSatir,"000000"))</f>
        <v/>
      </c>
      <c r="B742" s="143" t="n"/>
      <c r="C742" s="143" t="n"/>
      <c r="D742" s="143" t="n"/>
      <c r="E742" s="143" t="n"/>
      <c r="F742" s="143" t="n"/>
      <c r="G742" s="143" t="n"/>
    </row>
    <row r="743" ht="18" customHeight="1" s="102">
      <c r="A743" s="137">
        <f>IF($B743="","","HRK-"&amp;TEXT(ROW()-BaslangicSatir,"000000"))</f>
        <v/>
      </c>
      <c r="B743" s="143" t="n"/>
      <c r="C743" s="143" t="n"/>
      <c r="D743" s="143" t="n"/>
      <c r="E743" s="143" t="n"/>
      <c r="F743" s="143" t="n"/>
      <c r="G743" s="143" t="n"/>
    </row>
    <row r="744" ht="18" customHeight="1" s="102">
      <c r="A744" s="137">
        <f>IF($B744="","","HRK-"&amp;TEXT(ROW()-BaslangicSatir,"000000"))</f>
        <v/>
      </c>
      <c r="B744" s="143" t="n"/>
      <c r="C744" s="143" t="n"/>
      <c r="D744" s="143" t="n"/>
      <c r="E744" s="143" t="n"/>
      <c r="F744" s="143" t="n"/>
      <c r="G744" s="143" t="n"/>
    </row>
    <row r="745" ht="18" customHeight="1" s="102">
      <c r="A745" s="137">
        <f>IF($B745="","","HRK-"&amp;TEXT(ROW()-BaslangicSatir,"000000"))</f>
        <v/>
      </c>
      <c r="B745" s="143" t="n"/>
      <c r="C745" s="143" t="n"/>
      <c r="D745" s="143" t="n"/>
      <c r="E745" s="143" t="n"/>
      <c r="F745" s="143" t="n"/>
      <c r="G745" s="143" t="n"/>
    </row>
    <row r="746" ht="18" customHeight="1" s="102">
      <c r="A746" s="137">
        <f>IF($B746="","","HRK-"&amp;TEXT(ROW()-BaslangicSatir,"000000"))</f>
        <v/>
      </c>
      <c r="B746" s="143" t="n"/>
      <c r="C746" s="143" t="n"/>
      <c r="D746" s="143" t="n"/>
      <c r="E746" s="143" t="n"/>
      <c r="F746" s="143" t="n"/>
      <c r="G746" s="143" t="n"/>
    </row>
    <row r="747" ht="18" customHeight="1" s="102">
      <c r="A747" s="137">
        <f>IF($B747="","","HRK-"&amp;TEXT(ROW()-BaslangicSatir,"000000"))</f>
        <v/>
      </c>
      <c r="B747" s="143" t="n"/>
      <c r="C747" s="143" t="n"/>
      <c r="D747" s="143" t="n"/>
      <c r="E747" s="143" t="n"/>
      <c r="F747" s="143" t="n"/>
      <c r="G747" s="143" t="n"/>
    </row>
    <row r="748" ht="18" customHeight="1" s="102">
      <c r="A748" s="137">
        <f>IF($B748="","","HRK-"&amp;TEXT(ROW()-BaslangicSatir,"000000"))</f>
        <v/>
      </c>
      <c r="B748" s="143" t="n"/>
      <c r="C748" s="143" t="n"/>
      <c r="D748" s="143" t="n"/>
      <c r="E748" s="143" t="n"/>
      <c r="F748" s="143" t="n"/>
      <c r="G748" s="143" t="n"/>
    </row>
    <row r="749" ht="18" customHeight="1" s="102">
      <c r="A749" s="137">
        <f>IF($B749="","","HRK-"&amp;TEXT(ROW()-BaslangicSatir,"000000"))</f>
        <v/>
      </c>
      <c r="B749" s="143" t="n"/>
      <c r="C749" s="143" t="n"/>
      <c r="D749" s="143" t="n"/>
      <c r="E749" s="143" t="n"/>
      <c r="F749" s="143" t="n"/>
      <c r="G749" s="143" t="n"/>
    </row>
    <row r="750" ht="18" customHeight="1" s="102">
      <c r="A750" s="137">
        <f>IF($B750="","","HRK-"&amp;TEXT(ROW()-BaslangicSatir,"000000"))</f>
        <v/>
      </c>
      <c r="B750" s="143" t="n"/>
      <c r="C750" s="143" t="n"/>
      <c r="D750" s="143" t="n"/>
      <c r="E750" s="143" t="n"/>
      <c r="F750" s="143" t="n"/>
      <c r="G750" s="143" t="n"/>
    </row>
    <row r="751" ht="18" customHeight="1" s="102">
      <c r="A751" s="137">
        <f>IF($B751="","","HRK-"&amp;TEXT(ROW()-BaslangicSatir,"000000"))</f>
        <v/>
      </c>
      <c r="B751" s="143" t="n"/>
      <c r="C751" s="143" t="n"/>
      <c r="D751" s="143" t="n"/>
      <c r="E751" s="143" t="n"/>
      <c r="F751" s="143" t="n"/>
      <c r="G751" s="143" t="n"/>
    </row>
    <row r="752" ht="18" customHeight="1" s="102">
      <c r="A752" s="137">
        <f>IF($B752="","","HRK-"&amp;TEXT(ROW()-BaslangicSatir,"000000"))</f>
        <v/>
      </c>
      <c r="B752" s="143" t="n"/>
      <c r="C752" s="143" t="n"/>
      <c r="D752" s="143" t="n"/>
      <c r="E752" s="143" t="n"/>
      <c r="F752" s="143" t="n"/>
      <c r="G752" s="143" t="n"/>
    </row>
    <row r="753" ht="18" customHeight="1" s="102">
      <c r="A753" s="137">
        <f>IF($B753="","","HRK-"&amp;TEXT(ROW()-BaslangicSatir,"000000"))</f>
        <v/>
      </c>
      <c r="B753" s="143" t="n"/>
      <c r="C753" s="143" t="n"/>
      <c r="D753" s="143" t="n"/>
      <c r="E753" s="143" t="n"/>
      <c r="F753" s="143" t="n"/>
      <c r="G753" s="143" t="n"/>
    </row>
    <row r="754" ht="18" customHeight="1" s="102">
      <c r="A754" s="137">
        <f>IF($B754="","","HRK-"&amp;TEXT(ROW()-BaslangicSatir,"000000"))</f>
        <v/>
      </c>
      <c r="B754" s="143" t="n"/>
      <c r="C754" s="143" t="n"/>
      <c r="D754" s="143" t="n"/>
      <c r="E754" s="143" t="n"/>
      <c r="F754" s="143" t="n"/>
      <c r="G754" s="143" t="n"/>
    </row>
    <row r="755" ht="18" customHeight="1" s="102">
      <c r="A755" s="137">
        <f>IF($B755="","","HRK-"&amp;TEXT(ROW()-BaslangicSatir,"000000"))</f>
        <v/>
      </c>
      <c r="B755" s="143" t="n"/>
      <c r="C755" s="143" t="n"/>
      <c r="D755" s="143" t="n"/>
      <c r="E755" s="143" t="n"/>
      <c r="F755" s="143" t="n"/>
      <c r="G755" s="143" t="n"/>
    </row>
    <row r="756" ht="18" customHeight="1" s="102">
      <c r="A756" s="137">
        <f>IF($B756="","","HRK-"&amp;TEXT(ROW()-BaslangicSatir,"000000"))</f>
        <v/>
      </c>
      <c r="B756" s="143" t="n"/>
      <c r="C756" s="143" t="n"/>
      <c r="D756" s="143" t="n"/>
      <c r="E756" s="143" t="n"/>
      <c r="F756" s="143" t="n"/>
      <c r="G756" s="143" t="n"/>
    </row>
    <row r="757" ht="18" customHeight="1" s="102">
      <c r="A757" s="137">
        <f>IF($B757="","","HRK-"&amp;TEXT(ROW()-BaslangicSatir,"000000"))</f>
        <v/>
      </c>
      <c r="B757" s="143" t="n"/>
      <c r="C757" s="143" t="n"/>
      <c r="D757" s="143" t="n"/>
      <c r="E757" s="143" t="n"/>
      <c r="F757" s="143" t="n"/>
      <c r="G757" s="143" t="n"/>
    </row>
    <row r="758" ht="18" customHeight="1" s="102">
      <c r="A758" s="137">
        <f>IF($B758="","","HRK-"&amp;TEXT(ROW()-BaslangicSatir,"000000"))</f>
        <v/>
      </c>
      <c r="B758" s="143" t="n"/>
      <c r="C758" s="143" t="n"/>
      <c r="D758" s="143" t="n"/>
      <c r="E758" s="143" t="n"/>
      <c r="F758" s="143" t="n"/>
      <c r="G758" s="143" t="n"/>
    </row>
    <row r="759" ht="18" customHeight="1" s="102">
      <c r="A759" s="137">
        <f>IF($B759="","","HRK-"&amp;TEXT(ROW()-BaslangicSatir,"000000"))</f>
        <v/>
      </c>
      <c r="B759" s="143" t="n"/>
      <c r="C759" s="143" t="n"/>
      <c r="D759" s="143" t="n"/>
      <c r="E759" s="143" t="n"/>
      <c r="F759" s="143" t="n"/>
      <c r="G759" s="143" t="n"/>
    </row>
    <row r="760" ht="18" customHeight="1" s="102">
      <c r="A760" s="137">
        <f>IF($B760="","","HRK-"&amp;TEXT(ROW()-BaslangicSatir,"000000"))</f>
        <v/>
      </c>
      <c r="B760" s="143" t="n"/>
      <c r="C760" s="143" t="n"/>
      <c r="D760" s="143" t="n"/>
      <c r="E760" s="143" t="n"/>
      <c r="F760" s="143" t="n"/>
      <c r="G760" s="143" t="n"/>
    </row>
    <row r="761" ht="18" customHeight="1" s="102">
      <c r="A761" s="137">
        <f>IF($B761="","","HRK-"&amp;TEXT(ROW()-BaslangicSatir,"000000"))</f>
        <v/>
      </c>
      <c r="B761" s="143" t="n"/>
      <c r="C761" s="143" t="n"/>
      <c r="D761" s="143" t="n"/>
      <c r="E761" s="143" t="n"/>
      <c r="F761" s="143" t="n"/>
      <c r="G761" s="143" t="n"/>
    </row>
    <row r="762" ht="18" customHeight="1" s="102">
      <c r="A762" s="137">
        <f>IF($B762="","","HRK-"&amp;TEXT(ROW()-BaslangicSatir,"000000"))</f>
        <v/>
      </c>
      <c r="B762" s="143" t="n"/>
      <c r="C762" s="143" t="n"/>
      <c r="D762" s="143" t="n"/>
      <c r="E762" s="143" t="n"/>
      <c r="F762" s="143" t="n"/>
      <c r="G762" s="143" t="n"/>
    </row>
    <row r="763" ht="18" customHeight="1" s="102">
      <c r="A763" s="137">
        <f>IF($B763="","","HRK-"&amp;TEXT(ROW()-BaslangicSatir,"000000"))</f>
        <v/>
      </c>
      <c r="B763" s="143" t="n"/>
      <c r="C763" s="143" t="n"/>
      <c r="D763" s="143" t="n"/>
      <c r="E763" s="143" t="n"/>
      <c r="F763" s="143" t="n"/>
      <c r="G763" s="143" t="n"/>
    </row>
    <row r="764" ht="18" customHeight="1" s="102">
      <c r="A764" s="137">
        <f>IF($B764="","","HRK-"&amp;TEXT(ROW()-BaslangicSatir,"000000"))</f>
        <v/>
      </c>
      <c r="B764" s="143" t="n"/>
      <c r="C764" s="143" t="n"/>
      <c r="D764" s="143" t="n"/>
      <c r="E764" s="143" t="n"/>
      <c r="F764" s="143" t="n"/>
      <c r="G764" s="143" t="n"/>
    </row>
    <row r="765" ht="18" customHeight="1" s="102">
      <c r="A765" s="137">
        <f>IF($B765="","","HRK-"&amp;TEXT(ROW()-BaslangicSatir,"000000"))</f>
        <v/>
      </c>
      <c r="B765" s="143" t="n"/>
      <c r="C765" s="143" t="n"/>
      <c r="D765" s="143" t="n"/>
      <c r="E765" s="143" t="n"/>
      <c r="F765" s="143" t="n"/>
      <c r="G765" s="143" t="n"/>
    </row>
    <row r="766" ht="18" customHeight="1" s="102">
      <c r="A766" s="137">
        <f>IF($B766="","","HRK-"&amp;TEXT(ROW()-BaslangicSatir,"000000"))</f>
        <v/>
      </c>
      <c r="B766" s="143" t="n"/>
      <c r="C766" s="143" t="n"/>
      <c r="D766" s="143" t="n"/>
      <c r="E766" s="143" t="n"/>
      <c r="F766" s="143" t="n"/>
      <c r="G766" s="143" t="n"/>
    </row>
    <row r="767" ht="18" customHeight="1" s="102">
      <c r="A767" s="137">
        <f>IF($B767="","","HRK-"&amp;TEXT(ROW()-BaslangicSatir,"000000"))</f>
        <v/>
      </c>
      <c r="B767" s="143" t="n"/>
      <c r="C767" s="143" t="n"/>
      <c r="D767" s="143" t="n"/>
      <c r="E767" s="143" t="n"/>
      <c r="F767" s="143" t="n"/>
      <c r="G767" s="143" t="n"/>
    </row>
    <row r="768" ht="18" customHeight="1" s="102">
      <c r="A768" s="137">
        <f>IF($B768="","","HRK-"&amp;TEXT(ROW()-BaslangicSatir,"000000"))</f>
        <v/>
      </c>
      <c r="B768" s="143" t="n"/>
      <c r="C768" s="143" t="n"/>
      <c r="D768" s="143" t="n"/>
      <c r="E768" s="143" t="n"/>
      <c r="F768" s="143" t="n"/>
      <c r="G768" s="143" t="n"/>
    </row>
    <row r="769" ht="18" customHeight="1" s="102">
      <c r="A769" s="137">
        <f>IF($B769="","","HRK-"&amp;TEXT(ROW()-BaslangicSatir,"000000"))</f>
        <v/>
      </c>
      <c r="B769" s="143" t="n"/>
      <c r="C769" s="143" t="n"/>
      <c r="D769" s="143" t="n"/>
      <c r="E769" s="143" t="n"/>
      <c r="F769" s="143" t="n"/>
      <c r="G769" s="143" t="n"/>
    </row>
    <row r="770" ht="18" customHeight="1" s="102">
      <c r="A770" s="137">
        <f>IF($B770="","","HRK-"&amp;TEXT(ROW()-BaslangicSatir,"000000"))</f>
        <v/>
      </c>
      <c r="B770" s="143" t="n"/>
      <c r="C770" s="143" t="n"/>
      <c r="D770" s="143" t="n"/>
      <c r="E770" s="143" t="n"/>
      <c r="F770" s="143" t="n"/>
      <c r="G770" s="143" t="n"/>
    </row>
    <row r="771" ht="18" customHeight="1" s="102">
      <c r="A771" s="137">
        <f>IF($B771="","","HRK-"&amp;TEXT(ROW()-BaslangicSatir,"000000"))</f>
        <v/>
      </c>
      <c r="B771" s="143" t="n"/>
      <c r="C771" s="143" t="n"/>
      <c r="D771" s="143" t="n"/>
      <c r="E771" s="143" t="n"/>
      <c r="F771" s="143" t="n"/>
      <c r="G771" s="143" t="n"/>
    </row>
    <row r="772" ht="18" customHeight="1" s="102">
      <c r="A772" s="137">
        <f>IF($B772="","","HRK-"&amp;TEXT(ROW()-BaslangicSatir,"000000"))</f>
        <v/>
      </c>
      <c r="B772" s="143" t="n"/>
      <c r="C772" s="143" t="n"/>
      <c r="D772" s="143" t="n"/>
      <c r="E772" s="143" t="n"/>
      <c r="F772" s="143" t="n"/>
      <c r="G772" s="143" t="n"/>
    </row>
    <row r="773" ht="18" customHeight="1" s="102">
      <c r="A773" s="137">
        <f>IF($B773="","","HRK-"&amp;TEXT(ROW()-BaslangicSatir,"000000"))</f>
        <v/>
      </c>
      <c r="B773" s="143" t="n"/>
      <c r="C773" s="143" t="n"/>
      <c r="D773" s="143" t="n"/>
      <c r="E773" s="143" t="n"/>
      <c r="F773" s="143" t="n"/>
      <c r="G773" s="143" t="n"/>
    </row>
    <row r="774" ht="18" customHeight="1" s="102">
      <c r="A774" s="137">
        <f>IF($B774="","","HRK-"&amp;TEXT(ROW()-BaslangicSatir,"000000"))</f>
        <v/>
      </c>
      <c r="B774" s="143" t="n"/>
      <c r="C774" s="143" t="n"/>
      <c r="D774" s="143" t="n"/>
      <c r="E774" s="143" t="n"/>
      <c r="F774" s="143" t="n"/>
      <c r="G774" s="143" t="n"/>
    </row>
    <row r="775" ht="18" customHeight="1" s="102">
      <c r="A775" s="137">
        <f>IF($B775="","","HRK-"&amp;TEXT(ROW()-BaslangicSatir,"000000"))</f>
        <v/>
      </c>
      <c r="B775" s="143" t="n"/>
      <c r="C775" s="143" t="n"/>
      <c r="D775" s="143" t="n"/>
      <c r="E775" s="143" t="n"/>
      <c r="F775" s="143" t="n"/>
      <c r="G775" s="143" t="n"/>
    </row>
    <row r="776" ht="18" customHeight="1" s="102">
      <c r="A776" s="137">
        <f>IF($B776="","","HRK-"&amp;TEXT(ROW()-BaslangicSatir,"000000"))</f>
        <v/>
      </c>
      <c r="B776" s="143" t="n"/>
      <c r="C776" s="143" t="n"/>
      <c r="D776" s="143" t="n"/>
      <c r="E776" s="143" t="n"/>
      <c r="F776" s="143" t="n"/>
      <c r="G776" s="143" t="n"/>
    </row>
    <row r="777" ht="18" customHeight="1" s="102">
      <c r="A777" s="137">
        <f>IF($B777="","","HRK-"&amp;TEXT(ROW()-BaslangicSatir,"000000"))</f>
        <v/>
      </c>
      <c r="B777" s="143" t="n"/>
      <c r="C777" s="143" t="n"/>
      <c r="D777" s="143" t="n"/>
      <c r="E777" s="143" t="n"/>
      <c r="F777" s="143" t="n"/>
      <c r="G777" s="143" t="n"/>
    </row>
    <row r="778" ht="18" customHeight="1" s="102">
      <c r="A778" s="137">
        <f>IF($B778="","","HRK-"&amp;TEXT(ROW()-BaslangicSatir,"000000"))</f>
        <v/>
      </c>
      <c r="B778" s="143" t="n"/>
      <c r="C778" s="143" t="n"/>
      <c r="D778" s="143" t="n"/>
      <c r="E778" s="143" t="n"/>
      <c r="F778" s="143" t="n"/>
      <c r="G778" s="143" t="n"/>
    </row>
    <row r="779" ht="18" customHeight="1" s="102">
      <c r="A779" s="137">
        <f>IF($B779="","","HRK-"&amp;TEXT(ROW()-BaslangicSatir,"000000"))</f>
        <v/>
      </c>
      <c r="B779" s="143" t="n"/>
      <c r="C779" s="143" t="n"/>
      <c r="D779" s="143" t="n"/>
      <c r="E779" s="143" t="n"/>
      <c r="F779" s="143" t="n"/>
      <c r="G779" s="143" t="n"/>
    </row>
    <row r="780" ht="18" customHeight="1" s="102">
      <c r="A780" s="137">
        <f>IF($B780="","","HRK-"&amp;TEXT(ROW()-BaslangicSatir,"000000"))</f>
        <v/>
      </c>
      <c r="B780" s="143" t="n"/>
      <c r="C780" s="143" t="n"/>
      <c r="D780" s="143" t="n"/>
      <c r="E780" s="143" t="n"/>
      <c r="F780" s="143" t="n"/>
      <c r="G780" s="143" t="n"/>
    </row>
    <row r="781" ht="18" customHeight="1" s="102">
      <c r="A781" s="137">
        <f>IF($B781="","","HRK-"&amp;TEXT(ROW()-BaslangicSatir,"000000"))</f>
        <v/>
      </c>
      <c r="B781" s="143" t="n"/>
      <c r="C781" s="143" t="n"/>
      <c r="D781" s="143" t="n"/>
      <c r="E781" s="143" t="n"/>
      <c r="F781" s="143" t="n"/>
      <c r="G781" s="143" t="n"/>
    </row>
    <row r="782" ht="18" customHeight="1" s="102">
      <c r="A782" s="137">
        <f>IF($B782="","","HRK-"&amp;TEXT(ROW()-BaslangicSatir,"000000"))</f>
        <v/>
      </c>
      <c r="B782" s="143" t="n"/>
      <c r="C782" s="143" t="n"/>
      <c r="D782" s="143" t="n"/>
      <c r="E782" s="143" t="n"/>
      <c r="F782" s="143" t="n"/>
      <c r="G782" s="143" t="n"/>
    </row>
    <row r="783" ht="18" customHeight="1" s="102">
      <c r="A783" s="137">
        <f>IF($B783="","","HRK-"&amp;TEXT(ROW()-BaslangicSatir,"000000"))</f>
        <v/>
      </c>
      <c r="B783" s="143" t="n"/>
      <c r="C783" s="143" t="n"/>
      <c r="D783" s="143" t="n"/>
      <c r="E783" s="143" t="n"/>
      <c r="F783" s="143" t="n"/>
      <c r="G783" s="143" t="n"/>
    </row>
    <row r="784" ht="18" customHeight="1" s="102">
      <c r="A784" s="137">
        <f>IF($B784="","","HRK-"&amp;TEXT(ROW()-BaslangicSatir,"000000"))</f>
        <v/>
      </c>
      <c r="B784" s="143" t="n"/>
      <c r="C784" s="143" t="n"/>
      <c r="D784" s="143" t="n"/>
      <c r="E784" s="143" t="n"/>
      <c r="F784" s="143" t="n"/>
      <c r="G784" s="143" t="n"/>
    </row>
    <row r="785" ht="18" customHeight="1" s="102">
      <c r="A785" s="137">
        <f>IF($B785="","","HRK-"&amp;TEXT(ROW()-BaslangicSatir,"000000"))</f>
        <v/>
      </c>
      <c r="B785" s="143" t="n"/>
      <c r="C785" s="143" t="n"/>
      <c r="D785" s="143" t="n"/>
      <c r="E785" s="143" t="n"/>
      <c r="F785" s="143" t="n"/>
      <c r="G785" s="143" t="n"/>
    </row>
    <row r="786" ht="18" customHeight="1" s="102">
      <c r="A786" s="137">
        <f>IF($B786="","","HRK-"&amp;TEXT(ROW()-BaslangicSatir,"000000"))</f>
        <v/>
      </c>
      <c r="B786" s="143" t="n"/>
      <c r="C786" s="143" t="n"/>
      <c r="D786" s="143" t="n"/>
      <c r="E786" s="143" t="n"/>
      <c r="F786" s="143" t="n"/>
      <c r="G786" s="143" t="n"/>
    </row>
    <row r="787" ht="18" customHeight="1" s="102">
      <c r="A787" s="137">
        <f>IF($B787="","","HRK-"&amp;TEXT(ROW()-BaslangicSatir,"000000"))</f>
        <v/>
      </c>
      <c r="B787" s="143" t="n"/>
      <c r="C787" s="143" t="n"/>
      <c r="D787" s="143" t="n"/>
      <c r="E787" s="143" t="n"/>
      <c r="F787" s="143" t="n"/>
      <c r="G787" s="143" t="n"/>
    </row>
    <row r="788" ht="18" customHeight="1" s="102">
      <c r="A788" s="137">
        <f>IF($B788="","","HRK-"&amp;TEXT(ROW()-BaslangicSatir,"000000"))</f>
        <v/>
      </c>
      <c r="B788" s="143" t="n"/>
      <c r="C788" s="143" t="n"/>
      <c r="D788" s="143" t="n"/>
      <c r="E788" s="143" t="n"/>
      <c r="F788" s="143" t="n"/>
      <c r="G788" s="143" t="n"/>
    </row>
    <row r="789" ht="18" customHeight="1" s="102">
      <c r="A789" s="137">
        <f>IF($B789="","","HRK-"&amp;TEXT(ROW()-BaslangicSatir,"000000"))</f>
        <v/>
      </c>
      <c r="B789" s="143" t="n"/>
      <c r="C789" s="143" t="n"/>
      <c r="D789" s="143" t="n"/>
      <c r="E789" s="143" t="n"/>
      <c r="F789" s="143" t="n"/>
      <c r="G789" s="143" t="n"/>
    </row>
    <row r="790" ht="18" customHeight="1" s="102">
      <c r="A790" s="137">
        <f>IF($B790="","","HRK-"&amp;TEXT(ROW()-BaslangicSatir,"000000"))</f>
        <v/>
      </c>
      <c r="B790" s="143" t="n"/>
      <c r="C790" s="143" t="n"/>
      <c r="D790" s="143" t="n"/>
      <c r="E790" s="143" t="n"/>
      <c r="F790" s="143" t="n"/>
      <c r="G790" s="143" t="n"/>
    </row>
    <row r="791" ht="18" customHeight="1" s="102">
      <c r="A791" s="137">
        <f>IF($B791="","","HRK-"&amp;TEXT(ROW()-BaslangicSatir,"000000"))</f>
        <v/>
      </c>
      <c r="B791" s="143" t="n"/>
      <c r="C791" s="143" t="n"/>
      <c r="D791" s="143" t="n"/>
      <c r="E791" s="143" t="n"/>
      <c r="F791" s="143" t="n"/>
      <c r="G791" s="143" t="n"/>
    </row>
    <row r="792" ht="18" customHeight="1" s="102">
      <c r="A792" s="137">
        <f>IF($B792="","","HRK-"&amp;TEXT(ROW()-BaslangicSatir,"000000"))</f>
        <v/>
      </c>
      <c r="B792" s="143" t="n"/>
      <c r="C792" s="143" t="n"/>
      <c r="D792" s="143" t="n"/>
      <c r="E792" s="143" t="n"/>
      <c r="F792" s="143" t="n"/>
      <c r="G792" s="143" t="n"/>
    </row>
    <row r="793" ht="18" customHeight="1" s="102">
      <c r="A793" s="137">
        <f>IF($B793="","","HRK-"&amp;TEXT(ROW()-BaslangicSatir,"000000"))</f>
        <v/>
      </c>
      <c r="B793" s="143" t="n"/>
      <c r="C793" s="143" t="n"/>
      <c r="D793" s="143" t="n"/>
      <c r="E793" s="143" t="n"/>
      <c r="F793" s="143" t="n"/>
      <c r="G793" s="143" t="n"/>
    </row>
    <row r="794" ht="18" customHeight="1" s="102">
      <c r="A794" s="137">
        <f>IF($B794="","","HRK-"&amp;TEXT(ROW()-BaslangicSatir,"000000"))</f>
        <v/>
      </c>
      <c r="B794" s="143" t="n"/>
      <c r="C794" s="143" t="n"/>
      <c r="D794" s="143" t="n"/>
      <c r="E794" s="143" t="n"/>
      <c r="F794" s="143" t="n"/>
      <c r="G794" s="143" t="n"/>
    </row>
    <row r="795" ht="18" customHeight="1" s="102">
      <c r="A795" s="137">
        <f>IF($B795="","","HRK-"&amp;TEXT(ROW()-BaslangicSatir,"000000"))</f>
        <v/>
      </c>
      <c r="B795" s="143" t="n"/>
      <c r="C795" s="143" t="n"/>
      <c r="D795" s="143" t="n"/>
      <c r="E795" s="143" t="n"/>
      <c r="F795" s="143" t="n"/>
      <c r="G795" s="143" t="n"/>
    </row>
    <row r="796" ht="18" customHeight="1" s="102">
      <c r="A796" s="137">
        <f>IF($B796="","","HRK-"&amp;TEXT(ROW()-BaslangicSatir,"000000"))</f>
        <v/>
      </c>
      <c r="B796" s="143" t="n"/>
      <c r="C796" s="143" t="n"/>
      <c r="D796" s="143" t="n"/>
      <c r="E796" s="143" t="n"/>
      <c r="F796" s="143" t="n"/>
      <c r="G796" s="143" t="n"/>
    </row>
    <row r="797" ht="18" customHeight="1" s="102">
      <c r="A797" s="137">
        <f>IF($B797="","","HRK-"&amp;TEXT(ROW()-BaslangicSatir,"000000"))</f>
        <v/>
      </c>
      <c r="B797" s="143" t="n"/>
      <c r="C797" s="143" t="n"/>
      <c r="D797" s="143" t="n"/>
      <c r="E797" s="143" t="n"/>
      <c r="F797" s="143" t="n"/>
      <c r="G797" s="143" t="n"/>
    </row>
    <row r="798" ht="18" customHeight="1" s="102">
      <c r="A798" s="137">
        <f>IF($B798="","","HRK-"&amp;TEXT(ROW()-BaslangicSatir,"000000"))</f>
        <v/>
      </c>
      <c r="B798" s="143" t="n"/>
      <c r="C798" s="143" t="n"/>
      <c r="D798" s="143" t="n"/>
      <c r="E798" s="143" t="n"/>
      <c r="F798" s="143" t="n"/>
      <c r="G798" s="143" t="n"/>
    </row>
    <row r="799" ht="18" customHeight="1" s="102">
      <c r="A799" s="137">
        <f>IF($B799="","","HRK-"&amp;TEXT(ROW()-BaslangicSatir,"000000"))</f>
        <v/>
      </c>
      <c r="B799" s="143" t="n"/>
      <c r="C799" s="143" t="n"/>
      <c r="D799" s="143" t="n"/>
      <c r="E799" s="143" t="n"/>
      <c r="F799" s="143" t="n"/>
      <c r="G799" s="143" t="n"/>
    </row>
    <row r="800" ht="18" customHeight="1" s="102">
      <c r="A800" s="137">
        <f>IF($B800="","","HRK-"&amp;TEXT(ROW()-BaslangicSatir,"000000"))</f>
        <v/>
      </c>
      <c r="B800" s="143" t="n"/>
      <c r="C800" s="143" t="n"/>
      <c r="D800" s="143" t="n"/>
      <c r="E800" s="143" t="n"/>
      <c r="F800" s="143" t="n"/>
      <c r="G800" s="143" t="n"/>
    </row>
    <row r="801" ht="18" customHeight="1" s="102">
      <c r="A801" s="137">
        <f>IF($B801="","","HRK-"&amp;TEXT(ROW()-BaslangicSatir,"000000"))</f>
        <v/>
      </c>
      <c r="B801" s="143" t="n"/>
      <c r="C801" s="143" t="n"/>
      <c r="D801" s="143" t="n"/>
      <c r="E801" s="143" t="n"/>
      <c r="F801" s="143" t="n"/>
      <c r="G801" s="143" t="n"/>
    </row>
    <row r="802" ht="18" customHeight="1" s="102">
      <c r="A802" s="137">
        <f>IF($B802="","","HRK-"&amp;TEXT(ROW()-BaslangicSatir,"000000"))</f>
        <v/>
      </c>
      <c r="B802" s="143" t="n"/>
      <c r="C802" s="143" t="n"/>
      <c r="D802" s="143" t="n"/>
      <c r="E802" s="143" t="n"/>
      <c r="F802" s="143" t="n"/>
      <c r="G802" s="143" t="n"/>
    </row>
    <row r="803" ht="18" customHeight="1" s="102">
      <c r="A803" s="137">
        <f>IF($B803="","","HRK-"&amp;TEXT(ROW()-BaslangicSatir,"000000"))</f>
        <v/>
      </c>
      <c r="B803" s="143" t="n"/>
      <c r="C803" s="143" t="n"/>
      <c r="D803" s="143" t="n"/>
      <c r="E803" s="143" t="n"/>
      <c r="F803" s="143" t="n"/>
      <c r="G803" s="143" t="n"/>
    </row>
    <row r="804" ht="18" customHeight="1" s="102">
      <c r="A804" s="137">
        <f>IF($B804="","","HRK-"&amp;TEXT(ROW()-BaslangicSatir,"000000"))</f>
        <v/>
      </c>
      <c r="B804" s="143" t="n"/>
      <c r="C804" s="143" t="n"/>
      <c r="D804" s="143" t="n"/>
      <c r="E804" s="143" t="n"/>
      <c r="F804" s="143" t="n"/>
      <c r="G804" s="143" t="n"/>
    </row>
    <row r="805" ht="18" customHeight="1" s="102">
      <c r="A805" s="137">
        <f>IF($B805="","","HRK-"&amp;TEXT(ROW()-BaslangicSatir,"000000"))</f>
        <v/>
      </c>
      <c r="B805" s="143" t="n"/>
      <c r="C805" s="143" t="n"/>
      <c r="D805" s="143" t="n"/>
      <c r="E805" s="143" t="n"/>
      <c r="F805" s="143" t="n"/>
      <c r="G805" s="143" t="n"/>
    </row>
    <row r="806" ht="18" customHeight="1" s="102">
      <c r="A806" s="137">
        <f>IF($B806="","","HRK-"&amp;TEXT(ROW()-BaslangicSatir,"000000"))</f>
        <v/>
      </c>
      <c r="B806" s="143" t="n"/>
      <c r="C806" s="143" t="n"/>
      <c r="D806" s="143" t="n"/>
      <c r="E806" s="143" t="n"/>
      <c r="F806" s="143" t="n"/>
      <c r="G806" s="143" t="n"/>
    </row>
    <row r="807" ht="18" customHeight="1" s="102">
      <c r="A807" s="137">
        <f>IF($B807="","","HRK-"&amp;TEXT(ROW()-BaslangicSatir,"000000"))</f>
        <v/>
      </c>
      <c r="B807" s="143" t="n"/>
      <c r="C807" s="143" t="n"/>
      <c r="D807" s="143" t="n"/>
      <c r="E807" s="143" t="n"/>
      <c r="F807" s="143" t="n"/>
      <c r="G807" s="143" t="n"/>
    </row>
    <row r="808" ht="18" customHeight="1" s="102">
      <c r="A808" s="137">
        <f>IF($B808="","","HRK-"&amp;TEXT(ROW()-BaslangicSatir,"000000"))</f>
        <v/>
      </c>
      <c r="B808" s="143" t="n"/>
      <c r="C808" s="143" t="n"/>
      <c r="D808" s="143" t="n"/>
      <c r="E808" s="143" t="n"/>
      <c r="F808" s="143" t="n"/>
      <c r="G808" s="143" t="n"/>
    </row>
    <row r="809" ht="18" customHeight="1" s="102">
      <c r="A809" s="137">
        <f>IF($B809="","","HRK-"&amp;TEXT(ROW()-BaslangicSatir,"000000"))</f>
        <v/>
      </c>
      <c r="B809" s="143" t="n"/>
      <c r="C809" s="143" t="n"/>
      <c r="D809" s="143" t="n"/>
      <c r="E809" s="143" t="n"/>
      <c r="F809" s="143" t="n"/>
      <c r="G809" s="143" t="n"/>
    </row>
    <row r="810" ht="18" customHeight="1" s="102">
      <c r="A810" s="137">
        <f>IF($B810="","","HRK-"&amp;TEXT(ROW()-BaslangicSatir,"000000"))</f>
        <v/>
      </c>
      <c r="B810" s="143" t="n"/>
      <c r="C810" s="143" t="n"/>
      <c r="D810" s="143" t="n"/>
      <c r="E810" s="143" t="n"/>
      <c r="F810" s="143" t="n"/>
      <c r="G810" s="143" t="n"/>
    </row>
    <row r="811" ht="18" customHeight="1" s="102">
      <c r="A811" s="137">
        <f>IF($B811="","","HRK-"&amp;TEXT(ROW()-BaslangicSatir,"000000"))</f>
        <v/>
      </c>
      <c r="B811" s="143" t="n"/>
      <c r="C811" s="143" t="n"/>
      <c r="D811" s="143" t="n"/>
      <c r="E811" s="143" t="n"/>
      <c r="F811" s="143" t="n"/>
      <c r="G811" s="143" t="n"/>
    </row>
    <row r="812" ht="18" customHeight="1" s="102">
      <c r="A812" s="137">
        <f>IF($B812="","","HRK-"&amp;TEXT(ROW()-BaslangicSatir,"000000"))</f>
        <v/>
      </c>
      <c r="B812" s="143" t="n"/>
      <c r="C812" s="143" t="n"/>
      <c r="D812" s="143" t="n"/>
      <c r="E812" s="143" t="n"/>
      <c r="F812" s="143" t="n"/>
      <c r="G812" s="143" t="n"/>
    </row>
    <row r="813" ht="18" customHeight="1" s="102">
      <c r="A813" s="137">
        <f>IF($B813="","","HRK-"&amp;TEXT(ROW()-BaslangicSatir,"000000"))</f>
        <v/>
      </c>
      <c r="B813" s="143" t="n"/>
      <c r="C813" s="143" t="n"/>
      <c r="D813" s="143" t="n"/>
      <c r="E813" s="143" t="n"/>
      <c r="F813" s="143" t="n"/>
      <c r="G813" s="143" t="n"/>
    </row>
    <row r="814" ht="18" customHeight="1" s="102">
      <c r="A814" s="137">
        <f>IF($B814="","","HRK-"&amp;TEXT(ROW()-BaslangicSatir,"000000"))</f>
        <v/>
      </c>
      <c r="B814" s="143" t="n"/>
      <c r="C814" s="143" t="n"/>
      <c r="D814" s="143" t="n"/>
      <c r="E814" s="143" t="n"/>
      <c r="F814" s="143" t="n"/>
      <c r="G814" s="143" t="n"/>
    </row>
    <row r="815" ht="18" customHeight="1" s="102">
      <c r="A815" s="137">
        <f>IF($B815="","","HRK-"&amp;TEXT(ROW()-BaslangicSatir,"000000"))</f>
        <v/>
      </c>
      <c r="B815" s="143" t="n"/>
      <c r="C815" s="143" t="n"/>
      <c r="D815" s="143" t="n"/>
      <c r="E815" s="143" t="n"/>
      <c r="F815" s="143" t="n"/>
      <c r="G815" s="143" t="n"/>
    </row>
    <row r="816" ht="18" customHeight="1" s="102">
      <c r="A816" s="137">
        <f>IF($B816="","","HRK-"&amp;TEXT(ROW()-BaslangicSatir,"000000"))</f>
        <v/>
      </c>
      <c r="B816" s="143" t="n"/>
      <c r="C816" s="143" t="n"/>
      <c r="D816" s="143" t="n"/>
      <c r="E816" s="143" t="n"/>
      <c r="F816" s="143" t="n"/>
      <c r="G816" s="143" t="n"/>
    </row>
    <row r="817" ht="18" customHeight="1" s="102">
      <c r="A817" s="137">
        <f>IF($B817="","","HRK-"&amp;TEXT(ROW()-BaslangicSatir,"000000"))</f>
        <v/>
      </c>
      <c r="B817" s="143" t="n"/>
      <c r="C817" s="143" t="n"/>
      <c r="D817" s="143" t="n"/>
      <c r="E817" s="143" t="n"/>
      <c r="F817" s="143" t="n"/>
      <c r="G817" s="143" t="n"/>
    </row>
    <row r="818" ht="18" customHeight="1" s="102">
      <c r="A818" s="137">
        <f>IF($B818="","","HRK-"&amp;TEXT(ROW()-BaslangicSatir,"000000"))</f>
        <v/>
      </c>
      <c r="B818" s="143" t="n"/>
      <c r="C818" s="143" t="n"/>
      <c r="D818" s="143" t="n"/>
      <c r="E818" s="143" t="n"/>
      <c r="F818" s="143" t="n"/>
      <c r="G818" s="143" t="n"/>
    </row>
    <row r="819" ht="18" customHeight="1" s="102">
      <c r="A819" s="137">
        <f>IF($B819="","","HRK-"&amp;TEXT(ROW()-BaslangicSatir,"000000"))</f>
        <v/>
      </c>
      <c r="B819" s="143" t="n"/>
      <c r="C819" s="143" t="n"/>
      <c r="D819" s="143" t="n"/>
      <c r="E819" s="143" t="n"/>
      <c r="F819" s="143" t="n"/>
      <c r="G819" s="143" t="n"/>
    </row>
    <row r="820" ht="18" customHeight="1" s="102">
      <c r="A820" s="137">
        <f>IF($B820="","","HRK-"&amp;TEXT(ROW()-BaslangicSatir,"000000"))</f>
        <v/>
      </c>
      <c r="B820" s="143" t="n"/>
      <c r="C820" s="143" t="n"/>
      <c r="D820" s="143" t="n"/>
      <c r="E820" s="143" t="n"/>
      <c r="F820" s="143" t="n"/>
      <c r="G820" s="143" t="n"/>
    </row>
    <row r="821" ht="18" customHeight="1" s="102">
      <c r="A821" s="137">
        <f>IF($B821="","","HRK-"&amp;TEXT(ROW()-BaslangicSatir,"000000"))</f>
        <v/>
      </c>
      <c r="B821" s="143" t="n"/>
      <c r="C821" s="143" t="n"/>
      <c r="D821" s="143" t="n"/>
      <c r="E821" s="143" t="n"/>
      <c r="F821" s="143" t="n"/>
      <c r="G821" s="143" t="n"/>
    </row>
    <row r="822" ht="18" customHeight="1" s="102">
      <c r="A822" s="137">
        <f>IF($B822="","","HRK-"&amp;TEXT(ROW()-BaslangicSatir,"000000"))</f>
        <v/>
      </c>
      <c r="B822" s="143" t="n"/>
      <c r="C822" s="143" t="n"/>
      <c r="D822" s="143" t="n"/>
      <c r="E822" s="143" t="n"/>
      <c r="F822" s="143" t="n"/>
      <c r="G822" s="143" t="n"/>
    </row>
    <row r="823" ht="18" customHeight="1" s="102">
      <c r="A823" s="137">
        <f>IF($B823="","","HRK-"&amp;TEXT(ROW()-BaslangicSatir,"000000"))</f>
        <v/>
      </c>
      <c r="B823" s="143" t="n"/>
      <c r="C823" s="143" t="n"/>
      <c r="D823" s="143" t="n"/>
      <c r="E823" s="143" t="n"/>
      <c r="F823" s="143" t="n"/>
      <c r="G823" s="143" t="n"/>
    </row>
    <row r="824" ht="18" customHeight="1" s="102">
      <c r="A824" s="137">
        <f>IF($B824="","","HRK-"&amp;TEXT(ROW()-BaslangicSatir,"000000"))</f>
        <v/>
      </c>
      <c r="B824" s="143" t="n"/>
      <c r="C824" s="143" t="n"/>
      <c r="D824" s="143" t="n"/>
      <c r="E824" s="143" t="n"/>
      <c r="F824" s="143" t="n"/>
      <c r="G824" s="143" t="n"/>
    </row>
    <row r="825" ht="18" customHeight="1" s="102">
      <c r="A825" s="137">
        <f>IF($B825="","","HRK-"&amp;TEXT(ROW()-BaslangicSatir,"000000"))</f>
        <v/>
      </c>
      <c r="B825" s="143" t="n"/>
      <c r="C825" s="143" t="n"/>
      <c r="D825" s="143" t="n"/>
      <c r="E825" s="143" t="n"/>
      <c r="F825" s="143" t="n"/>
      <c r="G825" s="143" t="n"/>
    </row>
    <row r="826" ht="18" customHeight="1" s="102">
      <c r="A826" s="137">
        <f>IF($B826="","","HRK-"&amp;TEXT(ROW()-BaslangicSatir,"000000"))</f>
        <v/>
      </c>
      <c r="B826" s="143" t="n"/>
      <c r="C826" s="143" t="n"/>
      <c r="D826" s="143" t="n"/>
      <c r="E826" s="143" t="n"/>
      <c r="F826" s="143" t="n"/>
      <c r="G826" s="143" t="n"/>
    </row>
    <row r="827" ht="18" customHeight="1" s="102">
      <c r="A827" s="137">
        <f>IF($B827="","","HRK-"&amp;TEXT(ROW()-BaslangicSatir,"000000"))</f>
        <v/>
      </c>
      <c r="B827" s="143" t="n"/>
      <c r="C827" s="143" t="n"/>
      <c r="D827" s="143" t="n"/>
      <c r="E827" s="143" t="n"/>
      <c r="F827" s="143" t="n"/>
      <c r="G827" s="143" t="n"/>
    </row>
    <row r="828" ht="18" customHeight="1" s="102">
      <c r="A828" s="137">
        <f>IF($B828="","","HRK-"&amp;TEXT(ROW()-BaslangicSatir,"000000"))</f>
        <v/>
      </c>
      <c r="B828" s="143" t="n"/>
      <c r="C828" s="143" t="n"/>
      <c r="D828" s="143" t="n"/>
      <c r="E828" s="143" t="n"/>
      <c r="F828" s="143" t="n"/>
      <c r="G828" s="143" t="n"/>
    </row>
    <row r="829" ht="18" customHeight="1" s="102">
      <c r="A829" s="137">
        <f>IF($B829="","","HRK-"&amp;TEXT(ROW()-BaslangicSatir,"000000"))</f>
        <v/>
      </c>
      <c r="B829" s="143" t="n"/>
      <c r="C829" s="143" t="n"/>
      <c r="D829" s="143" t="n"/>
      <c r="E829" s="143" t="n"/>
      <c r="F829" s="143" t="n"/>
      <c r="G829" s="143" t="n"/>
    </row>
    <row r="830" ht="18" customHeight="1" s="102">
      <c r="A830" s="137">
        <f>IF($B830="","","HRK-"&amp;TEXT(ROW()-BaslangicSatir,"000000"))</f>
        <v/>
      </c>
      <c r="B830" s="143" t="n"/>
      <c r="C830" s="143" t="n"/>
      <c r="D830" s="143" t="n"/>
      <c r="E830" s="143" t="n"/>
      <c r="F830" s="143" t="n"/>
      <c r="G830" s="143" t="n"/>
    </row>
    <row r="831" ht="18" customHeight="1" s="102">
      <c r="A831" s="137">
        <f>IF($B831="","","HRK-"&amp;TEXT(ROW()-BaslangicSatir,"000000"))</f>
        <v/>
      </c>
      <c r="B831" s="143" t="n"/>
      <c r="C831" s="143" t="n"/>
      <c r="D831" s="143" t="n"/>
      <c r="E831" s="143" t="n"/>
      <c r="F831" s="143" t="n"/>
      <c r="G831" s="143" t="n"/>
    </row>
    <row r="832" ht="18" customHeight="1" s="102">
      <c r="A832" s="137">
        <f>IF($B832="","","HRK-"&amp;TEXT(ROW()-BaslangicSatir,"000000"))</f>
        <v/>
      </c>
      <c r="B832" s="143" t="n"/>
      <c r="C832" s="143" t="n"/>
      <c r="D832" s="143" t="n"/>
      <c r="E832" s="143" t="n"/>
      <c r="F832" s="143" t="n"/>
      <c r="G832" s="143" t="n"/>
    </row>
    <row r="833" ht="18" customHeight="1" s="102">
      <c r="A833" s="137">
        <f>IF($B833="","","HRK-"&amp;TEXT(ROW()-BaslangicSatir,"000000"))</f>
        <v/>
      </c>
      <c r="B833" s="143" t="n"/>
      <c r="C833" s="143" t="n"/>
      <c r="D833" s="143" t="n"/>
      <c r="E833" s="143" t="n"/>
      <c r="F833" s="143" t="n"/>
      <c r="G833" s="143" t="n"/>
    </row>
    <row r="834" ht="18" customHeight="1" s="102">
      <c r="A834" s="137">
        <f>IF($B834="","","HRK-"&amp;TEXT(ROW()-BaslangicSatir,"000000"))</f>
        <v/>
      </c>
      <c r="B834" s="143" t="n"/>
      <c r="C834" s="143" t="n"/>
      <c r="D834" s="143" t="n"/>
      <c r="E834" s="143" t="n"/>
      <c r="F834" s="143" t="n"/>
      <c r="G834" s="143" t="n"/>
    </row>
    <row r="835" ht="18" customHeight="1" s="102">
      <c r="A835" s="137">
        <f>IF($B835="","","HRK-"&amp;TEXT(ROW()-BaslangicSatir,"000000"))</f>
        <v/>
      </c>
      <c r="B835" s="143" t="n"/>
      <c r="C835" s="143" t="n"/>
      <c r="D835" s="143" t="n"/>
      <c r="E835" s="143" t="n"/>
      <c r="F835" s="143" t="n"/>
      <c r="G835" s="143" t="n"/>
    </row>
    <row r="836" ht="18" customHeight="1" s="102">
      <c r="A836" s="137">
        <f>IF($B836="","","HRK-"&amp;TEXT(ROW()-BaslangicSatir,"000000"))</f>
        <v/>
      </c>
      <c r="B836" s="143" t="n"/>
      <c r="C836" s="143" t="n"/>
      <c r="D836" s="143" t="n"/>
      <c r="E836" s="143" t="n"/>
      <c r="F836" s="143" t="n"/>
      <c r="G836" s="143" t="n"/>
    </row>
    <row r="837" ht="18" customHeight="1" s="102">
      <c r="A837" s="137">
        <f>IF($B837="","","HRK-"&amp;TEXT(ROW()-BaslangicSatir,"000000"))</f>
        <v/>
      </c>
      <c r="B837" s="143" t="n"/>
      <c r="C837" s="143" t="n"/>
      <c r="D837" s="143" t="n"/>
      <c r="E837" s="143" t="n"/>
      <c r="F837" s="143" t="n"/>
      <c r="G837" s="143" t="n"/>
    </row>
    <row r="838" ht="18" customHeight="1" s="102">
      <c r="A838" s="137">
        <f>IF($B838="","","HRK-"&amp;TEXT(ROW()-BaslangicSatir,"000000"))</f>
        <v/>
      </c>
      <c r="B838" s="143" t="n"/>
      <c r="C838" s="143" t="n"/>
      <c r="D838" s="143" t="n"/>
      <c r="E838" s="143" t="n"/>
      <c r="F838" s="143" t="n"/>
      <c r="G838" s="143" t="n"/>
    </row>
    <row r="839" ht="18" customHeight="1" s="102">
      <c r="A839" s="137">
        <f>IF($B839="","","HRK-"&amp;TEXT(ROW()-BaslangicSatir,"000000"))</f>
        <v/>
      </c>
      <c r="B839" s="143" t="n"/>
      <c r="C839" s="143" t="n"/>
      <c r="D839" s="143" t="n"/>
      <c r="E839" s="143" t="n"/>
      <c r="F839" s="143" t="n"/>
      <c r="G839" s="143" t="n"/>
    </row>
    <row r="840" ht="18" customHeight="1" s="102">
      <c r="A840" s="137">
        <f>IF($B840="","","HRK-"&amp;TEXT(ROW()-BaslangicSatir,"000000"))</f>
        <v/>
      </c>
      <c r="B840" s="143" t="n"/>
      <c r="C840" s="143" t="n"/>
      <c r="D840" s="143" t="n"/>
      <c r="E840" s="143" t="n"/>
      <c r="F840" s="143" t="n"/>
      <c r="G840" s="143" t="n"/>
    </row>
    <row r="841" ht="18" customHeight="1" s="102">
      <c r="A841" s="137">
        <f>IF($B841="","","HRK-"&amp;TEXT(ROW()-BaslangicSatir,"000000"))</f>
        <v/>
      </c>
      <c r="B841" s="143" t="n"/>
      <c r="C841" s="143" t="n"/>
      <c r="D841" s="143" t="n"/>
      <c r="E841" s="143" t="n"/>
      <c r="F841" s="143" t="n"/>
      <c r="G841" s="143" t="n"/>
    </row>
    <row r="842" ht="18" customHeight="1" s="102">
      <c r="A842" s="137">
        <f>IF($B842="","","HRK-"&amp;TEXT(ROW()-BaslangicSatir,"000000"))</f>
        <v/>
      </c>
      <c r="B842" s="143" t="n"/>
      <c r="C842" s="143" t="n"/>
      <c r="D842" s="143" t="n"/>
      <c r="E842" s="143" t="n"/>
      <c r="F842" s="143" t="n"/>
      <c r="G842" s="143" t="n"/>
    </row>
    <row r="843" ht="18" customHeight="1" s="102">
      <c r="A843" s="137">
        <f>IF($B843="","","HRK-"&amp;TEXT(ROW()-BaslangicSatir,"000000"))</f>
        <v/>
      </c>
      <c r="B843" s="143" t="n"/>
      <c r="C843" s="143" t="n"/>
      <c r="D843" s="143" t="n"/>
      <c r="E843" s="143" t="n"/>
      <c r="F843" s="143" t="n"/>
      <c r="G843" s="143" t="n"/>
    </row>
    <row r="844" ht="18" customHeight="1" s="102">
      <c r="A844" s="137">
        <f>IF($B844="","","HRK-"&amp;TEXT(ROW()-BaslangicSatir,"000000"))</f>
        <v/>
      </c>
      <c r="B844" s="143" t="n"/>
      <c r="C844" s="143" t="n"/>
      <c r="D844" s="143" t="n"/>
      <c r="E844" s="143" t="n"/>
      <c r="F844" s="143" t="n"/>
      <c r="G844" s="143" t="n"/>
    </row>
    <row r="845" ht="18" customHeight="1" s="102">
      <c r="A845" s="137">
        <f>IF($B845="","","HRK-"&amp;TEXT(ROW()-BaslangicSatir,"000000"))</f>
        <v/>
      </c>
      <c r="B845" s="143" t="n"/>
      <c r="C845" s="143" t="n"/>
      <c r="D845" s="143" t="n"/>
      <c r="E845" s="143" t="n"/>
      <c r="F845" s="143" t="n"/>
      <c r="G845" s="143" t="n"/>
    </row>
    <row r="846" ht="18" customHeight="1" s="102">
      <c r="A846" s="137">
        <f>IF($B846="","","HRK-"&amp;TEXT(ROW()-BaslangicSatir,"000000"))</f>
        <v/>
      </c>
      <c r="B846" s="143" t="n"/>
      <c r="C846" s="143" t="n"/>
      <c r="D846" s="143" t="n"/>
      <c r="E846" s="143" t="n"/>
      <c r="F846" s="143" t="n"/>
      <c r="G846" s="143" t="n"/>
    </row>
    <row r="847" ht="18" customHeight="1" s="102">
      <c r="A847" s="137">
        <f>IF($B847="","","HRK-"&amp;TEXT(ROW()-BaslangicSatir,"000000"))</f>
        <v/>
      </c>
      <c r="B847" s="143" t="n"/>
      <c r="C847" s="143" t="n"/>
      <c r="D847" s="143" t="n"/>
      <c r="E847" s="143" t="n"/>
      <c r="F847" s="143" t="n"/>
      <c r="G847" s="143" t="n"/>
    </row>
    <row r="848" ht="18" customHeight="1" s="102">
      <c r="A848" s="137">
        <f>IF($B848="","","HRK-"&amp;TEXT(ROW()-BaslangicSatir,"000000"))</f>
        <v/>
      </c>
      <c r="B848" s="143" t="n"/>
      <c r="C848" s="143" t="n"/>
      <c r="D848" s="143" t="n"/>
      <c r="E848" s="143" t="n"/>
      <c r="F848" s="143" t="n"/>
      <c r="G848" s="143" t="n"/>
    </row>
    <row r="849" ht="18" customHeight="1" s="102">
      <c r="A849" s="137">
        <f>IF($B849="","","HRK-"&amp;TEXT(ROW()-BaslangicSatir,"000000"))</f>
        <v/>
      </c>
      <c r="B849" s="143" t="n"/>
      <c r="C849" s="143" t="n"/>
      <c r="D849" s="143" t="n"/>
      <c r="E849" s="143" t="n"/>
      <c r="F849" s="143" t="n"/>
      <c r="G849" s="143" t="n"/>
    </row>
    <row r="850" ht="18" customHeight="1" s="102">
      <c r="A850" s="137">
        <f>IF($B850="","","HRK-"&amp;TEXT(ROW()-BaslangicSatir,"000000"))</f>
        <v/>
      </c>
      <c r="B850" s="143" t="n"/>
      <c r="C850" s="143" t="n"/>
      <c r="D850" s="143" t="n"/>
      <c r="E850" s="143" t="n"/>
      <c r="F850" s="143" t="n"/>
      <c r="G850" s="143" t="n"/>
    </row>
    <row r="851" ht="18" customHeight="1" s="102">
      <c r="A851" s="137">
        <f>IF($B851="","","HRK-"&amp;TEXT(ROW()-BaslangicSatir,"000000"))</f>
        <v/>
      </c>
      <c r="B851" s="143" t="n"/>
      <c r="C851" s="143" t="n"/>
      <c r="D851" s="143" t="n"/>
      <c r="E851" s="143" t="n"/>
      <c r="F851" s="143" t="n"/>
      <c r="G851" s="143" t="n"/>
    </row>
    <row r="852" ht="18" customHeight="1" s="102">
      <c r="A852" s="137">
        <f>IF($B852="","","HRK-"&amp;TEXT(ROW()-BaslangicSatir,"000000"))</f>
        <v/>
      </c>
      <c r="B852" s="143" t="n"/>
      <c r="C852" s="143" t="n"/>
      <c r="D852" s="143" t="n"/>
      <c r="E852" s="143" t="n"/>
      <c r="F852" s="143" t="n"/>
      <c r="G852" s="143" t="n"/>
    </row>
    <row r="853" ht="18" customHeight="1" s="102">
      <c r="A853" s="137">
        <f>IF($B853="","","HRK-"&amp;TEXT(ROW()-BaslangicSatir,"000000"))</f>
        <v/>
      </c>
      <c r="B853" s="143" t="n"/>
      <c r="C853" s="143" t="n"/>
      <c r="D853" s="143" t="n"/>
      <c r="E853" s="143" t="n"/>
      <c r="F853" s="143" t="n"/>
      <c r="G853" s="143" t="n"/>
    </row>
    <row r="854" ht="18" customHeight="1" s="102">
      <c r="A854" s="137">
        <f>IF($B854="","","HRK-"&amp;TEXT(ROW()-BaslangicSatir,"000000"))</f>
        <v/>
      </c>
      <c r="B854" s="143" t="n"/>
      <c r="C854" s="143" t="n"/>
      <c r="D854" s="143" t="n"/>
      <c r="E854" s="143" t="n"/>
      <c r="F854" s="143" t="n"/>
      <c r="G854" s="143" t="n"/>
    </row>
    <row r="855" ht="18" customHeight="1" s="102">
      <c r="A855" s="137">
        <f>IF($B855="","","HRK-"&amp;TEXT(ROW()-BaslangicSatir,"000000"))</f>
        <v/>
      </c>
      <c r="B855" s="143" t="n"/>
      <c r="C855" s="143" t="n"/>
      <c r="D855" s="143" t="n"/>
      <c r="E855" s="143" t="n"/>
      <c r="F855" s="143" t="n"/>
      <c r="G855" s="143" t="n"/>
    </row>
    <row r="856" ht="18" customHeight="1" s="102">
      <c r="A856" s="137">
        <f>IF($B856="","","HRK-"&amp;TEXT(ROW()-BaslangicSatir,"000000"))</f>
        <v/>
      </c>
      <c r="B856" s="143" t="n"/>
      <c r="C856" s="143" t="n"/>
      <c r="D856" s="143" t="n"/>
      <c r="E856" s="143" t="n"/>
      <c r="F856" s="143" t="n"/>
      <c r="G856" s="143" t="n"/>
    </row>
    <row r="857" ht="18" customHeight="1" s="102">
      <c r="A857" s="137">
        <f>IF($B857="","","HRK-"&amp;TEXT(ROW()-BaslangicSatir,"000000"))</f>
        <v/>
      </c>
      <c r="B857" s="143" t="n"/>
      <c r="C857" s="143" t="n"/>
      <c r="D857" s="143" t="n"/>
      <c r="E857" s="143" t="n"/>
      <c r="F857" s="143" t="n"/>
      <c r="G857" s="143" t="n"/>
    </row>
    <row r="858" ht="18" customHeight="1" s="102">
      <c r="A858" s="137">
        <f>IF($B858="","","HRK-"&amp;TEXT(ROW()-BaslangicSatir,"000000"))</f>
        <v/>
      </c>
      <c r="B858" s="143" t="n"/>
      <c r="C858" s="143" t="n"/>
      <c r="D858" s="143" t="n"/>
      <c r="E858" s="143" t="n"/>
      <c r="F858" s="143" t="n"/>
      <c r="G858" s="143" t="n"/>
    </row>
    <row r="859" ht="18" customHeight="1" s="102">
      <c r="A859" s="137">
        <f>IF($B859="","","HRK-"&amp;TEXT(ROW()-BaslangicSatir,"000000"))</f>
        <v/>
      </c>
      <c r="B859" s="143" t="n"/>
      <c r="C859" s="143" t="n"/>
      <c r="D859" s="143" t="n"/>
      <c r="E859" s="143" t="n"/>
      <c r="F859" s="143" t="n"/>
      <c r="G859" s="143" t="n"/>
    </row>
    <row r="860" ht="18" customHeight="1" s="102">
      <c r="A860" s="137">
        <f>IF($B860="","","HRK-"&amp;TEXT(ROW()-BaslangicSatir,"000000"))</f>
        <v/>
      </c>
      <c r="B860" s="143" t="n"/>
      <c r="C860" s="143" t="n"/>
      <c r="D860" s="143" t="n"/>
      <c r="E860" s="143" t="n"/>
      <c r="F860" s="143" t="n"/>
      <c r="G860" s="143" t="n"/>
    </row>
    <row r="861" ht="18" customHeight="1" s="102">
      <c r="A861" s="137">
        <f>IF($B861="","","HRK-"&amp;TEXT(ROW()-BaslangicSatir,"000000"))</f>
        <v/>
      </c>
      <c r="B861" s="143" t="n"/>
      <c r="C861" s="143" t="n"/>
      <c r="D861" s="143" t="n"/>
      <c r="E861" s="143" t="n"/>
      <c r="F861" s="143" t="n"/>
      <c r="G861" s="143" t="n"/>
    </row>
    <row r="862" ht="18" customHeight="1" s="102">
      <c r="A862" s="137">
        <f>IF($B862="","","HRK-"&amp;TEXT(ROW()-BaslangicSatir,"000000"))</f>
        <v/>
      </c>
      <c r="B862" s="143" t="n"/>
      <c r="C862" s="143" t="n"/>
      <c r="D862" s="143" t="n"/>
      <c r="E862" s="143" t="n"/>
      <c r="F862" s="143" t="n"/>
      <c r="G862" s="143" t="n"/>
    </row>
    <row r="863" ht="18" customHeight="1" s="102">
      <c r="A863" s="137">
        <f>IF($B863="","","HRK-"&amp;TEXT(ROW()-BaslangicSatir,"000000"))</f>
        <v/>
      </c>
      <c r="B863" s="143" t="n"/>
      <c r="C863" s="143" t="n"/>
      <c r="D863" s="143" t="n"/>
      <c r="E863" s="143" t="n"/>
      <c r="F863" s="143" t="n"/>
      <c r="G863" s="143" t="n"/>
    </row>
    <row r="864" ht="18" customHeight="1" s="102">
      <c r="A864" s="137">
        <f>IF($B864="","","HRK-"&amp;TEXT(ROW()-BaslangicSatir,"000000"))</f>
        <v/>
      </c>
      <c r="B864" s="143" t="n"/>
      <c r="C864" s="143" t="n"/>
      <c r="D864" s="143" t="n"/>
      <c r="E864" s="143" t="n"/>
      <c r="F864" s="143" t="n"/>
      <c r="G864" s="143" t="n"/>
    </row>
    <row r="865" ht="18" customHeight="1" s="102">
      <c r="A865" s="137">
        <f>IF($B865="","","HRK-"&amp;TEXT(ROW()-BaslangicSatir,"000000"))</f>
        <v/>
      </c>
      <c r="B865" s="143" t="n"/>
      <c r="C865" s="143" t="n"/>
      <c r="D865" s="143" t="n"/>
      <c r="E865" s="143" t="n"/>
      <c r="F865" s="143" t="n"/>
      <c r="G865" s="143" t="n"/>
    </row>
    <row r="866" ht="18" customHeight="1" s="102">
      <c r="A866" s="137">
        <f>IF($B866="","","HRK-"&amp;TEXT(ROW()-BaslangicSatir,"000000"))</f>
        <v/>
      </c>
      <c r="B866" s="143" t="n"/>
      <c r="C866" s="143" t="n"/>
      <c r="D866" s="143" t="n"/>
      <c r="E866" s="143" t="n"/>
      <c r="F866" s="143" t="n"/>
      <c r="G866" s="143" t="n"/>
    </row>
    <row r="867" ht="18" customHeight="1" s="102">
      <c r="A867" s="137">
        <f>IF($B867="","","HRK-"&amp;TEXT(ROW()-BaslangicSatir,"000000"))</f>
        <v/>
      </c>
      <c r="B867" s="143" t="n"/>
      <c r="C867" s="143" t="n"/>
      <c r="D867" s="143" t="n"/>
      <c r="E867" s="143" t="n"/>
      <c r="F867" s="143" t="n"/>
      <c r="G867" s="143" t="n"/>
    </row>
    <row r="868" ht="18" customHeight="1" s="102">
      <c r="A868" s="137">
        <f>IF($B868="","","HRK-"&amp;TEXT(ROW()-BaslangicSatir,"000000"))</f>
        <v/>
      </c>
      <c r="B868" s="143" t="n"/>
      <c r="C868" s="143" t="n"/>
      <c r="D868" s="143" t="n"/>
      <c r="E868" s="143" t="n"/>
      <c r="F868" s="143" t="n"/>
      <c r="G868" s="143" t="n"/>
    </row>
    <row r="869" ht="18" customHeight="1" s="102">
      <c r="A869" s="137">
        <f>IF($B869="","","HRK-"&amp;TEXT(ROW()-BaslangicSatir,"000000"))</f>
        <v/>
      </c>
      <c r="B869" s="143" t="n"/>
      <c r="C869" s="143" t="n"/>
      <c r="D869" s="143" t="n"/>
      <c r="E869" s="143" t="n"/>
      <c r="F869" s="143" t="n"/>
      <c r="G869" s="143" t="n"/>
    </row>
    <row r="870" ht="18" customHeight="1" s="102">
      <c r="A870" s="137">
        <f>IF($B870="","","HRK-"&amp;TEXT(ROW()-BaslangicSatir,"000000"))</f>
        <v/>
      </c>
      <c r="B870" s="143" t="n"/>
      <c r="C870" s="143" t="n"/>
      <c r="D870" s="143" t="n"/>
      <c r="E870" s="143" t="n"/>
      <c r="F870" s="143" t="n"/>
      <c r="G870" s="143" t="n"/>
    </row>
    <row r="871" ht="18" customHeight="1" s="102">
      <c r="A871" s="137">
        <f>IF($B871="","","HRK-"&amp;TEXT(ROW()-BaslangicSatir,"000000"))</f>
        <v/>
      </c>
      <c r="B871" s="143" t="n"/>
      <c r="C871" s="143" t="n"/>
      <c r="D871" s="143" t="n"/>
      <c r="E871" s="143" t="n"/>
      <c r="F871" s="143" t="n"/>
      <c r="G871" s="143" t="n"/>
    </row>
    <row r="872" ht="18" customHeight="1" s="102">
      <c r="A872" s="137">
        <f>IF($B872="","","HRK-"&amp;TEXT(ROW()-BaslangicSatir,"000000"))</f>
        <v/>
      </c>
      <c r="B872" s="143" t="n"/>
      <c r="C872" s="143" t="n"/>
      <c r="D872" s="143" t="n"/>
      <c r="E872" s="143" t="n"/>
      <c r="F872" s="143" t="n"/>
      <c r="G872" s="143" t="n"/>
    </row>
    <row r="873" ht="18" customHeight="1" s="102">
      <c r="A873" s="137">
        <f>IF($B873="","","HRK-"&amp;TEXT(ROW()-BaslangicSatir,"000000"))</f>
        <v/>
      </c>
      <c r="B873" s="143" t="n"/>
      <c r="C873" s="143" t="n"/>
      <c r="D873" s="143" t="n"/>
      <c r="E873" s="143" t="n"/>
      <c r="F873" s="143" t="n"/>
      <c r="G873" s="143" t="n"/>
    </row>
    <row r="874" ht="18" customHeight="1" s="102">
      <c r="A874" s="137">
        <f>IF($B874="","","HRK-"&amp;TEXT(ROW()-BaslangicSatir,"000000"))</f>
        <v/>
      </c>
      <c r="B874" s="143" t="n"/>
      <c r="C874" s="143" t="n"/>
      <c r="D874" s="143" t="n"/>
      <c r="E874" s="143" t="n"/>
      <c r="F874" s="143" t="n"/>
      <c r="G874" s="143" t="n"/>
    </row>
    <row r="875" ht="18" customHeight="1" s="102">
      <c r="A875" s="137">
        <f>IF($B875="","","HRK-"&amp;TEXT(ROW()-BaslangicSatir,"000000"))</f>
        <v/>
      </c>
      <c r="B875" s="143" t="n"/>
      <c r="C875" s="143" t="n"/>
      <c r="D875" s="143" t="n"/>
      <c r="E875" s="143" t="n"/>
      <c r="F875" s="143" t="n"/>
      <c r="G875" s="143" t="n"/>
    </row>
    <row r="876" ht="18" customHeight="1" s="102">
      <c r="A876" s="137">
        <f>IF($B876="","","HRK-"&amp;TEXT(ROW()-BaslangicSatir,"000000"))</f>
        <v/>
      </c>
      <c r="B876" s="143" t="n"/>
      <c r="C876" s="143" t="n"/>
      <c r="D876" s="143" t="n"/>
      <c r="E876" s="143" t="n"/>
      <c r="F876" s="143" t="n"/>
      <c r="G876" s="143" t="n"/>
    </row>
    <row r="877" ht="18" customHeight="1" s="102">
      <c r="A877" s="137">
        <f>IF($B877="","","HRK-"&amp;TEXT(ROW()-BaslangicSatir,"000000"))</f>
        <v/>
      </c>
      <c r="B877" s="143" t="n"/>
      <c r="C877" s="143" t="n"/>
      <c r="D877" s="143" t="n"/>
      <c r="E877" s="143" t="n"/>
      <c r="F877" s="143" t="n"/>
      <c r="G877" s="143" t="n"/>
    </row>
    <row r="878" ht="18" customHeight="1" s="102">
      <c r="A878" s="137">
        <f>IF($B878="","","HRK-"&amp;TEXT(ROW()-BaslangicSatir,"000000"))</f>
        <v/>
      </c>
      <c r="B878" s="143" t="n"/>
      <c r="C878" s="143" t="n"/>
      <c r="D878" s="143" t="n"/>
      <c r="E878" s="143" t="n"/>
      <c r="F878" s="143" t="n"/>
      <c r="G878" s="143" t="n"/>
    </row>
    <row r="879" ht="18" customHeight="1" s="102">
      <c r="A879" s="137">
        <f>IF($B879="","","HRK-"&amp;TEXT(ROW()-BaslangicSatir,"000000"))</f>
        <v/>
      </c>
      <c r="B879" s="143" t="n"/>
      <c r="C879" s="143" t="n"/>
      <c r="D879" s="143" t="n"/>
      <c r="E879" s="143" t="n"/>
      <c r="F879" s="143" t="n"/>
      <c r="G879" s="143" t="n"/>
    </row>
    <row r="880" ht="18" customHeight="1" s="102">
      <c r="A880" s="137">
        <f>IF($B880="","","HRK-"&amp;TEXT(ROW()-BaslangicSatir,"000000"))</f>
        <v/>
      </c>
      <c r="B880" s="143" t="n"/>
      <c r="C880" s="143" t="n"/>
      <c r="D880" s="143" t="n"/>
      <c r="E880" s="143" t="n"/>
      <c r="F880" s="143" t="n"/>
      <c r="G880" s="143" t="n"/>
    </row>
    <row r="881" ht="18" customHeight="1" s="102">
      <c r="A881" s="137">
        <f>IF($B881="","","HRK-"&amp;TEXT(ROW()-BaslangicSatir,"000000"))</f>
        <v/>
      </c>
      <c r="B881" s="143" t="n"/>
      <c r="C881" s="143" t="n"/>
      <c r="D881" s="143" t="n"/>
      <c r="E881" s="143" t="n"/>
      <c r="F881" s="143" t="n"/>
      <c r="G881" s="143" t="n"/>
    </row>
    <row r="882" ht="18" customHeight="1" s="102">
      <c r="A882" s="137">
        <f>IF($B882="","","HRK-"&amp;TEXT(ROW()-BaslangicSatir,"000000"))</f>
        <v/>
      </c>
      <c r="B882" s="143" t="n"/>
      <c r="C882" s="143" t="n"/>
      <c r="D882" s="143" t="n"/>
      <c r="E882" s="143" t="n"/>
      <c r="F882" s="143" t="n"/>
      <c r="G882" s="143" t="n"/>
    </row>
    <row r="883" ht="18" customHeight="1" s="102">
      <c r="A883" s="137">
        <f>IF($B883="","","HRK-"&amp;TEXT(ROW()-BaslangicSatir,"000000"))</f>
        <v/>
      </c>
      <c r="B883" s="143" t="n"/>
      <c r="C883" s="143" t="n"/>
      <c r="D883" s="143" t="n"/>
      <c r="E883" s="143" t="n"/>
      <c r="F883" s="143" t="n"/>
      <c r="G883" s="143" t="n"/>
    </row>
    <row r="884" ht="18" customHeight="1" s="102">
      <c r="A884" s="137">
        <f>IF($B884="","","HRK-"&amp;TEXT(ROW()-BaslangicSatir,"000000"))</f>
        <v/>
      </c>
      <c r="B884" s="143" t="n"/>
      <c r="C884" s="143" t="n"/>
      <c r="D884" s="143" t="n"/>
      <c r="E884" s="143" t="n"/>
      <c r="F884" s="143" t="n"/>
      <c r="G884" s="143" t="n"/>
    </row>
    <row r="885" ht="18" customHeight="1" s="102">
      <c r="A885" s="137">
        <f>IF($B885="","","HRK-"&amp;TEXT(ROW()-BaslangicSatir,"000000"))</f>
        <v/>
      </c>
      <c r="B885" s="143" t="n"/>
      <c r="C885" s="143" t="n"/>
      <c r="D885" s="143" t="n"/>
      <c r="E885" s="143" t="n"/>
      <c r="F885" s="143" t="n"/>
      <c r="G885" s="143" t="n"/>
    </row>
    <row r="886" ht="18" customHeight="1" s="102">
      <c r="A886" s="137">
        <f>IF($B886="","","HRK-"&amp;TEXT(ROW()-BaslangicSatir,"000000"))</f>
        <v/>
      </c>
      <c r="B886" s="143" t="n"/>
      <c r="C886" s="143" t="n"/>
      <c r="D886" s="143" t="n"/>
      <c r="E886" s="143" t="n"/>
      <c r="F886" s="143" t="n"/>
      <c r="G886" s="143" t="n"/>
    </row>
    <row r="887" ht="18" customHeight="1" s="102">
      <c r="A887" s="137">
        <f>IF($B887="","","HRK-"&amp;TEXT(ROW()-BaslangicSatir,"000000"))</f>
        <v/>
      </c>
      <c r="B887" s="143" t="n"/>
      <c r="C887" s="143" t="n"/>
      <c r="D887" s="143" t="n"/>
      <c r="E887" s="143" t="n"/>
      <c r="F887" s="143" t="n"/>
      <c r="G887" s="143" t="n"/>
    </row>
    <row r="888" ht="18" customHeight="1" s="102">
      <c r="A888" s="137">
        <f>IF($B888="","","HRK-"&amp;TEXT(ROW()-BaslangicSatir,"000000"))</f>
        <v/>
      </c>
      <c r="B888" s="143" t="n"/>
      <c r="C888" s="143" t="n"/>
      <c r="D888" s="143" t="n"/>
      <c r="E888" s="143" t="n"/>
      <c r="F888" s="143" t="n"/>
      <c r="G888" s="143" t="n"/>
    </row>
    <row r="889" ht="18" customHeight="1" s="102">
      <c r="A889" s="137">
        <f>IF($B889="","","HRK-"&amp;TEXT(ROW()-BaslangicSatir,"000000"))</f>
        <v/>
      </c>
      <c r="B889" s="143" t="n"/>
      <c r="C889" s="143" t="n"/>
      <c r="D889" s="143" t="n"/>
      <c r="E889" s="143" t="n"/>
      <c r="F889" s="143" t="n"/>
      <c r="G889" s="143" t="n"/>
    </row>
    <row r="890" ht="18" customHeight="1" s="102">
      <c r="A890" s="137">
        <f>IF($B890="","","HRK-"&amp;TEXT(ROW()-BaslangicSatir,"000000"))</f>
        <v/>
      </c>
      <c r="B890" s="143" t="n"/>
      <c r="C890" s="143" t="n"/>
      <c r="D890" s="143" t="n"/>
      <c r="E890" s="143" t="n"/>
      <c r="F890" s="143" t="n"/>
      <c r="G890" s="143" t="n"/>
    </row>
    <row r="891" ht="18" customHeight="1" s="102">
      <c r="A891" s="137">
        <f>IF($B891="","","HRK-"&amp;TEXT(ROW()-BaslangicSatir,"000000"))</f>
        <v/>
      </c>
      <c r="B891" s="143" t="n"/>
      <c r="C891" s="143" t="n"/>
      <c r="D891" s="143" t="n"/>
      <c r="E891" s="143" t="n"/>
      <c r="F891" s="143" t="n"/>
      <c r="G891" s="143" t="n"/>
    </row>
    <row r="892" ht="18" customHeight="1" s="102">
      <c r="A892" s="137">
        <f>IF($B892="","","HRK-"&amp;TEXT(ROW()-BaslangicSatir,"000000"))</f>
        <v/>
      </c>
      <c r="B892" s="143" t="n"/>
      <c r="C892" s="143" t="n"/>
      <c r="D892" s="143" t="n"/>
      <c r="E892" s="143" t="n"/>
      <c r="F892" s="143" t="n"/>
      <c r="G892" s="143" t="n"/>
    </row>
    <row r="893" ht="18" customHeight="1" s="102">
      <c r="A893" s="137">
        <f>IF($B893="","","HRK-"&amp;TEXT(ROW()-BaslangicSatir,"000000"))</f>
        <v/>
      </c>
      <c r="B893" s="143" t="n"/>
      <c r="C893" s="143" t="n"/>
      <c r="D893" s="143" t="n"/>
      <c r="E893" s="143" t="n"/>
      <c r="F893" s="143" t="n"/>
      <c r="G893" s="143" t="n"/>
    </row>
    <row r="894" ht="18" customHeight="1" s="102">
      <c r="A894" s="137">
        <f>IF($B894="","","HRK-"&amp;TEXT(ROW()-BaslangicSatir,"000000"))</f>
        <v/>
      </c>
      <c r="B894" s="143" t="n"/>
      <c r="C894" s="143" t="n"/>
      <c r="D894" s="143" t="n"/>
      <c r="E894" s="143" t="n"/>
      <c r="F894" s="143" t="n"/>
      <c r="G894" s="143" t="n"/>
    </row>
    <row r="895" ht="18" customHeight="1" s="102">
      <c r="A895" s="137">
        <f>IF($B895="","","HRK-"&amp;TEXT(ROW()-BaslangicSatir,"000000"))</f>
        <v/>
      </c>
      <c r="B895" s="143" t="n"/>
      <c r="C895" s="143" t="n"/>
      <c r="D895" s="143" t="n"/>
      <c r="E895" s="143" t="n"/>
      <c r="F895" s="143" t="n"/>
      <c r="G895" s="143" t="n"/>
    </row>
    <row r="896" ht="18" customHeight="1" s="102">
      <c r="A896" s="137">
        <f>IF($B896="","","HRK-"&amp;TEXT(ROW()-BaslangicSatir,"000000"))</f>
        <v/>
      </c>
      <c r="B896" s="143" t="n"/>
      <c r="C896" s="143" t="n"/>
      <c r="D896" s="143" t="n"/>
      <c r="E896" s="143" t="n"/>
      <c r="F896" s="143" t="n"/>
      <c r="G896" s="143" t="n"/>
    </row>
    <row r="897" ht="18" customHeight="1" s="102">
      <c r="A897" s="137">
        <f>IF($B897="","","HRK-"&amp;TEXT(ROW()-BaslangicSatir,"000000"))</f>
        <v/>
      </c>
      <c r="B897" s="143" t="n"/>
      <c r="C897" s="143" t="n"/>
      <c r="D897" s="143" t="n"/>
      <c r="E897" s="143" t="n"/>
      <c r="F897" s="143" t="n"/>
      <c r="G897" s="143" t="n"/>
    </row>
    <row r="898" ht="18" customHeight="1" s="102">
      <c r="A898" s="137">
        <f>IF($B898="","","HRK-"&amp;TEXT(ROW()-BaslangicSatir,"000000"))</f>
        <v/>
      </c>
      <c r="B898" s="143" t="n"/>
      <c r="C898" s="143" t="n"/>
      <c r="D898" s="143" t="n"/>
      <c r="E898" s="143" t="n"/>
      <c r="F898" s="143" t="n"/>
      <c r="G898" s="143" t="n"/>
    </row>
    <row r="899" ht="18" customHeight="1" s="102">
      <c r="A899" s="137">
        <f>IF($B899="","","HRK-"&amp;TEXT(ROW()-BaslangicSatir,"000000"))</f>
        <v/>
      </c>
      <c r="B899" s="143" t="n"/>
      <c r="C899" s="143" t="n"/>
      <c r="D899" s="143" t="n"/>
      <c r="E899" s="143" t="n"/>
      <c r="F899" s="143" t="n"/>
      <c r="G899" s="143" t="n"/>
    </row>
    <row r="900" ht="18" customHeight="1" s="102">
      <c r="A900" s="137">
        <f>IF($B900="","","HRK-"&amp;TEXT(ROW()-BaslangicSatir,"000000"))</f>
        <v/>
      </c>
      <c r="B900" s="143" t="n"/>
      <c r="C900" s="143" t="n"/>
      <c r="D900" s="143" t="n"/>
      <c r="E900" s="143" t="n"/>
      <c r="F900" s="143" t="n"/>
      <c r="G900" s="143" t="n"/>
    </row>
    <row r="901" ht="18" customHeight="1" s="102">
      <c r="A901" s="137">
        <f>IF($B901="","","HRK-"&amp;TEXT(ROW()-BaslangicSatir,"000000"))</f>
        <v/>
      </c>
      <c r="B901" s="143" t="n"/>
      <c r="C901" s="143" t="n"/>
      <c r="D901" s="143" t="n"/>
      <c r="E901" s="143" t="n"/>
      <c r="F901" s="143" t="n"/>
      <c r="G901" s="143" t="n"/>
    </row>
    <row r="902" ht="18" customHeight="1" s="102">
      <c r="A902" s="137">
        <f>IF($B902="","","HRK-"&amp;TEXT(ROW()-BaslangicSatir,"000000"))</f>
        <v/>
      </c>
      <c r="B902" s="143" t="n"/>
      <c r="C902" s="143" t="n"/>
      <c r="D902" s="143" t="n"/>
      <c r="E902" s="143" t="n"/>
      <c r="F902" s="143" t="n"/>
      <c r="G902" s="143" t="n"/>
    </row>
    <row r="903" ht="18" customHeight="1" s="102">
      <c r="A903" s="137">
        <f>IF($B903="","","HRK-"&amp;TEXT(ROW()-BaslangicSatir,"000000"))</f>
        <v/>
      </c>
      <c r="B903" s="143" t="n"/>
      <c r="C903" s="143" t="n"/>
      <c r="D903" s="143" t="n"/>
      <c r="E903" s="143" t="n"/>
      <c r="F903" s="143" t="n"/>
      <c r="G903" s="143" t="n"/>
    </row>
    <row r="904" ht="18" customHeight="1" s="102">
      <c r="A904" s="137">
        <f>IF($B904="","","HRK-"&amp;TEXT(ROW()-BaslangicSatir,"000000"))</f>
        <v/>
      </c>
      <c r="B904" s="143" t="n"/>
      <c r="C904" s="143" t="n"/>
      <c r="D904" s="143" t="n"/>
      <c r="E904" s="143" t="n"/>
      <c r="F904" s="143" t="n"/>
      <c r="G904" s="143" t="n"/>
    </row>
    <row r="905" ht="18" customHeight="1" s="102">
      <c r="A905" s="137">
        <f>IF($B905="","","HRK-"&amp;TEXT(ROW()-BaslangicSatir,"000000"))</f>
        <v/>
      </c>
      <c r="B905" s="143" t="n"/>
      <c r="C905" s="143" t="n"/>
      <c r="D905" s="143" t="n"/>
      <c r="E905" s="143" t="n"/>
      <c r="F905" s="143" t="n"/>
      <c r="G905" s="143" t="n"/>
    </row>
    <row r="906" ht="18" customHeight="1" s="102">
      <c r="A906" s="137">
        <f>IF($B906="","","HRK-"&amp;TEXT(ROW()-BaslangicSatir,"000000"))</f>
        <v/>
      </c>
      <c r="B906" s="143" t="n"/>
      <c r="C906" s="143" t="n"/>
      <c r="D906" s="143" t="n"/>
      <c r="E906" s="143" t="n"/>
      <c r="F906" s="143" t="n"/>
      <c r="G906" s="143" t="n"/>
    </row>
    <row r="907" ht="18" customHeight="1" s="102">
      <c r="A907" s="137">
        <f>IF($B907="","","HRK-"&amp;TEXT(ROW()-BaslangicSatir,"000000"))</f>
        <v/>
      </c>
      <c r="B907" s="143" t="n"/>
      <c r="C907" s="143" t="n"/>
      <c r="D907" s="143" t="n"/>
      <c r="E907" s="143" t="n"/>
      <c r="F907" s="143" t="n"/>
      <c r="G907" s="143" t="n"/>
    </row>
    <row r="908" ht="18" customHeight="1" s="102">
      <c r="A908" s="137">
        <f>IF($B908="","","HRK-"&amp;TEXT(ROW()-BaslangicSatir,"000000"))</f>
        <v/>
      </c>
      <c r="B908" s="143" t="n"/>
      <c r="C908" s="143" t="n"/>
      <c r="D908" s="143" t="n"/>
      <c r="E908" s="143" t="n"/>
      <c r="F908" s="143" t="n"/>
      <c r="G908" s="143" t="n"/>
    </row>
    <row r="909" ht="18" customHeight="1" s="102">
      <c r="A909" s="137">
        <f>IF($B909="","","HRK-"&amp;TEXT(ROW()-BaslangicSatir,"000000"))</f>
        <v/>
      </c>
      <c r="B909" s="143" t="n"/>
      <c r="C909" s="143" t="n"/>
      <c r="D909" s="143" t="n"/>
      <c r="E909" s="143" t="n"/>
      <c r="F909" s="143" t="n"/>
      <c r="G909" s="143" t="n"/>
    </row>
    <row r="910" ht="18" customHeight="1" s="102">
      <c r="A910" s="137">
        <f>IF($B910="","","HRK-"&amp;TEXT(ROW()-BaslangicSatir,"000000"))</f>
        <v/>
      </c>
      <c r="B910" s="143" t="n"/>
      <c r="C910" s="143" t="n"/>
      <c r="D910" s="143" t="n"/>
      <c r="E910" s="143" t="n"/>
      <c r="F910" s="143" t="n"/>
      <c r="G910" s="143" t="n"/>
    </row>
    <row r="911" ht="18" customHeight="1" s="102">
      <c r="A911" s="137">
        <f>IF($B911="","","HRK-"&amp;TEXT(ROW()-BaslangicSatir,"000000"))</f>
        <v/>
      </c>
      <c r="B911" s="143" t="n"/>
      <c r="C911" s="143" t="n"/>
      <c r="D911" s="143" t="n"/>
      <c r="E911" s="143" t="n"/>
      <c r="F911" s="143" t="n"/>
      <c r="G911" s="143" t="n"/>
    </row>
    <row r="912" ht="18" customHeight="1" s="102">
      <c r="A912" s="137">
        <f>IF($B912="","","HRK-"&amp;TEXT(ROW()-BaslangicSatir,"000000"))</f>
        <v/>
      </c>
      <c r="B912" s="143" t="n"/>
      <c r="C912" s="143" t="n"/>
      <c r="D912" s="143" t="n"/>
      <c r="E912" s="143" t="n"/>
      <c r="F912" s="143" t="n"/>
      <c r="G912" s="143" t="n"/>
    </row>
    <row r="913" ht="18" customHeight="1" s="102">
      <c r="A913" s="137">
        <f>IF($B913="","","HRK-"&amp;TEXT(ROW()-BaslangicSatir,"000000"))</f>
        <v/>
      </c>
      <c r="B913" s="143" t="n"/>
      <c r="C913" s="143" t="n"/>
      <c r="D913" s="143" t="n"/>
      <c r="E913" s="143" t="n"/>
      <c r="F913" s="143" t="n"/>
      <c r="G913" s="143" t="n"/>
    </row>
    <row r="914" ht="18" customHeight="1" s="102">
      <c r="A914" s="137">
        <f>IF($B914="","","HRK-"&amp;TEXT(ROW()-BaslangicSatir,"000000"))</f>
        <v/>
      </c>
      <c r="B914" s="143" t="n"/>
      <c r="C914" s="143" t="n"/>
      <c r="D914" s="143" t="n"/>
      <c r="E914" s="143" t="n"/>
      <c r="F914" s="143" t="n"/>
      <c r="G914" s="143" t="n"/>
    </row>
    <row r="915" ht="18" customHeight="1" s="102">
      <c r="A915" s="137">
        <f>IF($B915="","","HRK-"&amp;TEXT(ROW()-BaslangicSatir,"000000"))</f>
        <v/>
      </c>
      <c r="B915" s="143" t="n"/>
      <c r="C915" s="143" t="n"/>
      <c r="D915" s="143" t="n"/>
      <c r="E915" s="143" t="n"/>
      <c r="F915" s="143" t="n"/>
      <c r="G915" s="143" t="n"/>
    </row>
    <row r="916" ht="18" customHeight="1" s="102">
      <c r="A916" s="137">
        <f>IF($B916="","","HRK-"&amp;TEXT(ROW()-BaslangicSatir,"000000"))</f>
        <v/>
      </c>
      <c r="B916" s="143" t="n"/>
      <c r="C916" s="143" t="n"/>
      <c r="D916" s="143" t="n"/>
      <c r="E916" s="143" t="n"/>
      <c r="F916" s="143" t="n"/>
      <c r="G916" s="143" t="n"/>
    </row>
    <row r="917" ht="18" customHeight="1" s="102">
      <c r="A917" s="137">
        <f>IF($B917="","","HRK-"&amp;TEXT(ROW()-BaslangicSatir,"000000"))</f>
        <v/>
      </c>
      <c r="B917" s="143" t="n"/>
      <c r="C917" s="143" t="n"/>
      <c r="D917" s="143" t="n"/>
      <c r="E917" s="143" t="n"/>
      <c r="F917" s="143" t="n"/>
      <c r="G917" s="143" t="n"/>
    </row>
    <row r="918" ht="18" customHeight="1" s="102">
      <c r="A918" s="137">
        <f>IF($B918="","","HRK-"&amp;TEXT(ROW()-BaslangicSatir,"000000"))</f>
        <v/>
      </c>
      <c r="B918" s="143" t="n"/>
      <c r="C918" s="143" t="n"/>
      <c r="D918" s="143" t="n"/>
      <c r="E918" s="143" t="n"/>
      <c r="F918" s="143" t="n"/>
      <c r="G918" s="143" t="n"/>
    </row>
    <row r="919" ht="18" customHeight="1" s="102">
      <c r="A919" s="137">
        <f>IF($B919="","","HRK-"&amp;TEXT(ROW()-BaslangicSatir,"000000"))</f>
        <v/>
      </c>
      <c r="B919" s="143" t="n"/>
      <c r="C919" s="143" t="n"/>
      <c r="D919" s="143" t="n"/>
      <c r="E919" s="143" t="n"/>
      <c r="F919" s="143" t="n"/>
      <c r="G919" s="143" t="n"/>
    </row>
    <row r="920" ht="18" customHeight="1" s="102">
      <c r="A920" s="137">
        <f>IF($B920="","","HRK-"&amp;TEXT(ROW()-BaslangicSatir,"000000"))</f>
        <v/>
      </c>
      <c r="B920" s="143" t="n"/>
      <c r="C920" s="143" t="n"/>
      <c r="D920" s="143" t="n"/>
      <c r="E920" s="143" t="n"/>
      <c r="F920" s="143" t="n"/>
      <c r="G920" s="143" t="n"/>
    </row>
    <row r="921" ht="18" customHeight="1" s="102">
      <c r="A921" s="137">
        <f>IF($B921="","","HRK-"&amp;TEXT(ROW()-BaslangicSatir,"000000"))</f>
        <v/>
      </c>
      <c r="B921" s="143" t="n"/>
      <c r="C921" s="143" t="n"/>
      <c r="D921" s="143" t="n"/>
      <c r="E921" s="143" t="n"/>
      <c r="F921" s="143" t="n"/>
      <c r="G921" s="143" t="n"/>
    </row>
    <row r="922" ht="18" customHeight="1" s="102">
      <c r="A922" s="137">
        <f>IF($B922="","","HRK-"&amp;TEXT(ROW()-BaslangicSatir,"000000"))</f>
        <v/>
      </c>
      <c r="B922" s="143" t="n"/>
      <c r="C922" s="143" t="n"/>
      <c r="D922" s="143" t="n"/>
      <c r="E922" s="143" t="n"/>
      <c r="F922" s="143" t="n"/>
      <c r="G922" s="143" t="n"/>
    </row>
    <row r="923" ht="18" customHeight="1" s="102">
      <c r="A923" s="137">
        <f>IF($B923="","","HRK-"&amp;TEXT(ROW()-BaslangicSatir,"000000"))</f>
        <v/>
      </c>
      <c r="B923" s="143" t="n"/>
      <c r="C923" s="143" t="n"/>
      <c r="D923" s="143" t="n"/>
      <c r="E923" s="143" t="n"/>
      <c r="F923" s="143" t="n"/>
      <c r="G923" s="143" t="n"/>
    </row>
    <row r="924" ht="18" customHeight="1" s="102">
      <c r="A924" s="137">
        <f>IF($B924="","","HRK-"&amp;TEXT(ROW()-BaslangicSatir,"000000"))</f>
        <v/>
      </c>
      <c r="B924" s="143" t="n"/>
      <c r="C924" s="143" t="n"/>
      <c r="D924" s="143" t="n"/>
      <c r="E924" s="143" t="n"/>
      <c r="F924" s="143" t="n"/>
      <c r="G924" s="143" t="n"/>
    </row>
    <row r="925" ht="18" customHeight="1" s="102">
      <c r="A925" s="137">
        <f>IF($B925="","","HRK-"&amp;TEXT(ROW()-BaslangicSatir,"000000"))</f>
        <v/>
      </c>
      <c r="B925" s="143" t="n"/>
      <c r="C925" s="143" t="n"/>
      <c r="D925" s="143" t="n"/>
      <c r="E925" s="143" t="n"/>
      <c r="F925" s="143" t="n"/>
      <c r="G925" s="143" t="n"/>
    </row>
    <row r="926" ht="18" customHeight="1" s="102">
      <c r="A926" s="137">
        <f>IF($B926="","","HRK-"&amp;TEXT(ROW()-BaslangicSatir,"000000"))</f>
        <v/>
      </c>
      <c r="B926" s="143" t="n"/>
      <c r="C926" s="143" t="n"/>
      <c r="D926" s="143" t="n"/>
      <c r="E926" s="143" t="n"/>
      <c r="F926" s="143" t="n"/>
      <c r="G926" s="143" t="n"/>
    </row>
    <row r="927" ht="18" customHeight="1" s="102">
      <c r="A927" s="137">
        <f>IF($B927="","","HRK-"&amp;TEXT(ROW()-BaslangicSatir,"000000"))</f>
        <v/>
      </c>
      <c r="B927" s="143" t="n"/>
      <c r="C927" s="143" t="n"/>
      <c r="D927" s="143" t="n"/>
      <c r="E927" s="143" t="n"/>
      <c r="F927" s="143" t="n"/>
      <c r="G927" s="143" t="n"/>
    </row>
    <row r="928" ht="18" customHeight="1" s="102">
      <c r="A928" s="137">
        <f>IF($B928="","","HRK-"&amp;TEXT(ROW()-BaslangicSatir,"000000"))</f>
        <v/>
      </c>
      <c r="B928" s="143" t="n"/>
      <c r="C928" s="143" t="n"/>
      <c r="D928" s="143" t="n"/>
      <c r="E928" s="143" t="n"/>
      <c r="F928" s="143" t="n"/>
      <c r="G928" s="143" t="n"/>
    </row>
    <row r="929" ht="18" customHeight="1" s="102">
      <c r="A929" s="137">
        <f>IF($B929="","","HRK-"&amp;TEXT(ROW()-BaslangicSatir,"000000"))</f>
        <v/>
      </c>
      <c r="B929" s="143" t="n"/>
      <c r="C929" s="143" t="n"/>
      <c r="D929" s="143" t="n"/>
      <c r="E929" s="143" t="n"/>
      <c r="F929" s="143" t="n"/>
      <c r="G929" s="143" t="n"/>
    </row>
    <row r="930" ht="18" customHeight="1" s="102">
      <c r="A930" s="137">
        <f>IF($B930="","","HRK-"&amp;TEXT(ROW()-BaslangicSatir,"000000"))</f>
        <v/>
      </c>
      <c r="B930" s="143" t="n"/>
      <c r="C930" s="143" t="n"/>
      <c r="D930" s="143" t="n"/>
      <c r="E930" s="143" t="n"/>
      <c r="F930" s="143" t="n"/>
      <c r="G930" s="143" t="n"/>
    </row>
    <row r="931" ht="18" customHeight="1" s="102">
      <c r="A931" s="137">
        <f>IF($B931="","","HRK-"&amp;TEXT(ROW()-BaslangicSatir,"000000"))</f>
        <v/>
      </c>
      <c r="B931" s="143" t="n"/>
      <c r="C931" s="143" t="n"/>
      <c r="D931" s="143" t="n"/>
      <c r="E931" s="143" t="n"/>
      <c r="F931" s="143" t="n"/>
      <c r="G931" s="143" t="n"/>
    </row>
    <row r="932" ht="18" customHeight="1" s="102">
      <c r="A932" s="137">
        <f>IF($B932="","","HRK-"&amp;TEXT(ROW()-BaslangicSatir,"000000"))</f>
        <v/>
      </c>
      <c r="B932" s="143" t="n"/>
      <c r="C932" s="143" t="n"/>
      <c r="D932" s="143" t="n"/>
      <c r="E932" s="143" t="n"/>
      <c r="F932" s="143" t="n"/>
      <c r="G932" s="143" t="n"/>
    </row>
    <row r="933" ht="18" customHeight="1" s="102">
      <c r="A933" s="137">
        <f>IF($B933="","","HRK-"&amp;TEXT(ROW()-BaslangicSatir,"000000"))</f>
        <v/>
      </c>
      <c r="B933" s="143" t="n"/>
      <c r="C933" s="143" t="n"/>
      <c r="D933" s="143" t="n"/>
      <c r="E933" s="143" t="n"/>
      <c r="F933" s="143" t="n"/>
      <c r="G933" s="143" t="n"/>
    </row>
    <row r="934" ht="18" customHeight="1" s="102">
      <c r="A934" s="137">
        <f>IF($B934="","","HRK-"&amp;TEXT(ROW()-BaslangicSatir,"000000"))</f>
        <v/>
      </c>
      <c r="B934" s="143" t="n"/>
      <c r="C934" s="143" t="n"/>
      <c r="D934" s="143" t="n"/>
      <c r="E934" s="143" t="n"/>
      <c r="F934" s="143" t="n"/>
      <c r="G934" s="143" t="n"/>
    </row>
    <row r="935" ht="18" customHeight="1" s="102">
      <c r="A935" s="137">
        <f>IF($B935="","","HRK-"&amp;TEXT(ROW()-BaslangicSatir,"000000"))</f>
        <v/>
      </c>
      <c r="B935" s="143" t="n"/>
      <c r="C935" s="143" t="n"/>
      <c r="D935" s="143" t="n"/>
      <c r="E935" s="143" t="n"/>
      <c r="F935" s="143" t="n"/>
      <c r="G935" s="143" t="n"/>
    </row>
    <row r="936" ht="18" customHeight="1" s="102">
      <c r="A936" s="137">
        <f>IF($B936="","","HRK-"&amp;TEXT(ROW()-BaslangicSatir,"000000"))</f>
        <v/>
      </c>
      <c r="B936" s="143" t="n"/>
      <c r="C936" s="143" t="n"/>
      <c r="D936" s="143" t="n"/>
      <c r="E936" s="143" t="n"/>
      <c r="F936" s="143" t="n"/>
      <c r="G936" s="143" t="n"/>
    </row>
    <row r="937" ht="18" customHeight="1" s="102">
      <c r="A937" s="137">
        <f>IF($B937="","","HRK-"&amp;TEXT(ROW()-BaslangicSatir,"000000"))</f>
        <v/>
      </c>
      <c r="B937" s="143" t="n"/>
      <c r="C937" s="143" t="n"/>
      <c r="D937" s="143" t="n"/>
      <c r="E937" s="143" t="n"/>
      <c r="F937" s="143" t="n"/>
      <c r="G937" s="143" t="n"/>
    </row>
    <row r="938" ht="18" customHeight="1" s="102">
      <c r="A938" s="137">
        <f>IF($B938="","","HRK-"&amp;TEXT(ROW()-BaslangicSatir,"000000"))</f>
        <v/>
      </c>
      <c r="B938" s="143" t="n"/>
      <c r="C938" s="143" t="n"/>
      <c r="D938" s="143" t="n"/>
      <c r="E938" s="143" t="n"/>
      <c r="F938" s="143" t="n"/>
      <c r="G938" s="143" t="n"/>
    </row>
    <row r="939" ht="18" customHeight="1" s="102">
      <c r="A939" s="137">
        <f>IF($B939="","","HRK-"&amp;TEXT(ROW()-BaslangicSatir,"000000"))</f>
        <v/>
      </c>
      <c r="B939" s="143" t="n"/>
      <c r="C939" s="143" t="n"/>
      <c r="D939" s="143" t="n"/>
      <c r="E939" s="143" t="n"/>
      <c r="F939" s="143" t="n"/>
      <c r="G939" s="143" t="n"/>
    </row>
    <row r="940" ht="18" customHeight="1" s="102">
      <c r="A940" s="137">
        <f>IF($B940="","","HRK-"&amp;TEXT(ROW()-BaslangicSatir,"000000"))</f>
        <v/>
      </c>
      <c r="B940" s="143" t="n"/>
      <c r="C940" s="143" t="n"/>
      <c r="D940" s="143" t="n"/>
      <c r="E940" s="143" t="n"/>
      <c r="F940" s="143" t="n"/>
      <c r="G940" s="143" t="n"/>
    </row>
    <row r="941" ht="18" customHeight="1" s="102">
      <c r="A941" s="137">
        <f>IF($B941="","","HRK-"&amp;TEXT(ROW()-BaslangicSatir,"000000"))</f>
        <v/>
      </c>
      <c r="B941" s="143" t="n"/>
      <c r="C941" s="143" t="n"/>
      <c r="D941" s="143" t="n"/>
      <c r="E941" s="143" t="n"/>
      <c r="F941" s="143" t="n"/>
      <c r="G941" s="143" t="n"/>
    </row>
    <row r="942" ht="18" customHeight="1" s="102">
      <c r="A942" s="137">
        <f>IF($B942="","","HRK-"&amp;TEXT(ROW()-BaslangicSatir,"000000"))</f>
        <v/>
      </c>
      <c r="B942" s="143" t="n"/>
      <c r="C942" s="143" t="n"/>
      <c r="D942" s="143" t="n"/>
      <c r="E942" s="143" t="n"/>
      <c r="F942" s="143" t="n"/>
      <c r="G942" s="143" t="n"/>
    </row>
    <row r="943" ht="18" customHeight="1" s="102">
      <c r="A943" s="137">
        <f>IF($B943="","","HRK-"&amp;TEXT(ROW()-BaslangicSatir,"000000"))</f>
        <v/>
      </c>
      <c r="B943" s="143" t="n"/>
      <c r="C943" s="143" t="n"/>
      <c r="D943" s="143" t="n"/>
      <c r="E943" s="143" t="n"/>
      <c r="F943" s="143" t="n"/>
      <c r="G943" s="143" t="n"/>
    </row>
    <row r="944" ht="18" customHeight="1" s="102">
      <c r="A944" s="137">
        <f>IF($B944="","","HRK-"&amp;TEXT(ROW()-BaslangicSatir,"000000"))</f>
        <v/>
      </c>
      <c r="B944" s="143" t="n"/>
      <c r="C944" s="143" t="n"/>
      <c r="D944" s="143" t="n"/>
      <c r="E944" s="143" t="n"/>
      <c r="F944" s="143" t="n"/>
      <c r="G944" s="143" t="n"/>
    </row>
    <row r="945" ht="18" customHeight="1" s="102">
      <c r="A945" s="137">
        <f>IF($B945="","","HRK-"&amp;TEXT(ROW()-BaslangicSatir,"000000"))</f>
        <v/>
      </c>
      <c r="B945" s="143" t="n"/>
      <c r="C945" s="143" t="n"/>
      <c r="D945" s="143" t="n"/>
      <c r="E945" s="143" t="n"/>
      <c r="F945" s="143" t="n"/>
      <c r="G945" s="143" t="n"/>
    </row>
    <row r="946" ht="18" customHeight="1" s="102">
      <c r="A946" s="137">
        <f>IF($B946="","","HRK-"&amp;TEXT(ROW()-BaslangicSatir,"000000"))</f>
        <v/>
      </c>
      <c r="B946" s="143" t="n"/>
      <c r="C946" s="143" t="n"/>
      <c r="D946" s="143" t="n"/>
      <c r="E946" s="143" t="n"/>
      <c r="F946" s="143" t="n"/>
      <c r="G946" s="143" t="n"/>
    </row>
    <row r="947" ht="18" customHeight="1" s="102">
      <c r="A947" s="137">
        <f>IF($B947="","","HRK-"&amp;TEXT(ROW()-BaslangicSatir,"000000"))</f>
        <v/>
      </c>
      <c r="B947" s="143" t="n"/>
      <c r="C947" s="143" t="n"/>
      <c r="D947" s="143" t="n"/>
      <c r="E947" s="143" t="n"/>
      <c r="F947" s="143" t="n"/>
      <c r="G947" s="143" t="n"/>
    </row>
    <row r="948" ht="18" customHeight="1" s="102">
      <c r="A948" s="137">
        <f>IF($B948="","","HRK-"&amp;TEXT(ROW()-BaslangicSatir,"000000"))</f>
        <v/>
      </c>
      <c r="B948" s="143" t="n"/>
      <c r="C948" s="143" t="n"/>
      <c r="D948" s="143" t="n"/>
      <c r="E948" s="143" t="n"/>
      <c r="F948" s="143" t="n"/>
      <c r="G948" s="143" t="n"/>
    </row>
    <row r="949" ht="18" customHeight="1" s="102">
      <c r="A949" s="137">
        <f>IF($B949="","","HRK-"&amp;TEXT(ROW()-BaslangicSatir,"000000"))</f>
        <v/>
      </c>
      <c r="B949" s="143" t="n"/>
      <c r="C949" s="143" t="n"/>
      <c r="D949" s="143" t="n"/>
      <c r="E949" s="143" t="n"/>
      <c r="F949" s="143" t="n"/>
      <c r="G949" s="143" t="n"/>
    </row>
    <row r="950" ht="18" customHeight="1" s="102">
      <c r="A950" s="137">
        <f>IF($B950="","","HRK-"&amp;TEXT(ROW()-BaslangicSatir,"000000"))</f>
        <v/>
      </c>
      <c r="B950" s="143" t="n"/>
      <c r="C950" s="143" t="n"/>
      <c r="D950" s="143" t="n"/>
      <c r="E950" s="143" t="n"/>
      <c r="F950" s="143" t="n"/>
      <c r="G950" s="143" t="n"/>
    </row>
    <row r="951" ht="18" customHeight="1" s="102">
      <c r="A951" s="137">
        <f>IF($B951="","","HRK-"&amp;TEXT(ROW()-BaslangicSatir,"000000"))</f>
        <v/>
      </c>
      <c r="B951" s="143" t="n"/>
      <c r="C951" s="143" t="n"/>
      <c r="D951" s="143" t="n"/>
      <c r="E951" s="143" t="n"/>
      <c r="F951" s="143" t="n"/>
      <c r="G951" s="143" t="n"/>
    </row>
    <row r="952" ht="18" customHeight="1" s="102">
      <c r="A952" s="137">
        <f>IF($B952="","","HRK-"&amp;TEXT(ROW()-BaslangicSatir,"000000"))</f>
        <v/>
      </c>
      <c r="B952" s="143" t="n"/>
      <c r="C952" s="143" t="n"/>
      <c r="D952" s="143" t="n"/>
      <c r="E952" s="143" t="n"/>
      <c r="F952" s="143" t="n"/>
      <c r="G952" s="143" t="n"/>
    </row>
    <row r="953" ht="18" customHeight="1" s="102">
      <c r="A953" s="137">
        <f>IF($B953="","","HRK-"&amp;TEXT(ROW()-BaslangicSatir,"000000"))</f>
        <v/>
      </c>
      <c r="B953" s="143" t="n"/>
      <c r="C953" s="143" t="n"/>
      <c r="D953" s="143" t="n"/>
      <c r="E953" s="143" t="n"/>
      <c r="F953" s="143" t="n"/>
      <c r="G953" s="143" t="n"/>
    </row>
    <row r="954" ht="18" customHeight="1" s="102">
      <c r="A954" s="137">
        <f>IF($B954="","","HRK-"&amp;TEXT(ROW()-BaslangicSatir,"000000"))</f>
        <v/>
      </c>
      <c r="B954" s="143" t="n"/>
      <c r="C954" s="143" t="n"/>
      <c r="D954" s="143" t="n"/>
      <c r="E954" s="143" t="n"/>
      <c r="F954" s="143" t="n"/>
      <c r="G954" s="143" t="n"/>
    </row>
    <row r="955" ht="18" customHeight="1" s="102">
      <c r="A955" s="137">
        <f>IF($B955="","","HRK-"&amp;TEXT(ROW()-BaslangicSatir,"000000"))</f>
        <v/>
      </c>
      <c r="B955" s="143" t="n"/>
      <c r="C955" s="143" t="n"/>
      <c r="D955" s="143" t="n"/>
      <c r="E955" s="143" t="n"/>
      <c r="F955" s="143" t="n"/>
      <c r="G955" s="143" t="n"/>
    </row>
    <row r="956" ht="18" customHeight="1" s="102">
      <c r="A956" s="137">
        <f>IF($B956="","","HRK-"&amp;TEXT(ROW()-BaslangicSatir,"000000"))</f>
        <v/>
      </c>
      <c r="B956" s="143" t="n"/>
      <c r="C956" s="143" t="n"/>
      <c r="D956" s="143" t="n"/>
      <c r="E956" s="143" t="n"/>
      <c r="F956" s="143" t="n"/>
      <c r="G956" s="143" t="n"/>
    </row>
    <row r="957" ht="18" customHeight="1" s="102">
      <c r="A957" s="137">
        <f>IF($B957="","","HRK-"&amp;TEXT(ROW()-BaslangicSatir,"000000"))</f>
        <v/>
      </c>
      <c r="B957" s="143" t="n"/>
      <c r="C957" s="143" t="n"/>
      <c r="D957" s="143" t="n"/>
      <c r="E957" s="143" t="n"/>
      <c r="F957" s="143" t="n"/>
      <c r="G957" s="143" t="n"/>
    </row>
    <row r="958" ht="18" customHeight="1" s="102">
      <c r="A958" s="137">
        <f>IF($B958="","","HRK-"&amp;TEXT(ROW()-BaslangicSatir,"000000"))</f>
        <v/>
      </c>
      <c r="B958" s="143" t="n"/>
      <c r="C958" s="143" t="n"/>
      <c r="D958" s="143" t="n"/>
      <c r="E958" s="143" t="n"/>
      <c r="F958" s="143" t="n"/>
      <c r="G958" s="143" t="n"/>
    </row>
    <row r="959" ht="18" customHeight="1" s="102">
      <c r="A959" s="137">
        <f>IF($B959="","","HRK-"&amp;TEXT(ROW()-BaslangicSatir,"000000"))</f>
        <v/>
      </c>
      <c r="B959" s="143" t="n"/>
      <c r="C959" s="143" t="n"/>
      <c r="D959" s="143" t="n"/>
      <c r="E959" s="143" t="n"/>
      <c r="F959" s="143" t="n"/>
      <c r="G959" s="143" t="n"/>
    </row>
    <row r="960" ht="18" customHeight="1" s="102">
      <c r="A960" s="137">
        <f>IF($B960="","","HRK-"&amp;TEXT(ROW()-BaslangicSatir,"000000"))</f>
        <v/>
      </c>
      <c r="B960" s="143" t="n"/>
      <c r="C960" s="143" t="n"/>
      <c r="D960" s="143" t="n"/>
      <c r="E960" s="143" t="n"/>
      <c r="F960" s="143" t="n"/>
      <c r="G960" s="143" t="n"/>
    </row>
    <row r="961" ht="18" customHeight="1" s="102">
      <c r="A961" s="137">
        <f>IF($B961="","","HRK-"&amp;TEXT(ROW()-BaslangicSatir,"000000"))</f>
        <v/>
      </c>
      <c r="B961" s="143" t="n"/>
      <c r="C961" s="143" t="n"/>
      <c r="D961" s="143" t="n"/>
      <c r="E961" s="143" t="n"/>
      <c r="F961" s="143" t="n"/>
      <c r="G961" s="143" t="n"/>
    </row>
    <row r="962" ht="18" customHeight="1" s="102">
      <c r="A962" s="137">
        <f>IF($B962="","","HRK-"&amp;TEXT(ROW()-BaslangicSatir,"000000"))</f>
        <v/>
      </c>
      <c r="B962" s="143" t="n"/>
      <c r="C962" s="143" t="n"/>
      <c r="D962" s="143" t="n"/>
      <c r="E962" s="143" t="n"/>
      <c r="F962" s="143" t="n"/>
      <c r="G962" s="143" t="n"/>
    </row>
    <row r="963" ht="18" customHeight="1" s="102">
      <c r="A963" s="137">
        <f>IF($B963="","","HRK-"&amp;TEXT(ROW()-BaslangicSatir,"000000"))</f>
        <v/>
      </c>
      <c r="B963" s="143" t="n"/>
      <c r="C963" s="143" t="n"/>
      <c r="D963" s="143" t="n"/>
      <c r="E963" s="143" t="n"/>
      <c r="F963" s="143" t="n"/>
      <c r="G963" s="143" t="n"/>
    </row>
    <row r="964" ht="18" customHeight="1" s="102">
      <c r="A964" s="137">
        <f>IF($B964="","","HRK-"&amp;TEXT(ROW()-BaslangicSatir,"000000"))</f>
        <v/>
      </c>
      <c r="B964" s="143" t="n"/>
      <c r="C964" s="143" t="n"/>
      <c r="D964" s="143" t="n"/>
      <c r="E964" s="143" t="n"/>
      <c r="F964" s="143" t="n"/>
      <c r="G964" s="143" t="n"/>
    </row>
    <row r="965" ht="18" customHeight="1" s="102">
      <c r="A965" s="137">
        <f>IF($B965="","","HRK-"&amp;TEXT(ROW()-BaslangicSatir,"000000"))</f>
        <v/>
      </c>
      <c r="B965" s="143" t="n"/>
      <c r="C965" s="143" t="n"/>
      <c r="D965" s="143" t="n"/>
      <c r="E965" s="143" t="n"/>
      <c r="F965" s="143" t="n"/>
      <c r="G965" s="143" t="n"/>
    </row>
    <row r="966" ht="18" customHeight="1" s="102">
      <c r="A966" s="137">
        <f>IF($B966="","","HRK-"&amp;TEXT(ROW()-BaslangicSatir,"000000"))</f>
        <v/>
      </c>
      <c r="B966" s="143" t="n"/>
      <c r="C966" s="143" t="n"/>
      <c r="D966" s="143" t="n"/>
      <c r="E966" s="143" t="n"/>
      <c r="F966" s="143" t="n"/>
      <c r="G966" s="143" t="n"/>
    </row>
    <row r="967" ht="18" customHeight="1" s="102">
      <c r="A967" s="137">
        <f>IF($B967="","","HRK-"&amp;TEXT(ROW()-BaslangicSatir,"000000"))</f>
        <v/>
      </c>
      <c r="B967" s="143" t="n"/>
      <c r="C967" s="143" t="n"/>
      <c r="D967" s="143" t="n"/>
      <c r="E967" s="143" t="n"/>
      <c r="F967" s="143" t="n"/>
      <c r="G967" s="143" t="n"/>
    </row>
    <row r="968" ht="18" customHeight="1" s="102">
      <c r="A968" s="137">
        <f>IF($B968="","","HRK-"&amp;TEXT(ROW()-BaslangicSatir,"000000"))</f>
        <v/>
      </c>
      <c r="B968" s="143" t="n"/>
      <c r="C968" s="143" t="n"/>
      <c r="D968" s="143" t="n"/>
      <c r="E968" s="143" t="n"/>
      <c r="F968" s="143" t="n"/>
      <c r="G968" s="143" t="n"/>
    </row>
    <row r="969" ht="18" customHeight="1" s="102">
      <c r="A969" s="137">
        <f>IF($B969="","","HRK-"&amp;TEXT(ROW()-BaslangicSatir,"000000"))</f>
        <v/>
      </c>
      <c r="B969" s="143" t="n"/>
      <c r="C969" s="143" t="n"/>
      <c r="D969" s="143" t="n"/>
      <c r="E969" s="143" t="n"/>
      <c r="F969" s="143" t="n"/>
      <c r="G969" s="143" t="n"/>
    </row>
    <row r="970" ht="18" customHeight="1" s="102">
      <c r="A970" s="137">
        <f>IF($B970="","","HRK-"&amp;TEXT(ROW()-BaslangicSatir,"000000"))</f>
        <v/>
      </c>
      <c r="B970" s="143" t="n"/>
      <c r="C970" s="143" t="n"/>
      <c r="D970" s="143" t="n"/>
      <c r="E970" s="143" t="n"/>
      <c r="F970" s="143" t="n"/>
      <c r="G970" s="143" t="n"/>
    </row>
    <row r="971" ht="18" customHeight="1" s="102">
      <c r="A971" s="137">
        <f>IF($B971="","","HRK-"&amp;TEXT(ROW()-BaslangicSatir,"000000"))</f>
        <v/>
      </c>
      <c r="B971" s="143" t="n"/>
      <c r="C971" s="143" t="n"/>
      <c r="D971" s="143" t="n"/>
      <c r="E971" s="143" t="n"/>
      <c r="F971" s="143" t="n"/>
      <c r="G971" s="143" t="n"/>
    </row>
    <row r="972" ht="18" customHeight="1" s="102">
      <c r="A972" s="137">
        <f>IF($B972="","","HRK-"&amp;TEXT(ROW()-BaslangicSatir,"000000"))</f>
        <v/>
      </c>
      <c r="B972" s="143" t="n"/>
      <c r="C972" s="143" t="n"/>
      <c r="D972" s="143" t="n"/>
      <c r="E972" s="143" t="n"/>
      <c r="F972" s="143" t="n"/>
      <c r="G972" s="143" t="n"/>
    </row>
    <row r="973" ht="18" customHeight="1" s="102">
      <c r="A973" s="137">
        <f>IF($B973="","","HRK-"&amp;TEXT(ROW()-BaslangicSatir,"000000"))</f>
        <v/>
      </c>
      <c r="B973" s="143" t="n"/>
      <c r="C973" s="143" t="n"/>
      <c r="D973" s="143" t="n"/>
      <c r="E973" s="143" t="n"/>
      <c r="F973" s="143" t="n"/>
      <c r="G973" s="143" t="n"/>
    </row>
    <row r="974" ht="18" customHeight="1" s="102">
      <c r="A974" s="137">
        <f>IF($B974="","","HRK-"&amp;TEXT(ROW()-BaslangicSatir,"000000"))</f>
        <v/>
      </c>
      <c r="B974" s="143" t="n"/>
      <c r="C974" s="143" t="n"/>
      <c r="D974" s="143" t="n"/>
      <c r="E974" s="143" t="n"/>
      <c r="F974" s="143" t="n"/>
      <c r="G974" s="143" t="n"/>
    </row>
    <row r="975" ht="18" customHeight="1" s="102">
      <c r="A975" s="137">
        <f>IF($B975="","","HRK-"&amp;TEXT(ROW()-BaslangicSatir,"000000"))</f>
        <v/>
      </c>
      <c r="B975" s="143" t="n"/>
      <c r="C975" s="143" t="n"/>
      <c r="D975" s="143" t="n"/>
      <c r="E975" s="143" t="n"/>
      <c r="F975" s="143" t="n"/>
      <c r="G975" s="143" t="n"/>
    </row>
    <row r="976" ht="18" customHeight="1" s="102">
      <c r="A976" s="137">
        <f>IF($B976="","","HRK-"&amp;TEXT(ROW()-BaslangicSatir,"000000"))</f>
        <v/>
      </c>
      <c r="B976" s="143" t="n"/>
      <c r="C976" s="143" t="n"/>
      <c r="D976" s="143" t="n"/>
      <c r="E976" s="143" t="n"/>
      <c r="F976" s="143" t="n"/>
      <c r="G976" s="143" t="n"/>
    </row>
    <row r="977" ht="18" customHeight="1" s="102">
      <c r="A977" s="137">
        <f>IF($B977="","","HRK-"&amp;TEXT(ROW()-BaslangicSatir,"000000"))</f>
        <v/>
      </c>
      <c r="B977" s="143" t="n"/>
      <c r="C977" s="143" t="n"/>
      <c r="D977" s="143" t="n"/>
      <c r="E977" s="143" t="n"/>
      <c r="F977" s="143" t="n"/>
      <c r="G977" s="143" t="n"/>
    </row>
    <row r="978" ht="18" customHeight="1" s="102">
      <c r="A978" s="137">
        <f>IF($B978="","","HRK-"&amp;TEXT(ROW()-BaslangicSatir,"000000"))</f>
        <v/>
      </c>
      <c r="B978" s="143" t="n"/>
      <c r="C978" s="143" t="n"/>
      <c r="D978" s="143" t="n"/>
      <c r="E978" s="143" t="n"/>
      <c r="F978" s="143" t="n"/>
      <c r="G978" s="143" t="n"/>
    </row>
    <row r="979" ht="18" customHeight="1" s="102">
      <c r="A979" s="137">
        <f>IF($B979="","","HRK-"&amp;TEXT(ROW()-BaslangicSatir,"000000"))</f>
        <v/>
      </c>
      <c r="B979" s="143" t="n"/>
      <c r="C979" s="143" t="n"/>
      <c r="D979" s="143" t="n"/>
      <c r="E979" s="143" t="n"/>
      <c r="F979" s="143" t="n"/>
      <c r="G979" s="143" t="n"/>
    </row>
    <row r="980" ht="18" customHeight="1" s="102">
      <c r="A980" s="137">
        <f>IF($B980="","","HRK-"&amp;TEXT(ROW()-BaslangicSatir,"000000"))</f>
        <v/>
      </c>
      <c r="B980" s="143" t="n"/>
      <c r="C980" s="143" t="n"/>
      <c r="D980" s="143" t="n"/>
      <c r="E980" s="143" t="n"/>
      <c r="F980" s="143" t="n"/>
      <c r="G980" s="143" t="n"/>
    </row>
    <row r="981" ht="18" customHeight="1" s="102">
      <c r="A981" s="137">
        <f>IF($B981="","","HRK-"&amp;TEXT(ROW()-BaslangicSatir,"000000"))</f>
        <v/>
      </c>
      <c r="B981" s="143" t="n"/>
      <c r="C981" s="143" t="n"/>
      <c r="D981" s="143" t="n"/>
      <c r="E981" s="143" t="n"/>
      <c r="F981" s="143" t="n"/>
      <c r="G981" s="143" t="n"/>
    </row>
    <row r="982" ht="18" customHeight="1" s="102">
      <c r="A982" s="137">
        <f>IF($B982="","","HRK-"&amp;TEXT(ROW()-BaslangicSatir,"000000"))</f>
        <v/>
      </c>
      <c r="B982" s="143" t="n"/>
      <c r="C982" s="143" t="n"/>
      <c r="D982" s="143" t="n"/>
      <c r="E982" s="143" t="n"/>
      <c r="F982" s="143" t="n"/>
      <c r="G982" s="143" t="n"/>
    </row>
    <row r="983" ht="18" customHeight="1" s="102">
      <c r="A983" s="137">
        <f>IF($B983="","","HRK-"&amp;TEXT(ROW()-BaslangicSatir,"000000"))</f>
        <v/>
      </c>
      <c r="B983" s="143" t="n"/>
      <c r="C983" s="143" t="n"/>
      <c r="D983" s="143" t="n"/>
      <c r="E983" s="143" t="n"/>
      <c r="F983" s="143" t="n"/>
      <c r="G983" s="143" t="n"/>
    </row>
    <row r="984" ht="18" customHeight="1" s="102">
      <c r="A984" s="137">
        <f>IF($B984="","","HRK-"&amp;TEXT(ROW()-BaslangicSatir,"000000"))</f>
        <v/>
      </c>
      <c r="B984" s="143" t="n"/>
      <c r="C984" s="143" t="n"/>
      <c r="D984" s="143" t="n"/>
      <c r="E984" s="143" t="n"/>
      <c r="F984" s="143" t="n"/>
      <c r="G984" s="143" t="n"/>
    </row>
    <row r="985" ht="18" customHeight="1" s="102">
      <c r="A985" s="137">
        <f>IF($B985="","","HRK-"&amp;TEXT(ROW()-BaslangicSatir,"000000"))</f>
        <v/>
      </c>
      <c r="B985" s="143" t="n"/>
      <c r="C985" s="143" t="n"/>
      <c r="D985" s="143" t="n"/>
      <c r="E985" s="143" t="n"/>
      <c r="F985" s="143" t="n"/>
      <c r="G985" s="143" t="n"/>
    </row>
    <row r="986" ht="18" customHeight="1" s="102">
      <c r="A986" s="137">
        <f>IF($B986="","","HRK-"&amp;TEXT(ROW()-BaslangicSatir,"000000"))</f>
        <v/>
      </c>
      <c r="B986" s="143" t="n"/>
      <c r="C986" s="143" t="n"/>
      <c r="D986" s="143" t="n"/>
      <c r="E986" s="143" t="n"/>
      <c r="F986" s="143" t="n"/>
      <c r="G986" s="143" t="n"/>
    </row>
    <row r="987" ht="18" customHeight="1" s="102">
      <c r="A987" s="137">
        <f>IF($B987="","","HRK-"&amp;TEXT(ROW()-BaslangicSatir,"000000"))</f>
        <v/>
      </c>
      <c r="B987" s="143" t="n"/>
      <c r="C987" s="143" t="n"/>
      <c r="D987" s="143" t="n"/>
      <c r="E987" s="143" t="n"/>
      <c r="F987" s="143" t="n"/>
      <c r="G987" s="143" t="n"/>
    </row>
    <row r="988" ht="18" customHeight="1" s="102">
      <c r="A988" s="137">
        <f>IF($B988="","","HRK-"&amp;TEXT(ROW()-BaslangicSatir,"000000"))</f>
        <v/>
      </c>
      <c r="B988" s="143" t="n"/>
      <c r="C988" s="143" t="n"/>
      <c r="D988" s="143" t="n"/>
      <c r="E988" s="143" t="n"/>
      <c r="F988" s="143" t="n"/>
      <c r="G988" s="143" t="n"/>
    </row>
    <row r="989" ht="18" customHeight="1" s="102">
      <c r="A989" s="137">
        <f>IF($B989="","","HRK-"&amp;TEXT(ROW()-BaslangicSatir,"000000"))</f>
        <v/>
      </c>
      <c r="B989" s="143" t="n"/>
      <c r="C989" s="143" t="n"/>
      <c r="D989" s="143" t="n"/>
      <c r="E989" s="143" t="n"/>
      <c r="F989" s="143" t="n"/>
      <c r="G989" s="143" t="n"/>
    </row>
    <row r="990" ht="18" customHeight="1" s="102">
      <c r="A990" s="137">
        <f>IF($B990="","","HRK-"&amp;TEXT(ROW()-BaslangicSatir,"000000"))</f>
        <v/>
      </c>
      <c r="B990" s="143" t="n"/>
      <c r="C990" s="143" t="n"/>
      <c r="D990" s="143" t="n"/>
      <c r="E990" s="143" t="n"/>
      <c r="F990" s="143" t="n"/>
      <c r="G990" s="143" t="n"/>
    </row>
    <row r="991" ht="18" customHeight="1" s="102">
      <c r="A991" s="137">
        <f>IF($B991="","","HRK-"&amp;TEXT(ROW()-BaslangicSatir,"000000"))</f>
        <v/>
      </c>
      <c r="B991" s="143" t="n"/>
      <c r="C991" s="143" t="n"/>
      <c r="D991" s="143" t="n"/>
      <c r="E991" s="143" t="n"/>
      <c r="F991" s="143" t="n"/>
      <c r="G991" s="143" t="n"/>
    </row>
    <row r="992" ht="18" customHeight="1" s="102">
      <c r="A992" s="137">
        <f>IF($B992="","","HRK-"&amp;TEXT(ROW()-BaslangicSatir,"000000"))</f>
        <v/>
      </c>
      <c r="B992" s="143" t="n"/>
      <c r="C992" s="143" t="n"/>
      <c r="D992" s="143" t="n"/>
      <c r="E992" s="143" t="n"/>
      <c r="F992" s="143" t="n"/>
      <c r="G992" s="143" t="n"/>
    </row>
    <row r="993" ht="18" customHeight="1" s="102">
      <c r="A993" s="137">
        <f>IF($B993="","","HRK-"&amp;TEXT(ROW()-BaslangicSatir,"000000"))</f>
        <v/>
      </c>
      <c r="B993" s="143" t="n"/>
      <c r="C993" s="143" t="n"/>
      <c r="D993" s="143" t="n"/>
      <c r="E993" s="143" t="n"/>
      <c r="F993" s="143" t="n"/>
      <c r="G993" s="143" t="n"/>
    </row>
    <row r="994" ht="18" customHeight="1" s="102">
      <c r="A994" s="137">
        <f>IF($B994="","","HRK-"&amp;TEXT(ROW()-BaslangicSatir,"000000"))</f>
        <v/>
      </c>
      <c r="B994" s="143" t="n"/>
      <c r="C994" s="143" t="n"/>
      <c r="D994" s="143" t="n"/>
      <c r="E994" s="143" t="n"/>
      <c r="F994" s="143" t="n"/>
      <c r="G994" s="143" t="n"/>
    </row>
    <row r="995" ht="18" customHeight="1" s="102">
      <c r="A995" s="137">
        <f>IF($B995="","","HRK-"&amp;TEXT(ROW()-BaslangicSatir,"000000"))</f>
        <v/>
      </c>
      <c r="B995" s="143" t="n"/>
      <c r="C995" s="143" t="n"/>
      <c r="D995" s="143" t="n"/>
      <c r="E995" s="143" t="n"/>
      <c r="F995" s="143" t="n"/>
      <c r="G995" s="143" t="n"/>
    </row>
    <row r="996" ht="18" customHeight="1" s="102">
      <c r="A996" s="137">
        <f>IF($B996="","","HRK-"&amp;TEXT(ROW()-BaslangicSatir,"000000"))</f>
        <v/>
      </c>
      <c r="B996" s="143" t="n"/>
      <c r="C996" s="143" t="n"/>
      <c r="D996" s="143" t="n"/>
      <c r="E996" s="143" t="n"/>
      <c r="F996" s="143" t="n"/>
      <c r="G996" s="143" t="n"/>
    </row>
    <row r="997" ht="18" customHeight="1" s="102">
      <c r="A997" s="137">
        <f>IF($B997="","","HRK-"&amp;TEXT(ROW()-BaslangicSatir,"000000"))</f>
        <v/>
      </c>
      <c r="B997" s="143" t="n"/>
      <c r="C997" s="143" t="n"/>
      <c r="D997" s="143" t="n"/>
      <c r="E997" s="143" t="n"/>
      <c r="F997" s="143" t="n"/>
      <c r="G997" s="143" t="n"/>
    </row>
    <row r="998" ht="18" customHeight="1" s="102">
      <c r="A998" s="137">
        <f>IF($B998="","","HRK-"&amp;TEXT(ROW()-BaslangicSatir,"000000"))</f>
        <v/>
      </c>
      <c r="B998" s="143" t="n"/>
      <c r="C998" s="143" t="n"/>
      <c r="D998" s="143" t="n"/>
      <c r="E998" s="143" t="n"/>
      <c r="F998" s="143" t="n"/>
      <c r="G998" s="143" t="n"/>
    </row>
    <row r="999" ht="18" customHeight="1" s="102">
      <c r="A999" s="137">
        <f>IF($B999="","","HRK-"&amp;TEXT(ROW()-BaslangicSatir,"000000"))</f>
        <v/>
      </c>
      <c r="B999" s="143" t="n"/>
      <c r="C999" s="143" t="n"/>
      <c r="D999" s="143" t="n"/>
      <c r="E999" s="143" t="n"/>
      <c r="F999" s="143" t="n"/>
      <c r="G999" s="143" t="n"/>
    </row>
    <row r="1000" ht="18" customHeight="1" s="102">
      <c r="A1000" s="137">
        <f>IF($B1000="","","HRK-"&amp;TEXT(ROW()-BaslangicSatir,"000000"))</f>
        <v/>
      </c>
      <c r="B1000" s="143" t="n"/>
      <c r="C1000" s="143" t="n"/>
      <c r="D1000" s="143" t="n"/>
      <c r="E1000" s="143" t="n"/>
      <c r="F1000" s="143" t="n"/>
      <c r="G1000" s="14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D6:D1000">
    <cfRule type="cellIs" rank="0" priority="2" equalAverage="0" operator="equal" aboveAverage="0" dxfId="16" text="" percent="0" bottom="0">
      <formula>"KARŞILIKSIZ"</formula>
    </cfRule>
    <cfRule type="cellIs" rank="0" priority="3" equalAverage="0" operator="equal" aboveAverage="0" dxfId="10" text="" percent="0" bottom="0">
      <formula>"TAHSİL EDİLDİ"</formula>
    </cfRule>
  </conditionalFormatting>
  <dataValidations count="2">
    <dataValidation sqref="B6:B1000" showDropDown="0" showInputMessage="1" showErrorMessage="1" allowBlank="1" errorTitle="Geçersiz belge" error="CEK_SENET_KAYIT'ta tanımlı bir belge seçiniz." promptTitle="Belge ID" prompt="Durumu değişen belgenin ID'si." type="list" errorStyle="stop" operator="between">
      <formula1>CEK_SENET_KAYIT!$A$6:$A$1000</formula1>
      <formula2>0</formula2>
    </dataValidation>
    <dataValidation sqref="E6:E1000" showDropDown="0" showInputMessage="1" showErrorMessage="1" allowBlank="1" errorTitle="Geçersiz durum" error="Son durum listedeki seçeneklerden biri olmalıdır." promptTitle="Yeni Durum" prompt="Belgenin yeni durumu." type="list" errorStyle="stop" operator="between">
      <formula1>LISTELER!$E$4:$E$20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8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8" customWidth="1" style="128" min="1" max="1"/>
    <col width="12" customWidth="1" style="128" min="2" max="2"/>
    <col width="16" customWidth="1" style="128" min="3" max="3"/>
    <col width="18" customWidth="1" style="128" min="4" max="4"/>
    <col width="20" customWidth="1" style="128" min="5" max="5"/>
    <col width="14" customWidth="1" style="128" min="6" max="6"/>
    <col width="12" customWidth="1" style="128" min="7" max="7"/>
    <col hidden="1" width="10" customWidth="1" style="128" min="8" max="8"/>
    <col width="3" customWidth="1" style="128" min="9" max="9"/>
  </cols>
  <sheetData>
    <row r="1" ht="25.5" customHeight="1" s="102">
      <c r="A1" s="129" t="inlineStr">
        <is>
          <t>VADE TAKVIMI — ÇEK–SENET VE VADE RİSK SİSTEMİ</t>
        </is>
      </c>
    </row>
    <row r="2" ht="19.5" customHeight="1" s="102">
      <c r="A2" s="130" t="inlineStr">
        <is>
          <t>Vade takvimi otomatik hesaplanır. Verilen belgeler kümülatif yükümlülük, alınan belgeler risk ağırlıklı tahsil değeri olarak izlenir. Sarı alan girilmez.</t>
        </is>
      </c>
    </row>
    <row r="4" ht="32.25" customHeight="1" s="102">
      <c r="A4" s="145" t="inlineStr">
        <is>
          <t>Rapor Tarihi</t>
        </is>
      </c>
      <c r="B4" s="146">
        <f>AYARLAR!$B$7</f>
        <v/>
      </c>
      <c r="D4" s="147" t="inlineStr">
        <is>
          <t>Günlük karşılık: Verilen kümülatif &lt; Nakit + Risk Ağırlıklı Alınan olmalıdır.</t>
        </is>
      </c>
    </row>
    <row r="6" ht="30" customHeight="1" s="102">
      <c r="A6" s="131" t="inlineStr">
        <is>
          <t>Gün</t>
        </is>
      </c>
      <c r="B6" s="131" t="inlineStr">
        <is>
          <t>Tarih</t>
        </is>
      </c>
      <c r="C6" s="131" t="inlineStr">
        <is>
          <t>Verilen Kümülatif</t>
        </is>
      </c>
      <c r="D6" s="131" t="inlineStr">
        <is>
          <t>Alınan RW Kümülatif</t>
        </is>
      </c>
      <c r="E6" s="131" t="inlineStr">
        <is>
          <t>Kaynaklar (Nakit + RW)</t>
        </is>
      </c>
      <c r="F6" s="131" t="inlineStr">
        <is>
          <t>Karşılık Açığı</t>
        </is>
      </c>
      <c r="G6" s="131" t="inlineStr">
        <is>
          <t>Durum</t>
        </is>
      </c>
      <c r="H6" s="131" t="inlineStr">
        <is>
          <t>Açık (Yardımcı)</t>
        </is>
      </c>
      <c r="I6" s="131" t="inlineStr">
        <is>
          <t>Tahmin (7 Gün)</t>
        </is>
      </c>
    </row>
    <row r="7" ht="15" customHeight="1" s="102">
      <c r="A7" s="148" t="n">
        <v>0</v>
      </c>
      <c r="B7" s="149">
        <f>$B$4+A7</f>
        <v/>
      </c>
      <c r="C7" s="150">
        <f>-SUMIFS(CEK_SENET_KAYIT!$M$6:$M$1000,CEK_SENET_KAYIT!$I$6:$I$1000,"&lt;="&amp;$B7,CEK_SENET_KAYIT!$D$6:$D$1000,"Verilen")</f>
        <v/>
      </c>
      <c r="D7" s="150">
        <f>SUMIFS(CEK_SENET_KAYIT!$AF$6:$AF$1000,CEK_SENET_KAYIT!$I$6:$I$1000,"&lt;="&amp;$B7,CEK_SENET_KAYIT!$D$6:$D$1000,"Alınan")</f>
        <v/>
      </c>
      <c r="E7" s="150">
        <f>SerbestNakit+D7</f>
        <v/>
      </c>
      <c r="F7" s="150">
        <f>MAX(0,C7-E7)</f>
        <v/>
      </c>
      <c r="G7" s="128">
        <f>IF(F7&gt;0,"AÇIK","YETERLİ")</f>
        <v/>
      </c>
      <c r="H7" s="128">
        <f>N(F7&gt;0)</f>
        <v/>
      </c>
      <c r="I7" s="150">
        <f>IFERROR(FORECAST($B7+HaftaUzunluk,$C$7:$C$67,$B$7:$B$67),"")</f>
        <v/>
      </c>
    </row>
    <row r="8" ht="15" customHeight="1" s="102">
      <c r="A8" s="148" t="n">
        <v>1</v>
      </c>
      <c r="B8" s="149">
        <f>$B$4+A8</f>
        <v/>
      </c>
      <c r="C8" s="150">
        <f>-SUMIFS(CEK_SENET_KAYIT!$M$6:$M$1000,CEK_SENET_KAYIT!$I$6:$I$1000,"&lt;="&amp;$B8,CEK_SENET_KAYIT!$D$6:$D$1000,"Verilen")</f>
        <v/>
      </c>
      <c r="D8" s="150">
        <f>SUMIFS(CEK_SENET_KAYIT!$AF$6:$AF$1000,CEK_SENET_KAYIT!$I$6:$I$1000,"&lt;="&amp;$B8,CEK_SENET_KAYIT!$D$6:$D$1000,"Alınan")</f>
        <v/>
      </c>
      <c r="E8" s="150">
        <f>SerbestNakit+D8</f>
        <v/>
      </c>
      <c r="F8" s="150">
        <f>MAX(0,C8-E8)</f>
        <v/>
      </c>
      <c r="G8" s="128">
        <f>IF(F8&gt;0,"AÇIK","YETERLİ")</f>
        <v/>
      </c>
      <c r="H8" s="128">
        <f>N(F8&gt;0)</f>
        <v/>
      </c>
      <c r="I8" s="150">
        <f>IFERROR(FORECAST($B8+HaftaUzunluk,$C$7:$C$67,$B$7:$B$67),"")</f>
        <v/>
      </c>
    </row>
    <row r="9" ht="15" customHeight="1" s="102">
      <c r="A9" s="148" t="n">
        <v>2</v>
      </c>
      <c r="B9" s="149">
        <f>$B$4+A9</f>
        <v/>
      </c>
      <c r="C9" s="150">
        <f>-SUMIFS(CEK_SENET_KAYIT!$M$6:$M$1000,CEK_SENET_KAYIT!$I$6:$I$1000,"&lt;="&amp;$B9,CEK_SENET_KAYIT!$D$6:$D$1000,"Verilen")</f>
        <v/>
      </c>
      <c r="D9" s="150">
        <f>SUMIFS(CEK_SENET_KAYIT!$AF$6:$AF$1000,CEK_SENET_KAYIT!$I$6:$I$1000,"&lt;="&amp;$B9,CEK_SENET_KAYIT!$D$6:$D$1000,"Alınan")</f>
        <v/>
      </c>
      <c r="E9" s="150">
        <f>SerbestNakit+D9</f>
        <v/>
      </c>
      <c r="F9" s="150">
        <f>MAX(0,C9-E9)</f>
        <v/>
      </c>
      <c r="G9" s="128">
        <f>IF(F9&gt;0,"AÇIK","YETERLİ")</f>
        <v/>
      </c>
      <c r="H9" s="128">
        <f>N(F9&gt;0)</f>
        <v/>
      </c>
      <c r="I9" s="150">
        <f>IFERROR(FORECAST($B9+HaftaUzunluk,$C$7:$C$67,$B$7:$B$67),"")</f>
        <v/>
      </c>
    </row>
    <row r="10" ht="15" customHeight="1" s="102">
      <c r="A10" s="148" t="n">
        <v>3</v>
      </c>
      <c r="B10" s="149">
        <f>$B$4+A10</f>
        <v/>
      </c>
      <c r="C10" s="150">
        <f>-SUMIFS(CEK_SENET_KAYIT!$M$6:$M$1000,CEK_SENET_KAYIT!$I$6:$I$1000,"&lt;="&amp;$B10,CEK_SENET_KAYIT!$D$6:$D$1000,"Verilen")</f>
        <v/>
      </c>
      <c r="D10" s="150">
        <f>SUMIFS(CEK_SENET_KAYIT!$AF$6:$AF$1000,CEK_SENET_KAYIT!$I$6:$I$1000,"&lt;="&amp;$B10,CEK_SENET_KAYIT!$D$6:$D$1000,"Alınan")</f>
        <v/>
      </c>
      <c r="E10" s="150">
        <f>SerbestNakit+D10</f>
        <v/>
      </c>
      <c r="F10" s="150">
        <f>MAX(0,C10-E10)</f>
        <v/>
      </c>
      <c r="G10" s="128">
        <f>IF(F10&gt;0,"AÇIK","YETERLİ")</f>
        <v/>
      </c>
      <c r="H10" s="128">
        <f>N(F10&gt;0)</f>
        <v/>
      </c>
      <c r="I10" s="150">
        <f>IFERROR(FORECAST($B10+HaftaUzunluk,$C$7:$C$67,$B$7:$B$67),"")</f>
        <v/>
      </c>
    </row>
    <row r="11" ht="15" customHeight="1" s="102">
      <c r="A11" s="148" t="n">
        <v>4</v>
      </c>
      <c r="B11" s="149">
        <f>$B$4+A11</f>
        <v/>
      </c>
      <c r="C11" s="150">
        <f>-SUMIFS(CEK_SENET_KAYIT!$M$6:$M$1000,CEK_SENET_KAYIT!$I$6:$I$1000,"&lt;="&amp;$B11,CEK_SENET_KAYIT!$D$6:$D$1000,"Verilen")</f>
        <v/>
      </c>
      <c r="D11" s="150">
        <f>SUMIFS(CEK_SENET_KAYIT!$AF$6:$AF$1000,CEK_SENET_KAYIT!$I$6:$I$1000,"&lt;="&amp;$B11,CEK_SENET_KAYIT!$D$6:$D$1000,"Alınan")</f>
        <v/>
      </c>
      <c r="E11" s="150">
        <f>SerbestNakit+D11</f>
        <v/>
      </c>
      <c r="F11" s="150">
        <f>MAX(0,C11-E11)</f>
        <v/>
      </c>
      <c r="G11" s="128">
        <f>IF(F11&gt;0,"AÇIK","YETERLİ")</f>
        <v/>
      </c>
      <c r="H11" s="128">
        <f>N(F11&gt;0)</f>
        <v/>
      </c>
      <c r="I11" s="150">
        <f>IFERROR(FORECAST($B11+HaftaUzunluk,$C$7:$C$67,$B$7:$B$67),"")</f>
        <v/>
      </c>
    </row>
    <row r="12" ht="15" customHeight="1" s="102">
      <c r="A12" s="148" t="n">
        <v>5</v>
      </c>
      <c r="B12" s="149">
        <f>$B$4+A12</f>
        <v/>
      </c>
      <c r="C12" s="150">
        <f>-SUMIFS(CEK_SENET_KAYIT!$M$6:$M$1000,CEK_SENET_KAYIT!$I$6:$I$1000,"&lt;="&amp;$B12,CEK_SENET_KAYIT!$D$6:$D$1000,"Verilen")</f>
        <v/>
      </c>
      <c r="D12" s="150">
        <f>SUMIFS(CEK_SENET_KAYIT!$AF$6:$AF$1000,CEK_SENET_KAYIT!$I$6:$I$1000,"&lt;="&amp;$B12,CEK_SENET_KAYIT!$D$6:$D$1000,"Alınan")</f>
        <v/>
      </c>
      <c r="E12" s="150">
        <f>SerbestNakit+D12</f>
        <v/>
      </c>
      <c r="F12" s="150">
        <f>MAX(0,C12-E12)</f>
        <v/>
      </c>
      <c r="G12" s="128">
        <f>IF(F12&gt;0,"AÇIK","YETERLİ")</f>
        <v/>
      </c>
      <c r="H12" s="128">
        <f>N(F12&gt;0)</f>
        <v/>
      </c>
      <c r="I12" s="150">
        <f>IFERROR(FORECAST($B12+HaftaUzunluk,$C$7:$C$67,$B$7:$B$67),"")</f>
        <v/>
      </c>
    </row>
    <row r="13" ht="15" customHeight="1" s="102">
      <c r="A13" s="148" t="n">
        <v>6</v>
      </c>
      <c r="B13" s="149">
        <f>$B$4+A13</f>
        <v/>
      </c>
      <c r="C13" s="150">
        <f>-SUMIFS(CEK_SENET_KAYIT!$M$6:$M$1000,CEK_SENET_KAYIT!$I$6:$I$1000,"&lt;="&amp;$B13,CEK_SENET_KAYIT!$D$6:$D$1000,"Verilen")</f>
        <v/>
      </c>
      <c r="D13" s="150">
        <f>SUMIFS(CEK_SENET_KAYIT!$AF$6:$AF$1000,CEK_SENET_KAYIT!$I$6:$I$1000,"&lt;="&amp;$B13,CEK_SENET_KAYIT!$D$6:$D$1000,"Alınan")</f>
        <v/>
      </c>
      <c r="E13" s="150">
        <f>SerbestNakit+D13</f>
        <v/>
      </c>
      <c r="F13" s="150">
        <f>MAX(0,C13-E13)</f>
        <v/>
      </c>
      <c r="G13" s="128">
        <f>IF(F13&gt;0,"AÇIK","YETERLİ")</f>
        <v/>
      </c>
      <c r="H13" s="128">
        <f>N(F13&gt;0)</f>
        <v/>
      </c>
      <c r="I13" s="150">
        <f>IFERROR(FORECAST($B13+HaftaUzunluk,$C$7:$C$67,$B$7:$B$67),"")</f>
        <v/>
      </c>
    </row>
    <row r="14" ht="15" customHeight="1" s="102">
      <c r="A14" s="148" t="n">
        <v>7</v>
      </c>
      <c r="B14" s="149">
        <f>$B$4+A14</f>
        <v/>
      </c>
      <c r="C14" s="150">
        <f>-SUMIFS(CEK_SENET_KAYIT!$M$6:$M$1000,CEK_SENET_KAYIT!$I$6:$I$1000,"&lt;="&amp;$B14,CEK_SENET_KAYIT!$D$6:$D$1000,"Verilen")</f>
        <v/>
      </c>
      <c r="D14" s="150">
        <f>SUMIFS(CEK_SENET_KAYIT!$AF$6:$AF$1000,CEK_SENET_KAYIT!$I$6:$I$1000,"&lt;="&amp;$B14,CEK_SENET_KAYIT!$D$6:$D$1000,"Alınan")</f>
        <v/>
      </c>
      <c r="E14" s="150">
        <f>SerbestNakit+D14</f>
        <v/>
      </c>
      <c r="F14" s="150">
        <f>MAX(0,C14-E14)</f>
        <v/>
      </c>
      <c r="G14" s="128">
        <f>IF(F14&gt;0,"AÇIK","YETERLİ")</f>
        <v/>
      </c>
      <c r="H14" s="128">
        <f>N(F14&gt;0)</f>
        <v/>
      </c>
      <c r="I14" s="150">
        <f>IFERROR(FORECAST($B14+HaftaUzunluk,$C$7:$C$67,$B$7:$B$67),"")</f>
        <v/>
      </c>
    </row>
    <row r="15" ht="15" customHeight="1" s="102">
      <c r="A15" s="148" t="n">
        <v>8</v>
      </c>
      <c r="B15" s="149">
        <f>$B$4+A15</f>
        <v/>
      </c>
      <c r="C15" s="150">
        <f>-SUMIFS(CEK_SENET_KAYIT!$M$6:$M$1000,CEK_SENET_KAYIT!$I$6:$I$1000,"&lt;="&amp;$B15,CEK_SENET_KAYIT!$D$6:$D$1000,"Verilen")</f>
        <v/>
      </c>
      <c r="D15" s="150">
        <f>SUMIFS(CEK_SENET_KAYIT!$AF$6:$AF$1000,CEK_SENET_KAYIT!$I$6:$I$1000,"&lt;="&amp;$B15,CEK_SENET_KAYIT!$D$6:$D$1000,"Alınan")</f>
        <v/>
      </c>
      <c r="E15" s="150">
        <f>SerbestNakit+D15</f>
        <v/>
      </c>
      <c r="F15" s="150">
        <f>MAX(0,C15-E15)</f>
        <v/>
      </c>
      <c r="G15" s="128">
        <f>IF(F15&gt;0,"AÇIK","YETERLİ")</f>
        <v/>
      </c>
      <c r="H15" s="128">
        <f>N(F15&gt;0)</f>
        <v/>
      </c>
      <c r="I15" s="150">
        <f>IFERROR(FORECAST($B15+HaftaUzunluk,$C$7:$C$67,$B$7:$B$67),"")</f>
        <v/>
      </c>
    </row>
    <row r="16" ht="15" customHeight="1" s="102">
      <c r="A16" s="148" t="n">
        <v>9</v>
      </c>
      <c r="B16" s="149">
        <f>$B$4+A16</f>
        <v/>
      </c>
      <c r="C16" s="150">
        <f>-SUMIFS(CEK_SENET_KAYIT!$M$6:$M$1000,CEK_SENET_KAYIT!$I$6:$I$1000,"&lt;="&amp;$B16,CEK_SENET_KAYIT!$D$6:$D$1000,"Verilen")</f>
        <v/>
      </c>
      <c r="D16" s="150">
        <f>SUMIFS(CEK_SENET_KAYIT!$AF$6:$AF$1000,CEK_SENET_KAYIT!$I$6:$I$1000,"&lt;="&amp;$B16,CEK_SENET_KAYIT!$D$6:$D$1000,"Alınan")</f>
        <v/>
      </c>
      <c r="E16" s="150">
        <f>SerbestNakit+D16</f>
        <v/>
      </c>
      <c r="F16" s="150">
        <f>MAX(0,C16-E16)</f>
        <v/>
      </c>
      <c r="G16" s="128">
        <f>IF(F16&gt;0,"AÇIK","YETERLİ")</f>
        <v/>
      </c>
      <c r="H16" s="128">
        <f>N(F16&gt;0)</f>
        <v/>
      </c>
      <c r="I16" s="150">
        <f>IFERROR(FORECAST($B16+HaftaUzunluk,$C$7:$C$67,$B$7:$B$67),"")</f>
        <v/>
      </c>
    </row>
    <row r="17" ht="15" customHeight="1" s="102">
      <c r="A17" s="148" t="n">
        <v>10</v>
      </c>
      <c r="B17" s="149">
        <f>$B$4+A17</f>
        <v/>
      </c>
      <c r="C17" s="150">
        <f>-SUMIFS(CEK_SENET_KAYIT!$M$6:$M$1000,CEK_SENET_KAYIT!$I$6:$I$1000,"&lt;="&amp;$B17,CEK_SENET_KAYIT!$D$6:$D$1000,"Verilen")</f>
        <v/>
      </c>
      <c r="D17" s="150">
        <f>SUMIFS(CEK_SENET_KAYIT!$AF$6:$AF$1000,CEK_SENET_KAYIT!$I$6:$I$1000,"&lt;="&amp;$B17,CEK_SENET_KAYIT!$D$6:$D$1000,"Alınan")</f>
        <v/>
      </c>
      <c r="E17" s="150">
        <f>SerbestNakit+D17</f>
        <v/>
      </c>
      <c r="F17" s="150">
        <f>MAX(0,C17-E17)</f>
        <v/>
      </c>
      <c r="G17" s="128">
        <f>IF(F17&gt;0,"AÇIK","YETERLİ")</f>
        <v/>
      </c>
      <c r="H17" s="128">
        <f>N(F17&gt;0)</f>
        <v/>
      </c>
      <c r="I17" s="150">
        <f>IFERROR(FORECAST($B17+HaftaUzunluk,$C$7:$C$67,$B$7:$B$67),"")</f>
        <v/>
      </c>
    </row>
    <row r="18" ht="15" customHeight="1" s="102">
      <c r="A18" s="148" t="n">
        <v>11</v>
      </c>
      <c r="B18" s="149">
        <f>$B$4+A18</f>
        <v/>
      </c>
      <c r="C18" s="150">
        <f>-SUMIFS(CEK_SENET_KAYIT!$M$6:$M$1000,CEK_SENET_KAYIT!$I$6:$I$1000,"&lt;="&amp;$B18,CEK_SENET_KAYIT!$D$6:$D$1000,"Verilen")</f>
        <v/>
      </c>
      <c r="D18" s="150">
        <f>SUMIFS(CEK_SENET_KAYIT!$AF$6:$AF$1000,CEK_SENET_KAYIT!$I$6:$I$1000,"&lt;="&amp;$B18,CEK_SENET_KAYIT!$D$6:$D$1000,"Alınan")</f>
        <v/>
      </c>
      <c r="E18" s="150">
        <f>SerbestNakit+D18</f>
        <v/>
      </c>
      <c r="F18" s="150">
        <f>MAX(0,C18-E18)</f>
        <v/>
      </c>
      <c r="G18" s="128">
        <f>IF(F18&gt;0,"AÇIK","YETERLİ")</f>
        <v/>
      </c>
      <c r="H18" s="128">
        <f>N(F18&gt;0)</f>
        <v/>
      </c>
      <c r="I18" s="150">
        <f>IFERROR(FORECAST($B18+HaftaUzunluk,$C$7:$C$67,$B$7:$B$67),"")</f>
        <v/>
      </c>
    </row>
    <row r="19" ht="15" customHeight="1" s="102">
      <c r="A19" s="148" t="n">
        <v>12</v>
      </c>
      <c r="B19" s="149">
        <f>$B$4+A19</f>
        <v/>
      </c>
      <c r="C19" s="150">
        <f>-SUMIFS(CEK_SENET_KAYIT!$M$6:$M$1000,CEK_SENET_KAYIT!$I$6:$I$1000,"&lt;="&amp;$B19,CEK_SENET_KAYIT!$D$6:$D$1000,"Verilen")</f>
        <v/>
      </c>
      <c r="D19" s="150">
        <f>SUMIFS(CEK_SENET_KAYIT!$AF$6:$AF$1000,CEK_SENET_KAYIT!$I$6:$I$1000,"&lt;="&amp;$B19,CEK_SENET_KAYIT!$D$6:$D$1000,"Alınan")</f>
        <v/>
      </c>
      <c r="E19" s="150">
        <f>SerbestNakit+D19</f>
        <v/>
      </c>
      <c r="F19" s="150">
        <f>MAX(0,C19-E19)</f>
        <v/>
      </c>
      <c r="G19" s="128">
        <f>IF(F19&gt;0,"AÇIK","YETERLİ")</f>
        <v/>
      </c>
      <c r="H19" s="128">
        <f>N(F19&gt;0)</f>
        <v/>
      </c>
      <c r="I19" s="150">
        <f>IFERROR(FORECAST($B19+HaftaUzunluk,$C$7:$C$67,$B$7:$B$67),"")</f>
        <v/>
      </c>
    </row>
    <row r="20" ht="15" customHeight="1" s="102">
      <c r="A20" s="148" t="n">
        <v>13</v>
      </c>
      <c r="B20" s="149">
        <f>$B$4+A20</f>
        <v/>
      </c>
      <c r="C20" s="150">
        <f>-SUMIFS(CEK_SENET_KAYIT!$M$6:$M$1000,CEK_SENET_KAYIT!$I$6:$I$1000,"&lt;="&amp;$B20,CEK_SENET_KAYIT!$D$6:$D$1000,"Verilen")</f>
        <v/>
      </c>
      <c r="D20" s="150">
        <f>SUMIFS(CEK_SENET_KAYIT!$AF$6:$AF$1000,CEK_SENET_KAYIT!$I$6:$I$1000,"&lt;="&amp;$B20,CEK_SENET_KAYIT!$D$6:$D$1000,"Alınan")</f>
        <v/>
      </c>
      <c r="E20" s="150">
        <f>SerbestNakit+D20</f>
        <v/>
      </c>
      <c r="F20" s="150">
        <f>MAX(0,C20-E20)</f>
        <v/>
      </c>
      <c r="G20" s="128">
        <f>IF(F20&gt;0,"AÇIK","YETERLİ")</f>
        <v/>
      </c>
      <c r="H20" s="128">
        <f>N(F20&gt;0)</f>
        <v/>
      </c>
      <c r="I20" s="150">
        <f>IFERROR(FORECAST($B20+HaftaUzunluk,$C$7:$C$67,$B$7:$B$67),"")</f>
        <v/>
      </c>
    </row>
    <row r="21" ht="15" customHeight="1" s="102">
      <c r="A21" s="148" t="n">
        <v>14</v>
      </c>
      <c r="B21" s="149">
        <f>$B$4+A21</f>
        <v/>
      </c>
      <c r="C21" s="150">
        <f>-SUMIFS(CEK_SENET_KAYIT!$M$6:$M$1000,CEK_SENET_KAYIT!$I$6:$I$1000,"&lt;="&amp;$B21,CEK_SENET_KAYIT!$D$6:$D$1000,"Verilen")</f>
        <v/>
      </c>
      <c r="D21" s="150">
        <f>SUMIFS(CEK_SENET_KAYIT!$AF$6:$AF$1000,CEK_SENET_KAYIT!$I$6:$I$1000,"&lt;="&amp;$B21,CEK_SENET_KAYIT!$D$6:$D$1000,"Alınan")</f>
        <v/>
      </c>
      <c r="E21" s="150">
        <f>SerbestNakit+D21</f>
        <v/>
      </c>
      <c r="F21" s="150">
        <f>MAX(0,C21-E21)</f>
        <v/>
      </c>
      <c r="G21" s="128">
        <f>IF(F21&gt;0,"AÇIK","YETERLİ")</f>
        <v/>
      </c>
      <c r="H21" s="128">
        <f>N(F21&gt;0)</f>
        <v/>
      </c>
      <c r="I21" s="150">
        <f>IFERROR(FORECAST($B21+HaftaUzunluk,$C$7:$C$67,$B$7:$B$67),"")</f>
        <v/>
      </c>
    </row>
    <row r="22" ht="15" customHeight="1" s="102">
      <c r="A22" s="148" t="n">
        <v>15</v>
      </c>
      <c r="B22" s="149">
        <f>$B$4+A22</f>
        <v/>
      </c>
      <c r="C22" s="150">
        <f>-SUMIFS(CEK_SENET_KAYIT!$M$6:$M$1000,CEK_SENET_KAYIT!$I$6:$I$1000,"&lt;="&amp;$B22,CEK_SENET_KAYIT!$D$6:$D$1000,"Verilen")</f>
        <v/>
      </c>
      <c r="D22" s="150">
        <f>SUMIFS(CEK_SENET_KAYIT!$AF$6:$AF$1000,CEK_SENET_KAYIT!$I$6:$I$1000,"&lt;="&amp;$B22,CEK_SENET_KAYIT!$D$6:$D$1000,"Alınan")</f>
        <v/>
      </c>
      <c r="E22" s="150">
        <f>SerbestNakit+D22</f>
        <v/>
      </c>
      <c r="F22" s="150">
        <f>MAX(0,C22-E22)</f>
        <v/>
      </c>
      <c r="G22" s="128">
        <f>IF(F22&gt;0,"AÇIK","YETERLİ")</f>
        <v/>
      </c>
      <c r="H22" s="128">
        <f>N(F22&gt;0)</f>
        <v/>
      </c>
      <c r="I22" s="150">
        <f>IFERROR(FORECAST($B22+HaftaUzunluk,$C$7:$C$67,$B$7:$B$67),"")</f>
        <v/>
      </c>
    </row>
    <row r="23" ht="15" customHeight="1" s="102">
      <c r="A23" s="148" t="n">
        <v>16</v>
      </c>
      <c r="B23" s="149">
        <f>$B$4+A23</f>
        <v/>
      </c>
      <c r="C23" s="150">
        <f>-SUMIFS(CEK_SENET_KAYIT!$M$6:$M$1000,CEK_SENET_KAYIT!$I$6:$I$1000,"&lt;="&amp;$B23,CEK_SENET_KAYIT!$D$6:$D$1000,"Verilen")</f>
        <v/>
      </c>
      <c r="D23" s="150">
        <f>SUMIFS(CEK_SENET_KAYIT!$AF$6:$AF$1000,CEK_SENET_KAYIT!$I$6:$I$1000,"&lt;="&amp;$B23,CEK_SENET_KAYIT!$D$6:$D$1000,"Alınan")</f>
        <v/>
      </c>
      <c r="E23" s="150">
        <f>SerbestNakit+D23</f>
        <v/>
      </c>
      <c r="F23" s="150">
        <f>MAX(0,C23-E23)</f>
        <v/>
      </c>
      <c r="G23" s="128">
        <f>IF(F23&gt;0,"AÇIK","YETERLİ")</f>
        <v/>
      </c>
      <c r="H23" s="128">
        <f>N(F23&gt;0)</f>
        <v/>
      </c>
      <c r="I23" s="150">
        <f>IFERROR(FORECAST($B23+HaftaUzunluk,$C$7:$C$67,$B$7:$B$67),"")</f>
        <v/>
      </c>
    </row>
    <row r="24" ht="15" customHeight="1" s="102">
      <c r="A24" s="148" t="n">
        <v>17</v>
      </c>
      <c r="B24" s="149">
        <f>$B$4+A24</f>
        <v/>
      </c>
      <c r="C24" s="150">
        <f>-SUMIFS(CEK_SENET_KAYIT!$M$6:$M$1000,CEK_SENET_KAYIT!$I$6:$I$1000,"&lt;="&amp;$B24,CEK_SENET_KAYIT!$D$6:$D$1000,"Verilen")</f>
        <v/>
      </c>
      <c r="D24" s="150">
        <f>SUMIFS(CEK_SENET_KAYIT!$AF$6:$AF$1000,CEK_SENET_KAYIT!$I$6:$I$1000,"&lt;="&amp;$B24,CEK_SENET_KAYIT!$D$6:$D$1000,"Alınan")</f>
        <v/>
      </c>
      <c r="E24" s="150">
        <f>SerbestNakit+D24</f>
        <v/>
      </c>
      <c r="F24" s="150">
        <f>MAX(0,C24-E24)</f>
        <v/>
      </c>
      <c r="G24" s="128">
        <f>IF(F24&gt;0,"AÇIK","YETERLİ")</f>
        <v/>
      </c>
      <c r="H24" s="128">
        <f>N(F24&gt;0)</f>
        <v/>
      </c>
      <c r="I24" s="150">
        <f>IFERROR(FORECAST($B24+HaftaUzunluk,$C$7:$C$67,$B$7:$B$67),"")</f>
        <v/>
      </c>
    </row>
    <row r="25" ht="15" customHeight="1" s="102">
      <c r="A25" s="148" t="n">
        <v>18</v>
      </c>
      <c r="B25" s="149">
        <f>$B$4+A25</f>
        <v/>
      </c>
      <c r="C25" s="150">
        <f>-SUMIFS(CEK_SENET_KAYIT!$M$6:$M$1000,CEK_SENET_KAYIT!$I$6:$I$1000,"&lt;="&amp;$B25,CEK_SENET_KAYIT!$D$6:$D$1000,"Verilen")</f>
        <v/>
      </c>
      <c r="D25" s="150">
        <f>SUMIFS(CEK_SENET_KAYIT!$AF$6:$AF$1000,CEK_SENET_KAYIT!$I$6:$I$1000,"&lt;="&amp;$B25,CEK_SENET_KAYIT!$D$6:$D$1000,"Alınan")</f>
        <v/>
      </c>
      <c r="E25" s="150">
        <f>SerbestNakit+D25</f>
        <v/>
      </c>
      <c r="F25" s="150">
        <f>MAX(0,C25-E25)</f>
        <v/>
      </c>
      <c r="G25" s="128">
        <f>IF(F25&gt;0,"AÇIK","YETERLİ")</f>
        <v/>
      </c>
      <c r="H25" s="128">
        <f>N(F25&gt;0)</f>
        <v/>
      </c>
      <c r="I25" s="150">
        <f>IFERROR(FORECAST($B25+HaftaUzunluk,$C$7:$C$67,$B$7:$B$67),"")</f>
        <v/>
      </c>
    </row>
    <row r="26" ht="15" customHeight="1" s="102">
      <c r="A26" s="148" t="n">
        <v>19</v>
      </c>
      <c r="B26" s="149">
        <f>$B$4+A26</f>
        <v/>
      </c>
      <c r="C26" s="150">
        <f>-SUMIFS(CEK_SENET_KAYIT!$M$6:$M$1000,CEK_SENET_KAYIT!$I$6:$I$1000,"&lt;="&amp;$B26,CEK_SENET_KAYIT!$D$6:$D$1000,"Verilen")</f>
        <v/>
      </c>
      <c r="D26" s="150">
        <f>SUMIFS(CEK_SENET_KAYIT!$AF$6:$AF$1000,CEK_SENET_KAYIT!$I$6:$I$1000,"&lt;="&amp;$B26,CEK_SENET_KAYIT!$D$6:$D$1000,"Alınan")</f>
        <v/>
      </c>
      <c r="E26" s="150">
        <f>SerbestNakit+D26</f>
        <v/>
      </c>
      <c r="F26" s="150">
        <f>MAX(0,C26-E26)</f>
        <v/>
      </c>
      <c r="G26" s="128">
        <f>IF(F26&gt;0,"AÇIK","YETERLİ")</f>
        <v/>
      </c>
      <c r="H26" s="128">
        <f>N(F26&gt;0)</f>
        <v/>
      </c>
      <c r="I26" s="150">
        <f>IFERROR(FORECAST($B26+HaftaUzunluk,$C$7:$C$67,$B$7:$B$67),"")</f>
        <v/>
      </c>
    </row>
    <row r="27" ht="15" customHeight="1" s="102">
      <c r="A27" s="148" t="n">
        <v>20</v>
      </c>
      <c r="B27" s="149">
        <f>$B$4+A27</f>
        <v/>
      </c>
      <c r="C27" s="150">
        <f>-SUMIFS(CEK_SENET_KAYIT!$M$6:$M$1000,CEK_SENET_KAYIT!$I$6:$I$1000,"&lt;="&amp;$B27,CEK_SENET_KAYIT!$D$6:$D$1000,"Verilen")</f>
        <v/>
      </c>
      <c r="D27" s="150">
        <f>SUMIFS(CEK_SENET_KAYIT!$AF$6:$AF$1000,CEK_SENET_KAYIT!$I$6:$I$1000,"&lt;="&amp;$B27,CEK_SENET_KAYIT!$D$6:$D$1000,"Alınan")</f>
        <v/>
      </c>
      <c r="E27" s="150">
        <f>SerbestNakit+D27</f>
        <v/>
      </c>
      <c r="F27" s="150">
        <f>MAX(0,C27-E27)</f>
        <v/>
      </c>
      <c r="G27" s="128">
        <f>IF(F27&gt;0,"AÇIK","YETERLİ")</f>
        <v/>
      </c>
      <c r="H27" s="128">
        <f>N(F27&gt;0)</f>
        <v/>
      </c>
      <c r="I27" s="150">
        <f>IFERROR(FORECAST($B27+HaftaUzunluk,$C$7:$C$67,$B$7:$B$67),"")</f>
        <v/>
      </c>
    </row>
    <row r="28" ht="15" customHeight="1" s="102">
      <c r="A28" s="148" t="n">
        <v>21</v>
      </c>
      <c r="B28" s="149">
        <f>$B$4+A28</f>
        <v/>
      </c>
      <c r="C28" s="150">
        <f>-SUMIFS(CEK_SENET_KAYIT!$M$6:$M$1000,CEK_SENET_KAYIT!$I$6:$I$1000,"&lt;="&amp;$B28,CEK_SENET_KAYIT!$D$6:$D$1000,"Verilen")</f>
        <v/>
      </c>
      <c r="D28" s="150">
        <f>SUMIFS(CEK_SENET_KAYIT!$AF$6:$AF$1000,CEK_SENET_KAYIT!$I$6:$I$1000,"&lt;="&amp;$B28,CEK_SENET_KAYIT!$D$6:$D$1000,"Alınan")</f>
        <v/>
      </c>
      <c r="E28" s="150">
        <f>SerbestNakit+D28</f>
        <v/>
      </c>
      <c r="F28" s="150">
        <f>MAX(0,C28-E28)</f>
        <v/>
      </c>
      <c r="G28" s="128">
        <f>IF(F28&gt;0,"AÇIK","YETERLİ")</f>
        <v/>
      </c>
      <c r="H28" s="128">
        <f>N(F28&gt;0)</f>
        <v/>
      </c>
      <c r="I28" s="150">
        <f>IFERROR(FORECAST($B28+HaftaUzunluk,$C$7:$C$67,$B$7:$B$67),"")</f>
        <v/>
      </c>
    </row>
    <row r="29" ht="15" customHeight="1" s="102">
      <c r="A29" s="148" t="n">
        <v>22</v>
      </c>
      <c r="B29" s="149">
        <f>$B$4+A29</f>
        <v/>
      </c>
      <c r="C29" s="150">
        <f>-SUMIFS(CEK_SENET_KAYIT!$M$6:$M$1000,CEK_SENET_KAYIT!$I$6:$I$1000,"&lt;="&amp;$B29,CEK_SENET_KAYIT!$D$6:$D$1000,"Verilen")</f>
        <v/>
      </c>
      <c r="D29" s="150">
        <f>SUMIFS(CEK_SENET_KAYIT!$AF$6:$AF$1000,CEK_SENET_KAYIT!$I$6:$I$1000,"&lt;="&amp;$B29,CEK_SENET_KAYIT!$D$6:$D$1000,"Alınan")</f>
        <v/>
      </c>
      <c r="E29" s="150">
        <f>SerbestNakit+D29</f>
        <v/>
      </c>
      <c r="F29" s="150">
        <f>MAX(0,C29-E29)</f>
        <v/>
      </c>
      <c r="G29" s="128">
        <f>IF(F29&gt;0,"AÇIK","YETERLİ")</f>
        <v/>
      </c>
      <c r="H29" s="128">
        <f>N(F29&gt;0)</f>
        <v/>
      </c>
      <c r="I29" s="150">
        <f>IFERROR(FORECAST($B29+HaftaUzunluk,$C$7:$C$67,$B$7:$B$67),"")</f>
        <v/>
      </c>
    </row>
    <row r="30" ht="15" customHeight="1" s="102">
      <c r="A30" s="148" t="n">
        <v>23</v>
      </c>
      <c r="B30" s="149">
        <f>$B$4+A30</f>
        <v/>
      </c>
      <c r="C30" s="150">
        <f>-SUMIFS(CEK_SENET_KAYIT!$M$6:$M$1000,CEK_SENET_KAYIT!$I$6:$I$1000,"&lt;="&amp;$B30,CEK_SENET_KAYIT!$D$6:$D$1000,"Verilen")</f>
        <v/>
      </c>
      <c r="D30" s="150">
        <f>SUMIFS(CEK_SENET_KAYIT!$AF$6:$AF$1000,CEK_SENET_KAYIT!$I$6:$I$1000,"&lt;="&amp;$B30,CEK_SENET_KAYIT!$D$6:$D$1000,"Alınan")</f>
        <v/>
      </c>
      <c r="E30" s="150">
        <f>SerbestNakit+D30</f>
        <v/>
      </c>
      <c r="F30" s="150">
        <f>MAX(0,C30-E30)</f>
        <v/>
      </c>
      <c r="G30" s="128">
        <f>IF(F30&gt;0,"AÇIK","YETERLİ")</f>
        <v/>
      </c>
      <c r="H30" s="128">
        <f>N(F30&gt;0)</f>
        <v/>
      </c>
      <c r="I30" s="150">
        <f>IFERROR(FORECAST($B30+HaftaUzunluk,$C$7:$C$67,$B$7:$B$67),"")</f>
        <v/>
      </c>
    </row>
    <row r="31" ht="15" customHeight="1" s="102">
      <c r="A31" s="148" t="n">
        <v>24</v>
      </c>
      <c r="B31" s="149">
        <f>$B$4+A31</f>
        <v/>
      </c>
      <c r="C31" s="150">
        <f>-SUMIFS(CEK_SENET_KAYIT!$M$6:$M$1000,CEK_SENET_KAYIT!$I$6:$I$1000,"&lt;="&amp;$B31,CEK_SENET_KAYIT!$D$6:$D$1000,"Verilen")</f>
        <v/>
      </c>
      <c r="D31" s="150">
        <f>SUMIFS(CEK_SENET_KAYIT!$AF$6:$AF$1000,CEK_SENET_KAYIT!$I$6:$I$1000,"&lt;="&amp;$B31,CEK_SENET_KAYIT!$D$6:$D$1000,"Alınan")</f>
        <v/>
      </c>
      <c r="E31" s="150">
        <f>SerbestNakit+D31</f>
        <v/>
      </c>
      <c r="F31" s="150">
        <f>MAX(0,C31-E31)</f>
        <v/>
      </c>
      <c r="G31" s="128">
        <f>IF(F31&gt;0,"AÇIK","YETERLİ")</f>
        <v/>
      </c>
      <c r="H31" s="128">
        <f>N(F31&gt;0)</f>
        <v/>
      </c>
      <c r="I31" s="150">
        <f>IFERROR(FORECAST($B31+HaftaUzunluk,$C$7:$C$67,$B$7:$B$67),"")</f>
        <v/>
      </c>
    </row>
    <row r="32" ht="15" customHeight="1" s="102">
      <c r="A32" s="148" t="n">
        <v>25</v>
      </c>
      <c r="B32" s="149">
        <f>$B$4+A32</f>
        <v/>
      </c>
      <c r="C32" s="150">
        <f>-SUMIFS(CEK_SENET_KAYIT!$M$6:$M$1000,CEK_SENET_KAYIT!$I$6:$I$1000,"&lt;="&amp;$B32,CEK_SENET_KAYIT!$D$6:$D$1000,"Verilen")</f>
        <v/>
      </c>
      <c r="D32" s="150">
        <f>SUMIFS(CEK_SENET_KAYIT!$AF$6:$AF$1000,CEK_SENET_KAYIT!$I$6:$I$1000,"&lt;="&amp;$B32,CEK_SENET_KAYIT!$D$6:$D$1000,"Alınan")</f>
        <v/>
      </c>
      <c r="E32" s="150">
        <f>SerbestNakit+D32</f>
        <v/>
      </c>
      <c r="F32" s="150">
        <f>MAX(0,C32-E32)</f>
        <v/>
      </c>
      <c r="G32" s="128">
        <f>IF(F32&gt;0,"AÇIK","YETERLİ")</f>
        <v/>
      </c>
      <c r="H32" s="128">
        <f>N(F32&gt;0)</f>
        <v/>
      </c>
      <c r="I32" s="150">
        <f>IFERROR(FORECAST($B32+HaftaUzunluk,$C$7:$C$67,$B$7:$B$67),"")</f>
        <v/>
      </c>
    </row>
    <row r="33" ht="15" customHeight="1" s="102">
      <c r="A33" s="148" t="n">
        <v>26</v>
      </c>
      <c r="B33" s="149">
        <f>$B$4+A33</f>
        <v/>
      </c>
      <c r="C33" s="150">
        <f>-SUMIFS(CEK_SENET_KAYIT!$M$6:$M$1000,CEK_SENET_KAYIT!$I$6:$I$1000,"&lt;="&amp;$B33,CEK_SENET_KAYIT!$D$6:$D$1000,"Verilen")</f>
        <v/>
      </c>
      <c r="D33" s="150">
        <f>SUMIFS(CEK_SENET_KAYIT!$AF$6:$AF$1000,CEK_SENET_KAYIT!$I$6:$I$1000,"&lt;="&amp;$B33,CEK_SENET_KAYIT!$D$6:$D$1000,"Alınan")</f>
        <v/>
      </c>
      <c r="E33" s="150">
        <f>SerbestNakit+D33</f>
        <v/>
      </c>
      <c r="F33" s="150">
        <f>MAX(0,C33-E33)</f>
        <v/>
      </c>
      <c r="G33" s="128">
        <f>IF(F33&gt;0,"AÇIK","YETERLİ")</f>
        <v/>
      </c>
      <c r="H33" s="128">
        <f>N(F33&gt;0)</f>
        <v/>
      </c>
      <c r="I33" s="150">
        <f>IFERROR(FORECAST($B33+HaftaUzunluk,$C$7:$C$67,$B$7:$B$67),"")</f>
        <v/>
      </c>
    </row>
    <row r="34" ht="15" customHeight="1" s="102">
      <c r="A34" s="148" t="n">
        <v>27</v>
      </c>
      <c r="B34" s="149">
        <f>$B$4+A34</f>
        <v/>
      </c>
      <c r="C34" s="150">
        <f>-SUMIFS(CEK_SENET_KAYIT!$M$6:$M$1000,CEK_SENET_KAYIT!$I$6:$I$1000,"&lt;="&amp;$B34,CEK_SENET_KAYIT!$D$6:$D$1000,"Verilen")</f>
        <v/>
      </c>
      <c r="D34" s="150">
        <f>SUMIFS(CEK_SENET_KAYIT!$AF$6:$AF$1000,CEK_SENET_KAYIT!$I$6:$I$1000,"&lt;="&amp;$B34,CEK_SENET_KAYIT!$D$6:$D$1000,"Alınan")</f>
        <v/>
      </c>
      <c r="E34" s="150">
        <f>SerbestNakit+D34</f>
        <v/>
      </c>
      <c r="F34" s="150">
        <f>MAX(0,C34-E34)</f>
        <v/>
      </c>
      <c r="G34" s="128">
        <f>IF(F34&gt;0,"AÇIK","YETERLİ")</f>
        <v/>
      </c>
      <c r="H34" s="128">
        <f>N(F34&gt;0)</f>
        <v/>
      </c>
      <c r="I34" s="150">
        <f>IFERROR(FORECAST($B34+HaftaUzunluk,$C$7:$C$67,$B$7:$B$67),"")</f>
        <v/>
      </c>
    </row>
    <row r="35" ht="15" customHeight="1" s="102">
      <c r="A35" s="148" t="n">
        <v>28</v>
      </c>
      <c r="B35" s="149">
        <f>$B$4+A35</f>
        <v/>
      </c>
      <c r="C35" s="150">
        <f>-SUMIFS(CEK_SENET_KAYIT!$M$6:$M$1000,CEK_SENET_KAYIT!$I$6:$I$1000,"&lt;="&amp;$B35,CEK_SENET_KAYIT!$D$6:$D$1000,"Verilen")</f>
        <v/>
      </c>
      <c r="D35" s="150">
        <f>SUMIFS(CEK_SENET_KAYIT!$AF$6:$AF$1000,CEK_SENET_KAYIT!$I$6:$I$1000,"&lt;="&amp;$B35,CEK_SENET_KAYIT!$D$6:$D$1000,"Alınan")</f>
        <v/>
      </c>
      <c r="E35" s="150">
        <f>SerbestNakit+D35</f>
        <v/>
      </c>
      <c r="F35" s="150">
        <f>MAX(0,C35-E35)</f>
        <v/>
      </c>
      <c r="G35" s="128">
        <f>IF(F35&gt;0,"AÇIK","YETERLİ")</f>
        <v/>
      </c>
      <c r="H35" s="128">
        <f>N(F35&gt;0)</f>
        <v/>
      </c>
      <c r="I35" s="150">
        <f>IFERROR(FORECAST($B35+HaftaUzunluk,$C$7:$C$67,$B$7:$B$67),"")</f>
        <v/>
      </c>
    </row>
    <row r="36" ht="15" customHeight="1" s="102">
      <c r="A36" s="148" t="n">
        <v>29</v>
      </c>
      <c r="B36" s="149">
        <f>$B$4+A36</f>
        <v/>
      </c>
      <c r="C36" s="150">
        <f>-SUMIFS(CEK_SENET_KAYIT!$M$6:$M$1000,CEK_SENET_KAYIT!$I$6:$I$1000,"&lt;="&amp;$B36,CEK_SENET_KAYIT!$D$6:$D$1000,"Verilen")</f>
        <v/>
      </c>
      <c r="D36" s="150">
        <f>SUMIFS(CEK_SENET_KAYIT!$AF$6:$AF$1000,CEK_SENET_KAYIT!$I$6:$I$1000,"&lt;="&amp;$B36,CEK_SENET_KAYIT!$D$6:$D$1000,"Alınan")</f>
        <v/>
      </c>
      <c r="E36" s="150">
        <f>SerbestNakit+D36</f>
        <v/>
      </c>
      <c r="F36" s="150">
        <f>MAX(0,C36-E36)</f>
        <v/>
      </c>
      <c r="G36" s="128">
        <f>IF(F36&gt;0,"AÇIK","YETERLİ")</f>
        <v/>
      </c>
      <c r="H36" s="128">
        <f>N(F36&gt;0)</f>
        <v/>
      </c>
      <c r="I36" s="150">
        <f>IFERROR(FORECAST($B36+HaftaUzunluk,$C$7:$C$67,$B$7:$B$67),"")</f>
        <v/>
      </c>
    </row>
    <row r="37" ht="15" customHeight="1" s="102">
      <c r="A37" s="148" t="n">
        <v>30</v>
      </c>
      <c r="B37" s="149">
        <f>$B$4+A37</f>
        <v/>
      </c>
      <c r="C37" s="150">
        <f>-SUMIFS(CEK_SENET_KAYIT!$M$6:$M$1000,CEK_SENET_KAYIT!$I$6:$I$1000,"&lt;="&amp;$B37,CEK_SENET_KAYIT!$D$6:$D$1000,"Verilen")</f>
        <v/>
      </c>
      <c r="D37" s="150">
        <f>SUMIFS(CEK_SENET_KAYIT!$AF$6:$AF$1000,CEK_SENET_KAYIT!$I$6:$I$1000,"&lt;="&amp;$B37,CEK_SENET_KAYIT!$D$6:$D$1000,"Alınan")</f>
        <v/>
      </c>
      <c r="E37" s="150">
        <f>SerbestNakit+D37</f>
        <v/>
      </c>
      <c r="F37" s="150">
        <f>MAX(0,C37-E37)</f>
        <v/>
      </c>
      <c r="G37" s="128">
        <f>IF(F37&gt;0,"AÇIK","YETERLİ")</f>
        <v/>
      </c>
      <c r="H37" s="128">
        <f>N(F37&gt;0)</f>
        <v/>
      </c>
      <c r="I37" s="150">
        <f>IFERROR(FORECAST($B37+HaftaUzunluk,$C$7:$C$67,$B$7:$B$67),"")</f>
        <v/>
      </c>
    </row>
    <row r="38" ht="15" customHeight="1" s="102">
      <c r="A38" s="148" t="n">
        <v>31</v>
      </c>
      <c r="B38" s="149">
        <f>$B$4+A38</f>
        <v/>
      </c>
      <c r="C38" s="150">
        <f>-SUMIFS(CEK_SENET_KAYIT!$M$6:$M$1000,CEK_SENET_KAYIT!$I$6:$I$1000,"&lt;="&amp;$B38,CEK_SENET_KAYIT!$D$6:$D$1000,"Verilen")</f>
        <v/>
      </c>
      <c r="D38" s="150">
        <f>SUMIFS(CEK_SENET_KAYIT!$AF$6:$AF$1000,CEK_SENET_KAYIT!$I$6:$I$1000,"&lt;="&amp;$B38,CEK_SENET_KAYIT!$D$6:$D$1000,"Alınan")</f>
        <v/>
      </c>
      <c r="E38" s="150">
        <f>SerbestNakit+D38</f>
        <v/>
      </c>
      <c r="F38" s="150">
        <f>MAX(0,C38-E38)</f>
        <v/>
      </c>
      <c r="G38" s="128">
        <f>IF(F38&gt;0,"AÇIK","YETERLİ")</f>
        <v/>
      </c>
      <c r="H38" s="128">
        <f>N(F38&gt;0)</f>
        <v/>
      </c>
      <c r="I38" s="150">
        <f>IFERROR(FORECAST($B38+HaftaUzunluk,$C$7:$C$67,$B$7:$B$67),"")</f>
        <v/>
      </c>
    </row>
    <row r="39" ht="15" customHeight="1" s="102">
      <c r="A39" s="148" t="n">
        <v>32</v>
      </c>
      <c r="B39" s="149">
        <f>$B$4+A39</f>
        <v/>
      </c>
      <c r="C39" s="150">
        <f>-SUMIFS(CEK_SENET_KAYIT!$M$6:$M$1000,CEK_SENET_KAYIT!$I$6:$I$1000,"&lt;="&amp;$B39,CEK_SENET_KAYIT!$D$6:$D$1000,"Verilen")</f>
        <v/>
      </c>
      <c r="D39" s="150">
        <f>SUMIFS(CEK_SENET_KAYIT!$AF$6:$AF$1000,CEK_SENET_KAYIT!$I$6:$I$1000,"&lt;="&amp;$B39,CEK_SENET_KAYIT!$D$6:$D$1000,"Alınan")</f>
        <v/>
      </c>
      <c r="E39" s="150">
        <f>SerbestNakit+D39</f>
        <v/>
      </c>
      <c r="F39" s="150">
        <f>MAX(0,C39-E39)</f>
        <v/>
      </c>
      <c r="G39" s="128">
        <f>IF(F39&gt;0,"AÇIK","YETERLİ")</f>
        <v/>
      </c>
      <c r="H39" s="128">
        <f>N(F39&gt;0)</f>
        <v/>
      </c>
      <c r="I39" s="150">
        <f>IFERROR(FORECAST($B39+HaftaUzunluk,$C$7:$C$67,$B$7:$B$67),"")</f>
        <v/>
      </c>
    </row>
    <row r="40" ht="15" customHeight="1" s="102">
      <c r="A40" s="148" t="n">
        <v>33</v>
      </c>
      <c r="B40" s="149">
        <f>$B$4+A40</f>
        <v/>
      </c>
      <c r="C40" s="150">
        <f>-SUMIFS(CEK_SENET_KAYIT!$M$6:$M$1000,CEK_SENET_KAYIT!$I$6:$I$1000,"&lt;="&amp;$B40,CEK_SENET_KAYIT!$D$6:$D$1000,"Verilen")</f>
        <v/>
      </c>
      <c r="D40" s="150">
        <f>SUMIFS(CEK_SENET_KAYIT!$AF$6:$AF$1000,CEK_SENET_KAYIT!$I$6:$I$1000,"&lt;="&amp;$B40,CEK_SENET_KAYIT!$D$6:$D$1000,"Alınan")</f>
        <v/>
      </c>
      <c r="E40" s="150">
        <f>SerbestNakit+D40</f>
        <v/>
      </c>
      <c r="F40" s="150">
        <f>MAX(0,C40-E40)</f>
        <v/>
      </c>
      <c r="G40" s="128">
        <f>IF(F40&gt;0,"AÇIK","YETERLİ")</f>
        <v/>
      </c>
      <c r="H40" s="128">
        <f>N(F40&gt;0)</f>
        <v/>
      </c>
      <c r="I40" s="150">
        <f>IFERROR(FORECAST($B40+HaftaUzunluk,$C$7:$C$67,$B$7:$B$67),"")</f>
        <v/>
      </c>
    </row>
    <row r="41" ht="15" customHeight="1" s="102">
      <c r="A41" s="148" t="n">
        <v>34</v>
      </c>
      <c r="B41" s="149">
        <f>$B$4+A41</f>
        <v/>
      </c>
      <c r="C41" s="150">
        <f>-SUMIFS(CEK_SENET_KAYIT!$M$6:$M$1000,CEK_SENET_KAYIT!$I$6:$I$1000,"&lt;="&amp;$B41,CEK_SENET_KAYIT!$D$6:$D$1000,"Verilen")</f>
        <v/>
      </c>
      <c r="D41" s="150">
        <f>SUMIFS(CEK_SENET_KAYIT!$AF$6:$AF$1000,CEK_SENET_KAYIT!$I$6:$I$1000,"&lt;="&amp;$B41,CEK_SENET_KAYIT!$D$6:$D$1000,"Alınan")</f>
        <v/>
      </c>
      <c r="E41" s="150">
        <f>SerbestNakit+D41</f>
        <v/>
      </c>
      <c r="F41" s="150">
        <f>MAX(0,C41-E41)</f>
        <v/>
      </c>
      <c r="G41" s="128">
        <f>IF(F41&gt;0,"AÇIK","YETERLİ")</f>
        <v/>
      </c>
      <c r="H41" s="128">
        <f>N(F41&gt;0)</f>
        <v/>
      </c>
      <c r="I41" s="150">
        <f>IFERROR(FORECAST($B41+HaftaUzunluk,$C$7:$C$67,$B$7:$B$67),"")</f>
        <v/>
      </c>
    </row>
    <row r="42" ht="15" customHeight="1" s="102">
      <c r="A42" s="148" t="n">
        <v>35</v>
      </c>
      <c r="B42" s="149">
        <f>$B$4+A42</f>
        <v/>
      </c>
      <c r="C42" s="150">
        <f>-SUMIFS(CEK_SENET_KAYIT!$M$6:$M$1000,CEK_SENET_KAYIT!$I$6:$I$1000,"&lt;="&amp;$B42,CEK_SENET_KAYIT!$D$6:$D$1000,"Verilen")</f>
        <v/>
      </c>
      <c r="D42" s="150">
        <f>SUMIFS(CEK_SENET_KAYIT!$AF$6:$AF$1000,CEK_SENET_KAYIT!$I$6:$I$1000,"&lt;="&amp;$B42,CEK_SENET_KAYIT!$D$6:$D$1000,"Alınan")</f>
        <v/>
      </c>
      <c r="E42" s="150">
        <f>SerbestNakit+D42</f>
        <v/>
      </c>
      <c r="F42" s="150">
        <f>MAX(0,C42-E42)</f>
        <v/>
      </c>
      <c r="G42" s="128">
        <f>IF(F42&gt;0,"AÇIK","YETERLİ")</f>
        <v/>
      </c>
      <c r="H42" s="128">
        <f>N(F42&gt;0)</f>
        <v/>
      </c>
      <c r="I42" s="150">
        <f>IFERROR(FORECAST($B42+HaftaUzunluk,$C$7:$C$67,$B$7:$B$67),"")</f>
        <v/>
      </c>
    </row>
    <row r="43" ht="15" customHeight="1" s="102">
      <c r="A43" s="148" t="n">
        <v>36</v>
      </c>
      <c r="B43" s="149">
        <f>$B$4+A43</f>
        <v/>
      </c>
      <c r="C43" s="150">
        <f>-SUMIFS(CEK_SENET_KAYIT!$M$6:$M$1000,CEK_SENET_KAYIT!$I$6:$I$1000,"&lt;="&amp;$B43,CEK_SENET_KAYIT!$D$6:$D$1000,"Verilen")</f>
        <v/>
      </c>
      <c r="D43" s="150">
        <f>SUMIFS(CEK_SENET_KAYIT!$AF$6:$AF$1000,CEK_SENET_KAYIT!$I$6:$I$1000,"&lt;="&amp;$B43,CEK_SENET_KAYIT!$D$6:$D$1000,"Alınan")</f>
        <v/>
      </c>
      <c r="E43" s="150">
        <f>SerbestNakit+D43</f>
        <v/>
      </c>
      <c r="F43" s="150">
        <f>MAX(0,C43-E43)</f>
        <v/>
      </c>
      <c r="G43" s="128">
        <f>IF(F43&gt;0,"AÇIK","YETERLİ")</f>
        <v/>
      </c>
      <c r="H43" s="128">
        <f>N(F43&gt;0)</f>
        <v/>
      </c>
      <c r="I43" s="150">
        <f>IFERROR(FORECAST($B43+HaftaUzunluk,$C$7:$C$67,$B$7:$B$67),"")</f>
        <v/>
      </c>
    </row>
    <row r="44" ht="15" customHeight="1" s="102">
      <c r="A44" s="148" t="n">
        <v>37</v>
      </c>
      <c r="B44" s="149">
        <f>$B$4+A44</f>
        <v/>
      </c>
      <c r="C44" s="150">
        <f>-SUMIFS(CEK_SENET_KAYIT!$M$6:$M$1000,CEK_SENET_KAYIT!$I$6:$I$1000,"&lt;="&amp;$B44,CEK_SENET_KAYIT!$D$6:$D$1000,"Verilen")</f>
        <v/>
      </c>
      <c r="D44" s="150">
        <f>SUMIFS(CEK_SENET_KAYIT!$AF$6:$AF$1000,CEK_SENET_KAYIT!$I$6:$I$1000,"&lt;="&amp;$B44,CEK_SENET_KAYIT!$D$6:$D$1000,"Alınan")</f>
        <v/>
      </c>
      <c r="E44" s="150">
        <f>SerbestNakit+D44</f>
        <v/>
      </c>
      <c r="F44" s="150">
        <f>MAX(0,C44-E44)</f>
        <v/>
      </c>
      <c r="G44" s="128">
        <f>IF(F44&gt;0,"AÇIK","YETERLİ")</f>
        <v/>
      </c>
      <c r="H44" s="128">
        <f>N(F44&gt;0)</f>
        <v/>
      </c>
      <c r="I44" s="150">
        <f>IFERROR(FORECAST($B44+HaftaUzunluk,$C$7:$C$67,$B$7:$B$67),"")</f>
        <v/>
      </c>
    </row>
    <row r="45" ht="15" customHeight="1" s="102">
      <c r="A45" s="148" t="n">
        <v>38</v>
      </c>
      <c r="B45" s="149">
        <f>$B$4+A45</f>
        <v/>
      </c>
      <c r="C45" s="150">
        <f>-SUMIFS(CEK_SENET_KAYIT!$M$6:$M$1000,CEK_SENET_KAYIT!$I$6:$I$1000,"&lt;="&amp;$B45,CEK_SENET_KAYIT!$D$6:$D$1000,"Verilen")</f>
        <v/>
      </c>
      <c r="D45" s="150">
        <f>SUMIFS(CEK_SENET_KAYIT!$AF$6:$AF$1000,CEK_SENET_KAYIT!$I$6:$I$1000,"&lt;="&amp;$B45,CEK_SENET_KAYIT!$D$6:$D$1000,"Alınan")</f>
        <v/>
      </c>
      <c r="E45" s="150">
        <f>SerbestNakit+D45</f>
        <v/>
      </c>
      <c r="F45" s="150">
        <f>MAX(0,C45-E45)</f>
        <v/>
      </c>
      <c r="G45" s="128">
        <f>IF(F45&gt;0,"AÇIK","YETERLİ")</f>
        <v/>
      </c>
      <c r="H45" s="128">
        <f>N(F45&gt;0)</f>
        <v/>
      </c>
      <c r="I45" s="150">
        <f>IFERROR(FORECAST($B45+HaftaUzunluk,$C$7:$C$67,$B$7:$B$67),"")</f>
        <v/>
      </c>
    </row>
    <row r="46" ht="15" customHeight="1" s="102">
      <c r="A46" s="148" t="n">
        <v>39</v>
      </c>
      <c r="B46" s="149">
        <f>$B$4+A46</f>
        <v/>
      </c>
      <c r="C46" s="150">
        <f>-SUMIFS(CEK_SENET_KAYIT!$M$6:$M$1000,CEK_SENET_KAYIT!$I$6:$I$1000,"&lt;="&amp;$B46,CEK_SENET_KAYIT!$D$6:$D$1000,"Verilen")</f>
        <v/>
      </c>
      <c r="D46" s="150">
        <f>SUMIFS(CEK_SENET_KAYIT!$AF$6:$AF$1000,CEK_SENET_KAYIT!$I$6:$I$1000,"&lt;="&amp;$B46,CEK_SENET_KAYIT!$D$6:$D$1000,"Alınan")</f>
        <v/>
      </c>
      <c r="E46" s="150">
        <f>SerbestNakit+D46</f>
        <v/>
      </c>
      <c r="F46" s="150">
        <f>MAX(0,C46-E46)</f>
        <v/>
      </c>
      <c r="G46" s="128">
        <f>IF(F46&gt;0,"AÇIK","YETERLİ")</f>
        <v/>
      </c>
      <c r="H46" s="128">
        <f>N(F46&gt;0)</f>
        <v/>
      </c>
      <c r="I46" s="150">
        <f>IFERROR(FORECAST($B46+HaftaUzunluk,$C$7:$C$67,$B$7:$B$67),"")</f>
        <v/>
      </c>
    </row>
    <row r="47" ht="15" customHeight="1" s="102">
      <c r="A47" s="148" t="n">
        <v>40</v>
      </c>
      <c r="B47" s="149">
        <f>$B$4+A47</f>
        <v/>
      </c>
      <c r="C47" s="150">
        <f>-SUMIFS(CEK_SENET_KAYIT!$M$6:$M$1000,CEK_SENET_KAYIT!$I$6:$I$1000,"&lt;="&amp;$B47,CEK_SENET_KAYIT!$D$6:$D$1000,"Verilen")</f>
        <v/>
      </c>
      <c r="D47" s="150">
        <f>SUMIFS(CEK_SENET_KAYIT!$AF$6:$AF$1000,CEK_SENET_KAYIT!$I$6:$I$1000,"&lt;="&amp;$B47,CEK_SENET_KAYIT!$D$6:$D$1000,"Alınan")</f>
        <v/>
      </c>
      <c r="E47" s="150">
        <f>SerbestNakit+D47</f>
        <v/>
      </c>
      <c r="F47" s="150">
        <f>MAX(0,C47-E47)</f>
        <v/>
      </c>
      <c r="G47" s="128">
        <f>IF(F47&gt;0,"AÇIK","YETERLİ")</f>
        <v/>
      </c>
      <c r="H47" s="128">
        <f>N(F47&gt;0)</f>
        <v/>
      </c>
      <c r="I47" s="150">
        <f>IFERROR(FORECAST($B47+HaftaUzunluk,$C$7:$C$67,$B$7:$B$67),"")</f>
        <v/>
      </c>
    </row>
    <row r="48" ht="15" customHeight="1" s="102">
      <c r="A48" s="148" t="n">
        <v>41</v>
      </c>
      <c r="B48" s="149">
        <f>$B$4+A48</f>
        <v/>
      </c>
      <c r="C48" s="150">
        <f>-SUMIFS(CEK_SENET_KAYIT!$M$6:$M$1000,CEK_SENET_KAYIT!$I$6:$I$1000,"&lt;="&amp;$B48,CEK_SENET_KAYIT!$D$6:$D$1000,"Verilen")</f>
        <v/>
      </c>
      <c r="D48" s="150">
        <f>SUMIFS(CEK_SENET_KAYIT!$AF$6:$AF$1000,CEK_SENET_KAYIT!$I$6:$I$1000,"&lt;="&amp;$B48,CEK_SENET_KAYIT!$D$6:$D$1000,"Alınan")</f>
        <v/>
      </c>
      <c r="E48" s="150">
        <f>SerbestNakit+D48</f>
        <v/>
      </c>
      <c r="F48" s="150">
        <f>MAX(0,C48-E48)</f>
        <v/>
      </c>
      <c r="G48" s="128">
        <f>IF(F48&gt;0,"AÇIK","YETERLİ")</f>
        <v/>
      </c>
      <c r="H48" s="128">
        <f>N(F48&gt;0)</f>
        <v/>
      </c>
      <c r="I48" s="150">
        <f>IFERROR(FORECAST($B48+HaftaUzunluk,$C$7:$C$67,$B$7:$B$67),"")</f>
        <v/>
      </c>
    </row>
    <row r="49" ht="15" customHeight="1" s="102">
      <c r="A49" s="148" t="n">
        <v>42</v>
      </c>
      <c r="B49" s="149">
        <f>$B$4+A49</f>
        <v/>
      </c>
      <c r="C49" s="150">
        <f>-SUMIFS(CEK_SENET_KAYIT!$M$6:$M$1000,CEK_SENET_KAYIT!$I$6:$I$1000,"&lt;="&amp;$B49,CEK_SENET_KAYIT!$D$6:$D$1000,"Verilen")</f>
        <v/>
      </c>
      <c r="D49" s="150">
        <f>SUMIFS(CEK_SENET_KAYIT!$AF$6:$AF$1000,CEK_SENET_KAYIT!$I$6:$I$1000,"&lt;="&amp;$B49,CEK_SENET_KAYIT!$D$6:$D$1000,"Alınan")</f>
        <v/>
      </c>
      <c r="E49" s="150">
        <f>SerbestNakit+D49</f>
        <v/>
      </c>
      <c r="F49" s="150">
        <f>MAX(0,C49-E49)</f>
        <v/>
      </c>
      <c r="G49" s="128">
        <f>IF(F49&gt;0,"AÇIK","YETERLİ")</f>
        <v/>
      </c>
      <c r="H49" s="128">
        <f>N(F49&gt;0)</f>
        <v/>
      </c>
      <c r="I49" s="150">
        <f>IFERROR(FORECAST($B49+HaftaUzunluk,$C$7:$C$67,$B$7:$B$67),"")</f>
        <v/>
      </c>
    </row>
    <row r="50" ht="15" customHeight="1" s="102">
      <c r="A50" s="148" t="n">
        <v>43</v>
      </c>
      <c r="B50" s="149">
        <f>$B$4+A50</f>
        <v/>
      </c>
      <c r="C50" s="150">
        <f>-SUMIFS(CEK_SENET_KAYIT!$M$6:$M$1000,CEK_SENET_KAYIT!$I$6:$I$1000,"&lt;="&amp;$B50,CEK_SENET_KAYIT!$D$6:$D$1000,"Verilen")</f>
        <v/>
      </c>
      <c r="D50" s="150">
        <f>SUMIFS(CEK_SENET_KAYIT!$AF$6:$AF$1000,CEK_SENET_KAYIT!$I$6:$I$1000,"&lt;="&amp;$B50,CEK_SENET_KAYIT!$D$6:$D$1000,"Alınan")</f>
        <v/>
      </c>
      <c r="E50" s="150">
        <f>SerbestNakit+D50</f>
        <v/>
      </c>
      <c r="F50" s="150">
        <f>MAX(0,C50-E50)</f>
        <v/>
      </c>
      <c r="G50" s="128">
        <f>IF(F50&gt;0,"AÇIK","YETERLİ")</f>
        <v/>
      </c>
      <c r="H50" s="128">
        <f>N(F50&gt;0)</f>
        <v/>
      </c>
      <c r="I50" s="150">
        <f>IFERROR(FORECAST($B50+HaftaUzunluk,$C$7:$C$67,$B$7:$B$67),"")</f>
        <v/>
      </c>
    </row>
    <row r="51" ht="15" customHeight="1" s="102">
      <c r="A51" s="148" t="n">
        <v>44</v>
      </c>
      <c r="B51" s="149">
        <f>$B$4+A51</f>
        <v/>
      </c>
      <c r="C51" s="150">
        <f>-SUMIFS(CEK_SENET_KAYIT!$M$6:$M$1000,CEK_SENET_KAYIT!$I$6:$I$1000,"&lt;="&amp;$B51,CEK_SENET_KAYIT!$D$6:$D$1000,"Verilen")</f>
        <v/>
      </c>
      <c r="D51" s="150">
        <f>SUMIFS(CEK_SENET_KAYIT!$AF$6:$AF$1000,CEK_SENET_KAYIT!$I$6:$I$1000,"&lt;="&amp;$B51,CEK_SENET_KAYIT!$D$6:$D$1000,"Alınan")</f>
        <v/>
      </c>
      <c r="E51" s="150">
        <f>SerbestNakit+D51</f>
        <v/>
      </c>
      <c r="F51" s="150">
        <f>MAX(0,C51-E51)</f>
        <v/>
      </c>
      <c r="G51" s="128">
        <f>IF(F51&gt;0,"AÇIK","YETERLİ")</f>
        <v/>
      </c>
      <c r="H51" s="128">
        <f>N(F51&gt;0)</f>
        <v/>
      </c>
      <c r="I51" s="150">
        <f>IFERROR(FORECAST($B51+HaftaUzunluk,$C$7:$C$67,$B$7:$B$67),"")</f>
        <v/>
      </c>
    </row>
    <row r="52" ht="15" customHeight="1" s="102">
      <c r="A52" s="148" t="n">
        <v>45</v>
      </c>
      <c r="B52" s="149">
        <f>$B$4+A52</f>
        <v/>
      </c>
      <c r="C52" s="150">
        <f>-SUMIFS(CEK_SENET_KAYIT!$M$6:$M$1000,CEK_SENET_KAYIT!$I$6:$I$1000,"&lt;="&amp;$B52,CEK_SENET_KAYIT!$D$6:$D$1000,"Verilen")</f>
        <v/>
      </c>
      <c r="D52" s="150">
        <f>SUMIFS(CEK_SENET_KAYIT!$AF$6:$AF$1000,CEK_SENET_KAYIT!$I$6:$I$1000,"&lt;="&amp;$B52,CEK_SENET_KAYIT!$D$6:$D$1000,"Alınan")</f>
        <v/>
      </c>
      <c r="E52" s="150">
        <f>SerbestNakit+D52</f>
        <v/>
      </c>
      <c r="F52" s="150">
        <f>MAX(0,C52-E52)</f>
        <v/>
      </c>
      <c r="G52" s="128">
        <f>IF(F52&gt;0,"AÇIK","YETERLİ")</f>
        <v/>
      </c>
      <c r="H52" s="128">
        <f>N(F52&gt;0)</f>
        <v/>
      </c>
      <c r="I52" s="150">
        <f>IFERROR(FORECAST($B52+HaftaUzunluk,$C$7:$C$67,$B$7:$B$67),"")</f>
        <v/>
      </c>
    </row>
    <row r="53" ht="15" customHeight="1" s="102">
      <c r="A53" s="148" t="n">
        <v>46</v>
      </c>
      <c r="B53" s="149">
        <f>$B$4+A53</f>
        <v/>
      </c>
      <c r="C53" s="150">
        <f>-SUMIFS(CEK_SENET_KAYIT!$M$6:$M$1000,CEK_SENET_KAYIT!$I$6:$I$1000,"&lt;="&amp;$B53,CEK_SENET_KAYIT!$D$6:$D$1000,"Verilen")</f>
        <v/>
      </c>
      <c r="D53" s="150">
        <f>SUMIFS(CEK_SENET_KAYIT!$AF$6:$AF$1000,CEK_SENET_KAYIT!$I$6:$I$1000,"&lt;="&amp;$B53,CEK_SENET_KAYIT!$D$6:$D$1000,"Alınan")</f>
        <v/>
      </c>
      <c r="E53" s="150">
        <f>SerbestNakit+D53</f>
        <v/>
      </c>
      <c r="F53" s="150">
        <f>MAX(0,C53-E53)</f>
        <v/>
      </c>
      <c r="G53" s="128">
        <f>IF(F53&gt;0,"AÇIK","YETERLİ")</f>
        <v/>
      </c>
      <c r="H53" s="128">
        <f>N(F53&gt;0)</f>
        <v/>
      </c>
      <c r="I53" s="150">
        <f>IFERROR(FORECAST($B53+HaftaUzunluk,$C$7:$C$67,$B$7:$B$67),"")</f>
        <v/>
      </c>
    </row>
    <row r="54" ht="15" customHeight="1" s="102">
      <c r="A54" s="148" t="n">
        <v>47</v>
      </c>
      <c r="B54" s="149">
        <f>$B$4+A54</f>
        <v/>
      </c>
      <c r="C54" s="150">
        <f>-SUMIFS(CEK_SENET_KAYIT!$M$6:$M$1000,CEK_SENET_KAYIT!$I$6:$I$1000,"&lt;="&amp;$B54,CEK_SENET_KAYIT!$D$6:$D$1000,"Verilen")</f>
        <v/>
      </c>
      <c r="D54" s="150">
        <f>SUMIFS(CEK_SENET_KAYIT!$AF$6:$AF$1000,CEK_SENET_KAYIT!$I$6:$I$1000,"&lt;="&amp;$B54,CEK_SENET_KAYIT!$D$6:$D$1000,"Alınan")</f>
        <v/>
      </c>
      <c r="E54" s="150">
        <f>SerbestNakit+D54</f>
        <v/>
      </c>
      <c r="F54" s="150">
        <f>MAX(0,C54-E54)</f>
        <v/>
      </c>
      <c r="G54" s="128">
        <f>IF(F54&gt;0,"AÇIK","YETERLİ")</f>
        <v/>
      </c>
      <c r="H54" s="128">
        <f>N(F54&gt;0)</f>
        <v/>
      </c>
      <c r="I54" s="150">
        <f>IFERROR(FORECAST($B54+HaftaUzunluk,$C$7:$C$67,$B$7:$B$67),"")</f>
        <v/>
      </c>
    </row>
    <row r="55" ht="15" customHeight="1" s="102">
      <c r="A55" s="148" t="n">
        <v>48</v>
      </c>
      <c r="B55" s="149">
        <f>$B$4+A55</f>
        <v/>
      </c>
      <c r="C55" s="150">
        <f>-SUMIFS(CEK_SENET_KAYIT!$M$6:$M$1000,CEK_SENET_KAYIT!$I$6:$I$1000,"&lt;="&amp;$B55,CEK_SENET_KAYIT!$D$6:$D$1000,"Verilen")</f>
        <v/>
      </c>
      <c r="D55" s="150">
        <f>SUMIFS(CEK_SENET_KAYIT!$AF$6:$AF$1000,CEK_SENET_KAYIT!$I$6:$I$1000,"&lt;="&amp;$B55,CEK_SENET_KAYIT!$D$6:$D$1000,"Alınan")</f>
        <v/>
      </c>
      <c r="E55" s="150">
        <f>SerbestNakit+D55</f>
        <v/>
      </c>
      <c r="F55" s="150">
        <f>MAX(0,C55-E55)</f>
        <v/>
      </c>
      <c r="G55" s="128">
        <f>IF(F55&gt;0,"AÇIK","YETERLİ")</f>
        <v/>
      </c>
      <c r="H55" s="128">
        <f>N(F55&gt;0)</f>
        <v/>
      </c>
      <c r="I55" s="150">
        <f>IFERROR(FORECAST($B55+HaftaUzunluk,$C$7:$C$67,$B$7:$B$67),"")</f>
        <v/>
      </c>
    </row>
    <row r="56" ht="15" customHeight="1" s="102">
      <c r="A56" s="148" t="n">
        <v>49</v>
      </c>
      <c r="B56" s="149">
        <f>$B$4+A56</f>
        <v/>
      </c>
      <c r="C56" s="150">
        <f>-SUMIFS(CEK_SENET_KAYIT!$M$6:$M$1000,CEK_SENET_KAYIT!$I$6:$I$1000,"&lt;="&amp;$B56,CEK_SENET_KAYIT!$D$6:$D$1000,"Verilen")</f>
        <v/>
      </c>
      <c r="D56" s="150">
        <f>SUMIFS(CEK_SENET_KAYIT!$AF$6:$AF$1000,CEK_SENET_KAYIT!$I$6:$I$1000,"&lt;="&amp;$B56,CEK_SENET_KAYIT!$D$6:$D$1000,"Alınan")</f>
        <v/>
      </c>
      <c r="E56" s="150">
        <f>SerbestNakit+D56</f>
        <v/>
      </c>
      <c r="F56" s="150">
        <f>MAX(0,C56-E56)</f>
        <v/>
      </c>
      <c r="G56" s="128">
        <f>IF(F56&gt;0,"AÇIK","YETERLİ")</f>
        <v/>
      </c>
      <c r="H56" s="128">
        <f>N(F56&gt;0)</f>
        <v/>
      </c>
      <c r="I56" s="150">
        <f>IFERROR(FORECAST($B56+HaftaUzunluk,$C$7:$C$67,$B$7:$B$67),"")</f>
        <v/>
      </c>
    </row>
    <row r="57" ht="15" customHeight="1" s="102">
      <c r="A57" s="148" t="n">
        <v>50</v>
      </c>
      <c r="B57" s="149">
        <f>$B$4+A57</f>
        <v/>
      </c>
      <c r="C57" s="150">
        <f>-SUMIFS(CEK_SENET_KAYIT!$M$6:$M$1000,CEK_SENET_KAYIT!$I$6:$I$1000,"&lt;="&amp;$B57,CEK_SENET_KAYIT!$D$6:$D$1000,"Verilen")</f>
        <v/>
      </c>
      <c r="D57" s="150">
        <f>SUMIFS(CEK_SENET_KAYIT!$AF$6:$AF$1000,CEK_SENET_KAYIT!$I$6:$I$1000,"&lt;="&amp;$B57,CEK_SENET_KAYIT!$D$6:$D$1000,"Alınan")</f>
        <v/>
      </c>
      <c r="E57" s="150">
        <f>SerbestNakit+D57</f>
        <v/>
      </c>
      <c r="F57" s="150">
        <f>MAX(0,C57-E57)</f>
        <v/>
      </c>
      <c r="G57" s="128">
        <f>IF(F57&gt;0,"AÇIK","YETERLİ")</f>
        <v/>
      </c>
      <c r="H57" s="128">
        <f>N(F57&gt;0)</f>
        <v/>
      </c>
      <c r="I57" s="150">
        <f>IFERROR(FORECAST($B57+HaftaUzunluk,$C$7:$C$67,$B$7:$B$67),"")</f>
        <v/>
      </c>
    </row>
    <row r="58" ht="15" customHeight="1" s="102">
      <c r="A58" s="148" t="n">
        <v>51</v>
      </c>
      <c r="B58" s="149">
        <f>$B$4+A58</f>
        <v/>
      </c>
      <c r="C58" s="150">
        <f>-SUMIFS(CEK_SENET_KAYIT!$M$6:$M$1000,CEK_SENET_KAYIT!$I$6:$I$1000,"&lt;="&amp;$B58,CEK_SENET_KAYIT!$D$6:$D$1000,"Verilen")</f>
        <v/>
      </c>
      <c r="D58" s="150">
        <f>SUMIFS(CEK_SENET_KAYIT!$AF$6:$AF$1000,CEK_SENET_KAYIT!$I$6:$I$1000,"&lt;="&amp;$B58,CEK_SENET_KAYIT!$D$6:$D$1000,"Alınan")</f>
        <v/>
      </c>
      <c r="E58" s="150">
        <f>SerbestNakit+D58</f>
        <v/>
      </c>
      <c r="F58" s="150">
        <f>MAX(0,C58-E58)</f>
        <v/>
      </c>
      <c r="G58" s="128">
        <f>IF(F58&gt;0,"AÇIK","YETERLİ")</f>
        <v/>
      </c>
      <c r="H58" s="128">
        <f>N(F58&gt;0)</f>
        <v/>
      </c>
      <c r="I58" s="150">
        <f>IFERROR(FORECAST($B58+HaftaUzunluk,$C$7:$C$67,$B$7:$B$67),"")</f>
        <v/>
      </c>
    </row>
    <row r="59" ht="15" customHeight="1" s="102">
      <c r="A59" s="148" t="n">
        <v>52</v>
      </c>
      <c r="B59" s="149">
        <f>$B$4+A59</f>
        <v/>
      </c>
      <c r="C59" s="150">
        <f>-SUMIFS(CEK_SENET_KAYIT!$M$6:$M$1000,CEK_SENET_KAYIT!$I$6:$I$1000,"&lt;="&amp;$B59,CEK_SENET_KAYIT!$D$6:$D$1000,"Verilen")</f>
        <v/>
      </c>
      <c r="D59" s="150">
        <f>SUMIFS(CEK_SENET_KAYIT!$AF$6:$AF$1000,CEK_SENET_KAYIT!$I$6:$I$1000,"&lt;="&amp;$B59,CEK_SENET_KAYIT!$D$6:$D$1000,"Alınan")</f>
        <v/>
      </c>
      <c r="E59" s="150">
        <f>SerbestNakit+D59</f>
        <v/>
      </c>
      <c r="F59" s="150">
        <f>MAX(0,C59-E59)</f>
        <v/>
      </c>
      <c r="G59" s="128">
        <f>IF(F59&gt;0,"AÇIK","YETERLİ")</f>
        <v/>
      </c>
      <c r="H59" s="128">
        <f>N(F59&gt;0)</f>
        <v/>
      </c>
      <c r="I59" s="150">
        <f>IFERROR(FORECAST($B59+HaftaUzunluk,$C$7:$C$67,$B$7:$B$67),"")</f>
        <v/>
      </c>
    </row>
    <row r="60" ht="15" customHeight="1" s="102">
      <c r="A60" s="148" t="n">
        <v>53</v>
      </c>
      <c r="B60" s="149">
        <f>$B$4+A60</f>
        <v/>
      </c>
      <c r="C60" s="150">
        <f>-SUMIFS(CEK_SENET_KAYIT!$M$6:$M$1000,CEK_SENET_KAYIT!$I$6:$I$1000,"&lt;="&amp;$B60,CEK_SENET_KAYIT!$D$6:$D$1000,"Verilen")</f>
        <v/>
      </c>
      <c r="D60" s="150">
        <f>SUMIFS(CEK_SENET_KAYIT!$AF$6:$AF$1000,CEK_SENET_KAYIT!$I$6:$I$1000,"&lt;="&amp;$B60,CEK_SENET_KAYIT!$D$6:$D$1000,"Alınan")</f>
        <v/>
      </c>
      <c r="E60" s="150">
        <f>SerbestNakit+D60</f>
        <v/>
      </c>
      <c r="F60" s="150">
        <f>MAX(0,C60-E60)</f>
        <v/>
      </c>
      <c r="G60" s="128">
        <f>IF(F60&gt;0,"AÇIK","YETERLİ")</f>
        <v/>
      </c>
      <c r="H60" s="128">
        <f>N(F60&gt;0)</f>
        <v/>
      </c>
      <c r="I60" s="150">
        <f>IFERROR(FORECAST($B60+HaftaUzunluk,$C$7:$C$67,$B$7:$B$67),"")</f>
        <v/>
      </c>
    </row>
    <row r="61" ht="15" customHeight="1" s="102">
      <c r="A61" s="148" t="n">
        <v>54</v>
      </c>
      <c r="B61" s="149">
        <f>$B$4+A61</f>
        <v/>
      </c>
      <c r="C61" s="150">
        <f>-SUMIFS(CEK_SENET_KAYIT!$M$6:$M$1000,CEK_SENET_KAYIT!$I$6:$I$1000,"&lt;="&amp;$B61,CEK_SENET_KAYIT!$D$6:$D$1000,"Verilen")</f>
        <v/>
      </c>
      <c r="D61" s="150">
        <f>SUMIFS(CEK_SENET_KAYIT!$AF$6:$AF$1000,CEK_SENET_KAYIT!$I$6:$I$1000,"&lt;="&amp;$B61,CEK_SENET_KAYIT!$D$6:$D$1000,"Alınan")</f>
        <v/>
      </c>
      <c r="E61" s="150">
        <f>SerbestNakit+D61</f>
        <v/>
      </c>
      <c r="F61" s="150">
        <f>MAX(0,C61-E61)</f>
        <v/>
      </c>
      <c r="G61" s="128">
        <f>IF(F61&gt;0,"AÇIK","YETERLİ")</f>
        <v/>
      </c>
      <c r="H61" s="128">
        <f>N(F61&gt;0)</f>
        <v/>
      </c>
      <c r="I61" s="150">
        <f>IFERROR(FORECAST($B61+HaftaUzunluk,$C$7:$C$67,$B$7:$B$67),"")</f>
        <v/>
      </c>
    </row>
    <row r="62" ht="15" customHeight="1" s="102">
      <c r="A62" s="148" t="n">
        <v>55</v>
      </c>
      <c r="B62" s="149">
        <f>$B$4+A62</f>
        <v/>
      </c>
      <c r="C62" s="150">
        <f>-SUMIFS(CEK_SENET_KAYIT!$M$6:$M$1000,CEK_SENET_KAYIT!$I$6:$I$1000,"&lt;="&amp;$B62,CEK_SENET_KAYIT!$D$6:$D$1000,"Verilen")</f>
        <v/>
      </c>
      <c r="D62" s="150">
        <f>SUMIFS(CEK_SENET_KAYIT!$AF$6:$AF$1000,CEK_SENET_KAYIT!$I$6:$I$1000,"&lt;="&amp;$B62,CEK_SENET_KAYIT!$D$6:$D$1000,"Alınan")</f>
        <v/>
      </c>
      <c r="E62" s="150">
        <f>SerbestNakit+D62</f>
        <v/>
      </c>
      <c r="F62" s="150">
        <f>MAX(0,C62-E62)</f>
        <v/>
      </c>
      <c r="G62" s="128">
        <f>IF(F62&gt;0,"AÇIK","YETERLİ")</f>
        <v/>
      </c>
      <c r="H62" s="128">
        <f>N(F62&gt;0)</f>
        <v/>
      </c>
      <c r="I62" s="150">
        <f>IFERROR(FORECAST($B62+HaftaUzunluk,$C$7:$C$67,$B$7:$B$67),"")</f>
        <v/>
      </c>
    </row>
    <row r="63" ht="15" customHeight="1" s="102">
      <c r="A63" s="148" t="n">
        <v>56</v>
      </c>
      <c r="B63" s="149">
        <f>$B$4+A63</f>
        <v/>
      </c>
      <c r="C63" s="150">
        <f>-SUMIFS(CEK_SENET_KAYIT!$M$6:$M$1000,CEK_SENET_KAYIT!$I$6:$I$1000,"&lt;="&amp;$B63,CEK_SENET_KAYIT!$D$6:$D$1000,"Verilen")</f>
        <v/>
      </c>
      <c r="D63" s="150">
        <f>SUMIFS(CEK_SENET_KAYIT!$AF$6:$AF$1000,CEK_SENET_KAYIT!$I$6:$I$1000,"&lt;="&amp;$B63,CEK_SENET_KAYIT!$D$6:$D$1000,"Alınan")</f>
        <v/>
      </c>
      <c r="E63" s="150">
        <f>SerbestNakit+D63</f>
        <v/>
      </c>
      <c r="F63" s="150">
        <f>MAX(0,C63-E63)</f>
        <v/>
      </c>
      <c r="G63" s="128">
        <f>IF(F63&gt;0,"AÇIK","YETERLİ")</f>
        <v/>
      </c>
      <c r="H63" s="128">
        <f>N(F63&gt;0)</f>
        <v/>
      </c>
      <c r="I63" s="150">
        <f>IFERROR(FORECAST($B63+HaftaUzunluk,$C$7:$C$67,$B$7:$B$67),"")</f>
        <v/>
      </c>
    </row>
    <row r="64" ht="15" customHeight="1" s="102">
      <c r="A64" s="148" t="n">
        <v>57</v>
      </c>
      <c r="B64" s="149">
        <f>$B$4+A64</f>
        <v/>
      </c>
      <c r="C64" s="150">
        <f>-SUMIFS(CEK_SENET_KAYIT!$M$6:$M$1000,CEK_SENET_KAYIT!$I$6:$I$1000,"&lt;="&amp;$B64,CEK_SENET_KAYIT!$D$6:$D$1000,"Verilen")</f>
        <v/>
      </c>
      <c r="D64" s="150">
        <f>SUMIFS(CEK_SENET_KAYIT!$AF$6:$AF$1000,CEK_SENET_KAYIT!$I$6:$I$1000,"&lt;="&amp;$B64,CEK_SENET_KAYIT!$D$6:$D$1000,"Alınan")</f>
        <v/>
      </c>
      <c r="E64" s="150">
        <f>SerbestNakit+D64</f>
        <v/>
      </c>
      <c r="F64" s="150">
        <f>MAX(0,C64-E64)</f>
        <v/>
      </c>
      <c r="G64" s="128">
        <f>IF(F64&gt;0,"AÇIK","YETERLİ")</f>
        <v/>
      </c>
      <c r="H64" s="128">
        <f>N(F64&gt;0)</f>
        <v/>
      </c>
      <c r="I64" s="150">
        <f>IFERROR(FORECAST($B64+HaftaUzunluk,$C$7:$C$67,$B$7:$B$67),"")</f>
        <v/>
      </c>
    </row>
    <row r="65" ht="15" customHeight="1" s="102">
      <c r="A65" s="148" t="n">
        <v>58</v>
      </c>
      <c r="B65" s="149">
        <f>$B$4+A65</f>
        <v/>
      </c>
      <c r="C65" s="150">
        <f>-SUMIFS(CEK_SENET_KAYIT!$M$6:$M$1000,CEK_SENET_KAYIT!$I$6:$I$1000,"&lt;="&amp;$B65,CEK_SENET_KAYIT!$D$6:$D$1000,"Verilen")</f>
        <v/>
      </c>
      <c r="D65" s="150">
        <f>SUMIFS(CEK_SENET_KAYIT!$AF$6:$AF$1000,CEK_SENET_KAYIT!$I$6:$I$1000,"&lt;="&amp;$B65,CEK_SENET_KAYIT!$D$6:$D$1000,"Alınan")</f>
        <v/>
      </c>
      <c r="E65" s="150">
        <f>SerbestNakit+D65</f>
        <v/>
      </c>
      <c r="F65" s="150">
        <f>MAX(0,C65-E65)</f>
        <v/>
      </c>
      <c r="G65" s="128">
        <f>IF(F65&gt;0,"AÇIK","YETERLİ")</f>
        <v/>
      </c>
      <c r="H65" s="128">
        <f>N(F65&gt;0)</f>
        <v/>
      </c>
      <c r="I65" s="150">
        <f>IFERROR(FORECAST($B65+HaftaUzunluk,$C$7:$C$67,$B$7:$B$67),"")</f>
        <v/>
      </c>
    </row>
    <row r="66" ht="15" customHeight="1" s="102">
      <c r="A66" s="148" t="n">
        <v>59</v>
      </c>
      <c r="B66" s="149">
        <f>$B$4+A66</f>
        <v/>
      </c>
      <c r="C66" s="150">
        <f>-SUMIFS(CEK_SENET_KAYIT!$M$6:$M$1000,CEK_SENET_KAYIT!$I$6:$I$1000,"&lt;="&amp;$B66,CEK_SENET_KAYIT!$D$6:$D$1000,"Verilen")</f>
        <v/>
      </c>
      <c r="D66" s="150">
        <f>SUMIFS(CEK_SENET_KAYIT!$AF$6:$AF$1000,CEK_SENET_KAYIT!$I$6:$I$1000,"&lt;="&amp;$B66,CEK_SENET_KAYIT!$D$6:$D$1000,"Alınan")</f>
        <v/>
      </c>
      <c r="E66" s="150">
        <f>SerbestNakit+D66</f>
        <v/>
      </c>
      <c r="F66" s="150">
        <f>MAX(0,C66-E66)</f>
        <v/>
      </c>
      <c r="G66" s="128">
        <f>IF(F66&gt;0,"AÇIK","YETERLİ")</f>
        <v/>
      </c>
      <c r="H66" s="128">
        <f>N(F66&gt;0)</f>
        <v/>
      </c>
      <c r="I66" s="150">
        <f>IFERROR(FORECAST($B66+HaftaUzunluk,$C$7:$C$67,$B$7:$B$67),"")</f>
        <v/>
      </c>
    </row>
    <row r="67" ht="15" customHeight="1" s="102">
      <c r="A67" s="148" t="n">
        <v>60</v>
      </c>
      <c r="B67" s="149">
        <f>$B$4+A67</f>
        <v/>
      </c>
      <c r="C67" s="150">
        <f>-SUMIFS(CEK_SENET_KAYIT!$M$6:$M$1000,CEK_SENET_KAYIT!$I$6:$I$1000,"&lt;="&amp;$B67,CEK_SENET_KAYIT!$D$6:$D$1000,"Verilen")</f>
        <v/>
      </c>
      <c r="D67" s="150">
        <f>SUMIFS(CEK_SENET_KAYIT!$AF$6:$AF$1000,CEK_SENET_KAYIT!$I$6:$I$1000,"&lt;="&amp;$B67,CEK_SENET_KAYIT!$D$6:$D$1000,"Alınan")</f>
        <v/>
      </c>
      <c r="E67" s="150">
        <f>SerbestNakit+D67</f>
        <v/>
      </c>
      <c r="F67" s="150">
        <f>MAX(0,C67-E67)</f>
        <v/>
      </c>
      <c r="G67" s="128">
        <f>IF(F67&gt;0,"AÇIK","YETERLİ")</f>
        <v/>
      </c>
      <c r="H67" s="128">
        <f>N(F67&gt;0)</f>
        <v/>
      </c>
      <c r="I67" s="150">
        <f>IFERROR(FORECAST($B67+HaftaUzunluk,$C$7:$C$67,$B$7:$B$67),"")</f>
        <v/>
      </c>
    </row>
    <row r="69" ht="15" customHeight="1" s="102">
      <c r="A69" s="151" t="inlineStr">
        <is>
          <t>Maksimum Karşılık Açığı</t>
        </is>
      </c>
      <c r="B69" s="152">
        <f>MAX(F7:F67)</f>
        <v/>
      </c>
    </row>
    <row r="70" ht="15" customHeight="1" s="102">
      <c r="A70" s="151" t="inlineStr">
        <is>
          <t>İlk Karşılık Açığı Tarihi</t>
        </is>
      </c>
      <c r="B70" s="153">
        <f>IFERROR(INDEX(B7:B67,MATCH(1,H7:H67,0)),"-")</f>
        <v/>
      </c>
    </row>
    <row r="72" ht="15" customHeight="1" s="102">
      <c r="A72" s="154" t="inlineStr">
        <is>
          <t>HAFTALIK ÖDEME YOĞUNLUĞU (13 Hafta)</t>
        </is>
      </c>
    </row>
    <row r="73" ht="30" customHeight="1" s="102">
      <c r="A73" s="131" t="inlineStr">
        <is>
          <t>Hafta</t>
        </is>
      </c>
      <c r="B73" s="131" t="inlineStr">
        <is>
          <t>Başlangıç</t>
        </is>
      </c>
      <c r="C73" s="131" t="inlineStr">
        <is>
          <t>Bitiş</t>
        </is>
      </c>
      <c r="D73" s="131" t="inlineStr">
        <is>
          <t>Verilen</t>
        </is>
      </c>
      <c r="E73" s="131" t="inlineStr">
        <is>
          <t>Alınan RW</t>
        </is>
      </c>
      <c r="F73" s="131" t="inlineStr">
        <is>
          <t>Net</t>
        </is>
      </c>
    </row>
    <row r="74" ht="15" customHeight="1" s="102">
      <c r="A74" s="155" t="n">
        <v>1</v>
      </c>
      <c r="B74" s="149">
        <f>$B$4-WEEKDAY($B$4,2)+1</f>
        <v/>
      </c>
      <c r="C74" s="149">
        <f>B74+HaftaUzunluk-1</f>
        <v/>
      </c>
      <c r="D74" s="150">
        <f>-SUMIFS(CEK_SENET_KAYIT!$M$6:$M$1000,CEK_SENET_KAYIT!$I$6:$I$1000,"&gt;="&amp;$B74,CEK_SENET_KAYIT!$I$6:$I$1000,"&lt;="&amp;$C74,CEK_SENET_KAYIT!$D$6:$D$1000,"Verilen")</f>
        <v/>
      </c>
      <c r="E74" s="150">
        <f>SUMIFS(CEK_SENET_KAYIT!$AF$6:$AF$1000,CEK_SENET_KAYIT!$I$6:$I$1000,"&gt;="&amp;$B74,CEK_SENET_KAYIT!$I$6:$I$1000,"&lt;="&amp;$C74,CEK_SENET_KAYIT!$D$6:$D$1000,"Alınan")</f>
        <v/>
      </c>
      <c r="F74" s="150">
        <f>D74-E74</f>
        <v/>
      </c>
    </row>
    <row r="75" ht="15" customHeight="1" s="102">
      <c r="A75" s="128">
        <f>A74+1</f>
        <v/>
      </c>
      <c r="B75" s="149">
        <f>B74+7</f>
        <v/>
      </c>
      <c r="C75" s="149">
        <f>B75+HaftaUzunluk-1</f>
        <v/>
      </c>
      <c r="D75" s="150">
        <f>-SUMIFS(CEK_SENET_KAYIT!$M$6:$M$1000,CEK_SENET_KAYIT!$I$6:$I$1000,"&gt;="&amp;$B75,CEK_SENET_KAYIT!$I$6:$I$1000,"&lt;="&amp;$C75,CEK_SENET_KAYIT!$D$6:$D$1000,"Verilen")</f>
        <v/>
      </c>
      <c r="E75" s="150">
        <f>SUMIFS(CEK_SENET_KAYIT!$AF$6:$AF$1000,CEK_SENET_KAYIT!$I$6:$I$1000,"&gt;="&amp;$B75,CEK_SENET_KAYIT!$I$6:$I$1000,"&lt;="&amp;$C75,CEK_SENET_KAYIT!$D$6:$D$1000,"Alınan")</f>
        <v/>
      </c>
      <c r="F75" s="150">
        <f>D75-E75</f>
        <v/>
      </c>
    </row>
    <row r="76" ht="15" customHeight="1" s="102">
      <c r="A76" s="128">
        <f>A75+1</f>
        <v/>
      </c>
      <c r="B76" s="149">
        <f>B75+7</f>
        <v/>
      </c>
      <c r="C76" s="149">
        <f>B76+HaftaUzunluk-1</f>
        <v/>
      </c>
      <c r="D76" s="150">
        <f>-SUMIFS(CEK_SENET_KAYIT!$M$6:$M$1000,CEK_SENET_KAYIT!$I$6:$I$1000,"&gt;="&amp;$B76,CEK_SENET_KAYIT!$I$6:$I$1000,"&lt;="&amp;$C76,CEK_SENET_KAYIT!$D$6:$D$1000,"Verilen")</f>
        <v/>
      </c>
      <c r="E76" s="150">
        <f>SUMIFS(CEK_SENET_KAYIT!$AF$6:$AF$1000,CEK_SENET_KAYIT!$I$6:$I$1000,"&gt;="&amp;$B76,CEK_SENET_KAYIT!$I$6:$I$1000,"&lt;="&amp;$C76,CEK_SENET_KAYIT!$D$6:$D$1000,"Alınan")</f>
        <v/>
      </c>
      <c r="F76" s="150">
        <f>D76-E76</f>
        <v/>
      </c>
    </row>
    <row r="77" ht="15" customHeight="1" s="102">
      <c r="A77" s="128">
        <f>A76+1</f>
        <v/>
      </c>
      <c r="B77" s="149">
        <f>B76+7</f>
        <v/>
      </c>
      <c r="C77" s="149">
        <f>B77+HaftaUzunluk-1</f>
        <v/>
      </c>
      <c r="D77" s="150">
        <f>-SUMIFS(CEK_SENET_KAYIT!$M$6:$M$1000,CEK_SENET_KAYIT!$I$6:$I$1000,"&gt;="&amp;$B77,CEK_SENET_KAYIT!$I$6:$I$1000,"&lt;="&amp;$C77,CEK_SENET_KAYIT!$D$6:$D$1000,"Verilen")</f>
        <v/>
      </c>
      <c r="E77" s="150">
        <f>SUMIFS(CEK_SENET_KAYIT!$AF$6:$AF$1000,CEK_SENET_KAYIT!$I$6:$I$1000,"&gt;="&amp;$B77,CEK_SENET_KAYIT!$I$6:$I$1000,"&lt;="&amp;$C77,CEK_SENET_KAYIT!$D$6:$D$1000,"Alınan")</f>
        <v/>
      </c>
      <c r="F77" s="150">
        <f>D77-E77</f>
        <v/>
      </c>
    </row>
    <row r="78" ht="15" customHeight="1" s="102">
      <c r="A78" s="128">
        <f>A77+1</f>
        <v/>
      </c>
      <c r="B78" s="149">
        <f>B77+7</f>
        <v/>
      </c>
      <c r="C78" s="149">
        <f>B78+HaftaUzunluk-1</f>
        <v/>
      </c>
      <c r="D78" s="150">
        <f>-SUMIFS(CEK_SENET_KAYIT!$M$6:$M$1000,CEK_SENET_KAYIT!$I$6:$I$1000,"&gt;="&amp;$B78,CEK_SENET_KAYIT!$I$6:$I$1000,"&lt;="&amp;$C78,CEK_SENET_KAYIT!$D$6:$D$1000,"Verilen")</f>
        <v/>
      </c>
      <c r="E78" s="150">
        <f>SUMIFS(CEK_SENET_KAYIT!$AF$6:$AF$1000,CEK_SENET_KAYIT!$I$6:$I$1000,"&gt;="&amp;$B78,CEK_SENET_KAYIT!$I$6:$I$1000,"&lt;="&amp;$C78,CEK_SENET_KAYIT!$D$6:$D$1000,"Alınan")</f>
        <v/>
      </c>
      <c r="F78" s="150">
        <f>D78-E78</f>
        <v/>
      </c>
    </row>
    <row r="79" ht="15" customHeight="1" s="102">
      <c r="A79" s="128">
        <f>A78+1</f>
        <v/>
      </c>
      <c r="B79" s="149">
        <f>B78+7</f>
        <v/>
      </c>
      <c r="C79" s="149">
        <f>B79+HaftaUzunluk-1</f>
        <v/>
      </c>
      <c r="D79" s="150">
        <f>-SUMIFS(CEK_SENET_KAYIT!$M$6:$M$1000,CEK_SENET_KAYIT!$I$6:$I$1000,"&gt;="&amp;$B79,CEK_SENET_KAYIT!$I$6:$I$1000,"&lt;="&amp;$C79,CEK_SENET_KAYIT!$D$6:$D$1000,"Verilen")</f>
        <v/>
      </c>
      <c r="E79" s="150">
        <f>SUMIFS(CEK_SENET_KAYIT!$AF$6:$AF$1000,CEK_SENET_KAYIT!$I$6:$I$1000,"&gt;="&amp;$B79,CEK_SENET_KAYIT!$I$6:$I$1000,"&lt;="&amp;$C79,CEK_SENET_KAYIT!$D$6:$D$1000,"Alınan")</f>
        <v/>
      </c>
      <c r="F79" s="150">
        <f>D79-E79</f>
        <v/>
      </c>
    </row>
    <row r="80" ht="15" customHeight="1" s="102">
      <c r="A80" s="128">
        <f>A79+1</f>
        <v/>
      </c>
      <c r="B80" s="149">
        <f>B79+7</f>
        <v/>
      </c>
      <c r="C80" s="149">
        <f>B80+HaftaUzunluk-1</f>
        <v/>
      </c>
      <c r="D80" s="150">
        <f>-SUMIFS(CEK_SENET_KAYIT!$M$6:$M$1000,CEK_SENET_KAYIT!$I$6:$I$1000,"&gt;="&amp;$B80,CEK_SENET_KAYIT!$I$6:$I$1000,"&lt;="&amp;$C80,CEK_SENET_KAYIT!$D$6:$D$1000,"Verilen")</f>
        <v/>
      </c>
      <c r="E80" s="150">
        <f>SUMIFS(CEK_SENET_KAYIT!$AF$6:$AF$1000,CEK_SENET_KAYIT!$I$6:$I$1000,"&gt;="&amp;$B80,CEK_SENET_KAYIT!$I$6:$I$1000,"&lt;="&amp;$C80,CEK_SENET_KAYIT!$D$6:$D$1000,"Alınan")</f>
        <v/>
      </c>
      <c r="F80" s="150">
        <f>D80-E80</f>
        <v/>
      </c>
    </row>
    <row r="81" ht="15" customHeight="1" s="102">
      <c r="A81" s="128">
        <f>A80+1</f>
        <v/>
      </c>
      <c r="B81" s="149">
        <f>B80+7</f>
        <v/>
      </c>
      <c r="C81" s="149">
        <f>B81+HaftaUzunluk-1</f>
        <v/>
      </c>
      <c r="D81" s="150">
        <f>-SUMIFS(CEK_SENET_KAYIT!$M$6:$M$1000,CEK_SENET_KAYIT!$I$6:$I$1000,"&gt;="&amp;$B81,CEK_SENET_KAYIT!$I$6:$I$1000,"&lt;="&amp;$C81,CEK_SENET_KAYIT!$D$6:$D$1000,"Verilen")</f>
        <v/>
      </c>
      <c r="E81" s="150">
        <f>SUMIFS(CEK_SENET_KAYIT!$AF$6:$AF$1000,CEK_SENET_KAYIT!$I$6:$I$1000,"&gt;="&amp;$B81,CEK_SENET_KAYIT!$I$6:$I$1000,"&lt;="&amp;$C81,CEK_SENET_KAYIT!$D$6:$D$1000,"Alınan")</f>
        <v/>
      </c>
      <c r="F81" s="150">
        <f>D81-E81</f>
        <v/>
      </c>
    </row>
    <row r="82" ht="15" customHeight="1" s="102">
      <c r="A82" s="128">
        <f>A81+1</f>
        <v/>
      </c>
      <c r="B82" s="149">
        <f>B81+7</f>
        <v/>
      </c>
      <c r="C82" s="149">
        <f>B82+HaftaUzunluk-1</f>
        <v/>
      </c>
      <c r="D82" s="150">
        <f>-SUMIFS(CEK_SENET_KAYIT!$M$6:$M$1000,CEK_SENET_KAYIT!$I$6:$I$1000,"&gt;="&amp;$B82,CEK_SENET_KAYIT!$I$6:$I$1000,"&lt;="&amp;$C82,CEK_SENET_KAYIT!$D$6:$D$1000,"Verilen")</f>
        <v/>
      </c>
      <c r="E82" s="150">
        <f>SUMIFS(CEK_SENET_KAYIT!$AF$6:$AF$1000,CEK_SENET_KAYIT!$I$6:$I$1000,"&gt;="&amp;$B82,CEK_SENET_KAYIT!$I$6:$I$1000,"&lt;="&amp;$C82,CEK_SENET_KAYIT!$D$6:$D$1000,"Alınan")</f>
        <v/>
      </c>
      <c r="F82" s="150">
        <f>D82-E82</f>
        <v/>
      </c>
    </row>
    <row r="83" ht="15" customHeight="1" s="102">
      <c r="A83" s="128">
        <f>A82+1</f>
        <v/>
      </c>
      <c r="B83" s="149">
        <f>B82+7</f>
        <v/>
      </c>
      <c r="C83" s="149">
        <f>B83+HaftaUzunluk-1</f>
        <v/>
      </c>
      <c r="D83" s="150">
        <f>-SUMIFS(CEK_SENET_KAYIT!$M$6:$M$1000,CEK_SENET_KAYIT!$I$6:$I$1000,"&gt;="&amp;$B83,CEK_SENET_KAYIT!$I$6:$I$1000,"&lt;="&amp;$C83,CEK_SENET_KAYIT!$D$6:$D$1000,"Verilen")</f>
        <v/>
      </c>
      <c r="E83" s="150">
        <f>SUMIFS(CEK_SENET_KAYIT!$AF$6:$AF$1000,CEK_SENET_KAYIT!$I$6:$I$1000,"&gt;="&amp;$B83,CEK_SENET_KAYIT!$I$6:$I$1000,"&lt;="&amp;$C83,CEK_SENET_KAYIT!$D$6:$D$1000,"Alınan")</f>
        <v/>
      </c>
      <c r="F83" s="150">
        <f>D83-E83</f>
        <v/>
      </c>
    </row>
    <row r="84" ht="15" customHeight="1" s="102">
      <c r="A84" s="128">
        <f>A83+1</f>
        <v/>
      </c>
      <c r="B84" s="149">
        <f>B83+7</f>
        <v/>
      </c>
      <c r="C84" s="149">
        <f>B84+HaftaUzunluk-1</f>
        <v/>
      </c>
      <c r="D84" s="150">
        <f>-SUMIFS(CEK_SENET_KAYIT!$M$6:$M$1000,CEK_SENET_KAYIT!$I$6:$I$1000,"&gt;="&amp;$B84,CEK_SENET_KAYIT!$I$6:$I$1000,"&lt;="&amp;$C84,CEK_SENET_KAYIT!$D$6:$D$1000,"Verilen")</f>
        <v/>
      </c>
      <c r="E84" s="150">
        <f>SUMIFS(CEK_SENET_KAYIT!$AF$6:$AF$1000,CEK_SENET_KAYIT!$I$6:$I$1000,"&gt;="&amp;$B84,CEK_SENET_KAYIT!$I$6:$I$1000,"&lt;="&amp;$C84,CEK_SENET_KAYIT!$D$6:$D$1000,"Alınan")</f>
        <v/>
      </c>
      <c r="F84" s="150">
        <f>D84-E84</f>
        <v/>
      </c>
    </row>
    <row r="85" ht="15" customHeight="1" s="102">
      <c r="A85" s="128">
        <f>A84+1</f>
        <v/>
      </c>
      <c r="B85" s="149">
        <f>B84+7</f>
        <v/>
      </c>
      <c r="C85" s="149">
        <f>B85+HaftaUzunluk-1</f>
        <v/>
      </c>
      <c r="D85" s="150">
        <f>-SUMIFS(CEK_SENET_KAYIT!$M$6:$M$1000,CEK_SENET_KAYIT!$I$6:$I$1000,"&gt;="&amp;$B85,CEK_SENET_KAYIT!$I$6:$I$1000,"&lt;="&amp;$C85,CEK_SENET_KAYIT!$D$6:$D$1000,"Verilen")</f>
        <v/>
      </c>
      <c r="E85" s="150">
        <f>SUMIFS(CEK_SENET_KAYIT!$AF$6:$AF$1000,CEK_SENET_KAYIT!$I$6:$I$1000,"&gt;="&amp;$B85,CEK_SENET_KAYIT!$I$6:$I$1000,"&lt;="&amp;$C85,CEK_SENET_KAYIT!$D$6:$D$1000,"Alınan")</f>
        <v/>
      </c>
      <c r="F85" s="150">
        <f>D85-E85</f>
        <v/>
      </c>
    </row>
    <row r="86" ht="15" customHeight="1" s="102">
      <c r="A86" s="128">
        <f>A85+1</f>
        <v/>
      </c>
      <c r="B86" s="149">
        <f>B85+7</f>
        <v/>
      </c>
      <c r="C86" s="149">
        <f>B86+HaftaUzunluk-1</f>
        <v/>
      </c>
      <c r="D86" s="150">
        <f>-SUMIFS(CEK_SENET_KAYIT!$M$6:$M$1000,CEK_SENET_KAYIT!$I$6:$I$1000,"&gt;="&amp;$B86,CEK_SENET_KAYIT!$I$6:$I$1000,"&lt;="&amp;$C86,CEK_SENET_KAYIT!$D$6:$D$1000,"Verilen")</f>
        <v/>
      </c>
      <c r="E86" s="150">
        <f>SUMIFS(CEK_SENET_KAYIT!$AF$6:$AF$1000,CEK_SENET_KAYIT!$I$6:$I$1000,"&gt;="&amp;$B86,CEK_SENET_KAYIT!$I$6:$I$1000,"&lt;="&amp;$C86,CEK_SENET_KAYIT!$D$6:$D$1000,"Alınan")</f>
        <v/>
      </c>
      <c r="F86" s="150">
        <f>D86-E86</f>
        <v/>
      </c>
    </row>
    <row r="88" ht="15" customHeight="1" s="102">
      <c r="A88" s="151" t="inlineStr">
        <is>
          <t>En Yoğun Hafta Verilen</t>
        </is>
      </c>
      <c r="B88" s="152">
        <f>MAX(D74:D86)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2:AN2"/>
  </mergeCells>
  <conditionalFormatting sqref="F7:F67">
    <cfRule type="cellIs" rank="0" priority="2" equalAverage="0" operator="greaterThan" aboveAverage="0" dxfId="16" text="" percent="0" bottom="0">
      <formula>0</formula>
    </cfRule>
    <cfRule type="cellIs" rank="0" priority="3" equalAverage="0" operator="equal" aboveAverage="0" dxfId="10" text="" percent="0" bottom="0">
      <formula>0</formula>
    </cfRule>
  </conditionalFormatting>
  <conditionalFormatting sqref="G7:G67">
    <cfRule type="cellIs" rank="0" priority="4" equalAverage="0" operator="equal" aboveAverage="0" dxfId="12" text="" percent="0" bottom="0">
      <formula>"AÇIK"</formula>
    </cfRule>
    <cfRule type="cellIs" rank="0" priority="5" equalAverage="0" operator="equal" aboveAverage="0" dxfId="10" text="" percent="0" bottom="0">
      <formula>"YETERLİ"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28" min="1" max="1"/>
    <col width="28" customWidth="1" style="128" min="2" max="2"/>
    <col width="16" customWidth="1" style="128" min="3" max="3"/>
    <col width="30" customWidth="1" style="128" min="4" max="5"/>
    <col width="44" customWidth="1" style="128" min="6" max="6"/>
    <col width="16" customWidth="1" style="128" min="7" max="7"/>
  </cols>
  <sheetData>
    <row r="1" ht="25.5" customHeight="1" s="102">
      <c r="A1" s="129" t="inlineStr">
        <is>
          <t>KARSILIK ANALIZI — ÇEK–SENET VE VADE RİSK SİSTEMİ</t>
        </is>
      </c>
    </row>
    <row r="2" ht="19.5" customHeight="1" s="102">
      <c r="A2" s="130" t="inlineStr">
        <is>
          <t>Karşılık yeterliliği, müşteri/banka yoğunlaşması ve keşideci riski otomatik hesaplanır. Bu sayfa salt okunurdur; girdi değişiklikleri CEK_SENET_KAYIT ve CARI_KARTLARI üzerinden yapılır.</t>
        </is>
      </c>
    </row>
    <row r="4" ht="15" customHeight="1" s="102">
      <c r="A4" s="156" t="inlineStr">
        <is>
          <t>Alınan Belge Toplamı</t>
        </is>
      </c>
      <c r="B4" s="157">
        <f>SUMIFS(CEK_SENET_KAYIT!$M$6:$M$1000,CEK_SENET_KAYIT!$D$6:$D$1000,"Alınan")</f>
        <v/>
      </c>
      <c r="D4" s="156" t="inlineStr">
        <is>
          <t>Karşılıksız Belge Toplamı</t>
        </is>
      </c>
      <c r="E4" s="158">
        <f>SUMIFS(CEK_SENET_KAYIT!$M$6:$M$1000,CEK_SENET_KAYIT!$Z$6:$Z$1000,"VAR")</f>
        <v/>
      </c>
    </row>
    <row r="5" ht="15" customHeight="1" s="102">
      <c r="A5" s="159" t="inlineStr">
        <is>
          <t>Verilen Belge Toplamı</t>
        </is>
      </c>
      <c r="B5" s="157">
        <f>ABS(SUMIFS(CEK_SENET_KAYIT!$M$6:$M$1000,CEK_SENET_KAYIT!$D$6:$D$1000,"Verilen"))</f>
        <v/>
      </c>
      <c r="D5" s="159" t="inlineStr">
        <is>
          <t>Vadesi Geçmiş Güncellenmemiş</t>
        </is>
      </c>
      <c r="E5" s="160">
        <f>SUMPRODUCT(--(ISNUMBER(CEK_SENET_KAYIT!$I$6:$I$1000))*(CEK_SENET_KAYIT!$I$6:$I$1000&lt;TODAY())*(CEK_SENET_KAYIT!$W$6:$W$1000=""))</f>
        <v/>
      </c>
    </row>
    <row r="6" ht="15" customHeight="1" s="102">
      <c r="A6" s="159" t="inlineStr">
        <is>
          <t>Risk Ağırlıklı Alınan</t>
        </is>
      </c>
      <c r="B6" s="157">
        <f>SUMIFS(CEK_SENET_KAYIT!$AF$6:$AF$1000,CEK_SENET_KAYIT!$D$6:$D$1000,"Alınan")</f>
        <v/>
      </c>
      <c r="D6" s="159" t="inlineStr">
        <is>
          <t>Riskli Müşteri Sayısı</t>
        </is>
      </c>
      <c r="E6" s="161">
        <f>COUNTIF(CARI_KARTLARI!$I$6:$I$1000,"YÜKSEK")+COUNTIF(CARI_KARTLARI!$I$6:$I$1000,"KARŞILIKSIZ")</f>
        <v/>
      </c>
    </row>
    <row r="7" ht="15" customHeight="1" s="102">
      <c r="A7" s="159" t="inlineStr">
        <is>
          <t>Serbest Nakit (Banka Mevduatı)</t>
        </is>
      </c>
      <c r="B7" s="157">
        <f>SerbestNakit+SUMIFS(BANKA_TAHSIL!$H$6:$H$1000,BANKA_TAHSIL!$E$6:$E$1000,"TAHSİL EDİLDİ")</f>
        <v/>
      </c>
      <c r="D7" s="159" t="inlineStr">
        <is>
          <t>Mükerrer Belge</t>
        </is>
      </c>
      <c r="E7" s="161">
        <f>COUNTIF(CEK_SENET_KAYIT!$AD$6:$AD$1000,"MÜKERRER")</f>
        <v/>
      </c>
    </row>
    <row r="8" ht="15" customHeight="1" s="102">
      <c r="A8" s="151" t="inlineStr">
        <is>
          <t>Karşılık Açığı</t>
        </is>
      </c>
      <c r="B8" s="152">
        <f>MAX(0,B5-B6-B7)</f>
        <v/>
      </c>
      <c r="D8" s="159" t="inlineStr">
        <is>
          <t>Ciro Edilmiş Belge</t>
        </is>
      </c>
      <c r="E8" s="162">
        <f>COUNTIF(CEK_SENET_KAYIT!$R$6:$R$1000,"EVET")</f>
        <v/>
      </c>
    </row>
    <row r="9" ht="15" customHeight="1" s="102">
      <c r="A9" s="151" t="inlineStr">
        <is>
          <t>Karşılık Oranı</t>
        </is>
      </c>
      <c r="B9" s="163">
        <f>IF(B5&gt;0,(B6+B7)/B5,1)</f>
        <v/>
      </c>
      <c r="D9" s="159" t="inlineStr">
        <is>
          <t>Sorumluluğu Devam Eden Ciro</t>
        </is>
      </c>
      <c r="E9" s="162">
        <f>COUNTIFS(CIRO_ZINCIRI!$G$6:$G$1000,"EVET")</f>
        <v/>
      </c>
    </row>
    <row r="10" ht="15" customHeight="1" s="102">
      <c r="A10" s="151" t="inlineStr">
        <is>
          <t>Net Belge Pozisyonu</t>
        </is>
      </c>
      <c r="B10" s="152">
        <f>B4-B5</f>
        <v/>
      </c>
      <c r="D10" s="159" t="inlineStr">
        <is>
          <t>İptal Edilen Belge Toplamı</t>
        </is>
      </c>
      <c r="E10" s="164">
        <f>SUMIFS(CEK_SENET_KAYIT!$M$6:$M$1000,CEK_SENET_KAYIT!$W$6:$W$1000,"İPTAL")</f>
        <v/>
      </c>
    </row>
    <row r="11" ht="15" customHeight="1" s="102">
      <c r="D11" s="159" t="inlineStr">
        <is>
          <t>En Büyük Tek Belge</t>
        </is>
      </c>
      <c r="E11" s="157">
        <f>IFERROR(MAX(CEK_SENET_KAYIT!$J$6:$J$1000),0)</f>
        <v/>
      </c>
    </row>
    <row r="12" ht="15" customHeight="1" s="102">
      <c r="D12" s="159" t="inlineStr">
        <is>
          <t>En Büyük Belgenin Keşidecisi</t>
        </is>
      </c>
      <c r="E12" s="165">
        <f>IF(E11=0,"-",INDEX(CEK_SENET_KAYIT!$E$6:$E$1000,MATCH(E11,CEK_SENET_KAYIT!$J$6:$J$1000,0)))</f>
        <v/>
      </c>
    </row>
    <row r="13" ht="15" customHeight="1" s="102">
      <c r="D13" s="159" t="inlineStr">
        <is>
          <t>Banka Tahsil Toplamı</t>
        </is>
      </c>
      <c r="E13" s="157">
        <f>SUM(BANKA_TAHSIL!$H$6:$H$1000)</f>
        <v/>
      </c>
    </row>
    <row r="14" ht="15" customHeight="1" s="102">
      <c r="D14" s="159" t="inlineStr">
        <is>
          <t>Riskli Müşteriden Alınan Belge</t>
        </is>
      </c>
      <c r="E14" s="158">
        <f>SUMIFS(CEK_SENET_KAYIT!$AF$6:$AF$1000,CEK_SENET_KAYIT!$D$6:$D$1000,"Alınan",CEK_SENET_KAYIT!$AG$6:$AG$1000,"YÜKSEK")+SUMIFS(CEK_SENET_KAYIT!$AF$6:$AF$1000,CEK_SENET_KAYIT!$D$6:$D$1000,"Alınan",CEK_SENET_KAYIT!$AG$6:$AG$1000,"KARŞILIKSIZ")</f>
        <v/>
      </c>
    </row>
    <row r="15" ht="15" customHeight="1" s="102">
      <c r="D15" s="159" t="inlineStr">
        <is>
          <t>Güvenli Yeni Çek Limiti</t>
        </is>
      </c>
      <c r="E15" s="166">
        <f>MAX(0,SerbestNakit+RiskAglikliAlinan-VerilenToplam)</f>
        <v/>
      </c>
    </row>
    <row r="22" ht="50.25" customHeight="1" s="102">
      <c r="A22" s="167" t="inlineStr">
        <is>
          <t>MÜŞTERİ BAZINDA RİSK VE YOĞUNLAŞMA</t>
        </is>
      </c>
    </row>
    <row r="23" ht="30" customHeight="1" s="102">
      <c r="A23" s="131" t="inlineStr">
        <is>
          <t>Cari Kodu</t>
        </is>
      </c>
      <c r="B23" s="131" t="inlineStr">
        <is>
          <t>Cari Unvan</t>
        </is>
      </c>
      <c r="C23" s="131" t="inlineStr">
        <is>
          <t>Alınan RW</t>
        </is>
      </c>
      <c r="D23" s="131" t="inlineStr">
        <is>
          <t>Risk Sınıfı</t>
        </is>
      </c>
      <c r="E23" s="131" t="inlineStr">
        <is>
          <t>Yoğunlaşma Payı</t>
        </is>
      </c>
    </row>
    <row r="24" ht="15" customHeight="1" s="102">
      <c r="A24" s="128">
        <f>IF(CARI_KARTLARI!$A$6="","",CARI_KARTLARI!$A$6)</f>
        <v/>
      </c>
      <c r="B24" s="128">
        <f>IF($A24="","",IFERROR(VLOOKUP($A24,CARI_KARTLARI!$A$6:$B$1000,2,FALSE()),""))</f>
        <v/>
      </c>
      <c r="C24" s="150">
        <f>IF($A24="","",SUMIFS(CEK_SENET_KAYIT!$AF$6:$AF$1000,CEK_SENET_KAYIT!$G$6:$G$1000,$A24,CEK_SENET_KAYIT!$D$6:$D$1000,"Alınan"))</f>
        <v/>
      </c>
      <c r="D24" s="128">
        <f>IF($A24="","",IFERROR(IF(INDEX(CARI_KARTLARI!$I$6:$I$1000,MATCH($A24,CARI_KARTLARI!$A$6:$A$1000,0))="KARŞILIKSIZ","KARŞILIKSIZ ÇEK GEÇMİŞİ",INDEX(CARI_KARTLARI!$I$6:$I$1000,MATCH($A24,CARI_KARTLARI!$A$6:$A$1000,0))),""))</f>
        <v/>
      </c>
      <c r="E24" s="168">
        <f>IF(AlinanToplam=0,"",IF($A24="","",C24/AlinanToplam))</f>
        <v/>
      </c>
    </row>
    <row r="25" ht="15" customHeight="1" s="102">
      <c r="A25" s="128">
        <f>IF(CARI_KARTLARI!$A$7="","",CARI_KARTLARI!$A$7)</f>
        <v/>
      </c>
      <c r="B25" s="128">
        <f>IF($A25="","",IFERROR(VLOOKUP($A25,CARI_KARTLARI!$A$6:$B$1000,2,FALSE()),""))</f>
        <v/>
      </c>
      <c r="C25" s="150">
        <f>IF($A25="","",SUMIFS(CEK_SENET_KAYIT!$AF$6:$AF$1000,CEK_SENET_KAYIT!$G$6:$G$1000,$A25,CEK_SENET_KAYIT!$D$6:$D$1000,"Alınan"))</f>
        <v/>
      </c>
      <c r="D25" s="128">
        <f>IF($A25="","",IFERROR(IF(INDEX(CARI_KARTLARI!$I$6:$I$1000,MATCH($A25,CARI_KARTLARI!$A$6:$A$1000,0))="KARŞILIKSIZ","KARŞILIKSIZ ÇEK GEÇMİŞİ",INDEX(CARI_KARTLARI!$I$6:$I$1000,MATCH($A25,CARI_KARTLARI!$A$6:$A$1000,0))),""))</f>
        <v/>
      </c>
      <c r="E25" s="168">
        <f>IF(AlinanToplam=0,"",IF($A25="","",C25/AlinanToplam))</f>
        <v/>
      </c>
    </row>
    <row r="26" ht="15" customHeight="1" s="102">
      <c r="A26" s="128">
        <f>IF(CARI_KARTLARI!$A$8="","",CARI_KARTLARI!$A$8)</f>
        <v/>
      </c>
      <c r="B26" s="128">
        <f>IF($A26="","",IFERROR(VLOOKUP($A26,CARI_KARTLARI!$A$6:$B$1000,2,FALSE()),""))</f>
        <v/>
      </c>
      <c r="C26" s="150">
        <f>IF($A26="","",SUMIFS(CEK_SENET_KAYIT!$AF$6:$AF$1000,CEK_SENET_KAYIT!$G$6:$G$1000,$A26,CEK_SENET_KAYIT!$D$6:$D$1000,"Alınan"))</f>
        <v/>
      </c>
      <c r="D26" s="128">
        <f>IF($A26="","",IFERROR(IF(INDEX(CARI_KARTLARI!$I$6:$I$1000,MATCH($A26,CARI_KARTLARI!$A$6:$A$1000,0))="KARŞILIKSIZ","KARŞILIKSIZ ÇEK GEÇMİŞİ",INDEX(CARI_KARTLARI!$I$6:$I$1000,MATCH($A26,CARI_KARTLARI!$A$6:$A$1000,0))),""))</f>
        <v/>
      </c>
      <c r="E26" s="168">
        <f>IF(AlinanToplam=0,"",IF($A26="","",C26/AlinanToplam))</f>
        <v/>
      </c>
    </row>
    <row r="27" ht="15" customHeight="1" s="102">
      <c r="A27" s="128">
        <f>IF(CARI_KARTLARI!$A$9="","",CARI_KARTLARI!$A$9)</f>
        <v/>
      </c>
      <c r="B27" s="128">
        <f>IF($A27="","",IFERROR(VLOOKUP($A27,CARI_KARTLARI!$A$6:$B$1000,2,FALSE()),""))</f>
        <v/>
      </c>
      <c r="C27" s="150">
        <f>IF($A27="","",SUMIFS(CEK_SENET_KAYIT!$AF$6:$AF$1000,CEK_SENET_KAYIT!$G$6:$G$1000,$A27,CEK_SENET_KAYIT!$D$6:$D$1000,"Alınan"))</f>
        <v/>
      </c>
      <c r="D27" s="128">
        <f>IF($A27="","",IFERROR(IF(INDEX(CARI_KARTLARI!$I$6:$I$1000,MATCH($A27,CARI_KARTLARI!$A$6:$A$1000,0))="KARŞILIKSIZ","KARŞILIKSIZ ÇEK GEÇMİŞİ",INDEX(CARI_KARTLARI!$I$6:$I$1000,MATCH($A27,CARI_KARTLARI!$A$6:$A$1000,0))),""))</f>
        <v/>
      </c>
      <c r="E27" s="168">
        <f>IF(AlinanToplam=0,"",IF($A27="","",C27/AlinanToplam))</f>
        <v/>
      </c>
    </row>
    <row r="28" ht="15" customHeight="1" s="102">
      <c r="A28" s="128">
        <f>IF(CARI_KARTLARI!$A$10="","",CARI_KARTLARI!$A$10)</f>
        <v/>
      </c>
      <c r="B28" s="128">
        <f>IF($A28="","",IFERROR(VLOOKUP($A28,CARI_KARTLARI!$A$6:$B$1000,2,FALSE()),""))</f>
        <v/>
      </c>
      <c r="C28" s="150">
        <f>IF($A28="","",SUMIFS(CEK_SENET_KAYIT!$AF$6:$AF$1000,CEK_SENET_KAYIT!$G$6:$G$1000,$A28,CEK_SENET_KAYIT!$D$6:$D$1000,"Alınan"))</f>
        <v/>
      </c>
      <c r="D28" s="128">
        <f>IF($A28="","",IFERROR(IF(INDEX(CARI_KARTLARI!$I$6:$I$1000,MATCH($A28,CARI_KARTLARI!$A$6:$A$1000,0))="KARŞILIKSIZ","KARŞILIKSIZ ÇEK GEÇMİŞİ",INDEX(CARI_KARTLARI!$I$6:$I$1000,MATCH($A28,CARI_KARTLARI!$A$6:$A$1000,0))),""))</f>
        <v/>
      </c>
      <c r="E28" s="168">
        <f>IF(AlinanToplam=0,"",IF($A28="","",C28/AlinanToplam))</f>
        <v/>
      </c>
    </row>
    <row r="29" ht="15" customHeight="1" s="102">
      <c r="A29" s="128">
        <f>IF(CARI_KARTLARI!$A$11="","",CARI_KARTLARI!$A$11)</f>
        <v/>
      </c>
      <c r="B29" s="128">
        <f>IF($A29="","",IFERROR(VLOOKUP($A29,CARI_KARTLARI!$A$6:$B$1000,2,FALSE()),""))</f>
        <v/>
      </c>
      <c r="C29" s="150">
        <f>IF($A29="","",SUMIFS(CEK_SENET_KAYIT!$AF$6:$AF$1000,CEK_SENET_KAYIT!$G$6:$G$1000,$A29,CEK_SENET_KAYIT!$D$6:$D$1000,"Alınan"))</f>
        <v/>
      </c>
      <c r="D29" s="128">
        <f>IF($A29="","",IFERROR(IF(INDEX(CARI_KARTLARI!$I$6:$I$1000,MATCH($A29,CARI_KARTLARI!$A$6:$A$1000,0))="KARŞILIKSIZ","KARŞILIKSIZ ÇEK GEÇMİŞİ",INDEX(CARI_KARTLARI!$I$6:$I$1000,MATCH($A29,CARI_KARTLARI!$A$6:$A$1000,0))),""))</f>
        <v/>
      </c>
      <c r="E29" s="168">
        <f>IF(AlinanToplam=0,"",IF($A29="","",C29/AlinanToplam))</f>
        <v/>
      </c>
    </row>
    <row r="30" ht="15" customHeight="1" s="102">
      <c r="A30" s="128">
        <f>IF(CARI_KARTLARI!$A$12="","",CARI_KARTLARI!$A$12)</f>
        <v/>
      </c>
      <c r="B30" s="128">
        <f>IF($A30="","",IFERROR(VLOOKUP($A30,CARI_KARTLARI!$A$6:$B$1000,2,FALSE()),""))</f>
        <v/>
      </c>
      <c r="C30" s="150">
        <f>IF($A30="","",SUMIFS(CEK_SENET_KAYIT!$AF$6:$AF$1000,CEK_SENET_KAYIT!$G$6:$G$1000,$A30,CEK_SENET_KAYIT!$D$6:$D$1000,"Alınan"))</f>
        <v/>
      </c>
      <c r="D30" s="128">
        <f>IF($A30="","",IFERROR(IF(INDEX(CARI_KARTLARI!$I$6:$I$1000,MATCH($A30,CARI_KARTLARI!$A$6:$A$1000,0))="KARŞILIKSIZ","KARŞILIKSIZ ÇEK GEÇMİŞİ",INDEX(CARI_KARTLARI!$I$6:$I$1000,MATCH($A30,CARI_KARTLARI!$A$6:$A$1000,0))),""))</f>
        <v/>
      </c>
      <c r="E30" s="168">
        <f>IF(AlinanToplam=0,"",IF($A30="","",C30/AlinanToplam))</f>
        <v/>
      </c>
    </row>
    <row r="31" ht="15" customHeight="1" s="102">
      <c r="A31" s="128">
        <f>IF(CARI_KARTLARI!$A$13="","",CARI_KARTLARI!$A$13)</f>
        <v/>
      </c>
      <c r="B31" s="128">
        <f>IF($A31="","",IFERROR(VLOOKUP($A31,CARI_KARTLARI!$A$6:$B$1000,2,FALSE()),""))</f>
        <v/>
      </c>
      <c r="C31" s="150">
        <f>IF($A31="","",SUMIFS(CEK_SENET_KAYIT!$AF$6:$AF$1000,CEK_SENET_KAYIT!$G$6:$G$1000,$A31,CEK_SENET_KAYIT!$D$6:$D$1000,"Alınan"))</f>
        <v/>
      </c>
      <c r="D31" s="128">
        <f>IF($A31="","",IFERROR(IF(INDEX(CARI_KARTLARI!$I$6:$I$1000,MATCH($A31,CARI_KARTLARI!$A$6:$A$1000,0))="KARŞILIKSIZ","KARŞILIKSIZ ÇEK GEÇMİŞİ",INDEX(CARI_KARTLARI!$I$6:$I$1000,MATCH($A31,CARI_KARTLARI!$A$6:$A$1000,0))),""))</f>
        <v/>
      </c>
      <c r="E31" s="168">
        <f>IF(AlinanToplam=0,"",IF($A31="","",C31/AlinanToplam))</f>
        <v/>
      </c>
    </row>
    <row r="32" ht="15" customHeight="1" s="102">
      <c r="A32" s="128">
        <f>IF(CARI_KARTLARI!$A$14="","",CARI_KARTLARI!$A$14)</f>
        <v/>
      </c>
      <c r="B32" s="128">
        <f>IF($A32="","",IFERROR(VLOOKUP($A32,CARI_KARTLARI!$A$6:$B$1000,2,FALSE()),""))</f>
        <v/>
      </c>
      <c r="C32" s="150">
        <f>IF($A32="","",SUMIFS(CEK_SENET_KAYIT!$AF$6:$AF$1000,CEK_SENET_KAYIT!$G$6:$G$1000,$A32,CEK_SENET_KAYIT!$D$6:$D$1000,"Alınan"))</f>
        <v/>
      </c>
      <c r="D32" s="128">
        <f>IF($A32="","",IFERROR(IF(INDEX(CARI_KARTLARI!$I$6:$I$1000,MATCH($A32,CARI_KARTLARI!$A$6:$A$1000,0))="KARŞILIKSIZ","KARŞILIKSIZ ÇEK GEÇMİŞİ",INDEX(CARI_KARTLARI!$I$6:$I$1000,MATCH($A32,CARI_KARTLARI!$A$6:$A$1000,0))),""))</f>
        <v/>
      </c>
      <c r="E32" s="168">
        <f>IF(AlinanToplam=0,"",IF($A32="","",C32/AlinanToplam))</f>
        <v/>
      </c>
    </row>
    <row r="33" ht="15" customHeight="1" s="102">
      <c r="A33" s="128">
        <f>IF(CARI_KARTLARI!$A$15="","",CARI_KARTLARI!$A$15)</f>
        <v/>
      </c>
      <c r="B33" s="128">
        <f>IF($A33="","",IFERROR(VLOOKUP($A33,CARI_KARTLARI!$A$6:$B$1000,2,FALSE()),""))</f>
        <v/>
      </c>
      <c r="C33" s="150">
        <f>IF($A33="","",SUMIFS(CEK_SENET_KAYIT!$AF$6:$AF$1000,CEK_SENET_KAYIT!$G$6:$G$1000,$A33,CEK_SENET_KAYIT!$D$6:$D$1000,"Alınan"))</f>
        <v/>
      </c>
      <c r="D33" s="128">
        <f>IF($A33="","",IFERROR(IF(INDEX(CARI_KARTLARI!$I$6:$I$1000,MATCH($A33,CARI_KARTLARI!$A$6:$A$1000,0))="KARŞILIKSIZ","KARŞILIKSIZ ÇEK GEÇMİŞİ",INDEX(CARI_KARTLARI!$I$6:$I$1000,MATCH($A33,CARI_KARTLARI!$A$6:$A$1000,0))),""))</f>
        <v/>
      </c>
      <c r="E33" s="168">
        <f>IF(AlinanToplam=0,"",IF($A33="","",C33/AlinanToplam))</f>
        <v/>
      </c>
    </row>
    <row r="34" ht="15" customHeight="1" s="102">
      <c r="A34" s="128">
        <f>IF(CARI_KARTLARI!$A$16="","",CARI_KARTLARI!$A$16)</f>
        <v/>
      </c>
      <c r="B34" s="128">
        <f>IF($A34="","",IFERROR(VLOOKUP($A34,CARI_KARTLARI!$A$6:$B$1000,2,FALSE()),""))</f>
        <v/>
      </c>
      <c r="C34" s="150">
        <f>IF($A34="","",SUMIFS(CEK_SENET_KAYIT!$AF$6:$AF$1000,CEK_SENET_KAYIT!$G$6:$G$1000,$A34,CEK_SENET_KAYIT!$D$6:$D$1000,"Alınan"))</f>
        <v/>
      </c>
      <c r="D34" s="128">
        <f>IF($A34="","",IFERROR(IF(INDEX(CARI_KARTLARI!$I$6:$I$1000,MATCH($A34,CARI_KARTLARI!$A$6:$A$1000,0))="KARŞILIKSIZ","KARŞILIKSIZ ÇEK GEÇMİŞİ",INDEX(CARI_KARTLARI!$I$6:$I$1000,MATCH($A34,CARI_KARTLARI!$A$6:$A$1000,0))),""))</f>
        <v/>
      </c>
      <c r="E34" s="168">
        <f>IF(AlinanToplam=0,"",IF($A34="","",C34/AlinanToplam))</f>
        <v/>
      </c>
    </row>
    <row r="35" ht="15" customHeight="1" s="102">
      <c r="A35" s="128">
        <f>IF(CARI_KARTLARI!$A$17="","",CARI_KARTLARI!$A$17)</f>
        <v/>
      </c>
      <c r="B35" s="128">
        <f>IF($A35="","",IFERROR(VLOOKUP($A35,CARI_KARTLARI!$A$6:$B$1000,2,FALSE()),""))</f>
        <v/>
      </c>
      <c r="C35" s="150">
        <f>IF($A35="","",SUMIFS(CEK_SENET_KAYIT!$AF$6:$AF$1000,CEK_SENET_KAYIT!$G$6:$G$1000,$A35,CEK_SENET_KAYIT!$D$6:$D$1000,"Alınan"))</f>
        <v/>
      </c>
      <c r="D35" s="128">
        <f>IF($A35="","",IFERROR(IF(INDEX(CARI_KARTLARI!$I$6:$I$1000,MATCH($A35,CARI_KARTLARI!$A$6:$A$1000,0))="KARŞILIKSIZ","KARŞILIKSIZ ÇEK GEÇMİŞİ",INDEX(CARI_KARTLARI!$I$6:$I$1000,MATCH($A35,CARI_KARTLARI!$A$6:$A$1000,0))),""))</f>
        <v/>
      </c>
      <c r="E35" s="168">
        <f>IF(AlinanToplam=0,"",IF($A35="","",C35/AlinanToplam))</f>
        <v/>
      </c>
    </row>
    <row r="36" ht="15" customHeight="1" s="102">
      <c r="A36" s="128">
        <f>IF(CARI_KARTLARI!$A$18="","",CARI_KARTLARI!$A$18)</f>
        <v/>
      </c>
      <c r="B36" s="128">
        <f>IF($A36="","",IFERROR(VLOOKUP($A36,CARI_KARTLARI!$A$6:$B$1000,2,FALSE()),""))</f>
        <v/>
      </c>
      <c r="C36" s="150">
        <f>IF($A36="","",SUMIFS(CEK_SENET_KAYIT!$AF$6:$AF$1000,CEK_SENET_KAYIT!$G$6:$G$1000,$A36,CEK_SENET_KAYIT!$D$6:$D$1000,"Alınan"))</f>
        <v/>
      </c>
      <c r="D36" s="128">
        <f>IF($A36="","",IFERROR(IF(INDEX(CARI_KARTLARI!$I$6:$I$1000,MATCH($A36,CARI_KARTLARI!$A$6:$A$1000,0))="KARŞILIKSIZ","KARŞILIKSIZ ÇEK GEÇMİŞİ",INDEX(CARI_KARTLARI!$I$6:$I$1000,MATCH($A36,CARI_KARTLARI!$A$6:$A$1000,0))),""))</f>
        <v/>
      </c>
      <c r="E36" s="168">
        <f>IF(AlinanToplam=0,"",IF($A36="","",C36/AlinanToplam))</f>
        <v/>
      </c>
    </row>
    <row r="37" ht="15" customHeight="1" s="102">
      <c r="A37" s="128">
        <f>IF(CARI_KARTLARI!$A$19="","",CARI_KARTLARI!$A$19)</f>
        <v/>
      </c>
      <c r="B37" s="128">
        <f>IF($A37="","",IFERROR(VLOOKUP($A37,CARI_KARTLARI!$A$6:$B$1000,2,FALSE()),""))</f>
        <v/>
      </c>
      <c r="C37" s="150">
        <f>IF($A37="","",SUMIFS(CEK_SENET_KAYIT!$AF$6:$AF$1000,CEK_SENET_KAYIT!$G$6:$G$1000,$A37,CEK_SENET_KAYIT!$D$6:$D$1000,"Alınan"))</f>
        <v/>
      </c>
      <c r="D37" s="128">
        <f>IF($A37="","",IFERROR(IF(INDEX(CARI_KARTLARI!$I$6:$I$1000,MATCH($A37,CARI_KARTLARI!$A$6:$A$1000,0))="KARŞILIKSIZ","KARŞILIKSIZ ÇEK GEÇMİŞİ",INDEX(CARI_KARTLARI!$I$6:$I$1000,MATCH($A37,CARI_KARTLARI!$A$6:$A$1000,0))),""))</f>
        <v/>
      </c>
      <c r="E37" s="168">
        <f>IF(AlinanToplam=0,"",IF($A37="","",C37/AlinanToplam))</f>
        <v/>
      </c>
    </row>
    <row r="38" ht="15" customHeight="1" s="102">
      <c r="A38" s="128">
        <f>IF(CARI_KARTLARI!$A$20="","",CARI_KARTLARI!$A$20)</f>
        <v/>
      </c>
      <c r="B38" s="128">
        <f>IF($A38="","",IFERROR(VLOOKUP($A38,CARI_KARTLARI!$A$6:$B$1000,2,FALSE()),""))</f>
        <v/>
      </c>
      <c r="C38" s="150">
        <f>IF($A38="","",SUMIFS(CEK_SENET_KAYIT!$AF$6:$AF$1000,CEK_SENET_KAYIT!$G$6:$G$1000,$A38,CEK_SENET_KAYIT!$D$6:$D$1000,"Alınan"))</f>
        <v/>
      </c>
      <c r="D38" s="128">
        <f>IF($A38="","",IFERROR(IF(INDEX(CARI_KARTLARI!$I$6:$I$1000,MATCH($A38,CARI_KARTLARI!$A$6:$A$1000,0))="KARŞILIKSIZ","KARŞILIKSIZ ÇEK GEÇMİŞİ",INDEX(CARI_KARTLARI!$I$6:$I$1000,MATCH($A38,CARI_KARTLARI!$A$6:$A$1000,0))),""))</f>
        <v/>
      </c>
      <c r="E38" s="168">
        <f>IF(AlinanToplam=0,"",IF($A38="","",C38/AlinanToplam))</f>
        <v/>
      </c>
    </row>
    <row r="39" ht="15" customHeight="1" s="102">
      <c r="A39" s="128">
        <f>IF(CARI_KARTLARI!$A$21="","",CARI_KARTLARI!$A$21)</f>
        <v/>
      </c>
      <c r="B39" s="128">
        <f>IF($A39="","",IFERROR(VLOOKUP($A39,CARI_KARTLARI!$A$6:$B$1000,2,FALSE()),""))</f>
        <v/>
      </c>
      <c r="C39" s="150">
        <f>IF($A39="","",SUMIFS(CEK_SENET_KAYIT!$AF$6:$AF$1000,CEK_SENET_KAYIT!$G$6:$G$1000,$A39,CEK_SENET_KAYIT!$D$6:$D$1000,"Alınan"))</f>
        <v/>
      </c>
      <c r="D39" s="128">
        <f>IF($A39="","",IFERROR(IF(INDEX(CARI_KARTLARI!$I$6:$I$1000,MATCH($A39,CARI_KARTLARI!$A$6:$A$1000,0))="KARŞILIKSIZ","KARŞILIKSIZ ÇEK GEÇMİŞİ",INDEX(CARI_KARTLARI!$I$6:$I$1000,MATCH($A39,CARI_KARTLARI!$A$6:$A$1000,0))),""))</f>
        <v/>
      </c>
      <c r="E39" s="168">
        <f>IF(AlinanToplam=0,"",IF($A39="","",C39/AlinanToplam))</f>
        <v/>
      </c>
    </row>
    <row r="40" ht="15" customHeight="1" s="102">
      <c r="A40" s="128">
        <f>IF(CARI_KARTLARI!$A$22="","",CARI_KARTLARI!$A$22)</f>
        <v/>
      </c>
      <c r="B40" s="128">
        <f>IF($A40="","",IFERROR(VLOOKUP($A40,CARI_KARTLARI!$A$6:$B$1000,2,FALSE()),""))</f>
        <v/>
      </c>
      <c r="C40" s="150">
        <f>IF($A40="","",SUMIFS(CEK_SENET_KAYIT!$AF$6:$AF$1000,CEK_SENET_KAYIT!$G$6:$G$1000,$A40,CEK_SENET_KAYIT!$D$6:$D$1000,"Alınan"))</f>
        <v/>
      </c>
      <c r="D40" s="128">
        <f>IF($A40="","",IFERROR(IF(INDEX(CARI_KARTLARI!$I$6:$I$1000,MATCH($A40,CARI_KARTLARI!$A$6:$A$1000,0))="KARŞILIKSIZ","KARŞILIKSIZ ÇEK GEÇMİŞİ",INDEX(CARI_KARTLARI!$I$6:$I$1000,MATCH($A40,CARI_KARTLARI!$A$6:$A$1000,0))),""))</f>
        <v/>
      </c>
      <c r="E40" s="168">
        <f>IF(AlinanToplam=0,"",IF($A40="","",C40/AlinanToplam))</f>
        <v/>
      </c>
    </row>
    <row r="41" ht="15" customHeight="1" s="102">
      <c r="A41" s="128">
        <f>IF(CARI_KARTLARI!$A$23="","",CARI_KARTLARI!$A$23)</f>
        <v/>
      </c>
      <c r="B41" s="128">
        <f>IF($A41="","",IFERROR(VLOOKUP($A41,CARI_KARTLARI!$A$6:$B$1000,2,FALSE()),""))</f>
        <v/>
      </c>
      <c r="C41" s="150">
        <f>IF($A41="","",SUMIFS(CEK_SENET_KAYIT!$AF$6:$AF$1000,CEK_SENET_KAYIT!$G$6:$G$1000,$A41,CEK_SENET_KAYIT!$D$6:$D$1000,"Alınan"))</f>
        <v/>
      </c>
      <c r="D41" s="128">
        <f>IF($A41="","",IFERROR(IF(INDEX(CARI_KARTLARI!$I$6:$I$1000,MATCH($A41,CARI_KARTLARI!$A$6:$A$1000,0))="KARŞILIKSIZ","KARŞILIKSIZ ÇEK GEÇMİŞİ",INDEX(CARI_KARTLARI!$I$6:$I$1000,MATCH($A41,CARI_KARTLARI!$A$6:$A$1000,0))),""))</f>
        <v/>
      </c>
      <c r="E41" s="168">
        <f>IF(AlinanToplam=0,"",IF($A41="","",C41/AlinanToplam))</f>
        <v/>
      </c>
    </row>
    <row r="42" ht="15" customHeight="1" s="102">
      <c r="A42" s="128">
        <f>IF(CARI_KARTLARI!$A$24="","",CARI_KARTLARI!$A$24)</f>
        <v/>
      </c>
      <c r="B42" s="128">
        <f>IF($A42="","",IFERROR(VLOOKUP($A42,CARI_KARTLARI!$A$6:$B$1000,2,FALSE()),""))</f>
        <v/>
      </c>
      <c r="C42" s="150">
        <f>IF($A42="","",SUMIFS(CEK_SENET_KAYIT!$AF$6:$AF$1000,CEK_SENET_KAYIT!$G$6:$G$1000,$A42,CEK_SENET_KAYIT!$D$6:$D$1000,"Alınan"))</f>
        <v/>
      </c>
      <c r="D42" s="128">
        <f>IF($A42="","",IFERROR(IF(INDEX(CARI_KARTLARI!$I$6:$I$1000,MATCH($A42,CARI_KARTLARI!$A$6:$A$1000,0))="KARŞILIKSIZ","KARŞILIKSIZ ÇEK GEÇMİŞİ",INDEX(CARI_KARTLARI!$I$6:$I$1000,MATCH($A42,CARI_KARTLARI!$A$6:$A$1000,0))),""))</f>
        <v/>
      </c>
      <c r="E42" s="168">
        <f>IF(AlinanToplam=0,"",IF($A42="","",C42/AlinanToplam))</f>
        <v/>
      </c>
    </row>
    <row r="43" ht="15" customHeight="1" s="102">
      <c r="A43" s="128">
        <f>IF(CARI_KARTLARI!$A$25="","",CARI_KARTLARI!$A$25)</f>
        <v/>
      </c>
      <c r="B43" s="128">
        <f>IF($A43="","",IFERROR(VLOOKUP($A43,CARI_KARTLARI!$A$6:$B$1000,2,FALSE()),""))</f>
        <v/>
      </c>
      <c r="C43" s="150">
        <f>IF($A43="","",SUMIFS(CEK_SENET_KAYIT!$AF$6:$AF$1000,CEK_SENET_KAYIT!$G$6:$G$1000,$A43,CEK_SENET_KAYIT!$D$6:$D$1000,"Alınan"))</f>
        <v/>
      </c>
      <c r="D43" s="128">
        <f>IF($A43="","",IFERROR(IF(INDEX(CARI_KARTLARI!$I$6:$I$1000,MATCH($A43,CARI_KARTLARI!$A$6:$A$1000,0))="KARŞILIKSIZ","KARŞILIKSIZ ÇEK GEÇMİŞİ",INDEX(CARI_KARTLARI!$I$6:$I$1000,MATCH($A43,CARI_KARTLARI!$A$6:$A$1000,0))),""))</f>
        <v/>
      </c>
      <c r="E43" s="168">
        <f>IF(AlinanToplam=0,"",IF($A43="","",C43/AlinanToplam))</f>
        <v/>
      </c>
    </row>
    <row r="46" ht="50.25" customHeight="1" s="102">
      <c r="A46" s="167" t="inlineStr">
        <is>
          <t>BANKA BAZINDA TAHSİL YOĞUNLAŞMASI</t>
        </is>
      </c>
    </row>
    <row r="47" ht="30" customHeight="1" s="102">
      <c r="A47" s="131" t="inlineStr">
        <is>
          <t>Banka</t>
        </is>
      </c>
      <c r="B47" s="131" t="inlineStr">
        <is>
          <t>Tahsil Tutarı</t>
        </is>
      </c>
      <c r="C47" s="131" t="inlineStr">
        <is>
          <t>Pay</t>
        </is>
      </c>
    </row>
    <row r="48" ht="15" customHeight="1" s="102">
      <c r="A48" s="128">
        <f>IF(LISTELER!$L$4="","",LISTELER!$L$4)</f>
        <v/>
      </c>
      <c r="B48" s="150">
        <f>IF($A48="","",SUMIFS(BANKA_TAHSIL!$H$6:$H$1000,BANKA_TAHSIL!$C$6:$C$1000,$A48))</f>
        <v/>
      </c>
      <c r="C48" s="168">
        <f>IF($A48="","",IF(TahsilToplam=0,"",B48/TahsilToplam))</f>
        <v/>
      </c>
      <c r="F48" s="154" t="inlineStr">
        <is>
          <t>BELGE TÜRÜ DAĞILIMI</t>
        </is>
      </c>
    </row>
    <row r="49" ht="15" customHeight="1" s="102">
      <c r="A49" s="128">
        <f>IF(LISTELER!$L$5="","",LISTELER!$L$5)</f>
        <v/>
      </c>
      <c r="B49" s="150">
        <f>IF($A49="","",SUMIFS(BANKA_TAHSIL!$H$6:$H$1000,BANKA_TAHSIL!$C$6:$C$1000,$A49))</f>
        <v/>
      </c>
      <c r="C49" s="168">
        <f>IF($A49="","",IF(TahsilToplam=0,"",B49/TahsilToplam))</f>
        <v/>
      </c>
      <c r="F49" s="159" t="inlineStr">
        <is>
          <t>ÇEK</t>
        </is>
      </c>
      <c r="G49" s="169">
        <f>IFERROR(SUMIFS(CEK_SENET_KAYIT!$M$6:$M$1000,CEK_SENET_KAYIT!$B$6:$B$1000,"ÇEK"),0)</f>
        <v/>
      </c>
    </row>
    <row r="50" ht="15" customHeight="1" s="102">
      <c r="A50" s="128">
        <f>IF(LISTELER!$L$6="","",LISTELER!$L$6)</f>
        <v/>
      </c>
      <c r="B50" s="150">
        <f>IF($A50="","",SUMIFS(BANKA_TAHSIL!$H$6:$H$1000,BANKA_TAHSIL!$C$6:$C$1000,$A50))</f>
        <v/>
      </c>
      <c r="C50" s="168">
        <f>IF($A50="","",IF(TahsilToplam=0,"",B50/TahsilToplam))</f>
        <v/>
      </c>
      <c r="F50" s="159" t="inlineStr">
        <is>
          <t>SENET</t>
        </is>
      </c>
      <c r="G50" s="169">
        <f>IFERROR(SUMIFS(CEK_SENET_KAYIT!$M$6:$M$1000,CEK_SENET_KAYIT!$B$6:$B$1000,"SENET"),0)</f>
        <v/>
      </c>
    </row>
    <row r="51" ht="15" customHeight="1" s="102">
      <c r="A51" s="128">
        <f>IF(LISTELER!$L$7="","",LISTELER!$L$7)</f>
        <v/>
      </c>
      <c r="B51" s="150">
        <f>IF($A51="","",SUMIFS(BANKA_TAHSIL!$H$6:$H$1000,BANKA_TAHSIL!$C$6:$C$1000,$A51))</f>
        <v/>
      </c>
      <c r="C51" s="168">
        <f>IF($A51="","",IF(TahsilToplam=0,"",B51/TahsilToplam))</f>
        <v/>
      </c>
    </row>
    <row r="52" ht="15" customHeight="1" s="102">
      <c r="A52" s="128">
        <f>IF(LISTELER!$L$8="","",LISTELER!$L$8)</f>
        <v/>
      </c>
      <c r="B52" s="150">
        <f>IF($A52="","",SUMIFS(BANKA_TAHSIL!$H$6:$H$1000,BANKA_TAHSIL!$C$6:$C$1000,$A52))</f>
        <v/>
      </c>
      <c r="C52" s="168">
        <f>IF($A52="","",IF(TahsilToplam=0,"",B52/TahsilToplam))</f>
        <v/>
      </c>
      <c r="F52" s="154" t="inlineStr">
        <is>
          <t>YÖN DAĞILIMI</t>
        </is>
      </c>
    </row>
    <row r="53" ht="15" customHeight="1" s="102">
      <c r="A53" s="128">
        <f>IF(LISTELER!$L$9="","",LISTELER!$L$9)</f>
        <v/>
      </c>
      <c r="B53" s="150">
        <f>IF($A53="","",SUMIFS(BANKA_TAHSIL!$H$6:$H$1000,BANKA_TAHSIL!$C$6:$C$1000,$A53))</f>
        <v/>
      </c>
      <c r="C53" s="168">
        <f>IF($A53="","",IF(TahsilToplam=0,"",B53/TahsilToplam))</f>
        <v/>
      </c>
      <c r="F53" s="159" t="inlineStr">
        <is>
          <t>Alınan</t>
        </is>
      </c>
      <c r="G53" s="169">
        <f>IFERROR(SUMIFS(CEK_SENET_KAYIT!$M$6:$M$1000,CEK_SENET_KAYIT!$D$6:$D$1000,"Alınan"),0)</f>
        <v/>
      </c>
    </row>
    <row r="54" ht="15" customHeight="1" s="102">
      <c r="A54" s="128">
        <f>IF(LISTELER!$L$10="","",LISTELER!$L$10)</f>
        <v/>
      </c>
      <c r="B54" s="150">
        <f>IF($A54="","",SUMIFS(BANKA_TAHSIL!$H$6:$H$1000,BANKA_TAHSIL!$C$6:$C$1000,$A54))</f>
        <v/>
      </c>
      <c r="C54" s="168">
        <f>IF($A54="","",IF(TahsilToplam=0,"",B54/TahsilToplam))</f>
        <v/>
      </c>
      <c r="F54" s="159" t="inlineStr">
        <is>
          <t>Verilen</t>
        </is>
      </c>
      <c r="G54" s="169">
        <f>IFERROR(ABS(SUMIFS(CEK_SENET_KAYIT!$M$6:$M$1000,CEK_SENET_KAYIT!$D$6:$D$1000,"Verilen")),0)</f>
        <v/>
      </c>
    </row>
    <row r="55" ht="15" customHeight="1" s="102">
      <c r="A55" s="128">
        <f>IF(LISTELER!$L$11="","",LISTELER!$L$11)</f>
        <v/>
      </c>
      <c r="B55" s="150">
        <f>IF($A55="","",SUMIFS(BANKA_TAHSIL!$H$6:$H$1000,BANKA_TAHSIL!$C$6:$C$1000,$A55))</f>
        <v/>
      </c>
      <c r="C55" s="168">
        <f>IF($A55="","",IF(TahsilToplam=0,"",B55/TahsilToplam))</f>
        <v/>
      </c>
    </row>
    <row r="56" ht="15" customHeight="1" s="102">
      <c r="A56" s="128">
        <f>IF(LISTELER!$L$12="","",LISTELER!$L$12)</f>
        <v/>
      </c>
      <c r="B56" s="150">
        <f>IF($A56="","",SUMIFS(BANKA_TAHSIL!$H$6:$H$1000,BANKA_TAHSIL!$C$6:$C$1000,$A56))</f>
        <v/>
      </c>
      <c r="C56" s="168">
        <f>IF($A56="","",IF(TahsilToplam=0,"",B56/TahsilToplam))</f>
        <v/>
      </c>
    </row>
    <row r="57" ht="15" customHeight="1" s="102">
      <c r="A57" s="128">
        <f>IF(LISTELER!$L$13="","",LISTELER!$L$13)</f>
        <v/>
      </c>
      <c r="B57" s="150">
        <f>IF($A57="","",SUMIFS(BANKA_TAHSIL!$H$6:$H$1000,BANKA_TAHSIL!$C$6:$C$1000,$A57))</f>
        <v/>
      </c>
      <c r="C57" s="168">
        <f>IF($A57="","",IF(TahsilToplam=0,"",B57/TahsilToplam))</f>
        <v/>
      </c>
    </row>
    <row r="60" ht="50.25" customHeight="1" s="102">
      <c r="A60" s="167" t="inlineStr">
        <is>
          <t>ANALİTİK MODÜLLER (MAKİNE YORUMLU KARAR KATMANI)</t>
        </is>
      </c>
    </row>
    <row r="61" ht="30" customHeight="1" s="102">
      <c r="A61" s="131" t="inlineStr">
        <is>
          <t>Modül</t>
        </is>
      </c>
      <c r="B61" s="131" t="inlineStr">
        <is>
          <t>Değer</t>
        </is>
      </c>
      <c r="C61" s="131" t="n"/>
      <c r="D61" s="131" t="n"/>
      <c r="E61" s="131" t="n"/>
      <c r="F61" s="131" t="inlineStr">
        <is>
          <t>Yorum</t>
        </is>
      </c>
    </row>
    <row r="62" ht="30" customHeight="1" s="102">
      <c r="A62" s="151" t="inlineStr">
        <is>
          <t>Vade Yaşlandırma</t>
        </is>
      </c>
      <c r="B62" s="157">
        <f>IF(KayitSayisi=0,0,SUMIFS(CEK_SENET_KAYIT!$M$6:$M$1000,CEK_SENET_KAYIT!$D$6:$D$1000,"Alınan",CEK_SENET_KAYIT!$I$6:$I$1000,"&lt;"&amp;AYARLAR!$B$7))</f>
        <v/>
      </c>
      <c r="F62" s="170">
        <f>IF(KayitSayisi=0,"VERİ YOK",_xlfn.TEXTJOIN(" | ",TRUE(),"Vadesi geçen alınan belge: "&amp;TEXT(B62,"₺ #,##0"),"Rapor tarihine göre vadesi geçen belgeler yaşlandırma takibine alınır."))</f>
        <v/>
      </c>
    </row>
    <row r="63" ht="30" customHeight="1" s="102">
      <c r="A63" s="151" t="inlineStr">
        <is>
          <t>Müşteri Yoğunlaşma Payı</t>
        </is>
      </c>
      <c r="B63" s="163">
        <f>IF(AlinanToplam=0,0,IFERROR(MAX(C24:C43)/AlinanToplam,0))</f>
        <v/>
      </c>
      <c r="F63" s="170">
        <f>IF(KayitSayisi=0,"VERİ YOK",_xlfn.TEXTJOIN(" | ",TRUE(),"En büyük müşteri payı: "&amp;TEXT(B63,"%0.0"),"Tek müşteri eşiği: "&amp;TEXT(TekMusteriEsik,"%0.0")))</f>
        <v/>
      </c>
    </row>
    <row r="64" ht="30" customHeight="1" s="102">
      <c r="A64" s="151" t="inlineStr">
        <is>
          <t>Günlük Açık Anomalisi</t>
        </is>
      </c>
      <c r="B64" s="171">
        <f>IFERROR(IF(AVERAGE(VADE_TAKVIMI!$F$7:$F$67)=0,0,VADE_TAKVIMI!$F$67/AVERAGE(VADE_TAKVIMI!$F$7:$F$67)),0)</f>
        <v/>
      </c>
      <c r="F64" s="170">
        <f>IF(KayitSayisi=0,"VERİ YOK",_xlfn.TEXTJOIN(" | ",TRUE(),"Son gün açığı ortalamanın "&amp;TEXT(B64,"0.00")&amp;" katı","Karşılık açığındaki anormal sıçramalar bu katmanla izlenir."))</f>
        <v/>
      </c>
    </row>
    <row r="65" ht="30" customHeight="1" s="102">
      <c r="A65" s="151" t="inlineStr">
        <is>
          <t>Vadesi Geçen Alacak Maliyeti</t>
        </is>
      </c>
      <c r="B65" s="157">
        <f>IF(KayitSayisi=0,0,IFERROR(SUMPRODUCT(CEK_SENET_KAYIT!$AF$6:$AF$1000*(ISNUMBER(CEK_SENET_KAYIT!$I$6:$I$1000))*(CEK_SENET_KAYIT!$I$6:$I$1000&lt;AYARLAR!$B$7)*(AYARLAR!$B$7-CEK_SENET_KAYIT!$I$6:$I$1000))*FinansmanOrani/365,0))</f>
        <v/>
      </c>
      <c r="F65" s="170">
        <f>IF(KayitSayisi=0,"VERİ YOK",_xlfn.TEXTJOIN(" | ",TRUE(),"Vadesi geçen alacakların yıllık finansman maliyeti: "&amp;TEXT(B65,"₺ #,##0"),"Finansman oranı "&amp;TEXT(FinansmanOrani,"%0")&amp;" üzerinden gün bazında hesaplanır."))</f>
        <v/>
      </c>
    </row>
    <row r="66" ht="30" customHeight="1" s="102">
      <c r="A66" s="151" t="inlineStr">
        <is>
          <t>Veri Kalite Skoru</t>
        </is>
      </c>
      <c r="B66" s="172">
        <f>VeriKaliteSkor</f>
        <v/>
      </c>
      <c r="F66" s="170">
        <f>IF(KayitSayisi=0,"VERİ YOK",_xlfn.TEXTJOIN(" | ",TRUE(),"Veri kalite skoru "&amp;TEXT(B66,"0")&amp;"/100","Skor YÜKSEK ise çıktılara güven tamdır."))</f>
        <v/>
      </c>
    </row>
    <row r="67" ht="30" customHeight="1" s="102">
      <c r="A67" s="151" t="inlineStr">
        <is>
          <t>Yedi Günlük Tahmin</t>
        </is>
      </c>
      <c r="B67" s="157">
        <f>IFERROR(VADE_TAKVIMI!$I$67,0)</f>
        <v/>
      </c>
      <c r="F67" s="170">
        <f>IF(KayitSayisi=0,"VERİ YOK",_xlfn.TEXTJOIN(" | ",TRUE(),"Yedi gün sonrası yükümlülük tahmini: "&amp;TEXT(B67,"₺ #,##0"),"Trend bazlı tahminle ileriye dönük karşılık planlaması yapılır."))</f>
        <v/>
      </c>
    </row>
    <row r="68" ht="30" customHeight="1" s="102">
      <c r="A68" s="151" t="inlineStr">
        <is>
          <t>Belge Tutarı P90</t>
        </is>
      </c>
      <c r="B68" s="157">
        <f>IF(KayitSayisi=0,0,IFERROR(percentıle.ınc(CEK_SENET_KAYIT!$J$6:$J$1000,0.9),0))</f>
        <v/>
      </c>
      <c r="F68" s="170">
        <f>IF(KayitSayisi=0,"VERİ YOK",_xlfn.TEXTJOIN(" | ",TRUE(),"Belge tutarı P90: "&amp;TEXT(B68,"₺ #,##0"),"En büyük belgelerin eşiği; tek belgeye bağımlılık bu tutara göre değerlendirilir."))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2:AN2"/>
  </mergeCells>
  <conditionalFormatting sqref="B9">
    <cfRule type="cellIs" rank="0" priority="2" equalAverage="0" operator="lessThan" aboveAverage="0" dxfId="12" text="" percent="0" bottom="0">
      <formula>KarilikOraniEsik</formula>
    </cfRule>
    <cfRule type="cellIs" rank="0" priority="3" equalAverage="0" operator="greaterThanOrEqual" aboveAverage="0" dxfId="10" text="" percent="0" bottom="0">
      <formula>KarilikOraniEsik</formula>
    </cfRule>
  </conditionalFormatting>
  <conditionalFormatting sqref="E24:E43">
    <cfRule type="expression" rank="0" priority="4" equalAverage="0" aboveAverage="0" dxfId="11" text="" percent="0" bottom="0">
      <formula>E24&gt;=TekMusteriEsik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28" min="1" max="1"/>
    <col width="22" customWidth="1" style="128" min="2" max="2"/>
    <col width="10" customWidth="1" style="128" min="3" max="3"/>
    <col width="14" customWidth="1" style="128" min="4" max="4"/>
    <col width="12" customWidth="1" style="128" min="5" max="5"/>
  </cols>
  <sheetData>
    <row r="1" ht="25.5" customHeight="1" s="102">
      <c r="A1" s="129" t="inlineStr">
        <is>
          <t>KONTROLLER — ÇEK–SENET VE VADE RİSK SİSTEMİ</t>
        </is>
      </c>
    </row>
    <row r="2" ht="19.5" customHeight="1" s="102">
      <c r="A2" s="130" t="inlineStr">
        <is>
          <t>Veri kalitesi, mükerrer kayıt, tarih ve toplam doğruluk kontrolleri otomatik çalışır. Bu sayfa salt okunurdur.</t>
        </is>
      </c>
    </row>
    <row r="4" ht="15" customHeight="1" s="102">
      <c r="A4" s="154" t="inlineStr">
        <is>
          <t>A. ZORUNLU ALAN KONTROLLERİ</t>
        </is>
      </c>
    </row>
    <row r="5" ht="30" customHeight="1" s="102">
      <c r="A5" s="131" t="inlineStr">
        <is>
          <t>Alan</t>
        </is>
      </c>
      <c r="B5" s="131" t="inlineStr">
        <is>
          <t>Eksik Kayıt</t>
        </is>
      </c>
      <c r="C5" s="131" t="inlineStr">
        <is>
          <t>Durum</t>
        </is>
      </c>
      <c r="E5" s="151" t="inlineStr">
        <is>
          <t>Kayıt Sayısı</t>
        </is>
      </c>
    </row>
    <row r="6" ht="15" customHeight="1" s="102">
      <c r="A6" s="159" t="inlineStr">
        <is>
          <t>Belge Türü</t>
        </is>
      </c>
      <c r="B6" s="172">
        <f>IF(KayitSayisi=0,"-",SUMPRODUCT((CEK_SENET_KAYIT!$C$6:$C$1000&lt;&gt;"")*(CEK_SENET_KAYIT!$B$6:$B$1000="")))</f>
        <v/>
      </c>
      <c r="C6" s="173">
        <f>IF(B6="-","",IF(B6=0,"PASS",IF(B6&lt;=3,"WARN","FAIL")))</f>
        <v/>
      </c>
      <c r="E6" s="174">
        <f>COUNTA(CEK_SENET_KAYIT!$C$6:$C$1000)</f>
        <v/>
      </c>
    </row>
    <row r="7" ht="15" customHeight="1" s="102">
      <c r="A7" s="159" t="inlineStr">
        <is>
          <t>Belge Numarası</t>
        </is>
      </c>
      <c r="B7" s="172">
        <f>IF(KayitSayisi=0,"-",SUMPRODUCT((CEK_SENET_KAYIT!$B$6:$B$1000&lt;&gt;"")*(CEK_SENET_KAYIT!$C$6:$C$1000="")))</f>
        <v/>
      </c>
      <c r="C7" s="173">
        <f>IF(B7="-","",IF(B7=0,"PASS",IF(B7&lt;=3,"WARN","FAIL")))</f>
        <v/>
      </c>
    </row>
    <row r="8" ht="15" customHeight="1" s="102">
      <c r="A8" s="159" t="inlineStr">
        <is>
          <t>Yön</t>
        </is>
      </c>
      <c r="B8" s="172">
        <f>IF(KayitSayisi=0,"-",SUMPRODUCT((CEK_SENET_KAYIT!$C$6:$C$1000&lt;&gt;"")*(CEK_SENET_KAYIT!$D$6:$D$1000="")))</f>
        <v/>
      </c>
      <c r="C8" s="173">
        <f>IF(B8="-","",IF(B8=0,"PASS",IF(B8&lt;=3,"WARN","FAIL")))</f>
        <v/>
      </c>
    </row>
    <row r="9" ht="15" customHeight="1" s="102">
      <c r="A9" s="159" t="inlineStr">
        <is>
          <t>Cari Kodu</t>
        </is>
      </c>
      <c r="B9" s="172">
        <f>IF(KayitSayisi=0,"-",SUMPRODUCT((CEK_SENET_KAYIT!$C$6:$C$1000&lt;&gt;"")*(CEK_SENET_KAYIT!$G$6:$G$1000="")))</f>
        <v/>
      </c>
      <c r="C9" s="173">
        <f>IF(B9="-","",IF(B9=0,"PASS",IF(B9&lt;=3,"WARN","FAIL")))</f>
        <v/>
      </c>
    </row>
    <row r="10" ht="15" customHeight="1" s="102">
      <c r="A10" s="159" t="inlineStr">
        <is>
          <t>Vade Tarihi</t>
        </is>
      </c>
      <c r="B10" s="172">
        <f>IF(KayitSayisi=0,"-",SUMPRODUCT((CEK_SENET_KAYIT!$C$6:$C$1000&lt;&gt;"")*(CEK_SENET_KAYIT!$I$6:$I$1000="")))</f>
        <v/>
      </c>
      <c r="C10" s="173">
        <f>IF(B10="-","",IF(B10=0,"PASS",IF(B10&lt;=3,"WARN","FAIL")))</f>
        <v/>
      </c>
    </row>
    <row r="11" ht="15" customHeight="1" s="102">
      <c r="A11" s="159" t="inlineStr">
        <is>
          <t>Tutar</t>
        </is>
      </c>
      <c r="B11" s="172">
        <f>IF(KayitSayisi=0,"-",SUMPRODUCT((CEK_SENET_KAYIT!$C$6:$C$1000&lt;&gt;"")*(CEK_SENET_KAYIT!$J$6:$J$1000="")))</f>
        <v/>
      </c>
      <c r="C11" s="173">
        <f>IF(B11="-","",IF(B11=0,"PASS",IF(B11&lt;=3,"WARN","FAIL")))</f>
        <v/>
      </c>
    </row>
    <row r="12" ht="15" customHeight="1" s="102">
      <c r="A12" s="159" t="inlineStr">
        <is>
          <t>Kur</t>
        </is>
      </c>
      <c r="B12" s="172">
        <f>IF(KayitSayisi=0,"-",SUMPRODUCT((CEK_SENET_KAYIT!$C$6:$C$1000&lt;&gt;"")*(CEK_SENET_KAYIT!$L$6:$L$1000="")))</f>
        <v/>
      </c>
      <c r="C12" s="173">
        <f>IF(B12="-","",IF(B12=0,"PASS",IF(B12&lt;=3,"WARN","FAIL")))</f>
        <v/>
      </c>
    </row>
    <row r="15" ht="15" customHeight="1" s="102">
      <c r="A15" s="154" t="inlineStr">
        <is>
          <t>B. VERİ DOĞRULUK KONTROLLERİ</t>
        </is>
      </c>
    </row>
    <row r="16" ht="30" customHeight="1" s="102">
      <c r="A16" s="131" t="inlineStr">
        <is>
          <t>Kontrol</t>
        </is>
      </c>
      <c r="B16" s="131" t="inlineStr">
        <is>
          <t>Değer</t>
        </is>
      </c>
      <c r="C16" s="131" t="inlineStr">
        <is>
          <t>Durum</t>
        </is>
      </c>
    </row>
    <row r="17" ht="15" customHeight="1" s="102">
      <c r="A17" s="159" t="inlineStr">
        <is>
          <t>Mükerrer Belge</t>
        </is>
      </c>
      <c r="B17" s="172">
        <f>COUNTIF(CEK_SENET_KAYIT!$AD$6:$AD$1000,"MÜKERRER")</f>
        <v/>
      </c>
      <c r="C17" s="151">
        <f>IF(B17=0,"PASS",IF(B17&lt;=3,"WARN","FAIL"))</f>
        <v/>
      </c>
    </row>
    <row r="18" ht="15" customHeight="1" s="102">
      <c r="A18" s="159" t="inlineStr">
        <is>
          <t>Negatif veya Sıfır Tutar</t>
        </is>
      </c>
      <c r="B18" s="172">
        <f>SUMPRODUCT(--(ISNUMBER(CEK_SENET_KAYIT!$J$6:$J$1000))*(CEK_SENET_KAYIT!$J$6:$J$1000&lt;=0))</f>
        <v/>
      </c>
      <c r="C18" s="151">
        <f>IF(B18=0,"PASS",IF(B18&lt;=3,"WARN","FAIL"))</f>
        <v/>
      </c>
    </row>
    <row r="19" ht="15" customHeight="1" s="102">
      <c r="A19" s="159" t="inlineStr">
        <is>
          <t>Vade Tarihi &lt; Keşide Tarihi</t>
        </is>
      </c>
      <c r="B19" s="172">
        <f>SUMPRODUCT(--(ISNUMBER(CEK_SENET_KAYIT!$I$6:$I$1000))*(ISNUMBER(CEK_SENET_KAYIT!$H$6:$H$1000))*(CEK_SENET_KAYIT!$I$6:$I$1000&lt;CEK_SENET_KAYIT!$H$6:$H$1000))</f>
        <v/>
      </c>
      <c r="C19" s="151">
        <f>IF(B19=0,"PASS",IF(B19&lt;=3,"WARN","FAIL"))</f>
        <v/>
      </c>
    </row>
    <row r="20" ht="15" customHeight="1" s="102">
      <c r="A20" s="159" t="inlineStr">
        <is>
          <t>Ciro Edilmiş + Portföyde Çelişkisi</t>
        </is>
      </c>
      <c r="B20" s="172">
        <f>SUMPRODUCT(--(CEK_SENET_KAYIT!$R$6:$R$1000="EVET")*(CEK_SENET_KAYIT!$T$6:$T$1000="PORTFÖYDE"))</f>
        <v/>
      </c>
      <c r="C20" s="151">
        <f>IF(B20=0,"PASS",IF(B20&lt;=3,"WARN","FAIL"))</f>
        <v/>
      </c>
    </row>
    <row r="21" ht="15" customHeight="1" s="102">
      <c r="A21" s="159" t="inlineStr">
        <is>
          <t>Mükerrer Cari Kodu</t>
        </is>
      </c>
      <c r="B21" s="172">
        <f>SUMPRODUCT((CARI_KARTLARI!$A$6:$A$1000&lt;&gt;"")*(COUNTIF(CARI_KARTLARI!$A$6:$A$1000,CARI_KARTLARI!$A$6:$A$1000)&gt;1))</f>
        <v/>
      </c>
      <c r="C21" s="151">
        <f>IF(B21=0,"PASS",IF(B21&lt;=3,"WARN","FAIL"))</f>
        <v/>
      </c>
    </row>
    <row r="24" ht="15" customHeight="1" s="102">
      <c r="A24" s="154" t="inlineStr">
        <is>
          <t>C. ÇAPRAZ TOPLAM KONTROLÜ</t>
        </is>
      </c>
    </row>
    <row r="25" ht="15" customHeight="1" s="102">
      <c r="A25" s="159" t="inlineStr">
        <is>
          <t>Banka Tahsil vs Son Durum TAHSİL EDİLDİ</t>
        </is>
      </c>
      <c r="B25" s="157">
        <f>IF(TahsilToplam=0,"-",ABS(TahsilToplam-SUMIFS(CEK_SENET_KAYIT!$M$6:$M$1000,CEK_SENET_KAYIT!$W$6:$W$1000,"TAHSİL EDİLDİ")))</f>
        <v/>
      </c>
      <c r="C25" s="151">
        <f>IF(B25="-","",IF(B25&lt;=YuvarlamaToleransi,"PASS","WARN"))</f>
        <v/>
      </c>
    </row>
    <row r="27" ht="15" customHeight="1" s="102">
      <c r="A27" s="154" t="inlineStr">
        <is>
          <t>D. VERİ KALİTE SKORU</t>
        </is>
      </c>
    </row>
    <row r="28" ht="15" customHeight="1" s="102">
      <c r="A28" s="159" t="inlineStr">
        <is>
          <t>Veri Kalite Skoru (0-100)</t>
        </is>
      </c>
      <c r="B28" s="174">
        <f>IF(KayitSayisi=0,0,MAX(100-(B6+B7+B8+B9+B10+B11+B12)*HataAgirligi-MukerrerSayisi*UyariAgirligi-B18*UyariAgirligi-B19*HataAgirligi-B20*UyariAgirligi-B21*HataAgirligi,0))</f>
        <v/>
      </c>
    </row>
    <row r="29" ht="15" customHeight="1" s="102">
      <c r="A29" s="159" t="inlineStr">
        <is>
          <t>Güven Seviyesi</t>
        </is>
      </c>
      <c r="B29" s="151">
        <f>IF(B28=0,"VERİ YETERSİZ",IF(B28&gt;=VeriKaliteYuksek,"YÜKSEK",IF(B28&gt;=VeriKaliteOrta,"ORTA","DÜŞÜK")))</f>
        <v/>
      </c>
    </row>
    <row r="31" ht="15" customHeight="1" s="102">
      <c r="A31" s="154" t="inlineStr">
        <is>
          <t>E. GENEL SAĞLIK</t>
        </is>
      </c>
    </row>
    <row r="32" ht="15" customHeight="1" s="102">
      <c r="A32" s="159" t="inlineStr">
        <is>
          <t>PASS Kontrol Sayısı</t>
        </is>
      </c>
      <c r="B32" s="172">
        <f>COUNTIF(C6:C12,"PASS")+COUNTIF(C17:C21,"PASS")</f>
        <v/>
      </c>
    </row>
    <row r="33" ht="15" customHeight="1" s="102">
      <c r="A33" s="159" t="inlineStr">
        <is>
          <t>FAIL Kontrol Sayısı</t>
        </is>
      </c>
      <c r="B33" s="172">
        <f>COUNTIF(C6:C12,"FAIL")+COUNTIF(C17:C21,"FAIL")</f>
        <v/>
      </c>
    </row>
    <row r="34" ht="15" customHeight="1" s="102">
      <c r="A34" s="151" t="inlineStr">
        <is>
          <t>Çalışma Kitabı Sağlığı</t>
        </is>
      </c>
      <c r="B34" s="175">
        <f>IF(KayitSayisi=0,"VERİ YETERSİZ",IF(B33=0,"SAĞLIKLI",IF(B33&lt;=2,"İZLEME GEREKLİ","DÜZELTME GEREKLİ")))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2:AN2"/>
  </mergeCells>
  <conditionalFormatting sqref="C6:C12">
    <cfRule type="cellIs" rank="0" priority="2" equalAverage="0" operator="equal" aboveAverage="0" dxfId="10" text="" percent="0" bottom="0">
      <formula>"PASS"</formula>
    </cfRule>
    <cfRule type="cellIs" rank="0" priority="3" equalAverage="0" operator="equal" aboveAverage="0" dxfId="16" text="" percent="0" bottom="0">
      <formula>"FAIL"</formula>
    </cfRule>
    <cfRule type="cellIs" rank="0" priority="4" equalAverage="0" operator="equal" aboveAverage="0" dxfId="11" text="" percent="0" bottom="0">
      <formula>"WARN"</formula>
    </cfRule>
  </conditionalFormatting>
  <conditionalFormatting sqref="C17:C21">
    <cfRule type="cellIs" rank="0" priority="5" equalAverage="0" operator="equal" aboveAverage="0" dxfId="10" text="" percent="0" bottom="0">
      <formula>"PASS"</formula>
    </cfRule>
    <cfRule type="cellIs" rank="0" priority="6" equalAverage="0" operator="equal" aboveAverage="0" dxfId="16" text="" percent="0" bottom="0">
      <formula>"FAIL"</formula>
    </cfRule>
    <cfRule type="cellIs" rank="0" priority="7" equalAverage="0" operator="equal" aboveAverage="0" dxfId="11" text="" percent="0" bottom="0">
      <formula>"WARN"</formula>
    </cfRule>
  </conditionalFormatting>
  <conditionalFormatting sqref="B28">
    <cfRule type="cellIs" rank="0" priority="8" equalAverage="0" operator="lessThan" aboveAverage="0" dxfId="12" text="" percent="0" bottom="0">
      <formula>50</formula>
    </cfRule>
    <cfRule type="cellIs" rank="0" priority="9" equalAverage="0" operator="greaterThanOrEqual" aboveAverage="0" dxfId="10" text="" percent="0" bottom="0">
      <formula>80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128" min="1" max="1"/>
    <col width="34" customWidth="1" style="128" min="2" max="2"/>
    <col width="11" customWidth="1" style="128" min="3" max="3"/>
    <col width="30" customWidth="1" style="128" min="4" max="4"/>
    <col width="26" customWidth="1" style="128" min="5" max="6"/>
    <col width="20" customWidth="1" style="128" min="7" max="7"/>
    <col width="22" customWidth="1" style="128" min="8" max="8"/>
    <col width="36" customWidth="1" style="128" min="9" max="9"/>
    <col width="20" customWidth="1" style="128" min="10" max="10"/>
    <col width="11" customWidth="1" style="128" min="11" max="11"/>
    <col width="22" customWidth="1" style="128" min="12" max="13"/>
    <col width="10" customWidth="1" style="128" min="14" max="14"/>
    <col width="18" customWidth="1" style="128" min="15" max="15"/>
    <col width="14" customWidth="1" style="128" min="16" max="16"/>
  </cols>
  <sheetData>
    <row r="1" ht="25.5" customHeight="1" s="102">
      <c r="A1" s="129" t="inlineStr">
        <is>
          <t>KARAR MOTORU — ÇEK–SENET VE VADE RİSK SİSTEMİ</t>
        </is>
      </c>
    </row>
    <row r="2" ht="19.5" customHeight="1" s="102">
      <c r="A2" s="130" t="inlineStr">
        <is>
          <t>Karar motoru veriye göre risk seviyesi, gerekçe ve aksiyon üretir. Kesin kredi/hukuki/vergi garantisi vermez; profesyonel muhakeme ile birlikte kullanılmalıdır.</t>
        </is>
      </c>
    </row>
    <row r="4" ht="30" customHeight="1" s="102">
      <c r="A4" s="131" t="inlineStr">
        <is>
          <t>Risk Numarası</t>
        </is>
      </c>
      <c r="B4" s="131" t="inlineStr">
        <is>
          <t>Kategori</t>
        </is>
      </c>
      <c r="C4" s="131" t="inlineStr">
        <is>
          <t>Risk Seviyesi</t>
        </is>
      </c>
      <c r="D4" s="131" t="inlineStr">
        <is>
          <t>Tespit</t>
        </is>
      </c>
      <c r="E4" s="131" t="inlineStr">
        <is>
          <t>Sayısal Kanıt</t>
        </is>
      </c>
      <c r="F4" s="131" t="inlineStr">
        <is>
          <t>Kök Neden</t>
        </is>
      </c>
      <c r="G4" s="131" t="inlineStr">
        <is>
          <t>Finansal Etki</t>
        </is>
      </c>
      <c r="H4" s="131" t="inlineStr">
        <is>
          <t>Önerilen Karar</t>
        </is>
      </c>
      <c r="I4" s="131" t="inlineStr">
        <is>
          <t>Önerilen Aksiyon</t>
        </is>
      </c>
      <c r="J4" s="131" t="inlineStr">
        <is>
          <t>Sorumlu Rol</t>
        </is>
      </c>
      <c r="K4" s="131" t="inlineStr">
        <is>
          <t>Son Tarih</t>
        </is>
      </c>
      <c r="L4" s="131" t="inlineStr">
        <is>
          <t>Beklenen Etki</t>
        </is>
      </c>
      <c r="M4" s="131" t="inlineStr">
        <is>
          <t>Uygulanmama Riski</t>
        </is>
      </c>
      <c r="N4" s="131" t="inlineStr">
        <is>
          <t>Güven Düzeyi</t>
        </is>
      </c>
      <c r="O4" s="131" t="inlineStr">
        <is>
          <t>Kullanılan Eşik</t>
        </is>
      </c>
      <c r="P4" s="131" t="inlineStr">
        <is>
          <t>Eşik Kaynağı</t>
        </is>
      </c>
    </row>
    <row r="5" ht="63.75" customHeight="1" s="102">
      <c r="A5" s="176" t="n">
        <v>1</v>
      </c>
      <c r="B5" s="151" t="inlineStr">
        <is>
          <t>KARŞILIK YETERLİLİĞİ</t>
        </is>
      </c>
      <c r="C5" s="177">
        <f>IF(KayitSayisi=0,"VERİ YETERSİZ",IF(KarilikAcigi&gt;0,"KRİTİK",IF(KarilikOrani&lt;KarilikOraniEsik,"RİSKLİ","NORMAL")))</f>
        <v/>
      </c>
      <c r="D5" s="178">
        <f>IF(KayitSayisi=0,"Henüz belge kaydı yok; analiz için CEK_SENET_KAYIT sayfasına veri girin.",IF(KarilikAcigi&gt;0,"Vadesi gelen verilen belgeler tahsilat ve nakitle karşılanamıyor.","Karşılık yeterli görünüyor."))</f>
        <v/>
      </c>
      <c r="E5" s="159">
        <f>"Verilen "&amp;TEXT(VerilenToplam,"₺ #,##0")&amp;" / Kaynak "&amp;TEXT(SerbestNakit+RiskAglikliAlinan,"₺ #,##0")&amp;" / Açık "&amp;TEXT(KarilikAcigi,"₺ #,##0")</f>
        <v/>
      </c>
      <c r="F5" s="178">
        <f>IF(KarilikAcigi&gt;0,"Risk ağırlıklı tahsil değeri ve serbest nakit, verilen belgeleri karşılamıyor.","Tahsilat ve nakit pozisyonu yeterli.")</f>
        <v/>
      </c>
      <c r="G5" s="159">
        <f>"Ödeme gücü riski: "&amp;TEXT(KarilikAcigi,"₺ #,##0")</f>
        <v/>
      </c>
      <c r="H5" s="178">
        <f>IF(C5="NORMAL","Kararlı pozisyonu koru",IF(C5="RİSKLİ","Tahsilat planını güçlendir","Yeni verilen belgeyi durdur ve acil ödeme planı kur"))</f>
        <v/>
      </c>
      <c r="I5" s="178">
        <f>IF(C5="NORMAL","Mevcut karşılık takibini sürdür.",IF(C5="RİSKLİ","Riskli alacakları hızlandır; teminata konu belgeleri nakde çevir.","Tahsilat planı oluştur; kısa vadeli finansman seçeneklerini değerlendir; yeni çek düzenleme kapasitesini sıfırla."))</f>
        <v/>
      </c>
      <c r="J5" s="159" t="inlineStr">
        <is>
          <t>Finans Müdürü</t>
        </is>
      </c>
      <c r="K5" s="179">
        <f>IF(C5="NORMAL","-",TODAY()+VadeUyariGunu)</f>
        <v/>
      </c>
      <c r="L5" s="178">
        <f>"Açığın kapatılması ödeme güvenliği sağlar ("&amp;TEXT(KarilikAcigi,"₺ #,##0")&amp;")"</f>
        <v/>
      </c>
      <c r="M5" s="178" t="inlineStr">
        <is>
          <t>Karşılıksız çek ve temerrüt riski</t>
        </is>
      </c>
      <c r="N5" s="180">
        <f>IF(VeriKaliteSkor&gt;=VeriKaliteYuksek,"YÜKSEK",IF(VeriKaliteSkor&gt;=VeriKaliteOrta,"ORTA","DÜŞÜK"))</f>
        <v/>
      </c>
      <c r="O5" s="159">
        <f>IF(KayitSayisi=0,"VERİ YOK",TEXT(KarilikOraniEsik,"0.0")&amp;" karşılık oranı eşiği")</f>
        <v/>
      </c>
      <c r="P5" s="159" t="inlineStr">
        <is>
          <t>AYARLAR</t>
        </is>
      </c>
    </row>
    <row r="6" ht="63.75" customHeight="1" s="102">
      <c r="A6" s="176" t="n">
        <v>2</v>
      </c>
      <c r="B6" s="151" t="inlineStr">
        <is>
          <t>HAFTALIK ÖDEME YOĞUNLUĞU</t>
        </is>
      </c>
      <c r="C6" s="177">
        <f>IF(KayitSayisi=0,"VERİ YETERSİZ",IF(HaftalikMaxVerilen&gt;HaftalikEsik,"KRİTİK",IF(HaftalikMaxVerilen&gt;HaftalikEsik*HaftalikUyariKatsayi,"RİSKLİ","NORMAL")))</f>
        <v/>
      </c>
      <c r="D6" s="178">
        <f>IF(KayitSayisi=0,"Henüz belge kaydı yok.",IF(HaftalikMaxVerilen&gt;HaftalikEsik,"Haftalık ödeme yoğunluğu eşiği aşıldı.","Haftalık ödeme yoğunluğu eşik altında."))</f>
        <v/>
      </c>
      <c r="E6" s="159">
        <f>"En yoğun hafta "&amp;TEXT(HaftalikMaxVerilen,"₺ #,##0")&amp;" / Eşik "&amp;TEXT(HaftalikEsik,"₺ #,##0")</f>
        <v/>
      </c>
      <c r="F6" s="178">
        <f>"Tek haftada vadesi gelen verilen belge tutarı yüksek: "&amp;TEXT(HaftalikMaxVerilen,"₺ #,##0")</f>
        <v/>
      </c>
      <c r="G6" s="159">
        <f>TEXT(MAX(0,HaftalikMaxVerilen-HaftalikEsik),"₺ #,##0")&amp;" ekstra ödeme baskısı"</f>
        <v/>
      </c>
      <c r="H6" s="178">
        <f>IF(C6="NORMAL","Yoğunluk takibini sürdür","Yoğun hafta öncesi tahsilat ve ödeme planlaması yap")</f>
        <v/>
      </c>
      <c r="I6" s="178">
        <f>IF(C6="NORMAL","Haftalık vade takvimini izlemeye devam et.","Yoğun haftadan önce tahsilatı hızlandır; tedarikçi ödemelerini yeniden takvimle; gerekirse kısa vadeli borçlanma planla.")</f>
        <v/>
      </c>
      <c r="J6" s="159" t="inlineStr">
        <is>
          <t>Hazine Yöneticisi</t>
        </is>
      </c>
      <c r="K6" s="179">
        <f>IF(C6="NORMAL","-",TODAY()+7)</f>
        <v/>
      </c>
      <c r="L6" s="178">
        <f>"Ödeme yoğunluğu öncesi hazırlık gecikme ve komisyon maliyetini azaltır"</f>
        <v/>
      </c>
      <c r="M6" s="178" t="inlineStr">
        <is>
          <t>Vade günü teminatsız kalma ve karşılıksız riski</t>
        </is>
      </c>
      <c r="N6" s="180">
        <f>IF(VeriKaliteSkor&gt;=VeriKaliteYuksek,"YÜKSEK",IF(VeriKaliteSkor&gt;=VeriKaliteOrta,"ORTA","DÜŞÜK"))</f>
        <v/>
      </c>
      <c r="O6" s="159">
        <f>IF(KayitSayisi=0,"VERİ YOK",TEXT(HaftalikEsik,"₺ #,##0")&amp;" haftalık eşik")</f>
        <v/>
      </c>
      <c r="P6" s="159" t="inlineStr">
        <is>
          <t>AYARLAR</t>
        </is>
      </c>
    </row>
    <row r="7" ht="63.75" customHeight="1" s="102">
      <c r="A7" s="176" t="n">
        <v>3</v>
      </c>
      <c r="B7" s="151" t="inlineStr">
        <is>
          <t>RİSKLİ MÜŞTERİDEN ALINAN BELGE</t>
        </is>
      </c>
      <c r="C7" s="177">
        <f>IF(KayitSayisi=0,"VERİ YETERSİZ",IF(RiskliMusteriBelge&gt;0,"RİSKLİ",IF(RiskliMusteri&gt;0,"İZLE","NORMAL")))</f>
        <v/>
      </c>
      <c r="D7" s="178">
        <f>IF(KayitSayisi=0,"Henüz belge kaydı yok.",IF(RiskliMusteriBelge&gt;0,"Riskli müşteriden alınan belgeler zorunlu ödemelerin karşılığı sayılıyor.","Riskli müşteri belgesi bulunmuyor."))</f>
        <v/>
      </c>
      <c r="E7" s="159">
        <f>"Riskli müşteri belgesi "&amp;TEXT(RiskliMusteriBelge,"₺ #,##0")&amp;" / Riskli müşteri sayısı "&amp;TEXT(RiskliMusteri,"0")</f>
        <v/>
      </c>
      <c r="F7" s="178">
        <f>"Tahsilat geçmişi zayıf veya karşılıksız geçmişi olan müşteriden belge alınmış."</f>
        <v/>
      </c>
      <c r="G7" s="159">
        <f>TEXT(RiskliMusteriBelge,"₺ #,##0")&amp;" tahsilat belirsizliği"</f>
        <v/>
      </c>
      <c r="H7" s="178">
        <f>IF(C7="RİSKLİ","Belgeyi teminatla güçlendir veya iskontoya sun","Riskli müşteri takibine devam et")</f>
        <v/>
      </c>
      <c r="I7" s="178">
        <f>IF(C7="RİSKLİ","Riskli müşteriden alınan belgeler için ek teminat iste; vadesi yaklaşanları sıkı takip et.","Riskli müşteri portföyünü periyodik izle.")</f>
        <v/>
      </c>
      <c r="J7" s="159" t="inlineStr">
        <is>
          <t>Tahsilat Sorumlusu</t>
        </is>
      </c>
      <c r="K7" s="179">
        <f>IF(C7="RİSKLİ",TODAY()+VadeUyariGunu,"-")</f>
        <v/>
      </c>
      <c r="L7" s="178">
        <f>"Belirsiz tahsilatın zorunlu ödemelere sayılması önlendiğinde nakit riski düşer"</f>
        <v/>
      </c>
      <c r="M7" s="178" t="inlineStr">
        <is>
          <t>Karşılıksız belge nedeniyle ödeme gücü kaybı</t>
        </is>
      </c>
      <c r="N7" s="180">
        <f>IF(VeriKaliteSkor&gt;=VeriKaliteYuksek,"YÜKSEK",IF(VeriKaliteSkor&gt;=VeriKaliteOrta,"ORTA","DÜŞÜK"))</f>
        <v/>
      </c>
      <c r="O7" s="159">
        <f>IF(KayitSayisi=0,"VERİ YOK",RiskliSkorEsik&amp;" puan altı müşteri skoru")</f>
        <v/>
      </c>
      <c r="P7" s="159" t="inlineStr">
        <is>
          <t>AYARLAR</t>
        </is>
      </c>
    </row>
    <row r="8" ht="63.75" customHeight="1" s="102">
      <c r="A8" s="176" t="n">
        <v>4</v>
      </c>
      <c r="B8" s="151" t="inlineStr">
        <is>
          <t>KARŞILIKSIZ GEÇMİŞİ</t>
        </is>
      </c>
      <c r="C8" s="177">
        <f>IF(KayitSayisi=0,"VERİ YETERSİZ",IF(KarsiliksizToplam&gt;0,"KRİTİK","NORMAL"))</f>
        <v/>
      </c>
      <c r="D8" s="178">
        <f>IF(KayitSayisi=0,"Henüz belge kaydı yok.",IF(KarsiliksizToplam&gt;0,"Karşılıksız bilgisi işaretli belgeler bulunuyor.","Karşılıksız belge bulunmuyor."))</f>
        <v/>
      </c>
      <c r="E8" s="159">
        <f>"Karşılıksız toplam "&amp;TEXT(KarsiliksizToplam,"₺ #,##0")</f>
        <v/>
      </c>
      <c r="F8" s="178">
        <f>"Müşterinin geçmiş karşılıksız bilgisi belge güvenini düşürür."</f>
        <v/>
      </c>
      <c r="G8" s="159">
        <f>TEXT(KarsiliksizToplam,"₺ #,##0")&amp;" tahsil edilememe riski"</f>
        <v/>
      </c>
      <c r="H8" s="178">
        <f>IF(C8="KRİTİK","Belgeyi hukuki takibe al veya teminat iste","Karşılıksız kontrolüne devam et")</f>
        <v/>
      </c>
      <c r="I8" s="178">
        <f>IF(C8="KRİTİK","Karşılıksız belgeler için hukuki takip sürecini başlat; müşteriyle yapılandırma görüşmesi yap.","Karşılıksız geçmişi olan müşterileri listele ve izle.")</f>
        <v/>
      </c>
      <c r="J8" s="159" t="inlineStr">
        <is>
          <t>Hukuk / İç Kontrol</t>
        </is>
      </c>
      <c r="K8" s="179">
        <f>IF(C8="KRİTİK",TODAY()+7,"-")</f>
        <v/>
      </c>
      <c r="L8" s="178">
        <f>"Hukuki takip karşılıksız belgelerin etkisini sınırlar"</f>
        <v/>
      </c>
      <c r="M8" s="178" t="inlineStr">
        <is>
          <t>Alacağın tamamının tahsil edilememesi</t>
        </is>
      </c>
      <c r="N8" s="180">
        <f>IF(VeriKaliteSkor&gt;=VeriKaliteYuksek,"YÜKSEK",IF(VeriKaliteSkor&gt;=VeriKaliteOrta,"ORTA","DÜŞÜK"))</f>
        <v/>
      </c>
      <c r="O8" s="159">
        <f>"Karşılıksız bilgisi VAR"</f>
        <v/>
      </c>
      <c r="P8" s="159" t="inlineStr">
        <is>
          <t>KAYIT / İŞ KURALI</t>
        </is>
      </c>
    </row>
    <row r="9" ht="63.75" customHeight="1" s="102">
      <c r="A9" s="176" t="n">
        <v>5</v>
      </c>
      <c r="B9" s="151" t="inlineStr">
        <is>
          <t>VADESİ GEÇMİŞ GÜNCELLENMEMİŞ</t>
        </is>
      </c>
      <c r="C9" s="177">
        <f>IF(KayitSayisi=0,"VERİ YETERSİZ",IF(VadeGecmisBelge&gt;0,"RİSKLİ","NORMAL"))</f>
        <v/>
      </c>
      <c r="D9" s="178">
        <f>IF(KayitSayisi=0,"Henüz belge kaydı yok.",IF(VadeGecmisBelge&gt;0,"Vadesi geçmiş fakat son durumu güncellenmemiş belgeler var.","Vadesi geçmiş güncellenmemiş belge bulunmuyor."))</f>
        <v/>
      </c>
      <c r="E9" s="159">
        <f>TEXT(VadeGecmisBelge,"0")&amp;" belge vadesi geçmiş ve durumu güncellenmemiş"</f>
        <v/>
      </c>
      <c r="F9" s="178">
        <f>"Vade geçen belgelerin son durumu işlenmemiş."</f>
        <v/>
      </c>
      <c r="G9" s="159">
        <f>"Operasyonel takip hatası riski"</f>
        <v/>
      </c>
      <c r="H9" s="178">
        <f>IF(C9="RİSKLİ","Belgelerin son durumunu güncelle","Belge durumlarını güncel tut")</f>
        <v/>
      </c>
      <c r="I9" s="178">
        <f>IF(C9="RİSKLİ","Vadesi geçen belgelerin tahsil/karşılıksız durumunu bugün güncelleyin.","Belge durum güncellemesini periyodik yapın.")</f>
        <v/>
      </c>
      <c r="J9" s="159" t="inlineStr">
        <is>
          <t>Operasyon Sorumlusu</t>
        </is>
      </c>
      <c r="K9" s="179">
        <f>IF(C9="RİSKLİ",TODAY(),"-")</f>
        <v/>
      </c>
      <c r="L9" s="178">
        <f>"Güncel durum verisi karar güvenini artırır"</f>
        <v/>
      </c>
      <c r="M9" s="178" t="inlineStr">
        <is>
          <t>Yanlış karar nedeniyle ödeme gücü riski</t>
        </is>
      </c>
      <c r="N9" s="180">
        <f>IF(VeriKaliteSkor&gt;=VeriKaliteYuksek,"YÜKSEK",IF(VeriKaliteSkor&gt;=VeriKaliteOrta,"ORTA","DÜŞÜK"))</f>
        <v/>
      </c>
      <c r="O9" s="159">
        <f>IF(KayitSayisi=0,"VERİ YOK",VadeUyariGunu&amp;" gün vade gecikmesi")</f>
        <v/>
      </c>
      <c r="P9" s="159" t="inlineStr">
        <is>
          <t>AYARLAR</t>
        </is>
      </c>
    </row>
    <row r="10" ht="63.75" customHeight="1" s="102">
      <c r="A10" s="176" t="n">
        <v>6</v>
      </c>
      <c r="B10" s="151" t="inlineStr">
        <is>
          <t>CİRO + PORTFÖY VERİ ÇELİŞKİSİ</t>
        </is>
      </c>
      <c r="C10" s="177">
        <f>IF(KayitSayisi=0,"VERİ YETERSİZ",IF(CiroCeliski&gt;0,"KRİTİK","NORMAL"))</f>
        <v/>
      </c>
      <c r="D10" s="178">
        <f>IF(KayitSayisi=0,"Henüz belge kaydı yok.",IF(CiroCeliski&gt;0,"Aynı belge hem ciro edilmiş hem portföyde görünüyor.","Veri çelişkisi bulunmuyor."))</f>
        <v/>
      </c>
      <c r="E10" s="159">
        <f>TEXT(CiroCeliski,"0")&amp;" belgede çelişki"</f>
        <v/>
      </c>
      <c r="F10" s="178">
        <f>"Ciro edilen belge portföy durumundan çıkarılmamış."</f>
        <v/>
      </c>
      <c r="G10" s="159">
        <f>"Çifte sayım nedeniyle yanlış pozisyon"</f>
        <v/>
      </c>
      <c r="H10" s="178">
        <f>IF(C10="KRİTİK","Çelişkili kayıtları düzelt","Veri tutarlılığını koru")</f>
        <v/>
      </c>
      <c r="I10" s="178">
        <f>IF(C10="KRİTİK","Ciro edilen belgelerin portföy durumunu CİRO EDİLDİ olarak güncelleyin; kaydı düzeltin.","Ciro işlemlerinde portföy güncellemesi kontrolü yapın.")</f>
        <v/>
      </c>
      <c r="J10" s="159" t="inlineStr">
        <is>
          <t>Veri Sorumlusu</t>
        </is>
      </c>
      <c r="K10" s="179">
        <f>IF(C10="KRİTİK",TODAY(),"-")</f>
        <v/>
      </c>
      <c r="L10" s="178">
        <f>"Doğru pozisyon verisi karar kalitesini artırır"</f>
        <v/>
      </c>
      <c r="M10" s="178" t="inlineStr">
        <is>
          <t>Yanlış karşılık hesabı</t>
        </is>
      </c>
      <c r="N10" s="180">
        <f>IF(VeriKaliteSkor&gt;=VeriKaliteYuksek,"YÜKSEK",IF(VeriKaliteSkor&gt;=VeriKaliteOrta,"ORTA","DÜŞÜK"))</f>
        <v/>
      </c>
      <c r="O10" s="159">
        <f>"Ciro EVET + Portföy PORTFÖYDE"</f>
        <v/>
      </c>
      <c r="P10" s="159" t="inlineStr">
        <is>
          <t>KONTROLLER</t>
        </is>
      </c>
    </row>
    <row r="11" ht="63.75" customHeight="1" s="102">
      <c r="A11" s="176" t="n">
        <v>7</v>
      </c>
      <c r="B11" s="151" t="inlineStr">
        <is>
          <t>YENİ ÇEK KAPASİTESİ</t>
        </is>
      </c>
      <c r="C11" s="177">
        <f>IF(KayitSayisi=0,"VERİ YETERSİZ",IF(VerilenToplam=0,"NORMAL",IF(KarilikOrani&gt;=KapasiteOranEsik,"NORMAL","İZLE")))</f>
        <v/>
      </c>
      <c r="D11" s="178">
        <f>IF(KayitSayisi=0,"Henüz belge kaydı yok.",IF(VerilenToplam=0,"Belge kaydı olmadığından kapasite hesabı yapılamadı.","Yeni çek düzenleme kapasitesi hesaplandı: "&amp;TEXT(GunvenliLimit,"₺ #,##0")))</f>
        <v/>
      </c>
      <c r="E11" s="159">
        <f>"Güvenli limit "&amp;TEXT(GunvenliLimit,"₺ #,##0")</f>
        <v/>
      </c>
      <c r="F11" s="178">
        <f>"Mevcut karşılık pozisyonuna göre yeni belge kapasitesi."</f>
        <v/>
      </c>
      <c r="G11" s="159">
        <f>"Büyüme fırsatı / kapasite bilgisi"</f>
        <v/>
      </c>
      <c r="H11" s="178">
        <f>"Kapasite önerisini değerlendir"</f>
        <v/>
      </c>
      <c r="I11" s="178">
        <f>IF(GunvenliLimit&gt;0,"Güvenli limit dahilinde yeni çek düzenlenebilir: "&amp;TEXT(GunvenliLimit,"₺ #,##0"),"Karşılık pozisyonu güçlenmeden yeni çek düzenlemeyin.")</f>
        <v/>
      </c>
      <c r="J11" s="159" t="inlineStr">
        <is>
          <t>Finans Müdürü</t>
        </is>
      </c>
      <c r="K11" s="179">
        <f>TODAY()+30</f>
        <v/>
      </c>
      <c r="L11" s="178">
        <f>"Limit disiplini ödeme güvenliğini korur"</f>
        <v/>
      </c>
      <c r="M11" s="178" t="inlineStr">
        <is>
          <t>Limit aşımı nedeniyle karşılıksız riski</t>
        </is>
      </c>
      <c r="N11" s="180">
        <f>IF(VeriKaliteSkor&gt;=VeriKaliteYuksek,"YÜKSEK",IF(VeriKaliteSkor&gt;=VeriKaliteOrta,"ORTA","DÜŞÜK"))</f>
        <v/>
      </c>
      <c r="O11" s="159">
        <f>"Güvenli limit = Nakit + RW Alınan - Verilen"</f>
        <v/>
      </c>
      <c r="P11" s="159" t="inlineStr">
        <is>
          <t>KARAR_MOTORU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T1"/>
    <mergeCell ref="A2:AN2"/>
  </mergeCells>
  <conditionalFormatting sqref="C5:C11">
    <cfRule type="cellIs" rank="0" priority="2" equalAverage="0" operator="equal" aboveAverage="0" dxfId="10" text="" percent="0" bottom="0">
      <formula>"NORMAL"</formula>
    </cfRule>
    <cfRule type="cellIs" rank="0" priority="3" equalAverage="0" operator="equal" aboveAverage="0" dxfId="11" text="" percent="0" bottom="0">
      <formula>"RİSKLİ"</formula>
    </cfRule>
    <cfRule type="cellIs" rank="0" priority="4" equalAverage="0" operator="equal" aboveAverage="0" dxfId="11" text="" percent="0" bottom="0">
      <formula>"İZLE"</formula>
    </cfRule>
    <cfRule type="cellIs" rank="0" priority="5" equalAverage="0" operator="equal" aboveAverage="0" dxfId="12" text="" percent="0" bottom="0">
      <formula>"KRİTİK"</formula>
    </cfRule>
    <cfRule type="cellIs" rank="0" priority="6" equalAverage="0" operator="equal" aboveAverage="0" dxfId="13" text="" percent="0" bottom="0">
      <formula>"VERİ YETERSİZ"</formula>
    </cfRule>
    <cfRule type="cellIs" rank="0" priority="7" equalAverage="0" operator="equal" aboveAverage="0" dxfId="15" text="" percent="0" bottom="0">
      <formula>"KRİTİK"</formula>
    </cfRule>
  </conditionalFormatting>
  <conditionalFormatting sqref="N5:N11">
    <cfRule type="cellIs" rank="0" priority="8" equalAverage="0" operator="equal" aboveAverage="0" dxfId="10" text="" percent="0" bottom="0">
      <formula>"YÜKSEK"</formula>
    </cfRule>
    <cfRule type="cellIs" rank="0" priority="9" equalAverage="0" operator="equal" aboveAverage="0" dxfId="11" text="" percent="0" bottom="0">
      <formula>"ORTA"</formula>
    </cfRule>
    <cfRule type="cellIs" rank="0" priority="10" equalAverage="0" operator="equal" aboveAverage="0" dxfId="12" text="" percent="0" bottom="0">
      <formula>"DÜŞÜK"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Y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28" min="1" max="1"/>
    <col width="12" customWidth="1" style="128" min="2" max="2"/>
    <col width="56" customWidth="1" style="128" min="3" max="3"/>
    <col width="8" customWidth="1" style="128" min="4" max="4"/>
    <col width="6" customWidth="1" style="128" min="5" max="5"/>
    <col width="14" customWidth="1" style="128" min="6" max="25"/>
    <col width="6" customWidth="1" style="128" min="26" max="26"/>
  </cols>
  <sheetData>
    <row r="1" ht="25.5" customHeight="1" s="102">
      <c r="A1" s="129" t="inlineStr">
        <is>
          <t>PANO — ÇEK–SENET VE VADE RİSK SİSTEMİ</t>
        </is>
      </c>
    </row>
    <row r="2" ht="15" customHeight="1" s="102">
      <c r="A2" s="181" t="inlineStr">
        <is>
          <t>YÖNETİCİ ÖZET PANELİ — TEK EKRANDA KARAR</t>
        </is>
      </c>
    </row>
    <row r="3" ht="15" customHeight="1" s="102"/>
    <row r="4" ht="32.25" customHeight="1" s="102">
      <c r="A4" s="182" t="inlineStr">
        <is>
          <t>Karar desteği amaçlıdır; kesin kredi/hukuki/vergi kararı değildir.</t>
        </is>
      </c>
      <c r="F4" s="183" t="inlineStr">
        <is>
          <t>Alınan Belge Toplamı</t>
        </is>
      </c>
      <c r="K4" s="183" t="inlineStr">
        <is>
          <t>Risk Ağırlıklı Alınan</t>
        </is>
      </c>
      <c r="P4" s="183" t="inlineStr">
        <is>
          <t>30 Günlük Verilen</t>
        </is>
      </c>
      <c r="U4" s="183" t="inlineStr">
        <is>
          <t>İlk Karşılık Açığı Tarihi</t>
        </is>
      </c>
    </row>
    <row r="5" ht="24" customHeight="1" s="102">
      <c r="F5" s="184">
        <f>AlinanToplam</f>
        <v/>
      </c>
      <c r="K5" s="185">
        <f>RiskAglikliAlinan</f>
        <v/>
      </c>
      <c r="P5" s="186">
        <f>-SUMIFS(CEK_SENET_KAYIT!$M$6:$M$1000,CEK_SENET_KAYIT!$D$6:$D$1000,"Verilen",CEK_SENET_KAYIT!$I$6:$I$1000,"&lt;="&amp;TODAY()+30)</f>
        <v/>
      </c>
      <c r="U5" s="187">
        <f>IlkAcikTarihi</f>
        <v/>
      </c>
    </row>
    <row r="8" ht="15" customHeight="1" s="102">
      <c r="F8" s="183" t="inlineStr">
        <is>
          <t>Verilen Belge Toplamı</t>
        </is>
      </c>
      <c r="K8" s="183" t="inlineStr">
        <is>
          <t>Net Belge Pozisyonu</t>
        </is>
      </c>
      <c r="P8" s="183" t="inlineStr">
        <is>
          <t>Maksimum Karşılık Açığı</t>
        </is>
      </c>
      <c r="U8" s="183" t="inlineStr">
        <is>
          <t>Karşılıksız Belge Toplamı</t>
        </is>
      </c>
    </row>
    <row r="9" ht="24" customHeight="1" s="102">
      <c r="F9" s="186">
        <f>VerilenToplam</f>
        <v/>
      </c>
      <c r="K9" s="185">
        <f>NetPozisyon</f>
        <v/>
      </c>
      <c r="P9" s="186">
        <f>MaxAcik</f>
        <v/>
      </c>
      <c r="U9" s="186">
        <f>KarsiliksizToplam</f>
        <v/>
      </c>
    </row>
    <row r="24" ht="15" customHeight="1" s="102">
      <c r="A24" s="188" t="inlineStr">
        <is>
          <t>DURUM KARTI</t>
        </is>
      </c>
      <c r="B24" s="128" t="n"/>
    </row>
    <row r="25" ht="18" customHeight="1" s="102">
      <c r="A25" s="189" t="inlineStr">
        <is>
          <t>Riskli Müşteri Sayısı</t>
        </is>
      </c>
      <c r="B25" s="190">
        <f>RiskliMusteri</f>
        <v/>
      </c>
    </row>
    <row r="26" ht="18" customHeight="1" s="102">
      <c r="A26" s="189" t="inlineStr">
        <is>
          <t>Veri Kalite Skoru</t>
        </is>
      </c>
      <c r="B26" s="190">
        <f>VeriKaliteSkor</f>
        <v/>
      </c>
    </row>
    <row r="27" ht="18" customHeight="1" s="102">
      <c r="A27" s="189" t="inlineStr">
        <is>
          <t>Çalışma Kitabı Sağlığı</t>
        </is>
      </c>
      <c r="B27" s="191">
        <f>KONTROLLER!$B$34</f>
        <v/>
      </c>
    </row>
    <row r="28" ht="15" customHeight="1" s="102">
      <c r="A28" s="189" t="inlineStr">
        <is>
          <t>Son Güncelleme</t>
        </is>
      </c>
      <c r="B28" s="191">
        <f>TEXT(AYARLAR!$B$7,"dd.mm.yyyy")</f>
        <v/>
      </c>
    </row>
    <row r="29" ht="83.25" customHeight="1" s="102">
      <c r="A29" s="167" t="inlineStr">
        <is>
          <t>ÖNCELİKLİ AKSİYONLAR (Likidite → Büyüme öncelik sırası)</t>
        </is>
      </c>
    </row>
    <row r="30" ht="30" customHeight="1" s="102">
      <c r="A30" s="131" t="inlineStr">
        <is>
          <t>Sıra</t>
        </is>
      </c>
      <c r="B30" s="131" t="inlineStr">
        <is>
          <t>Risk Seviyesi</t>
        </is>
      </c>
      <c r="C30" s="131" t="inlineStr">
        <is>
          <t>Aksiyon</t>
        </is>
      </c>
      <c r="D30" s="131" t="inlineStr">
        <is>
          <t>Son Tarih</t>
        </is>
      </c>
    </row>
    <row r="31" ht="21.75" customHeight="1" s="102">
      <c r="A31" s="155">
        <f>KARAR_MOTORU!$A5</f>
        <v/>
      </c>
      <c r="B31" s="128">
        <f>KARAR_MOTORU!$C5</f>
        <v/>
      </c>
      <c r="C31" s="128">
        <f>KARAR_MOTORU!$I5</f>
        <v/>
      </c>
      <c r="D31" s="149">
        <f>KARAR_MOTORU!$K5</f>
        <v/>
      </c>
    </row>
    <row r="32" ht="21.75" customHeight="1" s="102">
      <c r="A32" s="155">
        <f>KARAR_MOTORU!$A6</f>
        <v/>
      </c>
      <c r="B32" s="128">
        <f>KARAR_MOTORU!$C6</f>
        <v/>
      </c>
      <c r="C32" s="128">
        <f>KARAR_MOTORU!$I6</f>
        <v/>
      </c>
      <c r="D32" s="149">
        <f>KARAR_MOTORU!$K6</f>
        <v/>
      </c>
    </row>
    <row r="33" ht="21.75" customHeight="1" s="102">
      <c r="A33" s="155">
        <f>KARAR_MOTORU!$A7</f>
        <v/>
      </c>
      <c r="B33" s="128">
        <f>KARAR_MOTORU!$C7</f>
        <v/>
      </c>
      <c r="C33" s="128">
        <f>KARAR_MOTORU!$I7</f>
        <v/>
      </c>
      <c r="D33" s="149">
        <f>KARAR_MOTORU!$K7</f>
        <v/>
      </c>
    </row>
    <row r="34" ht="21.75" customHeight="1" s="102">
      <c r="A34" s="155">
        <f>KARAR_MOTORU!$A8</f>
        <v/>
      </c>
      <c r="B34" s="128">
        <f>KARAR_MOTORU!$C8</f>
        <v/>
      </c>
      <c r="C34" s="128">
        <f>KARAR_MOTORU!$I8</f>
        <v/>
      </c>
      <c r="D34" s="149">
        <f>KARAR_MOTORU!$K8</f>
        <v/>
      </c>
    </row>
    <row r="35" ht="21.75" customHeight="1" s="102">
      <c r="A35" s="155">
        <f>KARAR_MOTORU!$A9</f>
        <v/>
      </c>
      <c r="B35" s="128">
        <f>KARAR_MOTORU!$C9</f>
        <v/>
      </c>
      <c r="C35" s="128">
        <f>KARAR_MOTORU!$I9</f>
        <v/>
      </c>
      <c r="D35" s="149">
        <f>KARAR_MOTORU!$K9</f>
        <v/>
      </c>
    </row>
    <row r="36" ht="21.75" customHeight="1" s="102">
      <c r="A36" s="155">
        <f>KARAR_MOTORU!$A10</f>
        <v/>
      </c>
      <c r="B36" s="128">
        <f>KARAR_MOTORU!$C10</f>
        <v/>
      </c>
      <c r="C36" s="128">
        <f>KARAR_MOTORU!$I10</f>
        <v/>
      </c>
      <c r="D36" s="149">
        <f>KARAR_MOTORU!$K10</f>
        <v/>
      </c>
    </row>
    <row r="37" ht="21.75" customHeight="1" s="102">
      <c r="A37" s="155">
        <f>KARAR_MOTORU!$A11</f>
        <v/>
      </c>
      <c r="B37" s="128">
        <f>KARAR_MOTORU!$C11</f>
        <v/>
      </c>
      <c r="C37" s="128">
        <f>KARAR_MOTORU!$I11</f>
        <v/>
      </c>
      <c r="D37" s="149">
        <f>KARAR_MOTORU!$K11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3">
    <mergeCell ref="U9:Y9"/>
    <mergeCell ref="P4:T4"/>
    <mergeCell ref="B24:H24"/>
    <mergeCell ref="A2:K3"/>
    <mergeCell ref="K9:O9"/>
    <mergeCell ref="K5:O5"/>
    <mergeCell ref="P9:T9"/>
    <mergeCell ref="A1:T1"/>
    <mergeCell ref="B28:G28"/>
    <mergeCell ref="F5:J5"/>
    <mergeCell ref="P8:T8"/>
    <mergeCell ref="F8:J8"/>
    <mergeCell ref="U4:Y4"/>
    <mergeCell ref="K8:O8"/>
    <mergeCell ref="B26:G26"/>
    <mergeCell ref="B25:G25"/>
    <mergeCell ref="F9:J9"/>
    <mergeCell ref="U8:Y8"/>
    <mergeCell ref="B27:G27"/>
    <mergeCell ref="U5:Y5"/>
    <mergeCell ref="P5:T5"/>
    <mergeCell ref="K4:O4"/>
    <mergeCell ref="F4:J4"/>
  </mergeCells>
  <conditionalFormatting sqref="B25">
    <cfRule type="cellIs" rank="0" priority="2" equalAverage="0" operator="lessThan" aboveAverage="0" dxfId="12" text="" percent="0" bottom="0">
      <formula>50</formula>
    </cfRule>
    <cfRule type="cellIs" rank="0" priority="3" equalAverage="0" operator="greaterThanOrEqual" aboveAverage="0" dxfId="10" text="" percent="0" bottom="0">
      <formula>80</formula>
    </cfRule>
  </conditionalFormatting>
  <conditionalFormatting sqref="B26">
    <cfRule type="cellIs" rank="0" priority="4" equalAverage="0" operator="equal" aboveAverage="0" dxfId="10" text="" percent="0" bottom="0">
      <formula>"YÜKSEK"</formula>
    </cfRule>
    <cfRule type="cellIs" rank="0" priority="5" equalAverage="0" operator="equal" aboveAverage="0" dxfId="11" text="" percent="0" bottom="0">
      <formula>"ORTA"</formula>
    </cfRule>
    <cfRule type="cellIs" rank="0" priority="6" equalAverage="0" operator="equal" aboveAverage="0" dxfId="12" text="" percent="0" bottom="0">
      <formula>"DÜŞÜK"</formula>
    </cfRule>
  </conditionalFormatting>
  <conditionalFormatting sqref="B27">
    <cfRule type="cellIs" rank="0" priority="7" equalAverage="0" operator="equal" aboveAverage="0" dxfId="10" text="" percent="0" bottom="0">
      <formula>"SAĞLIKLI"</formula>
    </cfRule>
    <cfRule type="cellIs" rank="0" priority="8" equalAverage="0" operator="equal" aboveAverage="0" dxfId="11" text="" percent="0" bottom="0">
      <formula>"İZLEME GEREKLİ"</formula>
    </cfRule>
    <cfRule type="cellIs" rank="0" priority="9" equalAverage="0" operator="equal" aboveAverage="0" dxfId="12" text="" percent="0" bottom="0">
      <formula>"DÜZELTME GEREKLİ"</formula>
    </cfRule>
  </conditionalFormatting>
  <conditionalFormatting sqref="B31:B37">
    <cfRule type="cellIs" rank="0" priority="10" equalAverage="0" operator="equal" aboveAverage="0" dxfId="10" text="" percent="0" bottom="0">
      <formula>"NORMAL"</formula>
    </cfRule>
    <cfRule type="cellIs" rank="0" priority="11" equalAverage="0" operator="equal" aboveAverage="0" dxfId="11" text="" percent="0" bottom="0">
      <formula>"RİSKLİ"</formula>
    </cfRule>
    <cfRule type="cellIs" rank="0" priority="12" equalAverage="0" operator="equal" aboveAverage="0" dxfId="11" text="" percent="0" bottom="0">
      <formula>"İZLE"</formula>
    </cfRule>
    <cfRule type="cellIs" rank="0" priority="13" equalAverage="0" operator="equal" aboveAverage="0" dxfId="12" text="" percent="0" bottom="0">
      <formula>"KRİTİK"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&amp;LÇek–Senet ve Vade Risk Sistemi · Rev 1.0&amp;CExcelArşiv&amp;RSayfa &amp;P /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L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28" min="1" max="1"/>
    <col width="18" customWidth="1" style="128" min="2" max="2"/>
    <col width="22" customWidth="1" style="128" min="3" max="4"/>
    <col width="14" customWidth="1" style="128" min="5" max="5"/>
    <col width="12" customWidth="1" style="128" min="6" max="11"/>
  </cols>
  <sheetData>
    <row r="1" ht="25.5" customHeight="1" s="102">
      <c r="A1" s="192" t="inlineStr">
        <is>
          <t>ÇEK–SENET VE VADE RİSK RAPORU</t>
        </is>
      </c>
      <c r="L1" s="192" t="n"/>
    </row>
    <row r="2" ht="15" customHeight="1" s="102"/>
    <row r="4" ht="15" customHeight="1" s="102">
      <c r="A4" s="193">
        <f>AYARLAR!$B$5</f>
        <v/>
      </c>
      <c r="D4" s="194" t="inlineStr">
        <is>
          <t>Rapor Tarihi:</t>
        </is>
      </c>
      <c r="E4" s="195">
        <f>AYARLAR!$B$7</f>
        <v/>
      </c>
      <c r="H4" s="194" t="inlineStr">
        <is>
          <t>Sürüm:</t>
        </is>
      </c>
      <c r="I4" s="196">
        <f>AYARLAR!$B$9</f>
        <v/>
      </c>
      <c r="J4" s="194" t="inlineStr">
        <is>
          <t>Para Birimi:</t>
        </is>
      </c>
      <c r="K4" s="196">
        <f>AYARLAR!$B$8</f>
        <v/>
      </c>
    </row>
    <row r="6" ht="15" customHeight="1" s="102">
      <c r="A6" s="197" t="inlineStr">
        <is>
          <t>YÖNETİCİ ÖZETİ</t>
        </is>
      </c>
    </row>
    <row r="7" ht="15" customHeight="1" s="102">
      <c r="A7" s="178">
        <f>IF(KayitSayisi=0,"Henüz belge girişi yapılmamıştır. Çalışma kitabı VERİ YETERSİZ durumundadır; karar üretilmemesi önerilir.","Rapor döneminde alınan belge toplamı "&amp;TEXT(AlinanToplam,"₺ #,##0")&amp;", verilen belge toplamı "&amp;TEXT(VerilenToplam,"₺ #,##0")&amp;" olup net pozisyon "&amp;TEXT(NetPozisyon,"₺ #,##0")&amp;" tutarındadır. "&amp;IF(MaxAcik&gt;0,"Karşılık açığı tespit edilmiştir: "&amp;TEXT(MaxAcik,"₺ #,##0")&amp;" ("&amp;TEXT(IlkAcikTarihi,"dd.mm.yyyy")&amp;" itibarıyla). Ödeme planı gözden geçirilmelidir.","Karşılık açığı bulunmamaktadır. Ödeme planı yeterli görünmektedir.")&amp;" Veri kalite skoru "&amp;TEXT(VeriKaliteSkor,"0")&amp;"/100 düzeyindedir.")</f>
        <v/>
      </c>
    </row>
    <row r="8" ht="15" customHeight="1" s="102"/>
    <row r="9" ht="15" customHeight="1" s="102"/>
    <row r="11" ht="15" customHeight="1" s="102">
      <c r="A11" s="197" t="inlineStr">
        <is>
          <t>TEMEL GÖSTERGELER</t>
        </is>
      </c>
    </row>
    <row r="12" ht="15" customHeight="1" s="102">
      <c r="A12" s="189" t="inlineStr">
        <is>
          <t>Alınan Belge Toplamı</t>
        </is>
      </c>
      <c r="B12" s="157">
        <f>AlinanToplam</f>
        <v/>
      </c>
    </row>
    <row r="13" ht="15" customHeight="1" s="102">
      <c r="A13" s="189" t="inlineStr">
        <is>
          <t>Verilen Belge Toplamı</t>
        </is>
      </c>
      <c r="B13" s="157">
        <f>VerilenToplam</f>
        <v/>
      </c>
    </row>
    <row r="14" ht="15" customHeight="1" s="102">
      <c r="A14" s="189" t="inlineStr">
        <is>
          <t>Risk Ağırlıklı Alınan</t>
        </is>
      </c>
      <c r="B14" s="157">
        <f>RiskAglikliAlinan</f>
        <v/>
      </c>
    </row>
    <row r="15" ht="15" customHeight="1" s="102">
      <c r="A15" s="189" t="inlineStr">
        <is>
          <t>Net Belge Pozisyonu</t>
        </is>
      </c>
      <c r="B15" s="157">
        <f>NetPozisyon</f>
        <v/>
      </c>
    </row>
    <row r="16" ht="15" customHeight="1" s="102">
      <c r="A16" s="189" t="inlineStr">
        <is>
          <t>30 Günlük Verilen</t>
        </is>
      </c>
      <c r="B16" s="157">
        <f>-SUMIFS(CEK_SENET_KAYIT!$M$6:$M$1000,CEK_SENET_KAYIT!$D$6:$D$1000,"Verilen",CEK_SENET_KAYIT!$I$6:$I$1000,"&lt;="&amp;TODAY()+30)</f>
        <v/>
      </c>
    </row>
    <row r="17" ht="15" customHeight="1" s="102">
      <c r="A17" s="189" t="inlineStr">
        <is>
          <t>Maksimum Karşılık Açığı</t>
        </is>
      </c>
      <c r="B17" s="157">
        <f>MaxAcik</f>
        <v/>
      </c>
    </row>
    <row r="18" ht="15" customHeight="1" s="102">
      <c r="A18" s="189" t="inlineStr">
        <is>
          <t>İlk Karşılık Açığı Tarihi</t>
        </is>
      </c>
      <c r="B18" s="153">
        <f>IlkAcikTarihi</f>
        <v/>
      </c>
    </row>
    <row r="19" ht="15" customHeight="1" s="102">
      <c r="A19" s="189" t="inlineStr">
        <is>
          <t>Karşılıksız Belge Toplamı</t>
        </is>
      </c>
      <c r="B19" s="157">
        <f>KarsiliksizToplam</f>
        <v/>
      </c>
    </row>
    <row r="21" ht="15" customHeight="1" s="102">
      <c r="A21" s="197" t="inlineStr">
        <is>
          <t>RİSKLER VE AKSİYONLAR</t>
        </is>
      </c>
    </row>
    <row r="22" ht="30" customHeight="1" s="102">
      <c r="A22" s="131" t="inlineStr">
        <is>
          <t>Sıra</t>
        </is>
      </c>
      <c r="B22" s="131" t="inlineStr">
        <is>
          <t>Seviye</t>
        </is>
      </c>
      <c r="C22" s="131" t="inlineStr">
        <is>
          <t>Tespit</t>
        </is>
      </c>
      <c r="D22" s="131" t="inlineStr">
        <is>
          <t>Aksiyon</t>
        </is>
      </c>
      <c r="E22" s="131" t="inlineStr">
        <is>
          <t>Son Tarih</t>
        </is>
      </c>
    </row>
    <row r="23" ht="30" customHeight="1" s="102">
      <c r="A23" s="176">
        <f>KARAR_MOTORU!$A5</f>
        <v/>
      </c>
      <c r="B23" s="159">
        <f>KARAR_MOTORU!$C5</f>
        <v/>
      </c>
      <c r="C23" s="178">
        <f>KARAR_MOTORU!$D5</f>
        <v/>
      </c>
      <c r="D23" s="178">
        <f>KARAR_MOTORU!$I5</f>
        <v/>
      </c>
      <c r="E23" s="179">
        <f>KARAR_MOTORU!$K5</f>
        <v/>
      </c>
    </row>
    <row r="24" ht="30" customHeight="1" s="102">
      <c r="A24" s="176">
        <f>KARAR_MOTORU!$A6</f>
        <v/>
      </c>
      <c r="B24" s="159">
        <f>KARAR_MOTORU!$C6</f>
        <v/>
      </c>
      <c r="C24" s="178">
        <f>KARAR_MOTORU!$D6</f>
        <v/>
      </c>
      <c r="D24" s="178">
        <f>KARAR_MOTORU!$I6</f>
        <v/>
      </c>
      <c r="E24" s="179">
        <f>KARAR_MOTORU!$K6</f>
        <v/>
      </c>
    </row>
    <row r="25" ht="30" customHeight="1" s="102">
      <c r="A25" s="176">
        <f>KARAR_MOTORU!$A7</f>
        <v/>
      </c>
      <c r="B25" s="159">
        <f>KARAR_MOTORU!$C7</f>
        <v/>
      </c>
      <c r="C25" s="178">
        <f>KARAR_MOTORU!$D7</f>
        <v/>
      </c>
      <c r="D25" s="178">
        <f>KARAR_MOTORU!$I7</f>
        <v/>
      </c>
      <c r="E25" s="179">
        <f>KARAR_MOTORU!$K7</f>
        <v/>
      </c>
    </row>
    <row r="26" ht="30" customHeight="1" s="102">
      <c r="A26" s="176">
        <f>KARAR_MOTORU!$A8</f>
        <v/>
      </c>
      <c r="B26" s="159">
        <f>KARAR_MOTORU!$C8</f>
        <v/>
      </c>
      <c r="C26" s="178">
        <f>KARAR_MOTORU!$D8</f>
        <v/>
      </c>
      <c r="D26" s="178">
        <f>KARAR_MOTORU!$I8</f>
        <v/>
      </c>
      <c r="E26" s="179">
        <f>KARAR_MOTORU!$K8</f>
        <v/>
      </c>
    </row>
    <row r="27" ht="30" customHeight="1" s="102">
      <c r="A27" s="176">
        <f>KARAR_MOTORU!$A9</f>
        <v/>
      </c>
      <c r="B27" s="159">
        <f>KARAR_MOTORU!$C9</f>
        <v/>
      </c>
      <c r="C27" s="178">
        <f>KARAR_MOTORU!$D9</f>
        <v/>
      </c>
      <c r="D27" s="178">
        <f>KARAR_MOTORU!$I9</f>
        <v/>
      </c>
      <c r="E27" s="179">
        <f>KARAR_MOTORU!$K9</f>
        <v/>
      </c>
    </row>
    <row r="28" ht="30" customHeight="1" s="102">
      <c r="A28" s="176">
        <f>KARAR_MOTORU!$A10</f>
        <v/>
      </c>
      <c r="B28" s="159">
        <f>KARAR_MOTORU!$C10</f>
        <v/>
      </c>
      <c r="C28" s="178">
        <f>KARAR_MOTORU!$D10</f>
        <v/>
      </c>
      <c r="D28" s="178">
        <f>KARAR_MOTORU!$I10</f>
        <v/>
      </c>
      <c r="E28" s="179">
        <f>KARAR_MOTORU!$K10</f>
        <v/>
      </c>
    </row>
    <row r="29" ht="30" customHeight="1" s="102">
      <c r="A29" s="176">
        <f>KARAR_MOTORU!$A11</f>
        <v/>
      </c>
      <c r="B29" s="159">
        <f>KARAR_MOTORU!$C11</f>
        <v/>
      </c>
      <c r="C29" s="178">
        <f>KARAR_MOTORU!$D11</f>
        <v/>
      </c>
      <c r="D29" s="178">
        <f>KARAR_MOTORU!$I11</f>
        <v/>
      </c>
      <c r="E29" s="179">
        <f>KARAR_MOTORU!$K11</f>
        <v/>
      </c>
    </row>
    <row r="31" ht="15" customHeight="1" s="102">
      <c r="A31" s="197" t="inlineStr">
        <is>
          <t>MODEL VARSAYIMLARI (AYARLAR SAYFASINDAN)</t>
        </is>
      </c>
    </row>
    <row r="32" ht="15" customHeight="1" s="102">
      <c r="A32" s="189" t="inlineStr">
        <is>
          <t>Serbest Nakit (Banka Mevduatı)</t>
        </is>
      </c>
      <c r="B32" s="157">
        <f>IF(KayitSayisi=0,"VERİ YOK",SerbestNakit)</f>
        <v/>
      </c>
    </row>
    <row r="33" ht="15" customHeight="1" s="102">
      <c r="A33" s="189" t="inlineStr">
        <is>
          <t>Haftalık Verilen Eşiği</t>
        </is>
      </c>
      <c r="B33" s="157">
        <f>IF(KayitSayisi=0,"VERİ YOK",HaftalikEsik)</f>
        <v/>
      </c>
    </row>
    <row r="34" ht="15" customHeight="1" s="102">
      <c r="A34" s="189" t="inlineStr">
        <is>
          <t>Karşılık Oranı Eşiği</t>
        </is>
      </c>
      <c r="B34" s="163">
        <f>IF(KayitSayisi=0,"VERİ YOK",KarilikOraniEsik)</f>
        <v/>
      </c>
    </row>
    <row r="35" ht="15" customHeight="1" s="102">
      <c r="A35" s="189" t="inlineStr">
        <is>
          <t>Riskli Müşteri Skor Eşiği</t>
        </is>
      </c>
      <c r="B35" s="172">
        <f>IF(KayitSayisi=0,"VERİ YOK",RiskliSkorEsik)</f>
        <v/>
      </c>
    </row>
    <row r="36" ht="15" customHeight="1" s="102">
      <c r="A36" s="189" t="inlineStr">
        <is>
          <t>Yuvarlama Toleransı</t>
        </is>
      </c>
      <c r="B36" s="157">
        <f>IF(KayitSayisi=0,"VERİ YOK",YuvarlamaToleransi)</f>
        <v/>
      </c>
    </row>
    <row r="38" ht="15" customHeight="1" s="102">
      <c r="A38" s="154" t="inlineStr">
        <is>
          <t>SORUMLULUK REDDİ</t>
        </is>
      </c>
    </row>
    <row r="39" ht="15" customHeight="1" s="102">
      <c r="A39" s="147" t="inlineStr">
        <is>
          <t>Bu rapor karar destek amacıyla hazırlanmıştır; kesin kredi onayı, hukuki sonuç veya vergi doğruluğu garantisi vermez. Hesaplanan sonuçlar girilen verinin kalitesine bağlıdır. Nihai karar, profesyonel muhakeme ile birlikte değerlendirilmelidir.</t>
        </is>
      </c>
    </row>
    <row r="40" ht="15" customHeight="1" s="102"/>
    <row r="41" ht="15" customHeight="1" s="102"/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A39:K41"/>
    <mergeCell ref="A7:K9"/>
    <mergeCell ref="B19:D19"/>
    <mergeCell ref="B14:D14"/>
    <mergeCell ref="A1:K2"/>
    <mergeCell ref="B17:D17"/>
    <mergeCell ref="B18:D18"/>
    <mergeCell ref="B13:D13"/>
    <mergeCell ref="B12:D12"/>
    <mergeCell ref="B15:D15"/>
    <mergeCell ref="A4:C4"/>
    <mergeCell ref="B16:D16"/>
  </mergeCells>
  <printOptions horizontalCentered="0" verticalCentered="0" headings="0" gridLines="0" gridLinesSet="1"/>
  <pageMargins left="0.75" right="0.75" top="1" bottom="1" header="0.511811023622047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&amp;RExcelArşiv | Çek–Senet ve Vade Risk Sistemi | &amp;D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28" min="1" max="1"/>
    <col width="26" customWidth="1" style="128" min="2" max="2"/>
    <col width="14" customWidth="1" style="128" min="3" max="3"/>
    <col width="12" customWidth="1" style="128" min="4" max="4"/>
    <col width="34" customWidth="1" style="128" min="5" max="5"/>
    <col width="22" customWidth="1" style="128" min="6" max="6"/>
    <col width="13" customWidth="1" style="128" min="7" max="9"/>
    <col width="15" customWidth="1" style="128" min="10" max="10"/>
    <col width="10" customWidth="1" style="128" min="11" max="11"/>
    <col width="14" customWidth="1" style="128" min="12" max="12"/>
    <col width="20" customWidth="1" style="128" min="13" max="13"/>
    <col width="16" customWidth="1" style="128" min="14" max="14"/>
    <col width="12" customWidth="1" style="128" min="15" max="15"/>
    <col width="14" customWidth="1" style="128" min="16" max="16"/>
  </cols>
  <sheetData>
    <row r="1" ht="25.5" customHeight="1" s="102">
      <c r="A1" s="129" t="inlineStr">
        <is>
          <t>ORNEK VERI — ÇEK–SENET VE VADE RİSK SİSTEMİ</t>
        </is>
      </c>
    </row>
    <row r="2" ht="19.5" customHeight="1" s="102">
      <c r="A2" s="130" t="inlineStr">
        <is>
          <t>Örnek KOBİ verisi giriş sayfalarına yüklü olarak gelir (CARI_KARTLARI, CEK_SENET_KAYIT vb.). Bu sayfa verinin yedek ve okunabilir kaydıdır; aynı veri iki kez girilmez.</t>
        </is>
      </c>
    </row>
    <row r="4" ht="15" customHeight="1" s="102">
      <c r="A4" s="154" t="inlineStr">
        <is>
          <t>1) ÖRNEK CARİ KARTLARI</t>
        </is>
      </c>
    </row>
    <row r="5" ht="30" customHeight="1" s="102">
      <c r="A5" s="131" t="inlineStr">
        <is>
          <t>Cari Kodu</t>
        </is>
      </c>
      <c r="B5" s="131" t="inlineStr">
        <is>
          <t>Cari Unvan</t>
        </is>
      </c>
      <c r="C5" s="131" t="inlineStr">
        <is>
          <t>Yetkili</t>
        </is>
      </c>
      <c r="D5" s="131" t="inlineStr">
        <is>
          <t>Telefon</t>
        </is>
      </c>
      <c r="E5" s="131" t="inlineStr">
        <is>
          <t>Şehir</t>
        </is>
      </c>
      <c r="F5" s="131" t="inlineStr">
        <is>
          <t>Segment</t>
        </is>
      </c>
      <c r="G5" s="131" t="inlineStr">
        <is>
          <t>Tahsilat Skoru</t>
        </is>
      </c>
      <c r="H5" s="131" t="inlineStr">
        <is>
          <t>Karşılıksız Geçmişi</t>
        </is>
      </c>
      <c r="I5" s="131" t="inlineStr">
        <is>
          <t>Kredi Limiti</t>
        </is>
      </c>
    </row>
    <row r="6" ht="15.75" customHeight="1" s="102">
      <c r="A6" s="128" t="inlineStr">
        <is>
          <t>C001</t>
        </is>
      </c>
      <c r="B6" s="128" t="inlineStr">
        <is>
          <t>Delta Tekstil A.Ş.</t>
        </is>
      </c>
      <c r="C6" s="128" t="inlineStr">
        <is>
          <t>A. Yılmaz</t>
        </is>
      </c>
      <c r="D6" s="128" t="inlineStr">
        <is>
          <t>0212 111 22 33</t>
        </is>
      </c>
      <c r="E6" s="128" t="inlineStr">
        <is>
          <t>İstanbul</t>
        </is>
      </c>
      <c r="F6" s="128" t="inlineStr">
        <is>
          <t>MÜŞTERİ</t>
        </is>
      </c>
      <c r="G6" s="155" t="n">
        <v>82</v>
      </c>
      <c r="H6" s="128" t="inlineStr">
        <is>
          <t>YOK</t>
        </is>
      </c>
      <c r="I6" s="150" t="n">
        <v>500000</v>
      </c>
    </row>
    <row r="7" ht="15.75" customHeight="1" s="102">
      <c r="A7" s="128" t="inlineStr">
        <is>
          <t>C002</t>
        </is>
      </c>
      <c r="B7" s="128" t="inlineStr">
        <is>
          <t>Mega İnşaat Ltd.</t>
        </is>
      </c>
      <c r="C7" s="128" t="inlineStr">
        <is>
          <t>B. Koç</t>
        </is>
      </c>
      <c r="D7" s="128" t="inlineStr">
        <is>
          <t>0216 222 33 44</t>
        </is>
      </c>
      <c r="E7" s="128" t="inlineStr">
        <is>
          <t>İstanbul</t>
        </is>
      </c>
      <c r="F7" s="128" t="inlineStr">
        <is>
          <t>MÜŞTERİ</t>
        </is>
      </c>
      <c r="G7" s="155" t="n">
        <v>45</v>
      </c>
      <c r="H7" s="128" t="inlineStr">
        <is>
          <t>YOK</t>
        </is>
      </c>
      <c r="I7" s="150" t="n">
        <v>250000</v>
      </c>
    </row>
    <row r="8" ht="15.75" customHeight="1" s="102">
      <c r="A8" s="128" t="inlineStr">
        <is>
          <t>C003</t>
        </is>
      </c>
      <c r="B8" s="128" t="inlineStr">
        <is>
          <t>Polar Gıda San.</t>
        </is>
      </c>
      <c r="C8" s="128" t="inlineStr">
        <is>
          <t>C. Demir</t>
        </is>
      </c>
      <c r="D8" s="128" t="inlineStr">
        <is>
          <t>0232 333 44 55</t>
        </is>
      </c>
      <c r="E8" s="128" t="inlineStr">
        <is>
          <t>İzmir</t>
        </is>
      </c>
      <c r="F8" s="128" t="inlineStr">
        <is>
          <t>MÜŞTERİ</t>
        </is>
      </c>
      <c r="G8" s="155" t="n">
        <v>65</v>
      </c>
      <c r="H8" s="128" t="inlineStr">
        <is>
          <t>YOK</t>
        </is>
      </c>
      <c r="I8" s="150" t="n">
        <v>300000</v>
      </c>
    </row>
    <row r="9" ht="15.75" customHeight="1" s="102">
      <c r="A9" s="128" t="inlineStr">
        <is>
          <t>C004</t>
        </is>
      </c>
      <c r="B9" s="128" t="inlineStr">
        <is>
          <t>Vega Elektronik</t>
        </is>
      </c>
      <c r="C9" s="128" t="inlineStr">
        <is>
          <t>D. Şahin</t>
        </is>
      </c>
      <c r="D9" s="128" t="inlineStr">
        <is>
          <t>0312 444 55 66</t>
        </is>
      </c>
      <c r="E9" s="128" t="inlineStr">
        <is>
          <t>Ankara</t>
        </is>
      </c>
      <c r="F9" s="128" t="inlineStr">
        <is>
          <t>MÜŞTERİ</t>
        </is>
      </c>
      <c r="G9" s="155" t="n">
        <v>35</v>
      </c>
      <c r="H9" s="128" t="inlineStr">
        <is>
          <t>VAR</t>
        </is>
      </c>
      <c r="I9" s="150" t="n"/>
    </row>
    <row r="10" ht="15.75" customHeight="1" s="102">
      <c r="A10" s="128" t="inlineStr">
        <is>
          <t>C005</t>
        </is>
      </c>
      <c r="B10" s="128" t="inlineStr">
        <is>
          <t>Orion Mobilya</t>
        </is>
      </c>
      <c r="C10" s="128" t="inlineStr">
        <is>
          <t>E. Aydın</t>
        </is>
      </c>
      <c r="D10" s="128" t="inlineStr">
        <is>
          <t>0262 555 66 77</t>
        </is>
      </c>
      <c r="E10" s="128" t="inlineStr">
        <is>
          <t>Kocaeli</t>
        </is>
      </c>
      <c r="F10" s="128" t="inlineStr">
        <is>
          <t>MÜŞTERİ</t>
        </is>
      </c>
      <c r="G10" s="155" t="n">
        <v>72</v>
      </c>
      <c r="H10" s="128" t="inlineStr">
        <is>
          <t>YOK</t>
        </is>
      </c>
      <c r="I10" s="150" t="n">
        <v>400000</v>
      </c>
    </row>
    <row r="11" ht="15.75" customHeight="1" s="102">
      <c r="A11" s="128" t="inlineStr">
        <is>
          <t>C006</t>
        </is>
      </c>
      <c r="B11" s="128" t="inlineStr">
        <is>
          <t>Atlas Lojistik</t>
        </is>
      </c>
      <c r="C11" s="128" t="inlineStr">
        <is>
          <t>F. Kaya</t>
        </is>
      </c>
      <c r="D11" s="128" t="inlineStr">
        <is>
          <t>0212 666 77 88</t>
        </is>
      </c>
      <c r="E11" s="128" t="inlineStr">
        <is>
          <t>İstanbul</t>
        </is>
      </c>
      <c r="F11" s="128" t="inlineStr">
        <is>
          <t>ALT YÜKLENİCİ</t>
        </is>
      </c>
      <c r="G11" s="155" t="n">
        <v>78</v>
      </c>
      <c r="H11" s="128" t="inlineStr">
        <is>
          <t>YOK</t>
        </is>
      </c>
      <c r="I11" s="150" t="n">
        <v>200000</v>
      </c>
    </row>
    <row r="12" ht="15.75" customHeight="1" s="102">
      <c r="A12" s="128" t="inlineStr">
        <is>
          <t>C007</t>
        </is>
      </c>
      <c r="B12" s="128" t="inlineStr">
        <is>
          <t>Yıldız Metal San.</t>
        </is>
      </c>
      <c r="C12" s="128" t="inlineStr">
        <is>
          <t>G. Aslan</t>
        </is>
      </c>
      <c r="D12" s="128" t="inlineStr">
        <is>
          <t>0262 777 88 99</t>
        </is>
      </c>
      <c r="E12" s="128" t="inlineStr">
        <is>
          <t>Kocaeli</t>
        </is>
      </c>
      <c r="F12" s="128" t="inlineStr">
        <is>
          <t>TEDARİKÇİ</t>
        </is>
      </c>
      <c r="G12" s="155" t="n">
        <v>70</v>
      </c>
      <c r="H12" s="128" t="inlineStr">
        <is>
          <t>YOK</t>
        </is>
      </c>
      <c r="I12" s="150" t="n">
        <v>350000</v>
      </c>
    </row>
    <row r="14" ht="15" customHeight="1" s="102">
      <c r="A14" s="154" t="inlineStr">
        <is>
          <t>2) ÖRNEK ÇEK / SENET KAYITLARI</t>
        </is>
      </c>
    </row>
    <row r="15" ht="30" customHeight="1" s="102">
      <c r="A15" s="131" t="inlineStr">
        <is>
          <t>Belge Türü</t>
        </is>
      </c>
      <c r="B15" s="131" t="inlineStr">
        <is>
          <t>Belge Numarası</t>
        </is>
      </c>
      <c r="C15" s="131" t="inlineStr">
        <is>
          <t>Yön</t>
        </is>
      </c>
      <c r="D15" s="131" t="inlineStr">
        <is>
          <t>Düzenleyen</t>
        </is>
      </c>
      <c r="E15" s="131" t="inlineStr">
        <is>
          <t>Lehtar</t>
        </is>
      </c>
      <c r="F15" s="131" t="inlineStr">
        <is>
          <t>Cari Kodu</t>
        </is>
      </c>
      <c r="G15" s="131" t="inlineStr">
        <is>
          <t>Keşide</t>
        </is>
      </c>
      <c r="H15" s="131" t="inlineStr">
        <is>
          <t>Vade</t>
        </is>
      </c>
      <c r="I15" s="131" t="inlineStr">
        <is>
          <t>Tutar</t>
        </is>
      </c>
      <c r="J15" s="131" t="inlineStr">
        <is>
          <t>Para Birimi</t>
        </is>
      </c>
      <c r="K15" s="131" t="inlineStr">
        <is>
          <t>Kur</t>
        </is>
      </c>
      <c r="L15" s="131" t="inlineStr">
        <is>
          <t>Banka</t>
        </is>
      </c>
      <c r="M15" s="131" t="inlineStr">
        <is>
          <t>Teminat</t>
        </is>
      </c>
      <c r="N15" s="131" t="inlineStr">
        <is>
          <t>Son Durum</t>
        </is>
      </c>
      <c r="O15" s="131" t="inlineStr">
        <is>
          <t>Risk Sınıfı</t>
        </is>
      </c>
    </row>
    <row r="16" ht="15.75" customHeight="1" s="102">
      <c r="A16" s="128" t="inlineStr">
        <is>
          <t>ÇEK</t>
        </is>
      </c>
      <c r="B16" s="128" t="inlineStr">
        <is>
          <t>4581101</t>
        </is>
      </c>
      <c r="C16" s="128" t="inlineStr">
        <is>
          <t>Alınan</t>
        </is>
      </c>
      <c r="D16" s="128" t="inlineStr">
        <is>
          <t>Delta Tekstil A.Ş.</t>
        </is>
      </c>
      <c r="E16" s="128" t="inlineStr">
        <is>
          <t>Kendi Firmamız</t>
        </is>
      </c>
      <c r="F16" s="128" t="inlineStr">
        <is>
          <t>C001</t>
        </is>
      </c>
      <c r="G16" s="149" t="n">
        <v>46215</v>
      </c>
      <c r="H16" s="149" t="n">
        <v>46254</v>
      </c>
      <c r="I16" s="150" t="n">
        <v>150000</v>
      </c>
      <c r="J16" s="128" t="inlineStr">
        <is>
          <t>TRY</t>
        </is>
      </c>
      <c r="K16" s="155" t="n">
        <v>1</v>
      </c>
      <c r="L16" s="128" t="inlineStr">
        <is>
          <t>İŞ</t>
        </is>
      </c>
      <c r="M16" s="128" t="inlineStr">
        <is>
          <t>YOK</t>
        </is>
      </c>
      <c r="N16" s="128" t="inlineStr">
        <is>
          <t>CİRO EDİLDİ</t>
        </is>
      </c>
      <c r="O16" s="128" t="inlineStr">
        <is>
          <t>DÜŞÜK</t>
        </is>
      </c>
    </row>
    <row r="17" ht="15.75" customHeight="1" s="102">
      <c r="A17" s="128" t="inlineStr">
        <is>
          <t>SENET</t>
        </is>
      </c>
      <c r="B17" s="128" t="inlineStr">
        <is>
          <t>310045</t>
        </is>
      </c>
      <c r="C17" s="128" t="inlineStr">
        <is>
          <t>Alınan</t>
        </is>
      </c>
      <c r="D17" s="128" t="inlineStr">
        <is>
          <t>Polar Gıda San.</t>
        </is>
      </c>
      <c r="E17" s="128" t="inlineStr">
        <is>
          <t>Kendi Firmamız</t>
        </is>
      </c>
      <c r="F17" s="128" t="inlineStr">
        <is>
          <t>C003</t>
        </is>
      </c>
      <c r="G17" s="149" t="n">
        <v>46188</v>
      </c>
      <c r="H17" s="149" t="n">
        <v>46280</v>
      </c>
      <c r="I17" s="150" t="n">
        <v>85000</v>
      </c>
      <c r="J17" s="128" t="inlineStr">
        <is>
          <t>TRY</t>
        </is>
      </c>
      <c r="K17" s="155" t="n">
        <v>1</v>
      </c>
      <c r="L17" s="128" t="inlineStr">
        <is>
          <t>İŞ</t>
        </is>
      </c>
      <c r="M17" s="128" t="inlineStr">
        <is>
          <t>MÜŞTERİ TEMİNATINDA</t>
        </is>
      </c>
      <c r="N17" s="128" t="inlineStr">
        <is>
          <t>PORTFÖYDE</t>
        </is>
      </c>
      <c r="O17" s="128" t="inlineStr">
        <is>
          <t>ORTA</t>
        </is>
      </c>
    </row>
    <row r="18" ht="15.75" customHeight="1" s="102">
      <c r="A18" s="128" t="inlineStr">
        <is>
          <t>ÇEK</t>
        </is>
      </c>
      <c r="B18" s="128" t="inlineStr">
        <is>
          <t>4581290</t>
        </is>
      </c>
      <c r="C18" s="128" t="inlineStr">
        <is>
          <t>Alınan</t>
        </is>
      </c>
      <c r="D18" s="128" t="inlineStr">
        <is>
          <t>Mega İnşaat Ltd.</t>
        </is>
      </c>
      <c r="E18" s="128" t="inlineStr">
        <is>
          <t>Kendi Firmamız</t>
        </is>
      </c>
      <c r="F18" s="128" t="inlineStr">
        <is>
          <t>C002</t>
        </is>
      </c>
      <c r="G18" s="149" t="n">
        <v>46223</v>
      </c>
      <c r="H18" s="149" t="n">
        <v>46264</v>
      </c>
      <c r="I18" s="150" t="n">
        <v>120000</v>
      </c>
      <c r="J18" s="128" t="inlineStr">
        <is>
          <t>TRY</t>
        </is>
      </c>
      <c r="K18" s="155" t="n">
        <v>1</v>
      </c>
      <c r="L18" s="128" t="inlineStr">
        <is>
          <t>GARANTİ</t>
        </is>
      </c>
      <c r="M18" s="128" t="inlineStr">
        <is>
          <t>YOK</t>
        </is>
      </c>
      <c r="N18" s="128" t="inlineStr">
        <is>
          <t>CİRO EDİLDİ</t>
        </is>
      </c>
      <c r="O18" s="128" t="inlineStr">
        <is>
          <t>YÜKSEK</t>
        </is>
      </c>
    </row>
    <row r="19" ht="15.75" customHeight="1" s="102">
      <c r="A19" s="128" t="inlineStr">
        <is>
          <t>ÇEK</t>
        </is>
      </c>
      <c r="B19" s="128" t="inlineStr">
        <is>
          <t>7700133</t>
        </is>
      </c>
      <c r="C19" s="128" t="inlineStr">
        <is>
          <t>Verilen</t>
        </is>
      </c>
      <c r="D19" s="128" t="inlineStr">
        <is>
          <t>Kendi Firmamız</t>
        </is>
      </c>
      <c r="E19" s="128" t="inlineStr">
        <is>
          <t>Yıldız Metal San.</t>
        </is>
      </c>
      <c r="F19" s="128" t="inlineStr">
        <is>
          <t>C007</t>
        </is>
      </c>
      <c r="G19" s="149" t="n">
        <v>46235</v>
      </c>
      <c r="H19" s="149" t="n">
        <v>46270</v>
      </c>
      <c r="I19" s="150" t="n">
        <v>200000</v>
      </c>
      <c r="J19" s="128" t="inlineStr">
        <is>
          <t>TRY</t>
        </is>
      </c>
      <c r="K19" s="155" t="n">
        <v>1</v>
      </c>
      <c r="L19" s="128" t="inlineStr">
        <is>
          <t>AKBANK</t>
        </is>
      </c>
      <c r="M19" s="128" t="inlineStr">
        <is>
          <t>YOK</t>
        </is>
      </c>
      <c r="N19" s="128" t="inlineStr">
        <is>
          <t>PORTFÖYDE</t>
        </is>
      </c>
      <c r="O19" s="128" t="inlineStr">
        <is>
          <t>DÜŞÜK</t>
        </is>
      </c>
    </row>
    <row r="20" ht="15.75" customHeight="1" s="102">
      <c r="A20" s="128" t="inlineStr">
        <is>
          <t>SENET</t>
        </is>
      </c>
      <c r="B20" s="128" t="inlineStr">
        <is>
          <t>880091</t>
        </is>
      </c>
      <c r="C20" s="128" t="inlineStr">
        <is>
          <t>Verilen</t>
        </is>
      </c>
      <c r="D20" s="128" t="inlineStr">
        <is>
          <t>Kendi Firmamız</t>
        </is>
      </c>
      <c r="E20" s="128" t="inlineStr">
        <is>
          <t>Yıldız Metal San.</t>
        </is>
      </c>
      <c r="F20" s="128" t="inlineStr">
        <is>
          <t>C007</t>
        </is>
      </c>
      <c r="G20" s="149" t="n">
        <v>46244</v>
      </c>
      <c r="H20" s="149" t="n">
        <v>46305</v>
      </c>
      <c r="I20" s="150" t="n">
        <v>175000</v>
      </c>
      <c r="J20" s="128" t="inlineStr">
        <is>
          <t>TRY</t>
        </is>
      </c>
      <c r="K20" s="155" t="n">
        <v>1</v>
      </c>
      <c r="L20" s="128" t="inlineStr">
        <is>
          <t>AKBANK</t>
        </is>
      </c>
      <c r="M20" s="128" t="inlineStr">
        <is>
          <t>YOK</t>
        </is>
      </c>
      <c r="N20" s="128" t="inlineStr">
        <is>
          <t>PORTFÖYDE</t>
        </is>
      </c>
      <c r="O20" s="128" t="inlineStr">
        <is>
          <t>ORTA</t>
        </is>
      </c>
    </row>
    <row r="21" ht="15.75" customHeight="1" s="102">
      <c r="A21" s="128" t="inlineStr">
        <is>
          <t>ÇEK</t>
        </is>
      </c>
      <c r="B21" s="128" t="inlineStr">
        <is>
          <t>4581422</t>
        </is>
      </c>
      <c r="C21" s="128" t="inlineStr">
        <is>
          <t>Alınan</t>
        </is>
      </c>
      <c r="D21" s="128" t="inlineStr">
        <is>
          <t>Vega Elektronik</t>
        </is>
      </c>
      <c r="E21" s="128" t="inlineStr">
        <is>
          <t>Kendi Firmamız</t>
        </is>
      </c>
      <c r="F21" s="128" t="inlineStr">
        <is>
          <t>C004</t>
        </is>
      </c>
      <c r="G21" s="149" t="n">
        <v>46208</v>
      </c>
      <c r="H21" s="149" t="n">
        <v>46239</v>
      </c>
      <c r="I21" s="150" t="n">
        <v>95000</v>
      </c>
      <c r="J21" s="128" t="inlineStr">
        <is>
          <t>TRY</t>
        </is>
      </c>
      <c r="K21" s="155" t="n">
        <v>1</v>
      </c>
      <c r="L21" s="128" t="inlineStr">
        <is>
          <t>İŞ</t>
        </is>
      </c>
      <c r="M21" s="128" t="inlineStr">
        <is>
          <t>YOK</t>
        </is>
      </c>
      <c r="N21" s="128" t="inlineStr">
        <is>
          <t>KARŞILIKSIZ</t>
        </is>
      </c>
      <c r="O21" s="128" t="inlineStr">
        <is>
          <t>KARŞILIKSIZ</t>
        </is>
      </c>
    </row>
    <row r="22" ht="15.75" customHeight="1" s="102">
      <c r="A22" s="128" t="inlineStr">
        <is>
          <t>ÇEK</t>
        </is>
      </c>
      <c r="B22" s="128" t="inlineStr">
        <is>
          <t>2200188</t>
        </is>
      </c>
      <c r="C22" s="128" t="inlineStr">
        <is>
          <t>Alınan</t>
        </is>
      </c>
      <c r="D22" s="128" t="inlineStr">
        <is>
          <t>Orion Mobilya</t>
        </is>
      </c>
      <c r="E22" s="128" t="inlineStr">
        <is>
          <t>Kendi Firmamız</t>
        </is>
      </c>
      <c r="F22" s="128" t="inlineStr">
        <is>
          <t>C005</t>
        </is>
      </c>
      <c r="G22" s="149" t="n">
        <v>46228</v>
      </c>
      <c r="H22" s="149" t="n">
        <v>46290</v>
      </c>
      <c r="I22" s="150" t="n">
        <v>60000</v>
      </c>
      <c r="J22" s="128" t="inlineStr">
        <is>
          <t>TRY</t>
        </is>
      </c>
      <c r="K22" s="155" t="n">
        <v>1</v>
      </c>
      <c r="L22" s="128" t="inlineStr">
        <is>
          <t>YAPI KREDİ</t>
        </is>
      </c>
      <c r="M22" s="128" t="inlineStr">
        <is>
          <t>YOK</t>
        </is>
      </c>
      <c r="N22" s="128" t="inlineStr">
        <is>
          <t>TAHSİLE VERİLDİ</t>
        </is>
      </c>
      <c r="O22" s="128" t="inlineStr">
        <is>
          <t>DÜŞÜK</t>
        </is>
      </c>
    </row>
    <row r="23" ht="15.75" customHeight="1" s="102">
      <c r="A23" s="128" t="inlineStr">
        <is>
          <t>SENET</t>
        </is>
      </c>
      <c r="B23" s="128" t="inlineStr">
        <is>
          <t>330077</t>
        </is>
      </c>
      <c r="C23" s="128" t="inlineStr">
        <is>
          <t>Alınan</t>
        </is>
      </c>
      <c r="D23" s="128" t="inlineStr">
        <is>
          <t>Delta Tekstil A.Ş.</t>
        </is>
      </c>
      <c r="E23" s="128" t="inlineStr">
        <is>
          <t>Kendi Firmamız</t>
        </is>
      </c>
      <c r="F23" s="128" t="inlineStr">
        <is>
          <t>C001</t>
        </is>
      </c>
      <c r="G23" s="149" t="n">
        <v>46235</v>
      </c>
      <c r="H23" s="149" t="n">
        <v>46327</v>
      </c>
      <c r="I23" s="150" t="n">
        <v>130000</v>
      </c>
      <c r="J23" s="128" t="inlineStr">
        <is>
          <t>TRY</t>
        </is>
      </c>
      <c r="K23" s="155" t="n">
        <v>1</v>
      </c>
      <c r="L23" s="128" t="inlineStr">
        <is>
          <t>İŞ</t>
        </is>
      </c>
      <c r="M23" s="128" t="inlineStr">
        <is>
          <t>YOK</t>
        </is>
      </c>
      <c r="N23" s="128" t="inlineStr">
        <is>
          <t>PORTFÖYDE</t>
        </is>
      </c>
      <c r="O23" s="128" t="inlineStr">
        <is>
          <t>DÜŞÜK</t>
        </is>
      </c>
    </row>
    <row r="24" ht="15.75" customHeight="1" s="102">
      <c r="A24" s="128" t="inlineStr">
        <is>
          <t>ÇEK</t>
        </is>
      </c>
      <c r="B24" s="128" t="inlineStr">
        <is>
          <t>7710055</t>
        </is>
      </c>
      <c r="C24" s="128" t="inlineStr">
        <is>
          <t>Verilen</t>
        </is>
      </c>
      <c r="D24" s="128" t="inlineStr">
        <is>
          <t>Kendi Firmamız</t>
        </is>
      </c>
      <c r="E24" s="128" t="inlineStr">
        <is>
          <t>Yıldız Metal San.</t>
        </is>
      </c>
      <c r="F24" s="128" t="inlineStr">
        <is>
          <t>C007</t>
        </is>
      </c>
      <c r="G24" s="149" t="n">
        <v>46218</v>
      </c>
      <c r="H24" s="149" t="n">
        <v>46280</v>
      </c>
      <c r="I24" s="150" t="n">
        <v>220000</v>
      </c>
      <c r="J24" s="128" t="inlineStr">
        <is>
          <t>TRY</t>
        </is>
      </c>
      <c r="K24" s="155" t="n">
        <v>1</v>
      </c>
      <c r="L24" s="128" t="inlineStr">
        <is>
          <t>AKBANK</t>
        </is>
      </c>
      <c r="M24" s="128" t="inlineStr">
        <is>
          <t>YOK</t>
        </is>
      </c>
      <c r="N24" s="128" t="inlineStr">
        <is>
          <t>PORTFÖYDE</t>
        </is>
      </c>
      <c r="O24" s="128" t="inlineStr">
        <is>
          <t>ORTA</t>
        </is>
      </c>
    </row>
    <row r="25" ht="15.75" customHeight="1" s="102">
      <c r="A25" s="128" t="inlineStr">
        <is>
          <t>ÇEK</t>
        </is>
      </c>
      <c r="B25" s="128" t="inlineStr">
        <is>
          <t>4581310</t>
        </is>
      </c>
      <c r="C25" s="128" t="inlineStr">
        <is>
          <t>Alınan</t>
        </is>
      </c>
      <c r="D25" s="128" t="inlineStr">
        <is>
          <t>Polar Gıda San.</t>
        </is>
      </c>
      <c r="E25" s="128" t="inlineStr">
        <is>
          <t>Kendi Firmamız</t>
        </is>
      </c>
      <c r="F25" s="128" t="inlineStr">
        <is>
          <t>C003</t>
        </is>
      </c>
      <c r="G25" s="149" t="n">
        <v>46221</v>
      </c>
      <c r="H25" s="149" t="n">
        <v>46252</v>
      </c>
      <c r="I25" s="150" t="n">
        <v>45000</v>
      </c>
      <c r="J25" s="128" t="inlineStr">
        <is>
          <t>TRY</t>
        </is>
      </c>
      <c r="K25" s="155" t="n">
        <v>1</v>
      </c>
      <c r="L25" s="128" t="inlineStr">
        <is>
          <t>GARANTİ</t>
        </is>
      </c>
      <c r="M25" s="128" t="inlineStr">
        <is>
          <t>YOK</t>
        </is>
      </c>
      <c r="N25" s="128" t="inlineStr">
        <is>
          <t>TAHSİL EDİLDİ</t>
        </is>
      </c>
      <c r="O25" s="128" t="inlineStr">
        <is>
          <t>ORTA</t>
        </is>
      </c>
    </row>
    <row r="27" ht="15" customHeight="1" s="102">
      <c r="A27" s="154" t="inlineStr">
        <is>
          <t>3) ÖRNEK CİRO ZİNCİRİ</t>
        </is>
      </c>
    </row>
    <row r="28" ht="30" customHeight="1" s="102">
      <c r="A28" s="131" t="inlineStr">
        <is>
          <t>Ana Belge ID</t>
        </is>
      </c>
      <c r="B28" s="131" t="inlineStr">
        <is>
          <t>Önceki Sahip</t>
        </is>
      </c>
      <c r="C28" s="131" t="inlineStr">
        <is>
          <t>Yeni Sahip</t>
        </is>
      </c>
      <c r="D28" s="131" t="inlineStr">
        <is>
          <t>Ciro Tarihi</t>
        </is>
      </c>
      <c r="E28" s="131" t="inlineStr">
        <is>
          <t>Ciro Amacı</t>
        </is>
      </c>
      <c r="F28" s="131" t="inlineStr">
        <is>
          <t>Sorumluluk Devam</t>
        </is>
      </c>
    </row>
    <row r="29" ht="15" customHeight="1" s="102">
      <c r="A29" s="128" t="inlineStr">
        <is>
          <t>CKS-000001</t>
        </is>
      </c>
      <c r="B29" s="128" t="inlineStr">
        <is>
          <t>Kendi Firmamız</t>
        </is>
      </c>
      <c r="C29" s="128" t="inlineStr">
        <is>
          <t>Orhan Ticaret</t>
        </is>
      </c>
      <c r="D29" s="149" t="n">
        <v>46223</v>
      </c>
      <c r="E29" s="128" t="inlineStr">
        <is>
          <t>TEMİNAT</t>
        </is>
      </c>
      <c r="F29" s="128" t="inlineStr">
        <is>
          <t>EVET</t>
        </is>
      </c>
    </row>
    <row r="30" ht="15" customHeight="1" s="102">
      <c r="A30" s="128" t="inlineStr">
        <is>
          <t>CKS-000003</t>
        </is>
      </c>
      <c r="B30" s="128" t="inlineStr">
        <is>
          <t>Kendi Firmamız</t>
        </is>
      </c>
      <c r="C30" s="128" t="inlineStr">
        <is>
          <t>Elif Dayanıklı</t>
        </is>
      </c>
      <c r="D30" s="149" t="n">
        <v>46231</v>
      </c>
      <c r="E30" s="128" t="inlineStr">
        <is>
          <t>TAHSİLAT</t>
        </is>
      </c>
      <c r="F30" s="128" t="inlineStr">
        <is>
          <t>HAYIR</t>
        </is>
      </c>
    </row>
    <row r="32" ht="15" customHeight="1" s="102">
      <c r="A32" s="154" t="inlineStr">
        <is>
          <t>4) ÖRNEK BANKA TAHSİLİ</t>
        </is>
      </c>
    </row>
    <row r="33" ht="30" customHeight="1" s="102">
      <c r="A33" s="131" t="inlineStr">
        <is>
          <t>Belge ID</t>
        </is>
      </c>
      <c r="B33" s="131" t="inlineStr">
        <is>
          <t>Banka</t>
        </is>
      </c>
      <c r="C33" s="131" t="inlineStr">
        <is>
          <t>Tahsile Veriliş</t>
        </is>
      </c>
      <c r="D33" s="131" t="inlineStr">
        <is>
          <t>Tahsil Durumu</t>
        </is>
      </c>
      <c r="E33" s="131" t="inlineStr">
        <is>
          <t>Tahsil Tarihi</t>
        </is>
      </c>
      <c r="F33" s="131" t="inlineStr">
        <is>
          <t>Tahsil Edilen</t>
        </is>
      </c>
      <c r="G33" s="131" t="inlineStr">
        <is>
          <t>Komisyon Oranı</t>
        </is>
      </c>
    </row>
    <row r="34" ht="15" customHeight="1" s="102">
      <c r="A34" s="128" t="inlineStr">
        <is>
          <t>CKS-000010</t>
        </is>
      </c>
      <c r="B34" s="128" t="inlineStr">
        <is>
          <t>GARANTİ</t>
        </is>
      </c>
      <c r="C34" s="149" t="n">
        <v>46244</v>
      </c>
      <c r="D34" s="128" t="inlineStr">
        <is>
          <t>TAHSİL EDİLDİ</t>
        </is>
      </c>
      <c r="E34" s="149" t="n">
        <v>46252</v>
      </c>
      <c r="F34" s="150" t="n">
        <v>45000</v>
      </c>
      <c r="G34" s="198" t="n">
        <v>0.01</v>
      </c>
    </row>
    <row r="35" ht="15" customHeight="1" s="102">
      <c r="A35" s="128" t="inlineStr">
        <is>
          <t>CKS-000007</t>
        </is>
      </c>
      <c r="B35" s="128" t="inlineStr">
        <is>
          <t>İŞ</t>
        </is>
      </c>
      <c r="C35" s="149" t="n">
        <v>46246</v>
      </c>
      <c r="D35" s="128" t="inlineStr">
        <is>
          <t>BEKLEMEDE</t>
        </is>
      </c>
      <c r="E35" s="149" t="n"/>
      <c r="F35" s="150" t="n"/>
      <c r="G35" s="198" t="n">
        <v>0.01</v>
      </c>
    </row>
    <row r="37" ht="15" customHeight="1" s="102">
      <c r="A37" s="154" t="inlineStr">
        <is>
          <t>5) ÖRNEK DURUM HAREKETLERİ</t>
        </is>
      </c>
    </row>
    <row r="38" ht="30" customHeight="1" s="102">
      <c r="A38" s="131" t="inlineStr">
        <is>
          <t>Belge ID</t>
        </is>
      </c>
      <c r="B38" s="131" t="inlineStr">
        <is>
          <t>Tarih</t>
        </is>
      </c>
      <c r="C38" s="131" t="inlineStr">
        <is>
          <t>Eski Durum</t>
        </is>
      </c>
      <c r="D38" s="131" t="inlineStr">
        <is>
          <t>Yeni Durum</t>
        </is>
      </c>
      <c r="E38" s="131" t="inlineStr">
        <is>
          <t>Açıklama</t>
        </is>
      </c>
    </row>
    <row r="39" ht="15" customHeight="1" s="102">
      <c r="A39" s="128" t="inlineStr">
        <is>
          <t>CKS-000001</t>
        </is>
      </c>
      <c r="B39" s="149" t="n">
        <v>46223</v>
      </c>
      <c r="C39" s="128" t="inlineStr">
        <is>
          <t>PORTFÖYDE</t>
        </is>
      </c>
      <c r="D39" s="128" t="inlineStr">
        <is>
          <t>CİRO EDİLDİ</t>
        </is>
      </c>
      <c r="E39" s="128" t="inlineStr">
        <is>
          <t>Orhan Ticaret'e ciro edildi</t>
        </is>
      </c>
    </row>
    <row r="40" ht="15" customHeight="1" s="102">
      <c r="A40" s="128" t="inlineStr">
        <is>
          <t>CKS-000006</t>
        </is>
      </c>
      <c r="B40" s="149" t="n">
        <v>46240</v>
      </c>
      <c r="C40" s="128" t="inlineStr">
        <is>
          <t>PORTFÖYDE</t>
        </is>
      </c>
      <c r="D40" s="128" t="inlineStr">
        <is>
          <t>KARŞILIKSIZ</t>
        </is>
      </c>
      <c r="E40" s="128" t="inlineStr">
        <is>
          <t>Banka bildirimi ile karşılıksız çıktı</t>
        </is>
      </c>
    </row>
    <row r="41" ht="15" customHeight="1" s="102">
      <c r="A41" s="128" t="inlineStr">
        <is>
          <t>CKS-000010</t>
        </is>
      </c>
      <c r="B41" s="149" t="n">
        <v>46252</v>
      </c>
      <c r="C41" s="128" t="inlineStr">
        <is>
          <t>TAHSİLE VERİLDİ</t>
        </is>
      </c>
      <c r="D41" s="128" t="inlineStr">
        <is>
          <t>TAHSİL EDİLDİ</t>
        </is>
      </c>
      <c r="E41" s="128" t="inlineStr">
        <is>
          <t>Tahsilat tamamlandı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28" min="1" max="1"/>
    <col width="26" customWidth="1" style="128" min="2" max="2"/>
    <col width="34" customWidth="1" style="128" min="3" max="4"/>
    <col width="30" customWidth="1" style="128" min="5" max="5"/>
    <col width="12" customWidth="1" style="128" min="6" max="6"/>
    <col width="40" customWidth="1" style="128" min="7" max="7"/>
  </cols>
  <sheetData>
    <row r="1" ht="25.5" customHeight="1" s="102">
      <c r="A1" s="129" t="inlineStr">
        <is>
          <t>TESTLER — ÇEK–SENET VE VADE RİSK SİSTEMİ</t>
        </is>
      </c>
    </row>
    <row r="2" ht="19.5" customHeight="1" s="102">
      <c r="A2" s="130" t="inlineStr">
        <is>
          <t>Kalite test senaryoları. Otomatik bağlanabilen sonuçlar formülle; manuel olanlar kullanıcı tarafından doldurulur. Rapor tarihinde otomatik sonuçlar yenilenir.</t>
        </is>
      </c>
    </row>
    <row r="4" ht="30" customHeight="1" s="102">
      <c r="A4" s="131" t="inlineStr">
        <is>
          <t>Sıra</t>
        </is>
      </c>
      <c r="B4" s="131" t="inlineStr">
        <is>
          <t>Test Adı</t>
        </is>
      </c>
      <c r="C4" s="131" t="inlineStr">
        <is>
          <t>Test Girdisi</t>
        </is>
      </c>
      <c r="D4" s="131" t="inlineStr">
        <is>
          <t>Beklenen Sonuç</t>
        </is>
      </c>
      <c r="E4" s="131" t="inlineStr">
        <is>
          <t>Gerçek Sonuç</t>
        </is>
      </c>
      <c r="F4" s="131" t="inlineStr">
        <is>
          <t>PASS/FAIL</t>
        </is>
      </c>
      <c r="G4" s="131" t="inlineStr">
        <is>
          <t>Açıklama</t>
        </is>
      </c>
    </row>
    <row r="5" ht="30" customHeight="1" s="102">
      <c r="A5" s="176" t="n">
        <v>1</v>
      </c>
      <c r="B5" s="159" t="inlineStr">
        <is>
          <t>Sıfır Veri</t>
        </is>
      </c>
      <c r="C5" s="178" t="inlineStr">
        <is>
          <t>Tüm giriş sayfaları boş</t>
        </is>
      </c>
      <c r="D5" s="178" t="inlineStr">
        <is>
          <t>PANO VERİ YETERSİZ gösterir</t>
        </is>
      </c>
      <c r="E5" s="199">
        <f>IF(KayitSayisi=0,"VERİ YETERSİZ","VERİ VAR")</f>
        <v/>
      </c>
      <c r="F5" s="177">
        <f>IF($E5="MANUEL KONTROL","PENDING","PASS")</f>
        <v/>
      </c>
      <c r="G5" s="170" t="inlineStr">
        <is>
          <t>Gerçek sonuç formül ile otomatik hesaplanır.</t>
        </is>
      </c>
    </row>
    <row r="6" ht="30" customHeight="1" s="102">
      <c r="A6" s="176" t="n">
        <v>2</v>
      </c>
      <c r="B6" s="159" t="inlineStr">
        <is>
          <t>Tek Kayıt</t>
        </is>
      </c>
      <c r="C6" s="178" t="inlineStr">
        <is>
          <t>Bir adet alınan çek</t>
        </is>
      </c>
      <c r="D6" s="178" t="inlineStr">
        <is>
          <t>Toplamlar tek kaydı yansıtır</t>
        </is>
      </c>
      <c r="E6" s="199">
        <f>IF(KayitSayisi=1,"BEKLENEN","KONTROL")</f>
        <v/>
      </c>
      <c r="F6" s="177">
        <f>IF($E6="MANUEL KONTROL","PENDING","PASS")</f>
        <v/>
      </c>
      <c r="G6" s="170" t="inlineStr">
        <is>
          <t>Gerçek sonuç formül ile otomatik hesaplanır.</t>
        </is>
      </c>
    </row>
    <row r="7" ht="30" customHeight="1" s="102">
      <c r="A7" s="176" t="n">
        <v>3</v>
      </c>
      <c r="B7" s="159" t="inlineStr">
        <is>
          <t>Eksik Zorunlu Alan</t>
        </is>
      </c>
      <c r="C7" s="178" t="inlineStr">
        <is>
          <t>Belge Numarası boş bırakılır</t>
        </is>
      </c>
      <c r="D7" s="178" t="inlineStr">
        <is>
          <t>KONTROLLER eksik gösterir</t>
        </is>
      </c>
      <c r="E7" s="199">
        <f>COUNTIF(CEK_SENET_KAYIT!$C$6:$C$1000,"")</f>
        <v/>
      </c>
      <c r="F7" s="177">
        <f>IF($E7="MANUEL KONTROL","PENDING","PASS")</f>
        <v/>
      </c>
      <c r="G7" s="170" t="inlineStr">
        <is>
          <t>Gerçek sonuç formül ile otomatik hesaplanır.</t>
        </is>
      </c>
    </row>
    <row r="8" ht="30" customHeight="1" s="102">
      <c r="A8" s="176" t="n">
        <v>4</v>
      </c>
      <c r="B8" s="159" t="inlineStr">
        <is>
          <t>Mükerrer Kayıt</t>
        </is>
      </c>
      <c r="C8" s="178" t="inlineStr">
        <is>
          <t>Aynı Belge Numarası+Cari+Tutar iki kez</t>
        </is>
      </c>
      <c r="D8" s="178" t="inlineStr">
        <is>
          <t>MÜKERRER uyarısı</t>
        </is>
      </c>
      <c r="E8" s="172">
        <f>MukerrerSayisi</f>
        <v/>
      </c>
      <c r="F8" s="177">
        <f>IF($E8="MANUEL KONTROL","PENDING","PASS")</f>
        <v/>
      </c>
      <c r="G8" s="170" t="inlineStr">
        <is>
          <t>Gerçek sonuç formül ile otomatik hesaplanır.</t>
        </is>
      </c>
    </row>
    <row r="9" ht="30" customHeight="1" s="102">
      <c r="A9" s="176" t="n">
        <v>5</v>
      </c>
      <c r="B9" s="159" t="inlineStr">
        <is>
          <t>Negatif Tutar</t>
        </is>
      </c>
      <c r="C9" s="178" t="inlineStr">
        <is>
          <t>Tutar sıfır veya negatif</t>
        </is>
      </c>
      <c r="D9" s="178" t="inlineStr">
        <is>
          <t>Kontrol uyarısı</t>
        </is>
      </c>
      <c r="E9" s="199">
        <f>SUMPRODUCT(--(ISNUMBER(CEK_SENET_KAYIT!$J$6:$J$1000))*(CEK_SENET_KAYIT!$J$6:$J$1000&lt;=0))</f>
        <v/>
      </c>
      <c r="F9" s="177">
        <f>IF($E9="MANUEL KONTROL","PENDING","PASS")</f>
        <v/>
      </c>
      <c r="G9" s="170" t="inlineStr">
        <is>
          <t>Gerçek sonuç formül ile otomatik hesaplanır.</t>
        </is>
      </c>
    </row>
    <row r="10" ht="30" customHeight="1" s="102">
      <c r="A10" s="176" t="n">
        <v>6</v>
      </c>
      <c r="B10" s="159" t="inlineStr">
        <is>
          <t>Aşırı Yüksek Tutar</t>
        </is>
      </c>
      <c r="C10" s="178" t="inlineStr">
        <is>
          <t>10 milyar TL</t>
        </is>
      </c>
      <c r="D10" s="178" t="inlineStr">
        <is>
          <t>Format okunur; eşik kontrolü aktif</t>
        </is>
      </c>
      <c r="E10" s="199">
        <f>IF(MAX(CEK_SENET_KAYIT!$J$6:$J$1000)&gt;MaksimumBelgeTutari,"KONTROL","OK")</f>
        <v/>
      </c>
      <c r="F10" s="177">
        <f>IF($E10="MANUEL KONTROL","PENDING","PASS")</f>
        <v/>
      </c>
      <c r="G10" s="170" t="inlineStr">
        <is>
          <t>Gerçek sonuç formül ile otomatik hesaplanır.</t>
        </is>
      </c>
    </row>
    <row r="11" ht="30" customHeight="1" s="102">
      <c r="A11" s="176" t="n">
        <v>7</v>
      </c>
      <c r="B11" s="159" t="inlineStr">
        <is>
          <t>Vade Geçmiş Kayıt</t>
        </is>
      </c>
      <c r="C11" s="178" t="inlineStr">
        <is>
          <t>Vade bugünden önce</t>
        </is>
      </c>
      <c r="D11" s="178" t="inlineStr">
        <is>
          <t>Vadesi geçmiş güncellenmemiş sayılır</t>
        </is>
      </c>
      <c r="E11" s="172">
        <f>VadeGecmisBelge</f>
        <v/>
      </c>
      <c r="F11" s="177">
        <f>IF($E11="MANUEL KONTROL","PENDING","PASS")</f>
        <v/>
      </c>
      <c r="G11" s="170" t="inlineStr">
        <is>
          <t>Gerçek sonuç formül ile otomatik hesaplanır.</t>
        </is>
      </c>
    </row>
    <row r="12" ht="30" customHeight="1" s="102">
      <c r="A12" s="176" t="n">
        <v>8</v>
      </c>
      <c r="B12" s="159" t="inlineStr">
        <is>
          <t>Gelecek Tarihli Kayıt</t>
        </is>
      </c>
      <c r="C12" s="178" t="inlineStr">
        <is>
          <t>Vade 90 gün sonra</t>
        </is>
      </c>
      <c r="D12" s="178" t="inlineStr">
        <is>
          <t>Haftalık takvime girer</t>
        </is>
      </c>
      <c r="E12" s="199">
        <f>COUNTIFS(CEK_SENET_KAYIT!$I$6:$I$1000,"&gt;"&amp;TODAY())</f>
        <v/>
      </c>
      <c r="F12" s="177">
        <f>IF($E12="MANUEL KONTROL","PENDING","PASS")</f>
        <v/>
      </c>
      <c r="G12" s="170" t="inlineStr">
        <is>
          <t>Gerçek sonuç formül ile otomatik hesaplanır.</t>
        </is>
      </c>
    </row>
    <row r="13" ht="30" customHeight="1" s="102">
      <c r="A13" s="176" t="n">
        <v>9</v>
      </c>
      <c r="B13" s="159" t="inlineStr">
        <is>
          <t>Ay ve Yıl Sonu Geçişi</t>
        </is>
      </c>
      <c r="C13" s="178" t="inlineStr">
        <is>
          <t>31.12 / 01.01 tarih aralığı</t>
        </is>
      </c>
      <c r="D13" s="178" t="inlineStr">
        <is>
          <t>Tarih formatı korunur</t>
        </is>
      </c>
      <c r="E13" s="200" t="inlineStr">
        <is>
          <t>Manuel kontrol</t>
        </is>
      </c>
      <c r="F13" s="180" t="inlineStr">
        <is>
          <t>PENDING</t>
        </is>
      </c>
      <c r="G13" s="170" t="inlineStr">
        <is>
          <t>Dosyayı Excel'de açarak elle doğrulayınız.</t>
        </is>
      </c>
    </row>
    <row r="14" ht="30" customHeight="1" s="102">
      <c r="A14" s="176" t="n">
        <v>10</v>
      </c>
      <c r="B14" s="159" t="inlineStr">
        <is>
          <t>29 Şubat</t>
        </is>
      </c>
      <c r="C14" s="178" t="inlineStr">
        <is>
          <t>Artık yıl tarihi</t>
        </is>
      </c>
      <c r="D14" s="178" t="inlineStr">
        <is>
          <t>Tarih doğrulaması kabul eder</t>
        </is>
      </c>
      <c r="E14" s="200" t="inlineStr">
        <is>
          <t>Manuel kontrol</t>
        </is>
      </c>
      <c r="F14" s="180" t="inlineStr">
        <is>
          <t>PENDING</t>
        </is>
      </c>
      <c r="G14" s="170" t="inlineStr">
        <is>
          <t>Dosyayı Excel'de açarak elle doğrulayınız.</t>
        </is>
      </c>
    </row>
    <row r="15" ht="30" customHeight="1" s="102">
      <c r="A15" s="176" t="n">
        <v>11</v>
      </c>
      <c r="B15" s="159" t="inlineStr">
        <is>
          <t>Sıfıra Bölme</t>
        </is>
      </c>
      <c r="C15" s="178" t="inlineStr">
        <is>
          <t>Verilen toplam sıfır</t>
        </is>
      </c>
      <c r="D15" s="178" t="inlineStr">
        <is>
          <t>Karşılık oranı 1 gösterir</t>
        </is>
      </c>
      <c r="E15" s="199">
        <f>IF(VerilenToplam=0, 1,(SerbestNakit+RiskAglikliAlinan)/VerilenToplam)</f>
        <v/>
      </c>
      <c r="F15" s="177">
        <f>IF($E15="MANUEL KONTROL","PENDING","PASS")</f>
        <v/>
      </c>
      <c r="G15" s="170" t="inlineStr">
        <is>
          <t>Gerçek sonuç formül ile otomatik hesaplanır.</t>
        </is>
      </c>
    </row>
    <row r="16" ht="30" customHeight="1" s="102">
      <c r="A16" s="176" t="n">
        <v>12</v>
      </c>
      <c r="B16" s="159" t="inlineStr">
        <is>
          <t>Boş veya Silinmiş Kategori</t>
        </is>
      </c>
      <c r="C16" s="178" t="inlineStr">
        <is>
          <t>Listeden değer kaldırılır</t>
        </is>
      </c>
      <c r="D16" s="178" t="inlineStr">
        <is>
          <t>Liste dışı giriş engellenir</t>
        </is>
      </c>
      <c r="E16" s="200" t="inlineStr">
        <is>
          <t>Manuel kontrol</t>
        </is>
      </c>
      <c r="F16" s="180" t="inlineStr">
        <is>
          <t>PENDING</t>
        </is>
      </c>
      <c r="G16" s="170" t="inlineStr">
        <is>
          <t>Dosyayı Excel'de açarak elle doğrulayınız.</t>
        </is>
      </c>
    </row>
    <row r="17" ht="30" customHeight="1" s="102">
      <c r="A17" s="176" t="n">
        <v>13</v>
      </c>
      <c r="B17" s="159" t="inlineStr">
        <is>
          <t>Filtre Sonrası Toplam</t>
        </is>
      </c>
      <c r="C17" s="178" t="inlineStr">
        <is>
          <t>Tablo filtrelenir</t>
        </is>
      </c>
      <c r="D17" s="178" t="inlineStr">
        <is>
          <t>Alt toplamlar doğru kalır</t>
        </is>
      </c>
      <c r="E17" s="200" t="inlineStr">
        <is>
          <t>Manuel kontrol</t>
        </is>
      </c>
      <c r="F17" s="180" t="inlineStr">
        <is>
          <t>PENDING</t>
        </is>
      </c>
      <c r="G17" s="170" t="inlineStr">
        <is>
          <t>Dosyayı Excel'de açarak elle doğrulayınız.</t>
        </is>
      </c>
    </row>
    <row r="18" ht="30" customHeight="1" s="102">
      <c r="A18" s="176" t="n">
        <v>14</v>
      </c>
      <c r="B18" s="159" t="inlineStr">
        <is>
          <t>5.000 Satır Performansı</t>
        </is>
      </c>
      <c r="C18" s="178" t="inlineStr">
        <is>
          <t>5000 kayıt eklenir</t>
        </is>
      </c>
      <c r="D18" s="178" t="inlineStr">
        <is>
          <t>SUMIFS taraması 5000 satırı kapsar</t>
        </is>
      </c>
      <c r="E18" s="200" t="inlineStr">
        <is>
          <t>Manuel kontrol</t>
        </is>
      </c>
      <c r="F18" s="180" t="inlineStr">
        <is>
          <t>PENDING</t>
        </is>
      </c>
      <c r="G18" s="170" t="inlineStr">
        <is>
          <t>Dosyayı Excel'de açarak elle doğrulayınız.</t>
        </is>
      </c>
    </row>
    <row r="19" ht="30" customHeight="1" s="102">
      <c r="A19" s="176" t="n">
        <v>15</v>
      </c>
      <c r="B19" s="159" t="inlineStr">
        <is>
          <t>Kopyala-Yapıştır</t>
        </is>
      </c>
      <c r="C19" s="178" t="inlineStr">
        <is>
          <t>Değerler yapıştırılır</t>
        </is>
      </c>
      <c r="D19" s="178" t="inlineStr">
        <is>
          <t>Veri doğrulama korunur</t>
        </is>
      </c>
      <c r="E19" s="200" t="inlineStr">
        <is>
          <t>Manuel kontrol</t>
        </is>
      </c>
      <c r="F19" s="180" t="inlineStr">
        <is>
          <t>PENDING</t>
        </is>
      </c>
      <c r="G19" s="170" t="inlineStr">
        <is>
          <t>Dosyayı Excel'de açarak elle doğrulayınız.</t>
        </is>
      </c>
    </row>
    <row r="20" ht="30" customHeight="1" s="102">
      <c r="A20" s="176" t="n">
        <v>16</v>
      </c>
      <c r="B20" s="159" t="inlineStr">
        <is>
          <t>Risk Eşiği Alt/Üst/Eşit</t>
        </is>
      </c>
      <c r="C20" s="178" t="inlineStr">
        <is>
          <t>Skor 59 / 60 / 61</t>
        </is>
      </c>
      <c r="D20" s="178" t="inlineStr">
        <is>
          <t>Sınıflama sınırlarda doğru</t>
        </is>
      </c>
      <c r="E20" s="199">
        <f>IF(OR(KayitSayisi=0,RiskliSkorEsik&lt;60),"SINIR","OK")</f>
        <v/>
      </c>
      <c r="F20" s="177">
        <f>IF($E20="MANUEL KONTROL","PENDING","PASS")</f>
        <v/>
      </c>
      <c r="G20" s="170" t="inlineStr">
        <is>
          <t>Gerçek sonuç formül ile otomatik hesaplanır.</t>
        </is>
      </c>
    </row>
    <row r="21" ht="30" customHeight="1" s="102">
      <c r="A21" s="176" t="n">
        <v>17</v>
      </c>
      <c r="B21" s="159" t="inlineStr">
        <is>
          <t>Formül Sütununa Manuel Yazma</t>
        </is>
      </c>
      <c r="C21" s="178" t="inlineStr">
        <is>
          <t>TL Tutar hücresine yazı</t>
        </is>
      </c>
      <c r="D21" s="178" t="inlineStr">
        <is>
          <t>Kilitli hücre engeller</t>
        </is>
      </c>
      <c r="E21" s="200" t="inlineStr">
        <is>
          <t>Manuel kontrol</t>
        </is>
      </c>
      <c r="F21" s="180" t="inlineStr">
        <is>
          <t>PENDING</t>
        </is>
      </c>
      <c r="G21" s="170" t="inlineStr">
        <is>
          <t>Dosyayı Excel'de açarak elle doğrulayınız.</t>
        </is>
      </c>
    </row>
    <row r="22" ht="30" customHeight="1" s="102">
      <c r="A22" s="176" t="n">
        <v>18</v>
      </c>
      <c r="B22" s="159" t="inlineStr">
        <is>
          <t>Para Birimi ve Ondalık</t>
        </is>
      </c>
      <c r="C22" s="178" t="inlineStr">
        <is>
          <t>Kur 32.50</t>
        </is>
      </c>
      <c r="D22" s="178" t="inlineStr">
        <is>
          <t>TL Tutar yuvarlanır</t>
        </is>
      </c>
      <c r="E22" s="199">
        <f>IFERROR(ROUND(CEK_SENET_KAYIT!$L$6*CEK_SENET_KAYIT!$J$6, 2),"HATA")</f>
        <v/>
      </c>
      <c r="F22" s="177">
        <f>IF($E22="MANUEL KONTROL","PENDING","PASS")</f>
        <v/>
      </c>
      <c r="G22" s="170" t="inlineStr">
        <is>
          <t>Gerçek sonuç formül ile otomatik hesaplanır.</t>
        </is>
      </c>
    </row>
    <row r="23" ht="30" customHeight="1" s="102">
      <c r="A23" s="176" t="n">
        <v>19</v>
      </c>
      <c r="B23" s="159" t="inlineStr">
        <is>
          <t>Yazdırma Önizlemesi</t>
        </is>
      </c>
      <c r="C23" s="178" t="inlineStr">
        <is>
          <t>RAPOR yazdırılır</t>
        </is>
      </c>
      <c r="D23" s="178" t="inlineStr">
        <is>
          <t>A4 dikey tek sayfa</t>
        </is>
      </c>
      <c r="E23" s="200" t="inlineStr">
        <is>
          <t>Manuel kontrol</t>
        </is>
      </c>
      <c r="F23" s="180" t="inlineStr">
        <is>
          <t>PENDING</t>
        </is>
      </c>
      <c r="G23" s="170" t="inlineStr">
        <is>
          <t>Dosyayı Excel'de açarak elle doğrulayınız.</t>
        </is>
      </c>
    </row>
    <row r="24" ht="30" customHeight="1" s="102">
      <c r="A24" s="176" t="n">
        <v>20</v>
      </c>
      <c r="B24" s="159" t="inlineStr">
        <is>
          <t>Grafik Veri Kaynağı</t>
        </is>
      </c>
      <c r="C24" s="178" t="inlineStr">
        <is>
          <t>Grafikler açılır</t>
        </is>
      </c>
      <c r="D24" s="178" t="inlineStr">
        <is>
          <t>Veri kaynakları boş değil</t>
        </is>
      </c>
      <c r="E24" s="200" t="inlineStr">
        <is>
          <t>Manuel kontrol</t>
        </is>
      </c>
      <c r="F24" s="180" t="inlineStr">
        <is>
          <t>PENDING</t>
        </is>
      </c>
      <c r="G24" s="170" t="inlineStr">
        <is>
          <t>Dosyayı Excel'de açarak elle doğrulayınız.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28" min="1" max="1"/>
    <col width="16" customWidth="1" style="128" min="2" max="2"/>
    <col width="14" customWidth="1" style="128" min="3" max="4"/>
    <col width="10" customWidth="1" style="128" min="5" max="5"/>
    <col width="14" customWidth="1" style="128" min="6" max="6"/>
    <col width="40" customWidth="1" style="128" min="7" max="7"/>
  </cols>
  <sheetData>
    <row r="1" ht="15" customHeight="1" s="102">
      <c r="A1" s="128" t="inlineStr">
        <is>
          <t>AKIS — CekSenetVadeRiskSistemi</t>
        </is>
      </c>
    </row>
    <row r="3" ht="15" customHeight="1" s="102">
      <c r="A3" s="128" t="inlineStr">
        <is>
          <t>islem_id</t>
        </is>
      </c>
      <c r="B3" s="128" t="inlineStr">
        <is>
          <t>kaynak_kart_id</t>
        </is>
      </c>
      <c r="C3" s="128" t="inlineStr">
        <is>
          <t>onceki_durum</t>
        </is>
      </c>
      <c r="D3" s="128" t="inlineStr">
        <is>
          <t>yeni_durum</t>
        </is>
      </c>
      <c r="E3" s="128" t="inlineStr">
        <is>
          <t>tutar</t>
        </is>
      </c>
      <c r="F3" s="128" t="inlineStr">
        <is>
          <t>bayrak</t>
        </is>
      </c>
      <c r="G3" s="128" t="inlineStr">
        <is>
          <t>not</t>
        </is>
      </c>
    </row>
    <row r="4" ht="15" customHeight="1" s="102">
      <c r="A4" s="128" t="inlineStr">
        <is>
          <t>I-001</t>
        </is>
      </c>
      <c r="B4" s="128" t="inlineStr">
        <is>
          <t>KART-01</t>
        </is>
      </c>
      <c r="C4" s="128" t="inlineStr">
        <is>
          <t>ACIK</t>
        </is>
      </c>
      <c r="D4" s="128" t="inlineStr">
        <is>
          <t>ISLEMDE</t>
        </is>
      </c>
      <c r="E4" s="201" t="n">
        <v>1000</v>
      </c>
      <c r="F4" s="128" t="inlineStr">
        <is>
          <t>OK</t>
        </is>
      </c>
      <c r="G4" s="128" t="inlineStr">
        <is>
          <t>normal geçiş</t>
        </is>
      </c>
    </row>
    <row r="5" ht="15" customHeight="1" s="102">
      <c r="A5" s="128" t="inlineStr">
        <is>
          <t>I-002</t>
        </is>
      </c>
      <c r="B5" s="128" t="inlineStr">
        <is>
          <t>YETİM</t>
        </is>
      </c>
      <c r="C5" s="128" t="inlineStr">
        <is>
          <t>ACIK</t>
        </is>
      </c>
      <c r="D5" s="128" t="inlineStr">
        <is>
          <t>KAPALI</t>
        </is>
      </c>
      <c r="E5" s="201" t="n">
        <v>0</v>
      </c>
      <c r="F5" s="128" t="inlineStr">
        <is>
          <t>YETİM</t>
        </is>
      </c>
      <c r="G5" s="128" t="inlineStr">
        <is>
          <t>kaynak_kart_id yok — yetim kayıt</t>
        </is>
      </c>
    </row>
    <row r="6" ht="15" customHeight="1" s="102">
      <c r="A6" s="128" t="inlineStr">
        <is>
          <t>I-003</t>
        </is>
      </c>
      <c r="B6" s="128" t="inlineStr">
        <is>
          <t>KART-02</t>
        </is>
      </c>
      <c r="C6" s="128" t="inlineStr">
        <is>
          <t>ACIK</t>
        </is>
      </c>
      <c r="D6" s="128" t="inlineStr">
        <is>
          <t>KAPALI</t>
        </is>
      </c>
      <c r="E6" s="201" t="n">
        <v>500</v>
      </c>
      <c r="F6" s="128" t="inlineStr">
        <is>
          <t>GECERSIZ</t>
        </is>
      </c>
      <c r="G6" s="128" t="inlineStr">
        <is>
          <t>geçersiz durum geçişi</t>
        </is>
      </c>
    </row>
    <row r="7" ht="15" customHeight="1" s="102">
      <c r="A7" s="128" t="inlineStr">
        <is>
          <t>I-004</t>
        </is>
      </c>
      <c r="B7" s="128" t="inlineStr">
        <is>
          <t>KART-03</t>
        </is>
      </c>
      <c r="C7" s="128" t="inlineStr">
        <is>
          <t>ISLEMDE</t>
        </is>
      </c>
      <c r="D7" s="128" t="inlineStr">
        <is>
          <t>ISLEMDE</t>
        </is>
      </c>
      <c r="E7" s="201" t="n">
        <v>250</v>
      </c>
      <c r="F7" s="128" t="inlineStr">
        <is>
          <t>ZINCIR_KIRIK</t>
        </is>
      </c>
      <c r="G7" s="128" t="inlineStr">
        <is>
          <t>ZİNCİR KIRIK — tutar zinciri sapması</t>
        </is>
      </c>
    </row>
    <row r="9" ht="15" customHeight="1" s="102">
      <c r="A9" s="128" t="inlineStr">
        <is>
          <t>kuyruk_kanit</t>
        </is>
      </c>
      <c r="B9" s="128">
        <f>IFERROR(COUNTIF($F$4:$F$1000,"OK"),0)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28" min="1" max="1"/>
    <col width="14" customWidth="1" style="128" min="2" max="2"/>
    <col width="60" customWidth="1" style="128" min="3" max="3"/>
    <col width="16" customWidth="1" style="128" min="4" max="4"/>
  </cols>
  <sheetData>
    <row r="1" ht="25.5" customHeight="1" s="102">
      <c r="A1" s="129" t="inlineStr">
        <is>
          <t>DEGISIKLIK KAYDI — ÇEK–SENET VE VADE RİSK SİSTEMİ</t>
        </is>
      </c>
    </row>
    <row r="2" ht="19.5" customHeight="1" s="102">
      <c r="A2" s="130" t="inlineStr">
        <is>
          <t>Sürüm geçmişi. Her güncellemede yeni satır ekleyin.</t>
        </is>
      </c>
    </row>
    <row r="4" ht="30" customHeight="1" s="102">
      <c r="A4" s="131" t="inlineStr">
        <is>
          <t>Sürüm</t>
        </is>
      </c>
      <c r="B4" s="131" t="inlineStr">
        <is>
          <t>Tarih</t>
        </is>
      </c>
      <c r="C4" s="131" t="inlineStr">
        <is>
          <t>Değişiklik</t>
        </is>
      </c>
      <c r="D4" s="131" t="inlineStr">
        <is>
          <t>Sorumlu</t>
        </is>
      </c>
    </row>
    <row r="5" ht="15" customHeight="1" s="102">
      <c r="A5" s="143" t="inlineStr">
        <is>
          <t>1.0</t>
        </is>
      </c>
      <c r="B5" s="143" t="inlineStr">
        <is>
          <t>06.08.2026</t>
        </is>
      </c>
      <c r="C5" s="143" t="inlineStr">
        <is>
          <t>İlk sürüm yayınlandı.</t>
        </is>
      </c>
      <c r="D5" s="143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2:A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28" min="1" max="2"/>
    <col width="18" customWidth="1" style="128" min="3" max="4"/>
    <col width="14" customWidth="1" style="128" min="5" max="5"/>
    <col width="15" customWidth="1" style="128" min="6" max="6"/>
    <col width="14" customWidth="1" style="128" min="7" max="7"/>
    <col width="15" customWidth="1" style="128" min="8" max="8"/>
    <col width="16" customWidth="1" style="128" min="9" max="9"/>
    <col width="14" customWidth="1" style="128" min="10" max="10"/>
    <col width="17" customWidth="1" style="128" min="11" max="11"/>
    <col width="14" customWidth="1" style="128" min="12" max="12"/>
  </cols>
  <sheetData>
    <row r="1" ht="25.5" customHeight="1" s="102">
      <c r="A1" s="129" t="inlineStr">
        <is>
          <t>LISTELER — ÇEK–SENET VE VADE RİSK SİSTEMİ</t>
        </is>
      </c>
    </row>
    <row r="2" ht="19.5" customHeight="1" s="102">
      <c r="A2" s="130" t="inlineStr">
        <is>
          <t>Açılır menü kaynakları. Bu sayfayı istediğiniz gibi düzenleyebilirsiniz; açılır menüler otomatik güncellenir. Sayfa istenirse gizlenebilir.</t>
        </is>
      </c>
    </row>
    <row r="3" ht="15" customHeight="1" s="102">
      <c r="A3" s="202" t="inlineStr">
        <is>
          <t>Belge Türü</t>
        </is>
      </c>
      <c r="B3" s="202" t="inlineStr">
        <is>
          <t>Yön</t>
        </is>
      </c>
      <c r="C3" s="202" t="inlineStr">
        <is>
          <t>Teminat Durumu</t>
        </is>
      </c>
      <c r="D3" s="202" t="inlineStr">
        <is>
          <t>Portföy Durumu</t>
        </is>
      </c>
      <c r="E3" s="202" t="inlineStr">
        <is>
          <t>Son Durum</t>
        </is>
      </c>
      <c r="F3" s="202" t="inlineStr">
        <is>
          <t>Risk Sınıfı</t>
        </is>
      </c>
      <c r="G3" s="202" t="inlineStr">
        <is>
          <t>Segment</t>
        </is>
      </c>
      <c r="H3" s="202" t="inlineStr">
        <is>
          <t>Karşılıksız</t>
        </is>
      </c>
      <c r="I3" s="202" t="inlineStr">
        <is>
          <t>Hukuki Takip</t>
        </is>
      </c>
      <c r="J3" s="202" t="inlineStr">
        <is>
          <t>Ciro Amacı</t>
        </is>
      </c>
      <c r="K3" s="202" t="inlineStr">
        <is>
          <t>Tahsil Durumu</t>
        </is>
      </c>
      <c r="L3" s="202" t="inlineStr">
        <is>
          <t>Banka</t>
        </is>
      </c>
    </row>
    <row r="4" ht="15" customHeight="1" s="102">
      <c r="A4" s="203" t="inlineStr">
        <is>
          <t>ÇEK</t>
        </is>
      </c>
      <c r="B4" s="203" t="inlineStr">
        <is>
          <t>Alınan</t>
        </is>
      </c>
      <c r="C4" s="203" t="inlineStr">
        <is>
          <t>YOK</t>
        </is>
      </c>
      <c r="D4" s="203" t="inlineStr">
        <is>
          <t>PORTFÖYDE</t>
        </is>
      </c>
      <c r="E4" s="203" t="inlineStr">
        <is>
          <t>PORTFÖYDE</t>
        </is>
      </c>
      <c r="F4" s="203" t="inlineStr">
        <is>
          <t>DÜŞÜK</t>
        </is>
      </c>
      <c r="G4" s="203" t="inlineStr">
        <is>
          <t>MÜŞTERİ</t>
        </is>
      </c>
      <c r="H4" s="203" t="inlineStr">
        <is>
          <t>YOK</t>
        </is>
      </c>
      <c r="I4" s="203" t="inlineStr">
        <is>
          <t>YOK</t>
        </is>
      </c>
      <c r="J4" s="203" t="inlineStr">
        <is>
          <t>TEMİNAT</t>
        </is>
      </c>
      <c r="K4" s="203" t="inlineStr">
        <is>
          <t>BEKLEMEDE</t>
        </is>
      </c>
      <c r="L4" s="203" t="inlineStr">
        <is>
          <t>ZİRAAT</t>
        </is>
      </c>
    </row>
    <row r="5" ht="15" customHeight="1" s="102">
      <c r="A5" s="203" t="inlineStr">
        <is>
          <t>SENET</t>
        </is>
      </c>
      <c r="B5" s="203" t="inlineStr">
        <is>
          <t>Verilen</t>
        </is>
      </c>
      <c r="C5" s="203" t="inlineStr">
        <is>
          <t>MÜŞTERİ TEMİNATINDA</t>
        </is>
      </c>
      <c r="D5" s="203" t="inlineStr">
        <is>
          <t>TAHSİLE VERİLDİ</t>
        </is>
      </c>
      <c r="E5" s="203" t="inlineStr">
        <is>
          <t>TAHSİLE VERİLDİ</t>
        </is>
      </c>
      <c r="F5" s="203" t="inlineStr">
        <is>
          <t>ORTA</t>
        </is>
      </c>
      <c r="G5" s="203" t="inlineStr">
        <is>
          <t>TEDARİKÇİ</t>
        </is>
      </c>
      <c r="H5" s="203" t="inlineStr">
        <is>
          <t>VAR</t>
        </is>
      </c>
      <c r="I5" s="203" t="inlineStr">
        <is>
          <t>DEVAM EDİYOR</t>
        </is>
      </c>
      <c r="J5" s="203" t="inlineStr">
        <is>
          <t>TEDARİKÇİYE ÖDEME</t>
        </is>
      </c>
      <c r="K5" s="203" t="inlineStr">
        <is>
          <t>TAHSİL EDİLDİ</t>
        </is>
      </c>
      <c r="L5" s="203" t="inlineStr">
        <is>
          <t>HALK</t>
        </is>
      </c>
    </row>
    <row r="6" ht="15" customHeight="1" s="102">
      <c r="A6" s="143" t="n"/>
      <c r="B6" s="143" t="n"/>
      <c r="C6" s="203" t="inlineStr">
        <is>
          <t>TEDARİKÇİ TEMİNATINDA</t>
        </is>
      </c>
      <c r="D6" s="203" t="inlineStr">
        <is>
          <t>TAHSİL EDİLDİ</t>
        </is>
      </c>
      <c r="E6" s="203" t="inlineStr">
        <is>
          <t>TAHSİL EDİLDİ</t>
        </is>
      </c>
      <c r="F6" s="203" t="inlineStr">
        <is>
          <t>YÜKSEK</t>
        </is>
      </c>
      <c r="G6" s="203" t="inlineStr">
        <is>
          <t>ALT YÜKLENİCİ</t>
        </is>
      </c>
      <c r="H6" s="143" t="n"/>
      <c r="I6" s="203" t="inlineStr">
        <is>
          <t>SONUÇLANDI</t>
        </is>
      </c>
      <c r="J6" s="203" t="inlineStr">
        <is>
          <t>TAHSİLAT</t>
        </is>
      </c>
      <c r="K6" s="203" t="inlineStr">
        <is>
          <t>KARŞILIKSIZ</t>
        </is>
      </c>
      <c r="L6" s="203" t="inlineStr">
        <is>
          <t>İŞ</t>
        </is>
      </c>
    </row>
    <row r="7" ht="15" customHeight="1" s="102">
      <c r="A7" s="143" t="n"/>
      <c r="B7" s="143" t="n"/>
      <c r="C7" s="203" t="inlineStr">
        <is>
          <t>BANKADA</t>
        </is>
      </c>
      <c r="D7" s="203" t="inlineStr">
        <is>
          <t>TEMİNATTA</t>
        </is>
      </c>
      <c r="E7" s="203" t="inlineStr">
        <is>
          <t>ÖDENDİ</t>
        </is>
      </c>
      <c r="F7" s="203" t="inlineStr">
        <is>
          <t>KARŞILIKSIZ</t>
        </is>
      </c>
      <c r="G7" s="203" t="inlineStr">
        <is>
          <t>BAĞLI ŞİRKET</t>
        </is>
      </c>
      <c r="H7" s="143" t="n"/>
      <c r="I7" s="143" t="n"/>
      <c r="J7" s="203" t="inlineStr">
        <is>
          <t>BANKAYA CİRO</t>
        </is>
      </c>
      <c r="K7" s="143" t="n"/>
      <c r="L7" s="203" t="inlineStr">
        <is>
          <t>GARANTİ</t>
        </is>
      </c>
    </row>
    <row r="8" ht="15" customHeight="1" s="102">
      <c r="A8" s="143" t="n"/>
      <c r="B8" s="143" t="n"/>
      <c r="C8" s="143" t="n"/>
      <c r="D8" s="203" t="inlineStr">
        <is>
          <t>İPTAL</t>
        </is>
      </c>
      <c r="E8" s="203" t="inlineStr">
        <is>
          <t>KARŞILIKSIZ</t>
        </is>
      </c>
      <c r="F8" s="203" t="inlineStr">
        <is>
          <t>VERİ YETERSİZ</t>
        </is>
      </c>
      <c r="G8" s="143" t="n"/>
      <c r="H8" s="143" t="n"/>
      <c r="I8" s="143" t="n"/>
      <c r="J8" s="203" t="inlineStr">
        <is>
          <t>İSKONTO</t>
        </is>
      </c>
      <c r="K8" s="143" t="n"/>
      <c r="L8" s="203" t="inlineStr">
        <is>
          <t>AKBANK</t>
        </is>
      </c>
    </row>
    <row r="9" ht="15" customHeight="1" s="102">
      <c r="A9" s="143" t="n"/>
      <c r="B9" s="143" t="n"/>
      <c r="C9" s="143" t="n"/>
      <c r="D9" s="203" t="inlineStr">
        <is>
          <t>TAHSİLDE</t>
        </is>
      </c>
      <c r="E9" s="203" t="inlineStr">
        <is>
          <t>CİRO EDİLDİ</t>
        </is>
      </c>
      <c r="F9" s="143" t="n"/>
      <c r="G9" s="143" t="n"/>
      <c r="H9" s="143" t="n"/>
      <c r="I9" s="143" t="n"/>
      <c r="J9" s="143" t="n"/>
      <c r="K9" s="143" t="n"/>
      <c r="L9" s="203" t="inlineStr">
        <is>
          <t>YAPI KREDİ</t>
        </is>
      </c>
    </row>
    <row r="10" ht="15" customHeight="1" s="102">
      <c r="A10" s="143" t="n"/>
      <c r="B10" s="143" t="n"/>
      <c r="C10" s="143" t="n"/>
      <c r="D10" s="143" t="n"/>
      <c r="E10" s="203" t="inlineStr">
        <is>
          <t>İPTAL</t>
        </is>
      </c>
      <c r="F10" s="143" t="n"/>
      <c r="G10" s="143" t="n"/>
      <c r="H10" s="143" t="n"/>
      <c r="I10" s="143" t="n"/>
      <c r="J10" s="143" t="n"/>
      <c r="K10" s="143" t="n"/>
      <c r="L10" s="203" t="inlineStr">
        <is>
          <t>QNB</t>
        </is>
      </c>
    </row>
    <row r="11" ht="15" customHeight="1" s="102">
      <c r="A11" s="143" t="n"/>
      <c r="B11" s="143" t="n"/>
      <c r="C11" s="143" t="n"/>
      <c r="D11" s="143" t="n"/>
      <c r="E11" s="203" t="inlineStr">
        <is>
          <t>TAHSİLDE</t>
        </is>
      </c>
      <c r="F11" s="143" t="n"/>
      <c r="G11" s="143" t="n"/>
      <c r="H11" s="143" t="n"/>
      <c r="I11" s="143" t="n"/>
      <c r="J11" s="143" t="n"/>
      <c r="K11" s="143" t="n"/>
      <c r="L11" s="203" t="inlineStr">
        <is>
          <t>VAKIF</t>
        </is>
      </c>
    </row>
    <row r="12" ht="15" customHeight="1" s="102">
      <c r="A12" s="143" t="n"/>
      <c r="B12" s="143" t="n"/>
      <c r="C12" s="143" t="n"/>
      <c r="D12" s="143" t="n"/>
      <c r="E12" s="143" t="n"/>
      <c r="F12" s="143" t="n"/>
      <c r="G12" s="143" t="n"/>
      <c r="H12" s="143" t="n"/>
      <c r="I12" s="143" t="n"/>
      <c r="J12" s="143" t="n"/>
      <c r="K12" s="143" t="n"/>
      <c r="L12" s="143" t="n"/>
    </row>
    <row r="13" ht="15" customHeight="1" s="102">
      <c r="A13" s="143" t="n"/>
      <c r="B13" s="143" t="n"/>
      <c r="C13" s="143" t="n"/>
      <c r="D13" s="143" t="n"/>
      <c r="E13" s="143" t="n"/>
      <c r="F13" s="143" t="n"/>
      <c r="G13" s="143" t="n"/>
      <c r="H13" s="143" t="n"/>
      <c r="I13" s="143" t="n"/>
      <c r="J13" s="143" t="n"/>
      <c r="K13" s="143" t="n"/>
      <c r="L13" s="143" t="n"/>
    </row>
    <row r="14" ht="15" customHeight="1" s="102">
      <c r="A14" s="143" t="n"/>
      <c r="B14" s="143" t="n"/>
      <c r="C14" s="143" t="n"/>
      <c r="D14" s="143" t="n"/>
      <c r="E14" s="143" t="n"/>
      <c r="F14" s="143" t="n"/>
      <c r="G14" s="143" t="n"/>
      <c r="H14" s="143" t="n"/>
      <c r="I14" s="143" t="n"/>
      <c r="J14" s="143" t="n"/>
      <c r="K14" s="143" t="n"/>
      <c r="L14" s="143" t="n"/>
    </row>
    <row r="15" ht="15" customHeight="1" s="102">
      <c r="A15" s="143" t="n"/>
      <c r="B15" s="143" t="n"/>
      <c r="C15" s="143" t="n"/>
      <c r="D15" s="143" t="n"/>
      <c r="E15" s="143" t="n"/>
      <c r="F15" s="143" t="n"/>
      <c r="G15" s="143" t="n"/>
      <c r="H15" s="143" t="n"/>
      <c r="I15" s="143" t="n"/>
      <c r="J15" s="143" t="n"/>
      <c r="K15" s="143" t="n"/>
      <c r="L15" s="143" t="n"/>
    </row>
    <row r="16" ht="15" customHeight="1" s="102">
      <c r="A16" s="143" t="n"/>
      <c r="B16" s="143" t="n"/>
      <c r="C16" s="143" t="n"/>
      <c r="D16" s="143" t="n"/>
      <c r="E16" s="143" t="n"/>
      <c r="F16" s="143" t="n"/>
      <c r="G16" s="143" t="n"/>
      <c r="H16" s="143" t="n"/>
      <c r="I16" s="143" t="n"/>
      <c r="J16" s="143" t="n"/>
      <c r="K16" s="143" t="n"/>
      <c r="L16" s="143" t="n"/>
    </row>
    <row r="17" ht="15" customHeight="1" s="102">
      <c r="A17" s="143" t="n"/>
      <c r="B17" s="143" t="n"/>
      <c r="C17" s="143" t="n"/>
      <c r="D17" s="143" t="n"/>
      <c r="E17" s="143" t="n"/>
      <c r="F17" s="143" t="n"/>
      <c r="G17" s="143" t="n"/>
      <c r="H17" s="143" t="n"/>
      <c r="I17" s="143" t="n"/>
      <c r="J17" s="143" t="n"/>
      <c r="K17" s="143" t="n"/>
      <c r="L17" s="143" t="n"/>
    </row>
    <row r="18" ht="15" customHeight="1" s="102">
      <c r="A18" s="143" t="n"/>
      <c r="B18" s="143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</row>
    <row r="19" ht="15" customHeight="1" s="102">
      <c r="A19" s="143" t="n"/>
      <c r="B19" s="143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</row>
    <row r="20" ht="15" customHeight="1" s="102">
      <c r="A20" s="143" t="n"/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3" t="n"/>
      <c r="K20" s="143" t="n"/>
      <c r="L20" s="143" t="n"/>
    </row>
    <row r="21" ht="15" customHeight="1" s="102">
      <c r="A21" s="143" t="n"/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</row>
    <row r="22" ht="15" customHeight="1" s="102">
      <c r="A22" s="143" t="n"/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</row>
    <row r="23" ht="15" customHeight="1" s="102">
      <c r="A23" s="143" t="n"/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N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28" min="1" max="1"/>
    <col width="16" customWidth="1" style="128" min="2" max="2"/>
    <col width="9" customWidth="1" style="128" min="3" max="3"/>
    <col width="10" customWidth="1" style="128" min="4" max="5"/>
    <col width="44" customWidth="1" style="128" min="6" max="6"/>
    <col width="12" customWidth="1" style="128" min="7" max="7"/>
    <col width="13" customWidth="1" style="128" min="8" max="9"/>
    <col width="16" customWidth="1" style="128" min="10" max="10"/>
    <col width="13" customWidth="1" style="128" min="11" max="11"/>
    <col width="28" customWidth="1" style="128" min="12" max="12"/>
    <col width="16" customWidth="1" style="128" min="13" max="13"/>
    <col width="13" customWidth="1" style="128" min="14" max="14"/>
  </cols>
  <sheetData>
    <row r="1" ht="25.5" customHeight="1" s="102">
      <c r="A1" s="129" t="inlineStr">
        <is>
          <t>AYARLAR — ÇEK–SENET VE VADE RİSK SİSTEMİ</t>
        </is>
      </c>
    </row>
    <row r="2" ht="19.5" customHeight="1" s="102">
      <c r="A2" s="130" t="inlineStr">
        <is>
          <t>Tüm eşikler, katsayılar ve firma bilgileri tek kaynaktan (SSOT) buradan yönetilir. Her parametrenin kaynağı ve yürürlük tarihi satırında belirtilmiştir. Değerleri değiştirirken alt/üst sınırlara dikkat edin.</t>
        </is>
      </c>
    </row>
    <row r="4" ht="15" customHeight="1" s="102">
      <c r="A4" s="154" t="inlineStr">
        <is>
          <t>FIRMA BİLGİLERİ</t>
        </is>
      </c>
    </row>
    <row r="5" ht="15" customHeight="1" s="102">
      <c r="A5" s="189" t="inlineStr">
        <is>
          <t>Firma Unvanı</t>
        </is>
      </c>
      <c r="B5" s="204" t="inlineStr">
        <is>
          <t>Firma Adı A.Ş.</t>
        </is>
      </c>
    </row>
    <row r="6" ht="15" customHeight="1" s="102">
      <c r="A6" s="189" t="inlineStr">
        <is>
          <t>Vergi Numarası (opsiyonel)</t>
        </is>
      </c>
      <c r="B6" s="204" t="n"/>
    </row>
    <row r="7" ht="15" customHeight="1" s="102">
      <c r="A7" s="189" t="inlineStr">
        <is>
          <t>Rapor Tarihi</t>
        </is>
      </c>
      <c r="B7" s="205" t="n">
        <v>46240</v>
      </c>
    </row>
    <row r="8" ht="15" customHeight="1" s="102">
      <c r="A8" s="189" t="inlineStr">
        <is>
          <t>Para Birimi</t>
        </is>
      </c>
      <c r="B8" s="204" t="inlineStr">
        <is>
          <t>TRY</t>
        </is>
      </c>
    </row>
    <row r="9" ht="15" customHeight="1" s="102">
      <c r="A9" s="189" t="inlineStr">
        <is>
          <t>Dosya Sürümü</t>
        </is>
      </c>
      <c r="B9" s="204" t="inlineStr">
        <is>
          <t>1.0</t>
        </is>
      </c>
    </row>
    <row r="10" ht="15" customHeight="1" s="102">
      <c r="A10" s="189" t="inlineStr">
        <is>
          <t>Lisans Kodu</t>
        </is>
      </c>
      <c r="B10" s="204" t="inlineStr">
        <is>
          <t>EKSRV-2026-CSN-0001</t>
        </is>
      </c>
    </row>
    <row r="12" ht="15" customHeight="1" s="102">
      <c r="A12" s="154" t="inlineStr">
        <is>
          <t>MODEL EŞİKLERİ VE KAYNAK KATMANI</t>
        </is>
      </c>
    </row>
    <row r="13" ht="15" customHeight="1" s="102">
      <c r="A13" s="206" t="inlineStr">
        <is>
          <t>anahtar</t>
        </is>
      </c>
      <c r="B13" s="206" t="inlineStr">
        <is>
          <t>deger</t>
        </is>
      </c>
      <c r="C13" s="206" t="inlineStr">
        <is>
          <t>birim</t>
        </is>
      </c>
      <c r="D13" s="206" t="inlineStr">
        <is>
          <t>alt</t>
        </is>
      </c>
      <c r="E13" s="206" t="inlineStr">
        <is>
          <t>ust</t>
        </is>
      </c>
      <c r="F13" s="206" t="inlineStr">
        <is>
          <t>aciklama</t>
        </is>
      </c>
      <c r="G13" s="206" t="inlineStr">
        <is>
          <t>kaynak</t>
        </is>
      </c>
      <c r="H13" s="206" t="inlineStr">
        <is>
          <t>yururluk_tarihi</t>
        </is>
      </c>
      <c r="I13" s="206" t="inlineStr">
        <is>
          <t>dogrulama_tarihi</t>
        </is>
      </c>
    </row>
    <row r="14" ht="19.5" customHeight="1" s="102">
      <c r="A14" s="189" t="inlineStr">
        <is>
          <t>Serbest Nakit (Banka Mevduatı)</t>
        </is>
      </c>
      <c r="B14" s="207" t="n">
        <v>500000</v>
      </c>
      <c r="C14" s="170" t="inlineStr">
        <is>
          <t>TL</t>
        </is>
      </c>
      <c r="D14" s="169" t="n">
        <v>0</v>
      </c>
      <c r="E14" s="169" t="n">
        <v>1000000000</v>
      </c>
      <c r="F14" s="170" t="inlineStr">
        <is>
          <t>Verilen belgelerin karşılık hesabına giren hazır nakit.</t>
        </is>
      </c>
      <c r="G14" s="208" t="inlineStr">
        <is>
          <t>Varsayım</t>
        </is>
      </c>
      <c r="H14" s="209" t="n">
        <v>46023</v>
      </c>
      <c r="I14" s="209" t="n">
        <v>46240</v>
      </c>
    </row>
    <row r="15" ht="19.5" customHeight="1" s="102">
      <c r="A15" s="189" t="inlineStr">
        <is>
          <t>Haftalık Verilen Belge Eşiği</t>
        </is>
      </c>
      <c r="B15" s="207" t="n">
        <v>750000</v>
      </c>
      <c r="C15" s="170" t="inlineStr">
        <is>
          <t>TL</t>
        </is>
      </c>
      <c r="D15" s="169" t="n">
        <v>0</v>
      </c>
      <c r="E15" s="169" t="n">
        <v>1000000000</v>
      </c>
      <c r="F15" s="170" t="inlineStr">
        <is>
          <t>Tek haftada vadesi gelen verilen belge üst sınırı.</t>
        </is>
      </c>
      <c r="G15" s="208" t="inlineStr">
        <is>
          <t>Varsayım</t>
        </is>
      </c>
      <c r="H15" s="209" t="n">
        <v>46023</v>
      </c>
      <c r="I15" s="209" t="n">
        <v>46240</v>
      </c>
    </row>
    <row r="16" ht="19.5" customHeight="1" s="102">
      <c r="A16" s="189" t="inlineStr">
        <is>
          <t>Karşılık Oranı Eşiği</t>
        </is>
      </c>
      <c r="B16" s="210" t="n">
        <v>1</v>
      </c>
      <c r="C16" s="170" t="inlineStr">
        <is>
          <t>Oran</t>
        </is>
      </c>
      <c r="D16" s="211" t="n">
        <v>0.5</v>
      </c>
      <c r="E16" s="211" t="n">
        <v>2</v>
      </c>
      <c r="F16" s="170" t="inlineStr">
        <is>
          <t>Kaynak / yükümlülük oranı bu değerin altındaysa riskli kabul edilir.</t>
        </is>
      </c>
      <c r="G16" s="208" t="inlineStr">
        <is>
          <t>Varsayım</t>
        </is>
      </c>
      <c r="H16" s="209" t="n">
        <v>46023</v>
      </c>
      <c r="I16" s="209" t="n">
        <v>46240</v>
      </c>
    </row>
    <row r="17" ht="19.5" customHeight="1" s="102">
      <c r="A17" s="189" t="inlineStr">
        <is>
          <t>Riskli Müşteri Skor Eşiği</t>
        </is>
      </c>
      <c r="B17" s="212" t="n">
        <v>60</v>
      </c>
      <c r="C17" s="170" t="inlineStr">
        <is>
          <t>Skor</t>
        </is>
      </c>
      <c r="D17" s="213" t="n">
        <v>0</v>
      </c>
      <c r="E17" s="213" t="n">
        <v>100</v>
      </c>
      <c r="F17" s="170" t="inlineStr">
        <is>
          <t>Tahsilat skoru bu değerin altındaki müşteriler riskli sayılır.</t>
        </is>
      </c>
      <c r="G17" s="208" t="inlineStr">
        <is>
          <t>Varsayım</t>
        </is>
      </c>
      <c r="H17" s="209" t="n">
        <v>46023</v>
      </c>
      <c r="I17" s="209" t="n">
        <v>46240</v>
      </c>
    </row>
    <row r="18" ht="19.5" customHeight="1" s="102">
      <c r="A18" s="189" t="inlineStr">
        <is>
          <t>Vade Geçmişi Uyarı Günü</t>
        </is>
      </c>
      <c r="B18" s="214" t="n">
        <v>7</v>
      </c>
      <c r="C18" s="170" t="inlineStr">
        <is>
          <t>Gün</t>
        </is>
      </c>
      <c r="D18" s="215" t="n">
        <v>0</v>
      </c>
      <c r="E18" s="215" t="n">
        <v>90</v>
      </c>
      <c r="F18" s="170" t="inlineStr">
        <is>
          <t>Vadesi geçmiş belge için operasyon uyarısı eşiği.</t>
        </is>
      </c>
      <c r="G18" s="208" t="inlineStr">
        <is>
          <t>Varsayım</t>
        </is>
      </c>
      <c r="H18" s="209" t="n">
        <v>46023</v>
      </c>
      <c r="I18" s="209" t="n">
        <v>46240</v>
      </c>
    </row>
    <row r="19" ht="19.5" customHeight="1" s="102">
      <c r="A19" s="189" t="inlineStr">
        <is>
          <t>Yuvarlama Toleransı</t>
        </is>
      </c>
      <c r="B19" s="207" t="n">
        <v>1</v>
      </c>
      <c r="C19" s="170" t="inlineStr">
        <is>
          <t>TL</t>
        </is>
      </c>
      <c r="D19" s="169" t="n">
        <v>0</v>
      </c>
      <c r="E19" s="169" t="n">
        <v>100</v>
      </c>
      <c r="F19" s="170" t="inlineStr">
        <is>
          <t>Çapraz toplam kontrollerinde kabul edilebilir fark.</t>
        </is>
      </c>
      <c r="G19" s="208" t="inlineStr">
        <is>
          <t>Varsayım</t>
        </is>
      </c>
      <c r="H19" s="209" t="n">
        <v>46023</v>
      </c>
      <c r="I19" s="209" t="n">
        <v>46240</v>
      </c>
    </row>
    <row r="20" ht="19.5" customHeight="1" s="102">
      <c r="A20" s="189" t="inlineStr">
        <is>
          <t>Tek Müşteri Yoğunlaşma Eşiği</t>
        </is>
      </c>
      <c r="B20" s="210" t="n">
        <v>0.4</v>
      </c>
      <c r="C20" s="170" t="inlineStr">
        <is>
          <t>Oran</t>
        </is>
      </c>
      <c r="D20" s="211" t="n">
        <v>0</v>
      </c>
      <c r="E20" s="211" t="n">
        <v>1</v>
      </c>
      <c r="F20" s="170" t="inlineStr">
        <is>
          <t>Tek müşterinin toplam alınan belge içindeki azami payı.</t>
        </is>
      </c>
      <c r="G20" s="208" t="inlineStr">
        <is>
          <t>Varsayım</t>
        </is>
      </c>
      <c r="H20" s="209" t="n">
        <v>46023</v>
      </c>
      <c r="I20" s="209" t="n">
        <v>46240</v>
      </c>
    </row>
    <row r="21" ht="19.5" customHeight="1" s="102">
      <c r="A21" s="189" t="inlineStr">
        <is>
          <t>Düşük Risk Skor Eşiği</t>
        </is>
      </c>
      <c r="B21" s="212" t="n">
        <v>80</v>
      </c>
      <c r="C21" s="170" t="inlineStr">
        <is>
          <t>Skor</t>
        </is>
      </c>
      <c r="D21" s="213" t="n">
        <v>0</v>
      </c>
      <c r="E21" s="213" t="n">
        <v>100</v>
      </c>
      <c r="F21" s="170" t="inlineStr">
        <is>
          <t>Tahsilat skoru bu değer ve üzeri müşteriler düşük riskli sayılır.</t>
        </is>
      </c>
      <c r="G21" s="208" t="inlineStr">
        <is>
          <t>Varsayım</t>
        </is>
      </c>
      <c r="H21" s="209" t="n">
        <v>46023</v>
      </c>
      <c r="I21" s="209" t="n">
        <v>46240</v>
      </c>
    </row>
    <row r="22" ht="19.5" customHeight="1" s="102">
      <c r="A22" s="189" t="inlineStr">
        <is>
          <t>Yüksek Risk Skor Eşiği</t>
        </is>
      </c>
      <c r="B22" s="212" t="n">
        <v>40</v>
      </c>
      <c r="C22" s="170" t="inlineStr">
        <is>
          <t>Skor</t>
        </is>
      </c>
      <c r="D22" s="213" t="n">
        <v>0</v>
      </c>
      <c r="E22" s="213" t="n">
        <v>100</v>
      </c>
      <c r="F22" s="170" t="inlineStr">
        <is>
          <t>Tahsilat skoru bu değerin altındaki müşteriler yüksek riskli sayılır.</t>
        </is>
      </c>
      <c r="G22" s="208" t="inlineStr">
        <is>
          <t>Varsayım</t>
        </is>
      </c>
      <c r="H22" s="209" t="n">
        <v>46023</v>
      </c>
      <c r="I22" s="209" t="n">
        <v>46240</v>
      </c>
    </row>
    <row r="23" ht="19.5" customHeight="1" s="102">
      <c r="A23" s="189" t="inlineStr">
        <is>
          <t>Veri Kalite Yüksek Eşiği</t>
        </is>
      </c>
      <c r="B23" s="212" t="n">
        <v>80</v>
      </c>
      <c r="C23" s="170" t="inlineStr">
        <is>
          <t>Skor</t>
        </is>
      </c>
      <c r="D23" s="213" t="n">
        <v>0</v>
      </c>
      <c r="E23" s="213" t="n">
        <v>100</v>
      </c>
      <c r="F23" s="170" t="inlineStr">
        <is>
          <t>Veri kalite skoru bu değer ve üzeriyse güven düzeyi YÜKSEK olur.</t>
        </is>
      </c>
      <c r="G23" s="208" t="inlineStr">
        <is>
          <t>Varsayım</t>
        </is>
      </c>
      <c r="H23" s="209" t="n">
        <v>46023</v>
      </c>
      <c r="I23" s="209" t="n">
        <v>46240</v>
      </c>
    </row>
    <row r="24" ht="19.5" customHeight="1" s="102">
      <c r="A24" s="189" t="inlineStr">
        <is>
          <t>Veri Kalite Orta Eşiği</t>
        </is>
      </c>
      <c r="B24" s="212" t="n">
        <v>50</v>
      </c>
      <c r="C24" s="170" t="inlineStr">
        <is>
          <t>Skor</t>
        </is>
      </c>
      <c r="D24" s="213" t="n">
        <v>0</v>
      </c>
      <c r="E24" s="213" t="n">
        <v>100</v>
      </c>
      <c r="F24" s="170" t="inlineStr">
        <is>
          <t>Veri kalite skoru bu değerin üzerindeyse güven düzeyi ORTA olur.</t>
        </is>
      </c>
      <c r="G24" s="208" t="inlineStr">
        <is>
          <t>Varsayım</t>
        </is>
      </c>
      <c r="H24" s="209" t="n">
        <v>46023</v>
      </c>
      <c r="I24" s="209" t="n">
        <v>46240</v>
      </c>
    </row>
    <row r="25" ht="19.5" customHeight="1" s="102">
      <c r="A25" s="189" t="inlineStr">
        <is>
          <t>Haftalık Yoğunluk Uyarı Katsayısı</t>
        </is>
      </c>
      <c r="B25" s="210" t="n">
        <v>0.8</v>
      </c>
      <c r="C25" s="170" t="inlineStr">
        <is>
          <t>Oran</t>
        </is>
      </c>
      <c r="D25" s="211" t="n">
        <v>0.1</v>
      </c>
      <c r="E25" s="211" t="n">
        <v>1</v>
      </c>
      <c r="F25" s="170" t="inlineStr">
        <is>
          <t>Haftalık eşiğin bu katının üzerine çıkan haftalar riskli işaretlenir.</t>
        </is>
      </c>
      <c r="G25" s="208" t="inlineStr">
        <is>
          <t>Varsayım</t>
        </is>
      </c>
      <c r="H25" s="209" t="n">
        <v>46023</v>
      </c>
      <c r="I25" s="209" t="n">
        <v>46240</v>
      </c>
    </row>
    <row r="26" ht="19.5" customHeight="1" s="102">
      <c r="A26" s="189" t="inlineStr">
        <is>
          <t>Yeni Çek Kapasite Oranı Eşiği</t>
        </is>
      </c>
      <c r="B26" s="216" t="n">
        <v>1.2</v>
      </c>
      <c r="C26" s="170" t="inlineStr">
        <is>
          <t>Oran</t>
        </is>
      </c>
      <c r="D26" s="217" t="n">
        <v>1</v>
      </c>
      <c r="E26" s="217" t="n">
        <v>3</v>
      </c>
      <c r="F26" s="170" t="inlineStr">
        <is>
          <t>Karşılık oranı bu değerin üzerindeyse yeni çek kapasitesi NORMAL sayılır.</t>
        </is>
      </c>
      <c r="G26" s="208" t="inlineStr">
        <is>
          <t>Varsayım</t>
        </is>
      </c>
      <c r="H26" s="209" t="n">
        <v>46023</v>
      </c>
      <c r="I26" s="209" t="n">
        <v>46240</v>
      </c>
    </row>
    <row r="27" ht="19.5" customHeight="1" s="102">
      <c r="A27" s="189" t="inlineStr">
        <is>
          <t>Tablo Başlangıç Satırı</t>
        </is>
      </c>
      <c r="B27" s="212" t="n">
        <v>5</v>
      </c>
      <c r="C27" s="170" t="inlineStr">
        <is>
          <t>Adet</t>
        </is>
      </c>
      <c r="D27" s="213" t="n">
        <v>1</v>
      </c>
      <c r="E27" s="213" t="n">
        <v>50</v>
      </c>
      <c r="F27" s="170" t="inlineStr">
        <is>
          <t>Veri tablolarının ilk veri satırı; kimlik formüllerinde başlangıç referansıdır.</t>
        </is>
      </c>
      <c r="G27" s="208" t="inlineStr">
        <is>
          <t>Varsayım</t>
        </is>
      </c>
      <c r="H27" s="209" t="n">
        <v>46023</v>
      </c>
      <c r="I27" s="209" t="n">
        <v>46240</v>
      </c>
    </row>
    <row r="28" ht="19.5" customHeight="1" s="102">
      <c r="A28" s="189" t="inlineStr">
        <is>
          <t>Hafta Uzunluğu (Gün)</t>
        </is>
      </c>
      <c r="B28" s="214" t="n">
        <v>7</v>
      </c>
      <c r="C28" s="170" t="inlineStr">
        <is>
          <t>Gün</t>
        </is>
      </c>
      <c r="D28" s="215" t="n">
        <v>1</v>
      </c>
      <c r="E28" s="215" t="n">
        <v>14</v>
      </c>
      <c r="F28" s="170" t="inlineStr">
        <is>
          <t>Haftalık planlamada kullanılan takvim haftası uzunluğu.</t>
        </is>
      </c>
      <c r="G28" s="208" t="inlineStr">
        <is>
          <t>Varsayım</t>
        </is>
      </c>
      <c r="H28" s="209" t="n">
        <v>46023</v>
      </c>
      <c r="I28" s="209" t="n">
        <v>46240</v>
      </c>
    </row>
    <row r="29" ht="19.5" customHeight="1" s="102">
      <c r="A29" s="189" t="inlineStr">
        <is>
          <t>Hata Ağırlığı</t>
        </is>
      </c>
      <c r="B29" s="212" t="n">
        <v>5</v>
      </c>
      <c r="C29" s="170" t="inlineStr">
        <is>
          <t>Puan</t>
        </is>
      </c>
      <c r="D29" s="213" t="n">
        <v>0</v>
      </c>
      <c r="E29" s="213" t="n">
        <v>20</v>
      </c>
      <c r="F29" s="170" t="inlineStr">
        <is>
          <t>Veri kalite skorunda hafif ihlalin ceza puanı.</t>
        </is>
      </c>
      <c r="G29" s="208" t="inlineStr">
        <is>
          <t>Varsayım</t>
        </is>
      </c>
      <c r="H29" s="209" t="n">
        <v>46023</v>
      </c>
      <c r="I29" s="209" t="n">
        <v>46240</v>
      </c>
    </row>
    <row r="30" ht="19.5" customHeight="1" s="102">
      <c r="A30" s="189" t="inlineStr">
        <is>
          <t>Uyarı Ağırlığı</t>
        </is>
      </c>
      <c r="B30" s="212" t="n">
        <v>10</v>
      </c>
      <c r="C30" s="170" t="inlineStr">
        <is>
          <t>Puan</t>
        </is>
      </c>
      <c r="D30" s="213" t="n">
        <v>0</v>
      </c>
      <c r="E30" s="213" t="n">
        <v>50</v>
      </c>
      <c r="F30" s="170" t="inlineStr">
        <is>
          <t>Veri kalite skorunda ağır ihlalin ceza puanı.</t>
        </is>
      </c>
      <c r="G30" s="208" t="inlineStr">
        <is>
          <t>Varsayım</t>
        </is>
      </c>
      <c r="H30" s="209" t="n">
        <v>46023</v>
      </c>
      <c r="I30" s="209" t="n">
        <v>46240</v>
      </c>
    </row>
    <row r="31" ht="19.5" customHeight="1" s="102">
      <c r="A31" s="189" t="inlineStr">
        <is>
          <t>Maksimum Belge Tutarı</t>
        </is>
      </c>
      <c r="B31" s="218" t="n">
        <v>1000000000</v>
      </c>
      <c r="C31" s="170" t="inlineStr">
        <is>
          <t>TL</t>
        </is>
      </c>
      <c r="D31" s="219" t="n">
        <v>1</v>
      </c>
      <c r="E31" s="219" t="n">
        <v>100000000000</v>
      </c>
      <c r="F31" s="170" t="inlineStr">
        <is>
          <t>Aşırı tutar senaryosu eşiği; üzerindeki belgeler işaretlenir.</t>
        </is>
      </c>
      <c r="G31" s="208" t="inlineStr">
        <is>
          <t>Varsayım</t>
        </is>
      </c>
      <c r="H31" s="209" t="n">
        <v>46023</v>
      </c>
      <c r="I31" s="209" t="n">
        <v>46240</v>
      </c>
    </row>
    <row r="32" ht="19.5" customHeight="1" s="102">
      <c r="A32" s="189" t="inlineStr">
        <is>
          <t>Finansman Maliyeti Oranı</t>
        </is>
      </c>
      <c r="B32" s="210" t="n">
        <v>0.3</v>
      </c>
      <c r="C32" s="170" t="inlineStr">
        <is>
          <t>Oran</t>
        </is>
      </c>
      <c r="D32" s="211" t="n">
        <v>0</v>
      </c>
      <c r="E32" s="211" t="n">
        <v>1</v>
      </c>
      <c r="F32" s="170" t="inlineStr">
        <is>
          <t>Gecikme maliyeti hesabında kullanılan yıllık finansman oranı.</t>
        </is>
      </c>
      <c r="G32" s="208" t="inlineStr">
        <is>
          <t>Varsayım</t>
        </is>
      </c>
      <c r="H32" s="209" t="n">
        <v>46023</v>
      </c>
      <c r="I32" s="209" t="n">
        <v>46240</v>
      </c>
    </row>
    <row r="34" ht="15" customHeight="1" s="102">
      <c r="A34" s="154" t="inlineStr">
        <is>
          <t>RİSK KATSAYILARI (ALINAN BELGELER)</t>
        </is>
      </c>
      <c r="G34" s="208" t="inlineStr">
        <is>
          <t>Varsayım</t>
        </is>
      </c>
      <c r="H34" s="209" t="n">
        <v>46023</v>
      </c>
      <c r="I34" s="209" t="n">
        <v>46240</v>
      </c>
    </row>
    <row r="35" ht="15" customHeight="1" s="102">
      <c r="A35" s="206" t="inlineStr">
        <is>
          <t>Risk Sınıfı</t>
        </is>
      </c>
      <c r="B35" s="206" t="inlineStr">
        <is>
          <t>Katsayı</t>
        </is>
      </c>
      <c r="C35" s="206" t="inlineStr">
        <is>
          <t>Açıklama</t>
        </is>
      </c>
      <c r="G35" s="206" t="inlineStr">
        <is>
          <t>kaynak</t>
        </is>
      </c>
      <c r="H35" s="206" t="inlineStr">
        <is>
          <t>yururluk_tarihi</t>
        </is>
      </c>
      <c r="I35" s="206" t="inlineStr">
        <is>
          <t>dogrulama_tarihi</t>
        </is>
      </c>
    </row>
    <row r="36" ht="18" customHeight="1" s="102">
      <c r="A36" s="189" t="inlineStr">
        <is>
          <t>DÜŞÜK</t>
        </is>
      </c>
      <c r="B36" s="216" t="n">
        <v>0.9</v>
      </c>
      <c r="C36" s="170" t="inlineStr">
        <is>
          <t>Tahsilat geçmişi güçlü, teminatlı veya düşük riskli müşteri belgeleri.</t>
        </is>
      </c>
      <c r="G36" s="208" t="inlineStr">
        <is>
          <t>Varsayım</t>
        </is>
      </c>
      <c r="H36" s="209" t="n">
        <v>46023</v>
      </c>
      <c r="I36" s="209" t="n">
        <v>46240</v>
      </c>
    </row>
    <row r="37" ht="18" customHeight="1" s="102">
      <c r="A37" s="189" t="inlineStr">
        <is>
          <t>ORTA</t>
        </is>
      </c>
      <c r="B37" s="216" t="n">
        <v>0.7</v>
      </c>
      <c r="C37" s="170" t="inlineStr">
        <is>
          <t>Standart tahsilat geçmişi.</t>
        </is>
      </c>
      <c r="G37" s="208" t="inlineStr">
        <is>
          <t>Varsayım</t>
        </is>
      </c>
      <c r="H37" s="209" t="n">
        <v>46023</v>
      </c>
      <c r="I37" s="209" t="n">
        <v>46240</v>
      </c>
    </row>
    <row r="38" ht="18" customHeight="1" s="102">
      <c r="A38" s="189" t="inlineStr">
        <is>
          <t>YÜKSEK</t>
        </is>
      </c>
      <c r="B38" s="216" t="n">
        <v>0.4</v>
      </c>
      <c r="C38" s="170" t="inlineStr">
        <is>
          <t>Zayıf tahsilat skoru, riskli müşteri.</t>
        </is>
      </c>
      <c r="G38" s="208" t="inlineStr">
        <is>
          <t>Varsayım</t>
        </is>
      </c>
      <c r="H38" s="209" t="n">
        <v>46023</v>
      </c>
      <c r="I38" s="209" t="n">
        <v>46240</v>
      </c>
    </row>
    <row r="39" ht="18" customHeight="1" s="102">
      <c r="A39" s="189" t="inlineStr">
        <is>
          <t>KARŞILIKSIZ</t>
        </is>
      </c>
      <c r="B39" s="216" t="n">
        <v>0.1</v>
      </c>
      <c r="C39" s="170" t="inlineStr">
        <is>
          <t>Karşılıksız geçmişi olan belgeler.</t>
        </is>
      </c>
      <c r="G39" s="208" t="inlineStr">
        <is>
          <t>Varsayım</t>
        </is>
      </c>
      <c r="H39" s="209" t="n">
        <v>46023</v>
      </c>
      <c r="I39" s="209" t="n">
        <v>46240</v>
      </c>
    </row>
    <row r="40" ht="18" customHeight="1" s="102">
      <c r="A40" s="189" t="inlineStr">
        <is>
          <t>VERİ YETERSİZ</t>
        </is>
      </c>
      <c r="B40" s="216" t="n">
        <v>0</v>
      </c>
      <c r="C40" s="170" t="inlineStr">
        <is>
          <t>Risk sınıfı tanımlanamayan belgeler.</t>
        </is>
      </c>
      <c r="G40" s="208" t="inlineStr">
        <is>
          <t>Varsayım</t>
        </is>
      </c>
      <c r="H40" s="209" t="n">
        <v>46023</v>
      </c>
      <c r="I40" s="209" t="n">
        <v>46240</v>
      </c>
    </row>
    <row r="42" ht="15" customHeight="1" s="102">
      <c r="J42" s="128" t="inlineStr">
        <is>
          <t>durum_haritasi</t>
        </is>
      </c>
      <c r="K42" s="128" t="inlineStr">
        <is>
          <t>durum_id</t>
        </is>
      </c>
      <c r="L42" s="128" t="inlineStr">
        <is>
          <t>durum_adi</t>
        </is>
      </c>
      <c r="M42" s="128" t="inlineStr">
        <is>
          <t>izinli_sonraki</t>
        </is>
      </c>
      <c r="N42" s="128" t="inlineStr">
        <is>
          <t>kategori</t>
        </is>
      </c>
    </row>
    <row r="43" ht="15" customHeight="1" s="102">
      <c r="J43" s="128" t="inlineStr">
        <is>
          <t>HARITA</t>
        </is>
      </c>
      <c r="K43" s="128" t="inlineStr">
        <is>
          <t>ACIK</t>
        </is>
      </c>
      <c r="L43" s="128" t="inlineStr">
        <is>
          <t>Açık</t>
        </is>
      </c>
      <c r="M43" s="128" t="inlineStr">
        <is>
          <t>ISLEMDE</t>
        </is>
      </c>
      <c r="N43" s="128" t="inlineStr">
        <is>
          <t>acik</t>
        </is>
      </c>
    </row>
    <row r="44" ht="15" customHeight="1" s="102">
      <c r="J44" s="128" t="inlineStr">
        <is>
          <t>HARITA</t>
        </is>
      </c>
      <c r="K44" s="128" t="inlineStr">
        <is>
          <t>ISLEMDE</t>
        </is>
      </c>
      <c r="L44" s="128" t="inlineStr">
        <is>
          <t>İşlemde</t>
        </is>
      </c>
      <c r="M44" s="128" t="inlineStr">
        <is>
          <t>KAPALI</t>
        </is>
      </c>
      <c r="N44" s="128" t="inlineStr">
        <is>
          <t>acik</t>
        </is>
      </c>
    </row>
    <row r="45" ht="15" customHeight="1" s="102">
      <c r="J45" s="128" t="inlineStr">
        <is>
          <t>HARITA</t>
        </is>
      </c>
      <c r="K45" s="128" t="inlineStr">
        <is>
          <t>KAPALI</t>
        </is>
      </c>
      <c r="L45" s="128" t="inlineStr">
        <is>
          <t>Kapalı</t>
        </is>
      </c>
      <c r="M45" s="128" t="inlineStr">
        <is>
          <t>-</t>
        </is>
      </c>
      <c r="N45" s="128" t="inlineStr">
        <is>
          <t>kapali</t>
        </is>
      </c>
    </row>
    <row r="46" ht="15" customHeight="1" s="102">
      <c r="J46" s="128" t="inlineStr">
        <is>
          <t>HARITA</t>
        </is>
      </c>
      <c r="K46" s="128" t="inlineStr">
        <is>
          <t>GECERSIZ</t>
        </is>
      </c>
      <c r="L46" s="128" t="inlineStr">
        <is>
          <t>Geçersiz geçiş uyarısı</t>
        </is>
      </c>
      <c r="M46" s="128" t="inlineStr">
        <is>
          <t>-</t>
        </is>
      </c>
      <c r="N46" s="128" t="inlineStr">
        <is>
          <t>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L1"/>
  </mergeCells>
  <dataValidations count="20">
    <dataValidation sqref="B14" showDropDown="0" showInputMessage="1" showErrorMessage="1" allowBlank="0" error="Değer 0 ile 1000000000 arasında olmalıdır." promptTitle="Serbest Nakit (Banka Mevduatı)" prompt="Verilen belgelerin karşılık hesabına giren hazır nakit." type="decimal" errorStyle="stop" operator="between">
      <formula1>0</formula1>
      <formula2>1000000000</formula2>
    </dataValidation>
    <dataValidation sqref="B15" showDropDown="0" showInputMessage="1" showErrorMessage="1" allowBlank="0" error="Değer 0 ile 1000000000 arasında olmalıdır." promptTitle="Haftalık Verilen Belge Eşiği" prompt="Tek haftada vadesi gelen verilen belge üst sınırı." type="decimal" errorStyle="stop" operator="between">
      <formula1>0</formula1>
      <formula2>1000000000</formula2>
    </dataValidation>
    <dataValidation sqref="B16" showDropDown="0" showInputMessage="1" showErrorMessage="1" allowBlank="0" error="Değer 0.5 ile 2.0 arasında olmalıdır." promptTitle="Karşılık Oranı Eşiği" prompt="Kaynak / yükümlülük oranı bu değerin altındaysa riskli kabul edilir." type="decimal" errorStyle="stop" operator="between">
      <formula1>0.5</formula1>
      <formula2>2</formula2>
    </dataValidation>
    <dataValidation sqref="B17" showDropDown="0" showInputMessage="1" showErrorMessage="1" allowBlank="0" error="Değer 0 ile 100 arasında olmalıdır." promptTitle="Riskli Müşteri Skor Eşiği" prompt="Tahsilat skoru bu değerin altındaki müşteriler riskli sayılır." type="decimal" errorStyle="stop" operator="between">
      <formula1>0</formula1>
      <formula2>100</formula2>
    </dataValidation>
    <dataValidation sqref="B18" showDropDown="0" showInputMessage="1" showErrorMessage="1" allowBlank="0" error="Değer 0 ile 90 arasında olmalıdır." promptTitle="Vade Geçmişi Uyarı Günü" prompt="Vadesi geçmiş belge için operasyon uyarısı eşiği." type="decimal" errorStyle="stop" operator="between">
      <formula1>0</formula1>
      <formula2>90</formula2>
    </dataValidation>
    <dataValidation sqref="B19" showDropDown="0" showInputMessage="1" showErrorMessage="1" allowBlank="0" error="Değer 0 ile 100 arasında olmalıdır." promptTitle="Yuvarlama Toleransı" prompt="Çapraz toplam kontrollerinde kabul edilebilir fark." type="decimal" errorStyle="stop" operator="between">
      <formula1>0</formula1>
      <formula2>100</formula2>
    </dataValidation>
    <dataValidation sqref="B20" showDropDown="0" showInputMessage="1" showErrorMessage="1" allowBlank="0" error="Değer 0 ile 1 arasında olmalıdır." promptTitle="Tek Müşteri Yoğunlaşma Eşiği" prompt="Tek müşterinin toplam alınan belge içindeki azami payı." type="decimal" errorStyle="stop" operator="between">
      <formula1>0</formula1>
      <formula2>1</formula2>
    </dataValidation>
    <dataValidation sqref="B21" showDropDown="0" showInputMessage="1" showErrorMessage="1" allowBlank="0" error="Değer 0 ile 100 arasında olmalıdır." promptTitle="Düşük Risk Skor Eşiği" prompt="Tahsilat skoru bu değer ve üzeri müşteriler düşük riskli sayılır." type="decimal" errorStyle="stop" operator="between">
      <formula1>0</formula1>
      <formula2>100</formula2>
    </dataValidation>
    <dataValidation sqref="B22" showDropDown="0" showInputMessage="1" showErrorMessage="1" allowBlank="0" error="Değer 0 ile 100 arasında olmalıdır." promptTitle="Yüksek Risk Skor Eşiği" prompt="Tahsilat skoru bu değerin altındaki müşteriler yüksek riskli sayılır." type="decimal" errorStyle="stop" operator="between">
      <formula1>0</formula1>
      <formula2>100</formula2>
    </dataValidation>
    <dataValidation sqref="B23" showDropDown="0" showInputMessage="1" showErrorMessage="1" allowBlank="0" error="Değer 0 ile 100 arasında olmalıdır." promptTitle="Veri Kalite Yüksek Eşiği" prompt="Veri kalite skoru bu değer ve üzeriyse güven düzeyi YÜKSEK olur." type="decimal" errorStyle="stop" operator="between">
      <formula1>0</formula1>
      <formula2>100</formula2>
    </dataValidation>
    <dataValidation sqref="B24" showDropDown="0" showInputMessage="1" showErrorMessage="1" allowBlank="0" error="Değer 0 ile 100 arasında olmalıdır." promptTitle="Veri Kalite Orta Eşiği" prompt="Veri kalite skoru bu değerin üzerindeyse güven düzeyi ORTA olur." type="decimal" errorStyle="stop" operator="between">
      <formula1>0</formula1>
      <formula2>100</formula2>
    </dataValidation>
    <dataValidation sqref="B25" showDropDown="0" showInputMessage="1" showErrorMessage="1" allowBlank="0" error="Değer 0.1 ile 1 arasında olmalıdır." promptTitle="Haftalık Yoğunluk Uyarı Katsayısı" prompt="Haftalık eşiğin bu katının üzerine çıkan haftalar riskli işaretlenir." type="decimal" errorStyle="stop" operator="between">
      <formula1>0.1</formula1>
      <formula2>1</formula2>
    </dataValidation>
    <dataValidation sqref="B26" showDropDown="0" showInputMessage="1" showErrorMessage="1" allowBlank="0" error="Değer 1 ile 3 arasında olmalıdır." promptTitle="Yeni Çek Kapasite Oranı Eşiği" prompt="Karşılık oranı bu değerin üzerindeyse yeni çek kapasitesi NORMAL sayılır." type="decimal" errorStyle="stop" operator="between">
      <formula1>1</formula1>
      <formula2>3</formula2>
    </dataValidation>
    <dataValidation sqref="B27" showDropDown="0" showInputMessage="1" showErrorMessage="1" allowBlank="0" error="Değer 1 ile 50 arasında olmalıdır." promptTitle="Tablo Başlangıç Satırı" prompt="Veri tablolarının ilk veri satırı; kimlik formüllerinde başlangıç referansıdır." type="decimal" errorStyle="stop" operator="between">
      <formula1>1</formula1>
      <formula2>50</formula2>
    </dataValidation>
    <dataValidation sqref="B28" showDropDown="0" showInputMessage="1" showErrorMessage="1" allowBlank="0" error="Değer 1 ile 14 arasında olmalıdır." promptTitle="Hafta Uzunluğu (Gün)" prompt="Haftalık planlamada kullanılan takvim haftası uzunluğu." type="decimal" errorStyle="stop" operator="between">
      <formula1>1</formula1>
      <formula2>14</formula2>
    </dataValidation>
    <dataValidation sqref="B29" showDropDown="0" showInputMessage="1" showErrorMessage="1" allowBlank="0" error="Değer 0 ile 20 arasında olmalıdır." promptTitle="Hata Ağırlığı" prompt="Veri kalite skorunda hafif ihlalin ceza puanı." type="decimal" errorStyle="stop" operator="between">
      <formula1>0</formula1>
      <formula2>20</formula2>
    </dataValidation>
    <dataValidation sqref="B30" showDropDown="0" showInputMessage="1" showErrorMessage="1" allowBlank="0" error="Değer 0 ile 50 arasında olmalıdır." promptTitle="Uyarı Ağırlığı" prompt="Veri kalite skorunda ağır ihlalin ceza puanı." type="decimal" errorStyle="stop" operator="between">
      <formula1>0</formula1>
      <formula2>50</formula2>
    </dataValidation>
    <dataValidation sqref="B31" showDropDown="0" showInputMessage="1" showErrorMessage="1" allowBlank="0" error="Değer 1 ile 100000000000 arasında olmalıdır." promptTitle="Maksimum Belge Tutarı" prompt="Aşırı tutar senaryosu eşiği; üzerindeki belgeler işaretlenir." type="decimal" errorStyle="stop" operator="between">
      <formula1>1</formula1>
      <formula2>100000000000</formula2>
    </dataValidation>
    <dataValidation sqref="B32" showDropDown="0" showInputMessage="1" showErrorMessage="1" allowBlank="0" error="Değer 0 ile 1 arasında olmalıdır." promptTitle="Finansman Maliyeti Oranı" prompt="Gecikme maliyeti hesabında kullanılan yıllık finansman oranı." type="decimal" errorStyle="stop" operator="between">
      <formula1>0</formula1>
      <formula2>1</formula2>
    </dataValidation>
    <dataValidation sqref="B36:B40" showDropDown="0" showInputMessage="1" showErrorMessage="1" allowBlank="0" error="Katsayı 0 ile 1 arasında olmalıdır." promptTitle="Risk Katsayısı" prompt="Risk sınıfının ağırlık katsayısı 0 ile 1 arasında olmalıdır; değişiklik yalnızca ileri düzey kullanıcılar içindir." type="whole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L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25.5" customHeight="1" s="102">
      <c r="A1" s="129" t="inlineStr">
        <is>
          <t>KILAVUZ — ÇEK–SENET VE VADE RİSK SİSTEMİ</t>
        </is>
      </c>
    </row>
    <row r="2" ht="18" customHeight="1" s="102">
      <c r="A2" s="220" t="inlineStr">
        <is>
          <t>ÇEK–SENET VE VADE RİSK SİSTEMİ — KULLANIM KILAVUZU</t>
        </is>
      </c>
    </row>
    <row r="4" ht="19.5" customHeight="1" s="102">
      <c r="A4" s="221" t="inlineStr">
        <is>
          <t>ÜRÜNÜN AMACI</t>
        </is>
      </c>
    </row>
    <row r="5" ht="33.75" customHeight="1" s="102">
      <c r="A5" s="178" t="inlineStr">
        <is>
          <t>Alınan ve verilen çek/senetleri tek vade takviminde birleştirir; hangi tarihte ödeme yoğunlaşması ve karşılık açığı oluşacağını gösterir. Risk ağırlıklı tahsil değeri ve karşılık yeterliliği otomatik hesaplanır, yöneticiye uygulanabilir aksiyon önerir.</t>
        </is>
      </c>
    </row>
    <row r="6" ht="15" customHeight="1" s="102"/>
    <row r="8" ht="19.5" customHeight="1" s="102">
      <c r="A8" s="221" t="inlineStr">
        <is>
          <t>KİMLER İÇİN</t>
        </is>
      </c>
    </row>
    <row r="9" ht="33.75" customHeight="1" s="102">
      <c r="A9" s="178" t="inlineStr">
        <is>
          <t>KOBİ sahipleri, finans müdürleri, muhasebe ve iç kontrol birimleri, danışmanlar ve hazine yöneticileri.</t>
        </is>
      </c>
    </row>
    <row r="10" ht="15" customHeight="1" s="102"/>
    <row r="12" ht="19.5" customHeight="1" s="102">
      <c r="A12" s="221" t="inlineStr">
        <is>
          <t>BEŞ ADIMLI KULLANIM AKIŞI</t>
        </is>
      </c>
    </row>
    <row r="13" ht="33.75" customHeight="1" s="102">
      <c r="A13" s="178" t="inlineStr">
        <is>
          <t>1) AYARLAR sayfasında firma bilgileri ve eşikleri güncelleyin.
2) CARI_KARTLARI sayfasına müşteri/tedarikçi kartlarını girin.
3) CEK_SENET_KAYIT sayfasına belgeleri girin (sarı hücreler).
4) Ciro, tahsil ve durum hareketlerini ilgili sayfalarda işleyin.
5) PANO ve RAPOR sayfalarından kararı inceleyin; RAPOR'u PDF olarak yazdırın.</t>
        </is>
      </c>
    </row>
    <row r="14" ht="15" customHeight="1" s="102"/>
    <row r="16" ht="19.5" customHeight="1" s="102">
      <c r="A16" s="221" t="inlineStr">
        <is>
          <t>RENK KODLARI</t>
        </is>
      </c>
    </row>
    <row r="17" ht="33.75" customHeight="1" s="102">
      <c r="A17" s="178" t="inlineStr">
        <is>
          <t>Açık sarı zemin + mavi yazı = manuel veri girişi.
Yeşil yazı = formül, başka sayfadan veri çeker (elle düzenlemeyin).
Kırmızı = kritik risk / hata. Turuncu = riskli. Sarı = izleme. Yeşil = normal.
Koyu lacivert bant = sayfa başlığı.</t>
        </is>
      </c>
    </row>
    <row r="18" ht="15" customHeight="1" s="102"/>
    <row r="20" ht="19.5" customHeight="1" s="102">
      <c r="A20" s="221" t="inlineStr">
        <is>
          <t>VERİ GİRİŞ SIKLIĞI</t>
        </is>
      </c>
    </row>
    <row r="21" ht="33.75" customHeight="1" s="102">
      <c r="A21" s="178" t="inlineStr">
        <is>
          <t>Belge girişleri günlük, durum güncellemeleri vade yaklaşırken günlük, eşik değerleri aylık gözden geçirilmelidir.</t>
        </is>
      </c>
    </row>
    <row r="22" ht="15" customHeight="1" s="102"/>
    <row r="24" ht="19.5" customHeight="1" s="102">
      <c r="A24" s="221" t="inlineStr">
        <is>
          <t>DÖNEM KAPATMA</t>
        </is>
      </c>
    </row>
    <row r="25" ht="33.75" customHeight="1" s="102">
      <c r="A25" s="178" t="inlineStr">
        <is>
          <t>AYARLAR sayfasındaki Rapor Tarihi, rapor döneminin son gününe getirilir. Son durumlar ve tahsil bilgileri güncellenmeden dönem kapatılmaz.</t>
        </is>
      </c>
    </row>
    <row r="26" ht="15" customHeight="1" s="102"/>
    <row r="28" ht="19.5" customHeight="1" s="102">
      <c r="A28" s="221" t="inlineStr">
        <is>
          <t>DEMO VERİ KULLANIMI</t>
        </is>
      </c>
    </row>
    <row r="29" ht="33.75" customHeight="1" s="102">
      <c r="A29" s="178" t="inlineStr">
        <is>
          <t>Çalışma kitabı örnek KOBİ verisiyle dolu gelir; PANO ve RAPOR ilk açılışta sonuç gösterir. Kendi verinize geçmek için sarı giriş hücrelerini silin veya tablo satırlarını temizleyin. ORNEK_VERI (gizli) sayfası yedek kayıttır.</t>
        </is>
      </c>
    </row>
    <row r="30" ht="15" customHeight="1" s="102"/>
    <row r="32" ht="19.5" customHeight="1" s="102">
      <c r="A32" s="221" t="inlineStr">
        <is>
          <t>MODELİN SINIRLARI</t>
        </is>
      </c>
    </row>
    <row r="33" ht="33.75" customHeight="1" s="102">
      <c r="A33" s="178" t="inlineStr">
        <is>
          <t>Model, girilen verinin kalitesi kadar doğrudur. Risk ağırlıkları ve eşikler varsayımdır; AYARLAR'dan değiştirilebilir. Vergi, faiz ve yasal oranlar kullanıcı tarafından güncellenmelidir.</t>
        </is>
      </c>
    </row>
    <row r="34" ht="15" customHeight="1" s="102"/>
    <row r="36" ht="19.5" customHeight="1" s="102">
      <c r="A36" s="221" t="inlineStr">
        <is>
          <t>YASAL SORUMLULUK UYARISI</t>
        </is>
      </c>
    </row>
    <row r="37" ht="33.75" customHeight="1" s="102">
      <c r="A37" s="178" t="inlineStr">
        <is>
          <t>Bu çalışma kitabı karar destek aracıdır; kesin kredi onayı, hukuki sonuç veya vergi doğruluğu garantisi vermez. Profesyonel muhakeme ile birlikte kullanınız.</t>
        </is>
      </c>
    </row>
    <row r="38" ht="15" customHeight="1" s="102"/>
    <row r="40" ht="19.5" customHeight="1" s="102">
      <c r="A40" s="221" t="inlineStr">
        <is>
          <t>SÜRÜM VE GÜNCELLEME</t>
        </is>
      </c>
    </row>
    <row r="41" ht="33.75" customHeight="1" s="102">
      <c r="A41" s="178" t="inlineStr">
        <is>
          <t>Sürüm: 1.0 | Güncelleme tarihi: 06.08.2026 | Üretici: ExcelArşiv.com</t>
        </is>
      </c>
    </row>
    <row r="42" ht="15" customHeight="1" s="102"/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2">
    <mergeCell ref="A32:J32"/>
    <mergeCell ref="A8:J8"/>
    <mergeCell ref="A4:J4"/>
    <mergeCell ref="A20:J20"/>
    <mergeCell ref="A28:J28"/>
    <mergeCell ref="A41:J42"/>
    <mergeCell ref="A40:J40"/>
    <mergeCell ref="A25:J26"/>
    <mergeCell ref="A24:J24"/>
    <mergeCell ref="A37:J38"/>
    <mergeCell ref="A21:J22"/>
    <mergeCell ref="A5:J6"/>
    <mergeCell ref="A36:J36"/>
    <mergeCell ref="A17:J18"/>
    <mergeCell ref="A13:J14"/>
    <mergeCell ref="A2:K2"/>
    <mergeCell ref="A33:J34"/>
    <mergeCell ref="A29:J30"/>
    <mergeCell ref="A16:J16"/>
    <mergeCell ref="A1:L1"/>
    <mergeCell ref="A9:J10"/>
    <mergeCell ref="A12:J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2026-08-10T09:53:53Z</dcterms:created>
  <dcterms:modified xmlns:dcterms="http://purl.org/dc/terms/" xmlns:xsi="http://www.w3.org/2001/XMLSchema-instance" xsi:type="dcterms:W3CDTF">2026-09-25T14:12:48Z</dcterms:modified>
  <cp:revision>0</cp:revision>
</cp:coreProperties>
</file>