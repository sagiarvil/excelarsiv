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KURALLAR" sheetId="4" state="visible" r:id="rId4"/>
    <sheet name="MOTOR" sheetId="5" state="visible" r:id="rId5"/>
    <sheet name="SENARYO" sheetId="6" state="visible" r:id="rId6"/>
    <sheet name="PAN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6">'PANO'!$A$1:$F$34</definedName>
    <definedName name="_xlnm.Print_Area" localSheetId="8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Kalem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Toplam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Toplam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Harç Masraf AAÜT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Mahkeme Türü Payı</a:t>
            </a:r>
          </a:p>
        </rich>
      </tx>
    </title>
    <plotArea>
      <pieChart>
        <varyColors val="1"/>
        <ser>
          <idx val="0"/>
          <order val="0"/>
          <tx>
            <strRef>
              <f>'PANO'!E30</f>
            </strRef>
          </tx>
          <spPr>
            <a:ln>
              <a:prstDash val="solid"/>
            </a:ln>
          </spPr>
          <cat>
            <numRef>
              <f>'PANO'!$D$31:$D$35</f>
            </numRef>
          </cat>
          <val>
            <numRef>
              <f>'PANO'!$E$31:$E$35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B2838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Dava Masraf &amp; Harç Hesaplama Motoru</t>
        </is>
      </c>
    </row>
    <row r="3">
      <c r="A3" s="3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Dava Masraf &amp; Harç Hesaplama Motoru</t>
        </is>
      </c>
    </row>
    <row r="3">
      <c r="A3" s="10" t="inlineStr">
        <is>
          <t>3 adımda masraf/harç hesabı</t>
        </is>
      </c>
    </row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Dava Masraf &amp; Harç Hesaplama Motoru</t>
        </is>
      </c>
    </row>
    <row r="3">
      <c r="A3" s="14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26" customHeight="1">
      <c r="A1" s="1" t="inlineStr">
        <is>
          <t>KURALLAR — Dava Masraf &amp; Harç Hesaplama Motoru</t>
        </is>
      </c>
    </row>
    <row r="3">
      <c r="A3" s="14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Dava Masraf &amp; Harç Hesaplama Motoru</t>
        </is>
      </c>
    </row>
    <row r="3">
      <c r="A3" s="1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22" customWidth="1" min="5" max="5"/>
  </cols>
  <sheetData>
    <row r="1" ht="26" customHeight="1">
      <c r="A1" s="1" t="inlineStr">
        <is>
          <t>SENARYO — Dava Masraf &amp; Harç Hesaplama Motoru</t>
        </is>
      </c>
    </row>
    <row r="3">
      <c r="A3" s="14" t="inlineStr">
        <is>
          <t>Senaryo ve duyarlılık</t>
        </is>
      </c>
    </row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B2838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Dava Masraf &amp; Harç Hesaplama Motoru</t>
        </is>
      </c>
    </row>
    <row r="3">
      <c r="A3" s="10" t="inlineStr">
        <is>
          <t>Yönetim paneli — Masraf/Harç/AAÜT</t>
        </is>
      </c>
      <c r="B3" s="43" t="inlineStr">
        <is>
          <t>Harç</t>
        </is>
      </c>
      <c r="C3" s="43" t="inlineStr">
        <is>
          <t>Masraf</t>
        </is>
      </c>
      <c r="D3" s="43" t="inlineStr">
        <is>
          <t>AAÜT</t>
        </is>
      </c>
      <c r="E3" s="43" t="inlineStr">
        <is>
          <t>Toplam</t>
        </is>
      </c>
      <c r="F3" s="43" t="inlineStr">
        <is>
          <t>Bütçe %</t>
        </is>
      </c>
      <c r="G3" s="43" t="inlineStr">
        <is>
          <t>Güven</t>
        </is>
      </c>
      <c r="H3" s="43" t="inlineStr">
        <is>
          <t>Risk</t>
        </is>
      </c>
      <c r="I3" s="43" t="inlineStr">
        <is>
          <t>Dava değeri</t>
        </is>
      </c>
      <c r="J3" s="43" t="inlineStr">
        <is>
          <t>Kalem %</t>
        </is>
      </c>
      <c r="K3" s="43" t="inlineStr">
        <is>
          <t>M-SEN</t>
        </is>
      </c>
      <c r="L3" s="43" t="inlineStr">
        <is>
          <t>Tahmin bant</t>
        </is>
      </c>
      <c r="M3" s="43" t="inlineStr">
        <is>
          <t>Vaka</t>
        </is>
      </c>
    </row>
    <row r="4">
      <c r="B4" s="44">
        <f>IFERROR(MOTOR!G30,0)</f>
        <v/>
      </c>
      <c r="C4" s="44">
        <f>IFERROR(MOTOR!G34,0)</f>
        <v/>
      </c>
      <c r="D4" s="44">
        <f>IFERROR(MOTOR!G35,0)</f>
        <v/>
      </c>
      <c r="E4" s="44">
        <f>IFERROR(dmh_genelToplam,0)</f>
        <v/>
      </c>
      <c r="F4" s="45">
        <f>IFERROR(MOTOR!G37,0)</f>
        <v/>
      </c>
      <c r="G4" s="46">
        <f>IFERROR(MOTOR!G44,0)</f>
        <v/>
      </c>
      <c r="H4" s="46">
        <f>IFERROR(MOTOR!G45,0)</f>
        <v/>
      </c>
      <c r="I4" s="44">
        <f>IFERROR(MOTOR!G18,0)</f>
        <v/>
      </c>
      <c r="J4" s="45">
        <f>IFERROR(MOTOR!G43,0)</f>
        <v/>
      </c>
      <c r="K4" s="44">
        <f>IFERROR(dmh_kuralDegisimSenaryo,0)</f>
        <v/>
      </c>
      <c r="L4" s="44">
        <f>IFERROR(SENARYO!B32,0)</f>
        <v/>
      </c>
      <c r="M4" s="47">
        <f>IFERROR(dmh_vakaDurum,"-")</f>
        <v/>
      </c>
    </row>
    <row r="6">
      <c r="A6" s="10" t="inlineStr">
        <is>
          <t>KARAR</t>
        </is>
      </c>
      <c r="B6" s="48">
        <f>dmh_kararMetni</f>
        <v/>
      </c>
    </row>
    <row r="7">
      <c r="A7" s="21" t="inlineStr">
        <is>
          <t>Gerekçe</t>
        </is>
      </c>
      <c r="B7" s="31">
        <f>dmh_kararGerekce</f>
        <v/>
      </c>
    </row>
    <row r="9">
      <c r="A9" s="5" t="inlineStr">
        <is>
          <t>Analitik modüller</t>
        </is>
      </c>
    </row>
    <row r="10" ht="30" customHeight="1">
      <c r="A10" s="23" t="inlineStr">
        <is>
          <t>Kod</t>
        </is>
      </c>
      <c r="B10" s="23" t="inlineStr">
        <is>
          <t>Gösterge</t>
        </is>
      </c>
      <c r="C10" s="23" t="inlineStr">
        <is>
          <t>Değer</t>
        </is>
      </c>
      <c r="D10" s="23" t="inlineStr">
        <is>
          <t>Makine Yorumu</t>
        </is>
      </c>
    </row>
    <row r="11" ht="28" customHeight="1">
      <c r="A11" s="35" t="inlineStr">
        <is>
          <t>T1</t>
        </is>
      </c>
      <c r="B11" s="8" t="inlineStr">
        <is>
          <t>Toplam / dava değeri</t>
        </is>
      </c>
      <c r="C11" s="30">
        <f>IFERROR(IF(MOTOR!G18=0,0,dmh_genelToplam/MOTOR!G18),0)</f>
        <v/>
      </c>
      <c r="D11" s="31">
        <f>_xlfn.TEXTJOIN("; ",TRUE,"Yük oranı ",TEXT(C11,"0.0%")," — toplam/dava")</f>
        <v/>
      </c>
    </row>
    <row r="12" ht="28" customHeight="1">
      <c r="A12" s="35" t="inlineStr">
        <is>
          <t>T2</t>
        </is>
      </c>
      <c r="B12" s="8" t="inlineStr">
        <is>
          <t>Harç payı</t>
        </is>
      </c>
      <c r="C12" s="30">
        <f>IFERROR(MOTOR!G41,0)</f>
        <v/>
      </c>
      <c r="D12" s="31">
        <f>_xlfn.TEXTJOIN("; ",TRUE,"Harç payı ",TEXT(C12,"0.0%"))</f>
        <v/>
      </c>
    </row>
    <row r="13" ht="28" customHeight="1">
      <c r="A13" s="35" t="inlineStr">
        <is>
          <t>O1</t>
        </is>
      </c>
      <c r="B13" s="8" t="inlineStr">
        <is>
          <t>Senaryo tutar sapması</t>
        </is>
      </c>
      <c r="C13" s="38">
        <f>IFERROR(IF(COUNT(SENARYO!C6:C9)&lt;2,0,STDEV.P(SENARYO!C6:C9)),0)</f>
        <v/>
      </c>
      <c r="D13" s="31">
        <f>_xlfn.TEXTJOIN("; ",TRUE,"Sapma ",TEXT(C13,"₺ #,##0"))</f>
        <v/>
      </c>
    </row>
    <row r="14" ht="28" customHeight="1">
      <c r="A14" s="35" t="inlineStr">
        <is>
          <t>O2</t>
        </is>
      </c>
      <c r="B14" s="8" t="inlineStr">
        <is>
          <t>Tornado max etki</t>
        </is>
      </c>
      <c r="C14" s="39">
        <f>IFERROR(dmh_duyarlilikSira,"-")</f>
        <v/>
      </c>
      <c r="D14" s="31">
        <f>IFERROR(dmh_yorumDuyarlilik,"-")</f>
        <v/>
      </c>
    </row>
    <row r="15" ht="28" customHeight="1">
      <c r="A15" s="35" t="inlineStr">
        <is>
          <t>O3</t>
        </is>
      </c>
      <c r="B15" s="8" t="inlineStr">
        <is>
          <t>Senaryo bant</t>
        </is>
      </c>
      <c r="C15" s="38">
        <f>IFERROR(dmh_senaryoKarsilastirma,0)</f>
        <v/>
      </c>
      <c r="D15" s="31">
        <f>IFERROR(dmh_yorumSenaryo,"-")</f>
        <v/>
      </c>
    </row>
    <row r="16" ht="28" customHeight="1">
      <c r="A16" s="35" t="inlineStr">
        <is>
          <t>O6</t>
        </is>
      </c>
      <c r="B16" s="8" t="inlineStr">
        <is>
          <t>Kalem tamamlanma</t>
        </is>
      </c>
      <c r="C16" s="30">
        <f>IFERROR(MOTOR!G43,0)</f>
        <v/>
      </c>
      <c r="D16" s="31">
        <f>_xlfn.TEXTJOIN("; ",TRUE,"Kalem tamamlanma ",TEXT(C16,"0.0%"))</f>
        <v/>
      </c>
    </row>
    <row r="17" ht="28" customHeight="1">
      <c r="A17" s="35" t="inlineStr">
        <is>
          <t>O8</t>
        </is>
      </c>
      <c r="B17" s="8" t="inlineStr">
        <is>
          <t>Kalite skoru</t>
        </is>
      </c>
      <c r="C17" s="22">
        <f>IFERROR(KONTROLLER!B12,0)</f>
        <v/>
      </c>
      <c r="D17" s="31">
        <f>_xlfn.TEXTJOIN("; ",TRUE,"Kalite ",TEXT(C17,"0")," puan")</f>
        <v/>
      </c>
    </row>
    <row r="18" ht="28" customHeight="1">
      <c r="A18" s="35" t="inlineStr">
        <is>
          <t>M</t>
        </is>
      </c>
      <c r="B18" s="8" t="inlineStr">
        <is>
          <t>M-SEN toplam</t>
        </is>
      </c>
      <c r="C18" s="38">
        <f>IFERROR(dmh_kuralDegisimSenaryo,0)</f>
        <v/>
      </c>
      <c r="D18" s="31">
        <f>IFERROR(dmh_yorumKuralDegisim,"-")</f>
        <v/>
      </c>
    </row>
    <row r="19" ht="28" customHeight="1">
      <c r="A19" s="35" t="inlineStr">
        <is>
          <t>I1</t>
        </is>
      </c>
      <c r="B19" s="8" t="inlineStr">
        <is>
          <t>Tahmin aralık</t>
        </is>
      </c>
      <c r="C19" s="38">
        <f>IFERROR(dmh_tahminAralik,0)</f>
        <v/>
      </c>
      <c r="D19" s="31">
        <f>IFERROR(dmh_yorumTahmin,"-")</f>
        <v/>
      </c>
    </row>
    <row r="20" ht="28" customHeight="1">
      <c r="A20" s="35" t="inlineStr">
        <is>
          <t>I2</t>
        </is>
      </c>
      <c r="B20" s="8" t="inlineStr">
        <is>
          <t>Senaryo tutar P90</t>
        </is>
      </c>
      <c r="C20" s="38">
        <f>IFERROR(IF(COUNT(SENARYO!C6:C9)&lt;2,0,_xlfn.PERCENTILE.INC(SENARYO!C6:C9,dmh_yuzdelikOran)),0)</f>
        <v/>
      </c>
      <c r="D20" s="31">
        <f>_xlfn.TEXTJOIN("; ",TRUE,"P90 toplam ",TEXT(C20,"₺ #,##0")," ")</f>
        <v/>
      </c>
    </row>
    <row r="23">
      <c r="A23" s="21" t="inlineStr">
        <is>
          <t>Kalem</t>
        </is>
      </c>
      <c r="B23" s="21" t="inlineStr">
        <is>
          <t>Tutar</t>
        </is>
      </c>
      <c r="D23" s="21" t="inlineStr">
        <is>
          <t>Senaryo</t>
        </is>
      </c>
      <c r="E23" s="21" t="inlineStr">
        <is>
          <t>Toplam</t>
        </is>
      </c>
    </row>
    <row r="24">
      <c r="A24" s="18" t="inlineStr">
        <is>
          <t>Harç</t>
        </is>
      </c>
      <c r="B24" s="41" t="n">
        <v>3500</v>
      </c>
      <c r="D24" s="18" t="inlineStr">
        <is>
          <t>İyimser</t>
        </is>
      </c>
      <c r="E24" s="41" t="n">
        <v>42000</v>
      </c>
    </row>
    <row r="25">
      <c r="A25" s="18" t="inlineStr">
        <is>
          <t>Masraf</t>
        </is>
      </c>
      <c r="B25" s="41" t="n">
        <v>5500</v>
      </c>
      <c r="D25" s="18" t="inlineStr">
        <is>
          <t>Baz</t>
        </is>
      </c>
      <c r="E25" s="41" t="n">
        <v>38000</v>
      </c>
    </row>
    <row r="26">
      <c r="A26" s="18" t="inlineStr">
        <is>
          <t>AAÜT</t>
        </is>
      </c>
      <c r="B26" s="41" t="n">
        <v>25000</v>
      </c>
      <c r="D26" s="18" t="inlineStr">
        <is>
          <t>Kötümser</t>
        </is>
      </c>
      <c r="E26" s="41" t="n">
        <v>34000</v>
      </c>
    </row>
    <row r="27">
      <c r="A27" s="18" t="inlineStr">
        <is>
          <t>Toplam</t>
        </is>
      </c>
      <c r="B27" s="41" t="n">
        <v>34000</v>
      </c>
      <c r="D27" s="18" t="inlineStr">
        <is>
          <t>M-SEN</t>
        </is>
      </c>
      <c r="E27" s="41" t="n">
        <v>39000</v>
      </c>
    </row>
    <row r="28">
      <c r="A28" s="18" t="inlineStr">
        <is>
          <t>Bütçe</t>
        </is>
      </c>
      <c r="B28" s="41" t="n">
        <v>45000</v>
      </c>
      <c r="D28" s="18" t="inlineStr">
        <is>
          <t>Alt bant</t>
        </is>
      </c>
      <c r="E28" s="41" t="n">
        <v>34200</v>
      </c>
    </row>
    <row r="30">
      <c r="A30" s="21" t="inlineStr">
        <is>
          <t>Metrik</t>
        </is>
      </c>
      <c r="B30" s="21" t="inlineStr">
        <is>
          <t>Değer</t>
        </is>
      </c>
      <c r="D30" s="21" t="inlineStr">
        <is>
          <t>Mahkeme</t>
        </is>
      </c>
      <c r="E30" s="21" t="inlineStr">
        <is>
          <t>Pay</t>
        </is>
      </c>
    </row>
    <row r="31">
      <c r="A31" s="18" t="inlineStr">
        <is>
          <t>Harç</t>
        </is>
      </c>
      <c r="B31" s="41" t="n">
        <v>3500</v>
      </c>
      <c r="D31" s="18" t="inlineStr">
        <is>
          <t>AsliyeHukuk</t>
        </is>
      </c>
      <c r="E31" s="49" t="n">
        <v>0.4</v>
      </c>
    </row>
    <row r="32">
      <c r="A32" s="18" t="inlineStr">
        <is>
          <t>Masraf</t>
        </is>
      </c>
      <c r="B32" s="41" t="n">
        <v>5500</v>
      </c>
      <c r="D32" s="18" t="inlineStr">
        <is>
          <t>Is</t>
        </is>
      </c>
      <c r="E32" s="49" t="n">
        <v>0.25</v>
      </c>
    </row>
    <row r="33">
      <c r="A33" s="18" t="inlineStr">
        <is>
          <t>AAÜT</t>
        </is>
      </c>
      <c r="B33" s="41" t="n">
        <v>25000</v>
      </c>
      <c r="D33" s="18" t="inlineStr">
        <is>
          <t>Ticaret</t>
        </is>
      </c>
      <c r="E33" s="49" t="n">
        <v>0.2</v>
      </c>
    </row>
    <row r="34">
      <c r="D34" s="18" t="inlineStr">
        <is>
          <t>Idare</t>
        </is>
      </c>
      <c r="E34" s="49" t="n">
        <v>0.1</v>
      </c>
    </row>
    <row r="35">
      <c r="D35" s="18" t="inlineStr">
        <is>
          <t>Diger</t>
        </is>
      </c>
      <c r="E35" s="49" t="n">
        <v>0.05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3">
      <formula>ISNUMBER(SEARCH("VERİ YOK",B6))</formula>
    </cfRule>
    <cfRule type="expression" priority="2" dxfId="2">
      <formula>ISNUMBER(SEARCH("UYGUN · AÇILABİLİR",B6))</formula>
    </cfRule>
    <cfRule type="expression" priority="3" dxfId="3">
      <formula>ISNUMBER(SEARCH("DİKKAT · İNCELE",B6))</formula>
    </cfRule>
    <cfRule type="expression" priority="4" dxfId="0">
      <formula>ISNUMBER(SEARCH("UYGUN DEĞİL · DURDUR",B6))</formula>
    </cfRule>
  </conditionalFormatting>
  <conditionalFormatting sqref="B4">
    <cfRule type="cellIs" priority="5" operator="equal" dxfId="1">
      <formula>0</formula>
    </cfRule>
  </conditionalFormatting>
  <conditionalFormatting sqref="F4">
    <cfRule type="cellIs" priority="6" operator="greaterThan" dxfId="0">
      <formula>1</formula>
    </cfRule>
  </conditionalFormatting>
  <conditionalFormatting sqref="H4">
    <cfRule type="cellIs" priority="7" operator="greaterThan" dxfId="0">
      <formula>70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PANO&amp;CExcelArşiv&amp;RSayfa &amp;P / &amp;N</oddFooter>
    <evenHeader/>
    <evenFooter>&amp;LDava Masraf &amp; Harç Hesaplama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8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Dava Masraf &amp; Harç Hesaplama Motoru</t>
        </is>
      </c>
    </row>
    <row r="3">
      <c r="A3" s="14" t="inlineStr">
        <is>
          <t>Tarife tarzı altın vakalar — harç/AAÜT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Dava Masraf &amp; Harç Hesaplama Motoru</t>
        </is>
      </c>
    </row>
    <row r="3">
      <c r="A3" s="10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1:L1"/>
    <mergeCell ref="A21:F22"/>
    <mergeCell ref="A3:F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Dava Masraf &amp; Harç Hesaplama Motoru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18" customWidth="1" min="9" max="9"/>
  </cols>
  <sheetData>
    <row r="1" ht="26" customHeight="1">
      <c r="A1" s="1" t="inlineStr">
        <is>
          <t>ORNEK VERI — Dava Masraf &amp; Harç Hesaplama Motoru</t>
        </is>
      </c>
    </row>
    <row r="3">
      <c r="A3" s="14" t="inlineStr">
        <is>
          <t>Örnek dosya kütüphanesi</t>
        </is>
      </c>
    </row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Dava Masraf &amp; Harç Hesaplama Motoru</t>
        </is>
      </c>
    </row>
    <row r="3">
      <c r="A3" s="21" t="inlineStr">
        <is>
          <t>Doğrulama listeleri</t>
        </is>
      </c>
    </row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Dava Masraf &amp; Harç Hesaplama Motoru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B9BD5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Dava Masraf &amp; Harç Hesaplama Motoru</t>
        </is>
      </c>
    </row>
    <row r="3">
      <c r="A3" s="10" t="inlineStr">
        <is>
          <t>Kullanım kılavuzu</t>
        </is>
      </c>
    </row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0:L10"/>
    <mergeCell ref="A7:L7"/>
    <mergeCell ref="A11:L11"/>
    <mergeCell ref="A5:L5"/>
    <mergeCell ref="A8:L8"/>
    <mergeCell ref="A6:L6"/>
    <mergeCell ref="A9:L9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2026-08-11T19:27:54Z</dcterms:created>
  <dcterms:modified xsi:type="dcterms:W3CDTF">2026-08-11T19:27:54Z</dcterms:modified>
</cp:coreProperties>
</file>